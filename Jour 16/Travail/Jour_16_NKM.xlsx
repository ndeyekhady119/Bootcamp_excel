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3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cadedu-my.sharepoint.com/personal/ndeyekhady8_mbaye_ucad_edu_sn/Documents/"/>
    </mc:Choice>
  </mc:AlternateContent>
  <xr:revisionPtr revIDLastSave="0" documentId="8_{8BE06AC9-0100-471A-931F-26CFF4DA00B4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CA_Categorie" sheetId="5" r:id="rId1"/>
    <sheet name="Performance_Vendeurs" sheetId="6" r:id="rId2"/>
    <sheet name="Evolution_CA" sheetId="7" r:id="rId3"/>
    <sheet name="Vendeur_Categorie" sheetId="8" r:id="rId4"/>
    <sheet name="Ventes" sheetId="1" r:id="rId5"/>
    <sheet name="Détails1" sheetId="9" r:id="rId6"/>
    <sheet name="TCD" sheetId="3" r:id="rId7"/>
    <sheet name="Détails2" sheetId="11" r:id="rId8"/>
    <sheet name="Challenge" sheetId="10" r:id="rId9"/>
  </sheets>
  <definedNames>
    <definedName name="Segment_Categorie">#N/A</definedName>
    <definedName name="Segment_Categorie1">#N/A</definedName>
    <definedName name="Segment_Categorie2">#N/A</definedName>
    <definedName name="Segment_Vendeur">#N/A</definedName>
    <definedName name="Segment_Vendeur1">#N/A</definedName>
    <definedName name="Segment_Vendeur2">#N/A</definedName>
  </definedNames>
  <calcPr calcId="191028"/>
  <pivotCaches>
    <pivotCache cacheId="22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2" i="1"/>
  <c r="L36" i="1"/>
  <c r="H32" i="1"/>
  <c r="H54" i="1"/>
  <c r="H87" i="1"/>
  <c r="H7" i="1"/>
  <c r="H8" i="1"/>
  <c r="H9" i="1"/>
  <c r="H10" i="1"/>
  <c r="H11" i="1"/>
  <c r="H12" i="1"/>
  <c r="H13" i="1"/>
  <c r="H33" i="1"/>
  <c r="H43" i="1"/>
  <c r="H44" i="1"/>
  <c r="H91" i="1"/>
  <c r="H95" i="1"/>
  <c r="H104" i="1"/>
  <c r="H105" i="1"/>
  <c r="H17" i="1"/>
  <c r="H18" i="1"/>
  <c r="H19" i="1"/>
  <c r="H20" i="1"/>
  <c r="H45" i="1"/>
  <c r="H55" i="1"/>
  <c r="H56" i="1"/>
  <c r="H69" i="1"/>
  <c r="H110" i="1"/>
  <c r="H27" i="1"/>
  <c r="H28" i="1"/>
  <c r="H29" i="1"/>
  <c r="H30" i="1"/>
  <c r="H2" i="1"/>
  <c r="H92" i="1"/>
  <c r="H37" i="1"/>
  <c r="H38" i="1"/>
  <c r="H39" i="1"/>
  <c r="H40" i="1"/>
  <c r="H41" i="1"/>
  <c r="H42" i="1"/>
  <c r="H3" i="1"/>
  <c r="H14" i="1"/>
  <c r="H21" i="1"/>
  <c r="H34" i="1"/>
  <c r="H46" i="1"/>
  <c r="H47" i="1"/>
  <c r="H57" i="1"/>
  <c r="H93" i="1"/>
  <c r="H96" i="1"/>
  <c r="H97" i="1"/>
  <c r="H106" i="1"/>
  <c r="H51" i="1"/>
  <c r="H52" i="1"/>
  <c r="H53" i="1"/>
  <c r="H4" i="1"/>
  <c r="H35" i="1"/>
  <c r="H48" i="1"/>
  <c r="H70" i="1"/>
  <c r="H71" i="1"/>
  <c r="H88" i="1"/>
  <c r="H94" i="1"/>
  <c r="H98" i="1"/>
  <c r="H99" i="1"/>
  <c r="H111" i="1"/>
  <c r="H60" i="1"/>
  <c r="H61" i="1"/>
  <c r="H62" i="1"/>
  <c r="H63" i="1"/>
  <c r="H64" i="1"/>
  <c r="H65" i="1"/>
  <c r="H66" i="1"/>
  <c r="H67" i="1"/>
  <c r="H68" i="1"/>
  <c r="H5" i="1"/>
  <c r="H22" i="1"/>
  <c r="H23" i="1"/>
  <c r="H24" i="1"/>
  <c r="H49" i="1"/>
  <c r="H58" i="1"/>
  <c r="H100" i="1"/>
  <c r="H101" i="1"/>
  <c r="H107" i="1"/>
  <c r="H72" i="1"/>
  <c r="H74" i="1"/>
  <c r="H75" i="1"/>
  <c r="H78" i="1"/>
  <c r="H80" i="1"/>
  <c r="H81" i="1"/>
  <c r="H82" i="1"/>
  <c r="H83" i="1"/>
  <c r="H84" i="1"/>
  <c r="H85" i="1"/>
  <c r="H86" i="1"/>
  <c r="H15" i="1"/>
  <c r="H26" i="1"/>
  <c r="H109" i="1"/>
  <c r="H89" i="1"/>
  <c r="H90" i="1"/>
  <c r="H6" i="1"/>
  <c r="H16" i="1"/>
  <c r="H36" i="1"/>
  <c r="H25" i="1"/>
  <c r="H50" i="1"/>
  <c r="H59" i="1"/>
  <c r="H102" i="1"/>
  <c r="H103" i="1"/>
  <c r="H108" i="1"/>
  <c r="H73" i="1"/>
  <c r="H76" i="1"/>
  <c r="H77" i="1"/>
  <c r="H79" i="1"/>
  <c r="H31" i="1"/>
  <c r="I79" i="1"/>
  <c r="I77" i="1"/>
  <c r="I76" i="1"/>
  <c r="I73" i="1"/>
  <c r="I108" i="1"/>
  <c r="I103" i="1"/>
  <c r="I102" i="1"/>
  <c r="I59" i="1"/>
  <c r="I50" i="1"/>
  <c r="I25" i="1"/>
  <c r="I36" i="1"/>
  <c r="I16" i="1"/>
  <c r="I6" i="1"/>
  <c r="I90" i="1"/>
  <c r="I89" i="1"/>
  <c r="I109" i="1"/>
  <c r="I26" i="1"/>
  <c r="I15" i="1"/>
  <c r="I86" i="1"/>
  <c r="I85" i="1"/>
  <c r="I84" i="1"/>
  <c r="I83" i="1"/>
  <c r="I82" i="1"/>
  <c r="I81" i="1"/>
  <c r="I80" i="1"/>
  <c r="I78" i="1"/>
  <c r="I75" i="1"/>
  <c r="I74" i="1"/>
  <c r="I72" i="1"/>
  <c r="I107" i="1"/>
  <c r="I101" i="1"/>
  <c r="I100" i="1"/>
  <c r="I58" i="1"/>
  <c r="I49" i="1"/>
  <c r="I24" i="1"/>
  <c r="I23" i="1"/>
  <c r="I22" i="1"/>
  <c r="I5" i="1"/>
  <c r="I68" i="1"/>
  <c r="I67" i="1"/>
  <c r="I66" i="1"/>
  <c r="I65" i="1"/>
  <c r="I64" i="1"/>
  <c r="I63" i="1"/>
  <c r="I62" i="1"/>
  <c r="I61" i="1"/>
  <c r="I60" i="1"/>
  <c r="I111" i="1"/>
  <c r="I99" i="1"/>
  <c r="I98" i="1"/>
  <c r="I94" i="1"/>
  <c r="I88" i="1"/>
  <c r="I71" i="1"/>
  <c r="I70" i="1"/>
  <c r="I48" i="1"/>
  <c r="I35" i="1"/>
  <c r="I4" i="1"/>
  <c r="I53" i="1"/>
  <c r="I52" i="1"/>
  <c r="I51" i="1"/>
  <c r="I106" i="1"/>
  <c r="I97" i="1"/>
  <c r="I96" i="1"/>
  <c r="I93" i="1"/>
  <c r="I57" i="1"/>
  <c r="I47" i="1"/>
  <c r="I46" i="1"/>
  <c r="I34" i="1"/>
  <c r="I21" i="1"/>
  <c r="I14" i="1"/>
  <c r="I3" i="1"/>
  <c r="I42" i="1"/>
  <c r="I41" i="1"/>
  <c r="I40" i="1"/>
  <c r="I39" i="1"/>
  <c r="I38" i="1"/>
  <c r="I37" i="1"/>
  <c r="I92" i="1"/>
  <c r="I2" i="1"/>
  <c r="I30" i="1"/>
  <c r="I29" i="1"/>
  <c r="I28" i="1"/>
  <c r="I27" i="1"/>
  <c r="I110" i="1"/>
  <c r="I69" i="1"/>
  <c r="I56" i="1"/>
  <c r="I55" i="1"/>
  <c r="I45" i="1"/>
  <c r="I20" i="1"/>
  <c r="I19" i="1"/>
  <c r="I18" i="1"/>
  <c r="I17" i="1"/>
  <c r="I105" i="1"/>
  <c r="I104" i="1"/>
  <c r="I95" i="1"/>
  <c r="I91" i="1"/>
  <c r="I44" i="1"/>
  <c r="I43" i="1"/>
  <c r="I33" i="1"/>
  <c r="I13" i="1"/>
  <c r="I12" i="1"/>
  <c r="I11" i="1"/>
  <c r="I10" i="1"/>
  <c r="I9" i="1"/>
  <c r="I8" i="1"/>
  <c r="I7" i="1"/>
  <c r="I87" i="1"/>
  <c r="I54" i="1"/>
  <c r="I32" i="1"/>
  <c r="I31" i="1"/>
  <c r="J79" i="1" l="1"/>
  <c r="J77" i="1"/>
  <c r="J76" i="1"/>
  <c r="J73" i="1"/>
  <c r="J108" i="1"/>
  <c r="J103" i="1"/>
  <c r="J102" i="1"/>
  <c r="J59" i="1"/>
  <c r="J50" i="1"/>
  <c r="J25" i="1"/>
  <c r="J36" i="1"/>
  <c r="J16" i="1"/>
  <c r="J6" i="1"/>
  <c r="J90" i="1"/>
  <c r="J89" i="1"/>
  <c r="J109" i="1"/>
  <c r="J26" i="1"/>
  <c r="J15" i="1"/>
  <c r="J86" i="1"/>
  <c r="J85" i="1"/>
  <c r="J84" i="1"/>
  <c r="J83" i="1"/>
  <c r="J82" i="1"/>
  <c r="J81" i="1"/>
  <c r="J80" i="1"/>
  <c r="J78" i="1"/>
  <c r="J75" i="1"/>
  <c r="J74" i="1"/>
  <c r="J72" i="1"/>
  <c r="J107" i="1"/>
  <c r="J101" i="1"/>
  <c r="J100" i="1"/>
  <c r="J58" i="1"/>
  <c r="J49" i="1"/>
  <c r="J24" i="1"/>
  <c r="J23" i="1"/>
  <c r="J22" i="1"/>
  <c r="J5" i="1"/>
  <c r="J68" i="1"/>
  <c r="J67" i="1"/>
  <c r="J66" i="1"/>
  <c r="J65" i="1"/>
  <c r="J64" i="1"/>
  <c r="J63" i="1"/>
  <c r="J62" i="1"/>
  <c r="J61" i="1"/>
  <c r="J60" i="1"/>
  <c r="J111" i="1"/>
  <c r="J99" i="1"/>
  <c r="J98" i="1"/>
  <c r="J94" i="1"/>
  <c r="J88" i="1"/>
  <c r="J71" i="1"/>
  <c r="J70" i="1"/>
  <c r="J48" i="1"/>
  <c r="J35" i="1"/>
  <c r="J4" i="1"/>
  <c r="J53" i="1"/>
  <c r="J52" i="1"/>
  <c r="J51" i="1"/>
  <c r="J106" i="1"/>
  <c r="J97" i="1"/>
  <c r="J96" i="1"/>
  <c r="J93" i="1"/>
  <c r="J57" i="1"/>
  <c r="J47" i="1"/>
  <c r="J46" i="1"/>
  <c r="J34" i="1"/>
  <c r="J21" i="1"/>
  <c r="J14" i="1"/>
  <c r="J3" i="1"/>
  <c r="J42" i="1"/>
  <c r="J41" i="1"/>
  <c r="J40" i="1"/>
  <c r="J39" i="1"/>
  <c r="J38" i="1"/>
  <c r="J37" i="1"/>
  <c r="J92" i="1"/>
  <c r="J2" i="1"/>
  <c r="J30" i="1"/>
  <c r="J29" i="1"/>
  <c r="J28" i="1"/>
  <c r="J27" i="1"/>
  <c r="J110" i="1"/>
  <c r="J69" i="1"/>
  <c r="J56" i="1"/>
  <c r="J55" i="1"/>
  <c r="J45" i="1"/>
  <c r="J20" i="1"/>
  <c r="J19" i="1"/>
  <c r="J18" i="1"/>
  <c r="J17" i="1"/>
  <c r="J105" i="1"/>
  <c r="J104" i="1"/>
  <c r="J95" i="1"/>
  <c r="J91" i="1"/>
  <c r="J44" i="1"/>
  <c r="J43" i="1"/>
  <c r="J33" i="1"/>
  <c r="J13" i="1"/>
  <c r="J12" i="1"/>
  <c r="J11" i="1"/>
  <c r="J10" i="1"/>
  <c r="J9" i="1"/>
  <c r="J8" i="1"/>
  <c r="J7" i="1"/>
  <c r="J87" i="1"/>
  <c r="J54" i="1"/>
  <c r="J32" i="1"/>
  <c r="J31" i="1"/>
  <c r="L57" i="1" l="1"/>
</calcChain>
</file>

<file path=xl/sharedStrings.xml><?xml version="1.0" encoding="utf-8"?>
<sst xmlns="http://schemas.openxmlformats.org/spreadsheetml/2006/main" count="1147" uniqueCount="170">
  <si>
    <t>Categorie</t>
  </si>
  <si>
    <t>Somme de Chiffre_Affaires</t>
  </si>
  <si>
    <t>Somme de Quantite</t>
  </si>
  <si>
    <t>Accessoires</t>
  </si>
  <si>
    <t>Electronique</t>
  </si>
  <si>
    <t>Informatique</t>
  </si>
  <si>
    <t>Total général</t>
  </si>
  <si>
    <t>Vendeur</t>
  </si>
  <si>
    <t>Cheikh Gueye</t>
  </si>
  <si>
    <t>Ousmane Cisse</t>
  </si>
  <si>
    <t>Ibrahima Sow</t>
  </si>
  <si>
    <t>Khady Diallo</t>
  </si>
  <si>
    <t>Fatou Fall</t>
  </si>
  <si>
    <t>Mamadou Diop</t>
  </si>
  <si>
    <t>Awa Ndiaye</t>
  </si>
  <si>
    <t>Modou Sarr</t>
  </si>
  <si>
    <t>Aissatou Ba</t>
  </si>
  <si>
    <t>Ndeye Faye</t>
  </si>
  <si>
    <t>Date</t>
  </si>
  <si>
    <t>Vente_ID</t>
  </si>
  <si>
    <t>Produit</t>
  </si>
  <si>
    <t>Quantite</t>
  </si>
  <si>
    <t>Prix_Unitaire</t>
  </si>
  <si>
    <t>Chiffre_Affaires</t>
  </si>
  <si>
    <t>Remise</t>
  </si>
  <si>
    <t>Montant_Net</t>
  </si>
  <si>
    <t>Colonne1</t>
  </si>
  <si>
    <t>V0071</t>
  </si>
  <si>
    <t>Telephone</t>
  </si>
  <si>
    <t>V0013</t>
  </si>
  <si>
    <t>Clavier</t>
  </si>
  <si>
    <t>V0048</t>
  </si>
  <si>
    <t>V0057</t>
  </si>
  <si>
    <t>V0096</t>
  </si>
  <si>
    <t>Ecran</t>
  </si>
  <si>
    <t>V0005</t>
  </si>
  <si>
    <t>Webcam</t>
  </si>
  <si>
    <t>V0076</t>
  </si>
  <si>
    <t>Imprimante</t>
  </si>
  <si>
    <t>V0051</t>
  </si>
  <si>
    <t>V0066</t>
  </si>
  <si>
    <t>V0028</t>
  </si>
  <si>
    <t>Chargeur</t>
  </si>
  <si>
    <t>V0072</t>
  </si>
  <si>
    <t>Souris</t>
  </si>
  <si>
    <t>V0025</t>
  </si>
  <si>
    <t>V0016</t>
  </si>
  <si>
    <t>V0026</t>
  </si>
  <si>
    <t>V0093</t>
  </si>
  <si>
    <t>Disque dur externe</t>
  </si>
  <si>
    <t>V0091</t>
  </si>
  <si>
    <t>V0056</t>
  </si>
  <si>
    <t>V0098</t>
  </si>
  <si>
    <t>V0081</t>
  </si>
  <si>
    <t>V0082</t>
  </si>
  <si>
    <t>Enceinte Bluetooth</t>
  </si>
  <si>
    <t>V0083</t>
  </si>
  <si>
    <t>V0090</t>
  </si>
  <si>
    <t>V0099</t>
  </si>
  <si>
    <t>Casque</t>
  </si>
  <si>
    <t>V0036</t>
  </si>
  <si>
    <t>V0087</t>
  </si>
  <si>
    <t>Montre connectee</t>
  </si>
  <si>
    <t>V0068</t>
  </si>
  <si>
    <t>V0089</t>
  </si>
  <si>
    <t>Powerbank</t>
  </si>
  <si>
    <t>V0017</t>
  </si>
  <si>
    <t>V0004</t>
  </si>
  <si>
    <t>V0032</t>
  </si>
  <si>
    <t>V0050</t>
  </si>
  <si>
    <t>V0086</t>
  </si>
  <si>
    <t>V0058</t>
  </si>
  <si>
    <t>V0088</t>
  </si>
  <si>
    <t>V0080</t>
  </si>
  <si>
    <t>V0018</t>
  </si>
  <si>
    <t>V0031</t>
  </si>
  <si>
    <t>Laptop</t>
  </si>
  <si>
    <t>V0049</t>
  </si>
  <si>
    <t>V0060</t>
  </si>
  <si>
    <t>V0100</t>
  </si>
  <si>
    <t>V0045</t>
  </si>
  <si>
    <t>V0046</t>
  </si>
  <si>
    <t>V0038</t>
  </si>
  <si>
    <t>V0012</t>
  </si>
  <si>
    <t>V0044</t>
  </si>
  <si>
    <t>V0024</t>
  </si>
  <si>
    <t>V0079</t>
  </si>
  <si>
    <t>V0054</t>
  </si>
  <si>
    <t>Clé USB</t>
  </si>
  <si>
    <t>V0075</t>
  </si>
  <si>
    <t>V0008</t>
  </si>
  <si>
    <t>Cle USB</t>
  </si>
  <si>
    <t>V0009</t>
  </si>
  <si>
    <t>V0041</t>
  </si>
  <si>
    <t>V0062</t>
  </si>
  <si>
    <t>V0022</t>
  </si>
  <si>
    <t>V0015</t>
  </si>
  <si>
    <t>V0053</t>
  </si>
  <si>
    <t>V0037</t>
  </si>
  <si>
    <t>V0077</t>
  </si>
  <si>
    <t>V0094</t>
  </si>
  <si>
    <t>V0030</t>
  </si>
  <si>
    <t>V0095</t>
  </si>
  <si>
    <t>V0047</t>
  </si>
  <si>
    <t>Tablette</t>
  </si>
  <si>
    <t>V0006</t>
  </si>
  <si>
    <t>V0085</t>
  </si>
  <si>
    <t>V0097</t>
  </si>
  <si>
    <t>V0007</t>
  </si>
  <si>
    <t>V0070</t>
  </si>
  <si>
    <t>V0069</t>
  </si>
  <si>
    <t>V0027</t>
  </si>
  <si>
    <t>V0061</t>
  </si>
  <si>
    <t>V0029</t>
  </si>
  <si>
    <t>V0078</t>
  </si>
  <si>
    <t>V0014</t>
  </si>
  <si>
    <t>V0052</t>
  </si>
  <si>
    <t>V0002</t>
  </si>
  <si>
    <t>V0059</t>
  </si>
  <si>
    <t>V0065</t>
  </si>
  <si>
    <t>V0035</t>
  </si>
  <si>
    <t>V0010</t>
  </si>
  <si>
    <t>V0042</t>
  </si>
  <si>
    <t>V0092</t>
  </si>
  <si>
    <t>V0043</t>
  </si>
  <si>
    <t>V0055</t>
  </si>
  <si>
    <t>V0064</t>
  </si>
  <si>
    <t>V0020</t>
  </si>
  <si>
    <t>V0019</t>
  </si>
  <si>
    <t>V0074</t>
  </si>
  <si>
    <t>V0021</t>
  </si>
  <si>
    <t>V0003</t>
  </si>
  <si>
    <t>V0033</t>
  </si>
  <si>
    <t>V0073</t>
  </si>
  <si>
    <t>V0084</t>
  </si>
  <si>
    <t>V0040</t>
  </si>
  <si>
    <t>V0063</t>
  </si>
  <si>
    <t>Ecouteur</t>
  </si>
  <si>
    <t>V0011</t>
  </si>
  <si>
    <t>V0034</t>
  </si>
  <si>
    <t>V0067</t>
  </si>
  <si>
    <t>V0023</t>
  </si>
  <si>
    <t>V0039</t>
  </si>
  <si>
    <t>V0001</t>
  </si>
  <si>
    <t>Détails pou for Somme de Chiffre_Affaires - Categorie : Informatique</t>
  </si>
  <si>
    <t>Exercice 1 — CA par catégorie</t>
  </si>
  <si>
    <t>Exercice 2 — CA par vendeur</t>
  </si>
  <si>
    <t>Exercice 3 — Vendeur × catégorie</t>
  </si>
  <si>
    <r>
      <t>Regrouper</t>
    </r>
    <r>
      <rPr>
        <b/>
        <sz val="13"/>
        <color rgb="FF000000"/>
        <rFont val="Times New Roman"/>
        <family val="1"/>
        <charset val="1"/>
      </rPr>
      <t xml:space="preserve"> </t>
    </r>
    <r>
      <rPr>
        <b/>
        <sz val="12"/>
        <color rgb="FF000000"/>
        <rFont val="Times New Roman"/>
        <family val="1"/>
        <charset val="1"/>
      </rPr>
      <t>les dates</t>
    </r>
  </si>
  <si>
    <t>Étiquettes de lignes</t>
  </si>
  <si>
    <t>2026</t>
  </si>
  <si>
    <t>Trimestre3</t>
  </si>
  <si>
    <t>juil</t>
  </si>
  <si>
    <t>août</t>
  </si>
  <si>
    <t>sept</t>
  </si>
  <si>
    <t>Trimestre2</t>
  </si>
  <si>
    <t>avr</t>
  </si>
  <si>
    <t>mai</t>
  </si>
  <si>
    <t>juin</t>
  </si>
  <si>
    <t>Trimestre1</t>
  </si>
  <si>
    <t>janv</t>
  </si>
  <si>
    <t>févr</t>
  </si>
  <si>
    <t>mars</t>
  </si>
  <si>
    <t>Trimestre4</t>
  </si>
  <si>
    <t>oct</t>
  </si>
  <si>
    <t>nov</t>
  </si>
  <si>
    <t>déc</t>
  </si>
  <si>
    <t>Exercice 4 — Analyse vendeur × catégorie</t>
  </si>
  <si>
    <t>Exercice 5 — Rendre l'analyse interactive</t>
  </si>
  <si>
    <t>Analyse des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</si>
</sst>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CFA-280C]_-;\-* #,##0\ [$CFA-280C]_-;_-* &quot;-&quot;\ [$CFA-280C]_-;_-@_-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2"/>
      <color rgb="FF000000"/>
      <name val="Times New Roman"/>
      <family val="1"/>
      <charset val="1"/>
    </font>
    <font>
      <b/>
      <sz val="13"/>
      <color rgb="FF000000"/>
      <name val="Times New Roman"/>
      <family val="1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Times New Roman"/>
      <family val="1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wrapText="1"/>
    </xf>
    <xf numFmtId="0" fontId="0" fillId="0" borderId="0" xfId="0" pivotButton="1"/>
    <xf numFmtId="164" fontId="0" fillId="0" borderId="0" xfId="0" applyNumberFormat="1"/>
    <xf numFmtId="14" fontId="0" fillId="0" borderId="0" xfId="0" applyNumberFormat="1"/>
    <xf numFmtId="14" fontId="2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5" fillId="0" borderId="0" xfId="0" applyNumberFormat="1" applyFont="1"/>
    <xf numFmtId="0" fontId="6" fillId="0" borderId="0" xfId="0" applyFont="1"/>
    <xf numFmtId="0" fontId="0" fillId="0" borderId="0" xfId="0" applyAlignment="1">
      <alignment horizontal="left" indent="2"/>
    </xf>
    <xf numFmtId="1" fontId="0" fillId="0" borderId="0" xfId="0" applyNumberFormat="1"/>
    <xf numFmtId="0" fontId="8" fillId="0" borderId="0" xfId="0" applyFont="1"/>
    <xf numFmtId="0" fontId="7" fillId="0" borderId="0" xfId="0" applyFont="1" applyAlignment="1">
      <alignment horizontal="center" readingOrder="1"/>
    </xf>
    <xf numFmtId="0" fontId="3" fillId="0" borderId="0" xfId="0" applyFont="1" applyAlignment="1">
      <alignment horizontal="center" readingOrder="1"/>
    </xf>
  </cellXfs>
  <cellStyles count="1">
    <cellStyle name="Normal" xfId="0" builtinId="0"/>
  </cellStyles>
  <dxfs count="15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_-* #,##0\ [$CFA-280C]_-;\-* #,##0\ [$CFA-280C]_-;_-* &quot;-&quot;\ [$CFA-28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_-* #,##0\ [$CFA-280C]_-;\-* #,##0\ [$CFA-280C]_-;_-* &quot;-&quot;\ [$CFA-28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_-* #,##0\ [$CFA-280C]_-;\-* #,##0\ [$CFA-280C]_-;_-* &quot;-&quot;\ [$CFA-28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_-* #,##0\ [$CFA-280C]_-;\-* #,##0\ [$CFA-280C]_-;_-* &quot;-&quot;\ [$CFA-28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2</xdr:row>
      <xdr:rowOff>57150</xdr:rowOff>
    </xdr:from>
    <xdr:to>
      <xdr:col>9</xdr:col>
      <xdr:colOff>47625</xdr:colOff>
      <xdr:row>16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ie 1">
              <a:extLst>
                <a:ext uri="{FF2B5EF4-FFF2-40B4-BE49-F238E27FC236}">
                  <a16:creationId xmlns:a16="http://schemas.microsoft.com/office/drawing/2014/main" id="{72700112-7612-C1C4-BA9C-E98E84B742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125" y="438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209550</xdr:colOff>
      <xdr:row>3</xdr:row>
      <xdr:rowOff>19050</xdr:rowOff>
    </xdr:from>
    <xdr:to>
      <xdr:col>12</xdr:col>
      <xdr:colOff>209550</xdr:colOff>
      <xdr:row>16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endeur 1">
              <a:extLst>
                <a:ext uri="{FF2B5EF4-FFF2-40B4-BE49-F238E27FC236}">
                  <a16:creationId xmlns:a16="http://schemas.microsoft.com/office/drawing/2014/main" id="{F0C9F710-863D-B6CF-1FE3-F09D63C9A0D0}"/>
                </a:ext>
                <a:ext uri="{147F2762-F138-4A5C-976F-8EAC2B608ADB}">
                  <a16:predDERef xmlns:a16="http://schemas.microsoft.com/office/drawing/2014/main" pred="{72700112-7612-C1C4-BA9C-E98E84B742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u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43850" y="590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164</xdr:row>
      <xdr:rowOff>123825</xdr:rowOff>
    </xdr:from>
    <xdr:to>
      <xdr:col>1</xdr:col>
      <xdr:colOff>1000125</xdr:colOff>
      <xdr:row>179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egorie">
              <a:extLst>
                <a:ext uri="{FF2B5EF4-FFF2-40B4-BE49-F238E27FC236}">
                  <a16:creationId xmlns:a16="http://schemas.microsoft.com/office/drawing/2014/main" id="{C6B0EF37-4B5B-560C-1AF7-C45F950EAC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9908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447675</xdr:colOff>
      <xdr:row>164</xdr:row>
      <xdr:rowOff>161925</xdr:rowOff>
    </xdr:from>
    <xdr:to>
      <xdr:col>2</xdr:col>
      <xdr:colOff>561975</xdr:colOff>
      <xdr:row>179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Vendeur">
              <a:extLst>
                <a:ext uri="{FF2B5EF4-FFF2-40B4-BE49-F238E27FC236}">
                  <a16:creationId xmlns:a16="http://schemas.microsoft.com/office/drawing/2014/main" id="{3503FD47-9377-EFFB-B380-147B015C5CA7}"/>
                </a:ext>
                <a:ext uri="{147F2762-F138-4A5C-976F-8EAC2B608ADB}">
                  <a16:predDERef xmlns:a16="http://schemas.microsoft.com/office/drawing/2014/main" pred="{C6B0EF37-4B5B-560C-1AF7-C45F950EAC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u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0" y="29946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1247775</xdr:colOff>
      <xdr:row>14</xdr:row>
      <xdr:rowOff>66675</xdr:rowOff>
    </xdr:from>
    <xdr:to>
      <xdr:col>3</xdr:col>
      <xdr:colOff>752475</xdr:colOff>
      <xdr:row>28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ie 2">
              <a:extLst>
                <a:ext uri="{FF2B5EF4-FFF2-40B4-BE49-F238E27FC236}">
                  <a16:creationId xmlns:a16="http://schemas.microsoft.com/office/drawing/2014/main" id="{B114D4AF-33CD-1CE5-3147-9897FCEA81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8300" y="2752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180975</xdr:colOff>
      <xdr:row>13</xdr:row>
      <xdr:rowOff>9525</xdr:rowOff>
    </xdr:from>
    <xdr:to>
      <xdr:col>1</xdr:col>
      <xdr:colOff>1152525</xdr:colOff>
      <xdr:row>26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endeur 2">
              <a:extLst>
                <a:ext uri="{FF2B5EF4-FFF2-40B4-BE49-F238E27FC236}">
                  <a16:creationId xmlns:a16="http://schemas.microsoft.com/office/drawing/2014/main" id="{82B82B0D-99FF-AB3D-39A7-7255DA800BAD}"/>
                </a:ext>
                <a:ext uri="{147F2762-F138-4A5C-976F-8EAC2B608ADB}">
                  <a16:predDERef xmlns:a16="http://schemas.microsoft.com/office/drawing/2014/main" pred="{B114D4AF-33CD-1CE5-3147-9897FCEA81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u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" y="2486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81.903939467593" createdVersion="8" refreshedVersion="8" minRefreshableVersion="3" recordCount="110" xr:uid="{84D60504-F6AE-43A5-9A6F-A3901C96FDE7}">
  <cacheSource type="worksheet">
    <worksheetSource name="tblVentes"/>
  </cacheSource>
  <cacheFields count="15">
    <cacheField name="Date" numFmtId="14">
      <sharedItems containsSemiMixedTypes="0" containsNonDate="0" containsDate="1" containsString="0" minDate="2026-01-04T00:00:00" maxDate="2026-12-07T00:00:00" count="85">
        <d v="2026-01-04T00:00:00"/>
        <d v="2026-01-05T00:00:00"/>
        <d v="2026-01-06T00:00:00"/>
        <d v="2026-01-07T00:00:00"/>
        <d v="2026-01-09T00:00:00"/>
        <d v="2026-01-18T00:00:00"/>
        <d v="2026-01-19T00:00:00"/>
        <d v="2026-01-25T00:00:00"/>
        <d v="2026-01-26T00:00:00"/>
        <d v="2026-01-27T00:00:00"/>
        <d v="2026-01-28T00:00:00"/>
        <d v="2026-01-29T00:00:00"/>
        <d v="2026-02-05T00:00:00"/>
        <d v="2026-02-08T00:00:00"/>
        <d v="2026-02-09T00:00:00"/>
        <d v="2026-02-14T00:00:00"/>
        <d v="2026-02-16T00:00:00"/>
        <d v="2026-02-21T00:00:00"/>
        <d v="2026-02-28T00:00:00"/>
        <d v="2026-03-05T00:00:00"/>
        <d v="2026-03-07T00:00:00"/>
        <d v="2026-03-08T00:00:00"/>
        <d v="2026-03-20T00:00:00"/>
        <d v="2026-03-21T00:00:00"/>
        <d v="2026-03-22T00:00:00"/>
        <d v="2026-03-29T00:00:00"/>
        <d v="2026-04-01T00:00:00"/>
        <d v="2026-04-02T00:00:00"/>
        <d v="2026-04-05T00:00:00"/>
        <d v="2026-04-06T00:00:00"/>
        <d v="2026-04-09T00:00:00"/>
        <d v="2026-04-13T00:00:00"/>
        <d v="2026-04-15T00:00:00"/>
        <d v="2026-04-18T00:00:00"/>
        <d v="2026-04-29T00:00:00"/>
        <d v="2026-04-30T00:00:00"/>
        <d v="2026-05-02T00:00:00"/>
        <d v="2026-05-03T00:00:00"/>
        <d v="2026-05-05T00:00:00"/>
        <d v="2026-05-06T00:00:00"/>
        <d v="2026-05-07T00:00:00"/>
        <d v="2026-05-13T00:00:00"/>
        <d v="2026-05-18T00:00:00"/>
        <d v="2026-05-19T00:00:00"/>
        <d v="2026-06-01T00:00:00"/>
        <d v="2026-06-03T00:00:00"/>
        <d v="2026-06-05T00:00:00"/>
        <d v="2026-06-07T00:00:00"/>
        <d v="2026-06-17T00:00:00"/>
        <d v="2026-06-18T00:00:00"/>
        <d v="2026-06-19T00:00:00"/>
        <d v="2026-06-23T00:00:00"/>
        <d v="2026-06-24T00:00:00"/>
        <d v="2026-06-25T00:00:00"/>
        <d v="2026-06-27T00:00:00"/>
        <d v="2026-06-28T00:00:00"/>
        <d v="2026-07-03T00:00:00"/>
        <d v="2026-07-06T00:00:00"/>
        <d v="2026-07-14T00:00:00"/>
        <d v="2026-07-15T00:00:00"/>
        <d v="2026-07-18T00:00:00"/>
        <d v="2026-07-19T00:00:00"/>
        <d v="2026-07-21T00:00:00"/>
        <d v="2026-07-22T00:00:00"/>
        <d v="2026-07-25T00:00:00"/>
        <d v="2026-07-26T00:00:00"/>
        <d v="2026-07-27T00:00:00"/>
        <d v="2026-08-01T00:00:00"/>
        <d v="2026-08-06T00:00:00"/>
        <d v="2026-08-14T00:00:00"/>
        <d v="2026-08-16T00:00:00"/>
        <d v="2026-09-02T00:00:00"/>
        <d v="2026-09-04T00:00:00"/>
        <d v="2026-09-05T00:00:00"/>
        <d v="2026-09-06T00:00:00"/>
        <d v="2026-10-02T00:00:00"/>
        <d v="2026-10-05T00:00:00"/>
        <d v="2026-10-06T00:00:00"/>
        <d v="2026-10-07T00:00:00"/>
        <d v="2026-11-02T00:00:00"/>
        <d v="2026-11-05T00:00:00"/>
        <d v="2026-11-07T00:00:00"/>
        <d v="2026-11-08T00:00:00"/>
        <d v="2026-12-03T00:00:00"/>
        <d v="2026-12-06T00:00:00"/>
      </sharedItems>
      <fieldGroup par="14"/>
    </cacheField>
    <cacheField name="Vente_ID" numFmtId="0">
      <sharedItems/>
    </cacheField>
    <cacheField name="Produit" numFmtId="0">
      <sharedItems/>
    </cacheField>
    <cacheField name="Categorie" numFmtId="0">
      <sharedItems count="3">
        <s v="Electronique"/>
        <s v="Informatique"/>
        <s v="Accessoires"/>
      </sharedItems>
    </cacheField>
    <cacheField name="Vendeur" numFmtId="0">
      <sharedItems count="10">
        <s v="Cheikh Gueye"/>
        <s v="Fatou Fall"/>
        <s v="Awa Ndiaye"/>
        <s v="Khady Diallo"/>
        <s v="Aissatou Ba"/>
        <s v="Modou Sarr"/>
        <s v="Mamadou Diop"/>
        <s v="Ousmane Cisse"/>
        <s v="Ndeye Faye"/>
        <s v="Ibrahima Sow"/>
      </sharedItems>
    </cacheField>
    <cacheField name="Quantite" numFmtId="1">
      <sharedItems containsSemiMixedTypes="0" containsString="0" containsNumber="1" containsInteger="1" minValue="1" maxValue="10"/>
    </cacheField>
    <cacheField name="Prix_Unitaire" numFmtId="164">
      <sharedItems containsSemiMixedTypes="0" containsString="0" containsNumber="1" containsInteger="1" minValue="2000" maxValue="450000"/>
    </cacheField>
    <cacheField name="Chiffre_Affaires" numFmtId="164">
      <sharedItems containsSemiMixedTypes="0" containsString="0" containsNumber="1" containsInteger="1" minValue="8000" maxValue="4050000"/>
    </cacheField>
    <cacheField name="Remise" numFmtId="0">
      <sharedItems containsSemiMixedTypes="0" containsString="0" containsNumber="1" minValue="0" maxValue="0.2"/>
    </cacheField>
    <cacheField name="Montant_Net" numFmtId="164">
      <sharedItems containsSemiMixedTypes="0" containsString="0" containsNumber="1" minValue="7520" maxValue="3483000"/>
    </cacheField>
    <cacheField name="Colonne1" numFmtId="164">
      <sharedItems/>
    </cacheField>
    <cacheField name="Jours (Date)" numFmtId="0" databaseField="0">
      <fieldGroup base="0">
        <rangePr groupBy="days" startDate="2026-01-04T00:00:00" endDate="2026-12-07T00:00:00"/>
        <groupItems count="368">
          <s v="&lt;04/01/2026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7/12/2026"/>
        </groupItems>
      </fieldGroup>
    </cacheField>
    <cacheField name="Mois (Date)" numFmtId="0" databaseField="0">
      <fieldGroup base="0">
        <rangePr groupBy="months" startDate="2026-01-04T00:00:00" endDate="2026-12-07T00:00:00"/>
        <groupItems count="14">
          <s v="&lt;04/01/2026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7/12/2026"/>
        </groupItems>
      </fieldGroup>
    </cacheField>
    <cacheField name="Trimestres (Date)" numFmtId="0" databaseField="0">
      <fieldGroup base="0">
        <rangePr groupBy="quarters" startDate="2026-01-04T00:00:00" endDate="2026-12-07T00:00:00"/>
        <groupItems count="6">
          <s v="&lt;04/01/2026"/>
          <s v="Trimestre1"/>
          <s v="Trimestre2"/>
          <s v="Trimestre3"/>
          <s v="Trimestre4"/>
          <s v="&gt;07/12/2026"/>
        </groupItems>
      </fieldGroup>
    </cacheField>
    <cacheField name="Années (Date)" numFmtId="0" databaseField="0">
      <fieldGroup base="0">
        <rangePr groupBy="years" startDate="2026-01-04T00:00:00" endDate="2026-12-07T00:00:00"/>
        <groupItems count="3">
          <s v="&lt;04/01/2026"/>
          <s v="2026"/>
          <s v="&gt;07/12/2026"/>
        </groupItems>
      </fieldGroup>
    </cacheField>
  </cacheFields>
  <extLst>
    <ext xmlns:x14="http://schemas.microsoft.com/office/spreadsheetml/2009/9/main" uri="{725AE2AE-9491-48be-B2B4-4EB974FC3084}">
      <x14:pivotCacheDefinition pivotCacheId="14387935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s v="V0071"/>
    <s v="Telephone"/>
    <x v="0"/>
    <x v="0"/>
    <n v="4"/>
    <n v="350000"/>
    <n v="1400000"/>
    <n v="0.12"/>
    <n v="1232000"/>
    <b v="1"/>
  </r>
  <r>
    <x v="1"/>
    <s v="V0013"/>
    <s v="Clavier"/>
    <x v="1"/>
    <x v="1"/>
    <n v="1"/>
    <n v="25000"/>
    <n v="25000"/>
    <n v="0"/>
    <n v="25000"/>
    <b v="1"/>
  </r>
  <r>
    <x v="2"/>
    <s v="V0048"/>
    <s v="Clavier"/>
    <x v="1"/>
    <x v="2"/>
    <n v="5"/>
    <n v="25000"/>
    <n v="125000"/>
    <n v="0.09"/>
    <n v="113750"/>
    <b v="1"/>
  </r>
  <r>
    <x v="3"/>
    <s v="V0057"/>
    <s v="Clavier"/>
    <x v="1"/>
    <x v="3"/>
    <n v="4"/>
    <n v="25000"/>
    <n v="100000"/>
    <n v="0.2"/>
    <n v="80000"/>
    <b v="1"/>
  </r>
  <r>
    <x v="4"/>
    <s v="V0096"/>
    <s v="Ecran"/>
    <x v="1"/>
    <x v="4"/>
    <n v="2"/>
    <n v="120000"/>
    <n v="240000"/>
    <n v="0.02"/>
    <n v="235200"/>
    <b v="1"/>
  </r>
  <r>
    <x v="5"/>
    <s v="V0005"/>
    <s v="Webcam"/>
    <x v="1"/>
    <x v="5"/>
    <n v="7"/>
    <n v="22000"/>
    <n v="154000"/>
    <n v="0.1"/>
    <n v="138600"/>
    <b v="1"/>
  </r>
  <r>
    <x v="6"/>
    <s v="V0076"/>
    <s v="Imprimante"/>
    <x v="1"/>
    <x v="3"/>
    <n v="7"/>
    <n v="180000"/>
    <n v="1260000"/>
    <n v="0.05"/>
    <n v="1197000"/>
    <b v="1"/>
  </r>
  <r>
    <x v="7"/>
    <s v="V0051"/>
    <s v="Clavier"/>
    <x v="1"/>
    <x v="6"/>
    <n v="7"/>
    <n v="25000"/>
    <n v="175000"/>
    <n v="0.11"/>
    <n v="155750"/>
    <b v="1"/>
  </r>
  <r>
    <x v="8"/>
    <s v="V0066"/>
    <s v="Imprimante"/>
    <x v="1"/>
    <x v="7"/>
    <n v="10"/>
    <n v="180000"/>
    <n v="1800000"/>
    <n v="0.2"/>
    <n v="1440000"/>
    <b v="1"/>
  </r>
  <r>
    <x v="9"/>
    <s v="V0028"/>
    <s v="Chargeur"/>
    <x v="2"/>
    <x v="4"/>
    <n v="4"/>
    <n v="18000"/>
    <n v="72000"/>
    <n v="0.12"/>
    <n v="63360"/>
    <b v="1"/>
  </r>
  <r>
    <x v="10"/>
    <s v="V0072"/>
    <s v="Souris"/>
    <x v="1"/>
    <x v="0"/>
    <n v="7"/>
    <n v="15000"/>
    <n v="105000"/>
    <n v="0.04"/>
    <n v="100800"/>
    <b v="1"/>
  </r>
  <r>
    <x v="11"/>
    <s v="V0025"/>
    <s v="Webcam"/>
    <x v="1"/>
    <x v="8"/>
    <n v="10"/>
    <n v="22000"/>
    <n v="220000"/>
    <n v="0.18"/>
    <n v="180400"/>
    <b v="1"/>
  </r>
  <r>
    <x v="12"/>
    <s v="V0016"/>
    <s v="Souris"/>
    <x v="1"/>
    <x v="6"/>
    <n v="9"/>
    <n v="15000"/>
    <n v="135000"/>
    <n v="0.15"/>
    <n v="114750"/>
    <b v="1"/>
  </r>
  <r>
    <x v="13"/>
    <s v="V0026"/>
    <s v="Clavier"/>
    <x v="1"/>
    <x v="1"/>
    <n v="6"/>
    <n v="25000"/>
    <n v="150000"/>
    <n v="0.1"/>
    <n v="135000"/>
    <b v="1"/>
  </r>
  <r>
    <x v="14"/>
    <s v="V0093"/>
    <s v="Disque dur externe"/>
    <x v="1"/>
    <x v="7"/>
    <n v="2"/>
    <n v="45000"/>
    <n v="90000"/>
    <n v="0.14000000000000001"/>
    <n v="77400"/>
    <b v="1"/>
  </r>
  <r>
    <x v="15"/>
    <s v="V0091"/>
    <s v="Clavier"/>
    <x v="1"/>
    <x v="6"/>
    <n v="9"/>
    <n v="25000"/>
    <n v="225000"/>
    <n v="0.17"/>
    <n v="186750"/>
    <b v="1"/>
  </r>
  <r>
    <x v="16"/>
    <s v="V0056"/>
    <s v="Ecran"/>
    <x v="1"/>
    <x v="5"/>
    <n v="3"/>
    <n v="120000"/>
    <n v="360000"/>
    <n v="0.06"/>
    <n v="338400"/>
    <b v="1"/>
  </r>
  <r>
    <x v="17"/>
    <s v="V0098"/>
    <s v="Telephone"/>
    <x v="0"/>
    <x v="1"/>
    <n v="9"/>
    <n v="350000"/>
    <n v="3150000"/>
    <n v="0.19"/>
    <n v="2551500"/>
    <b v="1"/>
  </r>
  <r>
    <x v="18"/>
    <s v="V0081"/>
    <s v="Disque dur externe"/>
    <x v="1"/>
    <x v="0"/>
    <n v="8"/>
    <n v="45000"/>
    <n v="360000"/>
    <n v="0.17"/>
    <n v="298800"/>
    <b v="1"/>
  </r>
  <r>
    <x v="19"/>
    <s v="V0082"/>
    <s v="Enceinte Bluetooth"/>
    <x v="0"/>
    <x v="6"/>
    <n v="1"/>
    <n v="45000"/>
    <n v="45000"/>
    <n v="0.08"/>
    <n v="41400"/>
    <b v="1"/>
  </r>
  <r>
    <x v="20"/>
    <s v="V0083"/>
    <s v="Clavier"/>
    <x v="1"/>
    <x v="7"/>
    <n v="6"/>
    <n v="25000"/>
    <n v="150000"/>
    <n v="0.18"/>
    <n v="123000.00000000001"/>
    <b v="1"/>
  </r>
  <r>
    <x v="20"/>
    <s v="V0090"/>
    <s v="Ecran"/>
    <x v="1"/>
    <x v="4"/>
    <n v="7"/>
    <n v="120000"/>
    <n v="840000"/>
    <n v="0"/>
    <n v="840000"/>
    <b v="1"/>
  </r>
  <r>
    <x v="20"/>
    <s v="V0099"/>
    <s v="Ecran"/>
    <x v="1"/>
    <x v="5"/>
    <n v="5"/>
    <n v="120000"/>
    <n v="600000"/>
    <n v="0.18"/>
    <n v="492000.00000000006"/>
    <b v="1"/>
  </r>
  <r>
    <x v="20"/>
    <s v="V0099"/>
    <s v="Casque"/>
    <x v="1"/>
    <x v="7"/>
    <n v="7"/>
    <n v="10000"/>
    <n v="70000"/>
    <n v="0.15"/>
    <n v="59500"/>
    <b v="1"/>
  </r>
  <r>
    <x v="21"/>
    <s v="V0036"/>
    <s v="Disque dur externe"/>
    <x v="1"/>
    <x v="7"/>
    <n v="1"/>
    <n v="45000"/>
    <n v="45000"/>
    <n v="0.12"/>
    <n v="39600"/>
    <b v="1"/>
  </r>
  <r>
    <x v="22"/>
    <s v="V0087"/>
    <s v="Montre connectee"/>
    <x v="0"/>
    <x v="7"/>
    <n v="7"/>
    <n v="90000"/>
    <n v="630000"/>
    <n v="0.16"/>
    <n v="529200"/>
    <b v="1"/>
  </r>
  <r>
    <x v="23"/>
    <s v="V0068"/>
    <s v="Chargeur"/>
    <x v="2"/>
    <x v="0"/>
    <n v="9"/>
    <n v="18000"/>
    <n v="162000"/>
    <n v="0.09"/>
    <n v="147420"/>
    <b v="1"/>
  </r>
  <r>
    <x v="24"/>
    <s v="V0089"/>
    <s v="Powerbank"/>
    <x v="0"/>
    <x v="2"/>
    <n v="3"/>
    <n v="25000"/>
    <n v="75000"/>
    <n v="0.06"/>
    <n v="70500"/>
    <b v="1"/>
  </r>
  <r>
    <x v="25"/>
    <s v="V0017"/>
    <s v="Imprimante"/>
    <x v="1"/>
    <x v="3"/>
    <n v="4"/>
    <n v="180000"/>
    <n v="720000"/>
    <n v="0.1"/>
    <n v="648000"/>
    <b v="1"/>
  </r>
  <r>
    <x v="26"/>
    <s v="V0004"/>
    <s v="Imprimante"/>
    <x v="1"/>
    <x v="9"/>
    <n v="1"/>
    <n v="180000"/>
    <n v="180000"/>
    <n v="0.02"/>
    <n v="176400"/>
    <b v="1"/>
  </r>
  <r>
    <x v="26"/>
    <s v="V0032"/>
    <s v="Montre connectee"/>
    <x v="0"/>
    <x v="1"/>
    <n v="10"/>
    <n v="90000"/>
    <n v="900000"/>
    <n v="0.11"/>
    <n v="801000"/>
    <b v="1"/>
  </r>
  <r>
    <x v="27"/>
    <s v="V0050"/>
    <s v="Casque"/>
    <x v="2"/>
    <x v="3"/>
    <n v="3"/>
    <n v="30000"/>
    <n v="90000"/>
    <n v="7.0000000000000007E-2"/>
    <n v="83700"/>
    <b v="1"/>
  </r>
  <r>
    <x v="28"/>
    <s v="V0086"/>
    <s v="Telephone"/>
    <x v="0"/>
    <x v="4"/>
    <n v="4"/>
    <n v="350000"/>
    <n v="1400000"/>
    <n v="0.09"/>
    <n v="1274000"/>
    <b v="1"/>
  </r>
  <r>
    <x v="29"/>
    <s v="V0058"/>
    <s v="Powerbank"/>
    <x v="0"/>
    <x v="8"/>
    <n v="1"/>
    <n v="25000"/>
    <n v="25000"/>
    <n v="0.09"/>
    <n v="22750"/>
    <b v="1"/>
  </r>
  <r>
    <x v="30"/>
    <s v="V0088"/>
    <s v="Chargeur"/>
    <x v="2"/>
    <x v="3"/>
    <n v="9"/>
    <n v="18000"/>
    <n v="162000"/>
    <n v="0.19"/>
    <n v="131220"/>
    <b v="1"/>
  </r>
  <r>
    <x v="31"/>
    <s v="V0080"/>
    <s v="Disque dur externe"/>
    <x v="1"/>
    <x v="7"/>
    <n v="4"/>
    <n v="45000"/>
    <n v="180000"/>
    <n v="0"/>
    <n v="180000"/>
    <b v="1"/>
  </r>
  <r>
    <x v="32"/>
    <s v="V0018"/>
    <s v="Montre connectee"/>
    <x v="0"/>
    <x v="1"/>
    <n v="9"/>
    <n v="90000"/>
    <n v="810000"/>
    <n v="0"/>
    <n v="810000"/>
    <b v="1"/>
  </r>
  <r>
    <x v="32"/>
    <s v="V0031"/>
    <s v="Laptop"/>
    <x v="1"/>
    <x v="8"/>
    <n v="4"/>
    <n v="450000"/>
    <n v="1800000"/>
    <n v="0.14000000000000001"/>
    <n v="1548000"/>
    <b v="1"/>
  </r>
  <r>
    <x v="33"/>
    <s v="V0049"/>
    <s v="Webcam"/>
    <x v="1"/>
    <x v="9"/>
    <n v="10"/>
    <n v="22000"/>
    <n v="220000"/>
    <n v="0.18"/>
    <n v="180400"/>
    <b v="1"/>
  </r>
  <r>
    <x v="34"/>
    <s v="V0060"/>
    <s v="Montre connectee"/>
    <x v="0"/>
    <x v="2"/>
    <n v="7"/>
    <n v="90000"/>
    <n v="630000"/>
    <n v="0.02"/>
    <n v="617400"/>
    <b v="1"/>
  </r>
  <r>
    <x v="35"/>
    <s v="V0100"/>
    <s v="Disque dur externe"/>
    <x v="1"/>
    <x v="1"/>
    <n v="7"/>
    <n v="45000"/>
    <n v="315000"/>
    <n v="0.12"/>
    <n v="277200"/>
    <b v="1"/>
  </r>
  <r>
    <x v="36"/>
    <s v="V0045"/>
    <s v="Chargeur"/>
    <x v="2"/>
    <x v="7"/>
    <n v="5"/>
    <n v="18000"/>
    <n v="90000"/>
    <n v="0"/>
    <n v="90000"/>
    <b v="1"/>
  </r>
  <r>
    <x v="36"/>
    <s v="V0046"/>
    <s v="Imprimante"/>
    <x v="1"/>
    <x v="5"/>
    <n v="5"/>
    <n v="180000"/>
    <n v="900000"/>
    <n v="0.14000000000000001"/>
    <n v="774000"/>
    <b v="1"/>
  </r>
  <r>
    <x v="37"/>
    <s v="V0038"/>
    <s v="Casque"/>
    <x v="2"/>
    <x v="2"/>
    <n v="7"/>
    <n v="30000"/>
    <n v="210000"/>
    <n v="0.15"/>
    <n v="178500"/>
    <b v="1"/>
  </r>
  <r>
    <x v="38"/>
    <s v="V0012"/>
    <s v="Imprimante"/>
    <x v="1"/>
    <x v="0"/>
    <n v="7"/>
    <n v="180000"/>
    <n v="1260000"/>
    <n v="0.02"/>
    <n v="1234800"/>
    <b v="1"/>
  </r>
  <r>
    <x v="38"/>
    <s v="V0044"/>
    <s v="Webcam"/>
    <x v="1"/>
    <x v="5"/>
    <n v="7"/>
    <n v="22000"/>
    <n v="154000"/>
    <n v="0"/>
    <n v="154000"/>
    <b v="1"/>
  </r>
  <r>
    <x v="39"/>
    <s v="V0024"/>
    <s v="Imprimante"/>
    <x v="1"/>
    <x v="9"/>
    <n v="10"/>
    <n v="180000"/>
    <n v="1800000"/>
    <n v="0.04"/>
    <n v="1728000"/>
    <b v="1"/>
  </r>
  <r>
    <x v="40"/>
    <s v="V0079"/>
    <s v="Powerbank"/>
    <x v="0"/>
    <x v="5"/>
    <n v="7"/>
    <n v="25000"/>
    <n v="175000"/>
    <n v="0.11"/>
    <n v="155750"/>
    <b v="1"/>
  </r>
  <r>
    <x v="40"/>
    <s v="V0054"/>
    <s v="Clé USB"/>
    <x v="1"/>
    <x v="6"/>
    <n v="4"/>
    <n v="5000"/>
    <n v="20000"/>
    <n v="0.14000000000000001"/>
    <n v="17200"/>
    <b v="1"/>
  </r>
  <r>
    <x v="41"/>
    <s v="V0075"/>
    <s v="Laptop"/>
    <x v="1"/>
    <x v="7"/>
    <n v="8"/>
    <n v="450000"/>
    <n v="3600000"/>
    <n v="0.11"/>
    <n v="3204000"/>
    <b v="1"/>
  </r>
  <r>
    <x v="42"/>
    <s v="V0054"/>
    <s v="Casque"/>
    <x v="2"/>
    <x v="1"/>
    <n v="5"/>
    <n v="30000"/>
    <n v="150000"/>
    <n v="0.18"/>
    <n v="123000.00000000001"/>
    <b v="1"/>
  </r>
  <r>
    <x v="43"/>
    <s v="V0008"/>
    <s v="Cle USB"/>
    <x v="2"/>
    <x v="2"/>
    <n v="6"/>
    <n v="8000"/>
    <n v="48000"/>
    <n v="0.03"/>
    <n v="46560"/>
    <b v="1"/>
  </r>
  <r>
    <x v="44"/>
    <s v="V0009"/>
    <s v="Cle USB"/>
    <x v="2"/>
    <x v="6"/>
    <n v="6"/>
    <n v="8000"/>
    <n v="48000"/>
    <n v="0.06"/>
    <n v="45120"/>
    <b v="1"/>
  </r>
  <r>
    <x v="45"/>
    <s v="V0041"/>
    <s v="Powerbank"/>
    <x v="0"/>
    <x v="7"/>
    <n v="1"/>
    <n v="25000"/>
    <n v="25000"/>
    <n v="0.13"/>
    <n v="21750"/>
    <b v="1"/>
  </r>
  <r>
    <x v="45"/>
    <s v="V0062"/>
    <s v="Chargeur"/>
    <x v="2"/>
    <x v="1"/>
    <n v="4"/>
    <n v="18000"/>
    <n v="72000"/>
    <n v="0.06"/>
    <n v="67680"/>
    <b v="1"/>
  </r>
  <r>
    <x v="46"/>
    <s v="V0022"/>
    <s v="Powerbank"/>
    <x v="0"/>
    <x v="7"/>
    <n v="1"/>
    <n v="25000"/>
    <n v="25000"/>
    <n v="0.02"/>
    <n v="24500"/>
    <b v="1"/>
  </r>
  <r>
    <x v="47"/>
    <s v="V0015"/>
    <s v="Ecran"/>
    <x v="1"/>
    <x v="9"/>
    <n v="10"/>
    <n v="120000"/>
    <n v="1200000"/>
    <n v="0.09"/>
    <n v="1092000"/>
    <b v="1"/>
  </r>
  <r>
    <x v="47"/>
    <s v="V0045"/>
    <s v="Souris"/>
    <x v="1"/>
    <x v="9"/>
    <n v="10"/>
    <n v="15000"/>
    <n v="150000"/>
    <n v="0.12"/>
    <n v="132000"/>
    <b v="1"/>
  </r>
  <r>
    <x v="48"/>
    <s v="V0053"/>
    <s v="Clavier"/>
    <x v="1"/>
    <x v="6"/>
    <n v="2"/>
    <n v="25000"/>
    <n v="50000"/>
    <n v="0.18"/>
    <n v="41000"/>
    <b v="1"/>
  </r>
  <r>
    <x v="49"/>
    <s v="V0037"/>
    <s v="Casque"/>
    <x v="2"/>
    <x v="2"/>
    <n v="5"/>
    <n v="30000"/>
    <n v="150000"/>
    <n v="0.19"/>
    <n v="121500.00000000001"/>
    <b v="1"/>
  </r>
  <r>
    <x v="50"/>
    <s v="V0077"/>
    <s v="Ecran"/>
    <x v="1"/>
    <x v="2"/>
    <n v="1"/>
    <n v="120000"/>
    <n v="120000"/>
    <n v="0.04"/>
    <n v="115200"/>
    <b v="1"/>
  </r>
  <r>
    <x v="51"/>
    <s v="V0094"/>
    <s v="Clavier"/>
    <x v="1"/>
    <x v="3"/>
    <n v="4"/>
    <n v="25000"/>
    <n v="100000"/>
    <n v="0.02"/>
    <n v="98000"/>
    <b v="1"/>
  </r>
  <r>
    <x v="52"/>
    <s v="V0030"/>
    <s v="Disque dur externe"/>
    <x v="1"/>
    <x v="0"/>
    <n v="3"/>
    <n v="45000"/>
    <n v="135000"/>
    <n v="0.04"/>
    <n v="129600"/>
    <b v="1"/>
  </r>
  <r>
    <x v="52"/>
    <s v="V0095"/>
    <s v="Webcam"/>
    <x v="1"/>
    <x v="0"/>
    <n v="10"/>
    <n v="22000"/>
    <n v="220000"/>
    <n v="0.2"/>
    <n v="176000"/>
    <b v="1"/>
  </r>
  <r>
    <x v="53"/>
    <s v="V0047"/>
    <s v="Tablette"/>
    <x v="0"/>
    <x v="2"/>
    <n v="7"/>
    <n v="220000"/>
    <n v="1540000"/>
    <n v="0.11"/>
    <n v="1370600"/>
    <b v="1"/>
  </r>
  <r>
    <x v="54"/>
    <s v="V0006"/>
    <s v="Clavier"/>
    <x v="1"/>
    <x v="9"/>
    <n v="4"/>
    <n v="25000"/>
    <n v="100000"/>
    <n v="0.16"/>
    <n v="84000"/>
    <b v="1"/>
  </r>
  <r>
    <x v="55"/>
    <s v="V0085"/>
    <s v="Enceinte Bluetooth"/>
    <x v="0"/>
    <x v="5"/>
    <n v="10"/>
    <n v="45000"/>
    <n v="450000"/>
    <n v="0.08"/>
    <n v="414000"/>
    <b v="1"/>
  </r>
  <r>
    <x v="56"/>
    <s v="V0097"/>
    <s v="Laptop"/>
    <x v="1"/>
    <x v="0"/>
    <n v="9"/>
    <n v="450000"/>
    <n v="4050000"/>
    <n v="0.14000000000000001"/>
    <n v="3483000"/>
    <b v="1"/>
  </r>
  <r>
    <x v="57"/>
    <s v="V0007"/>
    <s v="Laptop"/>
    <x v="1"/>
    <x v="3"/>
    <n v="7"/>
    <n v="450000"/>
    <n v="3150000"/>
    <n v="7.0000000000000007E-2"/>
    <n v="2929500"/>
    <b v="1"/>
  </r>
  <r>
    <x v="57"/>
    <s v="V0070"/>
    <s v="Imprimante"/>
    <x v="1"/>
    <x v="9"/>
    <n v="2"/>
    <n v="180000"/>
    <n v="360000"/>
    <n v="0.15"/>
    <n v="306000"/>
    <b v="1"/>
  </r>
  <r>
    <x v="58"/>
    <s v="V0069"/>
    <s v="Casque"/>
    <x v="2"/>
    <x v="5"/>
    <n v="9"/>
    <n v="30000"/>
    <n v="270000"/>
    <n v="0.18"/>
    <n v="221400.00000000003"/>
    <b v="1"/>
  </r>
  <r>
    <x v="58"/>
    <s v="V0051"/>
    <s v="Casque"/>
    <x v="2"/>
    <x v="2"/>
    <n v="5"/>
    <n v="25000"/>
    <n v="125000"/>
    <n v="0.11"/>
    <n v="111250"/>
    <b v="1"/>
  </r>
  <r>
    <x v="59"/>
    <s v="V0027"/>
    <s v="Montre connectee"/>
    <x v="0"/>
    <x v="0"/>
    <n v="6"/>
    <n v="90000"/>
    <n v="540000"/>
    <n v="0.13"/>
    <n v="469800"/>
    <b v="1"/>
  </r>
  <r>
    <x v="59"/>
    <s v="V0061"/>
    <s v="Telephone"/>
    <x v="0"/>
    <x v="6"/>
    <n v="7"/>
    <n v="350000"/>
    <n v="2450000"/>
    <n v="0.2"/>
    <n v="1960000"/>
    <b v="1"/>
  </r>
  <r>
    <x v="59"/>
    <s v="V0022"/>
    <s v="Clé USB"/>
    <x v="1"/>
    <x v="3"/>
    <n v="7"/>
    <n v="45000"/>
    <n v="315000"/>
    <n v="0.04"/>
    <n v="302400"/>
    <b v="1"/>
  </r>
  <r>
    <x v="59"/>
    <s v="V0066"/>
    <s v="Souris"/>
    <x v="1"/>
    <x v="0"/>
    <n v="10"/>
    <n v="25000"/>
    <n v="250000"/>
    <n v="0.08"/>
    <n v="230000"/>
    <b v="1"/>
  </r>
  <r>
    <x v="60"/>
    <s v="V0029"/>
    <s v="Clavier"/>
    <x v="1"/>
    <x v="6"/>
    <n v="3"/>
    <n v="25000"/>
    <n v="75000"/>
    <n v="0.12"/>
    <n v="66000"/>
    <b v="1"/>
  </r>
  <r>
    <x v="60"/>
    <s v="V0078"/>
    <s v="Imprimante"/>
    <x v="1"/>
    <x v="0"/>
    <n v="3"/>
    <n v="25000"/>
    <n v="75000"/>
    <n v="0.19"/>
    <n v="60750.000000000007"/>
    <b v="1"/>
  </r>
  <r>
    <x v="61"/>
    <s v="V0014"/>
    <s v="Telephone"/>
    <x v="0"/>
    <x v="9"/>
    <n v="2"/>
    <n v="350000"/>
    <n v="700000"/>
    <n v="0.09"/>
    <n v="637000"/>
    <b v="1"/>
  </r>
  <r>
    <x v="62"/>
    <s v="V0052"/>
    <s v="Clavier"/>
    <x v="1"/>
    <x v="2"/>
    <n v="8"/>
    <n v="25000"/>
    <n v="200000"/>
    <n v="0.06"/>
    <n v="188000"/>
    <b v="1"/>
  </r>
  <r>
    <x v="63"/>
    <s v="V0002"/>
    <s v="Casque"/>
    <x v="2"/>
    <x v="7"/>
    <n v="4"/>
    <n v="30000"/>
    <n v="120000"/>
    <n v="0.17"/>
    <n v="99600"/>
    <b v="1"/>
  </r>
  <r>
    <x v="63"/>
    <s v="V0059"/>
    <s v="Powerbank"/>
    <x v="0"/>
    <x v="8"/>
    <n v="1"/>
    <n v="25000"/>
    <n v="25000"/>
    <n v="0.01"/>
    <n v="24750"/>
    <b v="1"/>
  </r>
  <r>
    <x v="64"/>
    <s v="V0065"/>
    <s v="Casque"/>
    <x v="2"/>
    <x v="4"/>
    <n v="9"/>
    <n v="30000"/>
    <n v="270000"/>
    <n v="0.16"/>
    <n v="226800"/>
    <b v="1"/>
  </r>
  <r>
    <x v="65"/>
    <s v="V0035"/>
    <s v="Imprimante"/>
    <x v="1"/>
    <x v="6"/>
    <n v="8"/>
    <n v="180000"/>
    <n v="1440000"/>
    <n v="0.17"/>
    <n v="1195200"/>
    <b v="1"/>
  </r>
  <r>
    <x v="66"/>
    <s v="V0010"/>
    <s v="Clavier"/>
    <x v="1"/>
    <x v="6"/>
    <n v="2"/>
    <n v="25000"/>
    <n v="50000"/>
    <n v="0.03"/>
    <n v="48500"/>
    <b v="1"/>
  </r>
  <r>
    <x v="67"/>
    <s v="V0042"/>
    <s v="Clavier"/>
    <x v="1"/>
    <x v="8"/>
    <n v="8"/>
    <n v="25000"/>
    <n v="200000"/>
    <n v="0.15"/>
    <n v="170000"/>
    <b v="1"/>
  </r>
  <r>
    <x v="68"/>
    <s v="V0092"/>
    <s v="Souris"/>
    <x v="1"/>
    <x v="8"/>
    <n v="5"/>
    <n v="15000"/>
    <n v="75000"/>
    <n v="0.05"/>
    <n v="71250"/>
    <b v="1"/>
  </r>
  <r>
    <x v="69"/>
    <s v="V0043"/>
    <s v="Ecran"/>
    <x v="1"/>
    <x v="0"/>
    <n v="3"/>
    <n v="120000"/>
    <n v="360000"/>
    <n v="7.0000000000000007E-2"/>
    <n v="334800"/>
    <b v="1"/>
  </r>
  <r>
    <x v="70"/>
    <s v="V0055"/>
    <s v="Webcam"/>
    <x v="1"/>
    <x v="3"/>
    <n v="8"/>
    <n v="22000"/>
    <n v="176000"/>
    <n v="0.19"/>
    <n v="142560"/>
    <b v="1"/>
  </r>
  <r>
    <x v="71"/>
    <s v="V0064"/>
    <s v="Laptop"/>
    <x v="1"/>
    <x v="9"/>
    <n v="7"/>
    <n v="450000"/>
    <n v="3150000"/>
    <n v="0.05"/>
    <n v="2992500"/>
    <b v="1"/>
  </r>
  <r>
    <x v="72"/>
    <s v="V0020"/>
    <s v="Disque dur externe"/>
    <x v="1"/>
    <x v="0"/>
    <n v="8"/>
    <n v="45000"/>
    <n v="360000"/>
    <n v="0.01"/>
    <n v="356400"/>
    <b v="1"/>
  </r>
  <r>
    <x v="73"/>
    <s v="V0019"/>
    <s v="Casque"/>
    <x v="2"/>
    <x v="0"/>
    <n v="8"/>
    <n v="30000"/>
    <n v="240000"/>
    <n v="0.15"/>
    <n v="204000"/>
    <b v="1"/>
  </r>
  <r>
    <x v="74"/>
    <s v="V0074"/>
    <s v="Telephone"/>
    <x v="0"/>
    <x v="7"/>
    <n v="9"/>
    <n v="350000"/>
    <n v="3150000"/>
    <n v="0.17"/>
    <n v="2614500"/>
    <b v="1"/>
  </r>
  <r>
    <x v="75"/>
    <s v="V0021"/>
    <s v="Casque"/>
    <x v="2"/>
    <x v="2"/>
    <n v="2"/>
    <n v="30000"/>
    <n v="60000"/>
    <n v="0.02"/>
    <n v="58800"/>
    <b v="1"/>
  </r>
  <r>
    <x v="76"/>
    <s v="V0003"/>
    <s v="Cle USB"/>
    <x v="2"/>
    <x v="8"/>
    <n v="3"/>
    <n v="8000"/>
    <n v="24000"/>
    <n v="0.13"/>
    <n v="20880"/>
    <b v="1"/>
  </r>
  <r>
    <x v="76"/>
    <s v="V0033"/>
    <s v="Montre connectee"/>
    <x v="0"/>
    <x v="0"/>
    <n v="8"/>
    <n v="90000"/>
    <n v="720000"/>
    <n v="0.09"/>
    <n v="655200"/>
    <b v="1"/>
  </r>
  <r>
    <x v="77"/>
    <s v="V0073"/>
    <s v="Telephone"/>
    <x v="0"/>
    <x v="6"/>
    <n v="2"/>
    <n v="350000"/>
    <n v="700000"/>
    <n v="0.08"/>
    <n v="644000"/>
    <b v="1"/>
  </r>
  <r>
    <x v="77"/>
    <s v="V0084"/>
    <s v="Chargeur"/>
    <x v="2"/>
    <x v="9"/>
    <n v="8"/>
    <n v="18000"/>
    <n v="144000"/>
    <n v="7.0000000000000007E-2"/>
    <n v="133920"/>
    <b v="1"/>
  </r>
  <r>
    <x v="78"/>
    <s v="V0040"/>
    <s v="Webcam"/>
    <x v="1"/>
    <x v="1"/>
    <n v="3"/>
    <n v="22000"/>
    <n v="66000"/>
    <n v="0.06"/>
    <n v="62040"/>
    <b v="1"/>
  </r>
  <r>
    <x v="78"/>
    <s v="V0063"/>
    <s v="Powerbank"/>
    <x v="0"/>
    <x v="5"/>
    <n v="6"/>
    <n v="25000"/>
    <n v="150000"/>
    <n v="0.17"/>
    <n v="124500"/>
    <b v="1"/>
  </r>
  <r>
    <x v="78"/>
    <s v="V0076"/>
    <s v="Ecouteur"/>
    <x v="2"/>
    <x v="3"/>
    <n v="4"/>
    <n v="2000"/>
    <n v="8000"/>
    <n v="0.06"/>
    <n v="7520"/>
    <b v="1"/>
  </r>
  <r>
    <x v="78"/>
    <s v="V0033"/>
    <s v="Clavier"/>
    <x v="1"/>
    <x v="6"/>
    <n v="6"/>
    <n v="15000"/>
    <n v="90000"/>
    <n v="0.1"/>
    <n v="81000"/>
    <b v="1"/>
  </r>
  <r>
    <x v="79"/>
    <s v="V0011"/>
    <s v="Montre connectee"/>
    <x v="0"/>
    <x v="2"/>
    <n v="8"/>
    <n v="90000"/>
    <n v="720000"/>
    <n v="0.2"/>
    <n v="576000"/>
    <b v="1"/>
  </r>
  <r>
    <x v="79"/>
    <s v="V0034"/>
    <s v="Disque dur externe"/>
    <x v="1"/>
    <x v="9"/>
    <n v="4"/>
    <n v="45000"/>
    <n v="180000"/>
    <n v="0.17"/>
    <n v="149400"/>
    <b v="1"/>
  </r>
  <r>
    <x v="80"/>
    <s v="V0067"/>
    <s v="Imprimante"/>
    <x v="1"/>
    <x v="5"/>
    <n v="1"/>
    <n v="180000"/>
    <n v="180000"/>
    <n v="0.15"/>
    <n v="153000"/>
    <b v="1"/>
  </r>
  <r>
    <x v="81"/>
    <s v="V0023"/>
    <s v="Souris"/>
    <x v="1"/>
    <x v="8"/>
    <n v="10"/>
    <n v="15000"/>
    <n v="150000"/>
    <n v="0.04"/>
    <n v="144000"/>
    <b v="1"/>
  </r>
  <r>
    <x v="81"/>
    <s v="V0011"/>
    <s v="Powerbank"/>
    <x v="0"/>
    <x v="2"/>
    <n v="7"/>
    <n v="25000"/>
    <n v="175000"/>
    <n v="0.17"/>
    <n v="145250"/>
    <b v="1"/>
  </r>
  <r>
    <x v="82"/>
    <s v="V0039"/>
    <s v="Clavier"/>
    <x v="1"/>
    <x v="3"/>
    <n v="2"/>
    <n v="25000"/>
    <n v="50000"/>
    <n v="0.03"/>
    <n v="48500"/>
    <b v="1"/>
  </r>
  <r>
    <x v="83"/>
    <s v="V0078"/>
    <s v="Disque dur externe"/>
    <x v="1"/>
    <x v="2"/>
    <n v="4"/>
    <n v="45000"/>
    <n v="180000"/>
    <n v="0.05"/>
    <n v="171000"/>
    <b v="1"/>
  </r>
  <r>
    <x v="84"/>
    <s v="V0001"/>
    <s v="Clavier"/>
    <x v="1"/>
    <x v="3"/>
    <n v="7"/>
    <n v="25000"/>
    <n v="175000"/>
    <n v="0.19"/>
    <n v="141750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58884-3334-4134-BFE5-0509210182C2}" name="Tableau croisé dynamique6" cacheId="2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C7" firstHeaderRow="0" firstDataRow="1" firstDataCol="1"/>
  <pivotFields count="15">
    <pivotField compact="0" numFmtId="14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dataField="1" compact="0" numFmtId="1" outline="0" showAll="0"/>
    <pivotField compact="0" numFmtId="164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Chiffre_Affaires" fld="7" baseField="0" baseItem="0" numFmtId="164"/>
    <dataField name="Somme de Quantite" fld="5" baseField="0" baseItem="0" numFmtId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DD1D8-1F7F-4065-A9D3-B567D9CAD2A9}" name="Tableau croisé dynamique7" cacheId="2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C14" firstHeaderRow="0" firstDataRow="1" firstDataCol="1"/>
  <pivotFields count="15">
    <pivotField compact="0" numFmtId="14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7"/>
        <item x="8"/>
        <item x="5"/>
        <item x="6"/>
        <item x="3"/>
        <item x="9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" outline="0" showAll="0"/>
    <pivotField compact="0" numFmtId="164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</pivotFields>
  <rowFields count="1">
    <field x="4"/>
  </rowFields>
  <rowItems count="11">
    <i>
      <x v="7"/>
    </i>
    <i>
      <x/>
    </i>
    <i>
      <x v="5"/>
    </i>
    <i>
      <x v="4"/>
    </i>
    <i>
      <x v="6"/>
    </i>
    <i>
      <x v="3"/>
    </i>
    <i>
      <x v="8"/>
    </i>
    <i>
      <x v="2"/>
    </i>
    <i>
      <x v="9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Chiffre_Affaires" fld="7" baseField="0" baseItem="0" numFmtId="164"/>
    <dataField name="Somme de Quantite" fld="5" baseField="0" baseItem="0" numFmtId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A736A-F690-4D5E-8E6C-6793958A9A79}" name="Tableau croisé dynamique1" cacheId="2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2:B88" firstHeaderRow="1" firstDataRow="1" firstDataCol="1"/>
  <pivotFields count="15">
    <pivotField axis="axisRow" compact="0" numFmtId="14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4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</pivotFields>
  <rowFields count="1">
    <field x="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Items count="1">
    <i/>
  </colItems>
  <dataFields count="1">
    <dataField name="Somme de Chiffre_Affaires" fld="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AEB48-3CA0-4F73-AA87-B8BD2EEC86D4}" name="Tableau croisé dynamique9" cacheId="2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C6" firstHeaderRow="1" firstDataRow="2" firstDataCol="1"/>
  <pivotFields count="15">
    <pivotField compact="0" numFmtId="14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howAll="0"/>
    <pivotField compact="0" outline="0" showAll="0"/>
    <pivotField axis="axisCol" compact="0" outline="0" showAll="0">
      <items count="4">
        <item h="1" x="2"/>
        <item h="1" x="0"/>
        <item x="1"/>
        <item t="default"/>
      </items>
    </pivotField>
    <pivotField axis="axisRow" compact="0" outline="0" showAll="0">
      <items count="11">
        <item h="1" x="4"/>
        <item x="2"/>
        <item h="1" x="0"/>
        <item h="1" x="1"/>
        <item h="1" x="9"/>
        <item h="1" x="3"/>
        <item h="1" x="6"/>
        <item h="1" x="5"/>
        <item h="1" x="8"/>
        <item h="1" x="7"/>
        <item t="default"/>
      </items>
    </pivotField>
    <pivotField compact="0" numFmtId="1" outline="0" showAll="0"/>
    <pivotField compact="0" numFmtId="164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</pivotFields>
  <rowFields count="1">
    <field x="4"/>
  </rowFields>
  <rowItems count="2">
    <i>
      <x v="1"/>
    </i>
    <i t="grand">
      <x/>
    </i>
  </rowItems>
  <colFields count="1">
    <field x="3"/>
  </colFields>
  <colItems count="2">
    <i>
      <x v="2"/>
    </i>
    <i t="grand">
      <x/>
    </i>
  </colItems>
  <dataFields count="1">
    <dataField name="Somme de Chiffre_Affaires" fld="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C6C0D-AEAA-4A61-B3C5-E8E0349AF608}" name="Tableau croisé dynamique4" cacheId="2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2:B60" firstHeaderRow="1" firstDataRow="1" firstDataCol="1"/>
  <pivotFields count="15">
    <pivotField showAll="0" defaultSubtota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</items>
    </pivotField>
    <pivotField showAll="0"/>
    <pivotField showAll="0"/>
    <pivotField showAll="0"/>
    <pivotField showAll="0"/>
    <pivotField numFmtId="1" showAll="0"/>
    <pivotField numFmtId="164" showAll="0"/>
    <pivotField dataField="1" numFmtId="164" showAll="0"/>
    <pivotField showAll="0"/>
    <pivotField numFmtId="164" showAll="0"/>
    <pivotField showAll="0"/>
    <pivotField axis="axisRow" showAll="0">
      <items count="369"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Row" showAll="0" sortType="descending">
      <items count="7">
        <item x="1"/>
        <item x="2"/>
        <item x="3"/>
        <item x="4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1"/>
        <item x="0"/>
        <item x="2"/>
        <item t="default"/>
      </items>
    </pivotField>
  </pivotFields>
  <rowFields count="4">
    <field x="14"/>
    <field x="13"/>
    <field x="12"/>
    <field x="11"/>
  </rowFields>
  <rowItems count="18">
    <i>
      <x/>
    </i>
    <i r="1">
      <x v="2"/>
    </i>
    <i r="2">
      <x v="7"/>
    </i>
    <i r="2">
      <x v="8"/>
    </i>
    <i r="2">
      <x v="9"/>
    </i>
    <i r="1">
      <x v="1"/>
    </i>
    <i r="2">
      <x v="4"/>
    </i>
    <i r="2">
      <x v="5"/>
    </i>
    <i r="2">
      <x v="6"/>
    </i>
    <i r="1">
      <x/>
    </i>
    <i r="2">
      <x v="1"/>
    </i>
    <i r="2">
      <x v="2"/>
    </i>
    <i r="2">
      <x v="3"/>
    </i>
    <i r="1">
      <x v="3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omme de Chiffre_Affaires" fld="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CEEA2-B2B8-461B-836E-3F5C23E837E7}" name="Tableau croisé dynamique2" cacheId="2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11:B22" firstHeaderRow="1" firstDataRow="1" firstDataCol="1"/>
  <pivotFields count="15">
    <pivotField compact="0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4"/>
        <item x="2"/>
        <item x="0"/>
        <item x="1"/>
        <item x="9"/>
        <item x="3"/>
        <item x="6"/>
        <item x="5"/>
        <item x="8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numFmtId="164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>
      <items count="369"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4">
        <item x="1"/>
        <item x="0"/>
        <item x="2"/>
        <item t="default"/>
      </items>
    </pivotField>
  </pivotFields>
  <rowFields count="1">
    <field x="4"/>
  </rowFields>
  <rowItems count="11">
    <i>
      <x v="2"/>
    </i>
    <i>
      <x v="9"/>
    </i>
    <i>
      <x v="4"/>
    </i>
    <i>
      <x v="5"/>
    </i>
    <i>
      <x v="3"/>
    </i>
    <i>
      <x v="6"/>
    </i>
    <i>
      <x v="1"/>
    </i>
    <i>
      <x v="7"/>
    </i>
    <i>
      <x/>
    </i>
    <i>
      <x v="8"/>
    </i>
    <i t="grand">
      <x/>
    </i>
  </rowItems>
  <colItems count="1">
    <i/>
  </colItems>
  <dataFields count="1">
    <dataField name="Somme de Chiffre_Affaires" fld="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BCF1A-AD1F-4F66-AB0F-10E282BCFB23}" name="Tableau croisé dynamique5" cacheId="2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150:E162" firstHeaderRow="1" firstDataRow="2" firstDataCol="1"/>
  <pivotFields count="15">
    <pivotField compact="0" numFmtId="14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Row" compact="0" outline="0" showAll="0">
      <items count="11">
        <item x="4"/>
        <item x="2"/>
        <item x="0"/>
        <item x="1"/>
        <item x="9"/>
        <item x="3"/>
        <item x="6"/>
        <item x="5"/>
        <item x="8"/>
        <item x="7"/>
        <item t="default"/>
      </items>
    </pivotField>
    <pivotField compact="0" numFmtId="1" outline="0" showAll="0"/>
    <pivotField compact="0" numFmtId="164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omme de Chiffre_Affaires" fld="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3C705-6B05-48C0-89FF-3F58E9F9029A}" name="Tableau croisé dynamique3" cacheId="2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26:E38" firstHeaderRow="1" firstDataRow="2" firstDataCol="1"/>
  <pivotFields count="15">
    <pivotField compact="0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Row" compact="0" outline="0" showAll="0" sortType="descending">
      <items count="11">
        <item x="4"/>
        <item x="2"/>
        <item x="0"/>
        <item x="1"/>
        <item x="9"/>
        <item x="3"/>
        <item x="6"/>
        <item x="5"/>
        <item x="8"/>
        <item x="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compact="0" numFmtId="1" outline="0" showAll="0"/>
    <pivotField compact="0" numFmtId="164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>
      <items count="369"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4">
        <item x="1"/>
        <item x="0"/>
        <item x="2"/>
        <item t="default"/>
      </items>
    </pivotField>
  </pivotFields>
  <rowFields count="1">
    <field x="4"/>
  </rowFields>
  <rowItems count="11">
    <i>
      <x v="1"/>
    </i>
    <i>
      <x v="2"/>
    </i>
    <i>
      <x/>
    </i>
    <i>
      <x v="7"/>
    </i>
    <i>
      <x v="5"/>
    </i>
    <i>
      <x v="3"/>
    </i>
    <i>
      <x v="9"/>
    </i>
    <i>
      <x v="4"/>
    </i>
    <i>
      <x v="6"/>
    </i>
    <i>
      <x v="8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omme de Chiffre_Affaires" fld="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0DA45-46A4-459B-B81F-CE1C392A60EA}" name="Tableau croisé dynamique1" cacheId="2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B7" firstHeaderRow="1" firstDataRow="1" firstDataCol="1"/>
  <pivotFields count="15">
    <pivotField compact="0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numFmtId="1" outline="0" showAll="0"/>
    <pivotField compact="0" numFmtId="164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>
      <items count="369"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Chiffre_Affaires" fld="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D6C12-A0EF-4657-8A4C-76A62A507D3D}" name="Tableau croisé dynamique12" cacheId="2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G3:H21" firstHeaderRow="1" firstDataRow="1" firstDataCol="1"/>
  <pivotFields count="15">
    <pivotField showAll="0" defaultSubtota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</items>
    </pivotField>
    <pivotField showAll="0"/>
    <pivotField showAll="0"/>
    <pivotField showAll="0"/>
    <pivotField showAll="0">
      <items count="11">
        <item x="4"/>
        <item x="2"/>
        <item x="0"/>
        <item x="1"/>
        <item x="9"/>
        <item x="3"/>
        <item x="6"/>
        <item x="5"/>
        <item x="8"/>
        <item x="7"/>
        <item t="default"/>
      </items>
    </pivotField>
    <pivotField numFmtId="1" showAll="0"/>
    <pivotField numFmtId="164" showAll="0"/>
    <pivotField dataField="1" numFmtId="164" showAll="0"/>
    <pivotField showAll="0"/>
    <pivotField numFmtId="164" showAll="0"/>
    <pivotField showAll="0"/>
    <pivotField axis="axisRow" showAll="0">
      <items count="369"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Row" showAll="0" sortType="descending">
      <items count="7">
        <item x="1"/>
        <item x="2"/>
        <item x="3"/>
        <item x="4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1"/>
        <item x="0"/>
        <item x="2"/>
        <item t="default"/>
      </items>
    </pivotField>
  </pivotFields>
  <rowFields count="4">
    <field x="14"/>
    <field x="13"/>
    <field x="12"/>
    <field x="11"/>
  </rowFields>
  <rowItems count="18">
    <i>
      <x/>
    </i>
    <i r="1">
      <x v="2"/>
    </i>
    <i r="2">
      <x v="7"/>
    </i>
    <i r="2">
      <x v="8"/>
    </i>
    <i r="2">
      <x v="9"/>
    </i>
    <i r="1">
      <x v="1"/>
    </i>
    <i r="2">
      <x v="4"/>
    </i>
    <i r="2">
      <x v="5"/>
    </i>
    <i r="2">
      <x v="6"/>
    </i>
    <i r="1">
      <x/>
    </i>
    <i r="2">
      <x v="1"/>
    </i>
    <i r="2">
      <x v="2"/>
    </i>
    <i r="2">
      <x v="3"/>
    </i>
    <i r="1">
      <x v="3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omme de Chiffre_Affaires" fld="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B0626-142D-4103-907B-D1EBE7F8546D}" name="Tableau croisé dynamique11" cacheId="2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D3:E14" firstHeaderRow="1" firstDataRow="1" firstDataCol="1"/>
  <pivotFields count="15">
    <pivotField compact="0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axis="axisRow" compact="0" outline="0" showAll="0" sortType="descending">
      <items count="11">
        <item x="4"/>
        <item x="2"/>
        <item x="0"/>
        <item x="1"/>
        <item x="9"/>
        <item x="3"/>
        <item x="6"/>
        <item x="5"/>
        <item x="8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numFmtId="164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>
      <items count="369"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4">
        <item x="1"/>
        <item x="0"/>
        <item x="2"/>
        <item t="default"/>
      </items>
    </pivotField>
  </pivotFields>
  <rowFields count="1">
    <field x="4"/>
  </rowFields>
  <rowItems count="11">
    <i>
      <x v="2"/>
    </i>
    <i>
      <x v="9"/>
    </i>
    <i>
      <x v="4"/>
    </i>
    <i>
      <x v="5"/>
    </i>
    <i>
      <x v="3"/>
    </i>
    <i>
      <x v="6"/>
    </i>
    <i>
      <x v="1"/>
    </i>
    <i>
      <x v="7"/>
    </i>
    <i>
      <x/>
    </i>
    <i>
      <x v="8"/>
    </i>
    <i t="grand">
      <x/>
    </i>
  </rowItems>
  <colItems count="1">
    <i/>
  </colItems>
  <dataFields count="1">
    <dataField name="Somme de Chiffre_Affaires" fld="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A16CF-4108-4603-A584-3FAF47A10017}" name="Tableau croisé dynamique10" cacheId="2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B7" firstHeaderRow="1" firstDataRow="1" firstDataCol="1"/>
  <pivotFields count="15">
    <pivotField compact="0" outline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>
      <items count="11">
        <item x="4"/>
        <item x="2"/>
        <item x="0"/>
        <item x="1"/>
        <item x="9"/>
        <item x="3"/>
        <item x="6"/>
        <item x="5"/>
        <item x="8"/>
        <item x="7"/>
        <item t="default"/>
      </items>
    </pivotField>
    <pivotField compact="0" numFmtId="1" outline="0" showAll="0"/>
    <pivotField compact="0" numFmtId="164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>
      <items count="369"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Chiffre_Affaires" fld="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ie" xr10:uid="{7C56A0ED-25BD-43F1-B791-C014EDCBAD34}" sourceName="Categorie">
  <pivotTables>
    <pivotTable tabId="3" name="Tableau croisé dynamique5"/>
  </pivotTables>
  <data>
    <tabular pivotCacheId="1438793592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endeur" xr10:uid="{443C841D-1197-4017-B0CF-EBAC0E4457E8}" sourceName="Vendeur">
  <pivotTables>
    <pivotTable tabId="3" name="Tableau croisé dynamique5"/>
  </pivotTables>
  <data>
    <tabular pivotCacheId="1438793592">
      <items count="10">
        <i x="4" s="1"/>
        <i x="2" s="1"/>
        <i x="0" s="1"/>
        <i x="1" s="1"/>
        <i x="9" s="1"/>
        <i x="3" s="1"/>
        <i x="6" s="1"/>
        <i x="5" s="1"/>
        <i x="8" s="1"/>
        <i x="7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ie1" xr10:uid="{B0F7A53B-1BDE-4397-A44F-89D896D9F4C3}" sourceName="Categorie">
  <pivotTables>
    <pivotTable tabId="8" name="Tableau croisé dynamique9"/>
  </pivotTables>
  <data>
    <tabular pivotCacheId="1438793592">
      <items count="3">
        <i x="2"/>
        <i x="0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endeur1" xr10:uid="{25C85998-BA8F-49D6-A36E-531F8235F2A6}" sourceName="Vendeur">
  <pivotTables>
    <pivotTable tabId="8" name="Tableau croisé dynamique9"/>
  </pivotTables>
  <data>
    <tabular pivotCacheId="1438793592">
      <items count="10">
        <i x="4"/>
        <i x="2" s="1"/>
        <i x="0"/>
        <i x="1"/>
        <i x="9"/>
        <i x="3"/>
        <i x="6"/>
        <i x="5"/>
        <i x="8"/>
        <i x="7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ie2" xr10:uid="{3C281E9D-E01C-4981-B5F0-00614AF8BA5B}" sourceName="Categorie">
  <pivotTables>
    <pivotTable tabId="10" name="Tableau croisé dynamique11"/>
  </pivotTables>
  <data>
    <tabular pivotCacheId="1438793592">
      <items count="3">
        <i x="2" s="1"/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endeur2" xr10:uid="{383F8E2A-F123-43E7-BF30-783AA412F87F}" sourceName="Vendeur">
  <pivotTables>
    <pivotTable tabId="10" name="Tableau croisé dynamique11"/>
    <pivotTable tabId="10" name="Tableau croisé dynamique12"/>
    <pivotTable tabId="10" name="Tableau croisé dynamique10"/>
  </pivotTables>
  <data>
    <tabular pivotCacheId="1438793592">
      <items count="10">
        <i x="4" s="1"/>
        <i x="2" s="1"/>
        <i x="0" s="1"/>
        <i x="1" s="1"/>
        <i x="9" s="1"/>
        <i x="3" s="1"/>
        <i x="6" s="1"/>
        <i x="5" s="1"/>
        <i x="8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e 1" xr10:uid="{B2AF332C-FC9A-4920-B87B-4E892AA271E2}" cache="Segment_Categorie1" caption="Categorie" rowHeight="228600"/>
  <slicer name="Vendeur 1" xr10:uid="{80E55C7C-125D-466D-BFD8-71644CB68825}" cache="Segment_Vendeur1" caption="Vendeur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e" xr10:uid="{1CB8B7B4-EB66-4ECF-A128-3645809255EC}" cache="Segment_Categorie" caption="Categorie" rowHeight="228600"/>
  <slicer name="Vendeur" xr10:uid="{891B2A82-D813-4734-A45D-975DD190EAFE}" cache="Segment_Vendeur" caption="Vendeur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e 2" xr10:uid="{A24F9913-2AA2-4D2A-B018-1F1244E1E6F5}" cache="Segment_Categorie2" caption="Categorie" rowHeight="228600"/>
  <slicer name="Vendeur 2" xr10:uid="{65B86917-17BA-4B54-BDBA-EB6AC140C990}" cache="Segment_Vendeur2" caption="Vendeu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B9D37-0873-43A6-997F-BA36E4F95C59}" name="tblVentes" displayName="tblVentes" ref="A1:K111" totalsRowShown="0" headerRowDxfId="14" dataDxfId="13">
  <autoFilter ref="A1:K111" xr:uid="{039B9D37-0873-43A6-997F-BA36E4F95C59}"/>
  <sortState xmlns:xlrd2="http://schemas.microsoft.com/office/spreadsheetml/2017/richdata2" ref="A2:J111">
    <sortCondition ref="A1:A111"/>
  </sortState>
  <tableColumns count="11">
    <tableColumn id="1" xr3:uid="{75AB20ED-EE3D-4DB2-9D23-59B9B5E31D1C}" name="Date" dataDxfId="12"/>
    <tableColumn id="2" xr3:uid="{8DAD72B3-0FED-458C-8529-CE37A26C582D}" name="Vente_ID" dataDxfId="11"/>
    <tableColumn id="3" xr3:uid="{DFEF99E0-D5AC-4FEE-A048-579E35C7CA31}" name="Produit" dataDxfId="10"/>
    <tableColumn id="4" xr3:uid="{3D400DBC-7B81-4337-B141-D90BCF5B4096}" name="Categorie" dataDxfId="9"/>
    <tableColumn id="5" xr3:uid="{92D23F74-427A-42D0-A05C-8C23E4058278}" name="Vendeur" dataDxfId="8"/>
    <tableColumn id="6" xr3:uid="{EB882496-8F50-47D5-93E3-6CCCDC7E799C}" name="Quantite" dataDxfId="7"/>
    <tableColumn id="7" xr3:uid="{6D802C58-00E9-478E-9DEB-B0BC80EDB656}" name="Prix_Unitaire" dataDxfId="6"/>
    <tableColumn id="8" xr3:uid="{1187F0AF-65A8-4E06-96D7-E0DA0A26D5CA}" name="Chiffre_Affaires" dataDxfId="5">
      <calculatedColumnFormula>tblVentes[[#This Row],[Quantite]]*tblVentes[[#This Row],[Prix_Unitaire]]</calculatedColumnFormula>
    </tableColumn>
    <tableColumn id="9" xr3:uid="{DCD1F118-1B8B-4482-ACCB-3B26506ADE91}" name="Remise" dataDxfId="4">
      <calculatedColumnFormula>RANDBETWEEN(0,20)/100</calculatedColumnFormula>
    </tableColumn>
    <tableColumn id="10" xr3:uid="{C14AEFDF-C92C-4D43-B487-8DBA4D2C6D5F}" name="Montant_Net" dataDxfId="3">
      <calculatedColumnFormula>tblVentes[[#This Row],[Chiffre_Affaires]]*(1-tblVentes[[#This Row],[Remise]])</calculatedColumnFormula>
    </tableColumn>
    <tableColumn id="11" xr3:uid="{AF2C95EA-EBA3-4EC4-B7D4-26F6A94C9953}" name="Colonne1" dataDxfId="2">
      <calculatedColumnFormula>ISNUMBER(tblVentes[[#This Row],[Date]])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DA5A78-BFFA-4982-B341-27F8A1E1612A}" name="Tableau3" displayName="Tableau3" ref="A3:K68" totalsRowShown="0">
  <autoFilter ref="A3:K68" xr:uid="{D8DA5A78-BFFA-4982-B341-27F8A1E1612A}"/>
  <tableColumns count="11">
    <tableColumn id="1" xr3:uid="{8A45EE14-8535-4846-8222-AC0E0E4AB884}" name="Date" dataDxfId="1"/>
    <tableColumn id="2" xr3:uid="{A8AF3AFA-AD64-42A5-9243-6060CF6F5448}" name="Vente_ID"/>
    <tableColumn id="3" xr3:uid="{C8A2C42C-8014-4561-B4FA-390783C31750}" name="Produit"/>
    <tableColumn id="4" xr3:uid="{2444FCF6-E013-4D44-BC3A-B3CB7872CA5B}" name="Categorie"/>
    <tableColumn id="5" xr3:uid="{E77A6AC0-48B3-4A66-BC37-986E7BC8C4C0}" name="Vendeur"/>
    <tableColumn id="6" xr3:uid="{0242B3EA-5861-4AC4-905B-50E4044C9311}" name="Quantite"/>
    <tableColumn id="7" xr3:uid="{4EA23E20-E49B-4A23-ACEE-81711EDD24BD}" name="Prix_Unitaire"/>
    <tableColumn id="8" xr3:uid="{6B15614E-48CB-4B88-9F78-FE3BA6648523}" name="Chiffre_Affaires"/>
    <tableColumn id="9" xr3:uid="{F7B1169F-2A1A-4012-BD23-C80D740255A0}" name="Remise"/>
    <tableColumn id="10" xr3:uid="{D81AD0D3-B517-4D9D-8DDC-4086EE3B40DF}" name="Montant_Net"/>
    <tableColumn id="11" xr3:uid="{2542416E-8529-4031-A052-702C32F51CD5}" name="Colonne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E43C3F-8D47-497C-A236-E8876EC23C53}" name="Tableau4" displayName="Tableau4" ref="A3:K68" totalsRowShown="0">
  <autoFilter ref="A3:K68" xr:uid="{10E43C3F-8D47-497C-A236-E8876EC23C53}"/>
  <tableColumns count="11">
    <tableColumn id="1" xr3:uid="{7BF28D35-814E-46FE-B484-BF3EBF4453F8}" name="Date" dataDxfId="0"/>
    <tableColumn id="2" xr3:uid="{FAC31F29-EC6C-46EC-8810-6711AF92E798}" name="Vente_ID"/>
    <tableColumn id="3" xr3:uid="{A4194075-D7CC-4ECE-AF8A-DAC001CE6DCA}" name="Produit"/>
    <tableColumn id="4" xr3:uid="{A4FF355C-8F18-4412-90CE-63BF717F6C41}" name="Categorie"/>
    <tableColumn id="5" xr3:uid="{2CF314C4-7211-4FDE-BF12-1FD8E01816B1}" name="Vendeur"/>
    <tableColumn id="6" xr3:uid="{2AEBE09A-48EE-4170-8A32-6637C6FD92C4}" name="Quantite"/>
    <tableColumn id="7" xr3:uid="{514E0C5E-D2D6-45AA-AFEB-42944D81D6BF}" name="Prix_Unitaire"/>
    <tableColumn id="8" xr3:uid="{16BE0264-473C-4352-B61E-728F22B43347}" name="Chiffre_Affaires"/>
    <tableColumn id="9" xr3:uid="{83C596CF-3108-43D6-9039-9D76E5C349C4}" name="Remise"/>
    <tableColumn id="10" xr3:uid="{3F8A7F62-C610-4C45-A775-BF94FCF40C28}" name="Montant_Net"/>
    <tableColumn id="11" xr3:uid="{BEC68D35-9A5F-465A-B1E7-2FF1E270DE6E}" name="Colonn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7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7C8D-4400-4D84-9CEF-CFB8E260F1C0}">
  <dimension ref="A3:C7"/>
  <sheetViews>
    <sheetView workbookViewId="0">
      <selection activeCell="D17" sqref="D17"/>
    </sheetView>
  </sheetViews>
  <sheetFormatPr defaultRowHeight="15"/>
  <cols>
    <col min="1" max="1" width="12.85546875" bestFit="1" customWidth="1"/>
    <col min="2" max="2" width="25.7109375" bestFit="1" customWidth="1"/>
    <col min="3" max="3" width="19.28515625" bestFit="1" customWidth="1"/>
  </cols>
  <sheetData>
    <row r="3" spans="1:3">
      <c r="A3" s="8" t="s">
        <v>0</v>
      </c>
      <c r="B3" t="s">
        <v>1</v>
      </c>
      <c r="C3" t="s">
        <v>2</v>
      </c>
    </row>
    <row r="4" spans="1:3">
      <c r="A4" t="s">
        <v>3</v>
      </c>
      <c r="B4" s="9">
        <v>2515000</v>
      </c>
      <c r="C4" s="18">
        <v>115</v>
      </c>
    </row>
    <row r="5" spans="1:3">
      <c r="A5" t="s">
        <v>4</v>
      </c>
      <c r="B5" s="9">
        <v>20610000</v>
      </c>
      <c r="C5" s="18">
        <v>137</v>
      </c>
    </row>
    <row r="6" spans="1:3">
      <c r="A6" t="s">
        <v>5</v>
      </c>
      <c r="B6" s="9">
        <v>35810000</v>
      </c>
      <c r="C6" s="18">
        <v>373</v>
      </c>
    </row>
    <row r="7" spans="1:3">
      <c r="A7" t="s">
        <v>6</v>
      </c>
      <c r="B7" s="9">
        <v>58935000</v>
      </c>
      <c r="C7" s="18">
        <v>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B654-8DC3-441A-B576-480E9880E4E2}">
  <dimension ref="A3:C14"/>
  <sheetViews>
    <sheetView workbookViewId="0">
      <selection activeCell="E10" sqref="E10"/>
    </sheetView>
  </sheetViews>
  <sheetFormatPr defaultRowHeight="15"/>
  <cols>
    <col min="1" max="1" width="14.85546875" bestFit="1" customWidth="1"/>
    <col min="2" max="2" width="25.7109375" bestFit="1" customWidth="1"/>
    <col min="3" max="3" width="19.28515625" bestFit="1" customWidth="1"/>
  </cols>
  <sheetData>
    <row r="3" spans="1:3">
      <c r="A3" s="8" t="s">
        <v>7</v>
      </c>
      <c r="B3" t="s">
        <v>1</v>
      </c>
      <c r="C3" t="s">
        <v>2</v>
      </c>
    </row>
    <row r="4" spans="1:3">
      <c r="A4" t="s">
        <v>8</v>
      </c>
      <c r="B4" s="9">
        <v>10237000</v>
      </c>
      <c r="C4" s="18">
        <v>103</v>
      </c>
    </row>
    <row r="5" spans="1:3">
      <c r="A5" t="s">
        <v>9</v>
      </c>
      <c r="B5" s="9">
        <v>9975000</v>
      </c>
      <c r="C5" s="18">
        <v>65</v>
      </c>
    </row>
    <row r="6" spans="1:3">
      <c r="A6" t="s">
        <v>10</v>
      </c>
      <c r="B6" s="9">
        <v>8184000</v>
      </c>
      <c r="C6" s="18">
        <v>68</v>
      </c>
    </row>
    <row r="7" spans="1:3">
      <c r="A7" t="s">
        <v>11</v>
      </c>
      <c r="B7" s="9">
        <v>6306000</v>
      </c>
      <c r="C7" s="18">
        <v>66</v>
      </c>
    </row>
    <row r="8" spans="1:3">
      <c r="A8" t="s">
        <v>12</v>
      </c>
      <c r="B8" s="9">
        <v>5638000</v>
      </c>
      <c r="C8" s="18">
        <v>54</v>
      </c>
    </row>
    <row r="9" spans="1:3">
      <c r="A9" t="s">
        <v>13</v>
      </c>
      <c r="B9" s="9">
        <v>5503000</v>
      </c>
      <c r="C9" s="18">
        <v>66</v>
      </c>
    </row>
    <row r="10" spans="1:3">
      <c r="A10" t="s">
        <v>14</v>
      </c>
      <c r="B10" s="9">
        <v>4358000</v>
      </c>
      <c r="C10" s="18">
        <v>75</v>
      </c>
    </row>
    <row r="11" spans="1:3">
      <c r="A11" t="s">
        <v>15</v>
      </c>
      <c r="B11" s="9">
        <v>3393000</v>
      </c>
      <c r="C11" s="18">
        <v>60</v>
      </c>
    </row>
    <row r="12" spans="1:3">
      <c r="A12" t="s">
        <v>16</v>
      </c>
      <c r="B12" s="9">
        <v>2822000</v>
      </c>
      <c r="C12" s="18">
        <v>26</v>
      </c>
    </row>
    <row r="13" spans="1:3">
      <c r="A13" t="s">
        <v>17</v>
      </c>
      <c r="B13" s="9">
        <v>2519000</v>
      </c>
      <c r="C13" s="18">
        <v>42</v>
      </c>
    </row>
    <row r="14" spans="1:3">
      <c r="A14" t="s">
        <v>6</v>
      </c>
      <c r="B14" s="9">
        <v>58935000</v>
      </c>
      <c r="C14" s="18">
        <v>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8983-422C-48DE-9F45-0B1442CEABD8}">
  <dimension ref="A2:B88"/>
  <sheetViews>
    <sheetView tabSelected="1" workbookViewId="0">
      <selection activeCell="A5" sqref="A5"/>
    </sheetView>
  </sheetViews>
  <sheetFormatPr defaultRowHeight="15"/>
  <cols>
    <col min="1" max="1" width="12.5703125" bestFit="1" customWidth="1"/>
    <col min="2" max="2" width="25.7109375" bestFit="1" customWidth="1"/>
  </cols>
  <sheetData>
    <row r="2" spans="1:2">
      <c r="A2" s="8" t="s">
        <v>18</v>
      </c>
      <c r="B2" t="s">
        <v>1</v>
      </c>
    </row>
    <row r="3" spans="1:2">
      <c r="A3" s="10">
        <v>46026</v>
      </c>
      <c r="B3" s="9">
        <v>1400000</v>
      </c>
    </row>
    <row r="4" spans="1:2">
      <c r="A4" s="10">
        <v>46027</v>
      </c>
      <c r="B4" s="9">
        <v>25000</v>
      </c>
    </row>
    <row r="5" spans="1:2">
      <c r="A5" s="10">
        <v>46028</v>
      </c>
      <c r="B5" s="9">
        <v>125000</v>
      </c>
    </row>
    <row r="6" spans="1:2">
      <c r="A6" s="10">
        <v>46029</v>
      </c>
      <c r="B6" s="9">
        <v>100000</v>
      </c>
    </row>
    <row r="7" spans="1:2">
      <c r="A7" s="10">
        <v>46031</v>
      </c>
      <c r="B7" s="9">
        <v>240000</v>
      </c>
    </row>
    <row r="8" spans="1:2">
      <c r="A8" s="10">
        <v>46040</v>
      </c>
      <c r="B8" s="9">
        <v>154000</v>
      </c>
    </row>
    <row r="9" spans="1:2">
      <c r="A9" s="10">
        <v>46041</v>
      </c>
      <c r="B9" s="9">
        <v>1260000</v>
      </c>
    </row>
    <row r="10" spans="1:2">
      <c r="A10" s="10">
        <v>46047</v>
      </c>
      <c r="B10" s="9">
        <v>175000</v>
      </c>
    </row>
    <row r="11" spans="1:2">
      <c r="A11" s="10">
        <v>46048</v>
      </c>
      <c r="B11" s="9">
        <v>1800000</v>
      </c>
    </row>
    <row r="12" spans="1:2">
      <c r="A12" s="10">
        <v>46049</v>
      </c>
      <c r="B12" s="9">
        <v>72000</v>
      </c>
    </row>
    <row r="13" spans="1:2">
      <c r="A13" s="10">
        <v>46050</v>
      </c>
      <c r="B13" s="9">
        <v>105000</v>
      </c>
    </row>
    <row r="14" spans="1:2">
      <c r="A14" s="10">
        <v>46051</v>
      </c>
      <c r="B14" s="9">
        <v>220000</v>
      </c>
    </row>
    <row r="15" spans="1:2">
      <c r="A15" s="10">
        <v>46058</v>
      </c>
      <c r="B15" s="9">
        <v>135000</v>
      </c>
    </row>
    <row r="16" spans="1:2">
      <c r="A16" s="10">
        <v>46061</v>
      </c>
      <c r="B16" s="9">
        <v>150000</v>
      </c>
    </row>
    <row r="17" spans="1:2">
      <c r="A17" s="10">
        <v>46062</v>
      </c>
      <c r="B17" s="9">
        <v>90000</v>
      </c>
    </row>
    <row r="18" spans="1:2">
      <c r="A18" s="10">
        <v>46067</v>
      </c>
      <c r="B18" s="9">
        <v>225000</v>
      </c>
    </row>
    <row r="19" spans="1:2">
      <c r="A19" s="10">
        <v>46069</v>
      </c>
      <c r="B19" s="9">
        <v>360000</v>
      </c>
    </row>
    <row r="20" spans="1:2">
      <c r="A20" s="10">
        <v>46074</v>
      </c>
      <c r="B20" s="9">
        <v>3150000</v>
      </c>
    </row>
    <row r="21" spans="1:2">
      <c r="A21" s="10">
        <v>46081</v>
      </c>
      <c r="B21" s="9">
        <v>360000</v>
      </c>
    </row>
    <row r="22" spans="1:2">
      <c r="A22" s="10">
        <v>46086</v>
      </c>
      <c r="B22" s="9">
        <v>45000</v>
      </c>
    </row>
    <row r="23" spans="1:2">
      <c r="A23" s="10">
        <v>46088</v>
      </c>
      <c r="B23" s="9">
        <v>1660000</v>
      </c>
    </row>
    <row r="24" spans="1:2">
      <c r="A24" s="10">
        <v>46089</v>
      </c>
      <c r="B24" s="9">
        <v>45000</v>
      </c>
    </row>
    <row r="25" spans="1:2">
      <c r="A25" s="10">
        <v>46101</v>
      </c>
      <c r="B25" s="9">
        <v>630000</v>
      </c>
    </row>
    <row r="26" spans="1:2">
      <c r="A26" s="10">
        <v>46102</v>
      </c>
      <c r="B26" s="9">
        <v>162000</v>
      </c>
    </row>
    <row r="27" spans="1:2">
      <c r="A27" s="10">
        <v>46103</v>
      </c>
      <c r="B27" s="9">
        <v>75000</v>
      </c>
    </row>
    <row r="28" spans="1:2">
      <c r="A28" s="10">
        <v>46110</v>
      </c>
      <c r="B28" s="9">
        <v>720000</v>
      </c>
    </row>
    <row r="29" spans="1:2">
      <c r="A29" s="10">
        <v>46113</v>
      </c>
      <c r="B29" s="9">
        <v>1080000</v>
      </c>
    </row>
    <row r="30" spans="1:2">
      <c r="A30" s="10">
        <v>46114</v>
      </c>
      <c r="B30" s="9">
        <v>90000</v>
      </c>
    </row>
    <row r="31" spans="1:2">
      <c r="A31" s="10">
        <v>46117</v>
      </c>
      <c r="B31" s="9">
        <v>1400000</v>
      </c>
    </row>
    <row r="32" spans="1:2">
      <c r="A32" s="10">
        <v>46118</v>
      </c>
      <c r="B32" s="9">
        <v>25000</v>
      </c>
    </row>
    <row r="33" spans="1:2">
      <c r="A33" s="10">
        <v>46121</v>
      </c>
      <c r="B33" s="9">
        <v>162000</v>
      </c>
    </row>
    <row r="34" spans="1:2">
      <c r="A34" s="10">
        <v>46125</v>
      </c>
      <c r="B34" s="9">
        <v>180000</v>
      </c>
    </row>
    <row r="35" spans="1:2">
      <c r="A35" s="10">
        <v>46127</v>
      </c>
      <c r="B35" s="9">
        <v>2610000</v>
      </c>
    </row>
    <row r="36" spans="1:2">
      <c r="A36" s="10">
        <v>46130</v>
      </c>
      <c r="B36" s="9">
        <v>220000</v>
      </c>
    </row>
    <row r="37" spans="1:2">
      <c r="A37" s="10">
        <v>46141</v>
      </c>
      <c r="B37" s="9">
        <v>630000</v>
      </c>
    </row>
    <row r="38" spans="1:2">
      <c r="A38" s="10">
        <v>46142</v>
      </c>
      <c r="B38" s="9">
        <v>315000</v>
      </c>
    </row>
    <row r="39" spans="1:2">
      <c r="A39" s="10">
        <v>46144</v>
      </c>
      <c r="B39" s="9">
        <v>990000</v>
      </c>
    </row>
    <row r="40" spans="1:2">
      <c r="A40" s="10">
        <v>46145</v>
      </c>
      <c r="B40" s="9">
        <v>210000</v>
      </c>
    </row>
    <row r="41" spans="1:2">
      <c r="A41" s="10">
        <v>46147</v>
      </c>
      <c r="B41" s="9">
        <v>1414000</v>
      </c>
    </row>
    <row r="42" spans="1:2">
      <c r="A42" s="10">
        <v>46148</v>
      </c>
      <c r="B42" s="9">
        <v>1800000</v>
      </c>
    </row>
    <row r="43" spans="1:2">
      <c r="A43" s="10">
        <v>46149</v>
      </c>
      <c r="B43" s="9">
        <v>195000</v>
      </c>
    </row>
    <row r="44" spans="1:2">
      <c r="A44" s="10">
        <v>46155</v>
      </c>
      <c r="B44" s="9">
        <v>3600000</v>
      </c>
    </row>
    <row r="45" spans="1:2">
      <c r="A45" s="10">
        <v>46160</v>
      </c>
      <c r="B45" s="9">
        <v>150000</v>
      </c>
    </row>
    <row r="46" spans="1:2">
      <c r="A46" s="10">
        <v>46161</v>
      </c>
      <c r="B46" s="9">
        <v>48000</v>
      </c>
    </row>
    <row r="47" spans="1:2">
      <c r="A47" s="10">
        <v>46174</v>
      </c>
      <c r="B47" s="9">
        <v>48000</v>
      </c>
    </row>
    <row r="48" spans="1:2">
      <c r="A48" s="10">
        <v>46176</v>
      </c>
      <c r="B48" s="9">
        <v>97000</v>
      </c>
    </row>
    <row r="49" spans="1:2">
      <c r="A49" s="10">
        <v>46178</v>
      </c>
      <c r="B49" s="9">
        <v>25000</v>
      </c>
    </row>
    <row r="50" spans="1:2">
      <c r="A50" s="10">
        <v>46180</v>
      </c>
      <c r="B50" s="9">
        <v>1350000</v>
      </c>
    </row>
    <row r="51" spans="1:2">
      <c r="A51" s="10">
        <v>46190</v>
      </c>
      <c r="B51" s="9">
        <v>50000</v>
      </c>
    </row>
    <row r="52" spans="1:2">
      <c r="A52" s="10">
        <v>46191</v>
      </c>
      <c r="B52" s="9">
        <v>150000</v>
      </c>
    </row>
    <row r="53" spans="1:2">
      <c r="A53" s="10">
        <v>46192</v>
      </c>
      <c r="B53" s="9">
        <v>120000</v>
      </c>
    </row>
    <row r="54" spans="1:2">
      <c r="A54" s="10">
        <v>46196</v>
      </c>
      <c r="B54" s="9">
        <v>100000</v>
      </c>
    </row>
    <row r="55" spans="1:2">
      <c r="A55" s="10">
        <v>46197</v>
      </c>
      <c r="B55" s="9">
        <v>355000</v>
      </c>
    </row>
    <row r="56" spans="1:2">
      <c r="A56" s="10">
        <v>46198</v>
      </c>
      <c r="B56" s="9">
        <v>1540000</v>
      </c>
    </row>
    <row r="57" spans="1:2">
      <c r="A57" s="10">
        <v>46200</v>
      </c>
      <c r="B57" s="9">
        <v>100000</v>
      </c>
    </row>
    <row r="58" spans="1:2">
      <c r="A58" s="10">
        <v>46201</v>
      </c>
      <c r="B58" s="9">
        <v>450000</v>
      </c>
    </row>
    <row r="59" spans="1:2">
      <c r="A59" s="10">
        <v>46206</v>
      </c>
      <c r="B59" s="9">
        <v>4050000</v>
      </c>
    </row>
    <row r="60" spans="1:2">
      <c r="A60" s="10">
        <v>46209</v>
      </c>
      <c r="B60" s="9">
        <v>3510000</v>
      </c>
    </row>
    <row r="61" spans="1:2">
      <c r="A61" s="10">
        <v>46217</v>
      </c>
      <c r="B61" s="9">
        <v>395000</v>
      </c>
    </row>
    <row r="62" spans="1:2">
      <c r="A62" s="10">
        <v>46218</v>
      </c>
      <c r="B62" s="9">
        <v>3555000</v>
      </c>
    </row>
    <row r="63" spans="1:2">
      <c r="A63" s="10">
        <v>46221</v>
      </c>
      <c r="B63" s="9">
        <v>150000</v>
      </c>
    </row>
    <row r="64" spans="1:2">
      <c r="A64" s="10">
        <v>46222</v>
      </c>
      <c r="B64" s="9">
        <v>700000</v>
      </c>
    </row>
    <row r="65" spans="1:2">
      <c r="A65" s="10">
        <v>46224</v>
      </c>
      <c r="B65" s="9">
        <v>200000</v>
      </c>
    </row>
    <row r="66" spans="1:2">
      <c r="A66" s="10">
        <v>46225</v>
      </c>
      <c r="B66" s="9">
        <v>145000</v>
      </c>
    </row>
    <row r="67" spans="1:2">
      <c r="A67" s="10">
        <v>46228</v>
      </c>
      <c r="B67" s="9">
        <v>270000</v>
      </c>
    </row>
    <row r="68" spans="1:2">
      <c r="A68" s="10">
        <v>46229</v>
      </c>
      <c r="B68" s="9">
        <v>1440000</v>
      </c>
    </row>
    <row r="69" spans="1:2">
      <c r="A69" s="10">
        <v>46230</v>
      </c>
      <c r="B69" s="9">
        <v>50000</v>
      </c>
    </row>
    <row r="70" spans="1:2">
      <c r="A70" s="10">
        <v>46235</v>
      </c>
      <c r="B70" s="9">
        <v>200000</v>
      </c>
    </row>
    <row r="71" spans="1:2">
      <c r="A71" s="10">
        <v>46240</v>
      </c>
      <c r="B71" s="9">
        <v>75000</v>
      </c>
    </row>
    <row r="72" spans="1:2">
      <c r="A72" s="10">
        <v>46248</v>
      </c>
      <c r="B72" s="9">
        <v>360000</v>
      </c>
    </row>
    <row r="73" spans="1:2">
      <c r="A73" s="10">
        <v>46250</v>
      </c>
      <c r="B73" s="9">
        <v>176000</v>
      </c>
    </row>
    <row r="74" spans="1:2">
      <c r="A74" s="10">
        <v>46267</v>
      </c>
      <c r="B74" s="9">
        <v>3150000</v>
      </c>
    </row>
    <row r="75" spans="1:2">
      <c r="A75" s="10">
        <v>46269</v>
      </c>
      <c r="B75" s="9">
        <v>360000</v>
      </c>
    </row>
    <row r="76" spans="1:2">
      <c r="A76" s="10">
        <v>46270</v>
      </c>
      <c r="B76" s="9">
        <v>240000</v>
      </c>
    </row>
    <row r="77" spans="1:2">
      <c r="A77" s="10">
        <v>46271</v>
      </c>
      <c r="B77" s="9">
        <v>3150000</v>
      </c>
    </row>
    <row r="78" spans="1:2">
      <c r="A78" s="10">
        <v>46297</v>
      </c>
      <c r="B78" s="9">
        <v>60000</v>
      </c>
    </row>
    <row r="79" spans="1:2">
      <c r="A79" s="10">
        <v>46300</v>
      </c>
      <c r="B79" s="9">
        <v>744000</v>
      </c>
    </row>
    <row r="80" spans="1:2">
      <c r="A80" s="10">
        <v>46301</v>
      </c>
      <c r="B80" s="9">
        <v>844000</v>
      </c>
    </row>
    <row r="81" spans="1:2">
      <c r="A81" s="10">
        <v>46302</v>
      </c>
      <c r="B81" s="9">
        <v>314000</v>
      </c>
    </row>
    <row r="82" spans="1:2">
      <c r="A82" s="10">
        <v>46328</v>
      </c>
      <c r="B82" s="9">
        <v>900000</v>
      </c>
    </row>
    <row r="83" spans="1:2">
      <c r="A83" s="10">
        <v>46331</v>
      </c>
      <c r="B83" s="9">
        <v>180000</v>
      </c>
    </row>
    <row r="84" spans="1:2">
      <c r="A84" s="10">
        <v>46333</v>
      </c>
      <c r="B84" s="9">
        <v>325000</v>
      </c>
    </row>
    <row r="85" spans="1:2">
      <c r="A85" s="10">
        <v>46334</v>
      </c>
      <c r="B85" s="9">
        <v>50000</v>
      </c>
    </row>
    <row r="86" spans="1:2">
      <c r="A86" s="10">
        <v>46359</v>
      </c>
      <c r="B86" s="9">
        <v>180000</v>
      </c>
    </row>
    <row r="87" spans="1:2">
      <c r="A87" s="10">
        <v>46362</v>
      </c>
      <c r="B87" s="9">
        <v>175000</v>
      </c>
    </row>
    <row r="88" spans="1:2">
      <c r="A88" s="10" t="s">
        <v>6</v>
      </c>
      <c r="B88" s="9">
        <v>58935000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449A-D841-47A3-A89D-59B7A3EAE02D}">
  <dimension ref="A3:C6"/>
  <sheetViews>
    <sheetView workbookViewId="0">
      <selection activeCell="A6" sqref="A6"/>
    </sheetView>
  </sheetViews>
  <sheetFormatPr defaultRowHeight="15"/>
  <cols>
    <col min="1" max="1" width="25.7109375" bestFit="1" customWidth="1"/>
    <col min="2" max="4" width="13" bestFit="1" customWidth="1"/>
    <col min="5" max="5" width="14.7109375" bestFit="1" customWidth="1"/>
  </cols>
  <sheetData>
    <row r="3" spans="1:3">
      <c r="A3" s="8" t="s">
        <v>1</v>
      </c>
      <c r="B3" s="8" t="s">
        <v>0</v>
      </c>
    </row>
    <row r="4" spans="1:3">
      <c r="A4" s="8" t="s">
        <v>7</v>
      </c>
      <c r="B4" t="s">
        <v>5</v>
      </c>
      <c r="C4" t="s">
        <v>6</v>
      </c>
    </row>
    <row r="5" spans="1:3">
      <c r="A5" t="s">
        <v>14</v>
      </c>
      <c r="B5" s="9">
        <v>625000</v>
      </c>
      <c r="C5" s="9">
        <v>625000</v>
      </c>
    </row>
    <row r="6" spans="1:3">
      <c r="A6" t="s">
        <v>6</v>
      </c>
      <c r="B6" s="9">
        <v>625000</v>
      </c>
      <c r="C6" s="9">
        <v>625000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workbookViewId="0">
      <selection activeCell="A2" sqref="A2"/>
    </sheetView>
  </sheetViews>
  <sheetFormatPr defaultColWidth="8.7109375" defaultRowHeight="14.45"/>
  <cols>
    <col min="1" max="1" width="25.140625" style="10" bestFit="1" customWidth="1"/>
    <col min="2" max="2" width="11.42578125" bestFit="1" customWidth="1"/>
    <col min="3" max="3" width="17" bestFit="1" customWidth="1"/>
    <col min="4" max="4" width="12" bestFit="1" customWidth="1"/>
    <col min="5" max="5" width="14.42578125" bestFit="1" customWidth="1"/>
    <col min="6" max="6" width="11" bestFit="1" customWidth="1"/>
    <col min="7" max="7" width="16" bestFit="1" customWidth="1"/>
    <col min="8" max="8" width="18.5703125" bestFit="1" customWidth="1"/>
    <col min="9" max="9" width="10" bestFit="1" customWidth="1"/>
    <col min="10" max="10" width="14.7109375" bestFit="1" customWidth="1"/>
    <col min="12" max="12" width="5.85546875" bestFit="1" customWidth="1"/>
  </cols>
  <sheetData>
    <row r="1" spans="1:11">
      <c r="A1" s="12" t="s">
        <v>18</v>
      </c>
      <c r="B1" s="1" t="s">
        <v>19</v>
      </c>
      <c r="C1" s="1" t="s">
        <v>20</v>
      </c>
      <c r="D1" s="1" t="s">
        <v>0</v>
      </c>
      <c r="E1" s="1" t="s">
        <v>7</v>
      </c>
      <c r="F1" s="2" t="s">
        <v>21</v>
      </c>
      <c r="G1" s="3" t="s">
        <v>22</v>
      </c>
      <c r="H1" s="3" t="s">
        <v>23</v>
      </c>
      <c r="I1" s="1" t="s">
        <v>24</v>
      </c>
      <c r="J1" s="1" t="s">
        <v>25</v>
      </c>
      <c r="K1" s="16" t="s">
        <v>26</v>
      </c>
    </row>
    <row r="2" spans="1:11">
      <c r="A2" s="11">
        <v>46026</v>
      </c>
      <c r="B2" s="4" t="s">
        <v>27</v>
      </c>
      <c r="C2" s="4" t="s">
        <v>28</v>
      </c>
      <c r="D2" s="4" t="s">
        <v>4</v>
      </c>
      <c r="E2" s="4" t="s">
        <v>8</v>
      </c>
      <c r="F2" s="5">
        <v>4</v>
      </c>
      <c r="G2" s="6">
        <v>350000</v>
      </c>
      <c r="H2" s="6">
        <f>tblVentes[[#This Row],[Quantite]]*tblVentes[[#This Row],[Prix_Unitaire]]</f>
        <v>1400000</v>
      </c>
      <c r="I2" s="4">
        <f t="shared" ref="I2:I33" ca="1" si="0">RANDBETWEEN(0,20)/100</f>
        <v>0.08</v>
      </c>
      <c r="J2" s="7">
        <f ca="1">tblVentes[[#This Row],[Chiffre_Affaires]]*(1-tblVentes[[#This Row],[Remise]])</f>
        <v>1288000</v>
      </c>
      <c r="K2" s="15" t="b">
        <f>ISNUMBER(tblVentes[[#This Row],[Date]])</f>
        <v>1</v>
      </c>
    </row>
    <row r="3" spans="1:11">
      <c r="A3" s="11">
        <v>46027</v>
      </c>
      <c r="B3" s="4" t="s">
        <v>29</v>
      </c>
      <c r="C3" s="4" t="s">
        <v>30</v>
      </c>
      <c r="D3" s="4" t="s">
        <v>5</v>
      </c>
      <c r="E3" s="4" t="s">
        <v>12</v>
      </c>
      <c r="F3" s="5">
        <v>1</v>
      </c>
      <c r="G3" s="6">
        <v>25000</v>
      </c>
      <c r="H3" s="6">
        <f>tblVentes[[#This Row],[Quantite]]*tblVentes[[#This Row],[Prix_Unitaire]]</f>
        <v>25000</v>
      </c>
      <c r="I3" s="4">
        <f t="shared" ca="1" si="0"/>
        <v>0</v>
      </c>
      <c r="J3" s="7">
        <f ca="1">tblVentes[[#This Row],[Chiffre_Affaires]]*(1-tblVentes[[#This Row],[Remise]])</f>
        <v>25000</v>
      </c>
      <c r="K3" s="15" t="b">
        <f>ISNUMBER(tblVentes[[#This Row],[Date]])</f>
        <v>1</v>
      </c>
    </row>
    <row r="4" spans="1:11">
      <c r="A4" s="11">
        <v>46028</v>
      </c>
      <c r="B4" s="4" t="s">
        <v>31</v>
      </c>
      <c r="C4" s="4" t="s">
        <v>30</v>
      </c>
      <c r="D4" s="4" t="s">
        <v>5</v>
      </c>
      <c r="E4" s="4" t="s">
        <v>14</v>
      </c>
      <c r="F4" s="5">
        <v>5</v>
      </c>
      <c r="G4" s="6">
        <v>25000</v>
      </c>
      <c r="H4" s="6">
        <f>tblVentes[[#This Row],[Quantite]]*tblVentes[[#This Row],[Prix_Unitaire]]</f>
        <v>125000</v>
      </c>
      <c r="I4" s="4">
        <f t="shared" ca="1" si="0"/>
        <v>0.17</v>
      </c>
      <c r="J4" s="7">
        <f ca="1">tblVentes[[#This Row],[Chiffre_Affaires]]*(1-tblVentes[[#This Row],[Remise]])</f>
        <v>103750</v>
      </c>
      <c r="K4" s="15" t="b">
        <f>ISNUMBER(tblVentes[[#This Row],[Date]])</f>
        <v>1</v>
      </c>
    </row>
    <row r="5" spans="1:11">
      <c r="A5" s="11">
        <v>46029</v>
      </c>
      <c r="B5" s="4" t="s">
        <v>32</v>
      </c>
      <c r="C5" s="4" t="s">
        <v>30</v>
      </c>
      <c r="D5" s="4" t="s">
        <v>5</v>
      </c>
      <c r="E5" s="4" t="s">
        <v>11</v>
      </c>
      <c r="F5" s="5">
        <v>4</v>
      </c>
      <c r="G5" s="6">
        <v>25000</v>
      </c>
      <c r="H5" s="6">
        <f>tblVentes[[#This Row],[Quantite]]*tblVentes[[#This Row],[Prix_Unitaire]]</f>
        <v>100000</v>
      </c>
      <c r="I5" s="4">
        <f t="shared" ca="1" si="0"/>
        <v>0.2</v>
      </c>
      <c r="J5" s="7">
        <f ca="1">tblVentes[[#This Row],[Chiffre_Affaires]]*(1-tblVentes[[#This Row],[Remise]])</f>
        <v>80000</v>
      </c>
      <c r="K5" s="15" t="b">
        <f>ISNUMBER(tblVentes[[#This Row],[Date]])</f>
        <v>1</v>
      </c>
    </row>
    <row r="6" spans="1:11">
      <c r="A6" s="11">
        <v>46031</v>
      </c>
      <c r="B6" s="4" t="s">
        <v>33</v>
      </c>
      <c r="C6" s="4" t="s">
        <v>34</v>
      </c>
      <c r="D6" s="4" t="s">
        <v>5</v>
      </c>
      <c r="E6" s="4" t="s">
        <v>16</v>
      </c>
      <c r="F6" s="5">
        <v>2</v>
      </c>
      <c r="G6" s="6">
        <v>120000</v>
      </c>
      <c r="H6" s="6">
        <f>tblVentes[[#This Row],[Quantite]]*tblVentes[[#This Row],[Prix_Unitaire]]</f>
        <v>240000</v>
      </c>
      <c r="I6" s="4">
        <f t="shared" ca="1" si="0"/>
        <v>0.04</v>
      </c>
      <c r="J6" s="7">
        <f ca="1">tblVentes[[#This Row],[Chiffre_Affaires]]*(1-tblVentes[[#This Row],[Remise]])</f>
        <v>230400</v>
      </c>
      <c r="K6" s="15" t="b">
        <f>ISNUMBER(tblVentes[[#This Row],[Date]])</f>
        <v>1</v>
      </c>
    </row>
    <row r="7" spans="1:11">
      <c r="A7" s="11">
        <v>46040</v>
      </c>
      <c r="B7" s="4" t="s">
        <v>35</v>
      </c>
      <c r="C7" s="4" t="s">
        <v>36</v>
      </c>
      <c r="D7" s="4" t="s">
        <v>5</v>
      </c>
      <c r="E7" s="4" t="s">
        <v>15</v>
      </c>
      <c r="F7" s="5">
        <v>7</v>
      </c>
      <c r="G7" s="6">
        <v>22000</v>
      </c>
      <c r="H7" s="6">
        <f>tblVentes[[#This Row],[Quantite]]*tblVentes[[#This Row],[Prix_Unitaire]]</f>
        <v>154000</v>
      </c>
      <c r="I7" s="4">
        <f t="shared" ca="1" si="0"/>
        <v>0.16</v>
      </c>
      <c r="J7" s="7">
        <f ca="1">tblVentes[[#This Row],[Chiffre_Affaires]]*(1-tblVentes[[#This Row],[Remise]])</f>
        <v>129360</v>
      </c>
      <c r="K7" s="15" t="b">
        <f>ISNUMBER(tblVentes[[#This Row],[Date]])</f>
        <v>1</v>
      </c>
    </row>
    <row r="8" spans="1:11">
      <c r="A8" s="11">
        <v>46041</v>
      </c>
      <c r="B8" s="4" t="s">
        <v>37</v>
      </c>
      <c r="C8" s="4" t="s">
        <v>38</v>
      </c>
      <c r="D8" s="4" t="s">
        <v>5</v>
      </c>
      <c r="E8" s="4" t="s">
        <v>11</v>
      </c>
      <c r="F8" s="5">
        <v>7</v>
      </c>
      <c r="G8" s="6">
        <v>180000</v>
      </c>
      <c r="H8" s="6">
        <f>tblVentes[[#This Row],[Quantite]]*tblVentes[[#This Row],[Prix_Unitaire]]</f>
        <v>1260000</v>
      </c>
      <c r="I8" s="4">
        <f t="shared" ca="1" si="0"/>
        <v>0.01</v>
      </c>
      <c r="J8" s="7">
        <f ca="1">tblVentes[[#This Row],[Chiffre_Affaires]]*(1-tblVentes[[#This Row],[Remise]])</f>
        <v>1247400</v>
      </c>
      <c r="K8" s="15" t="b">
        <f>ISNUMBER(tblVentes[[#This Row],[Date]])</f>
        <v>1</v>
      </c>
    </row>
    <row r="9" spans="1:11">
      <c r="A9" s="11">
        <v>46047</v>
      </c>
      <c r="B9" s="4" t="s">
        <v>39</v>
      </c>
      <c r="C9" s="4" t="s">
        <v>30</v>
      </c>
      <c r="D9" s="4" t="s">
        <v>5</v>
      </c>
      <c r="E9" s="4" t="s">
        <v>13</v>
      </c>
      <c r="F9" s="5">
        <v>7</v>
      </c>
      <c r="G9" s="6">
        <v>25000</v>
      </c>
      <c r="H9" s="6">
        <f>tblVentes[[#This Row],[Quantite]]*tblVentes[[#This Row],[Prix_Unitaire]]</f>
        <v>175000</v>
      </c>
      <c r="I9" s="4">
        <f t="shared" ca="1" si="0"/>
        <v>0.2</v>
      </c>
      <c r="J9" s="7">
        <f ca="1">tblVentes[[#This Row],[Chiffre_Affaires]]*(1-tblVentes[[#This Row],[Remise]])</f>
        <v>140000</v>
      </c>
      <c r="K9" s="15" t="b">
        <f>ISNUMBER(tblVentes[[#This Row],[Date]])</f>
        <v>1</v>
      </c>
    </row>
    <row r="10" spans="1:11">
      <c r="A10" s="11">
        <v>46048</v>
      </c>
      <c r="B10" s="4" t="s">
        <v>40</v>
      </c>
      <c r="C10" s="4" t="s">
        <v>38</v>
      </c>
      <c r="D10" s="4" t="s">
        <v>5</v>
      </c>
      <c r="E10" s="4" t="s">
        <v>9</v>
      </c>
      <c r="F10" s="5">
        <v>10</v>
      </c>
      <c r="G10" s="6">
        <v>180000</v>
      </c>
      <c r="H10" s="6">
        <f>tblVentes[[#This Row],[Quantite]]*tblVentes[[#This Row],[Prix_Unitaire]]</f>
        <v>1800000</v>
      </c>
      <c r="I10" s="4">
        <f t="shared" ca="1" si="0"/>
        <v>0.13</v>
      </c>
      <c r="J10" s="7">
        <f ca="1">tblVentes[[#This Row],[Chiffre_Affaires]]*(1-tblVentes[[#This Row],[Remise]])</f>
        <v>1566000</v>
      </c>
      <c r="K10" s="15" t="b">
        <f>ISNUMBER(tblVentes[[#This Row],[Date]])</f>
        <v>1</v>
      </c>
    </row>
    <row r="11" spans="1:11">
      <c r="A11" s="11">
        <v>46049</v>
      </c>
      <c r="B11" s="4" t="s">
        <v>41</v>
      </c>
      <c r="C11" s="4" t="s">
        <v>42</v>
      </c>
      <c r="D11" s="4" t="s">
        <v>3</v>
      </c>
      <c r="E11" s="4" t="s">
        <v>16</v>
      </c>
      <c r="F11" s="5">
        <v>4</v>
      </c>
      <c r="G11" s="6">
        <v>18000</v>
      </c>
      <c r="H11" s="6">
        <f>tblVentes[[#This Row],[Quantite]]*tblVentes[[#This Row],[Prix_Unitaire]]</f>
        <v>72000</v>
      </c>
      <c r="I11" s="4">
        <f t="shared" ca="1" si="0"/>
        <v>0.14000000000000001</v>
      </c>
      <c r="J11" s="7">
        <f ca="1">tblVentes[[#This Row],[Chiffre_Affaires]]*(1-tblVentes[[#This Row],[Remise]])</f>
        <v>61920</v>
      </c>
      <c r="K11" s="15" t="b">
        <f>ISNUMBER(tblVentes[[#This Row],[Date]])</f>
        <v>1</v>
      </c>
    </row>
    <row r="12" spans="1:11">
      <c r="A12" s="11">
        <v>46050</v>
      </c>
      <c r="B12" s="4" t="s">
        <v>43</v>
      </c>
      <c r="C12" s="4" t="s">
        <v>44</v>
      </c>
      <c r="D12" s="4" t="s">
        <v>5</v>
      </c>
      <c r="E12" s="4" t="s">
        <v>8</v>
      </c>
      <c r="F12" s="5">
        <v>7</v>
      </c>
      <c r="G12" s="6">
        <v>15000</v>
      </c>
      <c r="H12" s="6">
        <f>tblVentes[[#This Row],[Quantite]]*tblVentes[[#This Row],[Prix_Unitaire]]</f>
        <v>105000</v>
      </c>
      <c r="I12" s="4">
        <f t="shared" ca="1" si="0"/>
        <v>0.05</v>
      </c>
      <c r="J12" s="7">
        <f ca="1">tblVentes[[#This Row],[Chiffre_Affaires]]*(1-tblVentes[[#This Row],[Remise]])</f>
        <v>99750</v>
      </c>
      <c r="K12" s="15" t="b">
        <f>ISNUMBER(tblVentes[[#This Row],[Date]])</f>
        <v>1</v>
      </c>
    </row>
    <row r="13" spans="1:11">
      <c r="A13" s="11">
        <v>46051</v>
      </c>
      <c r="B13" s="4" t="s">
        <v>45</v>
      </c>
      <c r="C13" s="4" t="s">
        <v>36</v>
      </c>
      <c r="D13" s="4" t="s">
        <v>5</v>
      </c>
      <c r="E13" s="4" t="s">
        <v>17</v>
      </c>
      <c r="F13" s="5">
        <v>10</v>
      </c>
      <c r="G13" s="6">
        <v>22000</v>
      </c>
      <c r="H13" s="6">
        <f>tblVentes[[#This Row],[Quantite]]*tblVentes[[#This Row],[Prix_Unitaire]]</f>
        <v>220000</v>
      </c>
      <c r="I13" s="4">
        <f t="shared" ca="1" si="0"/>
        <v>0.12</v>
      </c>
      <c r="J13" s="7">
        <f ca="1">tblVentes[[#This Row],[Chiffre_Affaires]]*(1-tblVentes[[#This Row],[Remise]])</f>
        <v>193600</v>
      </c>
      <c r="K13" s="15" t="b">
        <f>ISNUMBER(tblVentes[[#This Row],[Date]])</f>
        <v>1</v>
      </c>
    </row>
    <row r="14" spans="1:11">
      <c r="A14" s="11">
        <v>46058</v>
      </c>
      <c r="B14" s="4" t="s">
        <v>46</v>
      </c>
      <c r="C14" s="4" t="s">
        <v>44</v>
      </c>
      <c r="D14" s="4" t="s">
        <v>5</v>
      </c>
      <c r="E14" s="4" t="s">
        <v>13</v>
      </c>
      <c r="F14" s="5">
        <v>9</v>
      </c>
      <c r="G14" s="6">
        <v>15000</v>
      </c>
      <c r="H14" s="6">
        <f>tblVentes[[#This Row],[Quantite]]*tblVentes[[#This Row],[Prix_Unitaire]]</f>
        <v>135000</v>
      </c>
      <c r="I14" s="4">
        <f t="shared" ca="1" si="0"/>
        <v>0.08</v>
      </c>
      <c r="J14" s="7">
        <f ca="1">tblVentes[[#This Row],[Chiffre_Affaires]]*(1-tblVentes[[#This Row],[Remise]])</f>
        <v>124200</v>
      </c>
      <c r="K14" s="15" t="b">
        <f>ISNUMBER(tblVentes[[#This Row],[Date]])</f>
        <v>1</v>
      </c>
    </row>
    <row r="15" spans="1:11">
      <c r="A15" s="11">
        <v>46061</v>
      </c>
      <c r="B15" s="4" t="s">
        <v>47</v>
      </c>
      <c r="C15" s="4" t="s">
        <v>30</v>
      </c>
      <c r="D15" s="4" t="s">
        <v>5</v>
      </c>
      <c r="E15" s="4" t="s">
        <v>12</v>
      </c>
      <c r="F15" s="5">
        <v>6</v>
      </c>
      <c r="G15" s="6">
        <v>25000</v>
      </c>
      <c r="H15" s="6">
        <f>tblVentes[[#This Row],[Quantite]]*tblVentes[[#This Row],[Prix_Unitaire]]</f>
        <v>150000</v>
      </c>
      <c r="I15" s="4">
        <f t="shared" ca="1" si="0"/>
        <v>0.09</v>
      </c>
      <c r="J15" s="7">
        <f ca="1">tblVentes[[#This Row],[Chiffre_Affaires]]*(1-tblVentes[[#This Row],[Remise]])</f>
        <v>136500</v>
      </c>
      <c r="K15" s="15" t="b">
        <f>ISNUMBER(tblVentes[[#This Row],[Date]])</f>
        <v>1</v>
      </c>
    </row>
    <row r="16" spans="1:11">
      <c r="A16" s="11">
        <v>46062</v>
      </c>
      <c r="B16" s="4" t="s">
        <v>48</v>
      </c>
      <c r="C16" s="4" t="s">
        <v>49</v>
      </c>
      <c r="D16" s="4" t="s">
        <v>5</v>
      </c>
      <c r="E16" s="4" t="s">
        <v>9</v>
      </c>
      <c r="F16" s="5">
        <v>2</v>
      </c>
      <c r="G16" s="6">
        <v>45000</v>
      </c>
      <c r="H16" s="6">
        <f>tblVentes[[#This Row],[Quantite]]*tblVentes[[#This Row],[Prix_Unitaire]]</f>
        <v>90000</v>
      </c>
      <c r="I16" s="4">
        <f t="shared" ca="1" si="0"/>
        <v>7.0000000000000007E-2</v>
      </c>
      <c r="J16" s="7">
        <f ca="1">tblVentes[[#This Row],[Chiffre_Affaires]]*(1-tblVentes[[#This Row],[Remise]])</f>
        <v>83700</v>
      </c>
      <c r="K16" s="15" t="b">
        <f>ISNUMBER(tblVentes[[#This Row],[Date]])</f>
        <v>1</v>
      </c>
    </row>
    <row r="17" spans="1:11">
      <c r="A17" s="11">
        <v>46067</v>
      </c>
      <c r="B17" s="4" t="s">
        <v>50</v>
      </c>
      <c r="C17" s="4" t="s">
        <v>30</v>
      </c>
      <c r="D17" s="4" t="s">
        <v>5</v>
      </c>
      <c r="E17" s="4" t="s">
        <v>13</v>
      </c>
      <c r="F17" s="5">
        <v>9</v>
      </c>
      <c r="G17" s="6">
        <v>25000</v>
      </c>
      <c r="H17" s="6">
        <f>tblVentes[[#This Row],[Quantite]]*tblVentes[[#This Row],[Prix_Unitaire]]</f>
        <v>225000</v>
      </c>
      <c r="I17" s="4">
        <f t="shared" ca="1" si="0"/>
        <v>0.17</v>
      </c>
      <c r="J17" s="7">
        <f ca="1">tblVentes[[#This Row],[Chiffre_Affaires]]*(1-tblVentes[[#This Row],[Remise]])</f>
        <v>186750</v>
      </c>
      <c r="K17" s="15" t="b">
        <f>ISNUMBER(tblVentes[[#This Row],[Date]])</f>
        <v>1</v>
      </c>
    </row>
    <row r="18" spans="1:11">
      <c r="A18" s="11">
        <v>46069</v>
      </c>
      <c r="B18" s="4" t="s">
        <v>51</v>
      </c>
      <c r="C18" s="4" t="s">
        <v>34</v>
      </c>
      <c r="D18" s="4" t="s">
        <v>5</v>
      </c>
      <c r="E18" s="4" t="s">
        <v>15</v>
      </c>
      <c r="F18" s="5">
        <v>3</v>
      </c>
      <c r="G18" s="6">
        <v>120000</v>
      </c>
      <c r="H18" s="6">
        <f>tblVentes[[#This Row],[Quantite]]*tblVentes[[#This Row],[Prix_Unitaire]]</f>
        <v>360000</v>
      </c>
      <c r="I18" s="4">
        <f t="shared" ca="1" si="0"/>
        <v>0.14000000000000001</v>
      </c>
      <c r="J18" s="7">
        <f ca="1">tblVentes[[#This Row],[Chiffre_Affaires]]*(1-tblVentes[[#This Row],[Remise]])</f>
        <v>309600</v>
      </c>
      <c r="K18" s="15" t="b">
        <f>ISNUMBER(tblVentes[[#This Row],[Date]])</f>
        <v>1</v>
      </c>
    </row>
    <row r="19" spans="1:11">
      <c r="A19" s="11">
        <v>46074</v>
      </c>
      <c r="B19" s="4" t="s">
        <v>52</v>
      </c>
      <c r="C19" s="4" t="s">
        <v>28</v>
      </c>
      <c r="D19" s="4" t="s">
        <v>4</v>
      </c>
      <c r="E19" s="4" t="s">
        <v>12</v>
      </c>
      <c r="F19" s="5">
        <v>9</v>
      </c>
      <c r="G19" s="6">
        <v>350000</v>
      </c>
      <c r="H19" s="6">
        <f>tblVentes[[#This Row],[Quantite]]*tblVentes[[#This Row],[Prix_Unitaire]]</f>
        <v>3150000</v>
      </c>
      <c r="I19" s="4">
        <f t="shared" ca="1" si="0"/>
        <v>0.1</v>
      </c>
      <c r="J19" s="7">
        <f ca="1">tblVentes[[#This Row],[Chiffre_Affaires]]*(1-tblVentes[[#This Row],[Remise]])</f>
        <v>2835000</v>
      </c>
      <c r="K19" s="15" t="b">
        <f>ISNUMBER(tblVentes[[#This Row],[Date]])</f>
        <v>1</v>
      </c>
    </row>
    <row r="20" spans="1:11">
      <c r="A20" s="11">
        <v>46081</v>
      </c>
      <c r="B20" s="4" t="s">
        <v>53</v>
      </c>
      <c r="C20" s="4" t="s">
        <v>49</v>
      </c>
      <c r="D20" s="4" t="s">
        <v>5</v>
      </c>
      <c r="E20" s="4" t="s">
        <v>8</v>
      </c>
      <c r="F20" s="5">
        <v>8</v>
      </c>
      <c r="G20" s="6">
        <v>45000</v>
      </c>
      <c r="H20" s="6">
        <f>tblVentes[[#This Row],[Quantite]]*tblVentes[[#This Row],[Prix_Unitaire]]</f>
        <v>360000</v>
      </c>
      <c r="I20" s="4">
        <f t="shared" ca="1" si="0"/>
        <v>0.08</v>
      </c>
      <c r="J20" s="7">
        <f ca="1">tblVentes[[#This Row],[Chiffre_Affaires]]*(1-tblVentes[[#This Row],[Remise]])</f>
        <v>331200</v>
      </c>
      <c r="K20" s="15" t="b">
        <f>ISNUMBER(tblVentes[[#This Row],[Date]])</f>
        <v>1</v>
      </c>
    </row>
    <row r="21" spans="1:11">
      <c r="A21" s="11">
        <v>46086</v>
      </c>
      <c r="B21" s="4" t="s">
        <v>54</v>
      </c>
      <c r="C21" s="4" t="s">
        <v>55</v>
      </c>
      <c r="D21" s="4" t="s">
        <v>4</v>
      </c>
      <c r="E21" s="4" t="s">
        <v>13</v>
      </c>
      <c r="F21" s="5">
        <v>1</v>
      </c>
      <c r="G21" s="6">
        <v>45000</v>
      </c>
      <c r="H21" s="6">
        <f>tblVentes[[#This Row],[Quantite]]*tblVentes[[#This Row],[Prix_Unitaire]]</f>
        <v>45000</v>
      </c>
      <c r="I21" s="4">
        <f t="shared" ca="1" si="0"/>
        <v>0.15</v>
      </c>
      <c r="J21" s="7">
        <f ca="1">tblVentes[[#This Row],[Chiffre_Affaires]]*(1-tblVentes[[#This Row],[Remise]])</f>
        <v>38250</v>
      </c>
      <c r="K21" s="15" t="b">
        <f>ISNUMBER(tblVentes[[#This Row],[Date]])</f>
        <v>1</v>
      </c>
    </row>
    <row r="22" spans="1:11">
      <c r="A22" s="11">
        <v>46088</v>
      </c>
      <c r="B22" s="4" t="s">
        <v>56</v>
      </c>
      <c r="C22" s="4" t="s">
        <v>30</v>
      </c>
      <c r="D22" s="4" t="s">
        <v>5</v>
      </c>
      <c r="E22" s="4" t="s">
        <v>9</v>
      </c>
      <c r="F22" s="5">
        <v>6</v>
      </c>
      <c r="G22" s="6">
        <v>25000</v>
      </c>
      <c r="H22" s="6">
        <f>tblVentes[[#This Row],[Quantite]]*tblVentes[[#This Row],[Prix_Unitaire]]</f>
        <v>150000</v>
      </c>
      <c r="I22" s="4">
        <f t="shared" ca="1" si="0"/>
        <v>0.02</v>
      </c>
      <c r="J22" s="7">
        <f ca="1">tblVentes[[#This Row],[Chiffre_Affaires]]*(1-tblVentes[[#This Row],[Remise]])</f>
        <v>147000</v>
      </c>
      <c r="K22" s="15" t="b">
        <f>ISNUMBER(tblVentes[[#This Row],[Date]])</f>
        <v>1</v>
      </c>
    </row>
    <row r="23" spans="1:11">
      <c r="A23" s="11">
        <v>46088</v>
      </c>
      <c r="B23" s="4" t="s">
        <v>57</v>
      </c>
      <c r="C23" s="4" t="s">
        <v>34</v>
      </c>
      <c r="D23" s="4" t="s">
        <v>5</v>
      </c>
      <c r="E23" s="4" t="s">
        <v>16</v>
      </c>
      <c r="F23" s="5">
        <v>7</v>
      </c>
      <c r="G23" s="6">
        <v>120000</v>
      </c>
      <c r="H23" s="6">
        <f>tblVentes[[#This Row],[Quantite]]*tblVentes[[#This Row],[Prix_Unitaire]]</f>
        <v>840000</v>
      </c>
      <c r="I23" s="4">
        <f t="shared" ca="1" si="0"/>
        <v>0.15</v>
      </c>
      <c r="J23" s="7">
        <f ca="1">tblVentes[[#This Row],[Chiffre_Affaires]]*(1-tblVentes[[#This Row],[Remise]])</f>
        <v>714000</v>
      </c>
      <c r="K23" s="15" t="b">
        <f>ISNUMBER(tblVentes[[#This Row],[Date]])</f>
        <v>1</v>
      </c>
    </row>
    <row r="24" spans="1:11">
      <c r="A24" s="11">
        <v>46088</v>
      </c>
      <c r="B24" s="4" t="s">
        <v>58</v>
      </c>
      <c r="C24" s="4" t="s">
        <v>34</v>
      </c>
      <c r="D24" s="4" t="s">
        <v>5</v>
      </c>
      <c r="E24" s="4" t="s">
        <v>15</v>
      </c>
      <c r="F24" s="5">
        <v>5</v>
      </c>
      <c r="G24" s="6">
        <v>120000</v>
      </c>
      <c r="H24" s="6">
        <f>tblVentes[[#This Row],[Quantite]]*tblVentes[[#This Row],[Prix_Unitaire]]</f>
        <v>600000</v>
      </c>
      <c r="I24" s="4">
        <f t="shared" ca="1" si="0"/>
        <v>0.06</v>
      </c>
      <c r="J24" s="7">
        <f ca="1">tblVentes[[#This Row],[Chiffre_Affaires]]*(1-tblVentes[[#This Row],[Remise]])</f>
        <v>564000</v>
      </c>
      <c r="K24" s="15" t="b">
        <f>ISNUMBER(tblVentes[[#This Row],[Date]])</f>
        <v>1</v>
      </c>
    </row>
    <row r="25" spans="1:11">
      <c r="A25" s="11">
        <v>46088</v>
      </c>
      <c r="B25" s="4" t="s">
        <v>58</v>
      </c>
      <c r="C25" s="4" t="s">
        <v>59</v>
      </c>
      <c r="D25" s="4" t="s">
        <v>5</v>
      </c>
      <c r="E25" s="4" t="s">
        <v>9</v>
      </c>
      <c r="F25" s="5">
        <v>7</v>
      </c>
      <c r="G25" s="6">
        <v>10000</v>
      </c>
      <c r="H25" s="6">
        <f>tblVentes[[#This Row],[Quantite]]*tblVentes[[#This Row],[Prix_Unitaire]]</f>
        <v>70000</v>
      </c>
      <c r="I25" s="4">
        <f t="shared" ca="1" si="0"/>
        <v>0.13</v>
      </c>
      <c r="J25" s="7">
        <f ca="1">tblVentes[[#This Row],[Chiffre_Affaires]]*(1-tblVentes[[#This Row],[Remise]])</f>
        <v>60900</v>
      </c>
      <c r="K25" s="15" t="b">
        <f>ISNUMBER(tblVentes[[#This Row],[Date]])</f>
        <v>1</v>
      </c>
    </row>
    <row r="26" spans="1:11">
      <c r="A26" s="11">
        <v>46089</v>
      </c>
      <c r="B26" s="4" t="s">
        <v>60</v>
      </c>
      <c r="C26" s="4" t="s">
        <v>49</v>
      </c>
      <c r="D26" s="4" t="s">
        <v>5</v>
      </c>
      <c r="E26" s="4" t="s">
        <v>9</v>
      </c>
      <c r="F26" s="5">
        <v>1</v>
      </c>
      <c r="G26" s="6">
        <v>45000</v>
      </c>
      <c r="H26" s="6">
        <f>tblVentes[[#This Row],[Quantite]]*tblVentes[[#This Row],[Prix_Unitaire]]</f>
        <v>45000</v>
      </c>
      <c r="I26" s="4">
        <f t="shared" ca="1" si="0"/>
        <v>0.08</v>
      </c>
      <c r="J26" s="7">
        <f ca="1">tblVentes[[#This Row],[Chiffre_Affaires]]*(1-tblVentes[[#This Row],[Remise]])</f>
        <v>41400</v>
      </c>
      <c r="K26" s="15" t="b">
        <f>ISNUMBER(tblVentes[[#This Row],[Date]])</f>
        <v>1</v>
      </c>
    </row>
    <row r="27" spans="1:11">
      <c r="A27" s="11">
        <v>46101</v>
      </c>
      <c r="B27" s="4" t="s">
        <v>61</v>
      </c>
      <c r="C27" s="4" t="s">
        <v>62</v>
      </c>
      <c r="D27" s="4" t="s">
        <v>4</v>
      </c>
      <c r="E27" s="4" t="s">
        <v>9</v>
      </c>
      <c r="F27" s="5">
        <v>7</v>
      </c>
      <c r="G27" s="6">
        <v>90000</v>
      </c>
      <c r="H27" s="6">
        <f>tblVentes[[#This Row],[Quantite]]*tblVentes[[#This Row],[Prix_Unitaire]]</f>
        <v>630000</v>
      </c>
      <c r="I27" s="4">
        <f t="shared" ca="1" si="0"/>
        <v>0.09</v>
      </c>
      <c r="J27" s="7">
        <f ca="1">tblVentes[[#This Row],[Chiffre_Affaires]]*(1-tblVentes[[#This Row],[Remise]])</f>
        <v>573300</v>
      </c>
      <c r="K27" s="15" t="b">
        <f>ISNUMBER(tblVentes[[#This Row],[Date]])</f>
        <v>1</v>
      </c>
    </row>
    <row r="28" spans="1:11">
      <c r="A28" s="11">
        <v>46102</v>
      </c>
      <c r="B28" s="4" t="s">
        <v>63</v>
      </c>
      <c r="C28" s="4" t="s">
        <v>42</v>
      </c>
      <c r="D28" s="4" t="s">
        <v>3</v>
      </c>
      <c r="E28" s="4" t="s">
        <v>8</v>
      </c>
      <c r="F28" s="5">
        <v>9</v>
      </c>
      <c r="G28" s="6">
        <v>18000</v>
      </c>
      <c r="H28" s="6">
        <f>tblVentes[[#This Row],[Quantite]]*tblVentes[[#This Row],[Prix_Unitaire]]</f>
        <v>162000</v>
      </c>
      <c r="I28" s="4">
        <f t="shared" ca="1" si="0"/>
        <v>0.08</v>
      </c>
      <c r="J28" s="7">
        <f ca="1">tblVentes[[#This Row],[Chiffre_Affaires]]*(1-tblVentes[[#This Row],[Remise]])</f>
        <v>149040</v>
      </c>
      <c r="K28" s="15" t="b">
        <f>ISNUMBER(tblVentes[[#This Row],[Date]])</f>
        <v>1</v>
      </c>
    </row>
    <row r="29" spans="1:11">
      <c r="A29" s="11">
        <v>46103</v>
      </c>
      <c r="B29" s="4" t="s">
        <v>64</v>
      </c>
      <c r="C29" s="4" t="s">
        <v>65</v>
      </c>
      <c r="D29" s="4" t="s">
        <v>4</v>
      </c>
      <c r="E29" s="4" t="s">
        <v>14</v>
      </c>
      <c r="F29" s="5">
        <v>3</v>
      </c>
      <c r="G29" s="6">
        <v>25000</v>
      </c>
      <c r="H29" s="6">
        <f>tblVentes[[#This Row],[Quantite]]*tblVentes[[#This Row],[Prix_Unitaire]]</f>
        <v>75000</v>
      </c>
      <c r="I29" s="4">
        <f t="shared" ca="1" si="0"/>
        <v>0.12</v>
      </c>
      <c r="J29" s="7">
        <f ca="1">tblVentes[[#This Row],[Chiffre_Affaires]]*(1-tblVentes[[#This Row],[Remise]])</f>
        <v>66000</v>
      </c>
      <c r="K29" s="15" t="b">
        <f>ISNUMBER(tblVentes[[#This Row],[Date]])</f>
        <v>1</v>
      </c>
    </row>
    <row r="30" spans="1:11">
      <c r="A30" s="11">
        <v>46110</v>
      </c>
      <c r="B30" s="4" t="s">
        <v>66</v>
      </c>
      <c r="C30" s="4" t="s">
        <v>38</v>
      </c>
      <c r="D30" s="4" t="s">
        <v>5</v>
      </c>
      <c r="E30" s="4" t="s">
        <v>11</v>
      </c>
      <c r="F30" s="5">
        <v>4</v>
      </c>
      <c r="G30" s="6">
        <v>180000</v>
      </c>
      <c r="H30" s="6">
        <f>tblVentes[[#This Row],[Quantite]]*tblVentes[[#This Row],[Prix_Unitaire]]</f>
        <v>720000</v>
      </c>
      <c r="I30" s="4">
        <f t="shared" ca="1" si="0"/>
        <v>7.0000000000000007E-2</v>
      </c>
      <c r="J30" s="7">
        <f ca="1">tblVentes[[#This Row],[Chiffre_Affaires]]*(1-tblVentes[[#This Row],[Remise]])</f>
        <v>669600</v>
      </c>
      <c r="K30" s="15" t="b">
        <f>ISNUMBER(tblVentes[[#This Row],[Date]])</f>
        <v>1</v>
      </c>
    </row>
    <row r="31" spans="1:11">
      <c r="A31" s="11">
        <v>46113</v>
      </c>
      <c r="B31" s="4" t="s">
        <v>67</v>
      </c>
      <c r="C31" s="4" t="s">
        <v>38</v>
      </c>
      <c r="D31" s="4" t="s">
        <v>5</v>
      </c>
      <c r="E31" s="4" t="s">
        <v>10</v>
      </c>
      <c r="F31" s="5">
        <v>1</v>
      </c>
      <c r="G31" s="6">
        <v>180000</v>
      </c>
      <c r="H31" s="6">
        <f>tblVentes[[#This Row],[Quantite]]*tblVentes[[#This Row],[Prix_Unitaire]]</f>
        <v>180000</v>
      </c>
      <c r="I31" s="4">
        <f t="shared" ca="1" si="0"/>
        <v>0.09</v>
      </c>
      <c r="J31" s="7">
        <f ca="1">tblVentes[[#This Row],[Chiffre_Affaires]]*(1-tblVentes[[#This Row],[Remise]])</f>
        <v>163800</v>
      </c>
      <c r="K31" s="15" t="b">
        <f>ISNUMBER(tblVentes[[#This Row],[Date]])</f>
        <v>1</v>
      </c>
    </row>
    <row r="32" spans="1:11">
      <c r="A32" s="11">
        <v>46113</v>
      </c>
      <c r="B32" s="4" t="s">
        <v>68</v>
      </c>
      <c r="C32" s="4" t="s">
        <v>62</v>
      </c>
      <c r="D32" s="4" t="s">
        <v>4</v>
      </c>
      <c r="E32" s="4" t="s">
        <v>12</v>
      </c>
      <c r="F32" s="5">
        <v>10</v>
      </c>
      <c r="G32" s="6">
        <v>90000</v>
      </c>
      <c r="H32" s="6">
        <f>tblVentes[[#This Row],[Quantite]]*tblVentes[[#This Row],[Prix_Unitaire]]</f>
        <v>900000</v>
      </c>
      <c r="I32" s="4">
        <f t="shared" ca="1" si="0"/>
        <v>0.09</v>
      </c>
      <c r="J32" s="7">
        <f ca="1">tblVentes[[#This Row],[Chiffre_Affaires]]*(1-tblVentes[[#This Row],[Remise]])</f>
        <v>819000</v>
      </c>
      <c r="K32" s="15" t="b">
        <f>ISNUMBER(tblVentes[[#This Row],[Date]])</f>
        <v>1</v>
      </c>
    </row>
    <row r="33" spans="1:12">
      <c r="A33" s="11">
        <v>46114</v>
      </c>
      <c r="B33" s="4" t="s">
        <v>69</v>
      </c>
      <c r="C33" s="4" t="s">
        <v>59</v>
      </c>
      <c r="D33" s="4" t="s">
        <v>3</v>
      </c>
      <c r="E33" s="4" t="s">
        <v>11</v>
      </c>
      <c r="F33" s="5">
        <v>3</v>
      </c>
      <c r="G33" s="6">
        <v>30000</v>
      </c>
      <c r="H33" s="6">
        <f>tblVentes[[#This Row],[Quantite]]*tblVentes[[#This Row],[Prix_Unitaire]]</f>
        <v>90000</v>
      </c>
      <c r="I33" s="4">
        <f t="shared" ca="1" si="0"/>
        <v>0.12</v>
      </c>
      <c r="J33" s="7">
        <f ca="1">tblVentes[[#This Row],[Chiffre_Affaires]]*(1-tblVentes[[#This Row],[Remise]])</f>
        <v>79200</v>
      </c>
      <c r="K33" s="15" t="b">
        <f>ISNUMBER(tblVentes[[#This Row],[Date]])</f>
        <v>1</v>
      </c>
    </row>
    <row r="34" spans="1:12">
      <c r="A34" s="11">
        <v>46117</v>
      </c>
      <c r="B34" s="4" t="s">
        <v>70</v>
      </c>
      <c r="C34" s="4" t="s">
        <v>28</v>
      </c>
      <c r="D34" s="4" t="s">
        <v>4</v>
      </c>
      <c r="E34" s="4" t="s">
        <v>16</v>
      </c>
      <c r="F34" s="5">
        <v>4</v>
      </c>
      <c r="G34" s="6">
        <v>350000</v>
      </c>
      <c r="H34" s="6">
        <f>tblVentes[[#This Row],[Quantite]]*tblVentes[[#This Row],[Prix_Unitaire]]</f>
        <v>1400000</v>
      </c>
      <c r="I34" s="4">
        <f t="shared" ref="I34:I65" ca="1" si="1">RANDBETWEEN(0,20)/100</f>
        <v>0.18</v>
      </c>
      <c r="J34" s="7">
        <f ca="1">tblVentes[[#This Row],[Chiffre_Affaires]]*(1-tblVentes[[#This Row],[Remise]])</f>
        <v>1148000</v>
      </c>
      <c r="K34" s="15" t="b">
        <f>ISNUMBER(tblVentes[[#This Row],[Date]])</f>
        <v>1</v>
      </c>
    </row>
    <row r="35" spans="1:12">
      <c r="A35" s="11">
        <v>46118</v>
      </c>
      <c r="B35" s="4" t="s">
        <v>71</v>
      </c>
      <c r="C35" s="4" t="s">
        <v>65</v>
      </c>
      <c r="D35" s="4" t="s">
        <v>4</v>
      </c>
      <c r="E35" s="4" t="s">
        <v>17</v>
      </c>
      <c r="F35" s="5">
        <v>1</v>
      </c>
      <c r="G35" s="6">
        <v>25000</v>
      </c>
      <c r="H35" s="6">
        <f>tblVentes[[#This Row],[Quantite]]*tblVentes[[#This Row],[Prix_Unitaire]]</f>
        <v>25000</v>
      </c>
      <c r="I35" s="4">
        <f t="shared" ca="1" si="1"/>
        <v>0.09</v>
      </c>
      <c r="J35" s="7">
        <f ca="1">tblVentes[[#This Row],[Chiffre_Affaires]]*(1-tblVentes[[#This Row],[Remise]])</f>
        <v>22750</v>
      </c>
      <c r="K35" s="15" t="b">
        <f>ISNUMBER(tblVentes[[#This Row],[Date]])</f>
        <v>1</v>
      </c>
    </row>
    <row r="36" spans="1:12">
      <c r="A36" s="11">
        <v>46121</v>
      </c>
      <c r="B36" s="4" t="s">
        <v>72</v>
      </c>
      <c r="C36" s="4" t="s">
        <v>42</v>
      </c>
      <c r="D36" s="4" t="s">
        <v>3</v>
      </c>
      <c r="E36" s="4" t="s">
        <v>11</v>
      </c>
      <c r="F36" s="5">
        <v>9</v>
      </c>
      <c r="G36" s="6">
        <v>18000</v>
      </c>
      <c r="H36" s="6">
        <f>tblVentes[[#This Row],[Quantite]]*tblVentes[[#This Row],[Prix_Unitaire]]</f>
        <v>162000</v>
      </c>
      <c r="I36" s="4">
        <f t="shared" ca="1" si="1"/>
        <v>0.04</v>
      </c>
      <c r="J36" s="7">
        <f ca="1">tblVentes[[#This Row],[Chiffre_Affaires]]*(1-tblVentes[[#This Row],[Remise]])</f>
        <v>155520</v>
      </c>
      <c r="K36" s="15" t="b">
        <f>ISNUMBER(tblVentes[[#This Row],[Date]])</f>
        <v>1</v>
      </c>
      <c r="L36" t="b">
        <f>ISTEXT(A35)</f>
        <v>0</v>
      </c>
    </row>
    <row r="37" spans="1:12">
      <c r="A37" s="11">
        <v>46125</v>
      </c>
      <c r="B37" s="4" t="s">
        <v>73</v>
      </c>
      <c r="C37" s="4" t="s">
        <v>49</v>
      </c>
      <c r="D37" s="4" t="s">
        <v>5</v>
      </c>
      <c r="E37" s="4" t="s">
        <v>9</v>
      </c>
      <c r="F37" s="5">
        <v>4</v>
      </c>
      <c r="G37" s="6">
        <v>45000</v>
      </c>
      <c r="H37" s="6">
        <f>tblVentes[[#This Row],[Quantite]]*tblVentes[[#This Row],[Prix_Unitaire]]</f>
        <v>180000</v>
      </c>
      <c r="I37" s="4">
        <f t="shared" ca="1" si="1"/>
        <v>0.06</v>
      </c>
      <c r="J37" s="7">
        <f ca="1">tblVentes[[#This Row],[Chiffre_Affaires]]*(1-tblVentes[[#This Row],[Remise]])</f>
        <v>169200</v>
      </c>
      <c r="K37" s="15" t="b">
        <f>ISNUMBER(tblVentes[[#This Row],[Date]])</f>
        <v>1</v>
      </c>
    </row>
    <row r="38" spans="1:12">
      <c r="A38" s="11">
        <v>46127</v>
      </c>
      <c r="B38" s="4" t="s">
        <v>74</v>
      </c>
      <c r="C38" s="4" t="s">
        <v>62</v>
      </c>
      <c r="D38" s="4" t="s">
        <v>4</v>
      </c>
      <c r="E38" s="4" t="s">
        <v>12</v>
      </c>
      <c r="F38" s="5">
        <v>9</v>
      </c>
      <c r="G38" s="6">
        <v>90000</v>
      </c>
      <c r="H38" s="6">
        <f>tblVentes[[#This Row],[Quantite]]*tblVentes[[#This Row],[Prix_Unitaire]]</f>
        <v>810000</v>
      </c>
      <c r="I38" s="4">
        <f t="shared" ca="1" si="1"/>
        <v>0.14000000000000001</v>
      </c>
      <c r="J38" s="7">
        <f ca="1">tblVentes[[#This Row],[Chiffre_Affaires]]*(1-tblVentes[[#This Row],[Remise]])</f>
        <v>696600</v>
      </c>
      <c r="K38" s="15" t="b">
        <f>ISNUMBER(tblVentes[[#This Row],[Date]])</f>
        <v>1</v>
      </c>
    </row>
    <row r="39" spans="1:12">
      <c r="A39" s="11">
        <v>46127</v>
      </c>
      <c r="B39" s="4" t="s">
        <v>75</v>
      </c>
      <c r="C39" s="4" t="s">
        <v>76</v>
      </c>
      <c r="D39" s="4" t="s">
        <v>5</v>
      </c>
      <c r="E39" s="4" t="s">
        <v>17</v>
      </c>
      <c r="F39" s="5">
        <v>4</v>
      </c>
      <c r="G39" s="6">
        <v>450000</v>
      </c>
      <c r="H39" s="6">
        <f>tblVentes[[#This Row],[Quantite]]*tblVentes[[#This Row],[Prix_Unitaire]]</f>
        <v>1800000</v>
      </c>
      <c r="I39" s="4">
        <f t="shared" ca="1" si="1"/>
        <v>0.04</v>
      </c>
      <c r="J39" s="7">
        <f ca="1">tblVentes[[#This Row],[Chiffre_Affaires]]*(1-tblVentes[[#This Row],[Remise]])</f>
        <v>1728000</v>
      </c>
      <c r="K39" s="15" t="b">
        <f>ISNUMBER(tblVentes[[#This Row],[Date]])</f>
        <v>1</v>
      </c>
    </row>
    <row r="40" spans="1:12">
      <c r="A40" s="11">
        <v>46130</v>
      </c>
      <c r="B40" s="4" t="s">
        <v>77</v>
      </c>
      <c r="C40" s="4" t="s">
        <v>36</v>
      </c>
      <c r="D40" s="4" t="s">
        <v>5</v>
      </c>
      <c r="E40" s="4" t="s">
        <v>10</v>
      </c>
      <c r="F40" s="5">
        <v>10</v>
      </c>
      <c r="G40" s="6">
        <v>22000</v>
      </c>
      <c r="H40" s="6">
        <f>tblVentes[[#This Row],[Quantite]]*tblVentes[[#This Row],[Prix_Unitaire]]</f>
        <v>220000</v>
      </c>
      <c r="I40" s="4">
        <f t="shared" ca="1" si="1"/>
        <v>0.02</v>
      </c>
      <c r="J40" s="7">
        <f ca="1">tblVentes[[#This Row],[Chiffre_Affaires]]*(1-tblVentes[[#This Row],[Remise]])</f>
        <v>215600</v>
      </c>
      <c r="K40" s="15" t="b">
        <f>ISNUMBER(tblVentes[[#This Row],[Date]])</f>
        <v>1</v>
      </c>
    </row>
    <row r="41" spans="1:12">
      <c r="A41" s="11">
        <v>46141</v>
      </c>
      <c r="B41" s="4" t="s">
        <v>78</v>
      </c>
      <c r="C41" s="4" t="s">
        <v>62</v>
      </c>
      <c r="D41" s="4" t="s">
        <v>4</v>
      </c>
      <c r="E41" s="4" t="s">
        <v>14</v>
      </c>
      <c r="F41" s="5">
        <v>7</v>
      </c>
      <c r="G41" s="6">
        <v>90000</v>
      </c>
      <c r="H41" s="6">
        <f>tblVentes[[#This Row],[Quantite]]*tblVentes[[#This Row],[Prix_Unitaire]]</f>
        <v>630000</v>
      </c>
      <c r="I41" s="4">
        <f t="shared" ca="1" si="1"/>
        <v>7.0000000000000007E-2</v>
      </c>
      <c r="J41" s="7">
        <f ca="1">tblVentes[[#This Row],[Chiffre_Affaires]]*(1-tblVentes[[#This Row],[Remise]])</f>
        <v>585900</v>
      </c>
      <c r="K41" s="15" t="b">
        <f>ISNUMBER(tblVentes[[#This Row],[Date]])</f>
        <v>1</v>
      </c>
    </row>
    <row r="42" spans="1:12">
      <c r="A42" s="11">
        <v>46142</v>
      </c>
      <c r="B42" s="4" t="s">
        <v>79</v>
      </c>
      <c r="C42" s="4" t="s">
        <v>49</v>
      </c>
      <c r="D42" s="4" t="s">
        <v>5</v>
      </c>
      <c r="E42" s="4" t="s">
        <v>12</v>
      </c>
      <c r="F42" s="5">
        <v>7</v>
      </c>
      <c r="G42" s="6">
        <v>45000</v>
      </c>
      <c r="H42" s="6">
        <f>tblVentes[[#This Row],[Quantite]]*tblVentes[[#This Row],[Prix_Unitaire]]</f>
        <v>315000</v>
      </c>
      <c r="I42" s="4">
        <f t="shared" ca="1" si="1"/>
        <v>0.12</v>
      </c>
      <c r="J42" s="7">
        <f ca="1">tblVentes[[#This Row],[Chiffre_Affaires]]*(1-tblVentes[[#This Row],[Remise]])</f>
        <v>277200</v>
      </c>
      <c r="K42" s="15" t="b">
        <f>ISNUMBER(tblVentes[[#This Row],[Date]])</f>
        <v>1</v>
      </c>
    </row>
    <row r="43" spans="1:12">
      <c r="A43" s="11">
        <v>46144</v>
      </c>
      <c r="B43" s="4" t="s">
        <v>80</v>
      </c>
      <c r="C43" s="4" t="s">
        <v>42</v>
      </c>
      <c r="D43" s="4" t="s">
        <v>3</v>
      </c>
      <c r="E43" s="4" t="s">
        <v>9</v>
      </c>
      <c r="F43" s="5">
        <v>5</v>
      </c>
      <c r="G43" s="6">
        <v>18000</v>
      </c>
      <c r="H43" s="6">
        <f>tblVentes[[#This Row],[Quantite]]*tblVentes[[#This Row],[Prix_Unitaire]]</f>
        <v>90000</v>
      </c>
      <c r="I43" s="4">
        <f t="shared" ca="1" si="1"/>
        <v>0.14000000000000001</v>
      </c>
      <c r="J43" s="7">
        <f ca="1">tblVentes[[#This Row],[Chiffre_Affaires]]*(1-tblVentes[[#This Row],[Remise]])</f>
        <v>77400</v>
      </c>
      <c r="K43" s="15" t="b">
        <f>ISNUMBER(tblVentes[[#This Row],[Date]])</f>
        <v>1</v>
      </c>
    </row>
    <row r="44" spans="1:12">
      <c r="A44" s="11">
        <v>46144</v>
      </c>
      <c r="B44" s="4" t="s">
        <v>81</v>
      </c>
      <c r="C44" s="4" t="s">
        <v>38</v>
      </c>
      <c r="D44" s="4" t="s">
        <v>5</v>
      </c>
      <c r="E44" s="4" t="s">
        <v>15</v>
      </c>
      <c r="F44" s="5">
        <v>5</v>
      </c>
      <c r="G44" s="6">
        <v>180000</v>
      </c>
      <c r="H44" s="6">
        <f>tblVentes[[#This Row],[Quantite]]*tblVentes[[#This Row],[Prix_Unitaire]]</f>
        <v>900000</v>
      </c>
      <c r="I44" s="4">
        <f t="shared" ca="1" si="1"/>
        <v>0.19</v>
      </c>
      <c r="J44" s="7">
        <f ca="1">tblVentes[[#This Row],[Chiffre_Affaires]]*(1-tblVentes[[#This Row],[Remise]])</f>
        <v>729000</v>
      </c>
      <c r="K44" s="15" t="b">
        <f>ISNUMBER(tblVentes[[#This Row],[Date]])</f>
        <v>1</v>
      </c>
    </row>
    <row r="45" spans="1:12">
      <c r="A45" s="11">
        <v>46145</v>
      </c>
      <c r="B45" s="4" t="s">
        <v>82</v>
      </c>
      <c r="C45" s="4" t="s">
        <v>59</v>
      </c>
      <c r="D45" s="4" t="s">
        <v>3</v>
      </c>
      <c r="E45" s="4" t="s">
        <v>14</v>
      </c>
      <c r="F45" s="5">
        <v>7</v>
      </c>
      <c r="G45" s="6">
        <v>30000</v>
      </c>
      <c r="H45" s="6">
        <f>tblVentes[[#This Row],[Quantite]]*tblVentes[[#This Row],[Prix_Unitaire]]</f>
        <v>210000</v>
      </c>
      <c r="I45" s="4">
        <f t="shared" ca="1" si="1"/>
        <v>0.1</v>
      </c>
      <c r="J45" s="7">
        <f ca="1">tblVentes[[#This Row],[Chiffre_Affaires]]*(1-tblVentes[[#This Row],[Remise]])</f>
        <v>189000</v>
      </c>
      <c r="K45" s="15" t="b">
        <f>ISNUMBER(tblVentes[[#This Row],[Date]])</f>
        <v>1</v>
      </c>
    </row>
    <row r="46" spans="1:12">
      <c r="A46" s="11">
        <v>46147</v>
      </c>
      <c r="B46" s="4" t="s">
        <v>83</v>
      </c>
      <c r="C46" s="4" t="s">
        <v>38</v>
      </c>
      <c r="D46" s="4" t="s">
        <v>5</v>
      </c>
      <c r="E46" s="4" t="s">
        <v>8</v>
      </c>
      <c r="F46" s="5">
        <v>7</v>
      </c>
      <c r="G46" s="6">
        <v>180000</v>
      </c>
      <c r="H46" s="6">
        <f>tblVentes[[#This Row],[Quantite]]*tblVentes[[#This Row],[Prix_Unitaire]]</f>
        <v>1260000</v>
      </c>
      <c r="I46" s="4">
        <f t="shared" ca="1" si="1"/>
        <v>0.12</v>
      </c>
      <c r="J46" s="7">
        <f ca="1">tblVentes[[#This Row],[Chiffre_Affaires]]*(1-tblVentes[[#This Row],[Remise]])</f>
        <v>1108800</v>
      </c>
      <c r="K46" s="15" t="b">
        <f>ISNUMBER(tblVentes[[#This Row],[Date]])</f>
        <v>1</v>
      </c>
    </row>
    <row r="47" spans="1:12">
      <c r="A47" s="11">
        <v>46147</v>
      </c>
      <c r="B47" s="4" t="s">
        <v>84</v>
      </c>
      <c r="C47" s="4" t="s">
        <v>36</v>
      </c>
      <c r="D47" s="4" t="s">
        <v>5</v>
      </c>
      <c r="E47" s="4" t="s">
        <v>15</v>
      </c>
      <c r="F47" s="5">
        <v>7</v>
      </c>
      <c r="G47" s="6">
        <v>22000</v>
      </c>
      <c r="H47" s="6">
        <f>tblVentes[[#This Row],[Quantite]]*tblVentes[[#This Row],[Prix_Unitaire]]</f>
        <v>154000</v>
      </c>
      <c r="I47" s="4">
        <f t="shared" ca="1" si="1"/>
        <v>0.06</v>
      </c>
      <c r="J47" s="7">
        <f ca="1">tblVentes[[#This Row],[Chiffre_Affaires]]*(1-tblVentes[[#This Row],[Remise]])</f>
        <v>144760</v>
      </c>
      <c r="K47" s="15" t="b">
        <f>ISNUMBER(tblVentes[[#This Row],[Date]])</f>
        <v>1</v>
      </c>
    </row>
    <row r="48" spans="1:12">
      <c r="A48" s="11">
        <v>46148</v>
      </c>
      <c r="B48" s="4" t="s">
        <v>85</v>
      </c>
      <c r="C48" s="4" t="s">
        <v>38</v>
      </c>
      <c r="D48" s="4" t="s">
        <v>5</v>
      </c>
      <c r="E48" s="4" t="s">
        <v>10</v>
      </c>
      <c r="F48" s="5">
        <v>10</v>
      </c>
      <c r="G48" s="6">
        <v>180000</v>
      </c>
      <c r="H48" s="6">
        <f>tblVentes[[#This Row],[Quantite]]*tblVentes[[#This Row],[Prix_Unitaire]]</f>
        <v>1800000</v>
      </c>
      <c r="I48" s="4">
        <f t="shared" ca="1" si="1"/>
        <v>0.01</v>
      </c>
      <c r="J48" s="7">
        <f ca="1">tblVentes[[#This Row],[Chiffre_Affaires]]*(1-tblVentes[[#This Row],[Remise]])</f>
        <v>1782000</v>
      </c>
      <c r="K48" s="15" t="b">
        <f>ISNUMBER(tblVentes[[#This Row],[Date]])</f>
        <v>1</v>
      </c>
    </row>
    <row r="49" spans="1:12">
      <c r="A49" s="11">
        <v>46149</v>
      </c>
      <c r="B49" s="4" t="s">
        <v>86</v>
      </c>
      <c r="C49" s="4" t="s">
        <v>65</v>
      </c>
      <c r="D49" s="4" t="s">
        <v>4</v>
      </c>
      <c r="E49" s="4" t="s">
        <v>15</v>
      </c>
      <c r="F49" s="5">
        <v>7</v>
      </c>
      <c r="G49" s="6">
        <v>25000</v>
      </c>
      <c r="H49" s="6">
        <f>tblVentes[[#This Row],[Quantite]]*tblVentes[[#This Row],[Prix_Unitaire]]</f>
        <v>175000</v>
      </c>
      <c r="I49" s="4">
        <f t="shared" ca="1" si="1"/>
        <v>0.1</v>
      </c>
      <c r="J49" s="7">
        <f ca="1">tblVentes[[#This Row],[Chiffre_Affaires]]*(1-tblVentes[[#This Row],[Remise]])</f>
        <v>157500</v>
      </c>
      <c r="K49" s="15" t="b">
        <f>ISNUMBER(tblVentes[[#This Row],[Date]])</f>
        <v>1</v>
      </c>
    </row>
    <row r="50" spans="1:12">
      <c r="A50" s="11">
        <v>46149</v>
      </c>
      <c r="B50" s="4" t="s">
        <v>87</v>
      </c>
      <c r="C50" s="4" t="s">
        <v>88</v>
      </c>
      <c r="D50" s="4" t="s">
        <v>5</v>
      </c>
      <c r="E50" s="4" t="s">
        <v>13</v>
      </c>
      <c r="F50" s="5">
        <v>4</v>
      </c>
      <c r="G50" s="6">
        <v>5000</v>
      </c>
      <c r="H50" s="6">
        <f>tblVentes[[#This Row],[Quantite]]*tblVentes[[#This Row],[Prix_Unitaire]]</f>
        <v>20000</v>
      </c>
      <c r="I50" s="4">
        <f t="shared" ca="1" si="1"/>
        <v>0.03</v>
      </c>
      <c r="J50" s="7">
        <f ca="1">tblVentes[[#This Row],[Chiffre_Affaires]]*(1-tblVentes[[#This Row],[Remise]])</f>
        <v>19400</v>
      </c>
      <c r="K50" s="15" t="b">
        <f>ISNUMBER(tblVentes[[#This Row],[Date]])</f>
        <v>1</v>
      </c>
    </row>
    <row r="51" spans="1:12">
      <c r="A51" s="11">
        <v>46155</v>
      </c>
      <c r="B51" s="4" t="s">
        <v>89</v>
      </c>
      <c r="C51" s="4" t="s">
        <v>76</v>
      </c>
      <c r="D51" s="4" t="s">
        <v>5</v>
      </c>
      <c r="E51" s="4" t="s">
        <v>9</v>
      </c>
      <c r="F51" s="5">
        <v>8</v>
      </c>
      <c r="G51" s="6">
        <v>450000</v>
      </c>
      <c r="H51" s="6">
        <f>tblVentes[[#This Row],[Quantite]]*tblVentes[[#This Row],[Prix_Unitaire]]</f>
        <v>3600000</v>
      </c>
      <c r="I51" s="4">
        <f t="shared" ca="1" si="1"/>
        <v>0.18</v>
      </c>
      <c r="J51" s="7">
        <f ca="1">tblVentes[[#This Row],[Chiffre_Affaires]]*(1-tblVentes[[#This Row],[Remise]])</f>
        <v>2952000</v>
      </c>
      <c r="K51" s="15" t="b">
        <f>ISNUMBER(tblVentes[[#This Row],[Date]])</f>
        <v>1</v>
      </c>
    </row>
    <row r="52" spans="1:12">
      <c r="A52" s="11">
        <v>46160</v>
      </c>
      <c r="B52" s="4" t="s">
        <v>87</v>
      </c>
      <c r="C52" s="4" t="s">
        <v>59</v>
      </c>
      <c r="D52" s="4" t="s">
        <v>3</v>
      </c>
      <c r="E52" s="4" t="s">
        <v>12</v>
      </c>
      <c r="F52" s="5">
        <v>5</v>
      </c>
      <c r="G52" s="6">
        <v>30000</v>
      </c>
      <c r="H52" s="6">
        <f>tblVentes[[#This Row],[Quantite]]*tblVentes[[#This Row],[Prix_Unitaire]]</f>
        <v>150000</v>
      </c>
      <c r="I52" s="4">
        <f t="shared" ca="1" si="1"/>
        <v>0.2</v>
      </c>
      <c r="J52" s="7">
        <f ca="1">tblVentes[[#This Row],[Chiffre_Affaires]]*(1-tblVentes[[#This Row],[Remise]])</f>
        <v>120000</v>
      </c>
      <c r="K52" s="15" t="b">
        <f>ISNUMBER(tblVentes[[#This Row],[Date]])</f>
        <v>1</v>
      </c>
    </row>
    <row r="53" spans="1:12">
      <c r="A53" s="11">
        <v>46161</v>
      </c>
      <c r="B53" s="4" t="s">
        <v>90</v>
      </c>
      <c r="C53" s="4" t="s">
        <v>91</v>
      </c>
      <c r="D53" s="4" t="s">
        <v>3</v>
      </c>
      <c r="E53" s="4" t="s">
        <v>14</v>
      </c>
      <c r="F53" s="5">
        <v>6</v>
      </c>
      <c r="G53" s="6">
        <v>8000</v>
      </c>
      <c r="H53" s="6">
        <f>tblVentes[[#This Row],[Quantite]]*tblVentes[[#This Row],[Prix_Unitaire]]</f>
        <v>48000</v>
      </c>
      <c r="I53" s="4">
        <f t="shared" ca="1" si="1"/>
        <v>0.17</v>
      </c>
      <c r="J53" s="7">
        <f ca="1">tblVentes[[#This Row],[Chiffre_Affaires]]*(1-tblVentes[[#This Row],[Remise]])</f>
        <v>39840</v>
      </c>
      <c r="K53" s="15" t="b">
        <f>ISNUMBER(tblVentes[[#This Row],[Date]])</f>
        <v>1</v>
      </c>
    </row>
    <row r="54" spans="1:12">
      <c r="A54" s="11">
        <v>46174</v>
      </c>
      <c r="B54" s="4" t="s">
        <v>92</v>
      </c>
      <c r="C54" s="4" t="s">
        <v>91</v>
      </c>
      <c r="D54" s="4" t="s">
        <v>3</v>
      </c>
      <c r="E54" s="4" t="s">
        <v>13</v>
      </c>
      <c r="F54" s="5">
        <v>6</v>
      </c>
      <c r="G54" s="6">
        <v>8000</v>
      </c>
      <c r="H54" s="6">
        <f>tblVentes[[#This Row],[Quantite]]*tblVentes[[#This Row],[Prix_Unitaire]]</f>
        <v>48000</v>
      </c>
      <c r="I54" s="4">
        <f t="shared" ca="1" si="1"/>
        <v>0.02</v>
      </c>
      <c r="J54" s="7">
        <f ca="1">tblVentes[[#This Row],[Chiffre_Affaires]]*(1-tblVentes[[#This Row],[Remise]])</f>
        <v>47040</v>
      </c>
      <c r="K54" s="15" t="b">
        <f>ISNUMBER(tblVentes[[#This Row],[Date]])</f>
        <v>1</v>
      </c>
    </row>
    <row r="55" spans="1:12">
      <c r="A55" s="11">
        <v>46176</v>
      </c>
      <c r="B55" s="4" t="s">
        <v>93</v>
      </c>
      <c r="C55" s="4" t="s">
        <v>65</v>
      </c>
      <c r="D55" s="4" t="s">
        <v>4</v>
      </c>
      <c r="E55" s="4" t="s">
        <v>9</v>
      </c>
      <c r="F55" s="5">
        <v>1</v>
      </c>
      <c r="G55" s="6">
        <v>25000</v>
      </c>
      <c r="H55" s="6">
        <f>tblVentes[[#This Row],[Quantite]]*tblVentes[[#This Row],[Prix_Unitaire]]</f>
        <v>25000</v>
      </c>
      <c r="I55" s="4">
        <f t="shared" ca="1" si="1"/>
        <v>0</v>
      </c>
      <c r="J55" s="7">
        <f ca="1">tblVentes[[#This Row],[Chiffre_Affaires]]*(1-tblVentes[[#This Row],[Remise]])</f>
        <v>25000</v>
      </c>
      <c r="K55" s="15" t="b">
        <f>ISNUMBER(tblVentes[[#This Row],[Date]])</f>
        <v>1</v>
      </c>
    </row>
    <row r="56" spans="1:12">
      <c r="A56" s="11">
        <v>46176</v>
      </c>
      <c r="B56" s="4" t="s">
        <v>94</v>
      </c>
      <c r="C56" s="4" t="s">
        <v>42</v>
      </c>
      <c r="D56" s="4" t="s">
        <v>3</v>
      </c>
      <c r="E56" s="4" t="s">
        <v>12</v>
      </c>
      <c r="F56" s="5">
        <v>4</v>
      </c>
      <c r="G56" s="6">
        <v>18000</v>
      </c>
      <c r="H56" s="6">
        <f>tblVentes[[#This Row],[Quantite]]*tblVentes[[#This Row],[Prix_Unitaire]]</f>
        <v>72000</v>
      </c>
      <c r="I56" s="4">
        <f t="shared" ca="1" si="1"/>
        <v>0.19</v>
      </c>
      <c r="J56" s="7">
        <f ca="1">tblVentes[[#This Row],[Chiffre_Affaires]]*(1-tblVentes[[#This Row],[Remise]])</f>
        <v>58320.000000000007</v>
      </c>
      <c r="K56" s="15" t="b">
        <f>ISNUMBER(tblVentes[[#This Row],[Date]])</f>
        <v>1</v>
      </c>
    </row>
    <row r="57" spans="1:12">
      <c r="A57" s="11">
        <v>46178</v>
      </c>
      <c r="B57" s="4" t="s">
        <v>95</v>
      </c>
      <c r="C57" s="4" t="s">
        <v>65</v>
      </c>
      <c r="D57" s="4" t="s">
        <v>4</v>
      </c>
      <c r="E57" s="4" t="s">
        <v>9</v>
      </c>
      <c r="F57" s="5">
        <v>1</v>
      </c>
      <c r="G57" s="6">
        <v>25000</v>
      </c>
      <c r="H57" s="6">
        <f>tblVentes[[#This Row],[Quantite]]*tblVentes[[#This Row],[Prix_Unitaire]]</f>
        <v>25000</v>
      </c>
      <c r="I57" s="4">
        <f t="shared" ca="1" si="1"/>
        <v>0.18</v>
      </c>
      <c r="J57" s="7">
        <f ca="1">tblVentes[[#This Row],[Chiffre_Affaires]]*(1-tblVentes[[#This Row],[Remise]])</f>
        <v>20500</v>
      </c>
      <c r="K57" s="15" t="b">
        <f>ISNUMBER(tblVentes[[#This Row],[Date]])</f>
        <v>1</v>
      </c>
      <c r="L57" t="b">
        <f ca="1">ISTEXT(tblVentes[[#This Row],[Montant_Net]])</f>
        <v>0</v>
      </c>
    </row>
    <row r="58" spans="1:12">
      <c r="A58" s="11">
        <v>46180</v>
      </c>
      <c r="B58" s="4" t="s">
        <v>96</v>
      </c>
      <c r="C58" s="4" t="s">
        <v>34</v>
      </c>
      <c r="D58" s="4" t="s">
        <v>5</v>
      </c>
      <c r="E58" s="4" t="s">
        <v>10</v>
      </c>
      <c r="F58" s="5">
        <v>10</v>
      </c>
      <c r="G58" s="6">
        <v>120000</v>
      </c>
      <c r="H58" s="6">
        <f>tblVentes[[#This Row],[Quantite]]*tblVentes[[#This Row],[Prix_Unitaire]]</f>
        <v>1200000</v>
      </c>
      <c r="I58" s="4">
        <f t="shared" ca="1" si="1"/>
        <v>0.1</v>
      </c>
      <c r="J58" s="7">
        <f ca="1">tblVentes[[#This Row],[Chiffre_Affaires]]*(1-tblVentes[[#This Row],[Remise]])</f>
        <v>1080000</v>
      </c>
      <c r="K58" s="15" t="b">
        <f>ISNUMBER(tblVentes[[#This Row],[Date]])</f>
        <v>1</v>
      </c>
    </row>
    <row r="59" spans="1:12">
      <c r="A59" s="11">
        <v>46180</v>
      </c>
      <c r="B59" s="4" t="s">
        <v>80</v>
      </c>
      <c r="C59" s="4" t="s">
        <v>44</v>
      </c>
      <c r="D59" s="4" t="s">
        <v>5</v>
      </c>
      <c r="E59" s="4" t="s">
        <v>10</v>
      </c>
      <c r="F59" s="5">
        <v>10</v>
      </c>
      <c r="G59" s="6">
        <v>15000</v>
      </c>
      <c r="H59" s="6">
        <f>tblVentes[[#This Row],[Quantite]]*tblVentes[[#This Row],[Prix_Unitaire]]</f>
        <v>150000</v>
      </c>
      <c r="I59" s="4">
        <f t="shared" ca="1" si="1"/>
        <v>0.06</v>
      </c>
      <c r="J59" s="7">
        <f ca="1">tblVentes[[#This Row],[Chiffre_Affaires]]*(1-tblVentes[[#This Row],[Remise]])</f>
        <v>141000</v>
      </c>
      <c r="K59" s="15" t="b">
        <f>ISNUMBER(tblVentes[[#This Row],[Date]])</f>
        <v>1</v>
      </c>
    </row>
    <row r="60" spans="1:12">
      <c r="A60" s="11">
        <v>46190</v>
      </c>
      <c r="B60" s="4" t="s">
        <v>97</v>
      </c>
      <c r="C60" s="4" t="s">
        <v>30</v>
      </c>
      <c r="D60" s="4" t="s">
        <v>5</v>
      </c>
      <c r="E60" s="4" t="s">
        <v>13</v>
      </c>
      <c r="F60" s="5">
        <v>2</v>
      </c>
      <c r="G60" s="6">
        <v>25000</v>
      </c>
      <c r="H60" s="6">
        <f>tblVentes[[#This Row],[Quantite]]*tblVentes[[#This Row],[Prix_Unitaire]]</f>
        <v>50000</v>
      </c>
      <c r="I60" s="4">
        <f t="shared" ca="1" si="1"/>
        <v>0.16</v>
      </c>
      <c r="J60" s="7">
        <f ca="1">tblVentes[[#This Row],[Chiffre_Affaires]]*(1-tblVentes[[#This Row],[Remise]])</f>
        <v>42000</v>
      </c>
      <c r="K60" s="15" t="b">
        <f>ISNUMBER(tblVentes[[#This Row],[Date]])</f>
        <v>1</v>
      </c>
    </row>
    <row r="61" spans="1:12">
      <c r="A61" s="11">
        <v>46191</v>
      </c>
      <c r="B61" s="4" t="s">
        <v>98</v>
      </c>
      <c r="C61" s="4" t="s">
        <v>59</v>
      </c>
      <c r="D61" s="4" t="s">
        <v>3</v>
      </c>
      <c r="E61" s="4" t="s">
        <v>14</v>
      </c>
      <c r="F61" s="5">
        <v>5</v>
      </c>
      <c r="G61" s="6">
        <v>30000</v>
      </c>
      <c r="H61" s="6">
        <f>tblVentes[[#This Row],[Quantite]]*tblVentes[[#This Row],[Prix_Unitaire]]</f>
        <v>150000</v>
      </c>
      <c r="I61" s="4">
        <f t="shared" ca="1" si="1"/>
        <v>0.2</v>
      </c>
      <c r="J61" s="7">
        <f ca="1">tblVentes[[#This Row],[Chiffre_Affaires]]*(1-tblVentes[[#This Row],[Remise]])</f>
        <v>120000</v>
      </c>
      <c r="K61" s="15" t="b">
        <f>ISNUMBER(tblVentes[[#This Row],[Date]])</f>
        <v>1</v>
      </c>
    </row>
    <row r="62" spans="1:12">
      <c r="A62" s="11">
        <v>46192</v>
      </c>
      <c r="B62" s="4" t="s">
        <v>99</v>
      </c>
      <c r="C62" s="4" t="s">
        <v>34</v>
      </c>
      <c r="D62" s="4" t="s">
        <v>5</v>
      </c>
      <c r="E62" s="4" t="s">
        <v>14</v>
      </c>
      <c r="F62" s="5">
        <v>1</v>
      </c>
      <c r="G62" s="6">
        <v>120000</v>
      </c>
      <c r="H62" s="6">
        <f>tblVentes[[#This Row],[Quantite]]*tblVentes[[#This Row],[Prix_Unitaire]]</f>
        <v>120000</v>
      </c>
      <c r="I62" s="4">
        <f t="shared" ca="1" si="1"/>
        <v>0.17</v>
      </c>
      <c r="J62" s="7">
        <f ca="1">tblVentes[[#This Row],[Chiffre_Affaires]]*(1-tblVentes[[#This Row],[Remise]])</f>
        <v>99600</v>
      </c>
      <c r="K62" s="15" t="b">
        <f>ISNUMBER(tblVentes[[#This Row],[Date]])</f>
        <v>1</v>
      </c>
    </row>
    <row r="63" spans="1:12">
      <c r="A63" s="11">
        <v>46196</v>
      </c>
      <c r="B63" s="4" t="s">
        <v>100</v>
      </c>
      <c r="C63" s="4" t="s">
        <v>30</v>
      </c>
      <c r="D63" s="4" t="s">
        <v>5</v>
      </c>
      <c r="E63" s="4" t="s">
        <v>11</v>
      </c>
      <c r="F63" s="5">
        <v>4</v>
      </c>
      <c r="G63" s="6">
        <v>25000</v>
      </c>
      <c r="H63" s="6">
        <f>tblVentes[[#This Row],[Quantite]]*tblVentes[[#This Row],[Prix_Unitaire]]</f>
        <v>100000</v>
      </c>
      <c r="I63" s="4">
        <f t="shared" ca="1" si="1"/>
        <v>0.12</v>
      </c>
      <c r="J63" s="7">
        <f ca="1">tblVentes[[#This Row],[Chiffre_Affaires]]*(1-tblVentes[[#This Row],[Remise]])</f>
        <v>88000</v>
      </c>
      <c r="K63" s="15" t="b">
        <f>ISNUMBER(tblVentes[[#This Row],[Date]])</f>
        <v>1</v>
      </c>
    </row>
    <row r="64" spans="1:12">
      <c r="A64" s="11">
        <v>46197</v>
      </c>
      <c r="B64" s="4" t="s">
        <v>101</v>
      </c>
      <c r="C64" s="4" t="s">
        <v>49</v>
      </c>
      <c r="D64" s="4" t="s">
        <v>5</v>
      </c>
      <c r="E64" s="4" t="s">
        <v>8</v>
      </c>
      <c r="F64" s="5">
        <v>3</v>
      </c>
      <c r="G64" s="6">
        <v>45000</v>
      </c>
      <c r="H64" s="6">
        <f>tblVentes[[#This Row],[Quantite]]*tblVentes[[#This Row],[Prix_Unitaire]]</f>
        <v>135000</v>
      </c>
      <c r="I64" s="4">
        <f t="shared" ca="1" si="1"/>
        <v>0.06</v>
      </c>
      <c r="J64" s="7">
        <f ca="1">tblVentes[[#This Row],[Chiffre_Affaires]]*(1-tblVentes[[#This Row],[Remise]])</f>
        <v>126900</v>
      </c>
      <c r="K64" s="15" t="b">
        <f>ISNUMBER(tblVentes[[#This Row],[Date]])</f>
        <v>1</v>
      </c>
    </row>
    <row r="65" spans="1:11">
      <c r="A65" s="11">
        <v>46197</v>
      </c>
      <c r="B65" s="4" t="s">
        <v>102</v>
      </c>
      <c r="C65" s="4" t="s">
        <v>36</v>
      </c>
      <c r="D65" s="4" t="s">
        <v>5</v>
      </c>
      <c r="E65" s="4" t="s">
        <v>8</v>
      </c>
      <c r="F65" s="5">
        <v>10</v>
      </c>
      <c r="G65" s="6">
        <v>22000</v>
      </c>
      <c r="H65" s="6">
        <f>tblVentes[[#This Row],[Quantite]]*tblVentes[[#This Row],[Prix_Unitaire]]</f>
        <v>220000</v>
      </c>
      <c r="I65" s="4">
        <f t="shared" ca="1" si="1"/>
        <v>0.11</v>
      </c>
      <c r="J65" s="7">
        <f ca="1">tblVentes[[#This Row],[Chiffre_Affaires]]*(1-tblVentes[[#This Row],[Remise]])</f>
        <v>195800</v>
      </c>
      <c r="K65" s="15" t="b">
        <f>ISNUMBER(tblVentes[[#This Row],[Date]])</f>
        <v>1</v>
      </c>
    </row>
    <row r="66" spans="1:11">
      <c r="A66" s="11">
        <v>46198</v>
      </c>
      <c r="B66" s="4" t="s">
        <v>103</v>
      </c>
      <c r="C66" s="4" t="s">
        <v>104</v>
      </c>
      <c r="D66" s="4" t="s">
        <v>4</v>
      </c>
      <c r="E66" s="4" t="s">
        <v>14</v>
      </c>
      <c r="F66" s="5">
        <v>7</v>
      </c>
      <c r="G66" s="6">
        <v>220000</v>
      </c>
      <c r="H66" s="6">
        <f>tblVentes[[#This Row],[Quantite]]*tblVentes[[#This Row],[Prix_Unitaire]]</f>
        <v>1540000</v>
      </c>
      <c r="I66" s="4">
        <f t="shared" ref="I66:I97" ca="1" si="2">RANDBETWEEN(0,20)/100</f>
        <v>7.0000000000000007E-2</v>
      </c>
      <c r="J66" s="7">
        <f ca="1">tblVentes[[#This Row],[Chiffre_Affaires]]*(1-tblVentes[[#This Row],[Remise]])</f>
        <v>1432200</v>
      </c>
      <c r="K66" s="15" t="b">
        <f>ISNUMBER(tblVentes[[#This Row],[Date]])</f>
        <v>1</v>
      </c>
    </row>
    <row r="67" spans="1:11">
      <c r="A67" s="11">
        <v>46200</v>
      </c>
      <c r="B67" s="4" t="s">
        <v>105</v>
      </c>
      <c r="C67" s="4" t="s">
        <v>30</v>
      </c>
      <c r="D67" s="4" t="s">
        <v>5</v>
      </c>
      <c r="E67" s="4" t="s">
        <v>10</v>
      </c>
      <c r="F67" s="5">
        <v>4</v>
      </c>
      <c r="G67" s="6">
        <v>25000</v>
      </c>
      <c r="H67" s="6">
        <f>tblVentes[[#This Row],[Quantite]]*tblVentes[[#This Row],[Prix_Unitaire]]</f>
        <v>100000</v>
      </c>
      <c r="I67" s="4">
        <f t="shared" ca="1" si="2"/>
        <v>0.17</v>
      </c>
      <c r="J67" s="7">
        <f ca="1">tblVentes[[#This Row],[Chiffre_Affaires]]*(1-tblVentes[[#This Row],[Remise]])</f>
        <v>83000</v>
      </c>
      <c r="K67" s="15" t="b">
        <f>ISNUMBER(tblVentes[[#This Row],[Date]])</f>
        <v>1</v>
      </c>
    </row>
    <row r="68" spans="1:11">
      <c r="A68" s="11">
        <v>46201</v>
      </c>
      <c r="B68" s="4" t="s">
        <v>106</v>
      </c>
      <c r="C68" s="4" t="s">
        <v>55</v>
      </c>
      <c r="D68" s="4" t="s">
        <v>4</v>
      </c>
      <c r="E68" s="4" t="s">
        <v>15</v>
      </c>
      <c r="F68" s="5">
        <v>10</v>
      </c>
      <c r="G68" s="6">
        <v>45000</v>
      </c>
      <c r="H68" s="6">
        <f>tblVentes[[#This Row],[Quantite]]*tblVentes[[#This Row],[Prix_Unitaire]]</f>
        <v>450000</v>
      </c>
      <c r="I68" s="4">
        <f t="shared" ca="1" si="2"/>
        <v>0.03</v>
      </c>
      <c r="J68" s="7">
        <f ca="1">tblVentes[[#This Row],[Chiffre_Affaires]]*(1-tblVentes[[#This Row],[Remise]])</f>
        <v>436500</v>
      </c>
      <c r="K68" s="15" t="b">
        <f>ISNUMBER(tblVentes[[#This Row],[Date]])</f>
        <v>1</v>
      </c>
    </row>
    <row r="69" spans="1:11">
      <c r="A69" s="11">
        <v>46206</v>
      </c>
      <c r="B69" s="4" t="s">
        <v>107</v>
      </c>
      <c r="C69" s="4" t="s">
        <v>76</v>
      </c>
      <c r="D69" s="4" t="s">
        <v>5</v>
      </c>
      <c r="E69" s="4" t="s">
        <v>8</v>
      </c>
      <c r="F69" s="5">
        <v>9</v>
      </c>
      <c r="G69" s="6">
        <v>450000</v>
      </c>
      <c r="H69" s="6">
        <f>tblVentes[[#This Row],[Quantite]]*tblVentes[[#This Row],[Prix_Unitaire]]</f>
        <v>4050000</v>
      </c>
      <c r="I69" s="4">
        <f t="shared" ca="1" si="2"/>
        <v>0.13</v>
      </c>
      <c r="J69" s="7">
        <f ca="1">tblVentes[[#This Row],[Chiffre_Affaires]]*(1-tblVentes[[#This Row],[Remise]])</f>
        <v>3523500</v>
      </c>
      <c r="K69" s="15" t="b">
        <f>ISNUMBER(tblVentes[[#This Row],[Date]])</f>
        <v>1</v>
      </c>
    </row>
    <row r="70" spans="1:11">
      <c r="A70" s="11">
        <v>46209</v>
      </c>
      <c r="B70" s="4" t="s">
        <v>108</v>
      </c>
      <c r="C70" s="4" t="s">
        <v>76</v>
      </c>
      <c r="D70" s="4" t="s">
        <v>5</v>
      </c>
      <c r="E70" s="4" t="s">
        <v>11</v>
      </c>
      <c r="F70" s="5">
        <v>7</v>
      </c>
      <c r="G70" s="6">
        <v>450000</v>
      </c>
      <c r="H70" s="6">
        <f>tblVentes[[#This Row],[Quantite]]*tblVentes[[#This Row],[Prix_Unitaire]]</f>
        <v>3150000</v>
      </c>
      <c r="I70" s="4">
        <f t="shared" ca="1" si="2"/>
        <v>0.18</v>
      </c>
      <c r="J70" s="7">
        <f ca="1">tblVentes[[#This Row],[Chiffre_Affaires]]*(1-tblVentes[[#This Row],[Remise]])</f>
        <v>2583000</v>
      </c>
      <c r="K70" s="15" t="b">
        <f>ISNUMBER(tblVentes[[#This Row],[Date]])</f>
        <v>1</v>
      </c>
    </row>
    <row r="71" spans="1:11">
      <c r="A71" s="11">
        <v>46209</v>
      </c>
      <c r="B71" s="4" t="s">
        <v>109</v>
      </c>
      <c r="C71" s="4" t="s">
        <v>38</v>
      </c>
      <c r="D71" s="4" t="s">
        <v>5</v>
      </c>
      <c r="E71" s="4" t="s">
        <v>10</v>
      </c>
      <c r="F71" s="5">
        <v>2</v>
      </c>
      <c r="G71" s="6">
        <v>180000</v>
      </c>
      <c r="H71" s="6">
        <f>tblVentes[[#This Row],[Quantite]]*tblVentes[[#This Row],[Prix_Unitaire]]</f>
        <v>360000</v>
      </c>
      <c r="I71" s="4">
        <f t="shared" ca="1" si="2"/>
        <v>0.1</v>
      </c>
      <c r="J71" s="7">
        <f ca="1">tblVentes[[#This Row],[Chiffre_Affaires]]*(1-tblVentes[[#This Row],[Remise]])</f>
        <v>324000</v>
      </c>
      <c r="K71" s="15" t="b">
        <f>ISNUMBER(tblVentes[[#This Row],[Date]])</f>
        <v>1</v>
      </c>
    </row>
    <row r="72" spans="1:11">
      <c r="A72" s="11">
        <v>46217</v>
      </c>
      <c r="B72" s="4" t="s">
        <v>110</v>
      </c>
      <c r="C72" s="4" t="s">
        <v>59</v>
      </c>
      <c r="D72" s="4" t="s">
        <v>3</v>
      </c>
      <c r="E72" s="4" t="s">
        <v>15</v>
      </c>
      <c r="F72" s="5">
        <v>9</v>
      </c>
      <c r="G72" s="6">
        <v>30000</v>
      </c>
      <c r="H72" s="6">
        <f>tblVentes[[#This Row],[Quantite]]*tblVentes[[#This Row],[Prix_Unitaire]]</f>
        <v>270000</v>
      </c>
      <c r="I72" s="4">
        <f t="shared" ca="1" si="2"/>
        <v>7.0000000000000007E-2</v>
      </c>
      <c r="J72" s="7">
        <f ca="1">tblVentes[[#This Row],[Chiffre_Affaires]]*(1-tblVentes[[#This Row],[Remise]])</f>
        <v>251099.99999999997</v>
      </c>
      <c r="K72" s="15" t="b">
        <f>ISNUMBER(tblVentes[[#This Row],[Date]])</f>
        <v>1</v>
      </c>
    </row>
    <row r="73" spans="1:11">
      <c r="A73" s="11">
        <v>46217</v>
      </c>
      <c r="B73" s="4" t="s">
        <v>39</v>
      </c>
      <c r="C73" s="4" t="s">
        <v>59</v>
      </c>
      <c r="D73" s="4" t="s">
        <v>3</v>
      </c>
      <c r="E73" s="4" t="s">
        <v>14</v>
      </c>
      <c r="F73" s="5">
        <v>5</v>
      </c>
      <c r="G73" s="6">
        <v>25000</v>
      </c>
      <c r="H73" s="6">
        <f>tblVentes[[#This Row],[Quantite]]*tblVentes[[#This Row],[Prix_Unitaire]]</f>
        <v>125000</v>
      </c>
      <c r="I73" s="4">
        <f t="shared" ca="1" si="2"/>
        <v>0.13</v>
      </c>
      <c r="J73" s="7">
        <f ca="1">tblVentes[[#This Row],[Chiffre_Affaires]]*(1-tblVentes[[#This Row],[Remise]])</f>
        <v>108750</v>
      </c>
      <c r="K73" s="15" t="b">
        <f>ISNUMBER(tblVentes[[#This Row],[Date]])</f>
        <v>1</v>
      </c>
    </row>
    <row r="74" spans="1:11">
      <c r="A74" s="11">
        <v>46218</v>
      </c>
      <c r="B74" s="4" t="s">
        <v>111</v>
      </c>
      <c r="C74" s="4" t="s">
        <v>62</v>
      </c>
      <c r="D74" s="4" t="s">
        <v>4</v>
      </c>
      <c r="E74" s="4" t="s">
        <v>8</v>
      </c>
      <c r="F74" s="5">
        <v>6</v>
      </c>
      <c r="G74" s="6">
        <v>90000</v>
      </c>
      <c r="H74" s="6">
        <f>tblVentes[[#This Row],[Quantite]]*tblVentes[[#This Row],[Prix_Unitaire]]</f>
        <v>540000</v>
      </c>
      <c r="I74" s="4">
        <f t="shared" ca="1" si="2"/>
        <v>7.0000000000000007E-2</v>
      </c>
      <c r="J74" s="7">
        <f ca="1">tblVentes[[#This Row],[Chiffre_Affaires]]*(1-tblVentes[[#This Row],[Remise]])</f>
        <v>502199.99999999994</v>
      </c>
      <c r="K74" s="15" t="b">
        <f>ISNUMBER(tblVentes[[#This Row],[Date]])</f>
        <v>1</v>
      </c>
    </row>
    <row r="75" spans="1:11">
      <c r="A75" s="11">
        <v>46218</v>
      </c>
      <c r="B75" s="4" t="s">
        <v>112</v>
      </c>
      <c r="C75" s="4" t="s">
        <v>28</v>
      </c>
      <c r="D75" s="4" t="s">
        <v>4</v>
      </c>
      <c r="E75" s="4" t="s">
        <v>13</v>
      </c>
      <c r="F75" s="5">
        <v>7</v>
      </c>
      <c r="G75" s="6">
        <v>350000</v>
      </c>
      <c r="H75" s="6">
        <f>tblVentes[[#This Row],[Quantite]]*tblVentes[[#This Row],[Prix_Unitaire]]</f>
        <v>2450000</v>
      </c>
      <c r="I75" s="4">
        <f t="shared" ca="1" si="2"/>
        <v>0</v>
      </c>
      <c r="J75" s="7">
        <f ca="1">tblVentes[[#This Row],[Chiffre_Affaires]]*(1-tblVentes[[#This Row],[Remise]])</f>
        <v>2450000</v>
      </c>
      <c r="K75" s="15" t="b">
        <f>ISNUMBER(tblVentes[[#This Row],[Date]])</f>
        <v>1</v>
      </c>
    </row>
    <row r="76" spans="1:11">
      <c r="A76" s="11">
        <v>46218</v>
      </c>
      <c r="B76" s="4" t="s">
        <v>95</v>
      </c>
      <c r="C76" s="4" t="s">
        <v>88</v>
      </c>
      <c r="D76" s="4" t="s">
        <v>5</v>
      </c>
      <c r="E76" s="4" t="s">
        <v>11</v>
      </c>
      <c r="F76" s="5">
        <v>7</v>
      </c>
      <c r="G76" s="6">
        <v>45000</v>
      </c>
      <c r="H76" s="6">
        <f>tblVentes[[#This Row],[Quantite]]*tblVentes[[#This Row],[Prix_Unitaire]]</f>
        <v>315000</v>
      </c>
      <c r="I76" s="4">
        <f t="shared" ca="1" si="2"/>
        <v>0.11</v>
      </c>
      <c r="J76" s="7">
        <f ca="1">tblVentes[[#This Row],[Chiffre_Affaires]]*(1-tblVentes[[#This Row],[Remise]])</f>
        <v>280350</v>
      </c>
      <c r="K76" s="15" t="b">
        <f>ISNUMBER(tblVentes[[#This Row],[Date]])</f>
        <v>1</v>
      </c>
    </row>
    <row r="77" spans="1:11">
      <c r="A77" s="11">
        <v>46218</v>
      </c>
      <c r="B77" s="4" t="s">
        <v>40</v>
      </c>
      <c r="C77" s="4" t="s">
        <v>44</v>
      </c>
      <c r="D77" s="4" t="s">
        <v>5</v>
      </c>
      <c r="E77" s="4" t="s">
        <v>8</v>
      </c>
      <c r="F77" s="5">
        <v>10</v>
      </c>
      <c r="G77" s="6">
        <v>25000</v>
      </c>
      <c r="H77" s="6">
        <f>tblVentes[[#This Row],[Quantite]]*tblVentes[[#This Row],[Prix_Unitaire]]</f>
        <v>250000</v>
      </c>
      <c r="I77" s="4">
        <f t="shared" ca="1" si="2"/>
        <v>0.04</v>
      </c>
      <c r="J77" s="7">
        <f ca="1">tblVentes[[#This Row],[Chiffre_Affaires]]*(1-tblVentes[[#This Row],[Remise]])</f>
        <v>240000</v>
      </c>
      <c r="K77" s="15" t="b">
        <f>ISNUMBER(tblVentes[[#This Row],[Date]])</f>
        <v>1</v>
      </c>
    </row>
    <row r="78" spans="1:11">
      <c r="A78" s="11">
        <v>46221</v>
      </c>
      <c r="B78" s="4" t="s">
        <v>113</v>
      </c>
      <c r="C78" s="4" t="s">
        <v>30</v>
      </c>
      <c r="D78" s="4" t="s">
        <v>5</v>
      </c>
      <c r="E78" s="4" t="s">
        <v>13</v>
      </c>
      <c r="F78" s="5">
        <v>3</v>
      </c>
      <c r="G78" s="6">
        <v>25000</v>
      </c>
      <c r="H78" s="6">
        <f>tblVentes[[#This Row],[Quantite]]*tblVentes[[#This Row],[Prix_Unitaire]]</f>
        <v>75000</v>
      </c>
      <c r="I78" s="4">
        <f t="shared" ca="1" si="2"/>
        <v>0.06</v>
      </c>
      <c r="J78" s="7">
        <f ca="1">tblVentes[[#This Row],[Chiffre_Affaires]]*(1-tblVentes[[#This Row],[Remise]])</f>
        <v>70500</v>
      </c>
      <c r="K78" s="15" t="b">
        <f>ISNUMBER(tblVentes[[#This Row],[Date]])</f>
        <v>1</v>
      </c>
    </row>
    <row r="79" spans="1:11">
      <c r="A79" s="11">
        <v>46221</v>
      </c>
      <c r="B79" s="4" t="s">
        <v>114</v>
      </c>
      <c r="C79" s="4" t="s">
        <v>38</v>
      </c>
      <c r="D79" s="4" t="s">
        <v>5</v>
      </c>
      <c r="E79" s="4" t="s">
        <v>8</v>
      </c>
      <c r="F79" s="5">
        <v>3</v>
      </c>
      <c r="G79" s="6">
        <v>25000</v>
      </c>
      <c r="H79" s="6">
        <f>tblVentes[[#This Row],[Quantite]]*tblVentes[[#This Row],[Prix_Unitaire]]</f>
        <v>75000</v>
      </c>
      <c r="I79" s="4">
        <f t="shared" ca="1" si="2"/>
        <v>0.05</v>
      </c>
      <c r="J79" s="7">
        <f ca="1">tblVentes[[#This Row],[Chiffre_Affaires]]*(1-tblVentes[[#This Row],[Remise]])</f>
        <v>71250</v>
      </c>
      <c r="K79" s="15" t="b">
        <f>ISNUMBER(tblVentes[[#This Row],[Date]])</f>
        <v>1</v>
      </c>
    </row>
    <row r="80" spans="1:11">
      <c r="A80" s="11">
        <v>46222</v>
      </c>
      <c r="B80" s="4" t="s">
        <v>115</v>
      </c>
      <c r="C80" s="4" t="s">
        <v>28</v>
      </c>
      <c r="D80" s="4" t="s">
        <v>4</v>
      </c>
      <c r="E80" s="4" t="s">
        <v>10</v>
      </c>
      <c r="F80" s="5">
        <v>2</v>
      </c>
      <c r="G80" s="6">
        <v>350000</v>
      </c>
      <c r="H80" s="6">
        <f>tblVentes[[#This Row],[Quantite]]*tblVentes[[#This Row],[Prix_Unitaire]]</f>
        <v>700000</v>
      </c>
      <c r="I80" s="4">
        <f t="shared" ca="1" si="2"/>
        <v>0.15</v>
      </c>
      <c r="J80" s="7">
        <f ca="1">tblVentes[[#This Row],[Chiffre_Affaires]]*(1-tblVentes[[#This Row],[Remise]])</f>
        <v>595000</v>
      </c>
      <c r="K80" s="15" t="b">
        <f>ISNUMBER(tblVentes[[#This Row],[Date]])</f>
        <v>1</v>
      </c>
    </row>
    <row r="81" spans="1:11">
      <c r="A81" s="11">
        <v>46224</v>
      </c>
      <c r="B81" s="4" t="s">
        <v>116</v>
      </c>
      <c r="C81" s="4" t="s">
        <v>30</v>
      </c>
      <c r="D81" s="4" t="s">
        <v>5</v>
      </c>
      <c r="E81" s="4" t="s">
        <v>14</v>
      </c>
      <c r="F81" s="5">
        <v>8</v>
      </c>
      <c r="G81" s="6">
        <v>25000</v>
      </c>
      <c r="H81" s="6">
        <f>tblVentes[[#This Row],[Quantite]]*tblVentes[[#This Row],[Prix_Unitaire]]</f>
        <v>200000</v>
      </c>
      <c r="I81" s="4">
        <f t="shared" ca="1" si="2"/>
        <v>0.06</v>
      </c>
      <c r="J81" s="7">
        <f ca="1">tblVentes[[#This Row],[Chiffre_Affaires]]*(1-tblVentes[[#This Row],[Remise]])</f>
        <v>188000</v>
      </c>
      <c r="K81" s="15" t="b">
        <f>ISNUMBER(tblVentes[[#This Row],[Date]])</f>
        <v>1</v>
      </c>
    </row>
    <row r="82" spans="1:11">
      <c r="A82" s="11">
        <v>46225</v>
      </c>
      <c r="B82" s="4" t="s">
        <v>117</v>
      </c>
      <c r="C82" s="4" t="s">
        <v>59</v>
      </c>
      <c r="D82" s="4" t="s">
        <v>3</v>
      </c>
      <c r="E82" s="4" t="s">
        <v>9</v>
      </c>
      <c r="F82" s="5">
        <v>4</v>
      </c>
      <c r="G82" s="6">
        <v>30000</v>
      </c>
      <c r="H82" s="6">
        <f>tblVentes[[#This Row],[Quantite]]*tblVentes[[#This Row],[Prix_Unitaire]]</f>
        <v>120000</v>
      </c>
      <c r="I82" s="4">
        <f t="shared" ca="1" si="2"/>
        <v>0.16</v>
      </c>
      <c r="J82" s="7">
        <f ca="1">tblVentes[[#This Row],[Chiffre_Affaires]]*(1-tblVentes[[#This Row],[Remise]])</f>
        <v>100800</v>
      </c>
      <c r="K82" s="15" t="b">
        <f>ISNUMBER(tblVentes[[#This Row],[Date]])</f>
        <v>1</v>
      </c>
    </row>
    <row r="83" spans="1:11">
      <c r="A83" s="11">
        <v>46225</v>
      </c>
      <c r="B83" s="4" t="s">
        <v>118</v>
      </c>
      <c r="C83" s="4" t="s">
        <v>65</v>
      </c>
      <c r="D83" s="4" t="s">
        <v>4</v>
      </c>
      <c r="E83" s="4" t="s">
        <v>17</v>
      </c>
      <c r="F83" s="5">
        <v>1</v>
      </c>
      <c r="G83" s="6">
        <v>25000</v>
      </c>
      <c r="H83" s="6">
        <f>tblVentes[[#This Row],[Quantite]]*tblVentes[[#This Row],[Prix_Unitaire]]</f>
        <v>25000</v>
      </c>
      <c r="I83" s="4">
        <f t="shared" ca="1" si="2"/>
        <v>0.1</v>
      </c>
      <c r="J83" s="7">
        <f ca="1">tblVentes[[#This Row],[Chiffre_Affaires]]*(1-tblVentes[[#This Row],[Remise]])</f>
        <v>22500</v>
      </c>
      <c r="K83" s="15" t="b">
        <f>ISNUMBER(tblVentes[[#This Row],[Date]])</f>
        <v>1</v>
      </c>
    </row>
    <row r="84" spans="1:11">
      <c r="A84" s="11">
        <v>46228</v>
      </c>
      <c r="B84" s="4" t="s">
        <v>119</v>
      </c>
      <c r="C84" s="4" t="s">
        <v>59</v>
      </c>
      <c r="D84" s="4" t="s">
        <v>3</v>
      </c>
      <c r="E84" s="4" t="s">
        <v>16</v>
      </c>
      <c r="F84" s="5">
        <v>9</v>
      </c>
      <c r="G84" s="6">
        <v>30000</v>
      </c>
      <c r="H84" s="6">
        <f>tblVentes[[#This Row],[Quantite]]*tblVentes[[#This Row],[Prix_Unitaire]]</f>
        <v>270000</v>
      </c>
      <c r="I84" s="4">
        <f t="shared" ca="1" si="2"/>
        <v>0.1</v>
      </c>
      <c r="J84" s="7">
        <f ca="1">tblVentes[[#This Row],[Chiffre_Affaires]]*(1-tblVentes[[#This Row],[Remise]])</f>
        <v>243000</v>
      </c>
      <c r="K84" s="15" t="b">
        <f>ISNUMBER(tblVentes[[#This Row],[Date]])</f>
        <v>1</v>
      </c>
    </row>
    <row r="85" spans="1:11">
      <c r="A85" s="11">
        <v>46229</v>
      </c>
      <c r="B85" s="4" t="s">
        <v>120</v>
      </c>
      <c r="C85" s="4" t="s">
        <v>38</v>
      </c>
      <c r="D85" s="4" t="s">
        <v>5</v>
      </c>
      <c r="E85" s="4" t="s">
        <v>13</v>
      </c>
      <c r="F85" s="5">
        <v>8</v>
      </c>
      <c r="G85" s="6">
        <v>180000</v>
      </c>
      <c r="H85" s="6">
        <f>tblVentes[[#This Row],[Quantite]]*tblVentes[[#This Row],[Prix_Unitaire]]</f>
        <v>1440000</v>
      </c>
      <c r="I85" s="4">
        <f t="shared" ca="1" si="2"/>
        <v>0.1</v>
      </c>
      <c r="J85" s="7">
        <f ca="1">tblVentes[[#This Row],[Chiffre_Affaires]]*(1-tblVentes[[#This Row],[Remise]])</f>
        <v>1296000</v>
      </c>
      <c r="K85" s="15" t="b">
        <f>ISNUMBER(tblVentes[[#This Row],[Date]])</f>
        <v>1</v>
      </c>
    </row>
    <row r="86" spans="1:11">
      <c r="A86" s="11">
        <v>46230</v>
      </c>
      <c r="B86" s="4" t="s">
        <v>121</v>
      </c>
      <c r="C86" s="4" t="s">
        <v>30</v>
      </c>
      <c r="D86" s="4" t="s">
        <v>5</v>
      </c>
      <c r="E86" s="4" t="s">
        <v>13</v>
      </c>
      <c r="F86" s="5">
        <v>2</v>
      </c>
      <c r="G86" s="6">
        <v>25000</v>
      </c>
      <c r="H86" s="6">
        <f>tblVentes[[#This Row],[Quantite]]*tblVentes[[#This Row],[Prix_Unitaire]]</f>
        <v>50000</v>
      </c>
      <c r="I86" s="4">
        <f t="shared" ca="1" si="2"/>
        <v>0</v>
      </c>
      <c r="J86" s="7">
        <f ca="1">tblVentes[[#This Row],[Chiffre_Affaires]]*(1-tblVentes[[#This Row],[Remise]])</f>
        <v>50000</v>
      </c>
      <c r="K86" s="15" t="b">
        <f>ISNUMBER(tblVentes[[#This Row],[Date]])</f>
        <v>1</v>
      </c>
    </row>
    <row r="87" spans="1:11">
      <c r="A87" s="11">
        <v>46235</v>
      </c>
      <c r="B87" s="4" t="s">
        <v>122</v>
      </c>
      <c r="C87" s="4" t="s">
        <v>30</v>
      </c>
      <c r="D87" s="4" t="s">
        <v>5</v>
      </c>
      <c r="E87" s="4" t="s">
        <v>17</v>
      </c>
      <c r="F87" s="5">
        <v>8</v>
      </c>
      <c r="G87" s="6">
        <v>25000</v>
      </c>
      <c r="H87" s="6">
        <f>tblVentes[[#This Row],[Quantite]]*tblVentes[[#This Row],[Prix_Unitaire]]</f>
        <v>200000</v>
      </c>
      <c r="I87" s="4">
        <f t="shared" ca="1" si="2"/>
        <v>0.04</v>
      </c>
      <c r="J87" s="7">
        <f ca="1">tblVentes[[#This Row],[Chiffre_Affaires]]*(1-tblVentes[[#This Row],[Remise]])</f>
        <v>192000</v>
      </c>
      <c r="K87" s="15" t="b">
        <f>ISNUMBER(tblVentes[[#This Row],[Date]])</f>
        <v>1</v>
      </c>
    </row>
    <row r="88" spans="1:11">
      <c r="A88" s="11">
        <v>46240</v>
      </c>
      <c r="B88" s="4" t="s">
        <v>123</v>
      </c>
      <c r="C88" s="4" t="s">
        <v>44</v>
      </c>
      <c r="D88" s="4" t="s">
        <v>5</v>
      </c>
      <c r="E88" s="4" t="s">
        <v>17</v>
      </c>
      <c r="F88" s="5">
        <v>5</v>
      </c>
      <c r="G88" s="6">
        <v>15000</v>
      </c>
      <c r="H88" s="6">
        <f>tblVentes[[#This Row],[Quantite]]*tblVentes[[#This Row],[Prix_Unitaire]]</f>
        <v>75000</v>
      </c>
      <c r="I88" s="4">
        <f t="shared" ca="1" si="2"/>
        <v>0.06</v>
      </c>
      <c r="J88" s="7">
        <f ca="1">tblVentes[[#This Row],[Chiffre_Affaires]]*(1-tblVentes[[#This Row],[Remise]])</f>
        <v>70500</v>
      </c>
      <c r="K88" s="15" t="b">
        <f>ISNUMBER(tblVentes[[#This Row],[Date]])</f>
        <v>1</v>
      </c>
    </row>
    <row r="89" spans="1:11">
      <c r="A89" s="11">
        <v>46248</v>
      </c>
      <c r="B89" s="4" t="s">
        <v>124</v>
      </c>
      <c r="C89" s="4" t="s">
        <v>34</v>
      </c>
      <c r="D89" s="4" t="s">
        <v>5</v>
      </c>
      <c r="E89" s="4" t="s">
        <v>8</v>
      </c>
      <c r="F89" s="5">
        <v>3</v>
      </c>
      <c r="G89" s="6">
        <v>120000</v>
      </c>
      <c r="H89" s="6">
        <f>tblVentes[[#This Row],[Quantite]]*tblVentes[[#This Row],[Prix_Unitaire]]</f>
        <v>360000</v>
      </c>
      <c r="I89" s="4">
        <f t="shared" ca="1" si="2"/>
        <v>0.05</v>
      </c>
      <c r="J89" s="7">
        <f ca="1">tblVentes[[#This Row],[Chiffre_Affaires]]*(1-tblVentes[[#This Row],[Remise]])</f>
        <v>342000</v>
      </c>
      <c r="K89" s="15" t="b">
        <f>ISNUMBER(tblVentes[[#This Row],[Date]])</f>
        <v>1</v>
      </c>
    </row>
    <row r="90" spans="1:11">
      <c r="A90" s="11">
        <v>46250</v>
      </c>
      <c r="B90" s="4" t="s">
        <v>125</v>
      </c>
      <c r="C90" s="4" t="s">
        <v>36</v>
      </c>
      <c r="D90" s="4" t="s">
        <v>5</v>
      </c>
      <c r="E90" s="4" t="s">
        <v>11</v>
      </c>
      <c r="F90" s="5">
        <v>8</v>
      </c>
      <c r="G90" s="6">
        <v>22000</v>
      </c>
      <c r="H90" s="6">
        <f>tblVentes[[#This Row],[Quantite]]*tblVentes[[#This Row],[Prix_Unitaire]]</f>
        <v>176000</v>
      </c>
      <c r="I90" s="4">
        <f t="shared" ca="1" si="2"/>
        <v>0.05</v>
      </c>
      <c r="J90" s="7">
        <f ca="1">tblVentes[[#This Row],[Chiffre_Affaires]]*(1-tblVentes[[#This Row],[Remise]])</f>
        <v>167200</v>
      </c>
      <c r="K90" s="15" t="b">
        <f>ISNUMBER(tblVentes[[#This Row],[Date]])</f>
        <v>1</v>
      </c>
    </row>
    <row r="91" spans="1:11">
      <c r="A91" s="11">
        <v>46267</v>
      </c>
      <c r="B91" s="4" t="s">
        <v>126</v>
      </c>
      <c r="C91" s="4" t="s">
        <v>76</v>
      </c>
      <c r="D91" s="4" t="s">
        <v>5</v>
      </c>
      <c r="E91" s="4" t="s">
        <v>10</v>
      </c>
      <c r="F91" s="5">
        <v>7</v>
      </c>
      <c r="G91" s="6">
        <v>450000</v>
      </c>
      <c r="H91" s="6">
        <f>tblVentes[[#This Row],[Quantite]]*tblVentes[[#This Row],[Prix_Unitaire]]</f>
        <v>3150000</v>
      </c>
      <c r="I91" s="4">
        <f t="shared" ca="1" si="2"/>
        <v>0.01</v>
      </c>
      <c r="J91" s="7">
        <f ca="1">tblVentes[[#This Row],[Chiffre_Affaires]]*(1-tblVentes[[#This Row],[Remise]])</f>
        <v>3118500</v>
      </c>
      <c r="K91" s="15" t="b">
        <f>ISNUMBER(tblVentes[[#This Row],[Date]])</f>
        <v>1</v>
      </c>
    </row>
    <row r="92" spans="1:11">
      <c r="A92" s="11">
        <v>46269</v>
      </c>
      <c r="B92" s="4" t="s">
        <v>127</v>
      </c>
      <c r="C92" s="4" t="s">
        <v>49</v>
      </c>
      <c r="D92" s="4" t="s">
        <v>5</v>
      </c>
      <c r="E92" s="4" t="s">
        <v>8</v>
      </c>
      <c r="F92" s="5">
        <v>8</v>
      </c>
      <c r="G92" s="6">
        <v>45000</v>
      </c>
      <c r="H92" s="6">
        <f>tblVentes[[#This Row],[Quantite]]*tblVentes[[#This Row],[Prix_Unitaire]]</f>
        <v>360000</v>
      </c>
      <c r="I92" s="4">
        <f t="shared" ca="1" si="2"/>
        <v>0.16</v>
      </c>
      <c r="J92" s="7">
        <f ca="1">tblVentes[[#This Row],[Chiffre_Affaires]]*(1-tblVentes[[#This Row],[Remise]])</f>
        <v>302400</v>
      </c>
      <c r="K92" s="15" t="b">
        <f>ISNUMBER(tblVentes[[#This Row],[Date]])</f>
        <v>1</v>
      </c>
    </row>
    <row r="93" spans="1:11">
      <c r="A93" s="11">
        <v>46270</v>
      </c>
      <c r="B93" s="4" t="s">
        <v>128</v>
      </c>
      <c r="C93" s="4" t="s">
        <v>59</v>
      </c>
      <c r="D93" s="4" t="s">
        <v>3</v>
      </c>
      <c r="E93" s="4" t="s">
        <v>8</v>
      </c>
      <c r="F93" s="5">
        <v>8</v>
      </c>
      <c r="G93" s="6">
        <v>30000</v>
      </c>
      <c r="H93" s="6">
        <f>tblVentes[[#This Row],[Quantite]]*tblVentes[[#This Row],[Prix_Unitaire]]</f>
        <v>240000</v>
      </c>
      <c r="I93" s="4">
        <f t="shared" ca="1" si="2"/>
        <v>0</v>
      </c>
      <c r="J93" s="7">
        <f ca="1">tblVentes[[#This Row],[Chiffre_Affaires]]*(1-tblVentes[[#This Row],[Remise]])</f>
        <v>240000</v>
      </c>
      <c r="K93" s="15" t="b">
        <f>ISNUMBER(tblVentes[[#This Row],[Date]])</f>
        <v>1</v>
      </c>
    </row>
    <row r="94" spans="1:11">
      <c r="A94" s="11">
        <v>46271</v>
      </c>
      <c r="B94" s="4" t="s">
        <v>129</v>
      </c>
      <c r="C94" s="4" t="s">
        <v>28</v>
      </c>
      <c r="D94" s="4" t="s">
        <v>4</v>
      </c>
      <c r="E94" s="4" t="s">
        <v>9</v>
      </c>
      <c r="F94" s="5">
        <v>9</v>
      </c>
      <c r="G94" s="6">
        <v>350000</v>
      </c>
      <c r="H94" s="6">
        <f>tblVentes[[#This Row],[Quantite]]*tblVentes[[#This Row],[Prix_Unitaire]]</f>
        <v>3150000</v>
      </c>
      <c r="I94" s="4">
        <f t="shared" ca="1" si="2"/>
        <v>0.06</v>
      </c>
      <c r="J94" s="7">
        <f ca="1">tblVentes[[#This Row],[Chiffre_Affaires]]*(1-tblVentes[[#This Row],[Remise]])</f>
        <v>2961000</v>
      </c>
      <c r="K94" s="15" t="b">
        <f>ISNUMBER(tblVentes[[#This Row],[Date]])</f>
        <v>1</v>
      </c>
    </row>
    <row r="95" spans="1:11">
      <c r="A95" s="11">
        <v>46297</v>
      </c>
      <c r="B95" s="4" t="s">
        <v>130</v>
      </c>
      <c r="C95" s="4" t="s">
        <v>59</v>
      </c>
      <c r="D95" s="4" t="s">
        <v>3</v>
      </c>
      <c r="E95" s="4" t="s">
        <v>14</v>
      </c>
      <c r="F95" s="5">
        <v>2</v>
      </c>
      <c r="G95" s="6">
        <v>30000</v>
      </c>
      <c r="H95" s="6">
        <f>tblVentes[[#This Row],[Quantite]]*tblVentes[[#This Row],[Prix_Unitaire]]</f>
        <v>60000</v>
      </c>
      <c r="I95" s="4">
        <f t="shared" ca="1" si="2"/>
        <v>7.0000000000000007E-2</v>
      </c>
      <c r="J95" s="7">
        <f ca="1">tblVentes[[#This Row],[Chiffre_Affaires]]*(1-tblVentes[[#This Row],[Remise]])</f>
        <v>55799.999999999993</v>
      </c>
      <c r="K95" s="15" t="b">
        <f>ISNUMBER(tblVentes[[#This Row],[Date]])</f>
        <v>1</v>
      </c>
    </row>
    <row r="96" spans="1:11">
      <c r="A96" s="11">
        <v>46300</v>
      </c>
      <c r="B96" s="4" t="s">
        <v>131</v>
      </c>
      <c r="C96" s="4" t="s">
        <v>91</v>
      </c>
      <c r="D96" s="4" t="s">
        <v>3</v>
      </c>
      <c r="E96" s="4" t="s">
        <v>17</v>
      </c>
      <c r="F96" s="5">
        <v>3</v>
      </c>
      <c r="G96" s="6">
        <v>8000</v>
      </c>
      <c r="H96" s="6">
        <f>tblVentes[[#This Row],[Quantite]]*tblVentes[[#This Row],[Prix_Unitaire]]</f>
        <v>24000</v>
      </c>
      <c r="I96" s="4">
        <f t="shared" ca="1" si="2"/>
        <v>0</v>
      </c>
      <c r="J96" s="7">
        <f ca="1">tblVentes[[#This Row],[Chiffre_Affaires]]*(1-tblVentes[[#This Row],[Remise]])</f>
        <v>24000</v>
      </c>
      <c r="K96" s="15" t="b">
        <f>ISNUMBER(tblVentes[[#This Row],[Date]])</f>
        <v>1</v>
      </c>
    </row>
    <row r="97" spans="1:11">
      <c r="A97" s="11">
        <v>46300</v>
      </c>
      <c r="B97" s="4" t="s">
        <v>132</v>
      </c>
      <c r="C97" s="4" t="s">
        <v>62</v>
      </c>
      <c r="D97" s="4" t="s">
        <v>4</v>
      </c>
      <c r="E97" s="4" t="s">
        <v>8</v>
      </c>
      <c r="F97" s="5">
        <v>8</v>
      </c>
      <c r="G97" s="6">
        <v>90000</v>
      </c>
      <c r="H97" s="6">
        <f>tblVentes[[#This Row],[Quantite]]*tblVentes[[#This Row],[Prix_Unitaire]]</f>
        <v>720000</v>
      </c>
      <c r="I97" s="4">
        <f t="shared" ca="1" si="2"/>
        <v>0.05</v>
      </c>
      <c r="J97" s="7">
        <f ca="1">tblVentes[[#This Row],[Chiffre_Affaires]]*(1-tblVentes[[#This Row],[Remise]])</f>
        <v>684000</v>
      </c>
      <c r="K97" s="15" t="b">
        <f>ISNUMBER(tblVentes[[#This Row],[Date]])</f>
        <v>1</v>
      </c>
    </row>
    <row r="98" spans="1:11">
      <c r="A98" s="11">
        <v>46301</v>
      </c>
      <c r="B98" s="4" t="s">
        <v>133</v>
      </c>
      <c r="C98" s="4" t="s">
        <v>28</v>
      </c>
      <c r="D98" s="4" t="s">
        <v>4</v>
      </c>
      <c r="E98" s="4" t="s">
        <v>13</v>
      </c>
      <c r="F98" s="5">
        <v>2</v>
      </c>
      <c r="G98" s="6">
        <v>350000</v>
      </c>
      <c r="H98" s="6">
        <f>tblVentes[[#This Row],[Quantite]]*tblVentes[[#This Row],[Prix_Unitaire]]</f>
        <v>700000</v>
      </c>
      <c r="I98" s="4">
        <f t="shared" ref="I98:I111" ca="1" si="3">RANDBETWEEN(0,20)/100</f>
        <v>0.09</v>
      </c>
      <c r="J98" s="7">
        <f ca="1">tblVentes[[#This Row],[Chiffre_Affaires]]*(1-tblVentes[[#This Row],[Remise]])</f>
        <v>637000</v>
      </c>
      <c r="K98" s="15" t="b">
        <f>ISNUMBER(tblVentes[[#This Row],[Date]])</f>
        <v>1</v>
      </c>
    </row>
    <row r="99" spans="1:11">
      <c r="A99" s="11">
        <v>46301</v>
      </c>
      <c r="B99" s="4" t="s">
        <v>134</v>
      </c>
      <c r="C99" s="4" t="s">
        <v>42</v>
      </c>
      <c r="D99" s="4" t="s">
        <v>3</v>
      </c>
      <c r="E99" s="4" t="s">
        <v>10</v>
      </c>
      <c r="F99" s="5">
        <v>8</v>
      </c>
      <c r="G99" s="6">
        <v>18000</v>
      </c>
      <c r="H99" s="6">
        <f>tblVentes[[#This Row],[Quantite]]*tblVentes[[#This Row],[Prix_Unitaire]]</f>
        <v>144000</v>
      </c>
      <c r="I99" s="4">
        <f t="shared" ca="1" si="3"/>
        <v>0.15</v>
      </c>
      <c r="J99" s="7">
        <f ca="1">tblVentes[[#This Row],[Chiffre_Affaires]]*(1-tblVentes[[#This Row],[Remise]])</f>
        <v>122400</v>
      </c>
      <c r="K99" s="15" t="b">
        <f>ISNUMBER(tblVentes[[#This Row],[Date]])</f>
        <v>1</v>
      </c>
    </row>
    <row r="100" spans="1:11">
      <c r="A100" s="11">
        <v>46302</v>
      </c>
      <c r="B100" s="4" t="s">
        <v>135</v>
      </c>
      <c r="C100" s="4" t="s">
        <v>36</v>
      </c>
      <c r="D100" s="4" t="s">
        <v>5</v>
      </c>
      <c r="E100" s="4" t="s">
        <v>12</v>
      </c>
      <c r="F100" s="5">
        <v>3</v>
      </c>
      <c r="G100" s="6">
        <v>22000</v>
      </c>
      <c r="H100" s="6">
        <f>tblVentes[[#This Row],[Quantite]]*tblVentes[[#This Row],[Prix_Unitaire]]</f>
        <v>66000</v>
      </c>
      <c r="I100" s="4">
        <f t="shared" ca="1" si="3"/>
        <v>0.1</v>
      </c>
      <c r="J100" s="7">
        <f ca="1">tblVentes[[#This Row],[Chiffre_Affaires]]*(1-tblVentes[[#This Row],[Remise]])</f>
        <v>59400</v>
      </c>
      <c r="K100" s="15" t="b">
        <f>ISNUMBER(tblVentes[[#This Row],[Date]])</f>
        <v>1</v>
      </c>
    </row>
    <row r="101" spans="1:11">
      <c r="A101" s="11">
        <v>46302</v>
      </c>
      <c r="B101" s="4" t="s">
        <v>136</v>
      </c>
      <c r="C101" s="4" t="s">
        <v>65</v>
      </c>
      <c r="D101" s="4" t="s">
        <v>4</v>
      </c>
      <c r="E101" s="4" t="s">
        <v>15</v>
      </c>
      <c r="F101" s="5">
        <v>6</v>
      </c>
      <c r="G101" s="6">
        <v>25000</v>
      </c>
      <c r="H101" s="6">
        <f>tblVentes[[#This Row],[Quantite]]*tblVentes[[#This Row],[Prix_Unitaire]]</f>
        <v>150000</v>
      </c>
      <c r="I101" s="4">
        <f t="shared" ca="1" si="3"/>
        <v>0.15</v>
      </c>
      <c r="J101" s="7">
        <f ca="1">tblVentes[[#This Row],[Chiffre_Affaires]]*(1-tblVentes[[#This Row],[Remise]])</f>
        <v>127500</v>
      </c>
      <c r="K101" s="15" t="b">
        <f>ISNUMBER(tblVentes[[#This Row],[Date]])</f>
        <v>1</v>
      </c>
    </row>
    <row r="102" spans="1:11">
      <c r="A102" s="11">
        <v>46302</v>
      </c>
      <c r="B102" s="4" t="s">
        <v>37</v>
      </c>
      <c r="C102" s="4" t="s">
        <v>137</v>
      </c>
      <c r="D102" s="4" t="s">
        <v>3</v>
      </c>
      <c r="E102" s="4" t="s">
        <v>11</v>
      </c>
      <c r="F102" s="5">
        <v>4</v>
      </c>
      <c r="G102" s="6">
        <v>2000</v>
      </c>
      <c r="H102" s="6">
        <f>tblVentes[[#This Row],[Quantite]]*tblVentes[[#This Row],[Prix_Unitaire]]</f>
        <v>8000</v>
      </c>
      <c r="I102" s="4">
        <f t="shared" ca="1" si="3"/>
        <v>7.0000000000000007E-2</v>
      </c>
      <c r="J102" s="7">
        <f ca="1">tblVentes[[#This Row],[Chiffre_Affaires]]*(1-tblVentes[[#This Row],[Remise]])</f>
        <v>7439.9999999999991</v>
      </c>
      <c r="K102" s="15" t="b">
        <f>ISNUMBER(tblVentes[[#This Row],[Date]])</f>
        <v>1</v>
      </c>
    </row>
    <row r="103" spans="1:11">
      <c r="A103" s="11">
        <v>46302</v>
      </c>
      <c r="B103" s="4" t="s">
        <v>132</v>
      </c>
      <c r="C103" s="4" t="s">
        <v>30</v>
      </c>
      <c r="D103" s="4" t="s">
        <v>5</v>
      </c>
      <c r="E103" s="4" t="s">
        <v>13</v>
      </c>
      <c r="F103" s="5">
        <v>6</v>
      </c>
      <c r="G103" s="6">
        <v>15000</v>
      </c>
      <c r="H103" s="6">
        <f>tblVentes[[#This Row],[Quantite]]*tblVentes[[#This Row],[Prix_Unitaire]]</f>
        <v>90000</v>
      </c>
      <c r="I103" s="4">
        <f t="shared" ca="1" si="3"/>
        <v>0.06</v>
      </c>
      <c r="J103" s="7">
        <f ca="1">tblVentes[[#This Row],[Chiffre_Affaires]]*(1-tblVentes[[#This Row],[Remise]])</f>
        <v>84600</v>
      </c>
      <c r="K103" s="15" t="b">
        <f>ISNUMBER(tblVentes[[#This Row],[Date]])</f>
        <v>1</v>
      </c>
    </row>
    <row r="104" spans="1:11">
      <c r="A104" s="11">
        <v>46328</v>
      </c>
      <c r="B104" s="4" t="s">
        <v>138</v>
      </c>
      <c r="C104" s="4" t="s">
        <v>62</v>
      </c>
      <c r="D104" s="4" t="s">
        <v>4</v>
      </c>
      <c r="E104" s="4" t="s">
        <v>14</v>
      </c>
      <c r="F104" s="5">
        <v>8</v>
      </c>
      <c r="G104" s="6">
        <v>90000</v>
      </c>
      <c r="H104" s="6">
        <f>tblVentes[[#This Row],[Quantite]]*tblVentes[[#This Row],[Prix_Unitaire]]</f>
        <v>720000</v>
      </c>
      <c r="I104" s="4">
        <f t="shared" ca="1" si="3"/>
        <v>0.18</v>
      </c>
      <c r="J104" s="7">
        <f ca="1">tblVentes[[#This Row],[Chiffre_Affaires]]*(1-tblVentes[[#This Row],[Remise]])</f>
        <v>590400</v>
      </c>
      <c r="K104" s="15" t="b">
        <f>ISNUMBER(tblVentes[[#This Row],[Date]])</f>
        <v>1</v>
      </c>
    </row>
    <row r="105" spans="1:11">
      <c r="A105" s="11">
        <v>46328</v>
      </c>
      <c r="B105" s="4" t="s">
        <v>139</v>
      </c>
      <c r="C105" s="4" t="s">
        <v>49</v>
      </c>
      <c r="D105" s="4" t="s">
        <v>5</v>
      </c>
      <c r="E105" s="4" t="s">
        <v>10</v>
      </c>
      <c r="F105" s="5">
        <v>4</v>
      </c>
      <c r="G105" s="6">
        <v>45000</v>
      </c>
      <c r="H105" s="6">
        <f>tblVentes[[#This Row],[Quantite]]*tblVentes[[#This Row],[Prix_Unitaire]]</f>
        <v>180000</v>
      </c>
      <c r="I105" s="4">
        <f t="shared" ca="1" si="3"/>
        <v>0.18</v>
      </c>
      <c r="J105" s="7">
        <f ca="1">tblVentes[[#This Row],[Chiffre_Affaires]]*(1-tblVentes[[#This Row],[Remise]])</f>
        <v>147600</v>
      </c>
      <c r="K105" s="15" t="b">
        <f>ISNUMBER(tblVentes[[#This Row],[Date]])</f>
        <v>1</v>
      </c>
    </row>
    <row r="106" spans="1:11">
      <c r="A106" s="11">
        <v>46331</v>
      </c>
      <c r="B106" s="4" t="s">
        <v>140</v>
      </c>
      <c r="C106" s="4" t="s">
        <v>38</v>
      </c>
      <c r="D106" s="4" t="s">
        <v>5</v>
      </c>
      <c r="E106" s="4" t="s">
        <v>15</v>
      </c>
      <c r="F106" s="5">
        <v>1</v>
      </c>
      <c r="G106" s="6">
        <v>180000</v>
      </c>
      <c r="H106" s="6">
        <f>tblVentes[[#This Row],[Quantite]]*tblVentes[[#This Row],[Prix_Unitaire]]</f>
        <v>180000</v>
      </c>
      <c r="I106" s="4">
        <f t="shared" ca="1" si="3"/>
        <v>0.05</v>
      </c>
      <c r="J106" s="7">
        <f ca="1">tblVentes[[#This Row],[Chiffre_Affaires]]*(1-tblVentes[[#This Row],[Remise]])</f>
        <v>171000</v>
      </c>
      <c r="K106" s="15" t="b">
        <f>ISNUMBER(tblVentes[[#This Row],[Date]])</f>
        <v>1</v>
      </c>
    </row>
    <row r="107" spans="1:11">
      <c r="A107" s="11">
        <v>46333</v>
      </c>
      <c r="B107" s="4" t="s">
        <v>141</v>
      </c>
      <c r="C107" s="4" t="s">
        <v>44</v>
      </c>
      <c r="D107" s="4" t="s">
        <v>5</v>
      </c>
      <c r="E107" s="4" t="s">
        <v>17</v>
      </c>
      <c r="F107" s="5">
        <v>10</v>
      </c>
      <c r="G107" s="6">
        <v>15000</v>
      </c>
      <c r="H107" s="6">
        <f>tblVentes[[#This Row],[Quantite]]*tblVentes[[#This Row],[Prix_Unitaire]]</f>
        <v>150000</v>
      </c>
      <c r="I107" s="4">
        <f t="shared" ca="1" si="3"/>
        <v>0.04</v>
      </c>
      <c r="J107" s="7">
        <f ca="1">tblVentes[[#This Row],[Chiffre_Affaires]]*(1-tblVentes[[#This Row],[Remise]])</f>
        <v>144000</v>
      </c>
      <c r="K107" s="15" t="b">
        <f>ISNUMBER(tblVentes[[#This Row],[Date]])</f>
        <v>1</v>
      </c>
    </row>
    <row r="108" spans="1:11">
      <c r="A108" s="11">
        <v>46333</v>
      </c>
      <c r="B108" s="4" t="s">
        <v>138</v>
      </c>
      <c r="C108" s="4" t="s">
        <v>65</v>
      </c>
      <c r="D108" s="4" t="s">
        <v>4</v>
      </c>
      <c r="E108" s="4" t="s">
        <v>14</v>
      </c>
      <c r="F108" s="5">
        <v>7</v>
      </c>
      <c r="G108" s="6">
        <v>25000</v>
      </c>
      <c r="H108" s="6">
        <f>tblVentes[[#This Row],[Quantite]]*tblVentes[[#This Row],[Prix_Unitaire]]</f>
        <v>175000</v>
      </c>
      <c r="I108" s="4">
        <f t="shared" ca="1" si="3"/>
        <v>0.19</v>
      </c>
      <c r="J108" s="7">
        <f ca="1">tblVentes[[#This Row],[Chiffre_Affaires]]*(1-tblVentes[[#This Row],[Remise]])</f>
        <v>141750</v>
      </c>
      <c r="K108" s="15" t="b">
        <f>ISNUMBER(tblVentes[[#This Row],[Date]])</f>
        <v>1</v>
      </c>
    </row>
    <row r="109" spans="1:11">
      <c r="A109" s="11">
        <v>46334</v>
      </c>
      <c r="B109" s="4" t="s">
        <v>142</v>
      </c>
      <c r="C109" s="4" t="s">
        <v>30</v>
      </c>
      <c r="D109" s="4" t="s">
        <v>5</v>
      </c>
      <c r="E109" s="4" t="s">
        <v>11</v>
      </c>
      <c r="F109" s="5">
        <v>2</v>
      </c>
      <c r="G109" s="6">
        <v>25000</v>
      </c>
      <c r="H109" s="6">
        <f>tblVentes[[#This Row],[Quantite]]*tblVentes[[#This Row],[Prix_Unitaire]]</f>
        <v>50000</v>
      </c>
      <c r="I109" s="4">
        <f t="shared" ca="1" si="3"/>
        <v>0.18</v>
      </c>
      <c r="J109" s="7">
        <f ca="1">tblVentes[[#This Row],[Chiffre_Affaires]]*(1-tblVentes[[#This Row],[Remise]])</f>
        <v>41000</v>
      </c>
      <c r="K109" s="15" t="b">
        <f>ISNUMBER(tblVentes[[#This Row],[Date]])</f>
        <v>1</v>
      </c>
    </row>
    <row r="110" spans="1:11">
      <c r="A110" s="11">
        <v>46359</v>
      </c>
      <c r="B110" s="4" t="s">
        <v>114</v>
      </c>
      <c r="C110" s="4" t="s">
        <v>49</v>
      </c>
      <c r="D110" s="4" t="s">
        <v>5</v>
      </c>
      <c r="E110" s="4" t="s">
        <v>14</v>
      </c>
      <c r="F110" s="5">
        <v>4</v>
      </c>
      <c r="G110" s="6">
        <v>45000</v>
      </c>
      <c r="H110" s="6">
        <f>tblVentes[[#This Row],[Quantite]]*tblVentes[[#This Row],[Prix_Unitaire]]</f>
        <v>180000</v>
      </c>
      <c r="I110" s="4">
        <f t="shared" ca="1" si="3"/>
        <v>0.17</v>
      </c>
      <c r="J110" s="7">
        <f ca="1">tblVentes[[#This Row],[Chiffre_Affaires]]*(1-tblVentes[[#This Row],[Remise]])</f>
        <v>149400</v>
      </c>
      <c r="K110" s="15" t="b">
        <f>ISNUMBER(tblVentes[[#This Row],[Date]])</f>
        <v>1</v>
      </c>
    </row>
    <row r="111" spans="1:11">
      <c r="A111" s="11">
        <v>46362</v>
      </c>
      <c r="B111" s="4" t="s">
        <v>143</v>
      </c>
      <c r="C111" s="4" t="s">
        <v>30</v>
      </c>
      <c r="D111" s="4" t="s">
        <v>5</v>
      </c>
      <c r="E111" s="4" t="s">
        <v>11</v>
      </c>
      <c r="F111" s="5">
        <v>7</v>
      </c>
      <c r="G111" s="6">
        <v>25000</v>
      </c>
      <c r="H111" s="6">
        <f>tblVentes[[#This Row],[Quantite]]*tblVentes[[#This Row],[Prix_Unitaire]]</f>
        <v>175000</v>
      </c>
      <c r="I111" s="4">
        <f t="shared" ca="1" si="3"/>
        <v>0.03</v>
      </c>
      <c r="J111" s="7">
        <f ca="1">tblVentes[[#This Row],[Chiffre_Affaires]]*(1-tblVentes[[#This Row],[Remise]])</f>
        <v>169750</v>
      </c>
      <c r="K111" s="15" t="b">
        <f>ISNUMBER(tblVentes[[#This Row],[Date]])</f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C05F-1BFE-41DB-B930-DF14093FF030}">
  <dimension ref="A1:K68"/>
  <sheetViews>
    <sheetView workbookViewId="0"/>
  </sheetViews>
  <sheetFormatPr defaultRowHeight="15"/>
  <cols>
    <col min="1" max="1" width="11.42578125" bestFit="1" customWidth="1"/>
    <col min="2" max="2" width="11.7109375" bestFit="1" customWidth="1"/>
    <col min="3" max="3" width="18.140625" bestFit="1" customWidth="1"/>
    <col min="4" max="4" width="12.5703125" bestFit="1" customWidth="1"/>
    <col min="5" max="5" width="14.85546875" bestFit="1" customWidth="1"/>
    <col min="6" max="6" width="11.28515625" bestFit="1" customWidth="1"/>
    <col min="7" max="7" width="15.140625" bestFit="1" customWidth="1"/>
    <col min="8" max="8" width="17.5703125" bestFit="1" customWidth="1"/>
    <col min="9" max="9" width="9.85546875" bestFit="1" customWidth="1"/>
    <col min="10" max="10" width="15.7109375" bestFit="1" customWidth="1"/>
    <col min="11" max="11" width="11.85546875" bestFit="1" customWidth="1"/>
  </cols>
  <sheetData>
    <row r="1" spans="1:11">
      <c r="A1" s="19" t="s">
        <v>144</v>
      </c>
    </row>
    <row r="3" spans="1:11">
      <c r="A3" t="s">
        <v>18</v>
      </c>
      <c r="B3" t="s">
        <v>19</v>
      </c>
      <c r="C3" t="s">
        <v>20</v>
      </c>
      <c r="D3" t="s">
        <v>0</v>
      </c>
      <c r="E3" t="s">
        <v>7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>
      <c r="A4" s="10">
        <v>46362</v>
      </c>
      <c r="B4" t="s">
        <v>143</v>
      </c>
      <c r="C4" t="s">
        <v>30</v>
      </c>
      <c r="D4" t="s">
        <v>5</v>
      </c>
      <c r="E4" t="s">
        <v>11</v>
      </c>
      <c r="F4">
        <v>7</v>
      </c>
      <c r="G4">
        <v>25000</v>
      </c>
      <c r="H4">
        <v>175000</v>
      </c>
      <c r="I4">
        <v>0.13</v>
      </c>
      <c r="J4">
        <v>152250</v>
      </c>
      <c r="K4" t="b">
        <v>1</v>
      </c>
    </row>
    <row r="5" spans="1:11">
      <c r="A5" s="10">
        <v>46027</v>
      </c>
      <c r="B5" t="s">
        <v>29</v>
      </c>
      <c r="C5" t="s">
        <v>30</v>
      </c>
      <c r="D5" t="s">
        <v>5</v>
      </c>
      <c r="E5" t="s">
        <v>12</v>
      </c>
      <c r="F5">
        <v>1</v>
      </c>
      <c r="G5">
        <v>25000</v>
      </c>
      <c r="H5">
        <v>25000</v>
      </c>
      <c r="I5">
        <v>7.0000000000000007E-2</v>
      </c>
      <c r="J5">
        <v>23250</v>
      </c>
      <c r="K5" t="b">
        <v>1</v>
      </c>
    </row>
    <row r="6" spans="1:11">
      <c r="A6" s="10">
        <v>46028</v>
      </c>
      <c r="B6" t="s">
        <v>31</v>
      </c>
      <c r="C6" t="s">
        <v>30</v>
      </c>
      <c r="D6" t="s">
        <v>5</v>
      </c>
      <c r="E6" t="s">
        <v>14</v>
      </c>
      <c r="F6">
        <v>5</v>
      </c>
      <c r="G6">
        <v>25000</v>
      </c>
      <c r="H6">
        <v>125000</v>
      </c>
      <c r="I6">
        <v>0.08</v>
      </c>
      <c r="J6">
        <v>115000</v>
      </c>
      <c r="K6" t="b">
        <v>1</v>
      </c>
    </row>
    <row r="7" spans="1:11">
      <c r="A7" s="10">
        <v>46029</v>
      </c>
      <c r="B7" t="s">
        <v>32</v>
      </c>
      <c r="C7" t="s">
        <v>30</v>
      </c>
      <c r="D7" t="s">
        <v>5</v>
      </c>
      <c r="E7" t="s">
        <v>11</v>
      </c>
      <c r="F7">
        <v>4</v>
      </c>
      <c r="G7">
        <v>25000</v>
      </c>
      <c r="H7">
        <v>100000</v>
      </c>
      <c r="I7">
        <v>0.1</v>
      </c>
      <c r="J7">
        <v>90000</v>
      </c>
      <c r="K7" t="b">
        <v>1</v>
      </c>
    </row>
    <row r="8" spans="1:11">
      <c r="A8" s="10">
        <v>46031</v>
      </c>
      <c r="B8" t="s">
        <v>33</v>
      </c>
      <c r="C8" t="s">
        <v>34</v>
      </c>
      <c r="D8" t="s">
        <v>5</v>
      </c>
      <c r="E8" t="s">
        <v>16</v>
      </c>
      <c r="F8">
        <v>2</v>
      </c>
      <c r="G8">
        <v>120000</v>
      </c>
      <c r="H8">
        <v>240000</v>
      </c>
      <c r="I8">
        <v>0.13</v>
      </c>
      <c r="J8">
        <v>208800</v>
      </c>
      <c r="K8" t="b">
        <v>1</v>
      </c>
    </row>
    <row r="9" spans="1:11">
      <c r="A9" s="10">
        <v>46040</v>
      </c>
      <c r="B9" t="s">
        <v>35</v>
      </c>
      <c r="C9" t="s">
        <v>36</v>
      </c>
      <c r="D9" t="s">
        <v>5</v>
      </c>
      <c r="E9" t="s">
        <v>15</v>
      </c>
      <c r="F9">
        <v>7</v>
      </c>
      <c r="G9">
        <v>22000</v>
      </c>
      <c r="H9">
        <v>154000</v>
      </c>
      <c r="I9">
        <v>0.05</v>
      </c>
      <c r="J9">
        <v>146300</v>
      </c>
      <c r="K9" t="b">
        <v>1</v>
      </c>
    </row>
    <row r="10" spans="1:11">
      <c r="A10" s="10">
        <v>46041</v>
      </c>
      <c r="B10" t="s">
        <v>37</v>
      </c>
      <c r="C10" t="s">
        <v>38</v>
      </c>
      <c r="D10" t="s">
        <v>5</v>
      </c>
      <c r="E10" t="s">
        <v>11</v>
      </c>
      <c r="F10">
        <v>7</v>
      </c>
      <c r="G10">
        <v>180000</v>
      </c>
      <c r="H10">
        <v>1260000</v>
      </c>
      <c r="I10">
        <v>0.11</v>
      </c>
      <c r="J10">
        <v>1121400</v>
      </c>
      <c r="K10" t="b">
        <v>1</v>
      </c>
    </row>
    <row r="11" spans="1:11">
      <c r="A11" s="10">
        <v>46047</v>
      </c>
      <c r="B11" t="s">
        <v>39</v>
      </c>
      <c r="C11" t="s">
        <v>30</v>
      </c>
      <c r="D11" t="s">
        <v>5</v>
      </c>
      <c r="E11" t="s">
        <v>13</v>
      </c>
      <c r="F11">
        <v>7</v>
      </c>
      <c r="G11">
        <v>25000</v>
      </c>
      <c r="H11">
        <v>175000</v>
      </c>
      <c r="I11">
        <v>0.03</v>
      </c>
      <c r="J11">
        <v>169750</v>
      </c>
      <c r="K11" t="b">
        <v>1</v>
      </c>
    </row>
    <row r="12" spans="1:11">
      <c r="A12" s="10">
        <v>46048</v>
      </c>
      <c r="B12" t="s">
        <v>40</v>
      </c>
      <c r="C12" t="s">
        <v>38</v>
      </c>
      <c r="D12" t="s">
        <v>5</v>
      </c>
      <c r="E12" t="s">
        <v>9</v>
      </c>
      <c r="F12">
        <v>10</v>
      </c>
      <c r="G12">
        <v>180000</v>
      </c>
      <c r="H12">
        <v>1800000</v>
      </c>
      <c r="I12">
        <v>0.14000000000000001</v>
      </c>
      <c r="J12">
        <v>1548000</v>
      </c>
      <c r="K12" t="b">
        <v>1</v>
      </c>
    </row>
    <row r="13" spans="1:11">
      <c r="A13" s="10">
        <v>46359</v>
      </c>
      <c r="B13" t="s">
        <v>114</v>
      </c>
      <c r="C13" t="s">
        <v>49</v>
      </c>
      <c r="D13" t="s">
        <v>5</v>
      </c>
      <c r="E13" t="s">
        <v>14</v>
      </c>
      <c r="F13">
        <v>4</v>
      </c>
      <c r="G13">
        <v>45000</v>
      </c>
      <c r="H13">
        <v>180000</v>
      </c>
      <c r="I13">
        <v>0.18</v>
      </c>
      <c r="J13">
        <v>147600</v>
      </c>
      <c r="K13" t="b">
        <v>1</v>
      </c>
    </row>
    <row r="14" spans="1:11">
      <c r="A14" s="10">
        <v>46050</v>
      </c>
      <c r="B14" t="s">
        <v>43</v>
      </c>
      <c r="C14" t="s">
        <v>44</v>
      </c>
      <c r="D14" t="s">
        <v>5</v>
      </c>
      <c r="E14" t="s">
        <v>8</v>
      </c>
      <c r="F14">
        <v>7</v>
      </c>
      <c r="G14">
        <v>15000</v>
      </c>
      <c r="H14">
        <v>105000</v>
      </c>
      <c r="I14">
        <v>0.1</v>
      </c>
      <c r="J14">
        <v>94500</v>
      </c>
      <c r="K14" t="b">
        <v>1</v>
      </c>
    </row>
    <row r="15" spans="1:11">
      <c r="A15" s="10">
        <v>46051</v>
      </c>
      <c r="B15" t="s">
        <v>45</v>
      </c>
      <c r="C15" t="s">
        <v>36</v>
      </c>
      <c r="D15" t="s">
        <v>5</v>
      </c>
      <c r="E15" t="s">
        <v>17</v>
      </c>
      <c r="F15">
        <v>10</v>
      </c>
      <c r="G15">
        <v>22000</v>
      </c>
      <c r="H15">
        <v>220000</v>
      </c>
      <c r="I15">
        <v>0</v>
      </c>
      <c r="J15">
        <v>220000</v>
      </c>
      <c r="K15" t="b">
        <v>1</v>
      </c>
    </row>
    <row r="16" spans="1:11">
      <c r="A16" s="10">
        <v>46058</v>
      </c>
      <c r="B16" t="s">
        <v>46</v>
      </c>
      <c r="C16" t="s">
        <v>44</v>
      </c>
      <c r="D16" t="s">
        <v>5</v>
      </c>
      <c r="E16" t="s">
        <v>13</v>
      </c>
      <c r="F16">
        <v>9</v>
      </c>
      <c r="G16">
        <v>15000</v>
      </c>
      <c r="H16">
        <v>135000</v>
      </c>
      <c r="I16">
        <v>0.14000000000000001</v>
      </c>
      <c r="J16">
        <v>116100</v>
      </c>
      <c r="K16" t="b">
        <v>1</v>
      </c>
    </row>
    <row r="17" spans="1:11">
      <c r="A17" s="10">
        <v>46061</v>
      </c>
      <c r="B17" t="s">
        <v>47</v>
      </c>
      <c r="C17" t="s">
        <v>30</v>
      </c>
      <c r="D17" t="s">
        <v>5</v>
      </c>
      <c r="E17" t="s">
        <v>12</v>
      </c>
      <c r="F17">
        <v>6</v>
      </c>
      <c r="G17">
        <v>25000</v>
      </c>
      <c r="H17">
        <v>150000</v>
      </c>
      <c r="I17">
        <v>0.16</v>
      </c>
      <c r="J17">
        <v>126000</v>
      </c>
      <c r="K17" t="b">
        <v>1</v>
      </c>
    </row>
    <row r="18" spans="1:11">
      <c r="A18" s="10">
        <v>46062</v>
      </c>
      <c r="B18" t="s">
        <v>48</v>
      </c>
      <c r="C18" t="s">
        <v>49</v>
      </c>
      <c r="D18" t="s">
        <v>5</v>
      </c>
      <c r="E18" t="s">
        <v>9</v>
      </c>
      <c r="F18">
        <v>2</v>
      </c>
      <c r="G18">
        <v>45000</v>
      </c>
      <c r="H18">
        <v>90000</v>
      </c>
      <c r="I18">
        <v>0.05</v>
      </c>
      <c r="J18">
        <v>85500</v>
      </c>
      <c r="K18" t="b">
        <v>1</v>
      </c>
    </row>
    <row r="19" spans="1:11">
      <c r="A19" s="10">
        <v>46067</v>
      </c>
      <c r="B19" t="s">
        <v>50</v>
      </c>
      <c r="C19" t="s">
        <v>30</v>
      </c>
      <c r="D19" t="s">
        <v>5</v>
      </c>
      <c r="E19" t="s">
        <v>13</v>
      </c>
      <c r="F19">
        <v>9</v>
      </c>
      <c r="G19">
        <v>25000</v>
      </c>
      <c r="H19">
        <v>225000</v>
      </c>
      <c r="I19">
        <v>0.14000000000000001</v>
      </c>
      <c r="J19">
        <v>193500</v>
      </c>
      <c r="K19" t="b">
        <v>1</v>
      </c>
    </row>
    <row r="20" spans="1:11">
      <c r="A20" s="10">
        <v>46069</v>
      </c>
      <c r="B20" t="s">
        <v>51</v>
      </c>
      <c r="C20" t="s">
        <v>34</v>
      </c>
      <c r="D20" t="s">
        <v>5</v>
      </c>
      <c r="E20" t="s">
        <v>15</v>
      </c>
      <c r="F20">
        <v>3</v>
      </c>
      <c r="G20">
        <v>120000</v>
      </c>
      <c r="H20">
        <v>360000</v>
      </c>
      <c r="I20">
        <v>0.04</v>
      </c>
      <c r="J20">
        <v>345600</v>
      </c>
      <c r="K20" t="b">
        <v>1</v>
      </c>
    </row>
    <row r="21" spans="1:11">
      <c r="A21" s="10">
        <v>46334</v>
      </c>
      <c r="B21" t="s">
        <v>142</v>
      </c>
      <c r="C21" t="s">
        <v>30</v>
      </c>
      <c r="D21" t="s">
        <v>5</v>
      </c>
      <c r="E21" t="s">
        <v>11</v>
      </c>
      <c r="F21">
        <v>2</v>
      </c>
      <c r="G21">
        <v>25000</v>
      </c>
      <c r="H21">
        <v>50000</v>
      </c>
      <c r="I21">
        <v>0.14000000000000001</v>
      </c>
      <c r="J21">
        <v>43000</v>
      </c>
      <c r="K21" t="b">
        <v>1</v>
      </c>
    </row>
    <row r="22" spans="1:11">
      <c r="A22" s="10">
        <v>46081</v>
      </c>
      <c r="B22" t="s">
        <v>53</v>
      </c>
      <c r="C22" t="s">
        <v>49</v>
      </c>
      <c r="D22" t="s">
        <v>5</v>
      </c>
      <c r="E22" t="s">
        <v>8</v>
      </c>
      <c r="F22">
        <v>8</v>
      </c>
      <c r="G22">
        <v>45000</v>
      </c>
      <c r="H22">
        <v>360000</v>
      </c>
      <c r="I22">
        <v>0.01</v>
      </c>
      <c r="J22">
        <v>356400</v>
      </c>
      <c r="K22" t="b">
        <v>1</v>
      </c>
    </row>
    <row r="23" spans="1:11">
      <c r="A23" s="10">
        <v>46333</v>
      </c>
      <c r="B23" t="s">
        <v>141</v>
      </c>
      <c r="C23" t="s">
        <v>44</v>
      </c>
      <c r="D23" t="s">
        <v>5</v>
      </c>
      <c r="E23" t="s">
        <v>17</v>
      </c>
      <c r="F23">
        <v>10</v>
      </c>
      <c r="G23">
        <v>15000</v>
      </c>
      <c r="H23">
        <v>150000</v>
      </c>
      <c r="I23">
        <v>0.03</v>
      </c>
      <c r="J23">
        <v>145500</v>
      </c>
      <c r="K23" t="b">
        <v>1</v>
      </c>
    </row>
    <row r="24" spans="1:11">
      <c r="A24" s="10">
        <v>46088</v>
      </c>
      <c r="B24" t="s">
        <v>56</v>
      </c>
      <c r="C24" t="s">
        <v>30</v>
      </c>
      <c r="D24" t="s">
        <v>5</v>
      </c>
      <c r="E24" t="s">
        <v>9</v>
      </c>
      <c r="F24">
        <v>6</v>
      </c>
      <c r="G24">
        <v>25000</v>
      </c>
      <c r="H24">
        <v>150000</v>
      </c>
      <c r="I24">
        <v>0.02</v>
      </c>
      <c r="J24">
        <v>147000</v>
      </c>
      <c r="K24" t="b">
        <v>1</v>
      </c>
    </row>
    <row r="25" spans="1:11">
      <c r="A25" s="10">
        <v>46088</v>
      </c>
      <c r="B25" t="s">
        <v>57</v>
      </c>
      <c r="C25" t="s">
        <v>34</v>
      </c>
      <c r="D25" t="s">
        <v>5</v>
      </c>
      <c r="E25" t="s">
        <v>16</v>
      </c>
      <c r="F25">
        <v>7</v>
      </c>
      <c r="G25">
        <v>120000</v>
      </c>
      <c r="H25">
        <v>840000</v>
      </c>
      <c r="I25">
        <v>0.09</v>
      </c>
      <c r="J25">
        <v>764400</v>
      </c>
      <c r="K25" t="b">
        <v>1</v>
      </c>
    </row>
    <row r="26" spans="1:11">
      <c r="A26" s="10">
        <v>46088</v>
      </c>
      <c r="B26" t="s">
        <v>58</v>
      </c>
      <c r="C26" t="s">
        <v>34</v>
      </c>
      <c r="D26" t="s">
        <v>5</v>
      </c>
      <c r="E26" t="s">
        <v>15</v>
      </c>
      <c r="F26">
        <v>5</v>
      </c>
      <c r="G26">
        <v>120000</v>
      </c>
      <c r="H26">
        <v>600000</v>
      </c>
      <c r="I26">
        <v>0.19</v>
      </c>
      <c r="J26">
        <v>486000.00000000006</v>
      </c>
      <c r="K26" t="b">
        <v>1</v>
      </c>
    </row>
    <row r="27" spans="1:11">
      <c r="A27" s="10">
        <v>46088</v>
      </c>
      <c r="B27" t="s">
        <v>58</v>
      </c>
      <c r="C27" t="s">
        <v>59</v>
      </c>
      <c r="D27" t="s">
        <v>5</v>
      </c>
      <c r="E27" t="s">
        <v>9</v>
      </c>
      <c r="F27">
        <v>7</v>
      </c>
      <c r="G27">
        <v>10000</v>
      </c>
      <c r="H27">
        <v>70000</v>
      </c>
      <c r="I27">
        <v>0.06</v>
      </c>
      <c r="J27">
        <v>65800</v>
      </c>
      <c r="K27" t="b">
        <v>1</v>
      </c>
    </row>
    <row r="28" spans="1:11">
      <c r="A28" s="10">
        <v>46089</v>
      </c>
      <c r="B28" t="s">
        <v>60</v>
      </c>
      <c r="C28" t="s">
        <v>49</v>
      </c>
      <c r="D28" t="s">
        <v>5</v>
      </c>
      <c r="E28" t="s">
        <v>9</v>
      </c>
      <c r="F28">
        <v>1</v>
      </c>
      <c r="G28">
        <v>45000</v>
      </c>
      <c r="H28">
        <v>45000</v>
      </c>
      <c r="I28">
        <v>0.09</v>
      </c>
      <c r="J28">
        <v>40950</v>
      </c>
      <c r="K28" t="b">
        <v>1</v>
      </c>
    </row>
    <row r="29" spans="1:11">
      <c r="A29" s="10">
        <v>46331</v>
      </c>
      <c r="B29" t="s">
        <v>140</v>
      </c>
      <c r="C29" t="s">
        <v>38</v>
      </c>
      <c r="D29" t="s">
        <v>5</v>
      </c>
      <c r="E29" t="s">
        <v>15</v>
      </c>
      <c r="F29">
        <v>1</v>
      </c>
      <c r="G29">
        <v>180000</v>
      </c>
      <c r="H29">
        <v>180000</v>
      </c>
      <c r="I29">
        <v>0.05</v>
      </c>
      <c r="J29">
        <v>171000</v>
      </c>
      <c r="K29" t="b">
        <v>1</v>
      </c>
    </row>
    <row r="30" spans="1:11">
      <c r="A30" s="10">
        <v>46328</v>
      </c>
      <c r="B30" t="s">
        <v>139</v>
      </c>
      <c r="C30" t="s">
        <v>49</v>
      </c>
      <c r="D30" t="s">
        <v>5</v>
      </c>
      <c r="E30" t="s">
        <v>10</v>
      </c>
      <c r="F30">
        <v>4</v>
      </c>
      <c r="G30">
        <v>45000</v>
      </c>
      <c r="H30">
        <v>180000</v>
      </c>
      <c r="I30">
        <v>0.14000000000000001</v>
      </c>
      <c r="J30">
        <v>154800</v>
      </c>
      <c r="K30" t="b">
        <v>1</v>
      </c>
    </row>
    <row r="31" spans="1:11">
      <c r="A31" s="10">
        <v>46302</v>
      </c>
      <c r="B31" t="s">
        <v>132</v>
      </c>
      <c r="C31" t="s">
        <v>30</v>
      </c>
      <c r="D31" t="s">
        <v>5</v>
      </c>
      <c r="E31" t="s">
        <v>13</v>
      </c>
      <c r="F31">
        <v>6</v>
      </c>
      <c r="G31">
        <v>15000</v>
      </c>
      <c r="H31">
        <v>90000</v>
      </c>
      <c r="I31">
        <v>0.11</v>
      </c>
      <c r="J31">
        <v>80100</v>
      </c>
      <c r="K31" t="b">
        <v>1</v>
      </c>
    </row>
    <row r="32" spans="1:11">
      <c r="A32" s="10">
        <v>46110</v>
      </c>
      <c r="B32" t="s">
        <v>66</v>
      </c>
      <c r="C32" t="s">
        <v>38</v>
      </c>
      <c r="D32" t="s">
        <v>5</v>
      </c>
      <c r="E32" t="s">
        <v>11</v>
      </c>
      <c r="F32">
        <v>4</v>
      </c>
      <c r="G32">
        <v>180000</v>
      </c>
      <c r="H32">
        <v>720000</v>
      </c>
      <c r="I32">
        <v>0.09</v>
      </c>
      <c r="J32">
        <v>655200</v>
      </c>
      <c r="K32" t="b">
        <v>1</v>
      </c>
    </row>
    <row r="33" spans="1:11">
      <c r="A33" s="10">
        <v>46113</v>
      </c>
      <c r="B33" t="s">
        <v>67</v>
      </c>
      <c r="C33" t="s">
        <v>38</v>
      </c>
      <c r="D33" t="s">
        <v>5</v>
      </c>
      <c r="E33" t="s">
        <v>10</v>
      </c>
      <c r="F33">
        <v>1</v>
      </c>
      <c r="G33">
        <v>180000</v>
      </c>
      <c r="H33">
        <v>180000</v>
      </c>
      <c r="I33">
        <v>7.0000000000000007E-2</v>
      </c>
      <c r="J33">
        <v>167400</v>
      </c>
      <c r="K33" t="b">
        <v>1</v>
      </c>
    </row>
    <row r="34" spans="1:11">
      <c r="A34" s="10">
        <v>46302</v>
      </c>
      <c r="B34" t="s">
        <v>135</v>
      </c>
      <c r="C34" t="s">
        <v>36</v>
      </c>
      <c r="D34" t="s">
        <v>5</v>
      </c>
      <c r="E34" t="s">
        <v>12</v>
      </c>
      <c r="F34">
        <v>3</v>
      </c>
      <c r="G34">
        <v>22000</v>
      </c>
      <c r="H34">
        <v>66000</v>
      </c>
      <c r="I34">
        <v>7.0000000000000007E-2</v>
      </c>
      <c r="J34">
        <v>61379.999999999993</v>
      </c>
      <c r="K34" t="b">
        <v>1</v>
      </c>
    </row>
    <row r="35" spans="1:11">
      <c r="A35" s="10">
        <v>46269</v>
      </c>
      <c r="B35" t="s">
        <v>127</v>
      </c>
      <c r="C35" t="s">
        <v>49</v>
      </c>
      <c r="D35" t="s">
        <v>5</v>
      </c>
      <c r="E35" t="s">
        <v>8</v>
      </c>
      <c r="F35">
        <v>8</v>
      </c>
      <c r="G35">
        <v>45000</v>
      </c>
      <c r="H35">
        <v>360000</v>
      </c>
      <c r="I35">
        <v>0.16</v>
      </c>
      <c r="J35">
        <v>302400</v>
      </c>
      <c r="K35" t="b">
        <v>1</v>
      </c>
    </row>
    <row r="36" spans="1:11">
      <c r="A36" s="10">
        <v>46267</v>
      </c>
      <c r="B36" t="s">
        <v>126</v>
      </c>
      <c r="C36" t="s">
        <v>76</v>
      </c>
      <c r="D36" t="s">
        <v>5</v>
      </c>
      <c r="E36" t="s">
        <v>10</v>
      </c>
      <c r="F36">
        <v>7</v>
      </c>
      <c r="G36">
        <v>450000</v>
      </c>
      <c r="H36">
        <v>3150000</v>
      </c>
      <c r="I36">
        <v>0.16</v>
      </c>
      <c r="J36">
        <v>2646000</v>
      </c>
      <c r="K36" t="b">
        <v>1</v>
      </c>
    </row>
    <row r="37" spans="1:11">
      <c r="A37" s="10">
        <v>46250</v>
      </c>
      <c r="B37" t="s">
        <v>125</v>
      </c>
      <c r="C37" t="s">
        <v>36</v>
      </c>
      <c r="D37" t="s">
        <v>5</v>
      </c>
      <c r="E37" t="s">
        <v>11</v>
      </c>
      <c r="F37">
        <v>8</v>
      </c>
      <c r="G37">
        <v>22000</v>
      </c>
      <c r="H37">
        <v>176000</v>
      </c>
      <c r="I37">
        <v>0.1</v>
      </c>
      <c r="J37">
        <v>158400</v>
      </c>
      <c r="K37" t="b">
        <v>1</v>
      </c>
    </row>
    <row r="38" spans="1:11">
      <c r="A38" s="10">
        <v>46248</v>
      </c>
      <c r="B38" t="s">
        <v>124</v>
      </c>
      <c r="C38" t="s">
        <v>34</v>
      </c>
      <c r="D38" t="s">
        <v>5</v>
      </c>
      <c r="E38" t="s">
        <v>8</v>
      </c>
      <c r="F38">
        <v>3</v>
      </c>
      <c r="G38">
        <v>120000</v>
      </c>
      <c r="H38">
        <v>360000</v>
      </c>
      <c r="I38">
        <v>0.03</v>
      </c>
      <c r="J38">
        <v>349200</v>
      </c>
      <c r="K38" t="b">
        <v>1</v>
      </c>
    </row>
    <row r="39" spans="1:11">
      <c r="A39" s="10">
        <v>46125</v>
      </c>
      <c r="B39" t="s">
        <v>73</v>
      </c>
      <c r="C39" t="s">
        <v>49</v>
      </c>
      <c r="D39" t="s">
        <v>5</v>
      </c>
      <c r="E39" t="s">
        <v>9</v>
      </c>
      <c r="F39">
        <v>4</v>
      </c>
      <c r="G39">
        <v>45000</v>
      </c>
      <c r="H39">
        <v>180000</v>
      </c>
      <c r="I39">
        <v>0.01</v>
      </c>
      <c r="J39">
        <v>178200</v>
      </c>
      <c r="K39" t="b">
        <v>1</v>
      </c>
    </row>
    <row r="40" spans="1:11">
      <c r="A40" s="10">
        <v>46240</v>
      </c>
      <c r="B40" t="s">
        <v>123</v>
      </c>
      <c r="C40" t="s">
        <v>44</v>
      </c>
      <c r="D40" t="s">
        <v>5</v>
      </c>
      <c r="E40" t="s">
        <v>17</v>
      </c>
      <c r="F40">
        <v>5</v>
      </c>
      <c r="G40">
        <v>15000</v>
      </c>
      <c r="H40">
        <v>75000</v>
      </c>
      <c r="I40">
        <v>0.14000000000000001</v>
      </c>
      <c r="J40">
        <v>64500</v>
      </c>
      <c r="K40" t="b">
        <v>1</v>
      </c>
    </row>
    <row r="41" spans="1:11">
      <c r="A41" s="10">
        <v>46127</v>
      </c>
      <c r="B41" t="s">
        <v>75</v>
      </c>
      <c r="C41" t="s">
        <v>76</v>
      </c>
      <c r="D41" t="s">
        <v>5</v>
      </c>
      <c r="E41" t="s">
        <v>17</v>
      </c>
      <c r="F41">
        <v>4</v>
      </c>
      <c r="G41">
        <v>450000</v>
      </c>
      <c r="H41">
        <v>1800000</v>
      </c>
      <c r="I41">
        <v>0.18</v>
      </c>
      <c r="J41">
        <v>1476000</v>
      </c>
      <c r="K41" t="b">
        <v>1</v>
      </c>
    </row>
    <row r="42" spans="1:11">
      <c r="A42" s="10">
        <v>46130</v>
      </c>
      <c r="B42" t="s">
        <v>77</v>
      </c>
      <c r="C42" t="s">
        <v>36</v>
      </c>
      <c r="D42" t="s">
        <v>5</v>
      </c>
      <c r="E42" t="s">
        <v>10</v>
      </c>
      <c r="F42">
        <v>10</v>
      </c>
      <c r="G42">
        <v>22000</v>
      </c>
      <c r="H42">
        <v>220000</v>
      </c>
      <c r="I42">
        <v>0.13</v>
      </c>
      <c r="J42">
        <v>191400</v>
      </c>
      <c r="K42" t="b">
        <v>1</v>
      </c>
    </row>
    <row r="43" spans="1:11">
      <c r="A43" s="10">
        <v>46235</v>
      </c>
      <c r="B43" t="s">
        <v>122</v>
      </c>
      <c r="C43" t="s">
        <v>30</v>
      </c>
      <c r="D43" t="s">
        <v>5</v>
      </c>
      <c r="E43" t="s">
        <v>17</v>
      </c>
      <c r="F43">
        <v>8</v>
      </c>
      <c r="G43">
        <v>25000</v>
      </c>
      <c r="H43">
        <v>200000</v>
      </c>
      <c r="I43">
        <v>0.01</v>
      </c>
      <c r="J43">
        <v>198000</v>
      </c>
      <c r="K43" t="b">
        <v>1</v>
      </c>
    </row>
    <row r="44" spans="1:11">
      <c r="A44" s="10">
        <v>46142</v>
      </c>
      <c r="B44" t="s">
        <v>79</v>
      </c>
      <c r="C44" t="s">
        <v>49</v>
      </c>
      <c r="D44" t="s">
        <v>5</v>
      </c>
      <c r="E44" t="s">
        <v>12</v>
      </c>
      <c r="F44">
        <v>7</v>
      </c>
      <c r="G44">
        <v>45000</v>
      </c>
      <c r="H44">
        <v>315000</v>
      </c>
      <c r="I44">
        <v>0.01</v>
      </c>
      <c r="J44">
        <v>311850</v>
      </c>
      <c r="K44" t="b">
        <v>1</v>
      </c>
    </row>
    <row r="45" spans="1:11">
      <c r="A45" s="10">
        <v>46230</v>
      </c>
      <c r="B45" t="s">
        <v>121</v>
      </c>
      <c r="C45" t="s">
        <v>30</v>
      </c>
      <c r="D45" t="s">
        <v>5</v>
      </c>
      <c r="E45" t="s">
        <v>13</v>
      </c>
      <c r="F45">
        <v>2</v>
      </c>
      <c r="G45">
        <v>25000</v>
      </c>
      <c r="H45">
        <v>50000</v>
      </c>
      <c r="I45">
        <v>0.14000000000000001</v>
      </c>
      <c r="J45">
        <v>43000</v>
      </c>
      <c r="K45" t="b">
        <v>1</v>
      </c>
    </row>
    <row r="46" spans="1:11">
      <c r="A46" s="10">
        <v>46144</v>
      </c>
      <c r="B46" t="s">
        <v>81</v>
      </c>
      <c r="C46" t="s">
        <v>38</v>
      </c>
      <c r="D46" t="s">
        <v>5</v>
      </c>
      <c r="E46" t="s">
        <v>15</v>
      </c>
      <c r="F46">
        <v>5</v>
      </c>
      <c r="G46">
        <v>180000</v>
      </c>
      <c r="H46">
        <v>900000</v>
      </c>
      <c r="I46">
        <v>0.17</v>
      </c>
      <c r="J46">
        <v>747000</v>
      </c>
      <c r="K46" t="b">
        <v>1</v>
      </c>
    </row>
    <row r="47" spans="1:11">
      <c r="A47" s="10">
        <v>46229</v>
      </c>
      <c r="B47" t="s">
        <v>120</v>
      </c>
      <c r="C47" t="s">
        <v>38</v>
      </c>
      <c r="D47" t="s">
        <v>5</v>
      </c>
      <c r="E47" t="s">
        <v>13</v>
      </c>
      <c r="F47">
        <v>8</v>
      </c>
      <c r="G47">
        <v>180000</v>
      </c>
      <c r="H47">
        <v>1440000</v>
      </c>
      <c r="I47">
        <v>0.2</v>
      </c>
      <c r="J47">
        <v>1152000</v>
      </c>
      <c r="K47" t="b">
        <v>1</v>
      </c>
    </row>
    <row r="48" spans="1:11">
      <c r="A48" s="10">
        <v>46147</v>
      </c>
      <c r="B48" t="s">
        <v>83</v>
      </c>
      <c r="C48" t="s">
        <v>38</v>
      </c>
      <c r="D48" t="s">
        <v>5</v>
      </c>
      <c r="E48" t="s">
        <v>8</v>
      </c>
      <c r="F48">
        <v>7</v>
      </c>
      <c r="G48">
        <v>180000</v>
      </c>
      <c r="H48">
        <v>1260000</v>
      </c>
      <c r="I48">
        <v>7.0000000000000007E-2</v>
      </c>
      <c r="J48">
        <v>1171800</v>
      </c>
      <c r="K48" t="b">
        <v>1</v>
      </c>
    </row>
    <row r="49" spans="1:11">
      <c r="A49" s="10">
        <v>46147</v>
      </c>
      <c r="B49" t="s">
        <v>84</v>
      </c>
      <c r="C49" t="s">
        <v>36</v>
      </c>
      <c r="D49" t="s">
        <v>5</v>
      </c>
      <c r="E49" t="s">
        <v>15</v>
      </c>
      <c r="F49">
        <v>7</v>
      </c>
      <c r="G49">
        <v>22000</v>
      </c>
      <c r="H49">
        <v>154000</v>
      </c>
      <c r="I49">
        <v>0.09</v>
      </c>
      <c r="J49">
        <v>140140</v>
      </c>
      <c r="K49" t="b">
        <v>1</v>
      </c>
    </row>
    <row r="50" spans="1:11">
      <c r="A50" s="10">
        <v>46148</v>
      </c>
      <c r="B50" t="s">
        <v>85</v>
      </c>
      <c r="C50" t="s">
        <v>38</v>
      </c>
      <c r="D50" t="s">
        <v>5</v>
      </c>
      <c r="E50" t="s">
        <v>10</v>
      </c>
      <c r="F50">
        <v>10</v>
      </c>
      <c r="G50">
        <v>180000</v>
      </c>
      <c r="H50">
        <v>1800000</v>
      </c>
      <c r="I50">
        <v>0.04</v>
      </c>
      <c r="J50">
        <v>1728000</v>
      </c>
      <c r="K50" t="b">
        <v>1</v>
      </c>
    </row>
    <row r="51" spans="1:11">
      <c r="A51" s="10">
        <v>46224</v>
      </c>
      <c r="B51" t="s">
        <v>116</v>
      </c>
      <c r="C51" t="s">
        <v>30</v>
      </c>
      <c r="D51" t="s">
        <v>5</v>
      </c>
      <c r="E51" t="s">
        <v>14</v>
      </c>
      <c r="F51">
        <v>8</v>
      </c>
      <c r="G51">
        <v>25000</v>
      </c>
      <c r="H51">
        <v>200000</v>
      </c>
      <c r="I51">
        <v>0.1</v>
      </c>
      <c r="J51">
        <v>180000</v>
      </c>
      <c r="K51" t="b">
        <v>1</v>
      </c>
    </row>
    <row r="52" spans="1:11">
      <c r="A52" s="10">
        <v>46149</v>
      </c>
      <c r="B52" t="s">
        <v>87</v>
      </c>
      <c r="C52" t="s">
        <v>88</v>
      </c>
      <c r="D52" t="s">
        <v>5</v>
      </c>
      <c r="E52" t="s">
        <v>13</v>
      </c>
      <c r="F52">
        <v>4</v>
      </c>
      <c r="G52">
        <v>5000</v>
      </c>
      <c r="H52">
        <v>20000</v>
      </c>
      <c r="I52">
        <v>0.13</v>
      </c>
      <c r="J52">
        <v>17400</v>
      </c>
      <c r="K52" t="b">
        <v>1</v>
      </c>
    </row>
    <row r="53" spans="1:11">
      <c r="A53" s="10">
        <v>46155</v>
      </c>
      <c r="B53" t="s">
        <v>89</v>
      </c>
      <c r="C53" t="s">
        <v>76</v>
      </c>
      <c r="D53" t="s">
        <v>5</v>
      </c>
      <c r="E53" t="s">
        <v>9</v>
      </c>
      <c r="F53">
        <v>8</v>
      </c>
      <c r="G53">
        <v>450000</v>
      </c>
      <c r="H53">
        <v>3600000</v>
      </c>
      <c r="I53">
        <v>0.18</v>
      </c>
      <c r="J53">
        <v>2952000</v>
      </c>
      <c r="K53" t="b">
        <v>1</v>
      </c>
    </row>
    <row r="54" spans="1:11">
      <c r="A54" s="10">
        <v>46221</v>
      </c>
      <c r="B54" t="s">
        <v>114</v>
      </c>
      <c r="C54" t="s">
        <v>38</v>
      </c>
      <c r="D54" t="s">
        <v>5</v>
      </c>
      <c r="E54" t="s">
        <v>8</v>
      </c>
      <c r="F54">
        <v>3</v>
      </c>
      <c r="G54">
        <v>25000</v>
      </c>
      <c r="H54">
        <v>75000</v>
      </c>
      <c r="I54">
        <v>0.2</v>
      </c>
      <c r="J54">
        <v>60000</v>
      </c>
      <c r="K54" t="b">
        <v>1</v>
      </c>
    </row>
    <row r="55" spans="1:11">
      <c r="A55" s="10">
        <v>46221</v>
      </c>
      <c r="B55" t="s">
        <v>113</v>
      </c>
      <c r="C55" t="s">
        <v>30</v>
      </c>
      <c r="D55" t="s">
        <v>5</v>
      </c>
      <c r="E55" t="s">
        <v>13</v>
      </c>
      <c r="F55">
        <v>3</v>
      </c>
      <c r="G55">
        <v>25000</v>
      </c>
      <c r="H55">
        <v>75000</v>
      </c>
      <c r="I55">
        <v>0.19</v>
      </c>
      <c r="J55">
        <v>60750.000000000007</v>
      </c>
      <c r="K55" t="b">
        <v>1</v>
      </c>
    </row>
    <row r="56" spans="1:11">
      <c r="A56" s="10">
        <v>46218</v>
      </c>
      <c r="B56" t="s">
        <v>40</v>
      </c>
      <c r="C56" t="s">
        <v>44</v>
      </c>
      <c r="D56" t="s">
        <v>5</v>
      </c>
      <c r="E56" t="s">
        <v>8</v>
      </c>
      <c r="F56">
        <v>10</v>
      </c>
      <c r="G56">
        <v>25000</v>
      </c>
      <c r="H56">
        <v>250000</v>
      </c>
      <c r="I56">
        <v>0</v>
      </c>
      <c r="J56">
        <v>250000</v>
      </c>
      <c r="K56" t="b">
        <v>1</v>
      </c>
    </row>
    <row r="57" spans="1:11">
      <c r="A57" s="10">
        <v>46218</v>
      </c>
      <c r="B57" t="s">
        <v>95</v>
      </c>
      <c r="C57" t="s">
        <v>88</v>
      </c>
      <c r="D57" t="s">
        <v>5</v>
      </c>
      <c r="E57" t="s">
        <v>11</v>
      </c>
      <c r="F57">
        <v>7</v>
      </c>
      <c r="G57">
        <v>45000</v>
      </c>
      <c r="H57">
        <v>315000</v>
      </c>
      <c r="I57">
        <v>0.09</v>
      </c>
      <c r="J57">
        <v>286650</v>
      </c>
      <c r="K57" t="b">
        <v>1</v>
      </c>
    </row>
    <row r="58" spans="1:11">
      <c r="A58" s="10">
        <v>46209</v>
      </c>
      <c r="B58" t="s">
        <v>109</v>
      </c>
      <c r="C58" t="s">
        <v>38</v>
      </c>
      <c r="D58" t="s">
        <v>5</v>
      </c>
      <c r="E58" t="s">
        <v>10</v>
      </c>
      <c r="F58">
        <v>2</v>
      </c>
      <c r="G58">
        <v>180000</v>
      </c>
      <c r="H58">
        <v>360000</v>
      </c>
      <c r="I58">
        <v>0.16</v>
      </c>
      <c r="J58">
        <v>302400</v>
      </c>
      <c r="K58" t="b">
        <v>1</v>
      </c>
    </row>
    <row r="59" spans="1:11">
      <c r="A59" s="10">
        <v>46209</v>
      </c>
      <c r="B59" t="s">
        <v>108</v>
      </c>
      <c r="C59" t="s">
        <v>76</v>
      </c>
      <c r="D59" t="s">
        <v>5</v>
      </c>
      <c r="E59" t="s">
        <v>11</v>
      </c>
      <c r="F59">
        <v>7</v>
      </c>
      <c r="G59">
        <v>450000</v>
      </c>
      <c r="H59">
        <v>3150000</v>
      </c>
      <c r="I59">
        <v>0.12</v>
      </c>
      <c r="J59">
        <v>2772000</v>
      </c>
      <c r="K59" t="b">
        <v>1</v>
      </c>
    </row>
    <row r="60" spans="1:11">
      <c r="A60" s="10">
        <v>46180</v>
      </c>
      <c r="B60" t="s">
        <v>96</v>
      </c>
      <c r="C60" t="s">
        <v>34</v>
      </c>
      <c r="D60" t="s">
        <v>5</v>
      </c>
      <c r="E60" t="s">
        <v>10</v>
      </c>
      <c r="F60">
        <v>10</v>
      </c>
      <c r="G60">
        <v>120000</v>
      </c>
      <c r="H60">
        <v>1200000</v>
      </c>
      <c r="I60">
        <v>0.14000000000000001</v>
      </c>
      <c r="J60">
        <v>1032000</v>
      </c>
      <c r="K60" t="b">
        <v>1</v>
      </c>
    </row>
    <row r="61" spans="1:11">
      <c r="A61" s="10">
        <v>46180</v>
      </c>
      <c r="B61" t="s">
        <v>80</v>
      </c>
      <c r="C61" t="s">
        <v>44</v>
      </c>
      <c r="D61" t="s">
        <v>5</v>
      </c>
      <c r="E61" t="s">
        <v>10</v>
      </c>
      <c r="F61">
        <v>10</v>
      </c>
      <c r="G61">
        <v>15000</v>
      </c>
      <c r="H61">
        <v>150000</v>
      </c>
      <c r="I61">
        <v>0</v>
      </c>
      <c r="J61">
        <v>150000</v>
      </c>
      <c r="K61" t="b">
        <v>1</v>
      </c>
    </row>
    <row r="62" spans="1:11">
      <c r="A62" s="10">
        <v>46190</v>
      </c>
      <c r="B62" t="s">
        <v>97</v>
      </c>
      <c r="C62" t="s">
        <v>30</v>
      </c>
      <c r="D62" t="s">
        <v>5</v>
      </c>
      <c r="E62" t="s">
        <v>13</v>
      </c>
      <c r="F62">
        <v>2</v>
      </c>
      <c r="G62">
        <v>25000</v>
      </c>
      <c r="H62">
        <v>50000</v>
      </c>
      <c r="I62">
        <v>0.19</v>
      </c>
      <c r="J62">
        <v>40500</v>
      </c>
      <c r="K62" t="b">
        <v>1</v>
      </c>
    </row>
    <row r="63" spans="1:11">
      <c r="A63" s="10">
        <v>46206</v>
      </c>
      <c r="B63" t="s">
        <v>107</v>
      </c>
      <c r="C63" t="s">
        <v>76</v>
      </c>
      <c r="D63" t="s">
        <v>5</v>
      </c>
      <c r="E63" t="s">
        <v>8</v>
      </c>
      <c r="F63">
        <v>9</v>
      </c>
      <c r="G63">
        <v>450000</v>
      </c>
      <c r="H63">
        <v>4050000</v>
      </c>
      <c r="I63">
        <v>0.01</v>
      </c>
      <c r="J63">
        <v>4009500</v>
      </c>
      <c r="K63" t="b">
        <v>1</v>
      </c>
    </row>
    <row r="64" spans="1:11">
      <c r="A64" s="10">
        <v>46192</v>
      </c>
      <c r="B64" t="s">
        <v>99</v>
      </c>
      <c r="C64" t="s">
        <v>34</v>
      </c>
      <c r="D64" t="s">
        <v>5</v>
      </c>
      <c r="E64" t="s">
        <v>14</v>
      </c>
      <c r="F64">
        <v>1</v>
      </c>
      <c r="G64">
        <v>120000</v>
      </c>
      <c r="H64">
        <v>120000</v>
      </c>
      <c r="I64">
        <v>0.2</v>
      </c>
      <c r="J64">
        <v>96000</v>
      </c>
      <c r="K64" t="b">
        <v>1</v>
      </c>
    </row>
    <row r="65" spans="1:11">
      <c r="A65" s="10">
        <v>46196</v>
      </c>
      <c r="B65" t="s">
        <v>100</v>
      </c>
      <c r="C65" t="s">
        <v>30</v>
      </c>
      <c r="D65" t="s">
        <v>5</v>
      </c>
      <c r="E65" t="s">
        <v>11</v>
      </c>
      <c r="F65">
        <v>4</v>
      </c>
      <c r="G65">
        <v>25000</v>
      </c>
      <c r="H65">
        <v>100000</v>
      </c>
      <c r="I65">
        <v>0.18</v>
      </c>
      <c r="J65">
        <v>82000</v>
      </c>
      <c r="K65" t="b">
        <v>1</v>
      </c>
    </row>
    <row r="66" spans="1:11">
      <c r="A66" s="10">
        <v>46197</v>
      </c>
      <c r="B66" t="s">
        <v>101</v>
      </c>
      <c r="C66" t="s">
        <v>49</v>
      </c>
      <c r="D66" t="s">
        <v>5</v>
      </c>
      <c r="E66" t="s">
        <v>8</v>
      </c>
      <c r="F66">
        <v>3</v>
      </c>
      <c r="G66">
        <v>45000</v>
      </c>
      <c r="H66">
        <v>135000</v>
      </c>
      <c r="I66">
        <v>0.09</v>
      </c>
      <c r="J66">
        <v>122850</v>
      </c>
      <c r="K66" t="b">
        <v>1</v>
      </c>
    </row>
    <row r="67" spans="1:11">
      <c r="A67" s="10">
        <v>46197</v>
      </c>
      <c r="B67" t="s">
        <v>102</v>
      </c>
      <c r="C67" t="s">
        <v>36</v>
      </c>
      <c r="D67" t="s">
        <v>5</v>
      </c>
      <c r="E67" t="s">
        <v>8</v>
      </c>
      <c r="F67">
        <v>10</v>
      </c>
      <c r="G67">
        <v>22000</v>
      </c>
      <c r="H67">
        <v>220000</v>
      </c>
      <c r="I67">
        <v>0.01</v>
      </c>
      <c r="J67">
        <v>217800</v>
      </c>
      <c r="K67" t="b">
        <v>1</v>
      </c>
    </row>
    <row r="68" spans="1:11">
      <c r="A68" s="10">
        <v>46200</v>
      </c>
      <c r="B68" t="s">
        <v>105</v>
      </c>
      <c r="C68" t="s">
        <v>30</v>
      </c>
      <c r="D68" t="s">
        <v>5</v>
      </c>
      <c r="E68" t="s">
        <v>10</v>
      </c>
      <c r="F68">
        <v>4</v>
      </c>
      <c r="G68">
        <v>25000</v>
      </c>
      <c r="H68">
        <v>100000</v>
      </c>
      <c r="I68">
        <v>0.13</v>
      </c>
      <c r="J68">
        <v>87000</v>
      </c>
      <c r="K68" t="b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607D-C980-4A78-A172-994DB0D4AAB6}">
  <dimension ref="A1:E165"/>
  <sheetViews>
    <sheetView topLeftCell="A53" workbookViewId="0">
      <selection activeCell="A42" sqref="A42"/>
    </sheetView>
  </sheetViews>
  <sheetFormatPr defaultColWidth="8.7109375" defaultRowHeight="14.45"/>
  <cols>
    <col min="1" max="1" width="12.85546875" bestFit="1" customWidth="1"/>
    <col min="2" max="2" width="25.7109375" customWidth="1"/>
    <col min="3" max="5" width="15.85546875" customWidth="1"/>
  </cols>
  <sheetData>
    <row r="1" spans="1:2" ht="15.6">
      <c r="A1" s="21" t="s">
        <v>145</v>
      </c>
      <c r="B1" s="21"/>
    </row>
    <row r="3" spans="1:2">
      <c r="A3" s="8" t="s">
        <v>0</v>
      </c>
      <c r="B3" t="s">
        <v>1</v>
      </c>
    </row>
    <row r="4" spans="1:2">
      <c r="A4" t="s">
        <v>3</v>
      </c>
      <c r="B4" s="9">
        <v>2515000</v>
      </c>
    </row>
    <row r="5" spans="1:2">
      <c r="A5" t="s">
        <v>4</v>
      </c>
      <c r="B5" s="9">
        <v>20610000</v>
      </c>
    </row>
    <row r="6" spans="1:2">
      <c r="A6" t="s">
        <v>5</v>
      </c>
      <c r="B6" s="9">
        <v>35810000</v>
      </c>
    </row>
    <row r="7" spans="1:2">
      <c r="A7" t="s">
        <v>6</v>
      </c>
      <c r="B7" s="9">
        <v>58935000</v>
      </c>
    </row>
    <row r="9" spans="1:2" ht="15.6">
      <c r="A9" s="21" t="s">
        <v>146</v>
      </c>
      <c r="B9" s="21"/>
    </row>
    <row r="11" spans="1:2">
      <c r="A11" s="8" t="s">
        <v>7</v>
      </c>
      <c r="B11" t="s">
        <v>1</v>
      </c>
    </row>
    <row r="12" spans="1:2">
      <c r="A12" t="s">
        <v>8</v>
      </c>
      <c r="B12" s="9">
        <v>10237000</v>
      </c>
    </row>
    <row r="13" spans="1:2">
      <c r="A13" t="s">
        <v>9</v>
      </c>
      <c r="B13" s="9">
        <v>9975000</v>
      </c>
    </row>
    <row r="14" spans="1:2">
      <c r="A14" t="s">
        <v>10</v>
      </c>
      <c r="B14" s="9">
        <v>8184000</v>
      </c>
    </row>
    <row r="15" spans="1:2">
      <c r="A15" t="s">
        <v>11</v>
      </c>
      <c r="B15" s="9">
        <v>6306000</v>
      </c>
    </row>
    <row r="16" spans="1:2">
      <c r="A16" t="s">
        <v>12</v>
      </c>
      <c r="B16" s="9">
        <v>5638000</v>
      </c>
    </row>
    <row r="17" spans="1:5">
      <c r="A17" t="s">
        <v>13</v>
      </c>
      <c r="B17" s="9">
        <v>5503000</v>
      </c>
    </row>
    <row r="18" spans="1:5">
      <c r="A18" t="s">
        <v>14</v>
      </c>
      <c r="B18" s="9">
        <v>4358000</v>
      </c>
    </row>
    <row r="19" spans="1:5">
      <c r="A19" t="s">
        <v>15</v>
      </c>
      <c r="B19" s="9">
        <v>3393000</v>
      </c>
    </row>
    <row r="20" spans="1:5">
      <c r="A20" t="s">
        <v>16</v>
      </c>
      <c r="B20" s="9">
        <v>2822000</v>
      </c>
    </row>
    <row r="21" spans="1:5">
      <c r="A21" t="s">
        <v>17</v>
      </c>
      <c r="B21" s="9">
        <v>2519000</v>
      </c>
    </row>
    <row r="22" spans="1:5">
      <c r="A22" t="s">
        <v>6</v>
      </c>
      <c r="B22" s="9">
        <v>58935000</v>
      </c>
    </row>
    <row r="24" spans="1:5" ht="15.6">
      <c r="A24" s="21" t="s">
        <v>147</v>
      </c>
      <c r="B24" s="21"/>
    </row>
    <row r="26" spans="1:5">
      <c r="A26" s="8" t="s">
        <v>1</v>
      </c>
      <c r="B26" s="8" t="s">
        <v>0</v>
      </c>
    </row>
    <row r="27" spans="1:5">
      <c r="A27" s="8" t="s">
        <v>7</v>
      </c>
      <c r="B27" t="s">
        <v>3</v>
      </c>
      <c r="C27" t="s">
        <v>4</v>
      </c>
      <c r="D27" t="s">
        <v>5</v>
      </c>
      <c r="E27" t="s">
        <v>6</v>
      </c>
    </row>
    <row r="28" spans="1:5">
      <c r="A28" t="s">
        <v>14</v>
      </c>
      <c r="B28" s="9">
        <v>593000</v>
      </c>
      <c r="C28" s="9">
        <v>3140000</v>
      </c>
      <c r="D28" s="9">
        <v>625000</v>
      </c>
      <c r="E28" s="9">
        <v>4358000</v>
      </c>
    </row>
    <row r="29" spans="1:5">
      <c r="A29" t="s">
        <v>8</v>
      </c>
      <c r="B29" s="9">
        <v>402000</v>
      </c>
      <c r="C29" s="9">
        <v>2660000</v>
      </c>
      <c r="D29" s="9">
        <v>7175000</v>
      </c>
      <c r="E29" s="9">
        <v>10237000</v>
      </c>
    </row>
    <row r="30" spans="1:5">
      <c r="A30" t="s">
        <v>16</v>
      </c>
      <c r="B30" s="9">
        <v>342000</v>
      </c>
      <c r="C30" s="9">
        <v>1400000</v>
      </c>
      <c r="D30" s="9">
        <v>1080000</v>
      </c>
      <c r="E30" s="9">
        <v>2822000</v>
      </c>
    </row>
    <row r="31" spans="1:5">
      <c r="A31" t="s">
        <v>15</v>
      </c>
      <c r="B31" s="9">
        <v>270000</v>
      </c>
      <c r="C31" s="9">
        <v>775000</v>
      </c>
      <c r="D31" s="9">
        <v>2348000</v>
      </c>
      <c r="E31" s="9">
        <v>3393000</v>
      </c>
    </row>
    <row r="32" spans="1:5">
      <c r="A32" t="s">
        <v>11</v>
      </c>
      <c r="B32" s="9">
        <v>260000</v>
      </c>
      <c r="C32" s="9"/>
      <c r="D32" s="9">
        <v>6046000</v>
      </c>
      <c r="E32" s="9">
        <v>6306000</v>
      </c>
    </row>
    <row r="33" spans="1:5">
      <c r="A33" t="s">
        <v>12</v>
      </c>
      <c r="B33" s="9">
        <v>222000</v>
      </c>
      <c r="C33" s="9">
        <v>4860000</v>
      </c>
      <c r="D33" s="9">
        <v>556000</v>
      </c>
      <c r="E33" s="9">
        <v>5638000</v>
      </c>
    </row>
    <row r="34" spans="1:5">
      <c r="A34" t="s">
        <v>9</v>
      </c>
      <c r="B34" s="9">
        <v>210000</v>
      </c>
      <c r="C34" s="9">
        <v>3830000</v>
      </c>
      <c r="D34" s="9">
        <v>5935000</v>
      </c>
      <c r="E34" s="9">
        <v>9975000</v>
      </c>
    </row>
    <row r="35" spans="1:5">
      <c r="A35" t="s">
        <v>10</v>
      </c>
      <c r="B35" s="9">
        <v>144000</v>
      </c>
      <c r="C35" s="9">
        <v>700000</v>
      </c>
      <c r="D35" s="9">
        <v>7340000</v>
      </c>
      <c r="E35" s="9">
        <v>8184000</v>
      </c>
    </row>
    <row r="36" spans="1:5">
      <c r="A36" t="s">
        <v>13</v>
      </c>
      <c r="B36" s="9">
        <v>48000</v>
      </c>
      <c r="C36" s="9">
        <v>3195000</v>
      </c>
      <c r="D36" s="9">
        <v>2260000</v>
      </c>
      <c r="E36" s="9">
        <v>5503000</v>
      </c>
    </row>
    <row r="37" spans="1:5">
      <c r="A37" t="s">
        <v>17</v>
      </c>
      <c r="B37" s="9">
        <v>24000</v>
      </c>
      <c r="C37" s="9">
        <v>50000</v>
      </c>
      <c r="D37" s="9">
        <v>2445000</v>
      </c>
      <c r="E37" s="9">
        <v>2519000</v>
      </c>
    </row>
    <row r="38" spans="1:5">
      <c r="A38" t="s">
        <v>6</v>
      </c>
      <c r="B38" s="9">
        <v>2515000</v>
      </c>
      <c r="C38" s="9">
        <v>20610000</v>
      </c>
      <c r="D38" s="9">
        <v>35810000</v>
      </c>
      <c r="E38" s="9">
        <v>58935000</v>
      </c>
    </row>
    <row r="40" spans="1:5" ht="16.5">
      <c r="A40" s="21" t="s">
        <v>148</v>
      </c>
      <c r="B40" s="21"/>
    </row>
    <row r="42" spans="1:5">
      <c r="A42" s="8" t="s">
        <v>149</v>
      </c>
      <c r="B42" t="s">
        <v>1</v>
      </c>
    </row>
    <row r="43" spans="1:5">
      <c r="A43" s="13" t="s">
        <v>150</v>
      </c>
      <c r="B43" s="9">
        <v>58935000</v>
      </c>
    </row>
    <row r="44" spans="1:5">
      <c r="A44" s="14" t="s">
        <v>151</v>
      </c>
      <c r="B44" s="9">
        <v>22176000</v>
      </c>
    </row>
    <row r="45" spans="1:5">
      <c r="A45" s="17" t="s">
        <v>152</v>
      </c>
      <c r="B45" s="9">
        <v>14465000</v>
      </c>
    </row>
    <row r="46" spans="1:5">
      <c r="A46" s="17" t="s">
        <v>153</v>
      </c>
      <c r="B46" s="9">
        <v>811000</v>
      </c>
    </row>
    <row r="47" spans="1:5">
      <c r="A47" s="17" t="s">
        <v>154</v>
      </c>
      <c r="B47" s="9">
        <v>6900000</v>
      </c>
    </row>
    <row r="48" spans="1:5">
      <c r="A48" s="14" t="s">
        <v>155</v>
      </c>
      <c r="B48" s="9">
        <v>19504000</v>
      </c>
    </row>
    <row r="49" spans="1:2">
      <c r="A49" s="17" t="s">
        <v>156</v>
      </c>
      <c r="B49" s="9">
        <v>6712000</v>
      </c>
    </row>
    <row r="50" spans="1:2">
      <c r="A50" s="17" t="s">
        <v>157</v>
      </c>
      <c r="B50" s="9">
        <v>8407000</v>
      </c>
    </row>
    <row r="51" spans="1:2">
      <c r="A51" s="17" t="s">
        <v>158</v>
      </c>
      <c r="B51" s="9">
        <v>4385000</v>
      </c>
    </row>
    <row r="52" spans="1:2">
      <c r="A52" s="14" t="s">
        <v>159</v>
      </c>
      <c r="B52" s="9">
        <v>13483000</v>
      </c>
    </row>
    <row r="53" spans="1:2">
      <c r="A53" s="17" t="s">
        <v>160</v>
      </c>
      <c r="B53" s="9">
        <v>5676000</v>
      </c>
    </row>
    <row r="54" spans="1:2">
      <c r="A54" s="17" t="s">
        <v>161</v>
      </c>
      <c r="B54" s="9">
        <v>4470000</v>
      </c>
    </row>
    <row r="55" spans="1:2">
      <c r="A55" s="17" t="s">
        <v>162</v>
      </c>
      <c r="B55" s="9">
        <v>3337000</v>
      </c>
    </row>
    <row r="56" spans="1:2">
      <c r="A56" s="14" t="s">
        <v>163</v>
      </c>
      <c r="B56" s="9">
        <v>3772000</v>
      </c>
    </row>
    <row r="57" spans="1:2">
      <c r="A57" s="17" t="s">
        <v>164</v>
      </c>
      <c r="B57" s="9">
        <v>1962000</v>
      </c>
    </row>
    <row r="58" spans="1:2">
      <c r="A58" s="17" t="s">
        <v>165</v>
      </c>
      <c r="B58" s="9">
        <v>1455000</v>
      </c>
    </row>
    <row r="59" spans="1:2">
      <c r="A59" s="17" t="s">
        <v>166</v>
      </c>
      <c r="B59" s="9">
        <v>355000</v>
      </c>
    </row>
    <row r="60" spans="1:2">
      <c r="A60" s="13" t="s">
        <v>6</v>
      </c>
      <c r="B60" s="9">
        <v>58935000</v>
      </c>
    </row>
    <row r="147" spans="1:5" ht="15"/>
    <row r="148" spans="1:5" ht="15">
      <c r="A148" s="20" t="s">
        <v>167</v>
      </c>
      <c r="B148" s="20"/>
    </row>
    <row r="149" spans="1:5" ht="15"/>
    <row r="150" spans="1:5">
      <c r="A150" s="8" t="s">
        <v>1</v>
      </c>
      <c r="B150" s="8" t="s">
        <v>0</v>
      </c>
    </row>
    <row r="151" spans="1:5">
      <c r="A151" s="8" t="s">
        <v>7</v>
      </c>
      <c r="B151" t="s">
        <v>3</v>
      </c>
      <c r="C151" t="s">
        <v>4</v>
      </c>
      <c r="D151" t="s">
        <v>5</v>
      </c>
      <c r="E151" t="s">
        <v>6</v>
      </c>
    </row>
    <row r="152" spans="1:5">
      <c r="A152" t="s">
        <v>16</v>
      </c>
      <c r="B152" s="9">
        <v>342000</v>
      </c>
      <c r="C152" s="9">
        <v>1400000</v>
      </c>
      <c r="D152" s="9">
        <v>1080000</v>
      </c>
      <c r="E152" s="9">
        <v>2822000</v>
      </c>
    </row>
    <row r="153" spans="1:5">
      <c r="A153" t="s">
        <v>14</v>
      </c>
      <c r="B153" s="9">
        <v>593000</v>
      </c>
      <c r="C153" s="9">
        <v>3140000</v>
      </c>
      <c r="D153" s="9">
        <v>625000</v>
      </c>
      <c r="E153" s="9">
        <v>4358000</v>
      </c>
    </row>
    <row r="154" spans="1:5">
      <c r="A154" t="s">
        <v>8</v>
      </c>
      <c r="B154" s="9">
        <v>402000</v>
      </c>
      <c r="C154" s="9">
        <v>2660000</v>
      </c>
      <c r="D154" s="9">
        <v>7175000</v>
      </c>
      <c r="E154" s="9">
        <v>10237000</v>
      </c>
    </row>
    <row r="155" spans="1:5">
      <c r="A155" t="s">
        <v>12</v>
      </c>
      <c r="B155" s="9">
        <v>222000</v>
      </c>
      <c r="C155" s="9">
        <v>4860000</v>
      </c>
      <c r="D155" s="9">
        <v>556000</v>
      </c>
      <c r="E155" s="9">
        <v>5638000</v>
      </c>
    </row>
    <row r="156" spans="1:5">
      <c r="A156" t="s">
        <v>10</v>
      </c>
      <c r="B156" s="9">
        <v>144000</v>
      </c>
      <c r="C156" s="9">
        <v>700000</v>
      </c>
      <c r="D156" s="9">
        <v>7340000</v>
      </c>
      <c r="E156" s="9">
        <v>8184000</v>
      </c>
    </row>
    <row r="157" spans="1:5">
      <c r="A157" t="s">
        <v>11</v>
      </c>
      <c r="B157" s="9">
        <v>260000</v>
      </c>
      <c r="C157" s="9"/>
      <c r="D157" s="9">
        <v>6046000</v>
      </c>
      <c r="E157" s="9">
        <v>6306000</v>
      </c>
    </row>
    <row r="158" spans="1:5">
      <c r="A158" t="s">
        <v>13</v>
      </c>
      <c r="B158" s="9">
        <v>48000</v>
      </c>
      <c r="C158" s="9">
        <v>3195000</v>
      </c>
      <c r="D158" s="9">
        <v>2260000</v>
      </c>
      <c r="E158" s="9">
        <v>5503000</v>
      </c>
    </row>
    <row r="159" spans="1:5">
      <c r="A159" t="s">
        <v>15</v>
      </c>
      <c r="B159" s="9">
        <v>270000</v>
      </c>
      <c r="C159" s="9">
        <v>775000</v>
      </c>
      <c r="D159" s="9">
        <v>2348000</v>
      </c>
      <c r="E159" s="9">
        <v>3393000</v>
      </c>
    </row>
    <row r="160" spans="1:5">
      <c r="A160" t="s">
        <v>17</v>
      </c>
      <c r="B160" s="9">
        <v>24000</v>
      </c>
      <c r="C160" s="9">
        <v>50000</v>
      </c>
      <c r="D160" s="9">
        <v>2445000</v>
      </c>
      <c r="E160" s="9">
        <v>2519000</v>
      </c>
    </row>
    <row r="161" spans="1:5">
      <c r="A161" t="s">
        <v>9</v>
      </c>
      <c r="B161" s="9">
        <v>210000</v>
      </c>
      <c r="C161" s="9">
        <v>3830000</v>
      </c>
      <c r="D161" s="9">
        <v>5935000</v>
      </c>
      <c r="E161" s="9">
        <v>9975000</v>
      </c>
    </row>
    <row r="162" spans="1:5">
      <c r="A162" t="s">
        <v>6</v>
      </c>
      <c r="B162" s="9">
        <v>2515000</v>
      </c>
      <c r="C162" s="9">
        <v>20610000</v>
      </c>
      <c r="D162" s="9">
        <v>35810000</v>
      </c>
      <c r="E162" s="9">
        <v>58935000</v>
      </c>
    </row>
    <row r="163" spans="1:5" ht="15"/>
    <row r="164" spans="1:5" ht="15">
      <c r="A164" s="20" t="s">
        <v>168</v>
      </c>
      <c r="B164" s="20"/>
    </row>
    <row r="165" spans="1:5" ht="15"/>
  </sheetData>
  <mergeCells count="6">
    <mergeCell ref="A164:B164"/>
    <mergeCell ref="A1:B1"/>
    <mergeCell ref="A9:B9"/>
    <mergeCell ref="A24:B24"/>
    <mergeCell ref="A40:B40"/>
    <mergeCell ref="A148:B148"/>
  </mergeCells>
  <pageMargins left="0.7" right="0.7" top="0.75" bottom="0.75" header="0.3" footer="0.3"/>
  <pageSetup paperSize="9"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0D5D-4788-4952-92CA-2579F3477562}">
  <dimension ref="A1:K68"/>
  <sheetViews>
    <sheetView workbookViewId="0"/>
  </sheetViews>
  <sheetFormatPr defaultRowHeight="15"/>
  <cols>
    <col min="1" max="1" width="11.42578125" bestFit="1" customWidth="1"/>
    <col min="2" max="2" width="11.7109375" bestFit="1" customWidth="1"/>
    <col min="3" max="3" width="18.140625" bestFit="1" customWidth="1"/>
    <col min="4" max="4" width="12.5703125" bestFit="1" customWidth="1"/>
    <col min="5" max="5" width="14.85546875" bestFit="1" customWidth="1"/>
    <col min="6" max="6" width="11.28515625" bestFit="1" customWidth="1"/>
    <col min="7" max="7" width="15.140625" bestFit="1" customWidth="1"/>
    <col min="8" max="8" width="17.5703125" bestFit="1" customWidth="1"/>
    <col min="9" max="9" width="9.85546875" bestFit="1" customWidth="1"/>
    <col min="10" max="10" width="15.7109375" bestFit="1" customWidth="1"/>
    <col min="11" max="11" width="11.85546875" bestFit="1" customWidth="1"/>
  </cols>
  <sheetData>
    <row r="1" spans="1:11">
      <c r="A1" s="19" t="s">
        <v>144</v>
      </c>
    </row>
    <row r="3" spans="1:11">
      <c r="A3" t="s">
        <v>18</v>
      </c>
      <c r="B3" t="s">
        <v>19</v>
      </c>
      <c r="C3" t="s">
        <v>20</v>
      </c>
      <c r="D3" t="s">
        <v>0</v>
      </c>
      <c r="E3" t="s">
        <v>7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>
      <c r="A4" s="10">
        <v>46362</v>
      </c>
      <c r="B4" t="s">
        <v>143</v>
      </c>
      <c r="C4" t="s">
        <v>30</v>
      </c>
      <c r="D4" t="s">
        <v>5</v>
      </c>
      <c r="E4" t="s">
        <v>11</v>
      </c>
      <c r="F4">
        <v>7</v>
      </c>
      <c r="G4">
        <v>25000</v>
      </c>
      <c r="H4">
        <v>175000</v>
      </c>
      <c r="I4">
        <v>0.13</v>
      </c>
      <c r="J4">
        <v>152250</v>
      </c>
      <c r="K4" t="b">
        <v>1</v>
      </c>
    </row>
    <row r="5" spans="1:11">
      <c r="A5" s="10">
        <v>46027</v>
      </c>
      <c r="B5" t="s">
        <v>29</v>
      </c>
      <c r="C5" t="s">
        <v>30</v>
      </c>
      <c r="D5" t="s">
        <v>5</v>
      </c>
      <c r="E5" t="s">
        <v>12</v>
      </c>
      <c r="F5">
        <v>1</v>
      </c>
      <c r="G5">
        <v>25000</v>
      </c>
      <c r="H5">
        <v>25000</v>
      </c>
      <c r="I5">
        <v>7.0000000000000007E-2</v>
      </c>
      <c r="J5">
        <v>23250</v>
      </c>
      <c r="K5" t="b">
        <v>1</v>
      </c>
    </row>
    <row r="6" spans="1:11">
      <c r="A6" s="10">
        <v>46028</v>
      </c>
      <c r="B6" t="s">
        <v>31</v>
      </c>
      <c r="C6" t="s">
        <v>30</v>
      </c>
      <c r="D6" t="s">
        <v>5</v>
      </c>
      <c r="E6" t="s">
        <v>14</v>
      </c>
      <c r="F6">
        <v>5</v>
      </c>
      <c r="G6">
        <v>25000</v>
      </c>
      <c r="H6">
        <v>125000</v>
      </c>
      <c r="I6">
        <v>0.08</v>
      </c>
      <c r="J6">
        <v>115000</v>
      </c>
      <c r="K6" t="b">
        <v>1</v>
      </c>
    </row>
    <row r="7" spans="1:11">
      <c r="A7" s="10">
        <v>46029</v>
      </c>
      <c r="B7" t="s">
        <v>32</v>
      </c>
      <c r="C7" t="s">
        <v>30</v>
      </c>
      <c r="D7" t="s">
        <v>5</v>
      </c>
      <c r="E7" t="s">
        <v>11</v>
      </c>
      <c r="F7">
        <v>4</v>
      </c>
      <c r="G7">
        <v>25000</v>
      </c>
      <c r="H7">
        <v>100000</v>
      </c>
      <c r="I7">
        <v>0.1</v>
      </c>
      <c r="J7">
        <v>90000</v>
      </c>
      <c r="K7" t="b">
        <v>1</v>
      </c>
    </row>
    <row r="8" spans="1:11">
      <c r="A8" s="10">
        <v>46031</v>
      </c>
      <c r="B8" t="s">
        <v>33</v>
      </c>
      <c r="C8" t="s">
        <v>34</v>
      </c>
      <c r="D8" t="s">
        <v>5</v>
      </c>
      <c r="E8" t="s">
        <v>16</v>
      </c>
      <c r="F8">
        <v>2</v>
      </c>
      <c r="G8">
        <v>120000</v>
      </c>
      <c r="H8">
        <v>240000</v>
      </c>
      <c r="I8">
        <v>0.13</v>
      </c>
      <c r="J8">
        <v>208800</v>
      </c>
      <c r="K8" t="b">
        <v>1</v>
      </c>
    </row>
    <row r="9" spans="1:11">
      <c r="A9" s="10">
        <v>46040</v>
      </c>
      <c r="B9" t="s">
        <v>35</v>
      </c>
      <c r="C9" t="s">
        <v>36</v>
      </c>
      <c r="D9" t="s">
        <v>5</v>
      </c>
      <c r="E9" t="s">
        <v>15</v>
      </c>
      <c r="F9">
        <v>7</v>
      </c>
      <c r="G9">
        <v>22000</v>
      </c>
      <c r="H9">
        <v>154000</v>
      </c>
      <c r="I9">
        <v>0.05</v>
      </c>
      <c r="J9">
        <v>146300</v>
      </c>
      <c r="K9" t="b">
        <v>1</v>
      </c>
    </row>
    <row r="10" spans="1:11">
      <c r="A10" s="10">
        <v>46041</v>
      </c>
      <c r="B10" t="s">
        <v>37</v>
      </c>
      <c r="C10" t="s">
        <v>38</v>
      </c>
      <c r="D10" t="s">
        <v>5</v>
      </c>
      <c r="E10" t="s">
        <v>11</v>
      </c>
      <c r="F10">
        <v>7</v>
      </c>
      <c r="G10">
        <v>180000</v>
      </c>
      <c r="H10">
        <v>1260000</v>
      </c>
      <c r="I10">
        <v>0.11</v>
      </c>
      <c r="J10">
        <v>1121400</v>
      </c>
      <c r="K10" t="b">
        <v>1</v>
      </c>
    </row>
    <row r="11" spans="1:11">
      <c r="A11" s="10">
        <v>46047</v>
      </c>
      <c r="B11" t="s">
        <v>39</v>
      </c>
      <c r="C11" t="s">
        <v>30</v>
      </c>
      <c r="D11" t="s">
        <v>5</v>
      </c>
      <c r="E11" t="s">
        <v>13</v>
      </c>
      <c r="F11">
        <v>7</v>
      </c>
      <c r="G11">
        <v>25000</v>
      </c>
      <c r="H11">
        <v>175000</v>
      </c>
      <c r="I11">
        <v>0.03</v>
      </c>
      <c r="J11">
        <v>169750</v>
      </c>
      <c r="K11" t="b">
        <v>1</v>
      </c>
    </row>
    <row r="12" spans="1:11">
      <c r="A12" s="10">
        <v>46048</v>
      </c>
      <c r="B12" t="s">
        <v>40</v>
      </c>
      <c r="C12" t="s">
        <v>38</v>
      </c>
      <c r="D12" t="s">
        <v>5</v>
      </c>
      <c r="E12" t="s">
        <v>9</v>
      </c>
      <c r="F12">
        <v>10</v>
      </c>
      <c r="G12">
        <v>180000</v>
      </c>
      <c r="H12">
        <v>1800000</v>
      </c>
      <c r="I12">
        <v>0.14000000000000001</v>
      </c>
      <c r="J12">
        <v>1548000</v>
      </c>
      <c r="K12" t="b">
        <v>1</v>
      </c>
    </row>
    <row r="13" spans="1:11">
      <c r="A13" s="10">
        <v>46359</v>
      </c>
      <c r="B13" t="s">
        <v>114</v>
      </c>
      <c r="C13" t="s">
        <v>49</v>
      </c>
      <c r="D13" t="s">
        <v>5</v>
      </c>
      <c r="E13" t="s">
        <v>14</v>
      </c>
      <c r="F13">
        <v>4</v>
      </c>
      <c r="G13">
        <v>45000</v>
      </c>
      <c r="H13">
        <v>180000</v>
      </c>
      <c r="I13">
        <v>0.18</v>
      </c>
      <c r="J13">
        <v>147600</v>
      </c>
      <c r="K13" t="b">
        <v>1</v>
      </c>
    </row>
    <row r="14" spans="1:11">
      <c r="A14" s="10">
        <v>46050</v>
      </c>
      <c r="B14" t="s">
        <v>43</v>
      </c>
      <c r="C14" t="s">
        <v>44</v>
      </c>
      <c r="D14" t="s">
        <v>5</v>
      </c>
      <c r="E14" t="s">
        <v>8</v>
      </c>
      <c r="F14">
        <v>7</v>
      </c>
      <c r="G14">
        <v>15000</v>
      </c>
      <c r="H14">
        <v>105000</v>
      </c>
      <c r="I14">
        <v>0.1</v>
      </c>
      <c r="J14">
        <v>94500</v>
      </c>
      <c r="K14" t="b">
        <v>1</v>
      </c>
    </row>
    <row r="15" spans="1:11">
      <c r="A15" s="10">
        <v>46051</v>
      </c>
      <c r="B15" t="s">
        <v>45</v>
      </c>
      <c r="C15" t="s">
        <v>36</v>
      </c>
      <c r="D15" t="s">
        <v>5</v>
      </c>
      <c r="E15" t="s">
        <v>17</v>
      </c>
      <c r="F15">
        <v>10</v>
      </c>
      <c r="G15">
        <v>22000</v>
      </c>
      <c r="H15">
        <v>220000</v>
      </c>
      <c r="I15">
        <v>0</v>
      </c>
      <c r="J15">
        <v>220000</v>
      </c>
      <c r="K15" t="b">
        <v>1</v>
      </c>
    </row>
    <row r="16" spans="1:11">
      <c r="A16" s="10">
        <v>46058</v>
      </c>
      <c r="B16" t="s">
        <v>46</v>
      </c>
      <c r="C16" t="s">
        <v>44</v>
      </c>
      <c r="D16" t="s">
        <v>5</v>
      </c>
      <c r="E16" t="s">
        <v>13</v>
      </c>
      <c r="F16">
        <v>9</v>
      </c>
      <c r="G16">
        <v>15000</v>
      </c>
      <c r="H16">
        <v>135000</v>
      </c>
      <c r="I16">
        <v>0.14000000000000001</v>
      </c>
      <c r="J16">
        <v>116100</v>
      </c>
      <c r="K16" t="b">
        <v>1</v>
      </c>
    </row>
    <row r="17" spans="1:11">
      <c r="A17" s="10">
        <v>46061</v>
      </c>
      <c r="B17" t="s">
        <v>47</v>
      </c>
      <c r="C17" t="s">
        <v>30</v>
      </c>
      <c r="D17" t="s">
        <v>5</v>
      </c>
      <c r="E17" t="s">
        <v>12</v>
      </c>
      <c r="F17">
        <v>6</v>
      </c>
      <c r="G17">
        <v>25000</v>
      </c>
      <c r="H17">
        <v>150000</v>
      </c>
      <c r="I17">
        <v>0.16</v>
      </c>
      <c r="J17">
        <v>126000</v>
      </c>
      <c r="K17" t="b">
        <v>1</v>
      </c>
    </row>
    <row r="18" spans="1:11">
      <c r="A18" s="10">
        <v>46062</v>
      </c>
      <c r="B18" t="s">
        <v>48</v>
      </c>
      <c r="C18" t="s">
        <v>49</v>
      </c>
      <c r="D18" t="s">
        <v>5</v>
      </c>
      <c r="E18" t="s">
        <v>9</v>
      </c>
      <c r="F18">
        <v>2</v>
      </c>
      <c r="G18">
        <v>45000</v>
      </c>
      <c r="H18">
        <v>90000</v>
      </c>
      <c r="I18">
        <v>0.05</v>
      </c>
      <c r="J18">
        <v>85500</v>
      </c>
      <c r="K18" t="b">
        <v>1</v>
      </c>
    </row>
    <row r="19" spans="1:11">
      <c r="A19" s="10">
        <v>46067</v>
      </c>
      <c r="B19" t="s">
        <v>50</v>
      </c>
      <c r="C19" t="s">
        <v>30</v>
      </c>
      <c r="D19" t="s">
        <v>5</v>
      </c>
      <c r="E19" t="s">
        <v>13</v>
      </c>
      <c r="F19">
        <v>9</v>
      </c>
      <c r="G19">
        <v>25000</v>
      </c>
      <c r="H19">
        <v>225000</v>
      </c>
      <c r="I19">
        <v>0.14000000000000001</v>
      </c>
      <c r="J19">
        <v>193500</v>
      </c>
      <c r="K19" t="b">
        <v>1</v>
      </c>
    </row>
    <row r="20" spans="1:11">
      <c r="A20" s="10">
        <v>46069</v>
      </c>
      <c r="B20" t="s">
        <v>51</v>
      </c>
      <c r="C20" t="s">
        <v>34</v>
      </c>
      <c r="D20" t="s">
        <v>5</v>
      </c>
      <c r="E20" t="s">
        <v>15</v>
      </c>
      <c r="F20">
        <v>3</v>
      </c>
      <c r="G20">
        <v>120000</v>
      </c>
      <c r="H20">
        <v>360000</v>
      </c>
      <c r="I20">
        <v>0.04</v>
      </c>
      <c r="J20">
        <v>345600</v>
      </c>
      <c r="K20" t="b">
        <v>1</v>
      </c>
    </row>
    <row r="21" spans="1:11">
      <c r="A21" s="10">
        <v>46334</v>
      </c>
      <c r="B21" t="s">
        <v>142</v>
      </c>
      <c r="C21" t="s">
        <v>30</v>
      </c>
      <c r="D21" t="s">
        <v>5</v>
      </c>
      <c r="E21" t="s">
        <v>11</v>
      </c>
      <c r="F21">
        <v>2</v>
      </c>
      <c r="G21">
        <v>25000</v>
      </c>
      <c r="H21">
        <v>50000</v>
      </c>
      <c r="I21">
        <v>0.14000000000000001</v>
      </c>
      <c r="J21">
        <v>43000</v>
      </c>
      <c r="K21" t="b">
        <v>1</v>
      </c>
    </row>
    <row r="22" spans="1:11">
      <c r="A22" s="10">
        <v>46081</v>
      </c>
      <c r="B22" t="s">
        <v>53</v>
      </c>
      <c r="C22" t="s">
        <v>49</v>
      </c>
      <c r="D22" t="s">
        <v>5</v>
      </c>
      <c r="E22" t="s">
        <v>8</v>
      </c>
      <c r="F22">
        <v>8</v>
      </c>
      <c r="G22">
        <v>45000</v>
      </c>
      <c r="H22">
        <v>360000</v>
      </c>
      <c r="I22">
        <v>0.01</v>
      </c>
      <c r="J22">
        <v>356400</v>
      </c>
      <c r="K22" t="b">
        <v>1</v>
      </c>
    </row>
    <row r="23" spans="1:11">
      <c r="A23" s="10">
        <v>46333</v>
      </c>
      <c r="B23" t="s">
        <v>141</v>
      </c>
      <c r="C23" t="s">
        <v>44</v>
      </c>
      <c r="D23" t="s">
        <v>5</v>
      </c>
      <c r="E23" t="s">
        <v>17</v>
      </c>
      <c r="F23">
        <v>10</v>
      </c>
      <c r="G23">
        <v>15000</v>
      </c>
      <c r="H23">
        <v>150000</v>
      </c>
      <c r="I23">
        <v>0.03</v>
      </c>
      <c r="J23">
        <v>145500</v>
      </c>
      <c r="K23" t="b">
        <v>1</v>
      </c>
    </row>
    <row r="24" spans="1:11">
      <c r="A24" s="10">
        <v>46088</v>
      </c>
      <c r="B24" t="s">
        <v>56</v>
      </c>
      <c r="C24" t="s">
        <v>30</v>
      </c>
      <c r="D24" t="s">
        <v>5</v>
      </c>
      <c r="E24" t="s">
        <v>9</v>
      </c>
      <c r="F24">
        <v>6</v>
      </c>
      <c r="G24">
        <v>25000</v>
      </c>
      <c r="H24">
        <v>150000</v>
      </c>
      <c r="I24">
        <v>0.02</v>
      </c>
      <c r="J24">
        <v>147000</v>
      </c>
      <c r="K24" t="b">
        <v>1</v>
      </c>
    </row>
    <row r="25" spans="1:11">
      <c r="A25" s="10">
        <v>46088</v>
      </c>
      <c r="B25" t="s">
        <v>57</v>
      </c>
      <c r="C25" t="s">
        <v>34</v>
      </c>
      <c r="D25" t="s">
        <v>5</v>
      </c>
      <c r="E25" t="s">
        <v>16</v>
      </c>
      <c r="F25">
        <v>7</v>
      </c>
      <c r="G25">
        <v>120000</v>
      </c>
      <c r="H25">
        <v>840000</v>
      </c>
      <c r="I25">
        <v>0.09</v>
      </c>
      <c r="J25">
        <v>764400</v>
      </c>
      <c r="K25" t="b">
        <v>1</v>
      </c>
    </row>
    <row r="26" spans="1:11">
      <c r="A26" s="10">
        <v>46088</v>
      </c>
      <c r="B26" t="s">
        <v>58</v>
      </c>
      <c r="C26" t="s">
        <v>34</v>
      </c>
      <c r="D26" t="s">
        <v>5</v>
      </c>
      <c r="E26" t="s">
        <v>15</v>
      </c>
      <c r="F26">
        <v>5</v>
      </c>
      <c r="G26">
        <v>120000</v>
      </c>
      <c r="H26">
        <v>600000</v>
      </c>
      <c r="I26">
        <v>0.19</v>
      </c>
      <c r="J26">
        <v>486000.00000000006</v>
      </c>
      <c r="K26" t="b">
        <v>1</v>
      </c>
    </row>
    <row r="27" spans="1:11">
      <c r="A27" s="10">
        <v>46088</v>
      </c>
      <c r="B27" t="s">
        <v>58</v>
      </c>
      <c r="C27" t="s">
        <v>59</v>
      </c>
      <c r="D27" t="s">
        <v>5</v>
      </c>
      <c r="E27" t="s">
        <v>9</v>
      </c>
      <c r="F27">
        <v>7</v>
      </c>
      <c r="G27">
        <v>10000</v>
      </c>
      <c r="H27">
        <v>70000</v>
      </c>
      <c r="I27">
        <v>0.06</v>
      </c>
      <c r="J27">
        <v>65800</v>
      </c>
      <c r="K27" t="b">
        <v>1</v>
      </c>
    </row>
    <row r="28" spans="1:11">
      <c r="A28" s="10">
        <v>46089</v>
      </c>
      <c r="B28" t="s">
        <v>60</v>
      </c>
      <c r="C28" t="s">
        <v>49</v>
      </c>
      <c r="D28" t="s">
        <v>5</v>
      </c>
      <c r="E28" t="s">
        <v>9</v>
      </c>
      <c r="F28">
        <v>1</v>
      </c>
      <c r="G28">
        <v>45000</v>
      </c>
      <c r="H28">
        <v>45000</v>
      </c>
      <c r="I28">
        <v>0.09</v>
      </c>
      <c r="J28">
        <v>40950</v>
      </c>
      <c r="K28" t="b">
        <v>1</v>
      </c>
    </row>
    <row r="29" spans="1:11">
      <c r="A29" s="10">
        <v>46331</v>
      </c>
      <c r="B29" t="s">
        <v>140</v>
      </c>
      <c r="C29" t="s">
        <v>38</v>
      </c>
      <c r="D29" t="s">
        <v>5</v>
      </c>
      <c r="E29" t="s">
        <v>15</v>
      </c>
      <c r="F29">
        <v>1</v>
      </c>
      <c r="G29">
        <v>180000</v>
      </c>
      <c r="H29">
        <v>180000</v>
      </c>
      <c r="I29">
        <v>0.05</v>
      </c>
      <c r="J29">
        <v>171000</v>
      </c>
      <c r="K29" t="b">
        <v>1</v>
      </c>
    </row>
    <row r="30" spans="1:11">
      <c r="A30" s="10">
        <v>46328</v>
      </c>
      <c r="B30" t="s">
        <v>139</v>
      </c>
      <c r="C30" t="s">
        <v>49</v>
      </c>
      <c r="D30" t="s">
        <v>5</v>
      </c>
      <c r="E30" t="s">
        <v>10</v>
      </c>
      <c r="F30">
        <v>4</v>
      </c>
      <c r="G30">
        <v>45000</v>
      </c>
      <c r="H30">
        <v>180000</v>
      </c>
      <c r="I30">
        <v>0.14000000000000001</v>
      </c>
      <c r="J30">
        <v>154800</v>
      </c>
      <c r="K30" t="b">
        <v>1</v>
      </c>
    </row>
    <row r="31" spans="1:11">
      <c r="A31" s="10">
        <v>46302</v>
      </c>
      <c r="B31" t="s">
        <v>132</v>
      </c>
      <c r="C31" t="s">
        <v>30</v>
      </c>
      <c r="D31" t="s">
        <v>5</v>
      </c>
      <c r="E31" t="s">
        <v>13</v>
      </c>
      <c r="F31">
        <v>6</v>
      </c>
      <c r="G31">
        <v>15000</v>
      </c>
      <c r="H31">
        <v>90000</v>
      </c>
      <c r="I31">
        <v>0.11</v>
      </c>
      <c r="J31">
        <v>80100</v>
      </c>
      <c r="K31" t="b">
        <v>1</v>
      </c>
    </row>
    <row r="32" spans="1:11">
      <c r="A32" s="10">
        <v>46110</v>
      </c>
      <c r="B32" t="s">
        <v>66</v>
      </c>
      <c r="C32" t="s">
        <v>38</v>
      </c>
      <c r="D32" t="s">
        <v>5</v>
      </c>
      <c r="E32" t="s">
        <v>11</v>
      </c>
      <c r="F32">
        <v>4</v>
      </c>
      <c r="G32">
        <v>180000</v>
      </c>
      <c r="H32">
        <v>720000</v>
      </c>
      <c r="I32">
        <v>0.09</v>
      </c>
      <c r="J32">
        <v>655200</v>
      </c>
      <c r="K32" t="b">
        <v>1</v>
      </c>
    </row>
    <row r="33" spans="1:11">
      <c r="A33" s="10">
        <v>46113</v>
      </c>
      <c r="B33" t="s">
        <v>67</v>
      </c>
      <c r="C33" t="s">
        <v>38</v>
      </c>
      <c r="D33" t="s">
        <v>5</v>
      </c>
      <c r="E33" t="s">
        <v>10</v>
      </c>
      <c r="F33">
        <v>1</v>
      </c>
      <c r="G33">
        <v>180000</v>
      </c>
      <c r="H33">
        <v>180000</v>
      </c>
      <c r="I33">
        <v>7.0000000000000007E-2</v>
      </c>
      <c r="J33">
        <v>167400</v>
      </c>
      <c r="K33" t="b">
        <v>1</v>
      </c>
    </row>
    <row r="34" spans="1:11">
      <c r="A34" s="10">
        <v>46302</v>
      </c>
      <c r="B34" t="s">
        <v>135</v>
      </c>
      <c r="C34" t="s">
        <v>36</v>
      </c>
      <c r="D34" t="s">
        <v>5</v>
      </c>
      <c r="E34" t="s">
        <v>12</v>
      </c>
      <c r="F34">
        <v>3</v>
      </c>
      <c r="G34">
        <v>22000</v>
      </c>
      <c r="H34">
        <v>66000</v>
      </c>
      <c r="I34">
        <v>7.0000000000000007E-2</v>
      </c>
      <c r="J34">
        <v>61379.999999999993</v>
      </c>
      <c r="K34" t="b">
        <v>1</v>
      </c>
    </row>
    <row r="35" spans="1:11">
      <c r="A35" s="10">
        <v>46269</v>
      </c>
      <c r="B35" t="s">
        <v>127</v>
      </c>
      <c r="C35" t="s">
        <v>49</v>
      </c>
      <c r="D35" t="s">
        <v>5</v>
      </c>
      <c r="E35" t="s">
        <v>8</v>
      </c>
      <c r="F35">
        <v>8</v>
      </c>
      <c r="G35">
        <v>45000</v>
      </c>
      <c r="H35">
        <v>360000</v>
      </c>
      <c r="I35">
        <v>0.16</v>
      </c>
      <c r="J35">
        <v>302400</v>
      </c>
      <c r="K35" t="b">
        <v>1</v>
      </c>
    </row>
    <row r="36" spans="1:11">
      <c r="A36" s="10">
        <v>46267</v>
      </c>
      <c r="B36" t="s">
        <v>126</v>
      </c>
      <c r="C36" t="s">
        <v>76</v>
      </c>
      <c r="D36" t="s">
        <v>5</v>
      </c>
      <c r="E36" t="s">
        <v>10</v>
      </c>
      <c r="F36">
        <v>7</v>
      </c>
      <c r="G36">
        <v>450000</v>
      </c>
      <c r="H36">
        <v>3150000</v>
      </c>
      <c r="I36">
        <v>0.16</v>
      </c>
      <c r="J36">
        <v>2646000</v>
      </c>
      <c r="K36" t="b">
        <v>1</v>
      </c>
    </row>
    <row r="37" spans="1:11">
      <c r="A37" s="10">
        <v>46250</v>
      </c>
      <c r="B37" t="s">
        <v>125</v>
      </c>
      <c r="C37" t="s">
        <v>36</v>
      </c>
      <c r="D37" t="s">
        <v>5</v>
      </c>
      <c r="E37" t="s">
        <v>11</v>
      </c>
      <c r="F37">
        <v>8</v>
      </c>
      <c r="G37">
        <v>22000</v>
      </c>
      <c r="H37">
        <v>176000</v>
      </c>
      <c r="I37">
        <v>0.1</v>
      </c>
      <c r="J37">
        <v>158400</v>
      </c>
      <c r="K37" t="b">
        <v>1</v>
      </c>
    </row>
    <row r="38" spans="1:11">
      <c r="A38" s="10">
        <v>46248</v>
      </c>
      <c r="B38" t="s">
        <v>124</v>
      </c>
      <c r="C38" t="s">
        <v>34</v>
      </c>
      <c r="D38" t="s">
        <v>5</v>
      </c>
      <c r="E38" t="s">
        <v>8</v>
      </c>
      <c r="F38">
        <v>3</v>
      </c>
      <c r="G38">
        <v>120000</v>
      </c>
      <c r="H38">
        <v>360000</v>
      </c>
      <c r="I38">
        <v>0.03</v>
      </c>
      <c r="J38">
        <v>349200</v>
      </c>
      <c r="K38" t="b">
        <v>1</v>
      </c>
    </row>
    <row r="39" spans="1:11">
      <c r="A39" s="10">
        <v>46125</v>
      </c>
      <c r="B39" t="s">
        <v>73</v>
      </c>
      <c r="C39" t="s">
        <v>49</v>
      </c>
      <c r="D39" t="s">
        <v>5</v>
      </c>
      <c r="E39" t="s">
        <v>9</v>
      </c>
      <c r="F39">
        <v>4</v>
      </c>
      <c r="G39">
        <v>45000</v>
      </c>
      <c r="H39">
        <v>180000</v>
      </c>
      <c r="I39">
        <v>0.01</v>
      </c>
      <c r="J39">
        <v>178200</v>
      </c>
      <c r="K39" t="b">
        <v>1</v>
      </c>
    </row>
    <row r="40" spans="1:11">
      <c r="A40" s="10">
        <v>46240</v>
      </c>
      <c r="B40" t="s">
        <v>123</v>
      </c>
      <c r="C40" t="s">
        <v>44</v>
      </c>
      <c r="D40" t="s">
        <v>5</v>
      </c>
      <c r="E40" t="s">
        <v>17</v>
      </c>
      <c r="F40">
        <v>5</v>
      </c>
      <c r="G40">
        <v>15000</v>
      </c>
      <c r="H40">
        <v>75000</v>
      </c>
      <c r="I40">
        <v>0.14000000000000001</v>
      </c>
      <c r="J40">
        <v>64500</v>
      </c>
      <c r="K40" t="b">
        <v>1</v>
      </c>
    </row>
    <row r="41" spans="1:11">
      <c r="A41" s="10">
        <v>46127</v>
      </c>
      <c r="B41" t="s">
        <v>75</v>
      </c>
      <c r="C41" t="s">
        <v>76</v>
      </c>
      <c r="D41" t="s">
        <v>5</v>
      </c>
      <c r="E41" t="s">
        <v>17</v>
      </c>
      <c r="F41">
        <v>4</v>
      </c>
      <c r="G41">
        <v>450000</v>
      </c>
      <c r="H41">
        <v>1800000</v>
      </c>
      <c r="I41">
        <v>0.18</v>
      </c>
      <c r="J41">
        <v>1476000</v>
      </c>
      <c r="K41" t="b">
        <v>1</v>
      </c>
    </row>
    <row r="42" spans="1:11">
      <c r="A42" s="10">
        <v>46130</v>
      </c>
      <c r="B42" t="s">
        <v>77</v>
      </c>
      <c r="C42" t="s">
        <v>36</v>
      </c>
      <c r="D42" t="s">
        <v>5</v>
      </c>
      <c r="E42" t="s">
        <v>10</v>
      </c>
      <c r="F42">
        <v>10</v>
      </c>
      <c r="G42">
        <v>22000</v>
      </c>
      <c r="H42">
        <v>220000</v>
      </c>
      <c r="I42">
        <v>0.13</v>
      </c>
      <c r="J42">
        <v>191400</v>
      </c>
      <c r="K42" t="b">
        <v>1</v>
      </c>
    </row>
    <row r="43" spans="1:11">
      <c r="A43" s="10">
        <v>46235</v>
      </c>
      <c r="B43" t="s">
        <v>122</v>
      </c>
      <c r="C43" t="s">
        <v>30</v>
      </c>
      <c r="D43" t="s">
        <v>5</v>
      </c>
      <c r="E43" t="s">
        <v>17</v>
      </c>
      <c r="F43">
        <v>8</v>
      </c>
      <c r="G43">
        <v>25000</v>
      </c>
      <c r="H43">
        <v>200000</v>
      </c>
      <c r="I43">
        <v>0.01</v>
      </c>
      <c r="J43">
        <v>198000</v>
      </c>
      <c r="K43" t="b">
        <v>1</v>
      </c>
    </row>
    <row r="44" spans="1:11">
      <c r="A44" s="10">
        <v>46142</v>
      </c>
      <c r="B44" t="s">
        <v>79</v>
      </c>
      <c r="C44" t="s">
        <v>49</v>
      </c>
      <c r="D44" t="s">
        <v>5</v>
      </c>
      <c r="E44" t="s">
        <v>12</v>
      </c>
      <c r="F44">
        <v>7</v>
      </c>
      <c r="G44">
        <v>45000</v>
      </c>
      <c r="H44">
        <v>315000</v>
      </c>
      <c r="I44">
        <v>0.01</v>
      </c>
      <c r="J44">
        <v>311850</v>
      </c>
      <c r="K44" t="b">
        <v>1</v>
      </c>
    </row>
    <row r="45" spans="1:11">
      <c r="A45" s="10">
        <v>46230</v>
      </c>
      <c r="B45" t="s">
        <v>121</v>
      </c>
      <c r="C45" t="s">
        <v>30</v>
      </c>
      <c r="D45" t="s">
        <v>5</v>
      </c>
      <c r="E45" t="s">
        <v>13</v>
      </c>
      <c r="F45">
        <v>2</v>
      </c>
      <c r="G45">
        <v>25000</v>
      </c>
      <c r="H45">
        <v>50000</v>
      </c>
      <c r="I45">
        <v>0.14000000000000001</v>
      </c>
      <c r="J45">
        <v>43000</v>
      </c>
      <c r="K45" t="b">
        <v>1</v>
      </c>
    </row>
    <row r="46" spans="1:11">
      <c r="A46" s="10">
        <v>46144</v>
      </c>
      <c r="B46" t="s">
        <v>81</v>
      </c>
      <c r="C46" t="s">
        <v>38</v>
      </c>
      <c r="D46" t="s">
        <v>5</v>
      </c>
      <c r="E46" t="s">
        <v>15</v>
      </c>
      <c r="F46">
        <v>5</v>
      </c>
      <c r="G46">
        <v>180000</v>
      </c>
      <c r="H46">
        <v>900000</v>
      </c>
      <c r="I46">
        <v>0.17</v>
      </c>
      <c r="J46">
        <v>747000</v>
      </c>
      <c r="K46" t="b">
        <v>1</v>
      </c>
    </row>
    <row r="47" spans="1:11">
      <c r="A47" s="10">
        <v>46229</v>
      </c>
      <c r="B47" t="s">
        <v>120</v>
      </c>
      <c r="C47" t="s">
        <v>38</v>
      </c>
      <c r="D47" t="s">
        <v>5</v>
      </c>
      <c r="E47" t="s">
        <v>13</v>
      </c>
      <c r="F47">
        <v>8</v>
      </c>
      <c r="G47">
        <v>180000</v>
      </c>
      <c r="H47">
        <v>1440000</v>
      </c>
      <c r="I47">
        <v>0.2</v>
      </c>
      <c r="J47">
        <v>1152000</v>
      </c>
      <c r="K47" t="b">
        <v>1</v>
      </c>
    </row>
    <row r="48" spans="1:11">
      <c r="A48" s="10">
        <v>46147</v>
      </c>
      <c r="B48" t="s">
        <v>83</v>
      </c>
      <c r="C48" t="s">
        <v>38</v>
      </c>
      <c r="D48" t="s">
        <v>5</v>
      </c>
      <c r="E48" t="s">
        <v>8</v>
      </c>
      <c r="F48">
        <v>7</v>
      </c>
      <c r="G48">
        <v>180000</v>
      </c>
      <c r="H48">
        <v>1260000</v>
      </c>
      <c r="I48">
        <v>7.0000000000000007E-2</v>
      </c>
      <c r="J48">
        <v>1171800</v>
      </c>
      <c r="K48" t="b">
        <v>1</v>
      </c>
    </row>
    <row r="49" spans="1:11">
      <c r="A49" s="10">
        <v>46147</v>
      </c>
      <c r="B49" t="s">
        <v>84</v>
      </c>
      <c r="C49" t="s">
        <v>36</v>
      </c>
      <c r="D49" t="s">
        <v>5</v>
      </c>
      <c r="E49" t="s">
        <v>15</v>
      </c>
      <c r="F49">
        <v>7</v>
      </c>
      <c r="G49">
        <v>22000</v>
      </c>
      <c r="H49">
        <v>154000</v>
      </c>
      <c r="I49">
        <v>0.09</v>
      </c>
      <c r="J49">
        <v>140140</v>
      </c>
      <c r="K49" t="b">
        <v>1</v>
      </c>
    </row>
    <row r="50" spans="1:11">
      <c r="A50" s="10">
        <v>46148</v>
      </c>
      <c r="B50" t="s">
        <v>85</v>
      </c>
      <c r="C50" t="s">
        <v>38</v>
      </c>
      <c r="D50" t="s">
        <v>5</v>
      </c>
      <c r="E50" t="s">
        <v>10</v>
      </c>
      <c r="F50">
        <v>10</v>
      </c>
      <c r="G50">
        <v>180000</v>
      </c>
      <c r="H50">
        <v>1800000</v>
      </c>
      <c r="I50">
        <v>0.04</v>
      </c>
      <c r="J50">
        <v>1728000</v>
      </c>
      <c r="K50" t="b">
        <v>1</v>
      </c>
    </row>
    <row r="51" spans="1:11">
      <c r="A51" s="10">
        <v>46224</v>
      </c>
      <c r="B51" t="s">
        <v>116</v>
      </c>
      <c r="C51" t="s">
        <v>30</v>
      </c>
      <c r="D51" t="s">
        <v>5</v>
      </c>
      <c r="E51" t="s">
        <v>14</v>
      </c>
      <c r="F51">
        <v>8</v>
      </c>
      <c r="G51">
        <v>25000</v>
      </c>
      <c r="H51">
        <v>200000</v>
      </c>
      <c r="I51">
        <v>0.1</v>
      </c>
      <c r="J51">
        <v>180000</v>
      </c>
      <c r="K51" t="b">
        <v>1</v>
      </c>
    </row>
    <row r="52" spans="1:11">
      <c r="A52" s="10">
        <v>46149</v>
      </c>
      <c r="B52" t="s">
        <v>87</v>
      </c>
      <c r="C52" t="s">
        <v>88</v>
      </c>
      <c r="D52" t="s">
        <v>5</v>
      </c>
      <c r="E52" t="s">
        <v>13</v>
      </c>
      <c r="F52">
        <v>4</v>
      </c>
      <c r="G52">
        <v>5000</v>
      </c>
      <c r="H52">
        <v>20000</v>
      </c>
      <c r="I52">
        <v>0.13</v>
      </c>
      <c r="J52">
        <v>17400</v>
      </c>
      <c r="K52" t="b">
        <v>1</v>
      </c>
    </row>
    <row r="53" spans="1:11">
      <c r="A53" s="10">
        <v>46155</v>
      </c>
      <c r="B53" t="s">
        <v>89</v>
      </c>
      <c r="C53" t="s">
        <v>76</v>
      </c>
      <c r="D53" t="s">
        <v>5</v>
      </c>
      <c r="E53" t="s">
        <v>9</v>
      </c>
      <c r="F53">
        <v>8</v>
      </c>
      <c r="G53">
        <v>450000</v>
      </c>
      <c r="H53">
        <v>3600000</v>
      </c>
      <c r="I53">
        <v>0.18</v>
      </c>
      <c r="J53">
        <v>2952000</v>
      </c>
      <c r="K53" t="b">
        <v>1</v>
      </c>
    </row>
    <row r="54" spans="1:11">
      <c r="A54" s="10">
        <v>46221</v>
      </c>
      <c r="B54" t="s">
        <v>114</v>
      </c>
      <c r="C54" t="s">
        <v>38</v>
      </c>
      <c r="D54" t="s">
        <v>5</v>
      </c>
      <c r="E54" t="s">
        <v>8</v>
      </c>
      <c r="F54">
        <v>3</v>
      </c>
      <c r="G54">
        <v>25000</v>
      </c>
      <c r="H54">
        <v>75000</v>
      </c>
      <c r="I54">
        <v>0.2</v>
      </c>
      <c r="J54">
        <v>60000</v>
      </c>
      <c r="K54" t="b">
        <v>1</v>
      </c>
    </row>
    <row r="55" spans="1:11">
      <c r="A55" s="10">
        <v>46221</v>
      </c>
      <c r="B55" t="s">
        <v>113</v>
      </c>
      <c r="C55" t="s">
        <v>30</v>
      </c>
      <c r="D55" t="s">
        <v>5</v>
      </c>
      <c r="E55" t="s">
        <v>13</v>
      </c>
      <c r="F55">
        <v>3</v>
      </c>
      <c r="G55">
        <v>25000</v>
      </c>
      <c r="H55">
        <v>75000</v>
      </c>
      <c r="I55">
        <v>0.19</v>
      </c>
      <c r="J55">
        <v>60750.000000000007</v>
      </c>
      <c r="K55" t="b">
        <v>1</v>
      </c>
    </row>
    <row r="56" spans="1:11">
      <c r="A56" s="10">
        <v>46218</v>
      </c>
      <c r="B56" t="s">
        <v>40</v>
      </c>
      <c r="C56" t="s">
        <v>44</v>
      </c>
      <c r="D56" t="s">
        <v>5</v>
      </c>
      <c r="E56" t="s">
        <v>8</v>
      </c>
      <c r="F56">
        <v>10</v>
      </c>
      <c r="G56">
        <v>25000</v>
      </c>
      <c r="H56">
        <v>250000</v>
      </c>
      <c r="I56">
        <v>0</v>
      </c>
      <c r="J56">
        <v>250000</v>
      </c>
      <c r="K56" t="b">
        <v>1</v>
      </c>
    </row>
    <row r="57" spans="1:11">
      <c r="A57" s="10">
        <v>46218</v>
      </c>
      <c r="B57" t="s">
        <v>95</v>
      </c>
      <c r="C57" t="s">
        <v>88</v>
      </c>
      <c r="D57" t="s">
        <v>5</v>
      </c>
      <c r="E57" t="s">
        <v>11</v>
      </c>
      <c r="F57">
        <v>7</v>
      </c>
      <c r="G57">
        <v>45000</v>
      </c>
      <c r="H57">
        <v>315000</v>
      </c>
      <c r="I57">
        <v>0.09</v>
      </c>
      <c r="J57">
        <v>286650</v>
      </c>
      <c r="K57" t="b">
        <v>1</v>
      </c>
    </row>
    <row r="58" spans="1:11">
      <c r="A58" s="10">
        <v>46209</v>
      </c>
      <c r="B58" t="s">
        <v>109</v>
      </c>
      <c r="C58" t="s">
        <v>38</v>
      </c>
      <c r="D58" t="s">
        <v>5</v>
      </c>
      <c r="E58" t="s">
        <v>10</v>
      </c>
      <c r="F58">
        <v>2</v>
      </c>
      <c r="G58">
        <v>180000</v>
      </c>
      <c r="H58">
        <v>360000</v>
      </c>
      <c r="I58">
        <v>0.16</v>
      </c>
      <c r="J58">
        <v>302400</v>
      </c>
      <c r="K58" t="b">
        <v>1</v>
      </c>
    </row>
    <row r="59" spans="1:11">
      <c r="A59" s="10">
        <v>46209</v>
      </c>
      <c r="B59" t="s">
        <v>108</v>
      </c>
      <c r="C59" t="s">
        <v>76</v>
      </c>
      <c r="D59" t="s">
        <v>5</v>
      </c>
      <c r="E59" t="s">
        <v>11</v>
      </c>
      <c r="F59">
        <v>7</v>
      </c>
      <c r="G59">
        <v>450000</v>
      </c>
      <c r="H59">
        <v>3150000</v>
      </c>
      <c r="I59">
        <v>0.12</v>
      </c>
      <c r="J59">
        <v>2772000</v>
      </c>
      <c r="K59" t="b">
        <v>1</v>
      </c>
    </row>
    <row r="60" spans="1:11">
      <c r="A60" s="10">
        <v>46180</v>
      </c>
      <c r="B60" t="s">
        <v>96</v>
      </c>
      <c r="C60" t="s">
        <v>34</v>
      </c>
      <c r="D60" t="s">
        <v>5</v>
      </c>
      <c r="E60" t="s">
        <v>10</v>
      </c>
      <c r="F60">
        <v>10</v>
      </c>
      <c r="G60">
        <v>120000</v>
      </c>
      <c r="H60">
        <v>1200000</v>
      </c>
      <c r="I60">
        <v>0.14000000000000001</v>
      </c>
      <c r="J60">
        <v>1032000</v>
      </c>
      <c r="K60" t="b">
        <v>1</v>
      </c>
    </row>
    <row r="61" spans="1:11">
      <c r="A61" s="10">
        <v>46180</v>
      </c>
      <c r="B61" t="s">
        <v>80</v>
      </c>
      <c r="C61" t="s">
        <v>44</v>
      </c>
      <c r="D61" t="s">
        <v>5</v>
      </c>
      <c r="E61" t="s">
        <v>10</v>
      </c>
      <c r="F61">
        <v>10</v>
      </c>
      <c r="G61">
        <v>15000</v>
      </c>
      <c r="H61">
        <v>150000</v>
      </c>
      <c r="I61">
        <v>0</v>
      </c>
      <c r="J61">
        <v>150000</v>
      </c>
      <c r="K61" t="b">
        <v>1</v>
      </c>
    </row>
    <row r="62" spans="1:11">
      <c r="A62" s="10">
        <v>46190</v>
      </c>
      <c r="B62" t="s">
        <v>97</v>
      </c>
      <c r="C62" t="s">
        <v>30</v>
      </c>
      <c r="D62" t="s">
        <v>5</v>
      </c>
      <c r="E62" t="s">
        <v>13</v>
      </c>
      <c r="F62">
        <v>2</v>
      </c>
      <c r="G62">
        <v>25000</v>
      </c>
      <c r="H62">
        <v>50000</v>
      </c>
      <c r="I62">
        <v>0.19</v>
      </c>
      <c r="J62">
        <v>40500</v>
      </c>
      <c r="K62" t="b">
        <v>1</v>
      </c>
    </row>
    <row r="63" spans="1:11">
      <c r="A63" s="10">
        <v>46206</v>
      </c>
      <c r="B63" t="s">
        <v>107</v>
      </c>
      <c r="C63" t="s">
        <v>76</v>
      </c>
      <c r="D63" t="s">
        <v>5</v>
      </c>
      <c r="E63" t="s">
        <v>8</v>
      </c>
      <c r="F63">
        <v>9</v>
      </c>
      <c r="G63">
        <v>450000</v>
      </c>
      <c r="H63">
        <v>4050000</v>
      </c>
      <c r="I63">
        <v>0.01</v>
      </c>
      <c r="J63">
        <v>4009500</v>
      </c>
      <c r="K63" t="b">
        <v>1</v>
      </c>
    </row>
    <row r="64" spans="1:11">
      <c r="A64" s="10">
        <v>46192</v>
      </c>
      <c r="B64" t="s">
        <v>99</v>
      </c>
      <c r="C64" t="s">
        <v>34</v>
      </c>
      <c r="D64" t="s">
        <v>5</v>
      </c>
      <c r="E64" t="s">
        <v>14</v>
      </c>
      <c r="F64">
        <v>1</v>
      </c>
      <c r="G64">
        <v>120000</v>
      </c>
      <c r="H64">
        <v>120000</v>
      </c>
      <c r="I64">
        <v>0.2</v>
      </c>
      <c r="J64">
        <v>96000</v>
      </c>
      <c r="K64" t="b">
        <v>1</v>
      </c>
    </row>
    <row r="65" spans="1:11">
      <c r="A65" s="10">
        <v>46196</v>
      </c>
      <c r="B65" t="s">
        <v>100</v>
      </c>
      <c r="C65" t="s">
        <v>30</v>
      </c>
      <c r="D65" t="s">
        <v>5</v>
      </c>
      <c r="E65" t="s">
        <v>11</v>
      </c>
      <c r="F65">
        <v>4</v>
      </c>
      <c r="G65">
        <v>25000</v>
      </c>
      <c r="H65">
        <v>100000</v>
      </c>
      <c r="I65">
        <v>0.18</v>
      </c>
      <c r="J65">
        <v>82000</v>
      </c>
      <c r="K65" t="b">
        <v>1</v>
      </c>
    </row>
    <row r="66" spans="1:11">
      <c r="A66" s="10">
        <v>46197</v>
      </c>
      <c r="B66" t="s">
        <v>101</v>
      </c>
      <c r="C66" t="s">
        <v>49</v>
      </c>
      <c r="D66" t="s">
        <v>5</v>
      </c>
      <c r="E66" t="s">
        <v>8</v>
      </c>
      <c r="F66">
        <v>3</v>
      </c>
      <c r="G66">
        <v>45000</v>
      </c>
      <c r="H66">
        <v>135000</v>
      </c>
      <c r="I66">
        <v>0.09</v>
      </c>
      <c r="J66">
        <v>122850</v>
      </c>
      <c r="K66" t="b">
        <v>1</v>
      </c>
    </row>
    <row r="67" spans="1:11">
      <c r="A67" s="10">
        <v>46197</v>
      </c>
      <c r="B67" t="s">
        <v>102</v>
      </c>
      <c r="C67" t="s">
        <v>36</v>
      </c>
      <c r="D67" t="s">
        <v>5</v>
      </c>
      <c r="E67" t="s">
        <v>8</v>
      </c>
      <c r="F67">
        <v>10</v>
      </c>
      <c r="G67">
        <v>22000</v>
      </c>
      <c r="H67">
        <v>220000</v>
      </c>
      <c r="I67">
        <v>0.01</v>
      </c>
      <c r="J67">
        <v>217800</v>
      </c>
      <c r="K67" t="b">
        <v>1</v>
      </c>
    </row>
    <row r="68" spans="1:11">
      <c r="A68" s="10">
        <v>46200</v>
      </c>
      <c r="B68" t="s">
        <v>105</v>
      </c>
      <c r="C68" t="s">
        <v>30</v>
      </c>
      <c r="D68" t="s">
        <v>5</v>
      </c>
      <c r="E68" t="s">
        <v>10</v>
      </c>
      <c r="F68">
        <v>4</v>
      </c>
      <c r="G68">
        <v>25000</v>
      </c>
      <c r="H68">
        <v>100000</v>
      </c>
      <c r="I68">
        <v>0.13</v>
      </c>
      <c r="J68">
        <v>87000</v>
      </c>
      <c r="K68" t="b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76B5-CEFD-4894-9F79-2EE4B10060F0}">
  <dimension ref="A1:H21"/>
  <sheetViews>
    <sheetView workbookViewId="0">
      <selection activeCell="E22" sqref="E22"/>
    </sheetView>
  </sheetViews>
  <sheetFormatPr defaultRowHeight="15"/>
  <cols>
    <col min="1" max="1" width="12.85546875" customWidth="1"/>
    <col min="2" max="2" width="25.7109375" customWidth="1"/>
    <col min="4" max="4" width="14.85546875" customWidth="1"/>
    <col min="5" max="5" width="25.7109375" customWidth="1"/>
    <col min="7" max="7" width="21.85546875" customWidth="1"/>
    <col min="8" max="8" width="25.7109375" customWidth="1"/>
  </cols>
  <sheetData>
    <row r="1" spans="1:8">
      <c r="A1" s="19" t="s">
        <v>169</v>
      </c>
    </row>
    <row r="3" spans="1:8">
      <c r="A3" s="8" t="s">
        <v>0</v>
      </c>
      <c r="B3" t="s">
        <v>1</v>
      </c>
      <c r="D3" s="8" t="s">
        <v>7</v>
      </c>
      <c r="E3" t="s">
        <v>1</v>
      </c>
      <c r="G3" s="8" t="s">
        <v>149</v>
      </c>
      <c r="H3" t="s">
        <v>1</v>
      </c>
    </row>
    <row r="4" spans="1:8">
      <c r="A4" t="s">
        <v>3</v>
      </c>
      <c r="B4" s="9">
        <v>2515000</v>
      </c>
      <c r="D4" t="s">
        <v>8</v>
      </c>
      <c r="E4" s="9">
        <v>10237000</v>
      </c>
      <c r="G4" s="13" t="s">
        <v>150</v>
      </c>
      <c r="H4" s="9">
        <v>58935000</v>
      </c>
    </row>
    <row r="5" spans="1:8">
      <c r="A5" t="s">
        <v>4</v>
      </c>
      <c r="B5" s="9">
        <v>20610000</v>
      </c>
      <c r="D5" t="s">
        <v>9</v>
      </c>
      <c r="E5" s="9">
        <v>9975000</v>
      </c>
      <c r="G5" s="14" t="s">
        <v>151</v>
      </c>
      <c r="H5" s="9">
        <v>22176000</v>
      </c>
    </row>
    <row r="6" spans="1:8">
      <c r="A6" t="s">
        <v>5</v>
      </c>
      <c r="B6" s="9">
        <v>35810000</v>
      </c>
      <c r="D6" t="s">
        <v>10</v>
      </c>
      <c r="E6" s="9">
        <v>8184000</v>
      </c>
      <c r="G6" s="17" t="s">
        <v>152</v>
      </c>
      <c r="H6" s="9">
        <v>14465000</v>
      </c>
    </row>
    <row r="7" spans="1:8">
      <c r="A7" t="s">
        <v>6</v>
      </c>
      <c r="B7" s="9">
        <v>58935000</v>
      </c>
      <c r="D7" t="s">
        <v>11</v>
      </c>
      <c r="E7" s="9">
        <v>6306000</v>
      </c>
      <c r="G7" s="17" t="s">
        <v>153</v>
      </c>
      <c r="H7" s="9">
        <v>811000</v>
      </c>
    </row>
    <row r="8" spans="1:8">
      <c r="D8" t="s">
        <v>12</v>
      </c>
      <c r="E8" s="9">
        <v>5638000</v>
      </c>
      <c r="G8" s="17" t="s">
        <v>154</v>
      </c>
      <c r="H8" s="9">
        <v>6900000</v>
      </c>
    </row>
    <row r="9" spans="1:8">
      <c r="D9" t="s">
        <v>13</v>
      </c>
      <c r="E9" s="9">
        <v>5503000</v>
      </c>
      <c r="G9" s="14" t="s">
        <v>155</v>
      </c>
      <c r="H9" s="9">
        <v>19504000</v>
      </c>
    </row>
    <row r="10" spans="1:8">
      <c r="D10" t="s">
        <v>14</v>
      </c>
      <c r="E10" s="9">
        <v>4358000</v>
      </c>
      <c r="G10" s="17" t="s">
        <v>156</v>
      </c>
      <c r="H10" s="9">
        <v>6712000</v>
      </c>
    </row>
    <row r="11" spans="1:8">
      <c r="D11" t="s">
        <v>15</v>
      </c>
      <c r="E11" s="9">
        <v>3393000</v>
      </c>
      <c r="G11" s="17" t="s">
        <v>157</v>
      </c>
      <c r="H11" s="9">
        <v>8407000</v>
      </c>
    </row>
    <row r="12" spans="1:8">
      <c r="D12" t="s">
        <v>16</v>
      </c>
      <c r="E12" s="9">
        <v>2822000</v>
      </c>
      <c r="G12" s="17" t="s">
        <v>158</v>
      </c>
      <c r="H12" s="9">
        <v>4385000</v>
      </c>
    </row>
    <row r="13" spans="1:8">
      <c r="D13" t="s">
        <v>17</v>
      </c>
      <c r="E13" s="9">
        <v>2519000</v>
      </c>
      <c r="G13" s="14" t="s">
        <v>159</v>
      </c>
      <c r="H13" s="9">
        <v>13483000</v>
      </c>
    </row>
    <row r="14" spans="1:8">
      <c r="D14" t="s">
        <v>6</v>
      </c>
      <c r="E14" s="9">
        <v>58935000</v>
      </c>
      <c r="G14" s="17" t="s">
        <v>160</v>
      </c>
      <c r="H14" s="9">
        <v>5676000</v>
      </c>
    </row>
    <row r="15" spans="1:8">
      <c r="G15" s="17" t="s">
        <v>161</v>
      </c>
      <c r="H15" s="9">
        <v>4470000</v>
      </c>
    </row>
    <row r="16" spans="1:8">
      <c r="G16" s="17" t="s">
        <v>162</v>
      </c>
      <c r="H16" s="9">
        <v>3337000</v>
      </c>
    </row>
    <row r="17" spans="7:8">
      <c r="G17" s="14" t="s">
        <v>163</v>
      </c>
      <c r="H17" s="9">
        <v>3772000</v>
      </c>
    </row>
    <row r="18" spans="7:8">
      <c r="G18" s="17" t="s">
        <v>164</v>
      </c>
      <c r="H18" s="9">
        <v>1962000</v>
      </c>
    </row>
    <row r="19" spans="7:8">
      <c r="G19" s="17" t="s">
        <v>165</v>
      </c>
      <c r="H19" s="9">
        <v>1455000</v>
      </c>
    </row>
    <row r="20" spans="7:8">
      <c r="G20" s="17" t="s">
        <v>166</v>
      </c>
      <c r="H20" s="9">
        <v>355000</v>
      </c>
    </row>
    <row r="21" spans="7:8">
      <c r="G21" s="13" t="s">
        <v>6</v>
      </c>
      <c r="H21" s="9">
        <v>58935000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2026-09-09T18:52:33Z</dcterms:created>
  <dcterms:modified xsi:type="dcterms:W3CDTF">2026-09-16T21:42:45Z</dcterms:modified>
  <cp:category/>
  <cp:contentStatus/>
</cp:coreProperties>
</file>