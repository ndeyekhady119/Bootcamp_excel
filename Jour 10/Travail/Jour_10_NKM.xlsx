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E7E9F3A8-242D-483C-9292-B41D3DF88C4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ratique_Dates" sheetId="1" r:id="rId1"/>
    <sheet name="Cong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/>
  <c r="C1" i="2"/>
  <c r="C4" i="2"/>
  <c r="J4" i="2" s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4" i="2"/>
  <c r="E7" i="1"/>
  <c r="D7" i="1"/>
  <c r="C7" i="1"/>
  <c r="B1" i="1"/>
  <c r="B4" i="1"/>
  <c r="B3" i="1"/>
  <c r="B2" i="1"/>
  <c r="A1" i="1"/>
  <c r="D23" i="2" l="1"/>
  <c r="J23" i="2"/>
  <c r="D22" i="2"/>
  <c r="J22" i="2"/>
  <c r="D21" i="2"/>
  <c r="J21" i="2"/>
  <c r="D20" i="2"/>
  <c r="J20" i="2"/>
  <c r="D19" i="2"/>
  <c r="J19" i="2"/>
  <c r="D18" i="2"/>
  <c r="J18" i="2"/>
  <c r="D17" i="2"/>
  <c r="J17" i="2"/>
  <c r="D16" i="2"/>
  <c r="J16" i="2"/>
  <c r="D15" i="2"/>
  <c r="J15" i="2"/>
  <c r="D14" i="2"/>
  <c r="J14" i="2"/>
  <c r="D13" i="2"/>
  <c r="J13" i="2"/>
  <c r="D12" i="2"/>
  <c r="J12" i="2"/>
  <c r="D11" i="2"/>
  <c r="J11" i="2"/>
  <c r="D10" i="2"/>
  <c r="J10" i="2"/>
  <c r="D9" i="2"/>
  <c r="J9" i="2"/>
  <c r="D8" i="2"/>
  <c r="J8" i="2"/>
  <c r="D7" i="2"/>
  <c r="J7" i="2"/>
  <c r="D6" i="2"/>
  <c r="J6" i="2"/>
  <c r="D5" i="2"/>
  <c r="J5" i="2"/>
  <c r="D4" i="2"/>
  <c r="H4" i="2"/>
  <c r="I4" i="2"/>
  <c r="G23" i="2"/>
  <c r="H23" i="2"/>
  <c r="G22" i="2"/>
  <c r="H22" i="2"/>
  <c r="G21" i="2"/>
  <c r="H21" i="2"/>
  <c r="G20" i="2"/>
  <c r="H20" i="2"/>
  <c r="G19" i="2"/>
  <c r="H19" i="2"/>
  <c r="G18" i="2"/>
  <c r="H18" i="2"/>
  <c r="G17" i="2"/>
  <c r="H17" i="2"/>
  <c r="G16" i="2"/>
  <c r="H16" i="2"/>
  <c r="G15" i="2"/>
  <c r="H15" i="2"/>
  <c r="G14" i="2"/>
  <c r="H14" i="2"/>
  <c r="G13" i="2"/>
  <c r="H13" i="2"/>
  <c r="G12" i="2"/>
  <c r="H12" i="2"/>
  <c r="G11" i="2"/>
  <c r="H11" i="2"/>
  <c r="G10" i="2"/>
  <c r="H10" i="2"/>
  <c r="G9" i="2"/>
  <c r="H9" i="2"/>
  <c r="G8" i="2"/>
  <c r="H8" i="2"/>
  <c r="G7" i="2"/>
  <c r="H7" i="2"/>
  <c r="G6" i="2"/>
  <c r="H6" i="2"/>
  <c r="G5" i="2"/>
  <c r="H5" i="2"/>
  <c r="E4" i="2"/>
  <c r="G4" i="2"/>
  <c r="E23" i="2"/>
  <c r="F23" i="2"/>
  <c r="E22" i="2"/>
  <c r="F22" i="2"/>
  <c r="E21" i="2"/>
  <c r="F21" i="2"/>
  <c r="E20" i="2"/>
  <c r="F20" i="2"/>
  <c r="E19" i="2"/>
  <c r="F19" i="2"/>
  <c r="E18" i="2"/>
  <c r="F18" i="2"/>
  <c r="E17" i="2"/>
  <c r="F17" i="2"/>
  <c r="E16" i="2"/>
  <c r="F16" i="2"/>
  <c r="E15" i="2"/>
  <c r="F15" i="2"/>
  <c r="E14" i="2"/>
  <c r="F14" i="2"/>
  <c r="E13" i="2"/>
  <c r="F13" i="2"/>
  <c r="E12" i="2"/>
  <c r="F12" i="2"/>
  <c r="E11" i="2"/>
  <c r="F11" i="2"/>
  <c r="E10" i="2"/>
  <c r="F10" i="2"/>
  <c r="E9" i="2"/>
  <c r="F9" i="2"/>
  <c r="E8" i="2"/>
  <c r="F8" i="2"/>
  <c r="E7" i="2"/>
  <c r="F7" i="2"/>
  <c r="E6" i="2"/>
  <c r="F6" i="2"/>
  <c r="E5" i="2"/>
  <c r="F5" i="2"/>
  <c r="F4" i="2"/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I22" i="2"/>
  <c r="K22" i="2"/>
  <c r="I23" i="2"/>
  <c r="K23" i="2"/>
  <c r="K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</calcChain>
</file>

<file path=xl/sharedStrings.xml><?xml version="1.0" encoding="utf-8"?>
<sst xmlns="http://schemas.openxmlformats.org/spreadsheetml/2006/main" count="38" uniqueCount="38">
  <si>
    <t>Date début</t>
  </si>
  <si>
    <t>Date fin</t>
  </si>
  <si>
    <t>Différence Jour</t>
  </si>
  <si>
    <t>Différence mois</t>
  </si>
  <si>
    <t>Différence année</t>
  </si>
  <si>
    <t>Date du jour :</t>
  </si>
  <si>
    <t xml:space="preserve">Dernier mise à jour: </t>
  </si>
  <si>
    <t>ID</t>
  </si>
  <si>
    <t>Nom</t>
  </si>
  <si>
    <t>Date_embauche</t>
  </si>
  <si>
    <t>Debut_conge</t>
  </si>
  <si>
    <t>Fin_conge</t>
  </si>
  <si>
    <t>Duree_conge</t>
  </si>
  <si>
    <t>Annee_conge</t>
  </si>
  <si>
    <t>Mois_conge</t>
  </si>
  <si>
    <t>Jour_conge</t>
  </si>
  <si>
    <t>Anciennete(année)</t>
  </si>
  <si>
    <t>Statut</t>
  </si>
  <si>
    <t>ndeye Coumba</t>
  </si>
  <si>
    <t>Awa Ndiaye</t>
  </si>
  <si>
    <t>Modou Diouf</t>
  </si>
  <si>
    <t>Anta Diaw</t>
  </si>
  <si>
    <t>Fatou Mbaye</t>
  </si>
  <si>
    <t>Ibrahima Diouf</t>
  </si>
  <si>
    <t>Oumy Bâ</t>
  </si>
  <si>
    <t xml:space="preserve">Galass Ndour </t>
  </si>
  <si>
    <t>Abdou Djigo</t>
  </si>
  <si>
    <t xml:space="preserve">Aby Gueye </t>
  </si>
  <si>
    <t>Pape Diop</t>
  </si>
  <si>
    <t>Modou Kâ</t>
  </si>
  <si>
    <t>Bachir Diop</t>
  </si>
  <si>
    <t>Coumba Sow</t>
  </si>
  <si>
    <t>Khoudia Laye</t>
  </si>
  <si>
    <t xml:space="preserve">Moussa Sow </t>
  </si>
  <si>
    <t xml:space="preserve">Assane Diouf </t>
  </si>
  <si>
    <t xml:space="preserve">Fatou Faye </t>
  </si>
  <si>
    <t>Kiné Diallo</t>
  </si>
  <si>
    <t>Adama Mboup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</si>
</sst>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80C]dd/mm/yyyy;@"/>
  </numFmts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theme="1"/>
      <name val="Times New Roman"/>
    </font>
    <font>
      <b/>
      <sz val="11"/>
      <color rgb="FF000000"/>
      <name val="Times New Roman"/>
    </font>
    <font>
      <b/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22" fontId="0" fillId="0" borderId="0" xfId="0" applyNumberFormat="1"/>
    <xf numFmtId="164" fontId="0" fillId="0" borderId="0" xfId="0" applyNumberFormat="1"/>
    <xf numFmtId="164" fontId="2" fillId="0" borderId="1" xfId="0" applyNumberFormat="1" applyFont="1" applyBorder="1" applyAlignment="1">
      <alignment readingOrder="1"/>
    </xf>
    <xf numFmtId="0" fontId="1" fillId="0" borderId="1" xfId="0" applyFont="1" applyBorder="1" applyAlignment="1">
      <alignment horizontal="center" readingOrder="1"/>
    </xf>
    <xf numFmtId="0" fontId="3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 readingOrder="1"/>
    </xf>
    <xf numFmtId="164" fontId="2" fillId="0" borderId="2" xfId="0" applyNumberFormat="1" applyFont="1" applyBorder="1" applyAlignment="1">
      <alignment readingOrder="1"/>
    </xf>
    <xf numFmtId="0" fontId="3" fillId="0" borderId="2" xfId="0" applyFont="1" applyBorder="1"/>
    <xf numFmtId="0" fontId="0" fillId="0" borderId="2" xfId="0" applyBorder="1"/>
    <xf numFmtId="0" fontId="3" fillId="0" borderId="3" xfId="0" applyFont="1" applyBorder="1"/>
    <xf numFmtId="0" fontId="4" fillId="0" borderId="1" xfId="0" applyFont="1" applyBorder="1"/>
    <xf numFmtId="0" fontId="1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F8" sqref="F8"/>
    </sheetView>
  </sheetViews>
  <sheetFormatPr defaultRowHeight="15"/>
  <cols>
    <col min="1" max="1" width="16.7109375" customWidth="1"/>
    <col min="2" max="2" width="15.7109375" customWidth="1"/>
    <col min="3" max="3" width="14.7109375" customWidth="1"/>
    <col min="4" max="4" width="15" customWidth="1"/>
    <col min="5" max="5" width="15.7109375" customWidth="1"/>
  </cols>
  <sheetData>
    <row r="1" spans="1:5">
      <c r="A1" s="2">
        <f ca="1">TODAY()</f>
        <v>46267</v>
      </c>
      <c r="B1" s="1">
        <f ca="1">NOW()</f>
        <v>46267.497333680556</v>
      </c>
    </row>
    <row r="2" spans="1:5">
      <c r="A2" s="2">
        <v>46249</v>
      </c>
      <c r="B2">
        <f>YEAR(A2)</f>
        <v>2026</v>
      </c>
    </row>
    <row r="3" spans="1:5">
      <c r="B3">
        <f>MONTH(A2)</f>
        <v>8</v>
      </c>
    </row>
    <row r="4" spans="1:5">
      <c r="B4">
        <f>DAY(A2)</f>
        <v>15</v>
      </c>
    </row>
    <row r="6" spans="1:5">
      <c r="A6" s="4" t="s">
        <v>0</v>
      </c>
      <c r="B6" s="7" t="s">
        <v>1</v>
      </c>
      <c r="C6" s="9" t="s">
        <v>2</v>
      </c>
      <c r="D6" s="11" t="s">
        <v>3</v>
      </c>
      <c r="E6" s="11" t="s">
        <v>4</v>
      </c>
    </row>
    <row r="7" spans="1:5">
      <c r="A7" s="3">
        <v>46235</v>
      </c>
      <c r="B7" s="8">
        <v>46249</v>
      </c>
      <c r="C7" s="10">
        <f>DATEDIF(A7,B7,"d")</f>
        <v>14</v>
      </c>
      <c r="D7" s="6">
        <f>DATEDIF(A7,B7,"m")</f>
        <v>0</v>
      </c>
      <c r="E7" s="6">
        <f>DATEDIF(A7,B7,"y")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C30B-835F-44DD-96AE-4EB82BD8048C}">
  <dimension ref="A1:K23"/>
  <sheetViews>
    <sheetView tabSelected="1" workbookViewId="0">
      <selection activeCell="K4" sqref="K4:K23"/>
    </sheetView>
  </sheetViews>
  <sheetFormatPr defaultRowHeight="15"/>
  <cols>
    <col min="2" max="2" width="19" customWidth="1"/>
    <col min="3" max="3" width="14.42578125" customWidth="1"/>
    <col min="4" max="4" width="12" customWidth="1"/>
    <col min="5" max="5" width="13" customWidth="1"/>
    <col min="6" max="6" width="13.42578125" customWidth="1"/>
    <col min="7" max="7" width="12.5703125" customWidth="1"/>
    <col min="8" max="8" width="11.28515625" customWidth="1"/>
    <col min="9" max="9" width="11" customWidth="1"/>
    <col min="10" max="10" width="17" customWidth="1"/>
  </cols>
  <sheetData>
    <row r="1" spans="1:11">
      <c r="B1" s="14" t="s">
        <v>5</v>
      </c>
      <c r="C1" s="2">
        <f ca="1">TODAY()</f>
        <v>46267</v>
      </c>
    </row>
    <row r="2" spans="1:11">
      <c r="B2" t="s">
        <v>6</v>
      </c>
      <c r="C2" s="1">
        <f ca="1">NOW()</f>
        <v>46267.497333680556</v>
      </c>
    </row>
    <row r="3" spans="1:11">
      <c r="A3" s="5" t="s">
        <v>7</v>
      </c>
      <c r="B3" s="5" t="s">
        <v>8</v>
      </c>
      <c r="C3" s="12" t="s">
        <v>9</v>
      </c>
      <c r="D3" s="12" t="s">
        <v>10</v>
      </c>
      <c r="E3" s="12" t="s">
        <v>11</v>
      </c>
      <c r="F3" s="13" t="s">
        <v>12</v>
      </c>
      <c r="G3" s="13" t="s">
        <v>13</v>
      </c>
      <c r="H3" s="13" t="s">
        <v>14</v>
      </c>
      <c r="I3" s="13" t="s">
        <v>15</v>
      </c>
      <c r="J3" s="13" t="s">
        <v>16</v>
      </c>
      <c r="K3" s="15" t="s">
        <v>17</v>
      </c>
    </row>
    <row r="4" spans="1:11">
      <c r="A4" t="str">
        <f>"EMP-"&amp;TEXT(ROW()-1,"00")</f>
        <v>EMP-03</v>
      </c>
      <c r="B4" t="s">
        <v>18</v>
      </c>
      <c r="C4" s="2">
        <f ca="1">DATE(RANDBETWEEN(2022,2025),RANDBETWEEN(1,12),RANDBETWEEN(1,28))</f>
        <v>45973</v>
      </c>
      <c r="D4" s="2">
        <f ca="1">C4 + RANDBETWEEN(30,500)</f>
        <v>46238</v>
      </c>
      <c r="E4" s="2">
        <f ca="1">D4 + RANDBETWEEN(3,21)</f>
        <v>46253</v>
      </c>
      <c r="F4">
        <f ca="1">DATEDIF(D4,E4,"d")</f>
        <v>15</v>
      </c>
      <c r="G4">
        <f ca="1">YEAR(D4)</f>
        <v>2026</v>
      </c>
      <c r="H4">
        <f ca="1">MONTH(D4)</f>
        <v>8</v>
      </c>
      <c r="I4">
        <f ca="1">DAY(D4)</f>
        <v>4</v>
      </c>
      <c r="J4">
        <f ca="1">DATEDIF(C4,TODAY(),"y")</f>
        <v>0</v>
      </c>
      <c r="K4" t="str">
        <f ca="1">IF(TODAY()&lt;D4,"À venir",IF(AND(TODAY()&gt;=D4,TODAY()&lt;=E4),"En cours","Terminé"))</f>
        <v>Terminé</v>
      </c>
    </row>
    <row r="5" spans="1:11">
      <c r="A5" t="str">
        <f t="shared" ref="A5:A23" si="0">"EMP-"&amp;TEXT(ROW()-1,"00")</f>
        <v>EMP-04</v>
      </c>
      <c r="B5" t="s">
        <v>19</v>
      </c>
      <c r="C5" s="2">
        <f t="shared" ref="C5:C23" ca="1" si="1">DATE(RANDBETWEEN(2022,2025),RANDBETWEEN(1,12),RANDBETWEEN(1,28))</f>
        <v>45894</v>
      </c>
      <c r="D5" s="2">
        <f t="shared" ref="D5:D23" ca="1" si="2">C5 + RANDBETWEEN(30,500)</f>
        <v>46211</v>
      </c>
      <c r="E5" s="2">
        <f t="shared" ref="E5:E23" ca="1" si="3">D5 + RANDBETWEEN(3,21)</f>
        <v>46229</v>
      </c>
      <c r="F5">
        <f t="shared" ref="F5:F23" ca="1" si="4">DATEDIF(D5,E5,"d")</f>
        <v>18</v>
      </c>
      <c r="G5">
        <f t="shared" ref="G5:G23" ca="1" si="5">YEAR(D5)</f>
        <v>2026</v>
      </c>
      <c r="H5">
        <f t="shared" ref="H5:H23" ca="1" si="6">MONTH(D5)</f>
        <v>7</v>
      </c>
      <c r="I5">
        <f t="shared" ref="I5:I23" ca="1" si="7">DAY(D5)</f>
        <v>8</v>
      </c>
      <c r="J5">
        <f t="shared" ref="J5:J23" ca="1" si="8">DATEDIF(C5,TODAY(),"y")</f>
        <v>1</v>
      </c>
      <c r="K5" t="str">
        <f t="shared" ref="K5:K23" ca="1" si="9">IF(TODAY()&lt;D5,"À venir",IF(AND(TODAY()&gt;=D5,TODAY()&lt;=E5),"En cours","Terminé"))</f>
        <v>Terminé</v>
      </c>
    </row>
    <row r="6" spans="1:11">
      <c r="A6" t="str">
        <f t="shared" si="0"/>
        <v>EMP-05</v>
      </c>
      <c r="B6" t="s">
        <v>20</v>
      </c>
      <c r="C6" s="2">
        <f t="shared" ca="1" si="1"/>
        <v>45632</v>
      </c>
      <c r="D6" s="2">
        <f t="shared" ca="1" si="2"/>
        <v>45675</v>
      </c>
      <c r="E6" s="2">
        <f t="shared" ca="1" si="3"/>
        <v>45679</v>
      </c>
      <c r="F6">
        <f t="shared" ca="1" si="4"/>
        <v>4</v>
      </c>
      <c r="G6">
        <f t="shared" ca="1" si="5"/>
        <v>2025</v>
      </c>
      <c r="H6">
        <f t="shared" ca="1" si="6"/>
        <v>1</v>
      </c>
      <c r="I6">
        <f t="shared" ca="1" si="7"/>
        <v>18</v>
      </c>
      <c r="J6">
        <f t="shared" ca="1" si="8"/>
        <v>1</v>
      </c>
      <c r="K6" t="str">
        <f t="shared" ca="1" si="9"/>
        <v>Terminé</v>
      </c>
    </row>
    <row r="7" spans="1:11">
      <c r="A7" t="str">
        <f t="shared" si="0"/>
        <v>EMP-06</v>
      </c>
      <c r="B7" t="s">
        <v>21</v>
      </c>
      <c r="C7" s="2">
        <f t="shared" ca="1" si="1"/>
        <v>45373</v>
      </c>
      <c r="D7" s="2">
        <f t="shared" ca="1" si="2"/>
        <v>45457</v>
      </c>
      <c r="E7" s="2">
        <f t="shared" ca="1" si="3"/>
        <v>45464</v>
      </c>
      <c r="F7">
        <f t="shared" ca="1" si="4"/>
        <v>7</v>
      </c>
      <c r="G7">
        <f t="shared" ca="1" si="5"/>
        <v>2024</v>
      </c>
      <c r="H7">
        <f t="shared" ca="1" si="6"/>
        <v>6</v>
      </c>
      <c r="I7">
        <f t="shared" ca="1" si="7"/>
        <v>14</v>
      </c>
      <c r="J7">
        <f t="shared" ca="1" si="8"/>
        <v>2</v>
      </c>
      <c r="K7" t="str">
        <f t="shared" ca="1" si="9"/>
        <v>Terminé</v>
      </c>
    </row>
    <row r="8" spans="1:11">
      <c r="A8" t="str">
        <f t="shared" si="0"/>
        <v>EMP-07</v>
      </c>
      <c r="B8" t="s">
        <v>22</v>
      </c>
      <c r="C8" s="2">
        <f t="shared" ca="1" si="1"/>
        <v>45438</v>
      </c>
      <c r="D8" s="2">
        <f t="shared" ca="1" si="2"/>
        <v>45807</v>
      </c>
      <c r="E8" s="2">
        <f t="shared" ca="1" si="3"/>
        <v>45811</v>
      </c>
      <c r="F8">
        <f t="shared" ca="1" si="4"/>
        <v>4</v>
      </c>
      <c r="G8">
        <f t="shared" ca="1" si="5"/>
        <v>2025</v>
      </c>
      <c r="H8">
        <f t="shared" ca="1" si="6"/>
        <v>5</v>
      </c>
      <c r="I8">
        <f t="shared" ca="1" si="7"/>
        <v>30</v>
      </c>
      <c r="J8">
        <f t="shared" ca="1" si="8"/>
        <v>2</v>
      </c>
      <c r="K8" t="str">
        <f t="shared" ca="1" si="9"/>
        <v>Terminé</v>
      </c>
    </row>
    <row r="9" spans="1:11">
      <c r="A9" t="str">
        <f t="shared" si="0"/>
        <v>EMP-08</v>
      </c>
      <c r="B9" t="s">
        <v>23</v>
      </c>
      <c r="C9" s="2">
        <f t="shared" ca="1" si="1"/>
        <v>45585</v>
      </c>
      <c r="D9" s="2">
        <f t="shared" ca="1" si="2"/>
        <v>45821</v>
      </c>
      <c r="E9" s="2">
        <f t="shared" ca="1" si="3"/>
        <v>45833</v>
      </c>
      <c r="F9">
        <f t="shared" ca="1" si="4"/>
        <v>12</v>
      </c>
      <c r="G9">
        <f t="shared" ca="1" si="5"/>
        <v>2025</v>
      </c>
      <c r="H9">
        <f t="shared" ca="1" si="6"/>
        <v>6</v>
      </c>
      <c r="I9">
        <f t="shared" ca="1" si="7"/>
        <v>13</v>
      </c>
      <c r="J9">
        <f t="shared" ca="1" si="8"/>
        <v>1</v>
      </c>
      <c r="K9" t="str">
        <f t="shared" ca="1" si="9"/>
        <v>Terminé</v>
      </c>
    </row>
    <row r="10" spans="1:11">
      <c r="A10" t="str">
        <f t="shared" si="0"/>
        <v>EMP-09</v>
      </c>
      <c r="B10" t="s">
        <v>24</v>
      </c>
      <c r="C10" s="2">
        <f t="shared" ca="1" si="1"/>
        <v>44738</v>
      </c>
      <c r="D10" s="2">
        <f t="shared" ca="1" si="2"/>
        <v>45025</v>
      </c>
      <c r="E10" s="2">
        <f t="shared" ca="1" si="3"/>
        <v>45041</v>
      </c>
      <c r="F10">
        <f t="shared" ca="1" si="4"/>
        <v>16</v>
      </c>
      <c r="G10">
        <f t="shared" ca="1" si="5"/>
        <v>2023</v>
      </c>
      <c r="H10">
        <f t="shared" ca="1" si="6"/>
        <v>4</v>
      </c>
      <c r="I10">
        <f t="shared" ca="1" si="7"/>
        <v>9</v>
      </c>
      <c r="J10">
        <f t="shared" ca="1" si="8"/>
        <v>4</v>
      </c>
      <c r="K10" t="str">
        <f t="shared" ca="1" si="9"/>
        <v>Terminé</v>
      </c>
    </row>
    <row r="11" spans="1:11">
      <c r="A11" t="str">
        <f t="shared" si="0"/>
        <v>EMP-10</v>
      </c>
      <c r="B11" t="s">
        <v>25</v>
      </c>
      <c r="C11" s="2">
        <f t="shared" ca="1" si="1"/>
        <v>44726</v>
      </c>
      <c r="D11" s="2">
        <f t="shared" ca="1" si="2"/>
        <v>44860</v>
      </c>
      <c r="E11" s="2">
        <f t="shared" ca="1" si="3"/>
        <v>44874</v>
      </c>
      <c r="F11">
        <f t="shared" ca="1" si="4"/>
        <v>14</v>
      </c>
      <c r="G11">
        <f t="shared" ca="1" si="5"/>
        <v>2022</v>
      </c>
      <c r="H11">
        <f t="shared" ca="1" si="6"/>
        <v>10</v>
      </c>
      <c r="I11">
        <f t="shared" ca="1" si="7"/>
        <v>26</v>
      </c>
      <c r="J11">
        <f t="shared" ca="1" si="8"/>
        <v>4</v>
      </c>
      <c r="K11" t="str">
        <f t="shared" ca="1" si="9"/>
        <v>Terminé</v>
      </c>
    </row>
    <row r="12" spans="1:11">
      <c r="A12" t="str">
        <f t="shared" si="0"/>
        <v>EMP-11</v>
      </c>
      <c r="B12" t="s">
        <v>26</v>
      </c>
      <c r="C12" s="2">
        <f t="shared" ca="1" si="1"/>
        <v>44564</v>
      </c>
      <c r="D12" s="2">
        <f t="shared" ca="1" si="2"/>
        <v>44918</v>
      </c>
      <c r="E12" s="2">
        <f t="shared" ca="1" si="3"/>
        <v>44928</v>
      </c>
      <c r="F12">
        <f t="shared" ca="1" si="4"/>
        <v>10</v>
      </c>
      <c r="G12">
        <f t="shared" ca="1" si="5"/>
        <v>2022</v>
      </c>
      <c r="H12">
        <f t="shared" ca="1" si="6"/>
        <v>12</v>
      </c>
      <c r="I12">
        <f t="shared" ca="1" si="7"/>
        <v>23</v>
      </c>
      <c r="J12">
        <f t="shared" ca="1" si="8"/>
        <v>4</v>
      </c>
      <c r="K12" t="str">
        <f t="shared" ca="1" si="9"/>
        <v>Terminé</v>
      </c>
    </row>
    <row r="13" spans="1:11">
      <c r="A13" t="str">
        <f t="shared" si="0"/>
        <v>EMP-12</v>
      </c>
      <c r="B13" t="s">
        <v>27</v>
      </c>
      <c r="C13" s="2">
        <f t="shared" ca="1" si="1"/>
        <v>44960</v>
      </c>
      <c r="D13" s="2">
        <f t="shared" ca="1" si="2"/>
        <v>45140</v>
      </c>
      <c r="E13" s="2">
        <f t="shared" ca="1" si="3"/>
        <v>45160</v>
      </c>
      <c r="F13">
        <f t="shared" ca="1" si="4"/>
        <v>20</v>
      </c>
      <c r="G13">
        <f t="shared" ca="1" si="5"/>
        <v>2023</v>
      </c>
      <c r="H13">
        <f t="shared" ca="1" si="6"/>
        <v>8</v>
      </c>
      <c r="I13">
        <f t="shared" ca="1" si="7"/>
        <v>2</v>
      </c>
      <c r="J13">
        <f t="shared" ca="1" si="8"/>
        <v>3</v>
      </c>
      <c r="K13" t="str">
        <f t="shared" ca="1" si="9"/>
        <v>Terminé</v>
      </c>
    </row>
    <row r="14" spans="1:11">
      <c r="A14" t="str">
        <f t="shared" si="0"/>
        <v>EMP-13</v>
      </c>
      <c r="B14" t="s">
        <v>28</v>
      </c>
      <c r="C14" s="2">
        <f t="shared" ca="1" si="1"/>
        <v>45937</v>
      </c>
      <c r="D14" s="2">
        <f t="shared" ca="1" si="2"/>
        <v>46026</v>
      </c>
      <c r="E14" s="2">
        <f t="shared" ca="1" si="3"/>
        <v>46047</v>
      </c>
      <c r="F14">
        <f t="shared" ca="1" si="4"/>
        <v>21</v>
      </c>
      <c r="G14">
        <f t="shared" ca="1" si="5"/>
        <v>2026</v>
      </c>
      <c r="H14">
        <f t="shared" ca="1" si="6"/>
        <v>1</v>
      </c>
      <c r="I14">
        <f t="shared" ca="1" si="7"/>
        <v>4</v>
      </c>
      <c r="J14">
        <f t="shared" ca="1" si="8"/>
        <v>0</v>
      </c>
      <c r="K14" t="str">
        <f t="shared" ca="1" si="9"/>
        <v>Terminé</v>
      </c>
    </row>
    <row r="15" spans="1:11">
      <c r="A15" t="str">
        <f t="shared" si="0"/>
        <v>EMP-14</v>
      </c>
      <c r="B15" t="s">
        <v>29</v>
      </c>
      <c r="C15" s="2">
        <f t="shared" ca="1" si="1"/>
        <v>45406</v>
      </c>
      <c r="D15" s="2">
        <f t="shared" ca="1" si="2"/>
        <v>45699</v>
      </c>
      <c r="E15" s="2">
        <f t="shared" ca="1" si="3"/>
        <v>45719</v>
      </c>
      <c r="F15">
        <f t="shared" ca="1" si="4"/>
        <v>20</v>
      </c>
      <c r="G15">
        <f t="shared" ca="1" si="5"/>
        <v>2025</v>
      </c>
      <c r="H15">
        <f t="shared" ca="1" si="6"/>
        <v>2</v>
      </c>
      <c r="I15">
        <f t="shared" ca="1" si="7"/>
        <v>11</v>
      </c>
      <c r="J15">
        <f t="shared" ca="1" si="8"/>
        <v>2</v>
      </c>
      <c r="K15" t="str">
        <f t="shared" ca="1" si="9"/>
        <v>Terminé</v>
      </c>
    </row>
    <row r="16" spans="1:11">
      <c r="A16" t="str">
        <f t="shared" si="0"/>
        <v>EMP-15</v>
      </c>
      <c r="B16" t="s">
        <v>30</v>
      </c>
      <c r="C16" s="2">
        <f t="shared" ca="1" si="1"/>
        <v>45753</v>
      </c>
      <c r="D16" s="2">
        <f t="shared" ca="1" si="2"/>
        <v>45818</v>
      </c>
      <c r="E16" s="2">
        <f t="shared" ca="1" si="3"/>
        <v>45837</v>
      </c>
      <c r="F16">
        <f t="shared" ca="1" si="4"/>
        <v>19</v>
      </c>
      <c r="G16">
        <f t="shared" ca="1" si="5"/>
        <v>2025</v>
      </c>
      <c r="H16">
        <f t="shared" ca="1" si="6"/>
        <v>6</v>
      </c>
      <c r="I16">
        <f t="shared" ca="1" si="7"/>
        <v>10</v>
      </c>
      <c r="J16">
        <f t="shared" ca="1" si="8"/>
        <v>1</v>
      </c>
      <c r="K16" t="str">
        <f t="shared" ca="1" si="9"/>
        <v>Terminé</v>
      </c>
    </row>
    <row r="17" spans="1:11">
      <c r="A17" t="str">
        <f t="shared" si="0"/>
        <v>EMP-16</v>
      </c>
      <c r="B17" t="s">
        <v>31</v>
      </c>
      <c r="C17" s="2">
        <f t="shared" ca="1" si="1"/>
        <v>44720</v>
      </c>
      <c r="D17" s="2">
        <f t="shared" ca="1" si="2"/>
        <v>44998</v>
      </c>
      <c r="E17" s="2">
        <f t="shared" ca="1" si="3"/>
        <v>45006</v>
      </c>
      <c r="F17">
        <f t="shared" ca="1" si="4"/>
        <v>8</v>
      </c>
      <c r="G17">
        <f t="shared" ca="1" si="5"/>
        <v>2023</v>
      </c>
      <c r="H17">
        <f t="shared" ca="1" si="6"/>
        <v>3</v>
      </c>
      <c r="I17">
        <f t="shared" ca="1" si="7"/>
        <v>13</v>
      </c>
      <c r="J17">
        <f t="shared" ca="1" si="8"/>
        <v>4</v>
      </c>
      <c r="K17" t="str">
        <f t="shared" ca="1" si="9"/>
        <v>Terminé</v>
      </c>
    </row>
    <row r="18" spans="1:11">
      <c r="A18" t="str">
        <f t="shared" si="0"/>
        <v>EMP-17</v>
      </c>
      <c r="B18" t="s">
        <v>32</v>
      </c>
      <c r="C18" s="2">
        <f t="shared" ca="1" si="1"/>
        <v>44789</v>
      </c>
      <c r="D18" s="2">
        <f t="shared" ca="1" si="2"/>
        <v>44828</v>
      </c>
      <c r="E18" s="2">
        <f t="shared" ca="1" si="3"/>
        <v>44831</v>
      </c>
      <c r="F18">
        <f t="shared" ca="1" si="4"/>
        <v>3</v>
      </c>
      <c r="G18">
        <f t="shared" ca="1" si="5"/>
        <v>2022</v>
      </c>
      <c r="H18">
        <f t="shared" ca="1" si="6"/>
        <v>9</v>
      </c>
      <c r="I18">
        <f t="shared" ca="1" si="7"/>
        <v>24</v>
      </c>
      <c r="J18">
        <f t="shared" ca="1" si="8"/>
        <v>4</v>
      </c>
      <c r="K18" t="str">
        <f t="shared" ca="1" si="9"/>
        <v>Terminé</v>
      </c>
    </row>
    <row r="19" spans="1:11">
      <c r="A19" t="str">
        <f t="shared" si="0"/>
        <v>EMP-18</v>
      </c>
      <c r="B19" t="s">
        <v>33</v>
      </c>
      <c r="C19" s="2">
        <f t="shared" ca="1" si="1"/>
        <v>45474</v>
      </c>
      <c r="D19" s="2">
        <f t="shared" ca="1" si="2"/>
        <v>45606</v>
      </c>
      <c r="E19" s="2">
        <f t="shared" ca="1" si="3"/>
        <v>45624</v>
      </c>
      <c r="F19">
        <f t="shared" ca="1" si="4"/>
        <v>18</v>
      </c>
      <c r="G19">
        <f t="shared" ca="1" si="5"/>
        <v>2024</v>
      </c>
      <c r="H19">
        <f t="shared" ca="1" si="6"/>
        <v>11</v>
      </c>
      <c r="I19">
        <f t="shared" ca="1" si="7"/>
        <v>10</v>
      </c>
      <c r="J19">
        <f t="shared" ca="1" si="8"/>
        <v>2</v>
      </c>
      <c r="K19" t="str">
        <f t="shared" ca="1" si="9"/>
        <v>Terminé</v>
      </c>
    </row>
    <row r="20" spans="1:11">
      <c r="A20" t="str">
        <f t="shared" si="0"/>
        <v>EMP-19</v>
      </c>
      <c r="B20" t="s">
        <v>34</v>
      </c>
      <c r="C20" s="2">
        <f t="shared" ca="1" si="1"/>
        <v>44878</v>
      </c>
      <c r="D20" s="2">
        <f t="shared" ca="1" si="2"/>
        <v>45322</v>
      </c>
      <c r="E20" s="2">
        <f t="shared" ca="1" si="3"/>
        <v>45340</v>
      </c>
      <c r="F20">
        <f t="shared" ca="1" si="4"/>
        <v>18</v>
      </c>
      <c r="G20">
        <f t="shared" ca="1" si="5"/>
        <v>2024</v>
      </c>
      <c r="H20">
        <f t="shared" ca="1" si="6"/>
        <v>1</v>
      </c>
      <c r="I20">
        <f t="shared" ca="1" si="7"/>
        <v>31</v>
      </c>
      <c r="J20">
        <f t="shared" ca="1" si="8"/>
        <v>3</v>
      </c>
      <c r="K20" t="str">
        <f t="shared" ca="1" si="9"/>
        <v>Terminé</v>
      </c>
    </row>
    <row r="21" spans="1:11">
      <c r="A21" t="str">
        <f t="shared" si="0"/>
        <v>EMP-20</v>
      </c>
      <c r="B21" t="s">
        <v>35</v>
      </c>
      <c r="C21" s="2">
        <f t="shared" ca="1" si="1"/>
        <v>44825</v>
      </c>
      <c r="D21" s="2">
        <f t="shared" ca="1" si="2"/>
        <v>44878</v>
      </c>
      <c r="E21" s="2">
        <f t="shared" ca="1" si="3"/>
        <v>44893</v>
      </c>
      <c r="F21">
        <f t="shared" ca="1" si="4"/>
        <v>15</v>
      </c>
      <c r="G21">
        <f t="shared" ca="1" si="5"/>
        <v>2022</v>
      </c>
      <c r="H21">
        <f t="shared" ca="1" si="6"/>
        <v>11</v>
      </c>
      <c r="I21">
        <f t="shared" ca="1" si="7"/>
        <v>13</v>
      </c>
      <c r="J21">
        <f t="shared" ca="1" si="8"/>
        <v>3</v>
      </c>
      <c r="K21" t="str">
        <f t="shared" ca="1" si="9"/>
        <v>Terminé</v>
      </c>
    </row>
    <row r="22" spans="1:11">
      <c r="A22" t="str">
        <f t="shared" si="0"/>
        <v>EMP-21</v>
      </c>
      <c r="B22" t="s">
        <v>36</v>
      </c>
      <c r="C22" s="2">
        <f t="shared" ca="1" si="1"/>
        <v>44812</v>
      </c>
      <c r="D22" s="2">
        <f t="shared" ca="1" si="2"/>
        <v>45123</v>
      </c>
      <c r="E22" s="2">
        <f t="shared" ca="1" si="3"/>
        <v>45138</v>
      </c>
      <c r="F22">
        <f t="shared" ca="1" si="4"/>
        <v>15</v>
      </c>
      <c r="G22">
        <f t="shared" ca="1" si="5"/>
        <v>2023</v>
      </c>
      <c r="H22">
        <f t="shared" ca="1" si="6"/>
        <v>7</v>
      </c>
      <c r="I22">
        <f t="shared" ca="1" si="7"/>
        <v>16</v>
      </c>
      <c r="J22">
        <f t="shared" ca="1" si="8"/>
        <v>3</v>
      </c>
      <c r="K22" t="str">
        <f t="shared" ca="1" si="9"/>
        <v>Terminé</v>
      </c>
    </row>
    <row r="23" spans="1:11">
      <c r="A23" t="str">
        <f t="shared" si="0"/>
        <v>EMP-22</v>
      </c>
      <c r="B23" t="s">
        <v>37</v>
      </c>
      <c r="C23" s="2">
        <f t="shared" ca="1" si="1"/>
        <v>44947</v>
      </c>
      <c r="D23" s="2">
        <f t="shared" ca="1" si="2"/>
        <v>45053</v>
      </c>
      <c r="E23" s="2">
        <f t="shared" ca="1" si="3"/>
        <v>45071</v>
      </c>
      <c r="F23">
        <f t="shared" ca="1" si="4"/>
        <v>18</v>
      </c>
      <c r="G23">
        <f t="shared" ca="1" si="5"/>
        <v>2023</v>
      </c>
      <c r="H23">
        <f t="shared" ca="1" si="6"/>
        <v>5</v>
      </c>
      <c r="I23">
        <f t="shared" ca="1" si="7"/>
        <v>7</v>
      </c>
      <c r="J23">
        <f t="shared" ca="1" si="8"/>
        <v>3</v>
      </c>
      <c r="K23" t="str">
        <f t="shared" ca="1" si="9"/>
        <v>Terminé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2026-09-02T08:52:37Z</dcterms:created>
  <dcterms:modified xsi:type="dcterms:W3CDTF">2026-09-02T11:56:33Z</dcterms:modified>
  <cp:category/>
  <cp:contentStatus/>
</cp:coreProperties>
</file>