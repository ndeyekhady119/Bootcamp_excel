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F4E4F4A8-7E0E-4CBD-87F7-BCDA258A831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atique_Tableaux" sheetId="1" r:id="rId1"/>
    <sheet name="Ve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1" i="2" l="1"/>
  <c r="I111" i="2"/>
  <c r="J111" i="2"/>
  <c r="H110" i="2"/>
  <c r="I110" i="2"/>
  <c r="J110" i="2"/>
  <c r="H109" i="2"/>
  <c r="I109" i="2"/>
  <c r="J109" i="2"/>
  <c r="H108" i="2"/>
  <c r="I108" i="2"/>
  <c r="J108" i="2"/>
  <c r="H107" i="2"/>
  <c r="I107" i="2"/>
  <c r="J107" i="2"/>
  <c r="H106" i="2"/>
  <c r="I106" i="2"/>
  <c r="J106" i="2"/>
  <c r="H105" i="2"/>
  <c r="I105" i="2"/>
  <c r="J105" i="2"/>
  <c r="H104" i="2"/>
  <c r="I104" i="2"/>
  <c r="J104" i="2"/>
  <c r="H103" i="2"/>
  <c r="I103" i="2"/>
  <c r="J103" i="2"/>
  <c r="H102" i="2"/>
  <c r="I102" i="2"/>
  <c r="J102" i="2"/>
  <c r="M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H2" i="2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J100" i="2" s="1"/>
  <c r="H101" i="2"/>
  <c r="J101" i="2" s="1"/>
  <c r="F7" i="1"/>
  <c r="F2" i="1"/>
  <c r="F3" i="1"/>
  <c r="F4" i="1"/>
  <c r="F5" i="1"/>
  <c r="F6" i="1"/>
  <c r="J2" i="2" l="1"/>
  <c r="M1" i="2"/>
  <c r="M2" i="2"/>
  <c r="I1" i="1"/>
  <c r="I2" i="1"/>
</calcChain>
</file>

<file path=xl/sharedStrings.xml><?xml version="1.0" encoding="utf-8"?>
<sst xmlns="http://schemas.openxmlformats.org/spreadsheetml/2006/main" count="523" uniqueCount="190">
  <si>
    <t>Date</t>
  </si>
  <si>
    <t>Produit</t>
  </si>
  <si>
    <t>Catégorie</t>
  </si>
  <si>
    <t>Quantité</t>
  </si>
  <si>
    <t>Prix_Unitaire</t>
  </si>
  <si>
    <t>Chiffre_Affaires</t>
  </si>
  <si>
    <t>chiffre d'affaires total</t>
  </si>
  <si>
    <t>Laptop</t>
  </si>
  <si>
    <t>Informatique</t>
  </si>
  <si>
    <t>Formule classique</t>
  </si>
  <si>
    <t>Souris</t>
  </si>
  <si>
    <t>Clavier</t>
  </si>
  <si>
    <t>Casque</t>
  </si>
  <si>
    <t>Accessoires</t>
  </si>
  <si>
    <t>Écran</t>
  </si>
  <si>
    <t>Chargeur</t>
  </si>
  <si>
    <t>Vente_ID</t>
  </si>
  <si>
    <t>Categorie</t>
  </si>
  <si>
    <t>Vendeur</t>
  </si>
  <si>
    <t>Quantite</t>
  </si>
  <si>
    <t>Remise</t>
  </si>
  <si>
    <t>Montant_Net</t>
  </si>
  <si>
    <t>Chiffre d'affaires brut</t>
  </si>
  <si>
    <t>V0004</t>
  </si>
  <si>
    <t>Imprimante</t>
  </si>
  <si>
    <t>Ibrahima Sow</t>
  </si>
  <si>
    <t>Chiffre d'affaires net</t>
  </si>
  <si>
    <t>V0032</t>
  </si>
  <si>
    <t>Montre connectee</t>
  </si>
  <si>
    <t>Electronique</t>
  </si>
  <si>
    <t>Fatou Fall</t>
  </si>
  <si>
    <t>Quantité totale vendue</t>
  </si>
  <si>
    <t>V0009</t>
  </si>
  <si>
    <t>Cle USB</t>
  </si>
  <si>
    <t>Mamadou Diop</t>
  </si>
  <si>
    <t>V0042</t>
  </si>
  <si>
    <t>Ndeye Faye</t>
  </si>
  <si>
    <t>18/01/2026</t>
  </si>
  <si>
    <t>V0005</t>
  </si>
  <si>
    <t>Webcam</t>
  </si>
  <si>
    <t>Modou Sarr</t>
  </si>
  <si>
    <t>19/01/2026</t>
  </si>
  <si>
    <t>V0076</t>
  </si>
  <si>
    <t>Khady Diallo</t>
  </si>
  <si>
    <t>25/01/2026</t>
  </si>
  <si>
    <t>V0051</t>
  </si>
  <si>
    <t>26/01/2026</t>
  </si>
  <si>
    <t>V0066</t>
  </si>
  <si>
    <t>Ousmane Cisse</t>
  </si>
  <si>
    <t>27/01/2026</t>
  </si>
  <si>
    <t>V0028</t>
  </si>
  <si>
    <t>Aissatou Ba</t>
  </si>
  <si>
    <t>28/01/2026</t>
  </si>
  <si>
    <t>V0072</t>
  </si>
  <si>
    <t>Cheikh Gueye</t>
  </si>
  <si>
    <t>29/01/2026</t>
  </si>
  <si>
    <t>V0025</t>
  </si>
  <si>
    <t>V0050</t>
  </si>
  <si>
    <t>V0045</t>
  </si>
  <si>
    <t>V0046</t>
  </si>
  <si>
    <t>V0064</t>
  </si>
  <si>
    <t>V0021</t>
  </si>
  <si>
    <t>Awa Ndiaye</t>
  </si>
  <si>
    <t>V0011</t>
  </si>
  <si>
    <t>V0034</t>
  </si>
  <si>
    <t>Disque dur externe</t>
  </si>
  <si>
    <t>14/02/2026</t>
  </si>
  <si>
    <t>V0091</t>
  </si>
  <si>
    <t>16/02/2026</t>
  </si>
  <si>
    <t>V0056</t>
  </si>
  <si>
    <t>Ecran</t>
  </si>
  <si>
    <t>21/02/2026</t>
  </si>
  <si>
    <t>V0098</t>
  </si>
  <si>
    <t>Telephone</t>
  </si>
  <si>
    <t>28/02/2026</t>
  </si>
  <si>
    <t>V0081</t>
  </si>
  <si>
    <t>V0038</t>
  </si>
  <si>
    <t>V0041</t>
  </si>
  <si>
    <t>Powerbank</t>
  </si>
  <si>
    <t>V0062</t>
  </si>
  <si>
    <t>V0097</t>
  </si>
  <si>
    <t>V0078</t>
  </si>
  <si>
    <t>20/03/2026</t>
  </si>
  <si>
    <t>V0087</t>
  </si>
  <si>
    <t>21/03/2026</t>
  </si>
  <si>
    <t>V0068</t>
  </si>
  <si>
    <t>22/03/2026</t>
  </si>
  <si>
    <t>V0089</t>
  </si>
  <si>
    <t>29/03/2026</t>
  </si>
  <si>
    <t>V0017</t>
  </si>
  <si>
    <t>V0071</t>
  </si>
  <si>
    <t>V0020</t>
  </si>
  <si>
    <t>13/04/2026</t>
  </si>
  <si>
    <t>V0080</t>
  </si>
  <si>
    <t>15/04/2026</t>
  </si>
  <si>
    <t>V0018</t>
  </si>
  <si>
    <t>V0031</t>
  </si>
  <si>
    <t>18/04/2026</t>
  </si>
  <si>
    <t>V0049</t>
  </si>
  <si>
    <t>29/04/2026</t>
  </si>
  <si>
    <t>V0060</t>
  </si>
  <si>
    <t>30/04/2026</t>
  </si>
  <si>
    <t>V0100</t>
  </si>
  <si>
    <t>V0013</t>
  </si>
  <si>
    <t>V0016</t>
  </si>
  <si>
    <t>V0082</t>
  </si>
  <si>
    <t>Enceinte Bluetooth</t>
  </si>
  <si>
    <t>V0086</t>
  </si>
  <si>
    <t>V0012</t>
  </si>
  <si>
    <t>V0044</t>
  </si>
  <si>
    <t>V0022</t>
  </si>
  <si>
    <t>V0019</t>
  </si>
  <si>
    <t>V0003</t>
  </si>
  <si>
    <t>V0033</t>
  </si>
  <si>
    <t>V0067</t>
  </si>
  <si>
    <t>13/05/2026</t>
  </si>
  <si>
    <t>V0075</t>
  </si>
  <si>
    <t>18/05/2026</t>
  </si>
  <si>
    <t>V0054</t>
  </si>
  <si>
    <t>19/05/2026</t>
  </si>
  <si>
    <t>V0008</t>
  </si>
  <si>
    <t>V0048</t>
  </si>
  <si>
    <t>V0058</t>
  </si>
  <si>
    <t>V0024</t>
  </si>
  <si>
    <t>V0007</t>
  </si>
  <si>
    <t>V0070</t>
  </si>
  <si>
    <t>V0092</t>
  </si>
  <si>
    <t>V0074</t>
  </si>
  <si>
    <t>V0073</t>
  </si>
  <si>
    <t>V0084</t>
  </si>
  <si>
    <t>V0001</t>
  </si>
  <si>
    <t>17/06/2026</t>
  </si>
  <si>
    <t>V0053</t>
  </si>
  <si>
    <t>18/06/2026</t>
  </si>
  <si>
    <t>V0037</t>
  </si>
  <si>
    <t>19/06/2026</t>
  </si>
  <si>
    <t>V0077</t>
  </si>
  <si>
    <t>23/06/2026</t>
  </si>
  <si>
    <t>V0094</t>
  </si>
  <si>
    <t>24/06/2026</t>
  </si>
  <si>
    <t>V0030</t>
  </si>
  <si>
    <t>V0095</t>
  </si>
  <si>
    <t>25/06/2026</t>
  </si>
  <si>
    <t>V0047</t>
  </si>
  <si>
    <t>Tablette</t>
  </si>
  <si>
    <t>27/06/2026</t>
  </si>
  <si>
    <t>V0006</t>
  </si>
  <si>
    <t>28/06/2026</t>
  </si>
  <si>
    <t>V0085</t>
  </si>
  <si>
    <t>V0057</t>
  </si>
  <si>
    <t>V0083</t>
  </si>
  <si>
    <t>V0090</t>
  </si>
  <si>
    <t>V0099</t>
  </si>
  <si>
    <t>V0079</t>
  </si>
  <si>
    <t>V0015</t>
  </si>
  <si>
    <t>V0040</t>
  </si>
  <si>
    <t>V0063</t>
  </si>
  <si>
    <t>V0023</t>
  </si>
  <si>
    <t>14/07/2026</t>
  </si>
  <si>
    <t>V0069</t>
  </si>
  <si>
    <t>15/07/2026</t>
  </si>
  <si>
    <t>V0027</t>
  </si>
  <si>
    <t>V0061</t>
  </si>
  <si>
    <t>18/07/2026</t>
  </si>
  <si>
    <t>V0029</t>
  </si>
  <si>
    <t>19/07/2026</t>
  </si>
  <si>
    <t>V0014</t>
  </si>
  <si>
    <t>21/07/2026</t>
  </si>
  <si>
    <t>V0052</t>
  </si>
  <si>
    <t>22/07/2026</t>
  </si>
  <si>
    <t>V0002</t>
  </si>
  <si>
    <t>V0059</t>
  </si>
  <si>
    <t>25/07/2026</t>
  </si>
  <si>
    <t>V0065</t>
  </si>
  <si>
    <t>26/07/2026</t>
  </si>
  <si>
    <t>V0035</t>
  </si>
  <si>
    <t>27/07/2026</t>
  </si>
  <si>
    <t>V0010</t>
  </si>
  <si>
    <t>V0026</t>
  </si>
  <si>
    <t>V0036</t>
  </si>
  <si>
    <t>V0039</t>
  </si>
  <si>
    <t>14/08/2026</t>
  </si>
  <si>
    <t>V0043</t>
  </si>
  <si>
    <t>16/08/2026</t>
  </si>
  <si>
    <t>V0055</t>
  </si>
  <si>
    <t>V0096</t>
  </si>
  <si>
    <t>V0093</t>
  </si>
  <si>
    <t>V0088</t>
  </si>
  <si>
    <t>Clé USB</t>
  </si>
  <si>
    <t>Ecouteur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</si>
</sst>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CFA-280C]"/>
    <numFmt numFmtId="165" formatCode="[$-1280C]dd/mm/yyyy;@"/>
    <numFmt numFmtId="169" formatCode="_-* #,##0\ [$CFA-280C]_-;\-* #,##0\ [$CFA-280C]_-;_-* &quot;-&quot;\ [$CFA-280C]_-;_-@_-"/>
  </numFmts>
  <fonts count="7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1" fontId="1" fillId="0" borderId="5" xfId="0" applyNumberFormat="1" applyFont="1" applyBorder="1" applyAlignment="1">
      <alignment readingOrder="1"/>
    </xf>
    <xf numFmtId="1" fontId="2" fillId="0" borderId="1" xfId="0" applyNumberFormat="1" applyFont="1" applyBorder="1" applyAlignment="1">
      <alignment readingOrder="1"/>
    </xf>
    <xf numFmtId="1" fontId="2" fillId="0" borderId="8" xfId="0" applyNumberFormat="1" applyFont="1" applyBorder="1" applyAlignment="1">
      <alignment readingOrder="1"/>
    </xf>
    <xf numFmtId="1" fontId="0" fillId="0" borderId="0" xfId="0" applyNumberFormat="1"/>
    <xf numFmtId="164" fontId="1" fillId="0" borderId="6" xfId="0" applyNumberFormat="1" applyFont="1" applyBorder="1" applyAlignment="1">
      <alignment readingOrder="1"/>
    </xf>
    <xf numFmtId="164" fontId="2" fillId="0" borderId="3" xfId="0" applyNumberFormat="1" applyFont="1" applyBorder="1" applyAlignment="1">
      <alignment readingOrder="1"/>
    </xf>
    <xf numFmtId="164" fontId="2" fillId="0" borderId="9" xfId="0" applyNumberFormat="1" applyFont="1" applyBorder="1" applyAlignment="1">
      <alignment readingOrder="1"/>
    </xf>
    <xf numFmtId="164" fontId="0" fillId="0" borderId="0" xfId="0" applyNumberFormat="1"/>
    <xf numFmtId="164" fontId="2" fillId="0" borderId="5" xfId="0" applyNumberFormat="1" applyFont="1" applyBorder="1" applyAlignment="1">
      <alignment readingOrder="1"/>
    </xf>
    <xf numFmtId="164" fontId="2" fillId="0" borderId="1" xfId="0" applyNumberFormat="1" applyFont="1" applyBorder="1" applyAlignment="1">
      <alignment readingOrder="1"/>
    </xf>
    <xf numFmtId="164" fontId="2" fillId="0" borderId="8" xfId="0" applyNumberFormat="1" applyFont="1" applyBorder="1" applyAlignment="1">
      <alignment readingOrder="1"/>
    </xf>
    <xf numFmtId="0" fontId="3" fillId="0" borderId="0" xfId="0" applyFont="1"/>
    <xf numFmtId="165" fontId="2" fillId="0" borderId="7" xfId="0" applyNumberFormat="1" applyFont="1" applyBorder="1" applyAlignment="1">
      <alignment readingOrder="1"/>
    </xf>
    <xf numFmtId="165" fontId="2" fillId="0" borderId="2" xfId="0" applyNumberFormat="1" applyFont="1" applyBorder="1" applyAlignment="1">
      <alignment readingOrder="1"/>
    </xf>
    <xf numFmtId="0" fontId="4" fillId="0" borderId="0" xfId="0" applyFont="1"/>
    <xf numFmtId="0" fontId="5" fillId="0" borderId="0" xfId="0" applyFont="1"/>
    <xf numFmtId="165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9" fontId="4" fillId="0" borderId="0" xfId="0" applyNumberFormat="1" applyFont="1"/>
    <xf numFmtId="169" fontId="5" fillId="0" borderId="0" xfId="0" applyNumberFormat="1" applyFont="1"/>
    <xf numFmtId="169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69" fontId="5" fillId="0" borderId="0" xfId="0" applyNumberFormat="1" applyFont="1" applyAlignment="1">
      <alignment wrapText="1"/>
    </xf>
    <xf numFmtId="0" fontId="6" fillId="0" borderId="0" xfId="0" applyFont="1" applyAlignment="1">
      <alignment readingOrder="1"/>
    </xf>
    <xf numFmtId="0" fontId="5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9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9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9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[$-1280C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64" formatCode="#,##0\ [$CFA-280C]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64" formatCode="#,##0\ [$CFA-280C]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" formatCode="0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E4132-82D6-4843-BBEE-8896AF3AB0D8}" name="Ventes" displayName="Ventes" ref="A1:F7" totalsRowShown="0" headerRowDxfId="22" dataDxfId="21" headerRowBorderDxfId="19" tableBorderDxfId="20" totalsRowBorderDxfId="18">
  <autoFilter ref="A1:F7" xr:uid="{E31E4132-82D6-4843-BBEE-8896AF3AB0D8}">
    <filterColumn colId="1">
      <filters>
        <filter val="Souris"/>
      </filters>
    </filterColumn>
    <filterColumn colId="2">
      <filters>
        <filter val="Informatique"/>
      </filters>
    </filterColumn>
  </autoFilter>
  <tableColumns count="6">
    <tableColumn id="1" xr3:uid="{36DF5389-BC85-4C75-8E32-8964A9682CFB}" name="Date" dataDxfId="17"/>
    <tableColumn id="2" xr3:uid="{2E62B075-E581-4D9A-A16C-E9468A6E5E1D}" name="Produit" dataDxfId="16"/>
    <tableColumn id="3" xr3:uid="{6DE26FFF-35AE-41A2-9E7B-131F1B77F61A}" name="Catégorie" dataDxfId="15"/>
    <tableColumn id="4" xr3:uid="{79332011-76D5-4C46-9612-14E05920F722}" name="Quantité" dataDxfId="14"/>
    <tableColumn id="5" xr3:uid="{F00020A5-525D-4B3E-8A87-1699FC7E315D}" name="Prix_Unitaire" dataDxfId="13"/>
    <tableColumn id="6" xr3:uid="{F5AEDDA4-5E94-4283-B4CF-F7882C6D148B}" name="Chiffre_Affaires" dataDxfId="12">
      <calculatedColumnFormula>Ventes[[#This Row],[Prix_Unitaire]]*Ventes[[#This Row],[Quantité]]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4D9DE-5EB2-4D1C-93D2-6A0BA5AAC14C}" name="tblVentes" displayName="tblVentes" ref="A1:J111" totalsRowShown="0" headerRowDxfId="11" dataDxfId="10">
  <autoFilter ref="A1:J111" xr:uid="{2084D9DE-5EB2-4D1C-93D2-6A0BA5AAC14C}"/>
  <tableColumns count="10">
    <tableColumn id="1" xr3:uid="{B5C51BD6-649F-4017-B06F-044EF4C87E45}" name="Date" dataDxfId="9"/>
    <tableColumn id="2" xr3:uid="{C6CD7D2F-60FB-4781-A914-2F7ACB6763E3}" name="Vente_ID" dataDxfId="8"/>
    <tableColumn id="3" xr3:uid="{C0E4CB46-5250-40ED-8B28-12010E76709F}" name="Produit" dataDxfId="7"/>
    <tableColumn id="4" xr3:uid="{9DC51399-7F4D-441A-A852-5677F229575F}" name="Categorie" dataDxfId="6"/>
    <tableColumn id="5" xr3:uid="{F4AA9FE3-2730-47E8-8979-9A71CD7138FE}" name="Vendeur" dataDxfId="5"/>
    <tableColumn id="6" xr3:uid="{E753C602-31A9-49F4-A673-8E3A4CB4C5B4}" name="Quantite" dataDxfId="4"/>
    <tableColumn id="7" xr3:uid="{1DE10359-EAEC-4BDD-B234-DDA91FFF0039}" name="Prix_Unitaire" dataDxfId="3"/>
    <tableColumn id="8" xr3:uid="{D506299D-81CF-4CD9-9FB2-D0377C71B2D4}" name="Chiffre_Affaires" dataDxfId="2">
      <calculatedColumnFormula>tblVentes[[#This Row],[Quantite]]*tblVentes[[#This Row],[Prix_Unitaire]]</calculatedColumnFormula>
    </tableColumn>
    <tableColumn id="9" xr3:uid="{9C3BFA97-F1BB-4377-955E-BDBA146D8889}" name="Remise" dataDxfId="1">
      <calculatedColumnFormula>RANDBETWEEN(0,20)/100</calculatedColumnFormula>
    </tableColumn>
    <tableColumn id="10" xr3:uid="{16A380F0-2EE5-409B-80CA-6F48217B8BDC}" name="Montant_Net" dataDxfId="0">
      <calculatedColumnFormula>tblVentes[[#This Row],[Chiffre_Affaires]]*(1-tblVentes[[#This Row],[Remise]])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F10" sqref="F10"/>
    </sheetView>
  </sheetViews>
  <sheetFormatPr defaultRowHeight="15"/>
  <cols>
    <col min="1" max="1" width="12.28515625" customWidth="1"/>
    <col min="2" max="2" width="10.42578125" bestFit="1" customWidth="1"/>
    <col min="3" max="3" width="12.85546875" customWidth="1"/>
    <col min="4" max="4" width="11.5703125" style="8" bestFit="1" customWidth="1"/>
    <col min="5" max="5" width="16" style="12" bestFit="1" customWidth="1"/>
    <col min="6" max="6" width="18.140625" customWidth="1"/>
    <col min="8" max="8" width="18.7109375" customWidth="1"/>
    <col min="9" max="9" width="15.140625" customWidth="1"/>
  </cols>
  <sheetData>
    <row r="1" spans="1:9">
      <c r="A1" s="2" t="s">
        <v>0</v>
      </c>
      <c r="B1" s="3" t="s">
        <v>1</v>
      </c>
      <c r="C1" s="3" t="s">
        <v>2</v>
      </c>
      <c r="D1" s="5" t="s">
        <v>3</v>
      </c>
      <c r="E1" s="9" t="s">
        <v>4</v>
      </c>
      <c r="F1" s="3" t="s">
        <v>5</v>
      </c>
      <c r="H1" s="16" t="s">
        <v>6</v>
      </c>
      <c r="I1" s="12">
        <f>SUM(Ventes[Chiffre_Affaires])</f>
        <v>1440000</v>
      </c>
    </row>
    <row r="2" spans="1:9" hidden="1">
      <c r="A2" s="18">
        <v>46031</v>
      </c>
      <c r="B2" s="1" t="s">
        <v>7</v>
      </c>
      <c r="C2" s="1" t="s">
        <v>8</v>
      </c>
      <c r="D2" s="6">
        <v>2</v>
      </c>
      <c r="E2" s="10">
        <v>450000</v>
      </c>
      <c r="F2" s="13">
        <f>Ventes[[#This Row],[Prix_Unitaire]]*Ventes[[#This Row],[Quantité]]</f>
        <v>900000</v>
      </c>
      <c r="H2" s="16" t="s">
        <v>9</v>
      </c>
      <c r="I2" s="12">
        <f>SUM(Ventes[Chiffre_Affaires])</f>
        <v>1440000</v>
      </c>
    </row>
    <row r="3" spans="1:9">
      <c r="A3" s="18">
        <v>46062</v>
      </c>
      <c r="B3" s="1" t="s">
        <v>10</v>
      </c>
      <c r="C3" s="1" t="s">
        <v>8</v>
      </c>
      <c r="D3" s="6">
        <v>5</v>
      </c>
      <c r="E3" s="10">
        <v>15000</v>
      </c>
      <c r="F3" s="14">
        <f>Ventes[[#This Row],[Prix_Unitaire]]*Ventes[[#This Row],[Quantité]]</f>
        <v>75000</v>
      </c>
    </row>
    <row r="4" spans="1:9" hidden="1">
      <c r="A4" s="18">
        <v>46090</v>
      </c>
      <c r="B4" s="1" t="s">
        <v>11</v>
      </c>
      <c r="C4" s="1" t="s">
        <v>8</v>
      </c>
      <c r="D4" s="6">
        <v>3</v>
      </c>
      <c r="E4" s="10">
        <v>25000</v>
      </c>
      <c r="F4" s="14">
        <f>Ventes[[#This Row],[Prix_Unitaire]]*Ventes[[#This Row],[Quantité]]</f>
        <v>75000</v>
      </c>
    </row>
    <row r="5" spans="1:9" hidden="1">
      <c r="A5" s="18">
        <v>46121</v>
      </c>
      <c r="B5" s="1" t="s">
        <v>12</v>
      </c>
      <c r="C5" s="1" t="s">
        <v>13</v>
      </c>
      <c r="D5" s="6">
        <v>4</v>
      </c>
      <c r="E5" s="10">
        <v>30000</v>
      </c>
      <c r="F5" s="14">
        <f>Ventes[[#This Row],[Prix_Unitaire]]*Ventes[[#This Row],[Quantité]]</f>
        <v>120000</v>
      </c>
    </row>
    <row r="6" spans="1:9" hidden="1">
      <c r="A6" s="17">
        <v>46151</v>
      </c>
      <c r="B6" s="4" t="s">
        <v>14</v>
      </c>
      <c r="C6" s="4" t="s">
        <v>8</v>
      </c>
      <c r="D6" s="7">
        <v>2</v>
      </c>
      <c r="E6" s="11">
        <v>120000</v>
      </c>
      <c r="F6" s="15">
        <f>Ventes[[#This Row],[Prix_Unitaire]]*Ventes[[#This Row],[Quantité]]</f>
        <v>240000</v>
      </c>
    </row>
    <row r="7" spans="1:9" hidden="1">
      <c r="A7" s="17">
        <v>46271</v>
      </c>
      <c r="B7" s="4" t="s">
        <v>15</v>
      </c>
      <c r="C7" s="4" t="s">
        <v>13</v>
      </c>
      <c r="D7" s="7">
        <v>6</v>
      </c>
      <c r="E7" s="11">
        <v>5000</v>
      </c>
      <c r="F7" s="15">
        <f>Ventes[[#This Row],[Prix_Unitaire]]*Ventes[[#This Row],[Quantité]]</f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3054-84C3-49D6-A3C0-A58321970BDF}">
  <dimension ref="A1:M111"/>
  <sheetViews>
    <sheetView tabSelected="1" topLeftCell="A88" workbookViewId="0">
      <selection activeCell="A102" sqref="A102:A111"/>
    </sheetView>
  </sheetViews>
  <sheetFormatPr defaultRowHeight="15"/>
  <cols>
    <col min="1" max="1" width="16.5703125" style="23" customWidth="1"/>
    <col min="2" max="2" width="11.7109375" customWidth="1"/>
    <col min="3" max="3" width="17" bestFit="1" customWidth="1"/>
    <col min="4" max="4" width="17.28515625" customWidth="1"/>
    <col min="5" max="5" width="20.140625" customWidth="1"/>
    <col min="6" max="6" width="11" style="8" bestFit="1" customWidth="1"/>
    <col min="7" max="7" width="15.42578125" style="26" customWidth="1"/>
    <col min="8" max="8" width="19.5703125" style="26" customWidth="1"/>
    <col min="9" max="9" width="11" customWidth="1"/>
    <col min="10" max="10" width="18.85546875" customWidth="1"/>
    <col min="12" max="12" width="18.5703125" customWidth="1"/>
    <col min="13" max="13" width="17.5703125" customWidth="1"/>
  </cols>
  <sheetData>
    <row r="1" spans="1:13">
      <c r="A1" s="22" t="s">
        <v>0</v>
      </c>
      <c r="B1" s="19" t="s">
        <v>16</v>
      </c>
      <c r="C1" s="19" t="s">
        <v>1</v>
      </c>
      <c r="D1" s="19" t="s">
        <v>17</v>
      </c>
      <c r="E1" s="19" t="s">
        <v>18</v>
      </c>
      <c r="F1" s="27" t="s">
        <v>19</v>
      </c>
      <c r="G1" s="24" t="s">
        <v>4</v>
      </c>
      <c r="H1" s="24" t="s">
        <v>5</v>
      </c>
      <c r="I1" s="19" t="s">
        <v>20</v>
      </c>
      <c r="J1" s="19" t="s">
        <v>21</v>
      </c>
      <c r="L1" s="30" t="s">
        <v>22</v>
      </c>
      <c r="M1" s="26">
        <f>SUM(tblVentes[Chiffre_Affaires])</f>
        <v>58935000</v>
      </c>
    </row>
    <row r="2" spans="1:13">
      <c r="A2" s="21">
        <v>46113</v>
      </c>
      <c r="B2" s="20" t="s">
        <v>23</v>
      </c>
      <c r="C2" s="20" t="s">
        <v>24</v>
      </c>
      <c r="D2" s="20" t="s">
        <v>8</v>
      </c>
      <c r="E2" s="20" t="s">
        <v>25</v>
      </c>
      <c r="F2" s="28">
        <v>1</v>
      </c>
      <c r="G2" s="25">
        <v>180000</v>
      </c>
      <c r="H2" s="25">
        <f>tblVentes[[#This Row],[Quantite]]*tblVentes[[#This Row],[Prix_Unitaire]]</f>
        <v>180000</v>
      </c>
      <c r="I2" s="20">
        <f t="shared" ref="I2:I33" ca="1" si="0">RANDBETWEEN(0,20)/100</f>
        <v>0.06</v>
      </c>
      <c r="J2" s="29">
        <f ca="1">tblVentes[[#This Row],[Chiffre_Affaires]]*(1-tblVentes[[#This Row],[Remise]])</f>
        <v>169200</v>
      </c>
      <c r="L2" s="30" t="s">
        <v>26</v>
      </c>
      <c r="M2" s="26">
        <f ca="1">SUM(tblVentes[Montant_Net])</f>
        <v>54451910</v>
      </c>
    </row>
    <row r="3" spans="1:13">
      <c r="A3" s="21">
        <v>46113</v>
      </c>
      <c r="B3" s="20" t="s">
        <v>27</v>
      </c>
      <c r="C3" s="20" t="s">
        <v>28</v>
      </c>
      <c r="D3" s="20" t="s">
        <v>29</v>
      </c>
      <c r="E3" s="20" t="s">
        <v>30</v>
      </c>
      <c r="F3" s="28">
        <v>10</v>
      </c>
      <c r="G3" s="25">
        <v>90000</v>
      </c>
      <c r="H3" s="25">
        <f>tblVentes[[#This Row],[Quantite]]*tblVentes[[#This Row],[Prix_Unitaire]]</f>
        <v>900000</v>
      </c>
      <c r="I3" s="20">
        <f t="shared" ca="1" si="0"/>
        <v>0.02</v>
      </c>
      <c r="J3" s="25">
        <f ca="1">tblVentes[[#This Row],[Chiffre_Affaires]]*(1-tblVentes[[#This Row],[Remise]])</f>
        <v>882000</v>
      </c>
      <c r="L3" s="30" t="s">
        <v>31</v>
      </c>
      <c r="M3" s="8">
        <f>SUM(tblVentes[Quantite])</f>
        <v>625</v>
      </c>
    </row>
    <row r="4" spans="1:13">
      <c r="A4" s="21">
        <v>46174</v>
      </c>
      <c r="B4" s="20" t="s">
        <v>32</v>
      </c>
      <c r="C4" s="20" t="s">
        <v>33</v>
      </c>
      <c r="D4" s="20" t="s">
        <v>13</v>
      </c>
      <c r="E4" s="20" t="s">
        <v>34</v>
      </c>
      <c r="F4" s="28">
        <v>6</v>
      </c>
      <c r="G4" s="25">
        <v>8000</v>
      </c>
      <c r="H4" s="25">
        <f>tblVentes[[#This Row],[Quantite]]*tblVentes[[#This Row],[Prix_Unitaire]]</f>
        <v>48000</v>
      </c>
      <c r="I4" s="20">
        <f t="shared" ca="1" si="0"/>
        <v>0.1</v>
      </c>
      <c r="J4" s="25">
        <f ca="1">tblVentes[[#This Row],[Chiffre_Affaires]]*(1-tblVentes[[#This Row],[Remise]])</f>
        <v>43200</v>
      </c>
    </row>
    <row r="5" spans="1:13">
      <c r="A5" s="21">
        <v>46235</v>
      </c>
      <c r="B5" s="20" t="s">
        <v>35</v>
      </c>
      <c r="C5" s="20" t="s">
        <v>11</v>
      </c>
      <c r="D5" s="20" t="s">
        <v>8</v>
      </c>
      <c r="E5" s="20" t="s">
        <v>36</v>
      </c>
      <c r="F5" s="28">
        <v>8</v>
      </c>
      <c r="G5" s="25">
        <v>25000</v>
      </c>
      <c r="H5" s="25">
        <f>tblVentes[[#This Row],[Quantite]]*tblVentes[[#This Row],[Prix_Unitaire]]</f>
        <v>200000</v>
      </c>
      <c r="I5" s="20">
        <f t="shared" ca="1" si="0"/>
        <v>0.2</v>
      </c>
      <c r="J5" s="25">
        <f ca="1">tblVentes[[#This Row],[Chiffre_Affaires]]*(1-tblVentes[[#This Row],[Remise]])</f>
        <v>160000</v>
      </c>
    </row>
    <row r="6" spans="1:13">
      <c r="A6" s="21" t="s">
        <v>37</v>
      </c>
      <c r="B6" s="20" t="s">
        <v>38</v>
      </c>
      <c r="C6" s="20" t="s">
        <v>39</v>
      </c>
      <c r="D6" s="20" t="s">
        <v>8</v>
      </c>
      <c r="E6" s="20" t="s">
        <v>40</v>
      </c>
      <c r="F6" s="28">
        <v>7</v>
      </c>
      <c r="G6" s="25">
        <v>22000</v>
      </c>
      <c r="H6" s="25">
        <f>tblVentes[[#This Row],[Quantite]]*tblVentes[[#This Row],[Prix_Unitaire]]</f>
        <v>154000</v>
      </c>
      <c r="I6" s="20">
        <f t="shared" ca="1" si="0"/>
        <v>0.16</v>
      </c>
      <c r="J6" s="25">
        <f ca="1">tblVentes[[#This Row],[Chiffre_Affaires]]*(1-tblVentes[[#This Row],[Remise]])</f>
        <v>129360</v>
      </c>
    </row>
    <row r="7" spans="1:13">
      <c r="A7" s="21" t="s">
        <v>41</v>
      </c>
      <c r="B7" s="20" t="s">
        <v>42</v>
      </c>
      <c r="C7" s="20" t="s">
        <v>24</v>
      </c>
      <c r="D7" s="20" t="s">
        <v>8</v>
      </c>
      <c r="E7" s="20" t="s">
        <v>43</v>
      </c>
      <c r="F7" s="28">
        <v>7</v>
      </c>
      <c r="G7" s="25">
        <v>180000</v>
      </c>
      <c r="H7" s="25">
        <f>tblVentes[[#This Row],[Quantite]]*tblVentes[[#This Row],[Prix_Unitaire]]</f>
        <v>1260000</v>
      </c>
      <c r="I7" s="20">
        <f t="shared" ca="1" si="0"/>
        <v>0.08</v>
      </c>
      <c r="J7" s="25">
        <f ca="1">tblVentes[[#This Row],[Chiffre_Affaires]]*(1-tblVentes[[#This Row],[Remise]])</f>
        <v>1159200</v>
      </c>
    </row>
    <row r="8" spans="1:13">
      <c r="A8" s="21" t="s">
        <v>44</v>
      </c>
      <c r="B8" s="20" t="s">
        <v>45</v>
      </c>
      <c r="C8" s="20" t="s">
        <v>11</v>
      </c>
      <c r="D8" s="20" t="s">
        <v>8</v>
      </c>
      <c r="E8" s="20" t="s">
        <v>34</v>
      </c>
      <c r="F8" s="28">
        <v>7</v>
      </c>
      <c r="G8" s="25">
        <v>25000</v>
      </c>
      <c r="H8" s="25">
        <f>tblVentes[[#This Row],[Quantite]]*tblVentes[[#This Row],[Prix_Unitaire]]</f>
        <v>175000</v>
      </c>
      <c r="I8" s="20">
        <f t="shared" ca="1" si="0"/>
        <v>0.12</v>
      </c>
      <c r="J8" s="25">
        <f ca="1">tblVentes[[#This Row],[Chiffre_Affaires]]*(1-tblVentes[[#This Row],[Remise]])</f>
        <v>154000</v>
      </c>
    </row>
    <row r="9" spans="1:13">
      <c r="A9" s="21" t="s">
        <v>46</v>
      </c>
      <c r="B9" s="20" t="s">
        <v>47</v>
      </c>
      <c r="C9" s="20" t="s">
        <v>24</v>
      </c>
      <c r="D9" s="20" t="s">
        <v>8</v>
      </c>
      <c r="E9" s="20" t="s">
        <v>48</v>
      </c>
      <c r="F9" s="28">
        <v>10</v>
      </c>
      <c r="G9" s="25">
        <v>180000</v>
      </c>
      <c r="H9" s="25">
        <f>tblVentes[[#This Row],[Quantite]]*tblVentes[[#This Row],[Prix_Unitaire]]</f>
        <v>1800000</v>
      </c>
      <c r="I9" s="20">
        <f t="shared" ca="1" si="0"/>
        <v>0.12</v>
      </c>
      <c r="J9" s="25">
        <f ca="1">tblVentes[[#This Row],[Chiffre_Affaires]]*(1-tblVentes[[#This Row],[Remise]])</f>
        <v>1584000</v>
      </c>
    </row>
    <row r="10" spans="1:13">
      <c r="A10" s="21" t="s">
        <v>49</v>
      </c>
      <c r="B10" s="20" t="s">
        <v>50</v>
      </c>
      <c r="C10" s="20" t="s">
        <v>15</v>
      </c>
      <c r="D10" s="20" t="s">
        <v>13</v>
      </c>
      <c r="E10" s="20" t="s">
        <v>51</v>
      </c>
      <c r="F10" s="28">
        <v>4</v>
      </c>
      <c r="G10" s="25">
        <v>18000</v>
      </c>
      <c r="H10" s="25">
        <f>tblVentes[[#This Row],[Quantite]]*tblVentes[[#This Row],[Prix_Unitaire]]</f>
        <v>72000</v>
      </c>
      <c r="I10" s="20">
        <f t="shared" ca="1" si="0"/>
        <v>0.12</v>
      </c>
      <c r="J10" s="25">
        <f ca="1">tblVentes[[#This Row],[Chiffre_Affaires]]*(1-tblVentes[[#This Row],[Remise]])</f>
        <v>63360</v>
      </c>
    </row>
    <row r="11" spans="1:13">
      <c r="A11" s="21" t="s">
        <v>52</v>
      </c>
      <c r="B11" s="20" t="s">
        <v>53</v>
      </c>
      <c r="C11" s="20" t="s">
        <v>10</v>
      </c>
      <c r="D11" s="20" t="s">
        <v>8</v>
      </c>
      <c r="E11" s="20" t="s">
        <v>54</v>
      </c>
      <c r="F11" s="28">
        <v>7</v>
      </c>
      <c r="G11" s="25">
        <v>15000</v>
      </c>
      <c r="H11" s="25">
        <f>tblVentes[[#This Row],[Quantite]]*tblVentes[[#This Row],[Prix_Unitaire]]</f>
        <v>105000</v>
      </c>
      <c r="I11" s="20">
        <f t="shared" ca="1" si="0"/>
        <v>0.15</v>
      </c>
      <c r="J11" s="25">
        <f ca="1">tblVentes[[#This Row],[Chiffre_Affaires]]*(1-tblVentes[[#This Row],[Remise]])</f>
        <v>89250</v>
      </c>
    </row>
    <row r="12" spans="1:13">
      <c r="A12" s="21" t="s">
        <v>55</v>
      </c>
      <c r="B12" s="20" t="s">
        <v>56</v>
      </c>
      <c r="C12" s="20" t="s">
        <v>39</v>
      </c>
      <c r="D12" s="20" t="s">
        <v>8</v>
      </c>
      <c r="E12" s="20" t="s">
        <v>36</v>
      </c>
      <c r="F12" s="28">
        <v>10</v>
      </c>
      <c r="G12" s="25">
        <v>22000</v>
      </c>
      <c r="H12" s="25">
        <f>tblVentes[[#This Row],[Quantite]]*tblVentes[[#This Row],[Prix_Unitaire]]</f>
        <v>220000</v>
      </c>
      <c r="I12" s="20">
        <f t="shared" ca="1" si="0"/>
        <v>0.03</v>
      </c>
      <c r="J12" s="25">
        <f ca="1">tblVentes[[#This Row],[Chiffre_Affaires]]*(1-tblVentes[[#This Row],[Remise]])</f>
        <v>213400</v>
      </c>
    </row>
    <row r="13" spans="1:13">
      <c r="A13" s="21">
        <v>46114</v>
      </c>
      <c r="B13" s="20" t="s">
        <v>57</v>
      </c>
      <c r="C13" s="20" t="s">
        <v>12</v>
      </c>
      <c r="D13" s="20" t="s">
        <v>13</v>
      </c>
      <c r="E13" s="20" t="s">
        <v>43</v>
      </c>
      <c r="F13" s="28">
        <v>3</v>
      </c>
      <c r="G13" s="25">
        <v>30000</v>
      </c>
      <c r="H13" s="25">
        <f>tblVentes[[#This Row],[Quantite]]*tblVentes[[#This Row],[Prix_Unitaire]]</f>
        <v>90000</v>
      </c>
      <c r="I13" s="20">
        <f t="shared" ca="1" si="0"/>
        <v>0.14000000000000001</v>
      </c>
      <c r="J13" s="25">
        <f ca="1">tblVentes[[#This Row],[Chiffre_Affaires]]*(1-tblVentes[[#This Row],[Remise]])</f>
        <v>77400</v>
      </c>
    </row>
    <row r="14" spans="1:13">
      <c r="A14" s="21">
        <v>46144</v>
      </c>
      <c r="B14" s="20" t="s">
        <v>58</v>
      </c>
      <c r="C14" s="20" t="s">
        <v>15</v>
      </c>
      <c r="D14" s="20" t="s">
        <v>13</v>
      </c>
      <c r="E14" s="20" t="s">
        <v>48</v>
      </c>
      <c r="F14" s="28">
        <v>5</v>
      </c>
      <c r="G14" s="25">
        <v>18000</v>
      </c>
      <c r="H14" s="25">
        <f>tblVentes[[#This Row],[Quantite]]*tblVentes[[#This Row],[Prix_Unitaire]]</f>
        <v>90000</v>
      </c>
      <c r="I14" s="20">
        <f t="shared" ca="1" si="0"/>
        <v>0.02</v>
      </c>
      <c r="J14" s="25">
        <f ca="1">tblVentes[[#This Row],[Chiffre_Affaires]]*(1-tblVentes[[#This Row],[Remise]])</f>
        <v>88200</v>
      </c>
    </row>
    <row r="15" spans="1:13">
      <c r="A15" s="21">
        <v>46144</v>
      </c>
      <c r="B15" s="20" t="s">
        <v>59</v>
      </c>
      <c r="C15" s="20" t="s">
        <v>24</v>
      </c>
      <c r="D15" s="20" t="s">
        <v>8</v>
      </c>
      <c r="E15" s="20" t="s">
        <v>40</v>
      </c>
      <c r="F15" s="28">
        <v>5</v>
      </c>
      <c r="G15" s="25">
        <v>180000</v>
      </c>
      <c r="H15" s="25">
        <f>tblVentes[[#This Row],[Quantite]]*tblVentes[[#This Row],[Prix_Unitaire]]</f>
        <v>900000</v>
      </c>
      <c r="I15" s="20">
        <f t="shared" ca="1" si="0"/>
        <v>0.14000000000000001</v>
      </c>
      <c r="J15" s="25">
        <f ca="1">tblVentes[[#This Row],[Chiffre_Affaires]]*(1-tblVentes[[#This Row],[Remise]])</f>
        <v>774000</v>
      </c>
    </row>
    <row r="16" spans="1:13">
      <c r="A16" s="21">
        <v>46267</v>
      </c>
      <c r="B16" s="20" t="s">
        <v>60</v>
      </c>
      <c r="C16" s="20" t="s">
        <v>7</v>
      </c>
      <c r="D16" s="20" t="s">
        <v>8</v>
      </c>
      <c r="E16" s="20" t="s">
        <v>25</v>
      </c>
      <c r="F16" s="28">
        <v>7</v>
      </c>
      <c r="G16" s="25">
        <v>450000</v>
      </c>
      <c r="H16" s="25">
        <f>tblVentes[[#This Row],[Quantite]]*tblVentes[[#This Row],[Prix_Unitaire]]</f>
        <v>3150000</v>
      </c>
      <c r="I16" s="20">
        <f t="shared" ca="1" si="0"/>
        <v>0.02</v>
      </c>
      <c r="J16" s="25">
        <f ca="1">tblVentes[[#This Row],[Chiffre_Affaires]]*(1-tblVentes[[#This Row],[Remise]])</f>
        <v>3087000</v>
      </c>
    </row>
    <row r="17" spans="1:10">
      <c r="A17" s="21">
        <v>46297</v>
      </c>
      <c r="B17" s="20" t="s">
        <v>61</v>
      </c>
      <c r="C17" s="20" t="s">
        <v>12</v>
      </c>
      <c r="D17" s="20" t="s">
        <v>13</v>
      </c>
      <c r="E17" s="20" t="s">
        <v>62</v>
      </c>
      <c r="F17" s="28">
        <v>2</v>
      </c>
      <c r="G17" s="25">
        <v>30000</v>
      </c>
      <c r="H17" s="25">
        <f>tblVentes[[#This Row],[Quantite]]*tblVentes[[#This Row],[Prix_Unitaire]]</f>
        <v>60000</v>
      </c>
      <c r="I17" s="20">
        <f t="shared" ca="1" si="0"/>
        <v>0.04</v>
      </c>
      <c r="J17" s="25">
        <f ca="1">tblVentes[[#This Row],[Chiffre_Affaires]]*(1-tblVentes[[#This Row],[Remise]])</f>
        <v>57600</v>
      </c>
    </row>
    <row r="18" spans="1:10">
      <c r="A18" s="21">
        <v>46328</v>
      </c>
      <c r="B18" s="20" t="s">
        <v>63</v>
      </c>
      <c r="C18" s="20" t="s">
        <v>28</v>
      </c>
      <c r="D18" s="20" t="s">
        <v>29</v>
      </c>
      <c r="E18" s="20" t="s">
        <v>62</v>
      </c>
      <c r="F18" s="28">
        <v>8</v>
      </c>
      <c r="G18" s="25">
        <v>90000</v>
      </c>
      <c r="H18" s="25">
        <f>tblVentes[[#This Row],[Quantite]]*tblVentes[[#This Row],[Prix_Unitaire]]</f>
        <v>720000</v>
      </c>
      <c r="I18" s="20">
        <f t="shared" ca="1" si="0"/>
        <v>0.06</v>
      </c>
      <c r="J18" s="25">
        <f ca="1">tblVentes[[#This Row],[Chiffre_Affaires]]*(1-tblVentes[[#This Row],[Remise]])</f>
        <v>676800</v>
      </c>
    </row>
    <row r="19" spans="1:10">
      <c r="A19" s="21">
        <v>46328</v>
      </c>
      <c r="B19" s="20" t="s">
        <v>64</v>
      </c>
      <c r="C19" s="20" t="s">
        <v>65</v>
      </c>
      <c r="D19" s="20" t="s">
        <v>8</v>
      </c>
      <c r="E19" s="20" t="s">
        <v>25</v>
      </c>
      <c r="F19" s="28">
        <v>4</v>
      </c>
      <c r="G19" s="25">
        <v>45000</v>
      </c>
      <c r="H19" s="25">
        <f>tblVentes[[#This Row],[Quantite]]*tblVentes[[#This Row],[Prix_Unitaire]]</f>
        <v>180000</v>
      </c>
      <c r="I19" s="20">
        <f t="shared" ca="1" si="0"/>
        <v>0.19</v>
      </c>
      <c r="J19" s="25">
        <f ca="1">tblVentes[[#This Row],[Chiffre_Affaires]]*(1-tblVentes[[#This Row],[Remise]])</f>
        <v>145800</v>
      </c>
    </row>
    <row r="20" spans="1:10">
      <c r="A20" s="21" t="s">
        <v>66</v>
      </c>
      <c r="B20" s="20" t="s">
        <v>67</v>
      </c>
      <c r="C20" s="20" t="s">
        <v>11</v>
      </c>
      <c r="D20" s="20" t="s">
        <v>8</v>
      </c>
      <c r="E20" s="20" t="s">
        <v>34</v>
      </c>
      <c r="F20" s="28">
        <v>9</v>
      </c>
      <c r="G20" s="25">
        <v>25000</v>
      </c>
      <c r="H20" s="25">
        <f>tblVentes[[#This Row],[Quantite]]*tblVentes[[#This Row],[Prix_Unitaire]]</f>
        <v>225000</v>
      </c>
      <c r="I20" s="20">
        <f t="shared" ca="1" si="0"/>
        <v>0.17</v>
      </c>
      <c r="J20" s="25">
        <f ca="1">tblVentes[[#This Row],[Chiffre_Affaires]]*(1-tblVentes[[#This Row],[Remise]])</f>
        <v>186750</v>
      </c>
    </row>
    <row r="21" spans="1:10">
      <c r="A21" s="21" t="s">
        <v>68</v>
      </c>
      <c r="B21" s="20" t="s">
        <v>69</v>
      </c>
      <c r="C21" s="20" t="s">
        <v>70</v>
      </c>
      <c r="D21" s="20" t="s">
        <v>8</v>
      </c>
      <c r="E21" s="20" t="s">
        <v>40</v>
      </c>
      <c r="F21" s="28">
        <v>3</v>
      </c>
      <c r="G21" s="25">
        <v>120000</v>
      </c>
      <c r="H21" s="25">
        <f>tblVentes[[#This Row],[Quantite]]*tblVentes[[#This Row],[Prix_Unitaire]]</f>
        <v>360000</v>
      </c>
      <c r="I21" s="20">
        <f t="shared" ca="1" si="0"/>
        <v>0.04</v>
      </c>
      <c r="J21" s="25">
        <f ca="1">tblVentes[[#This Row],[Chiffre_Affaires]]*(1-tblVentes[[#This Row],[Remise]])</f>
        <v>345600</v>
      </c>
    </row>
    <row r="22" spans="1:10">
      <c r="A22" s="21" t="s">
        <v>71</v>
      </c>
      <c r="B22" s="20" t="s">
        <v>72</v>
      </c>
      <c r="C22" s="20" t="s">
        <v>73</v>
      </c>
      <c r="D22" s="20" t="s">
        <v>29</v>
      </c>
      <c r="E22" s="20" t="s">
        <v>30</v>
      </c>
      <c r="F22" s="28">
        <v>9</v>
      </c>
      <c r="G22" s="25">
        <v>350000</v>
      </c>
      <c r="H22" s="25">
        <f>tblVentes[[#This Row],[Quantite]]*tblVentes[[#This Row],[Prix_Unitaire]]</f>
        <v>3150000</v>
      </c>
      <c r="I22" s="20">
        <f t="shared" ca="1" si="0"/>
        <v>0.04</v>
      </c>
      <c r="J22" s="25">
        <f ca="1">tblVentes[[#This Row],[Chiffre_Affaires]]*(1-tblVentes[[#This Row],[Remise]])</f>
        <v>3024000</v>
      </c>
    </row>
    <row r="23" spans="1:10">
      <c r="A23" s="21" t="s">
        <v>74</v>
      </c>
      <c r="B23" s="20" t="s">
        <v>75</v>
      </c>
      <c r="C23" s="20" t="s">
        <v>65</v>
      </c>
      <c r="D23" s="20" t="s">
        <v>8</v>
      </c>
      <c r="E23" s="20" t="s">
        <v>54</v>
      </c>
      <c r="F23" s="28">
        <v>8</v>
      </c>
      <c r="G23" s="25">
        <v>45000</v>
      </c>
      <c r="H23" s="25">
        <f>tblVentes[[#This Row],[Quantite]]*tblVentes[[#This Row],[Prix_Unitaire]]</f>
        <v>360000</v>
      </c>
      <c r="I23" s="20">
        <f t="shared" ca="1" si="0"/>
        <v>0.03</v>
      </c>
      <c r="J23" s="25">
        <f ca="1">tblVentes[[#This Row],[Chiffre_Affaires]]*(1-tblVentes[[#This Row],[Remise]])</f>
        <v>349200</v>
      </c>
    </row>
    <row r="24" spans="1:10">
      <c r="A24" s="21">
        <v>46145</v>
      </c>
      <c r="B24" s="20" t="s">
        <v>76</v>
      </c>
      <c r="C24" s="20" t="s">
        <v>12</v>
      </c>
      <c r="D24" s="20" t="s">
        <v>13</v>
      </c>
      <c r="E24" s="20" t="s">
        <v>62</v>
      </c>
      <c r="F24" s="28">
        <v>7</v>
      </c>
      <c r="G24" s="25">
        <v>30000</v>
      </c>
      <c r="H24" s="25">
        <f>tblVentes[[#This Row],[Quantite]]*tblVentes[[#This Row],[Prix_Unitaire]]</f>
        <v>210000</v>
      </c>
      <c r="I24" s="20">
        <f t="shared" ca="1" si="0"/>
        <v>0.09</v>
      </c>
      <c r="J24" s="25">
        <f ca="1">tblVentes[[#This Row],[Chiffre_Affaires]]*(1-tblVentes[[#This Row],[Remise]])</f>
        <v>191100</v>
      </c>
    </row>
    <row r="25" spans="1:10">
      <c r="A25" s="21">
        <v>46176</v>
      </c>
      <c r="B25" s="20" t="s">
        <v>77</v>
      </c>
      <c r="C25" s="20" t="s">
        <v>78</v>
      </c>
      <c r="D25" s="20" t="s">
        <v>29</v>
      </c>
      <c r="E25" s="20" t="s">
        <v>48</v>
      </c>
      <c r="F25" s="28">
        <v>1</v>
      </c>
      <c r="G25" s="25">
        <v>25000</v>
      </c>
      <c r="H25" s="25">
        <f>tblVentes[[#This Row],[Quantite]]*tblVentes[[#This Row],[Prix_Unitaire]]</f>
        <v>25000</v>
      </c>
      <c r="I25" s="20">
        <f t="shared" ca="1" si="0"/>
        <v>0.04</v>
      </c>
      <c r="J25" s="25">
        <f ca="1">tblVentes[[#This Row],[Chiffre_Affaires]]*(1-tblVentes[[#This Row],[Remise]])</f>
        <v>24000</v>
      </c>
    </row>
    <row r="26" spans="1:10">
      <c r="A26" s="21">
        <v>46176</v>
      </c>
      <c r="B26" s="20" t="s">
        <v>79</v>
      </c>
      <c r="C26" s="20" t="s">
        <v>15</v>
      </c>
      <c r="D26" s="20" t="s">
        <v>13</v>
      </c>
      <c r="E26" s="20" t="s">
        <v>30</v>
      </c>
      <c r="F26" s="28">
        <v>4</v>
      </c>
      <c r="G26" s="25">
        <v>18000</v>
      </c>
      <c r="H26" s="25">
        <f>tblVentes[[#This Row],[Quantite]]*tblVentes[[#This Row],[Prix_Unitaire]]</f>
        <v>72000</v>
      </c>
      <c r="I26" s="20">
        <f t="shared" ca="1" si="0"/>
        <v>0.19</v>
      </c>
      <c r="J26" s="25">
        <f ca="1">tblVentes[[#This Row],[Chiffre_Affaires]]*(1-tblVentes[[#This Row],[Remise]])</f>
        <v>58320.000000000007</v>
      </c>
    </row>
    <row r="27" spans="1:10">
      <c r="A27" s="21">
        <v>46206</v>
      </c>
      <c r="B27" s="20" t="s">
        <v>80</v>
      </c>
      <c r="C27" s="20" t="s">
        <v>7</v>
      </c>
      <c r="D27" s="20" t="s">
        <v>8</v>
      </c>
      <c r="E27" s="20" t="s">
        <v>54</v>
      </c>
      <c r="F27" s="28">
        <v>9</v>
      </c>
      <c r="G27" s="25">
        <v>450000</v>
      </c>
      <c r="H27" s="25">
        <f>tblVentes[[#This Row],[Quantite]]*tblVentes[[#This Row],[Prix_Unitaire]]</f>
        <v>4050000</v>
      </c>
      <c r="I27" s="20">
        <f t="shared" ca="1" si="0"/>
        <v>0.05</v>
      </c>
      <c r="J27" s="25">
        <f ca="1">tblVentes[[#This Row],[Chiffre_Affaires]]*(1-tblVentes[[#This Row],[Remise]])</f>
        <v>3847500</v>
      </c>
    </row>
    <row r="28" spans="1:10">
      <c r="A28" s="21">
        <v>46359</v>
      </c>
      <c r="B28" s="20" t="s">
        <v>81</v>
      </c>
      <c r="C28" s="20" t="s">
        <v>65</v>
      </c>
      <c r="D28" s="20" t="s">
        <v>8</v>
      </c>
      <c r="E28" s="20" t="s">
        <v>62</v>
      </c>
      <c r="F28" s="28">
        <v>4</v>
      </c>
      <c r="G28" s="25">
        <v>45000</v>
      </c>
      <c r="H28" s="25">
        <f>tblVentes[[#This Row],[Quantite]]*tblVentes[[#This Row],[Prix_Unitaire]]</f>
        <v>180000</v>
      </c>
      <c r="I28" s="20">
        <f t="shared" ca="1" si="0"/>
        <v>0.04</v>
      </c>
      <c r="J28" s="25">
        <f ca="1">tblVentes[[#This Row],[Chiffre_Affaires]]*(1-tblVentes[[#This Row],[Remise]])</f>
        <v>172800</v>
      </c>
    </row>
    <row r="29" spans="1:10">
      <c r="A29" s="21" t="s">
        <v>82</v>
      </c>
      <c r="B29" s="20" t="s">
        <v>83</v>
      </c>
      <c r="C29" s="20" t="s">
        <v>28</v>
      </c>
      <c r="D29" s="20" t="s">
        <v>29</v>
      </c>
      <c r="E29" s="20" t="s">
        <v>48</v>
      </c>
      <c r="F29" s="28">
        <v>7</v>
      </c>
      <c r="G29" s="25">
        <v>90000</v>
      </c>
      <c r="H29" s="25">
        <f>tblVentes[[#This Row],[Quantite]]*tblVentes[[#This Row],[Prix_Unitaire]]</f>
        <v>630000</v>
      </c>
      <c r="I29" s="20">
        <f t="shared" ca="1" si="0"/>
        <v>0.12</v>
      </c>
      <c r="J29" s="25">
        <f ca="1">tblVentes[[#This Row],[Chiffre_Affaires]]*(1-tblVentes[[#This Row],[Remise]])</f>
        <v>554400</v>
      </c>
    </row>
    <row r="30" spans="1:10">
      <c r="A30" s="21" t="s">
        <v>84</v>
      </c>
      <c r="B30" s="20" t="s">
        <v>85</v>
      </c>
      <c r="C30" s="20" t="s">
        <v>15</v>
      </c>
      <c r="D30" s="20" t="s">
        <v>13</v>
      </c>
      <c r="E30" s="20" t="s">
        <v>54</v>
      </c>
      <c r="F30" s="28">
        <v>9</v>
      </c>
      <c r="G30" s="25">
        <v>18000</v>
      </c>
      <c r="H30" s="25">
        <f>tblVentes[[#This Row],[Quantite]]*tblVentes[[#This Row],[Prix_Unitaire]]</f>
        <v>162000</v>
      </c>
      <c r="I30" s="20">
        <f t="shared" ca="1" si="0"/>
        <v>0.04</v>
      </c>
      <c r="J30" s="25">
        <f ca="1">tblVentes[[#This Row],[Chiffre_Affaires]]*(1-tblVentes[[#This Row],[Remise]])</f>
        <v>155520</v>
      </c>
    </row>
    <row r="31" spans="1:10">
      <c r="A31" s="21" t="s">
        <v>86</v>
      </c>
      <c r="B31" s="20" t="s">
        <v>87</v>
      </c>
      <c r="C31" s="20" t="s">
        <v>78</v>
      </c>
      <c r="D31" s="20" t="s">
        <v>29</v>
      </c>
      <c r="E31" s="20" t="s">
        <v>62</v>
      </c>
      <c r="F31" s="28">
        <v>3</v>
      </c>
      <c r="G31" s="25">
        <v>25000</v>
      </c>
      <c r="H31" s="25">
        <f>tblVentes[[#This Row],[Quantite]]*tblVentes[[#This Row],[Prix_Unitaire]]</f>
        <v>75000</v>
      </c>
      <c r="I31" s="20">
        <f t="shared" ca="1" si="0"/>
        <v>0.14000000000000001</v>
      </c>
      <c r="J31" s="25">
        <f ca="1">tblVentes[[#This Row],[Chiffre_Affaires]]*(1-tblVentes[[#This Row],[Remise]])</f>
        <v>64500</v>
      </c>
    </row>
    <row r="32" spans="1:10">
      <c r="A32" s="21" t="s">
        <v>88</v>
      </c>
      <c r="B32" s="20" t="s">
        <v>89</v>
      </c>
      <c r="C32" s="20" t="s">
        <v>24</v>
      </c>
      <c r="D32" s="20" t="s">
        <v>8</v>
      </c>
      <c r="E32" s="20" t="s">
        <v>43</v>
      </c>
      <c r="F32" s="28">
        <v>4</v>
      </c>
      <c r="G32" s="25">
        <v>180000</v>
      </c>
      <c r="H32" s="25">
        <f>tblVentes[[#This Row],[Quantite]]*tblVentes[[#This Row],[Prix_Unitaire]]</f>
        <v>720000</v>
      </c>
      <c r="I32" s="20">
        <f t="shared" ca="1" si="0"/>
        <v>0.03</v>
      </c>
      <c r="J32" s="25">
        <f ca="1">tblVentes[[#This Row],[Chiffre_Affaires]]*(1-tblVentes[[#This Row],[Remise]])</f>
        <v>698400</v>
      </c>
    </row>
    <row r="33" spans="1:10">
      <c r="A33" s="21">
        <v>46026</v>
      </c>
      <c r="B33" s="20" t="s">
        <v>90</v>
      </c>
      <c r="C33" s="20" t="s">
        <v>73</v>
      </c>
      <c r="D33" s="20" t="s">
        <v>29</v>
      </c>
      <c r="E33" s="20" t="s">
        <v>54</v>
      </c>
      <c r="F33" s="28">
        <v>4</v>
      </c>
      <c r="G33" s="25">
        <v>350000</v>
      </c>
      <c r="H33" s="25">
        <f>tblVentes[[#This Row],[Quantite]]*tblVentes[[#This Row],[Prix_Unitaire]]</f>
        <v>1400000</v>
      </c>
      <c r="I33" s="20">
        <f t="shared" ca="1" si="0"/>
        <v>0.06</v>
      </c>
      <c r="J33" s="25">
        <f ca="1">tblVentes[[#This Row],[Chiffre_Affaires]]*(1-tblVentes[[#This Row],[Remise]])</f>
        <v>1316000</v>
      </c>
    </row>
    <row r="34" spans="1:10">
      <c r="A34" s="21">
        <v>46269</v>
      </c>
      <c r="B34" s="20" t="s">
        <v>91</v>
      </c>
      <c r="C34" s="20" t="s">
        <v>65</v>
      </c>
      <c r="D34" s="20" t="s">
        <v>8</v>
      </c>
      <c r="E34" s="20" t="s">
        <v>54</v>
      </c>
      <c r="F34" s="28">
        <v>8</v>
      </c>
      <c r="G34" s="25">
        <v>45000</v>
      </c>
      <c r="H34" s="25">
        <f>tblVentes[[#This Row],[Quantite]]*tblVentes[[#This Row],[Prix_Unitaire]]</f>
        <v>360000</v>
      </c>
      <c r="I34" s="20">
        <f t="shared" ref="I34:I65" ca="1" si="1">RANDBETWEEN(0,20)/100</f>
        <v>0.16</v>
      </c>
      <c r="J34" s="25">
        <f ca="1">tblVentes[[#This Row],[Chiffre_Affaires]]*(1-tblVentes[[#This Row],[Remise]])</f>
        <v>302400</v>
      </c>
    </row>
    <row r="35" spans="1:10">
      <c r="A35" s="21" t="s">
        <v>92</v>
      </c>
      <c r="B35" s="20" t="s">
        <v>93</v>
      </c>
      <c r="C35" s="20" t="s">
        <v>65</v>
      </c>
      <c r="D35" s="20" t="s">
        <v>8</v>
      </c>
      <c r="E35" s="20" t="s">
        <v>48</v>
      </c>
      <c r="F35" s="28">
        <v>4</v>
      </c>
      <c r="G35" s="25">
        <v>45000</v>
      </c>
      <c r="H35" s="25">
        <f>tblVentes[[#This Row],[Quantite]]*tblVentes[[#This Row],[Prix_Unitaire]]</f>
        <v>180000</v>
      </c>
      <c r="I35" s="20">
        <f t="shared" ca="1" si="1"/>
        <v>0.15</v>
      </c>
      <c r="J35" s="25">
        <f ca="1">tblVentes[[#This Row],[Chiffre_Affaires]]*(1-tblVentes[[#This Row],[Remise]])</f>
        <v>153000</v>
      </c>
    </row>
    <row r="36" spans="1:10">
      <c r="A36" s="21" t="s">
        <v>94</v>
      </c>
      <c r="B36" s="20" t="s">
        <v>95</v>
      </c>
      <c r="C36" s="20" t="s">
        <v>28</v>
      </c>
      <c r="D36" s="20" t="s">
        <v>29</v>
      </c>
      <c r="E36" s="20" t="s">
        <v>30</v>
      </c>
      <c r="F36" s="28">
        <v>9</v>
      </c>
      <c r="G36" s="25">
        <v>90000</v>
      </c>
      <c r="H36" s="25">
        <f>tblVentes[[#This Row],[Quantite]]*tblVentes[[#This Row],[Prix_Unitaire]]</f>
        <v>810000</v>
      </c>
      <c r="I36" s="20">
        <f t="shared" ca="1" si="1"/>
        <v>0.15</v>
      </c>
      <c r="J36" s="25">
        <f ca="1">tblVentes[[#This Row],[Chiffre_Affaires]]*(1-tblVentes[[#This Row],[Remise]])</f>
        <v>688500</v>
      </c>
    </row>
    <row r="37" spans="1:10">
      <c r="A37" s="21" t="s">
        <v>94</v>
      </c>
      <c r="B37" s="20" t="s">
        <v>96</v>
      </c>
      <c r="C37" s="20" t="s">
        <v>7</v>
      </c>
      <c r="D37" s="20" t="s">
        <v>8</v>
      </c>
      <c r="E37" s="20" t="s">
        <v>36</v>
      </c>
      <c r="F37" s="28">
        <v>4</v>
      </c>
      <c r="G37" s="25">
        <v>450000</v>
      </c>
      <c r="H37" s="25">
        <f>tblVentes[[#This Row],[Quantite]]*tblVentes[[#This Row],[Prix_Unitaire]]</f>
        <v>1800000</v>
      </c>
      <c r="I37" s="20">
        <f t="shared" ca="1" si="1"/>
        <v>0.01</v>
      </c>
      <c r="J37" s="25">
        <f ca="1">tblVentes[[#This Row],[Chiffre_Affaires]]*(1-tblVentes[[#This Row],[Remise]])</f>
        <v>1782000</v>
      </c>
    </row>
    <row r="38" spans="1:10">
      <c r="A38" s="21" t="s">
        <v>97</v>
      </c>
      <c r="B38" s="20" t="s">
        <v>98</v>
      </c>
      <c r="C38" s="20" t="s">
        <v>39</v>
      </c>
      <c r="D38" s="20" t="s">
        <v>8</v>
      </c>
      <c r="E38" s="20" t="s">
        <v>25</v>
      </c>
      <c r="F38" s="28">
        <v>10</v>
      </c>
      <c r="G38" s="25">
        <v>22000</v>
      </c>
      <c r="H38" s="25">
        <f>tblVentes[[#This Row],[Quantite]]*tblVentes[[#This Row],[Prix_Unitaire]]</f>
        <v>220000</v>
      </c>
      <c r="I38" s="20">
        <f t="shared" ca="1" si="1"/>
        <v>0.01</v>
      </c>
      <c r="J38" s="25">
        <f ca="1">tblVentes[[#This Row],[Chiffre_Affaires]]*(1-tblVentes[[#This Row],[Remise]])</f>
        <v>217800</v>
      </c>
    </row>
    <row r="39" spans="1:10">
      <c r="A39" s="21" t="s">
        <v>99</v>
      </c>
      <c r="B39" s="20" t="s">
        <v>100</v>
      </c>
      <c r="C39" s="20" t="s">
        <v>28</v>
      </c>
      <c r="D39" s="20" t="s">
        <v>29</v>
      </c>
      <c r="E39" s="20" t="s">
        <v>62</v>
      </c>
      <c r="F39" s="28">
        <v>7</v>
      </c>
      <c r="G39" s="25">
        <v>90000</v>
      </c>
      <c r="H39" s="25">
        <f>tblVentes[[#This Row],[Quantite]]*tblVentes[[#This Row],[Prix_Unitaire]]</f>
        <v>630000</v>
      </c>
      <c r="I39" s="20">
        <f t="shared" ca="1" si="1"/>
        <v>7.0000000000000007E-2</v>
      </c>
      <c r="J39" s="25">
        <f ca="1">tblVentes[[#This Row],[Chiffre_Affaires]]*(1-tblVentes[[#This Row],[Remise]])</f>
        <v>585900</v>
      </c>
    </row>
    <row r="40" spans="1:10">
      <c r="A40" s="21" t="s">
        <v>101</v>
      </c>
      <c r="B40" s="20" t="s">
        <v>102</v>
      </c>
      <c r="C40" s="20" t="s">
        <v>65</v>
      </c>
      <c r="D40" s="20" t="s">
        <v>8</v>
      </c>
      <c r="E40" s="20" t="s">
        <v>30</v>
      </c>
      <c r="F40" s="28">
        <v>7</v>
      </c>
      <c r="G40" s="25">
        <v>45000</v>
      </c>
      <c r="H40" s="25">
        <f>tblVentes[[#This Row],[Quantite]]*tblVentes[[#This Row],[Prix_Unitaire]]</f>
        <v>315000</v>
      </c>
      <c r="I40" s="20">
        <f t="shared" ca="1" si="1"/>
        <v>0.17</v>
      </c>
      <c r="J40" s="25">
        <f ca="1">tblVentes[[#This Row],[Chiffre_Affaires]]*(1-tblVentes[[#This Row],[Remise]])</f>
        <v>261450</v>
      </c>
    </row>
    <row r="41" spans="1:10">
      <c r="A41" s="21">
        <v>46027</v>
      </c>
      <c r="B41" s="20" t="s">
        <v>103</v>
      </c>
      <c r="C41" s="20" t="s">
        <v>11</v>
      </c>
      <c r="D41" s="20" t="s">
        <v>8</v>
      </c>
      <c r="E41" s="20" t="s">
        <v>30</v>
      </c>
      <c r="F41" s="28">
        <v>1</v>
      </c>
      <c r="G41" s="25">
        <v>25000</v>
      </c>
      <c r="H41" s="25">
        <f>tblVentes[[#This Row],[Quantite]]*tblVentes[[#This Row],[Prix_Unitaire]]</f>
        <v>25000</v>
      </c>
      <c r="I41" s="20">
        <f t="shared" ca="1" si="1"/>
        <v>0.17</v>
      </c>
      <c r="J41" s="25">
        <f ca="1">tblVentes[[#This Row],[Chiffre_Affaires]]*(1-tblVentes[[#This Row],[Remise]])</f>
        <v>20750</v>
      </c>
    </row>
    <row r="42" spans="1:10">
      <c r="A42" s="21">
        <v>46058</v>
      </c>
      <c r="B42" s="20" t="s">
        <v>104</v>
      </c>
      <c r="C42" s="20" t="s">
        <v>10</v>
      </c>
      <c r="D42" s="20" t="s">
        <v>8</v>
      </c>
      <c r="E42" s="20" t="s">
        <v>34</v>
      </c>
      <c r="F42" s="28">
        <v>9</v>
      </c>
      <c r="G42" s="25">
        <v>15000</v>
      </c>
      <c r="H42" s="25">
        <f>tblVentes[[#This Row],[Quantite]]*tblVentes[[#This Row],[Prix_Unitaire]]</f>
        <v>135000</v>
      </c>
      <c r="I42" s="20">
        <f t="shared" ca="1" si="1"/>
        <v>0.11</v>
      </c>
      <c r="J42" s="25">
        <f ca="1">tblVentes[[#This Row],[Chiffre_Affaires]]*(1-tblVentes[[#This Row],[Remise]])</f>
        <v>120150</v>
      </c>
    </row>
    <row r="43" spans="1:10">
      <c r="A43" s="21">
        <v>46086</v>
      </c>
      <c r="B43" s="20" t="s">
        <v>105</v>
      </c>
      <c r="C43" s="20" t="s">
        <v>106</v>
      </c>
      <c r="D43" s="20" t="s">
        <v>29</v>
      </c>
      <c r="E43" s="20" t="s">
        <v>34</v>
      </c>
      <c r="F43" s="28">
        <v>1</v>
      </c>
      <c r="G43" s="25">
        <v>45000</v>
      </c>
      <c r="H43" s="25">
        <f>tblVentes[[#This Row],[Quantite]]*tblVentes[[#This Row],[Prix_Unitaire]]</f>
        <v>45000</v>
      </c>
      <c r="I43" s="20">
        <f t="shared" ca="1" si="1"/>
        <v>0.2</v>
      </c>
      <c r="J43" s="25">
        <f ca="1">tblVentes[[#This Row],[Chiffre_Affaires]]*(1-tblVentes[[#This Row],[Remise]])</f>
        <v>36000</v>
      </c>
    </row>
    <row r="44" spans="1:10">
      <c r="A44" s="21">
        <v>46117</v>
      </c>
      <c r="B44" s="20" t="s">
        <v>107</v>
      </c>
      <c r="C44" s="20" t="s">
        <v>73</v>
      </c>
      <c r="D44" s="20" t="s">
        <v>29</v>
      </c>
      <c r="E44" s="20" t="s">
        <v>51</v>
      </c>
      <c r="F44" s="28">
        <v>4</v>
      </c>
      <c r="G44" s="25">
        <v>350000</v>
      </c>
      <c r="H44" s="25">
        <f>tblVentes[[#This Row],[Quantite]]*tblVentes[[#This Row],[Prix_Unitaire]]</f>
        <v>1400000</v>
      </c>
      <c r="I44" s="20">
        <f t="shared" ca="1" si="1"/>
        <v>0.09</v>
      </c>
      <c r="J44" s="25">
        <f ca="1">tblVentes[[#This Row],[Chiffre_Affaires]]*(1-tblVentes[[#This Row],[Remise]])</f>
        <v>1274000</v>
      </c>
    </row>
    <row r="45" spans="1:10">
      <c r="A45" s="21">
        <v>46147</v>
      </c>
      <c r="B45" s="20" t="s">
        <v>108</v>
      </c>
      <c r="C45" s="20" t="s">
        <v>24</v>
      </c>
      <c r="D45" s="20" t="s">
        <v>8</v>
      </c>
      <c r="E45" s="20" t="s">
        <v>54</v>
      </c>
      <c r="F45" s="28">
        <v>7</v>
      </c>
      <c r="G45" s="25">
        <v>180000</v>
      </c>
      <c r="H45" s="25">
        <f>tblVentes[[#This Row],[Quantite]]*tblVentes[[#This Row],[Prix_Unitaire]]</f>
        <v>1260000</v>
      </c>
      <c r="I45" s="20">
        <f t="shared" ca="1" si="1"/>
        <v>0.03</v>
      </c>
      <c r="J45" s="25">
        <f ca="1">tblVentes[[#This Row],[Chiffre_Affaires]]*(1-tblVentes[[#This Row],[Remise]])</f>
        <v>1222200</v>
      </c>
    </row>
    <row r="46" spans="1:10">
      <c r="A46" s="21">
        <v>46147</v>
      </c>
      <c r="B46" s="20" t="s">
        <v>109</v>
      </c>
      <c r="C46" s="20" t="s">
        <v>39</v>
      </c>
      <c r="D46" s="20" t="s">
        <v>8</v>
      </c>
      <c r="E46" s="20" t="s">
        <v>40</v>
      </c>
      <c r="F46" s="28">
        <v>7</v>
      </c>
      <c r="G46" s="25">
        <v>22000</v>
      </c>
      <c r="H46" s="25">
        <f>tblVentes[[#This Row],[Quantite]]*tblVentes[[#This Row],[Prix_Unitaire]]</f>
        <v>154000</v>
      </c>
      <c r="I46" s="20">
        <f t="shared" ca="1" si="1"/>
        <v>7.0000000000000007E-2</v>
      </c>
      <c r="J46" s="25">
        <f ca="1">tblVentes[[#This Row],[Chiffre_Affaires]]*(1-tblVentes[[#This Row],[Remise]])</f>
        <v>143220</v>
      </c>
    </row>
    <row r="47" spans="1:10">
      <c r="A47" s="21">
        <v>46178</v>
      </c>
      <c r="B47" s="20" t="s">
        <v>110</v>
      </c>
      <c r="C47" s="20" t="s">
        <v>78</v>
      </c>
      <c r="D47" s="20" t="s">
        <v>29</v>
      </c>
      <c r="E47" s="20" t="s">
        <v>48</v>
      </c>
      <c r="F47" s="28">
        <v>1</v>
      </c>
      <c r="G47" s="25">
        <v>25000</v>
      </c>
      <c r="H47" s="25">
        <f>tblVentes[[#This Row],[Quantite]]*tblVentes[[#This Row],[Prix_Unitaire]]</f>
        <v>25000</v>
      </c>
      <c r="I47" s="20">
        <f t="shared" ca="1" si="1"/>
        <v>0.15</v>
      </c>
      <c r="J47" s="25">
        <f ca="1">tblVentes[[#This Row],[Chiffre_Affaires]]*(1-tblVentes[[#This Row],[Remise]])</f>
        <v>21250</v>
      </c>
    </row>
    <row r="48" spans="1:10">
      <c r="A48" s="21">
        <v>46270</v>
      </c>
      <c r="B48" s="20" t="s">
        <v>111</v>
      </c>
      <c r="C48" s="20" t="s">
        <v>12</v>
      </c>
      <c r="D48" s="20" t="s">
        <v>13</v>
      </c>
      <c r="E48" s="20" t="s">
        <v>54</v>
      </c>
      <c r="F48" s="28">
        <v>8</v>
      </c>
      <c r="G48" s="25">
        <v>30000</v>
      </c>
      <c r="H48" s="25">
        <f>tblVentes[[#This Row],[Quantite]]*tblVentes[[#This Row],[Prix_Unitaire]]</f>
        <v>240000</v>
      </c>
      <c r="I48" s="20">
        <f t="shared" ca="1" si="1"/>
        <v>0.05</v>
      </c>
      <c r="J48" s="25">
        <f ca="1">tblVentes[[#This Row],[Chiffre_Affaires]]*(1-tblVentes[[#This Row],[Remise]])</f>
        <v>228000</v>
      </c>
    </row>
    <row r="49" spans="1:10">
      <c r="A49" s="21">
        <v>46300</v>
      </c>
      <c r="B49" s="20" t="s">
        <v>112</v>
      </c>
      <c r="C49" s="20" t="s">
        <v>33</v>
      </c>
      <c r="D49" s="20" t="s">
        <v>13</v>
      </c>
      <c r="E49" s="20" t="s">
        <v>36</v>
      </c>
      <c r="F49" s="28">
        <v>3</v>
      </c>
      <c r="G49" s="25">
        <v>8000</v>
      </c>
      <c r="H49" s="25">
        <f>tblVentes[[#This Row],[Quantite]]*tblVentes[[#This Row],[Prix_Unitaire]]</f>
        <v>24000</v>
      </c>
      <c r="I49" s="20">
        <f t="shared" ca="1" si="1"/>
        <v>0.17</v>
      </c>
      <c r="J49" s="25">
        <f ca="1">tblVentes[[#This Row],[Chiffre_Affaires]]*(1-tblVentes[[#This Row],[Remise]])</f>
        <v>19920</v>
      </c>
    </row>
    <row r="50" spans="1:10">
      <c r="A50" s="21">
        <v>46300</v>
      </c>
      <c r="B50" s="20" t="s">
        <v>113</v>
      </c>
      <c r="C50" s="20" t="s">
        <v>28</v>
      </c>
      <c r="D50" s="20" t="s">
        <v>29</v>
      </c>
      <c r="E50" s="20" t="s">
        <v>54</v>
      </c>
      <c r="F50" s="28">
        <v>8</v>
      </c>
      <c r="G50" s="25">
        <v>90000</v>
      </c>
      <c r="H50" s="25">
        <f>tblVentes[[#This Row],[Quantite]]*tblVentes[[#This Row],[Prix_Unitaire]]</f>
        <v>720000</v>
      </c>
      <c r="I50" s="20">
        <f t="shared" ca="1" si="1"/>
        <v>0.16</v>
      </c>
      <c r="J50" s="25">
        <f ca="1">tblVentes[[#This Row],[Chiffre_Affaires]]*(1-tblVentes[[#This Row],[Remise]])</f>
        <v>604800</v>
      </c>
    </row>
    <row r="51" spans="1:10">
      <c r="A51" s="21">
        <v>46331</v>
      </c>
      <c r="B51" s="20" t="s">
        <v>114</v>
      </c>
      <c r="C51" s="20" t="s">
        <v>24</v>
      </c>
      <c r="D51" s="20" t="s">
        <v>8</v>
      </c>
      <c r="E51" s="20" t="s">
        <v>40</v>
      </c>
      <c r="F51" s="28">
        <v>1</v>
      </c>
      <c r="G51" s="25">
        <v>180000</v>
      </c>
      <c r="H51" s="25">
        <f>tblVentes[[#This Row],[Quantite]]*tblVentes[[#This Row],[Prix_Unitaire]]</f>
        <v>180000</v>
      </c>
      <c r="I51" s="20">
        <f t="shared" ca="1" si="1"/>
        <v>0.1</v>
      </c>
      <c r="J51" s="25">
        <f ca="1">tblVentes[[#This Row],[Chiffre_Affaires]]*(1-tblVentes[[#This Row],[Remise]])</f>
        <v>162000</v>
      </c>
    </row>
    <row r="52" spans="1:10">
      <c r="A52" s="21" t="s">
        <v>115</v>
      </c>
      <c r="B52" s="20" t="s">
        <v>116</v>
      </c>
      <c r="C52" s="20" t="s">
        <v>7</v>
      </c>
      <c r="D52" s="20" t="s">
        <v>8</v>
      </c>
      <c r="E52" s="20" t="s">
        <v>48</v>
      </c>
      <c r="F52" s="28">
        <v>8</v>
      </c>
      <c r="G52" s="25">
        <v>450000</v>
      </c>
      <c r="H52" s="25">
        <f>tblVentes[[#This Row],[Quantite]]*tblVentes[[#This Row],[Prix_Unitaire]]</f>
        <v>3600000</v>
      </c>
      <c r="I52" s="20">
        <f t="shared" ca="1" si="1"/>
        <v>0.17</v>
      </c>
      <c r="J52" s="25">
        <f ca="1">tblVentes[[#This Row],[Chiffre_Affaires]]*(1-tblVentes[[#This Row],[Remise]])</f>
        <v>2988000</v>
      </c>
    </row>
    <row r="53" spans="1:10">
      <c r="A53" s="21" t="s">
        <v>117</v>
      </c>
      <c r="B53" s="20" t="s">
        <v>118</v>
      </c>
      <c r="C53" s="20" t="s">
        <v>12</v>
      </c>
      <c r="D53" s="20" t="s">
        <v>13</v>
      </c>
      <c r="E53" s="20" t="s">
        <v>30</v>
      </c>
      <c r="F53" s="28">
        <v>5</v>
      </c>
      <c r="G53" s="25">
        <v>30000</v>
      </c>
      <c r="H53" s="25">
        <f>tblVentes[[#This Row],[Quantite]]*tblVentes[[#This Row],[Prix_Unitaire]]</f>
        <v>150000</v>
      </c>
      <c r="I53" s="20">
        <f t="shared" ca="1" si="1"/>
        <v>0.1</v>
      </c>
      <c r="J53" s="25">
        <f ca="1">tblVentes[[#This Row],[Chiffre_Affaires]]*(1-tblVentes[[#This Row],[Remise]])</f>
        <v>135000</v>
      </c>
    </row>
    <row r="54" spans="1:10">
      <c r="A54" s="21" t="s">
        <v>119</v>
      </c>
      <c r="B54" s="20" t="s">
        <v>120</v>
      </c>
      <c r="C54" s="20" t="s">
        <v>33</v>
      </c>
      <c r="D54" s="20" t="s">
        <v>13</v>
      </c>
      <c r="E54" s="20" t="s">
        <v>62</v>
      </c>
      <c r="F54" s="28">
        <v>6</v>
      </c>
      <c r="G54" s="25">
        <v>8000</v>
      </c>
      <c r="H54" s="25">
        <f>tblVentes[[#This Row],[Quantite]]*tblVentes[[#This Row],[Prix_Unitaire]]</f>
        <v>48000</v>
      </c>
      <c r="I54" s="20">
        <f t="shared" ca="1" si="1"/>
        <v>0.15</v>
      </c>
      <c r="J54" s="25">
        <f ca="1">tblVentes[[#This Row],[Chiffre_Affaires]]*(1-tblVentes[[#This Row],[Remise]])</f>
        <v>40800</v>
      </c>
    </row>
    <row r="55" spans="1:10">
      <c r="A55" s="21">
        <v>46028</v>
      </c>
      <c r="B55" s="20" t="s">
        <v>121</v>
      </c>
      <c r="C55" s="20" t="s">
        <v>11</v>
      </c>
      <c r="D55" s="20" t="s">
        <v>8</v>
      </c>
      <c r="E55" s="20" t="s">
        <v>62</v>
      </c>
      <c r="F55" s="28">
        <v>5</v>
      </c>
      <c r="G55" s="25">
        <v>25000</v>
      </c>
      <c r="H55" s="25">
        <f>tblVentes[[#This Row],[Quantite]]*tblVentes[[#This Row],[Prix_Unitaire]]</f>
        <v>125000</v>
      </c>
      <c r="I55" s="20">
        <f t="shared" ca="1" si="1"/>
        <v>7.0000000000000007E-2</v>
      </c>
      <c r="J55" s="25">
        <f ca="1">tblVentes[[#This Row],[Chiffre_Affaires]]*(1-tblVentes[[#This Row],[Remise]])</f>
        <v>116249.99999999999</v>
      </c>
    </row>
    <row r="56" spans="1:10">
      <c r="A56" s="21">
        <v>46118</v>
      </c>
      <c r="B56" s="20" t="s">
        <v>122</v>
      </c>
      <c r="C56" s="20" t="s">
        <v>78</v>
      </c>
      <c r="D56" s="20" t="s">
        <v>29</v>
      </c>
      <c r="E56" s="20" t="s">
        <v>36</v>
      </c>
      <c r="F56" s="28">
        <v>1</v>
      </c>
      <c r="G56" s="25">
        <v>25000</v>
      </c>
      <c r="H56" s="25">
        <f>tblVentes[[#This Row],[Quantite]]*tblVentes[[#This Row],[Prix_Unitaire]]</f>
        <v>25000</v>
      </c>
      <c r="I56" s="20">
        <f t="shared" ca="1" si="1"/>
        <v>0.09</v>
      </c>
      <c r="J56" s="25">
        <f ca="1">tblVentes[[#This Row],[Chiffre_Affaires]]*(1-tblVentes[[#This Row],[Remise]])</f>
        <v>22750</v>
      </c>
    </row>
    <row r="57" spans="1:10">
      <c r="A57" s="21">
        <v>46148</v>
      </c>
      <c r="B57" s="20" t="s">
        <v>123</v>
      </c>
      <c r="C57" s="20" t="s">
        <v>24</v>
      </c>
      <c r="D57" s="20" t="s">
        <v>8</v>
      </c>
      <c r="E57" s="20" t="s">
        <v>25</v>
      </c>
      <c r="F57" s="28">
        <v>10</v>
      </c>
      <c r="G57" s="25">
        <v>180000</v>
      </c>
      <c r="H57" s="25">
        <f>tblVentes[[#This Row],[Quantite]]*tblVentes[[#This Row],[Prix_Unitaire]]</f>
        <v>1800000</v>
      </c>
      <c r="I57" s="20">
        <f t="shared" ca="1" si="1"/>
        <v>0.08</v>
      </c>
      <c r="J57" s="25">
        <f ca="1">tblVentes[[#This Row],[Chiffre_Affaires]]*(1-tblVentes[[#This Row],[Remise]])</f>
        <v>1656000</v>
      </c>
    </row>
    <row r="58" spans="1:10">
      <c r="A58" s="21">
        <v>46209</v>
      </c>
      <c r="B58" s="20" t="s">
        <v>124</v>
      </c>
      <c r="C58" s="20" t="s">
        <v>7</v>
      </c>
      <c r="D58" s="20" t="s">
        <v>8</v>
      </c>
      <c r="E58" s="20" t="s">
        <v>43</v>
      </c>
      <c r="F58" s="28">
        <v>7</v>
      </c>
      <c r="G58" s="25">
        <v>450000</v>
      </c>
      <c r="H58" s="25">
        <f>tblVentes[[#This Row],[Quantite]]*tblVentes[[#This Row],[Prix_Unitaire]]</f>
        <v>3150000</v>
      </c>
      <c r="I58" s="20">
        <f t="shared" ca="1" si="1"/>
        <v>0</v>
      </c>
      <c r="J58" s="25">
        <f ca="1">tblVentes[[#This Row],[Chiffre_Affaires]]*(1-tblVentes[[#This Row],[Remise]])</f>
        <v>3150000</v>
      </c>
    </row>
    <row r="59" spans="1:10">
      <c r="A59" s="21">
        <v>46209</v>
      </c>
      <c r="B59" s="20" t="s">
        <v>125</v>
      </c>
      <c r="C59" s="20" t="s">
        <v>24</v>
      </c>
      <c r="D59" s="20" t="s">
        <v>8</v>
      </c>
      <c r="E59" s="20" t="s">
        <v>25</v>
      </c>
      <c r="F59" s="28">
        <v>2</v>
      </c>
      <c r="G59" s="25">
        <v>180000</v>
      </c>
      <c r="H59" s="25">
        <f>tblVentes[[#This Row],[Quantite]]*tblVentes[[#This Row],[Prix_Unitaire]]</f>
        <v>360000</v>
      </c>
      <c r="I59" s="20">
        <f t="shared" ca="1" si="1"/>
        <v>0.01</v>
      </c>
      <c r="J59" s="25">
        <f ca="1">tblVentes[[#This Row],[Chiffre_Affaires]]*(1-tblVentes[[#This Row],[Remise]])</f>
        <v>356400</v>
      </c>
    </row>
    <row r="60" spans="1:10">
      <c r="A60" s="21">
        <v>46240</v>
      </c>
      <c r="B60" s="20" t="s">
        <v>126</v>
      </c>
      <c r="C60" s="20" t="s">
        <v>10</v>
      </c>
      <c r="D60" s="20" t="s">
        <v>8</v>
      </c>
      <c r="E60" s="20" t="s">
        <v>36</v>
      </c>
      <c r="F60" s="28">
        <v>5</v>
      </c>
      <c r="G60" s="25">
        <v>15000</v>
      </c>
      <c r="H60" s="25">
        <f>tblVentes[[#This Row],[Quantite]]*tblVentes[[#This Row],[Prix_Unitaire]]</f>
        <v>75000</v>
      </c>
      <c r="I60" s="20">
        <f t="shared" ca="1" si="1"/>
        <v>0</v>
      </c>
      <c r="J60" s="25">
        <f ca="1">tblVentes[[#This Row],[Chiffre_Affaires]]*(1-tblVentes[[#This Row],[Remise]])</f>
        <v>75000</v>
      </c>
    </row>
    <row r="61" spans="1:10">
      <c r="A61" s="21">
        <v>46271</v>
      </c>
      <c r="B61" s="20" t="s">
        <v>127</v>
      </c>
      <c r="C61" s="20" t="s">
        <v>73</v>
      </c>
      <c r="D61" s="20" t="s">
        <v>29</v>
      </c>
      <c r="E61" s="20" t="s">
        <v>48</v>
      </c>
      <c r="F61" s="28">
        <v>9</v>
      </c>
      <c r="G61" s="25">
        <v>350000</v>
      </c>
      <c r="H61" s="25">
        <f>tblVentes[[#This Row],[Quantite]]*tblVentes[[#This Row],[Prix_Unitaire]]</f>
        <v>3150000</v>
      </c>
      <c r="I61" s="20">
        <f t="shared" ca="1" si="1"/>
        <v>0.03</v>
      </c>
      <c r="J61" s="25">
        <f ca="1">tblVentes[[#This Row],[Chiffre_Affaires]]*(1-tblVentes[[#This Row],[Remise]])</f>
        <v>3055500</v>
      </c>
    </row>
    <row r="62" spans="1:10">
      <c r="A62" s="21">
        <v>46301</v>
      </c>
      <c r="B62" s="20" t="s">
        <v>128</v>
      </c>
      <c r="C62" s="20" t="s">
        <v>73</v>
      </c>
      <c r="D62" s="20" t="s">
        <v>29</v>
      </c>
      <c r="E62" s="20" t="s">
        <v>34</v>
      </c>
      <c r="F62" s="28">
        <v>2</v>
      </c>
      <c r="G62" s="25">
        <v>350000</v>
      </c>
      <c r="H62" s="25">
        <f>tblVentes[[#This Row],[Quantite]]*tblVentes[[#This Row],[Prix_Unitaire]]</f>
        <v>700000</v>
      </c>
      <c r="I62" s="20">
        <f t="shared" ca="1" si="1"/>
        <v>0.1</v>
      </c>
      <c r="J62" s="25">
        <f ca="1">tblVentes[[#This Row],[Chiffre_Affaires]]*(1-tblVentes[[#This Row],[Remise]])</f>
        <v>630000</v>
      </c>
    </row>
    <row r="63" spans="1:10">
      <c r="A63" s="21">
        <v>46301</v>
      </c>
      <c r="B63" s="20" t="s">
        <v>129</v>
      </c>
      <c r="C63" s="20" t="s">
        <v>15</v>
      </c>
      <c r="D63" s="20" t="s">
        <v>13</v>
      </c>
      <c r="E63" s="20" t="s">
        <v>25</v>
      </c>
      <c r="F63" s="28">
        <v>8</v>
      </c>
      <c r="G63" s="25">
        <v>18000</v>
      </c>
      <c r="H63" s="25">
        <f>tblVentes[[#This Row],[Quantite]]*tblVentes[[#This Row],[Prix_Unitaire]]</f>
        <v>144000</v>
      </c>
      <c r="I63" s="20">
        <f t="shared" ca="1" si="1"/>
        <v>0.12</v>
      </c>
      <c r="J63" s="25">
        <f ca="1">tblVentes[[#This Row],[Chiffre_Affaires]]*(1-tblVentes[[#This Row],[Remise]])</f>
        <v>126720</v>
      </c>
    </row>
    <row r="64" spans="1:10">
      <c r="A64" s="21">
        <v>46362</v>
      </c>
      <c r="B64" s="20" t="s">
        <v>130</v>
      </c>
      <c r="C64" s="20" t="s">
        <v>11</v>
      </c>
      <c r="D64" s="20" t="s">
        <v>8</v>
      </c>
      <c r="E64" s="20" t="s">
        <v>43</v>
      </c>
      <c r="F64" s="28">
        <v>7</v>
      </c>
      <c r="G64" s="25">
        <v>25000</v>
      </c>
      <c r="H64" s="25">
        <f>tblVentes[[#This Row],[Quantite]]*tblVentes[[#This Row],[Prix_Unitaire]]</f>
        <v>175000</v>
      </c>
      <c r="I64" s="20">
        <f t="shared" ca="1" si="1"/>
        <v>0.12</v>
      </c>
      <c r="J64" s="25">
        <f ca="1">tblVentes[[#This Row],[Chiffre_Affaires]]*(1-tblVentes[[#This Row],[Remise]])</f>
        <v>154000</v>
      </c>
    </row>
    <row r="65" spans="1:10">
      <c r="A65" s="21" t="s">
        <v>131</v>
      </c>
      <c r="B65" s="20" t="s">
        <v>132</v>
      </c>
      <c r="C65" s="20" t="s">
        <v>11</v>
      </c>
      <c r="D65" s="20" t="s">
        <v>8</v>
      </c>
      <c r="E65" s="20" t="s">
        <v>34</v>
      </c>
      <c r="F65" s="28">
        <v>2</v>
      </c>
      <c r="G65" s="25">
        <v>25000</v>
      </c>
      <c r="H65" s="25">
        <f>tblVentes[[#This Row],[Quantite]]*tblVentes[[#This Row],[Prix_Unitaire]]</f>
        <v>50000</v>
      </c>
      <c r="I65" s="20">
        <f t="shared" ca="1" si="1"/>
        <v>0.18</v>
      </c>
      <c r="J65" s="25">
        <f ca="1">tblVentes[[#This Row],[Chiffre_Affaires]]*(1-tblVentes[[#This Row],[Remise]])</f>
        <v>41000</v>
      </c>
    </row>
    <row r="66" spans="1:10">
      <c r="A66" s="21" t="s">
        <v>133</v>
      </c>
      <c r="B66" s="20" t="s">
        <v>134</v>
      </c>
      <c r="C66" s="20" t="s">
        <v>12</v>
      </c>
      <c r="D66" s="20" t="s">
        <v>13</v>
      </c>
      <c r="E66" s="20" t="s">
        <v>62</v>
      </c>
      <c r="F66" s="28">
        <v>5</v>
      </c>
      <c r="G66" s="25">
        <v>30000</v>
      </c>
      <c r="H66" s="25">
        <f>tblVentes[[#This Row],[Quantite]]*tblVentes[[#This Row],[Prix_Unitaire]]</f>
        <v>150000</v>
      </c>
      <c r="I66" s="20">
        <f t="shared" ref="I66:I101" ca="1" si="2">RANDBETWEEN(0,20)/100</f>
        <v>0.11</v>
      </c>
      <c r="J66" s="25">
        <f ca="1">tblVentes[[#This Row],[Chiffre_Affaires]]*(1-tblVentes[[#This Row],[Remise]])</f>
        <v>133500</v>
      </c>
    </row>
    <row r="67" spans="1:10">
      <c r="A67" s="21" t="s">
        <v>135</v>
      </c>
      <c r="B67" s="20" t="s">
        <v>136</v>
      </c>
      <c r="C67" s="20" t="s">
        <v>70</v>
      </c>
      <c r="D67" s="20" t="s">
        <v>8</v>
      </c>
      <c r="E67" s="20" t="s">
        <v>62</v>
      </c>
      <c r="F67" s="28">
        <v>1</v>
      </c>
      <c r="G67" s="25">
        <v>120000</v>
      </c>
      <c r="H67" s="25">
        <f>tblVentes[[#This Row],[Quantite]]*tblVentes[[#This Row],[Prix_Unitaire]]</f>
        <v>120000</v>
      </c>
      <c r="I67" s="20">
        <f t="shared" ca="1" si="2"/>
        <v>0.09</v>
      </c>
      <c r="J67" s="25">
        <f ca="1">tblVentes[[#This Row],[Chiffre_Affaires]]*(1-tblVentes[[#This Row],[Remise]])</f>
        <v>109200</v>
      </c>
    </row>
    <row r="68" spans="1:10">
      <c r="A68" s="21" t="s">
        <v>137</v>
      </c>
      <c r="B68" s="20" t="s">
        <v>138</v>
      </c>
      <c r="C68" s="20" t="s">
        <v>11</v>
      </c>
      <c r="D68" s="20" t="s">
        <v>8</v>
      </c>
      <c r="E68" s="20" t="s">
        <v>43</v>
      </c>
      <c r="F68" s="28">
        <v>4</v>
      </c>
      <c r="G68" s="25">
        <v>25000</v>
      </c>
      <c r="H68" s="25">
        <f>tblVentes[[#This Row],[Quantite]]*tblVentes[[#This Row],[Prix_Unitaire]]</f>
        <v>100000</v>
      </c>
      <c r="I68" s="20">
        <f t="shared" ca="1" si="2"/>
        <v>0</v>
      </c>
      <c r="J68" s="25">
        <f ca="1">tblVentes[[#This Row],[Chiffre_Affaires]]*(1-tblVentes[[#This Row],[Remise]])</f>
        <v>100000</v>
      </c>
    </row>
    <row r="69" spans="1:10">
      <c r="A69" s="21" t="s">
        <v>139</v>
      </c>
      <c r="B69" s="20" t="s">
        <v>140</v>
      </c>
      <c r="C69" s="20" t="s">
        <v>65</v>
      </c>
      <c r="D69" s="20" t="s">
        <v>8</v>
      </c>
      <c r="E69" s="20" t="s">
        <v>54</v>
      </c>
      <c r="F69" s="28">
        <v>3</v>
      </c>
      <c r="G69" s="25">
        <v>45000</v>
      </c>
      <c r="H69" s="25">
        <f>tblVentes[[#This Row],[Quantite]]*tblVentes[[#This Row],[Prix_Unitaire]]</f>
        <v>135000</v>
      </c>
      <c r="I69" s="20">
        <f t="shared" ca="1" si="2"/>
        <v>0.2</v>
      </c>
      <c r="J69" s="25">
        <f ca="1">tblVentes[[#This Row],[Chiffre_Affaires]]*(1-tblVentes[[#This Row],[Remise]])</f>
        <v>108000</v>
      </c>
    </row>
    <row r="70" spans="1:10">
      <c r="A70" s="21" t="s">
        <v>139</v>
      </c>
      <c r="B70" s="20" t="s">
        <v>141</v>
      </c>
      <c r="C70" s="20" t="s">
        <v>39</v>
      </c>
      <c r="D70" s="20" t="s">
        <v>8</v>
      </c>
      <c r="E70" s="20" t="s">
        <v>54</v>
      </c>
      <c r="F70" s="28">
        <v>10</v>
      </c>
      <c r="G70" s="25">
        <v>22000</v>
      </c>
      <c r="H70" s="25">
        <f>tblVentes[[#This Row],[Quantite]]*tblVentes[[#This Row],[Prix_Unitaire]]</f>
        <v>220000</v>
      </c>
      <c r="I70" s="20">
        <f t="shared" ca="1" si="2"/>
        <v>0.16</v>
      </c>
      <c r="J70" s="25">
        <f ca="1">tblVentes[[#This Row],[Chiffre_Affaires]]*(1-tblVentes[[#This Row],[Remise]])</f>
        <v>184800</v>
      </c>
    </row>
    <row r="71" spans="1:10">
      <c r="A71" s="21" t="s">
        <v>142</v>
      </c>
      <c r="B71" s="20" t="s">
        <v>143</v>
      </c>
      <c r="C71" s="20" t="s">
        <v>144</v>
      </c>
      <c r="D71" s="20" t="s">
        <v>29</v>
      </c>
      <c r="E71" s="20" t="s">
        <v>62</v>
      </c>
      <c r="F71" s="28">
        <v>7</v>
      </c>
      <c r="G71" s="25">
        <v>220000</v>
      </c>
      <c r="H71" s="25">
        <f>tblVentes[[#This Row],[Quantite]]*tblVentes[[#This Row],[Prix_Unitaire]]</f>
        <v>1540000</v>
      </c>
      <c r="I71" s="20">
        <f t="shared" ca="1" si="2"/>
        <v>0.08</v>
      </c>
      <c r="J71" s="25">
        <f ca="1">tblVentes[[#This Row],[Chiffre_Affaires]]*(1-tblVentes[[#This Row],[Remise]])</f>
        <v>1416800</v>
      </c>
    </row>
    <row r="72" spans="1:10">
      <c r="A72" s="21" t="s">
        <v>145</v>
      </c>
      <c r="B72" s="20" t="s">
        <v>146</v>
      </c>
      <c r="C72" s="20" t="s">
        <v>11</v>
      </c>
      <c r="D72" s="20" t="s">
        <v>8</v>
      </c>
      <c r="E72" s="20" t="s">
        <v>25</v>
      </c>
      <c r="F72" s="28">
        <v>4</v>
      </c>
      <c r="G72" s="25">
        <v>25000</v>
      </c>
      <c r="H72" s="25">
        <f>tblVentes[[#This Row],[Quantite]]*tblVentes[[#This Row],[Prix_Unitaire]]</f>
        <v>100000</v>
      </c>
      <c r="I72" s="20">
        <f t="shared" ca="1" si="2"/>
        <v>0</v>
      </c>
      <c r="J72" s="25">
        <f ca="1">tblVentes[[#This Row],[Chiffre_Affaires]]*(1-tblVentes[[#This Row],[Remise]])</f>
        <v>100000</v>
      </c>
    </row>
    <row r="73" spans="1:10">
      <c r="A73" s="21" t="s">
        <v>147</v>
      </c>
      <c r="B73" s="20" t="s">
        <v>148</v>
      </c>
      <c r="C73" s="20" t="s">
        <v>106</v>
      </c>
      <c r="D73" s="20" t="s">
        <v>29</v>
      </c>
      <c r="E73" s="20" t="s">
        <v>40</v>
      </c>
      <c r="F73" s="28">
        <v>10</v>
      </c>
      <c r="G73" s="25">
        <v>45000</v>
      </c>
      <c r="H73" s="25">
        <f>tblVentes[[#This Row],[Quantite]]*tblVentes[[#This Row],[Prix_Unitaire]]</f>
        <v>450000</v>
      </c>
      <c r="I73" s="20">
        <f t="shared" ca="1" si="2"/>
        <v>0.09</v>
      </c>
      <c r="J73" s="25">
        <f ca="1">tblVentes[[#This Row],[Chiffre_Affaires]]*(1-tblVentes[[#This Row],[Remise]])</f>
        <v>409500</v>
      </c>
    </row>
    <row r="74" spans="1:10">
      <c r="A74" s="21">
        <v>46029</v>
      </c>
      <c r="B74" s="20" t="s">
        <v>149</v>
      </c>
      <c r="C74" s="20" t="s">
        <v>11</v>
      </c>
      <c r="D74" s="20" t="s">
        <v>8</v>
      </c>
      <c r="E74" s="20" t="s">
        <v>43</v>
      </c>
      <c r="F74" s="28">
        <v>4</v>
      </c>
      <c r="G74" s="25">
        <v>25000</v>
      </c>
      <c r="H74" s="25">
        <f>tblVentes[[#This Row],[Quantite]]*tblVentes[[#This Row],[Prix_Unitaire]]</f>
        <v>100000</v>
      </c>
      <c r="I74" s="20">
        <f t="shared" ca="1" si="2"/>
        <v>0.04</v>
      </c>
      <c r="J74" s="25">
        <f ca="1">tblVentes[[#This Row],[Chiffre_Affaires]]*(1-tblVentes[[#This Row],[Remise]])</f>
        <v>96000</v>
      </c>
    </row>
    <row r="75" spans="1:10">
      <c r="A75" s="21">
        <v>46088</v>
      </c>
      <c r="B75" s="20" t="s">
        <v>150</v>
      </c>
      <c r="C75" s="20" t="s">
        <v>11</v>
      </c>
      <c r="D75" s="20" t="s">
        <v>8</v>
      </c>
      <c r="E75" s="20" t="s">
        <v>48</v>
      </c>
      <c r="F75" s="28">
        <v>6</v>
      </c>
      <c r="G75" s="25">
        <v>25000</v>
      </c>
      <c r="H75" s="25">
        <f>tblVentes[[#This Row],[Quantite]]*tblVentes[[#This Row],[Prix_Unitaire]]</f>
        <v>150000</v>
      </c>
      <c r="I75" s="20">
        <f t="shared" ca="1" si="2"/>
        <v>0.01</v>
      </c>
      <c r="J75" s="25">
        <f ca="1">tblVentes[[#This Row],[Chiffre_Affaires]]*(1-tblVentes[[#This Row],[Remise]])</f>
        <v>148500</v>
      </c>
    </row>
    <row r="76" spans="1:10">
      <c r="A76" s="21">
        <v>46088</v>
      </c>
      <c r="B76" s="20" t="s">
        <v>151</v>
      </c>
      <c r="C76" s="20" t="s">
        <v>70</v>
      </c>
      <c r="D76" s="20" t="s">
        <v>8</v>
      </c>
      <c r="E76" s="20" t="s">
        <v>51</v>
      </c>
      <c r="F76" s="28">
        <v>7</v>
      </c>
      <c r="G76" s="25">
        <v>120000</v>
      </c>
      <c r="H76" s="25">
        <f>tblVentes[[#This Row],[Quantite]]*tblVentes[[#This Row],[Prix_Unitaire]]</f>
        <v>840000</v>
      </c>
      <c r="I76" s="20">
        <f t="shared" ca="1" si="2"/>
        <v>0.15</v>
      </c>
      <c r="J76" s="25">
        <f ca="1">tblVentes[[#This Row],[Chiffre_Affaires]]*(1-tblVentes[[#This Row],[Remise]])</f>
        <v>714000</v>
      </c>
    </row>
    <row r="77" spans="1:10">
      <c r="A77" s="21">
        <v>46088</v>
      </c>
      <c r="B77" s="20" t="s">
        <v>152</v>
      </c>
      <c r="C77" s="20" t="s">
        <v>70</v>
      </c>
      <c r="D77" s="20" t="s">
        <v>8</v>
      </c>
      <c r="E77" s="20" t="s">
        <v>40</v>
      </c>
      <c r="F77" s="28">
        <v>5</v>
      </c>
      <c r="G77" s="25">
        <v>120000</v>
      </c>
      <c r="H77" s="25">
        <f>tblVentes[[#This Row],[Quantite]]*tblVentes[[#This Row],[Prix_Unitaire]]</f>
        <v>600000</v>
      </c>
      <c r="I77" s="20">
        <f t="shared" ca="1" si="2"/>
        <v>0.02</v>
      </c>
      <c r="J77" s="25">
        <f ca="1">tblVentes[[#This Row],[Chiffre_Affaires]]*(1-tblVentes[[#This Row],[Remise]])</f>
        <v>588000</v>
      </c>
    </row>
    <row r="78" spans="1:10">
      <c r="A78" s="21">
        <v>46149</v>
      </c>
      <c r="B78" s="20" t="s">
        <v>153</v>
      </c>
      <c r="C78" s="20" t="s">
        <v>78</v>
      </c>
      <c r="D78" s="20" t="s">
        <v>29</v>
      </c>
      <c r="E78" s="20" t="s">
        <v>40</v>
      </c>
      <c r="F78" s="28">
        <v>7</v>
      </c>
      <c r="G78" s="25">
        <v>25000</v>
      </c>
      <c r="H78" s="25">
        <f>tblVentes[[#This Row],[Quantite]]*tblVentes[[#This Row],[Prix_Unitaire]]</f>
        <v>175000</v>
      </c>
      <c r="I78" s="20">
        <f t="shared" ca="1" si="2"/>
        <v>0.19</v>
      </c>
      <c r="J78" s="25">
        <f ca="1">tblVentes[[#This Row],[Chiffre_Affaires]]*(1-tblVentes[[#This Row],[Remise]])</f>
        <v>141750</v>
      </c>
    </row>
    <row r="79" spans="1:10">
      <c r="A79" s="21">
        <v>46180</v>
      </c>
      <c r="B79" s="20" t="s">
        <v>154</v>
      </c>
      <c r="C79" s="20" t="s">
        <v>70</v>
      </c>
      <c r="D79" s="20" t="s">
        <v>8</v>
      </c>
      <c r="E79" s="20" t="s">
        <v>25</v>
      </c>
      <c r="F79" s="28">
        <v>10</v>
      </c>
      <c r="G79" s="25">
        <v>120000</v>
      </c>
      <c r="H79" s="25">
        <f>tblVentes[[#This Row],[Quantite]]*tblVentes[[#This Row],[Prix_Unitaire]]</f>
        <v>1200000</v>
      </c>
      <c r="I79" s="20">
        <f t="shared" ca="1" si="2"/>
        <v>0.16</v>
      </c>
      <c r="J79" s="25">
        <f ca="1">tblVentes[[#This Row],[Chiffre_Affaires]]*(1-tblVentes[[#This Row],[Remise]])</f>
        <v>1008000</v>
      </c>
    </row>
    <row r="80" spans="1:10">
      <c r="A80" s="21">
        <v>46302</v>
      </c>
      <c r="B80" s="20" t="s">
        <v>155</v>
      </c>
      <c r="C80" s="20" t="s">
        <v>39</v>
      </c>
      <c r="D80" s="20" t="s">
        <v>8</v>
      </c>
      <c r="E80" s="20" t="s">
        <v>30</v>
      </c>
      <c r="F80" s="28">
        <v>3</v>
      </c>
      <c r="G80" s="25">
        <v>22000</v>
      </c>
      <c r="H80" s="25">
        <f>tblVentes[[#This Row],[Quantite]]*tblVentes[[#This Row],[Prix_Unitaire]]</f>
        <v>66000</v>
      </c>
      <c r="I80" s="20">
        <f t="shared" ca="1" si="2"/>
        <v>0.06</v>
      </c>
      <c r="J80" s="25">
        <f ca="1">tblVentes[[#This Row],[Chiffre_Affaires]]*(1-tblVentes[[#This Row],[Remise]])</f>
        <v>62040</v>
      </c>
    </row>
    <row r="81" spans="1:10">
      <c r="A81" s="21">
        <v>46302</v>
      </c>
      <c r="B81" s="20" t="s">
        <v>156</v>
      </c>
      <c r="C81" s="20" t="s">
        <v>78</v>
      </c>
      <c r="D81" s="20" t="s">
        <v>29</v>
      </c>
      <c r="E81" s="20" t="s">
        <v>40</v>
      </c>
      <c r="F81" s="28">
        <v>6</v>
      </c>
      <c r="G81" s="25">
        <v>25000</v>
      </c>
      <c r="H81" s="25">
        <f>tblVentes[[#This Row],[Quantite]]*tblVentes[[#This Row],[Prix_Unitaire]]</f>
        <v>150000</v>
      </c>
      <c r="I81" s="20">
        <f t="shared" ca="1" si="2"/>
        <v>7.0000000000000007E-2</v>
      </c>
      <c r="J81" s="25">
        <f ca="1">tblVentes[[#This Row],[Chiffre_Affaires]]*(1-tblVentes[[#This Row],[Remise]])</f>
        <v>139500</v>
      </c>
    </row>
    <row r="82" spans="1:10">
      <c r="A82" s="21">
        <v>46333</v>
      </c>
      <c r="B82" s="20" t="s">
        <v>157</v>
      </c>
      <c r="C82" s="20" t="s">
        <v>10</v>
      </c>
      <c r="D82" s="20" t="s">
        <v>8</v>
      </c>
      <c r="E82" s="20" t="s">
        <v>36</v>
      </c>
      <c r="F82" s="28">
        <v>10</v>
      </c>
      <c r="G82" s="25">
        <v>15000</v>
      </c>
      <c r="H82" s="25">
        <f>tblVentes[[#This Row],[Quantite]]*tblVentes[[#This Row],[Prix_Unitaire]]</f>
        <v>150000</v>
      </c>
      <c r="I82" s="20">
        <f t="shared" ca="1" si="2"/>
        <v>0.02</v>
      </c>
      <c r="J82" s="25">
        <f ca="1">tblVentes[[#This Row],[Chiffre_Affaires]]*(1-tblVentes[[#This Row],[Remise]])</f>
        <v>147000</v>
      </c>
    </row>
    <row r="83" spans="1:10">
      <c r="A83" s="21" t="s">
        <v>158</v>
      </c>
      <c r="B83" s="20" t="s">
        <v>159</v>
      </c>
      <c r="C83" s="20" t="s">
        <v>12</v>
      </c>
      <c r="D83" s="20" t="s">
        <v>13</v>
      </c>
      <c r="E83" s="20" t="s">
        <v>40</v>
      </c>
      <c r="F83" s="28">
        <v>9</v>
      </c>
      <c r="G83" s="25">
        <v>30000</v>
      </c>
      <c r="H83" s="25">
        <f>tblVentes[[#This Row],[Quantite]]*tblVentes[[#This Row],[Prix_Unitaire]]</f>
        <v>270000</v>
      </c>
      <c r="I83" s="20">
        <f t="shared" ca="1" si="2"/>
        <v>0.2</v>
      </c>
      <c r="J83" s="25">
        <f ca="1">tblVentes[[#This Row],[Chiffre_Affaires]]*(1-tblVentes[[#This Row],[Remise]])</f>
        <v>216000</v>
      </c>
    </row>
    <row r="84" spans="1:10">
      <c r="A84" s="21" t="s">
        <v>160</v>
      </c>
      <c r="B84" s="20" t="s">
        <v>161</v>
      </c>
      <c r="C84" s="20" t="s">
        <v>28</v>
      </c>
      <c r="D84" s="20" t="s">
        <v>29</v>
      </c>
      <c r="E84" s="20" t="s">
        <v>54</v>
      </c>
      <c r="F84" s="28">
        <v>6</v>
      </c>
      <c r="G84" s="25">
        <v>90000</v>
      </c>
      <c r="H84" s="25">
        <f>tblVentes[[#This Row],[Quantite]]*tblVentes[[#This Row],[Prix_Unitaire]]</f>
        <v>540000</v>
      </c>
      <c r="I84" s="20">
        <f t="shared" ca="1" si="2"/>
        <v>0.05</v>
      </c>
      <c r="J84" s="25">
        <f ca="1">tblVentes[[#This Row],[Chiffre_Affaires]]*(1-tblVentes[[#This Row],[Remise]])</f>
        <v>513000</v>
      </c>
    </row>
    <row r="85" spans="1:10">
      <c r="A85" s="21" t="s">
        <v>160</v>
      </c>
      <c r="B85" s="20" t="s">
        <v>162</v>
      </c>
      <c r="C85" s="20" t="s">
        <v>73</v>
      </c>
      <c r="D85" s="20" t="s">
        <v>29</v>
      </c>
      <c r="E85" s="20" t="s">
        <v>34</v>
      </c>
      <c r="F85" s="28">
        <v>7</v>
      </c>
      <c r="G85" s="25">
        <v>350000</v>
      </c>
      <c r="H85" s="25">
        <f>tblVentes[[#This Row],[Quantite]]*tblVentes[[#This Row],[Prix_Unitaire]]</f>
        <v>2450000</v>
      </c>
      <c r="I85" s="20">
        <f t="shared" ca="1" si="2"/>
        <v>0.16</v>
      </c>
      <c r="J85" s="25">
        <f ca="1">tblVentes[[#This Row],[Chiffre_Affaires]]*(1-tblVentes[[#This Row],[Remise]])</f>
        <v>2058000</v>
      </c>
    </row>
    <row r="86" spans="1:10">
      <c r="A86" s="21" t="s">
        <v>163</v>
      </c>
      <c r="B86" s="20" t="s">
        <v>164</v>
      </c>
      <c r="C86" s="20" t="s">
        <v>11</v>
      </c>
      <c r="D86" s="20" t="s">
        <v>8</v>
      </c>
      <c r="E86" s="20" t="s">
        <v>34</v>
      </c>
      <c r="F86" s="28">
        <v>3</v>
      </c>
      <c r="G86" s="25">
        <v>25000</v>
      </c>
      <c r="H86" s="25">
        <f>tblVentes[[#This Row],[Quantite]]*tblVentes[[#This Row],[Prix_Unitaire]]</f>
        <v>75000</v>
      </c>
      <c r="I86" s="20">
        <f t="shared" ca="1" si="2"/>
        <v>0.05</v>
      </c>
      <c r="J86" s="25">
        <f ca="1">tblVentes[[#This Row],[Chiffre_Affaires]]*(1-tblVentes[[#This Row],[Remise]])</f>
        <v>71250</v>
      </c>
    </row>
    <row r="87" spans="1:10">
      <c r="A87" s="21" t="s">
        <v>165</v>
      </c>
      <c r="B87" s="20" t="s">
        <v>166</v>
      </c>
      <c r="C87" s="20" t="s">
        <v>73</v>
      </c>
      <c r="D87" s="20" t="s">
        <v>29</v>
      </c>
      <c r="E87" s="20" t="s">
        <v>25</v>
      </c>
      <c r="F87" s="28">
        <v>2</v>
      </c>
      <c r="G87" s="25">
        <v>350000</v>
      </c>
      <c r="H87" s="25">
        <f>tblVentes[[#This Row],[Quantite]]*tblVentes[[#This Row],[Prix_Unitaire]]</f>
        <v>700000</v>
      </c>
      <c r="I87" s="20">
        <f t="shared" ca="1" si="2"/>
        <v>0</v>
      </c>
      <c r="J87" s="25">
        <f ca="1">tblVentes[[#This Row],[Chiffre_Affaires]]*(1-tblVentes[[#This Row],[Remise]])</f>
        <v>700000</v>
      </c>
    </row>
    <row r="88" spans="1:10">
      <c r="A88" s="21" t="s">
        <v>167</v>
      </c>
      <c r="B88" s="20" t="s">
        <v>168</v>
      </c>
      <c r="C88" s="20" t="s">
        <v>11</v>
      </c>
      <c r="D88" s="20" t="s">
        <v>8</v>
      </c>
      <c r="E88" s="20" t="s">
        <v>62</v>
      </c>
      <c r="F88" s="28">
        <v>8</v>
      </c>
      <c r="G88" s="25">
        <v>25000</v>
      </c>
      <c r="H88" s="25">
        <f>tblVentes[[#This Row],[Quantite]]*tblVentes[[#This Row],[Prix_Unitaire]]</f>
        <v>200000</v>
      </c>
      <c r="I88" s="20">
        <f t="shared" ca="1" si="2"/>
        <v>0.01</v>
      </c>
      <c r="J88" s="25">
        <f ca="1">tblVentes[[#This Row],[Chiffre_Affaires]]*(1-tblVentes[[#This Row],[Remise]])</f>
        <v>198000</v>
      </c>
    </row>
    <row r="89" spans="1:10">
      <c r="A89" s="21" t="s">
        <v>169</v>
      </c>
      <c r="B89" s="20" t="s">
        <v>170</v>
      </c>
      <c r="C89" s="20" t="s">
        <v>12</v>
      </c>
      <c r="D89" s="20" t="s">
        <v>13</v>
      </c>
      <c r="E89" s="20" t="s">
        <v>48</v>
      </c>
      <c r="F89" s="28">
        <v>4</v>
      </c>
      <c r="G89" s="25">
        <v>30000</v>
      </c>
      <c r="H89" s="25">
        <f>tblVentes[[#This Row],[Quantite]]*tblVentes[[#This Row],[Prix_Unitaire]]</f>
        <v>120000</v>
      </c>
      <c r="I89" s="20">
        <f t="shared" ca="1" si="2"/>
        <v>7.0000000000000007E-2</v>
      </c>
      <c r="J89" s="25">
        <f ca="1">tblVentes[[#This Row],[Chiffre_Affaires]]*(1-tblVentes[[#This Row],[Remise]])</f>
        <v>111599.99999999999</v>
      </c>
    </row>
    <row r="90" spans="1:10">
      <c r="A90" s="21" t="s">
        <v>169</v>
      </c>
      <c r="B90" s="20" t="s">
        <v>171</v>
      </c>
      <c r="C90" s="20" t="s">
        <v>78</v>
      </c>
      <c r="D90" s="20" t="s">
        <v>29</v>
      </c>
      <c r="E90" s="20" t="s">
        <v>36</v>
      </c>
      <c r="F90" s="28">
        <v>1</v>
      </c>
      <c r="G90" s="25">
        <v>25000</v>
      </c>
      <c r="H90" s="25">
        <f>tblVentes[[#This Row],[Quantite]]*tblVentes[[#This Row],[Prix_Unitaire]]</f>
        <v>25000</v>
      </c>
      <c r="I90" s="20">
        <f t="shared" ca="1" si="2"/>
        <v>0.09</v>
      </c>
      <c r="J90" s="25">
        <f ca="1">tblVentes[[#This Row],[Chiffre_Affaires]]*(1-tblVentes[[#This Row],[Remise]])</f>
        <v>22750</v>
      </c>
    </row>
    <row r="91" spans="1:10">
      <c r="A91" s="21" t="s">
        <v>172</v>
      </c>
      <c r="B91" s="20" t="s">
        <v>173</v>
      </c>
      <c r="C91" s="20" t="s">
        <v>12</v>
      </c>
      <c r="D91" s="20" t="s">
        <v>13</v>
      </c>
      <c r="E91" s="20" t="s">
        <v>51</v>
      </c>
      <c r="F91" s="28">
        <v>9</v>
      </c>
      <c r="G91" s="25">
        <v>30000</v>
      </c>
      <c r="H91" s="25">
        <f>tblVentes[[#This Row],[Quantite]]*tblVentes[[#This Row],[Prix_Unitaire]]</f>
        <v>270000</v>
      </c>
      <c r="I91" s="20">
        <f t="shared" ca="1" si="2"/>
        <v>0.03</v>
      </c>
      <c r="J91" s="25">
        <f ca="1">tblVentes[[#This Row],[Chiffre_Affaires]]*(1-tblVentes[[#This Row],[Remise]])</f>
        <v>261900</v>
      </c>
    </row>
    <row r="92" spans="1:10">
      <c r="A92" s="21" t="s">
        <v>174</v>
      </c>
      <c r="B92" s="20" t="s">
        <v>175</v>
      </c>
      <c r="C92" s="20" t="s">
        <v>24</v>
      </c>
      <c r="D92" s="20" t="s">
        <v>8</v>
      </c>
      <c r="E92" s="20" t="s">
        <v>34</v>
      </c>
      <c r="F92" s="28">
        <v>8</v>
      </c>
      <c r="G92" s="25">
        <v>180000</v>
      </c>
      <c r="H92" s="25">
        <f>tblVentes[[#This Row],[Quantite]]*tblVentes[[#This Row],[Prix_Unitaire]]</f>
        <v>1440000</v>
      </c>
      <c r="I92" s="20">
        <f t="shared" ca="1" si="2"/>
        <v>0.04</v>
      </c>
      <c r="J92" s="25">
        <f ca="1">tblVentes[[#This Row],[Chiffre_Affaires]]*(1-tblVentes[[#This Row],[Remise]])</f>
        <v>1382400</v>
      </c>
    </row>
    <row r="93" spans="1:10">
      <c r="A93" s="21" t="s">
        <v>176</v>
      </c>
      <c r="B93" s="20" t="s">
        <v>177</v>
      </c>
      <c r="C93" s="20" t="s">
        <v>11</v>
      </c>
      <c r="D93" s="20" t="s">
        <v>8</v>
      </c>
      <c r="E93" s="20" t="s">
        <v>34</v>
      </c>
      <c r="F93" s="28">
        <v>2</v>
      </c>
      <c r="G93" s="25">
        <v>25000</v>
      </c>
      <c r="H93" s="25">
        <f>tblVentes[[#This Row],[Quantite]]*tblVentes[[#This Row],[Prix_Unitaire]]</f>
        <v>50000</v>
      </c>
      <c r="I93" s="20">
        <f t="shared" ca="1" si="2"/>
        <v>0.08</v>
      </c>
      <c r="J93" s="25">
        <f ca="1">tblVentes[[#This Row],[Chiffre_Affaires]]*(1-tblVentes[[#This Row],[Remise]])</f>
        <v>46000</v>
      </c>
    </row>
    <row r="94" spans="1:10">
      <c r="A94" s="21">
        <v>46061</v>
      </c>
      <c r="B94" s="20" t="s">
        <v>178</v>
      </c>
      <c r="C94" s="20" t="s">
        <v>11</v>
      </c>
      <c r="D94" s="20" t="s">
        <v>8</v>
      </c>
      <c r="E94" s="20" t="s">
        <v>30</v>
      </c>
      <c r="F94" s="28">
        <v>6</v>
      </c>
      <c r="G94" s="25">
        <v>25000</v>
      </c>
      <c r="H94" s="25">
        <f>tblVentes[[#This Row],[Quantite]]*tblVentes[[#This Row],[Prix_Unitaire]]</f>
        <v>150000</v>
      </c>
      <c r="I94" s="20">
        <f t="shared" ca="1" si="2"/>
        <v>0.01</v>
      </c>
      <c r="J94" s="25">
        <f ca="1">tblVentes[[#This Row],[Chiffre_Affaires]]*(1-tblVentes[[#This Row],[Remise]])</f>
        <v>148500</v>
      </c>
    </row>
    <row r="95" spans="1:10">
      <c r="A95" s="21">
        <v>46089</v>
      </c>
      <c r="B95" s="20" t="s">
        <v>179</v>
      </c>
      <c r="C95" s="20" t="s">
        <v>65</v>
      </c>
      <c r="D95" s="20" t="s">
        <v>8</v>
      </c>
      <c r="E95" s="20" t="s">
        <v>48</v>
      </c>
      <c r="F95" s="28">
        <v>1</v>
      </c>
      <c r="G95" s="25">
        <v>45000</v>
      </c>
      <c r="H95" s="25">
        <f>tblVentes[[#This Row],[Quantite]]*tblVentes[[#This Row],[Prix_Unitaire]]</f>
        <v>45000</v>
      </c>
      <c r="I95" s="20">
        <f t="shared" ca="1" si="2"/>
        <v>0.16</v>
      </c>
      <c r="J95" s="25">
        <f ca="1">tblVentes[[#This Row],[Chiffre_Affaires]]*(1-tblVentes[[#This Row],[Remise]])</f>
        <v>37800</v>
      </c>
    </row>
    <row r="96" spans="1:10">
      <c r="A96" s="21">
        <v>46334</v>
      </c>
      <c r="B96" s="20" t="s">
        <v>180</v>
      </c>
      <c r="C96" s="20" t="s">
        <v>11</v>
      </c>
      <c r="D96" s="20" t="s">
        <v>8</v>
      </c>
      <c r="E96" s="20" t="s">
        <v>43</v>
      </c>
      <c r="F96" s="28">
        <v>2</v>
      </c>
      <c r="G96" s="25">
        <v>25000</v>
      </c>
      <c r="H96" s="25">
        <f>tblVentes[[#This Row],[Quantite]]*tblVentes[[#This Row],[Prix_Unitaire]]</f>
        <v>50000</v>
      </c>
      <c r="I96" s="20">
        <f t="shared" ca="1" si="2"/>
        <v>0.09</v>
      </c>
      <c r="J96" s="25">
        <f ca="1">tblVentes[[#This Row],[Chiffre_Affaires]]*(1-tblVentes[[#This Row],[Remise]])</f>
        <v>45500</v>
      </c>
    </row>
    <row r="97" spans="1:10">
      <c r="A97" s="21" t="s">
        <v>181</v>
      </c>
      <c r="B97" s="20" t="s">
        <v>182</v>
      </c>
      <c r="C97" s="20" t="s">
        <v>70</v>
      </c>
      <c r="D97" s="20" t="s">
        <v>8</v>
      </c>
      <c r="E97" s="20" t="s">
        <v>54</v>
      </c>
      <c r="F97" s="28">
        <v>3</v>
      </c>
      <c r="G97" s="25">
        <v>120000</v>
      </c>
      <c r="H97" s="25">
        <f>tblVentes[[#This Row],[Quantite]]*tblVentes[[#This Row],[Prix_Unitaire]]</f>
        <v>360000</v>
      </c>
      <c r="I97" s="20">
        <f t="shared" ca="1" si="2"/>
        <v>0.05</v>
      </c>
      <c r="J97" s="25">
        <f ca="1">tblVentes[[#This Row],[Chiffre_Affaires]]*(1-tblVentes[[#This Row],[Remise]])</f>
        <v>342000</v>
      </c>
    </row>
    <row r="98" spans="1:10">
      <c r="A98" s="21" t="s">
        <v>183</v>
      </c>
      <c r="B98" s="20" t="s">
        <v>184</v>
      </c>
      <c r="C98" s="20" t="s">
        <v>39</v>
      </c>
      <c r="D98" s="20" t="s">
        <v>8</v>
      </c>
      <c r="E98" s="20" t="s">
        <v>43</v>
      </c>
      <c r="F98" s="28">
        <v>8</v>
      </c>
      <c r="G98" s="25">
        <v>22000</v>
      </c>
      <c r="H98" s="25">
        <f>tblVentes[[#This Row],[Quantite]]*tblVentes[[#This Row],[Prix_Unitaire]]</f>
        <v>176000</v>
      </c>
      <c r="I98" s="20">
        <f t="shared" ca="1" si="2"/>
        <v>0.08</v>
      </c>
      <c r="J98" s="25">
        <f ca="1">tblVentes[[#This Row],[Chiffre_Affaires]]*(1-tblVentes[[#This Row],[Remise]])</f>
        <v>161920</v>
      </c>
    </row>
    <row r="99" spans="1:10">
      <c r="A99" s="21">
        <v>46031</v>
      </c>
      <c r="B99" s="20" t="s">
        <v>185</v>
      </c>
      <c r="C99" s="20" t="s">
        <v>70</v>
      </c>
      <c r="D99" s="20" t="s">
        <v>8</v>
      </c>
      <c r="E99" s="20" t="s">
        <v>51</v>
      </c>
      <c r="F99" s="28">
        <v>2</v>
      </c>
      <c r="G99" s="25">
        <v>120000</v>
      </c>
      <c r="H99" s="25">
        <f>tblVentes[[#This Row],[Quantite]]*tblVentes[[#This Row],[Prix_Unitaire]]</f>
        <v>240000</v>
      </c>
      <c r="I99" s="20">
        <f t="shared" ca="1" si="2"/>
        <v>7.0000000000000007E-2</v>
      </c>
      <c r="J99" s="25">
        <f ca="1">tblVentes[[#This Row],[Chiffre_Affaires]]*(1-tblVentes[[#This Row],[Remise]])</f>
        <v>223199.99999999997</v>
      </c>
    </row>
    <row r="100" spans="1:10">
      <c r="A100" s="21">
        <v>46062</v>
      </c>
      <c r="B100" s="20" t="s">
        <v>186</v>
      </c>
      <c r="C100" s="20" t="s">
        <v>65</v>
      </c>
      <c r="D100" s="20" t="s">
        <v>8</v>
      </c>
      <c r="E100" s="20" t="s">
        <v>48</v>
      </c>
      <c r="F100" s="28">
        <v>2</v>
      </c>
      <c r="G100" s="25">
        <v>45000</v>
      </c>
      <c r="H100" s="25">
        <f>tblVentes[[#This Row],[Quantite]]*tblVentes[[#This Row],[Prix_Unitaire]]</f>
        <v>90000</v>
      </c>
      <c r="I100" s="20">
        <f t="shared" ca="1" si="2"/>
        <v>0.13</v>
      </c>
      <c r="J100" s="25">
        <f ca="1">tblVentes[[#This Row],[Chiffre_Affaires]]*(1-tblVentes[[#This Row],[Remise]])</f>
        <v>78300</v>
      </c>
    </row>
    <row r="101" spans="1:10">
      <c r="A101" s="21">
        <v>46121</v>
      </c>
      <c r="B101" s="20" t="s">
        <v>187</v>
      </c>
      <c r="C101" s="20" t="s">
        <v>15</v>
      </c>
      <c r="D101" s="20" t="s">
        <v>13</v>
      </c>
      <c r="E101" s="20" t="s">
        <v>43</v>
      </c>
      <c r="F101" s="28">
        <v>9</v>
      </c>
      <c r="G101" s="25">
        <v>18000</v>
      </c>
      <c r="H101" s="25">
        <f>tblVentes[[#This Row],[Quantite]]*tblVentes[[#This Row],[Prix_Unitaire]]</f>
        <v>162000</v>
      </c>
      <c r="I101" s="20">
        <f t="shared" ca="1" si="2"/>
        <v>0.19</v>
      </c>
      <c r="J101" s="25">
        <f ca="1">tblVentes[[#This Row],[Chiffre_Affaires]]*(1-tblVentes[[#This Row],[Remise]])</f>
        <v>131220</v>
      </c>
    </row>
    <row r="102" spans="1:10">
      <c r="A102" s="21">
        <v>46088</v>
      </c>
      <c r="B102" s="20" t="s">
        <v>152</v>
      </c>
      <c r="C102" s="20" t="s">
        <v>12</v>
      </c>
      <c r="D102" s="20" t="s">
        <v>8</v>
      </c>
      <c r="E102" s="20" t="s">
        <v>48</v>
      </c>
      <c r="F102" s="28">
        <v>7</v>
      </c>
      <c r="G102" s="25">
        <v>10000</v>
      </c>
      <c r="H102" s="25">
        <f>tblVentes[[#This Row],[Quantite]]*tblVentes[[#This Row],[Prix_Unitaire]]</f>
        <v>70000</v>
      </c>
      <c r="I102" s="31">
        <f ca="1">RANDBETWEEN(0,20)/100</f>
        <v>0.2</v>
      </c>
      <c r="J102" s="25">
        <f ca="1">tblVentes[[#This Row],[Chiffre_Affaires]]*(1-tblVentes[[#This Row],[Remise]])</f>
        <v>56000</v>
      </c>
    </row>
    <row r="103" spans="1:10">
      <c r="A103" s="21">
        <v>46149</v>
      </c>
      <c r="B103" s="20" t="s">
        <v>118</v>
      </c>
      <c r="C103" s="20" t="s">
        <v>188</v>
      </c>
      <c r="D103" s="20" t="s">
        <v>8</v>
      </c>
      <c r="E103" s="20" t="s">
        <v>34</v>
      </c>
      <c r="F103" s="28">
        <v>4</v>
      </c>
      <c r="G103" s="25">
        <v>5000</v>
      </c>
      <c r="H103" s="25">
        <f>tblVentes[[#This Row],[Quantite]]*tblVentes[[#This Row],[Prix_Unitaire]]</f>
        <v>20000</v>
      </c>
      <c r="I103" s="31">
        <f ca="1">RANDBETWEEN(0,20)/100</f>
        <v>0.14000000000000001</v>
      </c>
      <c r="J103" s="25">
        <f ca="1">tblVentes[[#This Row],[Chiffre_Affaires]]*(1-tblVentes[[#This Row],[Remise]])</f>
        <v>17200</v>
      </c>
    </row>
    <row r="104" spans="1:10">
      <c r="A104" s="21">
        <v>46180</v>
      </c>
      <c r="B104" s="20" t="s">
        <v>58</v>
      </c>
      <c r="C104" s="20" t="s">
        <v>10</v>
      </c>
      <c r="D104" s="20" t="s">
        <v>8</v>
      </c>
      <c r="E104" s="20" t="s">
        <v>25</v>
      </c>
      <c r="F104" s="28">
        <v>10</v>
      </c>
      <c r="G104" s="25">
        <v>15000</v>
      </c>
      <c r="H104" s="25">
        <f>tblVentes[[#This Row],[Quantite]]*tblVentes[[#This Row],[Prix_Unitaire]]</f>
        <v>150000</v>
      </c>
      <c r="I104" s="31">
        <f ca="1">RANDBETWEEN(0,20)/100</f>
        <v>0.16</v>
      </c>
      <c r="J104" s="25">
        <f ca="1">tblVentes[[#This Row],[Chiffre_Affaires]]*(1-tblVentes[[#This Row],[Remise]])</f>
        <v>126000</v>
      </c>
    </row>
    <row r="105" spans="1:10">
      <c r="A105" s="21">
        <v>46302</v>
      </c>
      <c r="B105" s="20" t="s">
        <v>42</v>
      </c>
      <c r="C105" s="20" t="s">
        <v>189</v>
      </c>
      <c r="D105" s="20" t="s">
        <v>13</v>
      </c>
      <c r="E105" s="20" t="s">
        <v>43</v>
      </c>
      <c r="F105" s="28">
        <v>4</v>
      </c>
      <c r="G105" s="25">
        <v>2000</v>
      </c>
      <c r="H105" s="25">
        <f>tblVentes[[#This Row],[Quantite]]*tblVentes[[#This Row],[Prix_Unitaire]]</f>
        <v>8000</v>
      </c>
      <c r="I105" s="31">
        <f ca="1">RANDBETWEEN(0,20)/100</f>
        <v>0.13</v>
      </c>
      <c r="J105" s="25">
        <f ca="1">tblVentes[[#This Row],[Chiffre_Affaires]]*(1-tblVentes[[#This Row],[Remise]])</f>
        <v>6960</v>
      </c>
    </row>
    <row r="106" spans="1:10">
      <c r="A106" s="21">
        <v>46302</v>
      </c>
      <c r="B106" s="20" t="s">
        <v>113</v>
      </c>
      <c r="C106" s="20" t="s">
        <v>11</v>
      </c>
      <c r="D106" s="20" t="s">
        <v>8</v>
      </c>
      <c r="E106" s="20" t="s">
        <v>34</v>
      </c>
      <c r="F106" s="28">
        <v>6</v>
      </c>
      <c r="G106" s="25">
        <v>15000</v>
      </c>
      <c r="H106" s="25">
        <f>tblVentes[[#This Row],[Quantite]]*tblVentes[[#This Row],[Prix_Unitaire]]</f>
        <v>90000</v>
      </c>
      <c r="I106" s="31">
        <f ca="1">RANDBETWEEN(0,20)/100</f>
        <v>7.0000000000000007E-2</v>
      </c>
      <c r="J106" s="25">
        <f ca="1">tblVentes[[#This Row],[Chiffre_Affaires]]*(1-tblVentes[[#This Row],[Remise]])</f>
        <v>83700</v>
      </c>
    </row>
    <row r="107" spans="1:10">
      <c r="A107" s="21">
        <v>46333</v>
      </c>
      <c r="B107" s="20" t="s">
        <v>63</v>
      </c>
      <c r="C107" s="20" t="s">
        <v>78</v>
      </c>
      <c r="D107" s="20" t="s">
        <v>29</v>
      </c>
      <c r="E107" s="20" t="s">
        <v>62</v>
      </c>
      <c r="F107" s="28">
        <v>7</v>
      </c>
      <c r="G107" s="25">
        <v>25000</v>
      </c>
      <c r="H107" s="25">
        <f>tblVentes[[#This Row],[Quantite]]*tblVentes[[#This Row],[Prix_Unitaire]]</f>
        <v>175000</v>
      </c>
      <c r="I107" s="31">
        <f ca="1">RANDBETWEEN(0,20)/100</f>
        <v>7.0000000000000007E-2</v>
      </c>
      <c r="J107" s="25">
        <f ca="1">tblVentes[[#This Row],[Chiffre_Affaires]]*(1-tblVentes[[#This Row],[Remise]])</f>
        <v>162750</v>
      </c>
    </row>
    <row r="108" spans="1:10">
      <c r="A108" s="21" t="s">
        <v>158</v>
      </c>
      <c r="B108" s="20" t="s">
        <v>45</v>
      </c>
      <c r="C108" s="20" t="s">
        <v>12</v>
      </c>
      <c r="D108" s="20" t="s">
        <v>13</v>
      </c>
      <c r="E108" s="20" t="s">
        <v>62</v>
      </c>
      <c r="F108" s="28">
        <v>5</v>
      </c>
      <c r="G108" s="25">
        <v>25000</v>
      </c>
      <c r="H108" s="25">
        <f>tblVentes[[#This Row],[Quantite]]*tblVentes[[#This Row],[Prix_Unitaire]]</f>
        <v>125000</v>
      </c>
      <c r="I108" s="31">
        <f ca="1">RANDBETWEEN(0,20)/100</f>
        <v>0.12</v>
      </c>
      <c r="J108" s="25">
        <f ca="1">tblVentes[[#This Row],[Chiffre_Affaires]]*(1-tblVentes[[#This Row],[Remise]])</f>
        <v>110000</v>
      </c>
    </row>
    <row r="109" spans="1:10">
      <c r="A109" s="21" t="s">
        <v>160</v>
      </c>
      <c r="B109" s="20" t="s">
        <v>110</v>
      </c>
      <c r="C109" s="20" t="s">
        <v>188</v>
      </c>
      <c r="D109" s="20" t="s">
        <v>8</v>
      </c>
      <c r="E109" s="20" t="s">
        <v>43</v>
      </c>
      <c r="F109" s="28">
        <v>7</v>
      </c>
      <c r="G109" s="25">
        <v>45000</v>
      </c>
      <c r="H109" s="25">
        <f>tblVentes[[#This Row],[Quantite]]*tblVentes[[#This Row],[Prix_Unitaire]]</f>
        <v>315000</v>
      </c>
      <c r="I109" s="31">
        <f ca="1">RANDBETWEEN(0,20)/100</f>
        <v>0.05</v>
      </c>
      <c r="J109" s="25">
        <f ca="1">tblVentes[[#This Row],[Chiffre_Affaires]]*(1-tblVentes[[#This Row],[Remise]])</f>
        <v>299250</v>
      </c>
    </row>
    <row r="110" spans="1:10">
      <c r="A110" s="21" t="s">
        <v>160</v>
      </c>
      <c r="B110" s="20" t="s">
        <v>47</v>
      </c>
      <c r="C110" s="20" t="s">
        <v>10</v>
      </c>
      <c r="D110" s="20" t="s">
        <v>8</v>
      </c>
      <c r="E110" s="20" t="s">
        <v>54</v>
      </c>
      <c r="F110" s="28">
        <v>10</v>
      </c>
      <c r="G110" s="25">
        <v>25000</v>
      </c>
      <c r="H110" s="25">
        <f>tblVentes[[#This Row],[Quantite]]*tblVentes[[#This Row],[Prix_Unitaire]]</f>
        <v>250000</v>
      </c>
      <c r="I110" s="31">
        <f ca="1">RANDBETWEEN(0,20)/100</f>
        <v>7.0000000000000007E-2</v>
      </c>
      <c r="J110" s="25">
        <f ca="1">tblVentes[[#This Row],[Chiffre_Affaires]]*(1-tblVentes[[#This Row],[Remise]])</f>
        <v>232499.99999999997</v>
      </c>
    </row>
    <row r="111" spans="1:10">
      <c r="A111" s="21" t="s">
        <v>163</v>
      </c>
      <c r="B111" s="20" t="s">
        <v>81</v>
      </c>
      <c r="C111" s="20" t="s">
        <v>24</v>
      </c>
      <c r="D111" s="20" t="s">
        <v>8</v>
      </c>
      <c r="E111" s="20" t="s">
        <v>54</v>
      </c>
      <c r="F111" s="28">
        <v>3</v>
      </c>
      <c r="G111" s="25">
        <v>25000</v>
      </c>
      <c r="H111" s="25">
        <f>tblVentes[[#This Row],[Quantite]]*tblVentes[[#This Row],[Prix_Unitaire]]</f>
        <v>75000</v>
      </c>
      <c r="I111" s="31">
        <f ca="1">RANDBETWEEN(0,20)/100</f>
        <v>0.08</v>
      </c>
      <c r="J111" s="25">
        <f ca="1">tblVentes[[#This Row],[Chiffre_Affaires]]*(1-tblVentes[[#This Row],[Remise]])</f>
        <v>69000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2026-09-05T15:32:49Z</dcterms:created>
  <dcterms:modified xsi:type="dcterms:W3CDTF">2026-09-07T11:44:44Z</dcterms:modified>
  <cp:category/>
  <cp:contentStatus/>
</cp:coreProperties>
</file>