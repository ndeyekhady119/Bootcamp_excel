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adedu-my.sharepoint.com/personal/ndeyekhady8_mbaye_ucad_edu_sn/Documents/"/>
    </mc:Choice>
  </mc:AlternateContent>
  <xr:revisionPtr revIDLastSave="0" documentId="8_{1A225D00-3E3D-43D9-9A25-FB28C2A8EE4D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Pratique_Nettoyage" sheetId="1" r:id="rId1"/>
    <sheet name="Raw_Data" sheetId="2" r:id="rId2"/>
    <sheet name="Clean_Data" sheetId="3" r:id="rId3"/>
  </sheets>
  <definedNames>
    <definedName name="_xlnm._FilterDatabase" localSheetId="2" hidden="1">Clean_Data!$A$1:$P$3048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908" i="3" l="1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833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2" i="3"/>
  <c r="F2" i="1"/>
  <c r="F3" i="1"/>
  <c r="F6" i="1"/>
</calcChain>
</file>

<file path=xl/sharedStrings.xml><?xml version="1.0" encoding="utf-8"?>
<sst xmlns="http://schemas.openxmlformats.org/spreadsheetml/2006/main" count="56052" uniqueCount="4623">
  <si>
    <t>ID</t>
  </si>
  <si>
    <t>Nom</t>
  </si>
  <si>
    <t>Ville</t>
  </si>
  <si>
    <t>Salaire</t>
  </si>
  <si>
    <t>Date</t>
  </si>
  <si>
    <t>Awa Ndiaye</t>
  </si>
  <si>
    <t>Dakar</t>
  </si>
  <si>
    <t>Mamadou Diop</t>
  </si>
  <si>
    <t>Fatou Fall</t>
  </si>
  <si>
    <t>Thiès</t>
  </si>
  <si>
    <t>Cheikh Ba</t>
  </si>
  <si>
    <t>Mariama Sow</t>
  </si>
  <si>
    <t>order_id</t>
  </si>
  <si>
    <t>order_date</t>
  </si>
  <si>
    <t>customer_email</t>
  </si>
  <si>
    <t>country</t>
  </si>
  <si>
    <t>channel</t>
  </si>
  <si>
    <t>product_sku</t>
  </si>
  <si>
    <t>product_name</t>
  </si>
  <si>
    <t>quantity</t>
  </si>
  <si>
    <t>unit_price</t>
  </si>
  <si>
    <t>order_total</t>
  </si>
  <si>
    <t>weight</t>
  </si>
  <si>
    <t>currency</t>
  </si>
  <si>
    <t>status</t>
  </si>
  <si>
    <t>ORD-101805</t>
  </si>
  <si>
    <t>customer0457@example.com</t>
  </si>
  <si>
    <t>France</t>
  </si>
  <si>
    <t>direct</t>
  </si>
  <si>
    <t>FR-9902</t>
  </si>
  <si>
    <t>Trekking Poles</t>
  </si>
  <si>
    <t>45.00</t>
  </si>
  <si>
    <t>36.00</t>
  </si>
  <si>
    <t>EUR</t>
  </si>
  <si>
    <t>completed</t>
  </si>
  <si>
    <t>ORD-102690</t>
  </si>
  <si>
    <t>customer0814@example.com</t>
  </si>
  <si>
    <t>social</t>
  </si>
  <si>
    <t>FR-2210</t>
  </si>
  <si>
    <t>Trail Softshell</t>
  </si>
  <si>
    <t>71.10</t>
  </si>
  <si>
    <t>0.520</t>
  </si>
  <si>
    <t>GBP</t>
  </si>
  <si>
    <t>ORD-101454</t>
  </si>
  <si>
    <t>customer0858@example.com</t>
  </si>
  <si>
    <t>UK</t>
  </si>
  <si>
    <t>email</t>
  </si>
  <si>
    <t>FR-1120</t>
  </si>
  <si>
    <t>Fell Runner Cap</t>
  </si>
  <si>
    <t>0.085</t>
  </si>
  <si>
    <t>ORD-100450</t>
  </si>
  <si>
    <t>customer0116@example.com</t>
  </si>
  <si>
    <t>organic</t>
  </si>
  <si>
    <t>FR-5567</t>
  </si>
  <si>
    <t>Merino Base Layer</t>
  </si>
  <si>
    <t>ORD-101501</t>
  </si>
  <si>
    <t>customer1397@example.com</t>
  </si>
  <si>
    <t>Ireland</t>
  </si>
  <si>
    <t>FR-8890</t>
  </si>
  <si>
    <t>Summit Down Gilet</t>
  </si>
  <si>
    <t>21.60</t>
  </si>
  <si>
    <t>0.380</t>
  </si>
  <si>
    <t>ORD-101788</t>
  </si>
  <si>
    <t>customer0775@example.com</t>
  </si>
  <si>
    <t>GB</t>
  </si>
  <si>
    <t>ORD-102657</t>
  </si>
  <si>
    <t>customer1328@example.com</t>
  </si>
  <si>
    <t>85.50</t>
  </si>
  <si>
    <t>256.50</t>
  </si>
  <si>
    <t>refunded</t>
  </si>
  <si>
    <t>ORD-102047</t>
  </si>
  <si>
    <t>customer0760@example.com</t>
  </si>
  <si>
    <t>ireland</t>
  </si>
  <si>
    <t>134.10</t>
  </si>
  <si>
    <t>268.20</t>
  </si>
  <si>
    <t>ORD-102650</t>
  </si>
  <si>
    <t>customer0013@example.com</t>
  </si>
  <si>
    <t>gb</t>
  </si>
  <si>
    <t>paid_search</t>
  </si>
  <si>
    <t>24.00</t>
  </si>
  <si>
    <t>ORD-102734</t>
  </si>
  <si>
    <t>customer0805@example.com</t>
  </si>
  <si>
    <t>95.00</t>
  </si>
  <si>
    <t>ORD-102012</t>
  </si>
  <si>
    <t>customer0123@example.com</t>
  </si>
  <si>
    <t>FR-7781</t>
  </si>
  <si>
    <t>Storm Overtrousers</t>
  </si>
  <si>
    <t>0.410</t>
  </si>
  <si>
    <t>ORD-102152</t>
  </si>
  <si>
    <t>customer0956@example.com</t>
  </si>
  <si>
    <t>129.00</t>
  </si>
  <si>
    <t>ORD-102773</t>
  </si>
  <si>
    <t>02/27/2026</t>
  </si>
  <si>
    <t>customer1363@example.com</t>
  </si>
  <si>
    <t>FR-3345</t>
  </si>
  <si>
    <t>CafÃ© Latte Mug</t>
  </si>
  <si>
    <t>116.10</t>
  </si>
  <si>
    <t>348.30</t>
  </si>
  <si>
    <t>ORD-102215</t>
  </si>
  <si>
    <t>customer1206@example.com</t>
  </si>
  <si>
    <t>FR-4471</t>
  </si>
  <si>
    <t>Alpine Jacket</t>
  </si>
  <si>
    <t>387.00</t>
  </si>
  <si>
    <t>ORD-100612</t>
  </si>
  <si>
    <t>customer0555@example.com</t>
  </si>
  <si>
    <t>uk</t>
  </si>
  <si>
    <t>ORD-102771</t>
  </si>
  <si>
    <t>customer1312@example.com</t>
  </si>
  <si>
    <t>ORD-101929</t>
  </si>
  <si>
    <t>customer0084@example.com</t>
  </si>
  <si>
    <t>United Kingdom</t>
  </si>
  <si>
    <t>ORD-101855</t>
  </si>
  <si>
    <t>customer0527@example.com</t>
  </si>
  <si>
    <t>89.00</t>
  </si>
  <si>
    <t>0.340</t>
  </si>
  <si>
    <t>ORD-101033</t>
  </si>
  <si>
    <t>customer0970@example.com</t>
  </si>
  <si>
    <t>149.00</t>
  </si>
  <si>
    <t>298.00</t>
  </si>
  <si>
    <t>0.640</t>
  </si>
  <si>
    <t>ORD-100485</t>
  </si>
  <si>
    <t>customer1056@example.com</t>
  </si>
  <si>
    <t>0.190</t>
  </si>
  <si>
    <t>ORD-101121</t>
  </si>
  <si>
    <t>customer0910@example.com</t>
  </si>
  <si>
    <t>ORD-101302</t>
  </si>
  <si>
    <t>customer1155@example.com</t>
  </si>
  <si>
    <t>Germany</t>
  </si>
  <si>
    <t>ORD-100778</t>
  </si>
  <si>
    <t>customer1044@example.com</t>
  </si>
  <si>
    <t>ORD-100968</t>
  </si>
  <si>
    <t>03/21/2026</t>
  </si>
  <si>
    <t>customer0047@example.com</t>
  </si>
  <si>
    <t>ORD-101676</t>
  </si>
  <si>
    <t>customer0180@example.com</t>
  </si>
  <si>
    <t>-129.00</t>
  </si>
  <si>
    <t>ORD-102809</t>
  </si>
  <si>
    <t>customer0212@example.com</t>
  </si>
  <si>
    <t>267.00</t>
  </si>
  <si>
    <t>ORD-102890</t>
  </si>
  <si>
    <t>customer0605@example.com</t>
  </si>
  <si>
    <t>ORD-100039</t>
  </si>
  <si>
    <t>customer0449@example.com</t>
  </si>
  <si>
    <t>79.00</t>
  </si>
  <si>
    <t>158.00</t>
  </si>
  <si>
    <t>ORD-102776</t>
  </si>
  <si>
    <t>customer0321@example.com</t>
  </si>
  <si>
    <t>11.25</t>
  </si>
  <si>
    <t>33.75</t>
  </si>
  <si>
    <t>ORD-100053</t>
  </si>
  <si>
    <t>customer1166@example.com</t>
  </si>
  <si>
    <t>GBP45.00</t>
  </si>
  <si>
    <t>ORD-101914</t>
  </si>
  <si>
    <t>customer0347@example.com</t>
  </si>
  <si>
    <t>258.00</t>
  </si>
  <si>
    <t>ORD-100303</t>
  </si>
  <si>
    <t>customer1186@example.com</t>
  </si>
  <si>
    <t>ORD-102075</t>
  </si>
  <si>
    <t>customer1029@example.com</t>
  </si>
  <si>
    <t>-90.00</t>
  </si>
  <si>
    <t>ORD-101025</t>
  </si>
  <si>
    <t>customer1144@example.com</t>
  </si>
  <si>
    <t>£80.10</t>
  </si>
  <si>
    <t>160.20</t>
  </si>
  <si>
    <t>ORD-101946</t>
  </si>
  <si>
    <t>customer1248@example.com</t>
  </si>
  <si>
    <t>GBP12.50</t>
  </si>
  <si>
    <t>25.00</t>
  </si>
  <si>
    <t>ORD-101075</t>
  </si>
  <si>
    <t>03/19/2026</t>
  </si>
  <si>
    <t>customer0388@example.com</t>
  </si>
  <si>
    <t>447.00</t>
  </si>
  <si>
    <t>ORD-101807</t>
  </si>
  <si>
    <t>04/24/2026</t>
  </si>
  <si>
    <t>customer1225@example.com</t>
  </si>
  <si>
    <t>22.50</t>
  </si>
  <si>
    <t>ORD-102879</t>
  </si>
  <si>
    <t>customer1087@example.com</t>
  </si>
  <si>
    <t>ORD-100229</t>
  </si>
  <si>
    <t>02/14/2026</t>
  </si>
  <si>
    <t>customer0706@example.com</t>
  </si>
  <si>
    <t>80.10</t>
  </si>
  <si>
    <t>ORD-101507</t>
  </si>
  <si>
    <t>06/20/2026</t>
  </si>
  <si>
    <t>customer0951@example.com</t>
  </si>
  <si>
    <t>ORD-100281</t>
  </si>
  <si>
    <t>customer1318@example.com</t>
  </si>
  <si>
    <t>ORD-100155</t>
  </si>
  <si>
    <t>customer0109@example.com</t>
  </si>
  <si>
    <t>43.20</t>
  </si>
  <si>
    <t>ORD-102793</t>
  </si>
  <si>
    <t>customer0701@example.com</t>
  </si>
  <si>
    <t>178.00</t>
  </si>
  <si>
    <t>ORD-102266</t>
  </si>
  <si>
    <t>customer0725@example.com</t>
  </si>
  <si>
    <t>GBP80.10</t>
  </si>
  <si>
    <t>ORD-102177</t>
  </si>
  <si>
    <t>06/24/2026</t>
  </si>
  <si>
    <t>customer0599@example.com</t>
  </si>
  <si>
    <t>ORD-102794</t>
  </si>
  <si>
    <t>customer0480@example.com</t>
  </si>
  <si>
    <t>ORD-102860</t>
  </si>
  <si>
    <t>customer1378@example.com</t>
  </si>
  <si>
    <t>£85.50</t>
  </si>
  <si>
    <t>171.00</t>
  </si>
  <si>
    <t>ORD-102717</t>
  </si>
  <si>
    <t>customer0415@example.com</t>
  </si>
  <si>
    <t>ORD-100226</t>
  </si>
  <si>
    <t>customer0210@example.com</t>
  </si>
  <si>
    <t>ORD-101221</t>
  </si>
  <si>
    <t>customer1184@example.com</t>
  </si>
  <si>
    <t>ORD-102055</t>
  </si>
  <si>
    <t>customer0735@example.com</t>
  </si>
  <si>
    <t>-149.00</t>
  </si>
  <si>
    <t>ORD-102118</t>
  </si>
  <si>
    <t>customer1072@example.com</t>
  </si>
  <si>
    <t>72.00</t>
  </si>
  <si>
    <t>ORD-101531</t>
  </si>
  <si>
    <t>ORD-101429</t>
  </si>
  <si>
    <t>customer0368@example.com</t>
  </si>
  <si>
    <t>ORD-101372</t>
  </si>
  <si>
    <t>customer0658@example.com</t>
  </si>
  <si>
    <t>ORD-101570</t>
  </si>
  <si>
    <t>customer0843@example.com</t>
  </si>
  <si>
    <t>ORD-101237</t>
  </si>
  <si>
    <t>customer1101@example.com</t>
  </si>
  <si>
    <t>ORD-102733</t>
  </si>
  <si>
    <t>customer1291@example.com</t>
  </si>
  <si>
    <t>£116.10</t>
  </si>
  <si>
    <t>ORD-100314</t>
  </si>
  <si>
    <t>customer0820@example.com</t>
  </si>
  <si>
    <t>40.50</t>
  </si>
  <si>
    <t>81.00</t>
  </si>
  <si>
    <t>ORD-102277</t>
  </si>
  <si>
    <t>customer0975@example.com</t>
  </si>
  <si>
    <t>ORD-102431</t>
  </si>
  <si>
    <t>customer0946@example.com</t>
  </si>
  <si>
    <t>ORD-101431</t>
  </si>
  <si>
    <t>customer0844@example.com</t>
  </si>
  <si>
    <t>ORD-102072</t>
  </si>
  <si>
    <t>customer0732@example.com</t>
  </si>
  <si>
    <t>ORD-102983</t>
  </si>
  <si>
    <t>customer1264@example.com</t>
  </si>
  <si>
    <t>237.00</t>
  </si>
  <si>
    <t>ORD-101945</t>
  </si>
  <si>
    <t>customer0119@example.com</t>
  </si>
  <si>
    <t>ORD-101850</t>
  </si>
  <si>
    <t>03/14/2026</t>
  </si>
  <si>
    <t>customer0063@example.com</t>
  </si>
  <si>
    <t>90.00</t>
  </si>
  <si>
    <t>ORD-101650</t>
  </si>
  <si>
    <t>customer0184@example.com</t>
  </si>
  <si>
    <t>ORD-102725</t>
  </si>
  <si>
    <t>05/17/2026</t>
  </si>
  <si>
    <t>customer1123@example.com</t>
  </si>
  <si>
    <t>ORD-102852</t>
  </si>
  <si>
    <t>customer0394@example.com</t>
  </si>
  <si>
    <t>ORD-101069</t>
  </si>
  <si>
    <t>customer0006@example.com</t>
  </si>
  <si>
    <t>48.00</t>
  </si>
  <si>
    <t>ORD-102523</t>
  </si>
  <si>
    <t>customer0921@example.com</t>
  </si>
  <si>
    <t>103.20</t>
  </si>
  <si>
    <t>ORD-101173</t>
  </si>
  <si>
    <t>customer0245@example.com</t>
  </si>
  <si>
    <t>12.50</t>
  </si>
  <si>
    <t>ORD-100798</t>
  </si>
  <si>
    <t>customer0918@example.com</t>
  </si>
  <si>
    <t>64.80</t>
  </si>
  <si>
    <t>ORD-100370</t>
  </si>
  <si>
    <t>05/20/2026</t>
  </si>
  <si>
    <t>customer1151@example.com</t>
  </si>
  <si>
    <t>ORD-100464</t>
  </si>
  <si>
    <t>ORD-100662</t>
  </si>
  <si>
    <t>customer1198@example.com</t>
  </si>
  <si>
    <t>ORD-102005</t>
  </si>
  <si>
    <t>customer0369@example.com</t>
  </si>
  <si>
    <t>GBP116.10</t>
  </si>
  <si>
    <t>232.20</t>
  </si>
  <si>
    <t>ORD-102592</t>
  </si>
  <si>
    <t>customer0842@example.com</t>
  </si>
  <si>
    <t>ORD-100862</t>
  </si>
  <si>
    <t>customer0427@example.com</t>
  </si>
  <si>
    <t>ORD-101693</t>
  </si>
  <si>
    <t>customer0461@example.com</t>
  </si>
  <si>
    <t>ORD-102839</t>
  </si>
  <si>
    <t>customer0251@example.com</t>
  </si>
  <si>
    <t>ORD-102331</t>
  </si>
  <si>
    <t>customer0592@example.com</t>
  </si>
  <si>
    <t>ORD-102439</t>
  </si>
  <si>
    <t>06/30/2026</t>
  </si>
  <si>
    <t>customer1164@example.com</t>
  </si>
  <si>
    <t>-258.00</t>
  </si>
  <si>
    <t>ORD-101437</t>
  </si>
  <si>
    <t>customer0990@example.com</t>
  </si>
  <si>
    <t>ORD-101980</t>
  </si>
  <si>
    <t>customer0809@example.com</t>
  </si>
  <si>
    <t>190.00</t>
  </si>
  <si>
    <t>ORD-100372</t>
  </si>
  <si>
    <t>customer0638@example.com</t>
  </si>
  <si>
    <t>ORD-102170</t>
  </si>
  <si>
    <t>03/15/2026</t>
  </si>
  <si>
    <t>customer1232@example.com</t>
  </si>
  <si>
    <t>ORD-100509</t>
  </si>
  <si>
    <t>customer0905@example.com</t>
  </si>
  <si>
    <t>ORD-102217</t>
  </si>
  <si>
    <t>customer1220@example.com</t>
  </si>
  <si>
    <t>ORD-101947</t>
  </si>
  <si>
    <t>customer0751@example.com</t>
  </si>
  <si>
    <t>ORD-102481</t>
  </si>
  <si>
    <t>customer0381@example.com</t>
  </si>
  <si>
    <t>-12.50</t>
  </si>
  <si>
    <t>ORD-101426</t>
  </si>
  <si>
    <t>customer0673@example.com</t>
  </si>
  <si>
    <t>-80.10</t>
  </si>
  <si>
    <t>ORD-100203</t>
  </si>
  <si>
    <t>customer1140@example.com</t>
  </si>
  <si>
    <t>ORD-100364</t>
  </si>
  <si>
    <t>customer0044@example.com</t>
  </si>
  <si>
    <t>ORD-102488</t>
  </si>
  <si>
    <t>customer0412@example.com</t>
  </si>
  <si>
    <t>ORD-100121</t>
  </si>
  <si>
    <t>customer0761@example.com</t>
  </si>
  <si>
    <t>ORD-100228</t>
  </si>
  <si>
    <t>customer0542@example.com</t>
  </si>
  <si>
    <t>ORD-101841</t>
  </si>
  <si>
    <t>customer0579@example.com</t>
  </si>
  <si>
    <t>142.20</t>
  </si>
  <si>
    <t>ORD-101427</t>
  </si>
  <si>
    <t>customer0672@example.com</t>
  </si>
  <si>
    <t>ORD-102234</t>
  </si>
  <si>
    <t>customer0891@example.com</t>
  </si>
  <si>
    <t>ORD-101483</t>
  </si>
  <si>
    <t>03/29/2026</t>
  </si>
  <si>
    <t>customer0068@example.com</t>
  </si>
  <si>
    <t>ORD-100885</t>
  </si>
  <si>
    <t>customer0929@example.com</t>
  </si>
  <si>
    <t>135.00</t>
  </si>
  <si>
    <t>ORD-102200</t>
  </si>
  <si>
    <t>customer0061@example.com</t>
  </si>
  <si>
    <t>ORD-102695</t>
  </si>
  <si>
    <t>customer0183@example.com</t>
  </si>
  <si>
    <t>ORD-102535</t>
  </si>
  <si>
    <t>customer0541@example.com</t>
  </si>
  <si>
    <t>ORD-100620</t>
  </si>
  <si>
    <t>customer0327@example.com</t>
  </si>
  <si>
    <t>ORD-101520</t>
  </si>
  <si>
    <t>01/13/2026</t>
  </si>
  <si>
    <t>customer0273@example.com</t>
  </si>
  <si>
    <t>ORD-102713</t>
  </si>
  <si>
    <t>04/13/2026</t>
  </si>
  <si>
    <t>customer0524@example.com</t>
  </si>
  <si>
    <t>ORD-102552</t>
  </si>
  <si>
    <t>customer1305@example.com</t>
  </si>
  <si>
    <t>ORD-100392</t>
  </si>
  <si>
    <t>customer1001@example.com</t>
  </si>
  <si>
    <t>ORD-100027</t>
  </si>
  <si>
    <t>customer0058@example.com</t>
  </si>
  <si>
    <t>ORD-102163</t>
  </si>
  <si>
    <t>customer0981@example.com</t>
  </si>
  <si>
    <t>ORD-101576</t>
  </si>
  <si>
    <t>customer0114@example.com</t>
  </si>
  <si>
    <t>ORD-101972</t>
  </si>
  <si>
    <t>customer0626@example.com</t>
  </si>
  <si>
    <t>ORD-102653</t>
  </si>
  <si>
    <t>customer0512@example.com</t>
  </si>
  <si>
    <t>ORD-102768</t>
  </si>
  <si>
    <t>customer0942@example.com</t>
  </si>
  <si>
    <t>ORD-100431</t>
  </si>
  <si>
    <t>customer0095@example.com</t>
  </si>
  <si>
    <t>20.40</t>
  </si>
  <si>
    <t>ORD-101311</t>
  </si>
  <si>
    <t>customer0104@example.com</t>
  </si>
  <si>
    <t>£24.00</t>
  </si>
  <si>
    <t>ORD-101762</t>
  </si>
  <si>
    <t>customer0563@example.com</t>
  </si>
  <si>
    <t>ORD-102302</t>
  </si>
  <si>
    <t>customer0693@example.com</t>
  </si>
  <si>
    <t>ORD-102616</t>
  </si>
  <si>
    <t>customer0195@example.com</t>
  </si>
  <si>
    <t>ORD-101512</t>
  </si>
  <si>
    <t>customer0782@example.com</t>
  </si>
  <si>
    <t>ORD-100853</t>
  </si>
  <si>
    <t>customer1357@example.com</t>
  </si>
  <si>
    <t>ORD-102810</t>
  </si>
  <si>
    <t>customer0132@example.com</t>
  </si>
  <si>
    <t>ORD-102908</t>
  </si>
  <si>
    <t>customer0950@example.com</t>
  </si>
  <si>
    <t>ORD-101658</t>
  </si>
  <si>
    <t>customer0226@example.com</t>
  </si>
  <si>
    <t>285.00</t>
  </si>
  <si>
    <t>ORD-101562</t>
  </si>
  <si>
    <t>02/19/2026</t>
  </si>
  <si>
    <t>ORD-100423</t>
  </si>
  <si>
    <t>customer0410@example.com</t>
  </si>
  <si>
    <t>ORD-100967</t>
  </si>
  <si>
    <t>customer0661@example.com</t>
  </si>
  <si>
    <t>ORD-101234</t>
  </si>
  <si>
    <t>customer1089@example.com</t>
  </si>
  <si>
    <t>ORD-102973</t>
  </si>
  <si>
    <t>customer0025@example.com</t>
  </si>
  <si>
    <t>37.50</t>
  </si>
  <si>
    <t>ORD-100500</t>
  </si>
  <si>
    <t>ORD-102830</t>
  </si>
  <si>
    <t>-45.00</t>
  </si>
  <si>
    <t>ORD-100683</t>
  </si>
  <si>
    <t>customer0238@example.com</t>
  </si>
  <si>
    <t>ORD-102620</t>
  </si>
  <si>
    <t>customer0501@example.com</t>
  </si>
  <si>
    <t>ORD-100358</t>
  </si>
  <si>
    <t>customer1277@example.com</t>
  </si>
  <si>
    <t>ORD-102472</t>
  </si>
  <si>
    <t>customer0682@example.com</t>
  </si>
  <si>
    <t>ORD-101235</t>
  </si>
  <si>
    <t>customer0642@example.com</t>
  </si>
  <si>
    <t>ORD-100511</t>
  </si>
  <si>
    <t>customer1371@example.com</t>
  </si>
  <si>
    <t>ORD-102106</t>
  </si>
  <si>
    <t>ORD-102016</t>
  </si>
  <si>
    <t>ORD-100276</t>
  </si>
  <si>
    <t>customer0703@example.com</t>
  </si>
  <si>
    <t>ORD-100869</t>
  </si>
  <si>
    <t>ORD-100849</t>
  </si>
  <si>
    <t>customer0695@example.com</t>
  </si>
  <si>
    <t>ORD-100754</t>
  </si>
  <si>
    <t>customer1129@example.com</t>
  </si>
  <si>
    <t>ORD-102483</t>
  </si>
  <si>
    <t>customer0034@example.com</t>
  </si>
  <si>
    <t>ORD-100476</t>
  </si>
  <si>
    <t>customer0186@example.com</t>
  </si>
  <si>
    <t>ORD-102598</t>
  </si>
  <si>
    <t>customer0077@example.com</t>
  </si>
  <si>
    <t>ORD-100292</t>
  </si>
  <si>
    <t>customer0734@example.com</t>
  </si>
  <si>
    <t>ORD-101114</t>
  </si>
  <si>
    <t>03/28/2026</t>
  </si>
  <si>
    <t>customer0274@example.com</t>
  </si>
  <si>
    <t>£71.10</t>
  </si>
  <si>
    <t>ORD-101024</t>
  </si>
  <si>
    <t>customer0850@example.com</t>
  </si>
  <si>
    <t>ORD-100037</t>
  </si>
  <si>
    <t>customer1301@example.com</t>
  </si>
  <si>
    <t>ORD-101065</t>
  </si>
  <si>
    <t>ORD-101448</t>
  </si>
  <si>
    <t>customer1174@example.com</t>
  </si>
  <si>
    <t>ORD-101379</t>
  </si>
  <si>
    <t>customer1265@example.com</t>
  </si>
  <si>
    <t>GBP129.00</t>
  </si>
  <si>
    <t>328.95</t>
  </si>
  <si>
    <t>ORD-100505</t>
  </si>
  <si>
    <t>customer1278@example.com</t>
  </si>
  <si>
    <t>ORD-101168</t>
  </si>
  <si>
    <t>customer0489@example.com</t>
  </si>
  <si>
    <t>ORD-100214</t>
  </si>
  <si>
    <t>customer0357@example.com</t>
  </si>
  <si>
    <t>ORD-100487</t>
  </si>
  <si>
    <t>customer1323@example.com</t>
  </si>
  <si>
    <t>ORD-102787</t>
  </si>
  <si>
    <t>customer0080@example.com</t>
  </si>
  <si>
    <t>20.25</t>
  </si>
  <si>
    <t>ORD-101204</t>
  </si>
  <si>
    <t>ORD-101924</t>
  </si>
  <si>
    <t>customer0851@example.com</t>
  </si>
  <si>
    <t>ORD-100356</t>
  </si>
  <si>
    <t>customer0214@example.com</t>
  </si>
  <si>
    <t>ORD-101343</t>
  </si>
  <si>
    <t>customer1025@example.com</t>
  </si>
  <si>
    <t>ORD-101077</t>
  </si>
  <si>
    <t>customer0479@example.com</t>
  </si>
  <si>
    <t>ORD-101010</t>
  </si>
  <si>
    <t>customer0240@example.com</t>
  </si>
  <si>
    <t>76.00</t>
  </si>
  <si>
    <t>ORD-101742</t>
  </si>
  <si>
    <t>customer0390@example.com</t>
  </si>
  <si>
    <t>ORD-100163</t>
  </si>
  <si>
    <t>customer1197@example.com</t>
  </si>
  <si>
    <t>ORD-101585</t>
  </si>
  <si>
    <t>customer0748@example.com</t>
  </si>
  <si>
    <t>ORD-102316</t>
  </si>
  <si>
    <t>customer0473@example.com</t>
  </si>
  <si>
    <t>ORD-101662</t>
  </si>
  <si>
    <t>03/25/2026</t>
  </si>
  <si>
    <t>customer0991@example.com</t>
  </si>
  <si>
    <t>ORD-100225</t>
  </si>
  <si>
    <t>customer0835@example.com</t>
  </si>
  <si>
    <t>ORD-101449</t>
  </si>
  <si>
    <t>customer0753@example.com</t>
  </si>
  <si>
    <t>ORD-101452</t>
  </si>
  <si>
    <t>customer1243@example.com</t>
  </si>
  <si>
    <t>ORD-100711</t>
  </si>
  <si>
    <t>GBP95.00</t>
  </si>
  <si>
    <t>ORD-102402</t>
  </si>
  <si>
    <t>customer1192@example.com</t>
  </si>
  <si>
    <t>ORD-100740</t>
  </si>
  <si>
    <t>customer0029@example.com</t>
  </si>
  <si>
    <t>ORD-101017</t>
  </si>
  <si>
    <t>customer0373@example.com</t>
  </si>
  <si>
    <t>ORD-102941</t>
  </si>
  <si>
    <t>customer0010@example.com</t>
  </si>
  <si>
    <t>402.30</t>
  </si>
  <si>
    <t>ORD-101600</t>
  </si>
  <si>
    <t>customer0258@example.com</t>
  </si>
  <si>
    <t>ORD-100745</t>
  </si>
  <si>
    <t>customer0581@example.com</t>
  </si>
  <si>
    <t>ORD-102482</t>
  </si>
  <si>
    <t>121.50</t>
  </si>
  <si>
    <t>ORD-102054</t>
  </si>
  <si>
    <t>customer0904@example.com</t>
  </si>
  <si>
    <t>ORD-100948</t>
  </si>
  <si>
    <t>customer0840@example.com</t>
  </si>
  <si>
    <t>ORD-100047</t>
  </si>
  <si>
    <t>£40.50</t>
  </si>
  <si>
    <t>ORD-100809</t>
  </si>
  <si>
    <t>customer0833@example.com</t>
  </si>
  <si>
    <t>ORD-100817</t>
  </si>
  <si>
    <t>customer0959@example.com</t>
  </si>
  <si>
    <t>ORD-101665</t>
  </si>
  <si>
    <t>customer0462@example.com</t>
  </si>
  <si>
    <t>ORD-101637</t>
  </si>
  <si>
    <t>ORD-100896</t>
  </si>
  <si>
    <t>customer0416@example.com</t>
  </si>
  <si>
    <t>ORD-100347</t>
  </si>
  <si>
    <t>customer1012@example.com</t>
  </si>
  <si>
    <t>ORD-100712</t>
  </si>
  <si>
    <t>customer1341@example.com</t>
  </si>
  <si>
    <t>ORD-102414</t>
  </si>
  <si>
    <t>customer0888@example.com</t>
  </si>
  <si>
    <t>ORD-101775</t>
  </si>
  <si>
    <t>customer1380@example.com</t>
  </si>
  <si>
    <t>ORD-100886</t>
  </si>
  <si>
    <t>customer0387@example.com</t>
  </si>
  <si>
    <t>ORD-102758</t>
  </si>
  <si>
    <t>customer0845@example.com</t>
  </si>
  <si>
    <t>ORD-101484</t>
  </si>
  <si>
    <t>customer0646@example.com</t>
  </si>
  <si>
    <t>ORD-100275</t>
  </si>
  <si>
    <t>customer1325@example.com</t>
  </si>
  <si>
    <t>ORD-100538</t>
  </si>
  <si>
    <t>customer0691@example.com</t>
  </si>
  <si>
    <t>ORD-101471</t>
  </si>
  <si>
    <t>customer1269@example.com</t>
  </si>
  <si>
    <t>ORD-100871</t>
  </si>
  <si>
    <t>customer1145@example.com</t>
  </si>
  <si>
    <t>ORD-100752</t>
  </si>
  <si>
    <t>customer0110@example.com</t>
  </si>
  <si>
    <t>ORD-100584</t>
  </si>
  <si>
    <t>customer0594@example.com</t>
  </si>
  <si>
    <t>ORD-101718</t>
  </si>
  <si>
    <t>customer0437@example.com</t>
  </si>
  <si>
    <t>ORD-101422</t>
  </si>
  <si>
    <t>customer0384@example.com</t>
  </si>
  <si>
    <t>ORD-101987</t>
  </si>
  <si>
    <t>customer1179@example.com</t>
  </si>
  <si>
    <t>ORD-101643</t>
  </si>
  <si>
    <t>customer1260@example.com</t>
  </si>
  <si>
    <t>ORD-102042</t>
  </si>
  <si>
    <t>customer0424@example.com</t>
  </si>
  <si>
    <t>ORD-101991</t>
  </si>
  <si>
    <t>customer0806@example.com</t>
  </si>
  <si>
    <t>ORD-102628</t>
  </si>
  <si>
    <t>customer0829@example.com</t>
  </si>
  <si>
    <t>98.68</t>
  </si>
  <si>
    <t>ORD-102662</t>
  </si>
  <si>
    <t>01/29/2026</t>
  </si>
  <si>
    <t>customer0040@example.com</t>
  </si>
  <si>
    <t>ORD-101806</t>
  </si>
  <si>
    <t>customer0328@example.com</t>
  </si>
  <si>
    <t>ORD-101433</t>
  </si>
  <si>
    <t>customer1317@example.com</t>
  </si>
  <si>
    <t>ORD-100274</t>
  </si>
  <si>
    <t>customer0032@example.com</t>
  </si>
  <si>
    <t>ORD-102921</t>
  </si>
  <si>
    <t>03/18/2026</t>
  </si>
  <si>
    <t>customer0797@example.com</t>
  </si>
  <si>
    <t>ORD-101053</t>
  </si>
  <si>
    <t>customer1374@example.com</t>
  </si>
  <si>
    <t>ORD-100874</t>
  </si>
  <si>
    <t>01/25/2026</t>
  </si>
  <si>
    <t>customer0174@example.com</t>
  </si>
  <si>
    <t>213.30</t>
  </si>
  <si>
    <t>ORD-101403</t>
  </si>
  <si>
    <t>customer0925@example.com</t>
  </si>
  <si>
    <t>ORD-101491</t>
  </si>
  <si>
    <t>customer0900@example.com</t>
  </si>
  <si>
    <t>ORD-100823</t>
  </si>
  <si>
    <t>customer1280@example.com</t>
  </si>
  <si>
    <t>ORD-102172</t>
  </si>
  <si>
    <t>customer0953@example.com</t>
  </si>
  <si>
    <t>ORD-101999</t>
  </si>
  <si>
    <t>customer1107@example.com</t>
  </si>
  <si>
    <t>ORD-102004</t>
  </si>
  <si>
    <t>customer0964@example.com</t>
  </si>
  <si>
    <t>ORD-101840</t>
  </si>
  <si>
    <t>05/28/2026</t>
  </si>
  <si>
    <t>customer0192@example.com</t>
  </si>
  <si>
    <t>ORD-102308</t>
  </si>
  <si>
    <t>customer0617@example.com</t>
  </si>
  <si>
    <t>ORD-101623</t>
  </si>
  <si>
    <t>customer1376@example.com</t>
  </si>
  <si>
    <t>GBP134.10</t>
  </si>
  <si>
    <t>ORD-102218</t>
  </si>
  <si>
    <t>01/22/2026</t>
  </si>
  <si>
    <t>customer1170@example.com</t>
  </si>
  <si>
    <t>£11.25</t>
  </si>
  <si>
    <t>ORD-100897</t>
  </si>
  <si>
    <t>customer0800@example.com</t>
  </si>
  <si>
    <t>ORD-101566</t>
  </si>
  <si>
    <t>03/31/2026</t>
  </si>
  <si>
    <t>customer1203@example.com</t>
  </si>
  <si>
    <t>ORD-101416</t>
  </si>
  <si>
    <t>customer0059@example.com</t>
  </si>
  <si>
    <t>ORD-102022</t>
  </si>
  <si>
    <t>ORD-101515</t>
  </si>
  <si>
    <t>customer0159@example.com</t>
  </si>
  <si>
    <t>ORD-101988</t>
  </si>
  <si>
    <t>customer0664@example.com</t>
  </si>
  <si>
    <t>-190.00</t>
  </si>
  <si>
    <t>ORD-100455</t>
  </si>
  <si>
    <t>customer1256@example.com</t>
  </si>
  <si>
    <t>£79.00</t>
  </si>
  <si>
    <t>ORD-102262</t>
  </si>
  <si>
    <t>04/27/2026</t>
  </si>
  <si>
    <t>customer1188@example.com</t>
  </si>
  <si>
    <t>ORD-102150</t>
  </si>
  <si>
    <t>customer1121@example.com</t>
  </si>
  <si>
    <t>ORD-101439</t>
  </si>
  <si>
    <t>customer0440@example.com</t>
  </si>
  <si>
    <t>-135.00</t>
  </si>
  <si>
    <t>ORD-101592</t>
  </si>
  <si>
    <t>customer1310@example.com</t>
  </si>
  <si>
    <t>ORD-102836</t>
  </si>
  <si>
    <t>customer1308@example.com</t>
  </si>
  <si>
    <t>ORD-101782</t>
  </si>
  <si>
    <t>customer0697@example.com</t>
  </si>
  <si>
    <t>ORD-101129</t>
  </si>
  <si>
    <t>customer1370@example.com</t>
  </si>
  <si>
    <t>21.25</t>
  </si>
  <si>
    <t>ORD-102584</t>
  </si>
  <si>
    <t>ORD-102088</t>
  </si>
  <si>
    <t>ORD-101052</t>
  </si>
  <si>
    <t>04/14/2026</t>
  </si>
  <si>
    <t>ORD-101780</t>
  </si>
  <si>
    <t>customer0935@example.com</t>
  </si>
  <si>
    <t>ORD-101430</t>
  </si>
  <si>
    <t>customer0264@example.com</t>
  </si>
  <si>
    <t>ORD-100440</t>
  </si>
  <si>
    <t>customer0609@example.com</t>
  </si>
  <si>
    <t>ORD-100221</t>
  </si>
  <si>
    <t>customer0118@example.com</t>
  </si>
  <si>
    <t>ORD-101883</t>
  </si>
  <si>
    <t>customer0298@example.com</t>
  </si>
  <si>
    <t>ORD-100297</t>
  </si>
  <si>
    <t>customer1064@example.com</t>
  </si>
  <si>
    <t>191.97</t>
  </si>
  <si>
    <t>ORD-100508</t>
  </si>
  <si>
    <t>customer0050@example.com</t>
  </si>
  <si>
    <t>GBP89.00</t>
  </si>
  <si>
    <t>ORD-101368</t>
  </si>
  <si>
    <t>ORD-100078</t>
  </si>
  <si>
    <t>customer1172@example.com</t>
  </si>
  <si>
    <t>GBP24.00</t>
  </si>
  <si>
    <t>ORD-101657</t>
  </si>
  <si>
    <t>customer0134@example.com</t>
  </si>
  <si>
    <t>ORD-100098</t>
  </si>
  <si>
    <t>customer0867@example.com</t>
  </si>
  <si>
    <t>ORD-102536</t>
  </si>
  <si>
    <t>customer0654@example.com</t>
  </si>
  <si>
    <t>GBP71.10</t>
  </si>
  <si>
    <t>ORD-102493</t>
  </si>
  <si>
    <t>01/15/2026</t>
  </si>
  <si>
    <t>customer0793@example.com</t>
  </si>
  <si>
    <t>ORD-102238</t>
  </si>
  <si>
    <t>customer0454@example.com</t>
  </si>
  <si>
    <t>ORD-100617</t>
  </si>
  <si>
    <t>customer0297@example.com</t>
  </si>
  <si>
    <t>ORD-101760</t>
  </si>
  <si>
    <t>customer0470@example.com</t>
  </si>
  <si>
    <t>ORD-102723</t>
  </si>
  <si>
    <t>ORD-101923</t>
  </si>
  <si>
    <t>customer0865@example.com</t>
  </si>
  <si>
    <t>ORD-101003</t>
  </si>
  <si>
    <t>customer1294@example.com</t>
  </si>
  <si>
    <t>ORD-100634</t>
  </si>
  <si>
    <t>customer0295@example.com</t>
  </si>
  <si>
    <t>£134.10</t>
  </si>
  <si>
    <t>107.28</t>
  </si>
  <si>
    <t>ORD-100478</t>
  </si>
  <si>
    <t>ORD-101518</t>
  </si>
  <si>
    <t>customer0721@example.com</t>
  </si>
  <si>
    <t>ORD-102997</t>
  </si>
  <si>
    <t>customer0608@example.com</t>
  </si>
  <si>
    <t>ORD-101244</t>
  </si>
  <si>
    <t>ORD-102913</t>
  </si>
  <si>
    <t>customer1080@example.com</t>
  </si>
  <si>
    <t>ORD-102120</t>
  </si>
  <si>
    <t>ORD-100016</t>
  </si>
  <si>
    <t>customer0260@example.com</t>
  </si>
  <si>
    <t>ORD-102162</t>
  </si>
  <si>
    <t>03/13/2026</t>
  </si>
  <si>
    <t>customer0120@example.com</t>
  </si>
  <si>
    <t>ORD-100340</t>
  </si>
  <si>
    <t>customer1077@example.com</t>
  </si>
  <si>
    <t>ORD-100834</t>
  </si>
  <si>
    <t>customer0048@example.com</t>
  </si>
  <si>
    <t>ORD-100861</t>
  </si>
  <si>
    <t>customer0312@example.com</t>
  </si>
  <si>
    <t>ORD-102409</t>
  </si>
  <si>
    <t>customer0971@example.com</t>
  </si>
  <si>
    <t>145.35</t>
  </si>
  <si>
    <t>ORD-101406</t>
  </si>
  <si>
    <t>ORD-102702</t>
  </si>
  <si>
    <t>customer0346@example.com</t>
  </si>
  <si>
    <t>71.20</t>
  </si>
  <si>
    <t>ORD-100212</t>
  </si>
  <si>
    <t>customer1093@example.com</t>
  </si>
  <si>
    <t>ORD-102691</t>
  </si>
  <si>
    <t>ORD-101984</t>
  </si>
  <si>
    <t>ORD-102919</t>
  </si>
  <si>
    <t>ORD-100627</t>
  </si>
  <si>
    <t>ORD-102098</t>
  </si>
  <si>
    <t>customer0641@example.com</t>
  </si>
  <si>
    <t>ORD-101185</t>
  </si>
  <si>
    <t>ORD-100615</t>
  </si>
  <si>
    <t>customer0881@example.com</t>
  </si>
  <si>
    <t>ORD-102813</t>
  </si>
  <si>
    <t>customer0855@example.com</t>
  </si>
  <si>
    <t>ORD-101695</t>
  </si>
  <si>
    <t>customer0155@example.com</t>
  </si>
  <si>
    <t>ORD-100217</t>
  </si>
  <si>
    <t>customer1115@example.com</t>
  </si>
  <si>
    <t>ORD-100452</t>
  </si>
  <si>
    <t>customer0823@example.com</t>
  </si>
  <si>
    <t>38.40</t>
  </si>
  <si>
    <t>ORD-100830</t>
  </si>
  <si>
    <t>ORD-100982</t>
  </si>
  <si>
    <t>customer1167@example.com</t>
  </si>
  <si>
    <t>ORD-102006</t>
  </si>
  <si>
    <t>customer0739@example.com</t>
  </si>
  <si>
    <t>ORD-101446</t>
  </si>
  <si>
    <t>customer0980@example.com</t>
  </si>
  <si>
    <t>ORD-100289</t>
  </si>
  <si>
    <t>customer0707@example.com</t>
  </si>
  <si>
    <t>ORD-102317</t>
  </si>
  <si>
    <t>customer0271@example.com</t>
  </si>
  <si>
    <t>ORD-100934</t>
  </si>
  <si>
    <t>customer0947@example.com</t>
  </si>
  <si>
    <t>ORD-100878</t>
  </si>
  <si>
    <t>customer1247@example.com</t>
  </si>
  <si>
    <t>£89.00</t>
  </si>
  <si>
    <t>ORD-102381</t>
  </si>
  <si>
    <t>customer0934@example.com</t>
  </si>
  <si>
    <t>ORD-101911</t>
  </si>
  <si>
    <t>customer0508@example.com</t>
  </si>
  <si>
    <t>ORD-100949</t>
  </si>
  <si>
    <t>customer0762@example.com</t>
  </si>
  <si>
    <t>£149.00</t>
  </si>
  <si>
    <t>ORD-101101</t>
  </si>
  <si>
    <t>customer0547@example.com</t>
  </si>
  <si>
    <t>ORD-101950</t>
  </si>
  <si>
    <t>customer0505@example.com</t>
  </si>
  <si>
    <t>ORD-101487</t>
  </si>
  <si>
    <t>customer1148@example.com</t>
  </si>
  <si>
    <t>ORD-101638</t>
  </si>
  <si>
    <t>customer0972@example.com</t>
  </si>
  <si>
    <t>ORD-100434</t>
  </si>
  <si>
    <t>02/17/2026</t>
  </si>
  <si>
    <t>customer0099@example.com</t>
  </si>
  <si>
    <t>ORD-100407</t>
  </si>
  <si>
    <t>customer1389@example.com</t>
  </si>
  <si>
    <t>£21.60</t>
  </si>
  <si>
    <t>ORD-100227</t>
  </si>
  <si>
    <t>customer1147@example.com</t>
  </si>
  <si>
    <t>ORD-101296</t>
  </si>
  <si>
    <t>ORD-100060</t>
  </si>
  <si>
    <t>customer0038@example.com</t>
  </si>
  <si>
    <t>ORD-102878</t>
  </si>
  <si>
    <t>02/23/2026</t>
  </si>
  <si>
    <t>customer0242@example.com</t>
  </si>
  <si>
    <t>-25.00</t>
  </si>
  <si>
    <t>ORD-100270</t>
  </si>
  <si>
    <t>customer1261@example.com</t>
  </si>
  <si>
    <t>ORD-102099</t>
  </si>
  <si>
    <t>customer0031@example.com</t>
  </si>
  <si>
    <t>ORD-102314</t>
  </si>
  <si>
    <t>customer0852@example.com</t>
  </si>
  <si>
    <t>ORD-101309</t>
  </si>
  <si>
    <t>02/20/2026</t>
  </si>
  <si>
    <t>customer0963@example.com</t>
  </si>
  <si>
    <t>ORD-101464</t>
  </si>
  <si>
    <t>06/19/2026</t>
  </si>
  <si>
    <t>ORD-101636</t>
  </si>
  <si>
    <t>customer0130@example.com</t>
  </si>
  <si>
    <t>-22.50</t>
  </si>
  <si>
    <t>ORD-102245</t>
  </si>
  <si>
    <t>customer0868@example.com</t>
  </si>
  <si>
    <t>ORD-100306</t>
  </si>
  <si>
    <t>customer1204@example.com</t>
  </si>
  <si>
    <t>185.76</t>
  </si>
  <si>
    <t>ORD-102895</t>
  </si>
  <si>
    <t>customer0349@example.com</t>
  </si>
  <si>
    <t>ORD-100352</t>
  </si>
  <si>
    <t>customer1150@example.com</t>
  </si>
  <si>
    <t>ORD-100273</t>
  </si>
  <si>
    <t>customer0014@example.com</t>
  </si>
  <si>
    <t>ORD-101451</t>
  </si>
  <si>
    <t>customer1014@example.com</t>
  </si>
  <si>
    <t>ORD-101215</t>
  </si>
  <si>
    <t>01/28/2026</t>
  </si>
  <si>
    <t>ORD-101331</t>
  </si>
  <si>
    <t>ORD-102153</t>
  </si>
  <si>
    <t>ORD-102576</t>
  </si>
  <si>
    <t>customer0567@example.com</t>
  </si>
  <si>
    <t>ORD-102368</t>
  </si>
  <si>
    <t>ORD-100639</t>
  </si>
  <si>
    <t>ORD-101233</t>
  </si>
  <si>
    <t>customer1213@example.com</t>
  </si>
  <si>
    <t>ORD-100057</t>
  </si>
  <si>
    <t>ORD-102337</t>
  </si>
  <si>
    <t>customer1097@example.com</t>
  </si>
  <si>
    <t>ORD-102524</t>
  </si>
  <si>
    <t>customer0705@example.com</t>
  </si>
  <si>
    <t>ORD-100992</t>
  </si>
  <si>
    <t>ORD-100730</t>
  </si>
  <si>
    <t>04/28/2026</t>
  </si>
  <si>
    <t>customer1309@example.com</t>
  </si>
  <si>
    <t>ORD-102985</t>
  </si>
  <si>
    <t>customer0491@example.com</t>
  </si>
  <si>
    <t>ORD-102805</t>
  </si>
  <si>
    <t>customer1246@example.com</t>
  </si>
  <si>
    <t>ORD-102490</t>
  </si>
  <si>
    <t>ORD-100799</t>
  </si>
  <si>
    <t>customer0317@example.com</t>
  </si>
  <si>
    <t>ORD-102678</t>
  </si>
  <si>
    <t>customer0299@example.com</t>
  </si>
  <si>
    <t>ORD-100846</t>
  </si>
  <si>
    <t>ORD-101043</t>
  </si>
  <si>
    <t>customer0663@example.com</t>
  </si>
  <si>
    <t>214.56</t>
  </si>
  <si>
    <t>ORD-102604</t>
  </si>
  <si>
    <t>customer0689@example.com</t>
  </si>
  <si>
    <t>ORD-100472</t>
  </si>
  <si>
    <t>customer1041@example.com</t>
  </si>
  <si>
    <t>ORD-100355</t>
  </si>
  <si>
    <t>customer0856@example.com</t>
  </si>
  <si>
    <t>ORD-102415</t>
  </si>
  <si>
    <t>customer0518@example.com</t>
  </si>
  <si>
    <t>ORD-100904</t>
  </si>
  <si>
    <t>customer0957@example.com</t>
  </si>
  <si>
    <t>ORD-101183</t>
  </si>
  <si>
    <t>customer0730@example.com</t>
  </si>
  <si>
    <t>ORD-100161</t>
  </si>
  <si>
    <t>customer0677@example.com</t>
  </si>
  <si>
    <t>ORD-102897</t>
  </si>
  <si>
    <t>customer0112@example.com</t>
  </si>
  <si>
    <t>ORD-102867</t>
  </si>
  <si>
    <t>customer0743@example.com</t>
  </si>
  <si>
    <t>ORD-102714</t>
  </si>
  <si>
    <t>ORD-101502</t>
  </si>
  <si>
    <t>customer1237@example.com</t>
  </si>
  <si>
    <t>-158.00</t>
  </si>
  <si>
    <t>ORD-102087</t>
  </si>
  <si>
    <t>customer0053@example.com</t>
  </si>
  <si>
    <t>ORD-100234</t>
  </si>
  <si>
    <t>customer0988@example.com</t>
  </si>
  <si>
    <t>ORD-101815</t>
  </si>
  <si>
    <t>customer0413@example.com</t>
  </si>
  <si>
    <t>ORD-100429</t>
  </si>
  <si>
    <t>240.30</t>
  </si>
  <si>
    <t>ORD-102276</t>
  </si>
  <si>
    <t>customer0125@example.com</t>
  </si>
  <si>
    <t>ORD-102061</t>
  </si>
  <si>
    <t>customer0244@example.com</t>
  </si>
  <si>
    <t>ORD-102505</t>
  </si>
  <si>
    <t>customer0726@example.com</t>
  </si>
  <si>
    <t>ORD-101287</t>
  </si>
  <si>
    <t>customer0107@example.com</t>
  </si>
  <si>
    <t>ORD-101728</t>
  </si>
  <si>
    <t>customer1095@example.com</t>
  </si>
  <si>
    <t>ORD-101852</t>
  </si>
  <si>
    <t>customer0071@example.com</t>
  </si>
  <si>
    <t>ORD-100746</t>
  </si>
  <si>
    <t>customer0944@example.com</t>
  </si>
  <si>
    <t>362.07</t>
  </si>
  <si>
    <t>ORD-101899</t>
  </si>
  <si>
    <t>customer0091@example.com</t>
  </si>
  <si>
    <t>ORD-102352</t>
  </si>
  <si>
    <t>customer0262@example.com</t>
  </si>
  <si>
    <t>ORD-100416</t>
  </si>
  <si>
    <t>customer0309@example.com</t>
  </si>
  <si>
    <t>ORD-102444</t>
  </si>
  <si>
    <t>ORD-101534</t>
  </si>
  <si>
    <t>03/16/2026</t>
  </si>
  <si>
    <t>customer0487@example.com</t>
  </si>
  <si>
    <t>ORD-101150</t>
  </si>
  <si>
    <t>customer1241@example.com</t>
  </si>
  <si>
    <t>ORD-100493</t>
  </si>
  <si>
    <t>customer1218@example.com</t>
  </si>
  <si>
    <t>208.98</t>
  </si>
  <si>
    <t>ORD-102582</t>
  </si>
  <si>
    <t>03/26/2026</t>
  </si>
  <si>
    <t>ORD-100369</t>
  </si>
  <si>
    <t>customer0079@example.com</t>
  </si>
  <si>
    <t>ORD-101597</t>
  </si>
  <si>
    <t>customer0367@example.com</t>
  </si>
  <si>
    <t>ORD-101155</t>
  </si>
  <si>
    <t>customer0239@example.com</t>
  </si>
  <si>
    <t>ORD-100262</t>
  </si>
  <si>
    <t>ORD-102034</t>
  </si>
  <si>
    <t>ORD-100375</t>
  </si>
  <si>
    <t>05/31/2026</t>
  </si>
  <si>
    <t>customer0393@example.com</t>
  </si>
  <si>
    <t>ORD-100596</t>
  </si>
  <si>
    <t>customer0885@example.com</t>
  </si>
  <si>
    <t>ORD-100780</t>
  </si>
  <si>
    <t>customer1375@example.com</t>
  </si>
  <si>
    <t>ORD-101787</t>
  </si>
  <si>
    <t>customer1239@example.com</t>
  </si>
  <si>
    <t>-227.97</t>
  </si>
  <si>
    <t>ORD-101051</t>
  </si>
  <si>
    <t>ORD-102445</t>
  </si>
  <si>
    <t>customer0685@example.com</t>
  </si>
  <si>
    <t>ORD-101789</t>
  </si>
  <si>
    <t>customer0529@example.com</t>
  </si>
  <si>
    <t>ORD-101696</t>
  </si>
  <si>
    <t>ORD-100855</t>
  </si>
  <si>
    <t>04/20/2026</t>
  </si>
  <si>
    <t>customer1119@example.com</t>
  </si>
  <si>
    <t>ORD-101135</t>
  </si>
  <si>
    <t>ORD-101781</t>
  </si>
  <si>
    <t>ORD-102692</t>
  </si>
  <si>
    <t>customer0490@example.com</t>
  </si>
  <si>
    <t>ORD-100729</t>
  </si>
  <si>
    <t>customer0556@example.com</t>
  </si>
  <si>
    <t>ORD-101666</t>
  </si>
  <si>
    <t>customer0528@example.com</t>
  </si>
  <si>
    <t>ORD-102816</t>
  </si>
  <si>
    <t>ORD-101616</t>
  </si>
  <si>
    <t>ORD-100648</t>
  </si>
  <si>
    <t>customer1096@example.com</t>
  </si>
  <si>
    <t>ORD-100287</t>
  </si>
  <si>
    <t>customer0679@example.com</t>
  </si>
  <si>
    <t>ORD-101231</t>
  </si>
  <si>
    <t>ORD-100899</t>
  </si>
  <si>
    <t>ORD-102744</t>
  </si>
  <si>
    <t>customer1238@example.com</t>
  </si>
  <si>
    <t>ORD-100499</t>
  </si>
  <si>
    <t>01/21/2026</t>
  </si>
  <si>
    <t>ORD-101778</t>
  </si>
  <si>
    <t>06/16/2026</t>
  </si>
  <si>
    <t>customer0054@example.com</t>
  </si>
  <si>
    <t>ORD-100459</t>
  </si>
  <si>
    <t>customer1372@example.com</t>
  </si>
  <si>
    <t>ORD-100108</t>
  </si>
  <si>
    <t>customer1314@example.com</t>
  </si>
  <si>
    <t>ORD-102351</t>
  </si>
  <si>
    <t>customer0593@example.com</t>
  </si>
  <si>
    <t>153.90</t>
  </si>
  <si>
    <t>ORD-102107</t>
  </si>
  <si>
    <t>customer0559@example.com</t>
  </si>
  <si>
    <t>ORD-101733</t>
  </si>
  <si>
    <t>05/14/2026</t>
  </si>
  <si>
    <t>customer0999@example.com</t>
  </si>
  <si>
    <t>ORD-100636</t>
  </si>
  <si>
    <t>customer1297@example.com</t>
  </si>
  <si>
    <t>ORD-100513</t>
  </si>
  <si>
    <t>ORD-101081</t>
  </si>
  <si>
    <t>ORD-102342</t>
  </si>
  <si>
    <t>customer0175@example.com</t>
  </si>
  <si>
    <t>ORD-101194</t>
  </si>
  <si>
    <t>ORD-100074</t>
  </si>
  <si>
    <t>customer1162@example.com</t>
  </si>
  <si>
    <t>ORD-102495</t>
  </si>
  <si>
    <t>customer0997@example.com</t>
  </si>
  <si>
    <t>ORD-100316</t>
  </si>
  <si>
    <t>ORD-101614</t>
  </si>
  <si>
    <t>customer0340@example.com</t>
  </si>
  <si>
    <t>ORD-100232</t>
  </si>
  <si>
    <t>customer0252@example.com</t>
  </si>
  <si>
    <t>ORD-102922</t>
  </si>
  <si>
    <t>customer0179@example.com</t>
  </si>
  <si>
    <t>ORD-100933</t>
  </si>
  <si>
    <t>ORD-100213</t>
  </si>
  <si>
    <t>customer0333@example.com</t>
  </si>
  <si>
    <t>ORD-102610</t>
  </si>
  <si>
    <t>ORD-101254</t>
  </si>
  <si>
    <t>ORD-101080</t>
  </si>
  <si>
    <t>customer0538@example.com</t>
  </si>
  <si>
    <t>ORD-102165</t>
  </si>
  <si>
    <t>customer0051@example.com</t>
  </si>
  <si>
    <t>ORD-100840</t>
  </si>
  <si>
    <t>customer1275@example.com</t>
  </si>
  <si>
    <t>ORD-101858</t>
  </si>
  <si>
    <t>customer1396@example.com</t>
  </si>
  <si>
    <t>ORD-101210</t>
  </si>
  <si>
    <t>customer0811@example.com</t>
  </si>
  <si>
    <t>ORD-102224</t>
  </si>
  <si>
    <t>customer0783@example.com</t>
  </si>
  <si>
    <t>ORD-100266</t>
  </si>
  <si>
    <t>customer1050@example.com</t>
  </si>
  <si>
    <t>ORD-101621</t>
  </si>
  <si>
    <t>06/21/2026</t>
  </si>
  <si>
    <t>customer0949@example.com</t>
  </si>
  <si>
    <t>ORD-102104</t>
  </si>
  <si>
    <t>customer1321@example.com</t>
  </si>
  <si>
    <t>£12.50</t>
  </si>
  <si>
    <t>ORD-101472</t>
  </si>
  <si>
    <t>ORD-100190</t>
  </si>
  <si>
    <t>customer0818@example.com</t>
  </si>
  <si>
    <t>ORD-100975</t>
  </si>
  <si>
    <t>03/23/2026</t>
  </si>
  <si>
    <t>ORD-102961</t>
  </si>
  <si>
    <t>customer1116@example.com</t>
  </si>
  <si>
    <t>ORD-100807</t>
  </si>
  <si>
    <t>£129.00</t>
  </si>
  <si>
    <t>ORD-101453</t>
  </si>
  <si>
    <t>customer0731@example.com</t>
  </si>
  <si>
    <t>ORD-101195</t>
  </si>
  <si>
    <t>customer1333@example.com</t>
  </si>
  <si>
    <t>ORD-102204</t>
  </si>
  <si>
    <t>customer0322@example.com</t>
  </si>
  <si>
    <t>ORD-102884</t>
  </si>
  <si>
    <t>customer0141@example.com</t>
  </si>
  <si>
    <t>ORD-100417</t>
  </si>
  <si>
    <t>ORD-101045</t>
  </si>
  <si>
    <t>customer0780@example.com</t>
  </si>
  <si>
    <t>ORD-100055</t>
  </si>
  <si>
    <t>ORD-102738</t>
  </si>
  <si>
    <t>customer0967@example.com</t>
  </si>
  <si>
    <t>ORD-102947</t>
  </si>
  <si>
    <t>ORD-100176</t>
  </si>
  <si>
    <t>customer0066@example.com</t>
  </si>
  <si>
    <t>ORD-100002</t>
  </si>
  <si>
    <t>customer0534@example.com</t>
  </si>
  <si>
    <t>ORD-102157</t>
  </si>
  <si>
    <t>customer1082@example.com</t>
  </si>
  <si>
    <t>ORD-101601</t>
  </si>
  <si>
    <t>04/25/2026</t>
  </si>
  <si>
    <t>ORD-101074</t>
  </si>
  <si>
    <t>ORD-100942</t>
  </si>
  <si>
    <t>customer0241@example.com</t>
  </si>
  <si>
    <t>ORD-100366</t>
  </si>
  <si>
    <t>ORD-102877</t>
  </si>
  <si>
    <t>ORD-101983</t>
  </si>
  <si>
    <t>customer0319@example.com</t>
  </si>
  <si>
    <t>197.37</t>
  </si>
  <si>
    <t>ORD-101503</t>
  </si>
  <si>
    <t>ORD-102601</t>
  </si>
  <si>
    <t>customer0445@example.com</t>
  </si>
  <si>
    <t>ORD-102788</t>
  </si>
  <si>
    <t>ORD-101798</t>
  </si>
  <si>
    <t>customer1340@example.com</t>
  </si>
  <si>
    <t>ORD-101894</t>
  </si>
  <si>
    <t>ORD-100813</t>
  </si>
  <si>
    <t>customer0276@example.com</t>
  </si>
  <si>
    <t>ORD-101145</t>
  </si>
  <si>
    <t>customer0656@example.com</t>
  </si>
  <si>
    <t>ORD-101765</t>
  </si>
  <si>
    <t>customer1083@example.com</t>
  </si>
  <si>
    <t>ORD-100197</t>
  </si>
  <si>
    <t>customer1281@example.com</t>
  </si>
  <si>
    <t>119.20</t>
  </si>
  <si>
    <t>ORD-101323</t>
  </si>
  <si>
    <t>ORD-101147</t>
  </si>
  <si>
    <t>customer1348@example.com</t>
  </si>
  <si>
    <t>ORD-102804</t>
  </si>
  <si>
    <t>customer1286@example.com</t>
  </si>
  <si>
    <t>ORD-101409</t>
  </si>
  <si>
    <t>ORD-101769</t>
  </si>
  <si>
    <t>customer0399@example.com</t>
  </si>
  <si>
    <t>ORD-101169</t>
  </si>
  <si>
    <t>customer0680@example.com</t>
  </si>
  <si>
    <t>ORD-100632</t>
  </si>
  <si>
    <t>customer0837@example.com</t>
  </si>
  <si>
    <t>ORD-102853</t>
  </si>
  <si>
    <t>02/21/2026</t>
  </si>
  <si>
    <t>customer1168@example.com</t>
  </si>
  <si>
    <t>ORD-100258</t>
  </si>
  <si>
    <t>customer0193@example.com</t>
  </si>
  <si>
    <t>ORD-100029</t>
  </si>
  <si>
    <t>customer0474@example.com</t>
  </si>
  <si>
    <t>ORD-100658</t>
  </si>
  <si>
    <t>customer0978@example.com</t>
  </si>
  <si>
    <t>ORD-102380</t>
  </si>
  <si>
    <t>customer1207@example.com</t>
  </si>
  <si>
    <t>ORD-100671</t>
  </si>
  <si>
    <t>customer0986@example.com</t>
  </si>
  <si>
    <t>ORD-102147</t>
  </si>
  <si>
    <t>customer0914@example.com</t>
  </si>
  <si>
    <t>ORD-102861</t>
  </si>
  <si>
    <t>customer0248@example.com</t>
  </si>
  <si>
    <t>ORD-102790</t>
  </si>
  <si>
    <t>05/16/2026</t>
  </si>
  <si>
    <t>customer1202@example.com</t>
  </si>
  <si>
    <t>ORD-100578</t>
  </si>
  <si>
    <t>customer0669@example.com</t>
  </si>
  <si>
    <t>-48.00</t>
  </si>
  <si>
    <t>ORD-100714</t>
  </si>
  <si>
    <t>ORD-102666</t>
  </si>
  <si>
    <t>customer0668@example.com</t>
  </si>
  <si>
    <t>ORD-100766</t>
  </si>
  <si>
    <t>customer0643@example.com</t>
  </si>
  <si>
    <t>ORD-100066</t>
  </si>
  <si>
    <t>customer0604@example.com</t>
  </si>
  <si>
    <t>ORD-100821</t>
  </si>
  <si>
    <t>customer0404@example.com</t>
  </si>
  <si>
    <t>ORD-101537</t>
  </si>
  <si>
    <t>04/16/2026</t>
  </si>
  <si>
    <t>ORD-102254</t>
  </si>
  <si>
    <t>customer1320@example.com</t>
  </si>
  <si>
    <t>ORD-101407</t>
  </si>
  <si>
    <t>ORD-102858</t>
  </si>
  <si>
    <t>ORD-101198</t>
  </si>
  <si>
    <t>customer0571@example.com</t>
  </si>
  <si>
    <t>ORD-100633</t>
  </si>
  <si>
    <t>customer0026@example.com</t>
  </si>
  <si>
    <t>ORD-102070</t>
  </si>
  <si>
    <t>customer0224@example.com</t>
  </si>
  <si>
    <t>ORD-101312</t>
  </si>
  <si>
    <t>customer1266@example.com</t>
  </si>
  <si>
    <t>ORD-101228</t>
  </si>
  <si>
    <t>customer1296@example.com</t>
  </si>
  <si>
    <t>ORD-101831</t>
  </si>
  <si>
    <t>customer0335@example.com</t>
  </si>
  <si>
    <t>ORD-102537</t>
  </si>
  <si>
    <t>customer0350@example.com</t>
  </si>
  <si>
    <t>ORD-102327</t>
  </si>
  <si>
    <t>customer0692@example.com</t>
  </si>
  <si>
    <t>ORD-102350</t>
  </si>
  <si>
    <t>customer0446@example.com</t>
  </si>
  <si>
    <t>ORD-101258</t>
  </si>
  <si>
    <t>customer0162@example.com</t>
  </si>
  <si>
    <t>ORD-100872</t>
  </si>
  <si>
    <t>ORD-101953</t>
  </si>
  <si>
    <t>customer0892@example.com</t>
  </si>
  <si>
    <t>ORD-102854</t>
  </si>
  <si>
    <t>customer0223@example.com</t>
  </si>
  <si>
    <t>ORD-101941</t>
  </si>
  <si>
    <t>customer0378@example.com</t>
  </si>
  <si>
    <t>ORD-100174</t>
  </si>
  <si>
    <t>customer0277@example.com</t>
  </si>
  <si>
    <t>ORD-102253</t>
  </si>
  <si>
    <t>customer1099@example.com</t>
  </si>
  <si>
    <t>ORD-101803</t>
  </si>
  <si>
    <t>ORD-101942</t>
  </si>
  <si>
    <t>customer0088@example.com</t>
  </si>
  <si>
    <t>ORD-101847</t>
  </si>
  <si>
    <t>customer0482@example.com</t>
  </si>
  <si>
    <t>-89.00</t>
  </si>
  <si>
    <t>ORD-100106</t>
  </si>
  <si>
    <t>customer0081@example.com</t>
  </si>
  <si>
    <t>ORD-102538</t>
  </si>
  <si>
    <t>customer0759@example.com</t>
  </si>
  <si>
    <t>ORD-100231</t>
  </si>
  <si>
    <t>customer0742@example.com</t>
  </si>
  <si>
    <t>ORD-100378</t>
  </si>
  <si>
    <t>customer0128@example.com</t>
  </si>
  <si>
    <t>ORD-101361</t>
  </si>
  <si>
    <t>customer1352@example.com</t>
  </si>
  <si>
    <t>ORD-102114</t>
  </si>
  <si>
    <t>ORD-101105</t>
  </si>
  <si>
    <t>ORD-102138</t>
  </si>
  <si>
    <t>customer0464@example.com</t>
  </si>
  <si>
    <t>ORD-100180</t>
  </si>
  <si>
    <t>customer0631@example.com</t>
  </si>
  <si>
    <t>ORD-102142</t>
  </si>
  <si>
    <t>ORD-102627</t>
  </si>
  <si>
    <t>customer0129@example.com</t>
  </si>
  <si>
    <t>ORD-101753</t>
  </si>
  <si>
    <t>customer1103@example.com</t>
  </si>
  <si>
    <t>ORD-100113</t>
  </si>
  <si>
    <t>customer0442@example.com</t>
  </si>
  <si>
    <t>ORD-101252</t>
  </si>
  <si>
    <t>customer0406@example.com</t>
  </si>
  <si>
    <t>ORD-100895</t>
  </si>
  <si>
    <t>customer1315@example.com</t>
  </si>
  <si>
    <t>ORD-100567</t>
  </si>
  <si>
    <t>customer0497@example.com</t>
  </si>
  <si>
    <t>ORD-100088</t>
  </si>
  <si>
    <t>ORD-101986</t>
  </si>
  <si>
    <t>customer0901@example.com</t>
  </si>
  <si>
    <t>ORD-102108</t>
  </si>
  <si>
    <t>customer1043@example.com</t>
  </si>
  <si>
    <t>109.65</t>
  </si>
  <si>
    <t>ORD-101809</t>
  </si>
  <si>
    <t>customer1344@example.com</t>
  </si>
  <si>
    <t>ORD-101473</t>
  </si>
  <si>
    <t>customer1138@example.com</t>
  </si>
  <si>
    <t>ORD-102094</t>
  </si>
  <si>
    <t>customer0630@example.com</t>
  </si>
  <si>
    <t>ORD-100793</t>
  </si>
  <si>
    <t>customer1136@example.com</t>
  </si>
  <si>
    <t>ORD-102703</t>
  </si>
  <si>
    <t>customer0261@example.com</t>
  </si>
  <si>
    <t>ORD-102898</t>
  </si>
  <si>
    <t>customer1027@example.com</t>
  </si>
  <si>
    <t>ORD-100576</t>
  </si>
  <si>
    <t>customer0422@example.com</t>
  </si>
  <si>
    <t>ORD-100421</t>
  </si>
  <si>
    <t>242.25</t>
  </si>
  <si>
    <t>ORD-101978</t>
  </si>
  <si>
    <t>customer1208@example.com</t>
  </si>
  <si>
    <t>ORD-100687</t>
  </si>
  <si>
    <t>customer0296@example.com</t>
  </si>
  <si>
    <t>ORD-101644</t>
  </si>
  <si>
    <t>ORD-101680</t>
  </si>
  <si>
    <t>customer0804@example.com</t>
  </si>
  <si>
    <t>ORD-101970</t>
  </si>
  <si>
    <t>customer0884@example.com</t>
  </si>
  <si>
    <t>ORD-101100</t>
  </si>
  <si>
    <t>ORD-100360</t>
  </si>
  <si>
    <t>customer1233@example.com</t>
  </si>
  <si>
    <t>ORD-101063</t>
  </si>
  <si>
    <t>ORD-101098</t>
  </si>
  <si>
    <t>customer1071@example.com</t>
  </si>
  <si>
    <t>ORD-102250</t>
  </si>
  <si>
    <t>customer1229@example.com</t>
  </si>
  <si>
    <t>ORD-102265</t>
  </si>
  <si>
    <t>ORD-101110</t>
  </si>
  <si>
    <t>customer1387@example.com</t>
  </si>
  <si>
    <t>ORD-101084</t>
  </si>
  <si>
    <t>ORD-102036</t>
  </si>
  <si>
    <t>customer0021@example.com</t>
  </si>
  <si>
    <t>ORD-100466</t>
  </si>
  <si>
    <t>customer0506@example.com</t>
  </si>
  <si>
    <t>GBP149.00</t>
  </si>
  <si>
    <t>ORD-102770</t>
  </si>
  <si>
    <t>customer0511@example.com</t>
  </si>
  <si>
    <t>ORD-101486</t>
  </si>
  <si>
    <t>customer0423@example.com</t>
  </si>
  <si>
    <t>ORD-101939</t>
  </si>
  <si>
    <t>customer0939@example.com</t>
  </si>
  <si>
    <t>ORD-102477</t>
  </si>
  <si>
    <t>customer0955@example.com</t>
  </si>
  <si>
    <t>ORD-100737</t>
  </si>
  <si>
    <t>customer0784@example.com</t>
  </si>
  <si>
    <t>ORD-101229</t>
  </si>
  <si>
    <t>228.00</t>
  </si>
  <si>
    <t>ORD-101709</t>
  </si>
  <si>
    <t>customer0616@example.com</t>
  </si>
  <si>
    <t>ORD-100410</t>
  </si>
  <si>
    <t>customer1189@example.com</t>
  </si>
  <si>
    <t>ORD-101802</t>
  </si>
  <si>
    <t>customer1005@example.com</t>
  </si>
  <si>
    <t>ORD-102668</t>
  </si>
  <si>
    <t>customer0781@example.com</t>
  </si>
  <si>
    <t>ORD-100751</t>
  </si>
  <si>
    <t>customer0093@example.com</t>
  </si>
  <si>
    <t>ORD-101390</t>
  </si>
  <si>
    <t>customer0723@example.com</t>
  </si>
  <si>
    <t>ORD-101278</t>
  </si>
  <si>
    <t>customer0345@example.com</t>
  </si>
  <si>
    <t>ORD-100919</t>
  </si>
  <si>
    <t>customer0133@example.com</t>
  </si>
  <si>
    <t>ORD-101131</t>
  </si>
  <si>
    <t>customer0741@example.com</t>
  </si>
  <si>
    <t>38.25</t>
  </si>
  <si>
    <t>ORD-100601</t>
  </si>
  <si>
    <t>customer0270@example.com</t>
  </si>
  <si>
    <t>ORD-100123</t>
  </si>
  <si>
    <t>customer0173@example.com</t>
  </si>
  <si>
    <t>ORD-100626</t>
  </si>
  <si>
    <t>customer0966@example.com</t>
  </si>
  <si>
    <t>ORD-102356</t>
  </si>
  <si>
    <t>customer1007@example.com</t>
  </si>
  <si>
    <t>ORD-102154</t>
  </si>
  <si>
    <t>customer0694@example.com</t>
  </si>
  <si>
    <t>ORD-102834</t>
  </si>
  <si>
    <t>customer0883@example.com</t>
  </si>
  <si>
    <t>ORD-101892</t>
  </si>
  <si>
    <t>customer1293@example.com</t>
  </si>
  <si>
    <t>ORD-100075</t>
  </si>
  <si>
    <t>customer0055@example.com</t>
  </si>
  <si>
    <t>ORD-101029</t>
  </si>
  <si>
    <t>18.36</t>
  </si>
  <si>
    <t>ORD-101385</t>
  </si>
  <si>
    <t>customer0869@example.com</t>
  </si>
  <si>
    <t>ORD-100488</t>
  </si>
  <si>
    <t>customer0841@example.com</t>
  </si>
  <si>
    <t>ORD-100403</t>
  </si>
  <si>
    <t>01/30/2026</t>
  </si>
  <si>
    <t>customer1319@example.com</t>
  </si>
  <si>
    <t>126.65</t>
  </si>
  <si>
    <t>ORD-100204</t>
  </si>
  <si>
    <t>customer0272@example.com</t>
  </si>
  <si>
    <t>ORD-102073</t>
  </si>
  <si>
    <t>06/29/2026</t>
  </si>
  <si>
    <t>customer1143@example.com</t>
  </si>
  <si>
    <t>ORD-101611</t>
  </si>
  <si>
    <t>customer0543@example.com</t>
  </si>
  <si>
    <t>ORD-102384</t>
  </si>
  <si>
    <t>ORD-100873</t>
  </si>
  <si>
    <t>customer0561@example.com</t>
  </si>
  <si>
    <t>ORD-101019</t>
  </si>
  <si>
    <t>GBP21.60</t>
  </si>
  <si>
    <t>ORD-101365</t>
  </si>
  <si>
    <t>ORD-100725</t>
  </si>
  <si>
    <t>customer1358@example.com</t>
  </si>
  <si>
    <t>ORD-100339</t>
  </si>
  <si>
    <t>customer0360@example.com</t>
  </si>
  <si>
    <t>ORD-101159</t>
  </si>
  <si>
    <t>customer0620@example.com</t>
  </si>
  <si>
    <t>ORD-101399</t>
  </si>
  <si>
    <t>05/19/2026</t>
  </si>
  <si>
    <t>customer0082@example.com</t>
  </si>
  <si>
    <t>ORD-102321</t>
  </si>
  <si>
    <t>06/26/2026</t>
  </si>
  <si>
    <t>ORD-101223</t>
  </si>
  <si>
    <t>customer1034@example.com</t>
  </si>
  <si>
    <t>ORD-102528</t>
  </si>
  <si>
    <t>customer0227@example.com</t>
  </si>
  <si>
    <t>ORD-100427</t>
  </si>
  <si>
    <t>customer0004@example.com</t>
  </si>
  <si>
    <t>ORD-100998</t>
  </si>
  <si>
    <t>customer0596@example.com</t>
  </si>
  <si>
    <t>ORD-102261</t>
  </si>
  <si>
    <t>ORD-102231</t>
  </si>
  <si>
    <t>customer1276@example.com</t>
  </si>
  <si>
    <t>ORD-102827</t>
  </si>
  <si>
    <t>ORD-101575</t>
  </si>
  <si>
    <t>ORD-102434</t>
  </si>
  <si>
    <t>ORD-100850</t>
  </si>
  <si>
    <t>customer1053@example.com</t>
  </si>
  <si>
    <t>ORD-101044</t>
  </si>
  <si>
    <t>customer1173@example.com</t>
  </si>
  <si>
    <t>ORD-101860</t>
  </si>
  <si>
    <t>customer0752@example.com</t>
  </si>
  <si>
    <t>ORD-100045</t>
  </si>
  <si>
    <t>ORD-102216</t>
  </si>
  <si>
    <t>customer0420@example.com</t>
  </si>
  <si>
    <t>ORD-101535</t>
  </si>
  <si>
    <t>customer0042@example.com</t>
  </si>
  <si>
    <t>ORD-100453</t>
  </si>
  <si>
    <t>customer1211@example.com</t>
  </si>
  <si>
    <t>-11.25</t>
  </si>
  <si>
    <t>ORD-102062</t>
  </si>
  <si>
    <t>customer0284@example.com</t>
  </si>
  <si>
    <t>ORD-100854</t>
  </si>
  <si>
    <t>ORD-100953</t>
  </si>
  <si>
    <t>ORD-101177</t>
  </si>
  <si>
    <t>ORD-101560</t>
  </si>
  <si>
    <t>customer1058@example.com</t>
  </si>
  <si>
    <t>ORD-101909</t>
  </si>
  <si>
    <t>ORD-102720</t>
  </si>
  <si>
    <t>customer0379@example.com</t>
  </si>
  <si>
    <t>ORD-101476</t>
  </si>
  <si>
    <t>ORD-100848</t>
  </si>
  <si>
    <t>customer1075@example.com</t>
  </si>
  <si>
    <t>113.98</t>
  </si>
  <si>
    <t>ORD-102842</t>
  </si>
  <si>
    <t>customer1048@example.com</t>
  </si>
  <si>
    <t>ORD-102719</t>
  </si>
  <si>
    <t>customer0160@example.com</t>
  </si>
  <si>
    <t>ORD-101674</t>
  </si>
  <si>
    <t>customer0466@example.com</t>
  </si>
  <si>
    <t>ORD-100302</t>
  </si>
  <si>
    <t>GBP11.25</t>
  </si>
  <si>
    <t>ORD-102954</t>
  </si>
  <si>
    <t>customer0796@example.com</t>
  </si>
  <si>
    <t>226.95</t>
  </si>
  <si>
    <t>ORD-101091</t>
  </si>
  <si>
    <t>customer0294@example.com</t>
  </si>
  <si>
    <t>ORD-101595</t>
  </si>
  <si>
    <t>customer0893@example.com</t>
  </si>
  <si>
    <t>27.00</t>
  </si>
  <si>
    <t>ORD-101563</t>
  </si>
  <si>
    <t>customer1062@example.com</t>
  </si>
  <si>
    <t>ORD-101777</t>
  </si>
  <si>
    <t>customer1045@example.com</t>
  </si>
  <si>
    <t>ORD-102722</t>
  </si>
  <si>
    <t>customer0870@example.com</t>
  </si>
  <si>
    <t>ORD-101631</t>
  </si>
  <si>
    <t>customer0471@example.com</t>
  </si>
  <si>
    <t>ORD-100831</t>
  </si>
  <si>
    <t>customer1354@example.com</t>
  </si>
  <si>
    <t>ORD-101082</t>
  </si>
  <si>
    <t>customer1176@example.com</t>
  </si>
  <si>
    <t>ORD-102812</t>
  </si>
  <si>
    <t>ORD-102095</t>
  </si>
  <si>
    <t>customer1272@example.com</t>
  </si>
  <si>
    <t>ORD-100503</t>
  </si>
  <si>
    <t>customer0306@example.com</t>
  </si>
  <si>
    <t>ORD-102700</t>
  </si>
  <si>
    <t>ORD-100616</t>
  </si>
  <si>
    <t>customer0086@example.com</t>
  </si>
  <si>
    <t>ORD-101085</t>
  </si>
  <si>
    <t>06/22/2026</t>
  </si>
  <si>
    <t>customer0948@example.com</t>
  </si>
  <si>
    <t>ORD-100151</t>
  </si>
  <si>
    <t>customer1090@example.com</t>
  </si>
  <si>
    <t>ORD-100800</t>
  </si>
  <si>
    <t>customer1085@example.com</t>
  </si>
  <si>
    <t>253.30</t>
  </si>
  <si>
    <t>ORD-102131</t>
  </si>
  <si>
    <t>customer0027@example.com</t>
  </si>
  <si>
    <t>ORD-100445</t>
  </si>
  <si>
    <t>ORD-100415</t>
  </si>
  <si>
    <t>customer1122@example.com</t>
  </si>
  <si>
    <t>ORD-101903</t>
  </si>
  <si>
    <t>customer1195@example.com</t>
  </si>
  <si>
    <t>ORD-100630</t>
  </si>
  <si>
    <t>ORD-102228</t>
  </si>
  <si>
    <t>customer1252@example.com</t>
  </si>
  <si>
    <t>ORD-100590</t>
  </si>
  <si>
    <t>customer0717@example.com</t>
  </si>
  <si>
    <t>ORD-101391</t>
  </si>
  <si>
    <t>customer0139@example.com</t>
  </si>
  <si>
    <t>ORD-102697</t>
  </si>
  <si>
    <t>ORD-100619</t>
  </si>
  <si>
    <t>ORD-102906</t>
  </si>
  <si>
    <t>03/22/2026</t>
  </si>
  <si>
    <t>customer1253@example.com</t>
  </si>
  <si>
    <t>ORD-101766</t>
  </si>
  <si>
    <t>customer0801@example.com</t>
  </si>
  <si>
    <t>ORD-101090</t>
  </si>
  <si>
    <t>customer0613@example.com</t>
  </si>
  <si>
    <t>-95.00</t>
  </si>
  <si>
    <t>ORD-100086</t>
  </si>
  <si>
    <t>ORD-101645</t>
  </si>
  <si>
    <t>customer1036@example.com</t>
  </si>
  <si>
    <t>ORD-102509</t>
  </si>
  <si>
    <t>customer0191@example.com</t>
  </si>
  <si>
    <t>ORD-102687</t>
  </si>
  <si>
    <t>customer0255@example.com</t>
  </si>
  <si>
    <t>ORD-101990</t>
  </si>
  <si>
    <t>ORD-100881</t>
  </si>
  <si>
    <t>06/28/2026</t>
  </si>
  <si>
    <t>customer0221@example.com</t>
  </si>
  <si>
    <t>ORD-100693</t>
  </si>
  <si>
    <t>customer0923@example.com</t>
  </si>
  <si>
    <t>ORD-102820</t>
  </si>
  <si>
    <t>GBP79.00</t>
  </si>
  <si>
    <t>ORD-102815</t>
  </si>
  <si>
    <t>ORD-102017</t>
  </si>
  <si>
    <t>customer0089@example.com</t>
  </si>
  <si>
    <t>ORD-101824</t>
  </si>
  <si>
    <t>customer1182@example.com</t>
  </si>
  <si>
    <t>32.40</t>
  </si>
  <si>
    <t>ORD-102396</t>
  </si>
  <si>
    <t>ORD-101116</t>
  </si>
  <si>
    <t>customer0606@example.com</t>
  </si>
  <si>
    <t>ORD-102721</t>
  </si>
  <si>
    <t>06/18/2026</t>
  </si>
  <si>
    <t>customer0397@example.com</t>
  </si>
  <si>
    <t>ORD-101736</t>
  </si>
  <si>
    <t>customer0982@example.com</t>
  </si>
  <si>
    <t>ORD-100256</t>
  </si>
  <si>
    <t>customer0326@example.com</t>
  </si>
  <si>
    <t>ORD-100279</t>
  </si>
  <si>
    <t>customer1230@example.com</t>
  </si>
  <si>
    <t>ORD-100536</t>
  </si>
  <si>
    <t>01/14/2026</t>
  </si>
  <si>
    <t>customer0198@example.com</t>
  </si>
  <si>
    <t>ORD-100463</t>
  </si>
  <si>
    <t>customer0108@example.com</t>
  </si>
  <si>
    <t>ORD-102425</t>
  </si>
  <si>
    <t>ORD-100117</t>
  </si>
  <si>
    <t>75.65</t>
  </si>
  <si>
    <t>ORD-100398</t>
  </si>
  <si>
    <t>customer1073@example.com</t>
  </si>
  <si>
    <t>ORD-100999</t>
  </si>
  <si>
    <t>customer0351@example.com</t>
  </si>
  <si>
    <t>ORD-100167</t>
  </si>
  <si>
    <t>customer0269@example.com</t>
  </si>
  <si>
    <t>ORD-101628</t>
  </si>
  <si>
    <t>ORD-100309</t>
  </si>
  <si>
    <t>customer0233@example.com</t>
  </si>
  <si>
    <t>ORD-101414</t>
  </si>
  <si>
    <t>ORD-102112</t>
  </si>
  <si>
    <t>customer0907@example.com</t>
  </si>
  <si>
    <t>ORD-102971</t>
  </si>
  <si>
    <t>customer1215@example.com</t>
  </si>
  <si>
    <t>ORD-102534</t>
  </si>
  <si>
    <t>customer0607@example.com</t>
  </si>
  <si>
    <t>ORD-100022</t>
  </si>
  <si>
    <t>customer0815@example.com</t>
  </si>
  <si>
    <t>ORD-100918</t>
  </si>
  <si>
    <t>customer1117@example.com</t>
  </si>
  <si>
    <t>ORD-100233</t>
  </si>
  <si>
    <t>customer0704@example.com</t>
  </si>
  <si>
    <t>ORD-102800</t>
  </si>
  <si>
    <t>ORD-101786</t>
  </si>
  <si>
    <t>ORD-100996</t>
  </si>
  <si>
    <t>customer0432@example.com</t>
  </si>
  <si>
    <t>ORD-101281</t>
  </si>
  <si>
    <t>customer0408@example.com</t>
  </si>
  <si>
    <t>ORD-101865</t>
  </si>
  <si>
    <t>ORD-100385</t>
  </si>
  <si>
    <t>customer0052@example.com</t>
  </si>
  <si>
    <t>ORD-101266</t>
  </si>
  <si>
    <t>customer0033@example.com</t>
  </si>
  <si>
    <t>ORD-102207</t>
  </si>
  <si>
    <t>customer1011@example.com</t>
  </si>
  <si>
    <t>ORD-101099</t>
  </si>
  <si>
    <t>customer1042@example.com</t>
  </si>
  <si>
    <t>ORD-100781</t>
  </si>
  <si>
    <t>customer0400@example.com</t>
  </si>
  <si>
    <t>ORD-100748</t>
  </si>
  <si>
    <t>customer0648@example.com</t>
  </si>
  <si>
    <t>ORD-101393</t>
  </si>
  <si>
    <t>customer0795@example.com</t>
  </si>
  <si>
    <t>ORD-100386</t>
  </si>
  <si>
    <t>ORD-100164</t>
  </si>
  <si>
    <t>customer0819@example.com</t>
  </si>
  <si>
    <t>ORD-101032</t>
  </si>
  <si>
    <t>ORD-102522</t>
  </si>
  <si>
    <t>customer0859@example.com</t>
  </si>
  <si>
    <t>ORD-102403</t>
  </si>
  <si>
    <t>customer1180@example.com</t>
  </si>
  <si>
    <t>17.28</t>
  </si>
  <si>
    <t>ORD-102325</t>
  </si>
  <si>
    <t>ORD-102999</t>
  </si>
  <si>
    <t>customer0467@example.com</t>
  </si>
  <si>
    <t>ORD-100696</t>
  </si>
  <si>
    <t>customer0339@example.com</t>
  </si>
  <si>
    <t>ORD-102749</t>
  </si>
  <si>
    <t>customer1383@example.com</t>
  </si>
  <si>
    <t>ORD-100598</t>
  </si>
  <si>
    <t>customer0927@example.com</t>
  </si>
  <si>
    <t>ORD-101770</t>
  </si>
  <si>
    <t>GBP40.50</t>
  </si>
  <si>
    <t>ORD-101478</t>
  </si>
  <si>
    <t>ORD-100497</t>
  </si>
  <si>
    <t>ORD-101374</t>
  </si>
  <si>
    <t>customer0074@example.com</t>
  </si>
  <si>
    <t>ORD-102777</t>
  </si>
  <si>
    <t>customer0451@example.com</t>
  </si>
  <si>
    <t>ORD-102556</t>
  </si>
  <si>
    <t>ORD-102945</t>
  </si>
  <si>
    <t>customer1273@example.com</t>
  </si>
  <si>
    <t>ORD-101594</t>
  </si>
  <si>
    <t>customer0824@example.com</t>
  </si>
  <si>
    <t>ORD-100319</t>
  </si>
  <si>
    <t>customer1016@example.com</t>
  </si>
  <si>
    <t>ORD-101799</t>
  </si>
  <si>
    <t>customer0419@example.com</t>
  </si>
  <si>
    <t>ORD-102021</t>
  </si>
  <si>
    <t>ORD-100669</t>
  </si>
  <si>
    <t>customer1059@example.com</t>
  </si>
  <si>
    <t>ORD-101457</t>
  </si>
  <si>
    <t>customer0530@example.com</t>
  </si>
  <si>
    <t>ORD-101529</t>
  </si>
  <si>
    <t>04/17/2026</t>
  </si>
  <si>
    <t>ORD-102818</t>
  </si>
  <si>
    <t>customer1133@example.com</t>
  </si>
  <si>
    <t>357.60</t>
  </si>
  <si>
    <t>ORD-100480</t>
  </si>
  <si>
    <t>ORD-101493</t>
  </si>
  <si>
    <t>customer1047@example.com</t>
  </si>
  <si>
    <t>ORD-100338</t>
  </si>
  <si>
    <t>customer0411@example.com</t>
  </si>
  <si>
    <t>ORD-101209</t>
  </si>
  <si>
    <t>customer0083@example.com</t>
  </si>
  <si>
    <t>ORD-100947</t>
  </si>
  <si>
    <t>ORD-101146</t>
  </si>
  <si>
    <t>customer0645@example.com</t>
  </si>
  <si>
    <t>ORD-102673</t>
  </si>
  <si>
    <t>ORD-100131</t>
  </si>
  <si>
    <t>customer0232@example.com</t>
  </si>
  <si>
    <t>ORD-102950</t>
  </si>
  <si>
    <t>02/18/2026</t>
  </si>
  <si>
    <t>customer0334@example.com</t>
  </si>
  <si>
    <t>ORD-100654</t>
  </si>
  <si>
    <t>ORD-101461</t>
  </si>
  <si>
    <t>ORD-101754</t>
  </si>
  <si>
    <t>customer0115@example.com</t>
  </si>
  <si>
    <t>ORD-100128</t>
  </si>
  <si>
    <t>customer1223@example.com</t>
  </si>
  <si>
    <t>ORD-102206</t>
  </si>
  <si>
    <t>customer1302@example.com</t>
  </si>
  <si>
    <t>ORD-100608</t>
  </si>
  <si>
    <t>ORD-102269</t>
  </si>
  <si>
    <t>ORD-100079</t>
  </si>
  <si>
    <t>ORD-102579</t>
  </si>
  <si>
    <t>customer0794@example.com</t>
  </si>
  <si>
    <t>ORD-101505</t>
  </si>
  <si>
    <t>customer1245@example.com</t>
  </si>
  <si>
    <t>142.40</t>
  </si>
  <si>
    <t>ORD-101134</t>
  </si>
  <si>
    <t>ORD-101843</t>
  </si>
  <si>
    <t>customer0860@example.com</t>
  </si>
  <si>
    <t>ORD-101482</t>
  </si>
  <si>
    <t>customer0994@example.com</t>
  </si>
  <si>
    <t>ORD-101694</t>
  </si>
  <si>
    <t>ORD-102313</t>
  </si>
  <si>
    <t>144.18</t>
  </si>
  <si>
    <t>ORD-100152</t>
  </si>
  <si>
    <t>customer0984@example.com</t>
  </si>
  <si>
    <t>ORD-100906</t>
  </si>
  <si>
    <t>customer1066@example.com</t>
  </si>
  <si>
    <t>ORD-101698</t>
  </si>
  <si>
    <t>customer1346@example.com</t>
  </si>
  <si>
    <t>ORD-100762</t>
  </si>
  <si>
    <t>customer0265@example.com</t>
  </si>
  <si>
    <t>ORD-102561</t>
  </si>
  <si>
    <t>customer1288@example.com</t>
  </si>
  <si>
    <t>ORD-102312</t>
  </si>
  <si>
    <t>customer1299@example.com</t>
  </si>
  <si>
    <t>ORD-102585</t>
  </si>
  <si>
    <t>customer1381@example.com</t>
  </si>
  <si>
    <t>ORD-100424</t>
  </si>
  <si>
    <t>customer0278@example.com</t>
  </si>
  <si>
    <t>ORD-101867</t>
  </si>
  <si>
    <t>ORD-101801</t>
  </si>
  <si>
    <t>customer0965@example.com</t>
  </si>
  <si>
    <t>ORD-101893</t>
  </si>
  <si>
    <t>ORD-102441</t>
  </si>
  <si>
    <t>customer0545@example.com</t>
  </si>
  <si>
    <t>ORD-101869</t>
  </si>
  <si>
    <t>customer0001@example.com</t>
  </si>
  <si>
    <t>ORD-102355</t>
  </si>
  <si>
    <t>customer0017@example.com</t>
  </si>
  <si>
    <t>ORD-102615</t>
  </si>
  <si>
    <t>customer0203@example.com</t>
  </si>
  <si>
    <t>ORD-100246</t>
  </si>
  <si>
    <t>ORD-100889</t>
  </si>
  <si>
    <t>ORD-102731</t>
  </si>
  <si>
    <t>ORD-102074</t>
  </si>
  <si>
    <t>ORD-102527</t>
  </si>
  <si>
    <t>ORD-100178</t>
  </si>
  <si>
    <t>customer1008@example.com</t>
  </si>
  <si>
    <t>ORD-100391</t>
  </si>
  <si>
    <t>04/21/2026</t>
  </si>
  <si>
    <t>ORD-100860</t>
  </si>
  <si>
    <t>customer0147@example.com</t>
  </si>
  <si>
    <t>ORD-100667</t>
  </si>
  <si>
    <t>ORD-100785</t>
  </si>
  <si>
    <t>ORD-100025</t>
  </si>
  <si>
    <t>ORD-100238</t>
  </si>
  <si>
    <t>-232.20</t>
  </si>
  <si>
    <t>ORD-101933</t>
  </si>
  <si>
    <t>customer0940@example.com</t>
  </si>
  <si>
    <t>ORD-102880</t>
  </si>
  <si>
    <t>ORD-100461</t>
  </si>
  <si>
    <t>ORD-102038</t>
  </si>
  <si>
    <t>customer0143@example.com</t>
  </si>
  <si>
    <t>-71.10</t>
  </si>
  <si>
    <t>ORD-101321</t>
  </si>
  <si>
    <t>customer0072@example.com</t>
  </si>
  <si>
    <t>ORD-101261</t>
  </si>
  <si>
    <t>customer0236@example.com</t>
  </si>
  <si>
    <t>ORD-100140</t>
  </si>
  <si>
    <t>customer0171@example.com</t>
  </si>
  <si>
    <t>ORD-100784</t>
  </si>
  <si>
    <t>ORD-101202</t>
  </si>
  <si>
    <t>customer0937@example.com</t>
  </si>
  <si>
    <t>ORD-102741</t>
  </si>
  <si>
    <t>ORD-102026</t>
  </si>
  <si>
    <t>customer1006@example.com</t>
  </si>
  <si>
    <t>ORD-102451</t>
  </si>
  <si>
    <t>customer0928@example.com</t>
  </si>
  <si>
    <t>ORD-101111</t>
  </si>
  <si>
    <t>customer0282@example.com</t>
  </si>
  <si>
    <t>ORD-100295</t>
  </si>
  <si>
    <t>customer0912@example.com</t>
  </si>
  <si>
    <t>ORD-101425</t>
  </si>
  <si>
    <t>customer0499@example.com</t>
  </si>
  <si>
    <t>ORD-102435</t>
  </si>
  <si>
    <t>ORD-102181</t>
  </si>
  <si>
    <t>customer1316@example.com</t>
  </si>
  <si>
    <t>ORD-100963</t>
  </si>
  <si>
    <t>customer1392@example.com</t>
  </si>
  <si>
    <t>ORD-101371</t>
  </si>
  <si>
    <t>customer0628@example.com</t>
  </si>
  <si>
    <t>ORD-102230</t>
  </si>
  <si>
    <t>customer0177@example.com</t>
  </si>
  <si>
    <t>ORD-102684</t>
  </si>
  <si>
    <t>customer0481@example.com</t>
  </si>
  <si>
    <t>ORD-102125</t>
  </si>
  <si>
    <t>ORD-100833</t>
  </si>
  <si>
    <t>ORD-102195</t>
  </si>
  <si>
    <t>customer0771@example.com</t>
  </si>
  <si>
    <t>ORD-100822</t>
  </si>
  <si>
    <t>ORD-101934</t>
  </si>
  <si>
    <t>customer0311@example.com</t>
  </si>
  <si>
    <t>80.75</t>
  </si>
  <si>
    <t>ORD-102802</t>
  </si>
  <si>
    <t>ORD-100444</t>
  </si>
  <si>
    <t>05/30/2026</t>
  </si>
  <si>
    <t>customer1134@example.com</t>
  </si>
  <si>
    <t>ORD-100936</t>
  </si>
  <si>
    <t>customer0468@example.com</t>
  </si>
  <si>
    <t>ORD-101514</t>
  </si>
  <si>
    <t>ORD-102459</t>
  </si>
  <si>
    <t>customer1032@example.com</t>
  </si>
  <si>
    <t>ORD-102222</t>
  </si>
  <si>
    <t>customer0894@example.com</t>
  </si>
  <si>
    <t>ORD-102588</t>
  </si>
  <si>
    <t>ORD-101757</t>
  </si>
  <si>
    <t>ORD-101719</t>
  </si>
  <si>
    <t>customer1070@example.com</t>
  </si>
  <si>
    <t>ORD-101720</t>
  </si>
  <si>
    <t>ORD-102619</t>
  </si>
  <si>
    <t>ORD-100380</t>
  </si>
  <si>
    <t>customer0636@example.com</t>
  </si>
  <si>
    <t>ORD-101668</t>
  </si>
  <si>
    <t>customer0548@example.com</t>
  </si>
  <si>
    <t>ORD-101301</t>
  </si>
  <si>
    <t>customer0763@example.com</t>
  </si>
  <si>
    <t>ORD-101565</t>
  </si>
  <si>
    <t>customer0385@example.com</t>
  </si>
  <si>
    <t>ORD-100770</t>
  </si>
  <si>
    <t>ORD-100491</t>
  </si>
  <si>
    <t>customer0478@example.com</t>
  </si>
  <si>
    <t>ORD-100950</t>
  </si>
  <si>
    <t>ORD-102149</t>
  </si>
  <si>
    <t>ORD-100927</t>
  </si>
  <si>
    <t>-33.75</t>
  </si>
  <si>
    <t>ORD-101117</t>
  </si>
  <si>
    <t>ORD-100065</t>
  </si>
  <si>
    <t>ORD-100397</t>
  </si>
  <si>
    <t>ORD-102532</t>
  </si>
  <si>
    <t>ORD-102786</t>
  </si>
  <si>
    <t>ORD-102766</t>
  </si>
  <si>
    <t>customer0153@example.com</t>
  </si>
  <si>
    <t>ORD-101387</t>
  </si>
  <si>
    <t>64.08</t>
  </si>
  <si>
    <t>ORD-102003</t>
  </si>
  <si>
    <t>customer0338@example.com</t>
  </si>
  <si>
    <t>ORD-101222</t>
  </si>
  <si>
    <t>customer0267@example.com</t>
  </si>
  <si>
    <t>ORD-102464</t>
  </si>
  <si>
    <t>ORD-100519</t>
  </si>
  <si>
    <t>customer0938@example.com</t>
  </si>
  <si>
    <t>ORD-100115</t>
  </si>
  <si>
    <t>customer0552@example.com</t>
  </si>
  <si>
    <t>ORD-100361</t>
  </si>
  <si>
    <t>customer1181@example.com</t>
  </si>
  <si>
    <t>ORD-102843</t>
  </si>
  <si>
    <t>01/17/2026</t>
  </si>
  <si>
    <t>ORD-100333</t>
  </si>
  <si>
    <t>customer0366@example.com</t>
  </si>
  <si>
    <t>ORD-100139</t>
  </si>
  <si>
    <t>customer0122@example.com</t>
  </si>
  <si>
    <t>ORD-101959</t>
  </si>
  <si>
    <t>customer0087@example.com</t>
  </si>
  <si>
    <t>ORD-101232</t>
  </si>
  <si>
    <t>customer1373@example.com</t>
  </si>
  <si>
    <t>-24.00</t>
  </si>
  <si>
    <t>ORD-101467</t>
  </si>
  <si>
    <t>ORD-100383</t>
  </si>
  <si>
    <t>68.08</t>
  </si>
  <si>
    <t>ORD-100820</t>
  </si>
  <si>
    <t>customer0124@example.com</t>
  </si>
  <si>
    <t>ORD-100649</t>
  </si>
  <si>
    <t>customer0872@example.com</t>
  </si>
  <si>
    <t>ORD-102636</t>
  </si>
  <si>
    <t>customer0863@example.com</t>
  </si>
  <si>
    <t>ORD-101189</t>
  </si>
  <si>
    <t>customer1124@example.com</t>
  </si>
  <si>
    <t>-85.50</t>
  </si>
  <si>
    <t>ORD-101647</t>
  </si>
  <si>
    <t>customer0100@example.com</t>
  </si>
  <si>
    <t>206.40</t>
  </si>
  <si>
    <t>ORD-102517</t>
  </si>
  <si>
    <t>customer0906@example.com</t>
  </si>
  <si>
    <t>ORD-100668</t>
  </si>
  <si>
    <t>customer0709@example.com</t>
  </si>
  <si>
    <t>ORD-102806</t>
  </si>
  <si>
    <t>ORD-101619</t>
  </si>
  <si>
    <t>06/25/2026</t>
  </si>
  <si>
    <t>ORD-102841</t>
  </si>
  <si>
    <t>ORD-102027</t>
  </si>
  <si>
    <t>customer0315@example.com</t>
  </si>
  <si>
    <t>ORD-102742</t>
  </si>
  <si>
    <t>01/24/2026</t>
  </si>
  <si>
    <t>ORD-102946</t>
  </si>
  <si>
    <t>customer0660@example.com</t>
  </si>
  <si>
    <t>ORD-101031</t>
  </si>
  <si>
    <t>06/27/2026</t>
  </si>
  <si>
    <t>customer0977@example.com</t>
  </si>
  <si>
    <t>ORD-100379</t>
  </si>
  <si>
    <t>customer0874@example.com</t>
  </si>
  <si>
    <t>ORD-100520</t>
  </si>
  <si>
    <t>customer1142@example.com</t>
  </si>
  <si>
    <t>ORD-101249</t>
  </si>
  <si>
    <t>customer1030@example.com</t>
  </si>
  <si>
    <t>ORD-100208</t>
  </si>
  <si>
    <t>customer0008@example.com</t>
  </si>
  <si>
    <t>56.88</t>
  </si>
  <si>
    <t>ORD-102903</t>
  </si>
  <si>
    <t>customer1196@example.com</t>
  </si>
  <si>
    <t>ORD-100365</t>
  </si>
  <si>
    <t>ORD-101466</t>
  </si>
  <si>
    <t>ORD-101900</t>
  </si>
  <si>
    <t>customer0046@example.com</t>
  </si>
  <si>
    <t>ORD-100103</t>
  </si>
  <si>
    <t>-31.88</t>
  </si>
  <si>
    <t>ORD-100236</t>
  </si>
  <si>
    <t>customer0637@example.com</t>
  </si>
  <si>
    <t>ORD-102391</t>
  </si>
  <si>
    <t>ORD-100409</t>
  </si>
  <si>
    <t>customer0023@example.com</t>
  </si>
  <si>
    <t>ORD-102875</t>
  </si>
  <si>
    <t>customer0696@example.com</t>
  </si>
  <si>
    <t>ORD-102607</t>
  </si>
  <si>
    <t>customer1161@example.com</t>
  </si>
  <si>
    <t>ORD-102186</t>
  </si>
  <si>
    <t>customer1270@example.com</t>
  </si>
  <si>
    <t>ORD-101079</t>
  </si>
  <si>
    <t>ORD-100428</t>
  </si>
  <si>
    <t>customer1259@example.com</t>
  </si>
  <si>
    <t>ORD-101126</t>
  </si>
  <si>
    <t>ORD-102680</t>
  </si>
  <si>
    <t>customer0425@example.com</t>
  </si>
  <si>
    <t>ORD-101338</t>
  </si>
  <si>
    <t>ORD-100818</t>
  </si>
  <si>
    <t>ORD-101023</t>
  </si>
  <si>
    <t>customer1114@example.com</t>
  </si>
  <si>
    <t>ORD-101963</t>
  </si>
  <si>
    <t>customer0560@example.com</t>
  </si>
  <si>
    <t>ORD-101608</t>
  </si>
  <si>
    <t>customer1228@example.com</t>
  </si>
  <si>
    <t>ORD-101958</t>
  </si>
  <si>
    <t>customer0983@example.com</t>
  </si>
  <si>
    <t>ORD-101692</t>
  </si>
  <si>
    <t>ORD-100335</t>
  </si>
  <si>
    <t>ORD-102904</t>
  </si>
  <si>
    <t>ORD-100851</t>
  </si>
  <si>
    <t>05/21/2026</t>
  </si>
  <si>
    <t>customer1020@example.com</t>
  </si>
  <si>
    <t>ORD-102155</t>
  </si>
  <si>
    <t>ORD-101463</t>
  </si>
  <si>
    <t>customer0458@example.com</t>
  </si>
  <si>
    <t>ORD-102111</t>
  </si>
  <si>
    <t>customer1214@example.com</t>
  </si>
  <si>
    <t>ORD-100937</t>
  </si>
  <si>
    <t>customer0266@example.com</t>
  </si>
  <si>
    <t>ORD-102737</t>
  </si>
  <si>
    <t>customer0165@example.com</t>
  </si>
  <si>
    <t>ORD-102330</t>
  </si>
  <si>
    <t>ORD-100732</t>
  </si>
  <si>
    <t>02/26/2026</t>
  </si>
  <si>
    <t>ORD-100211</t>
  </si>
  <si>
    <t>ORD-102353</t>
  </si>
  <si>
    <t>ORD-100278</t>
  </si>
  <si>
    <t>customer0402@example.com</t>
  </si>
  <si>
    <t>ORD-102587</t>
  </si>
  <si>
    <t>customer1023@example.com</t>
  </si>
  <si>
    <t>ORD-102972</t>
  </si>
  <si>
    <t>customer0101@example.com</t>
  </si>
  <si>
    <t>ORD-101550</t>
  </si>
  <si>
    <t>ORD-102716</t>
  </si>
  <si>
    <t>customer1057@example.com</t>
  </si>
  <si>
    <t>ORD-100250</t>
  </si>
  <si>
    <t>customer0215@example.com</t>
  </si>
  <si>
    <t>ORD-100441</t>
  </si>
  <si>
    <t>customer0217@example.com</t>
  </si>
  <si>
    <t>ORD-102520</t>
  </si>
  <si>
    <t>ORD-101598</t>
  </si>
  <si>
    <t>ORD-100679</t>
  </si>
  <si>
    <t>customer0897@example.com</t>
  </si>
  <si>
    <t>ORD-101358</t>
  </si>
  <si>
    <t>customer1336@example.com</t>
  </si>
  <si>
    <t>ORD-101731</t>
  </si>
  <si>
    <t>customer0712@example.com</t>
  </si>
  <si>
    <t>ORD-101401</t>
  </si>
  <si>
    <t>ORD-100126</t>
  </si>
  <si>
    <t>ORD-100230</t>
  </si>
  <si>
    <t>ORD-101062</t>
  </si>
  <si>
    <t>customer0803@example.com</t>
  </si>
  <si>
    <t>ORD-102955</t>
  </si>
  <si>
    <t>customer0876@example.com</t>
  </si>
  <si>
    <t>ORD-102597</t>
  </si>
  <si>
    <t>customer0802@example.com</t>
  </si>
  <si>
    <t>ORD-100551</t>
  </si>
  <si>
    <t>customer1079@example.com</t>
  </si>
  <si>
    <t>ORD-102311</t>
  </si>
  <si>
    <t>06/17/2026</t>
  </si>
  <si>
    <t>ORD-102599</t>
  </si>
  <si>
    <t>ORD-102201</t>
  </si>
  <si>
    <t>customer0398@example.com</t>
  </si>
  <si>
    <t>ORD-102823</t>
  </si>
  <si>
    <t>customer0313@example.com</t>
  </si>
  <si>
    <t>ORD-100173</t>
  </si>
  <si>
    <t>ORD-102079</t>
  </si>
  <si>
    <t>ORD-101412</t>
  </si>
  <si>
    <t>ORD-100932</t>
  </si>
  <si>
    <t>customer1010@example.com</t>
  </si>
  <si>
    <t>ORD-100589</t>
  </si>
  <si>
    <t>customer0523@example.com</t>
  </si>
  <si>
    <t>ORD-101314</t>
  </si>
  <si>
    <t>customer1221@example.com</t>
  </si>
  <si>
    <t>ORD-102726</t>
  </si>
  <si>
    <t>customer0930@example.com</t>
  </si>
  <si>
    <t>-79.00</t>
  </si>
  <si>
    <t>ORD-100610</t>
  </si>
  <si>
    <t>ORD-101378</t>
  </si>
  <si>
    <t>customer0138@example.com</t>
  </si>
  <si>
    <t>ORD-102214</t>
  </si>
  <si>
    <t>customer0687@example.com</t>
  </si>
  <si>
    <t>ORD-102279</t>
  </si>
  <si>
    <t>ORD-102310</t>
  </si>
  <si>
    <t>ORD-100924</t>
  </si>
  <si>
    <t>ORD-101214</t>
  </si>
  <si>
    <t>customer1399@example.com</t>
  </si>
  <si>
    <t>ORD-100387</t>
  </si>
  <si>
    <t>customer1102@example.com</t>
  </si>
  <si>
    <t>ORD-102258</t>
  </si>
  <si>
    <t>ORD-100893</t>
  </si>
  <si>
    <t>customer0431@example.com</t>
  </si>
  <si>
    <t>ORD-102369</t>
  </si>
  <si>
    <t>customer1052@example.com</t>
  </si>
  <si>
    <t>ORD-102658</t>
  </si>
  <si>
    <t>ORD-101413</t>
  </si>
  <si>
    <t>ORD-100969</t>
  </si>
  <si>
    <t>ORD-101225</t>
  </si>
  <si>
    <t>ORD-100708</t>
  </si>
  <si>
    <t>customer0614@example.com</t>
  </si>
  <si>
    <t>ORD-101829</t>
  </si>
  <si>
    <t>customer0974@example.com</t>
  </si>
  <si>
    <t>ORD-101887</t>
  </si>
  <si>
    <t>04/30/2026</t>
  </si>
  <si>
    <t>ORD-102567</t>
  </si>
  <si>
    <t>-267.00</t>
  </si>
  <si>
    <t>ORD-101259</t>
  </si>
  <si>
    <t>ORD-102511</t>
  </si>
  <si>
    <t>-237.00</t>
  </si>
  <si>
    <t>ORD-100195</t>
  </si>
  <si>
    <t>02/16/2026</t>
  </si>
  <si>
    <t>customer0610@example.com</t>
  </si>
  <si>
    <t>ORD-101711</t>
  </si>
  <si>
    <t>customer1158@example.com</t>
  </si>
  <si>
    <t>ORD-101508</t>
  </si>
  <si>
    <t>customer1022@example.com</t>
  </si>
  <si>
    <t>ORD-100637</t>
  </si>
  <si>
    <t>customer1379@example.com</t>
  </si>
  <si>
    <t>ORD-102918</t>
  </si>
  <si>
    <t>ORD-101811</t>
  </si>
  <si>
    <t>ORD-102685</t>
  </si>
  <si>
    <t>customer1359@example.com</t>
  </si>
  <si>
    <t>ORD-101727</t>
  </si>
  <si>
    <t>customer1108@example.com</t>
  </si>
  <si>
    <t>ORD-102589</t>
  </si>
  <si>
    <t>ORD-100707</t>
  </si>
  <si>
    <t>ORD-101037</t>
  </si>
  <si>
    <t>customer0157@example.com</t>
  </si>
  <si>
    <t>ORD-102202</t>
  </si>
  <si>
    <t>05/26/2026</t>
  </si>
  <si>
    <t>ORD-100368</t>
  </si>
  <si>
    <t>ORD-101759</t>
  </si>
  <si>
    <t>customer0098@example.com</t>
  </si>
  <si>
    <t>ORD-101792</t>
  </si>
  <si>
    <t>customer1224@example.com</t>
  </si>
  <si>
    <t>ORD-102876</t>
  </si>
  <si>
    <t>ORD-100727</t>
  </si>
  <si>
    <t>customer1201@example.com</t>
  </si>
  <si>
    <t>ORD-102990</t>
  </si>
  <si>
    <t>ORD-100875</t>
  </si>
  <si>
    <t>ORD-101830</t>
  </si>
  <si>
    <t>customer0698@example.com</t>
  </si>
  <si>
    <t>ORD-100804</t>
  </si>
  <si>
    <t>customer0919@example.com</t>
  </si>
  <si>
    <t>ORD-101773</t>
  </si>
  <si>
    <t>customer1353@example.com</t>
  </si>
  <si>
    <t>ORD-100838</t>
  </si>
  <si>
    <t>customer1249@example.com</t>
  </si>
  <si>
    <t>ORD-102421</t>
  </si>
  <si>
    <t>customer0954@example.com</t>
  </si>
  <si>
    <t>ORD-102896</t>
  </si>
  <si>
    <t>01/27/2026</t>
  </si>
  <si>
    <t>ORD-101629</t>
  </si>
  <si>
    <t>ORD-100847</t>
  </si>
  <si>
    <t>customer0392@example.com</t>
  </si>
  <si>
    <t>ORD-101516</t>
  </si>
  <si>
    <t>customer0909@example.com</t>
  </si>
  <si>
    <t>ORD-102422</t>
  </si>
  <si>
    <t>ORD-102494</t>
  </si>
  <si>
    <t>ORD-100293</t>
  </si>
  <si>
    <t>customer0920@example.com</t>
  </si>
  <si>
    <t>ORD-101118</t>
  </si>
  <si>
    <t>ORD-102612</t>
  </si>
  <si>
    <t>customer0772@example.com</t>
  </si>
  <si>
    <t>ORD-102139</t>
  </si>
  <si>
    <t>ORD-102392</t>
  </si>
  <si>
    <t>ORD-101982</t>
  </si>
  <si>
    <t>ORD-101154</t>
  </si>
  <si>
    <t>ORD-101822</t>
  </si>
  <si>
    <t>ORD-101218</t>
  </si>
  <si>
    <t>ORD-102305</t>
  </si>
  <si>
    <t>ORD-102705</t>
  </si>
  <si>
    <t>customer1393@example.com</t>
  </si>
  <si>
    <t>ORD-100255</t>
  </si>
  <si>
    <t>ORD-100318</t>
  </si>
  <si>
    <t>ORD-102621</t>
  </si>
  <si>
    <t>ORD-100744</t>
  </si>
  <si>
    <t>ORD-101521</t>
  </si>
  <si>
    <t>ORD-101949</t>
  </si>
  <si>
    <t>customer0279@example.com</t>
  </si>
  <si>
    <t>ORD-100570</t>
  </si>
  <si>
    <t>customer0249@example.com</t>
  </si>
  <si>
    <t>ORD-102848</t>
  </si>
  <si>
    <t>ORD-102632</t>
  </si>
  <si>
    <t>ORD-101689</t>
  </si>
  <si>
    <t>customer0465@example.com</t>
  </si>
  <si>
    <t>ORD-100299</t>
  </si>
  <si>
    <t>customer0866@example.com</t>
  </si>
  <si>
    <t>ORD-100703</t>
  </si>
  <si>
    <t>customer0263@example.com</t>
  </si>
  <si>
    <t>ORD-100186</t>
  </si>
  <si>
    <t>customer0566@example.com</t>
  </si>
  <si>
    <t>ORD-101163</t>
  </si>
  <si>
    <t>customer0172@example.com</t>
  </si>
  <si>
    <t>ORD-100393</t>
  </si>
  <si>
    <t>ORD-102049</t>
  </si>
  <si>
    <t>customer0257@example.com</t>
  </si>
  <si>
    <t>ORD-101109</t>
  </si>
  <si>
    <t>ORD-102740</t>
  </si>
  <si>
    <t>ORD-101436</t>
  </si>
  <si>
    <t>customer0330@example.com</t>
  </si>
  <si>
    <t>ORD-100099</t>
  </si>
  <si>
    <t>customer0727@example.com</t>
  </si>
  <si>
    <t>ORD-101583</t>
  </si>
  <si>
    <t>ORD-101257</t>
  </si>
  <si>
    <t>ORD-102873</t>
  </si>
  <si>
    <t>customer1185@example.com</t>
  </si>
  <si>
    <t>ORD-100337</t>
  </si>
  <si>
    <t>customer1257@example.com</t>
  </si>
  <si>
    <t>ORD-102652</t>
  </si>
  <si>
    <t>customer1190@example.com</t>
  </si>
  <si>
    <t>ORD-100852</t>
  </si>
  <si>
    <t>ORD-100395</t>
  </si>
  <si>
    <t>ORD-102158</t>
  </si>
  <si>
    <t>customer1092@example.com</t>
  </si>
  <si>
    <t>ORD-102831</t>
  </si>
  <si>
    <t>ORD-102550</t>
  </si>
  <si>
    <t>customer1306@example.com</t>
  </si>
  <si>
    <t>ORD-102194</t>
  </si>
  <si>
    <t>customer0380@example.com</t>
  </si>
  <si>
    <t>ORD-102235</t>
  </si>
  <si>
    <t>02/13/2026</t>
  </si>
  <si>
    <t>ORD-102052</t>
  </si>
  <si>
    <t>customer0495@example.com</t>
  </si>
  <si>
    <t>ORD-100554</t>
  </si>
  <si>
    <t>customer0259@example.com</t>
  </si>
  <si>
    <t>ORD-101532</t>
  </si>
  <si>
    <t>customer0708@example.com</t>
  </si>
  <si>
    <t>ORD-100100</t>
  </si>
  <si>
    <t>238.40</t>
  </si>
  <si>
    <t>ORD-100592</t>
  </si>
  <si>
    <t>customer0629@example.com</t>
  </si>
  <si>
    <t>ORD-100965</t>
  </si>
  <si>
    <t>ORD-100713</t>
  </si>
  <si>
    <t>customer0674@example.com</t>
  </si>
  <si>
    <t>ORD-102899</t>
  </si>
  <si>
    <t>ORD-102011</t>
  </si>
  <si>
    <t>ORD-101544</t>
  </si>
  <si>
    <t>customer0736@example.com</t>
  </si>
  <si>
    <t>ORD-102457</t>
  </si>
  <si>
    <t>ORD-101295</t>
  </si>
  <si>
    <t>ORD-102220</t>
  </si>
  <si>
    <t>customer1349@example.com</t>
  </si>
  <si>
    <t>ORD-100218</t>
  </si>
  <si>
    <t>ORD-101853</t>
  </si>
  <si>
    <t>customer0895@example.com</t>
  </si>
  <si>
    <t>ORD-101055</t>
  </si>
  <si>
    <t>customer0830@example.com</t>
  </si>
  <si>
    <t>ORD-102835</t>
  </si>
  <si>
    <t>ORD-101196</t>
  </si>
  <si>
    <t>ORD-102847</t>
  </si>
  <si>
    <t>customer0096@example.com</t>
  </si>
  <si>
    <t>ORD-100517</t>
  </si>
  <si>
    <t>customer0163@example.com</t>
  </si>
  <si>
    <t>ORD-100040</t>
  </si>
  <si>
    <t>customer1157@example.com</t>
  </si>
  <si>
    <t>ORD-100036</t>
  </si>
  <si>
    <t>customer0711@example.com</t>
  </si>
  <si>
    <t>ORD-102930</t>
  </si>
  <si>
    <t>customer0407@example.com</t>
  </si>
  <si>
    <t>296.06</t>
  </si>
  <si>
    <t>ORD-102082</t>
  </si>
  <si>
    <t>ORD-101890</t>
  </si>
  <si>
    <t>customer1037@example.com</t>
  </si>
  <si>
    <t>161.50</t>
  </si>
  <si>
    <t>ORD-101969</t>
  </si>
  <si>
    <t>customer1000@example.com</t>
  </si>
  <si>
    <t>ORD-100130</t>
  </si>
  <si>
    <t>customer0459@example.com</t>
  </si>
  <si>
    <t>ORD-101902</t>
  </si>
  <si>
    <t>06/15/2026</t>
  </si>
  <si>
    <t>ORD-100094</t>
  </si>
  <si>
    <t>ORD-101813</t>
  </si>
  <si>
    <t>customer0507@example.com</t>
  </si>
  <si>
    <t>ORD-101854</t>
  </si>
  <si>
    <t>customer0825@example.com</t>
  </si>
  <si>
    <t>ORD-102167</t>
  </si>
  <si>
    <t>customer1329@example.com</t>
  </si>
  <si>
    <t>ORD-100628</t>
  </si>
  <si>
    <t>customer1285@example.com</t>
  </si>
  <si>
    <t>ORD-100926</t>
  </si>
  <si>
    <t>customer0329@example.com</t>
  </si>
  <si>
    <t>ORD-102555</t>
  </si>
  <si>
    <t>customer0314@example.com</t>
  </si>
  <si>
    <t>ORD-102939</t>
  </si>
  <si>
    <t>05/18/2026</t>
  </si>
  <si>
    <t>customer0624@example.com</t>
  </si>
  <si>
    <t>ORD-102135</t>
  </si>
  <si>
    <t>ORD-101411</t>
  </si>
  <si>
    <t>customer0722@example.com</t>
  </si>
  <si>
    <t>ORD-102379</t>
  </si>
  <si>
    <t>ORD-101918</t>
  </si>
  <si>
    <t>ORD-102479</t>
  </si>
  <si>
    <t>ORD-101917</t>
  </si>
  <si>
    <t>ORD-101791</t>
  </si>
  <si>
    <t>ORD-102530</t>
  </si>
  <si>
    <t>ORD-102013</t>
  </si>
  <si>
    <t>ORD-102671</t>
  </si>
  <si>
    <t>customer0510@example.com</t>
  </si>
  <si>
    <t>ORD-101128</t>
  </si>
  <si>
    <t>ORD-101006</t>
  </si>
  <si>
    <t>customer1086@example.com</t>
  </si>
  <si>
    <t>ORD-100112</t>
  </si>
  <si>
    <t>customer0356@example.com</t>
  </si>
  <si>
    <t>ORD-102796</t>
  </si>
  <si>
    <t>customer0070@example.com</t>
  </si>
  <si>
    <t>ORD-102466</t>
  </si>
  <si>
    <t>customer0746@example.com</t>
  </si>
  <si>
    <t>36.72</t>
  </si>
  <si>
    <t>ORD-102213</t>
  </si>
  <si>
    <t>ORD-101076</t>
  </si>
  <si>
    <t>customer0649@example.com</t>
  </si>
  <si>
    <t>ORD-100702</t>
  </si>
  <si>
    <t>customer1364@example.com</t>
  </si>
  <si>
    <t>ORD-102010</t>
  </si>
  <si>
    <t>customer0969@example.com</t>
  </si>
  <si>
    <t>ORD-101424</t>
  </si>
  <si>
    <t>ORD-101282</t>
  </si>
  <si>
    <t>customer0597@example.com</t>
  </si>
  <si>
    <t>ORD-101415</t>
  </si>
  <si>
    <t>customer0765@example.com</t>
  </si>
  <si>
    <t>ORD-102730</t>
  </si>
  <si>
    <t>customer1227@example.com</t>
  </si>
  <si>
    <t>ORD-101369</t>
  </si>
  <si>
    <t>ORD-102577</t>
  </si>
  <si>
    <t>01/31/2026</t>
  </si>
  <si>
    <t>ORD-102300</t>
  </si>
  <si>
    <t>ORD-102090</t>
  </si>
  <si>
    <t>ORD-102543</t>
  </si>
  <si>
    <t>customer1160@example.com</t>
  </si>
  <si>
    <t>ORD-102803</t>
  </si>
  <si>
    <t>customer0417@example.com</t>
  </si>
  <si>
    <t>ORD-100430</t>
  </si>
  <si>
    <t>ORD-100269</t>
  </si>
  <si>
    <t>ORD-102502</t>
  </si>
  <si>
    <t>ORD-100179</t>
  </si>
  <si>
    <t>ORD-101366</t>
  </si>
  <si>
    <t>ORD-102283</t>
  </si>
  <si>
    <t>customer0323@example.com</t>
  </si>
  <si>
    <t>ORD-100816</t>
  </si>
  <si>
    <t>ORD-100068</t>
  </si>
  <si>
    <t>customer1366@example.com</t>
  </si>
  <si>
    <t>ORD-102838</t>
  </si>
  <si>
    <t>customer0504@example.com</t>
  </si>
  <si>
    <t>ORD-100555</t>
  </si>
  <si>
    <t>customer1271@example.com</t>
  </si>
  <si>
    <t>ORD-100157</t>
  </si>
  <si>
    <t>ORD-102963</t>
  </si>
  <si>
    <t>ORD-101269</t>
  </si>
  <si>
    <t>ORD-102902</t>
  </si>
  <si>
    <t>ORD-100827</t>
  </si>
  <si>
    <t>customer0826@example.com</t>
  </si>
  <si>
    <t>ORD-102975</t>
  </si>
  <si>
    <t>customer0532@example.com</t>
  </si>
  <si>
    <t>ORD-100743</t>
  </si>
  <si>
    <t>ORD-100607</t>
  </si>
  <si>
    <t>customer0056@example.com</t>
  </si>
  <si>
    <t>ORD-101386</t>
  </si>
  <si>
    <t>customer1250@example.com</t>
  </si>
  <si>
    <t>ORD-101784</t>
  </si>
  <si>
    <t>ORD-102980</t>
  </si>
  <si>
    <t>customer0156@example.com</t>
  </si>
  <si>
    <t>ORD-102470</t>
  </si>
  <si>
    <t>customer0460@example.com</t>
  </si>
  <si>
    <t>ORD-100224</t>
  </si>
  <si>
    <t>ORD-100064</t>
  </si>
  <si>
    <t>customer1240@example.com</t>
  </si>
  <si>
    <t>ORD-102289</t>
  </si>
  <si>
    <t>ORD-102791</t>
  </si>
  <si>
    <t>ORD-101671</t>
  </si>
  <si>
    <t>ORD-101832</t>
  </si>
  <si>
    <t>customer0483@example.com</t>
  </si>
  <si>
    <t>ORD-102178</t>
  </si>
  <si>
    <t>ORD-102951</t>
  </si>
  <si>
    <t>customer0839@example.com</t>
  </si>
  <si>
    <t>ORD-101265</t>
  </si>
  <si>
    <t>ORD-100844</t>
  </si>
  <si>
    <t>customer1187@example.com</t>
  </si>
  <si>
    <t>ORD-100374</t>
  </si>
  <si>
    <t>ORD-102689</t>
  </si>
  <si>
    <t>ORD-100550</t>
  </si>
  <si>
    <t>ORD-101930</t>
  </si>
  <si>
    <t>-298.00</t>
  </si>
  <si>
    <t>ORD-101940</t>
  </si>
  <si>
    <t>ORD-102696</t>
  </si>
  <si>
    <t>customer0744@example.com</t>
  </si>
  <si>
    <t>ORD-102401</t>
  </si>
  <si>
    <t>customer0903@example.com</t>
  </si>
  <si>
    <t>ORD-100317</t>
  </si>
  <si>
    <t>ORD-100096</t>
  </si>
  <si>
    <t>customer0189@example.com</t>
  </si>
  <si>
    <t>ORD-101717</t>
  </si>
  <si>
    <t>customer0288@example.com</t>
  </si>
  <si>
    <t>ORD-102486</t>
  </si>
  <si>
    <t>customer0142@example.com</t>
  </si>
  <si>
    <t>ORD-101907</t>
  </si>
  <si>
    <t>customer0887@example.com</t>
  </si>
  <si>
    <t>ORD-101166</t>
  </si>
  <si>
    <t>ORD-102103</t>
  </si>
  <si>
    <t>ORD-101035</t>
  </si>
  <si>
    <t>ORD-100594</t>
  </si>
  <si>
    <t>ORD-100414</t>
  </si>
  <si>
    <t>customer0998@example.com</t>
  </si>
  <si>
    <t>ORD-100024</t>
  </si>
  <si>
    <t>ORD-102798</t>
  </si>
  <si>
    <t>ORD-101013</t>
  </si>
  <si>
    <t>customer1231@example.com</t>
  </si>
  <si>
    <t>ORD-100792</t>
  </si>
  <si>
    <t>customer1081@example.com</t>
  </si>
  <si>
    <t>34.42</t>
  </si>
  <si>
    <t>ORD-101242</t>
  </si>
  <si>
    <t>ORD-101912</t>
  </si>
  <si>
    <t>ORD-102710</t>
  </si>
  <si>
    <t>ORD-101937</t>
  </si>
  <si>
    <t>customer1267@example.com</t>
  </si>
  <si>
    <t>ORD-102176</t>
  </si>
  <si>
    <t>ORD-100046</t>
  </si>
  <si>
    <t>customer0234@example.com</t>
  </si>
  <si>
    <t>ORD-102410</t>
  </si>
  <si>
    <t>ORD-102450</t>
  </si>
  <si>
    <t>ORD-102080</t>
  </si>
  <si>
    <t>customer0889@example.com</t>
  </si>
  <si>
    <t>ORD-101000</t>
  </si>
  <si>
    <t>customer0745@example.com</t>
  </si>
  <si>
    <t>ORD-100988</t>
  </si>
  <si>
    <t>customer0961@example.com</t>
  </si>
  <si>
    <t>ORD-100084</t>
  </si>
  <si>
    <t>ORD-102785</t>
  </si>
  <si>
    <t>customer0502@example.com</t>
  </si>
  <si>
    <t>9.00</t>
  </si>
  <si>
    <t>ORD-101683</t>
  </si>
  <si>
    <t>customer0365@example.com</t>
  </si>
  <si>
    <t>ORD-100646</t>
  </si>
  <si>
    <t>customer1104@example.com</t>
  </si>
  <si>
    <t>ORD-101734</t>
  </si>
  <si>
    <t>ORD-102871</t>
  </si>
  <si>
    <t>ORD-100261</t>
  </si>
  <si>
    <t>ORD-102944</t>
  </si>
  <si>
    <t>ORD-100757</t>
  </si>
  <si>
    <t>customer0170@example.com</t>
  </si>
  <si>
    <t>ORD-101653</t>
  </si>
  <si>
    <t>customer0304@example.com</t>
  </si>
  <si>
    <t>60.43</t>
  </si>
  <si>
    <t>ORD-100935</t>
  </si>
  <si>
    <t>customer1127@example.com</t>
  </si>
  <si>
    <t>ORD-101749</t>
  </si>
  <si>
    <t>ORD-100265</t>
  </si>
  <si>
    <t>ORD-101874</t>
  </si>
  <si>
    <t>customer0917@example.com</t>
  </si>
  <si>
    <t>ORD-100795</t>
  </si>
  <si>
    <t>40.80</t>
  </si>
  <si>
    <t>ORD-100768</t>
  </si>
  <si>
    <t>ORD-101219</t>
  </si>
  <si>
    <t>ORD-102371</t>
  </si>
  <si>
    <t>customer0216@example.com</t>
  </si>
  <si>
    <t>ORD-100242</t>
  </si>
  <si>
    <t>ORD-100109</t>
  </si>
  <si>
    <t>ORD-102039</t>
  </si>
  <si>
    <t>ORD-101064</t>
  </si>
  <si>
    <t>ORD-100490</t>
  </si>
  <si>
    <t>ORD-102571</t>
  </si>
  <si>
    <t>ORD-102419</t>
  </si>
  <si>
    <t>customer0343@example.com</t>
  </si>
  <si>
    <t>ORD-102856</t>
  </si>
  <si>
    <t>03/17/2026</t>
  </si>
  <si>
    <t>customer1282@example.com</t>
  </si>
  <si>
    <t>ORD-102943</t>
  </si>
  <si>
    <t>customer1091@example.com</t>
  </si>
  <si>
    <t>ORD-102345</t>
  </si>
  <si>
    <t>05/24/2026</t>
  </si>
  <si>
    <t>customer0657@example.com</t>
  </si>
  <si>
    <t>ORD-101820</t>
  </si>
  <si>
    <t>customer0201@example.com</t>
  </si>
  <si>
    <t>ORD-100908</t>
  </si>
  <si>
    <t>ORD-101238</t>
  </si>
  <si>
    <t>06/23/2026</t>
  </si>
  <si>
    <t>customer0941@example.com</t>
  </si>
  <si>
    <t>ORD-100153</t>
  </si>
  <si>
    <t>ORD-100864</t>
  </si>
  <si>
    <t>ORD-100342</t>
  </si>
  <si>
    <t>customer0525@example.com</t>
  </si>
  <si>
    <t>ORD-100738</t>
  </si>
  <si>
    <t>ORD-101968</t>
  </si>
  <si>
    <t>ORD-101846</t>
  </si>
  <si>
    <t>customer0602@example.com</t>
  </si>
  <si>
    <t>ORD-100207</t>
  </si>
  <si>
    <t>ORD-102252</t>
  </si>
  <si>
    <t>ORD-100692</t>
  </si>
  <si>
    <t>ORD-100202</t>
  </si>
  <si>
    <t>ORD-102383</t>
  </si>
  <si>
    <t>ORD-100321</t>
  </si>
  <si>
    <t>ORD-101130</t>
  </si>
  <si>
    <t>customer1398@example.com</t>
  </si>
  <si>
    <t>ORD-100572</t>
  </si>
  <si>
    <t>ORD-101618</t>
  </si>
  <si>
    <t>customer1137@example.com</t>
  </si>
  <si>
    <t>ORD-101007</t>
  </si>
  <si>
    <t>ORD-102526</t>
  </si>
  <si>
    <t>ORD-101967</t>
  </si>
  <si>
    <t>ORD-100251</t>
  </si>
  <si>
    <t>customer1295@example.com</t>
  </si>
  <si>
    <t>ORD-102260</t>
  </si>
  <si>
    <t>customer0377@example.com</t>
  </si>
  <si>
    <t>ORD-101589</t>
  </si>
  <si>
    <t>04/22/2026</t>
  </si>
  <si>
    <t>ORD-102077</t>
  </si>
  <si>
    <t>ORD-101260</t>
  </si>
  <si>
    <t>customer1009@example.com</t>
  </si>
  <si>
    <t>ORD-102141</t>
  </si>
  <si>
    <t>customer0208@example.com</t>
  </si>
  <si>
    <t>ORD-102198</t>
  </si>
  <si>
    <t>ORD-101634</t>
  </si>
  <si>
    <t>customer0067@example.com</t>
  </si>
  <si>
    <t>ORD-100334</t>
  </si>
  <si>
    <t>ORD-102622</t>
  </si>
  <si>
    <t>01/18/2026</t>
  </si>
  <si>
    <t>ORD-102547</t>
  </si>
  <si>
    <t>ORD-102357</t>
  </si>
  <si>
    <t>customer0522@example.com</t>
  </si>
  <si>
    <t>ORD-100922</t>
  </si>
  <si>
    <t>ORD-102639</t>
  </si>
  <si>
    <t>customer0719@example.com</t>
  </si>
  <si>
    <t>ORD-102405</t>
  </si>
  <si>
    <t>customer0439@example.com</t>
  </si>
  <si>
    <t>ORD-102299</t>
  </si>
  <si>
    <t>customer0199@example.com</t>
  </si>
  <si>
    <t>ORD-102572</t>
  </si>
  <si>
    <t>ORD-100198</t>
  </si>
  <si>
    <t>customer0136@example.com</t>
  </si>
  <si>
    <t>ORD-102996</t>
  </si>
  <si>
    <t>ORD-101356</t>
  </si>
  <si>
    <t>customer0383@example.com</t>
  </si>
  <si>
    <t>ORD-100346</t>
  </si>
  <si>
    <t>customer0952@example.com</t>
  </si>
  <si>
    <t>ORD-101060</t>
  </si>
  <si>
    <t>ORD-100107</t>
  </si>
  <si>
    <t>customer1289@example.com</t>
  </si>
  <si>
    <t>ORD-101005</t>
  </si>
  <si>
    <t>ORD-100243</t>
  </si>
  <si>
    <t>ORD-100159</t>
  </si>
  <si>
    <t>ORD-100989</t>
  </si>
  <si>
    <t>ORD-100426</t>
  </si>
  <si>
    <t>customer0472@example.com</t>
  </si>
  <si>
    <t>ORD-101571</t>
  </si>
  <si>
    <t>customer0250@example.com</t>
  </si>
  <si>
    <t>ORD-101701</t>
  </si>
  <si>
    <t>ORD-101747</t>
  </si>
  <si>
    <t>ORD-102480</t>
  </si>
  <si>
    <t>ORD-102180</t>
  </si>
  <si>
    <t>customer0655@example.com</t>
  </si>
  <si>
    <t>ORD-101998</t>
  </si>
  <si>
    <t>customer0256@example.com</t>
  </si>
  <si>
    <t>ORD-102855</t>
  </si>
  <si>
    <t>ORD-101821</t>
  </si>
  <si>
    <t>ORD-101979</t>
  </si>
  <si>
    <t>customer0308@example.com</t>
  </si>
  <si>
    <t>10.12</t>
  </si>
  <si>
    <t>ORD-100546</t>
  </si>
  <si>
    <t>ORD-100659</t>
  </si>
  <si>
    <t>customer0737@example.com</t>
  </si>
  <si>
    <t>ORD-100978</t>
  </si>
  <si>
    <t>ORD-100376</t>
  </si>
  <si>
    <t>ORD-102886</t>
  </si>
  <si>
    <t>customer0634@example.com</t>
  </si>
  <si>
    <t>ORD-101630</t>
  </si>
  <si>
    <t>ORD-101794</t>
  </si>
  <si>
    <t>ORD-100952</t>
  </si>
  <si>
    <t>customer0196@example.com</t>
  </si>
  <si>
    <t>ORD-100774</t>
  </si>
  <si>
    <t>customer0146@example.com</t>
  </si>
  <si>
    <t>ORD-102801</t>
  </si>
  <si>
    <t>ORD-102226</t>
  </si>
  <si>
    <t>customer0603@example.com</t>
  </si>
  <si>
    <t>ORD-102333</t>
  </si>
  <si>
    <t>customer1258@example.com</t>
  </si>
  <si>
    <t>ORD-101904</t>
  </si>
  <si>
    <t>ORD-100611</t>
  </si>
  <si>
    <t>customer0428@example.com</t>
  </si>
  <si>
    <t>ORD-101073</t>
  </si>
  <si>
    <t>customer1177@example.com</t>
  </si>
  <si>
    <t>ORD-101318</t>
  </si>
  <si>
    <t>ORD-100771</t>
  </si>
  <si>
    <t>ORD-100349</t>
  </si>
  <si>
    <t>customer0318@example.com</t>
  </si>
  <si>
    <t>ORD-100700</t>
  </si>
  <si>
    <t>ORD-100675</t>
  </si>
  <si>
    <t>ORD-100961</t>
  </si>
  <si>
    <t>customer0686@example.com</t>
  </si>
  <si>
    <t>ORD-100856</t>
  </si>
  <si>
    <t>ORD-101685</t>
  </si>
  <si>
    <t>customer0016@example.com</t>
  </si>
  <si>
    <t>ORD-100565</t>
  </si>
  <si>
    <t>customer1394@example.com</t>
  </si>
  <si>
    <t>ORD-100673</t>
  </si>
  <si>
    <t>customer1251@example.com</t>
  </si>
  <si>
    <t>ORD-100494</t>
  </si>
  <si>
    <t>customer0035@example.com</t>
  </si>
  <si>
    <t>ORD-102694</t>
  </si>
  <si>
    <t>ORD-101038</t>
  </si>
  <si>
    <t>ORD-102454</t>
  </si>
  <si>
    <t>ORD-101758</t>
  </si>
  <si>
    <t>ORD-102432</t>
  </si>
  <si>
    <t>customer0253@example.com</t>
  </si>
  <si>
    <t>ORD-101300</t>
  </si>
  <si>
    <t>customer1113@example.com</t>
  </si>
  <si>
    <t>ORD-101697</t>
  </si>
  <si>
    <t>ORD-102408</t>
  </si>
  <si>
    <t>ORD-102035</t>
  </si>
  <si>
    <t>ORD-101291</t>
  </si>
  <si>
    <t>ORD-101834</t>
  </si>
  <si>
    <t>ORD-101838</t>
  </si>
  <si>
    <t>customer0443@example.com</t>
  </si>
  <si>
    <t>ORD-101879</t>
  </si>
  <si>
    <t>customer0536@example.com</t>
  </si>
  <si>
    <t>ORD-101345</t>
  </si>
  <si>
    <t>ORD-100763</t>
  </si>
  <si>
    <t>ORD-101310</t>
  </si>
  <si>
    <t>customer0062@example.com</t>
  </si>
  <si>
    <t>ORD-102795</t>
  </si>
  <si>
    <t>ORD-101921</t>
  </si>
  <si>
    <t>ORD-101506</t>
  </si>
  <si>
    <t>-81.00</t>
  </si>
  <si>
    <t>ORD-100971</t>
  </si>
  <si>
    <t>ORD-102769</t>
  </si>
  <si>
    <t>customer0094@example.com</t>
  </si>
  <si>
    <t>ORD-100118</t>
  </si>
  <si>
    <t>ORD-102635</t>
  </si>
  <si>
    <t>ORD-101499</t>
  </si>
  <si>
    <t>ORD-102888</t>
  </si>
  <si>
    <t>customer0776@example.com</t>
  </si>
  <si>
    <t>ORD-100894</t>
  </si>
  <si>
    <t>customer0702@example.com</t>
  </si>
  <si>
    <t>ORD-101936</t>
  </si>
  <si>
    <t>ORD-100286</t>
  </si>
  <si>
    <t>ORD-102390</t>
  </si>
  <si>
    <t>ORD-101022</t>
  </si>
  <si>
    <t>ORD-100442</t>
  </si>
  <si>
    <t>ORD-100006</t>
  </si>
  <si>
    <t>ORD-101646</t>
  </si>
  <si>
    <t>ORD-101885</t>
  </si>
  <si>
    <t>ORD-100419</t>
  </si>
  <si>
    <t>136.80</t>
  </si>
  <si>
    <t>ORD-101290</t>
  </si>
  <si>
    <t>ORD-101661</t>
  </si>
  <si>
    <t>ORD-102304</t>
  </si>
  <si>
    <t>ORD-102551</t>
  </si>
  <si>
    <t>ORD-100631</t>
  </si>
  <si>
    <t>ORD-101012</t>
  </si>
  <si>
    <t>ORD-100404</t>
  </si>
  <si>
    <t>ORD-101842</t>
  </si>
  <si>
    <t>customer0871@example.com</t>
  </si>
  <si>
    <t>ORD-102637</t>
  </si>
  <si>
    <t>ORD-100923</t>
  </si>
  <si>
    <t>ORD-100220</t>
  </si>
  <si>
    <t>ORD-102541</t>
  </si>
  <si>
    <t>customer0710@example.com</t>
  </si>
  <si>
    <t>ORD-100501</t>
  </si>
  <si>
    <t>customer0945@example.com</t>
  </si>
  <si>
    <t>ORD-102562</t>
  </si>
  <si>
    <t>customer0769@example.com</t>
  </si>
  <si>
    <t>ORD-101504</t>
  </si>
  <si>
    <t>ORD-102449</t>
  </si>
  <si>
    <t>customer0962@example.com</t>
  </si>
  <si>
    <t>ORD-102184</t>
  </si>
  <si>
    <t>customer0526@example.com</t>
  </si>
  <si>
    <t>ORD-101251</t>
  </si>
  <si>
    <t>ORD-100786</t>
  </si>
  <si>
    <t>customer1063@example.com</t>
  </si>
  <si>
    <t>ORD-100811</t>
  </si>
  <si>
    <t>customer0513@example.com</t>
  </si>
  <si>
    <t>ORD-101783</t>
  </si>
  <si>
    <t>customer0896@example.com</t>
  </si>
  <si>
    <t>ORD-101284</t>
  </si>
  <si>
    <t>ORD-100921</t>
  </si>
  <si>
    <t>ORD-102462</t>
  </si>
  <si>
    <t>ORD-100580</t>
  </si>
  <si>
    <t>customer0932@example.com</t>
  </si>
  <si>
    <t>ORD-102669</t>
  </si>
  <si>
    <t>ORD-100515</t>
  </si>
  <si>
    <t>ORD-102328</t>
  </si>
  <si>
    <t>customer0009@example.com</t>
  </si>
  <si>
    <t>ORD-100945</t>
  </si>
  <si>
    <t>ORD-100201</t>
  </si>
  <si>
    <t>ORD-100819</t>
  </si>
  <si>
    <t>ORD-100909</t>
  </si>
  <si>
    <t>customer1110@example.com</t>
  </si>
  <si>
    <t>ORD-100728</t>
  </si>
  <si>
    <t>customer1360@example.com</t>
  </si>
  <si>
    <t>ORD-101664</t>
  </si>
  <si>
    <t>customer0535@example.com</t>
  </si>
  <si>
    <t>ORD-102164</t>
  </si>
  <si>
    <t>ORD-100209</t>
  </si>
  <si>
    <t>customer0659@example.com</t>
  </si>
  <si>
    <t>ORD-101078</t>
  </si>
  <si>
    <t>customer0520@example.com</t>
  </si>
  <si>
    <t>ORD-101554</t>
  </si>
  <si>
    <t>customer0254@example.com</t>
  </si>
  <si>
    <t>68.40</t>
  </si>
  <si>
    <t>ORD-102119</t>
  </si>
  <si>
    <t>ORD-102489</t>
  </si>
  <si>
    <t>ORD-101895</t>
  </si>
  <si>
    <t>ORD-100835</t>
  </si>
  <si>
    <t>customer0105@example.com</t>
  </si>
  <si>
    <t>ORD-100301</t>
  </si>
  <si>
    <t>customer0121@example.com</t>
  </si>
  <si>
    <t>ORD-100543</t>
  </si>
  <si>
    <t>76.50</t>
  </si>
  <si>
    <t>ORD-101046</t>
  </si>
  <si>
    <t>ORD-102161</t>
  </si>
  <si>
    <t>ORD-100469</t>
  </si>
  <si>
    <t>customer1355@example.com</t>
  </si>
  <si>
    <t>ORD-100381</t>
  </si>
  <si>
    <t>customer0758@example.com</t>
  </si>
  <si>
    <t>309.60</t>
  </si>
  <si>
    <t>ORD-101538</t>
  </si>
  <si>
    <t>ORD-101610</t>
  </si>
  <si>
    <t>ORD-101961</t>
  </si>
  <si>
    <t>ORD-100588</t>
  </si>
  <si>
    <t>ORD-101973</t>
  </si>
  <si>
    <t>ORD-100447</t>
  </si>
  <si>
    <t>customer0612@example.com</t>
  </si>
  <si>
    <t>ORD-101286</t>
  </si>
  <si>
    <t>ORD-101165</t>
  </si>
  <si>
    <t>ORD-100876</t>
  </si>
  <si>
    <t>customer0305@example.com</t>
  </si>
  <si>
    <t>ORD-101700</t>
  </si>
  <si>
    <t>customer0577@example.com</t>
  </si>
  <si>
    <t>ORD-102048</t>
  </si>
  <si>
    <t>customer0447@example.com</t>
  </si>
  <si>
    <t>ORD-102335</t>
  </si>
  <si>
    <t>ORD-101132</t>
  </si>
  <si>
    <t>ORD-101603</t>
  </si>
  <si>
    <t>ORD-102306</t>
  </si>
  <si>
    <t>customer0300@example.com</t>
  </si>
  <si>
    <t>ORD-100504</t>
  </si>
  <si>
    <t>ORD-102811</t>
  </si>
  <si>
    <t>ORD-101087</t>
  </si>
  <si>
    <t>customer0754@example.com</t>
  </si>
  <si>
    <t>ORD-100779</t>
  </si>
  <si>
    <t>ORD-102497</t>
  </si>
  <si>
    <t>ORD-102752</t>
  </si>
  <si>
    <t>-145.35</t>
  </si>
  <si>
    <t>ORD-100841</t>
  </si>
  <si>
    <t>ORD-102292</t>
  </si>
  <si>
    <t>ORD-100690</t>
  </si>
  <si>
    <t>customer0791@example.com</t>
  </si>
  <si>
    <t>ORD-100082</t>
  </si>
  <si>
    <t>customer0916@example.com</t>
  </si>
  <si>
    <t>ORD-101093</t>
  </si>
  <si>
    <t>ORD-102929</t>
  </si>
  <si>
    <t>ORD-101152</t>
  </si>
  <si>
    <t>ORD-101764</t>
  </si>
  <si>
    <t>ORD-100545</t>
  </si>
  <si>
    <t>customer0882@example.com</t>
  </si>
  <si>
    <t>ORD-101175</t>
  </si>
  <si>
    <t>ORD-100468</t>
  </si>
  <si>
    <t>ORD-102102</t>
  </si>
  <si>
    <t>ORD-100071</t>
  </si>
  <si>
    <t>ORD-100324</t>
  </si>
  <si>
    <t>customer0589@example.com</t>
  </si>
  <si>
    <t>ORD-101574</t>
  </si>
  <si>
    <t>customer0777@example.com</t>
  </si>
  <si>
    <t>ORD-102967</t>
  </si>
  <si>
    <t>ORD-102116</t>
  </si>
  <si>
    <t>ORD-102759</t>
  </si>
  <si>
    <t>ORD-100993</t>
  </si>
  <si>
    <t>customer0246@example.com</t>
  </si>
  <si>
    <t>ORD-100983</t>
  </si>
  <si>
    <t>ORD-100187</t>
  </si>
  <si>
    <t>ORD-101299</t>
  </si>
  <si>
    <t>02/28/2026</t>
  </si>
  <si>
    <t>ORD-100706</t>
  </si>
  <si>
    <t>ORD-101639</t>
  </si>
  <si>
    <t>ORD-102618</t>
  </si>
  <si>
    <t>ORD-102750</t>
  </si>
  <si>
    <t>ORD-102732</t>
  </si>
  <si>
    <t>ORD-101200</t>
  </si>
  <si>
    <t>customer0485@example.com</t>
  </si>
  <si>
    <t>ORD-102089</t>
  </si>
  <si>
    <t>ORD-101944</t>
  </si>
  <si>
    <t>ORD-100237</t>
  </si>
  <si>
    <t>customer1235@example.com</t>
  </si>
  <si>
    <t>ORD-100859</t>
  </si>
  <si>
    <t>ORD-101447</t>
  </si>
  <si>
    <t>ORD-100791</t>
  </si>
  <si>
    <t>ORD-101971</t>
  </si>
  <si>
    <t>customer1054@example.com</t>
  </si>
  <si>
    <t>ORD-100456</t>
  </si>
  <si>
    <t>ORD-102068</t>
  </si>
  <si>
    <t>03/20/2026</t>
  </si>
  <si>
    <t>ORD-100884</t>
  </si>
  <si>
    <t>ORD-100621</t>
  </si>
  <si>
    <t>ORD-100401</t>
  </si>
  <si>
    <t>ORD-100329</t>
  </si>
  <si>
    <t>customer0584@example.com</t>
  </si>
  <si>
    <t>ORD-101795</t>
  </si>
  <si>
    <t>ORD-100842</t>
  </si>
  <si>
    <t>ORD-101993</t>
  </si>
  <si>
    <t>ORD-101226</t>
  </si>
  <si>
    <t>ORD-102600</t>
  </si>
  <si>
    <t>ORD-102045</t>
  </si>
  <si>
    <t>ORD-100548</t>
  </si>
  <si>
    <t>ORD-100724</t>
  </si>
  <si>
    <t>ORD-100606</t>
  </si>
  <si>
    <t>ORD-102443</t>
  </si>
  <si>
    <t>customer0354@example.com</t>
  </si>
  <si>
    <t>ORD-100573</t>
  </si>
  <si>
    <t>customer0816@example.com</t>
  </si>
  <si>
    <t>ORD-100995</t>
  </si>
  <si>
    <t>ORD-100175</t>
  </si>
  <si>
    <t>ORD-102651</t>
  </si>
  <si>
    <t>ORD-100688</t>
  </si>
  <si>
    <t>ORD-100640</t>
  </si>
  <si>
    <t>ORD-102891</t>
  </si>
  <si>
    <t>customer1153@example.com</t>
  </si>
  <si>
    <t>ORD-101246</t>
  </si>
  <si>
    <t>ORD-100699</t>
  </si>
  <si>
    <t>customer0565@example.com</t>
  </si>
  <si>
    <t>£95.00</t>
  </si>
  <si>
    <t>ORD-101347</t>
  </si>
  <si>
    <t>ORD-102515</t>
  </si>
  <si>
    <t>ORD-100495</t>
  </si>
  <si>
    <t>customer0168@example.com</t>
  </si>
  <si>
    <t>ORD-101058</t>
  </si>
  <si>
    <t>ORD-101420</t>
  </si>
  <si>
    <t>ORD-101954</t>
  </si>
  <si>
    <t>customer0438@example.com</t>
  </si>
  <si>
    <t>ORD-100005</t>
  </si>
  <si>
    <t>customer0757@example.com</t>
  </si>
  <si>
    <t>ORD-101458</t>
  </si>
  <si>
    <t>customer1303@example.com</t>
  </si>
  <si>
    <t>ORD-102291</t>
  </si>
  <si>
    <t>customer0740@example.com</t>
  </si>
  <si>
    <t>ORD-101293</t>
  </si>
  <si>
    <t>-160.20</t>
  </si>
  <si>
    <t>ORD-100593</t>
  </si>
  <si>
    <t>customer0448@example.com</t>
  </si>
  <si>
    <t>ORD-101392</t>
  </si>
  <si>
    <t>customer0671@example.com</t>
  </si>
  <si>
    <t>ORD-102064</t>
  </si>
  <si>
    <t>ORD-100635</t>
  </si>
  <si>
    <t>ORD-102634</t>
  </si>
  <si>
    <t>ORD-101188</t>
  </si>
  <si>
    <t>ORD-100541</t>
  </si>
  <si>
    <t>ORD-101994</t>
  </si>
  <si>
    <t>customer0627@example.com</t>
  </si>
  <si>
    <t>ORD-102290</t>
  </si>
  <si>
    <t>ORD-102015</t>
  </si>
  <si>
    <t>05/27/2026</t>
  </si>
  <si>
    <t>ORD-102307</t>
  </si>
  <si>
    <t>ORD-102159</t>
  </si>
  <si>
    <t>ORD-100940</t>
  </si>
  <si>
    <t>ORD-101404</t>
  </si>
  <si>
    <t>customer0764@example.com</t>
  </si>
  <si>
    <t>ORD-101951</t>
  </si>
  <si>
    <t>06/14/2026</t>
  </si>
  <si>
    <t>ORD-101339</t>
  </si>
  <si>
    <t>ORD-101136</t>
  </si>
  <si>
    <t>GBP85.50</t>
  </si>
  <si>
    <t>ORD-100530</t>
  </si>
  <si>
    <t>customer0647@example.com</t>
  </si>
  <si>
    <t>ORD-102968</t>
  </si>
  <si>
    <t>ORD-100803</t>
  </si>
  <si>
    <t>customer1347@example.com</t>
  </si>
  <si>
    <t>ORD-101456</t>
  </si>
  <si>
    <t>ORD-101167</t>
  </si>
  <si>
    <t>ORD-101021</t>
  </si>
  <si>
    <t>customer1210@example.com</t>
  </si>
  <si>
    <t>ORD-101726</t>
  </si>
  <si>
    <t>ORD-101201</t>
  </si>
  <si>
    <t>ORD-100571</t>
  </si>
  <si>
    <t>ORD-101018</t>
  </si>
  <si>
    <t>ORD-100769</t>
  </si>
  <si>
    <t>customer0580@example.com</t>
  </si>
  <si>
    <t>ORD-101279</t>
  </si>
  <si>
    <t>customer0808@example.com</t>
  </si>
  <si>
    <t>-268.20</t>
  </si>
  <si>
    <t>ORD-102977</t>
  </si>
  <si>
    <t>ORD-100557</t>
  </si>
  <si>
    <t>customer0152@example.com</t>
  </si>
  <si>
    <t>ORD-102647</t>
  </si>
  <si>
    <t>ORD-101059</t>
  </si>
  <si>
    <t>ORD-100879</t>
  </si>
  <si>
    <t>customer1120@example.com</t>
  </si>
  <si>
    <t>ORD-100502</t>
  </si>
  <si>
    <t>ORD-100072</t>
  </si>
  <si>
    <t>ORD-100467</t>
  </si>
  <si>
    <t>customer0362@example.com</t>
  </si>
  <si>
    <t>ORD-101812</t>
  </si>
  <si>
    <t>ORD-102309</t>
  </si>
  <si>
    <t>ORD-100003</t>
  </si>
  <si>
    <t>ORD-101315</t>
  </si>
  <si>
    <t>ORD-102041</t>
  </si>
  <si>
    <t>customer0204@example.com</t>
  </si>
  <si>
    <t>ORD-102373</t>
  </si>
  <si>
    <t>ORD-100581</t>
  </si>
  <si>
    <t>ORD-102864</t>
  </si>
  <si>
    <t>ORD-100764</t>
  </si>
  <si>
    <t>ORD-100043</t>
  </si>
  <si>
    <t>customer0750@example.com</t>
  </si>
  <si>
    <t>ORD-101355</t>
  </si>
  <si>
    <t>ORD-102640</t>
  </si>
  <si>
    <t>ORD-100941</t>
  </si>
  <si>
    <t>ORD-100315</t>
  </si>
  <si>
    <t>customer0557@example.com</t>
  </si>
  <si>
    <t>ORD-102512</t>
  </si>
  <si>
    <t>ORD-102406</t>
  </si>
  <si>
    <t>customer0243@example.com</t>
  </si>
  <si>
    <t>ORD-100523</t>
  </si>
  <si>
    <t>customer0018@example.com</t>
  </si>
  <si>
    <t>ORD-102128</t>
  </si>
  <si>
    <t>ORD-102329</t>
  </si>
  <si>
    <t>ORD-101919</t>
  </si>
  <si>
    <t>ORD-100984</t>
  </si>
  <si>
    <t>ORD-101635</t>
  </si>
  <si>
    <t>customer1400@example.com</t>
  </si>
  <si>
    <t>ORD-101304</t>
  </si>
  <si>
    <t>ORD-100300</t>
  </si>
  <si>
    <t>customer1382@example.com</t>
  </si>
  <si>
    <t>ORD-101151</t>
  </si>
  <si>
    <t>customer0812@example.com</t>
  </si>
  <si>
    <t>36.45</t>
  </si>
  <si>
    <t>ORD-101833</t>
  </si>
  <si>
    <t>ORD-101581</t>
  </si>
  <si>
    <t>ORD-102446</t>
  </si>
  <si>
    <t>ORD-100402</t>
  </si>
  <si>
    <t>ORD-101097</t>
  </si>
  <si>
    <t>ORD-100641</t>
  </si>
  <si>
    <t>ORD-100542</t>
  </si>
  <si>
    <t>ORD-101230</t>
  </si>
  <si>
    <t>ORD-102674</t>
  </si>
  <si>
    <t>customer0409@example.com</t>
  </si>
  <si>
    <t>ORD-100122</t>
  </si>
  <si>
    <t>customer1313@example.com</t>
  </si>
  <si>
    <t>ORD-101161</t>
  </si>
  <si>
    <t>ORD-100562</t>
  </si>
  <si>
    <t>customer0207@example.com</t>
  </si>
  <si>
    <t>ORD-102797</t>
  </si>
  <si>
    <t>ORD-101974</t>
  </si>
  <si>
    <t>ORD-100241</t>
  </si>
  <si>
    <t>ORD-102648</t>
  </si>
  <si>
    <t>ORD-102840</t>
  </si>
  <si>
    <t>ORD-102894</t>
  </si>
  <si>
    <t>customer0310@example.com</t>
  </si>
  <si>
    <t>ORD-102554</t>
  </si>
  <si>
    <t>customer1222@example.com</t>
  </si>
  <si>
    <t>ORD-100915</t>
  </si>
  <si>
    <t>customer0325@example.com</t>
  </si>
  <si>
    <t>ORD-102083</t>
  </si>
  <si>
    <t>ORD-101901</t>
  </si>
  <si>
    <t>ORD-101351</t>
  </si>
  <si>
    <t>ORD-100105</t>
  </si>
  <si>
    <t>ORD-100812</t>
  </si>
  <si>
    <t>10.00</t>
  </si>
  <si>
    <t>ORD-100765</t>
  </si>
  <si>
    <t>customer0822@example.com</t>
  </si>
  <si>
    <t>ORD-101410</t>
  </si>
  <si>
    <t>customer0220@example.com</t>
  </si>
  <si>
    <t>ORD-100210</t>
  </si>
  <si>
    <t>181.31</t>
  </si>
  <si>
    <t>ORD-100330</t>
  </si>
  <si>
    <t>ORD-102211</t>
  </si>
  <si>
    <t>customer0126@example.com</t>
  </si>
  <si>
    <t>ORD-102642</t>
  </si>
  <si>
    <t>ORD-100067</t>
  </si>
  <si>
    <t>ORD-101690</t>
  </si>
  <si>
    <t>customer1065@example.com</t>
  </si>
  <si>
    <t>ORD-102981</t>
  </si>
  <si>
    <t>ORD-101264</t>
  </si>
  <si>
    <t>ORD-101357</t>
  </si>
  <si>
    <t>customer0995@example.com</t>
  </si>
  <si>
    <t>ORD-101370</t>
  </si>
  <si>
    <t>customer0500@example.com</t>
  </si>
  <si>
    <t>ORD-102002</t>
  </si>
  <si>
    <t>customer0569@example.com</t>
  </si>
  <si>
    <t>ORD-102205</t>
  </si>
  <si>
    <t>customer0237@example.com</t>
  </si>
  <si>
    <t>ORD-101699</t>
  </si>
  <si>
    <t>ORD-100377</t>
  </si>
  <si>
    <t>ORD-101703</t>
  </si>
  <si>
    <t>customer0188@example.com</t>
  </si>
  <si>
    <t>ORD-101561</t>
  </si>
  <si>
    <t>customer0578@example.com</t>
  </si>
  <si>
    <t>ORD-102712</t>
  </si>
  <si>
    <t>ORD-100011</t>
  </si>
  <si>
    <t>customer1074@example.com</t>
  </si>
  <si>
    <t>ORD-101641</t>
  </si>
  <si>
    <t>customer0436@example.com</t>
  </si>
  <si>
    <t>ORD-100058</t>
  </si>
  <si>
    <t>customer0043@example.com</t>
  </si>
  <si>
    <t>ORD-101615</t>
  </si>
  <si>
    <t>ORD-101171</t>
  </si>
  <si>
    <t>ORD-100357</t>
  </si>
  <si>
    <t>ORD-102092</t>
  </si>
  <si>
    <t>customer0778@example.com</t>
  </si>
  <si>
    <t>ORD-101359</t>
  </si>
  <si>
    <t>customer0570@example.com</t>
  </si>
  <si>
    <t>ORD-102765</t>
  </si>
  <si>
    <t>ORD-101891</t>
  </si>
  <si>
    <t>04/26/2026</t>
  </si>
  <si>
    <t>ORD-102424</t>
  </si>
  <si>
    <t>customer0007@example.com</t>
  </si>
  <si>
    <t>ORD-102130</t>
  </si>
  <si>
    <t>customer0030@example.com</t>
  </si>
  <si>
    <t>ORD-101170</t>
  </si>
  <si>
    <t>ORD-102423</t>
  </si>
  <si>
    <t>ORD-100457</t>
  </si>
  <si>
    <t>customer1300@example.com</t>
  </si>
  <si>
    <t>ORD-102297</t>
  </si>
  <si>
    <t>customer1339@example.com</t>
  </si>
  <si>
    <t>ORD-102663</t>
  </si>
  <si>
    <t>ORD-101360</t>
  </si>
  <si>
    <t>customer0553@example.com</t>
  </si>
  <si>
    <t>ORD-102923</t>
  </si>
  <si>
    <t>customer0057@example.com</t>
  </si>
  <si>
    <t>ORD-100891</t>
  </si>
  <si>
    <t>customer0359@example.com</t>
  </si>
  <si>
    <t>ORD-101108</t>
  </si>
  <si>
    <t>ORD-102455</t>
  </si>
  <si>
    <t>151.30</t>
  </si>
  <si>
    <t>ORD-102655</t>
  </si>
  <si>
    <t>customer0558@example.com</t>
  </si>
  <si>
    <t>ORD-102433</t>
  </si>
  <si>
    <t>ORD-100514</t>
  </si>
  <si>
    <t>ORD-100050</t>
  </si>
  <si>
    <t>customer0853@example.com</t>
  </si>
  <si>
    <t>ORD-102566</t>
  </si>
  <si>
    <t>ORD-100624</t>
  </si>
  <si>
    <t>customer0194@example.com</t>
  </si>
  <si>
    <t>ORD-102540</t>
  </si>
  <si>
    <t>customer0878@example.com</t>
  </si>
  <si>
    <t>97.20</t>
  </si>
  <si>
    <t>ORD-101001</t>
  </si>
  <si>
    <t>customer0024@example.com</t>
  </si>
  <si>
    <t>ORD-101702</t>
  </si>
  <si>
    <t>ORD-102885</t>
  </si>
  <si>
    <t>01/16/2026</t>
  </si>
  <si>
    <t>ORD-102282</t>
  </si>
  <si>
    <t>ORD-102992</t>
  </si>
  <si>
    <t>customer0005@example.com</t>
  </si>
  <si>
    <t>ORD-100101</t>
  </si>
  <si>
    <t>customer0813@example.com</t>
  </si>
  <si>
    <t>ORD-102845</t>
  </si>
  <si>
    <t>ORD-102058</t>
  </si>
  <si>
    <t>ORD-102746</t>
  </si>
  <si>
    <t>ORD-102372</t>
  </si>
  <si>
    <t>ORD-101547</t>
  </si>
  <si>
    <t>ORD-101297</t>
  </si>
  <si>
    <t>ORD-101115</t>
  </si>
  <si>
    <t>ORD-102078</t>
  </si>
  <si>
    <t>customer1212@example.com</t>
  </si>
  <si>
    <t>ORD-101072</t>
  </si>
  <si>
    <t>ORD-100946</t>
  </si>
  <si>
    <t>customer0922@example.com</t>
  </si>
  <si>
    <t>ORD-100956</t>
  </si>
  <si>
    <t>213.60</t>
  </si>
  <si>
    <t>ORD-100172</t>
  </si>
  <si>
    <t>ORD-100144</t>
  </si>
  <si>
    <t>ORD-102197</t>
  </si>
  <si>
    <t>ORD-101138</t>
  </si>
  <si>
    <t>ORD-100726</t>
  </si>
  <si>
    <t>ORD-100062</t>
  </si>
  <si>
    <t>ORD-100518</t>
  </si>
  <si>
    <t>customer0618@example.com</t>
  </si>
  <si>
    <t>ORD-100182</t>
  </si>
  <si>
    <t>customer0020@example.com</t>
  </si>
  <si>
    <t>ORD-101845</t>
  </si>
  <si>
    <t>customer0931@example.com</t>
  </si>
  <si>
    <t>ORD-101706</t>
  </si>
  <si>
    <t>ORD-100474</t>
  </si>
  <si>
    <t>ORD-101761</t>
  </si>
  <si>
    <t>customer0587@example.com</t>
  </si>
  <si>
    <t>ORD-100015</t>
  </si>
  <si>
    <t>customer0069@example.com</t>
  </si>
  <si>
    <t>ORD-101398</t>
  </si>
  <si>
    <t>ORD-102565</t>
  </si>
  <si>
    <t>customer1254@example.com</t>
  </si>
  <si>
    <t>104.49</t>
  </si>
  <si>
    <t>ORD-101530</t>
  </si>
  <si>
    <t>ORD-102140</t>
  </si>
  <si>
    <t>ORD-101248</t>
  </si>
  <si>
    <t>ORD-101977</t>
  </si>
  <si>
    <t>ORD-102909</t>
  </si>
  <si>
    <t>278.64</t>
  </si>
  <si>
    <t>ORD-100958</t>
  </si>
  <si>
    <t>ORD-100564</t>
  </si>
  <si>
    <t>ORD-100974</t>
  </si>
  <si>
    <t>ORD-102281</t>
  </si>
  <si>
    <t>ORD-101772</t>
  </si>
  <si>
    <t>ORD-100326</t>
  </si>
  <si>
    <t>ORD-100839</t>
  </si>
  <si>
    <t>ORD-102348</t>
  </si>
  <si>
    <t>ORD-101981</t>
  </si>
  <si>
    <t>customer0285@example.com</t>
  </si>
  <si>
    <t>ORD-100009</t>
  </si>
  <si>
    <t>ORD-101705</t>
  </si>
  <si>
    <t>ORD-101976</t>
  </si>
  <si>
    <t>customer0958@example.com</t>
  </si>
  <si>
    <t>ORD-102323</t>
  </si>
  <si>
    <t>customer0015@example.com</t>
  </si>
  <si>
    <t>ORD-101277</t>
  </si>
  <si>
    <t>customer0307@example.com</t>
  </si>
  <si>
    <t>ORD-100623</t>
  </si>
  <si>
    <t>ORD-101735</t>
  </si>
  <si>
    <t>ORD-102386</t>
  </si>
  <si>
    <t>ORD-102183</t>
  </si>
  <si>
    <t>ORD-102467</t>
  </si>
  <si>
    <t>ORD-100076</t>
  </si>
  <si>
    <t>ORD-101273</t>
  </si>
  <si>
    <t>customer0798@example.com</t>
  </si>
  <si>
    <t>ORD-101103</t>
  </si>
  <si>
    <t>customer0065@example.com</t>
  </si>
  <si>
    <t>ORD-102385</t>
  </si>
  <si>
    <t>ORD-101836</t>
  </si>
  <si>
    <t>ORD-102452</t>
  </si>
  <si>
    <t>customer0441@example.com</t>
  </si>
  <si>
    <t>ORD-101442</t>
  </si>
  <si>
    <t>customer0418@example.com</t>
  </si>
  <si>
    <t>ORD-102179</t>
  </si>
  <si>
    <t>ORD-102783</t>
  </si>
  <si>
    <t>ORD-101047</t>
  </si>
  <si>
    <t>ORD-100280</t>
  </si>
  <si>
    <t>customer0151@example.com</t>
  </si>
  <si>
    <t>-40.50</t>
  </si>
  <si>
    <t>ORD-101206</t>
  </si>
  <si>
    <t>ORD-102611</t>
  </si>
  <si>
    <t>ORD-100867</t>
  </si>
  <si>
    <t>ORD-102447</t>
  </si>
  <si>
    <t>customer1386@example.com</t>
  </si>
  <si>
    <t>ORD-100341</t>
  </si>
  <si>
    <t>ORD-100777</t>
  </si>
  <si>
    <t>ORD-102050</t>
  </si>
  <si>
    <t>02/15/2026</t>
  </si>
  <si>
    <t>ORD-100486</t>
  </si>
  <si>
    <t>customer0135@example.com</t>
  </si>
  <si>
    <t>ORD-101572</t>
  </si>
  <si>
    <t>customer1331@example.com</t>
  </si>
  <si>
    <t>ORD-100651</t>
  </si>
  <si>
    <t>ORD-100741</t>
  </si>
  <si>
    <t>ORD-100069</t>
  </si>
  <si>
    <t>ORD-101107</t>
  </si>
  <si>
    <t>ORD-100223</t>
  </si>
  <si>
    <t>ORD-102394</t>
  </si>
  <si>
    <t>ORD-100320</t>
  </si>
  <si>
    <t>ORD-101320</t>
  </si>
  <si>
    <t>ORD-102468</t>
  </si>
  <si>
    <t>£45.00</t>
  </si>
  <si>
    <t>ORD-101039</t>
  </si>
  <si>
    <t>customer0169@example.com</t>
  </si>
  <si>
    <t>ORD-102056</t>
  </si>
  <si>
    <t>ORD-101746</t>
  </si>
  <si>
    <t>ORD-100165</t>
  </si>
  <si>
    <t>customer1362@example.com</t>
  </si>
  <si>
    <t>ORD-102219</t>
  </si>
  <si>
    <t>ORD-101354</t>
  </si>
  <si>
    <t>ORD-101243</t>
  </si>
  <si>
    <t>ORD-102484</t>
  </si>
  <si>
    <t>ORD-100222</t>
  </si>
  <si>
    <t>ORD-101835</t>
  </si>
  <si>
    <t>ORD-101174</t>
  </si>
  <si>
    <t>ORD-101513</t>
  </si>
  <si>
    <t>ORD-100717</t>
  </si>
  <si>
    <t>ORD-102137</t>
  </si>
  <si>
    <t>ORD-100533</t>
  </si>
  <si>
    <t>customer1163@example.com</t>
  </si>
  <si>
    <t>34.56</t>
  </si>
  <si>
    <t>ORD-100674</t>
  </si>
  <si>
    <t>customer0799@example.com</t>
  </si>
  <si>
    <t>ORD-102436</t>
  </si>
  <si>
    <t>ORD-101732</t>
  </si>
  <si>
    <t>ORD-101960</t>
  </si>
  <si>
    <t>customer1169@example.com</t>
  </si>
  <si>
    <t>ORD-102025</t>
  </si>
  <si>
    <t>ORD-101897</t>
  </si>
  <si>
    <t>customer0421@example.com</t>
  </si>
  <si>
    <t>ORD-102709</t>
  </si>
  <si>
    <t>customer0625@example.com</t>
  </si>
  <si>
    <t>ORD-100534</t>
  </si>
  <si>
    <t>ORD-100614</t>
  </si>
  <si>
    <t>ORD-101569</t>
  </si>
  <si>
    <t>customer0516@example.com</t>
  </si>
  <si>
    <t>ORD-102315</t>
  </si>
  <si>
    <t>customer0268@example.com</t>
  </si>
  <si>
    <t>ORD-101655</t>
  </si>
  <si>
    <t>ORD-102518</t>
  </si>
  <si>
    <t>ORD-101141</t>
  </si>
  <si>
    <t>customer1343@example.com</t>
  </si>
  <si>
    <t>ORD-102136</t>
  </si>
  <si>
    <t>ORD-102492</t>
  </si>
  <si>
    <t>ORD-102440</t>
  </si>
  <si>
    <t>customer0514@example.com</t>
  </si>
  <si>
    <t>ORD-100716</t>
  </si>
  <si>
    <t>ORD-100154</t>
  </si>
  <si>
    <t>ORD-100119</t>
  </si>
  <si>
    <t>ORD-102504</t>
  </si>
  <si>
    <t>ORD-102148</t>
  </si>
  <si>
    <t>customer0429@example.com</t>
  </si>
  <si>
    <t>ORD-101008</t>
  </si>
  <si>
    <t>customer0316@example.com</t>
  </si>
  <si>
    <t>ORD-102745</t>
  </si>
  <si>
    <t>ORD-100814</t>
  </si>
  <si>
    <t>customer1284@example.com</t>
  </si>
  <si>
    <t>ORD-101016</t>
  </si>
  <si>
    <t>67.15</t>
  </si>
  <si>
    <t>ORD-101445</t>
  </si>
  <si>
    <t>ORD-100532</t>
  </si>
  <si>
    <t>-21.60</t>
  </si>
  <si>
    <t>ORD-101737</t>
  </si>
  <si>
    <t>customer0355@example.com</t>
  </si>
  <si>
    <t>ORD-100089</t>
  </si>
  <si>
    <t>ORD-101180</t>
  </si>
  <si>
    <t>customer0337@example.com</t>
  </si>
  <si>
    <t>ORD-101127</t>
  </si>
  <si>
    <t>ORD-102707</t>
  </si>
  <si>
    <t>customer0817@example.com</t>
  </si>
  <si>
    <t>ORD-100142</t>
  </si>
  <si>
    <t>ORD-100087</t>
  </si>
  <si>
    <t>customer0621@example.com</t>
  </si>
  <si>
    <t>ORD-101580</t>
  </si>
  <si>
    <t>ORD-100141</t>
  </si>
  <si>
    <t>ORD-102416</t>
  </si>
  <si>
    <t>customer1146@example.com</t>
  </si>
  <si>
    <t>ORD-101306</t>
  </si>
  <si>
    <t>ORD-100980</t>
  </si>
  <si>
    <t>customer1130@example.com</t>
  </si>
  <si>
    <t>ORD-102101</t>
  </si>
  <si>
    <t>ORD-102046</t>
  </si>
  <si>
    <t>customer1384@example.com</t>
  </si>
  <si>
    <t>ORD-101559</t>
  </si>
  <si>
    <t>ORD-102952</t>
  </si>
  <si>
    <t>ORD-101011</t>
  </si>
  <si>
    <t>ORD-101441</t>
  </si>
  <si>
    <t>customer0747@example.com</t>
  </si>
  <si>
    <t>ORD-101092</t>
  </si>
  <si>
    <t>customer0382@example.com</t>
  </si>
  <si>
    <t>ORD-102267</t>
  </si>
  <si>
    <t>customer1051@example.com</t>
  </si>
  <si>
    <t>ORD-100930</t>
  </si>
  <si>
    <t>ORD-102407</t>
  </si>
  <si>
    <t>126.40</t>
  </si>
  <si>
    <t>ORD-102646</t>
  </si>
  <si>
    <t>ORD-100367</t>
  </si>
  <si>
    <t>ORD-101208</t>
  </si>
  <si>
    <t>ORD-101397</t>
  </si>
  <si>
    <t>ORD-102032</t>
  </si>
  <si>
    <t>ORD-102360</t>
  </si>
  <si>
    <t>ORD-100235</t>
  </si>
  <si>
    <t>ORD-101245</t>
  </si>
  <si>
    <t>ORD-101285</t>
  </si>
  <si>
    <t>customer0131@example.com</t>
  </si>
  <si>
    <t>ORD-102959</t>
  </si>
  <si>
    <t>ORD-101617</t>
  </si>
  <si>
    <t>ORD-100682</t>
  </si>
  <si>
    <t>ORD-101948</t>
  </si>
  <si>
    <t>ORD-102475</t>
  </si>
  <si>
    <t>ORD-102187</t>
  </si>
  <si>
    <t>ORD-102256</t>
  </si>
  <si>
    <t>customer1178@example.com</t>
  </si>
  <si>
    <t>ORD-100160</t>
  </si>
  <si>
    <t>ORD-101197</t>
  </si>
  <si>
    <t>ORD-101340</t>
  </si>
  <si>
    <t>01/20/2026</t>
  </si>
  <si>
    <t>ORD-100313</t>
  </si>
  <si>
    <t>ORD-102400</t>
  </si>
  <si>
    <t>ORD-100951</t>
  </si>
  <si>
    <t>ORD-102478</t>
  </si>
  <si>
    <t>ORD-102341</t>
  </si>
  <si>
    <t>customer0286@example.com</t>
  </si>
  <si>
    <t>ORD-100277</t>
  </si>
  <si>
    <t>customer0861@example.com</t>
  </si>
  <si>
    <t>ORD-102869</t>
  </si>
  <si>
    <t>ORD-102784</t>
  </si>
  <si>
    <t>ORD-101213</t>
  </si>
  <si>
    <t>ORD-102387</t>
  </si>
  <si>
    <t>customer0019@example.com</t>
  </si>
  <si>
    <t>ORD-102933</t>
  </si>
  <si>
    <t>ORD-102404</t>
  </si>
  <si>
    <t>customer0836@example.com</t>
  </si>
  <si>
    <t>ORD-100685</t>
  </si>
  <si>
    <t>19.12</t>
  </si>
  <si>
    <t>ORD-101925</t>
  </si>
  <si>
    <t>ORD-101488</t>
  </si>
  <si>
    <t>customer0615@example.com</t>
  </si>
  <si>
    <t>ORD-100525</t>
  </si>
  <si>
    <t>ORD-101253</t>
  </si>
  <si>
    <t>customer0106@example.com</t>
  </si>
  <si>
    <t>ORD-101396</t>
  </si>
  <si>
    <t>customer0022@example.com</t>
  </si>
  <si>
    <t>ORD-101113</t>
  </si>
  <si>
    <t>ORD-101335</t>
  </si>
  <si>
    <t>ORD-102212</t>
  </si>
  <si>
    <t>ORD-100825</t>
  </si>
  <si>
    <t>ORD-101465</t>
  </si>
  <si>
    <t>ORD-100880</t>
  </si>
  <si>
    <t>ORD-102503</t>
  </si>
  <si>
    <t>customer0190@example.com</t>
  </si>
  <si>
    <t>61.20</t>
  </si>
  <si>
    <t>ORD-100920</t>
  </si>
  <si>
    <t>ORD-101673</t>
  </si>
  <si>
    <t>ORD-101341</t>
  </si>
  <si>
    <t>ORD-102859</t>
  </si>
  <si>
    <t>ORD-102030</t>
  </si>
  <si>
    <t>customer1236@example.com</t>
  </si>
  <si>
    <t>ORD-102365</t>
  </si>
  <si>
    <t>ORD-100033</t>
  </si>
  <si>
    <t>customer1132@example.com</t>
  </si>
  <si>
    <t>ORD-100171</t>
  </si>
  <si>
    <t>customer0144@example.com</t>
  </si>
  <si>
    <t>ORD-101034</t>
  </si>
  <si>
    <t>ORD-101756</t>
  </si>
  <si>
    <t>ORD-100676</t>
  </si>
  <si>
    <t>customer0176@example.com</t>
  </si>
  <si>
    <t>ORD-102412</t>
  </si>
  <si>
    <t>ORD-101459</t>
  </si>
  <si>
    <t>ORD-102625</t>
  </si>
  <si>
    <t>customer0488@example.com</t>
  </si>
  <si>
    <t>ORD-100052</t>
  </si>
  <si>
    <t>customer0767@example.com</t>
  </si>
  <si>
    <t>ORD-100114</t>
  </si>
  <si>
    <t>customer1038@example.com</t>
  </si>
  <si>
    <t>ORD-101714</t>
  </si>
  <si>
    <t>ORD-100888</t>
  </si>
  <si>
    <t>ORD-101330</t>
  </si>
  <si>
    <t>ORD-101276</t>
  </si>
  <si>
    <t>ORD-101119</t>
  </si>
  <si>
    <t>ORD-100216</t>
  </si>
  <si>
    <t>customer0913@example.com</t>
  </si>
  <si>
    <t>ORD-102583</t>
  </si>
  <si>
    <t>ORD-100837</t>
  </si>
  <si>
    <t>ORD-100312</t>
  </si>
  <si>
    <t>ORD-101500</t>
  </si>
  <si>
    <t>04/19/2026</t>
  </si>
  <si>
    <t>customer0908@example.com</t>
  </si>
  <si>
    <t>ORD-102548</t>
  </si>
  <si>
    <t>ORD-100498</t>
  </si>
  <si>
    <t>ORD-100240</t>
  </si>
  <si>
    <t>customer0492@example.com</t>
  </si>
  <si>
    <t>ORD-100787</t>
  </si>
  <si>
    <t>ORD-100767</t>
  </si>
  <si>
    <t>ORD-101270</t>
  </si>
  <si>
    <t>ORD-101916</t>
  </si>
  <si>
    <t>customer0537@example.com</t>
  </si>
  <si>
    <t>ORD-101606</t>
  </si>
  <si>
    <t>ORD-100465</t>
  </si>
  <si>
    <t>ORD-100382</t>
  </si>
  <si>
    <t>ORD-100422</t>
  </si>
  <si>
    <t>ORD-102043</t>
  </si>
  <si>
    <t>ORD-101920</t>
  </si>
  <si>
    <t>ORD-102501</t>
  </si>
  <si>
    <t>ORD-102319</t>
  </si>
  <si>
    <t>ORD-102037</t>
  </si>
  <si>
    <t>ORD-102110</t>
  </si>
  <si>
    <t>customer0576@example.com</t>
  </si>
  <si>
    <t>103.27</t>
  </si>
  <si>
    <t>ORD-101898</t>
  </si>
  <si>
    <t>customer0987@example.com</t>
  </si>
  <si>
    <t>ORD-100694</t>
  </si>
  <si>
    <t>customer0857@example.com</t>
  </si>
  <si>
    <t>ORD-101817</t>
  </si>
  <si>
    <t>ORD-100759</t>
  </si>
  <si>
    <t>ORD-100604</t>
  </si>
  <si>
    <t>customer0452@example.com</t>
  </si>
  <si>
    <t>63.20</t>
  </si>
  <si>
    <t>ORD-102105</t>
  </si>
  <si>
    <t>ORD-102382</t>
  </si>
  <si>
    <t>ORD-101027</t>
  </si>
  <si>
    <t>ORD-102144</t>
  </si>
  <si>
    <t>customer0586@example.com</t>
  </si>
  <si>
    <t>ORD-100310</t>
  </si>
  <si>
    <t>customer0517@example.com</t>
  </si>
  <si>
    <t>ORD-100887</t>
  </si>
  <si>
    <t>customer0434@example.com</t>
  </si>
  <si>
    <t>ORD-101203</t>
  </si>
  <si>
    <t>customer0600@example.com</t>
  </si>
  <si>
    <t>ORD-101517</t>
  </si>
  <si>
    <t>customer0352@example.com</t>
  </si>
  <si>
    <t>ORD-101740</t>
  </si>
  <si>
    <t>ORD-101910</t>
  </si>
  <si>
    <t>ORD-101474</t>
  </si>
  <si>
    <t>customer0182@example.com</t>
  </si>
  <si>
    <t>ORD-102910</t>
  </si>
  <si>
    <t>customer0219@example.com</t>
  </si>
  <si>
    <t>ORD-101303</t>
  </si>
  <si>
    <t>ORD-101975</t>
  </si>
  <si>
    <t>ORD-101827</t>
  </si>
  <si>
    <t>ORD-101540</t>
  </si>
  <si>
    <t>ORD-102964</t>
  </si>
  <si>
    <t>ORD-100018</t>
  </si>
  <si>
    <t>ORD-101057</t>
  </si>
  <si>
    <t>customer0838@example.com</t>
  </si>
  <si>
    <t>ORD-102065</t>
  </si>
  <si>
    <t>127.98</t>
  </si>
  <si>
    <t>ORD-100898</t>
  </si>
  <si>
    <t>ORD-101041</t>
  </si>
  <si>
    <t>ORD-101687</t>
  </si>
  <si>
    <t>ORD-101144</t>
  </si>
  <si>
    <t>ORD-102084</t>
  </si>
  <si>
    <t>ORD-101539</t>
  </si>
  <si>
    <t>ORD-100189</t>
  </si>
  <si>
    <t>ORD-101380</t>
  </si>
  <si>
    <t>customer1356@example.com</t>
  </si>
  <si>
    <t>ORD-100973</t>
  </si>
  <si>
    <t>ORD-101541</t>
  </si>
  <si>
    <t>customer1327@example.com</t>
  </si>
  <si>
    <t>ORD-101492</t>
  </si>
  <si>
    <t>ORD-101624</t>
  </si>
  <si>
    <t>ORD-100866</t>
  </si>
  <si>
    <t>customer1126@example.com</t>
  </si>
  <si>
    <t>ORD-100902</t>
  </si>
  <si>
    <t>ORD-102363</t>
  </si>
  <si>
    <t>customer0028@example.com</t>
  </si>
  <si>
    <t>ORD-102378</t>
  </si>
  <si>
    <t>ORD-102295</t>
  </si>
  <si>
    <t>ORD-100267</t>
  </si>
  <si>
    <t>ORD-102683</t>
  </si>
  <si>
    <t>customer1028@example.com</t>
  </si>
  <si>
    <t>ORD-100985</t>
  </si>
  <si>
    <t>ORD-102491</t>
  </si>
  <si>
    <t>ORD-100479</t>
  </si>
  <si>
    <t>ORD-100484</t>
  </si>
  <si>
    <t>ORD-102901</t>
  </si>
  <si>
    <t>ORD-100073</t>
  </si>
  <si>
    <t>ORD-100836</t>
  </si>
  <si>
    <t>ORD-101352</t>
  </si>
  <si>
    <t>customer0683@example.com</t>
  </si>
  <si>
    <t>ORD-100400</t>
  </si>
  <si>
    <t>customer0568@example.com</t>
  </si>
  <si>
    <t>ORD-101192</t>
  </si>
  <si>
    <t>ORD-100805</t>
  </si>
  <si>
    <t>ORD-100470</t>
  </si>
  <si>
    <t>ORD-102007</t>
  </si>
  <si>
    <t>ORD-100307</t>
  </si>
  <si>
    <t>customer1046@example.com</t>
  </si>
  <si>
    <t>ORD-101298</t>
  </si>
  <si>
    <t>ORD-101205</t>
  </si>
  <si>
    <t>ORD-102764</t>
  </si>
  <si>
    <t>customer1021@example.com</t>
  </si>
  <si>
    <t>ORD-101796</t>
  </si>
  <si>
    <t>ORD-101519</t>
  </si>
  <si>
    <t>ORD-102507</t>
  </si>
  <si>
    <t>ORD-102915</t>
  </si>
  <si>
    <t>ORD-100136</t>
  </si>
  <si>
    <t>ORD-100097</t>
  </si>
  <si>
    <t>ORD-102145</t>
  </si>
  <si>
    <t>-134.10</t>
  </si>
  <si>
    <t>ORD-101262</t>
  </si>
  <si>
    <t>ORD-101663</t>
  </si>
  <si>
    <t>customer0675@example.com</t>
  </si>
  <si>
    <t>ORD-100680</t>
  </si>
  <si>
    <t>ORD-100200</t>
  </si>
  <si>
    <t>customer0187@example.com</t>
  </si>
  <si>
    <t>ORD-100797</t>
  </si>
  <si>
    <t>customer1342@example.com</t>
  </si>
  <si>
    <t>ORD-101510</t>
  </si>
  <si>
    <t>customer0456@example.com</t>
  </si>
  <si>
    <t>ORD-102819</t>
  </si>
  <si>
    <t>ORD-101669</t>
  </si>
  <si>
    <t>ORD-100264</t>
  </si>
  <si>
    <t>ORD-102338</t>
  </si>
  <si>
    <t>ORD-100272</t>
  </si>
  <si>
    <t>customer0435@example.com</t>
  </si>
  <si>
    <t>ORD-100041</t>
  </si>
  <si>
    <t>ORD-100090</t>
  </si>
  <si>
    <t>ORD-102318</t>
  </si>
  <si>
    <t>ORD-101864</t>
  </si>
  <si>
    <t>ORD-101317</t>
  </si>
  <si>
    <t>ORD-100563</t>
  </si>
  <si>
    <t>ORD-101962</t>
  </si>
  <si>
    <t>ORD-102134</t>
  </si>
  <si>
    <t>ORD-101421</t>
  </si>
  <si>
    <t>ORD-100271</t>
  </si>
  <si>
    <t>ORD-101274</t>
  </si>
  <si>
    <t>ORD-100021</t>
  </si>
  <si>
    <t>customer0601@example.com</t>
  </si>
  <si>
    <t>ORD-101681</t>
  </si>
  <si>
    <t>ORD-102173</t>
  </si>
  <si>
    <t>ORD-102844</t>
  </si>
  <si>
    <t>ORD-101768</t>
  </si>
  <si>
    <t>ORD-100547</t>
  </si>
  <si>
    <t>ORD-101440</t>
  </si>
  <si>
    <t>customer0073@example.com</t>
  </si>
  <si>
    <t>ORD-102340</t>
  </si>
  <si>
    <t>ORD-101605</t>
  </si>
  <si>
    <t>ORD-101402</t>
  </si>
  <si>
    <t>ORD-102799</t>
  </si>
  <si>
    <t>customer1018@example.com</t>
  </si>
  <si>
    <t>-121.50</t>
  </si>
  <si>
    <t>ORD-102453</t>
  </si>
  <si>
    <t>ORD-100193</t>
  </si>
  <si>
    <t>ORD-100116</t>
  </si>
  <si>
    <t>ORD-100705</t>
  </si>
  <si>
    <t>customer0364@example.com</t>
  </si>
  <si>
    <t>ORD-102251</t>
  </si>
  <si>
    <t>ORD-102473</t>
  </si>
  <si>
    <t>05/25/2026</t>
  </si>
  <si>
    <t>ORD-100345</t>
  </si>
  <si>
    <t>customer1084@example.com</t>
  </si>
  <si>
    <t>ORD-101755</t>
  </si>
  <si>
    <t>ORD-101271</t>
  </si>
  <si>
    <t>ORD-102241</t>
  </si>
  <si>
    <t>ORD-100125</t>
  </si>
  <si>
    <t>ORD-102594</t>
  </si>
  <si>
    <t>ORD-100877</t>
  </si>
  <si>
    <t>ORD-100868</t>
  </si>
  <si>
    <t>customer0766@example.com</t>
  </si>
  <si>
    <t>ORD-102558</t>
  </si>
  <si>
    <t>customer0075@example.com</t>
  </si>
  <si>
    <t>ORD-100205</t>
  </si>
  <si>
    <t>customer0573@example.com</t>
  </si>
  <si>
    <t>ORD-100247</t>
  </si>
  <si>
    <t>ORD-100129</t>
  </si>
  <si>
    <t>ORD-100095</t>
  </si>
  <si>
    <t>ORD-101857</t>
  </si>
  <si>
    <t>ORD-100038</t>
  </si>
  <si>
    <t>ORD-100739</t>
  </si>
  <si>
    <t>ORD-102024</t>
  </si>
  <si>
    <t>ORD-100061</t>
  </si>
  <si>
    <t>ORD-102476</t>
  </si>
  <si>
    <t>ORD-101014</t>
  </si>
  <si>
    <t>ORD-100583</t>
  </si>
  <si>
    <t>ORD-100248</t>
  </si>
  <si>
    <t>ORD-100883</t>
  </si>
  <si>
    <t>customer0231@example.com</t>
  </si>
  <si>
    <t>ORD-102560</t>
  </si>
  <si>
    <t>customer0371@example.com</t>
  </si>
  <si>
    <t>ORD-100537</t>
  </si>
  <si>
    <t>customer0455@example.com</t>
  </si>
  <si>
    <t>ORD-102343</t>
  </si>
  <si>
    <t>ORD-102676</t>
  </si>
  <si>
    <t>ORD-101985</t>
  </si>
  <si>
    <t>ORD-101149</t>
  </si>
  <si>
    <t>ORD-100997</t>
  </si>
  <si>
    <t>customer0332@example.com</t>
  </si>
  <si>
    <t>ORD-102525</t>
  </si>
  <si>
    <t>customer0283@example.com</t>
  </si>
  <si>
    <t>ORD-100749</t>
  </si>
  <si>
    <t>customer0662@example.com</t>
  </si>
  <si>
    <t>ORD-101095</t>
  </si>
  <si>
    <t>ORD-102248</t>
  </si>
  <si>
    <t>ORD-102569</t>
  </si>
  <si>
    <t>ORD-101943</t>
  </si>
  <si>
    <t>customer0230@example.com</t>
  </si>
  <si>
    <t>ORD-102870</t>
  </si>
  <si>
    <t>20.00</t>
  </si>
  <si>
    <t>ORD-101216</t>
  </si>
  <si>
    <t>ORD-101596</t>
  </si>
  <si>
    <t>ORD-101848</t>
  </si>
  <si>
    <t>customer0372@example.com</t>
  </si>
  <si>
    <t>ORD-101332</t>
  </si>
  <si>
    <t>ORD-101122</t>
  </si>
  <si>
    <t>ORD-100284</t>
  </si>
  <si>
    <t>ORD-102301</t>
  </si>
  <si>
    <t>ORD-100460</t>
  </si>
  <si>
    <t>ORD-100405</t>
  </si>
  <si>
    <t>ORD-100609</t>
  </si>
  <si>
    <t>ORD-100655</t>
  </si>
  <si>
    <t>02/24/2026</t>
  </si>
  <si>
    <t>ORD-101568</t>
  </si>
  <si>
    <t>ORD-100135</t>
  </si>
  <si>
    <t>ORD-100438</t>
  </si>
  <si>
    <t>ORD-102086</t>
  </si>
  <si>
    <t>customer0113@example.com</t>
  </si>
  <si>
    <t>ORD-102437</t>
  </si>
  <si>
    <t>04/23/2026</t>
  </si>
  <si>
    <t>ORD-101375</t>
  </si>
  <si>
    <t>ORD-102978</t>
  </si>
  <si>
    <t>ORD-101558</t>
  </si>
  <si>
    <t>ORD-100710</t>
  </si>
  <si>
    <t>ORD-102109</t>
  </si>
  <si>
    <t>ORD-102728</t>
  </si>
  <si>
    <t>customer0164@example.com</t>
  </si>
  <si>
    <t>ORD-100298</t>
  </si>
  <si>
    <t>customer0127@example.com</t>
  </si>
  <si>
    <t>ORD-101263</t>
  </si>
  <si>
    <t>customer1334@example.com</t>
  </si>
  <si>
    <t>ORD-102953</t>
  </si>
  <si>
    <t>ORD-102263</t>
  </si>
  <si>
    <t>ORD-100719</t>
  </si>
  <si>
    <t>ORD-101553</t>
  </si>
  <si>
    <t>ORD-101875</t>
  </si>
  <si>
    <t>customer0370@example.com</t>
  </si>
  <si>
    <t>ORD-100552</t>
  </si>
  <si>
    <t>ORD-102471</t>
  </si>
  <si>
    <t>customer1026@example.com</t>
  </si>
  <si>
    <t>ORD-101995</t>
  </si>
  <si>
    <t>ORD-100389</t>
  </si>
  <si>
    <t>customer1078@example.com</t>
  </si>
  <si>
    <t>ORD-101724</t>
  </si>
  <si>
    <t>ORD-101716</t>
  </si>
  <si>
    <t>ORD-102243</t>
  </si>
  <si>
    <t>ORD-102182</t>
  </si>
  <si>
    <t>ORD-102826</t>
  </si>
  <si>
    <t>customer1200@example.com</t>
  </si>
  <si>
    <t>134.30</t>
  </si>
  <si>
    <t>ORD-102376</t>
  </si>
  <si>
    <t>customer0463@example.com</t>
  </si>
  <si>
    <t>ORD-101691</t>
  </si>
  <si>
    <t>ORD-101704</t>
  </si>
  <si>
    <t>ORD-102699</t>
  </si>
  <si>
    <t>-116.10</t>
  </si>
  <si>
    <t>ORD-102001</t>
  </si>
  <si>
    <t>customer0453@example.com</t>
  </si>
  <si>
    <t>ORD-101818</t>
  </si>
  <si>
    <t>ORD-101342</t>
  </si>
  <si>
    <t>ORD-102430</t>
  </si>
  <si>
    <t>ORD-101609</t>
  </si>
  <si>
    <t>19.20</t>
  </si>
  <si>
    <t>ORD-100715</t>
  </si>
  <si>
    <t>customer0469@example.com</t>
  </si>
  <si>
    <t>ORD-102900</t>
  </si>
  <si>
    <t>customer1388@example.com</t>
  </si>
  <si>
    <t>ORD-100432</t>
  </si>
  <si>
    <t>ORD-101670</t>
  </si>
  <si>
    <t>ORD-101752</t>
  </si>
  <si>
    <t>ORD-102377</t>
  </si>
  <si>
    <t>ORD-100023</t>
  </si>
  <si>
    <t>ORD-100653</t>
  </si>
  <si>
    <t>ORD-101479</t>
  </si>
  <si>
    <t>ORD-102019</t>
  </si>
  <si>
    <t>ORD-102956</t>
  </si>
  <si>
    <t>ORD-102564</t>
  </si>
  <si>
    <t>227.97</t>
  </si>
  <si>
    <t>ORD-101325</t>
  </si>
  <si>
    <t>customer0733@example.com</t>
  </si>
  <si>
    <t>ORD-100191</t>
  </si>
  <si>
    <t>customer0205@example.com</t>
  </si>
  <si>
    <t>ORD-102100</t>
  </si>
  <si>
    <t>ORD-102151</t>
  </si>
  <si>
    <t>customer0218@example.com</t>
  </si>
  <si>
    <t>ORD-100388</t>
  </si>
  <si>
    <t>customer0787@example.com</t>
  </si>
  <si>
    <t>ORD-102071</t>
  </si>
  <si>
    <t>customer0376@example.com</t>
  </si>
  <si>
    <t>ORD-101434</t>
  </si>
  <si>
    <t>ORD-101148</t>
  </si>
  <si>
    <t>ORD-101419</t>
  </si>
  <si>
    <t>ORD-102857</t>
  </si>
  <si>
    <t>customer0348@example.com</t>
  </si>
  <si>
    <t>ORD-102624</t>
  </si>
  <si>
    <t>ORD-102701</t>
  </si>
  <si>
    <t>ORD-100325</t>
  </si>
  <si>
    <t>ORD-100008</t>
  </si>
  <si>
    <t>ORD-100044</t>
  </si>
  <si>
    <t>ORD-100343</t>
  </si>
  <si>
    <t>customer0665@example.com</t>
  </si>
  <si>
    <t>ORD-101862</t>
  </si>
  <si>
    <t>ORD-100244</t>
  </si>
  <si>
    <t>customer0117@example.com</t>
  </si>
  <si>
    <t>ORD-102649</t>
  </si>
  <si>
    <t>ORD-101349</t>
  </si>
  <si>
    <t>-37.50</t>
  </si>
  <si>
    <t>ORD-101527</t>
  </si>
  <si>
    <t>ORD-100750</t>
  </si>
  <si>
    <t>ORD-100802</t>
  </si>
  <si>
    <t>ORD-102203</t>
  </si>
  <si>
    <t>ORD-101686</t>
  </si>
  <si>
    <t>ORD-100722</t>
  </si>
  <si>
    <t>customer0515@example.com</t>
  </si>
  <si>
    <t>ORD-102970</t>
  </si>
  <si>
    <t>ORD-102031</t>
  </si>
  <si>
    <t>ORD-102982</t>
  </si>
  <si>
    <t>ORD-102661</t>
  </si>
  <si>
    <t>ORD-102199</t>
  </si>
  <si>
    <t>customer1322@example.com</t>
  </si>
  <si>
    <t>113.76</t>
  </si>
  <si>
    <t>ORD-102711</t>
  </si>
  <si>
    <t>ORD-100987</t>
  </si>
  <si>
    <t>ORD-100436</t>
  </si>
  <si>
    <t>ORD-101712</t>
  </si>
  <si>
    <t>ORD-102760</t>
  </si>
  <si>
    <t>customer1100@example.com</t>
  </si>
  <si>
    <t>ORD-100354</t>
  </si>
  <si>
    <t>ORD-101190</t>
  </si>
  <si>
    <t>ORD-100004</t>
  </si>
  <si>
    <t>ORD-102882</t>
  </si>
  <si>
    <t>ORD-101086</t>
  </si>
  <si>
    <t>ORD-100471</t>
  </si>
  <si>
    <t>ORD-100938</t>
  </si>
  <si>
    <t>ORD-100384</t>
  </si>
  <si>
    <t>ORD-100048</t>
  </si>
  <si>
    <t>ORD-102724</t>
  </si>
  <si>
    <t>ORD-101186</t>
  </si>
  <si>
    <t>customer0150@example.com</t>
  </si>
  <si>
    <t>ORD-102189</t>
  </si>
  <si>
    <t>ORD-102614</t>
  </si>
  <si>
    <t>ORD-102259</t>
  </si>
  <si>
    <t>customer1154@example.com</t>
  </si>
  <si>
    <t>ORD-100858</t>
  </si>
  <si>
    <t>customer1255@example.com</t>
  </si>
  <si>
    <t>ORD-102085</t>
  </si>
  <si>
    <t>ORD-102521</t>
  </si>
  <si>
    <t>ORD-102076</t>
  </si>
  <si>
    <t>ORD-100645</t>
  </si>
  <si>
    <t>ORD-101158</t>
  </si>
  <si>
    <t>ORD-102192</t>
  </si>
  <si>
    <t>ORD-100158</t>
  </si>
  <si>
    <t>ORD-102617</t>
  </si>
  <si>
    <t>ORD-101725</t>
  </si>
  <si>
    <t>ORD-100059</t>
  </si>
  <si>
    <t>customer0324@example.com</t>
  </si>
  <si>
    <t>ORD-101851</t>
  </si>
  <si>
    <t>ORD-102240</t>
  </si>
  <si>
    <t>ORD-102225</t>
  </si>
  <si>
    <t>ORD-102474</t>
  </si>
  <si>
    <t>ORD-101557</t>
  </si>
  <si>
    <t>ORD-100257</t>
  </si>
  <si>
    <t>customer0773@example.com</t>
  </si>
  <si>
    <t>ORD-101997</t>
  </si>
  <si>
    <t>ORD-101675</t>
  </si>
  <si>
    <t>ORD-100618</t>
  </si>
  <si>
    <t>ORD-100660</t>
  </si>
  <si>
    <t>ORD-101240</t>
  </si>
  <si>
    <t>ORD-101348</t>
  </si>
  <si>
    <t>customer1390@example.com</t>
  </si>
  <si>
    <t>ORD-100527</t>
  </si>
  <si>
    <t>ORD-101748</t>
  </si>
  <si>
    <t>ORD-102630</t>
  </si>
  <si>
    <t>ORD-100162</t>
  </si>
  <si>
    <t>ORD-101729</t>
  </si>
  <si>
    <t>ORD-101774</t>
  </si>
  <si>
    <t>customer0477@example.com</t>
  </si>
  <si>
    <t>ORD-101373</t>
  </si>
  <si>
    <t>ORD-102638</t>
  </si>
  <si>
    <t>ORD-101828</t>
  </si>
  <si>
    <t>ORD-101009</t>
  </si>
  <si>
    <t>ORD-102606</t>
  </si>
  <si>
    <t>ORD-101825</t>
  </si>
  <si>
    <t>ORD-100981</t>
  </si>
  <si>
    <t>ORD-100642</t>
  </si>
  <si>
    <t>ORD-101089</t>
  </si>
  <si>
    <t>ORD-102469</t>
  </si>
  <si>
    <t>ORD-100524</t>
  </si>
  <si>
    <t>ORD-101191</t>
  </si>
  <si>
    <t>ORD-101455</t>
  </si>
  <si>
    <t>ORD-101333</t>
  </si>
  <si>
    <t>customer1268@example.com</t>
  </si>
  <si>
    <t>ORD-101068</t>
  </si>
  <si>
    <t>ORD-101066</t>
  </si>
  <si>
    <t>ORD-100290</t>
  </si>
  <si>
    <t>ORD-100600</t>
  </si>
  <si>
    <t>ORD-102735</t>
  </si>
  <si>
    <t>customer0724@example.com</t>
  </si>
  <si>
    <t>ORD-100832</t>
  </si>
  <si>
    <t>ORD-102529</t>
  </si>
  <si>
    <t>ORD-100435</t>
  </si>
  <si>
    <t>customer0827@example.com</t>
  </si>
  <si>
    <t>ORD-102326</t>
  </si>
  <si>
    <t>ORD-102580</t>
  </si>
  <si>
    <t>ORD-101193</t>
  </si>
  <si>
    <t>customer1149@example.com</t>
  </si>
  <si>
    <t>ORD-101489</t>
  </si>
  <si>
    <t>ORD-101247</t>
  </si>
  <si>
    <t>ORD-100561</t>
  </si>
  <si>
    <t>ORD-100170</t>
  </si>
  <si>
    <t>ORD-102091</t>
  </si>
  <si>
    <t>ORD-101542</t>
  </si>
  <si>
    <t>ORD-101329</t>
  </si>
  <si>
    <t>ORD-100282</t>
  </si>
  <si>
    <t>ORD-101408</t>
  </si>
  <si>
    <t>ORD-102156</t>
  </si>
  <si>
    <t>ORD-102546</t>
  </si>
  <si>
    <t>ORD-102727</t>
  </si>
  <si>
    <t>ORD-102487</t>
  </si>
  <si>
    <t>customer0484@example.com</t>
  </si>
  <si>
    <t>ORD-100181</t>
  </si>
  <si>
    <t>ORD-100977</t>
  </si>
  <si>
    <t>ORD-101932</t>
  </si>
  <si>
    <t>customer0430@example.com</t>
  </si>
  <si>
    <t>ORD-100127</t>
  </si>
  <si>
    <t>ORD-100081</t>
  </si>
  <si>
    <t>ORD-102916</t>
  </si>
  <si>
    <t>ORD-101292</t>
  </si>
  <si>
    <t>ORD-102936</t>
  </si>
  <si>
    <t>ORD-100138</t>
  </si>
  <si>
    <t>customer0049@example.com</t>
  </si>
  <si>
    <t>ORD-102146</t>
  </si>
  <si>
    <t>ORD-100733</t>
  </si>
  <si>
    <t>customer0386@example.com</t>
  </si>
  <si>
    <t>ORD-102755</t>
  </si>
  <si>
    <t>ORD-101882</t>
  </si>
  <si>
    <t>ORD-100586</t>
  </si>
  <si>
    <t>ORD-100815</t>
  </si>
  <si>
    <t>ORD-102448</t>
  </si>
  <si>
    <t>ORD-102264</t>
  </si>
  <si>
    <t>ORD-102743</t>
  </si>
  <si>
    <t>ORD-102067</t>
  </si>
  <si>
    <t>ORD-100677</t>
  </si>
  <si>
    <t>ORD-102285</t>
  </si>
  <si>
    <t>ORD-100695</t>
  </si>
  <si>
    <t>ORD-101187</t>
  </si>
  <si>
    <t>ORD-100772</t>
  </si>
  <si>
    <t>ORD-102531</t>
  </si>
  <si>
    <t>customer0899@example.com</t>
  </si>
  <si>
    <t>ORD-100650</t>
  </si>
  <si>
    <t>ORD-100566</t>
  </si>
  <si>
    <t>ORD-100670</t>
  </si>
  <si>
    <t>ORD-100030</t>
  </si>
  <si>
    <t>ORD-101548</t>
  </si>
  <si>
    <t>ORD-102704</t>
  </si>
  <si>
    <t>ORD-101239</t>
  </si>
  <si>
    <t>ORD-102863</t>
  </si>
  <si>
    <t>ORD-101256</t>
  </si>
  <si>
    <t>ORD-100473</t>
  </si>
  <si>
    <t>ORD-100529</t>
  </si>
  <si>
    <t>ORD-101056</t>
  </si>
  <si>
    <t>customer1385@example.com</t>
  </si>
  <si>
    <t>ORD-101048</t>
  </si>
  <si>
    <t>ORD-101120</t>
  </si>
  <si>
    <t>customer0632@example.com</t>
  </si>
  <si>
    <t>ORD-100957</t>
  </si>
  <si>
    <t>ORD-102874</t>
  </si>
  <si>
    <t>customer0292@example.com</t>
  </si>
  <si>
    <t>ORD-100531</t>
  </si>
  <si>
    <t>ORD-100553</t>
  </si>
  <si>
    <t>ORD-102887</t>
  </si>
  <si>
    <t>ORD-102660</t>
  </si>
  <si>
    <t>ORD-100245</t>
  </si>
  <si>
    <t>ORD-100788</t>
  </si>
  <si>
    <t>ORD-100166</t>
  </si>
  <si>
    <t>ORD-102633</t>
  </si>
  <si>
    <t>ORD-100413</t>
  </si>
  <si>
    <t>customer1031@example.com</t>
  </si>
  <si>
    <t>ORD-102549</t>
  </si>
  <si>
    <t>ORD-102510</t>
  </si>
  <si>
    <t>ORD-102613</t>
  </si>
  <si>
    <t>ORD-100976</t>
  </si>
  <si>
    <t>ORD-101868</t>
  </si>
  <si>
    <t>ORD-101763</t>
  </si>
  <si>
    <t>ORD-102242</t>
  </si>
  <si>
    <t>ORD-100253</t>
  </si>
  <si>
    <t>ORD-101931</t>
  </si>
  <si>
    <t>ORD-101861</t>
  </si>
  <si>
    <t>ORD-102545</t>
  </si>
  <si>
    <t>ORD-102893</t>
  </si>
  <si>
    <t>ORD-102123</t>
  </si>
  <si>
    <t>ORD-102275</t>
  </si>
  <si>
    <t>customer1111@example.com</t>
  </si>
  <si>
    <t>ORD-102966</t>
  </si>
  <si>
    <t>ORD-101908</t>
  </si>
  <si>
    <t>ORD-101481</t>
  </si>
  <si>
    <t>ORD-101721</t>
  </si>
  <si>
    <t>ORD-100912</t>
  </si>
  <si>
    <t>ORD-102736</t>
  </si>
  <si>
    <t>ORD-100698</t>
  </si>
  <si>
    <t>ORD-100602</t>
  </si>
  <si>
    <t>ORD-100521</t>
  </si>
  <si>
    <t>customer0433@example.com</t>
  </si>
  <si>
    <t>ORD-101876</t>
  </si>
  <si>
    <t>ORD-101965</t>
  </si>
  <si>
    <t>ORD-102958</t>
  </si>
  <si>
    <t>ORD-101926</t>
  </si>
  <si>
    <t>ORD-102570</t>
  </si>
  <si>
    <t>ORD-102171</t>
  </si>
  <si>
    <t>ORD-102659</t>
  </si>
  <si>
    <t>ORD-101462</t>
  </si>
  <si>
    <t>ORD-100350</t>
  </si>
  <si>
    <t>ORD-101083</t>
  </si>
  <si>
    <t>customer0873@example.com</t>
  </si>
  <si>
    <t>ORD-100145</t>
  </si>
  <si>
    <t>ORD-100929</t>
  </si>
  <si>
    <t>customer0414@example.com</t>
  </si>
  <si>
    <t>ORD-102288</t>
  </si>
  <si>
    <t>ORD-102229</t>
  </si>
  <si>
    <t>ORD-102320</t>
  </si>
  <si>
    <t>customer0848@example.com</t>
  </si>
  <si>
    <t>72.67</t>
  </si>
  <si>
    <t>ORD-102175</t>
  </si>
  <si>
    <t>customer1219@example.com</t>
  </si>
  <si>
    <t>ORD-100801</t>
  </si>
  <si>
    <t>ORD-101364</t>
  </si>
  <si>
    <t>-285.00</t>
  </si>
  <si>
    <t>ORD-102496</t>
  </si>
  <si>
    <t>customer1290@example.com</t>
  </si>
  <si>
    <t>ORD-100001</t>
  </si>
  <si>
    <t>ORD-100643</t>
  </si>
  <si>
    <t>ORD-101800</t>
  </si>
  <si>
    <t>customer0097@example.com</t>
  </si>
  <si>
    <t>ORD-102544</t>
  </si>
  <si>
    <t>customer0401@example.com</t>
  </si>
  <si>
    <t>ORD-102850</t>
  </si>
  <si>
    <t>ORD-102040</t>
  </si>
  <si>
    <t>ORD-102846</t>
  </si>
  <si>
    <t>customer1165@example.com</t>
  </si>
  <si>
    <t>ORD-102960</t>
  </si>
  <si>
    <t>ORD-100597</t>
  </si>
  <si>
    <t>ORD-101871</t>
  </si>
  <si>
    <t>ORD-102782</t>
  </si>
  <si>
    <t>321.84</t>
  </si>
  <si>
    <t>ORD-102246</t>
  </si>
  <si>
    <t>ORD-100697</t>
  </si>
  <si>
    <t>ORD-102044</t>
  </si>
  <si>
    <t>ORD-101162</t>
  </si>
  <si>
    <t>ORD-100000</t>
  </si>
  <si>
    <t>ORD-100686</t>
  </si>
  <si>
    <t>ORD-100506</t>
  </si>
  <si>
    <t>ORD-102051</t>
  </si>
  <si>
    <t>ORD-101142</t>
  </si>
  <si>
    <t>ORD-102097</t>
  </si>
  <si>
    <t>customer0405@example.com</t>
  </si>
  <si>
    <t>ORD-102779</t>
  </si>
  <si>
    <t>customer0728@example.com</t>
  </si>
  <si>
    <t>ORD-102643</t>
  </si>
  <si>
    <t>ORD-102132</t>
  </si>
  <si>
    <t>ORD-100569</t>
  </si>
  <si>
    <t>ORD-101211</t>
  </si>
  <si>
    <t>ORD-102346</t>
  </si>
  <si>
    <t>ORD-102542</t>
  </si>
  <si>
    <t>ORD-102881</t>
  </si>
  <si>
    <t>ORD-102018</t>
  </si>
  <si>
    <t>ORD-102190</t>
  </si>
  <si>
    <t>ORD-100900</t>
  </si>
  <si>
    <t>customer1128@example.com</t>
  </si>
  <si>
    <t>ORD-101308</t>
  </si>
  <si>
    <t>ORD-100579</t>
  </si>
  <si>
    <t>ORD-101389</t>
  </si>
  <si>
    <t>ORD-100556</t>
  </si>
  <si>
    <t>ORD-101750</t>
  </si>
  <si>
    <t>ORD-102772</t>
  </si>
  <si>
    <t>ORD-102028</t>
  </si>
  <si>
    <t>ORD-100689</t>
  </si>
  <si>
    <t>ORD-102060</t>
  </si>
  <si>
    <t>ORD-101771</t>
  </si>
  <si>
    <t>ORD-101648</t>
  </si>
  <si>
    <t>ORD-100644</t>
  </si>
  <si>
    <t>ORD-102332</t>
  </si>
  <si>
    <t>ORD-100585</t>
  </si>
  <si>
    <t>customer0225@example.com</t>
  </si>
  <si>
    <t>ORD-102667</t>
  </si>
  <si>
    <t>ORD-102303</t>
  </si>
  <si>
    <t>customer0834@example.com</t>
  </si>
  <si>
    <t>ORD-101878</t>
  </si>
  <si>
    <t>ORD-101584</t>
  </si>
  <si>
    <t>customer1013@example.com</t>
  </si>
  <si>
    <t>ORD-102849</t>
  </si>
  <si>
    <t>ORD-100783</t>
  </si>
  <si>
    <t>ORD-100910</t>
  </si>
  <si>
    <t>ORD-102984</t>
  </si>
  <si>
    <t>ORD-101164</t>
  </si>
  <si>
    <t>ORD-102574</t>
  </si>
  <si>
    <t>ORD-101104</t>
  </si>
  <si>
    <t>customer0652@example.com</t>
  </si>
  <si>
    <t>ORD-101383</t>
  </si>
  <si>
    <t>ORD-102168</t>
  </si>
  <si>
    <t>customer0588@example.com</t>
  </si>
  <si>
    <t>ORD-100761</t>
  </si>
  <si>
    <t>ORD-102244</t>
  </si>
  <si>
    <t>ORD-101586</t>
  </si>
  <si>
    <t>ORD-101952</t>
  </si>
  <si>
    <t>ORD-102686</t>
  </si>
  <si>
    <t>ORD-100049</t>
  </si>
  <si>
    <t>ORD-102339</t>
  </si>
  <si>
    <t>ORD-100104</t>
  </si>
  <si>
    <t>ORD-102296</t>
  </si>
  <si>
    <t>ORD-101106</t>
  </si>
  <si>
    <t>customer1367@example.com</t>
  </si>
  <si>
    <t>ORD-102287</t>
  </si>
  <si>
    <t>ORD-101607</t>
  </si>
  <si>
    <t>ORD-100148</t>
  </si>
  <si>
    <t>ORD-100353</t>
  </si>
  <si>
    <t>ORD-102033</t>
  </si>
  <si>
    <t>ORD-102677</t>
  </si>
  <si>
    <t>ORD-101124</t>
  </si>
  <si>
    <t>customer0755@example.com</t>
  </si>
  <si>
    <t>ORD-100399</t>
  </si>
  <si>
    <t>ORD-100028</t>
  </si>
  <si>
    <t>ORD-101844</t>
  </si>
  <si>
    <t>ORD-100146</t>
  </si>
  <si>
    <t>ORD-100925</t>
  </si>
  <si>
    <t>customer0167@example.com</t>
  </si>
  <si>
    <t>ORD-100568</t>
  </si>
  <si>
    <t>ORD-101485</t>
  </si>
  <si>
    <t>ORD-100448</t>
  </si>
  <si>
    <t>ORD-101808</t>
  </si>
  <si>
    <t>ORD-101660</t>
  </si>
  <si>
    <t>ORD-100308</t>
  </si>
  <si>
    <t>ORD-100031</t>
  </si>
  <si>
    <t>customer0342@example.com</t>
  </si>
  <si>
    <t>ORD-100169</t>
  </si>
  <si>
    <t>ORD-100691</t>
  </si>
  <si>
    <t>customer0768@example.com</t>
  </si>
  <si>
    <t>ORD-100451</t>
  </si>
  <si>
    <t>ORD-100156</t>
  </si>
  <si>
    <t>ORD-102397</t>
  </si>
  <si>
    <t>ORD-101533</t>
  </si>
  <si>
    <t>customer1345@example.com</t>
  </si>
  <si>
    <t>ORD-101935</t>
  </si>
  <si>
    <t>ORD-100063</t>
  </si>
  <si>
    <t>ORD-101964</t>
  </si>
  <si>
    <t>ORD-101255</t>
  </si>
  <si>
    <t>ORD-100810</t>
  </si>
  <si>
    <t>ORD-102393</t>
  </si>
  <si>
    <t>ORD-102193</t>
  </si>
  <si>
    <t>ORD-100622</t>
  </si>
  <si>
    <t>ORD-101322</t>
  </si>
  <si>
    <t>ORD-101915</t>
  </si>
  <si>
    <t>ORD-102935</t>
  </si>
  <si>
    <t>06/13/2026</t>
  </si>
  <si>
    <t>ORD-102014</t>
  </si>
  <si>
    <t>customer0849@example.com</t>
  </si>
  <si>
    <t>ORD-102994</t>
  </si>
  <si>
    <t>ORD-102754</t>
  </si>
  <si>
    <t>customer1194@example.com</t>
  </si>
  <si>
    <t>ORD-100446</t>
  </si>
  <si>
    <t>ORD-100665</t>
  </si>
  <si>
    <t>ORD-102458</t>
  </si>
  <si>
    <t>ORD-102273</t>
  </si>
  <si>
    <t>ORD-102358</t>
  </si>
  <si>
    <t>ORD-101307</t>
  </si>
  <si>
    <t>customer0681@example.com</t>
  </si>
  <si>
    <t>ORD-102361</t>
  </si>
  <si>
    <t>ORD-102715</t>
  </si>
  <si>
    <t>ORD-100184</t>
  </si>
  <si>
    <t>customer0590@example.com</t>
  </si>
  <si>
    <t>ORD-102000</t>
  </si>
  <si>
    <t>ORD-100215</t>
  </si>
  <si>
    <t>customer0684@example.com</t>
  </si>
  <si>
    <t>ORD-100721</t>
  </si>
  <si>
    <t>ORD-101556</t>
  </si>
  <si>
    <t>ORD-101591</t>
  </si>
  <si>
    <t>customer1395@example.com</t>
  </si>
  <si>
    <t>ORD-101922</t>
  </si>
  <si>
    <t>ORD-102756</t>
  </si>
  <si>
    <t>ORD-100328</t>
  </si>
  <si>
    <t>ORD-101819</t>
  </si>
  <si>
    <t>10.62</t>
  </si>
  <si>
    <t>ORD-100723</t>
  </si>
  <si>
    <t>customer0002@example.com</t>
  </si>
  <si>
    <t>ORD-102359</t>
  </si>
  <si>
    <t>ORD-100371</t>
  </si>
  <si>
    <t>ORD-102927</t>
  </si>
  <si>
    <t>-348.30</t>
  </si>
  <si>
    <t>ORD-100613</t>
  </si>
  <si>
    <t>ORD-101490</t>
  </si>
  <si>
    <t>ORD-101957</t>
  </si>
  <si>
    <t>customer0653@example.com</t>
  </si>
  <si>
    <t>ORD-102808</t>
  </si>
  <si>
    <t>ORD-100828</t>
  </si>
  <si>
    <t>ORD-102775</t>
  </si>
  <si>
    <t>ORD-101071</t>
  </si>
  <si>
    <t>ORD-100845</t>
  </si>
  <si>
    <t>ORD-101823</t>
  </si>
  <si>
    <t>ORD-100010</t>
  </si>
  <si>
    <t>ORD-100960</t>
  </si>
  <si>
    <t>ORD-100083</t>
  </si>
  <si>
    <t>63.99</t>
  </si>
  <si>
    <t>ORD-100477</t>
  </si>
  <si>
    <t>ORD-101549</t>
  </si>
  <si>
    <t>customer0078@example.com</t>
  </si>
  <si>
    <t>ORD-101866</t>
  </si>
  <si>
    <t>ORD-101996</t>
  </si>
  <si>
    <t>customer0582@example.com</t>
  </si>
  <si>
    <t>ORD-101551</t>
  </si>
  <si>
    <t>customer0235@example.com</t>
  </si>
  <si>
    <t>ORD-102575</t>
  </si>
  <si>
    <t>ORD-101688</t>
  </si>
  <si>
    <t>ORD-102286</t>
  </si>
  <si>
    <t>ORD-102767</t>
  </si>
  <si>
    <t>ORD-102426</t>
  </si>
  <si>
    <t>ORD-101509</t>
  </si>
  <si>
    <t>ORD-102166</t>
  </si>
  <si>
    <t>customer0275@example.com</t>
  </si>
  <si>
    <t>ORD-101545</t>
  </si>
  <si>
    <t>ORD-101839</t>
  </si>
  <si>
    <t>ORD-101428</t>
  </si>
  <si>
    <t>ORD-100323</t>
  </si>
  <si>
    <t>customer0676@example.com</t>
  </si>
  <si>
    <t>ORD-100731</t>
  </si>
  <si>
    <t>ORD-102948</t>
  </si>
  <si>
    <t>ORD-102914</t>
  </si>
  <si>
    <t>ORD-101622</t>
  </si>
  <si>
    <t>ORD-100944</t>
  </si>
  <si>
    <t>ORD-100481</t>
  </si>
  <si>
    <t>customer0666@example.com</t>
  </si>
  <si>
    <t>ORD-102563</t>
  </si>
  <si>
    <t>ORD-102364</t>
  </si>
  <si>
    <t>ORD-100168</t>
  </si>
  <si>
    <t>customer1109@example.com</t>
  </si>
  <si>
    <t>ORD-100931</t>
  </si>
  <si>
    <t>customer0875@example.com</t>
  </si>
  <si>
    <t>ORD-101184</t>
  </si>
  <si>
    <t>ORD-101289</t>
  </si>
  <si>
    <t>ORD-101267</t>
  </si>
  <si>
    <t>ORD-101632</t>
  </si>
  <si>
    <t>ORD-101593</t>
  </si>
  <si>
    <t>ORD-100149</t>
  </si>
  <si>
    <t>customer0976@example.com</t>
  </si>
  <si>
    <t>ORD-102456</t>
  </si>
  <si>
    <t>ORD-100283</t>
  </si>
  <si>
    <t>ORD-101745</t>
  </si>
  <si>
    <t>customer0650@example.com</t>
  </si>
  <si>
    <t>ORD-101443</t>
  </si>
  <si>
    <t>customer1324@example.com</t>
  </si>
  <si>
    <t>ORD-101040</t>
  </si>
  <si>
    <t>ORD-100979</t>
  </si>
  <si>
    <t>ORD-101536</t>
  </si>
  <si>
    <t>ORD-100437</t>
  </si>
  <si>
    <t>ORD-100663</t>
  </si>
  <si>
    <t>ORD-100336</t>
  </si>
  <si>
    <t>ORD-100986</t>
  </si>
  <si>
    <t>ORD-101497</t>
  </si>
  <si>
    <t>ORD-101649</t>
  </si>
  <si>
    <t>ORD-100390</t>
  </si>
  <si>
    <t>customer0206@example.com</t>
  </si>
  <si>
    <t>ORD-101743</t>
  </si>
  <si>
    <t>ORD-102832</t>
  </si>
  <si>
    <t>customer0280@example.com</t>
  </si>
  <si>
    <t>ORD-100032</t>
  </si>
  <si>
    <t>ORD-101604</t>
  </si>
  <si>
    <t>ORD-102682</t>
  </si>
  <si>
    <t>ORD-102934</t>
  </si>
  <si>
    <t>ORD-101613</t>
  </si>
  <si>
    <t>ORD-101280</t>
  </si>
  <si>
    <t>ORD-102133</t>
  </si>
  <si>
    <t>ORD-101779</t>
  </si>
  <si>
    <t>ORD-101884</t>
  </si>
  <si>
    <t>customer0200@example.com</t>
  </si>
  <si>
    <t>ORD-101814</t>
  </si>
  <si>
    <t>ORD-102753</t>
  </si>
  <si>
    <t>customer0476@example.com</t>
  </si>
  <si>
    <t>ORD-100332</t>
  </si>
  <si>
    <t>customer0575@example.com</t>
  </si>
  <si>
    <t>ORD-101283</t>
  </si>
  <si>
    <t>ORD-102418</t>
  </si>
  <si>
    <t>ORD-100260</t>
  </si>
  <si>
    <t>ORD-102792</t>
  </si>
  <si>
    <t>ORD-101176</t>
  </si>
  <si>
    <t>ORD-102227</t>
  </si>
  <si>
    <t>ORD-100102</t>
  </si>
  <si>
    <t>ORD-100252</t>
  </si>
  <si>
    <t>customer0389@example.com</t>
  </si>
  <si>
    <t>ORD-102272</t>
  </si>
  <si>
    <t>customer0486@example.com</t>
  </si>
  <si>
    <t>ORD-101956</t>
  </si>
  <si>
    <t>ORD-101620</t>
  </si>
  <si>
    <t>customer1035@example.com</t>
  </si>
  <si>
    <t>ORD-100263</t>
  </si>
  <si>
    <t>ORD-100914</t>
  </si>
  <si>
    <t>ORD-101642</t>
  </si>
  <si>
    <t>ORD-100678</t>
  </si>
  <si>
    <t>customer0503@example.com</t>
  </si>
  <si>
    <t>ORD-100913</t>
  </si>
  <si>
    <t>ORD-102631</t>
  </si>
  <si>
    <t>ORD-100183</t>
  </si>
  <si>
    <t>ORD-101469</t>
  </si>
  <si>
    <t>ORD-101625</t>
  </si>
  <si>
    <t>ORD-100291</t>
  </si>
  <si>
    <t>ORD-101477</t>
  </si>
  <si>
    <t>ORD-100587</t>
  </si>
  <si>
    <t>ORD-101020</t>
  </si>
  <si>
    <t>ORD-101444</t>
  </si>
  <si>
    <t>ORD-102465</t>
  </si>
  <si>
    <t>ORD-100124</t>
  </si>
  <si>
    <t>customer0877@example.com</t>
  </si>
  <si>
    <t>ORD-100054</t>
  </si>
  <si>
    <t>ORD-100540</t>
  </si>
  <si>
    <t>ORD-101324</t>
  </si>
  <si>
    <t>customer0391@example.com</t>
  </si>
  <si>
    <t>ORD-100782</t>
  </si>
  <si>
    <t>ORD-102188</t>
  </si>
  <si>
    <t>ORD-100268</t>
  </si>
  <si>
    <t>ORD-101730</t>
  </si>
  <si>
    <t>ORD-101096</t>
  </si>
  <si>
    <t>ORD-100672</t>
  </si>
  <si>
    <t>ORD-102595</t>
  </si>
  <si>
    <t>ORD-101888</t>
  </si>
  <si>
    <t>ORD-102729</t>
  </si>
  <si>
    <t>ORD-100348</t>
  </si>
  <si>
    <t>ORD-100111</t>
  </si>
  <si>
    <t>ORD-101738</t>
  </si>
  <si>
    <t>customer0519@example.com</t>
  </si>
  <si>
    <t>ORD-102593</t>
  </si>
  <si>
    <t>customer0789@example.com</t>
  </si>
  <si>
    <t>ORD-102460</t>
  </si>
  <si>
    <t>ORD-102221</t>
  </si>
  <si>
    <t>customer0595@example.com</t>
  </si>
  <si>
    <t>ORD-100865</t>
  </si>
  <si>
    <t>ORD-102370</t>
  </si>
  <si>
    <t>ORD-102427</t>
  </si>
  <si>
    <t>ORD-100544</t>
  </si>
  <si>
    <t>ORD-102665</t>
  </si>
  <si>
    <t>customer1112@example.com</t>
  </si>
  <si>
    <t>ORD-100091</t>
  </si>
  <si>
    <t>ORD-102247</t>
  </si>
  <si>
    <t>ORD-101367</t>
  </si>
  <si>
    <t>ORD-100483</t>
  </si>
  <si>
    <t>ORD-100954</t>
  </si>
  <si>
    <t>ORD-102866</t>
  </si>
  <si>
    <t>ORD-102429</t>
  </si>
  <si>
    <t>ORD-102008</t>
  </si>
  <si>
    <t>ORD-102553</t>
  </si>
  <si>
    <t>customer0444@example.com</t>
  </si>
  <si>
    <t>ORD-100652</t>
  </si>
  <si>
    <t>ORD-100629</t>
  </si>
  <si>
    <t>ORD-100070</t>
  </si>
  <si>
    <t>ORD-100496</t>
  </si>
  <si>
    <t>ORD-100829</t>
  </si>
  <si>
    <t>ORD-102586</t>
  </si>
  <si>
    <t>ORD-101217</t>
  </si>
  <si>
    <t>ORD-101905</t>
  </si>
  <si>
    <t>ORD-101050</t>
  </si>
  <si>
    <t>ORD-102708</t>
  </si>
  <si>
    <t>customer0828@example.com</t>
  </si>
  <si>
    <t>ORD-100510</t>
  </si>
  <si>
    <t>ORD-102865</t>
  </si>
  <si>
    <t>ORD-101268</t>
  </si>
  <si>
    <t>ORD-102581</t>
  </si>
  <si>
    <t>customer0092@example.com</t>
  </si>
  <si>
    <t>ORD-100311</t>
  </si>
  <si>
    <t>ORD-101133</t>
  </si>
  <si>
    <t>customer0161@example.com</t>
  </si>
  <si>
    <t>ORD-102917</t>
  </si>
  <si>
    <t>ORD-102965</t>
  </si>
  <si>
    <t>ORD-101511</t>
  </si>
  <si>
    <t>ORD-102675</t>
  </si>
  <si>
    <t>customer1060@example.com</t>
  </si>
  <si>
    <t>ORD-102817</t>
  </si>
  <si>
    <t>ORD-102354</t>
  </si>
  <si>
    <t>ORD-101633</t>
  </si>
  <si>
    <t>customer0898@example.com</t>
  </si>
  <si>
    <t>ORD-100966</t>
  </si>
  <si>
    <t>ORD-102664</t>
  </si>
  <si>
    <t>customer0688@example.com</t>
  </si>
  <si>
    <t>ORD-100285</t>
  </si>
  <si>
    <t>ORD-100051</t>
  </si>
  <si>
    <t>ORD-100790</t>
  </si>
  <si>
    <t>ORD-101470</t>
  </si>
  <si>
    <t>ORD-101859</t>
  </si>
  <si>
    <t>ORD-102679</t>
  </si>
  <si>
    <t>ORD-102280</t>
  </si>
  <si>
    <t>ORD-102602</t>
  </si>
  <si>
    <t>customer1274@example.com</t>
  </si>
  <si>
    <t>ORD-102807</t>
  </si>
  <si>
    <t>ORD-101522</t>
  </si>
  <si>
    <t>ORD-100595</t>
  </si>
  <si>
    <t>customer0996@example.com</t>
  </si>
  <si>
    <t>ORD-100657</t>
  </si>
  <si>
    <t>ORD-102398</t>
  </si>
  <si>
    <t>ORD-101137</t>
  </si>
  <si>
    <t>ORD-100433</t>
  </si>
  <si>
    <t>ORD-101523</t>
  </si>
  <si>
    <t>ORD-100990</t>
  </si>
  <si>
    <t>ORD-102654</t>
  </si>
  <si>
    <t>ORD-102196</t>
  </si>
  <si>
    <t>ORD-102223</t>
  </si>
  <si>
    <t>ORD-101319</t>
  </si>
  <si>
    <t>ORD-100962</t>
  </si>
  <si>
    <t>ORD-102590</t>
  </si>
  <si>
    <t>ORD-100507</t>
  </si>
  <si>
    <t>ORD-102209</t>
  </si>
  <si>
    <t>ORD-102059</t>
  </si>
  <si>
    <t>ORD-100206</t>
  </si>
  <si>
    <t>ORD-100449</t>
  </si>
  <si>
    <t>ORD-102974</t>
  </si>
  <si>
    <t>customer0375@example.com</t>
  </si>
  <si>
    <t>ORD-101927</t>
  </si>
  <si>
    <t>customer0810@example.com</t>
  </si>
  <si>
    <t>ORD-102322</t>
  </si>
  <si>
    <t>ORD-100796</t>
  </si>
  <si>
    <t>customer0572@example.com</t>
  </si>
  <si>
    <t>ORD-102093</t>
  </si>
  <si>
    <t>ORD-102573</t>
  </si>
  <si>
    <t>ORD-102271</t>
  </si>
  <si>
    <t>ORD-101785</t>
  </si>
  <si>
    <t>customer1209@example.com</t>
  </si>
  <si>
    <t>ORD-102889</t>
  </si>
  <si>
    <t>ORD-102389</t>
  </si>
  <si>
    <t>ORD-101156</t>
  </si>
  <si>
    <t>ORD-102872</t>
  </si>
  <si>
    <t>ORD-100026</t>
  </si>
  <si>
    <t>ORD-102706</t>
  </si>
  <si>
    <t>customer1217@example.com</t>
  </si>
  <si>
    <t>ORD-101684</t>
  </si>
  <si>
    <t>ORD-101739</t>
  </si>
  <si>
    <t>ORD-101587</t>
  </si>
  <si>
    <t>ORD-102143</t>
  </si>
  <si>
    <t>ORD-102293</t>
  </si>
  <si>
    <t>ORD-101432</t>
  </si>
  <si>
    <t>ORD-100907</t>
  </si>
  <si>
    <t>ORD-102969</t>
  </si>
  <si>
    <t>ORD-100681</t>
  </si>
  <si>
    <t>ORD-100017</t>
  </si>
  <si>
    <t>ORD-100056</t>
  </si>
  <si>
    <t>ORD-100396</t>
  </si>
  <si>
    <t>ORD-101030</t>
  </si>
  <si>
    <t>ORD-101710</t>
  </si>
  <si>
    <t>ORD-101026</t>
  </si>
  <si>
    <t>customer0137@example.com</t>
  </si>
  <si>
    <t>ORD-102278</t>
  </si>
  <si>
    <t>ORD-100185</t>
  </si>
  <si>
    <t>ORD-102499</t>
  </si>
  <si>
    <t>ORD-100462</t>
  </si>
  <si>
    <t>ORD-102438</t>
  </si>
  <si>
    <t>ORD-100656</t>
  </si>
  <si>
    <t>customer0090@example.com</t>
  </si>
  <si>
    <t>ORD-102115</t>
  </si>
  <si>
    <t>ORD-101880</t>
  </si>
  <si>
    <t>ORD-101896</t>
  </si>
  <si>
    <t>ORD-101577</t>
  </si>
  <si>
    <t>ORD-100735</t>
  </si>
  <si>
    <t>ORD-101460</t>
  </si>
  <si>
    <t>ORD-102868</t>
  </si>
  <si>
    <t>ORD-102912</t>
  </si>
  <si>
    <t>ORD-101626</t>
  </si>
  <si>
    <t>ORD-100824</t>
  </si>
  <si>
    <t>ORD-102349</t>
  </si>
  <si>
    <t>ORD-102907</t>
  </si>
  <si>
    <t>ORD-101790</t>
  </si>
  <si>
    <t>ORD-101906</t>
  </si>
  <si>
    <t>ORD-100591</t>
  </si>
  <si>
    <t>ORD-101384</t>
  </si>
  <si>
    <t>customer1076@example.com</t>
  </si>
  <si>
    <t>ORD-102388</t>
  </si>
  <si>
    <t>customer0551@example.com</t>
  </si>
  <si>
    <t>ORD-102257</t>
  </si>
  <si>
    <t>ORD-100528</t>
  </si>
  <si>
    <t>ORD-101328</t>
  </si>
  <si>
    <t>ORD-102931</t>
  </si>
  <si>
    <t>ORD-101054</t>
  </si>
  <si>
    <t>ORD-101588</t>
  </si>
  <si>
    <t>ORD-101826</t>
  </si>
  <si>
    <t>ORD-102324</t>
  </si>
  <si>
    <t>customer0036@example.com</t>
  </si>
  <si>
    <t>ORD-100826</t>
  </si>
  <si>
    <t>ORD-102174</t>
  </si>
  <si>
    <t>ORD-102020</t>
  </si>
  <si>
    <t>ORD-102249</t>
  </si>
  <si>
    <t>ORD-101651</t>
  </si>
  <si>
    <t>ORD-100991</t>
  </si>
  <si>
    <t>customer0933@example.com</t>
  </si>
  <si>
    <t>ORD-100720</t>
  </si>
  <si>
    <t>customer1039@example.com</t>
  </si>
  <si>
    <t>ORD-100133</t>
  </si>
  <si>
    <t>ORD-102506</t>
  </si>
  <si>
    <t>ORD-102824</t>
  </si>
  <si>
    <t>ORD-101272</t>
  </si>
  <si>
    <t>customer0247@example.com</t>
  </si>
  <si>
    <t>ORD-100359</t>
  </si>
  <si>
    <t>ORD-101423</t>
  </si>
  <si>
    <t>05/29/2026</t>
  </si>
  <si>
    <t>ORD-101061</t>
  </si>
  <si>
    <t>ORD-102988</t>
  </si>
  <si>
    <t>ORD-100559</t>
  </si>
  <si>
    <t>ORD-101599</t>
  </si>
  <si>
    <t>ORD-102763</t>
  </si>
  <si>
    <t>ORD-102920</t>
  </si>
  <si>
    <t>ORD-101236</t>
  </si>
  <si>
    <t>ORD-102063</t>
  </si>
  <si>
    <t>ORD-102009</t>
  </si>
  <si>
    <t>ORD-102656</t>
  </si>
  <si>
    <t>customer1242@example.com</t>
  </si>
  <si>
    <t>ORD-100638</t>
  </si>
  <si>
    <t>customer1088@example.com</t>
  </si>
  <si>
    <t>ORD-101160</t>
  </si>
  <si>
    <t>ORD-100753</t>
  </si>
  <si>
    <t>ORD-100603</t>
  </si>
  <si>
    <t>ORD-102603</t>
  </si>
  <si>
    <t>ORD-102239</t>
  </si>
  <si>
    <t>ORD-102485</t>
  </si>
  <si>
    <t>ORD-100539</t>
  </si>
  <si>
    <t>ORD-101337</t>
  </si>
  <si>
    <t>customer1033@example.com</t>
  </si>
  <si>
    <t>ORD-101877</t>
  </si>
  <si>
    <t>ORD-100394</t>
  </si>
  <si>
    <t>customer0716@example.com</t>
  </si>
  <si>
    <t>ORD-102169</t>
  </si>
  <si>
    <t>ORD-102672</t>
  </si>
  <si>
    <t>ORD-102670</t>
  </si>
  <si>
    <t>ORD-100093</t>
  </si>
  <si>
    <t>ORD-100489</t>
  </si>
  <si>
    <t>ORD-101498</t>
  </si>
  <si>
    <t>ORD-100760</t>
  </si>
  <si>
    <t>ORD-101435</t>
  </si>
  <si>
    <t>ORD-102862</t>
  </si>
  <si>
    <t>ORD-101797</t>
  </si>
  <si>
    <t>ORD-101172</t>
  </si>
  <si>
    <t>ORD-102336</t>
  </si>
  <si>
    <t>ORD-100188</t>
  </si>
  <si>
    <t>ORD-100512</t>
  </si>
  <si>
    <t>customer0426@example.com</t>
  </si>
  <si>
    <t>ORD-102185</t>
  </si>
  <si>
    <t>ORD-102160</t>
  </si>
  <si>
    <t>customer1055@example.com</t>
  </si>
  <si>
    <t>ORD-102993</t>
  </si>
  <si>
    <t>ORD-101654</t>
  </si>
  <si>
    <t>ORD-101682</t>
  </si>
  <si>
    <t>ORD-101157</t>
  </si>
  <si>
    <t>ORD-102698</t>
  </si>
  <si>
    <t>ORD-102568</t>
  </si>
  <si>
    <t>customer0111@example.com</t>
  </si>
  <si>
    <t>ORD-102117</t>
  </si>
  <si>
    <t>ORD-100901</t>
  </si>
  <si>
    <t>ORD-101381</t>
  </si>
  <si>
    <t>customer0493@example.com</t>
  </si>
  <si>
    <t>ORD-100577</t>
  </si>
  <si>
    <t>ORD-101326</t>
  </si>
  <si>
    <t>ORD-102718</t>
  </si>
  <si>
    <t>ORD-102053</t>
  </si>
  <si>
    <t>customer1159@example.com</t>
  </si>
  <si>
    <t>ORD-101002</t>
  </si>
  <si>
    <t>ORD-100458</t>
  </si>
  <si>
    <t>customer0690@example.com</t>
  </si>
  <si>
    <t>ORD-102519</t>
  </si>
  <si>
    <t>customer1135@example.com</t>
  </si>
  <si>
    <t>ORD-100522</t>
  </si>
  <si>
    <t>ORD-102442</t>
  </si>
  <si>
    <t>ORD-101495</t>
  </si>
  <si>
    <t>ORD-101677</t>
  </si>
  <si>
    <t>ORD-102232</t>
  </si>
  <si>
    <t>ORD-102513</t>
  </si>
  <si>
    <t>ORD-100239</t>
  </si>
  <si>
    <t>92.88</t>
  </si>
  <si>
    <t>ORD-101528</t>
  </si>
  <si>
    <t>ORD-101496</t>
  </si>
  <si>
    <t>ORD-101989</t>
  </si>
  <si>
    <t>ORD-100373</t>
  </si>
  <si>
    <t>ORD-101573</t>
  </si>
  <si>
    <t>ORD-100327</t>
  </si>
  <si>
    <t>ORD-102979</t>
  </si>
  <si>
    <t>ORD-102270</t>
  </si>
  <si>
    <t>ORD-102294</t>
  </si>
  <si>
    <t>ORD-102762</t>
  </si>
  <si>
    <t>03/24/2026</t>
  </si>
  <si>
    <t>ORD-100192</t>
  </si>
  <si>
    <t>ORD-101552</t>
  </si>
  <si>
    <t>ORD-100911</t>
  </si>
  <si>
    <t>ORD-102516</t>
  </si>
  <si>
    <t>ORD-102334</t>
  </si>
  <si>
    <t>ORD-102828</t>
  </si>
  <si>
    <t>customer0302@example.com</t>
  </si>
  <si>
    <t>ORD-102463</t>
  </si>
  <si>
    <t>ORD-102605</t>
  </si>
  <si>
    <t>ORD-101313</t>
  </si>
  <si>
    <t>ORD-100439</t>
  </si>
  <si>
    <t>ORD-100020</t>
  </si>
  <si>
    <t>9.56</t>
  </si>
  <si>
    <t>ORD-100806</t>
  </si>
  <si>
    <t>ORD-100042</t>
  </si>
  <si>
    <t>02/25/2026</t>
  </si>
  <si>
    <t>ORD-101143</t>
  </si>
  <si>
    <t>customer0064@example.com</t>
  </si>
  <si>
    <t>ORD-101153</t>
  </si>
  <si>
    <t>ORD-100970</t>
  </si>
  <si>
    <t>ORD-102539</t>
  </si>
  <si>
    <t>ORD-102366</t>
  </si>
  <si>
    <t>ORD-101042</t>
  </si>
  <si>
    <t>ORD-102514</t>
  </si>
  <si>
    <t>ORD-100916</t>
  </si>
  <si>
    <t>ORD-100661</t>
  </si>
  <si>
    <t>ORD-102837</t>
  </si>
  <si>
    <t>ORD-102413</t>
  </si>
  <si>
    <t>customer0993@example.com</t>
  </si>
  <si>
    <t>ORD-102940</t>
  </si>
  <si>
    <t>ORD-101363</t>
  </si>
  <si>
    <t>ORD-100625</t>
  </si>
  <si>
    <t>ORD-101656</t>
  </si>
  <si>
    <t>ORD-101708</t>
  </si>
  <si>
    <t>ORD-100408</t>
  </si>
  <si>
    <t>customer0202@example.com</t>
  </si>
  <si>
    <t>ORD-100959</t>
  </si>
  <si>
    <t>ORD-101640</t>
  </si>
  <si>
    <t>ORD-100296</t>
  </si>
  <si>
    <t>ORD-101590</t>
  </si>
  <si>
    <t>ORD-102925</t>
  </si>
  <si>
    <t>ORD-101305</t>
  </si>
  <si>
    <t>ORD-102124</t>
  </si>
  <si>
    <t>ORD-101679</t>
  </si>
  <si>
    <t>ORD-100892</t>
  </si>
  <si>
    <t>ORD-101475</t>
  </si>
  <si>
    <t>ORD-101870</t>
  </si>
  <si>
    <t>ORD-101816</t>
  </si>
  <si>
    <t>ORD-100747</t>
  </si>
  <si>
    <t>customer0197@example.com</t>
  </si>
  <si>
    <t>ORD-101334</t>
  </si>
  <si>
    <t>ORD-102976</t>
  </si>
  <si>
    <t>customer0807@example.com</t>
  </si>
  <si>
    <t>ORD-102498</t>
  </si>
  <si>
    <t>ORD-100526</t>
  </si>
  <si>
    <t>ORD-102237</t>
  </si>
  <si>
    <t>customer0989@example.com</t>
  </si>
  <si>
    <t>ORD-101751</t>
  </si>
  <si>
    <t>ORD-100254</t>
  </si>
  <si>
    <t>customer0102@example.com</t>
  </si>
  <si>
    <t>ORD-100574</t>
  </si>
  <si>
    <t>ORD-102928</t>
  </si>
  <si>
    <t>ORD-101793</t>
  </si>
  <si>
    <t>ORD-102761</t>
  </si>
  <si>
    <t>customer0968@example.com</t>
  </si>
  <si>
    <t>ORD-100305</t>
  </si>
  <si>
    <t>03/27/2026</t>
  </si>
  <si>
    <t>customer0831@example.com</t>
  </si>
  <si>
    <t>ORD-100120</t>
  </si>
  <si>
    <t>ORD-101578</t>
  </si>
  <si>
    <t>ORD-101327</t>
  </si>
  <si>
    <t>ORD-100917</t>
  </si>
  <si>
    <t>ORD-101567</t>
  </si>
  <si>
    <t>customer1191@example.com</t>
  </si>
  <si>
    <t>ORD-101707</t>
  </si>
  <si>
    <t>05/23/2026</t>
  </si>
  <si>
    <t>ORD-100857</t>
  </si>
  <si>
    <t>ORD-101102</t>
  </si>
  <si>
    <t>ORD-101212</t>
  </si>
  <si>
    <t>ORD-102367</t>
  </si>
  <si>
    <t>ORD-102236</t>
  </si>
  <si>
    <t>ORD-100943</t>
  </si>
  <si>
    <t>ORD-100794</t>
  </si>
  <si>
    <t>customer0531@example.com</t>
  </si>
  <si>
    <t>ORD-101602</t>
  </si>
  <si>
    <t>customer1205@example.com</t>
  </si>
  <si>
    <t>ORD-100304</t>
  </si>
  <si>
    <t>ORD-101837</t>
  </si>
  <si>
    <t>ORD-101094</t>
  </si>
  <si>
    <t>ORD-100012</t>
  </si>
  <si>
    <t>ORD-100599</t>
  </si>
  <si>
    <t>ORD-102298</t>
  </si>
  <si>
    <t>ORD-102926</t>
  </si>
  <si>
    <t>ORD-101140</t>
  </si>
  <si>
    <t>ORD-101723</t>
  </si>
  <si>
    <t>ORD-101004</t>
  </si>
  <si>
    <t>ORD-102591</t>
  </si>
  <si>
    <t>customer0361@example.com</t>
  </si>
  <si>
    <t>ORD-100196</t>
  </si>
  <si>
    <t>ORD-101863</t>
  </si>
  <si>
    <t>ORD-100454</t>
  </si>
  <si>
    <t>ORD-101241</t>
  </si>
  <si>
    <t>ORD-102829</t>
  </si>
  <si>
    <t>ORD-100758</t>
  </si>
  <si>
    <t>ORD-101227</t>
  </si>
  <si>
    <t>ORD-100406</t>
  </si>
  <si>
    <t>ORD-100775</t>
  </si>
  <si>
    <t>ORD-100085</t>
  </si>
  <si>
    <t>ORD-102822</t>
  </si>
  <si>
    <t>ORD-102113</t>
  </si>
  <si>
    <t>ORD-102778</t>
  </si>
  <si>
    <t>ORD-101659</t>
  </si>
  <si>
    <t>ORD-102751</t>
  </si>
  <si>
    <t>ORD-100034</t>
  </si>
  <si>
    <t>ORD-102932</t>
  </si>
  <si>
    <t>ORD-100870</t>
  </si>
  <si>
    <t>ORD-101207</t>
  </si>
  <si>
    <t>ORD-101376</t>
  </si>
  <si>
    <t>ORD-101382</t>
  </si>
  <si>
    <t>ORD-101199</t>
  </si>
  <si>
    <t>ORD-101564</t>
  </si>
  <si>
    <t>ORD-100558</t>
  </si>
  <si>
    <t>ORD-102821</t>
  </si>
  <si>
    <t>ORD-101417</t>
  </si>
  <si>
    <t>ORD-102905</t>
  </si>
  <si>
    <t>ORD-101336</t>
  </si>
  <si>
    <t>ORD-100549</t>
  </si>
  <si>
    <t>customer0185@example.com</t>
  </si>
  <si>
    <t>ORD-102986</t>
  </si>
  <si>
    <t>ORD-101579</t>
  </si>
  <si>
    <t>customer1391@example.com</t>
  </si>
  <si>
    <t>ORD-100110</t>
  </si>
  <si>
    <t>ORD-100964</t>
  </si>
  <si>
    <t>ORD-100789</t>
  </si>
  <si>
    <t>ORD-102129</t>
  </si>
  <si>
    <t>ORD-102210</t>
  </si>
  <si>
    <t>customer0699@example.com</t>
  </si>
  <si>
    <t>ORD-102255</t>
  </si>
  <si>
    <t>ORD-102096</t>
  </si>
  <si>
    <t>114.75</t>
  </si>
  <si>
    <t>ORD-100249</t>
  </si>
  <si>
    <t>ORD-101015</t>
  </si>
  <si>
    <t>ORD-101849</t>
  </si>
  <si>
    <t>ORD-102274</t>
  </si>
  <si>
    <t>ORD-101400</t>
  </si>
  <si>
    <t>customer0960@example.com</t>
  </si>
  <si>
    <t>ORD-101928</t>
  </si>
  <si>
    <t>ORD-100418</t>
  </si>
  <si>
    <t>ORD-101450</t>
  </si>
  <si>
    <t>ORD-100199</t>
  </si>
  <si>
    <t>ORD-102924</t>
  </si>
  <si>
    <t>ORD-101353</t>
  </si>
  <si>
    <t>ORD-101810</t>
  </si>
  <si>
    <t>ORD-100080</t>
  </si>
  <si>
    <t>204.25</t>
  </si>
  <si>
    <t>ORD-101713</t>
  </si>
  <si>
    <t>ORD-100443</t>
  </si>
  <si>
    <t>customer1361@example.com</t>
  </si>
  <si>
    <t>ORD-100684</t>
  </si>
  <si>
    <t>ORD-101767</t>
  </si>
  <si>
    <t>customer1216@example.com</t>
  </si>
  <si>
    <t>ORD-101179</t>
  </si>
  <si>
    <t>01/19/2026</t>
  </si>
  <si>
    <t>ORD-101036</t>
  </si>
  <si>
    <t>customer1068@example.com</t>
  </si>
  <si>
    <t>ORD-100134</t>
  </si>
  <si>
    <t>ORD-100035</t>
  </si>
  <si>
    <t>ORD-102644</t>
  </si>
  <si>
    <t>ORD-101873</t>
  </si>
  <si>
    <t>customer0902@example.com</t>
  </si>
  <si>
    <t>ORD-102029</t>
  </si>
  <si>
    <t>ORD-101955</t>
  </si>
  <si>
    <t>ORD-100014</t>
  </si>
  <si>
    <t>ORD-102023</t>
  </si>
  <si>
    <t>ORD-101344</t>
  </si>
  <si>
    <t>ORD-102789</t>
  </si>
  <si>
    <t>ORD-101438</t>
  </si>
  <si>
    <t>ORD-100843</t>
  </si>
  <si>
    <t>ORD-102774</t>
  </si>
  <si>
    <t>ORD-102608</t>
  </si>
  <si>
    <t>ORD-100363</t>
  </si>
  <si>
    <t>ORD-100755</t>
  </si>
  <si>
    <t>ORD-102268</t>
  </si>
  <si>
    <t>ORD-100294</t>
  </si>
  <si>
    <t>ORD-100013</t>
  </si>
  <si>
    <t>03/30/2026</t>
  </si>
  <si>
    <t>customer1061@example.com</t>
  </si>
  <si>
    <t>ORD-101395</t>
  </si>
  <si>
    <t>customer1152@example.com</t>
  </si>
  <si>
    <t>ORD-102757</t>
  </si>
  <si>
    <t>ORD-101524</t>
  </si>
  <si>
    <t>ORD-101543</t>
  </si>
  <si>
    <t>customer1049@example.com</t>
  </si>
  <si>
    <t>ORD-101316</t>
  </si>
  <si>
    <t>ORD-101294</t>
  </si>
  <si>
    <t>ORD-102420</t>
  </si>
  <si>
    <t>customer0336@example.com</t>
  </si>
  <si>
    <t>ORD-100425</t>
  </si>
  <si>
    <t>ORD-101627</t>
  </si>
  <si>
    <t>ORD-101377</t>
  </si>
  <si>
    <t>ORD-100411</t>
  </si>
  <si>
    <t>ORD-101468</t>
  </si>
  <si>
    <t>customer0821@example.com</t>
  </si>
  <si>
    <t>ORD-101546</t>
  </si>
  <si>
    <t>ORD-100808</t>
  </si>
  <si>
    <t>ORD-101125</t>
  </si>
  <si>
    <t>ORD-102688</t>
  </si>
  <si>
    <t>ORD-102995</t>
  </si>
  <si>
    <t>ORD-102645</t>
  </si>
  <si>
    <t>ORD-102081</t>
  </si>
  <si>
    <t>ORD-100194</t>
  </si>
  <si>
    <t>ORD-102559</t>
  </si>
  <si>
    <t>ORD-101856</t>
  </si>
  <si>
    <t>ORD-101067</t>
  </si>
  <si>
    <t>ORD-101362</t>
  </si>
  <si>
    <t>ORD-100709</t>
  </si>
  <si>
    <t>ORD-101139</t>
  </si>
  <si>
    <t>customer0211@example.com</t>
  </si>
  <si>
    <t>72.90</t>
  </si>
  <si>
    <t>ORD-100137</t>
  </si>
  <si>
    <t>ORD-100077</t>
  </si>
  <si>
    <t>ORD-102127</t>
  </si>
  <si>
    <t>customer1326@example.com</t>
  </si>
  <si>
    <t>ORD-100132</t>
  </si>
  <si>
    <t>ORD-102938</t>
  </si>
  <si>
    <t>ORD-100905</t>
  </si>
  <si>
    <t>customer0890@example.com</t>
  </si>
  <si>
    <t>ORD-102057</t>
  </si>
  <si>
    <t>ORD-100605</t>
  </si>
  <si>
    <t>ORD-100219</t>
  </si>
  <si>
    <t>ORD-101028</t>
  </si>
  <si>
    <t>ORD-102626</t>
  </si>
  <si>
    <t>ORD-102747</t>
  </si>
  <si>
    <t>ORD-102851</t>
  </si>
  <si>
    <t>customer0149@example.com</t>
  </si>
  <si>
    <t>ORD-101494</t>
  </si>
  <si>
    <t>ORD-102121</t>
  </si>
  <si>
    <t>ORD-102428</t>
  </si>
  <si>
    <t>ORD-100736</t>
  </si>
  <si>
    <t>05/22/2026</t>
  </si>
  <si>
    <t>ORD-100177</t>
  </si>
  <si>
    <t>ORD-101992</t>
  </si>
  <si>
    <t>ORD-102623</t>
  </si>
  <si>
    <t>ORD-102937</t>
  </si>
  <si>
    <t>ORD-101872</t>
  </si>
  <si>
    <t>ORD-100756</t>
  </si>
  <si>
    <t>ORD-101612</t>
  </si>
  <si>
    <t>customer0774@example.com</t>
  </si>
  <si>
    <t>ORD-101804</t>
  </si>
  <si>
    <t>ORD-102399</t>
  </si>
  <si>
    <t>ORD-102508</t>
  </si>
  <si>
    <t>ORD-102989</t>
  </si>
  <si>
    <t>ORD-100288</t>
  </si>
  <si>
    <t>ORD-102629</t>
  </si>
  <si>
    <t>ORD-102126</t>
  </si>
  <si>
    <t>04/29/2026</t>
  </si>
  <si>
    <t>ORD-101678</t>
  </si>
  <si>
    <t>ORD-100890</t>
  </si>
  <si>
    <t>ORD-101938</t>
  </si>
  <si>
    <t>ORD-101224</t>
  </si>
  <si>
    <t>ORD-101178</t>
  </si>
  <si>
    <t>ORD-100734</t>
  </si>
  <si>
    <t>ORD-100322</t>
  </si>
  <si>
    <t>ORD-102208</t>
  </si>
  <si>
    <t>ORD-102781</t>
  </si>
  <si>
    <t>ORD-102557</t>
  </si>
  <si>
    <t>ORD-102814</t>
  </si>
  <si>
    <t>ORD-102641</t>
  </si>
  <si>
    <t>ORD-101966</t>
  </si>
  <si>
    <t>ORD-101088</t>
  </si>
  <si>
    <t>ORD-100535</t>
  </si>
  <si>
    <t>-171.00</t>
  </si>
  <si>
    <t>ORD-100143</t>
  </si>
  <si>
    <t>189.60</t>
  </si>
  <si>
    <t>ORD-100331</t>
  </si>
  <si>
    <t>ORD-102942</t>
  </si>
  <si>
    <t>customer0228@example.com</t>
  </si>
  <si>
    <t>ORD-101722</t>
  </si>
  <si>
    <t>ORD-101667</t>
  </si>
  <si>
    <t>ORD-100516</t>
  </si>
  <si>
    <t>ORD-101350</t>
  </si>
  <si>
    <t>ORD-102962</t>
  </si>
  <si>
    <t>ORD-101652</t>
  </si>
  <si>
    <t>ORD-100863</t>
  </si>
  <si>
    <t>customer0640@example.com</t>
  </si>
  <si>
    <t>ORD-100412</t>
  </si>
  <si>
    <t>ORD-100994</t>
  </si>
  <si>
    <t>ORD-100972</t>
  </si>
  <si>
    <t>ORD-100582</t>
  </si>
  <si>
    <t>ORD-101480</t>
  </si>
  <si>
    <t>ORD-100147</t>
  </si>
  <si>
    <t>ORD-100647</t>
  </si>
  <si>
    <t>ORD-101070</t>
  </si>
  <si>
    <t>ORD-102362</t>
  </si>
  <si>
    <t>ORD-102395</t>
  </si>
  <si>
    <t>ORD-102375</t>
  </si>
  <si>
    <t>ORD-100560</t>
  </si>
  <si>
    <t>ORD-102578</t>
  </si>
  <si>
    <t>ORD-100955</t>
  </si>
  <si>
    <t>ORD-102191</t>
  </si>
  <si>
    <t>ORD-100776</t>
  </si>
  <si>
    <t>ORD-102987</t>
  </si>
  <si>
    <t>customer1094@example.com</t>
  </si>
  <si>
    <t>ORD-101394</t>
  </si>
  <si>
    <t>ORD-102411</t>
  </si>
  <si>
    <t>ORD-102374</t>
  </si>
  <si>
    <t>ORD-101715</t>
  </si>
  <si>
    <t>ORD-100351</t>
  </si>
  <si>
    <t>ORD-101555</t>
  </si>
  <si>
    <t>customer0635@example.com</t>
  </si>
  <si>
    <t>ORD-101181</t>
  </si>
  <si>
    <t>ORD-101112</t>
  </si>
  <si>
    <t>ORD-102957</t>
  </si>
  <si>
    <t>ORD-101418</t>
  </si>
  <si>
    <t>ORD-100701</t>
  </si>
  <si>
    <t>ORD-100150</t>
  </si>
  <si>
    <t>ORD-100666</t>
  </si>
  <si>
    <t>customer1338@example.com</t>
  </si>
  <si>
    <t>219.30</t>
  </si>
  <si>
    <t>ORD-102998</t>
  </si>
  <si>
    <t>ORD-102681</t>
  </si>
  <si>
    <t>ORD-102533</t>
  </si>
  <si>
    <t>customer0880@example.com</t>
  </si>
  <si>
    <t>ORD-101388</t>
  </si>
  <si>
    <t>ORD-101582</t>
  </si>
  <si>
    <t>ORD-102991</t>
  </si>
  <si>
    <t>ORD-102233</t>
  </si>
  <si>
    <t>customer0085@example.com</t>
  </si>
  <si>
    <t>ORD-101913</t>
  </si>
  <si>
    <t>ORD-101525</t>
  </si>
  <si>
    <t>ORD-102883</t>
  </si>
  <si>
    <t>ORD-101250</t>
  </si>
  <si>
    <t>ORD-100344</t>
  </si>
  <si>
    <t>ORD-101288</t>
  </si>
  <si>
    <t>ORD-101744</t>
  </si>
  <si>
    <t>ORD-100704</t>
  </si>
  <si>
    <t>ORD-100092</t>
  </si>
  <si>
    <t>ORD-100882</t>
  </si>
  <si>
    <t>ORD-100492</t>
  </si>
  <si>
    <t>ORD-100362</t>
  </si>
  <si>
    <t>ORD-100475</t>
  </si>
  <si>
    <t>ORD-102347</t>
  </si>
  <si>
    <t>ORD-101405</t>
  </si>
  <si>
    <t>ORD-101123</t>
  </si>
  <si>
    <t>ORD-101741</t>
  </si>
  <si>
    <t>ORD-102417</t>
  </si>
  <si>
    <t>ORD-101275</t>
  </si>
  <si>
    <t>ORD-100007</t>
  </si>
  <si>
    <t>ORD-102949</t>
  </si>
  <si>
    <t>ORD-102066</t>
  </si>
  <si>
    <t>ORD-102069</t>
  </si>
  <si>
    <t>ORD-100939</t>
  </si>
  <si>
    <t>ORD-100928</t>
  </si>
  <si>
    <t>ORD-102284</t>
  </si>
  <si>
    <t>ORD-102892</t>
  </si>
  <si>
    <t>ORD-102122</t>
  </si>
  <si>
    <t>ORD-101776</t>
  </si>
  <si>
    <t>customer1350@example.com</t>
  </si>
  <si>
    <t>ORD-101889</t>
  </si>
  <si>
    <t>ORD-102461</t>
  </si>
  <si>
    <t>customer0611@example.com</t>
  </si>
  <si>
    <t>ORD-102739</t>
  </si>
  <si>
    <t>customer0598@example.com</t>
  </si>
  <si>
    <t>ORD-102500</t>
  </si>
  <si>
    <t>ORD-100664</t>
  </si>
  <si>
    <t>ORD-100718</t>
  </si>
  <si>
    <t>ORD-100019</t>
  </si>
  <si>
    <t>ORD-100420</t>
  </si>
  <si>
    <t>ORD-102911</t>
  </si>
  <si>
    <t>ORD-101886</t>
  </si>
  <si>
    <t>ORD-100903</t>
  </si>
  <si>
    <t>ORD-100773</t>
  </si>
  <si>
    <t>ORD-100482</t>
  </si>
  <si>
    <t>ORD-100259</t>
  </si>
  <si>
    <t>ORD-102596</t>
  </si>
  <si>
    <t>152.00</t>
  </si>
  <si>
    <t>ORD-101220</t>
  </si>
  <si>
    <t>ORD-100575</t>
  </si>
  <si>
    <t>ORD-101182</t>
  </si>
  <si>
    <t>ORD-102693</t>
  </si>
  <si>
    <t>ORD-102609</t>
  </si>
  <si>
    <t>ORD-102780</t>
  </si>
  <si>
    <t>ORD-101049</t>
  </si>
  <si>
    <t>ORD-100742</t>
  </si>
  <si>
    <t>ORD-102748</t>
  </si>
  <si>
    <t>ORD-101881</t>
  </si>
  <si>
    <t>ORD-101672</t>
  </si>
  <si>
    <t>customer1024@example.com</t>
  </si>
  <si>
    <t>ORD-101346</t>
  </si>
  <si>
    <t>ORD-101526</t>
  </si>
  <si>
    <t>ORD-102833</t>
  </si>
  <si>
    <t>ORD-102344</t>
  </si>
  <si>
    <t>ORD-102825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</si>
</sst>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rgb="FF188038"/>
      <name val="Times New Roman"/>
      <family val="1"/>
      <charset val="1"/>
    </font>
    <font>
      <sz val="10"/>
      <color theme="1"/>
      <name val="Liberation Sans"/>
      <charset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readingOrder="1"/>
    </xf>
    <xf numFmtId="14" fontId="2" fillId="0" borderId="1" xfId="0" applyNumberFormat="1" applyFont="1" applyBorder="1" applyAlignment="1">
      <alignment readingOrder="1"/>
    </xf>
    <xf numFmtId="0" fontId="0" fillId="0" borderId="1" xfId="0" applyBorder="1"/>
    <xf numFmtId="0" fontId="3" fillId="0" borderId="1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4" fillId="0" borderId="0" xfId="0" applyFont="1"/>
    <xf numFmtId="14" fontId="4" fillId="0" borderId="0" xfId="0" applyNumberFormat="1" applyFont="1"/>
    <xf numFmtId="0" fontId="4" fillId="0" borderId="0" xfId="0" quotePrefix="1" applyFont="1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readingOrder="1"/>
    </xf>
    <xf numFmtId="14" fontId="0" fillId="0" borderId="0" xfId="0" applyNumberFormat="1"/>
    <xf numFmtId="0" fontId="6" fillId="0" borderId="0" xfId="1"/>
  </cellXfs>
  <cellStyles count="2">
    <cellStyle name="Lien hypertexte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6A959A-80DA-4223-861F-986DD31DC33B}" name="Tableau2" displayName="Tableau2" ref="A1:M3001" totalsRowShown="0" headerRowDxfId="14" dataDxfId="13">
  <autoFilter ref="A1:M3001" xr:uid="{A76A959A-80DA-4223-861F-986DD31DC33B}"/>
  <tableColumns count="13">
    <tableColumn id="1" xr3:uid="{E78552B9-FA6D-43A3-A18B-A38D5B440268}" name="order_id" dataDxfId="12"/>
    <tableColumn id="2" xr3:uid="{684EB041-AD11-4352-8E6C-22B602871EFE}" name="order_date" dataDxfId="11"/>
    <tableColumn id="3" xr3:uid="{1BC85851-25AC-4162-BE84-2679D5C3505B}" name="customer_email" dataDxfId="10"/>
    <tableColumn id="4" xr3:uid="{1672A32B-CFC1-4DDD-86D8-2CD25EA32FC0}" name="country" dataDxfId="9"/>
    <tableColumn id="5" xr3:uid="{9A056A4D-1A26-410F-85E5-19B57599691B}" name="channel" dataDxfId="8"/>
    <tableColumn id="6" xr3:uid="{1568812A-D748-44A1-AABF-E874BF19EDF7}" name="product_sku" dataDxfId="7"/>
    <tableColumn id="7" xr3:uid="{C202F983-4947-458A-8D0F-D7D4AD31E512}" name="product_name" dataDxfId="6"/>
    <tableColumn id="8" xr3:uid="{DF3BF7AB-5659-4FC4-AF2A-9411141968CE}" name="quantity" dataDxfId="5"/>
    <tableColumn id="9" xr3:uid="{776CEBF8-AB89-4405-BF9D-731EA439731C}" name="unit_price" dataDxfId="4"/>
    <tableColumn id="10" xr3:uid="{0F246367-5972-43F8-8082-31C7A3A004EF}" name="order_total" dataDxfId="3"/>
    <tableColumn id="11" xr3:uid="{9C8DD9F7-147C-426B-85BB-B7CDAA9C80C8}" name="weight" dataDxfId="2"/>
    <tableColumn id="12" xr3:uid="{720C013B-AE79-4FDD-85C2-CEE079F9853C}" name="currency" dataDxfId="1"/>
    <tableColumn id="13" xr3:uid="{45D3E5D1-EF1B-4C9D-97A5-97ACCE1880C5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ustomer0123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H5" sqref="H5"/>
    </sheetView>
  </sheetViews>
  <sheetFormatPr defaultColWidth="8.7109375" defaultRowHeight="14.45"/>
  <cols>
    <col min="2" max="2" width="14.28515625" customWidth="1"/>
    <col min="5" max="5" width="13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>
      <c r="A2" s="1">
        <v>1</v>
      </c>
      <c r="B2" s="1" t="s">
        <v>5</v>
      </c>
      <c r="C2" s="1" t="s">
        <v>6</v>
      </c>
      <c r="D2" s="1">
        <v>350000</v>
      </c>
      <c r="E2" s="2">
        <v>46034</v>
      </c>
      <c r="F2" t="str">
        <f>PROPER(TRIM(C2))</f>
        <v>Dakar</v>
      </c>
    </row>
    <row r="3" spans="1:6">
      <c r="A3" s="1">
        <v>2</v>
      </c>
      <c r="B3" s="1" t="s">
        <v>7</v>
      </c>
      <c r="C3" s="1" t="s">
        <v>6</v>
      </c>
      <c r="D3" s="1">
        <v>400000</v>
      </c>
      <c r="E3" s="2">
        <v>46037</v>
      </c>
      <c r="F3" t="str">
        <f>TRIM(C2)</f>
        <v>Dakar</v>
      </c>
    </row>
    <row r="4" spans="1:6">
      <c r="A4" s="1">
        <v>3</v>
      </c>
      <c r="B4" s="1" t="s">
        <v>8</v>
      </c>
      <c r="C4" s="1" t="s">
        <v>9</v>
      </c>
      <c r="D4" s="3"/>
      <c r="E4" s="2">
        <v>46040</v>
      </c>
    </row>
    <row r="5" spans="1:6">
      <c r="A5" s="1">
        <v>3</v>
      </c>
      <c r="B5" s="1" t="s">
        <v>8</v>
      </c>
      <c r="C5" s="1" t="s">
        <v>9</v>
      </c>
      <c r="D5" s="3"/>
      <c r="E5" s="2">
        <v>46040</v>
      </c>
    </row>
    <row r="6" spans="1:6">
      <c r="A6" s="1">
        <v>4</v>
      </c>
      <c r="B6" s="1" t="s">
        <v>10</v>
      </c>
      <c r="C6" s="1" t="s">
        <v>6</v>
      </c>
      <c r="D6" s="1">
        <v>450000</v>
      </c>
      <c r="E6" s="2">
        <v>46042</v>
      </c>
      <c r="F6" t="str">
        <f>PROPER("dakar")</f>
        <v>Dakar</v>
      </c>
    </row>
    <row r="7" spans="1:6">
      <c r="A7" s="1">
        <v>5</v>
      </c>
      <c r="B7" s="1" t="s">
        <v>11</v>
      </c>
      <c r="C7" s="4" t="s">
        <v>6</v>
      </c>
      <c r="D7" s="1">
        <v>325000</v>
      </c>
      <c r="E7" s="2">
        <v>46044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D5E9-4D1F-4AA6-AE02-72FB74010F75}">
  <dimension ref="A1:M3048"/>
  <sheetViews>
    <sheetView workbookViewId="0">
      <selection activeCell="K1" sqref="K1:K1048576"/>
    </sheetView>
  </sheetViews>
  <sheetFormatPr defaultColWidth="8.7109375" defaultRowHeight="14.45"/>
  <cols>
    <col min="1" max="1" width="15.140625" customWidth="1"/>
    <col min="2" max="2" width="18" customWidth="1"/>
    <col min="3" max="3" width="27.42578125" customWidth="1"/>
    <col min="4" max="4" width="11.42578125" customWidth="1"/>
    <col min="5" max="5" width="12.42578125" customWidth="1"/>
    <col min="6" max="6" width="14" customWidth="1"/>
    <col min="7" max="7" width="18.28515625" customWidth="1"/>
    <col min="9" max="9" width="11.28515625" customWidth="1"/>
    <col min="10" max="10" width="15.140625" customWidth="1"/>
    <col min="11" max="11" width="11.140625" customWidth="1"/>
    <col min="12" max="12" width="12.28515625" customWidth="1"/>
    <col min="13" max="13" width="14.5703125" customWidth="1"/>
  </cols>
  <sheetData>
    <row r="1" spans="1:13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</row>
    <row r="2" spans="1:13">
      <c r="A2" s="6" t="s">
        <v>25</v>
      </c>
      <c r="B2" s="7">
        <v>46100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>
        <v>1</v>
      </c>
      <c r="I2" s="6" t="s">
        <v>31</v>
      </c>
      <c r="J2" s="6" t="s">
        <v>32</v>
      </c>
      <c r="K2" s="6">
        <v>520</v>
      </c>
      <c r="L2" s="6" t="s">
        <v>33</v>
      </c>
      <c r="M2" s="6" t="s">
        <v>34</v>
      </c>
    </row>
    <row r="3" spans="1:13">
      <c r="A3" s="6" t="s">
        <v>35</v>
      </c>
      <c r="B3" s="7">
        <v>46161</v>
      </c>
      <c r="C3" s="6" t="s">
        <v>36</v>
      </c>
      <c r="D3" s="6" t="s">
        <v>27</v>
      </c>
      <c r="E3" s="6" t="s">
        <v>37</v>
      </c>
      <c r="F3" s="6" t="s">
        <v>38</v>
      </c>
      <c r="G3" s="6" t="s">
        <v>39</v>
      </c>
      <c r="H3" s="6">
        <v>1</v>
      </c>
      <c r="I3" s="6" t="s">
        <v>40</v>
      </c>
      <c r="J3" s="6" t="s">
        <v>40</v>
      </c>
      <c r="K3" s="6" t="s">
        <v>41</v>
      </c>
      <c r="L3" s="6" t="s">
        <v>42</v>
      </c>
      <c r="M3" s="6" t="s">
        <v>34</v>
      </c>
    </row>
    <row r="4" spans="1:13">
      <c r="A4" s="6" t="s">
        <v>43</v>
      </c>
      <c r="B4" s="7">
        <v>46187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6">
        <v>1</v>
      </c>
      <c r="I4" s="6" t="s">
        <v>31</v>
      </c>
      <c r="J4" s="6" t="s">
        <v>31</v>
      </c>
      <c r="K4" s="6" t="s">
        <v>49</v>
      </c>
      <c r="L4" s="6" t="s">
        <v>42</v>
      </c>
      <c r="M4" s="6" t="s">
        <v>34</v>
      </c>
    </row>
    <row r="5" spans="1:13">
      <c r="A5" s="6" t="s">
        <v>50</v>
      </c>
      <c r="B5" s="7">
        <v>46030</v>
      </c>
      <c r="C5" s="6" t="s">
        <v>51</v>
      </c>
      <c r="D5" s="6" t="s">
        <v>45</v>
      </c>
      <c r="E5" s="6" t="s">
        <v>52</v>
      </c>
      <c r="F5" s="6" t="s">
        <v>53</v>
      </c>
      <c r="G5" s="6" t="s">
        <v>54</v>
      </c>
      <c r="H5" s="6">
        <v>1</v>
      </c>
      <c r="I5" s="6" t="s">
        <v>40</v>
      </c>
      <c r="J5" s="6" t="s">
        <v>40</v>
      </c>
      <c r="K5" s="6">
        <v>190</v>
      </c>
      <c r="L5" s="6" t="s">
        <v>33</v>
      </c>
      <c r="M5" s="6" t="s">
        <v>34</v>
      </c>
    </row>
    <row r="6" spans="1:13">
      <c r="A6" s="6" t="s">
        <v>55</v>
      </c>
      <c r="B6" s="7">
        <v>46162</v>
      </c>
      <c r="C6" s="6" t="s">
        <v>56</v>
      </c>
      <c r="D6" s="6" t="s">
        <v>57</v>
      </c>
      <c r="E6" s="6" t="s">
        <v>46</v>
      </c>
      <c r="F6" s="6" t="s">
        <v>58</v>
      </c>
      <c r="G6" s="6" t="s">
        <v>59</v>
      </c>
      <c r="H6" s="6">
        <v>1</v>
      </c>
      <c r="I6" s="6" t="s">
        <v>60</v>
      </c>
      <c r="J6" s="6" t="s">
        <v>60</v>
      </c>
      <c r="K6" s="6" t="s">
        <v>61</v>
      </c>
      <c r="L6" s="6" t="s">
        <v>42</v>
      </c>
      <c r="M6" s="6" t="s">
        <v>34</v>
      </c>
    </row>
    <row r="7" spans="1:13">
      <c r="A7" s="6" t="s">
        <v>62</v>
      </c>
      <c r="B7" s="7">
        <v>46095</v>
      </c>
      <c r="C7" s="6" t="s">
        <v>63</v>
      </c>
      <c r="D7" s="6" t="s">
        <v>64</v>
      </c>
      <c r="E7" s="6" t="s">
        <v>52</v>
      </c>
      <c r="F7" s="6" t="s">
        <v>47</v>
      </c>
      <c r="G7" s="6" t="s">
        <v>48</v>
      </c>
      <c r="H7" s="6">
        <v>1</v>
      </c>
      <c r="I7" s="6" t="s">
        <v>31</v>
      </c>
      <c r="J7" s="6" t="s">
        <v>31</v>
      </c>
      <c r="K7" s="6">
        <v>85</v>
      </c>
      <c r="L7" s="6" t="s">
        <v>42</v>
      </c>
      <c r="M7" s="6" t="s">
        <v>34</v>
      </c>
    </row>
    <row r="8" spans="1:13">
      <c r="A8" s="6" t="s">
        <v>65</v>
      </c>
      <c r="B8" s="7">
        <v>46137</v>
      </c>
      <c r="C8" s="6" t="s">
        <v>66</v>
      </c>
      <c r="D8" s="6" t="s">
        <v>64</v>
      </c>
      <c r="E8" s="6" t="s">
        <v>37</v>
      </c>
      <c r="F8" s="6" t="s">
        <v>47</v>
      </c>
      <c r="G8" s="6" t="s">
        <v>48</v>
      </c>
      <c r="H8" s="6">
        <v>3</v>
      </c>
      <c r="I8" s="6" t="s">
        <v>67</v>
      </c>
      <c r="J8" s="6" t="s">
        <v>68</v>
      </c>
      <c r="K8" s="6" t="s">
        <v>49</v>
      </c>
      <c r="L8" s="6" t="s">
        <v>42</v>
      </c>
      <c r="M8" s="6" t="s">
        <v>69</v>
      </c>
    </row>
    <row r="9" spans="1:13">
      <c r="A9" s="6" t="s">
        <v>70</v>
      </c>
      <c r="B9" s="7">
        <v>46162</v>
      </c>
      <c r="C9" s="6" t="s">
        <v>71</v>
      </c>
      <c r="D9" s="6" t="s">
        <v>72</v>
      </c>
      <c r="E9" s="6" t="s">
        <v>52</v>
      </c>
      <c r="F9" s="6" t="s">
        <v>47</v>
      </c>
      <c r="G9" s="6" t="s">
        <v>48</v>
      </c>
      <c r="H9" s="6">
        <v>2</v>
      </c>
      <c r="I9" s="6" t="s">
        <v>73</v>
      </c>
      <c r="J9" s="6" t="s">
        <v>74</v>
      </c>
      <c r="K9" s="6" t="s">
        <v>49</v>
      </c>
      <c r="L9" s="6" t="s">
        <v>33</v>
      </c>
      <c r="M9" s="6" t="s">
        <v>69</v>
      </c>
    </row>
    <row r="10" spans="1:13">
      <c r="A10" s="6" t="s">
        <v>75</v>
      </c>
      <c r="B10" s="7">
        <v>46114</v>
      </c>
      <c r="C10" s="6" t="s">
        <v>76</v>
      </c>
      <c r="D10" s="6" t="s">
        <v>77</v>
      </c>
      <c r="E10" s="6" t="s">
        <v>78</v>
      </c>
      <c r="F10" s="6" t="s">
        <v>53</v>
      </c>
      <c r="G10" s="6" t="s">
        <v>54</v>
      </c>
      <c r="H10" s="6">
        <v>1</v>
      </c>
      <c r="I10" s="6" t="s">
        <v>79</v>
      </c>
      <c r="J10" s="6" t="s">
        <v>79</v>
      </c>
      <c r="K10" s="6">
        <v>190</v>
      </c>
      <c r="L10" s="6" t="s">
        <v>42</v>
      </c>
      <c r="M10" s="6" t="s">
        <v>34</v>
      </c>
    </row>
    <row r="11" spans="1:13">
      <c r="A11" s="6" t="s">
        <v>80</v>
      </c>
      <c r="B11" s="7">
        <v>46069</v>
      </c>
      <c r="C11" s="6" t="s">
        <v>81</v>
      </c>
      <c r="D11" s="6" t="s">
        <v>45</v>
      </c>
      <c r="E11" s="6" t="s">
        <v>78</v>
      </c>
      <c r="F11" s="6" t="s">
        <v>53</v>
      </c>
      <c r="G11" s="6" t="s">
        <v>54</v>
      </c>
      <c r="H11" s="6">
        <v>1</v>
      </c>
      <c r="I11" s="6" t="s">
        <v>82</v>
      </c>
      <c r="J11" s="6" t="s">
        <v>82</v>
      </c>
      <c r="K11" s="6">
        <v>190</v>
      </c>
      <c r="L11" s="6" t="s">
        <v>33</v>
      </c>
      <c r="M11" s="6" t="s">
        <v>69</v>
      </c>
    </row>
    <row r="12" spans="1:13">
      <c r="A12" s="6" t="s">
        <v>83</v>
      </c>
      <c r="B12" s="7">
        <v>46133</v>
      </c>
      <c r="C12" s="6" t="s">
        <v>84</v>
      </c>
      <c r="D12" s="6" t="s">
        <v>45</v>
      </c>
      <c r="E12" s="6" t="s">
        <v>46</v>
      </c>
      <c r="F12" s="6" t="s">
        <v>85</v>
      </c>
      <c r="G12" s="6" t="s">
        <v>86</v>
      </c>
      <c r="H12" s="6">
        <v>1</v>
      </c>
      <c r="I12" s="6" t="s">
        <v>31</v>
      </c>
      <c r="J12" s="6" t="s">
        <v>31</v>
      </c>
      <c r="K12" s="6" t="s">
        <v>87</v>
      </c>
      <c r="L12" s="6" t="s">
        <v>42</v>
      </c>
      <c r="M12" s="6" t="s">
        <v>34</v>
      </c>
    </row>
    <row r="13" spans="1:13">
      <c r="A13" s="6" t="s">
        <v>88</v>
      </c>
      <c r="B13" s="7">
        <v>46204</v>
      </c>
      <c r="C13" s="6" t="s">
        <v>89</v>
      </c>
      <c r="D13" s="6" t="s">
        <v>57</v>
      </c>
      <c r="E13" s="6" t="s">
        <v>46</v>
      </c>
      <c r="F13" s="6" t="s">
        <v>85</v>
      </c>
      <c r="G13" s="6" t="s">
        <v>86</v>
      </c>
      <c r="H13" s="6">
        <v>1</v>
      </c>
      <c r="I13" s="6" t="s">
        <v>90</v>
      </c>
      <c r="J13" s="6" t="s">
        <v>90</v>
      </c>
      <c r="K13" s="6">
        <v>410</v>
      </c>
      <c r="L13" s="6" t="s">
        <v>42</v>
      </c>
      <c r="M13" s="6" t="s">
        <v>34</v>
      </c>
    </row>
    <row r="14" spans="1:13">
      <c r="A14" s="6" t="s">
        <v>91</v>
      </c>
      <c r="B14" s="6" t="s">
        <v>92</v>
      </c>
      <c r="C14" s="6" t="s">
        <v>93</v>
      </c>
      <c r="D14" s="6" t="s">
        <v>64</v>
      </c>
      <c r="E14" s="6" t="s">
        <v>52</v>
      </c>
      <c r="F14" s="6" t="s">
        <v>94</v>
      </c>
      <c r="G14" s="6" t="s">
        <v>95</v>
      </c>
      <c r="H14" s="6">
        <v>3</v>
      </c>
      <c r="I14" s="6" t="s">
        <v>96</v>
      </c>
      <c r="J14" s="6" t="s">
        <v>97</v>
      </c>
      <c r="K14" s="6">
        <v>340</v>
      </c>
      <c r="L14" s="6" t="s">
        <v>42</v>
      </c>
      <c r="M14" s="6" t="s">
        <v>69</v>
      </c>
    </row>
    <row r="15" spans="1:13">
      <c r="A15" s="6" t="s">
        <v>98</v>
      </c>
      <c r="B15" s="7">
        <v>46074</v>
      </c>
      <c r="C15" s="6" t="s">
        <v>99</v>
      </c>
      <c r="D15" s="6" t="s">
        <v>77</v>
      </c>
      <c r="E15" s="6" t="s">
        <v>28</v>
      </c>
      <c r="F15" s="6" t="s">
        <v>100</v>
      </c>
      <c r="G15" s="6" t="s">
        <v>101</v>
      </c>
      <c r="H15" s="6">
        <v>3</v>
      </c>
      <c r="I15" s="6" t="s">
        <v>90</v>
      </c>
      <c r="J15" s="6" t="s">
        <v>102</v>
      </c>
      <c r="K15" s="6">
        <v>640</v>
      </c>
      <c r="L15" s="6" t="s">
        <v>42</v>
      </c>
      <c r="M15" s="6" t="s">
        <v>34</v>
      </c>
    </row>
    <row r="16" spans="1:13">
      <c r="A16" s="6" t="s">
        <v>103</v>
      </c>
      <c r="B16" s="7">
        <v>46208</v>
      </c>
      <c r="C16" s="6" t="s">
        <v>104</v>
      </c>
      <c r="D16" s="6" t="s">
        <v>105</v>
      </c>
      <c r="E16" s="6" t="s">
        <v>46</v>
      </c>
      <c r="F16" s="6" t="s">
        <v>38</v>
      </c>
      <c r="G16" s="6" t="s">
        <v>39</v>
      </c>
      <c r="H16" s="6">
        <v>1</v>
      </c>
      <c r="I16" s="6" t="s">
        <v>31</v>
      </c>
      <c r="J16" s="6" t="s">
        <v>31</v>
      </c>
      <c r="K16" s="6" t="s">
        <v>41</v>
      </c>
      <c r="L16" s="6" t="s">
        <v>33</v>
      </c>
      <c r="M16" s="6" t="s">
        <v>34</v>
      </c>
    </row>
    <row r="17" spans="1:13">
      <c r="A17" s="6" t="s">
        <v>106</v>
      </c>
      <c r="B17" s="7">
        <v>46033</v>
      </c>
      <c r="C17" s="6" t="s">
        <v>107</v>
      </c>
      <c r="D17" s="6" t="s">
        <v>57</v>
      </c>
      <c r="E17" s="6" t="s">
        <v>78</v>
      </c>
      <c r="F17" s="6" t="s">
        <v>47</v>
      </c>
      <c r="G17" s="6" t="s">
        <v>48</v>
      </c>
      <c r="H17" s="6">
        <v>1</v>
      </c>
      <c r="I17" s="6" t="s">
        <v>40</v>
      </c>
      <c r="J17" s="6" t="s">
        <v>40</v>
      </c>
      <c r="K17" s="6">
        <v>85</v>
      </c>
      <c r="L17" s="6" t="s">
        <v>42</v>
      </c>
      <c r="M17" s="6" t="s">
        <v>34</v>
      </c>
    </row>
    <row r="18" spans="1:13">
      <c r="A18" s="6" t="s">
        <v>108</v>
      </c>
      <c r="B18" s="7">
        <v>46192</v>
      </c>
      <c r="C18" s="6" t="s">
        <v>109</v>
      </c>
      <c r="D18" s="6" t="s">
        <v>110</v>
      </c>
      <c r="E18" s="6" t="s">
        <v>52</v>
      </c>
      <c r="F18" s="6" t="s">
        <v>85</v>
      </c>
      <c r="G18" s="6" t="s">
        <v>86</v>
      </c>
      <c r="H18" s="6">
        <v>1</v>
      </c>
      <c r="I18" s="6" t="s">
        <v>96</v>
      </c>
      <c r="J18" s="6" t="s">
        <v>96</v>
      </c>
      <c r="K18" s="6" t="s">
        <v>87</v>
      </c>
      <c r="L18" s="6" t="s">
        <v>42</v>
      </c>
      <c r="M18" s="6" t="s">
        <v>34</v>
      </c>
    </row>
    <row r="19" spans="1:13">
      <c r="A19" s="6" t="s">
        <v>111</v>
      </c>
      <c r="B19" s="7">
        <v>46180</v>
      </c>
      <c r="C19" s="6" t="s">
        <v>112</v>
      </c>
      <c r="D19" s="6" t="s">
        <v>64</v>
      </c>
      <c r="E19" s="6" t="s">
        <v>78</v>
      </c>
      <c r="F19" s="6" t="s">
        <v>94</v>
      </c>
      <c r="G19" s="6" t="s">
        <v>95</v>
      </c>
      <c r="H19" s="6">
        <v>1</v>
      </c>
      <c r="I19" s="6" t="s">
        <v>113</v>
      </c>
      <c r="J19" s="6" t="s">
        <v>113</v>
      </c>
      <c r="K19" s="6" t="s">
        <v>114</v>
      </c>
      <c r="L19" s="6" t="s">
        <v>42</v>
      </c>
      <c r="M19" s="6" t="s">
        <v>69</v>
      </c>
    </row>
    <row r="20" spans="1:13">
      <c r="A20" s="6" t="s">
        <v>115</v>
      </c>
      <c r="B20" s="7">
        <v>46135</v>
      </c>
      <c r="C20" s="6" t="s">
        <v>116</v>
      </c>
      <c r="D20" s="6" t="s">
        <v>45</v>
      </c>
      <c r="E20" s="6" t="s">
        <v>52</v>
      </c>
      <c r="F20" s="6" t="s">
        <v>100</v>
      </c>
      <c r="G20" s="6" t="s">
        <v>101</v>
      </c>
      <c r="H20" s="6">
        <v>2</v>
      </c>
      <c r="I20" s="6" t="s">
        <v>117</v>
      </c>
      <c r="J20" s="6" t="s">
        <v>118</v>
      </c>
      <c r="K20" s="6" t="s">
        <v>119</v>
      </c>
      <c r="L20" s="6" t="s">
        <v>42</v>
      </c>
      <c r="M20" s="6" t="s">
        <v>34</v>
      </c>
    </row>
    <row r="21" spans="1:13">
      <c r="A21" s="6" t="s">
        <v>120</v>
      </c>
      <c r="B21" s="7">
        <v>46187</v>
      </c>
      <c r="C21" s="6" t="s">
        <v>121</v>
      </c>
      <c r="D21" s="6" t="s">
        <v>105</v>
      </c>
      <c r="E21" s="6" t="s">
        <v>46</v>
      </c>
      <c r="F21" s="6" t="s">
        <v>53</v>
      </c>
      <c r="G21" s="6" t="s">
        <v>54</v>
      </c>
      <c r="H21" s="6">
        <v>1</v>
      </c>
      <c r="I21" s="6" t="s">
        <v>31</v>
      </c>
      <c r="J21" s="6" t="s">
        <v>31</v>
      </c>
      <c r="K21" s="6" t="s">
        <v>122</v>
      </c>
      <c r="L21" s="6" t="s">
        <v>42</v>
      </c>
      <c r="M21" s="6" t="s">
        <v>34</v>
      </c>
    </row>
    <row r="22" spans="1:13">
      <c r="A22" s="6" t="s">
        <v>123</v>
      </c>
      <c r="B22" s="7">
        <v>46109</v>
      </c>
      <c r="C22" s="6" t="s">
        <v>124</v>
      </c>
      <c r="D22" s="6" t="s">
        <v>27</v>
      </c>
      <c r="E22" s="6" t="s">
        <v>28</v>
      </c>
      <c r="F22" s="6" t="s">
        <v>53</v>
      </c>
      <c r="G22" s="6" t="s">
        <v>54</v>
      </c>
      <c r="H22" s="6">
        <v>1</v>
      </c>
      <c r="I22" s="6" t="s">
        <v>67</v>
      </c>
      <c r="J22" s="6" t="s">
        <v>67</v>
      </c>
      <c r="K22" s="6">
        <v>190</v>
      </c>
      <c r="L22" s="6" t="s">
        <v>42</v>
      </c>
      <c r="M22" s="6" t="s">
        <v>34</v>
      </c>
    </row>
    <row r="23" spans="1:13">
      <c r="A23" s="6" t="s">
        <v>125</v>
      </c>
      <c r="B23" s="7">
        <v>46081</v>
      </c>
      <c r="C23" s="6" t="s">
        <v>126</v>
      </c>
      <c r="D23" s="6" t="s">
        <v>127</v>
      </c>
      <c r="E23" s="6" t="s">
        <v>46</v>
      </c>
      <c r="F23" s="6" t="s">
        <v>58</v>
      </c>
      <c r="G23" s="6" t="s">
        <v>59</v>
      </c>
      <c r="H23" s="6">
        <v>2</v>
      </c>
      <c r="I23" s="6" t="s">
        <v>117</v>
      </c>
      <c r="J23" s="6" t="s">
        <v>118</v>
      </c>
      <c r="K23" s="6">
        <v>380</v>
      </c>
      <c r="L23" s="6" t="s">
        <v>42</v>
      </c>
      <c r="M23" s="6" t="s">
        <v>34</v>
      </c>
    </row>
    <row r="24" spans="1:13">
      <c r="A24" s="6" t="s">
        <v>128</v>
      </c>
      <c r="B24" s="7">
        <v>46069</v>
      </c>
      <c r="C24" s="6" t="s">
        <v>129</v>
      </c>
      <c r="D24" s="6" t="s">
        <v>105</v>
      </c>
      <c r="E24" s="6" t="s">
        <v>37</v>
      </c>
      <c r="F24" s="6" t="s">
        <v>47</v>
      </c>
      <c r="G24" s="6" t="s">
        <v>48</v>
      </c>
      <c r="H24" s="6">
        <v>1</v>
      </c>
      <c r="I24" s="6" t="s">
        <v>60</v>
      </c>
      <c r="J24" s="6" t="s">
        <v>60</v>
      </c>
      <c r="K24" s="6">
        <v>85</v>
      </c>
      <c r="L24" s="6" t="s">
        <v>42</v>
      </c>
      <c r="M24" s="6" t="s">
        <v>34</v>
      </c>
    </row>
    <row r="25" spans="1:13">
      <c r="A25" s="6" t="s">
        <v>130</v>
      </c>
      <c r="B25" s="6" t="s">
        <v>131</v>
      </c>
      <c r="C25" s="6" t="s">
        <v>132</v>
      </c>
      <c r="D25" s="6" t="s">
        <v>72</v>
      </c>
      <c r="E25" s="6" t="s">
        <v>52</v>
      </c>
      <c r="F25" s="6" t="s">
        <v>94</v>
      </c>
      <c r="G25" s="6" t="s">
        <v>95</v>
      </c>
      <c r="H25" s="6">
        <v>1</v>
      </c>
      <c r="I25" s="6" t="s">
        <v>60</v>
      </c>
      <c r="J25" s="6" t="s">
        <v>60</v>
      </c>
      <c r="K25" s="6">
        <v>340</v>
      </c>
      <c r="L25" s="6" t="s">
        <v>42</v>
      </c>
      <c r="M25" s="6" t="s">
        <v>34</v>
      </c>
    </row>
    <row r="26" spans="1:13">
      <c r="A26" s="6" t="s">
        <v>133</v>
      </c>
      <c r="B26" s="7">
        <v>46113</v>
      </c>
      <c r="C26" s="6" t="s">
        <v>134</v>
      </c>
      <c r="D26" s="6" t="s">
        <v>77</v>
      </c>
      <c r="E26" s="6" t="s">
        <v>46</v>
      </c>
      <c r="F26" s="6" t="s">
        <v>85</v>
      </c>
      <c r="G26" s="6" t="s">
        <v>86</v>
      </c>
      <c r="H26" s="6">
        <v>-1</v>
      </c>
      <c r="I26" s="6" t="s">
        <v>90</v>
      </c>
      <c r="J26" s="8" t="s">
        <v>135</v>
      </c>
      <c r="K26" s="6">
        <v>410</v>
      </c>
      <c r="L26" s="6" t="s">
        <v>42</v>
      </c>
      <c r="M26" s="6" t="s">
        <v>34</v>
      </c>
    </row>
    <row r="27" spans="1:13">
      <c r="A27" s="6" t="s">
        <v>136</v>
      </c>
      <c r="B27" s="7">
        <v>46135</v>
      </c>
      <c r="C27" s="6" t="s">
        <v>137</v>
      </c>
      <c r="D27" s="6" t="s">
        <v>127</v>
      </c>
      <c r="E27" s="6" t="s">
        <v>52</v>
      </c>
      <c r="F27" s="6" t="s">
        <v>53</v>
      </c>
      <c r="G27" s="6" t="s">
        <v>54</v>
      </c>
      <c r="H27" s="6">
        <v>3</v>
      </c>
      <c r="I27" s="6" t="s">
        <v>113</v>
      </c>
      <c r="J27" s="6" t="s">
        <v>138</v>
      </c>
      <c r="K27" s="6" t="s">
        <v>122</v>
      </c>
      <c r="L27" s="6" t="s">
        <v>33</v>
      </c>
      <c r="M27" s="6" t="s">
        <v>34</v>
      </c>
    </row>
    <row r="28" spans="1:13">
      <c r="A28" s="6" t="s">
        <v>139</v>
      </c>
      <c r="B28" s="7">
        <v>46031</v>
      </c>
      <c r="C28" s="6" t="s">
        <v>140</v>
      </c>
      <c r="D28" s="6" t="s">
        <v>45</v>
      </c>
      <c r="E28" s="6" t="s">
        <v>28</v>
      </c>
      <c r="F28" s="6" t="s">
        <v>94</v>
      </c>
      <c r="G28" s="6" t="s">
        <v>95</v>
      </c>
      <c r="H28" s="6">
        <v>1</v>
      </c>
      <c r="I28" s="6" t="s">
        <v>60</v>
      </c>
      <c r="J28" s="6" t="s">
        <v>60</v>
      </c>
      <c r="K28" s="6">
        <v>340</v>
      </c>
      <c r="L28" s="6" t="s">
        <v>42</v>
      </c>
      <c r="M28" s="6" t="s">
        <v>69</v>
      </c>
    </row>
    <row r="29" spans="1:13">
      <c r="A29" s="6" t="s">
        <v>141</v>
      </c>
      <c r="B29" s="7">
        <v>46173</v>
      </c>
      <c r="C29" s="6" t="s">
        <v>142</v>
      </c>
      <c r="D29" s="6" t="s">
        <v>45</v>
      </c>
      <c r="E29" s="6" t="s">
        <v>37</v>
      </c>
      <c r="F29" s="6" t="s">
        <v>58</v>
      </c>
      <c r="G29" s="6" t="s">
        <v>59</v>
      </c>
      <c r="H29" s="6">
        <v>2</v>
      </c>
      <c r="I29" s="6" t="s">
        <v>143</v>
      </c>
      <c r="J29" s="6" t="s">
        <v>144</v>
      </c>
      <c r="K29" s="6" t="s">
        <v>61</v>
      </c>
      <c r="L29" s="6" t="s">
        <v>42</v>
      </c>
      <c r="M29" s="6" t="s">
        <v>34</v>
      </c>
    </row>
    <row r="30" spans="1:13">
      <c r="A30" s="6" t="s">
        <v>145</v>
      </c>
      <c r="B30" s="7">
        <v>46203</v>
      </c>
      <c r="C30" s="6" t="s">
        <v>146</v>
      </c>
      <c r="D30" s="6" t="s">
        <v>64</v>
      </c>
      <c r="E30" s="6" t="s">
        <v>28</v>
      </c>
      <c r="F30" s="6" t="s">
        <v>58</v>
      </c>
      <c r="G30" s="6" t="s">
        <v>59</v>
      </c>
      <c r="H30" s="6">
        <v>3</v>
      </c>
      <c r="I30" s="6" t="s">
        <v>147</v>
      </c>
      <c r="J30" s="6" t="s">
        <v>148</v>
      </c>
      <c r="K30" s="6" t="s">
        <v>61</v>
      </c>
      <c r="L30" s="6" t="s">
        <v>42</v>
      </c>
      <c r="M30" s="6" t="s">
        <v>34</v>
      </c>
    </row>
    <row r="31" spans="1:13">
      <c r="A31" s="6" t="s">
        <v>149</v>
      </c>
      <c r="B31" s="7">
        <v>46116</v>
      </c>
      <c r="C31" s="6" t="s">
        <v>150</v>
      </c>
      <c r="D31" s="6" t="s">
        <v>77</v>
      </c>
      <c r="E31" s="6" t="s">
        <v>37</v>
      </c>
      <c r="F31" s="6" t="s">
        <v>38</v>
      </c>
      <c r="G31" s="6" t="s">
        <v>39</v>
      </c>
      <c r="H31" s="6">
        <v>1</v>
      </c>
      <c r="I31" s="6" t="s">
        <v>151</v>
      </c>
      <c r="J31" s="6" t="s">
        <v>32</v>
      </c>
      <c r="K31" s="6">
        <v>520</v>
      </c>
      <c r="L31" s="6" t="s">
        <v>42</v>
      </c>
      <c r="M31" s="6" t="s">
        <v>34</v>
      </c>
    </row>
    <row r="32" spans="1:13">
      <c r="A32" s="6" t="s">
        <v>152</v>
      </c>
      <c r="B32" s="7">
        <v>46094</v>
      </c>
      <c r="C32" s="6" t="s">
        <v>153</v>
      </c>
      <c r="D32" s="6" t="s">
        <v>127</v>
      </c>
      <c r="E32" s="6" t="s">
        <v>78</v>
      </c>
      <c r="F32" s="6" t="s">
        <v>53</v>
      </c>
      <c r="G32" s="6" t="s">
        <v>54</v>
      </c>
      <c r="H32" s="6">
        <v>2</v>
      </c>
      <c r="I32" s="6" t="s">
        <v>90</v>
      </c>
      <c r="J32" s="6" t="s">
        <v>154</v>
      </c>
      <c r="K32" s="6">
        <v>190</v>
      </c>
      <c r="L32" s="6" t="s">
        <v>42</v>
      </c>
      <c r="M32" s="6" t="s">
        <v>34</v>
      </c>
    </row>
    <row r="33" spans="1:13">
      <c r="A33" s="6" t="s">
        <v>155</v>
      </c>
      <c r="B33" s="7">
        <v>46039</v>
      </c>
      <c r="C33" s="6" t="s">
        <v>156</v>
      </c>
      <c r="D33" s="6" t="s">
        <v>45</v>
      </c>
      <c r="E33" s="6" t="s">
        <v>37</v>
      </c>
      <c r="F33" s="6" t="s">
        <v>100</v>
      </c>
      <c r="G33" s="6" t="s">
        <v>101</v>
      </c>
      <c r="H33" s="6">
        <v>1</v>
      </c>
      <c r="I33" s="6" t="s">
        <v>40</v>
      </c>
      <c r="J33" s="6" t="s">
        <v>40</v>
      </c>
      <c r="K33" s="6">
        <v>640</v>
      </c>
      <c r="L33" s="6" t="s">
        <v>42</v>
      </c>
      <c r="M33" s="6" t="s">
        <v>34</v>
      </c>
    </row>
    <row r="34" spans="1:13">
      <c r="A34" s="6" t="s">
        <v>157</v>
      </c>
      <c r="B34" s="7">
        <v>46113</v>
      </c>
      <c r="C34" s="6" t="s">
        <v>158</v>
      </c>
      <c r="D34" s="6" t="s">
        <v>45</v>
      </c>
      <c r="E34" s="6" t="s">
        <v>52</v>
      </c>
      <c r="F34" s="6" t="s">
        <v>94</v>
      </c>
      <c r="G34" s="6" t="s">
        <v>95</v>
      </c>
      <c r="H34" s="6">
        <v>-2</v>
      </c>
      <c r="I34" s="6" t="s">
        <v>31</v>
      </c>
      <c r="J34" s="8" t="s">
        <v>159</v>
      </c>
      <c r="K34" s="6">
        <v>340</v>
      </c>
      <c r="L34" s="6" t="s">
        <v>42</v>
      </c>
      <c r="M34" s="6" t="s">
        <v>34</v>
      </c>
    </row>
    <row r="35" spans="1:13">
      <c r="A35" s="6" t="s">
        <v>160</v>
      </c>
      <c r="B35" s="7">
        <v>46068</v>
      </c>
      <c r="C35" s="6" t="s">
        <v>161</v>
      </c>
      <c r="D35" s="6" t="s">
        <v>110</v>
      </c>
      <c r="E35" s="6" t="s">
        <v>46</v>
      </c>
      <c r="F35" s="6" t="s">
        <v>100</v>
      </c>
      <c r="G35" s="6" t="s">
        <v>101</v>
      </c>
      <c r="H35" s="6">
        <v>2</v>
      </c>
      <c r="I35" s="6" t="s">
        <v>162</v>
      </c>
      <c r="J35" s="6" t="s">
        <v>163</v>
      </c>
      <c r="K35" s="6">
        <v>640</v>
      </c>
      <c r="L35" s="6" t="s">
        <v>33</v>
      </c>
      <c r="M35" s="6" t="s">
        <v>34</v>
      </c>
    </row>
    <row r="36" spans="1:13">
      <c r="A36" s="6" t="s">
        <v>164</v>
      </c>
      <c r="B36" s="7">
        <v>46152</v>
      </c>
      <c r="C36" s="6" t="s">
        <v>165</v>
      </c>
      <c r="D36" s="6" t="s">
        <v>45</v>
      </c>
      <c r="E36" s="6" t="s">
        <v>52</v>
      </c>
      <c r="F36" s="6" t="s">
        <v>100</v>
      </c>
      <c r="G36" s="6" t="s">
        <v>101</v>
      </c>
      <c r="H36" s="6">
        <v>2</v>
      </c>
      <c r="I36" s="6" t="s">
        <v>166</v>
      </c>
      <c r="J36" s="6" t="s">
        <v>167</v>
      </c>
      <c r="K36" s="6" t="s">
        <v>119</v>
      </c>
      <c r="L36" s="6" t="s">
        <v>42</v>
      </c>
      <c r="M36" s="6" t="s">
        <v>34</v>
      </c>
    </row>
    <row r="37" spans="1:13">
      <c r="A37" s="6" t="s">
        <v>168</v>
      </c>
      <c r="B37" s="6" t="s">
        <v>169</v>
      </c>
      <c r="C37" s="6" t="s">
        <v>170</v>
      </c>
      <c r="D37" s="6" t="s">
        <v>45</v>
      </c>
      <c r="E37" s="6" t="s">
        <v>52</v>
      </c>
      <c r="F37" s="6" t="s">
        <v>85</v>
      </c>
      <c r="G37" s="6" t="s">
        <v>86</v>
      </c>
      <c r="H37" s="6">
        <v>3</v>
      </c>
      <c r="I37" s="6" t="s">
        <v>117</v>
      </c>
      <c r="J37" s="6" t="s">
        <v>171</v>
      </c>
      <c r="K37" s="6">
        <v>410</v>
      </c>
      <c r="L37" s="6" t="s">
        <v>42</v>
      </c>
      <c r="M37" s="6" t="s">
        <v>34</v>
      </c>
    </row>
    <row r="38" spans="1:13">
      <c r="A38" s="6" t="s">
        <v>172</v>
      </c>
      <c r="B38" s="6" t="s">
        <v>173</v>
      </c>
      <c r="C38" s="6" t="s">
        <v>174</v>
      </c>
      <c r="D38" s="6" t="s">
        <v>45</v>
      </c>
      <c r="E38" s="6" t="s">
        <v>28</v>
      </c>
      <c r="F38" s="6" t="s">
        <v>85</v>
      </c>
      <c r="G38" s="6" t="s">
        <v>86</v>
      </c>
      <c r="H38" s="6">
        <v>2</v>
      </c>
      <c r="I38" s="6" t="s">
        <v>147</v>
      </c>
      <c r="J38" s="6" t="s">
        <v>175</v>
      </c>
      <c r="K38" s="6" t="s">
        <v>87</v>
      </c>
      <c r="L38" s="6" t="s">
        <v>42</v>
      </c>
      <c r="M38" s="6" t="s">
        <v>69</v>
      </c>
    </row>
    <row r="39" spans="1:13">
      <c r="A39" s="6" t="s">
        <v>176</v>
      </c>
      <c r="B39" s="7">
        <v>46111</v>
      </c>
      <c r="C39" s="6" t="s">
        <v>177</v>
      </c>
      <c r="D39" s="6" t="s">
        <v>72</v>
      </c>
      <c r="E39" s="6" t="s">
        <v>78</v>
      </c>
      <c r="F39" s="6" t="s">
        <v>85</v>
      </c>
      <c r="G39" s="6" t="s">
        <v>86</v>
      </c>
      <c r="H39" s="6">
        <v>1</v>
      </c>
      <c r="I39" s="6" t="s">
        <v>117</v>
      </c>
      <c r="J39" s="6" t="s">
        <v>117</v>
      </c>
      <c r="K39" s="6">
        <v>410</v>
      </c>
      <c r="L39" s="6" t="s">
        <v>42</v>
      </c>
      <c r="M39" s="6" t="s">
        <v>69</v>
      </c>
    </row>
    <row r="40" spans="1:13">
      <c r="A40" s="6" t="s">
        <v>178</v>
      </c>
      <c r="B40" s="6" t="s">
        <v>179</v>
      </c>
      <c r="C40" s="6" t="s">
        <v>180</v>
      </c>
      <c r="D40" s="6" t="s">
        <v>77</v>
      </c>
      <c r="E40" s="6" t="s">
        <v>78</v>
      </c>
      <c r="F40" s="6" t="s">
        <v>47</v>
      </c>
      <c r="G40" s="6" t="s">
        <v>48</v>
      </c>
      <c r="H40" s="6">
        <v>1</v>
      </c>
      <c r="I40" s="6" t="s">
        <v>181</v>
      </c>
      <c r="J40" s="6" t="s">
        <v>181</v>
      </c>
      <c r="K40" s="6">
        <v>85</v>
      </c>
      <c r="L40" s="6" t="s">
        <v>42</v>
      </c>
      <c r="M40" s="6" t="s">
        <v>34</v>
      </c>
    </row>
    <row r="41" spans="1:13">
      <c r="A41" s="6" t="s">
        <v>182</v>
      </c>
      <c r="B41" s="6" t="s">
        <v>183</v>
      </c>
      <c r="C41" s="6" t="s">
        <v>184</v>
      </c>
      <c r="D41" s="6" t="s">
        <v>105</v>
      </c>
      <c r="E41" s="6" t="s">
        <v>52</v>
      </c>
      <c r="F41" s="6" t="s">
        <v>53</v>
      </c>
      <c r="G41" s="6" t="s">
        <v>54</v>
      </c>
      <c r="H41" s="6">
        <v>1</v>
      </c>
      <c r="I41" s="6" t="s">
        <v>82</v>
      </c>
      <c r="J41" s="6" t="s">
        <v>82</v>
      </c>
      <c r="K41" s="6" t="s">
        <v>122</v>
      </c>
      <c r="L41" s="6" t="s">
        <v>42</v>
      </c>
      <c r="M41" s="6" t="s">
        <v>34</v>
      </c>
    </row>
    <row r="42" spans="1:13">
      <c r="A42" s="6" t="s">
        <v>185</v>
      </c>
      <c r="B42" s="7">
        <v>46193</v>
      </c>
      <c r="C42" s="6" t="s">
        <v>186</v>
      </c>
      <c r="D42" s="6" t="s">
        <v>77</v>
      </c>
      <c r="E42" s="6" t="s">
        <v>52</v>
      </c>
      <c r="F42" s="6" t="s">
        <v>85</v>
      </c>
      <c r="G42" s="6" t="s">
        <v>86</v>
      </c>
      <c r="H42" s="6">
        <v>3</v>
      </c>
      <c r="I42" s="6" t="s">
        <v>147</v>
      </c>
      <c r="J42" s="6" t="s">
        <v>148</v>
      </c>
      <c r="K42" s="6" t="s">
        <v>87</v>
      </c>
      <c r="L42" s="6" t="s">
        <v>42</v>
      </c>
      <c r="M42" s="6" t="s">
        <v>34</v>
      </c>
    </row>
    <row r="43" spans="1:13">
      <c r="A43" s="6" t="s">
        <v>187</v>
      </c>
      <c r="B43" s="7">
        <v>46169</v>
      </c>
      <c r="C43" s="6" t="s">
        <v>188</v>
      </c>
      <c r="D43" s="6" t="s">
        <v>45</v>
      </c>
      <c r="E43" s="6" t="s">
        <v>37</v>
      </c>
      <c r="F43" s="6" t="s">
        <v>100</v>
      </c>
      <c r="G43" s="6" t="s">
        <v>101</v>
      </c>
      <c r="H43" s="6">
        <v>2</v>
      </c>
      <c r="I43" s="6" t="s">
        <v>60</v>
      </c>
      <c r="J43" s="6" t="s">
        <v>189</v>
      </c>
      <c r="K43" s="6" t="s">
        <v>119</v>
      </c>
      <c r="L43" s="6" t="s">
        <v>33</v>
      </c>
      <c r="M43" s="6" t="s">
        <v>69</v>
      </c>
    </row>
    <row r="44" spans="1:13">
      <c r="A44" s="6" t="s">
        <v>190</v>
      </c>
      <c r="B44" s="7">
        <v>46056</v>
      </c>
      <c r="C44" s="6" t="s">
        <v>191</v>
      </c>
      <c r="D44" s="6" t="s">
        <v>110</v>
      </c>
      <c r="E44" s="6" t="s">
        <v>46</v>
      </c>
      <c r="F44" s="6" t="s">
        <v>58</v>
      </c>
      <c r="G44" s="6" t="s">
        <v>59</v>
      </c>
      <c r="H44" s="6">
        <v>2</v>
      </c>
      <c r="I44" s="6" t="s">
        <v>113</v>
      </c>
      <c r="J44" s="6" t="s">
        <v>192</v>
      </c>
      <c r="K44" s="6">
        <v>380</v>
      </c>
      <c r="L44" s="6" t="s">
        <v>42</v>
      </c>
      <c r="M44" s="6" t="s">
        <v>34</v>
      </c>
    </row>
    <row r="45" spans="1:13">
      <c r="A45" s="6" t="s">
        <v>193</v>
      </c>
      <c r="B45" s="7">
        <v>46041</v>
      </c>
      <c r="C45" s="6" t="s">
        <v>194</v>
      </c>
      <c r="D45" s="6" t="s">
        <v>45</v>
      </c>
      <c r="E45" s="6" t="s">
        <v>46</v>
      </c>
      <c r="F45" s="6" t="s">
        <v>94</v>
      </c>
      <c r="G45" s="6" t="s">
        <v>95</v>
      </c>
      <c r="H45" s="6">
        <v>1</v>
      </c>
      <c r="I45" s="6" t="s">
        <v>195</v>
      </c>
      <c r="J45" s="6" t="s">
        <v>181</v>
      </c>
      <c r="K45" s="6">
        <v>340</v>
      </c>
      <c r="L45" s="6" t="s">
        <v>42</v>
      </c>
      <c r="M45" s="6" t="s">
        <v>34</v>
      </c>
    </row>
    <row r="46" spans="1:13">
      <c r="A46" s="6" t="s">
        <v>196</v>
      </c>
      <c r="B46" s="6" t="s">
        <v>197</v>
      </c>
      <c r="C46" s="6" t="s">
        <v>198</v>
      </c>
      <c r="D46" s="6" t="s">
        <v>45</v>
      </c>
      <c r="E46" s="6" t="s">
        <v>28</v>
      </c>
      <c r="F46" s="6" t="s">
        <v>94</v>
      </c>
      <c r="G46" s="6" t="s">
        <v>95</v>
      </c>
      <c r="H46" s="6">
        <v>3</v>
      </c>
      <c r="I46" s="6" t="s">
        <v>90</v>
      </c>
      <c r="J46" s="6" t="s">
        <v>102</v>
      </c>
      <c r="K46" s="6" t="s">
        <v>114</v>
      </c>
      <c r="L46" s="6" t="s">
        <v>42</v>
      </c>
      <c r="M46" s="6" t="s">
        <v>34</v>
      </c>
    </row>
    <row r="47" spans="1:13">
      <c r="A47" s="6" t="s">
        <v>199</v>
      </c>
      <c r="B47" s="7">
        <v>46163</v>
      </c>
      <c r="C47" s="6" t="s">
        <v>200</v>
      </c>
      <c r="D47" s="6" t="s">
        <v>72</v>
      </c>
      <c r="E47" s="6" t="s">
        <v>78</v>
      </c>
      <c r="F47" s="6" t="s">
        <v>85</v>
      </c>
      <c r="G47" s="6" t="s">
        <v>86</v>
      </c>
      <c r="H47" s="6">
        <v>2</v>
      </c>
      <c r="I47" s="6" t="s">
        <v>90</v>
      </c>
      <c r="J47" s="6" t="s">
        <v>154</v>
      </c>
      <c r="K47" s="6" t="s">
        <v>87</v>
      </c>
      <c r="L47" s="6" t="s">
        <v>42</v>
      </c>
      <c r="M47" s="6" t="s">
        <v>34</v>
      </c>
    </row>
    <row r="48" spans="1:13">
      <c r="A48" s="6" t="s">
        <v>201</v>
      </c>
      <c r="B48" s="7">
        <v>46105</v>
      </c>
      <c r="C48" s="6" t="s">
        <v>202</v>
      </c>
      <c r="D48" s="6" t="s">
        <v>45</v>
      </c>
      <c r="E48" s="6" t="s">
        <v>28</v>
      </c>
      <c r="F48" s="6" t="s">
        <v>100</v>
      </c>
      <c r="G48" s="6" t="s">
        <v>101</v>
      </c>
      <c r="H48" s="6">
        <v>2</v>
      </c>
      <c r="I48" s="6" t="s">
        <v>203</v>
      </c>
      <c r="J48" s="6" t="s">
        <v>204</v>
      </c>
      <c r="K48" s="6">
        <v>640</v>
      </c>
      <c r="L48" s="6" t="s">
        <v>42</v>
      </c>
      <c r="M48" s="6" t="s">
        <v>69</v>
      </c>
    </row>
    <row r="49" spans="1:13">
      <c r="A49" s="6" t="s">
        <v>205</v>
      </c>
      <c r="B49" s="7">
        <v>46101</v>
      </c>
      <c r="C49" s="6" t="s">
        <v>206</v>
      </c>
      <c r="D49" s="6" t="s">
        <v>72</v>
      </c>
      <c r="E49" s="6" t="s">
        <v>78</v>
      </c>
      <c r="F49" s="6" t="s">
        <v>85</v>
      </c>
      <c r="G49" s="6" t="s">
        <v>86</v>
      </c>
      <c r="H49" s="6">
        <v>1</v>
      </c>
      <c r="I49" s="6" t="s">
        <v>113</v>
      </c>
      <c r="J49" s="6" t="s">
        <v>113</v>
      </c>
      <c r="K49" s="6">
        <v>410</v>
      </c>
      <c r="L49" s="6" t="s">
        <v>42</v>
      </c>
      <c r="M49" s="6" t="s">
        <v>34</v>
      </c>
    </row>
    <row r="50" spans="1:13">
      <c r="A50" s="6" t="s">
        <v>207</v>
      </c>
      <c r="B50" s="7">
        <v>46036</v>
      </c>
      <c r="C50" s="6" t="s">
        <v>208</v>
      </c>
      <c r="D50" s="6" t="s">
        <v>127</v>
      </c>
      <c r="E50" s="6" t="s">
        <v>46</v>
      </c>
      <c r="F50" s="6" t="s">
        <v>94</v>
      </c>
      <c r="G50" s="6" t="s">
        <v>95</v>
      </c>
      <c r="H50" s="6">
        <v>1</v>
      </c>
      <c r="I50" s="6" t="s">
        <v>82</v>
      </c>
      <c r="J50" s="6" t="s">
        <v>82</v>
      </c>
      <c r="K50" s="6">
        <v>340</v>
      </c>
      <c r="L50" s="6" t="s">
        <v>33</v>
      </c>
      <c r="M50" s="6" t="s">
        <v>34</v>
      </c>
    </row>
    <row r="51" spans="1:13">
      <c r="A51" s="6" t="s">
        <v>209</v>
      </c>
      <c r="B51" s="7">
        <v>46037</v>
      </c>
      <c r="C51" s="6" t="s">
        <v>210</v>
      </c>
      <c r="D51" s="6" t="s">
        <v>72</v>
      </c>
      <c r="E51" s="6" t="s">
        <v>28</v>
      </c>
      <c r="F51" s="6" t="s">
        <v>94</v>
      </c>
      <c r="G51" s="6" t="s">
        <v>95</v>
      </c>
      <c r="H51" s="6">
        <v>2</v>
      </c>
      <c r="I51" s="6" t="s">
        <v>113</v>
      </c>
      <c r="J51" s="6" t="s">
        <v>192</v>
      </c>
      <c r="K51" s="6">
        <v>340</v>
      </c>
      <c r="L51" s="6" t="s">
        <v>42</v>
      </c>
      <c r="M51" s="6" t="s">
        <v>34</v>
      </c>
    </row>
    <row r="52" spans="1:13">
      <c r="A52" s="6" t="s">
        <v>211</v>
      </c>
      <c r="B52" s="7">
        <v>46155</v>
      </c>
      <c r="C52" s="6" t="s">
        <v>212</v>
      </c>
      <c r="D52" s="6" t="s">
        <v>110</v>
      </c>
      <c r="E52" s="6" t="s">
        <v>52</v>
      </c>
      <c r="F52" s="6" t="s">
        <v>53</v>
      </c>
      <c r="G52" s="6" t="s">
        <v>54</v>
      </c>
      <c r="H52" s="6">
        <v>-1</v>
      </c>
      <c r="I52" s="6" t="s">
        <v>117</v>
      </c>
      <c r="J52" s="8" t="s">
        <v>213</v>
      </c>
      <c r="K52" s="6" t="s">
        <v>122</v>
      </c>
      <c r="L52" s="6" t="s">
        <v>42</v>
      </c>
      <c r="M52" s="6" t="s">
        <v>34</v>
      </c>
    </row>
    <row r="53" spans="1:13">
      <c r="A53" s="6" t="s">
        <v>214</v>
      </c>
      <c r="B53" s="7">
        <v>46192</v>
      </c>
      <c r="C53" s="6" t="s">
        <v>215</v>
      </c>
      <c r="D53" s="6" t="s">
        <v>57</v>
      </c>
      <c r="E53" s="6" t="s">
        <v>37</v>
      </c>
      <c r="F53" s="6" t="s">
        <v>47</v>
      </c>
      <c r="G53" s="6" t="s">
        <v>48</v>
      </c>
      <c r="H53" s="6">
        <v>3</v>
      </c>
      <c r="I53" s="6" t="s">
        <v>79</v>
      </c>
      <c r="J53" s="6" t="s">
        <v>216</v>
      </c>
      <c r="K53" s="6" t="s">
        <v>49</v>
      </c>
      <c r="L53" s="6" t="s">
        <v>42</v>
      </c>
      <c r="M53" s="6" t="s">
        <v>34</v>
      </c>
    </row>
    <row r="54" spans="1:13">
      <c r="A54" s="6" t="s">
        <v>217</v>
      </c>
      <c r="B54" s="7">
        <v>46153</v>
      </c>
      <c r="C54" s="6" t="s">
        <v>36</v>
      </c>
      <c r="D54" s="6" t="s">
        <v>45</v>
      </c>
      <c r="E54" s="6" t="s">
        <v>46</v>
      </c>
      <c r="F54" s="6" t="s">
        <v>94</v>
      </c>
      <c r="G54" s="6" t="s">
        <v>95</v>
      </c>
      <c r="H54" s="6">
        <v>2</v>
      </c>
      <c r="I54" s="6" t="s">
        <v>67</v>
      </c>
      <c r="J54" s="6" t="s">
        <v>204</v>
      </c>
      <c r="K54" s="6" t="s">
        <v>114</v>
      </c>
      <c r="L54" s="6" t="s">
        <v>33</v>
      </c>
      <c r="M54" s="6" t="s">
        <v>34</v>
      </c>
    </row>
    <row r="55" spans="1:13">
      <c r="A55" s="6" t="s">
        <v>218</v>
      </c>
      <c r="B55" s="7">
        <v>46168</v>
      </c>
      <c r="C55" s="6" t="s">
        <v>219</v>
      </c>
      <c r="D55" s="6" t="s">
        <v>45</v>
      </c>
      <c r="E55" s="6" t="s">
        <v>52</v>
      </c>
      <c r="F55" s="6" t="s">
        <v>85</v>
      </c>
      <c r="G55" s="6" t="s">
        <v>86</v>
      </c>
      <c r="H55" s="6">
        <v>3</v>
      </c>
      <c r="I55" s="6" t="s">
        <v>79</v>
      </c>
      <c r="J55" s="6" t="s">
        <v>216</v>
      </c>
      <c r="K55" s="6" t="s">
        <v>87</v>
      </c>
      <c r="L55" s="6" t="s">
        <v>42</v>
      </c>
      <c r="M55" s="6" t="s">
        <v>69</v>
      </c>
    </row>
    <row r="56" spans="1:13">
      <c r="A56" s="6" t="s">
        <v>220</v>
      </c>
      <c r="B56" s="7">
        <v>46038</v>
      </c>
      <c r="C56" s="6" t="s">
        <v>221</v>
      </c>
      <c r="D56" s="6" t="s">
        <v>105</v>
      </c>
      <c r="E56" s="6" t="s">
        <v>28</v>
      </c>
      <c r="F56" s="6" t="s">
        <v>58</v>
      </c>
      <c r="G56" s="6" t="s">
        <v>59</v>
      </c>
      <c r="H56" s="6">
        <v>1</v>
      </c>
      <c r="I56" s="6" t="s">
        <v>147</v>
      </c>
      <c r="J56" s="6" t="s">
        <v>147</v>
      </c>
      <c r="K56" s="6">
        <v>380</v>
      </c>
      <c r="L56" s="6" t="s">
        <v>42</v>
      </c>
      <c r="M56" s="6" t="s">
        <v>34</v>
      </c>
    </row>
    <row r="57" spans="1:13">
      <c r="A57" s="6" t="s">
        <v>222</v>
      </c>
      <c r="B57" s="7">
        <v>46119</v>
      </c>
      <c r="C57" s="6" t="s">
        <v>223</v>
      </c>
      <c r="D57" s="6" t="s">
        <v>45</v>
      </c>
      <c r="E57" s="6" t="s">
        <v>78</v>
      </c>
      <c r="F57" s="6" t="s">
        <v>38</v>
      </c>
      <c r="G57" s="6" t="s">
        <v>39</v>
      </c>
      <c r="H57" s="6">
        <v>2</v>
      </c>
      <c r="I57" s="6" t="s">
        <v>147</v>
      </c>
      <c r="J57" s="6" t="s">
        <v>175</v>
      </c>
      <c r="K57" s="6">
        <v>520</v>
      </c>
      <c r="L57" s="6" t="s">
        <v>42</v>
      </c>
      <c r="M57" s="6" t="s">
        <v>34</v>
      </c>
    </row>
    <row r="58" spans="1:13">
      <c r="A58" s="6" t="s">
        <v>224</v>
      </c>
      <c r="B58" s="7">
        <v>46136</v>
      </c>
      <c r="C58" s="6" t="s">
        <v>225</v>
      </c>
      <c r="D58" s="6" t="s">
        <v>105</v>
      </c>
      <c r="E58" s="6" t="s">
        <v>52</v>
      </c>
      <c r="F58" s="6" t="s">
        <v>29</v>
      </c>
      <c r="G58" s="6" t="s">
        <v>30</v>
      </c>
      <c r="H58" s="6">
        <v>2</v>
      </c>
      <c r="I58" s="6" t="s">
        <v>82</v>
      </c>
      <c r="J58" s="6" t="s">
        <v>204</v>
      </c>
      <c r="K58" s="6" t="s">
        <v>41</v>
      </c>
      <c r="L58" s="6" t="s">
        <v>42</v>
      </c>
      <c r="M58" s="6" t="s">
        <v>34</v>
      </c>
    </row>
    <row r="59" spans="1:13">
      <c r="A59" s="6" t="s">
        <v>226</v>
      </c>
      <c r="B59" s="7">
        <v>46087</v>
      </c>
      <c r="C59" s="6" t="s">
        <v>227</v>
      </c>
      <c r="D59" s="6" t="s">
        <v>72</v>
      </c>
      <c r="E59" s="6" t="s">
        <v>28</v>
      </c>
      <c r="F59" s="6" t="s">
        <v>38</v>
      </c>
      <c r="G59" s="6" t="s">
        <v>39</v>
      </c>
      <c r="H59" s="6">
        <v>1</v>
      </c>
      <c r="I59" s="6" t="s">
        <v>228</v>
      </c>
      <c r="J59" s="6" t="s">
        <v>96</v>
      </c>
      <c r="K59" s="6">
        <v>520</v>
      </c>
      <c r="L59" s="6" t="s">
        <v>33</v>
      </c>
      <c r="M59" s="6" t="s">
        <v>34</v>
      </c>
    </row>
    <row r="60" spans="1:13">
      <c r="A60" s="6" t="s">
        <v>229</v>
      </c>
      <c r="B60" s="7">
        <v>46150</v>
      </c>
      <c r="C60" s="6" t="s">
        <v>230</v>
      </c>
      <c r="D60" s="6" t="s">
        <v>57</v>
      </c>
      <c r="E60" s="6" t="s">
        <v>28</v>
      </c>
      <c r="F60" s="6" t="s">
        <v>100</v>
      </c>
      <c r="G60" s="6" t="s">
        <v>101</v>
      </c>
      <c r="H60" s="6">
        <v>2</v>
      </c>
      <c r="I60" s="6" t="s">
        <v>231</v>
      </c>
      <c r="J60" s="6" t="s">
        <v>232</v>
      </c>
      <c r="K60" s="6" t="s">
        <v>119</v>
      </c>
      <c r="L60" s="6" t="s">
        <v>42</v>
      </c>
      <c r="M60" s="6" t="s">
        <v>34</v>
      </c>
    </row>
    <row r="61" spans="1:13">
      <c r="A61" s="6" t="s">
        <v>233</v>
      </c>
      <c r="B61" s="7">
        <v>46201</v>
      </c>
      <c r="C61" s="6" t="s">
        <v>234</v>
      </c>
      <c r="D61" s="6" t="s">
        <v>45</v>
      </c>
      <c r="E61" s="6" t="s">
        <v>52</v>
      </c>
      <c r="F61" s="6" t="s">
        <v>38</v>
      </c>
      <c r="G61" s="6" t="s">
        <v>39</v>
      </c>
      <c r="H61" s="6">
        <v>1</v>
      </c>
      <c r="I61" s="6" t="s">
        <v>67</v>
      </c>
      <c r="J61" s="6" t="s">
        <v>67</v>
      </c>
      <c r="K61" s="6" t="s">
        <v>41</v>
      </c>
      <c r="L61" s="6" t="s">
        <v>33</v>
      </c>
      <c r="M61" s="6" t="s">
        <v>34</v>
      </c>
    </row>
    <row r="62" spans="1:13">
      <c r="A62" s="6" t="s">
        <v>235</v>
      </c>
      <c r="B62" s="7">
        <v>46205</v>
      </c>
      <c r="C62" s="6" t="s">
        <v>236</v>
      </c>
      <c r="D62" s="6" t="s">
        <v>77</v>
      </c>
      <c r="E62" s="6" t="s">
        <v>28</v>
      </c>
      <c r="F62" s="6" t="s">
        <v>47</v>
      </c>
      <c r="G62" s="6" t="s">
        <v>48</v>
      </c>
      <c r="H62" s="6">
        <v>2</v>
      </c>
      <c r="I62" s="6" t="s">
        <v>231</v>
      </c>
      <c r="J62" s="6" t="s">
        <v>232</v>
      </c>
      <c r="K62" s="6" t="s">
        <v>49</v>
      </c>
      <c r="L62" s="6" t="s">
        <v>42</v>
      </c>
      <c r="M62" s="6" t="s">
        <v>69</v>
      </c>
    </row>
    <row r="63" spans="1:13">
      <c r="A63" s="6" t="s">
        <v>237</v>
      </c>
      <c r="B63" s="7">
        <v>46143</v>
      </c>
      <c r="C63" s="6" t="s">
        <v>238</v>
      </c>
      <c r="D63" s="6" t="s">
        <v>105</v>
      </c>
      <c r="E63" s="6" t="s">
        <v>52</v>
      </c>
      <c r="F63" s="6" t="s">
        <v>29</v>
      </c>
      <c r="G63" s="6" t="s">
        <v>30</v>
      </c>
      <c r="H63" s="6">
        <v>2</v>
      </c>
      <c r="I63" s="6" t="s">
        <v>67</v>
      </c>
      <c r="J63" s="6" t="s">
        <v>204</v>
      </c>
      <c r="K63" s="6" t="s">
        <v>41</v>
      </c>
      <c r="L63" s="6" t="s">
        <v>42</v>
      </c>
      <c r="M63" s="6" t="s">
        <v>34</v>
      </c>
    </row>
    <row r="64" spans="1:13">
      <c r="A64" s="6" t="s">
        <v>239</v>
      </c>
      <c r="B64" s="7">
        <v>46042</v>
      </c>
      <c r="C64" s="6" t="s">
        <v>240</v>
      </c>
      <c r="D64" s="6" t="s">
        <v>127</v>
      </c>
      <c r="E64" s="6" t="s">
        <v>52</v>
      </c>
      <c r="F64" s="6" t="s">
        <v>94</v>
      </c>
      <c r="G64" s="6" t="s">
        <v>95</v>
      </c>
      <c r="H64" s="6">
        <v>3</v>
      </c>
      <c r="I64" s="6" t="s">
        <v>147</v>
      </c>
      <c r="J64" s="6" t="s">
        <v>148</v>
      </c>
      <c r="K64" s="6">
        <v>340</v>
      </c>
      <c r="L64" s="6" t="s">
        <v>42</v>
      </c>
      <c r="M64" s="6" t="s">
        <v>34</v>
      </c>
    </row>
    <row r="65" spans="1:13">
      <c r="A65" s="6" t="s">
        <v>241</v>
      </c>
      <c r="B65" s="7">
        <v>46063</v>
      </c>
      <c r="C65" s="6" t="s">
        <v>242</v>
      </c>
      <c r="D65" s="6" t="s">
        <v>77</v>
      </c>
      <c r="E65" s="6" t="s">
        <v>28</v>
      </c>
      <c r="F65" s="6" t="s">
        <v>29</v>
      </c>
      <c r="G65" s="6" t="s">
        <v>30</v>
      </c>
      <c r="H65" s="6">
        <v>3</v>
      </c>
      <c r="I65" s="6" t="s">
        <v>143</v>
      </c>
      <c r="J65" s="6" t="s">
        <v>243</v>
      </c>
      <c r="K65" s="6">
        <v>520</v>
      </c>
      <c r="L65" s="6" t="s">
        <v>42</v>
      </c>
      <c r="M65" s="6" t="s">
        <v>34</v>
      </c>
    </row>
    <row r="66" spans="1:13">
      <c r="A66" s="6" t="s">
        <v>244</v>
      </c>
      <c r="B66" s="7">
        <v>46270</v>
      </c>
      <c r="C66" s="6" t="s">
        <v>245</v>
      </c>
      <c r="D66" s="6" t="s">
        <v>27</v>
      </c>
      <c r="E66" s="6" t="s">
        <v>78</v>
      </c>
      <c r="F66" s="6" t="s">
        <v>94</v>
      </c>
      <c r="G66" s="6" t="s">
        <v>95</v>
      </c>
      <c r="H66" s="6">
        <v>3</v>
      </c>
      <c r="I66" s="6" t="s">
        <v>113</v>
      </c>
      <c r="J66" s="6" t="s">
        <v>138</v>
      </c>
      <c r="K66" s="6" t="s">
        <v>114</v>
      </c>
      <c r="L66" s="6" t="s">
        <v>42</v>
      </c>
      <c r="M66" s="6" t="s">
        <v>34</v>
      </c>
    </row>
    <row r="67" spans="1:13">
      <c r="A67" s="6" t="s">
        <v>246</v>
      </c>
      <c r="B67" s="6" t="s">
        <v>247</v>
      </c>
      <c r="C67" s="6" t="s">
        <v>248</v>
      </c>
      <c r="D67" s="6" t="s">
        <v>27</v>
      </c>
      <c r="E67" s="6" t="s">
        <v>28</v>
      </c>
      <c r="F67" s="6" t="s">
        <v>85</v>
      </c>
      <c r="G67" s="6" t="s">
        <v>86</v>
      </c>
      <c r="H67" s="6">
        <v>2</v>
      </c>
      <c r="I67" s="6" t="s">
        <v>31</v>
      </c>
      <c r="J67" s="6" t="s">
        <v>249</v>
      </c>
      <c r="K67" s="6">
        <v>410</v>
      </c>
      <c r="L67" s="6" t="s">
        <v>42</v>
      </c>
      <c r="M67" s="6" t="s">
        <v>34</v>
      </c>
    </row>
    <row r="68" spans="1:13">
      <c r="A68" s="6" t="s">
        <v>250</v>
      </c>
      <c r="B68" s="7">
        <v>46161</v>
      </c>
      <c r="C68" s="6" t="s">
        <v>251</v>
      </c>
      <c r="D68" s="6" t="s">
        <v>110</v>
      </c>
      <c r="E68" s="6" t="s">
        <v>52</v>
      </c>
      <c r="F68" s="6" t="s">
        <v>85</v>
      </c>
      <c r="G68" s="6" t="s">
        <v>86</v>
      </c>
      <c r="H68" s="6">
        <v>3</v>
      </c>
      <c r="I68" s="6" t="s">
        <v>90</v>
      </c>
      <c r="J68" s="6" t="s">
        <v>102</v>
      </c>
      <c r="K68" s="6" t="s">
        <v>87</v>
      </c>
      <c r="L68" s="6" t="s">
        <v>42</v>
      </c>
      <c r="M68" s="6" t="s">
        <v>34</v>
      </c>
    </row>
    <row r="69" spans="1:13">
      <c r="A69" s="6" t="s">
        <v>252</v>
      </c>
      <c r="B69" s="6" t="s">
        <v>253</v>
      </c>
      <c r="C69" s="6" t="s">
        <v>254</v>
      </c>
      <c r="D69" s="6" t="s">
        <v>27</v>
      </c>
      <c r="E69" s="6" t="s">
        <v>78</v>
      </c>
      <c r="F69" s="6" t="s">
        <v>58</v>
      </c>
      <c r="G69" s="6" t="s">
        <v>59</v>
      </c>
      <c r="H69" s="6">
        <v>2</v>
      </c>
      <c r="I69" s="6" t="s">
        <v>90</v>
      </c>
      <c r="J69" s="6" t="s">
        <v>154</v>
      </c>
      <c r="K69" s="6" t="s">
        <v>61</v>
      </c>
      <c r="L69" s="6" t="s">
        <v>42</v>
      </c>
      <c r="M69" s="6" t="s">
        <v>69</v>
      </c>
    </row>
    <row r="70" spans="1:13">
      <c r="A70" s="6" t="s">
        <v>255</v>
      </c>
      <c r="B70" s="7">
        <v>46168</v>
      </c>
      <c r="C70" s="6" t="s">
        <v>256</v>
      </c>
      <c r="D70" s="6" t="s">
        <v>57</v>
      </c>
      <c r="E70" s="6" t="s">
        <v>78</v>
      </c>
      <c r="F70" s="6" t="s">
        <v>47</v>
      </c>
      <c r="G70" s="6" t="s">
        <v>48</v>
      </c>
      <c r="H70" s="6">
        <v>1</v>
      </c>
      <c r="I70" s="6" t="s">
        <v>96</v>
      </c>
      <c r="J70" s="6" t="s">
        <v>96</v>
      </c>
      <c r="K70" s="6" t="s">
        <v>49</v>
      </c>
      <c r="L70" s="6" t="s">
        <v>42</v>
      </c>
      <c r="M70" s="6" t="s">
        <v>34</v>
      </c>
    </row>
    <row r="71" spans="1:13">
      <c r="A71" s="6" t="s">
        <v>257</v>
      </c>
      <c r="B71" s="7">
        <v>46100</v>
      </c>
      <c r="C71" s="6" t="s">
        <v>258</v>
      </c>
      <c r="D71" s="6" t="s">
        <v>64</v>
      </c>
      <c r="E71" s="6" t="s">
        <v>28</v>
      </c>
      <c r="F71" s="6" t="s">
        <v>58</v>
      </c>
      <c r="G71" s="6" t="s">
        <v>59</v>
      </c>
      <c r="H71" s="6">
        <v>2</v>
      </c>
      <c r="I71" s="6" t="s">
        <v>79</v>
      </c>
      <c r="J71" s="6" t="s">
        <v>259</v>
      </c>
      <c r="K71" s="6">
        <v>380</v>
      </c>
      <c r="L71" s="6" t="s">
        <v>33</v>
      </c>
      <c r="M71" s="6" t="s">
        <v>34</v>
      </c>
    </row>
    <row r="72" spans="1:13">
      <c r="A72" s="6" t="s">
        <v>260</v>
      </c>
      <c r="B72" s="7">
        <v>46112</v>
      </c>
      <c r="C72" s="6" t="s">
        <v>261</v>
      </c>
      <c r="D72" s="6" t="s">
        <v>45</v>
      </c>
      <c r="E72" s="6" t="s">
        <v>37</v>
      </c>
      <c r="F72" s="6" t="s">
        <v>53</v>
      </c>
      <c r="G72" s="6" t="s">
        <v>54</v>
      </c>
      <c r="H72" s="6">
        <v>1</v>
      </c>
      <c r="I72" s="6" t="s">
        <v>90</v>
      </c>
      <c r="J72" s="6" t="s">
        <v>262</v>
      </c>
      <c r="K72" s="6">
        <v>190</v>
      </c>
      <c r="L72" s="6" t="s">
        <v>42</v>
      </c>
      <c r="M72" s="6" t="s">
        <v>69</v>
      </c>
    </row>
    <row r="73" spans="1:13">
      <c r="A73" s="6" t="s">
        <v>263</v>
      </c>
      <c r="B73" s="7">
        <v>46158</v>
      </c>
      <c r="C73" s="6" t="s">
        <v>264</v>
      </c>
      <c r="D73" s="6" t="s">
        <v>57</v>
      </c>
      <c r="E73" s="6" t="s">
        <v>37</v>
      </c>
      <c r="F73" s="6" t="s">
        <v>85</v>
      </c>
      <c r="G73" s="6" t="s">
        <v>86</v>
      </c>
      <c r="H73" s="6">
        <v>1</v>
      </c>
      <c r="I73" s="6" t="s">
        <v>265</v>
      </c>
      <c r="J73" s="6" t="s">
        <v>265</v>
      </c>
      <c r="K73" s="6" t="s">
        <v>87</v>
      </c>
      <c r="L73" s="6" t="s">
        <v>42</v>
      </c>
      <c r="M73" s="6" t="s">
        <v>34</v>
      </c>
    </row>
    <row r="74" spans="1:13">
      <c r="A74" s="6" t="s">
        <v>266</v>
      </c>
      <c r="B74" s="7">
        <v>46161</v>
      </c>
      <c r="C74" s="6" t="s">
        <v>267</v>
      </c>
      <c r="D74" s="6" t="s">
        <v>45</v>
      </c>
      <c r="E74" s="6" t="s">
        <v>37</v>
      </c>
      <c r="F74" s="6" t="s">
        <v>94</v>
      </c>
      <c r="G74" s="6" t="s">
        <v>95</v>
      </c>
      <c r="H74" s="6">
        <v>3</v>
      </c>
      <c r="I74" s="6" t="s">
        <v>60</v>
      </c>
      <c r="J74" s="6" t="s">
        <v>268</v>
      </c>
      <c r="K74" s="6" t="s">
        <v>114</v>
      </c>
      <c r="L74" s="6" t="s">
        <v>42</v>
      </c>
      <c r="M74" s="6" t="s">
        <v>34</v>
      </c>
    </row>
    <row r="75" spans="1:13">
      <c r="A75" s="6" t="s">
        <v>269</v>
      </c>
      <c r="B75" s="6" t="s">
        <v>270</v>
      </c>
      <c r="C75" s="6" t="s">
        <v>271</v>
      </c>
      <c r="D75" s="6" t="s">
        <v>57</v>
      </c>
      <c r="E75" s="6" t="s">
        <v>52</v>
      </c>
      <c r="F75" s="6" t="s">
        <v>53</v>
      </c>
      <c r="G75" s="6" t="s">
        <v>54</v>
      </c>
      <c r="H75" s="6">
        <v>1</v>
      </c>
      <c r="I75" s="6" t="s">
        <v>117</v>
      </c>
      <c r="J75" s="6" t="s">
        <v>117</v>
      </c>
      <c r="K75" s="6" t="s">
        <v>122</v>
      </c>
      <c r="L75" s="6" t="s">
        <v>42</v>
      </c>
      <c r="M75" s="6" t="s">
        <v>34</v>
      </c>
    </row>
    <row r="76" spans="1:13">
      <c r="A76" s="6" t="s">
        <v>272</v>
      </c>
      <c r="B76" s="7">
        <v>46072</v>
      </c>
      <c r="C76" s="6" t="s">
        <v>238</v>
      </c>
      <c r="D76" s="6" t="s">
        <v>45</v>
      </c>
      <c r="E76" s="6" t="s">
        <v>37</v>
      </c>
      <c r="F76" s="6" t="s">
        <v>47</v>
      </c>
      <c r="G76" s="6" t="s">
        <v>48</v>
      </c>
      <c r="H76" s="6">
        <v>1</v>
      </c>
      <c r="I76" s="6" t="s">
        <v>143</v>
      </c>
      <c r="J76" s="6" t="s">
        <v>143</v>
      </c>
      <c r="K76" s="6">
        <v>85</v>
      </c>
      <c r="L76" s="6" t="s">
        <v>42</v>
      </c>
      <c r="M76" s="6" t="s">
        <v>34</v>
      </c>
    </row>
    <row r="77" spans="1:13">
      <c r="A77" s="6" t="s">
        <v>273</v>
      </c>
      <c r="B77" s="7">
        <v>46082</v>
      </c>
      <c r="C77" s="6" t="s">
        <v>274</v>
      </c>
      <c r="D77" s="6" t="s">
        <v>27</v>
      </c>
      <c r="E77" s="6" t="s">
        <v>52</v>
      </c>
      <c r="F77" s="6" t="s">
        <v>100</v>
      </c>
      <c r="G77" s="6" t="s">
        <v>101</v>
      </c>
      <c r="H77" s="6">
        <v>1</v>
      </c>
      <c r="I77" s="6" t="s">
        <v>79</v>
      </c>
      <c r="J77" s="6" t="s">
        <v>79</v>
      </c>
      <c r="K77" s="6">
        <v>640</v>
      </c>
      <c r="L77" s="6" t="s">
        <v>42</v>
      </c>
      <c r="M77" s="6" t="s">
        <v>34</v>
      </c>
    </row>
    <row r="78" spans="1:13">
      <c r="A78" s="6" t="s">
        <v>275</v>
      </c>
      <c r="B78" s="7">
        <v>46036</v>
      </c>
      <c r="C78" s="6" t="s">
        <v>276</v>
      </c>
      <c r="D78" s="6" t="s">
        <v>45</v>
      </c>
      <c r="E78" s="6" t="s">
        <v>52</v>
      </c>
      <c r="F78" s="6" t="s">
        <v>29</v>
      </c>
      <c r="G78" s="6" t="s">
        <v>30</v>
      </c>
      <c r="H78" s="6">
        <v>2</v>
      </c>
      <c r="I78" s="6" t="s">
        <v>277</v>
      </c>
      <c r="J78" s="6" t="s">
        <v>278</v>
      </c>
      <c r="K78" s="6">
        <v>520</v>
      </c>
      <c r="L78" s="6" t="s">
        <v>42</v>
      </c>
      <c r="M78" s="6" t="s">
        <v>69</v>
      </c>
    </row>
    <row r="79" spans="1:13">
      <c r="A79" s="6" t="s">
        <v>279</v>
      </c>
      <c r="B79" s="7">
        <v>46149</v>
      </c>
      <c r="C79" s="6" t="s">
        <v>280</v>
      </c>
      <c r="D79" s="6" t="s">
        <v>105</v>
      </c>
      <c r="E79" s="6" t="s">
        <v>46</v>
      </c>
      <c r="F79" s="6" t="s">
        <v>53</v>
      </c>
      <c r="G79" s="6" t="s">
        <v>54</v>
      </c>
      <c r="H79" s="6">
        <v>1</v>
      </c>
      <c r="I79" s="6" t="s">
        <v>67</v>
      </c>
      <c r="J79" s="6" t="s">
        <v>67</v>
      </c>
      <c r="K79" s="6" t="s">
        <v>122</v>
      </c>
      <c r="L79" s="6" t="s">
        <v>42</v>
      </c>
      <c r="M79" s="6" t="s">
        <v>34</v>
      </c>
    </row>
    <row r="80" spans="1:13">
      <c r="A80" s="6" t="s">
        <v>281</v>
      </c>
      <c r="B80" s="7">
        <v>46076</v>
      </c>
      <c r="C80" s="6" t="s">
        <v>282</v>
      </c>
      <c r="D80" s="6" t="s">
        <v>127</v>
      </c>
      <c r="E80" s="6" t="s">
        <v>37</v>
      </c>
      <c r="F80" s="6" t="s">
        <v>100</v>
      </c>
      <c r="G80" s="6" t="s">
        <v>101</v>
      </c>
      <c r="H80" s="6">
        <v>2</v>
      </c>
      <c r="I80" s="6" t="s">
        <v>231</v>
      </c>
      <c r="J80" s="6" t="s">
        <v>232</v>
      </c>
      <c r="K80" s="6">
        <v>640</v>
      </c>
      <c r="L80" s="6" t="s">
        <v>42</v>
      </c>
      <c r="M80" s="6" t="s">
        <v>34</v>
      </c>
    </row>
    <row r="81" spans="1:13">
      <c r="A81" s="6" t="s">
        <v>283</v>
      </c>
      <c r="B81" s="7">
        <v>46100</v>
      </c>
      <c r="C81" s="6" t="s">
        <v>284</v>
      </c>
      <c r="D81" s="6" t="s">
        <v>105</v>
      </c>
      <c r="E81" s="6" t="s">
        <v>78</v>
      </c>
      <c r="F81" s="6" t="s">
        <v>47</v>
      </c>
      <c r="G81" s="6" t="s">
        <v>48</v>
      </c>
      <c r="H81" s="6">
        <v>1</v>
      </c>
      <c r="I81" s="6" t="s">
        <v>143</v>
      </c>
      <c r="J81" s="6" t="s">
        <v>143</v>
      </c>
      <c r="K81" s="6">
        <v>85</v>
      </c>
      <c r="L81" s="6" t="s">
        <v>33</v>
      </c>
      <c r="M81" s="6" t="s">
        <v>34</v>
      </c>
    </row>
    <row r="82" spans="1:13">
      <c r="A82" s="6" t="s">
        <v>285</v>
      </c>
      <c r="B82" s="7">
        <v>46146</v>
      </c>
      <c r="C82" s="6" t="s">
        <v>286</v>
      </c>
      <c r="D82" s="6" t="s">
        <v>45</v>
      </c>
      <c r="E82" s="6" t="s">
        <v>52</v>
      </c>
      <c r="F82" s="6" t="s">
        <v>29</v>
      </c>
      <c r="G82" s="6" t="s">
        <v>30</v>
      </c>
      <c r="H82" s="6">
        <v>1</v>
      </c>
      <c r="I82" s="6" t="s">
        <v>181</v>
      </c>
      <c r="J82" s="6" t="s">
        <v>181</v>
      </c>
      <c r="K82" s="6">
        <v>520</v>
      </c>
      <c r="L82" s="6" t="s">
        <v>42</v>
      </c>
      <c r="M82" s="6" t="s">
        <v>34</v>
      </c>
    </row>
    <row r="83" spans="1:13">
      <c r="A83" s="6" t="s">
        <v>287</v>
      </c>
      <c r="B83" s="7">
        <v>46076</v>
      </c>
      <c r="C83" s="6" t="s">
        <v>288</v>
      </c>
      <c r="D83" s="6" t="s">
        <v>27</v>
      </c>
      <c r="E83" s="6" t="s">
        <v>52</v>
      </c>
      <c r="F83" s="6" t="s">
        <v>53</v>
      </c>
      <c r="G83" s="6" t="s">
        <v>54</v>
      </c>
      <c r="H83" s="6">
        <v>1</v>
      </c>
      <c r="I83" s="6" t="s">
        <v>40</v>
      </c>
      <c r="J83" s="6" t="s">
        <v>40</v>
      </c>
      <c r="K83" s="6">
        <v>190</v>
      </c>
      <c r="L83" s="6" t="s">
        <v>42</v>
      </c>
      <c r="M83" s="6" t="s">
        <v>34</v>
      </c>
    </row>
    <row r="84" spans="1:13">
      <c r="A84" s="6" t="s">
        <v>289</v>
      </c>
      <c r="B84" s="6" t="s">
        <v>290</v>
      </c>
      <c r="C84" s="6" t="s">
        <v>291</v>
      </c>
      <c r="D84" s="6" t="s">
        <v>57</v>
      </c>
      <c r="E84" s="6" t="s">
        <v>52</v>
      </c>
      <c r="F84" s="6" t="s">
        <v>58</v>
      </c>
      <c r="G84" s="6" t="s">
        <v>59</v>
      </c>
      <c r="H84" s="6">
        <v>-2</v>
      </c>
      <c r="I84" s="6" t="s">
        <v>90</v>
      </c>
      <c r="J84" s="8" t="s">
        <v>292</v>
      </c>
      <c r="K84" s="6" t="s">
        <v>61</v>
      </c>
      <c r="L84" s="6" t="s">
        <v>42</v>
      </c>
      <c r="M84" s="6" t="s">
        <v>34</v>
      </c>
    </row>
    <row r="85" spans="1:13">
      <c r="A85" s="6" t="s">
        <v>293</v>
      </c>
      <c r="B85" s="7">
        <v>46073</v>
      </c>
      <c r="C85" s="6" t="s">
        <v>294</v>
      </c>
      <c r="D85" s="6" t="s">
        <v>27</v>
      </c>
      <c r="E85" s="6" t="s">
        <v>37</v>
      </c>
      <c r="F85" s="6" t="s">
        <v>53</v>
      </c>
      <c r="G85" s="6" t="s">
        <v>54</v>
      </c>
      <c r="H85" s="6">
        <v>1</v>
      </c>
      <c r="I85" s="6" t="s">
        <v>143</v>
      </c>
      <c r="J85" s="6" t="s">
        <v>143</v>
      </c>
      <c r="K85" s="6">
        <v>190</v>
      </c>
      <c r="L85" s="6" t="s">
        <v>42</v>
      </c>
      <c r="M85" s="6" t="s">
        <v>34</v>
      </c>
    </row>
    <row r="86" spans="1:13">
      <c r="A86" s="6" t="s">
        <v>295</v>
      </c>
      <c r="B86" s="7">
        <v>46167</v>
      </c>
      <c r="C86" s="6" t="s">
        <v>296</v>
      </c>
      <c r="D86" s="6" t="s">
        <v>105</v>
      </c>
      <c r="E86" s="6" t="s">
        <v>78</v>
      </c>
      <c r="F86" s="6" t="s">
        <v>85</v>
      </c>
      <c r="G86" s="6" t="s">
        <v>86</v>
      </c>
      <c r="H86" s="6">
        <v>2</v>
      </c>
      <c r="I86" s="6" t="s">
        <v>82</v>
      </c>
      <c r="J86" s="6" t="s">
        <v>297</v>
      </c>
      <c r="K86" s="6" t="s">
        <v>87</v>
      </c>
      <c r="L86" s="6" t="s">
        <v>42</v>
      </c>
      <c r="M86" s="6" t="s">
        <v>34</v>
      </c>
    </row>
    <row r="87" spans="1:13">
      <c r="A87" s="6" t="s">
        <v>298</v>
      </c>
      <c r="B87" s="7">
        <v>46044</v>
      </c>
      <c r="C87" s="6" t="s">
        <v>299</v>
      </c>
      <c r="D87" s="6" t="s">
        <v>127</v>
      </c>
      <c r="E87" s="6" t="s">
        <v>52</v>
      </c>
      <c r="F87" s="6" t="s">
        <v>100</v>
      </c>
      <c r="G87" s="6" t="s">
        <v>101</v>
      </c>
      <c r="H87" s="6">
        <v>3</v>
      </c>
      <c r="I87" s="6" t="s">
        <v>117</v>
      </c>
      <c r="J87" s="6" t="s">
        <v>171</v>
      </c>
      <c r="K87" s="6">
        <v>640</v>
      </c>
      <c r="L87" s="6" t="s">
        <v>42</v>
      </c>
      <c r="M87" s="6" t="s">
        <v>69</v>
      </c>
    </row>
    <row r="88" spans="1:13">
      <c r="A88" s="6" t="s">
        <v>300</v>
      </c>
      <c r="B88" s="6" t="s">
        <v>301</v>
      </c>
      <c r="C88" s="6" t="s">
        <v>302</v>
      </c>
      <c r="D88" s="6" t="s">
        <v>105</v>
      </c>
      <c r="E88" s="6" t="s">
        <v>46</v>
      </c>
      <c r="F88" s="6" t="s">
        <v>94</v>
      </c>
      <c r="G88" s="6" t="s">
        <v>95</v>
      </c>
      <c r="H88" s="6">
        <v>3</v>
      </c>
      <c r="I88" s="6" t="s">
        <v>143</v>
      </c>
      <c r="J88" s="6" t="s">
        <v>243</v>
      </c>
      <c r="K88" s="6">
        <v>340</v>
      </c>
      <c r="L88" s="6" t="s">
        <v>42</v>
      </c>
      <c r="M88" s="6" t="s">
        <v>69</v>
      </c>
    </row>
    <row r="89" spans="1:13">
      <c r="A89" s="6" t="s">
        <v>303</v>
      </c>
      <c r="B89" s="7">
        <v>46039</v>
      </c>
      <c r="C89" s="6" t="s">
        <v>304</v>
      </c>
      <c r="D89" s="6" t="s">
        <v>64</v>
      </c>
      <c r="E89" s="6" t="s">
        <v>52</v>
      </c>
      <c r="F89" s="6" t="s">
        <v>100</v>
      </c>
      <c r="G89" s="6" t="s">
        <v>101</v>
      </c>
      <c r="H89" s="6">
        <v>1</v>
      </c>
      <c r="I89" s="6" t="s">
        <v>265</v>
      </c>
      <c r="J89" s="6" t="s">
        <v>265</v>
      </c>
      <c r="K89" s="6">
        <v>640</v>
      </c>
      <c r="L89" s="6" t="s">
        <v>33</v>
      </c>
      <c r="M89" s="6" t="s">
        <v>34</v>
      </c>
    </row>
    <row r="90" spans="1:13">
      <c r="A90" s="6" t="s">
        <v>305</v>
      </c>
      <c r="B90" s="7">
        <v>46088</v>
      </c>
      <c r="C90" s="6" t="s">
        <v>306</v>
      </c>
      <c r="D90" s="6" t="s">
        <v>57</v>
      </c>
      <c r="E90" s="6" t="s">
        <v>37</v>
      </c>
      <c r="F90" s="6" t="s">
        <v>47</v>
      </c>
      <c r="G90" s="6" t="s">
        <v>48</v>
      </c>
      <c r="H90" s="6">
        <v>1</v>
      </c>
      <c r="I90" s="6" t="s">
        <v>31</v>
      </c>
      <c r="J90" s="6" t="s">
        <v>31</v>
      </c>
      <c r="K90" s="6">
        <v>85</v>
      </c>
      <c r="L90" s="6" t="s">
        <v>42</v>
      </c>
      <c r="M90" s="6" t="s">
        <v>34</v>
      </c>
    </row>
    <row r="91" spans="1:13">
      <c r="A91" s="6" t="s">
        <v>307</v>
      </c>
      <c r="B91" s="7">
        <v>46107</v>
      </c>
      <c r="C91" s="6" t="s">
        <v>308</v>
      </c>
      <c r="D91" s="6" t="s">
        <v>45</v>
      </c>
      <c r="E91" s="6" t="s">
        <v>46</v>
      </c>
      <c r="F91" s="6" t="s">
        <v>29</v>
      </c>
      <c r="G91" s="6" t="s">
        <v>30</v>
      </c>
      <c r="H91" s="6">
        <v>1</v>
      </c>
      <c r="I91" s="6" t="s">
        <v>113</v>
      </c>
      <c r="J91" s="6" t="s">
        <v>113</v>
      </c>
      <c r="K91" s="6">
        <v>520</v>
      </c>
      <c r="L91" s="6" t="s">
        <v>42</v>
      </c>
      <c r="M91" s="6" t="s">
        <v>34</v>
      </c>
    </row>
    <row r="92" spans="1:13">
      <c r="A92" s="6" t="s">
        <v>309</v>
      </c>
      <c r="B92" s="7">
        <v>46057</v>
      </c>
      <c r="C92" s="6" t="s">
        <v>310</v>
      </c>
      <c r="D92" s="6" t="s">
        <v>27</v>
      </c>
      <c r="E92" s="6" t="s">
        <v>52</v>
      </c>
      <c r="F92" s="6" t="s">
        <v>100</v>
      </c>
      <c r="G92" s="6" t="s">
        <v>101</v>
      </c>
      <c r="H92" s="6">
        <v>-1</v>
      </c>
      <c r="I92" s="6" t="s">
        <v>265</v>
      </c>
      <c r="J92" s="8" t="s">
        <v>311</v>
      </c>
      <c r="K92" s="6">
        <v>640</v>
      </c>
      <c r="L92" s="6" t="s">
        <v>42</v>
      </c>
      <c r="M92" s="6" t="s">
        <v>34</v>
      </c>
    </row>
    <row r="93" spans="1:13">
      <c r="A93" s="6" t="s">
        <v>312</v>
      </c>
      <c r="B93" s="7">
        <v>46082</v>
      </c>
      <c r="C93" s="6" t="s">
        <v>313</v>
      </c>
      <c r="D93" s="6" t="s">
        <v>77</v>
      </c>
      <c r="E93" s="6" t="s">
        <v>28</v>
      </c>
      <c r="F93" s="6" t="s">
        <v>100</v>
      </c>
      <c r="G93" s="6" t="s">
        <v>101</v>
      </c>
      <c r="H93" s="6">
        <v>-1</v>
      </c>
      <c r="I93" s="6" t="s">
        <v>181</v>
      </c>
      <c r="J93" s="8" t="s">
        <v>314</v>
      </c>
      <c r="K93" s="6">
        <v>640</v>
      </c>
      <c r="L93" s="6" t="s">
        <v>42</v>
      </c>
      <c r="M93" s="6" t="s">
        <v>34</v>
      </c>
    </row>
    <row r="94" spans="1:13">
      <c r="A94" s="6" t="s">
        <v>315</v>
      </c>
      <c r="B94" s="7">
        <v>46184</v>
      </c>
      <c r="C94" s="6" t="s">
        <v>316</v>
      </c>
      <c r="D94" s="6" t="s">
        <v>27</v>
      </c>
      <c r="E94" s="6" t="s">
        <v>78</v>
      </c>
      <c r="F94" s="6" t="s">
        <v>85</v>
      </c>
      <c r="G94" s="6" t="s">
        <v>86</v>
      </c>
      <c r="H94" s="6">
        <v>1</v>
      </c>
      <c r="I94" s="6" t="s">
        <v>147</v>
      </c>
      <c r="J94" s="6" t="s">
        <v>147</v>
      </c>
      <c r="K94" s="6" t="s">
        <v>87</v>
      </c>
      <c r="L94" s="6" t="s">
        <v>33</v>
      </c>
      <c r="M94" s="6" t="s">
        <v>34</v>
      </c>
    </row>
    <row r="95" spans="1:13">
      <c r="A95" s="6" t="s">
        <v>317</v>
      </c>
      <c r="B95" s="7">
        <v>46088</v>
      </c>
      <c r="C95" s="6" t="s">
        <v>318</v>
      </c>
      <c r="D95" s="6" t="s">
        <v>127</v>
      </c>
      <c r="E95" s="6" t="s">
        <v>37</v>
      </c>
      <c r="F95" s="6" t="s">
        <v>58</v>
      </c>
      <c r="G95" s="6" t="s">
        <v>59</v>
      </c>
      <c r="H95" s="6">
        <v>2</v>
      </c>
      <c r="I95" s="6" t="s">
        <v>82</v>
      </c>
      <c r="J95" s="6" t="s">
        <v>297</v>
      </c>
      <c r="K95" s="6">
        <v>380</v>
      </c>
      <c r="L95" s="6" t="s">
        <v>33</v>
      </c>
      <c r="M95" s="6" t="s">
        <v>69</v>
      </c>
    </row>
    <row r="96" spans="1:13">
      <c r="A96" s="6" t="s">
        <v>319</v>
      </c>
      <c r="B96" s="7">
        <v>46087</v>
      </c>
      <c r="C96" s="6" t="s">
        <v>320</v>
      </c>
      <c r="D96" s="6" t="s">
        <v>77</v>
      </c>
      <c r="E96" s="6" t="s">
        <v>52</v>
      </c>
      <c r="F96" s="6" t="s">
        <v>85</v>
      </c>
      <c r="G96" s="6" t="s">
        <v>86</v>
      </c>
      <c r="H96" s="6">
        <v>2</v>
      </c>
      <c r="I96" s="6" t="s">
        <v>82</v>
      </c>
      <c r="J96" s="6" t="s">
        <v>297</v>
      </c>
      <c r="K96" s="6">
        <v>410</v>
      </c>
      <c r="L96" s="6" t="s">
        <v>42</v>
      </c>
      <c r="M96" s="6" t="s">
        <v>34</v>
      </c>
    </row>
    <row r="97" spans="1:13">
      <c r="A97" s="6" t="s">
        <v>120</v>
      </c>
      <c r="B97" s="7">
        <v>46187</v>
      </c>
      <c r="C97" s="6" t="s">
        <v>121</v>
      </c>
      <c r="D97" s="6" t="s">
        <v>105</v>
      </c>
      <c r="E97" s="6" t="s">
        <v>46</v>
      </c>
      <c r="F97" s="6" t="s">
        <v>53</v>
      </c>
      <c r="G97" s="6" t="s">
        <v>54</v>
      </c>
      <c r="H97" s="6">
        <v>1</v>
      </c>
      <c r="I97" s="6" t="s">
        <v>31</v>
      </c>
      <c r="J97" s="6" t="s">
        <v>31</v>
      </c>
      <c r="K97" s="6" t="s">
        <v>122</v>
      </c>
      <c r="L97" s="6" t="s">
        <v>42</v>
      </c>
      <c r="M97" s="6" t="s">
        <v>34</v>
      </c>
    </row>
    <row r="98" spans="1:13">
      <c r="A98" s="6" t="s">
        <v>321</v>
      </c>
      <c r="B98" s="7">
        <v>46141</v>
      </c>
      <c r="C98" s="6" t="s">
        <v>322</v>
      </c>
      <c r="D98" s="6" t="s">
        <v>77</v>
      </c>
      <c r="E98" s="6" t="s">
        <v>28</v>
      </c>
      <c r="F98" s="6" t="s">
        <v>38</v>
      </c>
      <c r="G98" s="6" t="s">
        <v>39</v>
      </c>
      <c r="H98" s="6">
        <v>2</v>
      </c>
      <c r="I98" s="6" t="s">
        <v>147</v>
      </c>
      <c r="J98" s="6" t="s">
        <v>175</v>
      </c>
      <c r="K98" s="6" t="s">
        <v>41</v>
      </c>
      <c r="L98" s="6" t="s">
        <v>42</v>
      </c>
      <c r="M98" s="6" t="s">
        <v>34</v>
      </c>
    </row>
    <row r="99" spans="1:13">
      <c r="A99" s="6" t="s">
        <v>323</v>
      </c>
      <c r="B99" s="7">
        <v>46185</v>
      </c>
      <c r="C99" s="6" t="s">
        <v>324</v>
      </c>
      <c r="D99" s="6" t="s">
        <v>27</v>
      </c>
      <c r="E99" s="6" t="s">
        <v>78</v>
      </c>
      <c r="F99" s="6" t="s">
        <v>58</v>
      </c>
      <c r="G99" s="6" t="s">
        <v>59</v>
      </c>
      <c r="H99" s="6">
        <v>1</v>
      </c>
      <c r="I99" s="6" t="s">
        <v>60</v>
      </c>
      <c r="J99" s="6" t="s">
        <v>60</v>
      </c>
      <c r="K99" s="6" t="s">
        <v>61</v>
      </c>
      <c r="L99" s="6" t="s">
        <v>42</v>
      </c>
      <c r="M99" s="6" t="s">
        <v>34</v>
      </c>
    </row>
    <row r="100" spans="1:13">
      <c r="A100" s="6" t="s">
        <v>325</v>
      </c>
      <c r="B100" s="7">
        <v>46078</v>
      </c>
      <c r="C100" s="6" t="s">
        <v>326</v>
      </c>
      <c r="D100" s="6" t="s">
        <v>110</v>
      </c>
      <c r="E100" s="6" t="s">
        <v>52</v>
      </c>
      <c r="F100" s="6" t="s">
        <v>94</v>
      </c>
      <c r="G100" s="6" t="s">
        <v>95</v>
      </c>
      <c r="H100" s="6">
        <v>2</v>
      </c>
      <c r="I100" s="6" t="s">
        <v>40</v>
      </c>
      <c r="J100" s="6" t="s">
        <v>327</v>
      </c>
      <c r="K100" s="6">
        <v>340</v>
      </c>
      <c r="L100" s="6" t="s">
        <v>42</v>
      </c>
      <c r="M100" s="6" t="s">
        <v>34</v>
      </c>
    </row>
    <row r="101" spans="1:13">
      <c r="A101" s="6" t="s">
        <v>328</v>
      </c>
      <c r="B101" s="7">
        <v>46168</v>
      </c>
      <c r="C101" s="6" t="s">
        <v>329</v>
      </c>
      <c r="D101" s="6" t="s">
        <v>27</v>
      </c>
      <c r="E101" s="6" t="s">
        <v>78</v>
      </c>
      <c r="F101" s="6" t="s">
        <v>58</v>
      </c>
      <c r="G101" s="6" t="s">
        <v>59</v>
      </c>
      <c r="H101" s="6">
        <v>1</v>
      </c>
      <c r="I101" s="6" t="s">
        <v>113</v>
      </c>
      <c r="J101" s="6" t="s">
        <v>113</v>
      </c>
      <c r="K101" s="6" t="s">
        <v>61</v>
      </c>
      <c r="L101" s="6" t="s">
        <v>42</v>
      </c>
      <c r="M101" s="6" t="s">
        <v>34</v>
      </c>
    </row>
    <row r="102" spans="1:13">
      <c r="A102" s="6" t="s">
        <v>330</v>
      </c>
      <c r="B102" s="7">
        <v>46178</v>
      </c>
      <c r="C102" s="6" t="s">
        <v>331</v>
      </c>
      <c r="D102" s="6" t="s">
        <v>110</v>
      </c>
      <c r="E102" s="6" t="s">
        <v>28</v>
      </c>
      <c r="F102" s="6" t="s">
        <v>29</v>
      </c>
      <c r="G102" s="6" t="s">
        <v>30</v>
      </c>
      <c r="H102" s="6">
        <v>2</v>
      </c>
      <c r="I102" s="6" t="s">
        <v>181</v>
      </c>
      <c r="J102" s="6" t="s">
        <v>163</v>
      </c>
      <c r="K102" s="6" t="s">
        <v>41</v>
      </c>
      <c r="L102" s="6" t="s">
        <v>42</v>
      </c>
      <c r="M102" s="6" t="s">
        <v>34</v>
      </c>
    </row>
    <row r="103" spans="1:13">
      <c r="A103" s="6" t="s">
        <v>332</v>
      </c>
      <c r="B103" s="6" t="s">
        <v>333</v>
      </c>
      <c r="C103" s="6" t="s">
        <v>334</v>
      </c>
      <c r="D103" s="6" t="s">
        <v>77</v>
      </c>
      <c r="E103" s="6" t="s">
        <v>37</v>
      </c>
      <c r="F103" s="6" t="s">
        <v>58</v>
      </c>
      <c r="G103" s="6" t="s">
        <v>59</v>
      </c>
      <c r="H103" s="6">
        <v>3</v>
      </c>
      <c r="I103" s="6" t="s">
        <v>79</v>
      </c>
      <c r="J103" s="6" t="s">
        <v>216</v>
      </c>
      <c r="K103" s="6">
        <v>380</v>
      </c>
      <c r="L103" s="6" t="s">
        <v>42</v>
      </c>
      <c r="M103" s="6" t="s">
        <v>34</v>
      </c>
    </row>
    <row r="104" spans="1:13">
      <c r="A104" s="6" t="s">
        <v>335</v>
      </c>
      <c r="B104" s="7">
        <v>46198</v>
      </c>
      <c r="C104" s="6" t="s">
        <v>336</v>
      </c>
      <c r="D104" s="6" t="s">
        <v>105</v>
      </c>
      <c r="E104" s="6" t="s">
        <v>46</v>
      </c>
      <c r="F104" s="6" t="s">
        <v>94</v>
      </c>
      <c r="G104" s="6" t="s">
        <v>95</v>
      </c>
      <c r="H104" s="6">
        <v>3</v>
      </c>
      <c r="I104" s="6" t="s">
        <v>31</v>
      </c>
      <c r="J104" s="6" t="s">
        <v>337</v>
      </c>
      <c r="K104" s="6" t="s">
        <v>114</v>
      </c>
      <c r="L104" s="6" t="s">
        <v>42</v>
      </c>
      <c r="M104" s="6" t="s">
        <v>34</v>
      </c>
    </row>
    <row r="105" spans="1:13">
      <c r="A105" s="6" t="s">
        <v>338</v>
      </c>
      <c r="B105" s="7">
        <v>46207</v>
      </c>
      <c r="C105" s="6" t="s">
        <v>339</v>
      </c>
      <c r="D105" s="6" t="s">
        <v>127</v>
      </c>
      <c r="E105" s="6" t="s">
        <v>37</v>
      </c>
      <c r="F105" s="6" t="s">
        <v>58</v>
      </c>
      <c r="G105" s="6" t="s">
        <v>59</v>
      </c>
      <c r="H105" s="6">
        <v>2</v>
      </c>
      <c r="I105" s="6" t="s">
        <v>31</v>
      </c>
      <c r="J105" s="6" t="s">
        <v>249</v>
      </c>
      <c r="K105" s="6" t="s">
        <v>61</v>
      </c>
      <c r="L105" s="6" t="s">
        <v>33</v>
      </c>
      <c r="M105" s="6" t="s">
        <v>69</v>
      </c>
    </row>
    <row r="106" spans="1:13">
      <c r="A106" s="6" t="s">
        <v>340</v>
      </c>
      <c r="B106" s="7">
        <v>46145</v>
      </c>
      <c r="C106" s="6" t="s">
        <v>341</v>
      </c>
      <c r="D106" s="6" t="s">
        <v>45</v>
      </c>
      <c r="E106" s="6" t="s">
        <v>46</v>
      </c>
      <c r="F106" s="6" t="s">
        <v>58</v>
      </c>
      <c r="G106" s="6" t="s">
        <v>59</v>
      </c>
      <c r="H106" s="6">
        <v>2</v>
      </c>
      <c r="I106" s="6" t="s">
        <v>143</v>
      </c>
      <c r="J106" s="6" t="s">
        <v>144</v>
      </c>
      <c r="K106" s="6" t="s">
        <v>61</v>
      </c>
      <c r="L106" s="6" t="s">
        <v>42</v>
      </c>
      <c r="M106" s="6" t="s">
        <v>34</v>
      </c>
    </row>
    <row r="107" spans="1:13">
      <c r="A107" s="6" t="s">
        <v>342</v>
      </c>
      <c r="B107" s="7">
        <v>46134</v>
      </c>
      <c r="C107" s="6" t="s">
        <v>343</v>
      </c>
      <c r="D107" s="6" t="s">
        <v>110</v>
      </c>
      <c r="E107" s="6" t="s">
        <v>37</v>
      </c>
      <c r="F107" s="6" t="s">
        <v>53</v>
      </c>
      <c r="G107" s="6" t="s">
        <v>54</v>
      </c>
      <c r="H107" s="6">
        <v>2</v>
      </c>
      <c r="I107" s="6" t="s">
        <v>113</v>
      </c>
      <c r="J107" s="6" t="s">
        <v>192</v>
      </c>
      <c r="K107" s="6" t="s">
        <v>122</v>
      </c>
      <c r="L107" s="6" t="s">
        <v>42</v>
      </c>
      <c r="M107" s="6" t="s">
        <v>34</v>
      </c>
    </row>
    <row r="108" spans="1:13">
      <c r="A108" s="6" t="s">
        <v>344</v>
      </c>
      <c r="B108" s="7">
        <v>46165</v>
      </c>
      <c r="C108" s="6" t="s">
        <v>345</v>
      </c>
      <c r="D108" s="6" t="s">
        <v>27</v>
      </c>
      <c r="E108" s="6" t="s">
        <v>37</v>
      </c>
      <c r="F108" s="6" t="s">
        <v>29</v>
      </c>
      <c r="G108" s="6" t="s">
        <v>30</v>
      </c>
      <c r="H108" s="6">
        <v>2</v>
      </c>
      <c r="I108" s="6" t="s">
        <v>82</v>
      </c>
      <c r="J108" s="6" t="s">
        <v>297</v>
      </c>
      <c r="K108" s="6" t="s">
        <v>41</v>
      </c>
      <c r="L108" s="6" t="s">
        <v>42</v>
      </c>
      <c r="M108" s="6" t="s">
        <v>34</v>
      </c>
    </row>
    <row r="109" spans="1:13">
      <c r="A109" s="6" t="s">
        <v>346</v>
      </c>
      <c r="B109" s="6" t="s">
        <v>347</v>
      </c>
      <c r="C109" s="6" t="s">
        <v>348</v>
      </c>
      <c r="D109" s="6" t="s">
        <v>45</v>
      </c>
      <c r="E109" s="6" t="s">
        <v>37</v>
      </c>
      <c r="F109" s="6" t="s">
        <v>38</v>
      </c>
      <c r="G109" s="6" t="s">
        <v>39</v>
      </c>
      <c r="H109" s="6">
        <v>3</v>
      </c>
      <c r="I109" s="6" t="s">
        <v>90</v>
      </c>
      <c r="J109" s="6" t="s">
        <v>102</v>
      </c>
      <c r="K109" s="6">
        <v>520</v>
      </c>
      <c r="L109" s="6" t="s">
        <v>33</v>
      </c>
      <c r="M109" s="6" t="s">
        <v>69</v>
      </c>
    </row>
    <row r="110" spans="1:13">
      <c r="A110" s="6" t="s">
        <v>349</v>
      </c>
      <c r="B110" s="6" t="s">
        <v>350</v>
      </c>
      <c r="C110" s="6" t="s">
        <v>351</v>
      </c>
      <c r="D110" s="6" t="s">
        <v>77</v>
      </c>
      <c r="E110" s="6" t="s">
        <v>78</v>
      </c>
      <c r="F110" s="6" t="s">
        <v>29</v>
      </c>
      <c r="G110" s="6" t="s">
        <v>30</v>
      </c>
      <c r="H110" s="6">
        <v>2</v>
      </c>
      <c r="I110" s="6" t="s">
        <v>73</v>
      </c>
      <c r="J110" s="6" t="s">
        <v>74</v>
      </c>
      <c r="K110" s="6">
        <v>520</v>
      </c>
      <c r="L110" s="6" t="s">
        <v>42</v>
      </c>
      <c r="M110" s="6" t="s">
        <v>69</v>
      </c>
    </row>
    <row r="111" spans="1:13">
      <c r="A111" s="6" t="s">
        <v>352</v>
      </c>
      <c r="B111" s="7">
        <v>46164</v>
      </c>
      <c r="C111" s="6" t="s">
        <v>353</v>
      </c>
      <c r="D111" s="6" t="s">
        <v>45</v>
      </c>
      <c r="E111" s="6" t="s">
        <v>52</v>
      </c>
      <c r="F111" s="6" t="s">
        <v>100</v>
      </c>
      <c r="G111" s="6" t="s">
        <v>101</v>
      </c>
      <c r="H111" s="6">
        <v>2</v>
      </c>
      <c r="I111" s="6" t="s">
        <v>162</v>
      </c>
      <c r="J111" s="6" t="s">
        <v>163</v>
      </c>
      <c r="K111" s="6" t="s">
        <v>119</v>
      </c>
      <c r="L111" s="6" t="s">
        <v>42</v>
      </c>
      <c r="M111" s="6" t="s">
        <v>34</v>
      </c>
    </row>
    <row r="112" spans="1:13">
      <c r="A112" s="6" t="s">
        <v>354</v>
      </c>
      <c r="B112" s="7">
        <v>46102</v>
      </c>
      <c r="C112" s="6" t="s">
        <v>355</v>
      </c>
      <c r="D112" s="6" t="s">
        <v>127</v>
      </c>
      <c r="E112" s="6" t="s">
        <v>78</v>
      </c>
      <c r="F112" s="6" t="s">
        <v>100</v>
      </c>
      <c r="G112" s="6" t="s">
        <v>101</v>
      </c>
      <c r="H112" s="6">
        <v>1</v>
      </c>
      <c r="I112" s="6" t="s">
        <v>147</v>
      </c>
      <c r="J112" s="6" t="s">
        <v>147</v>
      </c>
      <c r="K112" s="6">
        <v>640</v>
      </c>
      <c r="L112" s="6" t="s">
        <v>33</v>
      </c>
      <c r="M112" s="6" t="s">
        <v>34</v>
      </c>
    </row>
    <row r="113" spans="1:13">
      <c r="A113" s="6" t="s">
        <v>356</v>
      </c>
      <c r="B113" s="7">
        <v>46190</v>
      </c>
      <c r="C113" s="6" t="s">
        <v>357</v>
      </c>
      <c r="D113" s="6" t="s">
        <v>77</v>
      </c>
      <c r="E113" s="6" t="s">
        <v>37</v>
      </c>
      <c r="F113" s="6" t="s">
        <v>100</v>
      </c>
      <c r="G113" s="6" t="s">
        <v>101</v>
      </c>
      <c r="H113" s="6">
        <v>1</v>
      </c>
      <c r="I113" s="6" t="s">
        <v>31</v>
      </c>
      <c r="J113" s="6" t="s">
        <v>31</v>
      </c>
      <c r="K113" s="6" t="s">
        <v>119</v>
      </c>
      <c r="L113" s="6" t="s">
        <v>42</v>
      </c>
      <c r="M113" s="6" t="s">
        <v>34</v>
      </c>
    </row>
    <row r="114" spans="1:13">
      <c r="A114" s="6" t="s">
        <v>358</v>
      </c>
      <c r="B114" s="7">
        <v>46050</v>
      </c>
      <c r="C114" s="6" t="s">
        <v>359</v>
      </c>
      <c r="D114" s="6" t="s">
        <v>57</v>
      </c>
      <c r="E114" s="6" t="s">
        <v>78</v>
      </c>
      <c r="F114" s="6" t="s">
        <v>47</v>
      </c>
      <c r="G114" s="6" t="s">
        <v>48</v>
      </c>
      <c r="H114" s="6">
        <v>3</v>
      </c>
      <c r="I114" s="6" t="s">
        <v>90</v>
      </c>
      <c r="J114" s="6" t="s">
        <v>102</v>
      </c>
      <c r="K114" s="6">
        <v>85</v>
      </c>
      <c r="L114" s="6" t="s">
        <v>42</v>
      </c>
      <c r="M114" s="6" t="s">
        <v>34</v>
      </c>
    </row>
    <row r="115" spans="1:13">
      <c r="A115" s="6" t="s">
        <v>360</v>
      </c>
      <c r="B115" s="7">
        <v>46159</v>
      </c>
      <c r="C115" s="6" t="s">
        <v>361</v>
      </c>
      <c r="D115" s="6" t="s">
        <v>57</v>
      </c>
      <c r="E115" s="6" t="s">
        <v>78</v>
      </c>
      <c r="F115" s="6" t="s">
        <v>29</v>
      </c>
      <c r="G115" s="6" t="s">
        <v>30</v>
      </c>
      <c r="H115" s="6">
        <v>1</v>
      </c>
      <c r="I115" s="6" t="s">
        <v>31</v>
      </c>
      <c r="J115" s="6" t="s">
        <v>31</v>
      </c>
      <c r="K115" s="6" t="s">
        <v>41</v>
      </c>
      <c r="L115" s="6" t="s">
        <v>42</v>
      </c>
      <c r="M115" s="6" t="s">
        <v>69</v>
      </c>
    </row>
    <row r="116" spans="1:13">
      <c r="A116" s="6" t="s">
        <v>362</v>
      </c>
      <c r="B116" s="7">
        <v>46029</v>
      </c>
      <c r="C116" s="6" t="s">
        <v>363</v>
      </c>
      <c r="D116" s="6" t="s">
        <v>45</v>
      </c>
      <c r="E116" s="6" t="s">
        <v>28</v>
      </c>
      <c r="F116" s="6" t="s">
        <v>47</v>
      </c>
      <c r="G116" s="6" t="s">
        <v>48</v>
      </c>
      <c r="H116" s="6">
        <v>3</v>
      </c>
      <c r="I116" s="6" t="s">
        <v>96</v>
      </c>
      <c r="J116" s="6" t="s">
        <v>97</v>
      </c>
      <c r="K116" s="6">
        <v>85</v>
      </c>
      <c r="L116" s="6" t="s">
        <v>33</v>
      </c>
      <c r="M116" s="6" t="s">
        <v>69</v>
      </c>
    </row>
    <row r="117" spans="1:13">
      <c r="A117" s="6" t="s">
        <v>364</v>
      </c>
      <c r="B117" s="7">
        <v>46134</v>
      </c>
      <c r="C117" s="6" t="s">
        <v>365</v>
      </c>
      <c r="D117" s="6" t="s">
        <v>105</v>
      </c>
      <c r="E117" s="6" t="s">
        <v>78</v>
      </c>
      <c r="F117" s="6" t="s">
        <v>53</v>
      </c>
      <c r="G117" s="6" t="s">
        <v>54</v>
      </c>
      <c r="H117" s="6">
        <v>1</v>
      </c>
      <c r="I117" s="6" t="s">
        <v>90</v>
      </c>
      <c r="J117" s="6" t="s">
        <v>90</v>
      </c>
      <c r="K117" s="6" t="s">
        <v>122</v>
      </c>
      <c r="L117" s="6" t="s">
        <v>42</v>
      </c>
      <c r="M117" s="6" t="s">
        <v>34</v>
      </c>
    </row>
    <row r="118" spans="1:13">
      <c r="A118" s="6" t="s">
        <v>366</v>
      </c>
      <c r="B118" s="7">
        <v>46198</v>
      </c>
      <c r="C118" s="6" t="s">
        <v>367</v>
      </c>
      <c r="D118" s="6" t="s">
        <v>105</v>
      </c>
      <c r="E118" s="6" t="s">
        <v>28</v>
      </c>
      <c r="F118" s="6" t="s">
        <v>29</v>
      </c>
      <c r="G118" s="6" t="s">
        <v>30</v>
      </c>
      <c r="H118" s="6">
        <v>1</v>
      </c>
      <c r="I118" s="6" t="s">
        <v>79</v>
      </c>
      <c r="J118" s="6" t="s">
        <v>79</v>
      </c>
      <c r="K118" s="6" t="s">
        <v>41</v>
      </c>
      <c r="L118" s="6" t="s">
        <v>42</v>
      </c>
      <c r="M118" s="6" t="s">
        <v>34</v>
      </c>
    </row>
    <row r="119" spans="1:13">
      <c r="A119" s="6" t="s">
        <v>368</v>
      </c>
      <c r="B119" s="7">
        <v>46182</v>
      </c>
      <c r="C119" s="6" t="s">
        <v>369</v>
      </c>
      <c r="D119" s="6" t="s">
        <v>64</v>
      </c>
      <c r="E119" s="6" t="s">
        <v>28</v>
      </c>
      <c r="F119" s="6" t="s">
        <v>100</v>
      </c>
      <c r="G119" s="6" t="s">
        <v>101</v>
      </c>
      <c r="H119" s="6">
        <v>1</v>
      </c>
      <c r="I119" s="6" t="s">
        <v>79</v>
      </c>
      <c r="J119" s="6" t="s">
        <v>370</v>
      </c>
      <c r="K119" s="6" t="s">
        <v>119</v>
      </c>
      <c r="L119" s="6" t="s">
        <v>42</v>
      </c>
      <c r="M119" s="6" t="s">
        <v>34</v>
      </c>
    </row>
    <row r="120" spans="1:13">
      <c r="A120" s="6" t="s">
        <v>371</v>
      </c>
      <c r="B120" s="7">
        <v>46069</v>
      </c>
      <c r="C120" s="6" t="s">
        <v>372</v>
      </c>
      <c r="D120" s="6" t="s">
        <v>45</v>
      </c>
      <c r="E120" s="6" t="s">
        <v>46</v>
      </c>
      <c r="F120" s="6" t="s">
        <v>85</v>
      </c>
      <c r="G120" s="6" t="s">
        <v>86</v>
      </c>
      <c r="H120" s="6">
        <v>1</v>
      </c>
      <c r="I120" s="6" t="s">
        <v>373</v>
      </c>
      <c r="J120" s="6" t="s">
        <v>79</v>
      </c>
      <c r="K120" s="6">
        <v>410</v>
      </c>
      <c r="L120" s="6" t="s">
        <v>42</v>
      </c>
      <c r="M120" s="6" t="s">
        <v>34</v>
      </c>
    </row>
    <row r="121" spans="1:13">
      <c r="A121" s="6" t="s">
        <v>374</v>
      </c>
      <c r="B121" s="7">
        <v>46154</v>
      </c>
      <c r="C121" s="6" t="s">
        <v>375</v>
      </c>
      <c r="D121" s="6" t="s">
        <v>57</v>
      </c>
      <c r="E121" s="6" t="s">
        <v>78</v>
      </c>
      <c r="F121" s="6" t="s">
        <v>53</v>
      </c>
      <c r="G121" s="6" t="s">
        <v>54</v>
      </c>
      <c r="H121" s="6">
        <v>3</v>
      </c>
      <c r="I121" s="6" t="s">
        <v>113</v>
      </c>
      <c r="J121" s="6" t="s">
        <v>138</v>
      </c>
      <c r="K121" s="6" t="s">
        <v>122</v>
      </c>
      <c r="L121" s="6" t="s">
        <v>42</v>
      </c>
      <c r="M121" s="6" t="s">
        <v>69</v>
      </c>
    </row>
    <row r="122" spans="1:13">
      <c r="A122" s="6" t="s">
        <v>376</v>
      </c>
      <c r="B122" s="7">
        <v>46033</v>
      </c>
      <c r="C122" s="6" t="s">
        <v>377</v>
      </c>
      <c r="D122" s="6" t="s">
        <v>27</v>
      </c>
      <c r="E122" s="6" t="s">
        <v>52</v>
      </c>
      <c r="F122" s="6" t="s">
        <v>100</v>
      </c>
      <c r="G122" s="6" t="s">
        <v>101</v>
      </c>
      <c r="H122" s="6">
        <v>1</v>
      </c>
      <c r="I122" s="6" t="s">
        <v>231</v>
      </c>
      <c r="J122" s="6" t="s">
        <v>231</v>
      </c>
      <c r="K122" s="6">
        <v>640</v>
      </c>
      <c r="L122" s="6" t="s">
        <v>42</v>
      </c>
      <c r="M122" s="6" t="s">
        <v>34</v>
      </c>
    </row>
    <row r="123" spans="1:13">
      <c r="A123" s="6" t="s">
        <v>378</v>
      </c>
      <c r="B123" s="7">
        <v>46059</v>
      </c>
      <c r="C123" s="6" t="s">
        <v>379</v>
      </c>
      <c r="D123" s="6" t="s">
        <v>45</v>
      </c>
      <c r="E123" s="6" t="s">
        <v>46</v>
      </c>
      <c r="F123" s="6" t="s">
        <v>47</v>
      </c>
      <c r="G123" s="6" t="s">
        <v>48</v>
      </c>
      <c r="H123" s="6">
        <v>1</v>
      </c>
      <c r="I123" s="6" t="s">
        <v>73</v>
      </c>
      <c r="J123" s="6" t="s">
        <v>73</v>
      </c>
      <c r="K123" s="6">
        <v>85</v>
      </c>
      <c r="L123" s="6" t="s">
        <v>42</v>
      </c>
      <c r="M123" s="6" t="s">
        <v>69</v>
      </c>
    </row>
    <row r="124" spans="1:13">
      <c r="A124" s="6" t="s">
        <v>380</v>
      </c>
      <c r="B124" s="7">
        <v>46043</v>
      </c>
      <c r="C124" s="6" t="s">
        <v>381</v>
      </c>
      <c r="D124" s="6" t="s">
        <v>45</v>
      </c>
      <c r="E124" s="6" t="s">
        <v>37</v>
      </c>
      <c r="F124" s="6" t="s">
        <v>29</v>
      </c>
      <c r="G124" s="6" t="s">
        <v>30</v>
      </c>
      <c r="H124" s="6">
        <v>3</v>
      </c>
      <c r="I124" s="6" t="s">
        <v>90</v>
      </c>
      <c r="J124" s="6" t="s">
        <v>102</v>
      </c>
      <c r="K124" s="6">
        <v>520</v>
      </c>
      <c r="L124" s="6" t="s">
        <v>42</v>
      </c>
      <c r="M124" s="6" t="s">
        <v>69</v>
      </c>
    </row>
    <row r="125" spans="1:13">
      <c r="A125" s="6" t="s">
        <v>382</v>
      </c>
      <c r="B125" s="7">
        <v>46068</v>
      </c>
      <c r="C125" s="6" t="s">
        <v>383</v>
      </c>
      <c r="D125" s="6" t="s">
        <v>57</v>
      </c>
      <c r="E125" s="6" t="s">
        <v>46</v>
      </c>
      <c r="F125" s="6" t="s">
        <v>94</v>
      </c>
      <c r="G125" s="6" t="s">
        <v>95</v>
      </c>
      <c r="H125" s="6">
        <v>2</v>
      </c>
      <c r="I125" s="6" t="s">
        <v>90</v>
      </c>
      <c r="J125" s="6" t="s">
        <v>154</v>
      </c>
      <c r="K125" s="6">
        <v>340</v>
      </c>
      <c r="L125" s="6" t="s">
        <v>42</v>
      </c>
      <c r="M125" s="6" t="s">
        <v>34</v>
      </c>
    </row>
    <row r="126" spans="1:13">
      <c r="A126" s="6" t="s">
        <v>384</v>
      </c>
      <c r="B126" s="7">
        <v>46089</v>
      </c>
      <c r="C126" s="6" t="s">
        <v>385</v>
      </c>
      <c r="D126" s="6" t="s">
        <v>64</v>
      </c>
      <c r="E126" s="6" t="s">
        <v>28</v>
      </c>
      <c r="F126" s="6" t="s">
        <v>100</v>
      </c>
      <c r="G126" s="6" t="s">
        <v>101</v>
      </c>
      <c r="H126" s="6">
        <v>3</v>
      </c>
      <c r="I126" s="6" t="s">
        <v>90</v>
      </c>
      <c r="J126" s="6" t="s">
        <v>97</v>
      </c>
      <c r="K126" s="6">
        <v>640</v>
      </c>
      <c r="L126" s="6" t="s">
        <v>42</v>
      </c>
      <c r="M126" s="6" t="s">
        <v>34</v>
      </c>
    </row>
    <row r="127" spans="1:13">
      <c r="A127" s="6" t="s">
        <v>386</v>
      </c>
      <c r="B127" s="7">
        <v>46122</v>
      </c>
      <c r="C127" s="6" t="s">
        <v>387</v>
      </c>
      <c r="D127" s="6" t="s">
        <v>110</v>
      </c>
      <c r="E127" s="6" t="s">
        <v>37</v>
      </c>
      <c r="F127" s="6" t="s">
        <v>53</v>
      </c>
      <c r="G127" s="6" t="s">
        <v>54</v>
      </c>
      <c r="H127" s="6">
        <v>1</v>
      </c>
      <c r="I127" s="6" t="s">
        <v>73</v>
      </c>
      <c r="J127" s="6" t="s">
        <v>73</v>
      </c>
      <c r="K127" s="6">
        <v>190</v>
      </c>
      <c r="L127" s="6" t="s">
        <v>33</v>
      </c>
      <c r="M127" s="6" t="s">
        <v>34</v>
      </c>
    </row>
    <row r="128" spans="1:13">
      <c r="A128" s="6" t="s">
        <v>388</v>
      </c>
      <c r="B128" s="7">
        <v>46101</v>
      </c>
      <c r="C128" s="6" t="s">
        <v>389</v>
      </c>
      <c r="D128" s="6" t="s">
        <v>127</v>
      </c>
      <c r="E128" s="6" t="s">
        <v>78</v>
      </c>
      <c r="F128" s="6" t="s">
        <v>29</v>
      </c>
      <c r="G128" s="6" t="s">
        <v>30</v>
      </c>
      <c r="H128" s="6">
        <v>3</v>
      </c>
      <c r="I128" s="6" t="s">
        <v>82</v>
      </c>
      <c r="J128" s="6" t="s">
        <v>390</v>
      </c>
      <c r="K128" s="6">
        <v>520</v>
      </c>
      <c r="L128" s="6" t="s">
        <v>42</v>
      </c>
      <c r="M128" s="6" t="s">
        <v>69</v>
      </c>
    </row>
    <row r="129" spans="1:13">
      <c r="A129" s="6" t="s">
        <v>391</v>
      </c>
      <c r="B129" s="6" t="s">
        <v>392</v>
      </c>
      <c r="C129" s="6" t="s">
        <v>381</v>
      </c>
      <c r="D129" s="6" t="s">
        <v>57</v>
      </c>
      <c r="E129" s="6" t="s">
        <v>46</v>
      </c>
      <c r="F129" s="6" t="s">
        <v>53</v>
      </c>
      <c r="G129" s="6" t="s">
        <v>54</v>
      </c>
      <c r="H129" s="6">
        <v>1</v>
      </c>
      <c r="I129" s="6" t="s">
        <v>143</v>
      </c>
      <c r="J129" s="6" t="s">
        <v>143</v>
      </c>
      <c r="K129" s="6">
        <v>190</v>
      </c>
      <c r="L129" s="6" t="s">
        <v>42</v>
      </c>
      <c r="M129" s="6" t="s">
        <v>34</v>
      </c>
    </row>
    <row r="130" spans="1:13">
      <c r="A130" s="6" t="s">
        <v>393</v>
      </c>
      <c r="B130" s="7">
        <v>46055</v>
      </c>
      <c r="C130" s="6" t="s">
        <v>394</v>
      </c>
      <c r="D130" s="6" t="s">
        <v>64</v>
      </c>
      <c r="E130" s="6" t="s">
        <v>78</v>
      </c>
      <c r="F130" s="6" t="s">
        <v>29</v>
      </c>
      <c r="G130" s="6" t="s">
        <v>30</v>
      </c>
      <c r="H130" s="6">
        <v>1</v>
      </c>
      <c r="I130" s="6" t="s">
        <v>181</v>
      </c>
      <c r="J130" s="6" t="s">
        <v>181</v>
      </c>
      <c r="K130" s="6">
        <v>520</v>
      </c>
      <c r="L130" s="6" t="s">
        <v>42</v>
      </c>
      <c r="M130" s="6" t="s">
        <v>34</v>
      </c>
    </row>
    <row r="131" spans="1:13">
      <c r="A131" s="6" t="s">
        <v>395</v>
      </c>
      <c r="B131" s="7">
        <v>46109</v>
      </c>
      <c r="C131" s="6" t="s">
        <v>396</v>
      </c>
      <c r="D131" s="6" t="s">
        <v>64</v>
      </c>
      <c r="E131" s="6" t="s">
        <v>37</v>
      </c>
      <c r="F131" s="6" t="s">
        <v>85</v>
      </c>
      <c r="G131" s="6" t="s">
        <v>86</v>
      </c>
      <c r="H131" s="6">
        <v>3</v>
      </c>
      <c r="I131" s="6" t="s">
        <v>147</v>
      </c>
      <c r="J131" s="6" t="s">
        <v>148</v>
      </c>
      <c r="K131" s="6">
        <v>410</v>
      </c>
      <c r="L131" s="6" t="s">
        <v>42</v>
      </c>
      <c r="M131" s="6" t="s">
        <v>34</v>
      </c>
    </row>
    <row r="132" spans="1:13">
      <c r="A132" s="6" t="s">
        <v>397</v>
      </c>
      <c r="B132" s="7">
        <v>46135</v>
      </c>
      <c r="C132" s="6" t="s">
        <v>398</v>
      </c>
      <c r="D132" s="6" t="s">
        <v>127</v>
      </c>
      <c r="E132" s="6" t="s">
        <v>52</v>
      </c>
      <c r="F132" s="6" t="s">
        <v>53</v>
      </c>
      <c r="G132" s="6" t="s">
        <v>54</v>
      </c>
      <c r="H132" s="6">
        <v>2</v>
      </c>
      <c r="I132" s="6" t="s">
        <v>117</v>
      </c>
      <c r="J132" s="6" t="s">
        <v>118</v>
      </c>
      <c r="K132" s="6" t="s">
        <v>122</v>
      </c>
      <c r="L132" s="6" t="s">
        <v>42</v>
      </c>
      <c r="M132" s="6" t="s">
        <v>34</v>
      </c>
    </row>
    <row r="133" spans="1:13">
      <c r="A133" s="6" t="s">
        <v>399</v>
      </c>
      <c r="B133" s="7">
        <v>46038</v>
      </c>
      <c r="C133" s="6" t="s">
        <v>400</v>
      </c>
      <c r="D133" s="6" t="s">
        <v>27</v>
      </c>
      <c r="E133" s="6" t="s">
        <v>78</v>
      </c>
      <c r="F133" s="6" t="s">
        <v>94</v>
      </c>
      <c r="G133" s="6" t="s">
        <v>95</v>
      </c>
      <c r="H133" s="6">
        <v>3</v>
      </c>
      <c r="I133" s="6" t="s">
        <v>265</v>
      </c>
      <c r="J133" s="6" t="s">
        <v>401</v>
      </c>
      <c r="K133" s="6">
        <v>340</v>
      </c>
      <c r="L133" s="6" t="s">
        <v>42</v>
      </c>
      <c r="M133" s="6" t="s">
        <v>34</v>
      </c>
    </row>
    <row r="134" spans="1:13">
      <c r="A134" s="6" t="s">
        <v>402</v>
      </c>
      <c r="B134" s="7">
        <v>46092</v>
      </c>
      <c r="C134" s="6" t="s">
        <v>345</v>
      </c>
      <c r="D134" s="6" t="s">
        <v>110</v>
      </c>
      <c r="E134" s="6" t="s">
        <v>52</v>
      </c>
      <c r="F134" s="6" t="s">
        <v>94</v>
      </c>
      <c r="G134" s="6" t="s">
        <v>95</v>
      </c>
      <c r="H134" s="6">
        <v>1</v>
      </c>
      <c r="I134" s="6" t="s">
        <v>82</v>
      </c>
      <c r="J134" s="6" t="s">
        <v>82</v>
      </c>
      <c r="K134" s="6">
        <v>340</v>
      </c>
      <c r="L134" s="6" t="s">
        <v>42</v>
      </c>
      <c r="M134" s="6" t="s">
        <v>69</v>
      </c>
    </row>
    <row r="135" spans="1:13">
      <c r="A135" s="6" t="s">
        <v>403</v>
      </c>
      <c r="B135" s="7">
        <v>46111</v>
      </c>
      <c r="C135" s="6" t="s">
        <v>202</v>
      </c>
      <c r="D135" s="6" t="s">
        <v>72</v>
      </c>
      <c r="E135" s="6" t="s">
        <v>28</v>
      </c>
      <c r="F135" s="6" t="s">
        <v>100</v>
      </c>
      <c r="G135" s="6" t="s">
        <v>101</v>
      </c>
      <c r="H135" s="6">
        <v>-1</v>
      </c>
      <c r="I135" s="6" t="s">
        <v>31</v>
      </c>
      <c r="J135" s="8" t="s">
        <v>404</v>
      </c>
      <c r="K135" s="6">
        <v>640</v>
      </c>
      <c r="L135" s="6" t="s">
        <v>42</v>
      </c>
      <c r="M135" s="6" t="s">
        <v>34</v>
      </c>
    </row>
    <row r="136" spans="1:13">
      <c r="A136" s="6" t="s">
        <v>405</v>
      </c>
      <c r="B136" s="7">
        <v>46142</v>
      </c>
      <c r="C136" s="6" t="s">
        <v>406</v>
      </c>
      <c r="D136" s="6" t="s">
        <v>110</v>
      </c>
      <c r="E136" s="6" t="s">
        <v>46</v>
      </c>
      <c r="F136" s="6" t="s">
        <v>53</v>
      </c>
      <c r="G136" s="6" t="s">
        <v>54</v>
      </c>
      <c r="H136" s="6">
        <v>3</v>
      </c>
      <c r="I136" s="6" t="s">
        <v>96</v>
      </c>
      <c r="J136" s="6" t="s">
        <v>97</v>
      </c>
      <c r="K136" s="6" t="s">
        <v>122</v>
      </c>
      <c r="L136" s="6" t="s">
        <v>42</v>
      </c>
      <c r="M136" s="6" t="s">
        <v>34</v>
      </c>
    </row>
    <row r="137" spans="1:13">
      <c r="A137" s="6" t="s">
        <v>407</v>
      </c>
      <c r="B137" s="7">
        <v>46142</v>
      </c>
      <c r="C137" s="6" t="s">
        <v>408</v>
      </c>
      <c r="D137" s="6" t="s">
        <v>57</v>
      </c>
      <c r="E137" s="6" t="s">
        <v>28</v>
      </c>
      <c r="F137" s="6" t="s">
        <v>29</v>
      </c>
      <c r="G137" s="6" t="s">
        <v>30</v>
      </c>
      <c r="H137" s="6">
        <v>2</v>
      </c>
      <c r="I137" s="6" t="s">
        <v>181</v>
      </c>
      <c r="J137" s="6" t="s">
        <v>163</v>
      </c>
      <c r="K137" s="6" t="s">
        <v>41</v>
      </c>
      <c r="L137" s="6" t="s">
        <v>33</v>
      </c>
      <c r="M137" s="6" t="s">
        <v>34</v>
      </c>
    </row>
    <row r="138" spans="1:13">
      <c r="A138" s="6" t="s">
        <v>409</v>
      </c>
      <c r="B138" s="7">
        <v>46206</v>
      </c>
      <c r="C138" s="6" t="s">
        <v>410</v>
      </c>
      <c r="D138" s="6" t="s">
        <v>110</v>
      </c>
      <c r="E138" s="6" t="s">
        <v>37</v>
      </c>
      <c r="F138" s="6" t="s">
        <v>29</v>
      </c>
      <c r="G138" s="6" t="s">
        <v>30</v>
      </c>
      <c r="H138" s="6">
        <v>2</v>
      </c>
      <c r="I138" s="6" t="s">
        <v>231</v>
      </c>
      <c r="J138" s="6" t="s">
        <v>232</v>
      </c>
      <c r="K138" s="6" t="s">
        <v>41</v>
      </c>
      <c r="L138" s="6" t="s">
        <v>42</v>
      </c>
      <c r="M138" s="6" t="s">
        <v>34</v>
      </c>
    </row>
    <row r="139" spans="1:13">
      <c r="A139" s="6" t="s">
        <v>411</v>
      </c>
      <c r="B139" s="7">
        <v>46182</v>
      </c>
      <c r="C139" s="6" t="s">
        <v>412</v>
      </c>
      <c r="D139" s="6" t="s">
        <v>77</v>
      </c>
      <c r="E139" s="6" t="s">
        <v>78</v>
      </c>
      <c r="F139" s="6" t="s">
        <v>100</v>
      </c>
      <c r="G139" s="6" t="s">
        <v>101</v>
      </c>
      <c r="H139" s="6">
        <v>2</v>
      </c>
      <c r="I139" s="6" t="s">
        <v>73</v>
      </c>
      <c r="J139" s="6" t="s">
        <v>74</v>
      </c>
      <c r="K139" s="6" t="s">
        <v>119</v>
      </c>
      <c r="L139" s="6" t="s">
        <v>42</v>
      </c>
      <c r="M139" s="6" t="s">
        <v>34</v>
      </c>
    </row>
    <row r="140" spans="1:13">
      <c r="A140" s="6" t="s">
        <v>413</v>
      </c>
      <c r="B140" s="7">
        <v>46171</v>
      </c>
      <c r="C140" s="6" t="s">
        <v>414</v>
      </c>
      <c r="D140" s="6" t="s">
        <v>64</v>
      </c>
      <c r="E140" s="6" t="s">
        <v>37</v>
      </c>
      <c r="F140" s="6" t="s">
        <v>100</v>
      </c>
      <c r="G140" s="6" t="s">
        <v>101</v>
      </c>
      <c r="H140" s="6">
        <v>2</v>
      </c>
      <c r="I140" s="6" t="s">
        <v>67</v>
      </c>
      <c r="J140" s="6" t="s">
        <v>204</v>
      </c>
      <c r="K140" s="6" t="s">
        <v>119</v>
      </c>
      <c r="L140" s="6" t="s">
        <v>42</v>
      </c>
      <c r="M140" s="6" t="s">
        <v>34</v>
      </c>
    </row>
    <row r="141" spans="1:13">
      <c r="A141" s="6" t="s">
        <v>415</v>
      </c>
      <c r="B141" s="7">
        <v>46028</v>
      </c>
      <c r="C141" s="6" t="s">
        <v>416</v>
      </c>
      <c r="D141" s="6" t="s">
        <v>110</v>
      </c>
      <c r="E141" s="6" t="s">
        <v>28</v>
      </c>
      <c r="F141" s="6" t="s">
        <v>47</v>
      </c>
      <c r="G141" s="6" t="s">
        <v>48</v>
      </c>
      <c r="H141" s="6">
        <v>1</v>
      </c>
      <c r="I141" s="6" t="s">
        <v>40</v>
      </c>
      <c r="J141" s="6" t="s">
        <v>40</v>
      </c>
      <c r="K141" s="6">
        <v>85</v>
      </c>
      <c r="L141" s="6" t="s">
        <v>42</v>
      </c>
      <c r="M141" s="6" t="s">
        <v>69</v>
      </c>
    </row>
    <row r="142" spans="1:13">
      <c r="A142" s="6" t="s">
        <v>417</v>
      </c>
      <c r="B142" s="7">
        <v>46161</v>
      </c>
      <c r="C142" s="6" t="s">
        <v>225</v>
      </c>
      <c r="D142" s="6" t="s">
        <v>72</v>
      </c>
      <c r="E142" s="6" t="s">
        <v>28</v>
      </c>
      <c r="F142" s="6" t="s">
        <v>85</v>
      </c>
      <c r="G142" s="6" t="s">
        <v>86</v>
      </c>
      <c r="H142" s="6">
        <v>1</v>
      </c>
      <c r="I142" s="6" t="s">
        <v>31</v>
      </c>
      <c r="J142" s="6" t="s">
        <v>31</v>
      </c>
      <c r="K142" s="6" t="s">
        <v>87</v>
      </c>
      <c r="L142" s="6" t="s">
        <v>42</v>
      </c>
      <c r="M142" s="6" t="s">
        <v>34</v>
      </c>
    </row>
    <row r="143" spans="1:13">
      <c r="A143" s="6" t="s">
        <v>418</v>
      </c>
      <c r="B143" s="7">
        <v>46068</v>
      </c>
      <c r="C143" s="6" t="s">
        <v>353</v>
      </c>
      <c r="D143" s="6" t="s">
        <v>110</v>
      </c>
      <c r="E143" s="6" t="s">
        <v>78</v>
      </c>
      <c r="F143" s="6" t="s">
        <v>94</v>
      </c>
      <c r="G143" s="6" t="s">
        <v>95</v>
      </c>
      <c r="H143" s="6">
        <v>2</v>
      </c>
      <c r="I143" s="6" t="s">
        <v>90</v>
      </c>
      <c r="J143" s="6" t="s">
        <v>154</v>
      </c>
      <c r="K143" s="6">
        <v>340</v>
      </c>
      <c r="L143" s="6" t="s">
        <v>33</v>
      </c>
      <c r="M143" s="6" t="s">
        <v>34</v>
      </c>
    </row>
    <row r="144" spans="1:13">
      <c r="A144" s="6" t="s">
        <v>419</v>
      </c>
      <c r="B144" s="7">
        <v>46132</v>
      </c>
      <c r="C144" s="6" t="s">
        <v>420</v>
      </c>
      <c r="D144" s="6" t="s">
        <v>57</v>
      </c>
      <c r="E144" s="6" t="s">
        <v>28</v>
      </c>
      <c r="F144" s="6" t="s">
        <v>29</v>
      </c>
      <c r="G144" s="6" t="s">
        <v>30</v>
      </c>
      <c r="H144" s="6">
        <v>3</v>
      </c>
      <c r="I144" s="6" t="s">
        <v>82</v>
      </c>
      <c r="J144" s="6" t="s">
        <v>390</v>
      </c>
      <c r="K144" s="6" t="s">
        <v>41</v>
      </c>
      <c r="L144" s="6" t="s">
        <v>42</v>
      </c>
      <c r="M144" s="6" t="s">
        <v>69</v>
      </c>
    </row>
    <row r="145" spans="1:13">
      <c r="A145" s="6" t="s">
        <v>421</v>
      </c>
      <c r="B145" s="7">
        <v>46155</v>
      </c>
      <c r="C145" s="6" t="s">
        <v>256</v>
      </c>
      <c r="D145" s="6" t="s">
        <v>27</v>
      </c>
      <c r="E145" s="6" t="s">
        <v>52</v>
      </c>
      <c r="F145" s="6" t="s">
        <v>94</v>
      </c>
      <c r="G145" s="6" t="s">
        <v>95</v>
      </c>
      <c r="H145" s="6">
        <v>1</v>
      </c>
      <c r="I145" s="6" t="s">
        <v>79</v>
      </c>
      <c r="J145" s="6" t="s">
        <v>79</v>
      </c>
      <c r="K145" s="6" t="s">
        <v>114</v>
      </c>
      <c r="L145" s="6" t="s">
        <v>42</v>
      </c>
      <c r="M145" s="6" t="s">
        <v>34</v>
      </c>
    </row>
    <row r="146" spans="1:13">
      <c r="A146" s="6" t="s">
        <v>422</v>
      </c>
      <c r="B146" s="7">
        <v>46180</v>
      </c>
      <c r="C146" s="6" t="s">
        <v>423</v>
      </c>
      <c r="D146" s="6" t="s">
        <v>72</v>
      </c>
      <c r="E146" s="6" t="s">
        <v>28</v>
      </c>
      <c r="F146" s="6" t="s">
        <v>38</v>
      </c>
      <c r="G146" s="6" t="s">
        <v>39</v>
      </c>
      <c r="H146" s="6">
        <v>1</v>
      </c>
      <c r="I146" s="6" t="s">
        <v>40</v>
      </c>
      <c r="J146" s="6" t="s">
        <v>40</v>
      </c>
      <c r="K146" s="6" t="s">
        <v>41</v>
      </c>
      <c r="L146" s="6" t="s">
        <v>42</v>
      </c>
      <c r="M146" s="6" t="s">
        <v>34</v>
      </c>
    </row>
    <row r="147" spans="1:13">
      <c r="A147" s="6" t="s">
        <v>424</v>
      </c>
      <c r="B147" s="7">
        <v>46144</v>
      </c>
      <c r="C147" s="6" t="s">
        <v>425</v>
      </c>
      <c r="D147" s="6" t="s">
        <v>45</v>
      </c>
      <c r="E147" s="6" t="s">
        <v>52</v>
      </c>
      <c r="F147" s="6" t="s">
        <v>53</v>
      </c>
      <c r="G147" s="6" t="s">
        <v>54</v>
      </c>
      <c r="H147" s="6">
        <v>2</v>
      </c>
      <c r="I147" s="6" t="s">
        <v>96</v>
      </c>
      <c r="J147" s="6" t="s">
        <v>278</v>
      </c>
      <c r="K147" s="6" t="s">
        <v>122</v>
      </c>
      <c r="L147" s="6" t="s">
        <v>42</v>
      </c>
      <c r="M147" s="6" t="s">
        <v>34</v>
      </c>
    </row>
    <row r="148" spans="1:13">
      <c r="A148" s="6" t="s">
        <v>426</v>
      </c>
      <c r="B148" s="7">
        <v>46077</v>
      </c>
      <c r="C148" s="6" t="s">
        <v>427</v>
      </c>
      <c r="D148" s="6" t="s">
        <v>72</v>
      </c>
      <c r="E148" s="6" t="s">
        <v>37</v>
      </c>
      <c r="F148" s="6" t="s">
        <v>38</v>
      </c>
      <c r="G148" s="6" t="s">
        <v>39</v>
      </c>
      <c r="H148" s="6">
        <v>1</v>
      </c>
      <c r="I148" s="6" t="s">
        <v>31</v>
      </c>
      <c r="J148" s="6" t="s">
        <v>31</v>
      </c>
      <c r="K148" s="6">
        <v>520</v>
      </c>
      <c r="L148" s="6" t="s">
        <v>42</v>
      </c>
      <c r="M148" s="6" t="s">
        <v>34</v>
      </c>
    </row>
    <row r="149" spans="1:13">
      <c r="A149" s="6" t="s">
        <v>428</v>
      </c>
      <c r="B149" s="7">
        <v>46089</v>
      </c>
      <c r="C149" s="6" t="s">
        <v>429</v>
      </c>
      <c r="D149" s="6" t="s">
        <v>45</v>
      </c>
      <c r="E149" s="6" t="s">
        <v>78</v>
      </c>
      <c r="F149" s="6" t="s">
        <v>29</v>
      </c>
      <c r="G149" s="6" t="s">
        <v>30</v>
      </c>
      <c r="H149" s="6">
        <v>1</v>
      </c>
      <c r="I149" s="6" t="s">
        <v>117</v>
      </c>
      <c r="J149" s="6" t="s">
        <v>117</v>
      </c>
      <c r="K149" s="6">
        <v>520</v>
      </c>
      <c r="L149" s="6" t="s">
        <v>42</v>
      </c>
      <c r="M149" s="6" t="s">
        <v>34</v>
      </c>
    </row>
    <row r="150" spans="1:13">
      <c r="A150" s="6" t="s">
        <v>430</v>
      </c>
      <c r="B150" s="7">
        <v>46086</v>
      </c>
      <c r="C150" s="6" t="s">
        <v>431</v>
      </c>
      <c r="D150" s="6" t="s">
        <v>105</v>
      </c>
      <c r="E150" s="6" t="s">
        <v>37</v>
      </c>
      <c r="F150" s="6" t="s">
        <v>53</v>
      </c>
      <c r="G150" s="6" t="s">
        <v>54</v>
      </c>
      <c r="H150" s="6">
        <v>-2</v>
      </c>
      <c r="I150" s="6" t="s">
        <v>90</v>
      </c>
      <c r="J150" s="8" t="s">
        <v>292</v>
      </c>
      <c r="K150" s="6">
        <v>190</v>
      </c>
      <c r="L150" s="6" t="s">
        <v>42</v>
      </c>
      <c r="M150" s="6" t="s">
        <v>34</v>
      </c>
    </row>
    <row r="151" spans="1:13">
      <c r="A151" s="6" t="s">
        <v>432</v>
      </c>
      <c r="B151" s="7">
        <v>46137</v>
      </c>
      <c r="C151" s="6" t="s">
        <v>433</v>
      </c>
      <c r="D151" s="6" t="s">
        <v>64</v>
      </c>
      <c r="E151" s="6" t="s">
        <v>52</v>
      </c>
      <c r="F151" s="6" t="s">
        <v>85</v>
      </c>
      <c r="G151" s="6" t="s">
        <v>86</v>
      </c>
      <c r="H151" s="6">
        <v>1</v>
      </c>
      <c r="I151" s="6" t="s">
        <v>31</v>
      </c>
      <c r="J151" s="6" t="s">
        <v>31</v>
      </c>
      <c r="K151" s="6" t="s">
        <v>87</v>
      </c>
      <c r="L151" s="6" t="s">
        <v>42</v>
      </c>
      <c r="M151" s="6" t="s">
        <v>69</v>
      </c>
    </row>
    <row r="152" spans="1:13">
      <c r="A152" s="6" t="s">
        <v>434</v>
      </c>
      <c r="B152" s="6" t="s">
        <v>435</v>
      </c>
      <c r="C152" s="6" t="s">
        <v>436</v>
      </c>
      <c r="D152" s="6" t="s">
        <v>45</v>
      </c>
      <c r="E152" s="6" t="s">
        <v>78</v>
      </c>
      <c r="F152" s="6" t="s">
        <v>100</v>
      </c>
      <c r="G152" s="6" t="s">
        <v>101</v>
      </c>
      <c r="H152" s="6">
        <v>2</v>
      </c>
      <c r="I152" s="6" t="s">
        <v>437</v>
      </c>
      <c r="J152" s="6" t="s">
        <v>327</v>
      </c>
      <c r="K152" s="6">
        <v>640</v>
      </c>
      <c r="L152" s="6" t="s">
        <v>42</v>
      </c>
      <c r="M152" s="6" t="s">
        <v>34</v>
      </c>
    </row>
    <row r="153" spans="1:13">
      <c r="A153" s="6" t="s">
        <v>438</v>
      </c>
      <c r="B153" s="7">
        <v>46155</v>
      </c>
      <c r="C153" s="6" t="s">
        <v>439</v>
      </c>
      <c r="D153" s="6" t="s">
        <v>105</v>
      </c>
      <c r="E153" s="6" t="s">
        <v>78</v>
      </c>
      <c r="F153" s="6" t="s">
        <v>85</v>
      </c>
      <c r="G153" s="6" t="s">
        <v>86</v>
      </c>
      <c r="H153" s="6">
        <v>3</v>
      </c>
      <c r="I153" s="6" t="s">
        <v>96</v>
      </c>
      <c r="J153" s="6" t="s">
        <v>97</v>
      </c>
      <c r="K153" s="6" t="s">
        <v>87</v>
      </c>
      <c r="L153" s="6" t="s">
        <v>42</v>
      </c>
      <c r="M153" s="6" t="s">
        <v>34</v>
      </c>
    </row>
    <row r="154" spans="1:13">
      <c r="A154" s="6" t="s">
        <v>440</v>
      </c>
      <c r="B154" s="7">
        <v>46031</v>
      </c>
      <c r="C154" s="6" t="s">
        <v>441</v>
      </c>
      <c r="D154" s="6" t="s">
        <v>57</v>
      </c>
      <c r="E154" s="6" t="s">
        <v>28</v>
      </c>
      <c r="F154" s="6" t="s">
        <v>53</v>
      </c>
      <c r="G154" s="6" t="s">
        <v>54</v>
      </c>
      <c r="H154" s="6">
        <v>1</v>
      </c>
      <c r="I154" s="6" t="s">
        <v>143</v>
      </c>
      <c r="J154" s="6" t="s">
        <v>143</v>
      </c>
      <c r="K154" s="6">
        <v>190</v>
      </c>
      <c r="L154" s="6" t="s">
        <v>42</v>
      </c>
      <c r="M154" s="6" t="s">
        <v>69</v>
      </c>
    </row>
    <row r="155" spans="1:13">
      <c r="A155" s="6" t="s">
        <v>442</v>
      </c>
      <c r="B155" s="7">
        <v>46164</v>
      </c>
      <c r="C155" s="6" t="s">
        <v>227</v>
      </c>
      <c r="D155" s="6" t="s">
        <v>57</v>
      </c>
      <c r="E155" s="6" t="s">
        <v>28</v>
      </c>
      <c r="F155" s="6" t="s">
        <v>58</v>
      </c>
      <c r="G155" s="6" t="s">
        <v>59</v>
      </c>
      <c r="H155" s="6">
        <v>3</v>
      </c>
      <c r="I155" s="6" t="s">
        <v>143</v>
      </c>
      <c r="J155" s="6" t="s">
        <v>243</v>
      </c>
      <c r="K155" s="6" t="s">
        <v>61</v>
      </c>
      <c r="L155" s="6" t="s">
        <v>33</v>
      </c>
      <c r="M155" s="6" t="s">
        <v>34</v>
      </c>
    </row>
    <row r="156" spans="1:13">
      <c r="A156" s="6" t="s">
        <v>443</v>
      </c>
      <c r="B156" s="7">
        <v>46199</v>
      </c>
      <c r="C156" s="6" t="s">
        <v>444</v>
      </c>
      <c r="D156" s="6" t="s">
        <v>45</v>
      </c>
      <c r="E156" s="6" t="s">
        <v>37</v>
      </c>
      <c r="F156" s="6" t="s">
        <v>47</v>
      </c>
      <c r="G156" s="6" t="s">
        <v>48</v>
      </c>
      <c r="H156" s="6">
        <v>1</v>
      </c>
      <c r="I156" s="6" t="s">
        <v>90</v>
      </c>
      <c r="J156" s="6" t="s">
        <v>90</v>
      </c>
      <c r="K156" s="6" t="s">
        <v>49</v>
      </c>
      <c r="L156" s="6" t="s">
        <v>42</v>
      </c>
      <c r="M156" s="6" t="s">
        <v>69</v>
      </c>
    </row>
    <row r="157" spans="1:13">
      <c r="A157" s="6" t="s">
        <v>445</v>
      </c>
      <c r="B157" s="7">
        <v>46029</v>
      </c>
      <c r="C157" s="6" t="s">
        <v>446</v>
      </c>
      <c r="D157" s="6" t="s">
        <v>127</v>
      </c>
      <c r="E157" s="6" t="s">
        <v>37</v>
      </c>
      <c r="F157" s="6" t="s">
        <v>58</v>
      </c>
      <c r="G157" s="6" t="s">
        <v>59</v>
      </c>
      <c r="H157" s="6">
        <v>3</v>
      </c>
      <c r="I157" s="6" t="s">
        <v>447</v>
      </c>
      <c r="J157" s="6" t="s">
        <v>448</v>
      </c>
      <c r="K157" s="6">
        <v>380</v>
      </c>
      <c r="L157" s="6" t="s">
        <v>42</v>
      </c>
      <c r="M157" s="6" t="s">
        <v>34</v>
      </c>
    </row>
    <row r="158" spans="1:13">
      <c r="A158" s="6" t="s">
        <v>449</v>
      </c>
      <c r="B158" s="7">
        <v>46082</v>
      </c>
      <c r="C158" s="6" t="s">
        <v>450</v>
      </c>
      <c r="D158" s="6" t="s">
        <v>127</v>
      </c>
      <c r="E158" s="6" t="s">
        <v>46</v>
      </c>
      <c r="F158" s="6" t="s">
        <v>85</v>
      </c>
      <c r="G158" s="6" t="s">
        <v>86</v>
      </c>
      <c r="H158" s="6">
        <v>3</v>
      </c>
      <c r="I158" s="6" t="s">
        <v>147</v>
      </c>
      <c r="J158" s="6" t="s">
        <v>148</v>
      </c>
      <c r="K158" s="6">
        <v>410</v>
      </c>
      <c r="L158" s="6" t="s">
        <v>42</v>
      </c>
      <c r="M158" s="6" t="s">
        <v>34</v>
      </c>
    </row>
    <row r="159" spans="1:13">
      <c r="A159" s="6" t="s">
        <v>451</v>
      </c>
      <c r="B159" s="7">
        <v>46058</v>
      </c>
      <c r="C159" s="6" t="s">
        <v>452</v>
      </c>
      <c r="D159" s="6" t="s">
        <v>127</v>
      </c>
      <c r="E159" s="6" t="s">
        <v>28</v>
      </c>
      <c r="F159" s="6" t="s">
        <v>85</v>
      </c>
      <c r="G159" s="6" t="s">
        <v>86</v>
      </c>
      <c r="H159" s="6">
        <v>1</v>
      </c>
      <c r="I159" s="6" t="s">
        <v>147</v>
      </c>
      <c r="J159" s="6" t="s">
        <v>147</v>
      </c>
      <c r="K159" s="6">
        <v>410</v>
      </c>
      <c r="L159" s="6" t="s">
        <v>42</v>
      </c>
      <c r="M159" s="6" t="s">
        <v>69</v>
      </c>
    </row>
    <row r="160" spans="1:13">
      <c r="A160" s="6" t="s">
        <v>453</v>
      </c>
      <c r="B160" s="7">
        <v>46039</v>
      </c>
      <c r="C160" s="6" t="s">
        <v>454</v>
      </c>
      <c r="D160" s="6" t="s">
        <v>64</v>
      </c>
      <c r="E160" s="6" t="s">
        <v>28</v>
      </c>
      <c r="F160" s="6" t="s">
        <v>53</v>
      </c>
      <c r="G160" s="6" t="s">
        <v>54</v>
      </c>
      <c r="H160" s="6">
        <v>1</v>
      </c>
      <c r="I160" s="6" t="s">
        <v>117</v>
      </c>
      <c r="J160" s="6" t="s">
        <v>117</v>
      </c>
      <c r="K160" s="6">
        <v>190</v>
      </c>
      <c r="L160" s="6" t="s">
        <v>42</v>
      </c>
      <c r="M160" s="6" t="s">
        <v>69</v>
      </c>
    </row>
    <row r="161" spans="1:13">
      <c r="A161" s="6" t="s">
        <v>455</v>
      </c>
      <c r="B161" s="7">
        <v>46329</v>
      </c>
      <c r="C161" s="6" t="s">
        <v>456</v>
      </c>
      <c r="D161" s="6" t="s">
        <v>77</v>
      </c>
      <c r="E161" s="6" t="s">
        <v>46</v>
      </c>
      <c r="F161" s="6" t="s">
        <v>85</v>
      </c>
      <c r="G161" s="6" t="s">
        <v>86</v>
      </c>
      <c r="H161" s="6">
        <v>1</v>
      </c>
      <c r="I161" s="6" t="s">
        <v>143</v>
      </c>
      <c r="J161" s="6" t="s">
        <v>143</v>
      </c>
      <c r="K161" s="6">
        <v>410</v>
      </c>
      <c r="L161" s="6" t="s">
        <v>42</v>
      </c>
      <c r="M161" s="6" t="s">
        <v>69</v>
      </c>
    </row>
    <row r="162" spans="1:13">
      <c r="A162" s="6" t="s">
        <v>457</v>
      </c>
      <c r="B162" s="7">
        <v>46057</v>
      </c>
      <c r="C162" s="6" t="s">
        <v>458</v>
      </c>
      <c r="D162" s="6" t="s">
        <v>57</v>
      </c>
      <c r="E162" s="6" t="s">
        <v>37</v>
      </c>
      <c r="F162" s="6" t="s">
        <v>85</v>
      </c>
      <c r="G162" s="6" t="s">
        <v>86</v>
      </c>
      <c r="H162" s="6">
        <v>2</v>
      </c>
      <c r="I162" s="6" t="s">
        <v>147</v>
      </c>
      <c r="J162" s="6" t="s">
        <v>459</v>
      </c>
      <c r="K162" s="6">
        <v>410</v>
      </c>
      <c r="L162" s="6" t="s">
        <v>42</v>
      </c>
      <c r="M162" s="6" t="s">
        <v>34</v>
      </c>
    </row>
    <row r="163" spans="1:13">
      <c r="A163" s="6" t="s">
        <v>460</v>
      </c>
      <c r="B163" s="7">
        <v>46122</v>
      </c>
      <c r="C163" s="6" t="s">
        <v>291</v>
      </c>
      <c r="D163" s="6" t="s">
        <v>72</v>
      </c>
      <c r="E163" s="6" t="s">
        <v>52</v>
      </c>
      <c r="F163" s="6" t="s">
        <v>53</v>
      </c>
      <c r="G163" s="6" t="s">
        <v>54</v>
      </c>
      <c r="H163" s="6">
        <v>1</v>
      </c>
      <c r="I163" s="6" t="s">
        <v>31</v>
      </c>
      <c r="J163" s="6" t="s">
        <v>231</v>
      </c>
      <c r="K163" s="6">
        <v>190</v>
      </c>
      <c r="L163" s="6" t="s">
        <v>42</v>
      </c>
      <c r="M163" s="6" t="s">
        <v>34</v>
      </c>
    </row>
    <row r="164" spans="1:13">
      <c r="A164" s="6" t="s">
        <v>461</v>
      </c>
      <c r="B164" s="7">
        <v>46145</v>
      </c>
      <c r="C164" s="6" t="s">
        <v>462</v>
      </c>
      <c r="D164" s="6" t="s">
        <v>110</v>
      </c>
      <c r="E164" s="6" t="s">
        <v>46</v>
      </c>
      <c r="F164" s="6" t="s">
        <v>100</v>
      </c>
      <c r="G164" s="6" t="s">
        <v>101</v>
      </c>
      <c r="H164" s="6">
        <v>3</v>
      </c>
      <c r="I164" s="6" t="s">
        <v>96</v>
      </c>
      <c r="J164" s="6" t="s">
        <v>97</v>
      </c>
      <c r="K164" s="6" t="s">
        <v>119</v>
      </c>
      <c r="L164" s="6" t="s">
        <v>42</v>
      </c>
      <c r="M164" s="6" t="s">
        <v>34</v>
      </c>
    </row>
    <row r="165" spans="1:13">
      <c r="A165" s="6" t="s">
        <v>463</v>
      </c>
      <c r="B165" s="7">
        <v>46199</v>
      </c>
      <c r="C165" s="6" t="s">
        <v>464</v>
      </c>
      <c r="D165" s="6" t="s">
        <v>72</v>
      </c>
      <c r="E165" s="6" t="s">
        <v>37</v>
      </c>
      <c r="F165" s="6" t="s">
        <v>47</v>
      </c>
      <c r="G165" s="6" t="s">
        <v>48</v>
      </c>
      <c r="H165" s="6">
        <v>2</v>
      </c>
      <c r="I165" s="6" t="s">
        <v>40</v>
      </c>
      <c r="J165" s="6" t="s">
        <v>327</v>
      </c>
      <c r="K165" s="6" t="s">
        <v>49</v>
      </c>
      <c r="L165" s="6" t="s">
        <v>42</v>
      </c>
      <c r="M165" s="6" t="s">
        <v>69</v>
      </c>
    </row>
    <row r="166" spans="1:13">
      <c r="A166" s="6" t="s">
        <v>465</v>
      </c>
      <c r="B166" s="7">
        <v>46062</v>
      </c>
      <c r="C166" s="6" t="s">
        <v>466</v>
      </c>
      <c r="D166" s="6" t="s">
        <v>72</v>
      </c>
      <c r="E166" s="6" t="s">
        <v>78</v>
      </c>
      <c r="F166" s="6" t="s">
        <v>100</v>
      </c>
      <c r="G166" s="6" t="s">
        <v>101</v>
      </c>
      <c r="H166" s="6">
        <v>1</v>
      </c>
      <c r="I166" s="6" t="s">
        <v>31</v>
      </c>
      <c r="J166" s="6" t="s">
        <v>31</v>
      </c>
      <c r="K166" s="6">
        <v>640</v>
      </c>
      <c r="L166" s="6" t="s">
        <v>42</v>
      </c>
      <c r="M166" s="6" t="s">
        <v>34</v>
      </c>
    </row>
    <row r="167" spans="1:13">
      <c r="A167" s="6" t="s">
        <v>467</v>
      </c>
      <c r="B167" s="7">
        <v>46071</v>
      </c>
      <c r="C167" s="6" t="s">
        <v>468</v>
      </c>
      <c r="D167" s="6" t="s">
        <v>64</v>
      </c>
      <c r="E167" s="6" t="s">
        <v>78</v>
      </c>
      <c r="F167" s="6" t="s">
        <v>58</v>
      </c>
      <c r="G167" s="6" t="s">
        <v>59</v>
      </c>
      <c r="H167" s="6">
        <v>1</v>
      </c>
      <c r="I167" s="6" t="s">
        <v>31</v>
      </c>
      <c r="J167" s="6" t="s">
        <v>31</v>
      </c>
      <c r="K167" s="6">
        <v>380</v>
      </c>
      <c r="L167" s="6" t="s">
        <v>42</v>
      </c>
      <c r="M167" s="6" t="s">
        <v>34</v>
      </c>
    </row>
    <row r="168" spans="1:13">
      <c r="A168" s="6" t="s">
        <v>469</v>
      </c>
      <c r="B168" s="7">
        <v>46166</v>
      </c>
      <c r="C168" s="6" t="s">
        <v>470</v>
      </c>
      <c r="D168" s="6" t="s">
        <v>64</v>
      </c>
      <c r="E168" s="6" t="s">
        <v>52</v>
      </c>
      <c r="F168" s="6" t="s">
        <v>100</v>
      </c>
      <c r="G168" s="6" t="s">
        <v>101</v>
      </c>
      <c r="H168" s="6">
        <v>1</v>
      </c>
      <c r="I168" s="6" t="s">
        <v>82</v>
      </c>
      <c r="J168" s="6" t="s">
        <v>471</v>
      </c>
      <c r="K168" s="6" t="s">
        <v>119</v>
      </c>
      <c r="L168" s="6" t="s">
        <v>42</v>
      </c>
      <c r="M168" s="6" t="s">
        <v>69</v>
      </c>
    </row>
    <row r="169" spans="1:13">
      <c r="A169" s="6" t="s">
        <v>472</v>
      </c>
      <c r="B169" s="7">
        <v>46199</v>
      </c>
      <c r="C169" s="6" t="s">
        <v>473</v>
      </c>
      <c r="D169" s="6" t="s">
        <v>77</v>
      </c>
      <c r="E169" s="6" t="s">
        <v>37</v>
      </c>
      <c r="F169" s="6" t="s">
        <v>47</v>
      </c>
      <c r="G169" s="6" t="s">
        <v>48</v>
      </c>
      <c r="H169" s="6">
        <v>1</v>
      </c>
      <c r="I169" s="6" t="s">
        <v>143</v>
      </c>
      <c r="J169" s="6" t="s">
        <v>143</v>
      </c>
      <c r="K169" s="6" t="s">
        <v>49</v>
      </c>
      <c r="L169" s="6" t="s">
        <v>42</v>
      </c>
      <c r="M169" s="6" t="s">
        <v>34</v>
      </c>
    </row>
    <row r="170" spans="1:13">
      <c r="A170" s="6" t="s">
        <v>474</v>
      </c>
      <c r="B170" s="7">
        <v>46033</v>
      </c>
      <c r="C170" s="6" t="s">
        <v>475</v>
      </c>
      <c r="D170" s="6" t="s">
        <v>72</v>
      </c>
      <c r="E170" s="6" t="s">
        <v>52</v>
      </c>
      <c r="F170" s="6" t="s">
        <v>29</v>
      </c>
      <c r="G170" s="6" t="s">
        <v>30</v>
      </c>
      <c r="H170" s="6">
        <v>2</v>
      </c>
      <c r="I170" s="6" t="s">
        <v>181</v>
      </c>
      <c r="J170" s="6" t="s">
        <v>163</v>
      </c>
      <c r="K170" s="6">
        <v>520</v>
      </c>
      <c r="L170" s="6" t="s">
        <v>42</v>
      </c>
      <c r="M170" s="6" t="s">
        <v>34</v>
      </c>
    </row>
    <row r="171" spans="1:13">
      <c r="A171" s="6" t="s">
        <v>476</v>
      </c>
      <c r="B171" s="7">
        <v>46150</v>
      </c>
      <c r="C171" s="6" t="s">
        <v>477</v>
      </c>
      <c r="D171" s="6" t="s">
        <v>77</v>
      </c>
      <c r="E171" s="6" t="s">
        <v>78</v>
      </c>
      <c r="F171" s="6" t="s">
        <v>38</v>
      </c>
      <c r="G171" s="6" t="s">
        <v>39</v>
      </c>
      <c r="H171" s="6">
        <v>2</v>
      </c>
      <c r="I171" s="6" t="s">
        <v>143</v>
      </c>
      <c r="J171" s="6" t="s">
        <v>144</v>
      </c>
      <c r="K171" s="6" t="s">
        <v>41</v>
      </c>
      <c r="L171" s="6" t="s">
        <v>42</v>
      </c>
      <c r="M171" s="6" t="s">
        <v>69</v>
      </c>
    </row>
    <row r="172" spans="1:13">
      <c r="A172" s="6" t="s">
        <v>478</v>
      </c>
      <c r="B172" s="7">
        <v>46054</v>
      </c>
      <c r="C172" s="6" t="s">
        <v>479</v>
      </c>
      <c r="D172" s="6" t="s">
        <v>77</v>
      </c>
      <c r="E172" s="6" t="s">
        <v>78</v>
      </c>
      <c r="F172" s="6" t="s">
        <v>47</v>
      </c>
      <c r="G172" s="6" t="s">
        <v>48</v>
      </c>
      <c r="H172" s="6">
        <v>3</v>
      </c>
      <c r="I172" s="6" t="s">
        <v>117</v>
      </c>
      <c r="J172" s="6" t="s">
        <v>171</v>
      </c>
      <c r="K172" s="6">
        <v>85</v>
      </c>
      <c r="L172" s="6" t="s">
        <v>42</v>
      </c>
      <c r="M172" s="6" t="s">
        <v>34</v>
      </c>
    </row>
    <row r="173" spans="1:13">
      <c r="A173" s="6" t="s">
        <v>480</v>
      </c>
      <c r="B173" s="6" t="s">
        <v>481</v>
      </c>
      <c r="C173" s="6" t="s">
        <v>482</v>
      </c>
      <c r="D173" s="6" t="s">
        <v>77</v>
      </c>
      <c r="E173" s="6" t="s">
        <v>46</v>
      </c>
      <c r="F173" s="6" t="s">
        <v>38</v>
      </c>
      <c r="G173" s="6" t="s">
        <v>39</v>
      </c>
      <c r="H173" s="6">
        <v>2</v>
      </c>
      <c r="I173" s="6" t="s">
        <v>82</v>
      </c>
      <c r="J173" s="6" t="s">
        <v>297</v>
      </c>
      <c r="K173" s="6">
        <v>520</v>
      </c>
      <c r="L173" s="6" t="s">
        <v>33</v>
      </c>
      <c r="M173" s="6" t="s">
        <v>69</v>
      </c>
    </row>
    <row r="174" spans="1:13">
      <c r="A174" s="6" t="s">
        <v>483</v>
      </c>
      <c r="B174" s="7">
        <v>46140</v>
      </c>
      <c r="C174" s="6" t="s">
        <v>484</v>
      </c>
      <c r="D174" s="6" t="s">
        <v>45</v>
      </c>
      <c r="E174" s="6" t="s">
        <v>37</v>
      </c>
      <c r="F174" s="6" t="s">
        <v>100</v>
      </c>
      <c r="G174" s="6" t="s">
        <v>101</v>
      </c>
      <c r="H174" s="6">
        <v>1</v>
      </c>
      <c r="I174" s="6" t="s">
        <v>79</v>
      </c>
      <c r="J174" s="6" t="s">
        <v>79</v>
      </c>
      <c r="K174" s="6" t="s">
        <v>119</v>
      </c>
      <c r="L174" s="6" t="s">
        <v>42</v>
      </c>
      <c r="M174" s="6" t="s">
        <v>69</v>
      </c>
    </row>
    <row r="175" spans="1:13">
      <c r="A175" s="6" t="s">
        <v>485</v>
      </c>
      <c r="B175" s="7">
        <v>46065</v>
      </c>
      <c r="C175" s="6" t="s">
        <v>486</v>
      </c>
      <c r="D175" s="6" t="s">
        <v>45</v>
      </c>
      <c r="E175" s="6" t="s">
        <v>52</v>
      </c>
      <c r="F175" s="6" t="s">
        <v>29</v>
      </c>
      <c r="G175" s="6" t="s">
        <v>30</v>
      </c>
      <c r="H175" s="6">
        <v>3</v>
      </c>
      <c r="I175" s="6" t="s">
        <v>117</v>
      </c>
      <c r="J175" s="6" t="s">
        <v>171</v>
      </c>
      <c r="K175" s="6">
        <v>520</v>
      </c>
      <c r="L175" s="6" t="s">
        <v>42</v>
      </c>
      <c r="M175" s="6" t="s">
        <v>34</v>
      </c>
    </row>
    <row r="176" spans="1:13">
      <c r="A176" s="6" t="s">
        <v>487</v>
      </c>
      <c r="B176" s="7">
        <v>46199</v>
      </c>
      <c r="C176" s="6" t="s">
        <v>488</v>
      </c>
      <c r="D176" s="6" t="s">
        <v>77</v>
      </c>
      <c r="E176" s="6" t="s">
        <v>52</v>
      </c>
      <c r="F176" s="6" t="s">
        <v>58</v>
      </c>
      <c r="G176" s="6" t="s">
        <v>59</v>
      </c>
      <c r="H176" s="6">
        <v>1</v>
      </c>
      <c r="I176" s="6" t="s">
        <v>73</v>
      </c>
      <c r="J176" s="6" t="s">
        <v>73</v>
      </c>
      <c r="K176" s="6" t="s">
        <v>61</v>
      </c>
      <c r="L176" s="6" t="s">
        <v>42</v>
      </c>
      <c r="M176" s="6" t="s">
        <v>34</v>
      </c>
    </row>
    <row r="177" spans="1:13">
      <c r="A177" s="6" t="s">
        <v>489</v>
      </c>
      <c r="B177" s="7">
        <v>46075</v>
      </c>
      <c r="C177" s="6" t="s">
        <v>406</v>
      </c>
      <c r="D177" s="6" t="s">
        <v>45</v>
      </c>
      <c r="E177" s="6" t="s">
        <v>46</v>
      </c>
      <c r="F177" s="6" t="s">
        <v>58</v>
      </c>
      <c r="G177" s="6" t="s">
        <v>59</v>
      </c>
      <c r="H177" s="6">
        <v>2</v>
      </c>
      <c r="I177" s="6" t="s">
        <v>490</v>
      </c>
      <c r="J177" s="6" t="s">
        <v>297</v>
      </c>
      <c r="K177" s="6">
        <v>380</v>
      </c>
      <c r="L177" s="6" t="s">
        <v>42</v>
      </c>
      <c r="M177" s="6" t="s">
        <v>69</v>
      </c>
    </row>
    <row r="178" spans="1:13">
      <c r="A178" s="6" t="s">
        <v>491</v>
      </c>
      <c r="B178" s="7">
        <v>46176</v>
      </c>
      <c r="C178" s="6" t="s">
        <v>492</v>
      </c>
      <c r="D178" s="6" t="s">
        <v>27</v>
      </c>
      <c r="E178" s="6" t="s">
        <v>46</v>
      </c>
      <c r="F178" s="6" t="s">
        <v>38</v>
      </c>
      <c r="G178" s="6" t="s">
        <v>39</v>
      </c>
      <c r="H178" s="6">
        <v>3</v>
      </c>
      <c r="I178" s="6" t="s">
        <v>143</v>
      </c>
      <c r="J178" s="6" t="s">
        <v>243</v>
      </c>
      <c r="K178" s="6" t="s">
        <v>41</v>
      </c>
      <c r="L178" s="6" t="s">
        <v>33</v>
      </c>
      <c r="M178" s="6" t="s">
        <v>34</v>
      </c>
    </row>
    <row r="179" spans="1:13">
      <c r="A179" s="6" t="s">
        <v>493</v>
      </c>
      <c r="B179" s="7">
        <v>46114</v>
      </c>
      <c r="C179" s="6" t="s">
        <v>494</v>
      </c>
      <c r="D179" s="6" t="s">
        <v>64</v>
      </c>
      <c r="E179" s="6" t="s">
        <v>78</v>
      </c>
      <c r="F179" s="6" t="s">
        <v>58</v>
      </c>
      <c r="G179" s="6" t="s">
        <v>59</v>
      </c>
      <c r="H179" s="6">
        <v>2</v>
      </c>
      <c r="I179" s="6" t="s">
        <v>147</v>
      </c>
      <c r="J179" s="6" t="s">
        <v>175</v>
      </c>
      <c r="K179" s="6">
        <v>380</v>
      </c>
      <c r="L179" s="6" t="s">
        <v>42</v>
      </c>
      <c r="M179" s="6" t="s">
        <v>34</v>
      </c>
    </row>
    <row r="180" spans="1:13">
      <c r="A180" s="6" t="s">
        <v>495</v>
      </c>
      <c r="B180" s="7">
        <v>46031</v>
      </c>
      <c r="C180" s="6" t="s">
        <v>496</v>
      </c>
      <c r="D180" s="6" t="s">
        <v>57</v>
      </c>
      <c r="E180" s="6" t="s">
        <v>28</v>
      </c>
      <c r="F180" s="6" t="s">
        <v>85</v>
      </c>
      <c r="G180" s="6" t="s">
        <v>86</v>
      </c>
      <c r="H180" s="6">
        <v>1</v>
      </c>
      <c r="I180" s="6" t="s">
        <v>96</v>
      </c>
      <c r="J180" s="6" t="s">
        <v>96</v>
      </c>
      <c r="K180" s="6">
        <v>410</v>
      </c>
      <c r="L180" s="6" t="s">
        <v>42</v>
      </c>
      <c r="M180" s="6" t="s">
        <v>34</v>
      </c>
    </row>
    <row r="181" spans="1:13">
      <c r="A181" s="6" t="s">
        <v>497</v>
      </c>
      <c r="B181" s="7">
        <v>46192</v>
      </c>
      <c r="C181" s="6" t="s">
        <v>498</v>
      </c>
      <c r="D181" s="6" t="s">
        <v>77</v>
      </c>
      <c r="E181" s="6" t="s">
        <v>78</v>
      </c>
      <c r="F181" s="6" t="s">
        <v>53</v>
      </c>
      <c r="G181" s="6" t="s">
        <v>54</v>
      </c>
      <c r="H181" s="6">
        <v>3</v>
      </c>
      <c r="I181" s="6" t="s">
        <v>73</v>
      </c>
      <c r="J181" s="6" t="s">
        <v>499</v>
      </c>
      <c r="K181" s="6" t="s">
        <v>122</v>
      </c>
      <c r="L181" s="6" t="s">
        <v>33</v>
      </c>
      <c r="M181" s="6" t="s">
        <v>34</v>
      </c>
    </row>
    <row r="182" spans="1:13">
      <c r="A182" s="6" t="s">
        <v>500</v>
      </c>
      <c r="B182" s="7">
        <v>46030</v>
      </c>
      <c r="C182" s="6" t="s">
        <v>501</v>
      </c>
      <c r="D182" s="6" t="s">
        <v>45</v>
      </c>
      <c r="E182" s="6" t="s">
        <v>78</v>
      </c>
      <c r="F182" s="6" t="s">
        <v>38</v>
      </c>
      <c r="G182" s="6" t="s">
        <v>39</v>
      </c>
      <c r="H182" s="6">
        <v>1</v>
      </c>
      <c r="I182" s="6" t="s">
        <v>79</v>
      </c>
      <c r="J182" s="6" t="s">
        <v>79</v>
      </c>
      <c r="K182" s="6">
        <v>520</v>
      </c>
      <c r="L182" s="6" t="s">
        <v>42</v>
      </c>
      <c r="M182" s="6" t="s">
        <v>34</v>
      </c>
    </row>
    <row r="183" spans="1:13">
      <c r="A183" s="6" t="s">
        <v>502</v>
      </c>
      <c r="B183" s="7">
        <v>46155</v>
      </c>
      <c r="C183" s="6" t="s">
        <v>503</v>
      </c>
      <c r="D183" s="6" t="s">
        <v>45</v>
      </c>
      <c r="E183" s="6" t="s">
        <v>78</v>
      </c>
      <c r="F183" s="6" t="s">
        <v>38</v>
      </c>
      <c r="G183" s="6" t="s">
        <v>39</v>
      </c>
      <c r="H183" s="6">
        <v>1</v>
      </c>
      <c r="I183" s="6" t="s">
        <v>31</v>
      </c>
      <c r="J183" s="6" t="s">
        <v>31</v>
      </c>
      <c r="K183" s="6" t="s">
        <v>41</v>
      </c>
      <c r="L183" s="6" t="s">
        <v>42</v>
      </c>
      <c r="M183" s="6" t="s">
        <v>34</v>
      </c>
    </row>
    <row r="184" spans="1:13">
      <c r="A184" s="6" t="s">
        <v>504</v>
      </c>
      <c r="B184" s="7">
        <v>46197</v>
      </c>
      <c r="C184" s="6" t="s">
        <v>450</v>
      </c>
      <c r="D184" s="6" t="s">
        <v>105</v>
      </c>
      <c r="E184" s="6" t="s">
        <v>28</v>
      </c>
      <c r="F184" s="6" t="s">
        <v>47</v>
      </c>
      <c r="G184" s="6" t="s">
        <v>48</v>
      </c>
      <c r="H184" s="6">
        <v>3</v>
      </c>
      <c r="I184" s="6" t="s">
        <v>231</v>
      </c>
      <c r="J184" s="6" t="s">
        <v>505</v>
      </c>
      <c r="K184" s="6" t="s">
        <v>49</v>
      </c>
      <c r="L184" s="6" t="s">
        <v>33</v>
      </c>
      <c r="M184" s="6" t="s">
        <v>34</v>
      </c>
    </row>
    <row r="185" spans="1:13">
      <c r="A185" s="6" t="s">
        <v>506</v>
      </c>
      <c r="B185" s="7">
        <v>46058</v>
      </c>
      <c r="C185" s="6" t="s">
        <v>507</v>
      </c>
      <c r="D185" s="6" t="s">
        <v>105</v>
      </c>
      <c r="E185" s="6" t="s">
        <v>46</v>
      </c>
      <c r="F185" s="6" t="s">
        <v>100</v>
      </c>
      <c r="G185" s="6" t="s">
        <v>101</v>
      </c>
      <c r="H185" s="6">
        <v>1</v>
      </c>
      <c r="I185" s="6" t="s">
        <v>82</v>
      </c>
      <c r="J185" s="6" t="s">
        <v>82</v>
      </c>
      <c r="K185" s="6">
        <v>640</v>
      </c>
      <c r="L185" s="6" t="s">
        <v>42</v>
      </c>
      <c r="M185" s="6" t="s">
        <v>34</v>
      </c>
    </row>
    <row r="186" spans="1:13">
      <c r="A186" s="6" t="s">
        <v>508</v>
      </c>
      <c r="B186" s="7">
        <v>46102</v>
      </c>
      <c r="C186" s="6" t="s">
        <v>509</v>
      </c>
      <c r="D186" s="6" t="s">
        <v>27</v>
      </c>
      <c r="E186" s="6" t="s">
        <v>37</v>
      </c>
      <c r="F186" s="6" t="s">
        <v>94</v>
      </c>
      <c r="G186" s="6" t="s">
        <v>95</v>
      </c>
      <c r="H186" s="6">
        <v>2</v>
      </c>
      <c r="I186" s="6" t="s">
        <v>31</v>
      </c>
      <c r="J186" s="6" t="s">
        <v>249</v>
      </c>
      <c r="K186" s="6">
        <v>340</v>
      </c>
      <c r="L186" s="6" t="s">
        <v>33</v>
      </c>
      <c r="M186" s="6" t="s">
        <v>69</v>
      </c>
    </row>
    <row r="187" spans="1:13">
      <c r="A187" s="6" t="s">
        <v>510</v>
      </c>
      <c r="B187" s="7">
        <v>46170</v>
      </c>
      <c r="C187" s="6" t="s">
        <v>291</v>
      </c>
      <c r="D187" s="6" t="s">
        <v>110</v>
      </c>
      <c r="E187" s="6" t="s">
        <v>52</v>
      </c>
      <c r="F187" s="6" t="s">
        <v>58</v>
      </c>
      <c r="G187" s="6" t="s">
        <v>59</v>
      </c>
      <c r="H187" s="6">
        <v>1</v>
      </c>
      <c r="I187" s="6" t="s">
        <v>511</v>
      </c>
      <c r="J187" s="6" t="s">
        <v>231</v>
      </c>
      <c r="K187" s="6" t="s">
        <v>61</v>
      </c>
      <c r="L187" s="6" t="s">
        <v>42</v>
      </c>
      <c r="M187" s="6" t="s">
        <v>34</v>
      </c>
    </row>
    <row r="188" spans="1:13">
      <c r="A188" s="6" t="s">
        <v>512</v>
      </c>
      <c r="B188" s="7">
        <v>46078</v>
      </c>
      <c r="C188" s="6" t="s">
        <v>513</v>
      </c>
      <c r="D188" s="6" t="s">
        <v>72</v>
      </c>
      <c r="E188" s="6" t="s">
        <v>52</v>
      </c>
      <c r="F188" s="6" t="s">
        <v>85</v>
      </c>
      <c r="G188" s="6" t="s">
        <v>86</v>
      </c>
      <c r="H188" s="6">
        <v>1</v>
      </c>
      <c r="I188" s="6" t="s">
        <v>31</v>
      </c>
      <c r="J188" s="6" t="s">
        <v>31</v>
      </c>
      <c r="K188" s="6">
        <v>410</v>
      </c>
      <c r="L188" s="6" t="s">
        <v>42</v>
      </c>
      <c r="M188" s="6" t="s">
        <v>69</v>
      </c>
    </row>
    <row r="189" spans="1:13">
      <c r="A189" s="6" t="s">
        <v>514</v>
      </c>
      <c r="B189" s="7">
        <v>46103</v>
      </c>
      <c r="C189" s="6" t="s">
        <v>515</v>
      </c>
      <c r="D189" s="6" t="s">
        <v>72</v>
      </c>
      <c r="E189" s="6" t="s">
        <v>52</v>
      </c>
      <c r="F189" s="6" t="s">
        <v>100</v>
      </c>
      <c r="G189" s="6" t="s">
        <v>101</v>
      </c>
      <c r="H189" s="6">
        <v>3</v>
      </c>
      <c r="I189" s="6" t="s">
        <v>117</v>
      </c>
      <c r="J189" s="6" t="s">
        <v>171</v>
      </c>
      <c r="K189" s="6">
        <v>640</v>
      </c>
      <c r="L189" s="6" t="s">
        <v>42</v>
      </c>
      <c r="M189" s="6" t="s">
        <v>69</v>
      </c>
    </row>
    <row r="190" spans="1:13">
      <c r="A190" s="6" t="s">
        <v>516</v>
      </c>
      <c r="B190" s="7">
        <v>46110</v>
      </c>
      <c r="C190" s="6" t="s">
        <v>517</v>
      </c>
      <c r="D190" s="6" t="s">
        <v>27</v>
      </c>
      <c r="E190" s="6" t="s">
        <v>78</v>
      </c>
      <c r="F190" s="6" t="s">
        <v>85</v>
      </c>
      <c r="G190" s="6" t="s">
        <v>86</v>
      </c>
      <c r="H190" s="6">
        <v>3</v>
      </c>
      <c r="I190" s="6" t="s">
        <v>82</v>
      </c>
      <c r="J190" s="6" t="s">
        <v>390</v>
      </c>
      <c r="K190" s="6">
        <v>410</v>
      </c>
      <c r="L190" s="6" t="s">
        <v>42</v>
      </c>
      <c r="M190" s="6" t="s">
        <v>34</v>
      </c>
    </row>
    <row r="191" spans="1:13">
      <c r="A191" s="6" t="s">
        <v>518</v>
      </c>
      <c r="B191" s="7">
        <v>46094</v>
      </c>
      <c r="C191" s="6" t="s">
        <v>446</v>
      </c>
      <c r="D191" s="6" t="s">
        <v>57</v>
      </c>
      <c r="E191" s="6" t="s">
        <v>37</v>
      </c>
      <c r="F191" s="6" t="s">
        <v>58</v>
      </c>
      <c r="G191" s="6" t="s">
        <v>59</v>
      </c>
      <c r="H191" s="6">
        <v>2</v>
      </c>
      <c r="I191" s="6" t="s">
        <v>60</v>
      </c>
      <c r="J191" s="6" t="s">
        <v>189</v>
      </c>
      <c r="K191" s="6">
        <v>380</v>
      </c>
      <c r="L191" s="6" t="s">
        <v>42</v>
      </c>
      <c r="M191" s="6" t="s">
        <v>34</v>
      </c>
    </row>
    <row r="192" spans="1:13">
      <c r="A192" s="6" t="s">
        <v>519</v>
      </c>
      <c r="B192" s="7">
        <v>46095</v>
      </c>
      <c r="C192" s="6" t="s">
        <v>520</v>
      </c>
      <c r="D192" s="6" t="s">
        <v>64</v>
      </c>
      <c r="E192" s="6" t="s">
        <v>78</v>
      </c>
      <c r="F192" s="6" t="s">
        <v>85</v>
      </c>
      <c r="G192" s="6" t="s">
        <v>86</v>
      </c>
      <c r="H192" s="6">
        <v>1</v>
      </c>
      <c r="I192" s="6" t="s">
        <v>79</v>
      </c>
      <c r="J192" s="6" t="s">
        <v>79</v>
      </c>
      <c r="K192" s="6">
        <v>410</v>
      </c>
      <c r="L192" s="6" t="s">
        <v>33</v>
      </c>
      <c r="M192" s="6" t="s">
        <v>34</v>
      </c>
    </row>
    <row r="193" spans="1:13">
      <c r="A193" s="6" t="s">
        <v>521</v>
      </c>
      <c r="B193" s="7">
        <v>46119</v>
      </c>
      <c r="C193" s="6" t="s">
        <v>522</v>
      </c>
      <c r="D193" s="6" t="s">
        <v>45</v>
      </c>
      <c r="E193" s="6" t="s">
        <v>46</v>
      </c>
      <c r="F193" s="6" t="s">
        <v>94</v>
      </c>
      <c r="G193" s="6" t="s">
        <v>95</v>
      </c>
      <c r="H193" s="6">
        <v>2</v>
      </c>
      <c r="I193" s="6" t="s">
        <v>96</v>
      </c>
      <c r="J193" s="6" t="s">
        <v>278</v>
      </c>
      <c r="K193" s="6">
        <v>340</v>
      </c>
      <c r="L193" s="6" t="s">
        <v>33</v>
      </c>
      <c r="M193" s="6" t="s">
        <v>34</v>
      </c>
    </row>
    <row r="194" spans="1:13">
      <c r="A194" s="6" t="s">
        <v>523</v>
      </c>
      <c r="B194" s="7">
        <v>46114</v>
      </c>
      <c r="C194" s="6" t="s">
        <v>524</v>
      </c>
      <c r="D194" s="6" t="s">
        <v>72</v>
      </c>
      <c r="E194" s="6" t="s">
        <v>37</v>
      </c>
      <c r="F194" s="6" t="s">
        <v>94</v>
      </c>
      <c r="G194" s="6" t="s">
        <v>95</v>
      </c>
      <c r="H194" s="6">
        <v>1</v>
      </c>
      <c r="I194" s="6" t="s">
        <v>113</v>
      </c>
      <c r="J194" s="6" t="s">
        <v>113</v>
      </c>
      <c r="K194" s="6">
        <v>340</v>
      </c>
      <c r="L194" s="6" t="s">
        <v>42</v>
      </c>
      <c r="M194" s="6" t="s">
        <v>34</v>
      </c>
    </row>
    <row r="195" spans="1:13">
      <c r="A195" s="6" t="s">
        <v>525</v>
      </c>
      <c r="B195" s="7">
        <v>46153</v>
      </c>
      <c r="C195" s="6" t="s">
        <v>526</v>
      </c>
      <c r="D195" s="6" t="s">
        <v>27</v>
      </c>
      <c r="E195" s="6" t="s">
        <v>78</v>
      </c>
      <c r="F195" s="6" t="s">
        <v>29</v>
      </c>
      <c r="G195" s="6" t="s">
        <v>30</v>
      </c>
      <c r="H195" s="6">
        <v>3</v>
      </c>
      <c r="I195" s="6" t="s">
        <v>31</v>
      </c>
      <c r="J195" s="6" t="s">
        <v>337</v>
      </c>
      <c r="K195" s="6" t="s">
        <v>41</v>
      </c>
      <c r="L195" s="6" t="s">
        <v>42</v>
      </c>
      <c r="M195" s="6" t="s">
        <v>34</v>
      </c>
    </row>
    <row r="196" spans="1:13">
      <c r="A196" s="6" t="s">
        <v>527</v>
      </c>
      <c r="B196" s="7">
        <v>46205</v>
      </c>
      <c r="C196" s="6" t="s">
        <v>528</v>
      </c>
      <c r="D196" s="6" t="s">
        <v>45</v>
      </c>
      <c r="E196" s="6" t="s">
        <v>78</v>
      </c>
      <c r="F196" s="6" t="s">
        <v>58</v>
      </c>
      <c r="G196" s="6" t="s">
        <v>59</v>
      </c>
      <c r="H196" s="6">
        <v>1</v>
      </c>
      <c r="I196" s="6" t="s">
        <v>117</v>
      </c>
      <c r="J196" s="6" t="s">
        <v>117</v>
      </c>
      <c r="K196" s="6" t="s">
        <v>61</v>
      </c>
      <c r="L196" s="6" t="s">
        <v>42</v>
      </c>
      <c r="M196" s="6" t="s">
        <v>34</v>
      </c>
    </row>
    <row r="197" spans="1:13">
      <c r="A197" s="6" t="s">
        <v>529</v>
      </c>
      <c r="B197" s="7">
        <v>46168</v>
      </c>
      <c r="C197" s="6" t="s">
        <v>530</v>
      </c>
      <c r="D197" s="6" t="s">
        <v>72</v>
      </c>
      <c r="E197" s="6" t="s">
        <v>46</v>
      </c>
      <c r="F197" s="6" t="s">
        <v>100</v>
      </c>
      <c r="G197" s="6" t="s">
        <v>101</v>
      </c>
      <c r="H197" s="6">
        <v>1</v>
      </c>
      <c r="I197" s="6" t="s">
        <v>67</v>
      </c>
      <c r="J197" s="6" t="s">
        <v>67</v>
      </c>
      <c r="K197" s="6" t="s">
        <v>119</v>
      </c>
      <c r="L197" s="6" t="s">
        <v>42</v>
      </c>
      <c r="M197" s="6" t="s">
        <v>34</v>
      </c>
    </row>
    <row r="198" spans="1:13">
      <c r="A198" s="6" t="s">
        <v>531</v>
      </c>
      <c r="B198" s="7">
        <v>46134</v>
      </c>
      <c r="C198" s="6" t="s">
        <v>532</v>
      </c>
      <c r="D198" s="6" t="s">
        <v>27</v>
      </c>
      <c r="E198" s="6" t="s">
        <v>46</v>
      </c>
      <c r="F198" s="6" t="s">
        <v>53</v>
      </c>
      <c r="G198" s="6" t="s">
        <v>54</v>
      </c>
      <c r="H198" s="6">
        <v>1</v>
      </c>
      <c r="I198" s="6" t="s">
        <v>113</v>
      </c>
      <c r="J198" s="6" t="s">
        <v>113</v>
      </c>
      <c r="K198" s="6" t="s">
        <v>122</v>
      </c>
      <c r="L198" s="6" t="s">
        <v>33</v>
      </c>
      <c r="M198" s="6" t="s">
        <v>34</v>
      </c>
    </row>
    <row r="199" spans="1:13">
      <c r="A199" s="6" t="s">
        <v>533</v>
      </c>
      <c r="B199" s="7">
        <v>46085</v>
      </c>
      <c r="C199" s="6" t="s">
        <v>534</v>
      </c>
      <c r="D199" s="6" t="s">
        <v>64</v>
      </c>
      <c r="E199" s="6" t="s">
        <v>37</v>
      </c>
      <c r="F199" s="6" t="s">
        <v>100</v>
      </c>
      <c r="G199" s="6" t="s">
        <v>101</v>
      </c>
      <c r="H199" s="6">
        <v>2</v>
      </c>
      <c r="I199" s="6" t="s">
        <v>40</v>
      </c>
      <c r="J199" s="6" t="s">
        <v>327</v>
      </c>
      <c r="K199" s="6">
        <v>640</v>
      </c>
      <c r="L199" s="6" t="s">
        <v>42</v>
      </c>
      <c r="M199" s="6" t="s">
        <v>34</v>
      </c>
    </row>
    <row r="200" spans="1:13">
      <c r="A200" s="6" t="s">
        <v>535</v>
      </c>
      <c r="B200" s="7">
        <v>46166</v>
      </c>
      <c r="C200" s="6" t="s">
        <v>536</v>
      </c>
      <c r="D200" s="6" t="s">
        <v>64</v>
      </c>
      <c r="E200" s="6" t="s">
        <v>46</v>
      </c>
      <c r="F200" s="6" t="s">
        <v>38</v>
      </c>
      <c r="G200" s="6" t="s">
        <v>39</v>
      </c>
      <c r="H200" s="6">
        <v>2</v>
      </c>
      <c r="I200" s="6" t="s">
        <v>117</v>
      </c>
      <c r="J200" s="6" t="s">
        <v>118</v>
      </c>
      <c r="K200" s="6" t="s">
        <v>41</v>
      </c>
      <c r="L200" s="6" t="s">
        <v>42</v>
      </c>
      <c r="M200" s="6" t="s">
        <v>69</v>
      </c>
    </row>
    <row r="201" spans="1:13">
      <c r="A201" s="6" t="s">
        <v>537</v>
      </c>
      <c r="B201" s="7">
        <v>46040</v>
      </c>
      <c r="C201" s="6" t="s">
        <v>538</v>
      </c>
      <c r="D201" s="6" t="s">
        <v>45</v>
      </c>
      <c r="E201" s="6" t="s">
        <v>52</v>
      </c>
      <c r="F201" s="6" t="s">
        <v>29</v>
      </c>
      <c r="G201" s="6" t="s">
        <v>30</v>
      </c>
      <c r="H201" s="6">
        <v>3</v>
      </c>
      <c r="I201" s="6" t="s">
        <v>82</v>
      </c>
      <c r="J201" s="6" t="s">
        <v>390</v>
      </c>
      <c r="K201" s="6">
        <v>520</v>
      </c>
      <c r="L201" s="6" t="s">
        <v>42</v>
      </c>
      <c r="M201" s="6" t="s">
        <v>34</v>
      </c>
    </row>
    <row r="202" spans="1:13">
      <c r="A202" s="6" t="s">
        <v>539</v>
      </c>
      <c r="B202" s="7">
        <v>46114</v>
      </c>
      <c r="C202" s="6" t="s">
        <v>540</v>
      </c>
      <c r="D202" s="6" t="s">
        <v>57</v>
      </c>
      <c r="E202" s="6" t="s">
        <v>37</v>
      </c>
      <c r="F202" s="6" t="s">
        <v>47</v>
      </c>
      <c r="G202" s="6" t="s">
        <v>48</v>
      </c>
      <c r="H202" s="6">
        <v>2</v>
      </c>
      <c r="I202" s="6" t="s">
        <v>90</v>
      </c>
      <c r="J202" s="6" t="s">
        <v>154</v>
      </c>
      <c r="K202" s="6">
        <v>85</v>
      </c>
      <c r="L202" s="6" t="s">
        <v>42</v>
      </c>
      <c r="M202" s="6" t="s">
        <v>34</v>
      </c>
    </row>
    <row r="203" spans="1:13">
      <c r="A203" s="6" t="s">
        <v>541</v>
      </c>
      <c r="B203" s="6" t="s">
        <v>350</v>
      </c>
      <c r="C203" s="6" t="s">
        <v>542</v>
      </c>
      <c r="D203" s="6" t="s">
        <v>110</v>
      </c>
      <c r="E203" s="6" t="s">
        <v>52</v>
      </c>
      <c r="F203" s="6" t="s">
        <v>47</v>
      </c>
      <c r="G203" s="6" t="s">
        <v>48</v>
      </c>
      <c r="H203" s="6">
        <v>3</v>
      </c>
      <c r="I203" s="6" t="s">
        <v>490</v>
      </c>
      <c r="J203" s="6" t="s">
        <v>390</v>
      </c>
      <c r="K203" s="6">
        <v>85</v>
      </c>
      <c r="L203" s="6" t="s">
        <v>42</v>
      </c>
      <c r="M203" s="6" t="s">
        <v>69</v>
      </c>
    </row>
    <row r="204" spans="1:13">
      <c r="A204" s="6" t="s">
        <v>543</v>
      </c>
      <c r="B204" s="7">
        <v>46147</v>
      </c>
      <c r="C204" s="6" t="s">
        <v>544</v>
      </c>
      <c r="D204" s="6" t="s">
        <v>64</v>
      </c>
      <c r="E204" s="6" t="s">
        <v>28</v>
      </c>
      <c r="F204" s="6" t="s">
        <v>94</v>
      </c>
      <c r="G204" s="6" t="s">
        <v>95</v>
      </c>
      <c r="H204" s="6">
        <v>1</v>
      </c>
      <c r="I204" s="6" t="s">
        <v>96</v>
      </c>
      <c r="J204" s="6" t="s">
        <v>96</v>
      </c>
      <c r="K204" s="6" t="s">
        <v>114</v>
      </c>
      <c r="L204" s="6" t="s">
        <v>42</v>
      </c>
      <c r="M204" s="6" t="s">
        <v>34</v>
      </c>
    </row>
    <row r="205" spans="1:13">
      <c r="A205" s="6" t="s">
        <v>545</v>
      </c>
      <c r="B205" s="7">
        <v>46201</v>
      </c>
      <c r="C205" s="6" t="s">
        <v>546</v>
      </c>
      <c r="D205" s="6" t="s">
        <v>127</v>
      </c>
      <c r="E205" s="6" t="s">
        <v>78</v>
      </c>
      <c r="F205" s="6" t="s">
        <v>94</v>
      </c>
      <c r="G205" s="6" t="s">
        <v>95</v>
      </c>
      <c r="H205" s="6">
        <v>2</v>
      </c>
      <c r="I205" s="6" t="s">
        <v>60</v>
      </c>
      <c r="J205" s="6" t="s">
        <v>189</v>
      </c>
      <c r="K205" s="6" t="s">
        <v>114</v>
      </c>
      <c r="L205" s="6" t="s">
        <v>33</v>
      </c>
      <c r="M205" s="6" t="s">
        <v>34</v>
      </c>
    </row>
    <row r="206" spans="1:13">
      <c r="A206" s="6" t="s">
        <v>547</v>
      </c>
      <c r="B206" s="7">
        <v>46048</v>
      </c>
      <c r="C206" s="6" t="s">
        <v>548</v>
      </c>
      <c r="D206" s="6" t="s">
        <v>27</v>
      </c>
      <c r="E206" s="6" t="s">
        <v>37</v>
      </c>
      <c r="F206" s="6" t="s">
        <v>58</v>
      </c>
      <c r="G206" s="6" t="s">
        <v>59</v>
      </c>
      <c r="H206" s="6">
        <v>1</v>
      </c>
      <c r="I206" s="6" t="s">
        <v>67</v>
      </c>
      <c r="J206" s="6" t="s">
        <v>67</v>
      </c>
      <c r="K206" s="6">
        <v>380</v>
      </c>
      <c r="L206" s="6" t="s">
        <v>42</v>
      </c>
      <c r="M206" s="6" t="s">
        <v>69</v>
      </c>
    </row>
    <row r="207" spans="1:13">
      <c r="A207" s="6" t="s">
        <v>549</v>
      </c>
      <c r="B207" s="7">
        <v>46054</v>
      </c>
      <c r="C207" s="6" t="s">
        <v>550</v>
      </c>
      <c r="D207" s="6" t="s">
        <v>110</v>
      </c>
      <c r="E207" s="6" t="s">
        <v>28</v>
      </c>
      <c r="F207" s="6" t="s">
        <v>29</v>
      </c>
      <c r="G207" s="6" t="s">
        <v>30</v>
      </c>
      <c r="H207" s="6">
        <v>1</v>
      </c>
      <c r="I207" s="6" t="s">
        <v>40</v>
      </c>
      <c r="J207" s="6" t="s">
        <v>40</v>
      </c>
      <c r="K207" s="6">
        <v>520</v>
      </c>
      <c r="L207" s="6" t="s">
        <v>42</v>
      </c>
      <c r="M207" s="6" t="s">
        <v>34</v>
      </c>
    </row>
    <row r="208" spans="1:13">
      <c r="A208" s="6" t="s">
        <v>551</v>
      </c>
      <c r="B208" s="7">
        <v>46077</v>
      </c>
      <c r="C208" s="6" t="s">
        <v>552</v>
      </c>
      <c r="D208" s="6" t="s">
        <v>105</v>
      </c>
      <c r="E208" s="6" t="s">
        <v>78</v>
      </c>
      <c r="F208" s="6" t="s">
        <v>85</v>
      </c>
      <c r="G208" s="6" t="s">
        <v>86</v>
      </c>
      <c r="H208" s="6">
        <v>2</v>
      </c>
      <c r="I208" s="6" t="s">
        <v>79</v>
      </c>
      <c r="J208" s="6" t="s">
        <v>259</v>
      </c>
      <c r="K208" s="6">
        <v>410</v>
      </c>
      <c r="L208" s="6" t="s">
        <v>42</v>
      </c>
      <c r="M208" s="6" t="s">
        <v>34</v>
      </c>
    </row>
    <row r="209" spans="1:13">
      <c r="A209" s="6" t="s">
        <v>553</v>
      </c>
      <c r="B209" s="7">
        <v>46087</v>
      </c>
      <c r="C209" s="6" t="s">
        <v>554</v>
      </c>
      <c r="D209" s="6" t="s">
        <v>45</v>
      </c>
      <c r="E209" s="6" t="s">
        <v>46</v>
      </c>
      <c r="F209" s="6" t="s">
        <v>85</v>
      </c>
      <c r="G209" s="6" t="s">
        <v>86</v>
      </c>
      <c r="H209" s="6">
        <v>1</v>
      </c>
      <c r="I209" s="6" t="s">
        <v>31</v>
      </c>
      <c r="J209" s="6" t="s">
        <v>31</v>
      </c>
      <c r="K209" s="6">
        <v>410</v>
      </c>
      <c r="L209" s="6" t="s">
        <v>42</v>
      </c>
      <c r="M209" s="6" t="s">
        <v>69</v>
      </c>
    </row>
    <row r="210" spans="1:13">
      <c r="A210" s="6" t="s">
        <v>555</v>
      </c>
      <c r="B210" s="7">
        <v>46031</v>
      </c>
      <c r="C210" s="6" t="s">
        <v>556</v>
      </c>
      <c r="D210" s="6" t="s">
        <v>57</v>
      </c>
      <c r="E210" s="6" t="s">
        <v>28</v>
      </c>
      <c r="F210" s="6" t="s">
        <v>100</v>
      </c>
      <c r="G210" s="6" t="s">
        <v>101</v>
      </c>
      <c r="H210" s="6">
        <v>1</v>
      </c>
      <c r="I210" s="6" t="s">
        <v>265</v>
      </c>
      <c r="J210" s="6" t="s">
        <v>265</v>
      </c>
      <c r="K210" s="6">
        <v>640</v>
      </c>
      <c r="L210" s="6" t="s">
        <v>42</v>
      </c>
      <c r="M210" s="6" t="s">
        <v>34</v>
      </c>
    </row>
    <row r="211" spans="1:13">
      <c r="A211" s="6" t="s">
        <v>557</v>
      </c>
      <c r="B211" s="7">
        <v>46148</v>
      </c>
      <c r="C211" s="6" t="s">
        <v>558</v>
      </c>
      <c r="D211" s="6" t="s">
        <v>77</v>
      </c>
      <c r="E211" s="6" t="s">
        <v>37</v>
      </c>
      <c r="F211" s="6" t="s">
        <v>58</v>
      </c>
      <c r="G211" s="6" t="s">
        <v>59</v>
      </c>
      <c r="H211" s="6">
        <v>2</v>
      </c>
      <c r="I211" s="6" t="s">
        <v>40</v>
      </c>
      <c r="J211" s="6" t="s">
        <v>327</v>
      </c>
      <c r="K211" s="6" t="s">
        <v>61</v>
      </c>
      <c r="L211" s="6" t="s">
        <v>42</v>
      </c>
      <c r="M211" s="6" t="s">
        <v>34</v>
      </c>
    </row>
    <row r="212" spans="1:13">
      <c r="A212" s="6" t="s">
        <v>559</v>
      </c>
      <c r="B212" s="7">
        <v>46070</v>
      </c>
      <c r="C212" s="6" t="s">
        <v>560</v>
      </c>
      <c r="D212" s="6" t="s">
        <v>105</v>
      </c>
      <c r="E212" s="6" t="s">
        <v>52</v>
      </c>
      <c r="F212" s="6" t="s">
        <v>85</v>
      </c>
      <c r="G212" s="6" t="s">
        <v>86</v>
      </c>
      <c r="H212" s="6">
        <v>1</v>
      </c>
      <c r="I212" s="6" t="s">
        <v>96</v>
      </c>
      <c r="J212" s="6" t="s">
        <v>561</v>
      </c>
      <c r="K212" s="6">
        <v>410</v>
      </c>
      <c r="L212" s="6" t="s">
        <v>42</v>
      </c>
      <c r="M212" s="6" t="s">
        <v>69</v>
      </c>
    </row>
    <row r="213" spans="1:13">
      <c r="A213" s="6" t="s">
        <v>562</v>
      </c>
      <c r="B213" s="6" t="s">
        <v>563</v>
      </c>
      <c r="C213" s="6" t="s">
        <v>564</v>
      </c>
      <c r="D213" s="6" t="s">
        <v>45</v>
      </c>
      <c r="E213" s="6" t="s">
        <v>46</v>
      </c>
      <c r="F213" s="6" t="s">
        <v>29</v>
      </c>
      <c r="G213" s="6" t="s">
        <v>30</v>
      </c>
      <c r="H213" s="6">
        <v>2</v>
      </c>
      <c r="I213" s="6" t="s">
        <v>31</v>
      </c>
      <c r="J213" s="6" t="s">
        <v>249</v>
      </c>
      <c r="K213" s="6">
        <v>520</v>
      </c>
      <c r="L213" s="6" t="s">
        <v>42</v>
      </c>
      <c r="M213" s="6" t="s">
        <v>34</v>
      </c>
    </row>
    <row r="214" spans="1:13">
      <c r="A214" s="6" t="s">
        <v>565</v>
      </c>
      <c r="B214" s="7">
        <v>46054</v>
      </c>
      <c r="C214" s="6" t="s">
        <v>566</v>
      </c>
      <c r="D214" s="6" t="s">
        <v>77</v>
      </c>
      <c r="E214" s="6" t="s">
        <v>78</v>
      </c>
      <c r="F214" s="6" t="s">
        <v>94</v>
      </c>
      <c r="G214" s="6" t="s">
        <v>95</v>
      </c>
      <c r="H214" s="6">
        <v>3</v>
      </c>
      <c r="I214" s="6" t="s">
        <v>82</v>
      </c>
      <c r="J214" s="6" t="s">
        <v>390</v>
      </c>
      <c r="K214" s="6">
        <v>340</v>
      </c>
      <c r="L214" s="6" t="s">
        <v>42</v>
      </c>
      <c r="M214" s="6" t="s">
        <v>34</v>
      </c>
    </row>
    <row r="215" spans="1:13">
      <c r="A215" s="6" t="s">
        <v>567</v>
      </c>
      <c r="B215" s="7">
        <v>46193</v>
      </c>
      <c r="C215" s="6" t="s">
        <v>568</v>
      </c>
      <c r="D215" s="6" t="s">
        <v>27</v>
      </c>
      <c r="E215" s="6" t="s">
        <v>37</v>
      </c>
      <c r="F215" s="6" t="s">
        <v>47</v>
      </c>
      <c r="G215" s="6" t="s">
        <v>48</v>
      </c>
      <c r="H215" s="6">
        <v>1</v>
      </c>
      <c r="I215" s="6" t="s">
        <v>60</v>
      </c>
      <c r="J215" s="6" t="s">
        <v>60</v>
      </c>
      <c r="K215" s="6" t="s">
        <v>49</v>
      </c>
      <c r="L215" s="6" t="s">
        <v>33</v>
      </c>
      <c r="M215" s="6" t="s">
        <v>34</v>
      </c>
    </row>
    <row r="216" spans="1:13">
      <c r="A216" s="6" t="s">
        <v>569</v>
      </c>
      <c r="B216" s="7">
        <v>46123</v>
      </c>
      <c r="C216" s="6" t="s">
        <v>570</v>
      </c>
      <c r="D216" s="6" t="s">
        <v>105</v>
      </c>
      <c r="E216" s="6" t="s">
        <v>37</v>
      </c>
      <c r="F216" s="6" t="s">
        <v>85</v>
      </c>
      <c r="G216" s="6" t="s">
        <v>86</v>
      </c>
      <c r="H216" s="6">
        <v>2</v>
      </c>
      <c r="I216" s="6" t="s">
        <v>117</v>
      </c>
      <c r="J216" s="6" t="s">
        <v>118</v>
      </c>
      <c r="K216" s="6">
        <v>410</v>
      </c>
      <c r="L216" s="6" t="s">
        <v>42</v>
      </c>
      <c r="M216" s="6" t="s">
        <v>34</v>
      </c>
    </row>
    <row r="217" spans="1:13">
      <c r="A217" s="6" t="s">
        <v>571</v>
      </c>
      <c r="B217" s="6" t="s">
        <v>572</v>
      </c>
      <c r="C217" s="6" t="s">
        <v>573</v>
      </c>
      <c r="D217" s="6" t="s">
        <v>110</v>
      </c>
      <c r="E217" s="6" t="s">
        <v>52</v>
      </c>
      <c r="F217" s="6" t="s">
        <v>100</v>
      </c>
      <c r="G217" s="6" t="s">
        <v>101</v>
      </c>
      <c r="H217" s="6">
        <v>3</v>
      </c>
      <c r="I217" s="6" t="s">
        <v>73</v>
      </c>
      <c r="J217" s="6" t="s">
        <v>499</v>
      </c>
      <c r="K217" s="6">
        <v>640</v>
      </c>
      <c r="L217" s="6" t="s">
        <v>42</v>
      </c>
      <c r="M217" s="6" t="s">
        <v>34</v>
      </c>
    </row>
    <row r="218" spans="1:13">
      <c r="A218" s="6" t="s">
        <v>574</v>
      </c>
      <c r="B218" s="7">
        <v>46071</v>
      </c>
      <c r="C218" s="6" t="s">
        <v>575</v>
      </c>
      <c r="D218" s="6" t="s">
        <v>45</v>
      </c>
      <c r="E218" s="6" t="s">
        <v>37</v>
      </c>
      <c r="F218" s="6" t="s">
        <v>29</v>
      </c>
      <c r="G218" s="6" t="s">
        <v>30</v>
      </c>
      <c r="H218" s="6">
        <v>1</v>
      </c>
      <c r="I218" s="6" t="s">
        <v>31</v>
      </c>
      <c r="J218" s="6" t="s">
        <v>31</v>
      </c>
      <c r="K218" s="6">
        <v>520</v>
      </c>
      <c r="L218" s="6" t="s">
        <v>33</v>
      </c>
      <c r="M218" s="6" t="s">
        <v>34</v>
      </c>
    </row>
    <row r="219" spans="1:13">
      <c r="A219" s="6" t="s">
        <v>576</v>
      </c>
      <c r="B219" s="6" t="s">
        <v>577</v>
      </c>
      <c r="C219" s="6" t="s">
        <v>578</v>
      </c>
      <c r="D219" s="6" t="s">
        <v>105</v>
      </c>
      <c r="E219" s="6" t="s">
        <v>28</v>
      </c>
      <c r="F219" s="6" t="s">
        <v>47</v>
      </c>
      <c r="G219" s="6" t="s">
        <v>48</v>
      </c>
      <c r="H219" s="6">
        <v>3</v>
      </c>
      <c r="I219" s="6" t="s">
        <v>40</v>
      </c>
      <c r="J219" s="6" t="s">
        <v>579</v>
      </c>
      <c r="K219" s="6">
        <v>85</v>
      </c>
      <c r="L219" s="6" t="s">
        <v>42</v>
      </c>
      <c r="M219" s="6" t="s">
        <v>34</v>
      </c>
    </row>
    <row r="220" spans="1:13">
      <c r="A220" s="6" t="s">
        <v>580</v>
      </c>
      <c r="B220" s="7">
        <v>46068</v>
      </c>
      <c r="C220" s="6" t="s">
        <v>581</v>
      </c>
      <c r="D220" s="6" t="s">
        <v>127</v>
      </c>
      <c r="E220" s="6" t="s">
        <v>37</v>
      </c>
      <c r="F220" s="6" t="s">
        <v>47</v>
      </c>
      <c r="G220" s="6" t="s">
        <v>48</v>
      </c>
      <c r="H220" s="6">
        <v>2</v>
      </c>
      <c r="I220" s="6" t="s">
        <v>31</v>
      </c>
      <c r="J220" s="6" t="s">
        <v>249</v>
      </c>
      <c r="K220" s="6">
        <v>85</v>
      </c>
      <c r="L220" s="6" t="s">
        <v>33</v>
      </c>
      <c r="M220" s="6" t="s">
        <v>34</v>
      </c>
    </row>
    <row r="221" spans="1:13">
      <c r="A221" s="6" t="s">
        <v>582</v>
      </c>
      <c r="B221" s="7">
        <v>46199</v>
      </c>
      <c r="C221" s="6" t="s">
        <v>583</v>
      </c>
      <c r="D221" s="6" t="s">
        <v>77</v>
      </c>
      <c r="E221" s="6" t="s">
        <v>28</v>
      </c>
      <c r="F221" s="6" t="s">
        <v>47</v>
      </c>
      <c r="G221" s="6" t="s">
        <v>48</v>
      </c>
      <c r="H221" s="6">
        <v>1</v>
      </c>
      <c r="I221" s="6" t="s">
        <v>82</v>
      </c>
      <c r="J221" s="6" t="s">
        <v>82</v>
      </c>
      <c r="K221" s="6" t="s">
        <v>49</v>
      </c>
      <c r="L221" s="6" t="s">
        <v>42</v>
      </c>
      <c r="M221" s="6" t="s">
        <v>34</v>
      </c>
    </row>
    <row r="222" spans="1:13">
      <c r="A222" s="6" t="s">
        <v>584</v>
      </c>
      <c r="B222" s="7">
        <v>46169</v>
      </c>
      <c r="C222" s="6" t="s">
        <v>585</v>
      </c>
      <c r="D222" s="6" t="s">
        <v>45</v>
      </c>
      <c r="E222" s="6" t="s">
        <v>37</v>
      </c>
      <c r="F222" s="6" t="s">
        <v>94</v>
      </c>
      <c r="G222" s="6" t="s">
        <v>95</v>
      </c>
      <c r="H222" s="6">
        <v>1</v>
      </c>
      <c r="I222" s="6" t="s">
        <v>147</v>
      </c>
      <c r="J222" s="6" t="s">
        <v>147</v>
      </c>
      <c r="K222" s="6" t="s">
        <v>114</v>
      </c>
      <c r="L222" s="6" t="s">
        <v>42</v>
      </c>
      <c r="M222" s="6" t="s">
        <v>69</v>
      </c>
    </row>
    <row r="223" spans="1:13">
      <c r="A223" s="6" t="s">
        <v>586</v>
      </c>
      <c r="B223" s="7">
        <v>46145</v>
      </c>
      <c r="C223" s="6" t="s">
        <v>587</v>
      </c>
      <c r="D223" s="6" t="s">
        <v>105</v>
      </c>
      <c r="E223" s="6" t="s">
        <v>28</v>
      </c>
      <c r="F223" s="6" t="s">
        <v>29</v>
      </c>
      <c r="G223" s="6" t="s">
        <v>30</v>
      </c>
      <c r="H223" s="6">
        <v>1</v>
      </c>
      <c r="I223" s="6" t="s">
        <v>166</v>
      </c>
      <c r="J223" s="6" t="s">
        <v>265</v>
      </c>
      <c r="K223" s="6" t="s">
        <v>41</v>
      </c>
      <c r="L223" s="6" t="s">
        <v>42</v>
      </c>
      <c r="M223" s="6" t="s">
        <v>34</v>
      </c>
    </row>
    <row r="224" spans="1:13">
      <c r="A224" s="6" t="s">
        <v>588</v>
      </c>
      <c r="B224" s="7">
        <v>46096</v>
      </c>
      <c r="C224" s="6" t="s">
        <v>589</v>
      </c>
      <c r="D224" s="6" t="s">
        <v>77</v>
      </c>
      <c r="E224" s="6" t="s">
        <v>37</v>
      </c>
      <c r="F224" s="6" t="s">
        <v>94</v>
      </c>
      <c r="G224" s="6" t="s">
        <v>95</v>
      </c>
      <c r="H224" s="6">
        <v>1</v>
      </c>
      <c r="I224" s="6" t="s">
        <v>67</v>
      </c>
      <c r="J224" s="6" t="s">
        <v>67</v>
      </c>
      <c r="K224" s="6">
        <v>340</v>
      </c>
      <c r="L224" s="6" t="s">
        <v>42</v>
      </c>
      <c r="M224" s="6" t="s">
        <v>69</v>
      </c>
    </row>
    <row r="225" spans="1:13">
      <c r="A225" s="6" t="s">
        <v>590</v>
      </c>
      <c r="B225" s="7">
        <v>46163</v>
      </c>
      <c r="C225" s="6" t="s">
        <v>591</v>
      </c>
      <c r="D225" s="6" t="s">
        <v>77</v>
      </c>
      <c r="E225" s="6" t="s">
        <v>78</v>
      </c>
      <c r="F225" s="6" t="s">
        <v>94</v>
      </c>
      <c r="G225" s="6" t="s">
        <v>95</v>
      </c>
      <c r="H225" s="6">
        <v>2</v>
      </c>
      <c r="I225" s="6" t="s">
        <v>117</v>
      </c>
      <c r="J225" s="6" t="s">
        <v>118</v>
      </c>
      <c r="K225" s="6" t="s">
        <v>114</v>
      </c>
      <c r="L225" s="6" t="s">
        <v>42</v>
      </c>
      <c r="M225" s="6" t="s">
        <v>34</v>
      </c>
    </row>
    <row r="226" spans="1:13">
      <c r="A226" s="6" t="s">
        <v>592</v>
      </c>
      <c r="B226" s="6" t="s">
        <v>593</v>
      </c>
      <c r="C226" s="6" t="s">
        <v>594</v>
      </c>
      <c r="D226" s="6" t="s">
        <v>105</v>
      </c>
      <c r="E226" s="6" t="s">
        <v>52</v>
      </c>
      <c r="F226" s="6" t="s">
        <v>53</v>
      </c>
      <c r="G226" s="6" t="s">
        <v>54</v>
      </c>
      <c r="H226" s="6">
        <v>2</v>
      </c>
      <c r="I226" s="6" t="s">
        <v>90</v>
      </c>
      <c r="J226" s="6" t="s">
        <v>154</v>
      </c>
      <c r="K226" s="6" t="s">
        <v>122</v>
      </c>
      <c r="L226" s="6" t="s">
        <v>42</v>
      </c>
      <c r="M226" s="6" t="s">
        <v>34</v>
      </c>
    </row>
    <row r="227" spans="1:13">
      <c r="A227" s="6" t="s">
        <v>595</v>
      </c>
      <c r="B227" s="7">
        <v>46074</v>
      </c>
      <c r="C227" s="6" t="s">
        <v>596</v>
      </c>
      <c r="D227" s="6" t="s">
        <v>27</v>
      </c>
      <c r="E227" s="6" t="s">
        <v>28</v>
      </c>
      <c r="F227" s="6" t="s">
        <v>38</v>
      </c>
      <c r="G227" s="6" t="s">
        <v>39</v>
      </c>
      <c r="H227" s="6">
        <v>2</v>
      </c>
      <c r="I227" s="6" t="s">
        <v>82</v>
      </c>
      <c r="J227" s="6" t="s">
        <v>297</v>
      </c>
      <c r="K227" s="6">
        <v>520</v>
      </c>
      <c r="L227" s="6" t="s">
        <v>42</v>
      </c>
      <c r="M227" s="6" t="s">
        <v>34</v>
      </c>
    </row>
    <row r="228" spans="1:13">
      <c r="A228" s="6" t="s">
        <v>597</v>
      </c>
      <c r="B228" s="7">
        <v>46033</v>
      </c>
      <c r="C228" s="6" t="s">
        <v>598</v>
      </c>
      <c r="D228" s="6" t="s">
        <v>27</v>
      </c>
      <c r="E228" s="6" t="s">
        <v>37</v>
      </c>
      <c r="F228" s="6" t="s">
        <v>53</v>
      </c>
      <c r="G228" s="6" t="s">
        <v>54</v>
      </c>
      <c r="H228" s="6">
        <v>2</v>
      </c>
      <c r="I228" s="6" t="s">
        <v>599</v>
      </c>
      <c r="J228" s="6" t="s">
        <v>74</v>
      </c>
      <c r="K228" s="6">
        <v>190</v>
      </c>
      <c r="L228" s="6" t="s">
        <v>42</v>
      </c>
      <c r="M228" s="6" t="s">
        <v>34</v>
      </c>
    </row>
    <row r="229" spans="1:13">
      <c r="A229" s="6" t="s">
        <v>600</v>
      </c>
      <c r="B229" s="6" t="s">
        <v>601</v>
      </c>
      <c r="C229" s="6" t="s">
        <v>602</v>
      </c>
      <c r="D229" s="6" t="s">
        <v>45</v>
      </c>
      <c r="E229" s="6" t="s">
        <v>78</v>
      </c>
      <c r="F229" s="6" t="s">
        <v>85</v>
      </c>
      <c r="G229" s="6" t="s">
        <v>86</v>
      </c>
      <c r="H229" s="6">
        <v>1</v>
      </c>
      <c r="I229" s="6" t="s">
        <v>603</v>
      </c>
      <c r="J229" s="6" t="s">
        <v>147</v>
      </c>
      <c r="K229" s="6">
        <v>410</v>
      </c>
      <c r="L229" s="6" t="s">
        <v>33</v>
      </c>
      <c r="M229" s="6" t="s">
        <v>69</v>
      </c>
    </row>
    <row r="230" spans="1:13">
      <c r="A230" s="6" t="s">
        <v>604</v>
      </c>
      <c r="B230" s="7">
        <v>46097</v>
      </c>
      <c r="C230" s="6" t="s">
        <v>605</v>
      </c>
      <c r="D230" s="6" t="s">
        <v>77</v>
      </c>
      <c r="E230" s="6" t="s">
        <v>78</v>
      </c>
      <c r="F230" s="6" t="s">
        <v>100</v>
      </c>
      <c r="G230" s="6" t="s">
        <v>101</v>
      </c>
      <c r="H230" s="6">
        <v>-1</v>
      </c>
      <c r="I230" s="6" t="s">
        <v>31</v>
      </c>
      <c r="J230" s="8" t="s">
        <v>404</v>
      </c>
      <c r="K230" s="6">
        <v>640</v>
      </c>
      <c r="L230" s="6" t="s">
        <v>42</v>
      </c>
      <c r="M230" s="6" t="s">
        <v>34</v>
      </c>
    </row>
    <row r="231" spans="1:13">
      <c r="A231" s="6" t="s">
        <v>606</v>
      </c>
      <c r="B231" s="6" t="s">
        <v>607</v>
      </c>
      <c r="C231" s="6" t="s">
        <v>608</v>
      </c>
      <c r="D231" s="6" t="s">
        <v>64</v>
      </c>
      <c r="E231" s="6" t="s">
        <v>28</v>
      </c>
      <c r="F231" s="6" t="s">
        <v>100</v>
      </c>
      <c r="G231" s="6" t="s">
        <v>101</v>
      </c>
      <c r="H231" s="6">
        <v>2</v>
      </c>
      <c r="I231" s="6" t="s">
        <v>31</v>
      </c>
      <c r="J231" s="6" t="s">
        <v>249</v>
      </c>
      <c r="K231" s="6">
        <v>640</v>
      </c>
      <c r="L231" s="6" t="s">
        <v>42</v>
      </c>
      <c r="M231" s="6" t="s">
        <v>69</v>
      </c>
    </row>
    <row r="232" spans="1:13">
      <c r="A232" s="6" t="s">
        <v>609</v>
      </c>
      <c r="B232" s="7">
        <v>46206</v>
      </c>
      <c r="C232" s="6" t="s">
        <v>610</v>
      </c>
      <c r="D232" s="6" t="s">
        <v>72</v>
      </c>
      <c r="E232" s="6" t="s">
        <v>46</v>
      </c>
      <c r="F232" s="6" t="s">
        <v>58</v>
      </c>
      <c r="G232" s="6" t="s">
        <v>59</v>
      </c>
      <c r="H232" s="6">
        <v>3</v>
      </c>
      <c r="I232" s="6" t="s">
        <v>147</v>
      </c>
      <c r="J232" s="6" t="s">
        <v>148</v>
      </c>
      <c r="K232" s="6" t="s">
        <v>61</v>
      </c>
      <c r="L232" s="6" t="s">
        <v>33</v>
      </c>
      <c r="M232" s="6" t="s">
        <v>34</v>
      </c>
    </row>
    <row r="233" spans="1:13">
      <c r="A233" s="6" t="s">
        <v>611</v>
      </c>
      <c r="B233" s="7">
        <v>46045</v>
      </c>
      <c r="C233" s="6" t="s">
        <v>509</v>
      </c>
      <c r="D233" s="6" t="s">
        <v>27</v>
      </c>
      <c r="E233" s="6" t="s">
        <v>37</v>
      </c>
      <c r="F233" s="6" t="s">
        <v>47</v>
      </c>
      <c r="G233" s="6" t="s">
        <v>48</v>
      </c>
      <c r="H233" s="6">
        <v>3</v>
      </c>
      <c r="I233" s="6" t="s">
        <v>113</v>
      </c>
      <c r="J233" s="6" t="s">
        <v>138</v>
      </c>
      <c r="K233" s="6">
        <v>85</v>
      </c>
      <c r="L233" s="6" t="s">
        <v>42</v>
      </c>
      <c r="M233" s="6" t="s">
        <v>34</v>
      </c>
    </row>
    <row r="234" spans="1:13">
      <c r="A234" s="6" t="s">
        <v>612</v>
      </c>
      <c r="B234" s="7">
        <v>46033</v>
      </c>
      <c r="C234" s="6" t="s">
        <v>613</v>
      </c>
      <c r="D234" s="6" t="s">
        <v>64</v>
      </c>
      <c r="E234" s="6" t="s">
        <v>52</v>
      </c>
      <c r="F234" s="6" t="s">
        <v>38</v>
      </c>
      <c r="G234" s="6" t="s">
        <v>39</v>
      </c>
      <c r="H234" s="6">
        <v>3</v>
      </c>
      <c r="I234" s="6" t="s">
        <v>143</v>
      </c>
      <c r="J234" s="6" t="s">
        <v>243</v>
      </c>
      <c r="K234" s="6">
        <v>520</v>
      </c>
      <c r="L234" s="6" t="s">
        <v>42</v>
      </c>
      <c r="M234" s="6" t="s">
        <v>34</v>
      </c>
    </row>
    <row r="235" spans="1:13">
      <c r="A235" s="6" t="s">
        <v>614</v>
      </c>
      <c r="B235" s="7">
        <v>46075</v>
      </c>
      <c r="C235" s="6" t="s">
        <v>615</v>
      </c>
      <c r="D235" s="6" t="s">
        <v>57</v>
      </c>
      <c r="E235" s="6" t="s">
        <v>37</v>
      </c>
      <c r="F235" s="6" t="s">
        <v>100</v>
      </c>
      <c r="G235" s="6" t="s">
        <v>101</v>
      </c>
      <c r="H235" s="6">
        <v>-2</v>
      </c>
      <c r="I235" s="6" t="s">
        <v>82</v>
      </c>
      <c r="J235" s="8" t="s">
        <v>616</v>
      </c>
      <c r="K235" s="6">
        <v>640</v>
      </c>
      <c r="L235" s="6" t="s">
        <v>42</v>
      </c>
      <c r="M235" s="6" t="s">
        <v>69</v>
      </c>
    </row>
    <row r="236" spans="1:13">
      <c r="A236" s="6" t="s">
        <v>617</v>
      </c>
      <c r="B236" s="7">
        <v>46039</v>
      </c>
      <c r="C236" s="6" t="s">
        <v>618</v>
      </c>
      <c r="D236" s="6" t="s">
        <v>57</v>
      </c>
      <c r="E236" s="6" t="s">
        <v>37</v>
      </c>
      <c r="F236" s="6" t="s">
        <v>85</v>
      </c>
      <c r="G236" s="6" t="s">
        <v>86</v>
      </c>
      <c r="H236" s="6">
        <v>2</v>
      </c>
      <c r="I236" s="6" t="s">
        <v>619</v>
      </c>
      <c r="J236" s="6" t="s">
        <v>144</v>
      </c>
      <c r="K236" s="6">
        <v>410</v>
      </c>
      <c r="L236" s="6" t="s">
        <v>42</v>
      </c>
      <c r="M236" s="6" t="s">
        <v>34</v>
      </c>
    </row>
    <row r="237" spans="1:13">
      <c r="A237" s="6" t="s">
        <v>620</v>
      </c>
      <c r="B237" s="6" t="s">
        <v>621</v>
      </c>
      <c r="C237" s="6" t="s">
        <v>622</v>
      </c>
      <c r="D237" s="6" t="s">
        <v>27</v>
      </c>
      <c r="E237" s="6" t="s">
        <v>28</v>
      </c>
      <c r="F237" s="6" t="s">
        <v>38</v>
      </c>
      <c r="G237" s="6" t="s">
        <v>39</v>
      </c>
      <c r="H237" s="6">
        <v>3</v>
      </c>
      <c r="I237" s="6" t="s">
        <v>265</v>
      </c>
      <c r="J237" s="6" t="s">
        <v>401</v>
      </c>
      <c r="K237" s="6" t="s">
        <v>41</v>
      </c>
      <c r="L237" s="6" t="s">
        <v>33</v>
      </c>
      <c r="M237" s="6" t="s">
        <v>69</v>
      </c>
    </row>
    <row r="238" spans="1:13">
      <c r="A238" s="6" t="s">
        <v>623</v>
      </c>
      <c r="B238" s="7">
        <v>46070</v>
      </c>
      <c r="C238" s="6" t="s">
        <v>624</v>
      </c>
      <c r="D238" s="6" t="s">
        <v>45</v>
      </c>
      <c r="E238" s="6" t="s">
        <v>78</v>
      </c>
      <c r="F238" s="6" t="s">
        <v>29</v>
      </c>
      <c r="G238" s="6" t="s">
        <v>30</v>
      </c>
      <c r="H238" s="6">
        <v>1</v>
      </c>
      <c r="I238" s="6" t="s">
        <v>96</v>
      </c>
      <c r="J238" s="6" t="s">
        <v>96</v>
      </c>
      <c r="K238" s="6">
        <v>520</v>
      </c>
      <c r="L238" s="6" t="s">
        <v>42</v>
      </c>
      <c r="M238" s="6" t="s">
        <v>34</v>
      </c>
    </row>
    <row r="239" spans="1:13">
      <c r="A239" s="6" t="s">
        <v>625</v>
      </c>
      <c r="B239" s="7">
        <v>46176</v>
      </c>
      <c r="C239" s="6" t="s">
        <v>626</v>
      </c>
      <c r="D239" s="6" t="s">
        <v>45</v>
      </c>
      <c r="E239" s="6" t="s">
        <v>37</v>
      </c>
      <c r="F239" s="6" t="s">
        <v>100</v>
      </c>
      <c r="G239" s="6" t="s">
        <v>101</v>
      </c>
      <c r="H239" s="6">
        <v>-3</v>
      </c>
      <c r="I239" s="6" t="s">
        <v>31</v>
      </c>
      <c r="J239" s="8" t="s">
        <v>627</v>
      </c>
      <c r="K239" s="6" t="s">
        <v>119</v>
      </c>
      <c r="L239" s="6" t="s">
        <v>42</v>
      </c>
      <c r="M239" s="6" t="s">
        <v>34</v>
      </c>
    </row>
    <row r="240" spans="1:13">
      <c r="A240" s="6" t="s">
        <v>628</v>
      </c>
      <c r="B240" s="7">
        <v>46046</v>
      </c>
      <c r="C240" s="6" t="s">
        <v>629</v>
      </c>
      <c r="D240" s="6" t="s">
        <v>64</v>
      </c>
      <c r="E240" s="6" t="s">
        <v>46</v>
      </c>
      <c r="F240" s="6" t="s">
        <v>38</v>
      </c>
      <c r="G240" s="6" t="s">
        <v>39</v>
      </c>
      <c r="H240" s="6">
        <v>1</v>
      </c>
      <c r="I240" s="6" t="s">
        <v>31</v>
      </c>
      <c r="J240" s="6" t="s">
        <v>31</v>
      </c>
      <c r="K240" s="6">
        <v>520</v>
      </c>
      <c r="L240" s="6" t="s">
        <v>42</v>
      </c>
      <c r="M240" s="6" t="s">
        <v>34</v>
      </c>
    </row>
    <row r="241" spans="1:13">
      <c r="A241" s="6" t="s">
        <v>630</v>
      </c>
      <c r="B241" s="7">
        <v>46040</v>
      </c>
      <c r="C241" s="6" t="s">
        <v>631</v>
      </c>
      <c r="D241" s="6" t="s">
        <v>45</v>
      </c>
      <c r="E241" s="6" t="s">
        <v>52</v>
      </c>
      <c r="F241" s="6" t="s">
        <v>100</v>
      </c>
      <c r="G241" s="6" t="s">
        <v>101</v>
      </c>
      <c r="H241" s="6">
        <v>2</v>
      </c>
      <c r="I241" s="6" t="s">
        <v>181</v>
      </c>
      <c r="J241" s="6" t="s">
        <v>163</v>
      </c>
      <c r="K241" s="6">
        <v>640</v>
      </c>
      <c r="L241" s="6" t="s">
        <v>42</v>
      </c>
      <c r="M241" s="6" t="s">
        <v>34</v>
      </c>
    </row>
    <row r="242" spans="1:13">
      <c r="A242" s="6" t="s">
        <v>632</v>
      </c>
      <c r="B242" s="7">
        <v>46194</v>
      </c>
      <c r="C242" s="6" t="s">
        <v>633</v>
      </c>
      <c r="D242" s="6" t="s">
        <v>64</v>
      </c>
      <c r="E242" s="6" t="s">
        <v>37</v>
      </c>
      <c r="F242" s="6" t="s">
        <v>85</v>
      </c>
      <c r="G242" s="6" t="s">
        <v>86</v>
      </c>
      <c r="H242" s="6">
        <v>2</v>
      </c>
      <c r="I242" s="6" t="s">
        <v>113</v>
      </c>
      <c r="J242" s="6" t="s">
        <v>192</v>
      </c>
      <c r="K242" s="6" t="s">
        <v>87</v>
      </c>
      <c r="L242" s="6" t="s">
        <v>42</v>
      </c>
      <c r="M242" s="6" t="s">
        <v>34</v>
      </c>
    </row>
    <row r="243" spans="1:13">
      <c r="A243" s="6" t="s">
        <v>634</v>
      </c>
      <c r="B243" s="7">
        <v>46194</v>
      </c>
      <c r="C243" s="6" t="s">
        <v>635</v>
      </c>
      <c r="D243" s="6" t="s">
        <v>45</v>
      </c>
      <c r="E243" s="6" t="s">
        <v>78</v>
      </c>
      <c r="F243" s="6" t="s">
        <v>38</v>
      </c>
      <c r="G243" s="6" t="s">
        <v>39</v>
      </c>
      <c r="H243" s="6">
        <v>2</v>
      </c>
      <c r="I243" s="6" t="s">
        <v>265</v>
      </c>
      <c r="J243" s="6" t="s">
        <v>636</v>
      </c>
      <c r="K243" s="6" t="s">
        <v>41</v>
      </c>
      <c r="L243" s="6" t="s">
        <v>42</v>
      </c>
      <c r="M243" s="6" t="s">
        <v>34</v>
      </c>
    </row>
    <row r="244" spans="1:13">
      <c r="A244" s="6" t="s">
        <v>637</v>
      </c>
      <c r="B244" s="7">
        <v>46048</v>
      </c>
      <c r="C244" s="6" t="s">
        <v>381</v>
      </c>
      <c r="D244" s="6" t="s">
        <v>110</v>
      </c>
      <c r="E244" s="6" t="s">
        <v>78</v>
      </c>
      <c r="F244" s="6" t="s">
        <v>38</v>
      </c>
      <c r="G244" s="6" t="s">
        <v>39</v>
      </c>
      <c r="H244" s="6">
        <v>1</v>
      </c>
      <c r="I244" s="6" t="s">
        <v>79</v>
      </c>
      <c r="J244" s="6" t="s">
        <v>79</v>
      </c>
      <c r="K244" s="6">
        <v>520</v>
      </c>
      <c r="L244" s="6" t="s">
        <v>42</v>
      </c>
      <c r="M244" s="6" t="s">
        <v>34</v>
      </c>
    </row>
    <row r="245" spans="1:13">
      <c r="A245" s="6" t="s">
        <v>638</v>
      </c>
      <c r="B245" s="7">
        <v>46030</v>
      </c>
      <c r="C245" s="6" t="s">
        <v>381</v>
      </c>
      <c r="D245" s="6" t="s">
        <v>77</v>
      </c>
      <c r="E245" s="6" t="s">
        <v>46</v>
      </c>
      <c r="F245" s="6" t="s">
        <v>100</v>
      </c>
      <c r="G245" s="6" t="s">
        <v>101</v>
      </c>
      <c r="H245" s="6">
        <v>2</v>
      </c>
      <c r="I245" s="6" t="s">
        <v>147</v>
      </c>
      <c r="J245" s="6" t="s">
        <v>175</v>
      </c>
      <c r="K245" s="6">
        <v>640</v>
      </c>
      <c r="L245" s="6" t="s">
        <v>42</v>
      </c>
      <c r="M245" s="6" t="s">
        <v>34</v>
      </c>
    </row>
    <row r="246" spans="1:13">
      <c r="A246" s="6" t="s">
        <v>639</v>
      </c>
      <c r="B246" s="6" t="s">
        <v>640</v>
      </c>
      <c r="C246" s="6" t="s">
        <v>339</v>
      </c>
      <c r="D246" s="6" t="s">
        <v>72</v>
      </c>
      <c r="E246" s="6" t="s">
        <v>78</v>
      </c>
      <c r="F246" s="6" t="s">
        <v>53</v>
      </c>
      <c r="G246" s="6" t="s">
        <v>54</v>
      </c>
      <c r="H246" s="6">
        <v>1</v>
      </c>
      <c r="I246" s="6" t="s">
        <v>113</v>
      </c>
      <c r="J246" s="6" t="s">
        <v>113</v>
      </c>
      <c r="K246" s="6">
        <v>190</v>
      </c>
      <c r="L246" s="6" t="s">
        <v>42</v>
      </c>
      <c r="M246" s="6" t="s">
        <v>69</v>
      </c>
    </row>
    <row r="247" spans="1:13">
      <c r="A247" s="6" t="s">
        <v>641</v>
      </c>
      <c r="B247" s="7">
        <v>46062</v>
      </c>
      <c r="C247" s="6" t="s">
        <v>642</v>
      </c>
      <c r="D247" s="6" t="s">
        <v>105</v>
      </c>
      <c r="E247" s="6" t="s">
        <v>46</v>
      </c>
      <c r="F247" s="6" t="s">
        <v>29</v>
      </c>
      <c r="G247" s="6" t="s">
        <v>30</v>
      </c>
      <c r="H247" s="6">
        <v>3</v>
      </c>
      <c r="I247" s="6" t="s">
        <v>117</v>
      </c>
      <c r="J247" s="6" t="s">
        <v>171</v>
      </c>
      <c r="K247" s="6">
        <v>520</v>
      </c>
      <c r="L247" s="6" t="s">
        <v>42</v>
      </c>
      <c r="M247" s="6" t="s">
        <v>69</v>
      </c>
    </row>
    <row r="248" spans="1:13">
      <c r="A248" s="6" t="s">
        <v>643</v>
      </c>
      <c r="B248" s="7">
        <v>46053</v>
      </c>
      <c r="C248" s="6" t="s">
        <v>644</v>
      </c>
      <c r="D248" s="6" t="s">
        <v>105</v>
      </c>
      <c r="E248" s="6" t="s">
        <v>46</v>
      </c>
      <c r="F248" s="6" t="s">
        <v>53</v>
      </c>
      <c r="G248" s="6" t="s">
        <v>54</v>
      </c>
      <c r="H248" s="6">
        <v>1</v>
      </c>
      <c r="I248" s="6" t="s">
        <v>82</v>
      </c>
      <c r="J248" s="6" t="s">
        <v>82</v>
      </c>
      <c r="K248" s="6">
        <v>190</v>
      </c>
      <c r="L248" s="6" t="s">
        <v>42</v>
      </c>
      <c r="M248" s="6" t="s">
        <v>69</v>
      </c>
    </row>
    <row r="249" spans="1:13">
      <c r="A249" s="6" t="s">
        <v>645</v>
      </c>
      <c r="B249" s="7">
        <v>46060</v>
      </c>
      <c r="C249" s="6" t="s">
        <v>646</v>
      </c>
      <c r="D249" s="6" t="s">
        <v>110</v>
      </c>
      <c r="E249" s="6" t="s">
        <v>78</v>
      </c>
      <c r="F249" s="6" t="s">
        <v>29</v>
      </c>
      <c r="G249" s="6" t="s">
        <v>30</v>
      </c>
      <c r="H249" s="6">
        <v>1</v>
      </c>
      <c r="I249" s="6" t="s">
        <v>117</v>
      </c>
      <c r="J249" s="6" t="s">
        <v>117</v>
      </c>
      <c r="K249" s="6">
        <v>520</v>
      </c>
      <c r="L249" s="6" t="s">
        <v>42</v>
      </c>
      <c r="M249" s="6" t="s">
        <v>34</v>
      </c>
    </row>
    <row r="250" spans="1:13">
      <c r="A250" s="6" t="s">
        <v>647</v>
      </c>
      <c r="B250" s="7">
        <v>46094</v>
      </c>
      <c r="C250" s="6" t="s">
        <v>648</v>
      </c>
      <c r="D250" s="6" t="s">
        <v>105</v>
      </c>
      <c r="E250" s="6" t="s">
        <v>37</v>
      </c>
      <c r="F250" s="6" t="s">
        <v>100</v>
      </c>
      <c r="G250" s="6" t="s">
        <v>101</v>
      </c>
      <c r="H250" s="6">
        <v>3</v>
      </c>
      <c r="I250" s="6" t="s">
        <v>147</v>
      </c>
      <c r="J250" s="6" t="s">
        <v>148</v>
      </c>
      <c r="K250" s="6">
        <v>640</v>
      </c>
      <c r="L250" s="6" t="s">
        <v>42</v>
      </c>
      <c r="M250" s="6" t="s">
        <v>34</v>
      </c>
    </row>
    <row r="251" spans="1:13">
      <c r="A251" s="6" t="s">
        <v>649</v>
      </c>
      <c r="B251" s="7">
        <v>46072</v>
      </c>
      <c r="C251" s="6" t="s">
        <v>650</v>
      </c>
      <c r="D251" s="6" t="s">
        <v>77</v>
      </c>
      <c r="E251" s="6" t="s">
        <v>78</v>
      </c>
      <c r="F251" s="6" t="s">
        <v>29</v>
      </c>
      <c r="G251" s="6" t="s">
        <v>30</v>
      </c>
      <c r="H251" s="6">
        <v>1</v>
      </c>
      <c r="I251" s="6" t="s">
        <v>40</v>
      </c>
      <c r="J251" s="6" t="s">
        <v>40</v>
      </c>
      <c r="K251" s="6">
        <v>520</v>
      </c>
      <c r="L251" s="6" t="s">
        <v>42</v>
      </c>
      <c r="M251" s="6" t="s">
        <v>34</v>
      </c>
    </row>
    <row r="252" spans="1:13">
      <c r="A252" s="6" t="s">
        <v>651</v>
      </c>
      <c r="B252" s="7">
        <v>46092</v>
      </c>
      <c r="C252" s="6" t="s">
        <v>652</v>
      </c>
      <c r="D252" s="6" t="s">
        <v>110</v>
      </c>
      <c r="E252" s="6" t="s">
        <v>52</v>
      </c>
      <c r="F252" s="6" t="s">
        <v>47</v>
      </c>
      <c r="G252" s="6" t="s">
        <v>48</v>
      </c>
      <c r="H252" s="6">
        <v>3</v>
      </c>
      <c r="I252" s="6" t="s">
        <v>40</v>
      </c>
      <c r="J252" s="6" t="s">
        <v>653</v>
      </c>
      <c r="K252" s="6">
        <v>85</v>
      </c>
      <c r="L252" s="6" t="s">
        <v>42</v>
      </c>
      <c r="M252" s="6" t="s">
        <v>34</v>
      </c>
    </row>
    <row r="253" spans="1:13">
      <c r="A253" s="6" t="s">
        <v>654</v>
      </c>
      <c r="B253" s="7">
        <v>46176</v>
      </c>
      <c r="C253" s="6" t="s">
        <v>655</v>
      </c>
      <c r="D253" s="6" t="s">
        <v>45</v>
      </c>
      <c r="E253" s="6" t="s">
        <v>28</v>
      </c>
      <c r="F253" s="6" t="s">
        <v>47</v>
      </c>
      <c r="G253" s="6" t="s">
        <v>48</v>
      </c>
      <c r="H253" s="6">
        <v>2</v>
      </c>
      <c r="I253" s="6" t="s">
        <v>656</v>
      </c>
      <c r="J253" s="6" t="s">
        <v>192</v>
      </c>
      <c r="K253" s="6" t="s">
        <v>49</v>
      </c>
      <c r="L253" s="6" t="s">
        <v>33</v>
      </c>
      <c r="M253" s="6" t="s">
        <v>34</v>
      </c>
    </row>
    <row r="254" spans="1:13">
      <c r="A254" s="6" t="s">
        <v>657</v>
      </c>
      <c r="B254" s="7">
        <v>46144</v>
      </c>
      <c r="C254" s="6" t="s">
        <v>436</v>
      </c>
      <c r="D254" s="6" t="s">
        <v>110</v>
      </c>
      <c r="E254" s="6" t="s">
        <v>52</v>
      </c>
      <c r="F254" s="6" t="s">
        <v>94</v>
      </c>
      <c r="G254" s="6" t="s">
        <v>95</v>
      </c>
      <c r="H254" s="6">
        <v>2</v>
      </c>
      <c r="I254" s="6" t="s">
        <v>143</v>
      </c>
      <c r="J254" s="6" t="s">
        <v>144</v>
      </c>
      <c r="K254" s="6" t="s">
        <v>114</v>
      </c>
      <c r="L254" s="6" t="s">
        <v>42</v>
      </c>
      <c r="M254" s="6" t="s">
        <v>34</v>
      </c>
    </row>
    <row r="255" spans="1:13">
      <c r="A255" s="6" t="s">
        <v>658</v>
      </c>
      <c r="B255" s="7">
        <v>46050</v>
      </c>
      <c r="C255" s="6" t="s">
        <v>659</v>
      </c>
      <c r="D255" s="6" t="s">
        <v>45</v>
      </c>
      <c r="E255" s="6" t="s">
        <v>78</v>
      </c>
      <c r="F255" s="6" t="s">
        <v>100</v>
      </c>
      <c r="G255" s="6" t="s">
        <v>101</v>
      </c>
      <c r="H255" s="6">
        <v>1</v>
      </c>
      <c r="I255" s="6" t="s">
        <v>660</v>
      </c>
      <c r="J255" s="6" t="s">
        <v>79</v>
      </c>
      <c r="K255" s="6">
        <v>640</v>
      </c>
      <c r="L255" s="6" t="s">
        <v>42</v>
      </c>
      <c r="M255" s="6" t="s">
        <v>34</v>
      </c>
    </row>
    <row r="256" spans="1:13">
      <c r="A256" s="6" t="s">
        <v>661</v>
      </c>
      <c r="B256" s="7">
        <v>46081</v>
      </c>
      <c r="C256" s="6" t="s">
        <v>662</v>
      </c>
      <c r="D256" s="6" t="s">
        <v>45</v>
      </c>
      <c r="E256" s="6" t="s">
        <v>78</v>
      </c>
      <c r="F256" s="6" t="s">
        <v>47</v>
      </c>
      <c r="G256" s="6" t="s">
        <v>48</v>
      </c>
      <c r="H256" s="6">
        <v>1</v>
      </c>
      <c r="I256" s="6" t="s">
        <v>147</v>
      </c>
      <c r="J256" s="6" t="s">
        <v>147</v>
      </c>
      <c r="K256" s="6">
        <v>85</v>
      </c>
      <c r="L256" s="6" t="s">
        <v>42</v>
      </c>
      <c r="M256" s="6" t="s">
        <v>69</v>
      </c>
    </row>
    <row r="257" spans="1:13">
      <c r="A257" s="6" t="s">
        <v>663</v>
      </c>
      <c r="B257" s="7">
        <v>46138</v>
      </c>
      <c r="C257" s="6" t="s">
        <v>664</v>
      </c>
      <c r="D257" s="6" t="s">
        <v>45</v>
      </c>
      <c r="E257" s="6" t="s">
        <v>78</v>
      </c>
      <c r="F257" s="6" t="s">
        <v>38</v>
      </c>
      <c r="G257" s="6" t="s">
        <v>39</v>
      </c>
      <c r="H257" s="6">
        <v>1</v>
      </c>
      <c r="I257" s="6" t="s">
        <v>40</v>
      </c>
      <c r="J257" s="6" t="s">
        <v>40</v>
      </c>
      <c r="K257" s="6" t="s">
        <v>41</v>
      </c>
      <c r="L257" s="6" t="s">
        <v>42</v>
      </c>
      <c r="M257" s="6" t="s">
        <v>34</v>
      </c>
    </row>
    <row r="258" spans="1:13">
      <c r="A258" s="6" t="s">
        <v>665</v>
      </c>
      <c r="B258" s="7">
        <v>46118</v>
      </c>
      <c r="C258" s="6" t="s">
        <v>666</v>
      </c>
      <c r="D258" s="6" t="s">
        <v>105</v>
      </c>
      <c r="E258" s="6" t="s">
        <v>37</v>
      </c>
      <c r="F258" s="6" t="s">
        <v>58</v>
      </c>
      <c r="G258" s="6" t="s">
        <v>59</v>
      </c>
      <c r="H258" s="6">
        <v>2</v>
      </c>
      <c r="I258" s="6" t="s">
        <v>667</v>
      </c>
      <c r="J258" s="6" t="s">
        <v>327</v>
      </c>
      <c r="K258" s="6" t="s">
        <v>61</v>
      </c>
      <c r="L258" s="6" t="s">
        <v>42</v>
      </c>
      <c r="M258" s="6" t="s">
        <v>34</v>
      </c>
    </row>
    <row r="259" spans="1:13">
      <c r="A259" s="6" t="s">
        <v>668</v>
      </c>
      <c r="B259" s="6" t="s">
        <v>669</v>
      </c>
      <c r="C259" s="6" t="s">
        <v>670</v>
      </c>
      <c r="D259" s="6" t="s">
        <v>45</v>
      </c>
      <c r="E259" s="6" t="s">
        <v>46</v>
      </c>
      <c r="F259" s="6" t="s">
        <v>29</v>
      </c>
      <c r="G259" s="6" t="s">
        <v>30</v>
      </c>
      <c r="H259" s="6">
        <v>1</v>
      </c>
      <c r="I259" s="6" t="s">
        <v>67</v>
      </c>
      <c r="J259" s="6" t="s">
        <v>67</v>
      </c>
      <c r="K259" s="6">
        <v>520</v>
      </c>
      <c r="L259" s="6" t="s">
        <v>42</v>
      </c>
      <c r="M259" s="6" t="s">
        <v>34</v>
      </c>
    </row>
    <row r="260" spans="1:13">
      <c r="A260" s="6" t="s">
        <v>671</v>
      </c>
      <c r="B260" s="7">
        <v>46183</v>
      </c>
      <c r="C260" s="6" t="s">
        <v>672</v>
      </c>
      <c r="D260" s="6" t="s">
        <v>45</v>
      </c>
      <c r="E260" s="6" t="s">
        <v>46</v>
      </c>
      <c r="F260" s="6" t="s">
        <v>94</v>
      </c>
      <c r="G260" s="6" t="s">
        <v>95</v>
      </c>
      <c r="H260" s="6">
        <v>1</v>
      </c>
      <c r="I260" s="6" t="s">
        <v>82</v>
      </c>
      <c r="J260" s="6" t="s">
        <v>82</v>
      </c>
      <c r="K260" s="6" t="s">
        <v>114</v>
      </c>
      <c r="L260" s="6" t="s">
        <v>42</v>
      </c>
      <c r="M260" s="6" t="s">
        <v>34</v>
      </c>
    </row>
    <row r="261" spans="1:13">
      <c r="A261" s="6" t="s">
        <v>673</v>
      </c>
      <c r="B261" s="7">
        <v>46188</v>
      </c>
      <c r="C261" s="6" t="s">
        <v>674</v>
      </c>
      <c r="D261" s="6" t="s">
        <v>57</v>
      </c>
      <c r="E261" s="6" t="s">
        <v>28</v>
      </c>
      <c r="F261" s="6" t="s">
        <v>53</v>
      </c>
      <c r="G261" s="6" t="s">
        <v>54</v>
      </c>
      <c r="H261" s="6">
        <v>1</v>
      </c>
      <c r="I261" s="6" t="s">
        <v>67</v>
      </c>
      <c r="J261" s="6" t="s">
        <v>67</v>
      </c>
      <c r="K261" s="6" t="s">
        <v>122</v>
      </c>
      <c r="L261" s="6" t="s">
        <v>42</v>
      </c>
      <c r="M261" s="6" t="s">
        <v>69</v>
      </c>
    </row>
    <row r="262" spans="1:13">
      <c r="A262" s="6" t="s">
        <v>675</v>
      </c>
      <c r="B262" s="7">
        <v>46054</v>
      </c>
      <c r="C262" s="6" t="s">
        <v>676</v>
      </c>
      <c r="D262" s="6" t="s">
        <v>45</v>
      </c>
      <c r="E262" s="6" t="s">
        <v>78</v>
      </c>
      <c r="F262" s="6" t="s">
        <v>58</v>
      </c>
      <c r="G262" s="6" t="s">
        <v>59</v>
      </c>
      <c r="H262" s="6">
        <v>1</v>
      </c>
      <c r="I262" s="6" t="s">
        <v>265</v>
      </c>
      <c r="J262" s="6" t="s">
        <v>265</v>
      </c>
      <c r="K262" s="6">
        <v>380</v>
      </c>
      <c r="L262" s="6" t="s">
        <v>42</v>
      </c>
      <c r="M262" s="6" t="s">
        <v>34</v>
      </c>
    </row>
    <row r="263" spans="1:13">
      <c r="A263" s="6" t="s">
        <v>677</v>
      </c>
      <c r="B263" s="7">
        <v>46069</v>
      </c>
      <c r="C263" s="6" t="s">
        <v>306</v>
      </c>
      <c r="D263" s="6" t="s">
        <v>45</v>
      </c>
      <c r="E263" s="6" t="s">
        <v>28</v>
      </c>
      <c r="F263" s="6" t="s">
        <v>94</v>
      </c>
      <c r="G263" s="6" t="s">
        <v>95</v>
      </c>
      <c r="H263" s="6">
        <v>1</v>
      </c>
      <c r="I263" s="6" t="s">
        <v>67</v>
      </c>
      <c r="J263" s="6" t="s">
        <v>67</v>
      </c>
      <c r="K263" s="6">
        <v>340</v>
      </c>
      <c r="L263" s="6" t="s">
        <v>42</v>
      </c>
      <c r="M263" s="6" t="s">
        <v>34</v>
      </c>
    </row>
    <row r="264" spans="1:13">
      <c r="A264" s="6" t="s">
        <v>678</v>
      </c>
      <c r="B264" s="6" t="s">
        <v>169</v>
      </c>
      <c r="C264" s="6" t="s">
        <v>679</v>
      </c>
      <c r="D264" s="6" t="s">
        <v>105</v>
      </c>
      <c r="E264" s="6" t="s">
        <v>46</v>
      </c>
      <c r="F264" s="6" t="s">
        <v>100</v>
      </c>
      <c r="G264" s="6" t="s">
        <v>101</v>
      </c>
      <c r="H264" s="6">
        <v>2</v>
      </c>
      <c r="I264" s="6" t="s">
        <v>231</v>
      </c>
      <c r="J264" s="6" t="s">
        <v>232</v>
      </c>
      <c r="K264" s="6">
        <v>640</v>
      </c>
      <c r="L264" s="6" t="s">
        <v>42</v>
      </c>
      <c r="M264" s="6" t="s">
        <v>34</v>
      </c>
    </row>
    <row r="265" spans="1:13">
      <c r="A265" s="6" t="s">
        <v>680</v>
      </c>
      <c r="B265" s="7">
        <v>46080</v>
      </c>
      <c r="C265" s="6" t="s">
        <v>681</v>
      </c>
      <c r="D265" s="6" t="s">
        <v>72</v>
      </c>
      <c r="E265" s="6" t="s">
        <v>28</v>
      </c>
      <c r="F265" s="6" t="s">
        <v>58</v>
      </c>
      <c r="G265" s="6" t="s">
        <v>59</v>
      </c>
      <c r="H265" s="6">
        <v>2</v>
      </c>
      <c r="I265" s="6" t="s">
        <v>96</v>
      </c>
      <c r="J265" s="6" t="s">
        <v>278</v>
      </c>
      <c r="K265" s="6">
        <v>380</v>
      </c>
      <c r="L265" s="6" t="s">
        <v>42</v>
      </c>
      <c r="M265" s="6" t="s">
        <v>69</v>
      </c>
    </row>
    <row r="266" spans="1:13">
      <c r="A266" s="6" t="s">
        <v>682</v>
      </c>
      <c r="B266" s="7">
        <v>46297</v>
      </c>
      <c r="C266" s="6" t="s">
        <v>683</v>
      </c>
      <c r="D266" s="6" t="s">
        <v>127</v>
      </c>
      <c r="E266" s="6" t="s">
        <v>78</v>
      </c>
      <c r="F266" s="6" t="s">
        <v>100</v>
      </c>
      <c r="G266" s="6" t="s">
        <v>101</v>
      </c>
      <c r="H266" s="6">
        <v>1</v>
      </c>
      <c r="I266" s="6" t="s">
        <v>684</v>
      </c>
      <c r="J266" s="6" t="s">
        <v>685</v>
      </c>
      <c r="K266" s="6">
        <v>640</v>
      </c>
      <c r="L266" s="6" t="s">
        <v>42</v>
      </c>
      <c r="M266" s="6" t="s">
        <v>69</v>
      </c>
    </row>
    <row r="267" spans="1:13">
      <c r="A267" s="6" t="s">
        <v>686</v>
      </c>
      <c r="B267" s="7">
        <v>46093</v>
      </c>
      <c r="C267" s="6" t="s">
        <v>251</v>
      </c>
      <c r="D267" s="6" t="s">
        <v>77</v>
      </c>
      <c r="E267" s="6" t="s">
        <v>46</v>
      </c>
      <c r="F267" s="6" t="s">
        <v>100</v>
      </c>
      <c r="G267" s="6" t="s">
        <v>101</v>
      </c>
      <c r="H267" s="6">
        <v>3</v>
      </c>
      <c r="I267" s="6" t="s">
        <v>113</v>
      </c>
      <c r="J267" s="6" t="s">
        <v>138</v>
      </c>
      <c r="K267" s="6">
        <v>640</v>
      </c>
      <c r="L267" s="6" t="s">
        <v>33</v>
      </c>
      <c r="M267" s="6" t="s">
        <v>69</v>
      </c>
    </row>
    <row r="268" spans="1:13">
      <c r="A268" s="6" t="s">
        <v>687</v>
      </c>
      <c r="B268" s="7">
        <v>46200</v>
      </c>
      <c r="C268" s="6" t="s">
        <v>688</v>
      </c>
      <c r="D268" s="6" t="s">
        <v>127</v>
      </c>
      <c r="E268" s="6" t="s">
        <v>46</v>
      </c>
      <c r="F268" s="6" t="s">
        <v>94</v>
      </c>
      <c r="G268" s="6" t="s">
        <v>95</v>
      </c>
      <c r="H268" s="6">
        <v>3</v>
      </c>
      <c r="I268" s="6" t="s">
        <v>79</v>
      </c>
      <c r="J268" s="6" t="s">
        <v>216</v>
      </c>
      <c r="K268" s="6" t="s">
        <v>114</v>
      </c>
      <c r="L268" s="6" t="s">
        <v>42</v>
      </c>
      <c r="M268" s="6" t="s">
        <v>34</v>
      </c>
    </row>
    <row r="269" spans="1:13">
      <c r="A269" s="6" t="s">
        <v>689</v>
      </c>
      <c r="B269" s="7">
        <v>46097</v>
      </c>
      <c r="C269" s="6" t="s">
        <v>690</v>
      </c>
      <c r="D269" s="6" t="s">
        <v>57</v>
      </c>
      <c r="E269" s="6" t="s">
        <v>37</v>
      </c>
      <c r="F269" s="6" t="s">
        <v>53</v>
      </c>
      <c r="G269" s="6" t="s">
        <v>54</v>
      </c>
      <c r="H269" s="6">
        <v>1</v>
      </c>
      <c r="I269" s="6" t="s">
        <v>265</v>
      </c>
      <c r="J269" s="6" t="s">
        <v>265</v>
      </c>
      <c r="K269" s="6">
        <v>190</v>
      </c>
      <c r="L269" s="6" t="s">
        <v>42</v>
      </c>
      <c r="M269" s="6" t="s">
        <v>34</v>
      </c>
    </row>
    <row r="270" spans="1:13">
      <c r="A270" s="6" t="s">
        <v>691</v>
      </c>
      <c r="B270" s="7">
        <v>46109</v>
      </c>
      <c r="C270" s="6" t="s">
        <v>310</v>
      </c>
      <c r="D270" s="6" t="s">
        <v>127</v>
      </c>
      <c r="E270" s="6" t="s">
        <v>52</v>
      </c>
      <c r="F270" s="6" t="s">
        <v>47</v>
      </c>
      <c r="G270" s="6" t="s">
        <v>48</v>
      </c>
      <c r="H270" s="6">
        <v>1</v>
      </c>
      <c r="I270" s="6" t="s">
        <v>67</v>
      </c>
      <c r="J270" s="6" t="s">
        <v>67</v>
      </c>
      <c r="K270" s="6">
        <v>85</v>
      </c>
      <c r="L270" s="6" t="s">
        <v>42</v>
      </c>
      <c r="M270" s="6" t="s">
        <v>69</v>
      </c>
    </row>
    <row r="271" spans="1:13">
      <c r="A271" s="6" t="s">
        <v>692</v>
      </c>
      <c r="B271" s="7">
        <v>46173</v>
      </c>
      <c r="C271" s="6" t="s">
        <v>693</v>
      </c>
      <c r="D271" s="6" t="s">
        <v>57</v>
      </c>
      <c r="E271" s="6" t="s">
        <v>37</v>
      </c>
      <c r="F271" s="6" t="s">
        <v>47</v>
      </c>
      <c r="G271" s="6" t="s">
        <v>48</v>
      </c>
      <c r="H271" s="6">
        <v>2</v>
      </c>
      <c r="I271" s="6" t="s">
        <v>147</v>
      </c>
      <c r="J271" s="6" t="s">
        <v>175</v>
      </c>
      <c r="K271" s="6" t="s">
        <v>49</v>
      </c>
      <c r="L271" s="6" t="s">
        <v>42</v>
      </c>
      <c r="M271" s="6" t="s">
        <v>69</v>
      </c>
    </row>
    <row r="272" spans="1:13">
      <c r="A272" s="6" t="s">
        <v>694</v>
      </c>
      <c r="B272" s="7">
        <v>46102</v>
      </c>
      <c r="C272" s="6" t="s">
        <v>261</v>
      </c>
      <c r="D272" s="6" t="s">
        <v>77</v>
      </c>
      <c r="E272" s="6" t="s">
        <v>37</v>
      </c>
      <c r="F272" s="6" t="s">
        <v>85</v>
      </c>
      <c r="G272" s="6" t="s">
        <v>86</v>
      </c>
      <c r="H272" s="6">
        <v>2</v>
      </c>
      <c r="I272" s="6" t="s">
        <v>181</v>
      </c>
      <c r="J272" s="6" t="s">
        <v>163</v>
      </c>
      <c r="K272" s="6">
        <v>410</v>
      </c>
      <c r="L272" s="6" t="s">
        <v>42</v>
      </c>
      <c r="M272" s="6" t="s">
        <v>34</v>
      </c>
    </row>
    <row r="273" spans="1:13">
      <c r="A273" s="6" t="s">
        <v>695</v>
      </c>
      <c r="B273" s="7">
        <v>46193</v>
      </c>
      <c r="C273" s="6" t="s">
        <v>696</v>
      </c>
      <c r="D273" s="6" t="s">
        <v>45</v>
      </c>
      <c r="E273" s="6" t="s">
        <v>52</v>
      </c>
      <c r="F273" s="6" t="s">
        <v>53</v>
      </c>
      <c r="G273" s="6" t="s">
        <v>54</v>
      </c>
      <c r="H273" s="6">
        <v>2</v>
      </c>
      <c r="I273" s="6" t="s">
        <v>113</v>
      </c>
      <c r="J273" s="6" t="s">
        <v>192</v>
      </c>
      <c r="K273" s="6" t="s">
        <v>122</v>
      </c>
      <c r="L273" s="6" t="s">
        <v>33</v>
      </c>
      <c r="M273" s="6" t="s">
        <v>34</v>
      </c>
    </row>
    <row r="274" spans="1:13">
      <c r="A274" s="6" t="s">
        <v>697</v>
      </c>
      <c r="B274" s="6" t="s">
        <v>698</v>
      </c>
      <c r="C274" s="6" t="s">
        <v>699</v>
      </c>
      <c r="D274" s="6" t="s">
        <v>72</v>
      </c>
      <c r="E274" s="6" t="s">
        <v>37</v>
      </c>
      <c r="F274" s="6" t="s">
        <v>85</v>
      </c>
      <c r="G274" s="6" t="s">
        <v>86</v>
      </c>
      <c r="H274" s="6">
        <v>1</v>
      </c>
      <c r="I274" s="6" t="s">
        <v>117</v>
      </c>
      <c r="J274" s="6" t="s">
        <v>117</v>
      </c>
      <c r="K274" s="6">
        <v>410</v>
      </c>
      <c r="L274" s="6" t="s">
        <v>42</v>
      </c>
      <c r="M274" s="6" t="s">
        <v>69</v>
      </c>
    </row>
    <row r="275" spans="1:13">
      <c r="A275" s="6" t="s">
        <v>700</v>
      </c>
      <c r="B275" s="6" t="s">
        <v>290</v>
      </c>
      <c r="C275" s="6" t="s">
        <v>701</v>
      </c>
      <c r="D275" s="6" t="s">
        <v>127</v>
      </c>
      <c r="E275" s="6" t="s">
        <v>52</v>
      </c>
      <c r="F275" s="6" t="s">
        <v>58</v>
      </c>
      <c r="G275" s="6" t="s">
        <v>59</v>
      </c>
      <c r="H275" s="6">
        <v>1</v>
      </c>
      <c r="I275" s="6" t="s">
        <v>231</v>
      </c>
      <c r="J275" s="6" t="s">
        <v>231</v>
      </c>
      <c r="K275" s="6" t="s">
        <v>61</v>
      </c>
      <c r="L275" s="6" t="s">
        <v>42</v>
      </c>
      <c r="M275" s="6" t="s">
        <v>34</v>
      </c>
    </row>
    <row r="276" spans="1:13">
      <c r="A276" s="6" t="s">
        <v>702</v>
      </c>
      <c r="B276" s="7">
        <v>46118</v>
      </c>
      <c r="C276" s="6" t="s">
        <v>703</v>
      </c>
      <c r="D276" s="6" t="s">
        <v>45</v>
      </c>
      <c r="E276" s="6" t="s">
        <v>78</v>
      </c>
      <c r="F276" s="6" t="s">
        <v>94</v>
      </c>
      <c r="G276" s="6" t="s">
        <v>95</v>
      </c>
      <c r="H276" s="6">
        <v>1</v>
      </c>
      <c r="I276" s="6" t="s">
        <v>73</v>
      </c>
      <c r="J276" s="6" t="s">
        <v>73</v>
      </c>
      <c r="K276" s="6">
        <v>340</v>
      </c>
      <c r="L276" s="6" t="s">
        <v>42</v>
      </c>
      <c r="M276" s="6" t="s">
        <v>34</v>
      </c>
    </row>
    <row r="277" spans="1:13">
      <c r="A277" s="6" t="s">
        <v>704</v>
      </c>
      <c r="B277" s="7">
        <v>46143</v>
      </c>
      <c r="C277" s="6" t="s">
        <v>705</v>
      </c>
      <c r="D277" s="6" t="s">
        <v>105</v>
      </c>
      <c r="E277" s="6" t="s">
        <v>28</v>
      </c>
      <c r="F277" s="6" t="s">
        <v>38</v>
      </c>
      <c r="G277" s="6" t="s">
        <v>39</v>
      </c>
      <c r="H277" s="6">
        <v>1</v>
      </c>
      <c r="I277" s="6" t="s">
        <v>147</v>
      </c>
      <c r="J277" s="6" t="s">
        <v>147</v>
      </c>
      <c r="K277" s="6" t="s">
        <v>41</v>
      </c>
      <c r="L277" s="6" t="s">
        <v>42</v>
      </c>
      <c r="M277" s="6" t="s">
        <v>34</v>
      </c>
    </row>
    <row r="278" spans="1:13">
      <c r="A278" s="6" t="s">
        <v>706</v>
      </c>
      <c r="B278" s="7">
        <v>46153</v>
      </c>
      <c r="C278" s="6" t="s">
        <v>707</v>
      </c>
      <c r="D278" s="6" t="s">
        <v>77</v>
      </c>
      <c r="E278" s="6" t="s">
        <v>46</v>
      </c>
      <c r="F278" s="6" t="s">
        <v>38</v>
      </c>
      <c r="G278" s="6" t="s">
        <v>39</v>
      </c>
      <c r="H278" s="6">
        <v>2</v>
      </c>
      <c r="I278" s="6" t="s">
        <v>67</v>
      </c>
      <c r="J278" s="6" t="s">
        <v>708</v>
      </c>
      <c r="K278" s="6" t="s">
        <v>41</v>
      </c>
      <c r="L278" s="6" t="s">
        <v>42</v>
      </c>
      <c r="M278" s="6" t="s">
        <v>34</v>
      </c>
    </row>
    <row r="279" spans="1:13">
      <c r="A279" s="6" t="s">
        <v>709</v>
      </c>
      <c r="B279" s="7">
        <v>46331</v>
      </c>
      <c r="C279" s="6" t="s">
        <v>121</v>
      </c>
      <c r="D279" s="6" t="s">
        <v>64</v>
      </c>
      <c r="E279" s="6" t="s">
        <v>78</v>
      </c>
      <c r="F279" s="6" t="s">
        <v>38</v>
      </c>
      <c r="G279" s="6" t="s">
        <v>39</v>
      </c>
      <c r="H279" s="6">
        <v>2</v>
      </c>
      <c r="I279" s="6" t="s">
        <v>265</v>
      </c>
      <c r="J279" s="6" t="s">
        <v>167</v>
      </c>
      <c r="K279" s="6" t="s">
        <v>41</v>
      </c>
      <c r="L279" s="6" t="s">
        <v>42</v>
      </c>
      <c r="M279" s="6" t="s">
        <v>34</v>
      </c>
    </row>
    <row r="280" spans="1:13">
      <c r="A280" s="6" t="s">
        <v>710</v>
      </c>
      <c r="B280" s="7">
        <v>46090</v>
      </c>
      <c r="C280" s="6" t="s">
        <v>711</v>
      </c>
      <c r="D280" s="6" t="s">
        <v>72</v>
      </c>
      <c r="E280" s="6" t="s">
        <v>78</v>
      </c>
      <c r="F280" s="6" t="s">
        <v>100</v>
      </c>
      <c r="G280" s="6" t="s">
        <v>101</v>
      </c>
      <c r="H280" s="6">
        <v>1</v>
      </c>
      <c r="I280" s="6" t="s">
        <v>113</v>
      </c>
      <c r="J280" s="6" t="s">
        <v>712</v>
      </c>
      <c r="K280" s="6">
        <v>640</v>
      </c>
      <c r="L280" s="6" t="s">
        <v>42</v>
      </c>
      <c r="M280" s="6" t="s">
        <v>34</v>
      </c>
    </row>
    <row r="281" spans="1:13">
      <c r="A281" s="6" t="s">
        <v>713</v>
      </c>
      <c r="B281" s="7">
        <v>46189</v>
      </c>
      <c r="C281" s="6" t="s">
        <v>714</v>
      </c>
      <c r="D281" s="6" t="s">
        <v>45</v>
      </c>
      <c r="E281" s="6" t="s">
        <v>78</v>
      </c>
      <c r="F281" s="6" t="s">
        <v>100</v>
      </c>
      <c r="G281" s="6" t="s">
        <v>101</v>
      </c>
      <c r="H281" s="6">
        <v>1</v>
      </c>
      <c r="I281" s="6" t="s">
        <v>113</v>
      </c>
      <c r="J281" s="6" t="s">
        <v>113</v>
      </c>
      <c r="K281" s="6" t="s">
        <v>119</v>
      </c>
      <c r="L281" s="6" t="s">
        <v>42</v>
      </c>
      <c r="M281" s="6" t="s">
        <v>34</v>
      </c>
    </row>
    <row r="282" spans="1:13">
      <c r="A282" s="6" t="s">
        <v>715</v>
      </c>
      <c r="B282" s="7">
        <v>46034</v>
      </c>
      <c r="C282" s="6" t="s">
        <v>503</v>
      </c>
      <c r="D282" s="6" t="s">
        <v>77</v>
      </c>
      <c r="E282" s="6" t="s">
        <v>78</v>
      </c>
      <c r="F282" s="6" t="s">
        <v>58</v>
      </c>
      <c r="G282" s="6" t="s">
        <v>59</v>
      </c>
      <c r="H282" s="6">
        <v>1</v>
      </c>
      <c r="I282" s="6" t="s">
        <v>60</v>
      </c>
      <c r="J282" s="6" t="s">
        <v>60</v>
      </c>
      <c r="K282" s="6">
        <v>380</v>
      </c>
      <c r="L282" s="6" t="s">
        <v>42</v>
      </c>
      <c r="M282" s="6" t="s">
        <v>34</v>
      </c>
    </row>
    <row r="283" spans="1:13">
      <c r="A283" s="6" t="s">
        <v>716</v>
      </c>
      <c r="B283" s="7">
        <v>46105</v>
      </c>
      <c r="C283" s="6" t="s">
        <v>431</v>
      </c>
      <c r="D283" s="6" t="s">
        <v>105</v>
      </c>
      <c r="E283" s="6" t="s">
        <v>37</v>
      </c>
      <c r="F283" s="6" t="s">
        <v>47</v>
      </c>
      <c r="G283" s="6" t="s">
        <v>48</v>
      </c>
      <c r="H283" s="6">
        <v>1</v>
      </c>
      <c r="I283" s="6" t="s">
        <v>40</v>
      </c>
      <c r="J283" s="6" t="s">
        <v>40</v>
      </c>
      <c r="K283" s="6">
        <v>85</v>
      </c>
      <c r="L283" s="6" t="s">
        <v>42</v>
      </c>
      <c r="M283" s="6" t="s">
        <v>34</v>
      </c>
    </row>
    <row r="284" spans="1:13">
      <c r="A284" s="6" t="s">
        <v>717</v>
      </c>
      <c r="B284" s="7">
        <v>46104</v>
      </c>
      <c r="C284" s="6" t="s">
        <v>520</v>
      </c>
      <c r="D284" s="6" t="s">
        <v>45</v>
      </c>
      <c r="E284" s="6" t="s">
        <v>37</v>
      </c>
      <c r="F284" s="6" t="s">
        <v>38</v>
      </c>
      <c r="G284" s="6" t="s">
        <v>39</v>
      </c>
      <c r="H284" s="6">
        <v>2</v>
      </c>
      <c r="I284" s="6" t="s">
        <v>147</v>
      </c>
      <c r="J284" s="6" t="s">
        <v>175</v>
      </c>
      <c r="K284" s="6">
        <v>520</v>
      </c>
      <c r="L284" s="6" t="s">
        <v>42</v>
      </c>
      <c r="M284" s="6" t="s">
        <v>34</v>
      </c>
    </row>
    <row r="285" spans="1:13">
      <c r="A285" s="6" t="s">
        <v>718</v>
      </c>
      <c r="B285" s="7">
        <v>46197</v>
      </c>
      <c r="C285" s="6" t="s">
        <v>308</v>
      </c>
      <c r="D285" s="6" t="s">
        <v>45</v>
      </c>
      <c r="E285" s="6" t="s">
        <v>52</v>
      </c>
      <c r="F285" s="6" t="s">
        <v>58</v>
      </c>
      <c r="G285" s="6" t="s">
        <v>59</v>
      </c>
      <c r="H285" s="6">
        <v>3</v>
      </c>
      <c r="I285" s="6" t="s">
        <v>73</v>
      </c>
      <c r="J285" s="6" t="s">
        <v>499</v>
      </c>
      <c r="K285" s="6" t="s">
        <v>61</v>
      </c>
      <c r="L285" s="6" t="s">
        <v>42</v>
      </c>
      <c r="M285" s="6" t="s">
        <v>69</v>
      </c>
    </row>
    <row r="286" spans="1:13">
      <c r="A286" s="6" t="s">
        <v>719</v>
      </c>
      <c r="B286" s="7">
        <v>46036</v>
      </c>
      <c r="C286" s="6" t="s">
        <v>720</v>
      </c>
      <c r="D286" s="6" t="s">
        <v>57</v>
      </c>
      <c r="E286" s="6" t="s">
        <v>28</v>
      </c>
      <c r="F286" s="6" t="s">
        <v>29</v>
      </c>
      <c r="G286" s="6" t="s">
        <v>30</v>
      </c>
      <c r="H286" s="6">
        <v>2</v>
      </c>
      <c r="I286" s="6" t="s">
        <v>265</v>
      </c>
      <c r="J286" s="6" t="s">
        <v>167</v>
      </c>
      <c r="K286" s="6">
        <v>520</v>
      </c>
      <c r="L286" s="6" t="s">
        <v>33</v>
      </c>
      <c r="M286" s="6" t="s">
        <v>69</v>
      </c>
    </row>
    <row r="287" spans="1:13">
      <c r="A287" s="6" t="s">
        <v>721</v>
      </c>
      <c r="B287" s="7">
        <v>46199</v>
      </c>
      <c r="C287" s="6" t="s">
        <v>464</v>
      </c>
      <c r="D287" s="6" t="s">
        <v>27</v>
      </c>
      <c r="E287" s="6" t="s">
        <v>28</v>
      </c>
      <c r="F287" s="6" t="s">
        <v>53</v>
      </c>
      <c r="G287" s="6" t="s">
        <v>54</v>
      </c>
      <c r="H287" s="6">
        <v>3</v>
      </c>
      <c r="I287" s="6" t="s">
        <v>147</v>
      </c>
      <c r="J287" s="6" t="s">
        <v>148</v>
      </c>
      <c r="K287" s="6" t="s">
        <v>122</v>
      </c>
      <c r="L287" s="6" t="s">
        <v>33</v>
      </c>
      <c r="M287" s="6" t="s">
        <v>34</v>
      </c>
    </row>
    <row r="288" spans="1:13">
      <c r="A288" s="6" t="s">
        <v>722</v>
      </c>
      <c r="B288" s="7">
        <v>46204</v>
      </c>
      <c r="C288" s="6" t="s">
        <v>723</v>
      </c>
      <c r="D288" s="6" t="s">
        <v>57</v>
      </c>
      <c r="E288" s="6" t="s">
        <v>52</v>
      </c>
      <c r="F288" s="6" t="s">
        <v>94</v>
      </c>
      <c r="G288" s="6" t="s">
        <v>95</v>
      </c>
      <c r="H288" s="6">
        <v>3</v>
      </c>
      <c r="I288" s="6" t="s">
        <v>143</v>
      </c>
      <c r="J288" s="6" t="s">
        <v>243</v>
      </c>
      <c r="K288" s="6" t="s">
        <v>114</v>
      </c>
      <c r="L288" s="6" t="s">
        <v>42</v>
      </c>
      <c r="M288" s="6" t="s">
        <v>69</v>
      </c>
    </row>
    <row r="289" spans="1:13">
      <c r="A289" s="6" t="s">
        <v>724</v>
      </c>
      <c r="B289" s="7">
        <v>46235</v>
      </c>
      <c r="C289" s="6" t="s">
        <v>725</v>
      </c>
      <c r="D289" s="6" t="s">
        <v>57</v>
      </c>
      <c r="E289" s="6" t="s">
        <v>52</v>
      </c>
      <c r="F289" s="6" t="s">
        <v>85</v>
      </c>
      <c r="G289" s="6" t="s">
        <v>86</v>
      </c>
      <c r="H289" s="6">
        <v>1</v>
      </c>
      <c r="I289" s="6" t="s">
        <v>113</v>
      </c>
      <c r="J289" s="6" t="s">
        <v>113</v>
      </c>
      <c r="K289" s="6">
        <v>410</v>
      </c>
      <c r="L289" s="6" t="s">
        <v>42</v>
      </c>
      <c r="M289" s="6" t="s">
        <v>34</v>
      </c>
    </row>
    <row r="290" spans="1:13">
      <c r="A290" s="6" t="s">
        <v>726</v>
      </c>
      <c r="B290" s="7">
        <v>46065</v>
      </c>
      <c r="C290" s="6" t="s">
        <v>727</v>
      </c>
      <c r="D290" s="6" t="s">
        <v>77</v>
      </c>
      <c r="E290" s="6" t="s">
        <v>78</v>
      </c>
      <c r="F290" s="6" t="s">
        <v>85</v>
      </c>
      <c r="G290" s="6" t="s">
        <v>86</v>
      </c>
      <c r="H290" s="6">
        <v>1</v>
      </c>
      <c r="I290" s="6" t="s">
        <v>31</v>
      </c>
      <c r="J290" s="6" t="s">
        <v>31</v>
      </c>
      <c r="K290" s="6">
        <v>410</v>
      </c>
      <c r="L290" s="6" t="s">
        <v>42</v>
      </c>
      <c r="M290" s="6" t="s">
        <v>34</v>
      </c>
    </row>
    <row r="291" spans="1:13">
      <c r="A291" s="6" t="s">
        <v>728</v>
      </c>
      <c r="B291" s="7">
        <v>46175</v>
      </c>
      <c r="C291" s="6" t="s">
        <v>729</v>
      </c>
      <c r="D291" s="6" t="s">
        <v>57</v>
      </c>
      <c r="E291" s="6" t="s">
        <v>37</v>
      </c>
      <c r="F291" s="6" t="s">
        <v>94</v>
      </c>
      <c r="G291" s="6" t="s">
        <v>95</v>
      </c>
      <c r="H291" s="6">
        <v>1</v>
      </c>
      <c r="I291" s="6" t="s">
        <v>67</v>
      </c>
      <c r="J291" s="6" t="s">
        <v>67</v>
      </c>
      <c r="K291" s="6" t="s">
        <v>114</v>
      </c>
      <c r="L291" s="6" t="s">
        <v>33</v>
      </c>
      <c r="M291" s="6" t="s">
        <v>34</v>
      </c>
    </row>
    <row r="292" spans="1:13">
      <c r="A292" s="6" t="s">
        <v>730</v>
      </c>
      <c r="B292" s="7">
        <v>46182</v>
      </c>
      <c r="C292" s="6" t="s">
        <v>731</v>
      </c>
      <c r="D292" s="6" t="s">
        <v>45</v>
      </c>
      <c r="E292" s="6" t="s">
        <v>78</v>
      </c>
      <c r="F292" s="6" t="s">
        <v>58</v>
      </c>
      <c r="G292" s="6" t="s">
        <v>59</v>
      </c>
      <c r="H292" s="6">
        <v>2</v>
      </c>
      <c r="I292" s="6" t="s">
        <v>79</v>
      </c>
      <c r="J292" s="6" t="s">
        <v>732</v>
      </c>
      <c r="K292" s="6" t="s">
        <v>61</v>
      </c>
      <c r="L292" s="6" t="s">
        <v>42</v>
      </c>
      <c r="M292" s="6" t="s">
        <v>34</v>
      </c>
    </row>
    <row r="293" spans="1:13">
      <c r="A293" s="6" t="s">
        <v>733</v>
      </c>
      <c r="B293" s="7">
        <v>46111</v>
      </c>
      <c r="C293" s="6" t="s">
        <v>339</v>
      </c>
      <c r="D293" s="6" t="s">
        <v>127</v>
      </c>
      <c r="E293" s="6" t="s">
        <v>28</v>
      </c>
      <c r="F293" s="6" t="s">
        <v>47</v>
      </c>
      <c r="G293" s="6" t="s">
        <v>48</v>
      </c>
      <c r="H293" s="6">
        <v>1</v>
      </c>
      <c r="I293" s="6" t="s">
        <v>79</v>
      </c>
      <c r="J293" s="6" t="s">
        <v>79</v>
      </c>
      <c r="K293" s="6">
        <v>85</v>
      </c>
      <c r="L293" s="6" t="s">
        <v>42</v>
      </c>
      <c r="M293" s="6" t="s">
        <v>34</v>
      </c>
    </row>
    <row r="294" spans="1:13">
      <c r="A294" s="6" t="s">
        <v>734</v>
      </c>
      <c r="B294" s="7">
        <v>46106</v>
      </c>
      <c r="C294" s="6" t="s">
        <v>735</v>
      </c>
      <c r="D294" s="6" t="s">
        <v>57</v>
      </c>
      <c r="E294" s="6" t="s">
        <v>78</v>
      </c>
      <c r="F294" s="6" t="s">
        <v>85</v>
      </c>
      <c r="G294" s="6" t="s">
        <v>86</v>
      </c>
      <c r="H294" s="6">
        <v>1</v>
      </c>
      <c r="I294" s="6" t="s">
        <v>79</v>
      </c>
      <c r="J294" s="6" t="s">
        <v>79</v>
      </c>
      <c r="K294" s="6">
        <v>410</v>
      </c>
      <c r="L294" s="6" t="s">
        <v>33</v>
      </c>
      <c r="M294" s="6" t="s">
        <v>34</v>
      </c>
    </row>
    <row r="295" spans="1:13">
      <c r="A295" s="6" t="s">
        <v>736</v>
      </c>
      <c r="B295" s="7">
        <v>46132</v>
      </c>
      <c r="C295" s="6" t="s">
        <v>737</v>
      </c>
      <c r="D295" s="6" t="s">
        <v>64</v>
      </c>
      <c r="E295" s="6" t="s">
        <v>37</v>
      </c>
      <c r="F295" s="6" t="s">
        <v>85</v>
      </c>
      <c r="G295" s="6" t="s">
        <v>86</v>
      </c>
      <c r="H295" s="6">
        <v>1</v>
      </c>
      <c r="I295" s="6" t="s">
        <v>73</v>
      </c>
      <c r="J295" s="6" t="s">
        <v>73</v>
      </c>
      <c r="K295" s="6" t="s">
        <v>87</v>
      </c>
      <c r="L295" s="6" t="s">
        <v>42</v>
      </c>
      <c r="M295" s="6" t="s">
        <v>34</v>
      </c>
    </row>
    <row r="296" spans="1:13">
      <c r="A296" s="6" t="s">
        <v>738</v>
      </c>
      <c r="B296" s="7">
        <v>46171</v>
      </c>
      <c r="C296" s="6" t="s">
        <v>739</v>
      </c>
      <c r="D296" s="6" t="s">
        <v>45</v>
      </c>
      <c r="E296" s="6" t="s">
        <v>37</v>
      </c>
      <c r="F296" s="6" t="s">
        <v>85</v>
      </c>
      <c r="G296" s="6" t="s">
        <v>86</v>
      </c>
      <c r="H296" s="6">
        <v>2</v>
      </c>
      <c r="I296" s="6" t="s">
        <v>181</v>
      </c>
      <c r="J296" s="6" t="s">
        <v>163</v>
      </c>
      <c r="K296" s="6" t="s">
        <v>87</v>
      </c>
      <c r="L296" s="6" t="s">
        <v>33</v>
      </c>
      <c r="M296" s="6" t="s">
        <v>34</v>
      </c>
    </row>
    <row r="297" spans="1:13">
      <c r="A297" s="6" t="s">
        <v>740</v>
      </c>
      <c r="B297" s="7">
        <v>46048</v>
      </c>
      <c r="C297" s="6" t="s">
        <v>741</v>
      </c>
      <c r="D297" s="6" t="s">
        <v>64</v>
      </c>
      <c r="E297" s="6" t="s">
        <v>28</v>
      </c>
      <c r="F297" s="6" t="s">
        <v>85</v>
      </c>
      <c r="G297" s="6" t="s">
        <v>86</v>
      </c>
      <c r="H297" s="6">
        <v>1</v>
      </c>
      <c r="I297" s="6" t="s">
        <v>60</v>
      </c>
      <c r="J297" s="6" t="s">
        <v>60</v>
      </c>
      <c r="K297" s="6">
        <v>410</v>
      </c>
      <c r="L297" s="6" t="s">
        <v>42</v>
      </c>
      <c r="M297" s="6" t="s">
        <v>69</v>
      </c>
    </row>
    <row r="298" spans="1:13">
      <c r="A298" s="6" t="s">
        <v>742</v>
      </c>
      <c r="B298" s="7">
        <v>46069</v>
      </c>
      <c r="C298" s="6" t="s">
        <v>743</v>
      </c>
      <c r="D298" s="6" t="s">
        <v>64</v>
      </c>
      <c r="E298" s="6" t="s">
        <v>28</v>
      </c>
      <c r="F298" s="6" t="s">
        <v>94</v>
      </c>
      <c r="G298" s="6" t="s">
        <v>95</v>
      </c>
      <c r="H298" s="6">
        <v>2</v>
      </c>
      <c r="I298" s="6" t="s">
        <v>265</v>
      </c>
      <c r="J298" s="6" t="s">
        <v>167</v>
      </c>
      <c r="K298" s="6">
        <v>340</v>
      </c>
      <c r="L298" s="6" t="s">
        <v>42</v>
      </c>
      <c r="M298" s="6" t="s">
        <v>69</v>
      </c>
    </row>
    <row r="299" spans="1:13">
      <c r="A299" s="6" t="s">
        <v>744</v>
      </c>
      <c r="B299" s="7">
        <v>46168</v>
      </c>
      <c r="C299" s="6" t="s">
        <v>745</v>
      </c>
      <c r="D299" s="6" t="s">
        <v>77</v>
      </c>
      <c r="E299" s="6" t="s">
        <v>28</v>
      </c>
      <c r="F299" s="6" t="s">
        <v>53</v>
      </c>
      <c r="G299" s="6" t="s">
        <v>54</v>
      </c>
      <c r="H299" s="6">
        <v>1</v>
      </c>
      <c r="I299" s="6" t="s">
        <v>113</v>
      </c>
      <c r="J299" s="6" t="s">
        <v>113</v>
      </c>
      <c r="K299" s="6" t="s">
        <v>122</v>
      </c>
      <c r="L299" s="6" t="s">
        <v>33</v>
      </c>
      <c r="M299" s="6" t="s">
        <v>34</v>
      </c>
    </row>
    <row r="300" spans="1:13">
      <c r="A300" s="6" t="s">
        <v>746</v>
      </c>
      <c r="B300" s="7">
        <v>46183</v>
      </c>
      <c r="C300" s="6" t="s">
        <v>747</v>
      </c>
      <c r="D300" s="6" t="s">
        <v>27</v>
      </c>
      <c r="E300" s="6" t="s">
        <v>28</v>
      </c>
      <c r="F300" s="6" t="s">
        <v>94</v>
      </c>
      <c r="G300" s="6" t="s">
        <v>95</v>
      </c>
      <c r="H300" s="6">
        <v>2</v>
      </c>
      <c r="I300" s="6" t="s">
        <v>748</v>
      </c>
      <c r="J300" s="6" t="s">
        <v>192</v>
      </c>
      <c r="K300" s="6" t="s">
        <v>114</v>
      </c>
      <c r="L300" s="6" t="s">
        <v>42</v>
      </c>
      <c r="M300" s="6" t="s">
        <v>34</v>
      </c>
    </row>
    <row r="301" spans="1:13">
      <c r="A301" s="6" t="s">
        <v>749</v>
      </c>
      <c r="B301" s="7">
        <v>46115</v>
      </c>
      <c r="C301" s="6" t="s">
        <v>750</v>
      </c>
      <c r="D301" s="6" t="s">
        <v>127</v>
      </c>
      <c r="E301" s="6" t="s">
        <v>46</v>
      </c>
      <c r="F301" s="6" t="s">
        <v>47</v>
      </c>
      <c r="G301" s="6" t="s">
        <v>48</v>
      </c>
      <c r="H301" s="6">
        <v>1</v>
      </c>
      <c r="I301" s="6" t="s">
        <v>82</v>
      </c>
      <c r="J301" s="6" t="s">
        <v>82</v>
      </c>
      <c r="K301" s="6">
        <v>85</v>
      </c>
      <c r="L301" s="6" t="s">
        <v>33</v>
      </c>
      <c r="M301" s="6" t="s">
        <v>69</v>
      </c>
    </row>
    <row r="302" spans="1:13">
      <c r="A302" s="6" t="s">
        <v>751</v>
      </c>
      <c r="B302" s="7">
        <v>46155</v>
      </c>
      <c r="C302" s="6" t="s">
        <v>752</v>
      </c>
      <c r="D302" s="6" t="s">
        <v>77</v>
      </c>
      <c r="E302" s="6" t="s">
        <v>28</v>
      </c>
      <c r="F302" s="6" t="s">
        <v>94</v>
      </c>
      <c r="G302" s="6" t="s">
        <v>95</v>
      </c>
      <c r="H302" s="6">
        <v>2</v>
      </c>
      <c r="I302" s="6" t="s">
        <v>181</v>
      </c>
      <c r="J302" s="6" t="s">
        <v>163</v>
      </c>
      <c r="K302" s="6" t="s">
        <v>114</v>
      </c>
      <c r="L302" s="6" t="s">
        <v>42</v>
      </c>
      <c r="M302" s="6" t="s">
        <v>34</v>
      </c>
    </row>
    <row r="303" spans="1:13">
      <c r="A303" s="6" t="s">
        <v>753</v>
      </c>
      <c r="B303" s="7">
        <v>46098</v>
      </c>
      <c r="C303" s="6" t="s">
        <v>754</v>
      </c>
      <c r="D303" s="6" t="s">
        <v>27</v>
      </c>
      <c r="E303" s="6" t="s">
        <v>37</v>
      </c>
      <c r="F303" s="6" t="s">
        <v>29</v>
      </c>
      <c r="G303" s="6" t="s">
        <v>30</v>
      </c>
      <c r="H303" s="6">
        <v>2</v>
      </c>
      <c r="I303" s="6" t="s">
        <v>755</v>
      </c>
      <c r="J303" s="6" t="s">
        <v>118</v>
      </c>
      <c r="K303" s="6">
        <v>520</v>
      </c>
      <c r="L303" s="6" t="s">
        <v>42</v>
      </c>
      <c r="M303" s="6" t="s">
        <v>34</v>
      </c>
    </row>
    <row r="304" spans="1:13">
      <c r="A304" s="6" t="s">
        <v>756</v>
      </c>
      <c r="B304" s="7">
        <v>46172</v>
      </c>
      <c r="C304" s="6" t="s">
        <v>757</v>
      </c>
      <c r="D304" s="6" t="s">
        <v>27</v>
      </c>
      <c r="E304" s="6" t="s">
        <v>52</v>
      </c>
      <c r="F304" s="6" t="s">
        <v>53</v>
      </c>
      <c r="G304" s="6" t="s">
        <v>54</v>
      </c>
      <c r="H304" s="6">
        <v>1</v>
      </c>
      <c r="I304" s="6" t="s">
        <v>73</v>
      </c>
      <c r="J304" s="6" t="s">
        <v>73</v>
      </c>
      <c r="K304" s="6" t="s">
        <v>122</v>
      </c>
      <c r="L304" s="6" t="s">
        <v>42</v>
      </c>
      <c r="M304" s="6" t="s">
        <v>34</v>
      </c>
    </row>
    <row r="305" spans="1:13">
      <c r="A305" s="6" t="s">
        <v>758</v>
      </c>
      <c r="B305" s="7">
        <v>46048</v>
      </c>
      <c r="C305" s="6" t="s">
        <v>759</v>
      </c>
      <c r="D305" s="6" t="s">
        <v>72</v>
      </c>
      <c r="E305" s="6" t="s">
        <v>37</v>
      </c>
      <c r="F305" s="6" t="s">
        <v>85</v>
      </c>
      <c r="G305" s="6" t="s">
        <v>86</v>
      </c>
      <c r="H305" s="6">
        <v>1</v>
      </c>
      <c r="I305" s="6" t="s">
        <v>73</v>
      </c>
      <c r="J305" s="6" t="s">
        <v>73</v>
      </c>
      <c r="K305" s="6">
        <v>410</v>
      </c>
      <c r="L305" s="6" t="s">
        <v>33</v>
      </c>
      <c r="M305" s="6" t="s">
        <v>34</v>
      </c>
    </row>
    <row r="306" spans="1:13">
      <c r="A306" s="6" t="s">
        <v>760</v>
      </c>
      <c r="B306" s="7">
        <v>46063</v>
      </c>
      <c r="C306" s="6" t="s">
        <v>761</v>
      </c>
      <c r="D306" s="6" t="s">
        <v>110</v>
      </c>
      <c r="E306" s="6" t="s">
        <v>46</v>
      </c>
      <c r="F306" s="6" t="s">
        <v>38</v>
      </c>
      <c r="G306" s="6" t="s">
        <v>39</v>
      </c>
      <c r="H306" s="6">
        <v>1</v>
      </c>
      <c r="I306" s="6" t="s">
        <v>143</v>
      </c>
      <c r="J306" s="6" t="s">
        <v>143</v>
      </c>
      <c r="K306" s="6">
        <v>520</v>
      </c>
      <c r="L306" s="6" t="s">
        <v>42</v>
      </c>
      <c r="M306" s="6" t="s">
        <v>34</v>
      </c>
    </row>
    <row r="307" spans="1:13">
      <c r="A307" s="6" t="s">
        <v>762</v>
      </c>
      <c r="B307" s="7">
        <v>46077</v>
      </c>
      <c r="C307" s="6" t="s">
        <v>763</v>
      </c>
      <c r="D307" s="6" t="s">
        <v>64</v>
      </c>
      <c r="E307" s="6" t="s">
        <v>78</v>
      </c>
      <c r="F307" s="6" t="s">
        <v>29</v>
      </c>
      <c r="G307" s="6" t="s">
        <v>30</v>
      </c>
      <c r="H307" s="6">
        <v>1</v>
      </c>
      <c r="I307" s="6" t="s">
        <v>31</v>
      </c>
      <c r="J307" s="6" t="s">
        <v>31</v>
      </c>
      <c r="K307" s="6">
        <v>520</v>
      </c>
      <c r="L307" s="6" t="s">
        <v>42</v>
      </c>
      <c r="M307" s="6" t="s">
        <v>34</v>
      </c>
    </row>
    <row r="308" spans="1:13">
      <c r="A308" s="6" t="s">
        <v>764</v>
      </c>
      <c r="B308" s="6" t="s">
        <v>765</v>
      </c>
      <c r="C308" s="6" t="s">
        <v>766</v>
      </c>
      <c r="D308" s="6" t="s">
        <v>45</v>
      </c>
      <c r="E308" s="6" t="s">
        <v>52</v>
      </c>
      <c r="F308" s="6" t="s">
        <v>53</v>
      </c>
      <c r="G308" s="6" t="s">
        <v>54</v>
      </c>
      <c r="H308" s="6">
        <v>3</v>
      </c>
      <c r="I308" s="6" t="s">
        <v>79</v>
      </c>
      <c r="J308" s="6" t="s">
        <v>216</v>
      </c>
      <c r="K308" s="6">
        <v>190</v>
      </c>
      <c r="L308" s="6" t="s">
        <v>42</v>
      </c>
      <c r="M308" s="6" t="s">
        <v>34</v>
      </c>
    </row>
    <row r="309" spans="1:13">
      <c r="A309" s="6" t="s">
        <v>767</v>
      </c>
      <c r="B309" s="7">
        <v>46087</v>
      </c>
      <c r="C309" s="6" t="s">
        <v>768</v>
      </c>
      <c r="D309" s="6" t="s">
        <v>72</v>
      </c>
      <c r="E309" s="6" t="s">
        <v>28</v>
      </c>
      <c r="F309" s="6" t="s">
        <v>58</v>
      </c>
      <c r="G309" s="6" t="s">
        <v>59</v>
      </c>
      <c r="H309" s="6">
        <v>1</v>
      </c>
      <c r="I309" s="6" t="s">
        <v>769</v>
      </c>
      <c r="J309" s="6" t="s">
        <v>60</v>
      </c>
      <c r="K309" s="6">
        <v>380</v>
      </c>
      <c r="L309" s="6" t="s">
        <v>42</v>
      </c>
      <c r="M309" s="6" t="s">
        <v>69</v>
      </c>
    </row>
    <row r="310" spans="1:13">
      <c r="A310" s="6" t="s">
        <v>770</v>
      </c>
      <c r="B310" s="7">
        <v>46044</v>
      </c>
      <c r="C310" s="6" t="s">
        <v>771</v>
      </c>
      <c r="D310" s="6" t="s">
        <v>105</v>
      </c>
      <c r="E310" s="6" t="s">
        <v>78</v>
      </c>
      <c r="F310" s="6" t="s">
        <v>53</v>
      </c>
      <c r="G310" s="6" t="s">
        <v>54</v>
      </c>
      <c r="H310" s="6">
        <v>1</v>
      </c>
      <c r="I310" s="6" t="s">
        <v>117</v>
      </c>
      <c r="J310" s="6" t="s">
        <v>117</v>
      </c>
      <c r="K310" s="6">
        <v>190</v>
      </c>
      <c r="L310" s="6" t="s">
        <v>42</v>
      </c>
      <c r="M310" s="6" t="s">
        <v>34</v>
      </c>
    </row>
    <row r="311" spans="1:13">
      <c r="A311" s="6" t="s">
        <v>772</v>
      </c>
      <c r="B311" s="7">
        <v>46202</v>
      </c>
      <c r="C311" s="6" t="s">
        <v>470</v>
      </c>
      <c r="D311" s="6" t="s">
        <v>72</v>
      </c>
      <c r="E311" s="6" t="s">
        <v>37</v>
      </c>
      <c r="F311" s="6" t="s">
        <v>94</v>
      </c>
      <c r="G311" s="6" t="s">
        <v>95</v>
      </c>
      <c r="H311" s="6">
        <v>2</v>
      </c>
      <c r="I311" s="6" t="s">
        <v>265</v>
      </c>
      <c r="J311" s="6" t="s">
        <v>167</v>
      </c>
      <c r="K311" s="6" t="s">
        <v>114</v>
      </c>
      <c r="L311" s="6" t="s">
        <v>33</v>
      </c>
      <c r="M311" s="6" t="s">
        <v>34</v>
      </c>
    </row>
    <row r="312" spans="1:13">
      <c r="A312" s="6" t="s">
        <v>773</v>
      </c>
      <c r="B312" s="7">
        <v>46179</v>
      </c>
      <c r="C312" s="6" t="s">
        <v>774</v>
      </c>
      <c r="D312" s="6" t="s">
        <v>110</v>
      </c>
      <c r="E312" s="6" t="s">
        <v>52</v>
      </c>
      <c r="F312" s="6" t="s">
        <v>100</v>
      </c>
      <c r="G312" s="6" t="s">
        <v>101</v>
      </c>
      <c r="H312" s="6">
        <v>1</v>
      </c>
      <c r="I312" s="6" t="s">
        <v>96</v>
      </c>
      <c r="J312" s="6" t="s">
        <v>96</v>
      </c>
      <c r="K312" s="6" t="s">
        <v>119</v>
      </c>
      <c r="L312" s="6" t="s">
        <v>42</v>
      </c>
      <c r="M312" s="6" t="s">
        <v>34</v>
      </c>
    </row>
    <row r="313" spans="1:13">
      <c r="A313" s="6" t="s">
        <v>775</v>
      </c>
      <c r="B313" s="6" t="s">
        <v>776</v>
      </c>
      <c r="C313" s="6" t="s">
        <v>777</v>
      </c>
      <c r="D313" s="6" t="s">
        <v>45</v>
      </c>
      <c r="E313" s="6" t="s">
        <v>28</v>
      </c>
      <c r="F313" s="6" t="s">
        <v>100</v>
      </c>
      <c r="G313" s="6" t="s">
        <v>101</v>
      </c>
      <c r="H313" s="6">
        <v>-2</v>
      </c>
      <c r="I313" s="6" t="s">
        <v>265</v>
      </c>
      <c r="J313" s="8" t="s">
        <v>778</v>
      </c>
      <c r="K313" s="6">
        <v>640</v>
      </c>
      <c r="L313" s="6" t="s">
        <v>42</v>
      </c>
      <c r="M313" s="6" t="s">
        <v>34</v>
      </c>
    </row>
    <row r="314" spans="1:13">
      <c r="A314" s="6" t="s">
        <v>779</v>
      </c>
      <c r="B314" s="7">
        <v>46162</v>
      </c>
      <c r="C314" s="6" t="s">
        <v>780</v>
      </c>
      <c r="D314" s="6" t="s">
        <v>127</v>
      </c>
      <c r="E314" s="6" t="s">
        <v>46</v>
      </c>
      <c r="F314" s="6" t="s">
        <v>47</v>
      </c>
      <c r="G314" s="6" t="s">
        <v>48</v>
      </c>
      <c r="H314" s="6">
        <v>1</v>
      </c>
      <c r="I314" s="6" t="s">
        <v>231</v>
      </c>
      <c r="J314" s="6" t="s">
        <v>231</v>
      </c>
      <c r="K314" s="6" t="s">
        <v>49</v>
      </c>
      <c r="L314" s="6" t="s">
        <v>42</v>
      </c>
      <c r="M314" s="6" t="s">
        <v>34</v>
      </c>
    </row>
    <row r="315" spans="1:13">
      <c r="A315" s="6" t="s">
        <v>781</v>
      </c>
      <c r="B315" s="7">
        <v>46044</v>
      </c>
      <c r="C315" s="6" t="s">
        <v>782</v>
      </c>
      <c r="D315" s="6" t="s">
        <v>72</v>
      </c>
      <c r="E315" s="6" t="s">
        <v>28</v>
      </c>
      <c r="F315" s="6" t="s">
        <v>53</v>
      </c>
      <c r="G315" s="6" t="s">
        <v>54</v>
      </c>
      <c r="H315" s="6">
        <v>1</v>
      </c>
      <c r="I315" s="6" t="s">
        <v>90</v>
      </c>
      <c r="J315" s="6" t="s">
        <v>90</v>
      </c>
      <c r="K315" s="6">
        <v>190</v>
      </c>
      <c r="L315" s="6" t="s">
        <v>42</v>
      </c>
      <c r="M315" s="6" t="s">
        <v>69</v>
      </c>
    </row>
    <row r="316" spans="1:13">
      <c r="A316" s="6" t="s">
        <v>783</v>
      </c>
      <c r="B316" s="7">
        <v>46162</v>
      </c>
      <c r="C316" s="6" t="s">
        <v>784</v>
      </c>
      <c r="D316" s="6" t="s">
        <v>77</v>
      </c>
      <c r="E316" s="6" t="s">
        <v>78</v>
      </c>
      <c r="F316" s="6" t="s">
        <v>58</v>
      </c>
      <c r="G316" s="6" t="s">
        <v>59</v>
      </c>
      <c r="H316" s="6">
        <v>1</v>
      </c>
      <c r="I316" s="6" t="s">
        <v>82</v>
      </c>
      <c r="J316" s="6" t="s">
        <v>82</v>
      </c>
      <c r="K316" s="6" t="s">
        <v>61</v>
      </c>
      <c r="L316" s="6" t="s">
        <v>42</v>
      </c>
      <c r="M316" s="6" t="s">
        <v>34</v>
      </c>
    </row>
    <row r="317" spans="1:13">
      <c r="A317" s="6" t="s">
        <v>785</v>
      </c>
      <c r="B317" s="6" t="s">
        <v>786</v>
      </c>
      <c r="C317" s="6" t="s">
        <v>787</v>
      </c>
      <c r="D317" s="6" t="s">
        <v>72</v>
      </c>
      <c r="E317" s="6" t="s">
        <v>37</v>
      </c>
      <c r="F317" s="6" t="s">
        <v>47</v>
      </c>
      <c r="G317" s="6" t="s">
        <v>48</v>
      </c>
      <c r="H317" s="6">
        <v>2</v>
      </c>
      <c r="I317" s="6" t="s">
        <v>147</v>
      </c>
      <c r="J317" s="6" t="s">
        <v>175</v>
      </c>
      <c r="K317" s="6">
        <v>85</v>
      </c>
      <c r="L317" s="6" t="s">
        <v>42</v>
      </c>
      <c r="M317" s="6" t="s">
        <v>34</v>
      </c>
    </row>
    <row r="318" spans="1:13">
      <c r="A318" s="6" t="s">
        <v>788</v>
      </c>
      <c r="B318" s="6" t="s">
        <v>789</v>
      </c>
      <c r="C318" s="6" t="s">
        <v>466</v>
      </c>
      <c r="D318" s="6" t="s">
        <v>110</v>
      </c>
      <c r="E318" s="6" t="s">
        <v>52</v>
      </c>
      <c r="F318" s="6" t="s">
        <v>85</v>
      </c>
      <c r="G318" s="6" t="s">
        <v>86</v>
      </c>
      <c r="H318" s="6">
        <v>1</v>
      </c>
      <c r="I318" s="6" t="s">
        <v>96</v>
      </c>
      <c r="J318" s="6" t="s">
        <v>96</v>
      </c>
      <c r="K318" s="6" t="s">
        <v>87</v>
      </c>
      <c r="L318" s="6" t="s">
        <v>42</v>
      </c>
      <c r="M318" s="6" t="s">
        <v>69</v>
      </c>
    </row>
    <row r="319" spans="1:13">
      <c r="A319" s="6" t="s">
        <v>790</v>
      </c>
      <c r="B319" s="7">
        <v>46042</v>
      </c>
      <c r="C319" s="6" t="s">
        <v>791</v>
      </c>
      <c r="D319" s="6" t="s">
        <v>77</v>
      </c>
      <c r="E319" s="6" t="s">
        <v>28</v>
      </c>
      <c r="F319" s="6" t="s">
        <v>47</v>
      </c>
      <c r="G319" s="6" t="s">
        <v>48</v>
      </c>
      <c r="H319" s="6">
        <v>-2</v>
      </c>
      <c r="I319" s="6" t="s">
        <v>603</v>
      </c>
      <c r="J319" s="8" t="s">
        <v>792</v>
      </c>
      <c r="K319" s="6">
        <v>85</v>
      </c>
      <c r="L319" s="6" t="s">
        <v>33</v>
      </c>
      <c r="M319" s="6" t="s">
        <v>34</v>
      </c>
    </row>
    <row r="320" spans="1:13">
      <c r="A320" s="6" t="s">
        <v>793</v>
      </c>
      <c r="B320" s="7">
        <v>46100</v>
      </c>
      <c r="C320" s="6" t="s">
        <v>794</v>
      </c>
      <c r="D320" s="6" t="s">
        <v>27</v>
      </c>
      <c r="E320" s="6" t="s">
        <v>46</v>
      </c>
      <c r="F320" s="6" t="s">
        <v>47</v>
      </c>
      <c r="G320" s="6" t="s">
        <v>48</v>
      </c>
      <c r="H320" s="6">
        <v>2</v>
      </c>
      <c r="I320" s="6" t="s">
        <v>82</v>
      </c>
      <c r="J320" s="6" t="s">
        <v>297</v>
      </c>
      <c r="K320" s="6">
        <v>85</v>
      </c>
      <c r="L320" s="6" t="s">
        <v>33</v>
      </c>
      <c r="M320" s="6" t="s">
        <v>34</v>
      </c>
    </row>
    <row r="321" spans="1:13">
      <c r="A321" s="6" t="s">
        <v>795</v>
      </c>
      <c r="B321" s="7">
        <v>46048</v>
      </c>
      <c r="C321" s="6" t="s">
        <v>796</v>
      </c>
      <c r="D321" s="6" t="s">
        <v>110</v>
      </c>
      <c r="E321" s="6" t="s">
        <v>28</v>
      </c>
      <c r="F321" s="6" t="s">
        <v>100</v>
      </c>
      <c r="G321" s="6" t="s">
        <v>101</v>
      </c>
      <c r="H321" s="6">
        <v>2</v>
      </c>
      <c r="I321" s="6" t="s">
        <v>277</v>
      </c>
      <c r="J321" s="6" t="s">
        <v>797</v>
      </c>
      <c r="K321" s="6">
        <v>640</v>
      </c>
      <c r="L321" s="6" t="s">
        <v>33</v>
      </c>
      <c r="M321" s="6" t="s">
        <v>69</v>
      </c>
    </row>
    <row r="322" spans="1:13">
      <c r="A322" s="6" t="s">
        <v>798</v>
      </c>
      <c r="B322" s="7">
        <v>46037</v>
      </c>
      <c r="C322" s="6" t="s">
        <v>799</v>
      </c>
      <c r="D322" s="6" t="s">
        <v>45</v>
      </c>
      <c r="E322" s="6" t="s">
        <v>28</v>
      </c>
      <c r="F322" s="6" t="s">
        <v>85</v>
      </c>
      <c r="G322" s="6" t="s">
        <v>86</v>
      </c>
      <c r="H322" s="6">
        <v>1</v>
      </c>
      <c r="I322" s="6" t="s">
        <v>67</v>
      </c>
      <c r="J322" s="6" t="s">
        <v>67</v>
      </c>
      <c r="K322" s="6">
        <v>410</v>
      </c>
      <c r="L322" s="6" t="s">
        <v>33</v>
      </c>
      <c r="M322" s="6" t="s">
        <v>34</v>
      </c>
    </row>
    <row r="323" spans="1:13">
      <c r="A323" s="6" t="s">
        <v>800</v>
      </c>
      <c r="B323" s="7">
        <v>46177</v>
      </c>
      <c r="C323" s="6" t="s">
        <v>801</v>
      </c>
      <c r="D323" s="6" t="s">
        <v>27</v>
      </c>
      <c r="E323" s="6" t="s">
        <v>52</v>
      </c>
      <c r="F323" s="6" t="s">
        <v>38</v>
      </c>
      <c r="G323" s="6" t="s">
        <v>39</v>
      </c>
      <c r="H323" s="6">
        <v>3</v>
      </c>
      <c r="I323" s="6" t="s">
        <v>82</v>
      </c>
      <c r="J323" s="6" t="s">
        <v>390</v>
      </c>
      <c r="K323" s="6" t="s">
        <v>41</v>
      </c>
      <c r="L323" s="6" t="s">
        <v>42</v>
      </c>
      <c r="M323" s="6" t="s">
        <v>34</v>
      </c>
    </row>
    <row r="324" spans="1:13">
      <c r="A324" s="6" t="s">
        <v>802</v>
      </c>
      <c r="B324" s="7">
        <v>46131</v>
      </c>
      <c r="C324" s="6" t="s">
        <v>803</v>
      </c>
      <c r="D324" s="6" t="s">
        <v>64</v>
      </c>
      <c r="E324" s="6" t="s">
        <v>28</v>
      </c>
      <c r="F324" s="6" t="s">
        <v>94</v>
      </c>
      <c r="G324" s="6" t="s">
        <v>95</v>
      </c>
      <c r="H324" s="6">
        <v>2</v>
      </c>
      <c r="I324" s="6" t="s">
        <v>67</v>
      </c>
      <c r="J324" s="6" t="s">
        <v>204</v>
      </c>
      <c r="K324" s="6">
        <v>340</v>
      </c>
      <c r="L324" s="6" t="s">
        <v>42</v>
      </c>
      <c r="M324" s="6" t="s">
        <v>69</v>
      </c>
    </row>
    <row r="325" spans="1:13">
      <c r="A325" s="6" t="s">
        <v>804</v>
      </c>
      <c r="B325" s="7">
        <v>46111</v>
      </c>
      <c r="C325" s="6" t="s">
        <v>805</v>
      </c>
      <c r="D325" s="6" t="s">
        <v>27</v>
      </c>
      <c r="E325" s="6" t="s">
        <v>37</v>
      </c>
      <c r="F325" s="6" t="s">
        <v>85</v>
      </c>
      <c r="G325" s="6" t="s">
        <v>86</v>
      </c>
      <c r="H325" s="6">
        <v>1</v>
      </c>
      <c r="I325" s="6" t="s">
        <v>40</v>
      </c>
      <c r="J325" s="6" t="s">
        <v>40</v>
      </c>
      <c r="K325" s="6">
        <v>410</v>
      </c>
      <c r="L325" s="6" t="s">
        <v>42</v>
      </c>
      <c r="M325" s="6" t="s">
        <v>34</v>
      </c>
    </row>
    <row r="326" spans="1:13">
      <c r="A326" s="6" t="s">
        <v>806</v>
      </c>
      <c r="B326" s="6" t="s">
        <v>807</v>
      </c>
      <c r="C326" s="6" t="s">
        <v>219</v>
      </c>
      <c r="D326" s="6" t="s">
        <v>57</v>
      </c>
      <c r="E326" s="6" t="s">
        <v>37</v>
      </c>
      <c r="F326" s="6" t="s">
        <v>94</v>
      </c>
      <c r="G326" s="6" t="s">
        <v>95</v>
      </c>
      <c r="H326" s="6">
        <v>3</v>
      </c>
      <c r="I326" s="6" t="s">
        <v>31</v>
      </c>
      <c r="J326" s="6" t="s">
        <v>337</v>
      </c>
      <c r="K326" s="6">
        <v>340</v>
      </c>
      <c r="L326" s="6" t="s">
        <v>42</v>
      </c>
      <c r="M326" s="6" t="s">
        <v>69</v>
      </c>
    </row>
    <row r="327" spans="1:13">
      <c r="A327" s="6" t="s">
        <v>808</v>
      </c>
      <c r="B327" s="7">
        <v>46057</v>
      </c>
      <c r="C327" s="6" t="s">
        <v>184</v>
      </c>
      <c r="D327" s="6" t="s">
        <v>27</v>
      </c>
      <c r="E327" s="6" t="s">
        <v>78</v>
      </c>
      <c r="F327" s="6" t="s">
        <v>38</v>
      </c>
      <c r="G327" s="6" t="s">
        <v>39</v>
      </c>
      <c r="H327" s="6">
        <v>2</v>
      </c>
      <c r="I327" s="6" t="s">
        <v>619</v>
      </c>
      <c r="J327" s="6" t="s">
        <v>144</v>
      </c>
      <c r="K327" s="6">
        <v>520</v>
      </c>
      <c r="L327" s="6" t="s">
        <v>42</v>
      </c>
      <c r="M327" s="6" t="s">
        <v>34</v>
      </c>
    </row>
    <row r="328" spans="1:13">
      <c r="A328" s="6" t="s">
        <v>809</v>
      </c>
      <c r="B328" s="7">
        <v>46198</v>
      </c>
      <c r="C328" s="6" t="s">
        <v>396</v>
      </c>
      <c r="D328" s="6" t="s">
        <v>110</v>
      </c>
      <c r="E328" s="6" t="s">
        <v>37</v>
      </c>
      <c r="F328" s="6" t="s">
        <v>85</v>
      </c>
      <c r="G328" s="6" t="s">
        <v>86</v>
      </c>
      <c r="H328" s="6">
        <v>2</v>
      </c>
      <c r="I328" s="6" t="s">
        <v>117</v>
      </c>
      <c r="J328" s="6" t="s">
        <v>118</v>
      </c>
      <c r="K328" s="6" t="s">
        <v>87</v>
      </c>
      <c r="L328" s="6" t="s">
        <v>33</v>
      </c>
      <c r="M328" s="6" t="s">
        <v>34</v>
      </c>
    </row>
    <row r="329" spans="1:13">
      <c r="A329" s="6" t="s">
        <v>810</v>
      </c>
      <c r="B329" s="7">
        <v>46080</v>
      </c>
      <c r="C329" s="6" t="s">
        <v>811</v>
      </c>
      <c r="D329" s="6" t="s">
        <v>77</v>
      </c>
      <c r="E329" s="6" t="s">
        <v>78</v>
      </c>
      <c r="F329" s="6" t="s">
        <v>29</v>
      </c>
      <c r="G329" s="6" t="s">
        <v>30</v>
      </c>
      <c r="H329" s="6">
        <v>2</v>
      </c>
      <c r="I329" s="6" t="s">
        <v>79</v>
      </c>
      <c r="J329" s="6" t="s">
        <v>259</v>
      </c>
      <c r="K329" s="6">
        <v>520</v>
      </c>
      <c r="L329" s="6" t="s">
        <v>33</v>
      </c>
      <c r="M329" s="6" t="s">
        <v>69</v>
      </c>
    </row>
    <row r="330" spans="1:13">
      <c r="A330" s="6" t="s">
        <v>812</v>
      </c>
      <c r="B330" s="7">
        <v>46189</v>
      </c>
      <c r="C330" s="6" t="s">
        <v>271</v>
      </c>
      <c r="D330" s="6" t="s">
        <v>72</v>
      </c>
      <c r="E330" s="6" t="s">
        <v>52</v>
      </c>
      <c r="F330" s="6" t="s">
        <v>38</v>
      </c>
      <c r="G330" s="6" t="s">
        <v>39</v>
      </c>
      <c r="H330" s="6">
        <v>1</v>
      </c>
      <c r="I330" s="6" t="s">
        <v>31</v>
      </c>
      <c r="J330" s="6" t="s">
        <v>31</v>
      </c>
      <c r="K330" s="6" t="s">
        <v>41</v>
      </c>
      <c r="L330" s="6" t="s">
        <v>33</v>
      </c>
      <c r="M330" s="6" t="s">
        <v>34</v>
      </c>
    </row>
    <row r="331" spans="1:13">
      <c r="A331" s="6" t="s">
        <v>813</v>
      </c>
      <c r="B331" s="7">
        <v>46181</v>
      </c>
      <c r="C331" s="6" t="s">
        <v>212</v>
      </c>
      <c r="D331" s="6" t="s">
        <v>64</v>
      </c>
      <c r="E331" s="6" t="s">
        <v>78</v>
      </c>
      <c r="F331" s="6" t="s">
        <v>29</v>
      </c>
      <c r="G331" s="6" t="s">
        <v>30</v>
      </c>
      <c r="H331" s="6">
        <v>2</v>
      </c>
      <c r="I331" s="6" t="s">
        <v>73</v>
      </c>
      <c r="J331" s="6" t="s">
        <v>74</v>
      </c>
      <c r="K331" s="6" t="s">
        <v>41</v>
      </c>
      <c r="L331" s="6" t="s">
        <v>42</v>
      </c>
      <c r="M331" s="6" t="s">
        <v>69</v>
      </c>
    </row>
    <row r="332" spans="1:13">
      <c r="A332" s="6" t="s">
        <v>814</v>
      </c>
      <c r="B332" s="7">
        <v>46032</v>
      </c>
      <c r="C332" s="6" t="s">
        <v>815</v>
      </c>
      <c r="D332" s="6" t="s">
        <v>64</v>
      </c>
      <c r="E332" s="6" t="s">
        <v>37</v>
      </c>
      <c r="F332" s="6" t="s">
        <v>85</v>
      </c>
      <c r="G332" s="6" t="s">
        <v>86</v>
      </c>
      <c r="H332" s="6">
        <v>1</v>
      </c>
      <c r="I332" s="6" t="s">
        <v>113</v>
      </c>
      <c r="J332" s="6" t="s">
        <v>113</v>
      </c>
      <c r="K332" s="6">
        <v>410</v>
      </c>
      <c r="L332" s="6" t="s">
        <v>42</v>
      </c>
      <c r="M332" s="6" t="s">
        <v>34</v>
      </c>
    </row>
    <row r="333" spans="1:13">
      <c r="A333" s="6" t="s">
        <v>816</v>
      </c>
      <c r="B333" s="7">
        <v>46103</v>
      </c>
      <c r="C333" s="6" t="s">
        <v>56</v>
      </c>
      <c r="D333" s="6" t="s">
        <v>27</v>
      </c>
      <c r="E333" s="6" t="s">
        <v>78</v>
      </c>
      <c r="F333" s="6" t="s">
        <v>29</v>
      </c>
      <c r="G333" s="6" t="s">
        <v>30</v>
      </c>
      <c r="H333" s="6">
        <v>1</v>
      </c>
      <c r="I333" s="6" t="s">
        <v>181</v>
      </c>
      <c r="J333" s="6" t="s">
        <v>181</v>
      </c>
      <c r="K333" s="6">
        <v>520</v>
      </c>
      <c r="L333" s="6" t="s">
        <v>42</v>
      </c>
      <c r="M333" s="6" t="s">
        <v>34</v>
      </c>
    </row>
    <row r="334" spans="1:13">
      <c r="A334" s="6" t="s">
        <v>817</v>
      </c>
      <c r="B334" s="7">
        <v>46132</v>
      </c>
      <c r="C334" s="6" t="s">
        <v>818</v>
      </c>
      <c r="D334" s="6" t="s">
        <v>27</v>
      </c>
      <c r="E334" s="6" t="s">
        <v>52</v>
      </c>
      <c r="F334" s="6" t="s">
        <v>100</v>
      </c>
      <c r="G334" s="6" t="s">
        <v>101</v>
      </c>
      <c r="H334" s="6">
        <v>3</v>
      </c>
      <c r="I334" s="6" t="s">
        <v>143</v>
      </c>
      <c r="J334" s="6" t="s">
        <v>243</v>
      </c>
      <c r="K334" s="6" t="s">
        <v>119</v>
      </c>
      <c r="L334" s="6" t="s">
        <v>42</v>
      </c>
      <c r="M334" s="6" t="s">
        <v>69</v>
      </c>
    </row>
    <row r="335" spans="1:13">
      <c r="A335" s="6" t="s">
        <v>819</v>
      </c>
      <c r="B335" s="7">
        <v>46113</v>
      </c>
      <c r="C335" s="6" t="s">
        <v>820</v>
      </c>
      <c r="D335" s="6" t="s">
        <v>45</v>
      </c>
      <c r="E335" s="6" t="s">
        <v>28</v>
      </c>
      <c r="F335" s="6" t="s">
        <v>58</v>
      </c>
      <c r="G335" s="6" t="s">
        <v>59</v>
      </c>
      <c r="H335" s="6">
        <v>1</v>
      </c>
      <c r="I335" s="6" t="s">
        <v>73</v>
      </c>
      <c r="J335" s="6" t="s">
        <v>73</v>
      </c>
      <c r="K335" s="6">
        <v>380</v>
      </c>
      <c r="L335" s="6" t="s">
        <v>42</v>
      </c>
      <c r="M335" s="6" t="s">
        <v>34</v>
      </c>
    </row>
    <row r="336" spans="1:13">
      <c r="A336" s="6" t="s">
        <v>821</v>
      </c>
      <c r="B336" s="7">
        <v>46128</v>
      </c>
      <c r="C336" s="6" t="s">
        <v>720</v>
      </c>
      <c r="D336" s="6" t="s">
        <v>45</v>
      </c>
      <c r="E336" s="6" t="s">
        <v>78</v>
      </c>
      <c r="F336" s="6" t="s">
        <v>85</v>
      </c>
      <c r="G336" s="6" t="s">
        <v>86</v>
      </c>
      <c r="H336" s="6">
        <v>2</v>
      </c>
      <c r="I336" s="6" t="s">
        <v>31</v>
      </c>
      <c r="J336" s="6" t="s">
        <v>249</v>
      </c>
      <c r="K336" s="6">
        <v>410</v>
      </c>
      <c r="L336" s="6" t="s">
        <v>42</v>
      </c>
      <c r="M336" s="6" t="s">
        <v>34</v>
      </c>
    </row>
    <row r="337" spans="1:13">
      <c r="A337" s="6" t="s">
        <v>822</v>
      </c>
      <c r="B337" s="6" t="s">
        <v>823</v>
      </c>
      <c r="C337" s="6" t="s">
        <v>824</v>
      </c>
      <c r="D337" s="6" t="s">
        <v>127</v>
      </c>
      <c r="E337" s="6" t="s">
        <v>52</v>
      </c>
      <c r="F337" s="6" t="s">
        <v>47</v>
      </c>
      <c r="G337" s="6" t="s">
        <v>48</v>
      </c>
      <c r="H337" s="6">
        <v>1</v>
      </c>
      <c r="I337" s="6" t="s">
        <v>231</v>
      </c>
      <c r="J337" s="6" t="s">
        <v>231</v>
      </c>
      <c r="K337" s="6" t="s">
        <v>49</v>
      </c>
      <c r="L337" s="6" t="s">
        <v>42</v>
      </c>
      <c r="M337" s="6" t="s">
        <v>34</v>
      </c>
    </row>
    <row r="338" spans="1:13">
      <c r="A338" s="6" t="s">
        <v>825</v>
      </c>
      <c r="B338" s="7">
        <v>46139</v>
      </c>
      <c r="C338" s="6" t="s">
        <v>826</v>
      </c>
      <c r="D338" s="6" t="s">
        <v>127</v>
      </c>
      <c r="E338" s="6" t="s">
        <v>37</v>
      </c>
      <c r="F338" s="6" t="s">
        <v>47</v>
      </c>
      <c r="G338" s="6" t="s">
        <v>48</v>
      </c>
      <c r="H338" s="6">
        <v>1</v>
      </c>
      <c r="I338" s="6" t="s">
        <v>143</v>
      </c>
      <c r="J338" s="6" t="s">
        <v>143</v>
      </c>
      <c r="K338" s="6" t="s">
        <v>49</v>
      </c>
      <c r="L338" s="6" t="s">
        <v>42</v>
      </c>
      <c r="M338" s="6" t="s">
        <v>34</v>
      </c>
    </row>
    <row r="339" spans="1:13">
      <c r="A339" s="6" t="s">
        <v>827</v>
      </c>
      <c r="B339" s="7">
        <v>46121</v>
      </c>
      <c r="C339" s="6" t="s">
        <v>828</v>
      </c>
      <c r="D339" s="6" t="s">
        <v>127</v>
      </c>
      <c r="E339" s="6" t="s">
        <v>37</v>
      </c>
      <c r="F339" s="6" t="s">
        <v>94</v>
      </c>
      <c r="G339" s="6" t="s">
        <v>95</v>
      </c>
      <c r="H339" s="6">
        <v>1</v>
      </c>
      <c r="I339" s="6" t="s">
        <v>599</v>
      </c>
      <c r="J339" s="6" t="s">
        <v>73</v>
      </c>
      <c r="K339" s="6">
        <v>340</v>
      </c>
      <c r="L339" s="6" t="s">
        <v>33</v>
      </c>
      <c r="M339" s="6" t="s">
        <v>34</v>
      </c>
    </row>
    <row r="340" spans="1:13">
      <c r="A340" s="6" t="s">
        <v>829</v>
      </c>
      <c r="B340" s="7">
        <v>46083</v>
      </c>
      <c r="C340" s="6" t="s">
        <v>558</v>
      </c>
      <c r="D340" s="6" t="s">
        <v>57</v>
      </c>
      <c r="E340" s="6" t="s">
        <v>78</v>
      </c>
      <c r="F340" s="6" t="s">
        <v>94</v>
      </c>
      <c r="G340" s="6" t="s">
        <v>95</v>
      </c>
      <c r="H340" s="6">
        <v>3</v>
      </c>
      <c r="I340" s="6" t="s">
        <v>90</v>
      </c>
      <c r="J340" s="6" t="s">
        <v>102</v>
      </c>
      <c r="K340" s="6">
        <v>340</v>
      </c>
      <c r="L340" s="6" t="s">
        <v>42</v>
      </c>
      <c r="M340" s="6" t="s">
        <v>34</v>
      </c>
    </row>
    <row r="341" spans="1:13">
      <c r="A341" s="6" t="s">
        <v>830</v>
      </c>
      <c r="B341" s="7">
        <v>46041</v>
      </c>
      <c r="C341" s="6" t="s">
        <v>831</v>
      </c>
      <c r="D341" s="6" t="s">
        <v>77</v>
      </c>
      <c r="E341" s="6" t="s">
        <v>78</v>
      </c>
      <c r="F341" s="6" t="s">
        <v>47</v>
      </c>
      <c r="G341" s="6" t="s">
        <v>48</v>
      </c>
      <c r="H341" s="6">
        <v>2</v>
      </c>
      <c r="I341" s="6" t="s">
        <v>265</v>
      </c>
      <c r="J341" s="6" t="s">
        <v>167</v>
      </c>
      <c r="K341" s="6">
        <v>85</v>
      </c>
      <c r="L341" s="6" t="s">
        <v>42</v>
      </c>
      <c r="M341" s="6" t="s">
        <v>69</v>
      </c>
    </row>
    <row r="342" spans="1:13">
      <c r="A342" s="6" t="s">
        <v>832</v>
      </c>
      <c r="B342" s="7">
        <v>46143</v>
      </c>
      <c r="C342" s="6" t="s">
        <v>833</v>
      </c>
      <c r="D342" s="6" t="s">
        <v>64</v>
      </c>
      <c r="E342" s="6" t="s">
        <v>28</v>
      </c>
      <c r="F342" s="6" t="s">
        <v>47</v>
      </c>
      <c r="G342" s="6" t="s">
        <v>48</v>
      </c>
      <c r="H342" s="6">
        <v>2</v>
      </c>
      <c r="I342" s="6" t="s">
        <v>90</v>
      </c>
      <c r="J342" s="6" t="s">
        <v>154</v>
      </c>
      <c r="K342" s="6" t="s">
        <v>49</v>
      </c>
      <c r="L342" s="6" t="s">
        <v>42</v>
      </c>
      <c r="M342" s="6" t="s">
        <v>34</v>
      </c>
    </row>
    <row r="343" spans="1:13">
      <c r="A343" s="6" t="s">
        <v>834</v>
      </c>
      <c r="B343" s="7">
        <v>46161</v>
      </c>
      <c r="C343" s="6" t="s">
        <v>336</v>
      </c>
      <c r="D343" s="6" t="s">
        <v>110</v>
      </c>
      <c r="E343" s="6" t="s">
        <v>78</v>
      </c>
      <c r="F343" s="6" t="s">
        <v>38</v>
      </c>
      <c r="G343" s="6" t="s">
        <v>39</v>
      </c>
      <c r="H343" s="6">
        <v>1</v>
      </c>
      <c r="I343" s="6" t="s">
        <v>79</v>
      </c>
      <c r="J343" s="6" t="s">
        <v>79</v>
      </c>
      <c r="K343" s="6" t="s">
        <v>41</v>
      </c>
      <c r="L343" s="6" t="s">
        <v>42</v>
      </c>
      <c r="M343" s="6" t="s">
        <v>34</v>
      </c>
    </row>
    <row r="344" spans="1:13">
      <c r="A344" s="6" t="s">
        <v>835</v>
      </c>
      <c r="B344" s="7">
        <v>46164</v>
      </c>
      <c r="C344" s="6" t="s">
        <v>836</v>
      </c>
      <c r="D344" s="6" t="s">
        <v>64</v>
      </c>
      <c r="E344" s="6" t="s">
        <v>28</v>
      </c>
      <c r="F344" s="6" t="s">
        <v>29</v>
      </c>
      <c r="G344" s="6" t="s">
        <v>30</v>
      </c>
      <c r="H344" s="6">
        <v>2</v>
      </c>
      <c r="I344" s="6" t="s">
        <v>73</v>
      </c>
      <c r="J344" s="6" t="s">
        <v>837</v>
      </c>
      <c r="K344" s="6" t="s">
        <v>41</v>
      </c>
      <c r="L344" s="6" t="s">
        <v>33</v>
      </c>
      <c r="M344" s="6" t="s">
        <v>34</v>
      </c>
    </row>
    <row r="345" spans="1:13">
      <c r="A345" s="6" t="s">
        <v>838</v>
      </c>
      <c r="B345" s="7">
        <v>46050</v>
      </c>
      <c r="C345" s="6" t="s">
        <v>839</v>
      </c>
      <c r="D345" s="6" t="s">
        <v>57</v>
      </c>
      <c r="E345" s="6" t="s">
        <v>28</v>
      </c>
      <c r="F345" s="6" t="s">
        <v>94</v>
      </c>
      <c r="G345" s="6" t="s">
        <v>95</v>
      </c>
      <c r="H345" s="6">
        <v>2</v>
      </c>
      <c r="I345" s="6" t="s">
        <v>90</v>
      </c>
      <c r="J345" s="6" t="s">
        <v>154</v>
      </c>
      <c r="K345" s="6">
        <v>340</v>
      </c>
      <c r="L345" s="6" t="s">
        <v>42</v>
      </c>
      <c r="M345" s="6" t="s">
        <v>34</v>
      </c>
    </row>
    <row r="346" spans="1:13">
      <c r="A346" s="6" t="s">
        <v>840</v>
      </c>
      <c r="B346" s="7">
        <v>46148</v>
      </c>
      <c r="C346" s="6" t="s">
        <v>841</v>
      </c>
      <c r="D346" s="6" t="s">
        <v>45</v>
      </c>
      <c r="E346" s="6" t="s">
        <v>46</v>
      </c>
      <c r="F346" s="6" t="s">
        <v>100</v>
      </c>
      <c r="G346" s="6" t="s">
        <v>101</v>
      </c>
      <c r="H346" s="6">
        <v>1</v>
      </c>
      <c r="I346" s="6" t="s">
        <v>73</v>
      </c>
      <c r="J346" s="6" t="s">
        <v>73</v>
      </c>
      <c r="K346" s="6" t="s">
        <v>119</v>
      </c>
      <c r="L346" s="6" t="s">
        <v>33</v>
      </c>
      <c r="M346" s="6" t="s">
        <v>34</v>
      </c>
    </row>
    <row r="347" spans="1:13">
      <c r="A347" s="6" t="s">
        <v>842</v>
      </c>
      <c r="B347" s="7">
        <v>46080</v>
      </c>
      <c r="C347" s="6" t="s">
        <v>843</v>
      </c>
      <c r="D347" s="6" t="s">
        <v>45</v>
      </c>
      <c r="E347" s="6" t="s">
        <v>46</v>
      </c>
      <c r="F347" s="6" t="s">
        <v>58</v>
      </c>
      <c r="G347" s="6" t="s">
        <v>59</v>
      </c>
      <c r="H347" s="6">
        <v>2</v>
      </c>
      <c r="I347" s="6" t="s">
        <v>769</v>
      </c>
      <c r="J347" s="6" t="s">
        <v>189</v>
      </c>
      <c r="K347" s="6">
        <v>380</v>
      </c>
      <c r="L347" s="6" t="s">
        <v>42</v>
      </c>
      <c r="M347" s="6" t="s">
        <v>34</v>
      </c>
    </row>
    <row r="348" spans="1:13">
      <c r="A348" s="6" t="s">
        <v>844</v>
      </c>
      <c r="B348" s="7">
        <v>46042</v>
      </c>
      <c r="C348" s="6" t="s">
        <v>845</v>
      </c>
      <c r="D348" s="6" t="s">
        <v>127</v>
      </c>
      <c r="E348" s="6" t="s">
        <v>28</v>
      </c>
      <c r="F348" s="6" t="s">
        <v>38</v>
      </c>
      <c r="G348" s="6" t="s">
        <v>39</v>
      </c>
      <c r="H348" s="6">
        <v>2</v>
      </c>
      <c r="I348" s="6" t="s">
        <v>82</v>
      </c>
      <c r="J348" s="6" t="s">
        <v>297</v>
      </c>
      <c r="K348" s="6">
        <v>520</v>
      </c>
      <c r="L348" s="6" t="s">
        <v>42</v>
      </c>
      <c r="M348" s="6" t="s">
        <v>34</v>
      </c>
    </row>
    <row r="349" spans="1:13">
      <c r="A349" s="6" t="s">
        <v>846</v>
      </c>
      <c r="B349" s="7">
        <v>46088</v>
      </c>
      <c r="C349" s="6" t="s">
        <v>847</v>
      </c>
      <c r="D349" s="6" t="s">
        <v>64</v>
      </c>
      <c r="E349" s="6" t="s">
        <v>78</v>
      </c>
      <c r="F349" s="6" t="s">
        <v>53</v>
      </c>
      <c r="G349" s="6" t="s">
        <v>54</v>
      </c>
      <c r="H349" s="6">
        <v>3</v>
      </c>
      <c r="I349" s="6" t="s">
        <v>79</v>
      </c>
      <c r="J349" s="6" t="s">
        <v>216</v>
      </c>
      <c r="K349" s="6">
        <v>190</v>
      </c>
      <c r="L349" s="6" t="s">
        <v>42</v>
      </c>
      <c r="M349" s="6" t="s">
        <v>34</v>
      </c>
    </row>
    <row r="350" spans="1:13">
      <c r="A350" s="6" t="s">
        <v>848</v>
      </c>
      <c r="B350" s="7">
        <v>46077</v>
      </c>
      <c r="C350" s="6" t="s">
        <v>849</v>
      </c>
      <c r="D350" s="6" t="s">
        <v>64</v>
      </c>
      <c r="E350" s="6" t="s">
        <v>52</v>
      </c>
      <c r="F350" s="6" t="s">
        <v>29</v>
      </c>
      <c r="G350" s="6" t="s">
        <v>30</v>
      </c>
      <c r="H350" s="6">
        <v>1</v>
      </c>
      <c r="I350" s="6" t="s">
        <v>90</v>
      </c>
      <c r="J350" s="6" t="s">
        <v>90</v>
      </c>
      <c r="K350" s="6">
        <v>520</v>
      </c>
      <c r="L350" s="6" t="s">
        <v>42</v>
      </c>
      <c r="M350" s="6" t="s">
        <v>34</v>
      </c>
    </row>
    <row r="351" spans="1:13">
      <c r="A351" s="6" t="s">
        <v>850</v>
      </c>
      <c r="B351" s="7">
        <v>46165</v>
      </c>
      <c r="C351" s="6" t="s">
        <v>851</v>
      </c>
      <c r="D351" s="6" t="s">
        <v>27</v>
      </c>
      <c r="E351" s="6" t="s">
        <v>46</v>
      </c>
      <c r="F351" s="6" t="s">
        <v>85</v>
      </c>
      <c r="G351" s="6" t="s">
        <v>86</v>
      </c>
      <c r="H351" s="6">
        <v>1</v>
      </c>
      <c r="I351" s="6" t="s">
        <v>96</v>
      </c>
      <c r="J351" s="6" t="s">
        <v>96</v>
      </c>
      <c r="K351" s="6" t="s">
        <v>87</v>
      </c>
      <c r="L351" s="6" t="s">
        <v>42</v>
      </c>
      <c r="M351" s="6" t="s">
        <v>34</v>
      </c>
    </row>
    <row r="352" spans="1:13">
      <c r="A352" s="6" t="s">
        <v>852</v>
      </c>
      <c r="B352" s="7">
        <v>46105</v>
      </c>
      <c r="C352" s="6" t="s">
        <v>853</v>
      </c>
      <c r="D352" s="6" t="s">
        <v>77</v>
      </c>
      <c r="E352" s="6" t="s">
        <v>52</v>
      </c>
      <c r="F352" s="6" t="s">
        <v>53</v>
      </c>
      <c r="G352" s="6" t="s">
        <v>54</v>
      </c>
      <c r="H352" s="6">
        <v>3</v>
      </c>
      <c r="I352" s="6" t="s">
        <v>265</v>
      </c>
      <c r="J352" s="6" t="s">
        <v>401</v>
      </c>
      <c r="K352" s="6">
        <v>190</v>
      </c>
      <c r="L352" s="6" t="s">
        <v>42</v>
      </c>
      <c r="M352" s="6" t="s">
        <v>34</v>
      </c>
    </row>
    <row r="353" spans="1:13">
      <c r="A353" s="6" t="s">
        <v>854</v>
      </c>
      <c r="B353" s="7">
        <v>46120</v>
      </c>
      <c r="C353" s="6" t="s">
        <v>855</v>
      </c>
      <c r="D353" s="6" t="s">
        <v>45</v>
      </c>
      <c r="E353" s="6" t="s">
        <v>52</v>
      </c>
      <c r="F353" s="6" t="s">
        <v>47</v>
      </c>
      <c r="G353" s="6" t="s">
        <v>48</v>
      </c>
      <c r="H353" s="6">
        <v>2</v>
      </c>
      <c r="I353" s="6" t="s">
        <v>90</v>
      </c>
      <c r="J353" s="6" t="s">
        <v>278</v>
      </c>
      <c r="K353" s="6">
        <v>85</v>
      </c>
      <c r="L353" s="6" t="s">
        <v>42</v>
      </c>
      <c r="M353" s="6" t="s">
        <v>34</v>
      </c>
    </row>
    <row r="354" spans="1:13">
      <c r="A354" s="6" t="s">
        <v>856</v>
      </c>
      <c r="B354" s="7">
        <v>46080</v>
      </c>
      <c r="C354" s="6" t="s">
        <v>365</v>
      </c>
      <c r="D354" s="6" t="s">
        <v>77</v>
      </c>
      <c r="E354" s="6" t="s">
        <v>46</v>
      </c>
      <c r="F354" s="6" t="s">
        <v>58</v>
      </c>
      <c r="G354" s="6" t="s">
        <v>59</v>
      </c>
      <c r="H354" s="6">
        <v>2</v>
      </c>
      <c r="I354" s="6" t="s">
        <v>60</v>
      </c>
      <c r="J354" s="6" t="s">
        <v>189</v>
      </c>
      <c r="K354" s="6">
        <v>380</v>
      </c>
      <c r="L354" s="6" t="s">
        <v>42</v>
      </c>
      <c r="M354" s="6" t="s">
        <v>69</v>
      </c>
    </row>
    <row r="355" spans="1:13">
      <c r="A355" s="6" t="s">
        <v>857</v>
      </c>
      <c r="B355" s="7">
        <v>46138</v>
      </c>
      <c r="C355" s="6" t="s">
        <v>858</v>
      </c>
      <c r="D355" s="6" t="s">
        <v>127</v>
      </c>
      <c r="E355" s="6" t="s">
        <v>52</v>
      </c>
      <c r="F355" s="6" t="s">
        <v>100</v>
      </c>
      <c r="G355" s="6" t="s">
        <v>101</v>
      </c>
      <c r="H355" s="6">
        <v>-2</v>
      </c>
      <c r="I355" s="6" t="s">
        <v>143</v>
      </c>
      <c r="J355" s="8" t="s">
        <v>859</v>
      </c>
      <c r="K355" s="6" t="s">
        <v>119</v>
      </c>
      <c r="L355" s="6" t="s">
        <v>42</v>
      </c>
      <c r="M355" s="6" t="s">
        <v>34</v>
      </c>
    </row>
    <row r="356" spans="1:13">
      <c r="A356" s="6" t="s">
        <v>860</v>
      </c>
      <c r="B356" s="7">
        <v>46049</v>
      </c>
      <c r="C356" s="6" t="s">
        <v>861</v>
      </c>
      <c r="D356" s="6" t="s">
        <v>127</v>
      </c>
      <c r="E356" s="6" t="s">
        <v>28</v>
      </c>
      <c r="F356" s="6" t="s">
        <v>38</v>
      </c>
      <c r="G356" s="6" t="s">
        <v>39</v>
      </c>
      <c r="H356" s="6">
        <v>2</v>
      </c>
      <c r="I356" s="6" t="s">
        <v>31</v>
      </c>
      <c r="J356" s="6" t="s">
        <v>249</v>
      </c>
      <c r="K356" s="6">
        <v>520</v>
      </c>
      <c r="L356" s="6" t="s">
        <v>42</v>
      </c>
      <c r="M356" s="6" t="s">
        <v>34</v>
      </c>
    </row>
    <row r="357" spans="1:13">
      <c r="A357" s="6" t="s">
        <v>862</v>
      </c>
      <c r="B357" s="7">
        <v>46098</v>
      </c>
      <c r="C357" s="6" t="s">
        <v>863</v>
      </c>
      <c r="D357" s="6" t="s">
        <v>105</v>
      </c>
      <c r="E357" s="6" t="s">
        <v>78</v>
      </c>
      <c r="F357" s="6" t="s">
        <v>29</v>
      </c>
      <c r="G357" s="6" t="s">
        <v>30</v>
      </c>
      <c r="H357" s="6">
        <v>2</v>
      </c>
      <c r="I357" s="6" t="s">
        <v>79</v>
      </c>
      <c r="J357" s="6" t="s">
        <v>259</v>
      </c>
      <c r="K357" s="6">
        <v>520</v>
      </c>
      <c r="L357" s="6" t="s">
        <v>42</v>
      </c>
      <c r="M357" s="6" t="s">
        <v>34</v>
      </c>
    </row>
    <row r="358" spans="1:13">
      <c r="A358" s="6" t="s">
        <v>864</v>
      </c>
      <c r="B358" s="7">
        <v>46036</v>
      </c>
      <c r="C358" s="6" t="s">
        <v>865</v>
      </c>
      <c r="D358" s="6" t="s">
        <v>27</v>
      </c>
      <c r="E358" s="6" t="s">
        <v>52</v>
      </c>
      <c r="F358" s="6" t="s">
        <v>85</v>
      </c>
      <c r="G358" s="6" t="s">
        <v>86</v>
      </c>
      <c r="H358" s="6">
        <v>2</v>
      </c>
      <c r="I358" s="6" t="s">
        <v>265</v>
      </c>
      <c r="J358" s="6" t="s">
        <v>167</v>
      </c>
      <c r="K358" s="6">
        <v>410</v>
      </c>
      <c r="L358" s="6" t="s">
        <v>42</v>
      </c>
      <c r="M358" s="6" t="s">
        <v>34</v>
      </c>
    </row>
    <row r="359" spans="1:13">
      <c r="A359" s="6" t="s">
        <v>866</v>
      </c>
      <c r="B359" s="7">
        <v>46061</v>
      </c>
      <c r="C359" s="6" t="s">
        <v>635</v>
      </c>
      <c r="D359" s="6" t="s">
        <v>57</v>
      </c>
      <c r="E359" s="6" t="s">
        <v>28</v>
      </c>
      <c r="F359" s="6" t="s">
        <v>94</v>
      </c>
      <c r="G359" s="6" t="s">
        <v>95</v>
      </c>
      <c r="H359" s="6">
        <v>3</v>
      </c>
      <c r="I359" s="6" t="s">
        <v>181</v>
      </c>
      <c r="J359" s="6" t="s">
        <v>867</v>
      </c>
      <c r="K359" s="6">
        <v>340</v>
      </c>
      <c r="L359" s="6" t="s">
        <v>42</v>
      </c>
      <c r="M359" s="6" t="s">
        <v>69</v>
      </c>
    </row>
    <row r="360" spans="1:13">
      <c r="A360" s="6" t="s">
        <v>868</v>
      </c>
      <c r="B360" s="7">
        <v>46048</v>
      </c>
      <c r="C360" s="6" t="s">
        <v>869</v>
      </c>
      <c r="D360" s="6" t="s">
        <v>77</v>
      </c>
      <c r="E360" s="6" t="s">
        <v>46</v>
      </c>
      <c r="F360" s="6" t="s">
        <v>94</v>
      </c>
      <c r="G360" s="6" t="s">
        <v>95</v>
      </c>
      <c r="H360" s="6">
        <v>1</v>
      </c>
      <c r="I360" s="6" t="s">
        <v>90</v>
      </c>
      <c r="J360" s="6" t="s">
        <v>90</v>
      </c>
      <c r="K360" s="6">
        <v>340</v>
      </c>
      <c r="L360" s="6" t="s">
        <v>42</v>
      </c>
      <c r="M360" s="6" t="s">
        <v>34</v>
      </c>
    </row>
    <row r="361" spans="1:13">
      <c r="A361" s="6" t="s">
        <v>870</v>
      </c>
      <c r="B361" s="7">
        <v>46070</v>
      </c>
      <c r="C361" s="6" t="s">
        <v>871</v>
      </c>
      <c r="D361" s="6" t="s">
        <v>105</v>
      </c>
      <c r="E361" s="6" t="s">
        <v>37</v>
      </c>
      <c r="F361" s="6" t="s">
        <v>53</v>
      </c>
      <c r="G361" s="6" t="s">
        <v>54</v>
      </c>
      <c r="H361" s="6">
        <v>3</v>
      </c>
      <c r="I361" s="6" t="s">
        <v>265</v>
      </c>
      <c r="J361" s="6" t="s">
        <v>401</v>
      </c>
      <c r="K361" s="6">
        <v>190</v>
      </c>
      <c r="L361" s="6" t="s">
        <v>33</v>
      </c>
      <c r="M361" s="6" t="s">
        <v>34</v>
      </c>
    </row>
    <row r="362" spans="1:13">
      <c r="A362" s="6" t="s">
        <v>872</v>
      </c>
      <c r="B362" s="7">
        <v>46123</v>
      </c>
      <c r="C362" s="6" t="s">
        <v>873</v>
      </c>
      <c r="D362" s="6" t="s">
        <v>110</v>
      </c>
      <c r="E362" s="6" t="s">
        <v>78</v>
      </c>
      <c r="F362" s="6" t="s">
        <v>53</v>
      </c>
      <c r="G362" s="6" t="s">
        <v>54</v>
      </c>
      <c r="H362" s="6">
        <v>2</v>
      </c>
      <c r="I362" s="6" t="s">
        <v>90</v>
      </c>
      <c r="J362" s="6" t="s">
        <v>154</v>
      </c>
      <c r="K362" s="6">
        <v>190</v>
      </c>
      <c r="L362" s="6" t="s">
        <v>42</v>
      </c>
      <c r="M362" s="6" t="s">
        <v>34</v>
      </c>
    </row>
    <row r="363" spans="1:13">
      <c r="A363" s="6" t="s">
        <v>874</v>
      </c>
      <c r="B363" s="6" t="s">
        <v>247</v>
      </c>
      <c r="C363" s="6" t="s">
        <v>875</v>
      </c>
      <c r="D363" s="6" t="s">
        <v>127</v>
      </c>
      <c r="E363" s="6" t="s">
        <v>28</v>
      </c>
      <c r="F363" s="6" t="s">
        <v>85</v>
      </c>
      <c r="G363" s="6" t="s">
        <v>86</v>
      </c>
      <c r="H363" s="6">
        <v>3</v>
      </c>
      <c r="I363" s="6" t="s">
        <v>90</v>
      </c>
      <c r="J363" s="6" t="s">
        <v>102</v>
      </c>
      <c r="K363" s="6">
        <v>410</v>
      </c>
      <c r="L363" s="6" t="s">
        <v>33</v>
      </c>
      <c r="M363" s="6" t="s">
        <v>34</v>
      </c>
    </row>
    <row r="364" spans="1:13">
      <c r="A364" s="6" t="s">
        <v>876</v>
      </c>
      <c r="B364" s="7">
        <v>46127</v>
      </c>
      <c r="C364" s="6" t="s">
        <v>877</v>
      </c>
      <c r="D364" s="6" t="s">
        <v>105</v>
      </c>
      <c r="E364" s="6" t="s">
        <v>78</v>
      </c>
      <c r="F364" s="6" t="s">
        <v>53</v>
      </c>
      <c r="G364" s="6" t="s">
        <v>54</v>
      </c>
      <c r="H364" s="6">
        <v>2</v>
      </c>
      <c r="I364" s="6" t="s">
        <v>117</v>
      </c>
      <c r="J364" s="6" t="s">
        <v>118</v>
      </c>
      <c r="K364" s="6">
        <v>190</v>
      </c>
      <c r="L364" s="6" t="s">
        <v>42</v>
      </c>
      <c r="M364" s="6" t="s">
        <v>34</v>
      </c>
    </row>
    <row r="365" spans="1:13">
      <c r="A365" s="6" t="s">
        <v>878</v>
      </c>
      <c r="B365" s="7">
        <v>46061</v>
      </c>
      <c r="C365" s="6" t="s">
        <v>879</v>
      </c>
      <c r="D365" s="6" t="s">
        <v>45</v>
      </c>
      <c r="E365" s="6" t="s">
        <v>78</v>
      </c>
      <c r="F365" s="6" t="s">
        <v>53</v>
      </c>
      <c r="G365" s="6" t="s">
        <v>54</v>
      </c>
      <c r="H365" s="6">
        <v>1</v>
      </c>
      <c r="I365" s="6" t="s">
        <v>181</v>
      </c>
      <c r="J365" s="6" t="s">
        <v>181</v>
      </c>
      <c r="K365" s="6">
        <v>190</v>
      </c>
      <c r="L365" s="6" t="s">
        <v>42</v>
      </c>
      <c r="M365" s="6" t="s">
        <v>69</v>
      </c>
    </row>
    <row r="366" spans="1:13">
      <c r="A366" s="6" t="s">
        <v>880</v>
      </c>
      <c r="B366" s="7">
        <v>46151</v>
      </c>
      <c r="C366" s="6" t="s">
        <v>881</v>
      </c>
      <c r="D366" s="6" t="s">
        <v>127</v>
      </c>
      <c r="E366" s="6" t="s">
        <v>28</v>
      </c>
      <c r="F366" s="6" t="s">
        <v>29</v>
      </c>
      <c r="G366" s="6" t="s">
        <v>30</v>
      </c>
      <c r="H366" s="6">
        <v>3</v>
      </c>
      <c r="I366" s="6" t="s">
        <v>73</v>
      </c>
      <c r="J366" s="6" t="s">
        <v>882</v>
      </c>
      <c r="K366" s="6" t="s">
        <v>41</v>
      </c>
      <c r="L366" s="6" t="s">
        <v>33</v>
      </c>
      <c r="M366" s="6" t="s">
        <v>34</v>
      </c>
    </row>
    <row r="367" spans="1:13">
      <c r="A367" s="6" t="s">
        <v>883</v>
      </c>
      <c r="B367" s="7">
        <v>46050</v>
      </c>
      <c r="C367" s="6" t="s">
        <v>884</v>
      </c>
      <c r="D367" s="6" t="s">
        <v>105</v>
      </c>
      <c r="E367" s="6" t="s">
        <v>37</v>
      </c>
      <c r="F367" s="6" t="s">
        <v>85</v>
      </c>
      <c r="G367" s="6" t="s">
        <v>86</v>
      </c>
      <c r="H367" s="6">
        <v>2</v>
      </c>
      <c r="I367" s="6" t="s">
        <v>113</v>
      </c>
      <c r="J367" s="6" t="s">
        <v>192</v>
      </c>
      <c r="K367" s="6">
        <v>410</v>
      </c>
      <c r="L367" s="6" t="s">
        <v>42</v>
      </c>
      <c r="M367" s="6" t="s">
        <v>34</v>
      </c>
    </row>
    <row r="368" spans="1:13">
      <c r="A368" s="6" t="s">
        <v>885</v>
      </c>
      <c r="B368" s="7">
        <v>46039</v>
      </c>
      <c r="C368" s="6" t="s">
        <v>886</v>
      </c>
      <c r="D368" s="6" t="s">
        <v>77</v>
      </c>
      <c r="E368" s="6" t="s">
        <v>52</v>
      </c>
      <c r="F368" s="6" t="s">
        <v>47</v>
      </c>
      <c r="G368" s="6" t="s">
        <v>48</v>
      </c>
      <c r="H368" s="6">
        <v>1</v>
      </c>
      <c r="I368" s="6" t="s">
        <v>31</v>
      </c>
      <c r="J368" s="6" t="s">
        <v>31</v>
      </c>
      <c r="K368" s="6">
        <v>85</v>
      </c>
      <c r="L368" s="6" t="s">
        <v>42</v>
      </c>
      <c r="M368" s="6" t="s">
        <v>34</v>
      </c>
    </row>
    <row r="369" spans="1:13">
      <c r="A369" s="6" t="s">
        <v>887</v>
      </c>
      <c r="B369" s="7">
        <v>46176</v>
      </c>
      <c r="C369" s="6" t="s">
        <v>888</v>
      </c>
      <c r="D369" s="6" t="s">
        <v>27</v>
      </c>
      <c r="E369" s="6" t="s">
        <v>52</v>
      </c>
      <c r="F369" s="6" t="s">
        <v>85</v>
      </c>
      <c r="G369" s="6" t="s">
        <v>86</v>
      </c>
      <c r="H369" s="6">
        <v>1</v>
      </c>
      <c r="I369" s="6" t="s">
        <v>143</v>
      </c>
      <c r="J369" s="6" t="s">
        <v>143</v>
      </c>
      <c r="K369" s="6" t="s">
        <v>87</v>
      </c>
      <c r="L369" s="6" t="s">
        <v>33</v>
      </c>
      <c r="M369" s="6" t="s">
        <v>34</v>
      </c>
    </row>
    <row r="370" spans="1:13">
      <c r="A370" s="6" t="s">
        <v>889</v>
      </c>
      <c r="B370" s="7">
        <v>46197</v>
      </c>
      <c r="C370" s="6" t="s">
        <v>381</v>
      </c>
      <c r="D370" s="6" t="s">
        <v>57</v>
      </c>
      <c r="E370" s="6" t="s">
        <v>46</v>
      </c>
      <c r="F370" s="6" t="s">
        <v>53</v>
      </c>
      <c r="G370" s="6" t="s">
        <v>54</v>
      </c>
      <c r="H370" s="6">
        <v>2</v>
      </c>
      <c r="I370" s="6" t="s">
        <v>90</v>
      </c>
      <c r="J370" s="6" t="s">
        <v>154</v>
      </c>
      <c r="K370" s="6" t="s">
        <v>122</v>
      </c>
      <c r="L370" s="6" t="s">
        <v>33</v>
      </c>
      <c r="M370" s="6" t="s">
        <v>34</v>
      </c>
    </row>
    <row r="371" spans="1:13">
      <c r="A371" s="6" t="s">
        <v>890</v>
      </c>
      <c r="B371" s="6" t="s">
        <v>891</v>
      </c>
      <c r="C371" s="6" t="s">
        <v>892</v>
      </c>
      <c r="D371" s="6" t="s">
        <v>45</v>
      </c>
      <c r="E371" s="6" t="s">
        <v>52</v>
      </c>
      <c r="F371" s="6" t="s">
        <v>29</v>
      </c>
      <c r="G371" s="6" t="s">
        <v>30</v>
      </c>
      <c r="H371" s="6">
        <v>1</v>
      </c>
      <c r="I371" s="6" t="s">
        <v>90</v>
      </c>
      <c r="J371" s="6" t="s">
        <v>90</v>
      </c>
      <c r="K371" s="6">
        <v>520</v>
      </c>
      <c r="L371" s="6" t="s">
        <v>42</v>
      </c>
      <c r="M371" s="6" t="s">
        <v>34</v>
      </c>
    </row>
    <row r="372" spans="1:13">
      <c r="A372" s="6" t="s">
        <v>893</v>
      </c>
      <c r="B372" s="7">
        <v>46189</v>
      </c>
      <c r="C372" s="6" t="s">
        <v>894</v>
      </c>
      <c r="D372" s="6" t="s">
        <v>45</v>
      </c>
      <c r="E372" s="6" t="s">
        <v>78</v>
      </c>
      <c r="F372" s="6" t="s">
        <v>38</v>
      </c>
      <c r="G372" s="6" t="s">
        <v>39</v>
      </c>
      <c r="H372" s="6">
        <v>2</v>
      </c>
      <c r="I372" s="6" t="s">
        <v>151</v>
      </c>
      <c r="J372" s="6" t="s">
        <v>249</v>
      </c>
      <c r="K372" s="6" t="s">
        <v>41</v>
      </c>
      <c r="L372" s="6" t="s">
        <v>33</v>
      </c>
      <c r="M372" s="6" t="s">
        <v>34</v>
      </c>
    </row>
    <row r="373" spans="1:13">
      <c r="A373" s="6" t="s">
        <v>895</v>
      </c>
      <c r="B373" s="7">
        <v>46038</v>
      </c>
      <c r="C373" s="6" t="s">
        <v>896</v>
      </c>
      <c r="D373" s="6" t="s">
        <v>64</v>
      </c>
      <c r="E373" s="6" t="s">
        <v>52</v>
      </c>
      <c r="F373" s="6" t="s">
        <v>58</v>
      </c>
      <c r="G373" s="6" t="s">
        <v>59</v>
      </c>
      <c r="H373" s="6">
        <v>2</v>
      </c>
      <c r="I373" s="6" t="s">
        <v>96</v>
      </c>
      <c r="J373" s="6" t="s">
        <v>897</v>
      </c>
      <c r="K373" s="6">
        <v>380</v>
      </c>
      <c r="L373" s="6" t="s">
        <v>33</v>
      </c>
      <c r="M373" s="6" t="s">
        <v>34</v>
      </c>
    </row>
    <row r="374" spans="1:13">
      <c r="A374" s="6" t="s">
        <v>898</v>
      </c>
      <c r="B374" s="6" t="s">
        <v>899</v>
      </c>
      <c r="C374" s="6" t="s">
        <v>165</v>
      </c>
      <c r="D374" s="6" t="s">
        <v>72</v>
      </c>
      <c r="E374" s="6" t="s">
        <v>37</v>
      </c>
      <c r="F374" s="6" t="s">
        <v>29</v>
      </c>
      <c r="G374" s="6" t="s">
        <v>30</v>
      </c>
      <c r="H374" s="6">
        <v>3</v>
      </c>
      <c r="I374" s="6" t="s">
        <v>113</v>
      </c>
      <c r="J374" s="6" t="s">
        <v>138</v>
      </c>
      <c r="K374" s="6">
        <v>520</v>
      </c>
      <c r="L374" s="6" t="s">
        <v>42</v>
      </c>
      <c r="M374" s="6" t="s">
        <v>34</v>
      </c>
    </row>
    <row r="375" spans="1:13">
      <c r="A375" s="6" t="s">
        <v>900</v>
      </c>
      <c r="B375" s="7">
        <v>46100</v>
      </c>
      <c r="C375" s="6" t="s">
        <v>901</v>
      </c>
      <c r="D375" s="6" t="s">
        <v>127</v>
      </c>
      <c r="E375" s="6" t="s">
        <v>37</v>
      </c>
      <c r="F375" s="6" t="s">
        <v>94</v>
      </c>
      <c r="G375" s="6" t="s">
        <v>95</v>
      </c>
      <c r="H375" s="6">
        <v>2</v>
      </c>
      <c r="I375" s="6" t="s">
        <v>181</v>
      </c>
      <c r="J375" s="6" t="s">
        <v>163</v>
      </c>
      <c r="K375" s="6">
        <v>340</v>
      </c>
      <c r="L375" s="6" t="s">
        <v>42</v>
      </c>
      <c r="M375" s="6" t="s">
        <v>34</v>
      </c>
    </row>
    <row r="376" spans="1:13">
      <c r="A376" s="6" t="s">
        <v>902</v>
      </c>
      <c r="B376" s="7">
        <v>46331</v>
      </c>
      <c r="C376" s="6" t="s">
        <v>903</v>
      </c>
      <c r="D376" s="6" t="s">
        <v>27</v>
      </c>
      <c r="E376" s="6" t="s">
        <v>37</v>
      </c>
      <c r="F376" s="6" t="s">
        <v>38</v>
      </c>
      <c r="G376" s="6" t="s">
        <v>39</v>
      </c>
      <c r="H376" s="6">
        <v>1</v>
      </c>
      <c r="I376" s="6" t="s">
        <v>82</v>
      </c>
      <c r="J376" s="6" t="s">
        <v>82</v>
      </c>
      <c r="K376" s="6" t="s">
        <v>41</v>
      </c>
      <c r="L376" s="6" t="s">
        <v>42</v>
      </c>
      <c r="M376" s="6" t="s">
        <v>34</v>
      </c>
    </row>
    <row r="377" spans="1:13">
      <c r="A377" s="6" t="s">
        <v>904</v>
      </c>
      <c r="B377" s="7">
        <v>46097</v>
      </c>
      <c r="C377" s="6" t="s">
        <v>905</v>
      </c>
      <c r="D377" s="6" t="s">
        <v>45</v>
      </c>
      <c r="E377" s="6" t="s">
        <v>52</v>
      </c>
      <c r="F377" s="6" t="s">
        <v>47</v>
      </c>
      <c r="G377" s="6" t="s">
        <v>48</v>
      </c>
      <c r="H377" s="6">
        <v>1</v>
      </c>
      <c r="I377" s="6" t="s">
        <v>755</v>
      </c>
      <c r="J377" s="6" t="s">
        <v>117</v>
      </c>
      <c r="K377" s="6">
        <v>85</v>
      </c>
      <c r="L377" s="6" t="s">
        <v>42</v>
      </c>
      <c r="M377" s="6" t="s">
        <v>34</v>
      </c>
    </row>
    <row r="378" spans="1:13">
      <c r="A378" s="6" t="s">
        <v>906</v>
      </c>
      <c r="B378" s="7">
        <v>46116</v>
      </c>
      <c r="C378" s="6" t="s">
        <v>618</v>
      </c>
      <c r="D378" s="6" t="s">
        <v>72</v>
      </c>
      <c r="E378" s="6" t="s">
        <v>46</v>
      </c>
      <c r="F378" s="6" t="s">
        <v>29</v>
      </c>
      <c r="G378" s="6" t="s">
        <v>30</v>
      </c>
      <c r="H378" s="6">
        <v>1</v>
      </c>
      <c r="I378" s="6" t="s">
        <v>31</v>
      </c>
      <c r="J378" s="6" t="s">
        <v>31</v>
      </c>
      <c r="K378" s="6">
        <v>520</v>
      </c>
      <c r="L378" s="6" t="s">
        <v>33</v>
      </c>
      <c r="M378" s="6" t="s">
        <v>34</v>
      </c>
    </row>
    <row r="379" spans="1:13">
      <c r="A379" s="6" t="s">
        <v>907</v>
      </c>
      <c r="B379" s="7">
        <v>46202</v>
      </c>
      <c r="C379" s="6" t="s">
        <v>540</v>
      </c>
      <c r="D379" s="6" t="s">
        <v>45</v>
      </c>
      <c r="E379" s="6" t="s">
        <v>28</v>
      </c>
      <c r="F379" s="6" t="s">
        <v>58</v>
      </c>
      <c r="G379" s="6" t="s">
        <v>59</v>
      </c>
      <c r="H379" s="6">
        <v>1</v>
      </c>
      <c r="I379" s="6" t="s">
        <v>73</v>
      </c>
      <c r="J379" s="6" t="s">
        <v>73</v>
      </c>
      <c r="K379" s="6" t="s">
        <v>61</v>
      </c>
      <c r="L379" s="6" t="s">
        <v>42</v>
      </c>
      <c r="M379" s="6" t="s">
        <v>34</v>
      </c>
    </row>
    <row r="380" spans="1:13">
      <c r="A380" s="6" t="s">
        <v>908</v>
      </c>
      <c r="B380" s="6" t="s">
        <v>909</v>
      </c>
      <c r="C380" s="6" t="s">
        <v>910</v>
      </c>
      <c r="D380" s="6" t="s">
        <v>45</v>
      </c>
      <c r="E380" s="6" t="s">
        <v>46</v>
      </c>
      <c r="F380" s="6" t="s">
        <v>38</v>
      </c>
      <c r="G380" s="6" t="s">
        <v>39</v>
      </c>
      <c r="H380" s="6">
        <v>2</v>
      </c>
      <c r="I380" s="6" t="s">
        <v>265</v>
      </c>
      <c r="J380" s="6" t="s">
        <v>167</v>
      </c>
      <c r="K380" s="6" t="s">
        <v>41</v>
      </c>
      <c r="L380" s="6" t="s">
        <v>42</v>
      </c>
      <c r="M380" s="6" t="s">
        <v>34</v>
      </c>
    </row>
    <row r="381" spans="1:13">
      <c r="A381" s="6" t="s">
        <v>911</v>
      </c>
      <c r="B381" s="7">
        <v>46098</v>
      </c>
      <c r="C381" s="6" t="s">
        <v>912</v>
      </c>
      <c r="D381" s="6" t="s">
        <v>72</v>
      </c>
      <c r="E381" s="6" t="s">
        <v>28</v>
      </c>
      <c r="F381" s="6" t="s">
        <v>100</v>
      </c>
      <c r="G381" s="6" t="s">
        <v>101</v>
      </c>
      <c r="H381" s="6">
        <v>1</v>
      </c>
      <c r="I381" s="6" t="s">
        <v>40</v>
      </c>
      <c r="J381" s="6" t="s">
        <v>40</v>
      </c>
      <c r="K381" s="6">
        <v>640</v>
      </c>
      <c r="L381" s="6" t="s">
        <v>42</v>
      </c>
      <c r="M381" s="6" t="s">
        <v>34</v>
      </c>
    </row>
    <row r="382" spans="1:13">
      <c r="A382" s="6" t="s">
        <v>913</v>
      </c>
      <c r="B382" s="7">
        <v>46045</v>
      </c>
      <c r="C382" s="6" t="s">
        <v>914</v>
      </c>
      <c r="D382" s="6" t="s">
        <v>110</v>
      </c>
      <c r="E382" s="6" t="s">
        <v>78</v>
      </c>
      <c r="F382" s="6" t="s">
        <v>58</v>
      </c>
      <c r="G382" s="6" t="s">
        <v>59</v>
      </c>
      <c r="H382" s="6">
        <v>1</v>
      </c>
      <c r="I382" s="6" t="s">
        <v>181</v>
      </c>
      <c r="J382" s="6" t="s">
        <v>181</v>
      </c>
      <c r="K382" s="6">
        <v>380</v>
      </c>
      <c r="L382" s="6" t="s">
        <v>42</v>
      </c>
      <c r="M382" s="6" t="s">
        <v>34</v>
      </c>
    </row>
    <row r="383" spans="1:13">
      <c r="A383" s="6" t="s">
        <v>812</v>
      </c>
      <c r="B383" s="7">
        <v>46189</v>
      </c>
      <c r="C383" s="6" t="s">
        <v>271</v>
      </c>
      <c r="D383" s="6" t="s">
        <v>72</v>
      </c>
      <c r="E383" s="6" t="s">
        <v>52</v>
      </c>
      <c r="F383" s="6" t="s">
        <v>38</v>
      </c>
      <c r="G383" s="6" t="s">
        <v>39</v>
      </c>
      <c r="H383" s="6">
        <v>1</v>
      </c>
      <c r="I383" s="6" t="s">
        <v>31</v>
      </c>
      <c r="J383" s="6" t="s">
        <v>31</v>
      </c>
      <c r="K383" s="6" t="s">
        <v>41</v>
      </c>
      <c r="L383" s="6" t="s">
        <v>33</v>
      </c>
      <c r="M383" s="6" t="s">
        <v>34</v>
      </c>
    </row>
    <row r="384" spans="1:13">
      <c r="A384" s="6" t="s">
        <v>915</v>
      </c>
      <c r="B384" s="7">
        <v>46060</v>
      </c>
      <c r="C384" s="6" t="s">
        <v>916</v>
      </c>
      <c r="D384" s="6" t="s">
        <v>127</v>
      </c>
      <c r="E384" s="6" t="s">
        <v>28</v>
      </c>
      <c r="F384" s="6" t="s">
        <v>47</v>
      </c>
      <c r="G384" s="6" t="s">
        <v>48</v>
      </c>
      <c r="H384" s="6">
        <v>-2</v>
      </c>
      <c r="I384" s="6" t="s">
        <v>73</v>
      </c>
      <c r="J384" s="8" t="s">
        <v>917</v>
      </c>
      <c r="K384" s="6" t="s">
        <v>49</v>
      </c>
      <c r="L384" s="6" t="s">
        <v>42</v>
      </c>
      <c r="M384" s="6" t="s">
        <v>34</v>
      </c>
    </row>
    <row r="385" spans="1:13">
      <c r="A385" s="6" t="s">
        <v>918</v>
      </c>
      <c r="B385" s="7">
        <v>46038</v>
      </c>
      <c r="C385" s="6" t="s">
        <v>302</v>
      </c>
      <c r="D385" s="6" t="s">
        <v>105</v>
      </c>
      <c r="E385" s="6" t="s">
        <v>52</v>
      </c>
      <c r="F385" s="6" t="s">
        <v>47</v>
      </c>
      <c r="G385" s="6" t="s">
        <v>48</v>
      </c>
      <c r="H385" s="6">
        <v>1</v>
      </c>
      <c r="I385" s="6" t="s">
        <v>231</v>
      </c>
      <c r="J385" s="6" t="s">
        <v>231</v>
      </c>
      <c r="K385" s="6">
        <v>85</v>
      </c>
      <c r="L385" s="6" t="s">
        <v>42</v>
      </c>
      <c r="M385" s="6" t="s">
        <v>34</v>
      </c>
    </row>
    <row r="386" spans="1:13">
      <c r="A386" s="6" t="s">
        <v>919</v>
      </c>
      <c r="B386" s="7">
        <v>46097</v>
      </c>
      <c r="C386" s="6" t="s">
        <v>920</v>
      </c>
      <c r="D386" s="6" t="s">
        <v>27</v>
      </c>
      <c r="E386" s="6" t="s">
        <v>46</v>
      </c>
      <c r="F386" s="6" t="s">
        <v>29</v>
      </c>
      <c r="G386" s="6" t="s">
        <v>30</v>
      </c>
      <c r="H386" s="6">
        <v>2</v>
      </c>
      <c r="I386" s="6" t="s">
        <v>147</v>
      </c>
      <c r="J386" s="6" t="s">
        <v>175</v>
      </c>
      <c r="K386" s="6">
        <v>520</v>
      </c>
      <c r="L386" s="6" t="s">
        <v>42</v>
      </c>
      <c r="M386" s="6" t="s">
        <v>34</v>
      </c>
    </row>
    <row r="387" spans="1:13">
      <c r="A387" s="6" t="s">
        <v>921</v>
      </c>
      <c r="B387" s="7">
        <v>46134</v>
      </c>
      <c r="C387" s="6" t="s">
        <v>922</v>
      </c>
      <c r="D387" s="6" t="s">
        <v>57</v>
      </c>
      <c r="E387" s="6" t="s">
        <v>28</v>
      </c>
      <c r="F387" s="6" t="s">
        <v>85</v>
      </c>
      <c r="G387" s="6" t="s">
        <v>86</v>
      </c>
      <c r="H387" s="6">
        <v>1</v>
      </c>
      <c r="I387" s="6" t="s">
        <v>143</v>
      </c>
      <c r="J387" s="6" t="s">
        <v>143</v>
      </c>
      <c r="K387" s="6" t="s">
        <v>87</v>
      </c>
      <c r="L387" s="6" t="s">
        <v>42</v>
      </c>
      <c r="M387" s="6" t="s">
        <v>34</v>
      </c>
    </row>
    <row r="388" spans="1:13">
      <c r="A388" s="6" t="s">
        <v>923</v>
      </c>
      <c r="B388" s="7">
        <v>46032</v>
      </c>
      <c r="C388" s="6" t="s">
        <v>365</v>
      </c>
      <c r="D388" s="6" t="s">
        <v>45</v>
      </c>
      <c r="E388" s="6" t="s">
        <v>28</v>
      </c>
      <c r="F388" s="6" t="s">
        <v>85</v>
      </c>
      <c r="G388" s="6" t="s">
        <v>86</v>
      </c>
      <c r="H388" s="6">
        <v>1</v>
      </c>
      <c r="I388" s="6" t="s">
        <v>96</v>
      </c>
      <c r="J388" s="6" t="s">
        <v>96</v>
      </c>
      <c r="K388" s="6">
        <v>410</v>
      </c>
      <c r="L388" s="6" t="s">
        <v>42</v>
      </c>
      <c r="M388" s="6" t="s">
        <v>34</v>
      </c>
    </row>
    <row r="389" spans="1:13">
      <c r="A389" s="6" t="s">
        <v>924</v>
      </c>
      <c r="B389" s="6" t="s">
        <v>925</v>
      </c>
      <c r="C389" s="6" t="s">
        <v>926</v>
      </c>
      <c r="D389" s="6" t="s">
        <v>64</v>
      </c>
      <c r="E389" s="6" t="s">
        <v>28</v>
      </c>
      <c r="F389" s="6" t="s">
        <v>94</v>
      </c>
      <c r="G389" s="6" t="s">
        <v>95</v>
      </c>
      <c r="H389" s="6">
        <v>1</v>
      </c>
      <c r="I389" s="6" t="s">
        <v>60</v>
      </c>
      <c r="J389" s="6" t="s">
        <v>60</v>
      </c>
      <c r="K389" s="6" t="s">
        <v>114</v>
      </c>
      <c r="L389" s="6" t="s">
        <v>42</v>
      </c>
      <c r="M389" s="6" t="s">
        <v>34</v>
      </c>
    </row>
    <row r="390" spans="1:13">
      <c r="A390" s="6" t="s">
        <v>927</v>
      </c>
      <c r="B390" s="7">
        <v>46025</v>
      </c>
      <c r="C390" s="6" t="s">
        <v>763</v>
      </c>
      <c r="D390" s="6" t="s">
        <v>77</v>
      </c>
      <c r="E390" s="6" t="s">
        <v>46</v>
      </c>
      <c r="F390" s="6" t="s">
        <v>85</v>
      </c>
      <c r="G390" s="6" t="s">
        <v>86</v>
      </c>
      <c r="H390" s="6">
        <v>1</v>
      </c>
      <c r="I390" s="6" t="s">
        <v>143</v>
      </c>
      <c r="J390" s="6" t="s">
        <v>143</v>
      </c>
      <c r="K390" s="6">
        <v>410</v>
      </c>
      <c r="L390" s="6" t="s">
        <v>42</v>
      </c>
      <c r="M390" s="6" t="s">
        <v>34</v>
      </c>
    </row>
    <row r="391" spans="1:13">
      <c r="A391" s="6" t="s">
        <v>928</v>
      </c>
      <c r="B391" s="7">
        <v>46173</v>
      </c>
      <c r="C391" s="6" t="s">
        <v>174</v>
      </c>
      <c r="D391" s="6" t="s">
        <v>105</v>
      </c>
      <c r="E391" s="6" t="s">
        <v>37</v>
      </c>
      <c r="F391" s="6" t="s">
        <v>85</v>
      </c>
      <c r="G391" s="6" t="s">
        <v>86</v>
      </c>
      <c r="H391" s="6">
        <v>1</v>
      </c>
      <c r="I391" s="6" t="s">
        <v>265</v>
      </c>
      <c r="J391" s="6" t="s">
        <v>265</v>
      </c>
      <c r="K391" s="6" t="s">
        <v>87</v>
      </c>
      <c r="L391" s="6" t="s">
        <v>42</v>
      </c>
      <c r="M391" s="6" t="s">
        <v>34</v>
      </c>
    </row>
    <row r="392" spans="1:13">
      <c r="A392" s="6" t="s">
        <v>929</v>
      </c>
      <c r="B392" s="7">
        <v>46138</v>
      </c>
      <c r="C392" s="6" t="s">
        <v>930</v>
      </c>
      <c r="D392" s="6" t="s">
        <v>105</v>
      </c>
      <c r="E392" s="6" t="s">
        <v>46</v>
      </c>
      <c r="F392" s="6" t="s">
        <v>53</v>
      </c>
      <c r="G392" s="6" t="s">
        <v>54</v>
      </c>
      <c r="H392" s="6">
        <v>1</v>
      </c>
      <c r="I392" s="6" t="s">
        <v>769</v>
      </c>
      <c r="J392" s="6" t="s">
        <v>60</v>
      </c>
      <c r="K392" s="6" t="s">
        <v>122</v>
      </c>
      <c r="L392" s="6" t="s">
        <v>42</v>
      </c>
      <c r="M392" s="6" t="s">
        <v>34</v>
      </c>
    </row>
    <row r="393" spans="1:13">
      <c r="A393" s="6" t="s">
        <v>931</v>
      </c>
      <c r="B393" s="7">
        <v>46031</v>
      </c>
      <c r="C393" s="6" t="s">
        <v>932</v>
      </c>
      <c r="D393" s="6" t="s">
        <v>72</v>
      </c>
      <c r="E393" s="6" t="s">
        <v>78</v>
      </c>
      <c r="F393" s="6" t="s">
        <v>100</v>
      </c>
      <c r="G393" s="6" t="s">
        <v>101</v>
      </c>
      <c r="H393" s="6">
        <v>1</v>
      </c>
      <c r="I393" s="6" t="s">
        <v>113</v>
      </c>
      <c r="J393" s="6" t="s">
        <v>113</v>
      </c>
      <c r="K393" s="6">
        <v>640</v>
      </c>
      <c r="L393" s="6" t="s">
        <v>42</v>
      </c>
      <c r="M393" s="6" t="s">
        <v>34</v>
      </c>
    </row>
    <row r="394" spans="1:13">
      <c r="A394" s="6" t="s">
        <v>933</v>
      </c>
      <c r="B394" s="7">
        <v>46029</v>
      </c>
      <c r="C394" s="6" t="s">
        <v>934</v>
      </c>
      <c r="D394" s="6" t="s">
        <v>72</v>
      </c>
      <c r="E394" s="6" t="s">
        <v>37</v>
      </c>
      <c r="F394" s="6" t="s">
        <v>100</v>
      </c>
      <c r="G394" s="6" t="s">
        <v>101</v>
      </c>
      <c r="H394" s="6">
        <v>3</v>
      </c>
      <c r="I394" s="6" t="s">
        <v>96</v>
      </c>
      <c r="J394" s="6" t="s">
        <v>97</v>
      </c>
      <c r="K394" s="6">
        <v>640</v>
      </c>
      <c r="L394" s="6" t="s">
        <v>42</v>
      </c>
      <c r="M394" s="6" t="s">
        <v>34</v>
      </c>
    </row>
    <row r="395" spans="1:13">
      <c r="A395" s="6" t="s">
        <v>935</v>
      </c>
      <c r="B395" s="7">
        <v>46054</v>
      </c>
      <c r="C395" s="6" t="s">
        <v>245</v>
      </c>
      <c r="D395" s="6" t="s">
        <v>45</v>
      </c>
      <c r="E395" s="6" t="s">
        <v>46</v>
      </c>
      <c r="F395" s="6" t="s">
        <v>38</v>
      </c>
      <c r="G395" s="6" t="s">
        <v>39</v>
      </c>
      <c r="H395" s="6">
        <v>2</v>
      </c>
      <c r="I395" s="6" t="s">
        <v>31</v>
      </c>
      <c r="J395" s="6" t="s">
        <v>249</v>
      </c>
      <c r="K395" s="6">
        <v>520</v>
      </c>
      <c r="L395" s="6" t="s">
        <v>42</v>
      </c>
      <c r="M395" s="6" t="s">
        <v>34</v>
      </c>
    </row>
    <row r="396" spans="1:13">
      <c r="A396" s="6" t="s">
        <v>936</v>
      </c>
      <c r="B396" s="7">
        <v>46054</v>
      </c>
      <c r="C396" s="6" t="s">
        <v>556</v>
      </c>
      <c r="D396" s="6" t="s">
        <v>127</v>
      </c>
      <c r="E396" s="6" t="s">
        <v>28</v>
      </c>
      <c r="F396" s="6" t="s">
        <v>47</v>
      </c>
      <c r="G396" s="6" t="s">
        <v>48</v>
      </c>
      <c r="H396" s="6">
        <v>1</v>
      </c>
      <c r="I396" s="6" t="s">
        <v>40</v>
      </c>
      <c r="J396" s="6" t="s">
        <v>40</v>
      </c>
      <c r="K396" s="6">
        <v>85</v>
      </c>
      <c r="L396" s="6" t="s">
        <v>42</v>
      </c>
      <c r="M396" s="6" t="s">
        <v>69</v>
      </c>
    </row>
    <row r="397" spans="1:13">
      <c r="A397" s="6" t="s">
        <v>937</v>
      </c>
      <c r="B397" s="7">
        <v>46170</v>
      </c>
      <c r="C397" s="6" t="s">
        <v>938</v>
      </c>
      <c r="D397" s="6" t="s">
        <v>110</v>
      </c>
      <c r="E397" s="6" t="s">
        <v>78</v>
      </c>
      <c r="F397" s="6" t="s">
        <v>100</v>
      </c>
      <c r="G397" s="6" t="s">
        <v>101</v>
      </c>
      <c r="H397" s="6">
        <v>1</v>
      </c>
      <c r="I397" s="6" t="s">
        <v>31</v>
      </c>
      <c r="J397" s="6" t="s">
        <v>31</v>
      </c>
      <c r="K397" s="6" t="s">
        <v>119</v>
      </c>
      <c r="L397" s="6" t="s">
        <v>42</v>
      </c>
      <c r="M397" s="6" t="s">
        <v>34</v>
      </c>
    </row>
    <row r="398" spans="1:13">
      <c r="A398" s="6" t="s">
        <v>939</v>
      </c>
      <c r="B398" s="7">
        <v>46150</v>
      </c>
      <c r="C398" s="6" t="s">
        <v>940</v>
      </c>
      <c r="D398" s="6" t="s">
        <v>110</v>
      </c>
      <c r="E398" s="6" t="s">
        <v>28</v>
      </c>
      <c r="F398" s="6" t="s">
        <v>53</v>
      </c>
      <c r="G398" s="6" t="s">
        <v>54</v>
      </c>
      <c r="H398" s="6">
        <v>1</v>
      </c>
      <c r="I398" s="6" t="s">
        <v>79</v>
      </c>
      <c r="J398" s="6" t="s">
        <v>79</v>
      </c>
      <c r="K398" s="6" t="s">
        <v>122</v>
      </c>
      <c r="L398" s="6" t="s">
        <v>42</v>
      </c>
      <c r="M398" s="6" t="s">
        <v>34</v>
      </c>
    </row>
    <row r="399" spans="1:13">
      <c r="A399" s="6" t="s">
        <v>941</v>
      </c>
      <c r="B399" s="7">
        <v>46031</v>
      </c>
      <c r="C399" s="6" t="s">
        <v>351</v>
      </c>
      <c r="D399" s="6" t="s">
        <v>110</v>
      </c>
      <c r="E399" s="6" t="s">
        <v>52</v>
      </c>
      <c r="F399" s="6" t="s">
        <v>29</v>
      </c>
      <c r="G399" s="6" t="s">
        <v>30</v>
      </c>
      <c r="H399" s="6">
        <v>1</v>
      </c>
      <c r="I399" s="6" t="s">
        <v>113</v>
      </c>
      <c r="J399" s="6" t="s">
        <v>113</v>
      </c>
      <c r="K399" s="6">
        <v>520</v>
      </c>
      <c r="L399" s="6" t="s">
        <v>42</v>
      </c>
      <c r="M399" s="6" t="s">
        <v>34</v>
      </c>
    </row>
    <row r="400" spans="1:13">
      <c r="A400" s="6" t="s">
        <v>942</v>
      </c>
      <c r="B400" s="7">
        <v>46155</v>
      </c>
      <c r="C400" s="6" t="s">
        <v>291</v>
      </c>
      <c r="D400" s="6" t="s">
        <v>45</v>
      </c>
      <c r="E400" s="6" t="s">
        <v>37</v>
      </c>
      <c r="F400" s="6" t="s">
        <v>85</v>
      </c>
      <c r="G400" s="6" t="s">
        <v>86</v>
      </c>
      <c r="H400" s="6">
        <v>3</v>
      </c>
      <c r="I400" s="6" t="s">
        <v>90</v>
      </c>
      <c r="J400" s="6" t="s">
        <v>102</v>
      </c>
      <c r="K400" s="6" t="s">
        <v>87</v>
      </c>
      <c r="L400" s="6" t="s">
        <v>33</v>
      </c>
      <c r="M400" s="6" t="s">
        <v>34</v>
      </c>
    </row>
    <row r="401" spans="1:13">
      <c r="A401" s="6" t="s">
        <v>943</v>
      </c>
      <c r="B401" s="7">
        <v>46069</v>
      </c>
      <c r="C401" s="6" t="s">
        <v>944</v>
      </c>
      <c r="D401" s="6" t="s">
        <v>45</v>
      </c>
      <c r="E401" s="6" t="s">
        <v>52</v>
      </c>
      <c r="F401" s="6" t="s">
        <v>94</v>
      </c>
      <c r="G401" s="6" t="s">
        <v>95</v>
      </c>
      <c r="H401" s="6">
        <v>1</v>
      </c>
      <c r="I401" s="6" t="s">
        <v>79</v>
      </c>
      <c r="J401" s="6" t="s">
        <v>79</v>
      </c>
      <c r="K401" s="6">
        <v>340</v>
      </c>
      <c r="L401" s="6" t="s">
        <v>42</v>
      </c>
      <c r="M401" s="6" t="s">
        <v>34</v>
      </c>
    </row>
    <row r="402" spans="1:13">
      <c r="A402" s="6" t="s">
        <v>945</v>
      </c>
      <c r="B402" s="6" t="s">
        <v>946</v>
      </c>
      <c r="C402" s="6" t="s">
        <v>910</v>
      </c>
      <c r="D402" s="6" t="s">
        <v>64</v>
      </c>
      <c r="E402" s="6" t="s">
        <v>52</v>
      </c>
      <c r="F402" s="6" t="s">
        <v>58</v>
      </c>
      <c r="G402" s="6" t="s">
        <v>59</v>
      </c>
      <c r="H402" s="6">
        <v>2</v>
      </c>
      <c r="I402" s="6" t="s">
        <v>143</v>
      </c>
      <c r="J402" s="6" t="s">
        <v>144</v>
      </c>
      <c r="K402" s="6">
        <v>380</v>
      </c>
      <c r="L402" s="6" t="s">
        <v>42</v>
      </c>
      <c r="M402" s="6" t="s">
        <v>34</v>
      </c>
    </row>
    <row r="403" spans="1:13">
      <c r="A403" s="6" t="s">
        <v>947</v>
      </c>
      <c r="B403" s="6" t="s">
        <v>948</v>
      </c>
      <c r="C403" s="6" t="s">
        <v>949</v>
      </c>
      <c r="D403" s="6" t="s">
        <v>27</v>
      </c>
      <c r="E403" s="6" t="s">
        <v>46</v>
      </c>
      <c r="F403" s="6" t="s">
        <v>100</v>
      </c>
      <c r="G403" s="6" t="s">
        <v>101</v>
      </c>
      <c r="H403" s="6">
        <v>2</v>
      </c>
      <c r="I403" s="6" t="s">
        <v>31</v>
      </c>
      <c r="J403" s="6" t="s">
        <v>249</v>
      </c>
      <c r="K403" s="6" t="s">
        <v>119</v>
      </c>
      <c r="L403" s="6" t="s">
        <v>42</v>
      </c>
      <c r="M403" s="6" t="s">
        <v>34</v>
      </c>
    </row>
    <row r="404" spans="1:13">
      <c r="A404" s="6" t="s">
        <v>950</v>
      </c>
      <c r="B404" s="7">
        <v>46088</v>
      </c>
      <c r="C404" s="6" t="s">
        <v>951</v>
      </c>
      <c r="D404" s="6" t="s">
        <v>45</v>
      </c>
      <c r="E404" s="6" t="s">
        <v>46</v>
      </c>
      <c r="F404" s="6" t="s">
        <v>53</v>
      </c>
      <c r="G404" s="6" t="s">
        <v>54</v>
      </c>
      <c r="H404" s="6">
        <v>1</v>
      </c>
      <c r="I404" s="6" t="s">
        <v>40</v>
      </c>
      <c r="J404" s="6" t="s">
        <v>40</v>
      </c>
      <c r="K404" s="6">
        <v>190</v>
      </c>
      <c r="L404" s="6" t="s">
        <v>33</v>
      </c>
      <c r="M404" s="6" t="s">
        <v>34</v>
      </c>
    </row>
    <row r="405" spans="1:13">
      <c r="A405" s="6" t="s">
        <v>952</v>
      </c>
      <c r="B405" s="7">
        <v>46165</v>
      </c>
      <c r="C405" s="6" t="s">
        <v>953</v>
      </c>
      <c r="D405" s="6" t="s">
        <v>64</v>
      </c>
      <c r="E405" s="6" t="s">
        <v>52</v>
      </c>
      <c r="F405" s="6" t="s">
        <v>47</v>
      </c>
      <c r="G405" s="6" t="s">
        <v>48</v>
      </c>
      <c r="H405" s="6">
        <v>1</v>
      </c>
      <c r="I405" s="6" t="s">
        <v>117</v>
      </c>
      <c r="J405" s="6" t="s">
        <v>117</v>
      </c>
      <c r="K405" s="6" t="s">
        <v>49</v>
      </c>
      <c r="L405" s="6" t="s">
        <v>42</v>
      </c>
      <c r="M405" s="6" t="s">
        <v>69</v>
      </c>
    </row>
    <row r="406" spans="1:13">
      <c r="A406" s="6" t="s">
        <v>954</v>
      </c>
      <c r="B406" s="7">
        <v>46124</v>
      </c>
      <c r="C406" s="6" t="s">
        <v>955</v>
      </c>
      <c r="D406" s="6" t="s">
        <v>45</v>
      </c>
      <c r="E406" s="6" t="s">
        <v>78</v>
      </c>
      <c r="F406" s="6" t="s">
        <v>38</v>
      </c>
      <c r="G406" s="6" t="s">
        <v>39</v>
      </c>
      <c r="H406" s="6">
        <v>2</v>
      </c>
      <c r="I406" s="6" t="s">
        <v>67</v>
      </c>
      <c r="J406" s="6" t="s">
        <v>956</v>
      </c>
      <c r="K406" s="6">
        <v>520</v>
      </c>
      <c r="L406" s="6" t="s">
        <v>42</v>
      </c>
      <c r="M406" s="6" t="s">
        <v>34</v>
      </c>
    </row>
    <row r="407" spans="1:13">
      <c r="A407" s="6" t="s">
        <v>957</v>
      </c>
      <c r="B407" s="7">
        <v>46053</v>
      </c>
      <c r="C407" s="6" t="s">
        <v>958</v>
      </c>
      <c r="D407" s="6" t="s">
        <v>77</v>
      </c>
      <c r="E407" s="6" t="s">
        <v>28</v>
      </c>
      <c r="F407" s="6" t="s">
        <v>53</v>
      </c>
      <c r="G407" s="6" t="s">
        <v>54</v>
      </c>
      <c r="H407" s="6">
        <v>2</v>
      </c>
      <c r="I407" s="6" t="s">
        <v>143</v>
      </c>
      <c r="J407" s="6" t="s">
        <v>144</v>
      </c>
      <c r="K407" s="6">
        <v>190</v>
      </c>
      <c r="L407" s="6" t="s">
        <v>33</v>
      </c>
      <c r="M407" s="6" t="s">
        <v>34</v>
      </c>
    </row>
    <row r="408" spans="1:13">
      <c r="A408" s="6" t="s">
        <v>959</v>
      </c>
      <c r="B408" s="6" t="s">
        <v>960</v>
      </c>
      <c r="C408" s="6" t="s">
        <v>961</v>
      </c>
      <c r="D408" s="6" t="s">
        <v>77</v>
      </c>
      <c r="E408" s="6" t="s">
        <v>78</v>
      </c>
      <c r="F408" s="6" t="s">
        <v>94</v>
      </c>
      <c r="G408" s="6" t="s">
        <v>95</v>
      </c>
      <c r="H408" s="6">
        <v>1</v>
      </c>
      <c r="I408" s="6" t="s">
        <v>79</v>
      </c>
      <c r="J408" s="6" t="s">
        <v>79</v>
      </c>
      <c r="K408" s="6" t="s">
        <v>114</v>
      </c>
      <c r="L408" s="6" t="s">
        <v>33</v>
      </c>
      <c r="M408" s="6" t="s">
        <v>69</v>
      </c>
    </row>
    <row r="409" spans="1:13">
      <c r="A409" s="6" t="s">
        <v>962</v>
      </c>
      <c r="B409" s="7">
        <v>46059</v>
      </c>
      <c r="C409" s="6" t="s">
        <v>963</v>
      </c>
      <c r="D409" s="6" t="s">
        <v>110</v>
      </c>
      <c r="E409" s="6" t="s">
        <v>46</v>
      </c>
      <c r="F409" s="6" t="s">
        <v>94</v>
      </c>
      <c r="G409" s="6" t="s">
        <v>95</v>
      </c>
      <c r="H409" s="6">
        <v>1</v>
      </c>
      <c r="I409" s="6" t="s">
        <v>31</v>
      </c>
      <c r="J409" s="6" t="s">
        <v>31</v>
      </c>
      <c r="K409" s="6">
        <v>340</v>
      </c>
      <c r="L409" s="6" t="s">
        <v>33</v>
      </c>
      <c r="M409" s="6" t="s">
        <v>34</v>
      </c>
    </row>
    <row r="410" spans="1:13">
      <c r="A410" s="6" t="s">
        <v>964</v>
      </c>
      <c r="B410" s="7">
        <v>46167</v>
      </c>
      <c r="C410" s="6" t="s">
        <v>839</v>
      </c>
      <c r="D410" s="6" t="s">
        <v>72</v>
      </c>
      <c r="E410" s="6" t="s">
        <v>52</v>
      </c>
      <c r="F410" s="6" t="s">
        <v>38</v>
      </c>
      <c r="G410" s="6" t="s">
        <v>39</v>
      </c>
      <c r="H410" s="6">
        <v>2</v>
      </c>
      <c r="I410" s="6" t="s">
        <v>143</v>
      </c>
      <c r="J410" s="6" t="s">
        <v>144</v>
      </c>
      <c r="K410" s="6" t="s">
        <v>41</v>
      </c>
      <c r="L410" s="6" t="s">
        <v>42</v>
      </c>
      <c r="M410" s="6" t="s">
        <v>34</v>
      </c>
    </row>
    <row r="411" spans="1:13">
      <c r="A411" s="6" t="s">
        <v>965</v>
      </c>
      <c r="B411" s="7">
        <v>46120</v>
      </c>
      <c r="C411" s="6" t="s">
        <v>124</v>
      </c>
      <c r="D411" s="6" t="s">
        <v>110</v>
      </c>
      <c r="E411" s="6" t="s">
        <v>46</v>
      </c>
      <c r="F411" s="6" t="s">
        <v>38</v>
      </c>
      <c r="G411" s="6" t="s">
        <v>39</v>
      </c>
      <c r="H411" s="6">
        <v>1</v>
      </c>
      <c r="I411" s="6" t="s">
        <v>143</v>
      </c>
      <c r="J411" s="6" t="s">
        <v>143</v>
      </c>
      <c r="K411" s="6">
        <v>520</v>
      </c>
      <c r="L411" s="6" t="s">
        <v>42</v>
      </c>
      <c r="M411" s="6" t="s">
        <v>34</v>
      </c>
    </row>
    <row r="412" spans="1:13">
      <c r="A412" s="6" t="s">
        <v>966</v>
      </c>
      <c r="B412" s="6" t="s">
        <v>960</v>
      </c>
      <c r="C412" s="6" t="s">
        <v>967</v>
      </c>
      <c r="D412" s="6" t="s">
        <v>64</v>
      </c>
      <c r="E412" s="6" t="s">
        <v>52</v>
      </c>
      <c r="F412" s="6" t="s">
        <v>53</v>
      </c>
      <c r="G412" s="6" t="s">
        <v>54</v>
      </c>
      <c r="H412" s="6">
        <v>2</v>
      </c>
      <c r="I412" s="6" t="s">
        <v>60</v>
      </c>
      <c r="J412" s="6" t="s">
        <v>189</v>
      </c>
      <c r="K412" s="6" t="s">
        <v>122</v>
      </c>
      <c r="L412" s="6" t="s">
        <v>42</v>
      </c>
      <c r="M412" s="6" t="s">
        <v>34</v>
      </c>
    </row>
    <row r="413" spans="1:13">
      <c r="A413" s="6" t="s">
        <v>968</v>
      </c>
      <c r="B413" s="7">
        <v>46142</v>
      </c>
      <c r="C413" s="6" t="s">
        <v>66</v>
      </c>
      <c r="D413" s="6" t="s">
        <v>45</v>
      </c>
      <c r="E413" s="6" t="s">
        <v>37</v>
      </c>
      <c r="F413" s="6" t="s">
        <v>85</v>
      </c>
      <c r="G413" s="6" t="s">
        <v>86</v>
      </c>
      <c r="H413" s="6">
        <v>2</v>
      </c>
      <c r="I413" s="6" t="s">
        <v>82</v>
      </c>
      <c r="J413" s="6" t="s">
        <v>297</v>
      </c>
      <c r="K413" s="6" t="s">
        <v>87</v>
      </c>
      <c r="L413" s="6" t="s">
        <v>42</v>
      </c>
      <c r="M413" s="6" t="s">
        <v>34</v>
      </c>
    </row>
    <row r="414" spans="1:13">
      <c r="A414" s="6" t="s">
        <v>969</v>
      </c>
      <c r="B414" s="7">
        <v>46091</v>
      </c>
      <c r="C414" s="6" t="s">
        <v>970</v>
      </c>
      <c r="D414" s="6" t="s">
        <v>57</v>
      </c>
      <c r="E414" s="6" t="s">
        <v>52</v>
      </c>
      <c r="F414" s="6" t="s">
        <v>94</v>
      </c>
      <c r="G414" s="6" t="s">
        <v>95</v>
      </c>
      <c r="H414" s="6">
        <v>1</v>
      </c>
      <c r="I414" s="6" t="s">
        <v>181</v>
      </c>
      <c r="J414" s="6" t="s">
        <v>181</v>
      </c>
      <c r="K414" s="6">
        <v>340</v>
      </c>
      <c r="L414" s="6" t="s">
        <v>33</v>
      </c>
      <c r="M414" s="6" t="s">
        <v>34</v>
      </c>
    </row>
    <row r="415" spans="1:13">
      <c r="A415" s="6" t="s">
        <v>971</v>
      </c>
      <c r="B415" s="7">
        <v>46196</v>
      </c>
      <c r="C415" s="6" t="s">
        <v>972</v>
      </c>
      <c r="D415" s="6" t="s">
        <v>127</v>
      </c>
      <c r="E415" s="6" t="s">
        <v>78</v>
      </c>
      <c r="F415" s="6" t="s">
        <v>100</v>
      </c>
      <c r="G415" s="6" t="s">
        <v>101</v>
      </c>
      <c r="H415" s="6">
        <v>1</v>
      </c>
      <c r="I415" s="6" t="s">
        <v>73</v>
      </c>
      <c r="J415" s="6" t="s">
        <v>73</v>
      </c>
      <c r="K415" s="6" t="s">
        <v>119</v>
      </c>
      <c r="L415" s="6" t="s">
        <v>42</v>
      </c>
      <c r="M415" s="6" t="s">
        <v>34</v>
      </c>
    </row>
    <row r="416" spans="1:13">
      <c r="A416" s="6" t="s">
        <v>973</v>
      </c>
      <c r="B416" s="7">
        <v>46081</v>
      </c>
      <c r="C416" s="6" t="s">
        <v>548</v>
      </c>
      <c r="D416" s="6" t="s">
        <v>27</v>
      </c>
      <c r="E416" s="6" t="s">
        <v>52</v>
      </c>
      <c r="F416" s="6" t="s">
        <v>94</v>
      </c>
      <c r="G416" s="6" t="s">
        <v>95</v>
      </c>
      <c r="H416" s="6">
        <v>1</v>
      </c>
      <c r="I416" s="6" t="s">
        <v>667</v>
      </c>
      <c r="J416" s="6" t="s">
        <v>40</v>
      </c>
      <c r="K416" s="6">
        <v>340</v>
      </c>
      <c r="L416" s="6" t="s">
        <v>42</v>
      </c>
      <c r="M416" s="6" t="s">
        <v>34</v>
      </c>
    </row>
    <row r="417" spans="1:13">
      <c r="A417" s="6" t="s">
        <v>974</v>
      </c>
      <c r="B417" s="7">
        <v>46191</v>
      </c>
      <c r="C417" s="6" t="s">
        <v>975</v>
      </c>
      <c r="D417" s="6" t="s">
        <v>57</v>
      </c>
      <c r="E417" s="6" t="s">
        <v>28</v>
      </c>
      <c r="F417" s="6" t="s">
        <v>47</v>
      </c>
      <c r="G417" s="6" t="s">
        <v>48</v>
      </c>
      <c r="H417" s="6">
        <v>-2</v>
      </c>
      <c r="I417" s="6" t="s">
        <v>82</v>
      </c>
      <c r="J417" s="8" t="s">
        <v>616</v>
      </c>
      <c r="K417" s="6" t="s">
        <v>49</v>
      </c>
      <c r="L417" s="6" t="s">
        <v>42</v>
      </c>
      <c r="M417" s="6" t="s">
        <v>34</v>
      </c>
    </row>
    <row r="418" spans="1:13">
      <c r="A418" s="6" t="s">
        <v>976</v>
      </c>
      <c r="B418" s="7">
        <v>46116</v>
      </c>
      <c r="C418" s="6" t="s">
        <v>977</v>
      </c>
      <c r="D418" s="6" t="s">
        <v>110</v>
      </c>
      <c r="E418" s="6" t="s">
        <v>37</v>
      </c>
      <c r="F418" s="6" t="s">
        <v>100</v>
      </c>
      <c r="G418" s="6" t="s">
        <v>101</v>
      </c>
      <c r="H418" s="6">
        <v>1</v>
      </c>
      <c r="I418" s="6" t="s">
        <v>113</v>
      </c>
      <c r="J418" s="6" t="s">
        <v>113</v>
      </c>
      <c r="K418" s="6">
        <v>640</v>
      </c>
      <c r="L418" s="6" t="s">
        <v>42</v>
      </c>
      <c r="M418" s="6" t="s">
        <v>34</v>
      </c>
    </row>
    <row r="419" spans="1:13">
      <c r="A419" s="6" t="s">
        <v>978</v>
      </c>
      <c r="B419" s="7">
        <v>46136</v>
      </c>
      <c r="C419" s="6" t="s">
        <v>979</v>
      </c>
      <c r="D419" s="6" t="s">
        <v>64</v>
      </c>
      <c r="E419" s="6" t="s">
        <v>78</v>
      </c>
      <c r="F419" s="6" t="s">
        <v>58</v>
      </c>
      <c r="G419" s="6" t="s">
        <v>59</v>
      </c>
      <c r="H419" s="6">
        <v>2</v>
      </c>
      <c r="I419" s="6" t="s">
        <v>31</v>
      </c>
      <c r="J419" s="6" t="s">
        <v>249</v>
      </c>
      <c r="K419" s="6" t="s">
        <v>61</v>
      </c>
      <c r="L419" s="6" t="s">
        <v>42</v>
      </c>
      <c r="M419" s="6" t="s">
        <v>34</v>
      </c>
    </row>
    <row r="420" spans="1:13">
      <c r="A420" s="6" t="s">
        <v>980</v>
      </c>
      <c r="B420" s="7">
        <v>46147</v>
      </c>
      <c r="C420" s="6" t="s">
        <v>230</v>
      </c>
      <c r="D420" s="6" t="s">
        <v>77</v>
      </c>
      <c r="E420" s="6" t="s">
        <v>37</v>
      </c>
      <c r="F420" s="6" t="s">
        <v>38</v>
      </c>
      <c r="G420" s="6" t="s">
        <v>39</v>
      </c>
      <c r="H420" s="6">
        <v>1</v>
      </c>
      <c r="I420" s="6" t="s">
        <v>31</v>
      </c>
      <c r="J420" s="6" t="s">
        <v>31</v>
      </c>
      <c r="K420" s="6" t="s">
        <v>41</v>
      </c>
      <c r="L420" s="6" t="s">
        <v>42</v>
      </c>
      <c r="M420" s="6" t="s">
        <v>34</v>
      </c>
    </row>
    <row r="421" spans="1:13">
      <c r="A421" s="6" t="s">
        <v>981</v>
      </c>
      <c r="B421" s="7">
        <v>46091</v>
      </c>
      <c r="C421" s="6" t="s">
        <v>982</v>
      </c>
      <c r="D421" s="6" t="s">
        <v>127</v>
      </c>
      <c r="E421" s="6" t="s">
        <v>52</v>
      </c>
      <c r="F421" s="6" t="s">
        <v>100</v>
      </c>
      <c r="G421" s="6" t="s">
        <v>101</v>
      </c>
      <c r="H421" s="6">
        <v>1</v>
      </c>
      <c r="I421" s="6" t="s">
        <v>31</v>
      </c>
      <c r="J421" s="6" t="s">
        <v>31</v>
      </c>
      <c r="K421" s="6">
        <v>640</v>
      </c>
      <c r="L421" s="6" t="s">
        <v>42</v>
      </c>
      <c r="M421" s="6" t="s">
        <v>34</v>
      </c>
    </row>
    <row r="422" spans="1:13">
      <c r="A422" s="6" t="s">
        <v>983</v>
      </c>
      <c r="B422" s="7">
        <v>46067</v>
      </c>
      <c r="C422" s="6" t="s">
        <v>351</v>
      </c>
      <c r="D422" s="6" t="s">
        <v>77</v>
      </c>
      <c r="E422" s="6" t="s">
        <v>78</v>
      </c>
      <c r="F422" s="6" t="s">
        <v>47</v>
      </c>
      <c r="G422" s="6" t="s">
        <v>48</v>
      </c>
      <c r="H422" s="6">
        <v>3</v>
      </c>
      <c r="I422" s="6" t="s">
        <v>67</v>
      </c>
      <c r="J422" s="6" t="s">
        <v>68</v>
      </c>
      <c r="K422" s="6">
        <v>85</v>
      </c>
      <c r="L422" s="6" t="s">
        <v>33</v>
      </c>
      <c r="M422" s="6" t="s">
        <v>34</v>
      </c>
    </row>
    <row r="423" spans="1:13">
      <c r="A423" s="6" t="s">
        <v>984</v>
      </c>
      <c r="B423" s="7">
        <v>46168</v>
      </c>
      <c r="C423" s="6" t="s">
        <v>452</v>
      </c>
      <c r="D423" s="6" t="s">
        <v>77</v>
      </c>
      <c r="E423" s="6" t="s">
        <v>37</v>
      </c>
      <c r="F423" s="6" t="s">
        <v>58</v>
      </c>
      <c r="G423" s="6" t="s">
        <v>59</v>
      </c>
      <c r="H423" s="6">
        <v>1</v>
      </c>
      <c r="I423" s="6" t="s">
        <v>82</v>
      </c>
      <c r="J423" s="6" t="s">
        <v>82</v>
      </c>
      <c r="K423" s="6" t="s">
        <v>61</v>
      </c>
      <c r="L423" s="6" t="s">
        <v>42</v>
      </c>
      <c r="M423" s="6" t="s">
        <v>34</v>
      </c>
    </row>
    <row r="424" spans="1:13">
      <c r="A424" s="6" t="s">
        <v>985</v>
      </c>
      <c r="B424" s="7">
        <v>46074</v>
      </c>
      <c r="C424" s="6" t="s">
        <v>986</v>
      </c>
      <c r="D424" s="6" t="s">
        <v>45</v>
      </c>
      <c r="E424" s="6" t="s">
        <v>78</v>
      </c>
      <c r="F424" s="6" t="s">
        <v>53</v>
      </c>
      <c r="G424" s="6" t="s">
        <v>54</v>
      </c>
      <c r="H424" s="6">
        <v>2</v>
      </c>
      <c r="I424" s="6" t="s">
        <v>147</v>
      </c>
      <c r="J424" s="6" t="s">
        <v>175</v>
      </c>
      <c r="K424" s="6">
        <v>190</v>
      </c>
      <c r="L424" s="6" t="s">
        <v>42</v>
      </c>
      <c r="M424" s="6" t="s">
        <v>34</v>
      </c>
    </row>
    <row r="425" spans="1:13">
      <c r="A425" s="6" t="s">
        <v>987</v>
      </c>
      <c r="B425" s="7">
        <v>46179</v>
      </c>
      <c r="C425" s="6" t="s">
        <v>988</v>
      </c>
      <c r="D425" s="6" t="s">
        <v>45</v>
      </c>
      <c r="E425" s="6" t="s">
        <v>46</v>
      </c>
      <c r="F425" s="6" t="s">
        <v>85</v>
      </c>
      <c r="G425" s="6" t="s">
        <v>86</v>
      </c>
      <c r="H425" s="6">
        <v>1</v>
      </c>
      <c r="I425" s="6" t="s">
        <v>265</v>
      </c>
      <c r="J425" s="6" t="s">
        <v>265</v>
      </c>
      <c r="K425" s="6" t="s">
        <v>87</v>
      </c>
      <c r="L425" s="6" t="s">
        <v>42</v>
      </c>
      <c r="M425" s="6" t="s">
        <v>69</v>
      </c>
    </row>
    <row r="426" spans="1:13">
      <c r="A426" s="6" t="s">
        <v>989</v>
      </c>
      <c r="B426" s="7">
        <v>46268</v>
      </c>
      <c r="C426" s="6" t="s">
        <v>990</v>
      </c>
      <c r="D426" s="6" t="s">
        <v>127</v>
      </c>
      <c r="E426" s="6" t="s">
        <v>37</v>
      </c>
      <c r="F426" s="6" t="s">
        <v>38</v>
      </c>
      <c r="G426" s="6" t="s">
        <v>39</v>
      </c>
      <c r="H426" s="6">
        <v>2</v>
      </c>
      <c r="I426" s="6" t="s">
        <v>90</v>
      </c>
      <c r="J426" s="6" t="s">
        <v>154</v>
      </c>
      <c r="K426" s="6">
        <v>520</v>
      </c>
      <c r="L426" s="6" t="s">
        <v>33</v>
      </c>
      <c r="M426" s="6" t="s">
        <v>34</v>
      </c>
    </row>
    <row r="427" spans="1:13">
      <c r="A427" s="6" t="s">
        <v>991</v>
      </c>
      <c r="B427" s="7">
        <v>46134</v>
      </c>
      <c r="C427" s="6" t="s">
        <v>992</v>
      </c>
      <c r="D427" s="6" t="s">
        <v>110</v>
      </c>
      <c r="E427" s="6" t="s">
        <v>46</v>
      </c>
      <c r="F427" s="6" t="s">
        <v>29</v>
      </c>
      <c r="G427" s="6" t="s">
        <v>30</v>
      </c>
      <c r="H427" s="6">
        <v>1</v>
      </c>
      <c r="I427" s="6" t="s">
        <v>117</v>
      </c>
      <c r="J427" s="6" t="s">
        <v>117</v>
      </c>
      <c r="K427" s="6" t="s">
        <v>41</v>
      </c>
      <c r="L427" s="6" t="s">
        <v>33</v>
      </c>
      <c r="M427" s="6" t="s">
        <v>34</v>
      </c>
    </row>
    <row r="428" spans="1:13">
      <c r="A428" s="6" t="s">
        <v>993</v>
      </c>
      <c r="B428" s="7">
        <v>46101</v>
      </c>
      <c r="C428" s="6" t="s">
        <v>994</v>
      </c>
      <c r="D428" s="6" t="s">
        <v>64</v>
      </c>
      <c r="E428" s="6" t="s">
        <v>46</v>
      </c>
      <c r="F428" s="6" t="s">
        <v>94</v>
      </c>
      <c r="G428" s="6" t="s">
        <v>95</v>
      </c>
      <c r="H428" s="6">
        <v>2</v>
      </c>
      <c r="I428" s="6" t="s">
        <v>265</v>
      </c>
      <c r="J428" s="6" t="s">
        <v>167</v>
      </c>
      <c r="K428" s="6">
        <v>340</v>
      </c>
      <c r="L428" s="6" t="s">
        <v>42</v>
      </c>
      <c r="M428" s="6" t="s">
        <v>34</v>
      </c>
    </row>
    <row r="429" spans="1:13">
      <c r="A429" s="6" t="s">
        <v>995</v>
      </c>
      <c r="B429" s="7">
        <v>46182</v>
      </c>
      <c r="C429" s="6" t="s">
        <v>996</v>
      </c>
      <c r="D429" s="6" t="s">
        <v>64</v>
      </c>
      <c r="E429" s="6" t="s">
        <v>37</v>
      </c>
      <c r="F429" s="6" t="s">
        <v>94</v>
      </c>
      <c r="G429" s="6" t="s">
        <v>95</v>
      </c>
      <c r="H429" s="6">
        <v>2</v>
      </c>
      <c r="I429" s="6" t="s">
        <v>67</v>
      </c>
      <c r="J429" s="6" t="s">
        <v>204</v>
      </c>
      <c r="K429" s="6" t="s">
        <v>114</v>
      </c>
      <c r="L429" s="6" t="s">
        <v>42</v>
      </c>
      <c r="M429" s="6" t="s">
        <v>69</v>
      </c>
    </row>
    <row r="430" spans="1:13">
      <c r="A430" s="6" t="s">
        <v>997</v>
      </c>
      <c r="B430" s="7">
        <v>46158</v>
      </c>
      <c r="C430" s="6" t="s">
        <v>998</v>
      </c>
      <c r="D430" s="6" t="s">
        <v>77</v>
      </c>
      <c r="E430" s="6" t="s">
        <v>28</v>
      </c>
      <c r="F430" s="6" t="s">
        <v>94</v>
      </c>
      <c r="G430" s="6" t="s">
        <v>95</v>
      </c>
      <c r="H430" s="6">
        <v>1</v>
      </c>
      <c r="I430" s="6" t="s">
        <v>265</v>
      </c>
      <c r="J430" s="6" t="s">
        <v>265</v>
      </c>
      <c r="K430" s="6" t="s">
        <v>114</v>
      </c>
      <c r="L430" s="6" t="s">
        <v>42</v>
      </c>
      <c r="M430" s="6" t="s">
        <v>34</v>
      </c>
    </row>
    <row r="431" spans="1:13">
      <c r="A431" s="6" t="s">
        <v>999</v>
      </c>
      <c r="B431" s="6" t="s">
        <v>1000</v>
      </c>
      <c r="C431" s="6" t="s">
        <v>1001</v>
      </c>
      <c r="D431" s="6" t="s">
        <v>45</v>
      </c>
      <c r="E431" s="6" t="s">
        <v>28</v>
      </c>
      <c r="F431" s="6" t="s">
        <v>100</v>
      </c>
      <c r="G431" s="6" t="s">
        <v>101</v>
      </c>
      <c r="H431" s="6">
        <v>1</v>
      </c>
      <c r="I431" s="6" t="s">
        <v>143</v>
      </c>
      <c r="J431" s="6" t="s">
        <v>143</v>
      </c>
      <c r="K431" s="6" t="s">
        <v>119</v>
      </c>
      <c r="L431" s="6" t="s">
        <v>42</v>
      </c>
      <c r="M431" s="6" t="s">
        <v>34</v>
      </c>
    </row>
    <row r="432" spans="1:13">
      <c r="A432" s="6" t="s">
        <v>1002</v>
      </c>
      <c r="B432" s="7">
        <v>46088</v>
      </c>
      <c r="C432" s="6" t="s">
        <v>1003</v>
      </c>
      <c r="D432" s="6" t="s">
        <v>72</v>
      </c>
      <c r="E432" s="6" t="s">
        <v>52</v>
      </c>
      <c r="F432" s="6" t="s">
        <v>29</v>
      </c>
      <c r="G432" s="6" t="s">
        <v>30</v>
      </c>
      <c r="H432" s="6">
        <v>3</v>
      </c>
      <c r="I432" s="6" t="s">
        <v>1004</v>
      </c>
      <c r="J432" s="6" t="s">
        <v>401</v>
      </c>
      <c r="K432" s="6">
        <v>520</v>
      </c>
      <c r="L432" s="6" t="s">
        <v>42</v>
      </c>
      <c r="M432" s="6" t="s">
        <v>34</v>
      </c>
    </row>
    <row r="433" spans="1:13">
      <c r="A433" s="6" t="s">
        <v>1005</v>
      </c>
      <c r="B433" s="7">
        <v>46117</v>
      </c>
      <c r="C433" s="6" t="s">
        <v>794</v>
      </c>
      <c r="D433" s="6" t="s">
        <v>110</v>
      </c>
      <c r="E433" s="6" t="s">
        <v>37</v>
      </c>
      <c r="F433" s="6" t="s">
        <v>38</v>
      </c>
      <c r="G433" s="6" t="s">
        <v>39</v>
      </c>
      <c r="H433" s="6">
        <v>1</v>
      </c>
      <c r="I433" s="6" t="s">
        <v>73</v>
      </c>
      <c r="J433" s="6" t="s">
        <v>73</v>
      </c>
      <c r="K433" s="6">
        <v>520</v>
      </c>
      <c r="L433" s="6" t="s">
        <v>42</v>
      </c>
      <c r="M433" s="6" t="s">
        <v>69</v>
      </c>
    </row>
    <row r="434" spans="1:13">
      <c r="A434" s="6" t="s">
        <v>1006</v>
      </c>
      <c r="B434" s="7">
        <v>46130</v>
      </c>
      <c r="C434" s="6" t="s">
        <v>1007</v>
      </c>
      <c r="D434" s="6" t="s">
        <v>27</v>
      </c>
      <c r="E434" s="6" t="s">
        <v>37</v>
      </c>
      <c r="F434" s="6" t="s">
        <v>58</v>
      </c>
      <c r="G434" s="6" t="s">
        <v>59</v>
      </c>
      <c r="H434" s="6">
        <v>2</v>
      </c>
      <c r="I434" s="6" t="s">
        <v>90</v>
      </c>
      <c r="J434" s="6" t="s">
        <v>154</v>
      </c>
      <c r="K434" s="6">
        <v>380</v>
      </c>
      <c r="L434" s="6" t="s">
        <v>33</v>
      </c>
      <c r="M434" s="6" t="s">
        <v>34</v>
      </c>
    </row>
    <row r="435" spans="1:13">
      <c r="A435" s="6" t="s">
        <v>1008</v>
      </c>
      <c r="B435" s="6" t="s">
        <v>1009</v>
      </c>
      <c r="C435" s="6" t="s">
        <v>707</v>
      </c>
      <c r="D435" s="6" t="s">
        <v>27</v>
      </c>
      <c r="E435" s="6" t="s">
        <v>78</v>
      </c>
      <c r="F435" s="6" t="s">
        <v>100</v>
      </c>
      <c r="G435" s="6" t="s">
        <v>101</v>
      </c>
      <c r="H435" s="6">
        <v>1</v>
      </c>
      <c r="I435" s="6" t="s">
        <v>511</v>
      </c>
      <c r="J435" s="6" t="s">
        <v>231</v>
      </c>
      <c r="K435" s="6">
        <v>640</v>
      </c>
      <c r="L435" s="6" t="s">
        <v>42</v>
      </c>
      <c r="M435" s="6" t="s">
        <v>34</v>
      </c>
    </row>
    <row r="436" spans="1:13">
      <c r="A436" s="6" t="s">
        <v>1010</v>
      </c>
      <c r="B436" s="6" t="s">
        <v>301</v>
      </c>
      <c r="C436" s="6" t="s">
        <v>1011</v>
      </c>
      <c r="D436" s="6" t="s">
        <v>64</v>
      </c>
      <c r="E436" s="6" t="s">
        <v>46</v>
      </c>
      <c r="F436" s="6" t="s">
        <v>29</v>
      </c>
      <c r="G436" s="6" t="s">
        <v>30</v>
      </c>
      <c r="H436" s="6">
        <v>3</v>
      </c>
      <c r="I436" s="6" t="s">
        <v>619</v>
      </c>
      <c r="J436" s="6" t="s">
        <v>243</v>
      </c>
      <c r="K436" s="6">
        <v>520</v>
      </c>
      <c r="L436" s="6" t="s">
        <v>42</v>
      </c>
      <c r="M436" s="6" t="s">
        <v>34</v>
      </c>
    </row>
    <row r="437" spans="1:13">
      <c r="A437" s="6" t="s">
        <v>1012</v>
      </c>
      <c r="B437" s="7">
        <v>46200</v>
      </c>
      <c r="C437" s="6" t="s">
        <v>225</v>
      </c>
      <c r="D437" s="6" t="s">
        <v>64</v>
      </c>
      <c r="E437" s="6" t="s">
        <v>46</v>
      </c>
      <c r="F437" s="6" t="s">
        <v>100</v>
      </c>
      <c r="G437" s="6" t="s">
        <v>101</v>
      </c>
      <c r="H437" s="6">
        <v>3</v>
      </c>
      <c r="I437" s="6" t="s">
        <v>1013</v>
      </c>
      <c r="J437" s="6" t="s">
        <v>102</v>
      </c>
      <c r="K437" s="6" t="s">
        <v>119</v>
      </c>
      <c r="L437" s="6" t="s">
        <v>42</v>
      </c>
      <c r="M437" s="6" t="s">
        <v>34</v>
      </c>
    </row>
    <row r="438" spans="1:13">
      <c r="A438" s="6" t="s">
        <v>1014</v>
      </c>
      <c r="B438" s="7">
        <v>46056</v>
      </c>
      <c r="C438" s="6" t="s">
        <v>1015</v>
      </c>
      <c r="D438" s="6" t="s">
        <v>27</v>
      </c>
      <c r="E438" s="6" t="s">
        <v>78</v>
      </c>
      <c r="F438" s="6" t="s">
        <v>29</v>
      </c>
      <c r="G438" s="6" t="s">
        <v>30</v>
      </c>
      <c r="H438" s="6">
        <v>3</v>
      </c>
      <c r="I438" s="6" t="s">
        <v>73</v>
      </c>
      <c r="J438" s="6" t="s">
        <v>499</v>
      </c>
      <c r="K438" s="6">
        <v>520</v>
      </c>
      <c r="L438" s="6" t="s">
        <v>42</v>
      </c>
      <c r="M438" s="6" t="s">
        <v>69</v>
      </c>
    </row>
    <row r="439" spans="1:13">
      <c r="A439" s="6" t="s">
        <v>1016</v>
      </c>
      <c r="B439" s="7">
        <v>46116</v>
      </c>
      <c r="C439" s="6" t="s">
        <v>1017</v>
      </c>
      <c r="D439" s="6" t="s">
        <v>45</v>
      </c>
      <c r="E439" s="6" t="s">
        <v>52</v>
      </c>
      <c r="F439" s="6" t="s">
        <v>58</v>
      </c>
      <c r="G439" s="6" t="s">
        <v>59</v>
      </c>
      <c r="H439" s="6">
        <v>1</v>
      </c>
      <c r="I439" s="6" t="s">
        <v>82</v>
      </c>
      <c r="J439" s="6" t="s">
        <v>82</v>
      </c>
      <c r="K439" s="6">
        <v>380</v>
      </c>
      <c r="L439" s="6" t="s">
        <v>33</v>
      </c>
      <c r="M439" s="6" t="s">
        <v>34</v>
      </c>
    </row>
    <row r="440" spans="1:13">
      <c r="A440" s="6" t="s">
        <v>1018</v>
      </c>
      <c r="B440" s="7">
        <v>46072</v>
      </c>
      <c r="C440" s="6" t="s">
        <v>1019</v>
      </c>
      <c r="D440" s="6" t="s">
        <v>27</v>
      </c>
      <c r="E440" s="6" t="s">
        <v>78</v>
      </c>
      <c r="F440" s="6" t="s">
        <v>29</v>
      </c>
      <c r="G440" s="6" t="s">
        <v>30</v>
      </c>
      <c r="H440" s="6">
        <v>2</v>
      </c>
      <c r="I440" s="6" t="s">
        <v>31</v>
      </c>
      <c r="J440" s="6" t="s">
        <v>249</v>
      </c>
      <c r="K440" s="6">
        <v>520</v>
      </c>
      <c r="L440" s="6" t="s">
        <v>42</v>
      </c>
      <c r="M440" s="6" t="s">
        <v>69</v>
      </c>
    </row>
    <row r="441" spans="1:13">
      <c r="A441" s="6" t="s">
        <v>1020</v>
      </c>
      <c r="B441" s="7">
        <v>46175</v>
      </c>
      <c r="C441" s="6" t="s">
        <v>1021</v>
      </c>
      <c r="D441" s="6" t="s">
        <v>64</v>
      </c>
      <c r="E441" s="6" t="s">
        <v>52</v>
      </c>
      <c r="F441" s="6" t="s">
        <v>100</v>
      </c>
      <c r="G441" s="6" t="s">
        <v>101</v>
      </c>
      <c r="H441" s="6">
        <v>3</v>
      </c>
      <c r="I441" s="6" t="s">
        <v>143</v>
      </c>
      <c r="J441" s="6" t="s">
        <v>243</v>
      </c>
      <c r="K441" s="6" t="s">
        <v>119</v>
      </c>
      <c r="L441" s="6" t="s">
        <v>42</v>
      </c>
      <c r="M441" s="6" t="s">
        <v>34</v>
      </c>
    </row>
    <row r="442" spans="1:13">
      <c r="A442" s="6" t="s">
        <v>1022</v>
      </c>
      <c r="B442" s="7">
        <v>46122</v>
      </c>
      <c r="C442" s="6" t="s">
        <v>556</v>
      </c>
      <c r="D442" s="6" t="s">
        <v>127</v>
      </c>
      <c r="E442" s="6" t="s">
        <v>78</v>
      </c>
      <c r="F442" s="6" t="s">
        <v>29</v>
      </c>
      <c r="G442" s="6" t="s">
        <v>30</v>
      </c>
      <c r="H442" s="6">
        <v>3</v>
      </c>
      <c r="I442" s="6" t="s">
        <v>73</v>
      </c>
      <c r="J442" s="6" t="s">
        <v>499</v>
      </c>
      <c r="K442" s="6">
        <v>520</v>
      </c>
      <c r="L442" s="6" t="s">
        <v>42</v>
      </c>
      <c r="M442" s="6" t="s">
        <v>69</v>
      </c>
    </row>
    <row r="443" spans="1:13">
      <c r="A443" s="6" t="s">
        <v>1023</v>
      </c>
      <c r="B443" s="7">
        <v>46207</v>
      </c>
      <c r="C443" s="6" t="s">
        <v>1024</v>
      </c>
      <c r="D443" s="6" t="s">
        <v>45</v>
      </c>
      <c r="E443" s="6" t="s">
        <v>52</v>
      </c>
      <c r="F443" s="6" t="s">
        <v>47</v>
      </c>
      <c r="G443" s="6" t="s">
        <v>48</v>
      </c>
      <c r="H443" s="6">
        <v>1</v>
      </c>
      <c r="I443" s="6" t="s">
        <v>79</v>
      </c>
      <c r="J443" s="6" t="s">
        <v>79</v>
      </c>
      <c r="K443" s="6" t="s">
        <v>49</v>
      </c>
      <c r="L443" s="6" t="s">
        <v>42</v>
      </c>
      <c r="M443" s="6" t="s">
        <v>69</v>
      </c>
    </row>
    <row r="444" spans="1:13">
      <c r="A444" s="6" t="s">
        <v>1025</v>
      </c>
      <c r="B444" s="7">
        <v>46061</v>
      </c>
      <c r="C444" s="6" t="s">
        <v>219</v>
      </c>
      <c r="D444" s="6" t="s">
        <v>127</v>
      </c>
      <c r="E444" s="6" t="s">
        <v>37</v>
      </c>
      <c r="F444" s="6" t="s">
        <v>100</v>
      </c>
      <c r="G444" s="6" t="s">
        <v>101</v>
      </c>
      <c r="H444" s="6">
        <v>1</v>
      </c>
      <c r="I444" s="6" t="s">
        <v>231</v>
      </c>
      <c r="J444" s="6" t="s">
        <v>231</v>
      </c>
      <c r="K444" s="6">
        <v>640</v>
      </c>
      <c r="L444" s="6" t="s">
        <v>42</v>
      </c>
      <c r="M444" s="6" t="s">
        <v>34</v>
      </c>
    </row>
    <row r="445" spans="1:13">
      <c r="A445" s="6" t="s">
        <v>1026</v>
      </c>
      <c r="B445" s="7">
        <v>46207</v>
      </c>
      <c r="C445" s="6" t="s">
        <v>1027</v>
      </c>
      <c r="D445" s="6" t="s">
        <v>110</v>
      </c>
      <c r="E445" s="6" t="s">
        <v>52</v>
      </c>
      <c r="F445" s="6" t="s">
        <v>94</v>
      </c>
      <c r="G445" s="6" t="s">
        <v>95</v>
      </c>
      <c r="H445" s="6">
        <v>2</v>
      </c>
      <c r="I445" s="6" t="s">
        <v>231</v>
      </c>
      <c r="J445" s="6" t="s">
        <v>232</v>
      </c>
      <c r="K445" s="6" t="s">
        <v>114</v>
      </c>
      <c r="L445" s="6" t="s">
        <v>42</v>
      </c>
      <c r="M445" s="6" t="s">
        <v>34</v>
      </c>
    </row>
    <row r="446" spans="1:13">
      <c r="A446" s="6" t="s">
        <v>1028</v>
      </c>
      <c r="B446" s="7">
        <v>46075</v>
      </c>
      <c r="C446" s="6" t="s">
        <v>761</v>
      </c>
      <c r="D446" s="6" t="s">
        <v>27</v>
      </c>
      <c r="E446" s="6" t="s">
        <v>52</v>
      </c>
      <c r="F446" s="6" t="s">
        <v>58</v>
      </c>
      <c r="G446" s="6" t="s">
        <v>59</v>
      </c>
      <c r="H446" s="6">
        <v>3</v>
      </c>
      <c r="I446" s="6" t="s">
        <v>73</v>
      </c>
      <c r="J446" s="6" t="s">
        <v>499</v>
      </c>
      <c r="K446" s="6">
        <v>380</v>
      </c>
      <c r="L446" s="6" t="s">
        <v>42</v>
      </c>
      <c r="M446" s="6" t="s">
        <v>69</v>
      </c>
    </row>
    <row r="447" spans="1:13">
      <c r="A447" s="6" t="s">
        <v>1029</v>
      </c>
      <c r="B447" s="7">
        <v>46127</v>
      </c>
      <c r="C447" s="6" t="s">
        <v>1030</v>
      </c>
      <c r="D447" s="6" t="s">
        <v>27</v>
      </c>
      <c r="E447" s="6" t="s">
        <v>46</v>
      </c>
      <c r="F447" s="6" t="s">
        <v>29</v>
      </c>
      <c r="G447" s="6" t="s">
        <v>30</v>
      </c>
      <c r="H447" s="6">
        <v>1</v>
      </c>
      <c r="I447" s="6" t="s">
        <v>40</v>
      </c>
      <c r="J447" s="6" t="s">
        <v>40</v>
      </c>
      <c r="K447" s="6">
        <v>520</v>
      </c>
      <c r="L447" s="6" t="s">
        <v>42</v>
      </c>
      <c r="M447" s="6" t="s">
        <v>69</v>
      </c>
    </row>
    <row r="448" spans="1:13">
      <c r="A448" s="6" t="s">
        <v>1031</v>
      </c>
      <c r="B448" s="7">
        <v>46122</v>
      </c>
      <c r="C448" s="6" t="s">
        <v>1032</v>
      </c>
      <c r="D448" s="6" t="s">
        <v>77</v>
      </c>
      <c r="E448" s="6" t="s">
        <v>28</v>
      </c>
      <c r="F448" s="6" t="s">
        <v>29</v>
      </c>
      <c r="G448" s="6" t="s">
        <v>30</v>
      </c>
      <c r="H448" s="6">
        <v>2</v>
      </c>
      <c r="I448" s="6" t="s">
        <v>96</v>
      </c>
      <c r="J448" s="6" t="s">
        <v>278</v>
      </c>
      <c r="K448" s="6">
        <v>520</v>
      </c>
      <c r="L448" s="6" t="s">
        <v>42</v>
      </c>
      <c r="M448" s="6" t="s">
        <v>34</v>
      </c>
    </row>
    <row r="449" spans="1:13">
      <c r="A449" s="6" t="s">
        <v>1033</v>
      </c>
      <c r="B449" s="7">
        <v>46192</v>
      </c>
      <c r="C449" s="6" t="s">
        <v>1034</v>
      </c>
      <c r="D449" s="6" t="s">
        <v>110</v>
      </c>
      <c r="E449" s="6" t="s">
        <v>46</v>
      </c>
      <c r="F449" s="6" t="s">
        <v>38</v>
      </c>
      <c r="G449" s="6" t="s">
        <v>39</v>
      </c>
      <c r="H449" s="6">
        <v>1</v>
      </c>
      <c r="I449" s="6" t="s">
        <v>40</v>
      </c>
      <c r="J449" s="6" t="s">
        <v>40</v>
      </c>
      <c r="K449" s="6" t="s">
        <v>41</v>
      </c>
      <c r="L449" s="6" t="s">
        <v>42</v>
      </c>
      <c r="M449" s="6" t="s">
        <v>34</v>
      </c>
    </row>
    <row r="450" spans="1:13">
      <c r="A450" s="6" t="s">
        <v>1035</v>
      </c>
      <c r="B450" s="6" t="s">
        <v>1036</v>
      </c>
      <c r="C450" s="6" t="s">
        <v>191</v>
      </c>
      <c r="D450" s="6" t="s">
        <v>57</v>
      </c>
      <c r="E450" s="6" t="s">
        <v>28</v>
      </c>
      <c r="F450" s="6" t="s">
        <v>94</v>
      </c>
      <c r="G450" s="6" t="s">
        <v>95</v>
      </c>
      <c r="H450" s="6">
        <v>1</v>
      </c>
      <c r="I450" s="6" t="s">
        <v>143</v>
      </c>
      <c r="J450" s="6" t="s">
        <v>143</v>
      </c>
      <c r="K450" s="6" t="s">
        <v>114</v>
      </c>
      <c r="L450" s="6" t="s">
        <v>42</v>
      </c>
      <c r="M450" s="6" t="s">
        <v>34</v>
      </c>
    </row>
    <row r="451" spans="1:13">
      <c r="A451" s="6" t="s">
        <v>1037</v>
      </c>
      <c r="B451" s="7">
        <v>46133</v>
      </c>
      <c r="C451" s="6" t="s">
        <v>853</v>
      </c>
      <c r="D451" s="6" t="s">
        <v>27</v>
      </c>
      <c r="E451" s="6" t="s">
        <v>28</v>
      </c>
      <c r="F451" s="6" t="s">
        <v>29</v>
      </c>
      <c r="G451" s="6" t="s">
        <v>30</v>
      </c>
      <c r="H451" s="6">
        <v>3</v>
      </c>
      <c r="I451" s="6" t="s">
        <v>143</v>
      </c>
      <c r="J451" s="6" t="s">
        <v>243</v>
      </c>
      <c r="K451" s="6" t="s">
        <v>41</v>
      </c>
      <c r="L451" s="6" t="s">
        <v>42</v>
      </c>
      <c r="M451" s="6" t="s">
        <v>34</v>
      </c>
    </row>
    <row r="452" spans="1:13">
      <c r="A452" s="6" t="s">
        <v>1038</v>
      </c>
      <c r="B452" s="7">
        <v>46080</v>
      </c>
      <c r="C452" s="6" t="s">
        <v>1039</v>
      </c>
      <c r="D452" s="6" t="s">
        <v>64</v>
      </c>
      <c r="E452" s="6" t="s">
        <v>78</v>
      </c>
      <c r="F452" s="6" t="s">
        <v>85</v>
      </c>
      <c r="G452" s="6" t="s">
        <v>86</v>
      </c>
      <c r="H452" s="6">
        <v>1</v>
      </c>
      <c r="I452" s="6" t="s">
        <v>67</v>
      </c>
      <c r="J452" s="6" t="s">
        <v>67</v>
      </c>
      <c r="K452" s="6">
        <v>410</v>
      </c>
      <c r="L452" s="6" t="s">
        <v>33</v>
      </c>
      <c r="M452" s="6" t="s">
        <v>34</v>
      </c>
    </row>
    <row r="453" spans="1:13">
      <c r="A453" s="6" t="s">
        <v>1040</v>
      </c>
      <c r="B453" s="7">
        <v>46202</v>
      </c>
      <c r="C453" s="6" t="s">
        <v>475</v>
      </c>
      <c r="D453" s="6" t="s">
        <v>27</v>
      </c>
      <c r="E453" s="6" t="s">
        <v>37</v>
      </c>
      <c r="F453" s="6" t="s">
        <v>94</v>
      </c>
      <c r="G453" s="6" t="s">
        <v>95</v>
      </c>
      <c r="H453" s="6">
        <v>1</v>
      </c>
      <c r="I453" s="6" t="s">
        <v>60</v>
      </c>
      <c r="J453" s="6" t="s">
        <v>60</v>
      </c>
      <c r="K453" s="6" t="s">
        <v>114</v>
      </c>
      <c r="L453" s="6" t="s">
        <v>42</v>
      </c>
      <c r="M453" s="6" t="s">
        <v>34</v>
      </c>
    </row>
    <row r="454" spans="1:13">
      <c r="A454" s="6" t="s">
        <v>1041</v>
      </c>
      <c r="B454" s="7">
        <v>46205</v>
      </c>
      <c r="C454" s="6" t="s">
        <v>341</v>
      </c>
      <c r="D454" s="6" t="s">
        <v>77</v>
      </c>
      <c r="E454" s="6" t="s">
        <v>37</v>
      </c>
      <c r="F454" s="6" t="s">
        <v>53</v>
      </c>
      <c r="G454" s="6" t="s">
        <v>54</v>
      </c>
      <c r="H454" s="6">
        <v>2</v>
      </c>
      <c r="I454" s="6" t="s">
        <v>143</v>
      </c>
      <c r="J454" s="6" t="s">
        <v>144</v>
      </c>
      <c r="K454" s="6" t="s">
        <v>122</v>
      </c>
      <c r="L454" s="6" t="s">
        <v>42</v>
      </c>
      <c r="M454" s="6" t="s">
        <v>69</v>
      </c>
    </row>
    <row r="455" spans="1:13">
      <c r="A455" s="6" t="s">
        <v>1042</v>
      </c>
      <c r="B455" s="7">
        <v>46041</v>
      </c>
      <c r="C455" s="6" t="s">
        <v>1043</v>
      </c>
      <c r="D455" s="6" t="s">
        <v>77</v>
      </c>
      <c r="E455" s="6" t="s">
        <v>37</v>
      </c>
      <c r="F455" s="6" t="s">
        <v>38</v>
      </c>
      <c r="G455" s="6" t="s">
        <v>39</v>
      </c>
      <c r="H455" s="6">
        <v>2</v>
      </c>
      <c r="I455" s="6" t="s">
        <v>96</v>
      </c>
      <c r="J455" s="6" t="s">
        <v>1044</v>
      </c>
      <c r="K455" s="6">
        <v>520</v>
      </c>
      <c r="L455" s="6" t="s">
        <v>42</v>
      </c>
      <c r="M455" s="6" t="s">
        <v>34</v>
      </c>
    </row>
    <row r="456" spans="1:13">
      <c r="A456" s="6" t="s">
        <v>1045</v>
      </c>
      <c r="B456" s="7">
        <v>46201</v>
      </c>
      <c r="C456" s="6" t="s">
        <v>81</v>
      </c>
      <c r="D456" s="6" t="s">
        <v>64</v>
      </c>
      <c r="E456" s="6" t="s">
        <v>78</v>
      </c>
      <c r="F456" s="6" t="s">
        <v>38</v>
      </c>
      <c r="G456" s="6" t="s">
        <v>39</v>
      </c>
      <c r="H456" s="6">
        <v>1</v>
      </c>
      <c r="I456" s="6" t="s">
        <v>373</v>
      </c>
      <c r="J456" s="6" t="s">
        <v>370</v>
      </c>
      <c r="K456" s="6" t="s">
        <v>41</v>
      </c>
      <c r="L456" s="6" t="s">
        <v>42</v>
      </c>
      <c r="M456" s="6" t="s">
        <v>34</v>
      </c>
    </row>
    <row r="457" spans="1:13">
      <c r="A457" s="6" t="s">
        <v>1046</v>
      </c>
      <c r="B457" s="7">
        <v>46059</v>
      </c>
      <c r="C457" s="6" t="s">
        <v>1047</v>
      </c>
      <c r="D457" s="6" t="s">
        <v>57</v>
      </c>
      <c r="E457" s="6" t="s">
        <v>46</v>
      </c>
      <c r="F457" s="6" t="s">
        <v>53</v>
      </c>
      <c r="G457" s="6" t="s">
        <v>54</v>
      </c>
      <c r="H457" s="6">
        <v>1</v>
      </c>
      <c r="I457" s="6" t="s">
        <v>265</v>
      </c>
      <c r="J457" s="6" t="s">
        <v>265</v>
      </c>
      <c r="K457" s="6">
        <v>190</v>
      </c>
      <c r="L457" s="6" t="s">
        <v>33</v>
      </c>
      <c r="M457" s="6" t="s">
        <v>34</v>
      </c>
    </row>
    <row r="458" spans="1:13">
      <c r="A458" s="6" t="s">
        <v>1048</v>
      </c>
      <c r="B458" s="7">
        <v>46069</v>
      </c>
      <c r="C458" s="6" t="s">
        <v>274</v>
      </c>
      <c r="D458" s="6" t="s">
        <v>105</v>
      </c>
      <c r="E458" s="6" t="s">
        <v>28</v>
      </c>
      <c r="F458" s="6" t="s">
        <v>100</v>
      </c>
      <c r="G458" s="6" t="s">
        <v>101</v>
      </c>
      <c r="H458" s="6">
        <v>1</v>
      </c>
      <c r="I458" s="6" t="s">
        <v>143</v>
      </c>
      <c r="J458" s="6" t="s">
        <v>143</v>
      </c>
      <c r="K458" s="6">
        <v>640</v>
      </c>
      <c r="L458" s="6" t="s">
        <v>33</v>
      </c>
      <c r="M458" s="6" t="s">
        <v>34</v>
      </c>
    </row>
    <row r="459" spans="1:13">
      <c r="A459" s="6" t="s">
        <v>1049</v>
      </c>
      <c r="B459" s="7">
        <v>46090</v>
      </c>
      <c r="C459" s="6" t="s">
        <v>1050</v>
      </c>
      <c r="D459" s="6" t="s">
        <v>72</v>
      </c>
      <c r="E459" s="6" t="s">
        <v>78</v>
      </c>
      <c r="F459" s="6" t="s">
        <v>94</v>
      </c>
      <c r="G459" s="6" t="s">
        <v>95</v>
      </c>
      <c r="H459" s="6">
        <v>1</v>
      </c>
      <c r="I459" s="6" t="s">
        <v>82</v>
      </c>
      <c r="J459" s="6" t="s">
        <v>82</v>
      </c>
      <c r="K459" s="6">
        <v>340</v>
      </c>
      <c r="L459" s="6" t="s">
        <v>42</v>
      </c>
      <c r="M459" s="6" t="s">
        <v>34</v>
      </c>
    </row>
    <row r="460" spans="1:13">
      <c r="A460" s="6" t="s">
        <v>1051</v>
      </c>
      <c r="B460" s="7">
        <v>46083</v>
      </c>
      <c r="C460" s="6" t="s">
        <v>670</v>
      </c>
      <c r="D460" s="6" t="s">
        <v>110</v>
      </c>
      <c r="E460" s="6" t="s">
        <v>28</v>
      </c>
      <c r="F460" s="6" t="s">
        <v>47</v>
      </c>
      <c r="G460" s="6" t="s">
        <v>48</v>
      </c>
      <c r="H460" s="6">
        <v>1</v>
      </c>
      <c r="I460" s="6" t="s">
        <v>147</v>
      </c>
      <c r="J460" s="6" t="s">
        <v>147</v>
      </c>
      <c r="K460" s="6">
        <v>85</v>
      </c>
      <c r="L460" s="6" t="s">
        <v>42</v>
      </c>
      <c r="M460" s="6" t="s">
        <v>69</v>
      </c>
    </row>
    <row r="461" spans="1:13">
      <c r="A461" s="6" t="s">
        <v>1052</v>
      </c>
      <c r="B461" s="7">
        <v>46128</v>
      </c>
      <c r="C461" s="6" t="s">
        <v>1053</v>
      </c>
      <c r="D461" s="6" t="s">
        <v>110</v>
      </c>
      <c r="E461" s="6" t="s">
        <v>52</v>
      </c>
      <c r="F461" s="6" t="s">
        <v>85</v>
      </c>
      <c r="G461" s="6" t="s">
        <v>86</v>
      </c>
      <c r="H461" s="6">
        <v>2</v>
      </c>
      <c r="I461" s="6" t="s">
        <v>60</v>
      </c>
      <c r="J461" s="6" t="s">
        <v>189</v>
      </c>
      <c r="K461" s="6">
        <v>410</v>
      </c>
      <c r="L461" s="6" t="s">
        <v>42</v>
      </c>
      <c r="M461" s="6" t="s">
        <v>69</v>
      </c>
    </row>
    <row r="462" spans="1:13">
      <c r="A462" s="6" t="s">
        <v>1054</v>
      </c>
      <c r="B462" s="7">
        <v>46201</v>
      </c>
      <c r="C462" s="6" t="s">
        <v>1055</v>
      </c>
      <c r="D462" s="6" t="s">
        <v>77</v>
      </c>
      <c r="E462" s="6" t="s">
        <v>37</v>
      </c>
      <c r="F462" s="6" t="s">
        <v>100</v>
      </c>
      <c r="G462" s="6" t="s">
        <v>101</v>
      </c>
      <c r="H462" s="6">
        <v>1</v>
      </c>
      <c r="I462" s="6" t="s">
        <v>143</v>
      </c>
      <c r="J462" s="6" t="s">
        <v>143</v>
      </c>
      <c r="K462" s="6" t="s">
        <v>119</v>
      </c>
      <c r="L462" s="6" t="s">
        <v>42</v>
      </c>
      <c r="M462" s="6" t="s">
        <v>34</v>
      </c>
    </row>
    <row r="463" spans="1:13">
      <c r="A463" s="6" t="s">
        <v>1056</v>
      </c>
      <c r="B463" s="7">
        <v>46208</v>
      </c>
      <c r="C463" s="6" t="s">
        <v>1057</v>
      </c>
      <c r="D463" s="6" t="s">
        <v>105</v>
      </c>
      <c r="E463" s="6" t="s">
        <v>37</v>
      </c>
      <c r="F463" s="6" t="s">
        <v>100</v>
      </c>
      <c r="G463" s="6" t="s">
        <v>101</v>
      </c>
      <c r="H463" s="6">
        <v>1</v>
      </c>
      <c r="I463" s="6" t="s">
        <v>79</v>
      </c>
      <c r="J463" s="6" t="s">
        <v>79</v>
      </c>
      <c r="K463" s="6" t="s">
        <v>119</v>
      </c>
      <c r="L463" s="6" t="s">
        <v>42</v>
      </c>
      <c r="M463" s="6" t="s">
        <v>69</v>
      </c>
    </row>
    <row r="464" spans="1:13">
      <c r="A464" s="6" t="s">
        <v>1058</v>
      </c>
      <c r="B464" s="7">
        <v>46058</v>
      </c>
      <c r="C464" s="6" t="s">
        <v>1059</v>
      </c>
      <c r="D464" s="6" t="s">
        <v>45</v>
      </c>
      <c r="E464" s="6" t="s">
        <v>46</v>
      </c>
      <c r="F464" s="6" t="s">
        <v>85</v>
      </c>
      <c r="G464" s="6" t="s">
        <v>86</v>
      </c>
      <c r="H464" s="6">
        <v>1</v>
      </c>
      <c r="I464" s="6" t="s">
        <v>117</v>
      </c>
      <c r="J464" s="6" t="s">
        <v>1060</v>
      </c>
      <c r="K464" s="6" t="s">
        <v>87</v>
      </c>
      <c r="L464" s="6" t="s">
        <v>42</v>
      </c>
      <c r="M464" s="6" t="s">
        <v>69</v>
      </c>
    </row>
    <row r="465" spans="1:13">
      <c r="A465" s="6" t="s">
        <v>1061</v>
      </c>
      <c r="B465" s="7">
        <v>46120</v>
      </c>
      <c r="C465" s="6" t="s">
        <v>910</v>
      </c>
      <c r="D465" s="6" t="s">
        <v>72</v>
      </c>
      <c r="E465" s="6" t="s">
        <v>78</v>
      </c>
      <c r="F465" s="6" t="s">
        <v>94</v>
      </c>
      <c r="G465" s="6" t="s">
        <v>95</v>
      </c>
      <c r="H465" s="6">
        <v>1</v>
      </c>
      <c r="I465" s="6" t="s">
        <v>79</v>
      </c>
      <c r="J465" s="6" t="s">
        <v>79</v>
      </c>
      <c r="K465" s="6">
        <v>340</v>
      </c>
      <c r="L465" s="6" t="s">
        <v>42</v>
      </c>
      <c r="M465" s="6" t="s">
        <v>34</v>
      </c>
    </row>
    <row r="466" spans="1:13">
      <c r="A466" s="6" t="s">
        <v>1062</v>
      </c>
      <c r="B466" s="7">
        <v>46070</v>
      </c>
      <c r="C466" s="6" t="s">
        <v>1063</v>
      </c>
      <c r="D466" s="6" t="s">
        <v>27</v>
      </c>
      <c r="E466" s="6" t="s">
        <v>52</v>
      </c>
      <c r="F466" s="6" t="s">
        <v>38</v>
      </c>
      <c r="G466" s="6" t="s">
        <v>39</v>
      </c>
      <c r="H466" s="6">
        <v>2</v>
      </c>
      <c r="I466" s="6" t="s">
        <v>79</v>
      </c>
      <c r="J466" s="6" t="s">
        <v>259</v>
      </c>
      <c r="K466" s="6">
        <v>520</v>
      </c>
      <c r="L466" s="6" t="s">
        <v>33</v>
      </c>
      <c r="M466" s="6" t="s">
        <v>34</v>
      </c>
    </row>
    <row r="467" spans="1:13">
      <c r="A467" s="6" t="s">
        <v>1064</v>
      </c>
      <c r="B467" s="7">
        <v>46049</v>
      </c>
      <c r="C467" s="6" t="s">
        <v>1065</v>
      </c>
      <c r="D467" s="6" t="s">
        <v>110</v>
      </c>
      <c r="E467" s="6" t="s">
        <v>52</v>
      </c>
      <c r="F467" s="6" t="s">
        <v>29</v>
      </c>
      <c r="G467" s="6" t="s">
        <v>30</v>
      </c>
      <c r="H467" s="6">
        <v>2</v>
      </c>
      <c r="I467" s="6" t="s">
        <v>143</v>
      </c>
      <c r="J467" s="6" t="s">
        <v>144</v>
      </c>
      <c r="K467" s="6">
        <v>520</v>
      </c>
      <c r="L467" s="6" t="s">
        <v>42</v>
      </c>
      <c r="M467" s="6" t="s">
        <v>34</v>
      </c>
    </row>
    <row r="468" spans="1:13">
      <c r="A468" s="6" t="s">
        <v>1066</v>
      </c>
      <c r="B468" s="7">
        <v>46050</v>
      </c>
      <c r="C468" s="6" t="s">
        <v>267</v>
      </c>
      <c r="D468" s="6" t="s">
        <v>110</v>
      </c>
      <c r="E468" s="6" t="s">
        <v>46</v>
      </c>
      <c r="F468" s="6" t="s">
        <v>53</v>
      </c>
      <c r="G468" s="6" t="s">
        <v>54</v>
      </c>
      <c r="H468" s="6">
        <v>2</v>
      </c>
      <c r="I468" s="6" t="s">
        <v>67</v>
      </c>
      <c r="J468" s="6" t="s">
        <v>204</v>
      </c>
      <c r="K468" s="6">
        <v>190</v>
      </c>
      <c r="L468" s="6" t="s">
        <v>42</v>
      </c>
      <c r="M468" s="6" t="s">
        <v>69</v>
      </c>
    </row>
    <row r="469" spans="1:13">
      <c r="A469" s="6" t="s">
        <v>1067</v>
      </c>
      <c r="B469" s="7">
        <v>46075</v>
      </c>
      <c r="C469" s="6" t="s">
        <v>1068</v>
      </c>
      <c r="D469" s="6" t="s">
        <v>45</v>
      </c>
      <c r="E469" s="6" t="s">
        <v>46</v>
      </c>
      <c r="F469" s="6" t="s">
        <v>47</v>
      </c>
      <c r="G469" s="6" t="s">
        <v>48</v>
      </c>
      <c r="H469" s="6">
        <v>1</v>
      </c>
      <c r="I469" s="6" t="s">
        <v>147</v>
      </c>
      <c r="J469" s="6" t="s">
        <v>147</v>
      </c>
      <c r="K469" s="6">
        <v>85</v>
      </c>
      <c r="L469" s="6" t="s">
        <v>42</v>
      </c>
      <c r="M469" s="6" t="s">
        <v>34</v>
      </c>
    </row>
    <row r="470" spans="1:13">
      <c r="A470" s="6" t="s">
        <v>1069</v>
      </c>
      <c r="B470" s="7">
        <v>46148</v>
      </c>
      <c r="C470" s="6" t="s">
        <v>1070</v>
      </c>
      <c r="D470" s="6" t="s">
        <v>105</v>
      </c>
      <c r="E470" s="6" t="s">
        <v>78</v>
      </c>
      <c r="F470" s="6" t="s">
        <v>53</v>
      </c>
      <c r="G470" s="6" t="s">
        <v>54</v>
      </c>
      <c r="H470" s="6">
        <v>1</v>
      </c>
      <c r="I470" s="6" t="s">
        <v>147</v>
      </c>
      <c r="J470" s="6" t="s">
        <v>147</v>
      </c>
      <c r="K470" s="6" t="s">
        <v>122</v>
      </c>
      <c r="L470" s="6" t="s">
        <v>42</v>
      </c>
      <c r="M470" s="6" t="s">
        <v>34</v>
      </c>
    </row>
    <row r="471" spans="1:13">
      <c r="A471" s="6" t="s">
        <v>1071</v>
      </c>
      <c r="B471" s="7">
        <v>46183</v>
      </c>
      <c r="C471" s="6" t="s">
        <v>1072</v>
      </c>
      <c r="D471" s="6" t="s">
        <v>45</v>
      </c>
      <c r="E471" s="6" t="s">
        <v>46</v>
      </c>
      <c r="F471" s="6" t="s">
        <v>85</v>
      </c>
      <c r="G471" s="6" t="s">
        <v>86</v>
      </c>
      <c r="H471" s="6">
        <v>2</v>
      </c>
      <c r="I471" s="6" t="s">
        <v>40</v>
      </c>
      <c r="J471" s="6" t="s">
        <v>327</v>
      </c>
      <c r="K471" s="6" t="s">
        <v>87</v>
      </c>
      <c r="L471" s="6" t="s">
        <v>42</v>
      </c>
      <c r="M471" s="6" t="s">
        <v>69</v>
      </c>
    </row>
    <row r="472" spans="1:13">
      <c r="A472" s="6" t="s">
        <v>1073</v>
      </c>
      <c r="B472" s="6" t="s">
        <v>1074</v>
      </c>
      <c r="C472" s="6" t="s">
        <v>1075</v>
      </c>
      <c r="D472" s="6" t="s">
        <v>45</v>
      </c>
      <c r="E472" s="6" t="s">
        <v>28</v>
      </c>
      <c r="F472" s="6" t="s">
        <v>47</v>
      </c>
      <c r="G472" s="6" t="s">
        <v>48</v>
      </c>
      <c r="H472" s="6">
        <v>2</v>
      </c>
      <c r="I472" s="6" t="s">
        <v>117</v>
      </c>
      <c r="J472" s="6" t="s">
        <v>118</v>
      </c>
      <c r="K472" s="6">
        <v>85</v>
      </c>
      <c r="L472" s="6" t="s">
        <v>33</v>
      </c>
      <c r="M472" s="6" t="s">
        <v>34</v>
      </c>
    </row>
    <row r="473" spans="1:13">
      <c r="A473" s="6" t="s">
        <v>1076</v>
      </c>
      <c r="B473" s="7">
        <v>46103</v>
      </c>
      <c r="C473" s="6" t="s">
        <v>1077</v>
      </c>
      <c r="D473" s="6" t="s">
        <v>27</v>
      </c>
      <c r="E473" s="6" t="s">
        <v>28</v>
      </c>
      <c r="F473" s="6" t="s">
        <v>29</v>
      </c>
      <c r="G473" s="6" t="s">
        <v>30</v>
      </c>
      <c r="H473" s="6">
        <v>2</v>
      </c>
      <c r="I473" s="6" t="s">
        <v>90</v>
      </c>
      <c r="J473" s="6" t="s">
        <v>154</v>
      </c>
      <c r="K473" s="6">
        <v>520</v>
      </c>
      <c r="L473" s="6" t="s">
        <v>33</v>
      </c>
      <c r="M473" s="6" t="s">
        <v>34</v>
      </c>
    </row>
    <row r="474" spans="1:13">
      <c r="A474" s="6" t="s">
        <v>1078</v>
      </c>
      <c r="B474" s="7">
        <v>46134</v>
      </c>
      <c r="C474" s="6" t="s">
        <v>1079</v>
      </c>
      <c r="D474" s="6" t="s">
        <v>64</v>
      </c>
      <c r="E474" s="6" t="s">
        <v>52</v>
      </c>
      <c r="F474" s="6" t="s">
        <v>100</v>
      </c>
      <c r="G474" s="6" t="s">
        <v>101</v>
      </c>
      <c r="H474" s="6">
        <v>1</v>
      </c>
      <c r="I474" s="6" t="s">
        <v>82</v>
      </c>
      <c r="J474" s="6" t="s">
        <v>82</v>
      </c>
      <c r="K474" s="6" t="s">
        <v>119</v>
      </c>
      <c r="L474" s="6" t="s">
        <v>42</v>
      </c>
      <c r="M474" s="6" t="s">
        <v>34</v>
      </c>
    </row>
    <row r="475" spans="1:13">
      <c r="A475" s="6" t="s">
        <v>1080</v>
      </c>
      <c r="B475" s="7">
        <v>46156</v>
      </c>
      <c r="C475" s="6" t="s">
        <v>1081</v>
      </c>
      <c r="D475" s="6" t="s">
        <v>45</v>
      </c>
      <c r="E475" s="6" t="s">
        <v>46</v>
      </c>
      <c r="F475" s="6" t="s">
        <v>38</v>
      </c>
      <c r="G475" s="6" t="s">
        <v>39</v>
      </c>
      <c r="H475" s="6">
        <v>3</v>
      </c>
      <c r="I475" s="6" t="s">
        <v>231</v>
      </c>
      <c r="J475" s="6" t="s">
        <v>505</v>
      </c>
      <c r="K475" s="6" t="s">
        <v>41</v>
      </c>
      <c r="L475" s="6" t="s">
        <v>42</v>
      </c>
      <c r="M475" s="6" t="s">
        <v>69</v>
      </c>
    </row>
    <row r="476" spans="1:13">
      <c r="A476" s="6" t="s">
        <v>1082</v>
      </c>
      <c r="B476" s="7">
        <v>46087</v>
      </c>
      <c r="C476" s="6" t="s">
        <v>1083</v>
      </c>
      <c r="D476" s="6" t="s">
        <v>64</v>
      </c>
      <c r="E476" s="6" t="s">
        <v>37</v>
      </c>
      <c r="F476" s="6" t="s">
        <v>100</v>
      </c>
      <c r="G476" s="6" t="s">
        <v>101</v>
      </c>
      <c r="H476" s="6">
        <v>2</v>
      </c>
      <c r="I476" s="6" t="s">
        <v>40</v>
      </c>
      <c r="J476" s="6" t="s">
        <v>327</v>
      </c>
      <c r="K476" s="6">
        <v>640</v>
      </c>
      <c r="L476" s="6" t="s">
        <v>42</v>
      </c>
      <c r="M476" s="6" t="s">
        <v>34</v>
      </c>
    </row>
    <row r="477" spans="1:13">
      <c r="A477" s="6" t="s">
        <v>1084</v>
      </c>
      <c r="B477" s="7">
        <v>46080</v>
      </c>
      <c r="C477" s="6" t="s">
        <v>1085</v>
      </c>
      <c r="D477" s="6" t="s">
        <v>27</v>
      </c>
      <c r="E477" s="6" t="s">
        <v>28</v>
      </c>
      <c r="F477" s="6" t="s">
        <v>94</v>
      </c>
      <c r="G477" s="6" t="s">
        <v>95</v>
      </c>
      <c r="H477" s="6">
        <v>2</v>
      </c>
      <c r="I477" s="6" t="s">
        <v>656</v>
      </c>
      <c r="J477" s="6" t="s">
        <v>192</v>
      </c>
      <c r="K477" s="6">
        <v>340</v>
      </c>
      <c r="L477" s="6" t="s">
        <v>42</v>
      </c>
      <c r="M477" s="6" t="s">
        <v>34</v>
      </c>
    </row>
    <row r="478" spans="1:13">
      <c r="A478" s="6" t="s">
        <v>1086</v>
      </c>
      <c r="B478" s="6" t="s">
        <v>698</v>
      </c>
      <c r="C478" s="6" t="s">
        <v>1087</v>
      </c>
      <c r="D478" s="6" t="s">
        <v>45</v>
      </c>
      <c r="E478" s="6" t="s">
        <v>28</v>
      </c>
      <c r="F478" s="6" t="s">
        <v>85</v>
      </c>
      <c r="G478" s="6" t="s">
        <v>86</v>
      </c>
      <c r="H478" s="6">
        <v>1</v>
      </c>
      <c r="I478" s="6" t="s">
        <v>82</v>
      </c>
      <c r="J478" s="6" t="s">
        <v>67</v>
      </c>
      <c r="K478" s="6">
        <v>410</v>
      </c>
      <c r="L478" s="6" t="s">
        <v>42</v>
      </c>
      <c r="M478" s="6" t="s">
        <v>34</v>
      </c>
    </row>
    <row r="479" spans="1:13">
      <c r="A479" s="6" t="s">
        <v>1088</v>
      </c>
      <c r="B479" s="7">
        <v>46030</v>
      </c>
      <c r="C479" s="6" t="s">
        <v>1089</v>
      </c>
      <c r="D479" s="6" t="s">
        <v>110</v>
      </c>
      <c r="E479" s="6" t="s">
        <v>28</v>
      </c>
      <c r="F479" s="6" t="s">
        <v>94</v>
      </c>
      <c r="G479" s="6" t="s">
        <v>95</v>
      </c>
      <c r="H479" s="6">
        <v>1</v>
      </c>
      <c r="I479" s="6" t="s">
        <v>755</v>
      </c>
      <c r="J479" s="6" t="s">
        <v>1060</v>
      </c>
      <c r="K479" s="6">
        <v>340</v>
      </c>
      <c r="L479" s="6" t="s">
        <v>42</v>
      </c>
      <c r="M479" s="6" t="s">
        <v>34</v>
      </c>
    </row>
    <row r="480" spans="1:13">
      <c r="A480" s="6" t="s">
        <v>1090</v>
      </c>
      <c r="B480" s="6" t="s">
        <v>1091</v>
      </c>
      <c r="C480" s="6" t="s">
        <v>1092</v>
      </c>
      <c r="D480" s="6" t="s">
        <v>45</v>
      </c>
      <c r="E480" s="6" t="s">
        <v>46</v>
      </c>
      <c r="F480" s="6" t="s">
        <v>85</v>
      </c>
      <c r="G480" s="6" t="s">
        <v>86</v>
      </c>
      <c r="H480" s="6">
        <v>2</v>
      </c>
      <c r="I480" s="6" t="s">
        <v>79</v>
      </c>
      <c r="J480" s="6" t="s">
        <v>259</v>
      </c>
      <c r="K480" s="6" t="s">
        <v>87</v>
      </c>
      <c r="L480" s="6" t="s">
        <v>42</v>
      </c>
      <c r="M480" s="6" t="s">
        <v>34</v>
      </c>
    </row>
    <row r="481" spans="1:13">
      <c r="A481" s="6" t="s">
        <v>1093</v>
      </c>
      <c r="B481" s="7">
        <v>46099</v>
      </c>
      <c r="C481" s="6" t="s">
        <v>1094</v>
      </c>
      <c r="D481" s="6" t="s">
        <v>127</v>
      </c>
      <c r="E481" s="6" t="s">
        <v>78</v>
      </c>
      <c r="F481" s="6" t="s">
        <v>38</v>
      </c>
      <c r="G481" s="6" t="s">
        <v>39</v>
      </c>
      <c r="H481" s="6">
        <v>-2</v>
      </c>
      <c r="I481" s="6" t="s">
        <v>79</v>
      </c>
      <c r="J481" s="8" t="s">
        <v>1095</v>
      </c>
      <c r="K481" s="6">
        <v>520</v>
      </c>
      <c r="L481" s="6" t="s">
        <v>42</v>
      </c>
      <c r="M481" s="6" t="s">
        <v>34</v>
      </c>
    </row>
    <row r="482" spans="1:13">
      <c r="A482" s="6" t="s">
        <v>1096</v>
      </c>
      <c r="B482" s="7">
        <v>46205</v>
      </c>
      <c r="C482" s="6" t="s">
        <v>381</v>
      </c>
      <c r="D482" s="6" t="s">
        <v>110</v>
      </c>
      <c r="E482" s="6" t="s">
        <v>78</v>
      </c>
      <c r="F482" s="6" t="s">
        <v>100</v>
      </c>
      <c r="G482" s="6" t="s">
        <v>101</v>
      </c>
      <c r="H482" s="6">
        <v>1</v>
      </c>
      <c r="I482" s="6" t="s">
        <v>82</v>
      </c>
      <c r="J482" s="6" t="s">
        <v>82</v>
      </c>
      <c r="K482" s="6" t="s">
        <v>119</v>
      </c>
      <c r="L482" s="6" t="s">
        <v>42</v>
      </c>
      <c r="M482" s="6" t="s">
        <v>69</v>
      </c>
    </row>
    <row r="483" spans="1:13">
      <c r="A483" s="6" t="s">
        <v>1097</v>
      </c>
      <c r="B483" s="7">
        <v>46201</v>
      </c>
      <c r="C483" s="6" t="s">
        <v>1098</v>
      </c>
      <c r="D483" s="6" t="s">
        <v>45</v>
      </c>
      <c r="E483" s="6" t="s">
        <v>28</v>
      </c>
      <c r="F483" s="6" t="s">
        <v>29</v>
      </c>
      <c r="G483" s="6" t="s">
        <v>30</v>
      </c>
      <c r="H483" s="6">
        <v>1</v>
      </c>
      <c r="I483" s="6" t="s">
        <v>82</v>
      </c>
      <c r="J483" s="6" t="s">
        <v>82</v>
      </c>
      <c r="K483" s="6" t="s">
        <v>41</v>
      </c>
      <c r="L483" s="6" t="s">
        <v>42</v>
      </c>
      <c r="M483" s="6" t="s">
        <v>34</v>
      </c>
    </row>
    <row r="484" spans="1:13">
      <c r="A484" s="6" t="s">
        <v>1099</v>
      </c>
      <c r="B484" s="7">
        <v>46178</v>
      </c>
      <c r="C484" s="6" t="s">
        <v>1100</v>
      </c>
      <c r="D484" s="6" t="s">
        <v>127</v>
      </c>
      <c r="E484" s="6" t="s">
        <v>78</v>
      </c>
      <c r="F484" s="6" t="s">
        <v>100</v>
      </c>
      <c r="G484" s="6" t="s">
        <v>101</v>
      </c>
      <c r="H484" s="6">
        <v>3</v>
      </c>
      <c r="I484" s="6" t="s">
        <v>265</v>
      </c>
      <c r="J484" s="6" t="s">
        <v>401</v>
      </c>
      <c r="K484" s="6" t="s">
        <v>119</v>
      </c>
      <c r="L484" s="6" t="s">
        <v>42</v>
      </c>
      <c r="M484" s="6" t="s">
        <v>34</v>
      </c>
    </row>
    <row r="485" spans="1:13">
      <c r="A485" s="6" t="s">
        <v>1101</v>
      </c>
      <c r="B485" s="6" t="s">
        <v>301</v>
      </c>
      <c r="C485" s="6" t="s">
        <v>1102</v>
      </c>
      <c r="D485" s="6" t="s">
        <v>77</v>
      </c>
      <c r="E485" s="6" t="s">
        <v>78</v>
      </c>
      <c r="F485" s="6" t="s">
        <v>100</v>
      </c>
      <c r="G485" s="6" t="s">
        <v>101</v>
      </c>
      <c r="H485" s="6">
        <v>3</v>
      </c>
      <c r="I485" s="6" t="s">
        <v>117</v>
      </c>
      <c r="J485" s="6" t="s">
        <v>171</v>
      </c>
      <c r="K485" s="6">
        <v>640</v>
      </c>
      <c r="L485" s="6" t="s">
        <v>33</v>
      </c>
      <c r="M485" s="6" t="s">
        <v>34</v>
      </c>
    </row>
    <row r="486" spans="1:13">
      <c r="A486" s="6" t="s">
        <v>1103</v>
      </c>
      <c r="B486" s="7">
        <v>46129</v>
      </c>
      <c r="C486" s="6" t="s">
        <v>1104</v>
      </c>
      <c r="D486" s="6" t="s">
        <v>105</v>
      </c>
      <c r="E486" s="6" t="s">
        <v>28</v>
      </c>
      <c r="F486" s="6" t="s">
        <v>47</v>
      </c>
      <c r="G486" s="6" t="s">
        <v>48</v>
      </c>
      <c r="H486" s="6">
        <v>1</v>
      </c>
      <c r="I486" s="6" t="s">
        <v>143</v>
      </c>
      <c r="J486" s="6" t="s">
        <v>143</v>
      </c>
      <c r="K486" s="6">
        <v>85</v>
      </c>
      <c r="L486" s="6" t="s">
        <v>42</v>
      </c>
      <c r="M486" s="6" t="s">
        <v>34</v>
      </c>
    </row>
    <row r="487" spans="1:13">
      <c r="A487" s="6" t="s">
        <v>1105</v>
      </c>
      <c r="B487" s="6" t="s">
        <v>1106</v>
      </c>
      <c r="C487" s="6" t="s">
        <v>503</v>
      </c>
      <c r="D487" s="6" t="s">
        <v>127</v>
      </c>
      <c r="E487" s="6" t="s">
        <v>28</v>
      </c>
      <c r="F487" s="6" t="s">
        <v>29</v>
      </c>
      <c r="G487" s="6" t="s">
        <v>30</v>
      </c>
      <c r="H487" s="6">
        <v>3</v>
      </c>
      <c r="I487" s="6" t="s">
        <v>203</v>
      </c>
      <c r="J487" s="6" t="s">
        <v>68</v>
      </c>
      <c r="K487" s="6">
        <v>520</v>
      </c>
      <c r="L487" s="6" t="s">
        <v>33</v>
      </c>
      <c r="M487" s="6" t="s">
        <v>34</v>
      </c>
    </row>
    <row r="488" spans="1:13">
      <c r="A488" s="6" t="s">
        <v>1107</v>
      </c>
      <c r="B488" s="7">
        <v>46207</v>
      </c>
      <c r="C488" s="6" t="s">
        <v>1108</v>
      </c>
      <c r="D488" s="6" t="s">
        <v>127</v>
      </c>
      <c r="E488" s="6" t="s">
        <v>37</v>
      </c>
      <c r="F488" s="6" t="s">
        <v>53</v>
      </c>
      <c r="G488" s="6" t="s">
        <v>54</v>
      </c>
      <c r="H488" s="6">
        <v>2</v>
      </c>
      <c r="I488" s="6" t="s">
        <v>265</v>
      </c>
      <c r="J488" s="6" t="s">
        <v>167</v>
      </c>
      <c r="K488" s="6" t="s">
        <v>122</v>
      </c>
      <c r="L488" s="6" t="s">
        <v>42</v>
      </c>
      <c r="M488" s="6" t="s">
        <v>69</v>
      </c>
    </row>
    <row r="489" spans="1:13">
      <c r="A489" s="6" t="s">
        <v>1109</v>
      </c>
      <c r="B489" s="7">
        <v>46047</v>
      </c>
      <c r="C489" s="6" t="s">
        <v>542</v>
      </c>
      <c r="D489" s="6" t="s">
        <v>57</v>
      </c>
      <c r="E489" s="6" t="s">
        <v>78</v>
      </c>
      <c r="F489" s="6" t="s">
        <v>58</v>
      </c>
      <c r="G489" s="6" t="s">
        <v>59</v>
      </c>
      <c r="H489" s="6">
        <v>3</v>
      </c>
      <c r="I489" s="6" t="s">
        <v>40</v>
      </c>
      <c r="J489" s="6" t="s">
        <v>579</v>
      </c>
      <c r="K489" s="6">
        <v>380</v>
      </c>
      <c r="L489" s="6" t="s">
        <v>42</v>
      </c>
      <c r="M489" s="6" t="s">
        <v>34</v>
      </c>
    </row>
    <row r="490" spans="1:13">
      <c r="A490" s="6" t="s">
        <v>1110</v>
      </c>
      <c r="B490" s="7">
        <v>46128</v>
      </c>
      <c r="C490" s="6" t="s">
        <v>1059</v>
      </c>
      <c r="D490" s="6" t="s">
        <v>57</v>
      </c>
      <c r="E490" s="6" t="s">
        <v>52</v>
      </c>
      <c r="F490" s="6" t="s">
        <v>47</v>
      </c>
      <c r="G490" s="6" t="s">
        <v>48</v>
      </c>
      <c r="H490" s="6">
        <v>2</v>
      </c>
      <c r="I490" s="6" t="s">
        <v>82</v>
      </c>
      <c r="J490" s="6" t="s">
        <v>297</v>
      </c>
      <c r="K490" s="6">
        <v>85</v>
      </c>
      <c r="L490" s="6" t="s">
        <v>42</v>
      </c>
      <c r="M490" s="6" t="s">
        <v>34</v>
      </c>
    </row>
    <row r="491" spans="1:13">
      <c r="A491" s="6" t="s">
        <v>1111</v>
      </c>
      <c r="B491" s="7">
        <v>46167</v>
      </c>
      <c r="C491" s="6" t="s">
        <v>1112</v>
      </c>
      <c r="D491" s="6" t="s">
        <v>110</v>
      </c>
      <c r="E491" s="6" t="s">
        <v>46</v>
      </c>
      <c r="F491" s="6" t="s">
        <v>100</v>
      </c>
      <c r="G491" s="6" t="s">
        <v>101</v>
      </c>
      <c r="H491" s="6">
        <v>1</v>
      </c>
      <c r="I491" s="6" t="s">
        <v>113</v>
      </c>
      <c r="J491" s="6" t="s">
        <v>113</v>
      </c>
      <c r="K491" s="6" t="s">
        <v>119</v>
      </c>
      <c r="L491" s="6" t="s">
        <v>42</v>
      </c>
      <c r="M491" s="6" t="s">
        <v>34</v>
      </c>
    </row>
    <row r="492" spans="1:13">
      <c r="A492" s="6" t="s">
        <v>1113</v>
      </c>
      <c r="B492" s="7">
        <v>46070</v>
      </c>
      <c r="C492" s="6" t="s">
        <v>1114</v>
      </c>
      <c r="D492" s="6" t="s">
        <v>45</v>
      </c>
      <c r="E492" s="6" t="s">
        <v>52</v>
      </c>
      <c r="F492" s="6" t="s">
        <v>47</v>
      </c>
      <c r="G492" s="6" t="s">
        <v>48</v>
      </c>
      <c r="H492" s="6">
        <v>1</v>
      </c>
      <c r="I492" s="6" t="s">
        <v>265</v>
      </c>
      <c r="J492" s="6" t="s">
        <v>265</v>
      </c>
      <c r="K492" s="6">
        <v>85</v>
      </c>
      <c r="L492" s="6" t="s">
        <v>33</v>
      </c>
      <c r="M492" s="6" t="s">
        <v>34</v>
      </c>
    </row>
    <row r="493" spans="1:13">
      <c r="A493" s="6" t="s">
        <v>1115</v>
      </c>
      <c r="B493" s="7">
        <v>46103</v>
      </c>
      <c r="C493" s="6" t="s">
        <v>1116</v>
      </c>
      <c r="D493" s="6" t="s">
        <v>45</v>
      </c>
      <c r="E493" s="6" t="s">
        <v>28</v>
      </c>
      <c r="F493" s="6" t="s">
        <v>53</v>
      </c>
      <c r="G493" s="6" t="s">
        <v>54</v>
      </c>
      <c r="H493" s="6">
        <v>1</v>
      </c>
      <c r="I493" s="6" t="s">
        <v>67</v>
      </c>
      <c r="J493" s="6" t="s">
        <v>67</v>
      </c>
      <c r="K493" s="6">
        <v>190</v>
      </c>
      <c r="L493" s="6" t="s">
        <v>42</v>
      </c>
      <c r="M493" s="6" t="s">
        <v>34</v>
      </c>
    </row>
    <row r="494" spans="1:13">
      <c r="A494" s="6" t="s">
        <v>1117</v>
      </c>
      <c r="B494" s="7">
        <v>46143</v>
      </c>
      <c r="C494" s="6" t="s">
        <v>1118</v>
      </c>
      <c r="D494" s="6" t="s">
        <v>72</v>
      </c>
      <c r="E494" s="6" t="s">
        <v>46</v>
      </c>
      <c r="F494" s="6" t="s">
        <v>47</v>
      </c>
      <c r="G494" s="6" t="s">
        <v>48</v>
      </c>
      <c r="H494" s="6">
        <v>2</v>
      </c>
      <c r="I494" s="6" t="s">
        <v>31</v>
      </c>
      <c r="J494" s="6" t="s">
        <v>232</v>
      </c>
      <c r="K494" s="6" t="s">
        <v>49</v>
      </c>
      <c r="L494" s="6" t="s">
        <v>42</v>
      </c>
      <c r="M494" s="6" t="s">
        <v>34</v>
      </c>
    </row>
    <row r="495" spans="1:13">
      <c r="A495" s="6" t="s">
        <v>1119</v>
      </c>
      <c r="B495" s="7">
        <v>46078</v>
      </c>
      <c r="C495" s="6" t="s">
        <v>1120</v>
      </c>
      <c r="D495" s="6" t="s">
        <v>45</v>
      </c>
      <c r="E495" s="6" t="s">
        <v>37</v>
      </c>
      <c r="F495" s="6" t="s">
        <v>47</v>
      </c>
      <c r="G495" s="6" t="s">
        <v>48</v>
      </c>
      <c r="H495" s="6">
        <v>2</v>
      </c>
      <c r="I495" s="6" t="s">
        <v>113</v>
      </c>
      <c r="J495" s="6" t="s">
        <v>192</v>
      </c>
      <c r="K495" s="6">
        <v>85</v>
      </c>
      <c r="L495" s="6" t="s">
        <v>42</v>
      </c>
      <c r="M495" s="6" t="s">
        <v>34</v>
      </c>
    </row>
    <row r="496" spans="1:13">
      <c r="A496" s="6" t="s">
        <v>1121</v>
      </c>
      <c r="B496" s="7">
        <v>46102</v>
      </c>
      <c r="C496" s="6" t="s">
        <v>1122</v>
      </c>
      <c r="D496" s="6" t="s">
        <v>57</v>
      </c>
      <c r="E496" s="6" t="s">
        <v>78</v>
      </c>
      <c r="F496" s="6" t="s">
        <v>58</v>
      </c>
      <c r="G496" s="6" t="s">
        <v>59</v>
      </c>
      <c r="H496" s="6">
        <v>2</v>
      </c>
      <c r="I496" s="6" t="s">
        <v>73</v>
      </c>
      <c r="J496" s="6" t="s">
        <v>74</v>
      </c>
      <c r="K496" s="6">
        <v>380</v>
      </c>
      <c r="L496" s="6" t="s">
        <v>42</v>
      </c>
      <c r="M496" s="6" t="s">
        <v>34</v>
      </c>
    </row>
    <row r="497" spans="1:13">
      <c r="A497" s="6" t="s">
        <v>1123</v>
      </c>
      <c r="B497" s="6" t="s">
        <v>572</v>
      </c>
      <c r="C497" s="6" t="s">
        <v>1124</v>
      </c>
      <c r="D497" s="6" t="s">
        <v>57</v>
      </c>
      <c r="E497" s="6" t="s">
        <v>52</v>
      </c>
      <c r="F497" s="6" t="s">
        <v>100</v>
      </c>
      <c r="G497" s="6" t="s">
        <v>101</v>
      </c>
      <c r="H497" s="6">
        <v>1</v>
      </c>
      <c r="I497" s="6" t="s">
        <v>82</v>
      </c>
      <c r="J497" s="6" t="s">
        <v>82</v>
      </c>
      <c r="K497" s="6">
        <v>640</v>
      </c>
      <c r="L497" s="6" t="s">
        <v>42</v>
      </c>
      <c r="M497" s="6" t="s">
        <v>34</v>
      </c>
    </row>
    <row r="498" spans="1:13">
      <c r="A498" s="6" t="s">
        <v>1125</v>
      </c>
      <c r="B498" s="7">
        <v>46128</v>
      </c>
      <c r="C498" s="6" t="s">
        <v>1126</v>
      </c>
      <c r="D498" s="6" t="s">
        <v>45</v>
      </c>
      <c r="E498" s="6" t="s">
        <v>46</v>
      </c>
      <c r="F498" s="6" t="s">
        <v>47</v>
      </c>
      <c r="G498" s="6" t="s">
        <v>48</v>
      </c>
      <c r="H498" s="6">
        <v>1</v>
      </c>
      <c r="I498" s="6" t="s">
        <v>31</v>
      </c>
      <c r="J498" s="6" t="s">
        <v>31</v>
      </c>
      <c r="K498" s="6">
        <v>85</v>
      </c>
      <c r="L498" s="6" t="s">
        <v>42</v>
      </c>
      <c r="M498" s="6" t="s">
        <v>34</v>
      </c>
    </row>
    <row r="499" spans="1:13">
      <c r="A499" s="6" t="s">
        <v>1127</v>
      </c>
      <c r="B499" s="7">
        <v>46158</v>
      </c>
      <c r="C499" s="6" t="s">
        <v>1128</v>
      </c>
      <c r="D499" s="6" t="s">
        <v>110</v>
      </c>
      <c r="E499" s="6" t="s">
        <v>28</v>
      </c>
      <c r="F499" s="6" t="s">
        <v>94</v>
      </c>
      <c r="G499" s="6" t="s">
        <v>95</v>
      </c>
      <c r="H499" s="6">
        <v>2</v>
      </c>
      <c r="I499" s="6" t="s">
        <v>265</v>
      </c>
      <c r="J499" s="6" t="s">
        <v>167</v>
      </c>
      <c r="K499" s="6" t="s">
        <v>114</v>
      </c>
      <c r="L499" s="6" t="s">
        <v>42</v>
      </c>
      <c r="M499" s="6" t="s">
        <v>34</v>
      </c>
    </row>
    <row r="500" spans="1:13">
      <c r="A500" s="6" t="s">
        <v>1129</v>
      </c>
      <c r="B500" s="7">
        <v>46036</v>
      </c>
      <c r="C500" s="6" t="s">
        <v>1130</v>
      </c>
      <c r="D500" s="6" t="s">
        <v>45</v>
      </c>
      <c r="E500" s="6" t="s">
        <v>78</v>
      </c>
      <c r="F500" s="6" t="s">
        <v>85</v>
      </c>
      <c r="G500" s="6" t="s">
        <v>86</v>
      </c>
      <c r="H500" s="6">
        <v>1</v>
      </c>
      <c r="I500" s="6" t="s">
        <v>143</v>
      </c>
      <c r="J500" s="6" t="s">
        <v>143</v>
      </c>
      <c r="K500" s="6">
        <v>410</v>
      </c>
      <c r="L500" s="6" t="s">
        <v>42</v>
      </c>
      <c r="M500" s="6" t="s">
        <v>34</v>
      </c>
    </row>
    <row r="501" spans="1:13">
      <c r="A501" s="6" t="s">
        <v>1131</v>
      </c>
      <c r="B501" s="7">
        <v>46065</v>
      </c>
      <c r="C501" s="6" t="s">
        <v>1001</v>
      </c>
      <c r="D501" s="6" t="s">
        <v>45</v>
      </c>
      <c r="E501" s="6" t="s">
        <v>78</v>
      </c>
      <c r="F501" s="6" t="s">
        <v>47</v>
      </c>
      <c r="G501" s="6" t="s">
        <v>48</v>
      </c>
      <c r="H501" s="6">
        <v>2</v>
      </c>
      <c r="I501" s="6" t="s">
        <v>231</v>
      </c>
      <c r="J501" s="6" t="s">
        <v>232</v>
      </c>
      <c r="K501" s="6">
        <v>85</v>
      </c>
      <c r="L501" s="6" t="s">
        <v>42</v>
      </c>
      <c r="M501" s="6" t="s">
        <v>34</v>
      </c>
    </row>
    <row r="502" spans="1:13">
      <c r="A502" s="6" t="s">
        <v>1132</v>
      </c>
      <c r="B502" s="7">
        <v>46033</v>
      </c>
      <c r="C502" s="6" t="s">
        <v>1133</v>
      </c>
      <c r="D502" s="6" t="s">
        <v>45</v>
      </c>
      <c r="E502" s="6" t="s">
        <v>28</v>
      </c>
      <c r="F502" s="6" t="s">
        <v>38</v>
      </c>
      <c r="G502" s="6" t="s">
        <v>39</v>
      </c>
      <c r="H502" s="6">
        <v>1</v>
      </c>
      <c r="I502" s="6" t="s">
        <v>265</v>
      </c>
      <c r="J502" s="6" t="s">
        <v>265</v>
      </c>
      <c r="K502" s="6">
        <v>520</v>
      </c>
      <c r="L502" s="6" t="s">
        <v>42</v>
      </c>
      <c r="M502" s="6" t="s">
        <v>34</v>
      </c>
    </row>
    <row r="503" spans="1:13">
      <c r="A503" s="6" t="s">
        <v>1134</v>
      </c>
      <c r="B503" s="7">
        <v>46109</v>
      </c>
      <c r="C503" s="6" t="s">
        <v>1135</v>
      </c>
      <c r="D503" s="6" t="s">
        <v>127</v>
      </c>
      <c r="E503" s="6" t="s">
        <v>28</v>
      </c>
      <c r="F503" s="6" t="s">
        <v>85</v>
      </c>
      <c r="G503" s="6" t="s">
        <v>86</v>
      </c>
      <c r="H503" s="6">
        <v>1</v>
      </c>
      <c r="I503" s="6" t="s">
        <v>31</v>
      </c>
      <c r="J503" s="6" t="s">
        <v>31</v>
      </c>
      <c r="K503" s="6">
        <v>410</v>
      </c>
      <c r="L503" s="6" t="s">
        <v>42</v>
      </c>
      <c r="M503" s="6" t="s">
        <v>34</v>
      </c>
    </row>
    <row r="504" spans="1:13">
      <c r="A504" s="6" t="s">
        <v>1136</v>
      </c>
      <c r="B504" s="7">
        <v>46137</v>
      </c>
      <c r="C504" s="6" t="s">
        <v>1137</v>
      </c>
      <c r="D504" s="6" t="s">
        <v>45</v>
      </c>
      <c r="E504" s="6" t="s">
        <v>28</v>
      </c>
      <c r="F504" s="6" t="s">
        <v>85</v>
      </c>
      <c r="G504" s="6" t="s">
        <v>86</v>
      </c>
      <c r="H504" s="6">
        <v>3</v>
      </c>
      <c r="I504" s="6" t="s">
        <v>60</v>
      </c>
      <c r="J504" s="6" t="s">
        <v>268</v>
      </c>
      <c r="K504" s="6" t="s">
        <v>87</v>
      </c>
      <c r="L504" s="6" t="s">
        <v>42</v>
      </c>
      <c r="M504" s="6" t="s">
        <v>34</v>
      </c>
    </row>
    <row r="505" spans="1:13">
      <c r="A505" s="6" t="s">
        <v>1138</v>
      </c>
      <c r="B505" s="7">
        <v>46157</v>
      </c>
      <c r="C505" s="6" t="s">
        <v>1139</v>
      </c>
      <c r="D505" s="6" t="s">
        <v>45</v>
      </c>
      <c r="E505" s="6" t="s">
        <v>28</v>
      </c>
      <c r="F505" s="6" t="s">
        <v>100</v>
      </c>
      <c r="G505" s="6" t="s">
        <v>101</v>
      </c>
      <c r="H505" s="6">
        <v>1</v>
      </c>
      <c r="I505" s="6" t="s">
        <v>755</v>
      </c>
      <c r="J505" s="6" t="s">
        <v>117</v>
      </c>
      <c r="K505" s="6" t="s">
        <v>119</v>
      </c>
      <c r="L505" s="6" t="s">
        <v>33</v>
      </c>
      <c r="M505" s="6" t="s">
        <v>34</v>
      </c>
    </row>
    <row r="506" spans="1:13">
      <c r="A506" s="6" t="s">
        <v>1140</v>
      </c>
      <c r="B506" s="7">
        <v>46144</v>
      </c>
      <c r="C506" s="6" t="s">
        <v>1141</v>
      </c>
      <c r="D506" s="6" t="s">
        <v>110</v>
      </c>
      <c r="E506" s="6" t="s">
        <v>78</v>
      </c>
      <c r="F506" s="6" t="s">
        <v>38</v>
      </c>
      <c r="G506" s="6" t="s">
        <v>39</v>
      </c>
      <c r="H506" s="6">
        <v>2</v>
      </c>
      <c r="I506" s="6" t="s">
        <v>90</v>
      </c>
      <c r="J506" s="6" t="s">
        <v>154</v>
      </c>
      <c r="K506" s="6" t="s">
        <v>41</v>
      </c>
      <c r="L506" s="6" t="s">
        <v>42</v>
      </c>
      <c r="M506" s="6" t="s">
        <v>34</v>
      </c>
    </row>
    <row r="507" spans="1:13">
      <c r="A507" s="6" t="s">
        <v>1142</v>
      </c>
      <c r="B507" s="7">
        <v>46031</v>
      </c>
      <c r="C507" s="6" t="s">
        <v>820</v>
      </c>
      <c r="D507" s="6" t="s">
        <v>110</v>
      </c>
      <c r="E507" s="6" t="s">
        <v>78</v>
      </c>
      <c r="F507" s="6" t="s">
        <v>38</v>
      </c>
      <c r="G507" s="6" t="s">
        <v>39</v>
      </c>
      <c r="H507" s="6">
        <v>1</v>
      </c>
      <c r="I507" s="6" t="s">
        <v>113</v>
      </c>
      <c r="J507" s="6" t="s">
        <v>113</v>
      </c>
      <c r="K507" s="6">
        <v>520</v>
      </c>
      <c r="L507" s="6" t="s">
        <v>42</v>
      </c>
      <c r="M507" s="6" t="s">
        <v>34</v>
      </c>
    </row>
    <row r="508" spans="1:13">
      <c r="A508" s="6" t="s">
        <v>1143</v>
      </c>
      <c r="B508" s="7">
        <v>46086</v>
      </c>
      <c r="C508" s="6" t="s">
        <v>1144</v>
      </c>
      <c r="D508" s="6" t="s">
        <v>105</v>
      </c>
      <c r="E508" s="6" t="s">
        <v>37</v>
      </c>
      <c r="F508" s="6" t="s">
        <v>38</v>
      </c>
      <c r="G508" s="6" t="s">
        <v>39</v>
      </c>
      <c r="H508" s="6">
        <v>1</v>
      </c>
      <c r="I508" s="6" t="s">
        <v>40</v>
      </c>
      <c r="J508" s="6" t="s">
        <v>40</v>
      </c>
      <c r="K508" s="6">
        <v>520</v>
      </c>
      <c r="L508" s="6" t="s">
        <v>33</v>
      </c>
      <c r="M508" s="6" t="s">
        <v>34</v>
      </c>
    </row>
    <row r="509" spans="1:13">
      <c r="A509" s="6" t="s">
        <v>1145</v>
      </c>
      <c r="B509" s="7">
        <v>46151</v>
      </c>
      <c r="C509" s="6" t="s">
        <v>1146</v>
      </c>
      <c r="D509" s="6" t="s">
        <v>105</v>
      </c>
      <c r="E509" s="6" t="s">
        <v>52</v>
      </c>
      <c r="F509" s="6" t="s">
        <v>85</v>
      </c>
      <c r="G509" s="6" t="s">
        <v>86</v>
      </c>
      <c r="H509" s="6">
        <v>-1</v>
      </c>
      <c r="I509" s="6" t="s">
        <v>113</v>
      </c>
      <c r="J509" s="8" t="s">
        <v>1147</v>
      </c>
      <c r="K509" s="6" t="s">
        <v>87</v>
      </c>
      <c r="L509" s="6" t="s">
        <v>33</v>
      </c>
      <c r="M509" s="6" t="s">
        <v>34</v>
      </c>
    </row>
    <row r="510" spans="1:13">
      <c r="A510" s="6" t="s">
        <v>1148</v>
      </c>
      <c r="B510" s="7">
        <v>46149</v>
      </c>
      <c r="C510" s="6" t="s">
        <v>1149</v>
      </c>
      <c r="D510" s="6" t="s">
        <v>45</v>
      </c>
      <c r="E510" s="6" t="s">
        <v>46</v>
      </c>
      <c r="F510" s="6" t="s">
        <v>85</v>
      </c>
      <c r="G510" s="6" t="s">
        <v>86</v>
      </c>
      <c r="H510" s="6">
        <v>3</v>
      </c>
      <c r="I510" s="6" t="s">
        <v>96</v>
      </c>
      <c r="J510" s="6" t="s">
        <v>97</v>
      </c>
      <c r="K510" s="6" t="s">
        <v>87</v>
      </c>
      <c r="L510" s="6" t="s">
        <v>42</v>
      </c>
      <c r="M510" s="6" t="s">
        <v>34</v>
      </c>
    </row>
    <row r="511" spans="1:13">
      <c r="A511" s="6" t="s">
        <v>1150</v>
      </c>
      <c r="B511" s="7">
        <v>46085</v>
      </c>
      <c r="C511" s="6" t="s">
        <v>1151</v>
      </c>
      <c r="D511" s="6" t="s">
        <v>45</v>
      </c>
      <c r="E511" s="6" t="s">
        <v>78</v>
      </c>
      <c r="F511" s="6" t="s">
        <v>85</v>
      </c>
      <c r="G511" s="6" t="s">
        <v>86</v>
      </c>
      <c r="H511" s="6">
        <v>2</v>
      </c>
      <c r="I511" s="6" t="s">
        <v>181</v>
      </c>
      <c r="J511" s="6" t="s">
        <v>163</v>
      </c>
      <c r="K511" s="6">
        <v>410</v>
      </c>
      <c r="L511" s="6" t="s">
        <v>33</v>
      </c>
      <c r="M511" s="6" t="s">
        <v>69</v>
      </c>
    </row>
    <row r="512" spans="1:13">
      <c r="A512" s="6" t="s">
        <v>1152</v>
      </c>
      <c r="B512" s="7">
        <v>46055</v>
      </c>
      <c r="C512" s="6" t="s">
        <v>1153</v>
      </c>
      <c r="D512" s="6" t="s">
        <v>72</v>
      </c>
      <c r="E512" s="6" t="s">
        <v>52</v>
      </c>
      <c r="F512" s="6" t="s">
        <v>100</v>
      </c>
      <c r="G512" s="6" t="s">
        <v>101</v>
      </c>
      <c r="H512" s="6">
        <v>2</v>
      </c>
      <c r="I512" s="6" t="s">
        <v>181</v>
      </c>
      <c r="J512" s="6" t="s">
        <v>163</v>
      </c>
      <c r="K512" s="6">
        <v>640</v>
      </c>
      <c r="L512" s="6" t="s">
        <v>42</v>
      </c>
      <c r="M512" s="6" t="s">
        <v>69</v>
      </c>
    </row>
    <row r="513" spans="1:13">
      <c r="A513" s="6" t="s">
        <v>1154</v>
      </c>
      <c r="B513" s="7">
        <v>46104</v>
      </c>
      <c r="C513" s="6" t="s">
        <v>1155</v>
      </c>
      <c r="D513" s="6" t="s">
        <v>77</v>
      </c>
      <c r="E513" s="6" t="s">
        <v>46</v>
      </c>
      <c r="F513" s="6" t="s">
        <v>94</v>
      </c>
      <c r="G513" s="6" t="s">
        <v>95</v>
      </c>
      <c r="H513" s="6">
        <v>2</v>
      </c>
      <c r="I513" s="6" t="s">
        <v>60</v>
      </c>
      <c r="J513" s="6" t="s">
        <v>189</v>
      </c>
      <c r="K513" s="6">
        <v>340</v>
      </c>
      <c r="L513" s="6" t="s">
        <v>33</v>
      </c>
      <c r="M513" s="6" t="s">
        <v>34</v>
      </c>
    </row>
    <row r="514" spans="1:13">
      <c r="A514" s="6" t="s">
        <v>1156</v>
      </c>
      <c r="B514" s="7">
        <v>46125</v>
      </c>
      <c r="C514" s="6" t="s">
        <v>1157</v>
      </c>
      <c r="D514" s="6" t="s">
        <v>105</v>
      </c>
      <c r="E514" s="6" t="s">
        <v>37</v>
      </c>
      <c r="F514" s="6" t="s">
        <v>47</v>
      </c>
      <c r="G514" s="6" t="s">
        <v>48</v>
      </c>
      <c r="H514" s="6">
        <v>2</v>
      </c>
      <c r="I514" s="6" t="s">
        <v>82</v>
      </c>
      <c r="J514" s="6" t="s">
        <v>297</v>
      </c>
      <c r="K514" s="6">
        <v>85</v>
      </c>
      <c r="L514" s="6" t="s">
        <v>33</v>
      </c>
      <c r="M514" s="6" t="s">
        <v>69</v>
      </c>
    </row>
    <row r="515" spans="1:13">
      <c r="A515" s="6" t="s">
        <v>1158</v>
      </c>
      <c r="B515" s="7">
        <v>46048</v>
      </c>
      <c r="C515" s="6" t="s">
        <v>137</v>
      </c>
      <c r="D515" s="6" t="s">
        <v>110</v>
      </c>
      <c r="E515" s="6" t="s">
        <v>78</v>
      </c>
      <c r="F515" s="6" t="s">
        <v>29</v>
      </c>
      <c r="G515" s="6" t="s">
        <v>30</v>
      </c>
      <c r="H515" s="6">
        <v>3</v>
      </c>
      <c r="I515" s="6" t="s">
        <v>67</v>
      </c>
      <c r="J515" s="6" t="s">
        <v>68</v>
      </c>
      <c r="K515" s="6">
        <v>520</v>
      </c>
      <c r="L515" s="6" t="s">
        <v>42</v>
      </c>
      <c r="M515" s="6" t="s">
        <v>34</v>
      </c>
    </row>
    <row r="516" spans="1:13">
      <c r="A516" s="6" t="s">
        <v>1159</v>
      </c>
      <c r="B516" s="7">
        <v>46090</v>
      </c>
      <c r="C516" s="6" t="s">
        <v>367</v>
      </c>
      <c r="D516" s="6" t="s">
        <v>127</v>
      </c>
      <c r="E516" s="6" t="s">
        <v>46</v>
      </c>
      <c r="F516" s="6" t="s">
        <v>100</v>
      </c>
      <c r="G516" s="6" t="s">
        <v>101</v>
      </c>
      <c r="H516" s="6">
        <v>1</v>
      </c>
      <c r="I516" s="6" t="s">
        <v>113</v>
      </c>
      <c r="J516" s="6" t="s">
        <v>113</v>
      </c>
      <c r="K516" s="6">
        <v>640</v>
      </c>
      <c r="L516" s="6" t="s">
        <v>42</v>
      </c>
      <c r="M516" s="6" t="s">
        <v>34</v>
      </c>
    </row>
    <row r="517" spans="1:13">
      <c r="A517" s="6" t="s">
        <v>1160</v>
      </c>
      <c r="B517" s="7">
        <v>46034</v>
      </c>
      <c r="C517" s="6" t="s">
        <v>1161</v>
      </c>
      <c r="D517" s="6" t="s">
        <v>45</v>
      </c>
      <c r="E517" s="6" t="s">
        <v>46</v>
      </c>
      <c r="F517" s="6" t="s">
        <v>38</v>
      </c>
      <c r="G517" s="6" t="s">
        <v>39</v>
      </c>
      <c r="H517" s="6">
        <v>2</v>
      </c>
      <c r="I517" s="6" t="s">
        <v>151</v>
      </c>
      <c r="J517" s="6" t="s">
        <v>249</v>
      </c>
      <c r="K517" s="6">
        <v>520</v>
      </c>
      <c r="L517" s="6" t="s">
        <v>42</v>
      </c>
      <c r="M517" s="6" t="s">
        <v>34</v>
      </c>
    </row>
    <row r="518" spans="1:13">
      <c r="A518" s="6" t="s">
        <v>1162</v>
      </c>
      <c r="B518" s="7">
        <v>46085</v>
      </c>
      <c r="C518" s="6" t="s">
        <v>1163</v>
      </c>
      <c r="D518" s="6" t="s">
        <v>127</v>
      </c>
      <c r="E518" s="6" t="s">
        <v>37</v>
      </c>
      <c r="F518" s="6" t="s">
        <v>85</v>
      </c>
      <c r="G518" s="6" t="s">
        <v>86</v>
      </c>
      <c r="H518" s="6">
        <v>2</v>
      </c>
      <c r="I518" s="6" t="s">
        <v>117</v>
      </c>
      <c r="J518" s="6" t="s">
        <v>118</v>
      </c>
      <c r="K518" s="6">
        <v>410</v>
      </c>
      <c r="L518" s="6" t="s">
        <v>42</v>
      </c>
      <c r="M518" s="6" t="s">
        <v>34</v>
      </c>
    </row>
    <row r="519" spans="1:13">
      <c r="A519" s="6" t="s">
        <v>1164</v>
      </c>
      <c r="B519" s="7">
        <v>46332</v>
      </c>
      <c r="C519" s="6" t="s">
        <v>230</v>
      </c>
      <c r="D519" s="6" t="s">
        <v>77</v>
      </c>
      <c r="E519" s="6" t="s">
        <v>28</v>
      </c>
      <c r="F519" s="6" t="s">
        <v>94</v>
      </c>
      <c r="G519" s="6" t="s">
        <v>95</v>
      </c>
      <c r="H519" s="6">
        <v>1</v>
      </c>
      <c r="I519" s="6" t="s">
        <v>231</v>
      </c>
      <c r="J519" s="6" t="s">
        <v>231</v>
      </c>
      <c r="K519" s="6" t="s">
        <v>114</v>
      </c>
      <c r="L519" s="6" t="s">
        <v>42</v>
      </c>
      <c r="M519" s="6" t="s">
        <v>69</v>
      </c>
    </row>
    <row r="520" spans="1:13">
      <c r="A520" s="6" t="s">
        <v>1165</v>
      </c>
      <c r="B520" s="7">
        <v>46178</v>
      </c>
      <c r="C520" s="6" t="s">
        <v>1166</v>
      </c>
      <c r="D520" s="6" t="s">
        <v>64</v>
      </c>
      <c r="E520" s="6" t="s">
        <v>37</v>
      </c>
      <c r="F520" s="6" t="s">
        <v>58</v>
      </c>
      <c r="G520" s="6" t="s">
        <v>59</v>
      </c>
      <c r="H520" s="6">
        <v>3</v>
      </c>
      <c r="I520" s="6" t="s">
        <v>82</v>
      </c>
      <c r="J520" s="6" t="s">
        <v>390</v>
      </c>
      <c r="K520" s="6" t="s">
        <v>61</v>
      </c>
      <c r="L520" s="6" t="s">
        <v>42</v>
      </c>
      <c r="M520" s="6" t="s">
        <v>34</v>
      </c>
    </row>
    <row r="521" spans="1:13">
      <c r="A521" s="6" t="s">
        <v>1167</v>
      </c>
      <c r="B521" s="6" t="s">
        <v>577</v>
      </c>
      <c r="C521" s="6" t="s">
        <v>1168</v>
      </c>
      <c r="D521" s="6" t="s">
        <v>105</v>
      </c>
      <c r="E521" s="6" t="s">
        <v>28</v>
      </c>
      <c r="F521" s="6" t="s">
        <v>29</v>
      </c>
      <c r="G521" s="6" t="s">
        <v>30</v>
      </c>
      <c r="H521" s="6">
        <v>1</v>
      </c>
      <c r="I521" s="6" t="s">
        <v>79</v>
      </c>
      <c r="J521" s="6" t="s">
        <v>79</v>
      </c>
      <c r="K521" s="6">
        <v>520</v>
      </c>
      <c r="L521" s="6" t="s">
        <v>42</v>
      </c>
      <c r="M521" s="6" t="s">
        <v>69</v>
      </c>
    </row>
    <row r="522" spans="1:13">
      <c r="A522" s="6" t="s">
        <v>1169</v>
      </c>
      <c r="B522" s="7">
        <v>46174</v>
      </c>
      <c r="C522" s="6" t="s">
        <v>1170</v>
      </c>
      <c r="D522" s="6" t="s">
        <v>127</v>
      </c>
      <c r="E522" s="6" t="s">
        <v>46</v>
      </c>
      <c r="F522" s="6" t="s">
        <v>29</v>
      </c>
      <c r="G522" s="6" t="s">
        <v>30</v>
      </c>
      <c r="H522" s="6">
        <v>1</v>
      </c>
      <c r="I522" s="6" t="s">
        <v>231</v>
      </c>
      <c r="J522" s="6" t="s">
        <v>231</v>
      </c>
      <c r="K522" s="6" t="s">
        <v>41</v>
      </c>
      <c r="L522" s="6" t="s">
        <v>42</v>
      </c>
      <c r="M522" s="6" t="s">
        <v>34</v>
      </c>
    </row>
    <row r="523" spans="1:13">
      <c r="A523" s="6" t="s">
        <v>1171</v>
      </c>
      <c r="B523" s="7">
        <v>46137</v>
      </c>
      <c r="C523" s="6" t="s">
        <v>1172</v>
      </c>
      <c r="D523" s="6" t="s">
        <v>127</v>
      </c>
      <c r="E523" s="6" t="s">
        <v>78</v>
      </c>
      <c r="F523" s="6" t="s">
        <v>94</v>
      </c>
      <c r="G523" s="6" t="s">
        <v>95</v>
      </c>
      <c r="H523" s="6">
        <v>1</v>
      </c>
      <c r="I523" s="6" t="s">
        <v>60</v>
      </c>
      <c r="J523" s="6" t="s">
        <v>60</v>
      </c>
      <c r="K523" s="6" t="s">
        <v>114</v>
      </c>
      <c r="L523" s="6" t="s">
        <v>42</v>
      </c>
      <c r="M523" s="6" t="s">
        <v>69</v>
      </c>
    </row>
    <row r="524" spans="1:13">
      <c r="A524" s="6" t="s">
        <v>1173</v>
      </c>
      <c r="B524" s="7">
        <v>46107</v>
      </c>
      <c r="C524" s="6" t="s">
        <v>1174</v>
      </c>
      <c r="D524" s="6" t="s">
        <v>45</v>
      </c>
      <c r="E524" s="6" t="s">
        <v>28</v>
      </c>
      <c r="F524" s="6" t="s">
        <v>58</v>
      </c>
      <c r="G524" s="6" t="s">
        <v>59</v>
      </c>
      <c r="H524" s="6">
        <v>1</v>
      </c>
      <c r="I524" s="6" t="s">
        <v>31</v>
      </c>
      <c r="J524" s="6" t="s">
        <v>31</v>
      </c>
      <c r="K524" s="6">
        <v>380</v>
      </c>
      <c r="L524" s="6" t="s">
        <v>42</v>
      </c>
      <c r="M524" s="6" t="s">
        <v>34</v>
      </c>
    </row>
    <row r="525" spans="1:13">
      <c r="A525" s="6" t="s">
        <v>1175</v>
      </c>
      <c r="B525" s="7">
        <v>46128</v>
      </c>
      <c r="C525" s="6" t="s">
        <v>1176</v>
      </c>
      <c r="D525" s="6" t="s">
        <v>45</v>
      </c>
      <c r="E525" s="6" t="s">
        <v>78</v>
      </c>
      <c r="F525" s="6" t="s">
        <v>38</v>
      </c>
      <c r="G525" s="6" t="s">
        <v>39</v>
      </c>
      <c r="H525" s="6">
        <v>2</v>
      </c>
      <c r="I525" s="6" t="s">
        <v>748</v>
      </c>
      <c r="J525" s="6" t="s">
        <v>192</v>
      </c>
      <c r="K525" s="6">
        <v>520</v>
      </c>
      <c r="L525" s="6" t="s">
        <v>42</v>
      </c>
      <c r="M525" s="6" t="s">
        <v>69</v>
      </c>
    </row>
    <row r="526" spans="1:13">
      <c r="A526" s="6" t="s">
        <v>1177</v>
      </c>
      <c r="B526" s="7">
        <v>46188</v>
      </c>
      <c r="C526" s="6" t="s">
        <v>1112</v>
      </c>
      <c r="D526" s="6" t="s">
        <v>45</v>
      </c>
      <c r="E526" s="6" t="s">
        <v>52</v>
      </c>
      <c r="F526" s="6" t="s">
        <v>58</v>
      </c>
      <c r="G526" s="6" t="s">
        <v>59</v>
      </c>
      <c r="H526" s="6">
        <v>3</v>
      </c>
      <c r="I526" s="6" t="s">
        <v>143</v>
      </c>
      <c r="J526" s="6" t="s">
        <v>243</v>
      </c>
      <c r="K526" s="6" t="s">
        <v>61</v>
      </c>
      <c r="L526" s="6" t="s">
        <v>42</v>
      </c>
      <c r="M526" s="6" t="s">
        <v>34</v>
      </c>
    </row>
    <row r="527" spans="1:13">
      <c r="A527" s="6" t="s">
        <v>1178</v>
      </c>
      <c r="B527" s="7">
        <v>46184</v>
      </c>
      <c r="C527" s="6" t="s">
        <v>1179</v>
      </c>
      <c r="D527" s="6" t="s">
        <v>64</v>
      </c>
      <c r="E527" s="6" t="s">
        <v>28</v>
      </c>
      <c r="F527" s="6" t="s">
        <v>100</v>
      </c>
      <c r="G527" s="6" t="s">
        <v>101</v>
      </c>
      <c r="H527" s="6">
        <v>1</v>
      </c>
      <c r="I527" s="6" t="s">
        <v>265</v>
      </c>
      <c r="J527" s="6" t="s">
        <v>265</v>
      </c>
      <c r="K527" s="6" t="s">
        <v>119</v>
      </c>
      <c r="L527" s="6" t="s">
        <v>33</v>
      </c>
      <c r="M527" s="6" t="s">
        <v>34</v>
      </c>
    </row>
    <row r="528" spans="1:13">
      <c r="A528" s="6" t="s">
        <v>1180</v>
      </c>
      <c r="B528" s="7">
        <v>46163</v>
      </c>
      <c r="C528" s="6" t="s">
        <v>1181</v>
      </c>
      <c r="D528" s="6" t="s">
        <v>45</v>
      </c>
      <c r="E528" s="6" t="s">
        <v>37</v>
      </c>
      <c r="F528" s="6" t="s">
        <v>58</v>
      </c>
      <c r="G528" s="6" t="s">
        <v>59</v>
      </c>
      <c r="H528" s="6">
        <v>1</v>
      </c>
      <c r="I528" s="6" t="s">
        <v>90</v>
      </c>
      <c r="J528" s="6" t="s">
        <v>1182</v>
      </c>
      <c r="K528" s="6" t="s">
        <v>61</v>
      </c>
      <c r="L528" s="6" t="s">
        <v>33</v>
      </c>
      <c r="M528" s="6" t="s">
        <v>69</v>
      </c>
    </row>
    <row r="529" spans="1:13">
      <c r="A529" s="6" t="s">
        <v>1183</v>
      </c>
      <c r="B529" s="7">
        <v>46038</v>
      </c>
      <c r="C529" s="6" t="s">
        <v>1184</v>
      </c>
      <c r="D529" s="6" t="s">
        <v>27</v>
      </c>
      <c r="E529" s="6" t="s">
        <v>28</v>
      </c>
      <c r="F529" s="6" t="s">
        <v>53</v>
      </c>
      <c r="G529" s="6" t="s">
        <v>54</v>
      </c>
      <c r="H529" s="6">
        <v>1</v>
      </c>
      <c r="I529" s="6" t="s">
        <v>660</v>
      </c>
      <c r="J529" s="6" t="s">
        <v>79</v>
      </c>
      <c r="K529" s="6">
        <v>190</v>
      </c>
      <c r="L529" s="6" t="s">
        <v>42</v>
      </c>
      <c r="M529" s="6" t="s">
        <v>34</v>
      </c>
    </row>
    <row r="530" spans="1:13">
      <c r="A530" s="6" t="s">
        <v>1185</v>
      </c>
      <c r="B530" s="7">
        <v>46178</v>
      </c>
      <c r="C530" s="6" t="s">
        <v>1186</v>
      </c>
      <c r="D530" s="6" t="s">
        <v>27</v>
      </c>
      <c r="E530" s="6" t="s">
        <v>78</v>
      </c>
      <c r="F530" s="6" t="s">
        <v>85</v>
      </c>
      <c r="G530" s="6" t="s">
        <v>86</v>
      </c>
      <c r="H530" s="6">
        <v>2</v>
      </c>
      <c r="I530" s="6" t="s">
        <v>40</v>
      </c>
      <c r="J530" s="6" t="s">
        <v>327</v>
      </c>
      <c r="K530" s="6" t="s">
        <v>87</v>
      </c>
      <c r="L530" s="6" t="s">
        <v>33</v>
      </c>
      <c r="M530" s="6" t="s">
        <v>34</v>
      </c>
    </row>
    <row r="531" spans="1:13">
      <c r="A531" s="6" t="s">
        <v>1187</v>
      </c>
      <c r="B531" s="7">
        <v>46190</v>
      </c>
      <c r="C531" s="6" t="s">
        <v>1188</v>
      </c>
      <c r="D531" s="6" t="s">
        <v>127</v>
      </c>
      <c r="E531" s="6" t="s">
        <v>78</v>
      </c>
      <c r="F531" s="6" t="s">
        <v>38</v>
      </c>
      <c r="G531" s="6" t="s">
        <v>39</v>
      </c>
      <c r="H531" s="6">
        <v>3</v>
      </c>
      <c r="I531" s="6" t="s">
        <v>79</v>
      </c>
      <c r="J531" s="6" t="s">
        <v>216</v>
      </c>
      <c r="K531" s="6" t="s">
        <v>41</v>
      </c>
      <c r="L531" s="6" t="s">
        <v>42</v>
      </c>
      <c r="M531" s="6" t="s">
        <v>34</v>
      </c>
    </row>
    <row r="532" spans="1:13">
      <c r="A532" s="6" t="s">
        <v>1189</v>
      </c>
      <c r="B532" s="7">
        <v>46113</v>
      </c>
      <c r="C532" s="6" t="s">
        <v>1190</v>
      </c>
      <c r="D532" s="6" t="s">
        <v>64</v>
      </c>
      <c r="E532" s="6" t="s">
        <v>46</v>
      </c>
      <c r="F532" s="6" t="s">
        <v>94</v>
      </c>
      <c r="G532" s="6" t="s">
        <v>95</v>
      </c>
      <c r="H532" s="6">
        <v>3</v>
      </c>
      <c r="I532" s="6" t="s">
        <v>79</v>
      </c>
      <c r="J532" s="6" t="s">
        <v>216</v>
      </c>
      <c r="K532" s="6">
        <v>340</v>
      </c>
      <c r="L532" s="6" t="s">
        <v>42</v>
      </c>
      <c r="M532" s="6" t="s">
        <v>69</v>
      </c>
    </row>
    <row r="533" spans="1:13">
      <c r="A533" s="6" t="s">
        <v>1191</v>
      </c>
      <c r="B533" s="7">
        <v>46296</v>
      </c>
      <c r="C533" s="6" t="s">
        <v>1192</v>
      </c>
      <c r="D533" s="6" t="s">
        <v>72</v>
      </c>
      <c r="E533" s="6" t="s">
        <v>28</v>
      </c>
      <c r="F533" s="6" t="s">
        <v>58</v>
      </c>
      <c r="G533" s="6" t="s">
        <v>59</v>
      </c>
      <c r="H533" s="6">
        <v>1</v>
      </c>
      <c r="I533" s="6" t="s">
        <v>31</v>
      </c>
      <c r="J533" s="6" t="s">
        <v>31</v>
      </c>
      <c r="K533" s="6">
        <v>380</v>
      </c>
      <c r="L533" s="6" t="s">
        <v>42</v>
      </c>
      <c r="M533" s="6" t="s">
        <v>69</v>
      </c>
    </row>
    <row r="534" spans="1:13">
      <c r="A534" s="6" t="s">
        <v>1193</v>
      </c>
      <c r="B534" s="7">
        <v>46104</v>
      </c>
      <c r="C534" s="6" t="s">
        <v>1194</v>
      </c>
      <c r="D534" s="6" t="s">
        <v>45</v>
      </c>
      <c r="E534" s="6" t="s">
        <v>46</v>
      </c>
      <c r="F534" s="6" t="s">
        <v>100</v>
      </c>
      <c r="G534" s="6" t="s">
        <v>101</v>
      </c>
      <c r="H534" s="6">
        <v>1</v>
      </c>
      <c r="I534" s="6" t="s">
        <v>31</v>
      </c>
      <c r="J534" s="6" t="s">
        <v>231</v>
      </c>
      <c r="K534" s="6">
        <v>640</v>
      </c>
      <c r="L534" s="6" t="s">
        <v>42</v>
      </c>
      <c r="M534" s="6" t="s">
        <v>34</v>
      </c>
    </row>
    <row r="535" spans="1:13">
      <c r="A535" s="6" t="s">
        <v>1195</v>
      </c>
      <c r="B535" s="7">
        <v>46044</v>
      </c>
      <c r="C535" s="6" t="s">
        <v>1196</v>
      </c>
      <c r="D535" s="6" t="s">
        <v>72</v>
      </c>
      <c r="E535" s="6" t="s">
        <v>46</v>
      </c>
      <c r="F535" s="6" t="s">
        <v>94</v>
      </c>
      <c r="G535" s="6" t="s">
        <v>95</v>
      </c>
      <c r="H535" s="6">
        <v>2</v>
      </c>
      <c r="I535" s="6" t="s">
        <v>265</v>
      </c>
      <c r="J535" s="6" t="s">
        <v>167</v>
      </c>
      <c r="K535" s="6">
        <v>340</v>
      </c>
      <c r="L535" s="6" t="s">
        <v>42</v>
      </c>
      <c r="M535" s="6" t="s">
        <v>34</v>
      </c>
    </row>
    <row r="536" spans="1:13">
      <c r="A536" s="6" t="s">
        <v>1197</v>
      </c>
      <c r="B536" s="7">
        <v>46054</v>
      </c>
      <c r="C536" s="6" t="s">
        <v>1032</v>
      </c>
      <c r="D536" s="6" t="s">
        <v>110</v>
      </c>
      <c r="E536" s="6" t="s">
        <v>52</v>
      </c>
      <c r="F536" s="6" t="s">
        <v>100</v>
      </c>
      <c r="G536" s="6" t="s">
        <v>101</v>
      </c>
      <c r="H536" s="6">
        <v>3</v>
      </c>
      <c r="I536" s="6" t="s">
        <v>82</v>
      </c>
      <c r="J536" s="6" t="s">
        <v>1198</v>
      </c>
      <c r="K536" s="6">
        <v>640</v>
      </c>
      <c r="L536" s="6" t="s">
        <v>42</v>
      </c>
      <c r="M536" s="6" t="s">
        <v>69</v>
      </c>
    </row>
    <row r="537" spans="1:13">
      <c r="A537" s="6" t="s">
        <v>1199</v>
      </c>
      <c r="B537" s="7">
        <v>46047</v>
      </c>
      <c r="C537" s="6" t="s">
        <v>1200</v>
      </c>
      <c r="D537" s="6" t="s">
        <v>110</v>
      </c>
      <c r="E537" s="6" t="s">
        <v>46</v>
      </c>
      <c r="F537" s="6" t="s">
        <v>85</v>
      </c>
      <c r="G537" s="6" t="s">
        <v>86</v>
      </c>
      <c r="H537" s="6">
        <v>1</v>
      </c>
      <c r="I537" s="6" t="s">
        <v>79</v>
      </c>
      <c r="J537" s="6" t="s">
        <v>79</v>
      </c>
      <c r="K537" s="6">
        <v>410</v>
      </c>
      <c r="L537" s="6" t="s">
        <v>42</v>
      </c>
      <c r="M537" s="6" t="s">
        <v>34</v>
      </c>
    </row>
    <row r="538" spans="1:13">
      <c r="A538" s="6" t="s">
        <v>1201</v>
      </c>
      <c r="B538" s="7">
        <v>46088</v>
      </c>
      <c r="C538" s="6" t="s">
        <v>1202</v>
      </c>
      <c r="D538" s="6" t="s">
        <v>127</v>
      </c>
      <c r="E538" s="6" t="s">
        <v>78</v>
      </c>
      <c r="F538" s="6" t="s">
        <v>100</v>
      </c>
      <c r="G538" s="6" t="s">
        <v>101</v>
      </c>
      <c r="H538" s="6">
        <v>1</v>
      </c>
      <c r="I538" s="6" t="s">
        <v>117</v>
      </c>
      <c r="J538" s="6" t="s">
        <v>117</v>
      </c>
      <c r="K538" s="6">
        <v>640</v>
      </c>
      <c r="L538" s="6" t="s">
        <v>42</v>
      </c>
      <c r="M538" s="6" t="s">
        <v>69</v>
      </c>
    </row>
    <row r="539" spans="1:13">
      <c r="A539" s="6" t="s">
        <v>1203</v>
      </c>
      <c r="B539" s="7">
        <v>46080</v>
      </c>
      <c r="C539" s="6" t="s">
        <v>1077</v>
      </c>
      <c r="D539" s="6" t="s">
        <v>77</v>
      </c>
      <c r="E539" s="6" t="s">
        <v>37</v>
      </c>
      <c r="F539" s="6" t="s">
        <v>47</v>
      </c>
      <c r="G539" s="6" t="s">
        <v>48</v>
      </c>
      <c r="H539" s="6">
        <v>1</v>
      </c>
      <c r="I539" s="6" t="s">
        <v>147</v>
      </c>
      <c r="J539" s="6" t="s">
        <v>147</v>
      </c>
      <c r="K539" s="6">
        <v>85</v>
      </c>
      <c r="L539" s="6" t="s">
        <v>42</v>
      </c>
      <c r="M539" s="6" t="s">
        <v>34</v>
      </c>
    </row>
    <row r="540" spans="1:13">
      <c r="A540" s="6" t="s">
        <v>1204</v>
      </c>
      <c r="B540" s="7">
        <v>46075</v>
      </c>
      <c r="C540" s="6" t="s">
        <v>1205</v>
      </c>
      <c r="D540" s="6" t="s">
        <v>57</v>
      </c>
      <c r="E540" s="6" t="s">
        <v>28</v>
      </c>
      <c r="F540" s="6" t="s">
        <v>100</v>
      </c>
      <c r="G540" s="6" t="s">
        <v>101</v>
      </c>
      <c r="H540" s="6">
        <v>2</v>
      </c>
      <c r="I540" s="6" t="s">
        <v>31</v>
      </c>
      <c r="J540" s="6" t="s">
        <v>249</v>
      </c>
      <c r="K540" s="6">
        <v>640</v>
      </c>
      <c r="L540" s="6" t="s">
        <v>42</v>
      </c>
      <c r="M540" s="6" t="s">
        <v>34</v>
      </c>
    </row>
    <row r="541" spans="1:13">
      <c r="A541" s="6" t="s">
        <v>1206</v>
      </c>
      <c r="B541" s="7">
        <v>46164</v>
      </c>
      <c r="C541" s="6" t="s">
        <v>1207</v>
      </c>
      <c r="D541" s="6" t="s">
        <v>45</v>
      </c>
      <c r="E541" s="6" t="s">
        <v>37</v>
      </c>
      <c r="F541" s="6" t="s">
        <v>47</v>
      </c>
      <c r="G541" s="6" t="s">
        <v>48</v>
      </c>
      <c r="H541" s="6">
        <v>1</v>
      </c>
      <c r="I541" s="6" t="s">
        <v>265</v>
      </c>
      <c r="J541" s="6" t="s">
        <v>265</v>
      </c>
      <c r="K541" s="6" t="s">
        <v>49</v>
      </c>
      <c r="L541" s="6" t="s">
        <v>42</v>
      </c>
      <c r="M541" s="6" t="s">
        <v>34</v>
      </c>
    </row>
    <row r="542" spans="1:13">
      <c r="A542" s="6" t="s">
        <v>1208</v>
      </c>
      <c r="B542" s="7">
        <v>46078</v>
      </c>
      <c r="C542" s="6" t="s">
        <v>389</v>
      </c>
      <c r="D542" s="6" t="s">
        <v>77</v>
      </c>
      <c r="E542" s="6" t="s">
        <v>78</v>
      </c>
      <c r="F542" s="6" t="s">
        <v>85</v>
      </c>
      <c r="G542" s="6" t="s">
        <v>86</v>
      </c>
      <c r="H542" s="6">
        <v>2</v>
      </c>
      <c r="I542" s="6" t="s">
        <v>147</v>
      </c>
      <c r="J542" s="6" t="s">
        <v>175</v>
      </c>
      <c r="K542" s="6">
        <v>410</v>
      </c>
      <c r="L542" s="6" t="s">
        <v>33</v>
      </c>
      <c r="M542" s="6" t="s">
        <v>69</v>
      </c>
    </row>
    <row r="543" spans="1:13">
      <c r="A543" s="6" t="s">
        <v>1209</v>
      </c>
      <c r="B543" s="7">
        <v>46071</v>
      </c>
      <c r="C543" s="6" t="s">
        <v>1210</v>
      </c>
      <c r="D543" s="6" t="s">
        <v>57</v>
      </c>
      <c r="E543" s="6" t="s">
        <v>28</v>
      </c>
      <c r="F543" s="6" t="s">
        <v>85</v>
      </c>
      <c r="G543" s="6" t="s">
        <v>86</v>
      </c>
      <c r="H543" s="6">
        <v>2</v>
      </c>
      <c r="I543" s="6" t="s">
        <v>113</v>
      </c>
      <c r="J543" s="6" t="s">
        <v>192</v>
      </c>
      <c r="K543" s="6">
        <v>410</v>
      </c>
      <c r="L543" s="6" t="s">
        <v>42</v>
      </c>
      <c r="M543" s="6" t="s">
        <v>34</v>
      </c>
    </row>
    <row r="544" spans="1:13">
      <c r="A544" s="6" t="s">
        <v>1211</v>
      </c>
      <c r="B544" s="7">
        <v>46204</v>
      </c>
      <c r="C544" s="6" t="s">
        <v>324</v>
      </c>
      <c r="D544" s="6" t="s">
        <v>105</v>
      </c>
      <c r="E544" s="6" t="s">
        <v>52</v>
      </c>
      <c r="F544" s="6" t="s">
        <v>47</v>
      </c>
      <c r="G544" s="6" t="s">
        <v>48</v>
      </c>
      <c r="H544" s="6">
        <v>1</v>
      </c>
      <c r="I544" s="6" t="s">
        <v>90</v>
      </c>
      <c r="J544" s="6" t="s">
        <v>90</v>
      </c>
      <c r="K544" s="6" t="s">
        <v>49</v>
      </c>
      <c r="L544" s="6" t="s">
        <v>42</v>
      </c>
      <c r="M544" s="6" t="s">
        <v>34</v>
      </c>
    </row>
    <row r="545" spans="1:13">
      <c r="A545" s="6" t="s">
        <v>1212</v>
      </c>
      <c r="B545" s="7">
        <v>46182</v>
      </c>
      <c r="C545" s="6" t="s">
        <v>1213</v>
      </c>
      <c r="D545" s="6" t="s">
        <v>64</v>
      </c>
      <c r="E545" s="6" t="s">
        <v>37</v>
      </c>
      <c r="F545" s="6" t="s">
        <v>47</v>
      </c>
      <c r="G545" s="6" t="s">
        <v>48</v>
      </c>
      <c r="H545" s="6">
        <v>2</v>
      </c>
      <c r="I545" s="6" t="s">
        <v>113</v>
      </c>
      <c r="J545" s="6" t="s">
        <v>192</v>
      </c>
      <c r="K545" s="6" t="s">
        <v>49</v>
      </c>
      <c r="L545" s="6" t="s">
        <v>42</v>
      </c>
      <c r="M545" s="6" t="s">
        <v>34</v>
      </c>
    </row>
    <row r="546" spans="1:13">
      <c r="A546" s="6" t="s">
        <v>1214</v>
      </c>
      <c r="B546" s="7">
        <v>46093</v>
      </c>
      <c r="C546" s="6" t="s">
        <v>1215</v>
      </c>
      <c r="D546" s="6" t="s">
        <v>77</v>
      </c>
      <c r="E546" s="6" t="s">
        <v>52</v>
      </c>
      <c r="F546" s="6" t="s">
        <v>58</v>
      </c>
      <c r="G546" s="6" t="s">
        <v>59</v>
      </c>
      <c r="H546" s="6">
        <v>2</v>
      </c>
      <c r="I546" s="6" t="s">
        <v>147</v>
      </c>
      <c r="J546" s="6" t="s">
        <v>175</v>
      </c>
      <c r="K546" s="6">
        <v>380</v>
      </c>
      <c r="L546" s="6" t="s">
        <v>42</v>
      </c>
      <c r="M546" s="6" t="s">
        <v>69</v>
      </c>
    </row>
    <row r="547" spans="1:13">
      <c r="A547" s="6" t="s">
        <v>1216</v>
      </c>
      <c r="B547" s="7">
        <v>46070</v>
      </c>
      <c r="C547" s="6" t="s">
        <v>236</v>
      </c>
      <c r="D547" s="6" t="s">
        <v>105</v>
      </c>
      <c r="E547" s="6" t="s">
        <v>46</v>
      </c>
      <c r="F547" s="6" t="s">
        <v>58</v>
      </c>
      <c r="G547" s="6" t="s">
        <v>59</v>
      </c>
      <c r="H547" s="6">
        <v>1</v>
      </c>
      <c r="I547" s="6" t="s">
        <v>181</v>
      </c>
      <c r="J547" s="6" t="s">
        <v>181</v>
      </c>
      <c r="K547" s="6">
        <v>380</v>
      </c>
      <c r="L547" s="6" t="s">
        <v>42</v>
      </c>
      <c r="M547" s="6" t="s">
        <v>34</v>
      </c>
    </row>
    <row r="548" spans="1:13">
      <c r="A548" s="6" t="s">
        <v>1217</v>
      </c>
      <c r="B548" s="7">
        <v>46080</v>
      </c>
      <c r="C548" s="6" t="s">
        <v>1218</v>
      </c>
      <c r="D548" s="6" t="s">
        <v>57</v>
      </c>
      <c r="E548" s="6" t="s">
        <v>37</v>
      </c>
      <c r="F548" s="6" t="s">
        <v>100</v>
      </c>
      <c r="G548" s="6" t="s">
        <v>101</v>
      </c>
      <c r="H548" s="6">
        <v>1</v>
      </c>
      <c r="I548" s="6" t="s">
        <v>79</v>
      </c>
      <c r="J548" s="6" t="s">
        <v>79</v>
      </c>
      <c r="K548" s="6">
        <v>640</v>
      </c>
      <c r="L548" s="6" t="s">
        <v>42</v>
      </c>
      <c r="M548" s="6" t="s">
        <v>34</v>
      </c>
    </row>
    <row r="549" spans="1:13">
      <c r="A549" s="6" t="s">
        <v>1219</v>
      </c>
      <c r="B549" s="7">
        <v>46150</v>
      </c>
      <c r="C549" s="6" t="s">
        <v>863</v>
      </c>
      <c r="D549" s="6" t="s">
        <v>57</v>
      </c>
      <c r="E549" s="6" t="s">
        <v>28</v>
      </c>
      <c r="F549" s="6" t="s">
        <v>53</v>
      </c>
      <c r="G549" s="6" t="s">
        <v>54</v>
      </c>
      <c r="H549" s="6">
        <v>2</v>
      </c>
      <c r="I549" s="6" t="s">
        <v>113</v>
      </c>
      <c r="J549" s="6" t="s">
        <v>192</v>
      </c>
      <c r="K549" s="6" t="s">
        <v>122</v>
      </c>
      <c r="L549" s="6" t="s">
        <v>33</v>
      </c>
      <c r="M549" s="6" t="s">
        <v>69</v>
      </c>
    </row>
    <row r="550" spans="1:13">
      <c r="A550" s="6" t="s">
        <v>1220</v>
      </c>
      <c r="B550" s="7">
        <v>46183</v>
      </c>
      <c r="C550" s="6" t="s">
        <v>1221</v>
      </c>
      <c r="D550" s="6" t="s">
        <v>45</v>
      </c>
      <c r="E550" s="6" t="s">
        <v>78</v>
      </c>
      <c r="F550" s="6" t="s">
        <v>100</v>
      </c>
      <c r="G550" s="6" t="s">
        <v>101</v>
      </c>
      <c r="H550" s="6">
        <v>2</v>
      </c>
      <c r="I550" s="6" t="s">
        <v>231</v>
      </c>
      <c r="J550" s="6" t="s">
        <v>232</v>
      </c>
      <c r="K550" s="6" t="s">
        <v>119</v>
      </c>
      <c r="L550" s="6" t="s">
        <v>33</v>
      </c>
      <c r="M550" s="6" t="s">
        <v>34</v>
      </c>
    </row>
    <row r="551" spans="1:13">
      <c r="A551" s="6" t="s">
        <v>1222</v>
      </c>
      <c r="B551" s="7">
        <v>46117</v>
      </c>
      <c r="C551" s="6" t="s">
        <v>1223</v>
      </c>
      <c r="D551" s="6" t="s">
        <v>45</v>
      </c>
      <c r="E551" s="6" t="s">
        <v>52</v>
      </c>
      <c r="F551" s="6" t="s">
        <v>47</v>
      </c>
      <c r="G551" s="6" t="s">
        <v>48</v>
      </c>
      <c r="H551" s="6">
        <v>1</v>
      </c>
      <c r="I551" s="6" t="s">
        <v>1224</v>
      </c>
      <c r="J551" s="6" t="s">
        <v>117</v>
      </c>
      <c r="K551" s="6">
        <v>85</v>
      </c>
      <c r="L551" s="6" t="s">
        <v>42</v>
      </c>
      <c r="M551" s="6" t="s">
        <v>69</v>
      </c>
    </row>
    <row r="552" spans="1:13">
      <c r="A552" s="6" t="s">
        <v>1225</v>
      </c>
      <c r="B552" s="7">
        <v>46054</v>
      </c>
      <c r="C552" s="6" t="s">
        <v>1226</v>
      </c>
      <c r="D552" s="6" t="s">
        <v>72</v>
      </c>
      <c r="E552" s="6" t="s">
        <v>37</v>
      </c>
      <c r="F552" s="6" t="s">
        <v>100</v>
      </c>
      <c r="G552" s="6" t="s">
        <v>101</v>
      </c>
      <c r="H552" s="6">
        <v>2</v>
      </c>
      <c r="I552" s="6" t="s">
        <v>90</v>
      </c>
      <c r="J552" s="6" t="s">
        <v>154</v>
      </c>
      <c r="K552" s="6">
        <v>640</v>
      </c>
      <c r="L552" s="6" t="s">
        <v>33</v>
      </c>
      <c r="M552" s="6" t="s">
        <v>34</v>
      </c>
    </row>
    <row r="553" spans="1:13">
      <c r="A553" s="6" t="s">
        <v>1227</v>
      </c>
      <c r="B553" s="7">
        <v>46088</v>
      </c>
      <c r="C553" s="6" t="s">
        <v>1228</v>
      </c>
      <c r="D553" s="6" t="s">
        <v>64</v>
      </c>
      <c r="E553" s="6" t="s">
        <v>37</v>
      </c>
      <c r="F553" s="6" t="s">
        <v>29</v>
      </c>
      <c r="G553" s="6" t="s">
        <v>30</v>
      </c>
      <c r="H553" s="6">
        <v>2</v>
      </c>
      <c r="I553" s="6" t="s">
        <v>748</v>
      </c>
      <c r="J553" s="6" t="s">
        <v>192</v>
      </c>
      <c r="K553" s="6">
        <v>520</v>
      </c>
      <c r="L553" s="6" t="s">
        <v>33</v>
      </c>
      <c r="M553" s="6" t="s">
        <v>69</v>
      </c>
    </row>
    <row r="554" spans="1:13">
      <c r="A554" s="6" t="s">
        <v>1229</v>
      </c>
      <c r="B554" s="7">
        <v>46100</v>
      </c>
      <c r="C554" s="6" t="s">
        <v>1230</v>
      </c>
      <c r="D554" s="6" t="s">
        <v>105</v>
      </c>
      <c r="E554" s="6" t="s">
        <v>52</v>
      </c>
      <c r="F554" s="6" t="s">
        <v>29</v>
      </c>
      <c r="G554" s="6" t="s">
        <v>30</v>
      </c>
      <c r="H554" s="6">
        <v>2</v>
      </c>
      <c r="I554" s="6" t="s">
        <v>265</v>
      </c>
      <c r="J554" s="6" t="s">
        <v>167</v>
      </c>
      <c r="K554" s="6">
        <v>520</v>
      </c>
      <c r="L554" s="6" t="s">
        <v>33</v>
      </c>
      <c r="M554" s="6" t="s">
        <v>34</v>
      </c>
    </row>
    <row r="555" spans="1:13">
      <c r="A555" s="6" t="s">
        <v>1231</v>
      </c>
      <c r="B555" s="7">
        <v>46165</v>
      </c>
      <c r="C555" s="6" t="s">
        <v>1232</v>
      </c>
      <c r="D555" s="6" t="s">
        <v>105</v>
      </c>
      <c r="E555" s="6" t="s">
        <v>28</v>
      </c>
      <c r="F555" s="6" t="s">
        <v>29</v>
      </c>
      <c r="G555" s="6" t="s">
        <v>30</v>
      </c>
      <c r="H555" s="6">
        <v>-1</v>
      </c>
      <c r="I555" s="6" t="s">
        <v>113</v>
      </c>
      <c r="J555" s="8" t="s">
        <v>1147</v>
      </c>
      <c r="K555" s="6" t="s">
        <v>41</v>
      </c>
      <c r="L555" s="6" t="s">
        <v>42</v>
      </c>
      <c r="M555" s="6" t="s">
        <v>34</v>
      </c>
    </row>
    <row r="556" spans="1:13">
      <c r="A556" s="6" t="s">
        <v>1233</v>
      </c>
      <c r="B556" s="7">
        <v>46144</v>
      </c>
      <c r="C556" s="6" t="s">
        <v>1234</v>
      </c>
      <c r="D556" s="6" t="s">
        <v>64</v>
      </c>
      <c r="E556" s="6" t="s">
        <v>37</v>
      </c>
      <c r="F556" s="6" t="s">
        <v>94</v>
      </c>
      <c r="G556" s="6" t="s">
        <v>95</v>
      </c>
      <c r="H556" s="6">
        <v>2</v>
      </c>
      <c r="I556" s="6" t="s">
        <v>231</v>
      </c>
      <c r="J556" s="6" t="s">
        <v>232</v>
      </c>
      <c r="K556" s="6" t="s">
        <v>114</v>
      </c>
      <c r="L556" s="6" t="s">
        <v>42</v>
      </c>
      <c r="M556" s="6" t="s">
        <v>34</v>
      </c>
    </row>
    <row r="557" spans="1:13">
      <c r="A557" s="6" t="s">
        <v>1235</v>
      </c>
      <c r="B557" s="7">
        <v>46359</v>
      </c>
      <c r="C557" s="6" t="s">
        <v>1087</v>
      </c>
      <c r="D557" s="6" t="s">
        <v>45</v>
      </c>
      <c r="E557" s="6" t="s">
        <v>52</v>
      </c>
      <c r="F557" s="6" t="s">
        <v>58</v>
      </c>
      <c r="G557" s="6" t="s">
        <v>59</v>
      </c>
      <c r="H557" s="6">
        <v>3</v>
      </c>
      <c r="I557" s="6" t="s">
        <v>82</v>
      </c>
      <c r="J557" s="6" t="s">
        <v>1236</v>
      </c>
      <c r="K557" s="6">
        <v>380</v>
      </c>
      <c r="L557" s="6" t="s">
        <v>42</v>
      </c>
      <c r="M557" s="6" t="s">
        <v>69</v>
      </c>
    </row>
    <row r="558" spans="1:13">
      <c r="A558" s="6" t="s">
        <v>1237</v>
      </c>
      <c r="B558" s="7">
        <v>46116</v>
      </c>
      <c r="C558" s="6" t="s">
        <v>1238</v>
      </c>
      <c r="D558" s="6" t="s">
        <v>77</v>
      </c>
      <c r="E558" s="6" t="s">
        <v>46</v>
      </c>
      <c r="F558" s="6" t="s">
        <v>58</v>
      </c>
      <c r="G558" s="6" t="s">
        <v>59</v>
      </c>
      <c r="H558" s="6">
        <v>1</v>
      </c>
      <c r="I558" s="6" t="s">
        <v>82</v>
      </c>
      <c r="J558" s="6" t="s">
        <v>82</v>
      </c>
      <c r="K558" s="6">
        <v>380</v>
      </c>
      <c r="L558" s="6" t="s">
        <v>42</v>
      </c>
      <c r="M558" s="6" t="s">
        <v>69</v>
      </c>
    </row>
    <row r="559" spans="1:13">
      <c r="A559" s="6" t="s">
        <v>1239</v>
      </c>
      <c r="B559" s="7">
        <v>46136</v>
      </c>
      <c r="C559" s="6" t="s">
        <v>1240</v>
      </c>
      <c r="D559" s="6" t="s">
        <v>57</v>
      </c>
      <c r="E559" s="6" t="s">
        <v>78</v>
      </c>
      <c r="F559" s="6" t="s">
        <v>53</v>
      </c>
      <c r="G559" s="6" t="s">
        <v>54</v>
      </c>
      <c r="H559" s="6">
        <v>1</v>
      </c>
      <c r="I559" s="6" t="s">
        <v>60</v>
      </c>
      <c r="J559" s="6" t="s">
        <v>60</v>
      </c>
      <c r="K559" s="6" t="s">
        <v>122</v>
      </c>
      <c r="L559" s="6" t="s">
        <v>42</v>
      </c>
      <c r="M559" s="6" t="s">
        <v>34</v>
      </c>
    </row>
    <row r="560" spans="1:13">
      <c r="A560" s="6" t="s">
        <v>1241</v>
      </c>
      <c r="B560" s="7">
        <v>46186</v>
      </c>
      <c r="C560" s="6" t="s">
        <v>1242</v>
      </c>
      <c r="D560" s="6" t="s">
        <v>127</v>
      </c>
      <c r="E560" s="6" t="s">
        <v>46</v>
      </c>
      <c r="F560" s="6" t="s">
        <v>47</v>
      </c>
      <c r="G560" s="6" t="s">
        <v>48</v>
      </c>
      <c r="H560" s="6">
        <v>1</v>
      </c>
      <c r="I560" s="6" t="s">
        <v>143</v>
      </c>
      <c r="J560" s="6" t="s">
        <v>143</v>
      </c>
      <c r="K560" s="6" t="s">
        <v>49</v>
      </c>
      <c r="L560" s="6" t="s">
        <v>33</v>
      </c>
      <c r="M560" s="6" t="s">
        <v>34</v>
      </c>
    </row>
    <row r="561" spans="1:13">
      <c r="A561" s="6" t="s">
        <v>1243</v>
      </c>
      <c r="B561" s="7">
        <v>46080</v>
      </c>
      <c r="C561" s="6" t="s">
        <v>1244</v>
      </c>
      <c r="D561" s="6" t="s">
        <v>77</v>
      </c>
      <c r="E561" s="6" t="s">
        <v>46</v>
      </c>
      <c r="F561" s="6" t="s">
        <v>38</v>
      </c>
      <c r="G561" s="6" t="s">
        <v>39</v>
      </c>
      <c r="H561" s="6">
        <v>1</v>
      </c>
      <c r="I561" s="6" t="s">
        <v>82</v>
      </c>
      <c r="J561" s="6" t="s">
        <v>82</v>
      </c>
      <c r="K561" s="6">
        <v>520</v>
      </c>
      <c r="L561" s="6" t="s">
        <v>33</v>
      </c>
      <c r="M561" s="6" t="s">
        <v>69</v>
      </c>
    </row>
    <row r="562" spans="1:13">
      <c r="A562" s="6" t="s">
        <v>1245</v>
      </c>
      <c r="B562" s="7">
        <v>46191</v>
      </c>
      <c r="C562" s="6" t="s">
        <v>1246</v>
      </c>
      <c r="D562" s="6" t="s">
        <v>64</v>
      </c>
      <c r="E562" s="6" t="s">
        <v>46</v>
      </c>
      <c r="F562" s="6" t="s">
        <v>38</v>
      </c>
      <c r="G562" s="6" t="s">
        <v>39</v>
      </c>
      <c r="H562" s="6">
        <v>2</v>
      </c>
      <c r="I562" s="6" t="s">
        <v>82</v>
      </c>
      <c r="J562" s="6" t="s">
        <v>297</v>
      </c>
      <c r="K562" s="6" t="s">
        <v>41</v>
      </c>
      <c r="L562" s="6" t="s">
        <v>42</v>
      </c>
      <c r="M562" s="6" t="s">
        <v>34</v>
      </c>
    </row>
    <row r="563" spans="1:13">
      <c r="A563" s="6" t="s">
        <v>1247</v>
      </c>
      <c r="B563" s="7">
        <v>46120</v>
      </c>
      <c r="C563" s="6" t="s">
        <v>1248</v>
      </c>
      <c r="D563" s="6" t="s">
        <v>127</v>
      </c>
      <c r="E563" s="6" t="s">
        <v>52</v>
      </c>
      <c r="F563" s="6" t="s">
        <v>85</v>
      </c>
      <c r="G563" s="6" t="s">
        <v>86</v>
      </c>
      <c r="H563" s="6">
        <v>2</v>
      </c>
      <c r="I563" s="6" t="s">
        <v>143</v>
      </c>
      <c r="J563" s="6" t="s">
        <v>144</v>
      </c>
      <c r="K563" s="6">
        <v>410</v>
      </c>
      <c r="L563" s="6" t="s">
        <v>42</v>
      </c>
      <c r="M563" s="6" t="s">
        <v>34</v>
      </c>
    </row>
    <row r="564" spans="1:13">
      <c r="A564" s="6" t="s">
        <v>1249</v>
      </c>
      <c r="B564" s="7">
        <v>46170</v>
      </c>
      <c r="C564" s="6" t="s">
        <v>1250</v>
      </c>
      <c r="D564" s="6" t="s">
        <v>27</v>
      </c>
      <c r="E564" s="6" t="s">
        <v>28</v>
      </c>
      <c r="F564" s="6" t="s">
        <v>58</v>
      </c>
      <c r="G564" s="6" t="s">
        <v>59</v>
      </c>
      <c r="H564" s="6">
        <v>2</v>
      </c>
      <c r="I564" s="6" t="s">
        <v>599</v>
      </c>
      <c r="J564" s="6" t="s">
        <v>74</v>
      </c>
      <c r="K564" s="6" t="s">
        <v>61</v>
      </c>
      <c r="L564" s="6" t="s">
        <v>42</v>
      </c>
      <c r="M564" s="6" t="s">
        <v>34</v>
      </c>
    </row>
    <row r="565" spans="1:13">
      <c r="A565" s="6" t="s">
        <v>1251</v>
      </c>
      <c r="B565" s="7">
        <v>46175</v>
      </c>
      <c r="C565" s="6" t="s">
        <v>1252</v>
      </c>
      <c r="D565" s="6" t="s">
        <v>72</v>
      </c>
      <c r="E565" s="6" t="s">
        <v>52</v>
      </c>
      <c r="F565" s="6" t="s">
        <v>94</v>
      </c>
      <c r="G565" s="6" t="s">
        <v>95</v>
      </c>
      <c r="H565" s="6">
        <v>1</v>
      </c>
      <c r="I565" s="6" t="s">
        <v>117</v>
      </c>
      <c r="J565" s="6" t="s">
        <v>73</v>
      </c>
      <c r="K565" s="6" t="s">
        <v>114</v>
      </c>
      <c r="L565" s="6" t="s">
        <v>42</v>
      </c>
      <c r="M565" s="6" t="s">
        <v>69</v>
      </c>
    </row>
    <row r="566" spans="1:13">
      <c r="A566" s="6" t="s">
        <v>1253</v>
      </c>
      <c r="B566" s="7">
        <v>46132</v>
      </c>
      <c r="C566" s="6" t="s">
        <v>1254</v>
      </c>
      <c r="D566" s="6" t="s">
        <v>27</v>
      </c>
      <c r="E566" s="6" t="s">
        <v>28</v>
      </c>
      <c r="F566" s="6" t="s">
        <v>53</v>
      </c>
      <c r="G566" s="6" t="s">
        <v>54</v>
      </c>
      <c r="H566" s="6">
        <v>1</v>
      </c>
      <c r="I566" s="6" t="s">
        <v>31</v>
      </c>
      <c r="J566" s="6" t="s">
        <v>1255</v>
      </c>
      <c r="K566" s="6" t="s">
        <v>122</v>
      </c>
      <c r="L566" s="6" t="s">
        <v>42</v>
      </c>
      <c r="M566" s="6" t="s">
        <v>69</v>
      </c>
    </row>
    <row r="567" spans="1:13">
      <c r="A567" s="6" t="s">
        <v>1256</v>
      </c>
      <c r="B567" s="7">
        <v>46141</v>
      </c>
      <c r="C567" s="6" t="s">
        <v>1257</v>
      </c>
      <c r="D567" s="6" t="s">
        <v>127</v>
      </c>
      <c r="E567" s="6" t="s">
        <v>52</v>
      </c>
      <c r="F567" s="6" t="s">
        <v>94</v>
      </c>
      <c r="G567" s="6" t="s">
        <v>95</v>
      </c>
      <c r="H567" s="6">
        <v>-1</v>
      </c>
      <c r="I567" s="6" t="s">
        <v>113</v>
      </c>
      <c r="J567" s="8" t="s">
        <v>1147</v>
      </c>
      <c r="K567" s="6" t="s">
        <v>114</v>
      </c>
      <c r="L567" s="6" t="s">
        <v>42</v>
      </c>
      <c r="M567" s="6" t="s">
        <v>34</v>
      </c>
    </row>
    <row r="568" spans="1:13">
      <c r="A568" s="6" t="s">
        <v>1258</v>
      </c>
      <c r="B568" s="7">
        <v>46170</v>
      </c>
      <c r="C568" s="6" t="s">
        <v>1259</v>
      </c>
      <c r="D568" s="6" t="s">
        <v>27</v>
      </c>
      <c r="E568" s="6" t="s">
        <v>37</v>
      </c>
      <c r="F568" s="6" t="s">
        <v>58</v>
      </c>
      <c r="G568" s="6" t="s">
        <v>59</v>
      </c>
      <c r="H568" s="6">
        <v>1</v>
      </c>
      <c r="I568" s="6" t="s">
        <v>90</v>
      </c>
      <c r="J568" s="6" t="s">
        <v>90</v>
      </c>
      <c r="K568" s="6" t="s">
        <v>61</v>
      </c>
      <c r="L568" s="6" t="s">
        <v>42</v>
      </c>
      <c r="M568" s="6" t="s">
        <v>34</v>
      </c>
    </row>
    <row r="569" spans="1:13">
      <c r="A569" s="6" t="s">
        <v>1260</v>
      </c>
      <c r="B569" s="7">
        <v>46092</v>
      </c>
      <c r="C569" s="6" t="s">
        <v>1261</v>
      </c>
      <c r="D569" s="6" t="s">
        <v>105</v>
      </c>
      <c r="E569" s="6" t="s">
        <v>28</v>
      </c>
      <c r="F569" s="6" t="s">
        <v>94</v>
      </c>
      <c r="G569" s="6" t="s">
        <v>95</v>
      </c>
      <c r="H569" s="6">
        <v>1</v>
      </c>
      <c r="I569" s="6" t="s">
        <v>31</v>
      </c>
      <c r="J569" s="6" t="s">
        <v>31</v>
      </c>
      <c r="K569" s="6">
        <v>340</v>
      </c>
      <c r="L569" s="6" t="s">
        <v>42</v>
      </c>
      <c r="M569" s="6" t="s">
        <v>34</v>
      </c>
    </row>
    <row r="570" spans="1:13">
      <c r="A570" s="6" t="s">
        <v>1262</v>
      </c>
      <c r="B570" s="7">
        <v>46114</v>
      </c>
      <c r="C570" s="6" t="s">
        <v>1263</v>
      </c>
      <c r="D570" s="6" t="s">
        <v>110</v>
      </c>
      <c r="E570" s="6" t="s">
        <v>28</v>
      </c>
      <c r="F570" s="6" t="s">
        <v>38</v>
      </c>
      <c r="G570" s="6" t="s">
        <v>39</v>
      </c>
      <c r="H570" s="6">
        <v>2</v>
      </c>
      <c r="I570" s="6" t="s">
        <v>60</v>
      </c>
      <c r="J570" s="6" t="s">
        <v>189</v>
      </c>
      <c r="K570" s="6">
        <v>520</v>
      </c>
      <c r="L570" s="6" t="s">
        <v>42</v>
      </c>
      <c r="M570" s="6" t="s">
        <v>34</v>
      </c>
    </row>
    <row r="571" spans="1:13">
      <c r="A571" s="6" t="s">
        <v>1264</v>
      </c>
      <c r="B571" s="7">
        <v>46170</v>
      </c>
      <c r="C571" s="6" t="s">
        <v>1265</v>
      </c>
      <c r="D571" s="6" t="s">
        <v>105</v>
      </c>
      <c r="E571" s="6" t="s">
        <v>28</v>
      </c>
      <c r="F571" s="6" t="s">
        <v>85</v>
      </c>
      <c r="G571" s="6" t="s">
        <v>86</v>
      </c>
      <c r="H571" s="6">
        <v>1</v>
      </c>
      <c r="I571" s="6" t="s">
        <v>265</v>
      </c>
      <c r="J571" s="6" t="s">
        <v>265</v>
      </c>
      <c r="K571" s="6" t="s">
        <v>87</v>
      </c>
      <c r="L571" s="6" t="s">
        <v>42</v>
      </c>
      <c r="M571" s="6" t="s">
        <v>34</v>
      </c>
    </row>
    <row r="572" spans="1:13">
      <c r="A572" s="6" t="s">
        <v>1266</v>
      </c>
      <c r="B572" s="7">
        <v>46186</v>
      </c>
      <c r="C572" s="6" t="s">
        <v>1267</v>
      </c>
      <c r="D572" s="6" t="s">
        <v>77</v>
      </c>
      <c r="E572" s="6" t="s">
        <v>28</v>
      </c>
      <c r="F572" s="6" t="s">
        <v>94</v>
      </c>
      <c r="G572" s="6" t="s">
        <v>95</v>
      </c>
      <c r="H572" s="6">
        <v>2</v>
      </c>
      <c r="I572" s="6" t="s">
        <v>40</v>
      </c>
      <c r="J572" s="6" t="s">
        <v>327</v>
      </c>
      <c r="K572" s="6" t="s">
        <v>114</v>
      </c>
      <c r="L572" s="6" t="s">
        <v>42</v>
      </c>
      <c r="M572" s="6" t="s">
        <v>34</v>
      </c>
    </row>
    <row r="573" spans="1:13">
      <c r="A573" s="6" t="s">
        <v>1268</v>
      </c>
      <c r="B573" s="7">
        <v>46071</v>
      </c>
      <c r="C573" s="6" t="s">
        <v>1269</v>
      </c>
      <c r="D573" s="6" t="s">
        <v>64</v>
      </c>
      <c r="E573" s="6" t="s">
        <v>37</v>
      </c>
      <c r="F573" s="6" t="s">
        <v>85</v>
      </c>
      <c r="G573" s="6" t="s">
        <v>86</v>
      </c>
      <c r="H573" s="6">
        <v>1</v>
      </c>
      <c r="I573" s="6" t="s">
        <v>143</v>
      </c>
      <c r="J573" s="6" t="s">
        <v>143</v>
      </c>
      <c r="K573" s="6">
        <v>410</v>
      </c>
      <c r="L573" s="6" t="s">
        <v>42</v>
      </c>
      <c r="M573" s="6" t="s">
        <v>34</v>
      </c>
    </row>
    <row r="574" spans="1:13">
      <c r="A574" s="6" t="s">
        <v>1270</v>
      </c>
      <c r="B574" s="7">
        <v>46146</v>
      </c>
      <c r="C574" s="6" t="s">
        <v>1271</v>
      </c>
      <c r="D574" s="6" t="s">
        <v>105</v>
      </c>
      <c r="E574" s="6" t="s">
        <v>78</v>
      </c>
      <c r="F574" s="6" t="s">
        <v>29</v>
      </c>
      <c r="G574" s="6" t="s">
        <v>30</v>
      </c>
      <c r="H574" s="6">
        <v>1</v>
      </c>
      <c r="I574" s="6" t="s">
        <v>373</v>
      </c>
      <c r="J574" s="6" t="s">
        <v>79</v>
      </c>
      <c r="K574" s="6" t="s">
        <v>41</v>
      </c>
      <c r="L574" s="6" t="s">
        <v>42</v>
      </c>
      <c r="M574" s="6" t="s">
        <v>69</v>
      </c>
    </row>
    <row r="575" spans="1:13">
      <c r="A575" s="6" t="s">
        <v>1272</v>
      </c>
      <c r="B575" s="7">
        <v>46041</v>
      </c>
      <c r="C575" s="6" t="s">
        <v>801</v>
      </c>
      <c r="D575" s="6" t="s">
        <v>64</v>
      </c>
      <c r="E575" s="6" t="s">
        <v>52</v>
      </c>
      <c r="F575" s="6" t="s">
        <v>94</v>
      </c>
      <c r="G575" s="6" t="s">
        <v>95</v>
      </c>
      <c r="H575" s="6">
        <v>1</v>
      </c>
      <c r="I575" s="6" t="s">
        <v>60</v>
      </c>
      <c r="J575" s="6" t="s">
        <v>1273</v>
      </c>
      <c r="K575" s="6">
        <v>340</v>
      </c>
      <c r="L575" s="6" t="s">
        <v>42</v>
      </c>
      <c r="M575" s="6" t="s">
        <v>34</v>
      </c>
    </row>
    <row r="576" spans="1:13">
      <c r="A576" s="6" t="s">
        <v>1274</v>
      </c>
      <c r="B576" s="7">
        <v>46036</v>
      </c>
      <c r="C576" s="6" t="s">
        <v>1275</v>
      </c>
      <c r="D576" s="6" t="s">
        <v>45</v>
      </c>
      <c r="E576" s="6" t="s">
        <v>78</v>
      </c>
      <c r="F576" s="6" t="s">
        <v>85</v>
      </c>
      <c r="G576" s="6" t="s">
        <v>86</v>
      </c>
      <c r="H576" s="6">
        <v>1</v>
      </c>
      <c r="I576" s="6" t="s">
        <v>82</v>
      </c>
      <c r="J576" s="6" t="s">
        <v>82</v>
      </c>
      <c r="K576" s="6">
        <v>410</v>
      </c>
      <c r="L576" s="6" t="s">
        <v>42</v>
      </c>
      <c r="M576" s="6" t="s">
        <v>69</v>
      </c>
    </row>
    <row r="577" spans="1:13">
      <c r="A577" s="6" t="s">
        <v>1276</v>
      </c>
      <c r="B577" s="7">
        <v>46113</v>
      </c>
      <c r="C577" s="6" t="s">
        <v>1277</v>
      </c>
      <c r="D577" s="6" t="s">
        <v>45</v>
      </c>
      <c r="E577" s="6" t="s">
        <v>28</v>
      </c>
      <c r="F577" s="6" t="s">
        <v>58</v>
      </c>
      <c r="G577" s="6" t="s">
        <v>59</v>
      </c>
      <c r="H577" s="6">
        <v>2</v>
      </c>
      <c r="I577" s="6" t="s">
        <v>181</v>
      </c>
      <c r="J577" s="6" t="s">
        <v>163</v>
      </c>
      <c r="K577" s="6">
        <v>380</v>
      </c>
      <c r="L577" s="6" t="s">
        <v>42</v>
      </c>
      <c r="M577" s="6" t="s">
        <v>34</v>
      </c>
    </row>
    <row r="578" spans="1:13">
      <c r="A578" s="6" t="s">
        <v>1278</v>
      </c>
      <c r="B578" s="6" t="s">
        <v>1279</v>
      </c>
      <c r="C578" s="6" t="s">
        <v>1280</v>
      </c>
      <c r="D578" s="6" t="s">
        <v>64</v>
      </c>
      <c r="E578" s="6" t="s">
        <v>37</v>
      </c>
      <c r="F578" s="6" t="s">
        <v>85</v>
      </c>
      <c r="G578" s="6" t="s">
        <v>86</v>
      </c>
      <c r="H578" s="6">
        <v>1</v>
      </c>
      <c r="I578" s="6" t="s">
        <v>117</v>
      </c>
      <c r="J578" s="6" t="s">
        <v>1281</v>
      </c>
      <c r="K578" s="6">
        <v>410</v>
      </c>
      <c r="L578" s="6" t="s">
        <v>42</v>
      </c>
      <c r="M578" s="6" t="s">
        <v>69</v>
      </c>
    </row>
    <row r="579" spans="1:13">
      <c r="A579" s="6" t="s">
        <v>1282</v>
      </c>
      <c r="B579" s="7">
        <v>46067</v>
      </c>
      <c r="C579" s="6" t="s">
        <v>1283</v>
      </c>
      <c r="D579" s="6" t="s">
        <v>64</v>
      </c>
      <c r="E579" s="6" t="s">
        <v>28</v>
      </c>
      <c r="F579" s="6" t="s">
        <v>100</v>
      </c>
      <c r="G579" s="6" t="s">
        <v>101</v>
      </c>
      <c r="H579" s="6">
        <v>2</v>
      </c>
      <c r="I579" s="6" t="s">
        <v>147</v>
      </c>
      <c r="J579" s="6" t="s">
        <v>175</v>
      </c>
      <c r="K579" s="6">
        <v>640</v>
      </c>
      <c r="L579" s="6" t="s">
        <v>33</v>
      </c>
      <c r="M579" s="6" t="s">
        <v>34</v>
      </c>
    </row>
    <row r="580" spans="1:13">
      <c r="A580" s="6" t="s">
        <v>1284</v>
      </c>
      <c r="B580" s="6" t="s">
        <v>1285</v>
      </c>
      <c r="C580" s="6" t="s">
        <v>1286</v>
      </c>
      <c r="D580" s="6" t="s">
        <v>127</v>
      </c>
      <c r="E580" s="6" t="s">
        <v>37</v>
      </c>
      <c r="F580" s="6" t="s">
        <v>47</v>
      </c>
      <c r="G580" s="6" t="s">
        <v>48</v>
      </c>
      <c r="H580" s="6">
        <v>3</v>
      </c>
      <c r="I580" s="6" t="s">
        <v>117</v>
      </c>
      <c r="J580" s="6" t="s">
        <v>171</v>
      </c>
      <c r="K580" s="6" t="s">
        <v>49</v>
      </c>
      <c r="L580" s="6" t="s">
        <v>42</v>
      </c>
      <c r="M580" s="6" t="s">
        <v>34</v>
      </c>
    </row>
    <row r="581" spans="1:13">
      <c r="A581" s="6" t="s">
        <v>1287</v>
      </c>
      <c r="B581" s="7">
        <v>46105</v>
      </c>
      <c r="C581" s="6" t="s">
        <v>1288</v>
      </c>
      <c r="D581" s="6" t="s">
        <v>110</v>
      </c>
      <c r="E581" s="6" t="s">
        <v>52</v>
      </c>
      <c r="F581" s="6" t="s">
        <v>29</v>
      </c>
      <c r="G581" s="6" t="s">
        <v>30</v>
      </c>
      <c r="H581" s="6">
        <v>1</v>
      </c>
      <c r="I581" s="6" t="s">
        <v>96</v>
      </c>
      <c r="J581" s="6" t="s">
        <v>96</v>
      </c>
      <c r="K581" s="6">
        <v>520</v>
      </c>
      <c r="L581" s="6" t="s">
        <v>42</v>
      </c>
      <c r="M581" s="6" t="s">
        <v>69</v>
      </c>
    </row>
    <row r="582" spans="1:13">
      <c r="A582" s="6" t="s">
        <v>1289</v>
      </c>
      <c r="B582" s="7">
        <v>46197</v>
      </c>
      <c r="C582" s="6" t="s">
        <v>245</v>
      </c>
      <c r="D582" s="6" t="s">
        <v>127</v>
      </c>
      <c r="E582" s="6" t="s">
        <v>37</v>
      </c>
      <c r="F582" s="6" t="s">
        <v>53</v>
      </c>
      <c r="G582" s="6" t="s">
        <v>54</v>
      </c>
      <c r="H582" s="6">
        <v>1</v>
      </c>
      <c r="I582" s="6" t="s">
        <v>619</v>
      </c>
      <c r="J582" s="6" t="s">
        <v>143</v>
      </c>
      <c r="K582" s="6" t="s">
        <v>122</v>
      </c>
      <c r="L582" s="6" t="s">
        <v>42</v>
      </c>
      <c r="M582" s="6" t="s">
        <v>34</v>
      </c>
    </row>
    <row r="583" spans="1:13">
      <c r="A583" s="6" t="s">
        <v>1290</v>
      </c>
      <c r="B583" s="7">
        <v>46045</v>
      </c>
      <c r="C583" s="6" t="s">
        <v>1291</v>
      </c>
      <c r="D583" s="6" t="s">
        <v>77</v>
      </c>
      <c r="E583" s="6" t="s">
        <v>78</v>
      </c>
      <c r="F583" s="6" t="s">
        <v>100</v>
      </c>
      <c r="G583" s="6" t="s">
        <v>101</v>
      </c>
      <c r="H583" s="6">
        <v>2</v>
      </c>
      <c r="I583" s="6" t="s">
        <v>113</v>
      </c>
      <c r="J583" s="6" t="s">
        <v>192</v>
      </c>
      <c r="K583" s="6">
        <v>640</v>
      </c>
      <c r="L583" s="6" t="s">
        <v>33</v>
      </c>
      <c r="M583" s="6" t="s">
        <v>34</v>
      </c>
    </row>
    <row r="584" spans="1:13">
      <c r="A584" s="6" t="s">
        <v>1292</v>
      </c>
      <c r="B584" s="7">
        <v>46069</v>
      </c>
      <c r="C584" s="6" t="s">
        <v>566</v>
      </c>
      <c r="D584" s="6" t="s">
        <v>64</v>
      </c>
      <c r="E584" s="6" t="s">
        <v>37</v>
      </c>
      <c r="F584" s="6" t="s">
        <v>47</v>
      </c>
      <c r="G584" s="6" t="s">
        <v>48</v>
      </c>
      <c r="H584" s="6">
        <v>2</v>
      </c>
      <c r="I584" s="6" t="s">
        <v>1293</v>
      </c>
      <c r="J584" s="6" t="s">
        <v>189</v>
      </c>
      <c r="K584" s="6">
        <v>85</v>
      </c>
      <c r="L584" s="6" t="s">
        <v>33</v>
      </c>
      <c r="M584" s="6" t="s">
        <v>34</v>
      </c>
    </row>
    <row r="585" spans="1:13">
      <c r="A585" s="6" t="s">
        <v>1294</v>
      </c>
      <c r="B585" s="7">
        <v>46064</v>
      </c>
      <c r="C585" s="6" t="s">
        <v>150</v>
      </c>
      <c r="D585" s="6" t="s">
        <v>127</v>
      </c>
      <c r="E585" s="6" t="s">
        <v>37</v>
      </c>
      <c r="F585" s="6" t="s">
        <v>53</v>
      </c>
      <c r="G585" s="6" t="s">
        <v>54</v>
      </c>
      <c r="H585" s="6">
        <v>2</v>
      </c>
      <c r="I585" s="6" t="s">
        <v>79</v>
      </c>
      <c r="J585" s="6" t="s">
        <v>259</v>
      </c>
      <c r="K585" s="6">
        <v>190</v>
      </c>
      <c r="L585" s="6" t="s">
        <v>42</v>
      </c>
      <c r="M585" s="6" t="s">
        <v>69</v>
      </c>
    </row>
    <row r="586" spans="1:13">
      <c r="A586" s="6" t="s">
        <v>1295</v>
      </c>
      <c r="B586" s="7">
        <v>46081</v>
      </c>
      <c r="C586" s="6" t="s">
        <v>1296</v>
      </c>
      <c r="D586" s="6" t="s">
        <v>105</v>
      </c>
      <c r="E586" s="6" t="s">
        <v>52</v>
      </c>
      <c r="F586" s="6" t="s">
        <v>29</v>
      </c>
      <c r="G586" s="6" t="s">
        <v>30</v>
      </c>
      <c r="H586" s="6">
        <v>2</v>
      </c>
      <c r="I586" s="6" t="s">
        <v>656</v>
      </c>
      <c r="J586" s="6" t="s">
        <v>192</v>
      </c>
      <c r="K586" s="6">
        <v>520</v>
      </c>
      <c r="L586" s="6" t="s">
        <v>42</v>
      </c>
      <c r="M586" s="6" t="s">
        <v>69</v>
      </c>
    </row>
    <row r="587" spans="1:13">
      <c r="A587" s="6" t="s">
        <v>1297</v>
      </c>
      <c r="B587" s="7">
        <v>46134</v>
      </c>
      <c r="C587" s="6" t="s">
        <v>1298</v>
      </c>
      <c r="D587" s="6" t="s">
        <v>45</v>
      </c>
      <c r="E587" s="6" t="s">
        <v>28</v>
      </c>
      <c r="F587" s="6" t="s">
        <v>47</v>
      </c>
      <c r="G587" s="6" t="s">
        <v>48</v>
      </c>
      <c r="H587" s="6">
        <v>2</v>
      </c>
      <c r="I587" s="6" t="s">
        <v>82</v>
      </c>
      <c r="J587" s="6" t="s">
        <v>297</v>
      </c>
      <c r="K587" s="6" t="s">
        <v>49</v>
      </c>
      <c r="L587" s="6" t="s">
        <v>42</v>
      </c>
      <c r="M587" s="6" t="s">
        <v>34</v>
      </c>
    </row>
    <row r="588" spans="1:13">
      <c r="A588" s="6" t="s">
        <v>1299</v>
      </c>
      <c r="B588" s="7">
        <v>46092</v>
      </c>
      <c r="C588" s="6" t="s">
        <v>1300</v>
      </c>
      <c r="D588" s="6" t="s">
        <v>45</v>
      </c>
      <c r="E588" s="6" t="s">
        <v>78</v>
      </c>
      <c r="F588" s="6" t="s">
        <v>94</v>
      </c>
      <c r="G588" s="6" t="s">
        <v>95</v>
      </c>
      <c r="H588" s="6">
        <v>1</v>
      </c>
      <c r="I588" s="6" t="s">
        <v>82</v>
      </c>
      <c r="J588" s="6" t="s">
        <v>82</v>
      </c>
      <c r="K588" s="6">
        <v>340</v>
      </c>
      <c r="L588" s="6" t="s">
        <v>42</v>
      </c>
      <c r="M588" s="6" t="s">
        <v>34</v>
      </c>
    </row>
    <row r="589" spans="1:13">
      <c r="A589" s="6" t="s">
        <v>1301</v>
      </c>
      <c r="B589" s="6" t="s">
        <v>1302</v>
      </c>
      <c r="C589" s="6" t="s">
        <v>1303</v>
      </c>
      <c r="D589" s="6" t="s">
        <v>77</v>
      </c>
      <c r="E589" s="6" t="s">
        <v>52</v>
      </c>
      <c r="F589" s="6" t="s">
        <v>85</v>
      </c>
      <c r="G589" s="6" t="s">
        <v>86</v>
      </c>
      <c r="H589" s="6">
        <v>3</v>
      </c>
      <c r="I589" s="6" t="s">
        <v>143</v>
      </c>
      <c r="J589" s="6" t="s">
        <v>243</v>
      </c>
      <c r="K589" s="6" t="s">
        <v>87</v>
      </c>
      <c r="L589" s="6" t="s">
        <v>42</v>
      </c>
      <c r="M589" s="6" t="s">
        <v>34</v>
      </c>
    </row>
    <row r="590" spans="1:13">
      <c r="A590" s="6" t="s">
        <v>1304</v>
      </c>
      <c r="B590" s="6" t="s">
        <v>1305</v>
      </c>
      <c r="C590" s="6" t="s">
        <v>1271</v>
      </c>
      <c r="D590" s="6" t="s">
        <v>127</v>
      </c>
      <c r="E590" s="6" t="s">
        <v>46</v>
      </c>
      <c r="F590" s="6" t="s">
        <v>53</v>
      </c>
      <c r="G590" s="6" t="s">
        <v>54</v>
      </c>
      <c r="H590" s="6">
        <v>2</v>
      </c>
      <c r="I590" s="6" t="s">
        <v>231</v>
      </c>
      <c r="J590" s="6" t="s">
        <v>232</v>
      </c>
      <c r="K590" s="6" t="s">
        <v>122</v>
      </c>
      <c r="L590" s="6" t="s">
        <v>42</v>
      </c>
      <c r="M590" s="6" t="s">
        <v>34</v>
      </c>
    </row>
    <row r="591" spans="1:13">
      <c r="A591" s="6" t="s">
        <v>1306</v>
      </c>
      <c r="B591" s="7">
        <v>46192</v>
      </c>
      <c r="C591" s="6" t="s">
        <v>1307</v>
      </c>
      <c r="D591" s="6" t="s">
        <v>27</v>
      </c>
      <c r="E591" s="6" t="s">
        <v>46</v>
      </c>
      <c r="F591" s="6" t="s">
        <v>94</v>
      </c>
      <c r="G591" s="6" t="s">
        <v>95</v>
      </c>
      <c r="H591" s="6">
        <v>3</v>
      </c>
      <c r="I591" s="6" t="s">
        <v>117</v>
      </c>
      <c r="J591" s="6" t="s">
        <v>171</v>
      </c>
      <c r="K591" s="6" t="s">
        <v>114</v>
      </c>
      <c r="L591" s="6" t="s">
        <v>33</v>
      </c>
      <c r="M591" s="6" t="s">
        <v>34</v>
      </c>
    </row>
    <row r="592" spans="1:13">
      <c r="A592" s="6" t="s">
        <v>1308</v>
      </c>
      <c r="B592" s="7">
        <v>46140</v>
      </c>
      <c r="C592" s="6" t="s">
        <v>1309</v>
      </c>
      <c r="D592" s="6" t="s">
        <v>105</v>
      </c>
      <c r="E592" s="6" t="s">
        <v>78</v>
      </c>
      <c r="F592" s="6" t="s">
        <v>47</v>
      </c>
      <c r="G592" s="6" t="s">
        <v>48</v>
      </c>
      <c r="H592" s="6">
        <v>3</v>
      </c>
      <c r="I592" s="6" t="s">
        <v>143</v>
      </c>
      <c r="J592" s="6" t="s">
        <v>243</v>
      </c>
      <c r="K592" s="6" t="s">
        <v>49</v>
      </c>
      <c r="L592" s="6" t="s">
        <v>42</v>
      </c>
      <c r="M592" s="6" t="s">
        <v>34</v>
      </c>
    </row>
    <row r="593" spans="1:13">
      <c r="A593" s="6" t="s">
        <v>1310</v>
      </c>
      <c r="B593" s="7">
        <v>46082</v>
      </c>
      <c r="C593" s="6" t="s">
        <v>1311</v>
      </c>
      <c r="D593" s="6" t="s">
        <v>45</v>
      </c>
      <c r="E593" s="6" t="s">
        <v>37</v>
      </c>
      <c r="F593" s="6" t="s">
        <v>100</v>
      </c>
      <c r="G593" s="6" t="s">
        <v>101</v>
      </c>
      <c r="H593" s="6">
        <v>3</v>
      </c>
      <c r="I593" s="6" t="s">
        <v>147</v>
      </c>
      <c r="J593" s="6" t="s">
        <v>148</v>
      </c>
      <c r="K593" s="6">
        <v>640</v>
      </c>
      <c r="L593" s="6" t="s">
        <v>42</v>
      </c>
      <c r="M593" s="6" t="s">
        <v>69</v>
      </c>
    </row>
    <row r="594" spans="1:13">
      <c r="A594" s="6" t="s">
        <v>1312</v>
      </c>
      <c r="B594" s="7">
        <v>46058</v>
      </c>
      <c r="C594" s="6" t="s">
        <v>1313</v>
      </c>
      <c r="D594" s="6" t="s">
        <v>45</v>
      </c>
      <c r="E594" s="6" t="s">
        <v>46</v>
      </c>
      <c r="F594" s="6" t="s">
        <v>53</v>
      </c>
      <c r="G594" s="6" t="s">
        <v>54</v>
      </c>
      <c r="H594" s="6">
        <v>3</v>
      </c>
      <c r="I594" s="6" t="s">
        <v>143</v>
      </c>
      <c r="J594" s="6" t="s">
        <v>243</v>
      </c>
      <c r="K594" s="6">
        <v>190</v>
      </c>
      <c r="L594" s="6" t="s">
        <v>42</v>
      </c>
      <c r="M594" s="6" t="s">
        <v>69</v>
      </c>
    </row>
    <row r="595" spans="1:13">
      <c r="A595" s="6" t="s">
        <v>1314</v>
      </c>
      <c r="B595" s="7">
        <v>46173</v>
      </c>
      <c r="C595" s="6" t="s">
        <v>210</v>
      </c>
      <c r="D595" s="6" t="s">
        <v>105</v>
      </c>
      <c r="E595" s="6" t="s">
        <v>28</v>
      </c>
      <c r="F595" s="6" t="s">
        <v>53</v>
      </c>
      <c r="G595" s="6" t="s">
        <v>54</v>
      </c>
      <c r="H595" s="6">
        <v>2</v>
      </c>
      <c r="I595" s="6" t="s">
        <v>96</v>
      </c>
      <c r="J595" s="6" t="s">
        <v>278</v>
      </c>
      <c r="K595" s="6" t="s">
        <v>122</v>
      </c>
      <c r="L595" s="6" t="s">
        <v>42</v>
      </c>
      <c r="M595" s="6" t="s">
        <v>34</v>
      </c>
    </row>
    <row r="596" spans="1:13">
      <c r="A596" s="6" t="s">
        <v>1315</v>
      </c>
      <c r="B596" s="7">
        <v>46047</v>
      </c>
      <c r="C596" s="6" t="s">
        <v>1316</v>
      </c>
      <c r="D596" s="6" t="s">
        <v>45</v>
      </c>
      <c r="E596" s="6" t="s">
        <v>78</v>
      </c>
      <c r="F596" s="6" t="s">
        <v>47</v>
      </c>
      <c r="G596" s="6" t="s">
        <v>48</v>
      </c>
      <c r="H596" s="6">
        <v>1</v>
      </c>
      <c r="I596" s="6" t="s">
        <v>113</v>
      </c>
      <c r="J596" s="6" t="s">
        <v>113</v>
      </c>
      <c r="K596" s="6">
        <v>85</v>
      </c>
      <c r="L596" s="6" t="s">
        <v>42</v>
      </c>
      <c r="M596" s="6" t="s">
        <v>69</v>
      </c>
    </row>
    <row r="597" spans="1:13">
      <c r="A597" s="6" t="s">
        <v>1317</v>
      </c>
      <c r="B597" s="7">
        <v>46063</v>
      </c>
      <c r="C597" s="6" t="s">
        <v>934</v>
      </c>
      <c r="D597" s="6" t="s">
        <v>105</v>
      </c>
      <c r="E597" s="6" t="s">
        <v>52</v>
      </c>
      <c r="F597" s="6" t="s">
        <v>47</v>
      </c>
      <c r="G597" s="6" t="s">
        <v>48</v>
      </c>
      <c r="H597" s="6">
        <v>2</v>
      </c>
      <c r="I597" s="6" t="s">
        <v>143</v>
      </c>
      <c r="J597" s="6" t="s">
        <v>144</v>
      </c>
      <c r="K597" s="6">
        <v>85</v>
      </c>
      <c r="L597" s="6" t="s">
        <v>42</v>
      </c>
      <c r="M597" s="6" t="s">
        <v>34</v>
      </c>
    </row>
    <row r="598" spans="1:13">
      <c r="A598" s="6" t="s">
        <v>1318</v>
      </c>
      <c r="B598" s="7">
        <v>46203</v>
      </c>
      <c r="C598" s="6" t="s">
        <v>881</v>
      </c>
      <c r="D598" s="6" t="s">
        <v>57</v>
      </c>
      <c r="E598" s="6" t="s">
        <v>37</v>
      </c>
      <c r="F598" s="6" t="s">
        <v>53</v>
      </c>
      <c r="G598" s="6" t="s">
        <v>54</v>
      </c>
      <c r="H598" s="6">
        <v>1</v>
      </c>
      <c r="I598" s="6" t="s">
        <v>656</v>
      </c>
      <c r="J598" s="6" t="s">
        <v>113</v>
      </c>
      <c r="K598" s="6" t="s">
        <v>122</v>
      </c>
      <c r="L598" s="6" t="s">
        <v>42</v>
      </c>
      <c r="M598" s="6" t="s">
        <v>69</v>
      </c>
    </row>
    <row r="599" spans="1:13">
      <c r="A599" s="6" t="s">
        <v>1319</v>
      </c>
      <c r="B599" s="7">
        <v>46047</v>
      </c>
      <c r="C599" s="6" t="s">
        <v>1316</v>
      </c>
      <c r="D599" s="6" t="s">
        <v>127</v>
      </c>
      <c r="E599" s="6" t="s">
        <v>78</v>
      </c>
      <c r="F599" s="6" t="s">
        <v>94</v>
      </c>
      <c r="G599" s="6" t="s">
        <v>95</v>
      </c>
      <c r="H599" s="6">
        <v>3</v>
      </c>
      <c r="I599" s="6" t="s">
        <v>73</v>
      </c>
      <c r="J599" s="6" t="s">
        <v>499</v>
      </c>
      <c r="K599" s="6">
        <v>340</v>
      </c>
      <c r="L599" s="6" t="s">
        <v>42</v>
      </c>
      <c r="M599" s="6" t="s">
        <v>69</v>
      </c>
    </row>
    <row r="600" spans="1:13">
      <c r="A600" s="6" t="s">
        <v>1320</v>
      </c>
      <c r="B600" s="6" t="s">
        <v>270</v>
      </c>
      <c r="C600" s="6" t="s">
        <v>1321</v>
      </c>
      <c r="D600" s="6" t="s">
        <v>110</v>
      </c>
      <c r="E600" s="6" t="s">
        <v>37</v>
      </c>
      <c r="F600" s="6" t="s">
        <v>94</v>
      </c>
      <c r="G600" s="6" t="s">
        <v>95</v>
      </c>
      <c r="H600" s="6">
        <v>2</v>
      </c>
      <c r="I600" s="6" t="s">
        <v>31</v>
      </c>
      <c r="J600" s="6" t="s">
        <v>249</v>
      </c>
      <c r="K600" s="6" t="s">
        <v>114</v>
      </c>
      <c r="L600" s="6" t="s">
        <v>33</v>
      </c>
      <c r="M600" s="6" t="s">
        <v>34</v>
      </c>
    </row>
    <row r="601" spans="1:13">
      <c r="A601" s="6" t="s">
        <v>1322</v>
      </c>
      <c r="B601" s="7">
        <v>46093</v>
      </c>
      <c r="C601" s="6" t="s">
        <v>1323</v>
      </c>
      <c r="D601" s="6" t="s">
        <v>45</v>
      </c>
      <c r="E601" s="6" t="s">
        <v>78</v>
      </c>
      <c r="F601" s="6" t="s">
        <v>38</v>
      </c>
      <c r="G601" s="6" t="s">
        <v>39</v>
      </c>
      <c r="H601" s="6">
        <v>2</v>
      </c>
      <c r="I601" s="6" t="s">
        <v>79</v>
      </c>
      <c r="J601" s="6" t="s">
        <v>259</v>
      </c>
      <c r="K601" s="6">
        <v>520</v>
      </c>
      <c r="L601" s="6" t="s">
        <v>42</v>
      </c>
      <c r="M601" s="6" t="s">
        <v>34</v>
      </c>
    </row>
    <row r="602" spans="1:13">
      <c r="A602" s="6" t="s">
        <v>1324</v>
      </c>
      <c r="B602" s="7">
        <v>46114</v>
      </c>
      <c r="C602" s="6" t="s">
        <v>1325</v>
      </c>
      <c r="D602" s="6" t="s">
        <v>45</v>
      </c>
      <c r="E602" s="6" t="s">
        <v>52</v>
      </c>
      <c r="F602" s="6" t="s">
        <v>85</v>
      </c>
      <c r="G602" s="6" t="s">
        <v>86</v>
      </c>
      <c r="H602" s="6">
        <v>1</v>
      </c>
      <c r="I602" s="6" t="s">
        <v>231</v>
      </c>
      <c r="J602" s="6" t="s">
        <v>231</v>
      </c>
      <c r="K602" s="6">
        <v>410</v>
      </c>
      <c r="L602" s="6" t="s">
        <v>42</v>
      </c>
      <c r="M602" s="6" t="s">
        <v>34</v>
      </c>
    </row>
    <row r="603" spans="1:13">
      <c r="A603" s="6" t="s">
        <v>1326</v>
      </c>
      <c r="B603" s="7">
        <v>46329</v>
      </c>
      <c r="C603" s="6" t="s">
        <v>1133</v>
      </c>
      <c r="D603" s="6" t="s">
        <v>110</v>
      </c>
      <c r="E603" s="6" t="s">
        <v>28</v>
      </c>
      <c r="F603" s="6" t="s">
        <v>85</v>
      </c>
      <c r="G603" s="6" t="s">
        <v>86</v>
      </c>
      <c r="H603" s="6">
        <v>2</v>
      </c>
      <c r="I603" s="6" t="s">
        <v>117</v>
      </c>
      <c r="J603" s="6" t="s">
        <v>118</v>
      </c>
      <c r="K603" s="6">
        <v>410</v>
      </c>
      <c r="L603" s="6" t="s">
        <v>33</v>
      </c>
      <c r="M603" s="6" t="s">
        <v>34</v>
      </c>
    </row>
    <row r="604" spans="1:13">
      <c r="A604" s="6" t="s">
        <v>1327</v>
      </c>
      <c r="B604" s="7">
        <v>46033</v>
      </c>
      <c r="C604" s="6" t="s">
        <v>1328</v>
      </c>
      <c r="D604" s="6" t="s">
        <v>45</v>
      </c>
      <c r="E604" s="6" t="s">
        <v>52</v>
      </c>
      <c r="F604" s="6" t="s">
        <v>85</v>
      </c>
      <c r="G604" s="6" t="s">
        <v>86</v>
      </c>
      <c r="H604" s="6">
        <v>2</v>
      </c>
      <c r="I604" s="6" t="s">
        <v>60</v>
      </c>
      <c r="J604" s="6" t="s">
        <v>189</v>
      </c>
      <c r="K604" s="6">
        <v>410</v>
      </c>
      <c r="L604" s="6" t="s">
        <v>42</v>
      </c>
      <c r="M604" s="6" t="s">
        <v>34</v>
      </c>
    </row>
    <row r="605" spans="1:13">
      <c r="A605" s="6" t="s">
        <v>1329</v>
      </c>
      <c r="B605" s="7">
        <v>46197</v>
      </c>
      <c r="C605" s="6" t="s">
        <v>1330</v>
      </c>
      <c r="D605" s="6" t="s">
        <v>72</v>
      </c>
      <c r="E605" s="6" t="s">
        <v>46</v>
      </c>
      <c r="F605" s="6" t="s">
        <v>53</v>
      </c>
      <c r="G605" s="6" t="s">
        <v>54</v>
      </c>
      <c r="H605" s="6">
        <v>2</v>
      </c>
      <c r="I605" s="6" t="s">
        <v>96</v>
      </c>
      <c r="J605" s="6" t="s">
        <v>278</v>
      </c>
      <c r="K605" s="6" t="s">
        <v>122</v>
      </c>
      <c r="L605" s="6" t="s">
        <v>42</v>
      </c>
      <c r="M605" s="6" t="s">
        <v>34</v>
      </c>
    </row>
    <row r="606" spans="1:13">
      <c r="A606" s="6" t="s">
        <v>1331</v>
      </c>
      <c r="B606" s="7">
        <v>46054</v>
      </c>
      <c r="C606" s="6" t="s">
        <v>1332</v>
      </c>
      <c r="D606" s="6" t="s">
        <v>64</v>
      </c>
      <c r="E606" s="6" t="s">
        <v>46</v>
      </c>
      <c r="F606" s="6" t="s">
        <v>100</v>
      </c>
      <c r="G606" s="6" t="s">
        <v>101</v>
      </c>
      <c r="H606" s="6">
        <v>-1</v>
      </c>
      <c r="I606" s="6" t="s">
        <v>147</v>
      </c>
      <c r="J606" s="8" t="s">
        <v>1333</v>
      </c>
      <c r="K606" s="6">
        <v>640</v>
      </c>
      <c r="L606" s="6" t="s">
        <v>42</v>
      </c>
      <c r="M606" s="6" t="s">
        <v>34</v>
      </c>
    </row>
    <row r="607" spans="1:13">
      <c r="A607" s="6" t="s">
        <v>1334</v>
      </c>
      <c r="B607" s="7">
        <v>46035</v>
      </c>
      <c r="C607" s="6" t="s">
        <v>1335</v>
      </c>
      <c r="D607" s="6" t="s">
        <v>77</v>
      </c>
      <c r="E607" s="6" t="s">
        <v>28</v>
      </c>
      <c r="F607" s="6" t="s">
        <v>47</v>
      </c>
      <c r="G607" s="6" t="s">
        <v>48</v>
      </c>
      <c r="H607" s="6">
        <v>2</v>
      </c>
      <c r="I607" s="6" t="s">
        <v>90</v>
      </c>
      <c r="J607" s="6" t="s">
        <v>154</v>
      </c>
      <c r="K607" s="6">
        <v>85</v>
      </c>
      <c r="L607" s="6" t="s">
        <v>42</v>
      </c>
      <c r="M607" s="6" t="s">
        <v>34</v>
      </c>
    </row>
    <row r="608" spans="1:13">
      <c r="A608" s="6" t="s">
        <v>1336</v>
      </c>
      <c r="B608" s="7">
        <v>46202</v>
      </c>
      <c r="C608" s="6" t="s">
        <v>1200</v>
      </c>
      <c r="D608" s="6" t="s">
        <v>57</v>
      </c>
      <c r="E608" s="6" t="s">
        <v>28</v>
      </c>
      <c r="F608" s="6" t="s">
        <v>94</v>
      </c>
      <c r="G608" s="6" t="s">
        <v>95</v>
      </c>
      <c r="H608" s="6">
        <v>2</v>
      </c>
      <c r="I608" s="6" t="s">
        <v>31</v>
      </c>
      <c r="J608" s="6" t="s">
        <v>249</v>
      </c>
      <c r="K608" s="6" t="s">
        <v>114</v>
      </c>
      <c r="L608" s="6" t="s">
        <v>33</v>
      </c>
      <c r="M608" s="6" t="s">
        <v>34</v>
      </c>
    </row>
    <row r="609" spans="1:13">
      <c r="A609" s="6" t="s">
        <v>1337</v>
      </c>
      <c r="B609" s="7">
        <v>46078</v>
      </c>
      <c r="C609" s="6" t="s">
        <v>863</v>
      </c>
      <c r="D609" s="6" t="s">
        <v>45</v>
      </c>
      <c r="E609" s="6" t="s">
        <v>28</v>
      </c>
      <c r="F609" s="6" t="s">
        <v>38</v>
      </c>
      <c r="G609" s="6" t="s">
        <v>39</v>
      </c>
      <c r="H609" s="6">
        <v>2</v>
      </c>
      <c r="I609" s="6" t="s">
        <v>67</v>
      </c>
      <c r="J609" s="6" t="s">
        <v>204</v>
      </c>
      <c r="K609" s="6">
        <v>520</v>
      </c>
      <c r="L609" s="6" t="s">
        <v>42</v>
      </c>
      <c r="M609" s="6" t="s">
        <v>69</v>
      </c>
    </row>
    <row r="610" spans="1:13">
      <c r="A610" s="6" t="s">
        <v>1338</v>
      </c>
      <c r="B610" s="7">
        <v>46100</v>
      </c>
      <c r="C610" s="6" t="s">
        <v>1144</v>
      </c>
      <c r="D610" s="6" t="s">
        <v>45</v>
      </c>
      <c r="E610" s="6" t="s">
        <v>78</v>
      </c>
      <c r="F610" s="6" t="s">
        <v>38</v>
      </c>
      <c r="G610" s="6" t="s">
        <v>39</v>
      </c>
      <c r="H610" s="6">
        <v>2</v>
      </c>
      <c r="I610" s="6" t="s">
        <v>143</v>
      </c>
      <c r="J610" s="6" t="s">
        <v>144</v>
      </c>
      <c r="K610" s="6">
        <v>520</v>
      </c>
      <c r="L610" s="6" t="s">
        <v>42</v>
      </c>
      <c r="M610" s="6" t="s">
        <v>34</v>
      </c>
    </row>
    <row r="611" spans="1:13">
      <c r="A611" s="6" t="s">
        <v>1339</v>
      </c>
      <c r="B611" s="7">
        <v>46199</v>
      </c>
      <c r="C611" s="6" t="s">
        <v>1340</v>
      </c>
      <c r="D611" s="6" t="s">
        <v>105</v>
      </c>
      <c r="E611" s="6" t="s">
        <v>52</v>
      </c>
      <c r="F611" s="6" t="s">
        <v>47</v>
      </c>
      <c r="G611" s="6" t="s">
        <v>48</v>
      </c>
      <c r="H611" s="6">
        <v>1</v>
      </c>
      <c r="I611" s="6" t="s">
        <v>79</v>
      </c>
      <c r="J611" s="6" t="s">
        <v>79</v>
      </c>
      <c r="K611" s="6" t="s">
        <v>49</v>
      </c>
      <c r="L611" s="6" t="s">
        <v>42</v>
      </c>
      <c r="M611" s="6" t="s">
        <v>69</v>
      </c>
    </row>
    <row r="612" spans="1:13">
      <c r="A612" s="6" t="s">
        <v>1341</v>
      </c>
      <c r="B612" s="7">
        <v>46144</v>
      </c>
      <c r="C612" s="6" t="s">
        <v>1190</v>
      </c>
      <c r="D612" s="6" t="s">
        <v>110</v>
      </c>
      <c r="E612" s="6" t="s">
        <v>28</v>
      </c>
      <c r="F612" s="6" t="s">
        <v>58</v>
      </c>
      <c r="G612" s="6" t="s">
        <v>59</v>
      </c>
      <c r="H612" s="6">
        <v>3</v>
      </c>
      <c r="I612" s="6" t="s">
        <v>82</v>
      </c>
      <c r="J612" s="6" t="s">
        <v>390</v>
      </c>
      <c r="K612" s="6" t="s">
        <v>61</v>
      </c>
      <c r="L612" s="6" t="s">
        <v>42</v>
      </c>
      <c r="M612" s="6" t="s">
        <v>34</v>
      </c>
    </row>
    <row r="613" spans="1:13">
      <c r="A613" s="6" t="s">
        <v>1342</v>
      </c>
      <c r="B613" s="7">
        <v>46037</v>
      </c>
      <c r="C613" s="6" t="s">
        <v>1343</v>
      </c>
      <c r="D613" s="6" t="s">
        <v>110</v>
      </c>
      <c r="E613" s="6" t="s">
        <v>52</v>
      </c>
      <c r="F613" s="6" t="s">
        <v>58</v>
      </c>
      <c r="G613" s="6" t="s">
        <v>59</v>
      </c>
      <c r="H613" s="6">
        <v>1</v>
      </c>
      <c r="I613" s="6" t="s">
        <v>113</v>
      </c>
      <c r="J613" s="6" t="s">
        <v>113</v>
      </c>
      <c r="K613" s="6">
        <v>380</v>
      </c>
      <c r="L613" s="6" t="s">
        <v>33</v>
      </c>
      <c r="M613" s="6" t="s">
        <v>34</v>
      </c>
    </row>
    <row r="614" spans="1:13">
      <c r="A614" s="6" t="s">
        <v>1344</v>
      </c>
      <c r="B614" s="7">
        <v>46101</v>
      </c>
      <c r="C614" s="6" t="s">
        <v>585</v>
      </c>
      <c r="D614" s="6" t="s">
        <v>45</v>
      </c>
      <c r="E614" s="6" t="s">
        <v>46</v>
      </c>
      <c r="F614" s="6" t="s">
        <v>100</v>
      </c>
      <c r="G614" s="6" t="s">
        <v>101</v>
      </c>
      <c r="H614" s="6">
        <v>2</v>
      </c>
      <c r="I614" s="6" t="s">
        <v>181</v>
      </c>
      <c r="J614" s="6" t="s">
        <v>163</v>
      </c>
      <c r="K614" s="6">
        <v>640</v>
      </c>
      <c r="L614" s="6" t="s">
        <v>42</v>
      </c>
      <c r="M614" s="6" t="s">
        <v>34</v>
      </c>
    </row>
    <row r="615" spans="1:13">
      <c r="A615" s="6" t="s">
        <v>1345</v>
      </c>
      <c r="B615" s="7">
        <v>46029</v>
      </c>
      <c r="C615" s="6" t="s">
        <v>1346</v>
      </c>
      <c r="D615" s="6" t="s">
        <v>45</v>
      </c>
      <c r="E615" s="6" t="s">
        <v>37</v>
      </c>
      <c r="F615" s="6" t="s">
        <v>85</v>
      </c>
      <c r="G615" s="6" t="s">
        <v>86</v>
      </c>
      <c r="H615" s="6">
        <v>1</v>
      </c>
      <c r="I615" s="6" t="s">
        <v>73</v>
      </c>
      <c r="J615" s="6" t="s">
        <v>1347</v>
      </c>
      <c r="K615" s="6">
        <v>410</v>
      </c>
      <c r="L615" s="6" t="s">
        <v>42</v>
      </c>
      <c r="M615" s="6" t="s">
        <v>34</v>
      </c>
    </row>
    <row r="616" spans="1:13">
      <c r="A616" s="6" t="s">
        <v>1348</v>
      </c>
      <c r="B616" s="7">
        <v>46059</v>
      </c>
      <c r="C616" s="6" t="s">
        <v>1349</v>
      </c>
      <c r="D616" s="6" t="s">
        <v>27</v>
      </c>
      <c r="E616" s="6" t="s">
        <v>46</v>
      </c>
      <c r="F616" s="6" t="s">
        <v>47</v>
      </c>
      <c r="G616" s="6" t="s">
        <v>48</v>
      </c>
      <c r="H616" s="6">
        <v>1</v>
      </c>
      <c r="I616" s="6" t="s">
        <v>143</v>
      </c>
      <c r="J616" s="6" t="s">
        <v>143</v>
      </c>
      <c r="K616" s="6" t="s">
        <v>49</v>
      </c>
      <c r="L616" s="6" t="s">
        <v>42</v>
      </c>
      <c r="M616" s="6" t="s">
        <v>34</v>
      </c>
    </row>
    <row r="617" spans="1:13">
      <c r="A617" s="6" t="s">
        <v>1350</v>
      </c>
      <c r="B617" s="7">
        <v>46174</v>
      </c>
      <c r="C617" s="6" t="s">
        <v>1351</v>
      </c>
      <c r="D617" s="6" t="s">
        <v>127</v>
      </c>
      <c r="E617" s="6" t="s">
        <v>37</v>
      </c>
      <c r="F617" s="6" t="s">
        <v>58</v>
      </c>
      <c r="G617" s="6" t="s">
        <v>59</v>
      </c>
      <c r="H617" s="6">
        <v>3</v>
      </c>
      <c r="I617" s="6" t="s">
        <v>82</v>
      </c>
      <c r="J617" s="6" t="s">
        <v>390</v>
      </c>
      <c r="K617" s="6">
        <v>380</v>
      </c>
      <c r="L617" s="6" t="s">
        <v>42</v>
      </c>
      <c r="M617" s="6" t="s">
        <v>69</v>
      </c>
    </row>
    <row r="618" spans="1:13">
      <c r="A618" s="6" t="s">
        <v>1352</v>
      </c>
      <c r="B618" s="7">
        <v>46138</v>
      </c>
      <c r="C618" s="6" t="s">
        <v>1353</v>
      </c>
      <c r="D618" s="6" t="s">
        <v>105</v>
      </c>
      <c r="E618" s="6" t="s">
        <v>52</v>
      </c>
      <c r="F618" s="6" t="s">
        <v>85</v>
      </c>
      <c r="G618" s="6" t="s">
        <v>86</v>
      </c>
      <c r="H618" s="6">
        <v>3</v>
      </c>
      <c r="I618" s="6" t="s">
        <v>79</v>
      </c>
      <c r="J618" s="6" t="s">
        <v>216</v>
      </c>
      <c r="K618" s="6" t="s">
        <v>87</v>
      </c>
      <c r="L618" s="6" t="s">
        <v>42</v>
      </c>
      <c r="M618" s="6" t="s">
        <v>34</v>
      </c>
    </row>
    <row r="619" spans="1:13">
      <c r="A619" s="6" t="s">
        <v>1354</v>
      </c>
      <c r="B619" s="7">
        <v>46145</v>
      </c>
      <c r="C619" s="6" t="s">
        <v>558</v>
      </c>
      <c r="D619" s="6" t="s">
        <v>105</v>
      </c>
      <c r="E619" s="6" t="s">
        <v>46</v>
      </c>
      <c r="F619" s="6" t="s">
        <v>53</v>
      </c>
      <c r="G619" s="6" t="s">
        <v>54</v>
      </c>
      <c r="H619" s="6">
        <v>1</v>
      </c>
      <c r="I619" s="6" t="s">
        <v>1355</v>
      </c>
      <c r="J619" s="6" t="s">
        <v>147</v>
      </c>
      <c r="K619" s="6" t="s">
        <v>122</v>
      </c>
      <c r="L619" s="6" t="s">
        <v>42</v>
      </c>
      <c r="M619" s="6" t="s">
        <v>34</v>
      </c>
    </row>
    <row r="620" spans="1:13">
      <c r="A620" s="6" t="s">
        <v>1356</v>
      </c>
      <c r="B620" s="6" t="s">
        <v>946</v>
      </c>
      <c r="C620" s="6" t="s">
        <v>1357</v>
      </c>
      <c r="D620" s="6" t="s">
        <v>45</v>
      </c>
      <c r="E620" s="6" t="s">
        <v>37</v>
      </c>
      <c r="F620" s="6" t="s">
        <v>94</v>
      </c>
      <c r="G620" s="6" t="s">
        <v>95</v>
      </c>
      <c r="H620" s="6">
        <v>3</v>
      </c>
      <c r="I620" s="6" t="s">
        <v>113</v>
      </c>
      <c r="J620" s="6" t="s">
        <v>1358</v>
      </c>
      <c r="K620" s="6">
        <v>340</v>
      </c>
      <c r="L620" s="6" t="s">
        <v>42</v>
      </c>
      <c r="M620" s="6" t="s">
        <v>69</v>
      </c>
    </row>
    <row r="621" spans="1:13">
      <c r="A621" s="6" t="s">
        <v>1359</v>
      </c>
      <c r="B621" s="7">
        <v>46047</v>
      </c>
      <c r="C621" s="6" t="s">
        <v>1360</v>
      </c>
      <c r="D621" s="6" t="s">
        <v>27</v>
      </c>
      <c r="E621" s="6" t="s">
        <v>78</v>
      </c>
      <c r="F621" s="6" t="s">
        <v>58</v>
      </c>
      <c r="G621" s="6" t="s">
        <v>59</v>
      </c>
      <c r="H621" s="6">
        <v>2</v>
      </c>
      <c r="I621" s="6" t="s">
        <v>147</v>
      </c>
      <c r="J621" s="6" t="s">
        <v>175</v>
      </c>
      <c r="K621" s="6">
        <v>380</v>
      </c>
      <c r="L621" s="6" t="s">
        <v>42</v>
      </c>
      <c r="M621" s="6" t="s">
        <v>34</v>
      </c>
    </row>
    <row r="622" spans="1:13">
      <c r="A622" s="6" t="s">
        <v>1361</v>
      </c>
      <c r="B622" s="7">
        <v>46038</v>
      </c>
      <c r="C622" s="6" t="s">
        <v>1362</v>
      </c>
      <c r="D622" s="6" t="s">
        <v>27</v>
      </c>
      <c r="E622" s="6" t="s">
        <v>28</v>
      </c>
      <c r="F622" s="6" t="s">
        <v>58</v>
      </c>
      <c r="G622" s="6" t="s">
        <v>59</v>
      </c>
      <c r="H622" s="6">
        <v>3</v>
      </c>
      <c r="I622" s="6" t="s">
        <v>147</v>
      </c>
      <c r="J622" s="6" t="s">
        <v>1363</v>
      </c>
      <c r="K622" s="6">
        <v>380</v>
      </c>
      <c r="L622" s="6" t="s">
        <v>42</v>
      </c>
      <c r="M622" s="6" t="s">
        <v>69</v>
      </c>
    </row>
    <row r="623" spans="1:13">
      <c r="A623" s="6" t="s">
        <v>1364</v>
      </c>
      <c r="B623" s="7">
        <v>46079</v>
      </c>
      <c r="C623" s="6" t="s">
        <v>1365</v>
      </c>
      <c r="D623" s="6" t="s">
        <v>64</v>
      </c>
      <c r="E623" s="6" t="s">
        <v>78</v>
      </c>
      <c r="F623" s="6" t="s">
        <v>100</v>
      </c>
      <c r="G623" s="6" t="s">
        <v>101</v>
      </c>
      <c r="H623" s="6">
        <v>1</v>
      </c>
      <c r="I623" s="6" t="s">
        <v>147</v>
      </c>
      <c r="J623" s="6" t="s">
        <v>147</v>
      </c>
      <c r="K623" s="6">
        <v>640</v>
      </c>
      <c r="L623" s="6" t="s">
        <v>33</v>
      </c>
      <c r="M623" s="6" t="s">
        <v>69</v>
      </c>
    </row>
    <row r="624" spans="1:13">
      <c r="A624" s="6" t="s">
        <v>1366</v>
      </c>
      <c r="B624" s="7">
        <v>46208</v>
      </c>
      <c r="C624" s="6" t="s">
        <v>1367</v>
      </c>
      <c r="D624" s="6" t="s">
        <v>110</v>
      </c>
      <c r="E624" s="6" t="s">
        <v>78</v>
      </c>
      <c r="F624" s="6" t="s">
        <v>100</v>
      </c>
      <c r="G624" s="6" t="s">
        <v>101</v>
      </c>
      <c r="H624" s="6">
        <v>3</v>
      </c>
      <c r="I624" s="6" t="s">
        <v>265</v>
      </c>
      <c r="J624" s="6" t="s">
        <v>401</v>
      </c>
      <c r="K624" s="6" t="s">
        <v>119</v>
      </c>
      <c r="L624" s="6" t="s">
        <v>42</v>
      </c>
      <c r="M624" s="6" t="s">
        <v>34</v>
      </c>
    </row>
    <row r="625" spans="1:13">
      <c r="A625" s="6" t="s">
        <v>1368</v>
      </c>
      <c r="B625" s="7">
        <v>46103</v>
      </c>
      <c r="C625" s="6" t="s">
        <v>1369</v>
      </c>
      <c r="D625" s="6" t="s">
        <v>110</v>
      </c>
      <c r="E625" s="6" t="s">
        <v>28</v>
      </c>
      <c r="F625" s="6" t="s">
        <v>53</v>
      </c>
      <c r="G625" s="6" t="s">
        <v>54</v>
      </c>
      <c r="H625" s="6">
        <v>1</v>
      </c>
      <c r="I625" s="6" t="s">
        <v>113</v>
      </c>
      <c r="J625" s="6" t="s">
        <v>113</v>
      </c>
      <c r="K625" s="6">
        <v>190</v>
      </c>
      <c r="L625" s="6" t="s">
        <v>42</v>
      </c>
      <c r="M625" s="6" t="s">
        <v>69</v>
      </c>
    </row>
    <row r="626" spans="1:13">
      <c r="A626" s="6" t="s">
        <v>1370</v>
      </c>
      <c r="B626" s="7">
        <v>46047</v>
      </c>
      <c r="C626" s="6" t="s">
        <v>1371</v>
      </c>
      <c r="D626" s="6" t="s">
        <v>105</v>
      </c>
      <c r="E626" s="6" t="s">
        <v>52</v>
      </c>
      <c r="F626" s="6" t="s">
        <v>85</v>
      </c>
      <c r="G626" s="6" t="s">
        <v>86</v>
      </c>
      <c r="H626" s="6">
        <v>2</v>
      </c>
      <c r="I626" s="6" t="s">
        <v>67</v>
      </c>
      <c r="J626" s="6" t="s">
        <v>708</v>
      </c>
      <c r="K626" s="6">
        <v>410</v>
      </c>
      <c r="L626" s="6" t="s">
        <v>42</v>
      </c>
      <c r="M626" s="6" t="s">
        <v>34</v>
      </c>
    </row>
    <row r="627" spans="1:13">
      <c r="A627" s="6" t="s">
        <v>1372</v>
      </c>
      <c r="B627" s="7">
        <v>46150</v>
      </c>
      <c r="C627" s="6" t="s">
        <v>1373</v>
      </c>
      <c r="D627" s="6" t="s">
        <v>27</v>
      </c>
      <c r="E627" s="6" t="s">
        <v>78</v>
      </c>
      <c r="F627" s="6" t="s">
        <v>100</v>
      </c>
      <c r="G627" s="6" t="s">
        <v>101</v>
      </c>
      <c r="H627" s="6">
        <v>1</v>
      </c>
      <c r="I627" s="6" t="s">
        <v>96</v>
      </c>
      <c r="J627" s="6" t="s">
        <v>96</v>
      </c>
      <c r="K627" s="6" t="s">
        <v>119</v>
      </c>
      <c r="L627" s="6" t="s">
        <v>33</v>
      </c>
      <c r="M627" s="6" t="s">
        <v>34</v>
      </c>
    </row>
    <row r="628" spans="1:13">
      <c r="A628" s="6" t="s">
        <v>1374</v>
      </c>
      <c r="B628" s="7">
        <v>46064</v>
      </c>
      <c r="C628" s="6" t="s">
        <v>1375</v>
      </c>
      <c r="D628" s="6" t="s">
        <v>105</v>
      </c>
      <c r="E628" s="6" t="s">
        <v>52</v>
      </c>
      <c r="F628" s="6" t="s">
        <v>94</v>
      </c>
      <c r="G628" s="6" t="s">
        <v>95</v>
      </c>
      <c r="H628" s="6">
        <v>2</v>
      </c>
      <c r="I628" s="6" t="s">
        <v>231</v>
      </c>
      <c r="J628" s="6" t="s">
        <v>232</v>
      </c>
      <c r="K628" s="6">
        <v>340</v>
      </c>
      <c r="L628" s="6" t="s">
        <v>42</v>
      </c>
      <c r="M628" s="6" t="s">
        <v>34</v>
      </c>
    </row>
    <row r="629" spans="1:13">
      <c r="A629" s="6" t="s">
        <v>1376</v>
      </c>
      <c r="B629" s="7">
        <v>46176</v>
      </c>
      <c r="C629" s="6" t="s">
        <v>930</v>
      </c>
      <c r="D629" s="6" t="s">
        <v>127</v>
      </c>
      <c r="E629" s="6" t="s">
        <v>78</v>
      </c>
      <c r="F629" s="6" t="s">
        <v>100</v>
      </c>
      <c r="G629" s="6" t="s">
        <v>101</v>
      </c>
      <c r="H629" s="6">
        <v>2</v>
      </c>
      <c r="I629" s="6" t="s">
        <v>67</v>
      </c>
      <c r="J629" s="6" t="s">
        <v>204</v>
      </c>
      <c r="K629" s="6" t="s">
        <v>119</v>
      </c>
      <c r="L629" s="6" t="s">
        <v>42</v>
      </c>
      <c r="M629" s="6" t="s">
        <v>69</v>
      </c>
    </row>
    <row r="630" spans="1:13">
      <c r="A630" s="6" t="s">
        <v>1377</v>
      </c>
      <c r="B630" s="7">
        <v>46061</v>
      </c>
      <c r="C630" s="6" t="s">
        <v>1378</v>
      </c>
      <c r="D630" s="6" t="s">
        <v>127</v>
      </c>
      <c r="E630" s="6" t="s">
        <v>52</v>
      </c>
      <c r="F630" s="6" t="s">
        <v>29</v>
      </c>
      <c r="G630" s="6" t="s">
        <v>30</v>
      </c>
      <c r="H630" s="6">
        <v>1</v>
      </c>
      <c r="I630" s="6" t="s">
        <v>147</v>
      </c>
      <c r="J630" s="6" t="s">
        <v>147</v>
      </c>
      <c r="K630" s="6">
        <v>520</v>
      </c>
      <c r="L630" s="6" t="s">
        <v>42</v>
      </c>
      <c r="M630" s="6" t="s">
        <v>69</v>
      </c>
    </row>
    <row r="631" spans="1:13">
      <c r="A631" s="6" t="s">
        <v>1379</v>
      </c>
      <c r="B631" s="7">
        <v>46136</v>
      </c>
      <c r="C631" s="6" t="s">
        <v>1380</v>
      </c>
      <c r="D631" s="6" t="s">
        <v>57</v>
      </c>
      <c r="E631" s="6" t="s">
        <v>46</v>
      </c>
      <c r="F631" s="6" t="s">
        <v>100</v>
      </c>
      <c r="G631" s="6" t="s">
        <v>101</v>
      </c>
      <c r="H631" s="6">
        <v>2</v>
      </c>
      <c r="I631" s="6" t="s">
        <v>203</v>
      </c>
      <c r="J631" s="6" t="s">
        <v>204</v>
      </c>
      <c r="K631" s="6" t="s">
        <v>119</v>
      </c>
      <c r="L631" s="6" t="s">
        <v>33</v>
      </c>
      <c r="M631" s="6" t="s">
        <v>69</v>
      </c>
    </row>
    <row r="632" spans="1:13">
      <c r="A632" s="6" t="s">
        <v>1381</v>
      </c>
      <c r="B632" s="6" t="s">
        <v>640</v>
      </c>
      <c r="C632" s="6" t="s">
        <v>752</v>
      </c>
      <c r="D632" s="6" t="s">
        <v>77</v>
      </c>
      <c r="E632" s="6" t="s">
        <v>78</v>
      </c>
      <c r="F632" s="6" t="s">
        <v>47</v>
      </c>
      <c r="G632" s="6" t="s">
        <v>48</v>
      </c>
      <c r="H632" s="6">
        <v>1</v>
      </c>
      <c r="I632" s="6" t="s">
        <v>60</v>
      </c>
      <c r="J632" s="6" t="s">
        <v>60</v>
      </c>
      <c r="K632" s="6">
        <v>85</v>
      </c>
      <c r="L632" s="6" t="s">
        <v>42</v>
      </c>
      <c r="M632" s="6" t="s">
        <v>69</v>
      </c>
    </row>
    <row r="633" spans="1:13">
      <c r="A633" s="6" t="s">
        <v>1382</v>
      </c>
      <c r="B633" s="7">
        <v>46097</v>
      </c>
      <c r="C633" s="6" t="s">
        <v>1383</v>
      </c>
      <c r="D633" s="6" t="s">
        <v>105</v>
      </c>
      <c r="E633" s="6" t="s">
        <v>46</v>
      </c>
      <c r="F633" s="6" t="s">
        <v>47</v>
      </c>
      <c r="G633" s="6" t="s">
        <v>48</v>
      </c>
      <c r="H633" s="6">
        <v>2</v>
      </c>
      <c r="I633" s="6" t="s">
        <v>31</v>
      </c>
      <c r="J633" s="6" t="s">
        <v>249</v>
      </c>
      <c r="K633" s="6">
        <v>85</v>
      </c>
      <c r="L633" s="6" t="s">
        <v>42</v>
      </c>
      <c r="M633" s="6" t="s">
        <v>34</v>
      </c>
    </row>
    <row r="634" spans="1:13">
      <c r="A634" s="6" t="s">
        <v>1384</v>
      </c>
      <c r="B634" s="6" t="s">
        <v>1385</v>
      </c>
      <c r="C634" s="6" t="s">
        <v>1386</v>
      </c>
      <c r="D634" s="6" t="s">
        <v>72</v>
      </c>
      <c r="E634" s="6" t="s">
        <v>52</v>
      </c>
      <c r="F634" s="6" t="s">
        <v>53</v>
      </c>
      <c r="G634" s="6" t="s">
        <v>54</v>
      </c>
      <c r="H634" s="6">
        <v>3</v>
      </c>
      <c r="I634" s="6" t="s">
        <v>79</v>
      </c>
      <c r="J634" s="6" t="s">
        <v>216</v>
      </c>
      <c r="K634" s="6" t="s">
        <v>122</v>
      </c>
      <c r="L634" s="6" t="s">
        <v>42</v>
      </c>
      <c r="M634" s="6" t="s">
        <v>69</v>
      </c>
    </row>
    <row r="635" spans="1:13">
      <c r="A635" s="6" t="s">
        <v>1387</v>
      </c>
      <c r="B635" s="7">
        <v>46206</v>
      </c>
      <c r="C635" s="6" t="s">
        <v>1388</v>
      </c>
      <c r="D635" s="6" t="s">
        <v>72</v>
      </c>
      <c r="E635" s="6" t="s">
        <v>37</v>
      </c>
      <c r="F635" s="6" t="s">
        <v>53</v>
      </c>
      <c r="G635" s="6" t="s">
        <v>54</v>
      </c>
      <c r="H635" s="6">
        <v>3</v>
      </c>
      <c r="I635" s="6" t="s">
        <v>265</v>
      </c>
      <c r="J635" s="6" t="s">
        <v>401</v>
      </c>
      <c r="K635" s="6" t="s">
        <v>122</v>
      </c>
      <c r="L635" s="6" t="s">
        <v>33</v>
      </c>
      <c r="M635" s="6" t="s">
        <v>34</v>
      </c>
    </row>
    <row r="636" spans="1:13">
      <c r="A636" s="6" t="s">
        <v>1389</v>
      </c>
      <c r="B636" s="7">
        <v>46266</v>
      </c>
      <c r="C636" s="6" t="s">
        <v>1390</v>
      </c>
      <c r="D636" s="6" t="s">
        <v>45</v>
      </c>
      <c r="E636" s="6" t="s">
        <v>37</v>
      </c>
      <c r="F636" s="6" t="s">
        <v>100</v>
      </c>
      <c r="G636" s="6" t="s">
        <v>101</v>
      </c>
      <c r="H636" s="6">
        <v>2</v>
      </c>
      <c r="I636" s="6" t="s">
        <v>117</v>
      </c>
      <c r="J636" s="6" t="s">
        <v>1391</v>
      </c>
      <c r="K636" s="6">
        <v>640</v>
      </c>
      <c r="L636" s="6" t="s">
        <v>33</v>
      </c>
      <c r="M636" s="6" t="s">
        <v>34</v>
      </c>
    </row>
    <row r="637" spans="1:13">
      <c r="A637" s="6" t="s">
        <v>1392</v>
      </c>
      <c r="B637" s="7">
        <v>46115</v>
      </c>
      <c r="C637" s="6" t="s">
        <v>1393</v>
      </c>
      <c r="D637" s="6" t="s">
        <v>64</v>
      </c>
      <c r="E637" s="6" t="s">
        <v>52</v>
      </c>
      <c r="F637" s="6" t="s">
        <v>85</v>
      </c>
      <c r="G637" s="6" t="s">
        <v>86</v>
      </c>
      <c r="H637" s="6">
        <v>1</v>
      </c>
      <c r="I637" s="6" t="s">
        <v>79</v>
      </c>
      <c r="J637" s="6" t="s">
        <v>79</v>
      </c>
      <c r="K637" s="6">
        <v>410</v>
      </c>
      <c r="L637" s="6" t="s">
        <v>42</v>
      </c>
      <c r="M637" s="6" t="s">
        <v>69</v>
      </c>
    </row>
    <row r="638" spans="1:13">
      <c r="A638" s="6" t="s">
        <v>1394</v>
      </c>
      <c r="B638" s="7">
        <v>46191</v>
      </c>
      <c r="C638" s="6" t="s">
        <v>805</v>
      </c>
      <c r="D638" s="6" t="s">
        <v>105</v>
      </c>
      <c r="E638" s="6" t="s">
        <v>37</v>
      </c>
      <c r="F638" s="6" t="s">
        <v>58</v>
      </c>
      <c r="G638" s="6" t="s">
        <v>59</v>
      </c>
      <c r="H638" s="6">
        <v>1</v>
      </c>
      <c r="I638" s="6" t="s">
        <v>117</v>
      </c>
      <c r="J638" s="6" t="s">
        <v>117</v>
      </c>
      <c r="K638" s="6" t="s">
        <v>61</v>
      </c>
      <c r="L638" s="6" t="s">
        <v>42</v>
      </c>
      <c r="M638" s="6" t="s">
        <v>34</v>
      </c>
    </row>
    <row r="639" spans="1:13">
      <c r="A639" s="6" t="s">
        <v>1395</v>
      </c>
      <c r="B639" s="7">
        <v>46113</v>
      </c>
      <c r="C639" s="6" t="s">
        <v>1396</v>
      </c>
      <c r="D639" s="6" t="s">
        <v>64</v>
      </c>
      <c r="E639" s="6" t="s">
        <v>28</v>
      </c>
      <c r="F639" s="6" t="s">
        <v>53</v>
      </c>
      <c r="G639" s="6" t="s">
        <v>54</v>
      </c>
      <c r="H639" s="6">
        <v>1</v>
      </c>
      <c r="I639" s="6" t="s">
        <v>117</v>
      </c>
      <c r="J639" s="6" t="s">
        <v>117</v>
      </c>
      <c r="K639" s="6">
        <v>190</v>
      </c>
      <c r="L639" s="6" t="s">
        <v>42</v>
      </c>
      <c r="M639" s="6" t="s">
        <v>34</v>
      </c>
    </row>
    <row r="640" spans="1:13">
      <c r="A640" s="6" t="s">
        <v>1397</v>
      </c>
      <c r="B640" s="7">
        <v>46129</v>
      </c>
      <c r="C640" s="6" t="s">
        <v>1398</v>
      </c>
      <c r="D640" s="6" t="s">
        <v>110</v>
      </c>
      <c r="E640" s="6" t="s">
        <v>78</v>
      </c>
      <c r="F640" s="6" t="s">
        <v>58</v>
      </c>
      <c r="G640" s="6" t="s">
        <v>59</v>
      </c>
      <c r="H640" s="6">
        <v>2</v>
      </c>
      <c r="I640" s="6" t="s">
        <v>265</v>
      </c>
      <c r="J640" s="6" t="s">
        <v>167</v>
      </c>
      <c r="K640" s="6">
        <v>380</v>
      </c>
      <c r="L640" s="6" t="s">
        <v>33</v>
      </c>
      <c r="M640" s="6" t="s">
        <v>69</v>
      </c>
    </row>
    <row r="641" spans="1:13">
      <c r="A641" s="6" t="s">
        <v>1399</v>
      </c>
      <c r="B641" s="7">
        <v>46148</v>
      </c>
      <c r="C641" s="6" t="s">
        <v>622</v>
      </c>
      <c r="D641" s="6" t="s">
        <v>105</v>
      </c>
      <c r="E641" s="6" t="s">
        <v>37</v>
      </c>
      <c r="F641" s="6" t="s">
        <v>53</v>
      </c>
      <c r="G641" s="6" t="s">
        <v>54</v>
      </c>
      <c r="H641" s="6">
        <v>2</v>
      </c>
      <c r="I641" s="6" t="s">
        <v>90</v>
      </c>
      <c r="J641" s="6" t="s">
        <v>154</v>
      </c>
      <c r="K641" s="6" t="s">
        <v>122</v>
      </c>
      <c r="L641" s="6" t="s">
        <v>42</v>
      </c>
      <c r="M641" s="6" t="s">
        <v>34</v>
      </c>
    </row>
    <row r="642" spans="1:13">
      <c r="A642" s="6" t="s">
        <v>1400</v>
      </c>
      <c r="B642" s="7">
        <v>46095</v>
      </c>
      <c r="C642" s="6" t="s">
        <v>1401</v>
      </c>
      <c r="D642" s="6" t="s">
        <v>77</v>
      </c>
      <c r="E642" s="6" t="s">
        <v>46</v>
      </c>
      <c r="F642" s="6" t="s">
        <v>94</v>
      </c>
      <c r="G642" s="6" t="s">
        <v>95</v>
      </c>
      <c r="H642" s="6">
        <v>2</v>
      </c>
      <c r="I642" s="6" t="s">
        <v>143</v>
      </c>
      <c r="J642" s="6" t="s">
        <v>144</v>
      </c>
      <c r="K642" s="6">
        <v>340</v>
      </c>
      <c r="L642" s="6" t="s">
        <v>42</v>
      </c>
      <c r="M642" s="6" t="s">
        <v>34</v>
      </c>
    </row>
    <row r="643" spans="1:13">
      <c r="A643" s="6" t="s">
        <v>1402</v>
      </c>
      <c r="B643" s="7">
        <v>46055</v>
      </c>
      <c r="C643" s="6" t="s">
        <v>1403</v>
      </c>
      <c r="D643" s="6" t="s">
        <v>45</v>
      </c>
      <c r="E643" s="6" t="s">
        <v>52</v>
      </c>
      <c r="F643" s="6" t="s">
        <v>58</v>
      </c>
      <c r="G643" s="6" t="s">
        <v>59</v>
      </c>
      <c r="H643" s="6">
        <v>1</v>
      </c>
      <c r="I643" s="6" t="s">
        <v>82</v>
      </c>
      <c r="J643" s="6" t="s">
        <v>82</v>
      </c>
      <c r="K643" s="6">
        <v>380</v>
      </c>
      <c r="L643" s="6" t="s">
        <v>42</v>
      </c>
      <c r="M643" s="6" t="s">
        <v>34</v>
      </c>
    </row>
    <row r="644" spans="1:13">
      <c r="A644" s="6" t="s">
        <v>1404</v>
      </c>
      <c r="B644" s="7">
        <v>46031</v>
      </c>
      <c r="C644" s="6" t="s">
        <v>1405</v>
      </c>
      <c r="D644" s="6" t="s">
        <v>45</v>
      </c>
      <c r="E644" s="6" t="s">
        <v>37</v>
      </c>
      <c r="F644" s="6" t="s">
        <v>85</v>
      </c>
      <c r="G644" s="6" t="s">
        <v>86</v>
      </c>
      <c r="H644" s="6">
        <v>2</v>
      </c>
      <c r="I644" s="6" t="s">
        <v>511</v>
      </c>
      <c r="J644" s="6" t="s">
        <v>232</v>
      </c>
      <c r="K644" s="6">
        <v>410</v>
      </c>
      <c r="L644" s="6" t="s">
        <v>42</v>
      </c>
      <c r="M644" s="6" t="s">
        <v>34</v>
      </c>
    </row>
    <row r="645" spans="1:13">
      <c r="A645" s="6" t="s">
        <v>1406</v>
      </c>
      <c r="B645" s="7">
        <v>46115</v>
      </c>
      <c r="C645" s="6" t="s">
        <v>158</v>
      </c>
      <c r="D645" s="6" t="s">
        <v>57</v>
      </c>
      <c r="E645" s="6" t="s">
        <v>28</v>
      </c>
      <c r="F645" s="6" t="s">
        <v>94</v>
      </c>
      <c r="G645" s="6" t="s">
        <v>95</v>
      </c>
      <c r="H645" s="6">
        <v>2</v>
      </c>
      <c r="I645" s="6" t="s">
        <v>113</v>
      </c>
      <c r="J645" s="6" t="s">
        <v>192</v>
      </c>
      <c r="K645" s="6">
        <v>340</v>
      </c>
      <c r="L645" s="6" t="s">
        <v>33</v>
      </c>
      <c r="M645" s="6" t="s">
        <v>34</v>
      </c>
    </row>
    <row r="646" spans="1:13">
      <c r="A646" s="6" t="s">
        <v>1407</v>
      </c>
      <c r="B646" s="7">
        <v>46136</v>
      </c>
      <c r="C646" s="6" t="s">
        <v>1378</v>
      </c>
      <c r="D646" s="6" t="s">
        <v>77</v>
      </c>
      <c r="E646" s="6" t="s">
        <v>37</v>
      </c>
      <c r="F646" s="6" t="s">
        <v>29</v>
      </c>
      <c r="G646" s="6" t="s">
        <v>30</v>
      </c>
      <c r="H646" s="6">
        <v>2</v>
      </c>
      <c r="I646" s="6" t="s">
        <v>96</v>
      </c>
      <c r="J646" s="6" t="s">
        <v>278</v>
      </c>
      <c r="K646" s="6" t="s">
        <v>41</v>
      </c>
      <c r="L646" s="6" t="s">
        <v>42</v>
      </c>
      <c r="M646" s="6" t="s">
        <v>34</v>
      </c>
    </row>
    <row r="647" spans="1:13">
      <c r="A647" s="6" t="s">
        <v>1408</v>
      </c>
      <c r="B647" s="6" t="s">
        <v>1409</v>
      </c>
      <c r="C647" s="6" t="s">
        <v>1410</v>
      </c>
      <c r="D647" s="6" t="s">
        <v>72</v>
      </c>
      <c r="E647" s="6" t="s">
        <v>46</v>
      </c>
      <c r="F647" s="6" t="s">
        <v>100</v>
      </c>
      <c r="G647" s="6" t="s">
        <v>101</v>
      </c>
      <c r="H647" s="6">
        <v>1</v>
      </c>
      <c r="I647" s="6" t="s">
        <v>82</v>
      </c>
      <c r="J647" s="6" t="s">
        <v>82</v>
      </c>
      <c r="K647" s="6">
        <v>640</v>
      </c>
      <c r="L647" s="6" t="s">
        <v>42</v>
      </c>
      <c r="M647" s="6" t="s">
        <v>69</v>
      </c>
    </row>
    <row r="648" spans="1:13">
      <c r="A648" s="6" t="s">
        <v>1411</v>
      </c>
      <c r="B648" s="7">
        <v>46040</v>
      </c>
      <c r="C648" s="6" t="s">
        <v>1412</v>
      </c>
      <c r="D648" s="6" t="s">
        <v>72</v>
      </c>
      <c r="E648" s="6" t="s">
        <v>37</v>
      </c>
      <c r="F648" s="6" t="s">
        <v>58</v>
      </c>
      <c r="G648" s="6" t="s">
        <v>59</v>
      </c>
      <c r="H648" s="6">
        <v>3</v>
      </c>
      <c r="I648" s="6" t="s">
        <v>113</v>
      </c>
      <c r="J648" s="6" t="s">
        <v>138</v>
      </c>
      <c r="K648" s="6">
        <v>380</v>
      </c>
      <c r="L648" s="6" t="s">
        <v>33</v>
      </c>
      <c r="M648" s="6" t="s">
        <v>69</v>
      </c>
    </row>
    <row r="649" spans="1:13">
      <c r="A649" s="6" t="s">
        <v>1413</v>
      </c>
      <c r="B649" s="7">
        <v>46109</v>
      </c>
      <c r="C649" s="6" t="s">
        <v>1414</v>
      </c>
      <c r="D649" s="6" t="s">
        <v>110</v>
      </c>
      <c r="E649" s="6" t="s">
        <v>52</v>
      </c>
      <c r="F649" s="6" t="s">
        <v>47</v>
      </c>
      <c r="G649" s="6" t="s">
        <v>48</v>
      </c>
      <c r="H649" s="6">
        <v>-1</v>
      </c>
      <c r="I649" s="6" t="s">
        <v>82</v>
      </c>
      <c r="J649" s="8" t="s">
        <v>1415</v>
      </c>
      <c r="K649" s="6">
        <v>85</v>
      </c>
      <c r="L649" s="6" t="s">
        <v>42</v>
      </c>
      <c r="M649" s="6" t="s">
        <v>34</v>
      </c>
    </row>
    <row r="650" spans="1:13">
      <c r="A650" s="6" t="s">
        <v>1416</v>
      </c>
      <c r="B650" s="7">
        <v>46163</v>
      </c>
      <c r="C650" s="6" t="s">
        <v>1367</v>
      </c>
      <c r="D650" s="6" t="s">
        <v>105</v>
      </c>
      <c r="E650" s="6" t="s">
        <v>28</v>
      </c>
      <c r="F650" s="6" t="s">
        <v>100</v>
      </c>
      <c r="G650" s="6" t="s">
        <v>101</v>
      </c>
      <c r="H650" s="6">
        <v>1</v>
      </c>
      <c r="I650" s="6" t="s">
        <v>40</v>
      </c>
      <c r="J650" s="6" t="s">
        <v>40</v>
      </c>
      <c r="K650" s="6" t="s">
        <v>119</v>
      </c>
      <c r="L650" s="6" t="s">
        <v>42</v>
      </c>
      <c r="M650" s="6" t="s">
        <v>34</v>
      </c>
    </row>
    <row r="651" spans="1:13">
      <c r="A651" s="6" t="s">
        <v>1417</v>
      </c>
      <c r="B651" s="7">
        <v>46097</v>
      </c>
      <c r="C651" s="6" t="s">
        <v>1418</v>
      </c>
      <c r="D651" s="6" t="s">
        <v>105</v>
      </c>
      <c r="E651" s="6" t="s">
        <v>78</v>
      </c>
      <c r="F651" s="6" t="s">
        <v>47</v>
      </c>
      <c r="G651" s="6" t="s">
        <v>48</v>
      </c>
      <c r="H651" s="6">
        <v>2</v>
      </c>
      <c r="I651" s="6" t="s">
        <v>67</v>
      </c>
      <c r="J651" s="6" t="s">
        <v>204</v>
      </c>
      <c r="K651" s="6">
        <v>85</v>
      </c>
      <c r="L651" s="6" t="s">
        <v>42</v>
      </c>
      <c r="M651" s="6" t="s">
        <v>34</v>
      </c>
    </row>
    <row r="652" spans="1:13">
      <c r="A652" s="6" t="s">
        <v>1419</v>
      </c>
      <c r="B652" s="7">
        <v>46056</v>
      </c>
      <c r="C652" s="6" t="s">
        <v>1420</v>
      </c>
      <c r="D652" s="6" t="s">
        <v>57</v>
      </c>
      <c r="E652" s="6" t="s">
        <v>28</v>
      </c>
      <c r="F652" s="6" t="s">
        <v>100</v>
      </c>
      <c r="G652" s="6" t="s">
        <v>101</v>
      </c>
      <c r="H652" s="6">
        <v>2</v>
      </c>
      <c r="I652" s="6" t="s">
        <v>117</v>
      </c>
      <c r="J652" s="6" t="s">
        <v>118</v>
      </c>
      <c r="K652" s="6">
        <v>640</v>
      </c>
      <c r="L652" s="6" t="s">
        <v>33</v>
      </c>
      <c r="M652" s="6" t="s">
        <v>34</v>
      </c>
    </row>
    <row r="653" spans="1:13">
      <c r="A653" s="6" t="s">
        <v>1421</v>
      </c>
      <c r="B653" s="7">
        <v>46091</v>
      </c>
      <c r="C653" s="6" t="s">
        <v>1422</v>
      </c>
      <c r="D653" s="6" t="s">
        <v>72</v>
      </c>
      <c r="E653" s="6" t="s">
        <v>78</v>
      </c>
      <c r="F653" s="6" t="s">
        <v>47</v>
      </c>
      <c r="G653" s="6" t="s">
        <v>48</v>
      </c>
      <c r="H653" s="6">
        <v>2</v>
      </c>
      <c r="I653" s="6" t="s">
        <v>82</v>
      </c>
      <c r="J653" s="6" t="s">
        <v>297</v>
      </c>
      <c r="K653" s="6">
        <v>85</v>
      </c>
      <c r="L653" s="6" t="s">
        <v>42</v>
      </c>
      <c r="M653" s="6" t="s">
        <v>34</v>
      </c>
    </row>
    <row r="654" spans="1:13">
      <c r="A654" s="6" t="s">
        <v>1423</v>
      </c>
      <c r="B654" s="7">
        <v>46029</v>
      </c>
      <c r="C654" s="6" t="s">
        <v>1001</v>
      </c>
      <c r="D654" s="6" t="s">
        <v>45</v>
      </c>
      <c r="E654" s="6" t="s">
        <v>46</v>
      </c>
      <c r="F654" s="6" t="s">
        <v>47</v>
      </c>
      <c r="G654" s="6" t="s">
        <v>48</v>
      </c>
      <c r="H654" s="6">
        <v>3</v>
      </c>
      <c r="I654" s="6" t="s">
        <v>90</v>
      </c>
      <c r="J654" s="6" t="s">
        <v>102</v>
      </c>
      <c r="K654" s="6">
        <v>85</v>
      </c>
      <c r="L654" s="6" t="s">
        <v>42</v>
      </c>
      <c r="M654" s="6" t="s">
        <v>34</v>
      </c>
    </row>
    <row r="655" spans="1:13">
      <c r="A655" s="6" t="s">
        <v>1424</v>
      </c>
      <c r="B655" s="6" t="s">
        <v>1425</v>
      </c>
      <c r="C655" s="6" t="s">
        <v>1426</v>
      </c>
      <c r="D655" s="6" t="s">
        <v>45</v>
      </c>
      <c r="E655" s="6" t="s">
        <v>37</v>
      </c>
      <c r="F655" s="6" t="s">
        <v>94</v>
      </c>
      <c r="G655" s="6" t="s">
        <v>95</v>
      </c>
      <c r="H655" s="6">
        <v>1</v>
      </c>
      <c r="I655" s="6" t="s">
        <v>490</v>
      </c>
      <c r="J655" s="6" t="s">
        <v>82</v>
      </c>
      <c r="K655" s="6" t="s">
        <v>114</v>
      </c>
      <c r="L655" s="6" t="s">
        <v>33</v>
      </c>
      <c r="M655" s="6" t="s">
        <v>69</v>
      </c>
    </row>
    <row r="656" spans="1:13">
      <c r="A656" s="6" t="s">
        <v>1427</v>
      </c>
      <c r="B656" s="7">
        <v>46026</v>
      </c>
      <c r="C656" s="6" t="s">
        <v>1428</v>
      </c>
      <c r="D656" s="6" t="s">
        <v>57</v>
      </c>
      <c r="E656" s="6" t="s">
        <v>28</v>
      </c>
      <c r="F656" s="6" t="s">
        <v>38</v>
      </c>
      <c r="G656" s="6" t="s">
        <v>39</v>
      </c>
      <c r="H656" s="6">
        <v>1</v>
      </c>
      <c r="I656" s="6" t="s">
        <v>79</v>
      </c>
      <c r="J656" s="6" t="s">
        <v>79</v>
      </c>
      <c r="K656" s="6">
        <v>520</v>
      </c>
      <c r="L656" s="6" t="s">
        <v>42</v>
      </c>
      <c r="M656" s="6" t="s">
        <v>34</v>
      </c>
    </row>
    <row r="657" spans="1:13">
      <c r="A657" s="6" t="s">
        <v>1429</v>
      </c>
      <c r="B657" s="7">
        <v>46133</v>
      </c>
      <c r="C657" s="6" t="s">
        <v>1039</v>
      </c>
      <c r="D657" s="6" t="s">
        <v>64</v>
      </c>
      <c r="E657" s="6" t="s">
        <v>78</v>
      </c>
      <c r="F657" s="6" t="s">
        <v>29</v>
      </c>
      <c r="G657" s="6" t="s">
        <v>30</v>
      </c>
      <c r="H657" s="6">
        <v>1</v>
      </c>
      <c r="I657" s="6" t="s">
        <v>1430</v>
      </c>
      <c r="J657" s="6" t="s">
        <v>143</v>
      </c>
      <c r="K657" s="6" t="s">
        <v>41</v>
      </c>
      <c r="L657" s="6" t="s">
        <v>42</v>
      </c>
      <c r="M657" s="6" t="s">
        <v>34</v>
      </c>
    </row>
    <row r="658" spans="1:13">
      <c r="A658" s="6" t="s">
        <v>1431</v>
      </c>
      <c r="B658" s="6" t="s">
        <v>1305</v>
      </c>
      <c r="C658" s="6" t="s">
        <v>1007</v>
      </c>
      <c r="D658" s="6" t="s">
        <v>110</v>
      </c>
      <c r="E658" s="6" t="s">
        <v>78</v>
      </c>
      <c r="F658" s="6" t="s">
        <v>53</v>
      </c>
      <c r="G658" s="6" t="s">
        <v>54</v>
      </c>
      <c r="H658" s="6">
        <v>1</v>
      </c>
      <c r="I658" s="6" t="s">
        <v>117</v>
      </c>
      <c r="J658" s="6" t="s">
        <v>117</v>
      </c>
      <c r="K658" s="6" t="s">
        <v>122</v>
      </c>
      <c r="L658" s="6" t="s">
        <v>42</v>
      </c>
      <c r="M658" s="6" t="s">
        <v>34</v>
      </c>
    </row>
    <row r="659" spans="1:13">
      <c r="A659" s="6" t="s">
        <v>1432</v>
      </c>
      <c r="B659" s="7">
        <v>46171</v>
      </c>
      <c r="C659" s="6" t="s">
        <v>1433</v>
      </c>
      <c r="D659" s="6" t="s">
        <v>105</v>
      </c>
      <c r="E659" s="6" t="s">
        <v>46</v>
      </c>
      <c r="F659" s="6" t="s">
        <v>85</v>
      </c>
      <c r="G659" s="6" t="s">
        <v>86</v>
      </c>
      <c r="H659" s="6">
        <v>2</v>
      </c>
      <c r="I659" s="6" t="s">
        <v>113</v>
      </c>
      <c r="J659" s="6" t="s">
        <v>192</v>
      </c>
      <c r="K659" s="6" t="s">
        <v>87</v>
      </c>
      <c r="L659" s="6" t="s">
        <v>42</v>
      </c>
      <c r="M659" s="6" t="s">
        <v>34</v>
      </c>
    </row>
    <row r="660" spans="1:13">
      <c r="A660" s="6" t="s">
        <v>1434</v>
      </c>
      <c r="B660" s="7">
        <v>46149</v>
      </c>
      <c r="C660" s="6" t="s">
        <v>1435</v>
      </c>
      <c r="D660" s="6" t="s">
        <v>45</v>
      </c>
      <c r="E660" s="6" t="s">
        <v>52</v>
      </c>
      <c r="F660" s="6" t="s">
        <v>58</v>
      </c>
      <c r="G660" s="6" t="s">
        <v>59</v>
      </c>
      <c r="H660" s="6">
        <v>1</v>
      </c>
      <c r="I660" s="6" t="s">
        <v>231</v>
      </c>
      <c r="J660" s="6" t="s">
        <v>1436</v>
      </c>
      <c r="K660" s="6" t="s">
        <v>61</v>
      </c>
      <c r="L660" s="6" t="s">
        <v>42</v>
      </c>
      <c r="M660" s="6" t="s">
        <v>34</v>
      </c>
    </row>
    <row r="661" spans="1:13">
      <c r="A661" s="6" t="s">
        <v>1437</v>
      </c>
      <c r="B661" s="7">
        <v>46121</v>
      </c>
      <c r="C661" s="6" t="s">
        <v>554</v>
      </c>
      <c r="D661" s="6" t="s">
        <v>105</v>
      </c>
      <c r="E661" s="6" t="s">
        <v>78</v>
      </c>
      <c r="F661" s="6" t="s">
        <v>85</v>
      </c>
      <c r="G661" s="6" t="s">
        <v>86</v>
      </c>
      <c r="H661" s="6">
        <v>1</v>
      </c>
      <c r="I661" s="6" t="s">
        <v>143</v>
      </c>
      <c r="J661" s="6" t="s">
        <v>143</v>
      </c>
      <c r="K661" s="6">
        <v>410</v>
      </c>
      <c r="L661" s="6" t="s">
        <v>42</v>
      </c>
      <c r="M661" s="6" t="s">
        <v>34</v>
      </c>
    </row>
    <row r="662" spans="1:13">
      <c r="A662" s="6" t="s">
        <v>1438</v>
      </c>
      <c r="B662" s="7">
        <v>46190</v>
      </c>
      <c r="C662" s="6" t="s">
        <v>1439</v>
      </c>
      <c r="D662" s="6" t="s">
        <v>57</v>
      </c>
      <c r="E662" s="6" t="s">
        <v>46</v>
      </c>
      <c r="F662" s="6" t="s">
        <v>100</v>
      </c>
      <c r="G662" s="6" t="s">
        <v>101</v>
      </c>
      <c r="H662" s="6">
        <v>1</v>
      </c>
      <c r="I662" s="6" t="s">
        <v>437</v>
      </c>
      <c r="J662" s="6" t="s">
        <v>40</v>
      </c>
      <c r="K662" s="6" t="s">
        <v>119</v>
      </c>
      <c r="L662" s="6" t="s">
        <v>42</v>
      </c>
      <c r="M662" s="6" t="s">
        <v>34</v>
      </c>
    </row>
    <row r="663" spans="1:13">
      <c r="A663" s="6" t="s">
        <v>1440</v>
      </c>
      <c r="B663" s="6" t="s">
        <v>1441</v>
      </c>
      <c r="C663" s="6" t="s">
        <v>1442</v>
      </c>
      <c r="D663" s="6" t="s">
        <v>110</v>
      </c>
      <c r="E663" s="6" t="s">
        <v>28</v>
      </c>
      <c r="F663" s="6" t="s">
        <v>29</v>
      </c>
      <c r="G663" s="6" t="s">
        <v>30</v>
      </c>
      <c r="H663" s="6">
        <v>1</v>
      </c>
      <c r="I663" s="6" t="s">
        <v>265</v>
      </c>
      <c r="J663" s="6" t="s">
        <v>265</v>
      </c>
      <c r="K663" s="6" t="s">
        <v>41</v>
      </c>
      <c r="L663" s="6" t="s">
        <v>33</v>
      </c>
      <c r="M663" s="6" t="s">
        <v>34</v>
      </c>
    </row>
    <row r="664" spans="1:13">
      <c r="A664" s="6" t="s">
        <v>1443</v>
      </c>
      <c r="B664" s="7">
        <v>46062</v>
      </c>
      <c r="C664" s="6" t="s">
        <v>1444</v>
      </c>
      <c r="D664" s="6" t="s">
        <v>27</v>
      </c>
      <c r="E664" s="6" t="s">
        <v>28</v>
      </c>
      <c r="F664" s="6" t="s">
        <v>100</v>
      </c>
      <c r="G664" s="6" t="s">
        <v>101</v>
      </c>
      <c r="H664" s="6">
        <v>1</v>
      </c>
      <c r="I664" s="6" t="s">
        <v>82</v>
      </c>
      <c r="J664" s="6" t="s">
        <v>82</v>
      </c>
      <c r="K664" s="6">
        <v>640</v>
      </c>
      <c r="L664" s="6" t="s">
        <v>33</v>
      </c>
      <c r="M664" s="6" t="s">
        <v>34</v>
      </c>
    </row>
    <row r="665" spans="1:13">
      <c r="A665" s="6" t="s">
        <v>1445</v>
      </c>
      <c r="B665" s="7">
        <v>46105</v>
      </c>
      <c r="C665" s="6" t="s">
        <v>1446</v>
      </c>
      <c r="D665" s="6" t="s">
        <v>45</v>
      </c>
      <c r="E665" s="6" t="s">
        <v>28</v>
      </c>
      <c r="F665" s="6" t="s">
        <v>100</v>
      </c>
      <c r="G665" s="6" t="s">
        <v>101</v>
      </c>
      <c r="H665" s="6">
        <v>2</v>
      </c>
      <c r="I665" s="6" t="s">
        <v>113</v>
      </c>
      <c r="J665" s="6" t="s">
        <v>192</v>
      </c>
      <c r="K665" s="6">
        <v>640</v>
      </c>
      <c r="L665" s="6" t="s">
        <v>33</v>
      </c>
      <c r="M665" s="6" t="s">
        <v>34</v>
      </c>
    </row>
    <row r="666" spans="1:13">
      <c r="A666" s="6" t="s">
        <v>1447</v>
      </c>
      <c r="B666" s="7">
        <v>46131</v>
      </c>
      <c r="C666" s="6" t="s">
        <v>1448</v>
      </c>
      <c r="D666" s="6" t="s">
        <v>64</v>
      </c>
      <c r="E666" s="6" t="s">
        <v>78</v>
      </c>
      <c r="F666" s="6" t="s">
        <v>85</v>
      </c>
      <c r="G666" s="6" t="s">
        <v>86</v>
      </c>
      <c r="H666" s="6">
        <v>1</v>
      </c>
      <c r="I666" s="6" t="s">
        <v>90</v>
      </c>
      <c r="J666" s="6" t="s">
        <v>90</v>
      </c>
      <c r="K666" s="6">
        <v>410</v>
      </c>
      <c r="L666" s="6" t="s">
        <v>42</v>
      </c>
      <c r="M666" s="6" t="s">
        <v>34</v>
      </c>
    </row>
    <row r="667" spans="1:13">
      <c r="A667" s="6" t="s">
        <v>1449</v>
      </c>
      <c r="B667" s="6" t="s">
        <v>1450</v>
      </c>
      <c r="C667" s="6" t="s">
        <v>1451</v>
      </c>
      <c r="D667" s="6" t="s">
        <v>72</v>
      </c>
      <c r="E667" s="6" t="s">
        <v>28</v>
      </c>
      <c r="F667" s="6" t="s">
        <v>58</v>
      </c>
      <c r="G667" s="6" t="s">
        <v>59</v>
      </c>
      <c r="H667" s="6">
        <v>2</v>
      </c>
      <c r="I667" s="6" t="s">
        <v>265</v>
      </c>
      <c r="J667" s="6" t="s">
        <v>167</v>
      </c>
      <c r="K667" s="6">
        <v>380</v>
      </c>
      <c r="L667" s="6" t="s">
        <v>33</v>
      </c>
      <c r="M667" s="6" t="s">
        <v>34</v>
      </c>
    </row>
    <row r="668" spans="1:13">
      <c r="A668" s="6" t="s">
        <v>1452</v>
      </c>
      <c r="B668" s="7">
        <v>46128</v>
      </c>
      <c r="C668" s="6" t="s">
        <v>1453</v>
      </c>
      <c r="D668" s="6" t="s">
        <v>110</v>
      </c>
      <c r="E668" s="6" t="s">
        <v>46</v>
      </c>
      <c r="F668" s="6" t="s">
        <v>58</v>
      </c>
      <c r="G668" s="6" t="s">
        <v>59</v>
      </c>
      <c r="H668" s="6">
        <v>3</v>
      </c>
      <c r="I668" s="6" t="s">
        <v>60</v>
      </c>
      <c r="J668" s="6" t="s">
        <v>268</v>
      </c>
      <c r="K668" s="6">
        <v>380</v>
      </c>
      <c r="L668" s="6" t="s">
        <v>33</v>
      </c>
      <c r="M668" s="6" t="s">
        <v>34</v>
      </c>
    </row>
    <row r="669" spans="1:13">
      <c r="A669" s="6" t="s">
        <v>1454</v>
      </c>
      <c r="B669" s="7">
        <v>46087</v>
      </c>
      <c r="C669" s="6" t="s">
        <v>1346</v>
      </c>
      <c r="D669" s="6" t="s">
        <v>105</v>
      </c>
      <c r="E669" s="6" t="s">
        <v>46</v>
      </c>
      <c r="F669" s="6" t="s">
        <v>58</v>
      </c>
      <c r="G669" s="6" t="s">
        <v>59</v>
      </c>
      <c r="H669" s="6">
        <v>1</v>
      </c>
      <c r="I669" s="6" t="s">
        <v>619</v>
      </c>
      <c r="J669" s="6" t="s">
        <v>143</v>
      </c>
      <c r="K669" s="6">
        <v>380</v>
      </c>
      <c r="L669" s="6" t="s">
        <v>42</v>
      </c>
      <c r="M669" s="6" t="s">
        <v>34</v>
      </c>
    </row>
    <row r="670" spans="1:13">
      <c r="A670" s="6" t="s">
        <v>1455</v>
      </c>
      <c r="B670" s="7">
        <v>46178</v>
      </c>
      <c r="C670" s="6" t="s">
        <v>1367</v>
      </c>
      <c r="D670" s="6" t="s">
        <v>72</v>
      </c>
      <c r="E670" s="6" t="s">
        <v>78</v>
      </c>
      <c r="F670" s="6" t="s">
        <v>58</v>
      </c>
      <c r="G670" s="6" t="s">
        <v>59</v>
      </c>
      <c r="H670" s="6">
        <v>1</v>
      </c>
      <c r="I670" s="6" t="s">
        <v>113</v>
      </c>
      <c r="J670" s="6" t="s">
        <v>1456</v>
      </c>
      <c r="K670" s="6" t="s">
        <v>61</v>
      </c>
      <c r="L670" s="6" t="s">
        <v>42</v>
      </c>
      <c r="M670" s="6" t="s">
        <v>34</v>
      </c>
    </row>
    <row r="671" spans="1:13">
      <c r="A671" s="6" t="s">
        <v>1457</v>
      </c>
      <c r="B671" s="7">
        <v>46142</v>
      </c>
      <c r="C671" s="6" t="s">
        <v>1458</v>
      </c>
      <c r="D671" s="6" t="s">
        <v>105</v>
      </c>
      <c r="E671" s="6" t="s">
        <v>78</v>
      </c>
      <c r="F671" s="6" t="s">
        <v>53</v>
      </c>
      <c r="G671" s="6" t="s">
        <v>54</v>
      </c>
      <c r="H671" s="6">
        <v>1</v>
      </c>
      <c r="I671" s="6" t="s">
        <v>231</v>
      </c>
      <c r="J671" s="6" t="s">
        <v>231</v>
      </c>
      <c r="K671" s="6" t="s">
        <v>122</v>
      </c>
      <c r="L671" s="6" t="s">
        <v>42</v>
      </c>
      <c r="M671" s="6" t="s">
        <v>69</v>
      </c>
    </row>
    <row r="672" spans="1:13">
      <c r="A672" s="6" t="s">
        <v>1459</v>
      </c>
      <c r="B672" s="7">
        <v>46047</v>
      </c>
      <c r="C672" s="6" t="s">
        <v>1460</v>
      </c>
      <c r="D672" s="6" t="s">
        <v>110</v>
      </c>
      <c r="E672" s="6" t="s">
        <v>28</v>
      </c>
      <c r="F672" s="6" t="s">
        <v>53</v>
      </c>
      <c r="G672" s="6" t="s">
        <v>54</v>
      </c>
      <c r="H672" s="6">
        <v>1</v>
      </c>
      <c r="I672" s="6" t="s">
        <v>117</v>
      </c>
      <c r="J672" s="6" t="s">
        <v>117</v>
      </c>
      <c r="K672" s="6">
        <v>190</v>
      </c>
      <c r="L672" s="6" t="s">
        <v>42</v>
      </c>
      <c r="M672" s="6" t="s">
        <v>34</v>
      </c>
    </row>
    <row r="673" spans="1:13">
      <c r="A673" s="6" t="s">
        <v>1461</v>
      </c>
      <c r="B673" s="7">
        <v>46127</v>
      </c>
      <c r="C673" s="6" t="s">
        <v>1462</v>
      </c>
      <c r="D673" s="6" t="s">
        <v>57</v>
      </c>
      <c r="E673" s="6" t="s">
        <v>52</v>
      </c>
      <c r="F673" s="6" t="s">
        <v>38</v>
      </c>
      <c r="G673" s="6" t="s">
        <v>39</v>
      </c>
      <c r="H673" s="6">
        <v>1</v>
      </c>
      <c r="I673" s="6" t="s">
        <v>82</v>
      </c>
      <c r="J673" s="6" t="s">
        <v>82</v>
      </c>
      <c r="K673" s="6">
        <v>520</v>
      </c>
      <c r="L673" s="6" t="s">
        <v>33</v>
      </c>
      <c r="M673" s="6" t="s">
        <v>34</v>
      </c>
    </row>
    <row r="674" spans="1:13">
      <c r="A674" s="6" t="s">
        <v>1463</v>
      </c>
      <c r="B674" s="7">
        <v>46185</v>
      </c>
      <c r="C674" s="6" t="s">
        <v>1238</v>
      </c>
      <c r="D674" s="6" t="s">
        <v>57</v>
      </c>
      <c r="E674" s="6" t="s">
        <v>37</v>
      </c>
      <c r="F674" s="6" t="s">
        <v>29</v>
      </c>
      <c r="G674" s="6" t="s">
        <v>30</v>
      </c>
      <c r="H674" s="6">
        <v>2</v>
      </c>
      <c r="I674" s="6" t="s">
        <v>117</v>
      </c>
      <c r="J674" s="6" t="s">
        <v>118</v>
      </c>
      <c r="K674" s="6" t="s">
        <v>41</v>
      </c>
      <c r="L674" s="6" t="s">
        <v>33</v>
      </c>
      <c r="M674" s="6" t="s">
        <v>34</v>
      </c>
    </row>
    <row r="675" spans="1:13">
      <c r="A675" s="6" t="s">
        <v>1464</v>
      </c>
      <c r="B675" s="7">
        <v>46155</v>
      </c>
      <c r="C675" s="6" t="s">
        <v>1465</v>
      </c>
      <c r="D675" s="6" t="s">
        <v>27</v>
      </c>
      <c r="E675" s="6" t="s">
        <v>28</v>
      </c>
      <c r="F675" s="6" t="s">
        <v>58</v>
      </c>
      <c r="G675" s="6" t="s">
        <v>59</v>
      </c>
      <c r="H675" s="6">
        <v>2</v>
      </c>
      <c r="I675" s="6" t="s">
        <v>143</v>
      </c>
      <c r="J675" s="6" t="s">
        <v>144</v>
      </c>
      <c r="K675" s="6" t="s">
        <v>61</v>
      </c>
      <c r="L675" s="6" t="s">
        <v>42</v>
      </c>
      <c r="M675" s="6" t="s">
        <v>34</v>
      </c>
    </row>
    <row r="676" spans="1:13">
      <c r="A676" s="6" t="s">
        <v>1466</v>
      </c>
      <c r="B676" s="7">
        <v>46117</v>
      </c>
      <c r="C676" s="6" t="s">
        <v>348</v>
      </c>
      <c r="D676" s="6" t="s">
        <v>45</v>
      </c>
      <c r="E676" s="6" t="s">
        <v>28</v>
      </c>
      <c r="F676" s="6" t="s">
        <v>58</v>
      </c>
      <c r="G676" s="6" t="s">
        <v>59</v>
      </c>
      <c r="H676" s="6">
        <v>1</v>
      </c>
      <c r="I676" s="6" t="s">
        <v>143</v>
      </c>
      <c r="J676" s="6" t="s">
        <v>143</v>
      </c>
      <c r="K676" s="6">
        <v>380</v>
      </c>
      <c r="L676" s="6" t="s">
        <v>42</v>
      </c>
      <c r="M676" s="6" t="s">
        <v>34</v>
      </c>
    </row>
    <row r="677" spans="1:13">
      <c r="A677" s="6" t="s">
        <v>1467</v>
      </c>
      <c r="B677" s="7">
        <v>46107</v>
      </c>
      <c r="C677" s="6" t="s">
        <v>1468</v>
      </c>
      <c r="D677" s="6" t="s">
        <v>110</v>
      </c>
      <c r="E677" s="6" t="s">
        <v>78</v>
      </c>
      <c r="F677" s="6" t="s">
        <v>47</v>
      </c>
      <c r="G677" s="6" t="s">
        <v>48</v>
      </c>
      <c r="H677" s="6">
        <v>1</v>
      </c>
      <c r="I677" s="6" t="s">
        <v>748</v>
      </c>
      <c r="J677" s="6" t="s">
        <v>113</v>
      </c>
      <c r="K677" s="6">
        <v>85</v>
      </c>
      <c r="L677" s="6" t="s">
        <v>42</v>
      </c>
      <c r="M677" s="6" t="s">
        <v>34</v>
      </c>
    </row>
    <row r="678" spans="1:13">
      <c r="A678" s="6" t="s">
        <v>1469</v>
      </c>
      <c r="B678" s="7">
        <v>46075</v>
      </c>
      <c r="C678" s="6" t="s">
        <v>1470</v>
      </c>
      <c r="D678" s="6" t="s">
        <v>105</v>
      </c>
      <c r="E678" s="6" t="s">
        <v>28</v>
      </c>
      <c r="F678" s="6" t="s">
        <v>100</v>
      </c>
      <c r="G678" s="6" t="s">
        <v>101</v>
      </c>
      <c r="H678" s="6">
        <v>1</v>
      </c>
      <c r="I678" s="6" t="s">
        <v>143</v>
      </c>
      <c r="J678" s="6" t="s">
        <v>143</v>
      </c>
      <c r="K678" s="6">
        <v>640</v>
      </c>
      <c r="L678" s="6" t="s">
        <v>42</v>
      </c>
      <c r="M678" s="6" t="s">
        <v>34</v>
      </c>
    </row>
    <row r="679" spans="1:13">
      <c r="A679" s="6" t="s">
        <v>1471</v>
      </c>
      <c r="B679" s="7">
        <v>46074</v>
      </c>
      <c r="C679" s="6" t="s">
        <v>1472</v>
      </c>
      <c r="D679" s="6" t="s">
        <v>110</v>
      </c>
      <c r="E679" s="6" t="s">
        <v>78</v>
      </c>
      <c r="F679" s="6" t="s">
        <v>100</v>
      </c>
      <c r="G679" s="6" t="s">
        <v>101</v>
      </c>
      <c r="H679" s="6">
        <v>3</v>
      </c>
      <c r="I679" s="6" t="s">
        <v>40</v>
      </c>
      <c r="J679" s="6" t="s">
        <v>579</v>
      </c>
      <c r="K679" s="6">
        <v>640</v>
      </c>
      <c r="L679" s="6" t="s">
        <v>42</v>
      </c>
      <c r="M679" s="6" t="s">
        <v>69</v>
      </c>
    </row>
    <row r="680" spans="1:13">
      <c r="A680" s="6" t="s">
        <v>1473</v>
      </c>
      <c r="B680" s="7">
        <v>46139</v>
      </c>
      <c r="C680" s="6" t="s">
        <v>1474</v>
      </c>
      <c r="D680" s="6" t="s">
        <v>64</v>
      </c>
      <c r="E680" s="6" t="s">
        <v>78</v>
      </c>
      <c r="F680" s="6" t="s">
        <v>38</v>
      </c>
      <c r="G680" s="6" t="s">
        <v>39</v>
      </c>
      <c r="H680" s="6">
        <v>3</v>
      </c>
      <c r="I680" s="6" t="s">
        <v>181</v>
      </c>
      <c r="J680" s="6" t="s">
        <v>867</v>
      </c>
      <c r="K680" s="6" t="s">
        <v>41</v>
      </c>
      <c r="L680" s="6" t="s">
        <v>42</v>
      </c>
      <c r="M680" s="6" t="s">
        <v>69</v>
      </c>
    </row>
    <row r="681" spans="1:13">
      <c r="A681" s="6" t="s">
        <v>1475</v>
      </c>
      <c r="B681" s="7">
        <v>46169</v>
      </c>
      <c r="C681" s="6" t="s">
        <v>1476</v>
      </c>
      <c r="D681" s="6" t="s">
        <v>57</v>
      </c>
      <c r="E681" s="6" t="s">
        <v>46</v>
      </c>
      <c r="F681" s="6" t="s">
        <v>100</v>
      </c>
      <c r="G681" s="6" t="s">
        <v>101</v>
      </c>
      <c r="H681" s="6">
        <v>1</v>
      </c>
      <c r="I681" s="6" t="s">
        <v>113</v>
      </c>
      <c r="J681" s="6" t="s">
        <v>113</v>
      </c>
      <c r="K681" s="6" t="s">
        <v>119</v>
      </c>
      <c r="L681" s="6" t="s">
        <v>42</v>
      </c>
      <c r="M681" s="6" t="s">
        <v>34</v>
      </c>
    </row>
    <row r="682" spans="1:13">
      <c r="A682" s="6" t="s">
        <v>1477</v>
      </c>
      <c r="B682" s="7">
        <v>46099</v>
      </c>
      <c r="C682" s="6" t="s">
        <v>1478</v>
      </c>
      <c r="D682" s="6" t="s">
        <v>45</v>
      </c>
      <c r="E682" s="6" t="s">
        <v>78</v>
      </c>
      <c r="F682" s="6" t="s">
        <v>53</v>
      </c>
      <c r="G682" s="6" t="s">
        <v>54</v>
      </c>
      <c r="H682" s="6">
        <v>2</v>
      </c>
      <c r="I682" s="6" t="s">
        <v>90</v>
      </c>
      <c r="J682" s="6" t="s">
        <v>154</v>
      </c>
      <c r="K682" s="6">
        <v>190</v>
      </c>
      <c r="L682" s="6" t="s">
        <v>33</v>
      </c>
      <c r="M682" s="6" t="s">
        <v>69</v>
      </c>
    </row>
    <row r="683" spans="1:13">
      <c r="A683" s="6" t="s">
        <v>1479</v>
      </c>
      <c r="B683" s="7">
        <v>46037</v>
      </c>
      <c r="C683" s="6" t="s">
        <v>858</v>
      </c>
      <c r="D683" s="6" t="s">
        <v>72</v>
      </c>
      <c r="E683" s="6" t="s">
        <v>52</v>
      </c>
      <c r="F683" s="6" t="s">
        <v>29</v>
      </c>
      <c r="G683" s="6" t="s">
        <v>30</v>
      </c>
      <c r="H683" s="6">
        <v>1</v>
      </c>
      <c r="I683" s="6" t="s">
        <v>181</v>
      </c>
      <c r="J683" s="6" t="s">
        <v>181</v>
      </c>
      <c r="K683" s="6">
        <v>520</v>
      </c>
      <c r="L683" s="6" t="s">
        <v>42</v>
      </c>
      <c r="M683" s="6" t="s">
        <v>34</v>
      </c>
    </row>
    <row r="684" spans="1:13">
      <c r="A684" s="6" t="s">
        <v>1480</v>
      </c>
      <c r="B684" s="7">
        <v>46270</v>
      </c>
      <c r="C684" s="6" t="s">
        <v>456</v>
      </c>
      <c r="D684" s="6" t="s">
        <v>27</v>
      </c>
      <c r="E684" s="6" t="s">
        <v>52</v>
      </c>
      <c r="F684" s="6" t="s">
        <v>58</v>
      </c>
      <c r="G684" s="6" t="s">
        <v>59</v>
      </c>
      <c r="H684" s="6">
        <v>1</v>
      </c>
      <c r="I684" s="6" t="s">
        <v>231</v>
      </c>
      <c r="J684" s="6" t="s">
        <v>231</v>
      </c>
      <c r="K684" s="6" t="s">
        <v>61</v>
      </c>
      <c r="L684" s="6" t="s">
        <v>42</v>
      </c>
      <c r="M684" s="6" t="s">
        <v>34</v>
      </c>
    </row>
    <row r="685" spans="1:13">
      <c r="A685" s="6" t="s">
        <v>1481</v>
      </c>
      <c r="B685" s="7">
        <v>46092</v>
      </c>
      <c r="C685" s="6" t="s">
        <v>1482</v>
      </c>
      <c r="D685" s="6" t="s">
        <v>45</v>
      </c>
      <c r="E685" s="6" t="s">
        <v>52</v>
      </c>
      <c r="F685" s="6" t="s">
        <v>58</v>
      </c>
      <c r="G685" s="6" t="s">
        <v>59</v>
      </c>
      <c r="H685" s="6">
        <v>1</v>
      </c>
      <c r="I685" s="6" t="s">
        <v>113</v>
      </c>
      <c r="J685" s="6" t="s">
        <v>113</v>
      </c>
      <c r="K685" s="6">
        <v>380</v>
      </c>
      <c r="L685" s="6" t="s">
        <v>33</v>
      </c>
      <c r="M685" s="6" t="s">
        <v>34</v>
      </c>
    </row>
    <row r="686" spans="1:13">
      <c r="A686" s="6" t="s">
        <v>1483</v>
      </c>
      <c r="B686" s="7">
        <v>46140</v>
      </c>
      <c r="C686" s="6" t="s">
        <v>1484</v>
      </c>
      <c r="D686" s="6" t="s">
        <v>27</v>
      </c>
      <c r="E686" s="6" t="s">
        <v>28</v>
      </c>
      <c r="F686" s="6" t="s">
        <v>58</v>
      </c>
      <c r="G686" s="6" t="s">
        <v>59</v>
      </c>
      <c r="H686" s="6">
        <v>3</v>
      </c>
      <c r="I686" s="6" t="s">
        <v>265</v>
      </c>
      <c r="J686" s="6" t="s">
        <v>401</v>
      </c>
      <c r="K686" s="6" t="s">
        <v>61</v>
      </c>
      <c r="L686" s="6" t="s">
        <v>42</v>
      </c>
      <c r="M686" s="6" t="s">
        <v>34</v>
      </c>
    </row>
    <row r="687" spans="1:13">
      <c r="A687" s="6" t="s">
        <v>1485</v>
      </c>
      <c r="B687" s="7">
        <v>46144</v>
      </c>
      <c r="C687" s="6" t="s">
        <v>766</v>
      </c>
      <c r="D687" s="6" t="s">
        <v>110</v>
      </c>
      <c r="E687" s="6" t="s">
        <v>52</v>
      </c>
      <c r="F687" s="6" t="s">
        <v>38</v>
      </c>
      <c r="G687" s="6" t="s">
        <v>39</v>
      </c>
      <c r="H687" s="6">
        <v>2</v>
      </c>
      <c r="I687" s="6" t="s">
        <v>96</v>
      </c>
      <c r="J687" s="6" t="s">
        <v>278</v>
      </c>
      <c r="K687" s="6">
        <v>520</v>
      </c>
      <c r="L687" s="6" t="s">
        <v>42</v>
      </c>
      <c r="M687" s="6" t="s">
        <v>34</v>
      </c>
    </row>
    <row r="688" spans="1:13">
      <c r="A688" s="6" t="s">
        <v>1486</v>
      </c>
      <c r="B688" s="7">
        <v>46162</v>
      </c>
      <c r="C688" s="6" t="s">
        <v>1487</v>
      </c>
      <c r="D688" s="6" t="s">
        <v>27</v>
      </c>
      <c r="E688" s="6" t="s">
        <v>37</v>
      </c>
      <c r="F688" s="6" t="s">
        <v>38</v>
      </c>
      <c r="G688" s="6" t="s">
        <v>39</v>
      </c>
      <c r="H688" s="6">
        <v>2</v>
      </c>
      <c r="I688" s="6" t="s">
        <v>73</v>
      </c>
      <c r="J688" s="6" t="s">
        <v>837</v>
      </c>
      <c r="K688" s="6" t="s">
        <v>41</v>
      </c>
      <c r="L688" s="6" t="s">
        <v>42</v>
      </c>
      <c r="M688" s="6" t="s">
        <v>34</v>
      </c>
    </row>
    <row r="689" spans="1:13">
      <c r="A689" s="6" t="s">
        <v>1488</v>
      </c>
      <c r="B689" s="7">
        <v>46126</v>
      </c>
      <c r="C689" s="6" t="s">
        <v>1489</v>
      </c>
      <c r="D689" s="6" t="s">
        <v>77</v>
      </c>
      <c r="E689" s="6" t="s">
        <v>52</v>
      </c>
      <c r="F689" s="6" t="s">
        <v>53</v>
      </c>
      <c r="G689" s="6" t="s">
        <v>54</v>
      </c>
      <c r="H689" s="6">
        <v>1</v>
      </c>
      <c r="I689" s="6" t="s">
        <v>265</v>
      </c>
      <c r="J689" s="6" t="s">
        <v>265</v>
      </c>
      <c r="K689" s="6">
        <v>190</v>
      </c>
      <c r="L689" s="6" t="s">
        <v>42</v>
      </c>
      <c r="M689" s="6" t="s">
        <v>34</v>
      </c>
    </row>
    <row r="690" spans="1:13">
      <c r="A690" s="6" t="s">
        <v>1490</v>
      </c>
      <c r="B690" s="7">
        <v>46177</v>
      </c>
      <c r="C690" s="6" t="s">
        <v>1491</v>
      </c>
      <c r="D690" s="6" t="s">
        <v>64</v>
      </c>
      <c r="E690" s="6" t="s">
        <v>52</v>
      </c>
      <c r="F690" s="6" t="s">
        <v>47</v>
      </c>
      <c r="G690" s="6" t="s">
        <v>48</v>
      </c>
      <c r="H690" s="6">
        <v>1</v>
      </c>
      <c r="I690" s="6" t="s">
        <v>113</v>
      </c>
      <c r="J690" s="6" t="s">
        <v>1456</v>
      </c>
      <c r="K690" s="6">
        <v>85</v>
      </c>
      <c r="L690" s="6" t="s">
        <v>33</v>
      </c>
      <c r="M690" s="6" t="s">
        <v>34</v>
      </c>
    </row>
    <row r="691" spans="1:13">
      <c r="A691" s="6" t="s">
        <v>1492</v>
      </c>
      <c r="B691" s="7">
        <v>46146</v>
      </c>
      <c r="C691" s="6" t="s">
        <v>1493</v>
      </c>
      <c r="D691" s="6" t="s">
        <v>127</v>
      </c>
      <c r="E691" s="6" t="s">
        <v>37</v>
      </c>
      <c r="F691" s="6" t="s">
        <v>38</v>
      </c>
      <c r="G691" s="6" t="s">
        <v>39</v>
      </c>
      <c r="H691" s="6">
        <v>1</v>
      </c>
      <c r="I691" s="6" t="s">
        <v>31</v>
      </c>
      <c r="J691" s="6" t="s">
        <v>31</v>
      </c>
      <c r="K691" s="6" t="s">
        <v>41</v>
      </c>
      <c r="L691" s="6" t="s">
        <v>42</v>
      </c>
      <c r="M691" s="6" t="s">
        <v>34</v>
      </c>
    </row>
    <row r="692" spans="1:13">
      <c r="A692" s="6" t="s">
        <v>1494</v>
      </c>
      <c r="B692" s="7">
        <v>46140</v>
      </c>
      <c r="C692" s="6" t="s">
        <v>1495</v>
      </c>
      <c r="D692" s="6" t="s">
        <v>72</v>
      </c>
      <c r="E692" s="6" t="s">
        <v>46</v>
      </c>
      <c r="F692" s="6" t="s">
        <v>47</v>
      </c>
      <c r="G692" s="6" t="s">
        <v>48</v>
      </c>
      <c r="H692" s="6">
        <v>1</v>
      </c>
      <c r="I692" s="6" t="s">
        <v>79</v>
      </c>
      <c r="J692" s="6" t="s">
        <v>79</v>
      </c>
      <c r="K692" s="6" t="s">
        <v>49</v>
      </c>
      <c r="L692" s="6" t="s">
        <v>33</v>
      </c>
      <c r="M692" s="6" t="s">
        <v>69</v>
      </c>
    </row>
    <row r="693" spans="1:13">
      <c r="A693" s="6" t="s">
        <v>1496</v>
      </c>
      <c r="B693" s="7">
        <v>46163</v>
      </c>
      <c r="C693" s="6" t="s">
        <v>1497</v>
      </c>
      <c r="D693" s="6" t="s">
        <v>105</v>
      </c>
      <c r="E693" s="6" t="s">
        <v>52</v>
      </c>
      <c r="F693" s="6" t="s">
        <v>58</v>
      </c>
      <c r="G693" s="6" t="s">
        <v>59</v>
      </c>
      <c r="H693" s="6">
        <v>-1</v>
      </c>
      <c r="I693" s="6" t="s">
        <v>265</v>
      </c>
      <c r="J693" s="8" t="s">
        <v>311</v>
      </c>
      <c r="K693" s="6" t="s">
        <v>61</v>
      </c>
      <c r="L693" s="6" t="s">
        <v>33</v>
      </c>
      <c r="M693" s="6" t="s">
        <v>34</v>
      </c>
    </row>
    <row r="694" spans="1:13">
      <c r="A694" s="6" t="s">
        <v>1498</v>
      </c>
      <c r="B694" s="7">
        <v>46095</v>
      </c>
      <c r="C694" s="6" t="s">
        <v>1499</v>
      </c>
      <c r="D694" s="6" t="s">
        <v>45</v>
      </c>
      <c r="E694" s="6" t="s">
        <v>46</v>
      </c>
      <c r="F694" s="6" t="s">
        <v>100</v>
      </c>
      <c r="G694" s="6" t="s">
        <v>101</v>
      </c>
      <c r="H694" s="6">
        <v>2</v>
      </c>
      <c r="I694" s="6" t="s">
        <v>31</v>
      </c>
      <c r="J694" s="6" t="s">
        <v>249</v>
      </c>
      <c r="K694" s="6">
        <v>640</v>
      </c>
      <c r="L694" s="6" t="s">
        <v>42</v>
      </c>
      <c r="M694" s="6" t="s">
        <v>34</v>
      </c>
    </row>
    <row r="695" spans="1:13">
      <c r="A695" s="6" t="s">
        <v>1500</v>
      </c>
      <c r="B695" s="7">
        <v>46194</v>
      </c>
      <c r="C695" s="6" t="s">
        <v>1388</v>
      </c>
      <c r="D695" s="6" t="s">
        <v>45</v>
      </c>
      <c r="E695" s="6" t="s">
        <v>46</v>
      </c>
      <c r="F695" s="6" t="s">
        <v>94</v>
      </c>
      <c r="G695" s="6" t="s">
        <v>95</v>
      </c>
      <c r="H695" s="6">
        <v>1</v>
      </c>
      <c r="I695" s="6" t="s">
        <v>181</v>
      </c>
      <c r="J695" s="6" t="s">
        <v>181</v>
      </c>
      <c r="K695" s="6" t="s">
        <v>114</v>
      </c>
      <c r="L695" s="6" t="s">
        <v>42</v>
      </c>
      <c r="M695" s="6" t="s">
        <v>34</v>
      </c>
    </row>
    <row r="696" spans="1:13">
      <c r="A696" s="6" t="s">
        <v>1501</v>
      </c>
      <c r="B696" s="6" t="s">
        <v>640</v>
      </c>
      <c r="C696" s="6" t="s">
        <v>1502</v>
      </c>
      <c r="D696" s="6" t="s">
        <v>27</v>
      </c>
      <c r="E696" s="6" t="s">
        <v>28</v>
      </c>
      <c r="F696" s="6" t="s">
        <v>58</v>
      </c>
      <c r="G696" s="6" t="s">
        <v>59</v>
      </c>
      <c r="H696" s="6">
        <v>2</v>
      </c>
      <c r="I696" s="6" t="s">
        <v>113</v>
      </c>
      <c r="J696" s="6" t="s">
        <v>192</v>
      </c>
      <c r="K696" s="6">
        <v>380</v>
      </c>
      <c r="L696" s="6" t="s">
        <v>42</v>
      </c>
      <c r="M696" s="6" t="s">
        <v>69</v>
      </c>
    </row>
    <row r="697" spans="1:13">
      <c r="A697" s="6" t="s">
        <v>1503</v>
      </c>
      <c r="B697" s="7">
        <v>46106</v>
      </c>
      <c r="C697" s="6" t="s">
        <v>1497</v>
      </c>
      <c r="D697" s="6" t="s">
        <v>64</v>
      </c>
      <c r="E697" s="6" t="s">
        <v>28</v>
      </c>
      <c r="F697" s="6" t="s">
        <v>38</v>
      </c>
      <c r="G697" s="6" t="s">
        <v>39</v>
      </c>
      <c r="H697" s="6">
        <v>1</v>
      </c>
      <c r="I697" s="6" t="s">
        <v>1430</v>
      </c>
      <c r="J697" s="6" t="s">
        <v>143</v>
      </c>
      <c r="K697" s="6">
        <v>520</v>
      </c>
      <c r="L697" s="6" t="s">
        <v>42</v>
      </c>
      <c r="M697" s="6" t="s">
        <v>69</v>
      </c>
    </row>
    <row r="698" spans="1:13">
      <c r="A698" s="6" t="s">
        <v>1504</v>
      </c>
      <c r="B698" s="7">
        <v>46082</v>
      </c>
      <c r="C698" s="6" t="s">
        <v>1505</v>
      </c>
      <c r="D698" s="6" t="s">
        <v>105</v>
      </c>
      <c r="E698" s="6" t="s">
        <v>52</v>
      </c>
      <c r="F698" s="6" t="s">
        <v>94</v>
      </c>
      <c r="G698" s="6" t="s">
        <v>95</v>
      </c>
      <c r="H698" s="6">
        <v>1</v>
      </c>
      <c r="I698" s="6" t="s">
        <v>79</v>
      </c>
      <c r="J698" s="6" t="s">
        <v>79</v>
      </c>
      <c r="K698" s="6">
        <v>340</v>
      </c>
      <c r="L698" s="6" t="s">
        <v>42</v>
      </c>
      <c r="M698" s="6" t="s">
        <v>34</v>
      </c>
    </row>
    <row r="699" spans="1:13">
      <c r="A699" s="6" t="s">
        <v>1506</v>
      </c>
      <c r="B699" s="7">
        <v>46056</v>
      </c>
      <c r="C699" s="6" t="s">
        <v>1507</v>
      </c>
      <c r="D699" s="6" t="s">
        <v>77</v>
      </c>
      <c r="E699" s="6" t="s">
        <v>46</v>
      </c>
      <c r="F699" s="6" t="s">
        <v>38</v>
      </c>
      <c r="G699" s="6" t="s">
        <v>39</v>
      </c>
      <c r="H699" s="6">
        <v>1</v>
      </c>
      <c r="I699" s="6" t="s">
        <v>60</v>
      </c>
      <c r="J699" s="6" t="s">
        <v>1508</v>
      </c>
      <c r="K699" s="6">
        <v>520</v>
      </c>
      <c r="L699" s="6" t="s">
        <v>42</v>
      </c>
      <c r="M699" s="6" t="s">
        <v>69</v>
      </c>
    </row>
    <row r="700" spans="1:13">
      <c r="A700" s="6" t="s">
        <v>1509</v>
      </c>
      <c r="B700" s="7">
        <v>46154</v>
      </c>
      <c r="C700" s="6" t="s">
        <v>501</v>
      </c>
      <c r="D700" s="6" t="s">
        <v>77</v>
      </c>
      <c r="E700" s="6" t="s">
        <v>52</v>
      </c>
      <c r="F700" s="6" t="s">
        <v>100</v>
      </c>
      <c r="G700" s="6" t="s">
        <v>101</v>
      </c>
      <c r="H700" s="6">
        <v>2</v>
      </c>
      <c r="I700" s="6" t="s">
        <v>82</v>
      </c>
      <c r="J700" s="6" t="s">
        <v>297</v>
      </c>
      <c r="K700" s="6" t="s">
        <v>119</v>
      </c>
      <c r="L700" s="6" t="s">
        <v>33</v>
      </c>
      <c r="M700" s="6" t="s">
        <v>34</v>
      </c>
    </row>
    <row r="701" spans="1:13">
      <c r="A701" s="6" t="s">
        <v>1510</v>
      </c>
      <c r="B701" s="7">
        <v>46073</v>
      </c>
      <c r="C701" s="6" t="s">
        <v>1511</v>
      </c>
      <c r="D701" s="6" t="s">
        <v>45</v>
      </c>
      <c r="E701" s="6" t="s">
        <v>52</v>
      </c>
      <c r="F701" s="6" t="s">
        <v>85</v>
      </c>
      <c r="G701" s="6" t="s">
        <v>86</v>
      </c>
      <c r="H701" s="6">
        <v>1</v>
      </c>
      <c r="I701" s="6" t="s">
        <v>143</v>
      </c>
      <c r="J701" s="6" t="s">
        <v>143</v>
      </c>
      <c r="K701" s="6">
        <v>410</v>
      </c>
      <c r="L701" s="6" t="s">
        <v>42</v>
      </c>
      <c r="M701" s="6" t="s">
        <v>34</v>
      </c>
    </row>
    <row r="702" spans="1:13">
      <c r="A702" s="6" t="s">
        <v>1512</v>
      </c>
      <c r="B702" s="7">
        <v>46087</v>
      </c>
      <c r="C702" s="6" t="s">
        <v>1513</v>
      </c>
      <c r="D702" s="6" t="s">
        <v>110</v>
      </c>
      <c r="E702" s="6" t="s">
        <v>28</v>
      </c>
      <c r="F702" s="6" t="s">
        <v>47</v>
      </c>
      <c r="G702" s="6" t="s">
        <v>48</v>
      </c>
      <c r="H702" s="6">
        <v>1</v>
      </c>
      <c r="I702" s="6" t="s">
        <v>79</v>
      </c>
      <c r="J702" s="6" t="s">
        <v>79</v>
      </c>
      <c r="K702" s="6">
        <v>85</v>
      </c>
      <c r="L702" s="6" t="s">
        <v>42</v>
      </c>
      <c r="M702" s="6" t="s">
        <v>34</v>
      </c>
    </row>
    <row r="703" spans="1:13">
      <c r="A703" s="6" t="s">
        <v>1514</v>
      </c>
      <c r="B703" s="7">
        <v>46056</v>
      </c>
      <c r="C703" s="6" t="s">
        <v>1515</v>
      </c>
      <c r="D703" s="6" t="s">
        <v>64</v>
      </c>
      <c r="E703" s="6" t="s">
        <v>46</v>
      </c>
      <c r="F703" s="6" t="s">
        <v>85</v>
      </c>
      <c r="G703" s="6" t="s">
        <v>86</v>
      </c>
      <c r="H703" s="6">
        <v>2</v>
      </c>
      <c r="I703" s="6" t="s">
        <v>31</v>
      </c>
      <c r="J703" s="6" t="s">
        <v>249</v>
      </c>
      <c r="K703" s="6">
        <v>410</v>
      </c>
      <c r="L703" s="6" t="s">
        <v>42</v>
      </c>
      <c r="M703" s="6" t="s">
        <v>69</v>
      </c>
    </row>
    <row r="704" spans="1:13">
      <c r="A704" s="6" t="s">
        <v>1516</v>
      </c>
      <c r="B704" s="7">
        <v>46176</v>
      </c>
      <c r="C704" s="6" t="s">
        <v>1517</v>
      </c>
      <c r="D704" s="6" t="s">
        <v>77</v>
      </c>
      <c r="E704" s="6" t="s">
        <v>52</v>
      </c>
      <c r="F704" s="6" t="s">
        <v>85</v>
      </c>
      <c r="G704" s="6" t="s">
        <v>86</v>
      </c>
      <c r="H704" s="6">
        <v>1</v>
      </c>
      <c r="I704" s="6" t="s">
        <v>181</v>
      </c>
      <c r="J704" s="6" t="s">
        <v>181</v>
      </c>
      <c r="K704" s="6" t="s">
        <v>87</v>
      </c>
      <c r="L704" s="6" t="s">
        <v>42</v>
      </c>
      <c r="M704" s="6" t="s">
        <v>34</v>
      </c>
    </row>
    <row r="705" spans="1:13">
      <c r="A705" s="6" t="s">
        <v>1518</v>
      </c>
      <c r="B705" s="7">
        <v>46174</v>
      </c>
      <c r="C705" s="6" t="s">
        <v>1248</v>
      </c>
      <c r="D705" s="6" t="s">
        <v>110</v>
      </c>
      <c r="E705" s="6" t="s">
        <v>46</v>
      </c>
      <c r="F705" s="6" t="s">
        <v>100</v>
      </c>
      <c r="G705" s="6" t="s">
        <v>101</v>
      </c>
      <c r="H705" s="6">
        <v>2</v>
      </c>
      <c r="I705" s="6" t="s">
        <v>1519</v>
      </c>
      <c r="J705" s="6" t="s">
        <v>232</v>
      </c>
      <c r="K705" s="6" t="s">
        <v>119</v>
      </c>
      <c r="L705" s="6" t="s">
        <v>33</v>
      </c>
      <c r="M705" s="6" t="s">
        <v>34</v>
      </c>
    </row>
    <row r="706" spans="1:13">
      <c r="A706" s="6" t="s">
        <v>1520</v>
      </c>
      <c r="B706" s="7">
        <v>46092</v>
      </c>
      <c r="C706" s="6" t="s">
        <v>44</v>
      </c>
      <c r="D706" s="6" t="s">
        <v>57</v>
      </c>
      <c r="E706" s="6" t="s">
        <v>37</v>
      </c>
      <c r="F706" s="6" t="s">
        <v>94</v>
      </c>
      <c r="G706" s="6" t="s">
        <v>95</v>
      </c>
      <c r="H706" s="6">
        <v>2</v>
      </c>
      <c r="I706" s="6" t="s">
        <v>82</v>
      </c>
      <c r="J706" s="6" t="s">
        <v>297</v>
      </c>
      <c r="K706" s="6">
        <v>340</v>
      </c>
      <c r="L706" s="6" t="s">
        <v>42</v>
      </c>
      <c r="M706" s="6" t="s">
        <v>69</v>
      </c>
    </row>
    <row r="707" spans="1:13">
      <c r="A707" s="6" t="s">
        <v>1521</v>
      </c>
      <c r="B707" s="7">
        <v>46052</v>
      </c>
      <c r="C707" s="6" t="s">
        <v>1433</v>
      </c>
      <c r="D707" s="6" t="s">
        <v>105</v>
      </c>
      <c r="E707" s="6" t="s">
        <v>46</v>
      </c>
      <c r="F707" s="6" t="s">
        <v>85</v>
      </c>
      <c r="G707" s="6" t="s">
        <v>86</v>
      </c>
      <c r="H707" s="6">
        <v>1</v>
      </c>
      <c r="I707" s="6" t="s">
        <v>96</v>
      </c>
      <c r="J707" s="6" t="s">
        <v>96</v>
      </c>
      <c r="K707" s="6">
        <v>410</v>
      </c>
      <c r="L707" s="6" t="s">
        <v>33</v>
      </c>
      <c r="M707" s="6" t="s">
        <v>69</v>
      </c>
    </row>
    <row r="708" spans="1:13">
      <c r="A708" s="6" t="s">
        <v>1522</v>
      </c>
      <c r="B708" s="7">
        <v>46175</v>
      </c>
      <c r="C708" s="6" t="s">
        <v>1523</v>
      </c>
      <c r="D708" s="6" t="s">
        <v>64</v>
      </c>
      <c r="E708" s="6" t="s">
        <v>28</v>
      </c>
      <c r="F708" s="6" t="s">
        <v>38</v>
      </c>
      <c r="G708" s="6" t="s">
        <v>39</v>
      </c>
      <c r="H708" s="6">
        <v>2</v>
      </c>
      <c r="I708" s="6" t="s">
        <v>90</v>
      </c>
      <c r="J708" s="6" t="s">
        <v>154</v>
      </c>
      <c r="K708" s="6">
        <v>520</v>
      </c>
      <c r="L708" s="6" t="s">
        <v>42</v>
      </c>
      <c r="M708" s="6" t="s">
        <v>34</v>
      </c>
    </row>
    <row r="709" spans="1:13">
      <c r="A709" s="6" t="s">
        <v>1524</v>
      </c>
      <c r="B709" s="7">
        <v>46236</v>
      </c>
      <c r="C709" s="6" t="s">
        <v>1525</v>
      </c>
      <c r="D709" s="6" t="s">
        <v>45</v>
      </c>
      <c r="E709" s="6" t="s">
        <v>37</v>
      </c>
      <c r="F709" s="6" t="s">
        <v>58</v>
      </c>
      <c r="G709" s="6" t="s">
        <v>59</v>
      </c>
      <c r="H709" s="6">
        <v>1</v>
      </c>
      <c r="I709" s="6" t="s">
        <v>265</v>
      </c>
      <c r="J709" s="6" t="s">
        <v>265</v>
      </c>
      <c r="K709" s="6">
        <v>380</v>
      </c>
      <c r="L709" s="6" t="s">
        <v>33</v>
      </c>
      <c r="M709" s="6" t="s">
        <v>34</v>
      </c>
    </row>
    <row r="710" spans="1:13">
      <c r="A710" s="6" t="s">
        <v>1526</v>
      </c>
      <c r="B710" s="7">
        <v>46114</v>
      </c>
      <c r="C710" s="6" t="s">
        <v>1283</v>
      </c>
      <c r="D710" s="6" t="s">
        <v>45</v>
      </c>
      <c r="E710" s="6" t="s">
        <v>78</v>
      </c>
      <c r="F710" s="6" t="s">
        <v>47</v>
      </c>
      <c r="G710" s="6" t="s">
        <v>48</v>
      </c>
      <c r="H710" s="6">
        <v>2</v>
      </c>
      <c r="I710" s="6" t="s">
        <v>73</v>
      </c>
      <c r="J710" s="6" t="s">
        <v>74</v>
      </c>
      <c r="K710" s="6">
        <v>85</v>
      </c>
      <c r="L710" s="6" t="s">
        <v>33</v>
      </c>
      <c r="M710" s="6" t="s">
        <v>34</v>
      </c>
    </row>
    <row r="711" spans="1:13">
      <c r="A711" s="6" t="s">
        <v>1527</v>
      </c>
      <c r="B711" s="7">
        <v>46136</v>
      </c>
      <c r="C711" s="6" t="s">
        <v>1528</v>
      </c>
      <c r="D711" s="6" t="s">
        <v>64</v>
      </c>
      <c r="E711" s="6" t="s">
        <v>28</v>
      </c>
      <c r="F711" s="6" t="s">
        <v>58</v>
      </c>
      <c r="G711" s="6" t="s">
        <v>59</v>
      </c>
      <c r="H711" s="6">
        <v>-2</v>
      </c>
      <c r="I711" s="6" t="s">
        <v>90</v>
      </c>
      <c r="J711" s="8" t="s">
        <v>292</v>
      </c>
      <c r="K711" s="6" t="s">
        <v>61</v>
      </c>
      <c r="L711" s="6" t="s">
        <v>33</v>
      </c>
      <c r="M711" s="6" t="s">
        <v>34</v>
      </c>
    </row>
    <row r="712" spans="1:13">
      <c r="A712" s="6" t="s">
        <v>1529</v>
      </c>
      <c r="B712" s="7">
        <v>46030</v>
      </c>
      <c r="C712" s="6" t="s">
        <v>1530</v>
      </c>
      <c r="D712" s="6" t="s">
        <v>45</v>
      </c>
      <c r="E712" s="6" t="s">
        <v>28</v>
      </c>
      <c r="F712" s="6" t="s">
        <v>29</v>
      </c>
      <c r="G712" s="6" t="s">
        <v>30</v>
      </c>
      <c r="H712" s="6">
        <v>1</v>
      </c>
      <c r="I712" s="6" t="s">
        <v>113</v>
      </c>
      <c r="J712" s="6" t="s">
        <v>113</v>
      </c>
      <c r="K712" s="6">
        <v>520</v>
      </c>
      <c r="L712" s="6" t="s">
        <v>42</v>
      </c>
      <c r="M712" s="6" t="s">
        <v>34</v>
      </c>
    </row>
    <row r="713" spans="1:13">
      <c r="A713" s="6" t="s">
        <v>1531</v>
      </c>
      <c r="B713" s="7">
        <v>46168</v>
      </c>
      <c r="C713" s="6" t="s">
        <v>1532</v>
      </c>
      <c r="D713" s="6" t="s">
        <v>45</v>
      </c>
      <c r="E713" s="6" t="s">
        <v>28</v>
      </c>
      <c r="F713" s="6" t="s">
        <v>29</v>
      </c>
      <c r="G713" s="6" t="s">
        <v>30</v>
      </c>
      <c r="H713" s="6">
        <v>1</v>
      </c>
      <c r="I713" s="6" t="s">
        <v>31</v>
      </c>
      <c r="J713" s="6" t="s">
        <v>31</v>
      </c>
      <c r="K713" s="6" t="s">
        <v>41</v>
      </c>
      <c r="L713" s="6" t="s">
        <v>42</v>
      </c>
      <c r="M713" s="6" t="s">
        <v>34</v>
      </c>
    </row>
    <row r="714" spans="1:13">
      <c r="A714" s="6" t="s">
        <v>1533</v>
      </c>
      <c r="B714" s="7">
        <v>46127</v>
      </c>
      <c r="C714" s="6" t="s">
        <v>1534</v>
      </c>
      <c r="D714" s="6" t="s">
        <v>64</v>
      </c>
      <c r="E714" s="6" t="s">
        <v>28</v>
      </c>
      <c r="F714" s="6" t="s">
        <v>47</v>
      </c>
      <c r="G714" s="6" t="s">
        <v>48</v>
      </c>
      <c r="H714" s="6">
        <v>1</v>
      </c>
      <c r="I714" s="6" t="s">
        <v>90</v>
      </c>
      <c r="J714" s="6" t="s">
        <v>90</v>
      </c>
      <c r="K714" s="6">
        <v>85</v>
      </c>
      <c r="L714" s="6" t="s">
        <v>42</v>
      </c>
      <c r="M714" s="6" t="s">
        <v>69</v>
      </c>
    </row>
    <row r="715" spans="1:13">
      <c r="A715" s="6" t="s">
        <v>1535</v>
      </c>
      <c r="B715" s="7">
        <v>46151</v>
      </c>
      <c r="C715" s="6" t="s">
        <v>1474</v>
      </c>
      <c r="D715" s="6" t="s">
        <v>27</v>
      </c>
      <c r="E715" s="6" t="s">
        <v>52</v>
      </c>
      <c r="F715" s="6" t="s">
        <v>53</v>
      </c>
      <c r="G715" s="6" t="s">
        <v>54</v>
      </c>
      <c r="H715" s="6">
        <v>3</v>
      </c>
      <c r="I715" s="6" t="s">
        <v>31</v>
      </c>
      <c r="J715" s="6" t="s">
        <v>337</v>
      </c>
      <c r="K715" s="6" t="s">
        <v>122</v>
      </c>
      <c r="L715" s="6" t="s">
        <v>42</v>
      </c>
      <c r="M715" s="6" t="s">
        <v>34</v>
      </c>
    </row>
    <row r="716" spans="1:13">
      <c r="A716" s="6" t="s">
        <v>1536</v>
      </c>
      <c r="B716" s="7">
        <v>46078</v>
      </c>
      <c r="C716" s="6" t="s">
        <v>1537</v>
      </c>
      <c r="D716" s="6" t="s">
        <v>110</v>
      </c>
      <c r="E716" s="6" t="s">
        <v>28</v>
      </c>
      <c r="F716" s="6" t="s">
        <v>94</v>
      </c>
      <c r="G716" s="6" t="s">
        <v>95</v>
      </c>
      <c r="H716" s="6">
        <v>3</v>
      </c>
      <c r="I716" s="6" t="s">
        <v>265</v>
      </c>
      <c r="J716" s="6" t="s">
        <v>401</v>
      </c>
      <c r="K716" s="6">
        <v>340</v>
      </c>
      <c r="L716" s="6" t="s">
        <v>42</v>
      </c>
      <c r="M716" s="6" t="s">
        <v>69</v>
      </c>
    </row>
    <row r="717" spans="1:13">
      <c r="A717" s="6" t="s">
        <v>1538</v>
      </c>
      <c r="B717" s="7">
        <v>46116</v>
      </c>
      <c r="C717" s="6" t="s">
        <v>1539</v>
      </c>
      <c r="D717" s="6" t="s">
        <v>127</v>
      </c>
      <c r="E717" s="6" t="s">
        <v>78</v>
      </c>
      <c r="F717" s="6" t="s">
        <v>85</v>
      </c>
      <c r="G717" s="6" t="s">
        <v>86</v>
      </c>
      <c r="H717" s="6">
        <v>1</v>
      </c>
      <c r="I717" s="6" t="s">
        <v>684</v>
      </c>
      <c r="J717" s="6" t="s">
        <v>73</v>
      </c>
      <c r="K717" s="6">
        <v>410</v>
      </c>
      <c r="L717" s="6" t="s">
        <v>33</v>
      </c>
      <c r="M717" s="6" t="s">
        <v>69</v>
      </c>
    </row>
    <row r="718" spans="1:13">
      <c r="A718" s="6" t="s">
        <v>1540</v>
      </c>
      <c r="B718" s="6" t="s">
        <v>1541</v>
      </c>
      <c r="C718" s="6" t="s">
        <v>1325</v>
      </c>
      <c r="D718" s="6" t="s">
        <v>127</v>
      </c>
      <c r="E718" s="6" t="s">
        <v>28</v>
      </c>
      <c r="F718" s="6" t="s">
        <v>85</v>
      </c>
      <c r="G718" s="6" t="s">
        <v>86</v>
      </c>
      <c r="H718" s="6">
        <v>2</v>
      </c>
      <c r="I718" s="6" t="s">
        <v>40</v>
      </c>
      <c r="J718" s="6" t="s">
        <v>327</v>
      </c>
      <c r="K718" s="6">
        <v>410</v>
      </c>
      <c r="L718" s="6" t="s">
        <v>42</v>
      </c>
      <c r="M718" s="6" t="s">
        <v>69</v>
      </c>
    </row>
    <row r="719" spans="1:13">
      <c r="A719" s="6" t="s">
        <v>1542</v>
      </c>
      <c r="B719" s="7">
        <v>46043</v>
      </c>
      <c r="C719" s="6" t="s">
        <v>1543</v>
      </c>
      <c r="D719" s="6" t="s">
        <v>127</v>
      </c>
      <c r="E719" s="6" t="s">
        <v>46</v>
      </c>
      <c r="F719" s="6" t="s">
        <v>47</v>
      </c>
      <c r="G719" s="6" t="s">
        <v>48</v>
      </c>
      <c r="H719" s="6">
        <v>3</v>
      </c>
      <c r="I719" s="6" t="s">
        <v>755</v>
      </c>
      <c r="J719" s="6" t="s">
        <v>1544</v>
      </c>
      <c r="K719" s="6">
        <v>85</v>
      </c>
      <c r="L719" s="6" t="s">
        <v>33</v>
      </c>
      <c r="M719" s="6" t="s">
        <v>34</v>
      </c>
    </row>
    <row r="720" spans="1:13">
      <c r="A720" s="6" t="s">
        <v>1545</v>
      </c>
      <c r="B720" s="7">
        <v>46029</v>
      </c>
      <c r="C720" s="6" t="s">
        <v>873</v>
      </c>
      <c r="D720" s="6" t="s">
        <v>45</v>
      </c>
      <c r="E720" s="6" t="s">
        <v>52</v>
      </c>
      <c r="F720" s="6" t="s">
        <v>29</v>
      </c>
      <c r="G720" s="6" t="s">
        <v>30</v>
      </c>
      <c r="H720" s="6">
        <v>1</v>
      </c>
      <c r="I720" s="6" t="s">
        <v>117</v>
      </c>
      <c r="J720" s="6" t="s">
        <v>117</v>
      </c>
      <c r="K720" s="6">
        <v>520</v>
      </c>
      <c r="L720" s="6" t="s">
        <v>42</v>
      </c>
      <c r="M720" s="6" t="s">
        <v>34</v>
      </c>
    </row>
    <row r="721" spans="1:13">
      <c r="A721" s="6" t="s">
        <v>1546</v>
      </c>
      <c r="B721" s="7">
        <v>46080</v>
      </c>
      <c r="C721" s="6" t="s">
        <v>1547</v>
      </c>
      <c r="D721" s="6" t="s">
        <v>27</v>
      </c>
      <c r="E721" s="6" t="s">
        <v>78</v>
      </c>
      <c r="F721" s="6" t="s">
        <v>58</v>
      </c>
      <c r="G721" s="6" t="s">
        <v>59</v>
      </c>
      <c r="H721" s="6">
        <v>3</v>
      </c>
      <c r="I721" s="6" t="s">
        <v>60</v>
      </c>
      <c r="J721" s="6" t="s">
        <v>268</v>
      </c>
      <c r="K721" s="6">
        <v>380</v>
      </c>
      <c r="L721" s="6" t="s">
        <v>42</v>
      </c>
      <c r="M721" s="6" t="s">
        <v>69</v>
      </c>
    </row>
    <row r="722" spans="1:13">
      <c r="A722" s="6" t="s">
        <v>1548</v>
      </c>
      <c r="B722" s="7">
        <v>46128</v>
      </c>
      <c r="C722" s="6" t="s">
        <v>1549</v>
      </c>
      <c r="D722" s="6" t="s">
        <v>45</v>
      </c>
      <c r="E722" s="6" t="s">
        <v>37</v>
      </c>
      <c r="F722" s="6" t="s">
        <v>53</v>
      </c>
      <c r="G722" s="6" t="s">
        <v>54</v>
      </c>
      <c r="H722" s="6">
        <v>1</v>
      </c>
      <c r="I722" s="6" t="s">
        <v>31</v>
      </c>
      <c r="J722" s="6" t="s">
        <v>31</v>
      </c>
      <c r="K722" s="6">
        <v>190</v>
      </c>
      <c r="L722" s="6" t="s">
        <v>42</v>
      </c>
      <c r="M722" s="6" t="s">
        <v>34</v>
      </c>
    </row>
    <row r="723" spans="1:13">
      <c r="A723" s="6" t="s">
        <v>1550</v>
      </c>
      <c r="B723" s="7">
        <v>46189</v>
      </c>
      <c r="C723" s="6" t="s">
        <v>1551</v>
      </c>
      <c r="D723" s="6" t="s">
        <v>72</v>
      </c>
      <c r="E723" s="6" t="s">
        <v>78</v>
      </c>
      <c r="F723" s="6" t="s">
        <v>58</v>
      </c>
      <c r="G723" s="6" t="s">
        <v>59</v>
      </c>
      <c r="H723" s="6">
        <v>2</v>
      </c>
      <c r="I723" s="6" t="s">
        <v>143</v>
      </c>
      <c r="J723" s="6" t="s">
        <v>144</v>
      </c>
      <c r="K723" s="6" t="s">
        <v>61</v>
      </c>
      <c r="L723" s="6" t="s">
        <v>42</v>
      </c>
      <c r="M723" s="6" t="s">
        <v>34</v>
      </c>
    </row>
    <row r="724" spans="1:13">
      <c r="A724" s="6" t="s">
        <v>1552</v>
      </c>
      <c r="B724" s="7">
        <v>46037</v>
      </c>
      <c r="C724" s="6" t="s">
        <v>343</v>
      </c>
      <c r="D724" s="6" t="s">
        <v>110</v>
      </c>
      <c r="E724" s="6" t="s">
        <v>37</v>
      </c>
      <c r="F724" s="6" t="s">
        <v>53</v>
      </c>
      <c r="G724" s="6" t="s">
        <v>54</v>
      </c>
      <c r="H724" s="6">
        <v>2</v>
      </c>
      <c r="I724" s="6" t="s">
        <v>96</v>
      </c>
      <c r="J724" s="6" t="s">
        <v>278</v>
      </c>
      <c r="K724" s="6">
        <v>190</v>
      </c>
      <c r="L724" s="6" t="s">
        <v>42</v>
      </c>
      <c r="M724" s="6" t="s">
        <v>34</v>
      </c>
    </row>
    <row r="725" spans="1:13">
      <c r="A725" s="6" t="s">
        <v>1553</v>
      </c>
      <c r="B725" s="7">
        <v>46090</v>
      </c>
      <c r="C725" s="6" t="s">
        <v>1554</v>
      </c>
      <c r="D725" s="6" t="s">
        <v>110</v>
      </c>
      <c r="E725" s="6" t="s">
        <v>28</v>
      </c>
      <c r="F725" s="6" t="s">
        <v>38</v>
      </c>
      <c r="G725" s="6" t="s">
        <v>39</v>
      </c>
      <c r="H725" s="6">
        <v>2</v>
      </c>
      <c r="I725" s="6" t="s">
        <v>31</v>
      </c>
      <c r="J725" s="6" t="s">
        <v>249</v>
      </c>
      <c r="K725" s="6">
        <v>520</v>
      </c>
      <c r="L725" s="6" t="s">
        <v>42</v>
      </c>
      <c r="M725" s="6" t="s">
        <v>34</v>
      </c>
    </row>
    <row r="726" spans="1:13">
      <c r="A726" s="6" t="s">
        <v>1555</v>
      </c>
      <c r="B726" s="7">
        <v>46195</v>
      </c>
      <c r="C726" s="6" t="s">
        <v>707</v>
      </c>
      <c r="D726" s="6" t="s">
        <v>45</v>
      </c>
      <c r="E726" s="6" t="s">
        <v>46</v>
      </c>
      <c r="F726" s="6" t="s">
        <v>94</v>
      </c>
      <c r="G726" s="6" t="s">
        <v>95</v>
      </c>
      <c r="H726" s="6">
        <v>2</v>
      </c>
      <c r="I726" s="6" t="s">
        <v>117</v>
      </c>
      <c r="J726" s="6" t="s">
        <v>118</v>
      </c>
      <c r="K726" s="6" t="s">
        <v>114</v>
      </c>
      <c r="L726" s="6" t="s">
        <v>42</v>
      </c>
      <c r="M726" s="6" t="s">
        <v>34</v>
      </c>
    </row>
    <row r="727" spans="1:13">
      <c r="A727" s="6" t="s">
        <v>1556</v>
      </c>
      <c r="B727" s="7">
        <v>46123</v>
      </c>
      <c r="C727" s="6" t="s">
        <v>1557</v>
      </c>
      <c r="D727" s="6" t="s">
        <v>105</v>
      </c>
      <c r="E727" s="6" t="s">
        <v>52</v>
      </c>
      <c r="F727" s="6" t="s">
        <v>38</v>
      </c>
      <c r="G727" s="6" t="s">
        <v>39</v>
      </c>
      <c r="H727" s="6">
        <v>1</v>
      </c>
      <c r="I727" s="6" t="s">
        <v>96</v>
      </c>
      <c r="J727" s="6" t="s">
        <v>96</v>
      </c>
      <c r="K727" s="6">
        <v>520</v>
      </c>
      <c r="L727" s="6" t="s">
        <v>42</v>
      </c>
      <c r="M727" s="6" t="s">
        <v>34</v>
      </c>
    </row>
    <row r="728" spans="1:13">
      <c r="A728" s="6" t="s">
        <v>1558</v>
      </c>
      <c r="B728" s="6" t="s">
        <v>1559</v>
      </c>
      <c r="C728" s="6" t="s">
        <v>1560</v>
      </c>
      <c r="D728" s="6" t="s">
        <v>57</v>
      </c>
      <c r="E728" s="6" t="s">
        <v>78</v>
      </c>
      <c r="F728" s="6" t="s">
        <v>58</v>
      </c>
      <c r="G728" s="6" t="s">
        <v>59</v>
      </c>
      <c r="H728" s="6">
        <v>3</v>
      </c>
      <c r="I728" s="6" t="s">
        <v>90</v>
      </c>
      <c r="J728" s="6" t="s">
        <v>102</v>
      </c>
      <c r="K728" s="6">
        <v>380</v>
      </c>
      <c r="L728" s="6" t="s">
        <v>42</v>
      </c>
      <c r="M728" s="6" t="s">
        <v>34</v>
      </c>
    </row>
    <row r="729" spans="1:13">
      <c r="A729" s="6" t="s">
        <v>1561</v>
      </c>
      <c r="B729" s="7">
        <v>46031</v>
      </c>
      <c r="C729" s="6" t="s">
        <v>280</v>
      </c>
      <c r="D729" s="6" t="s">
        <v>105</v>
      </c>
      <c r="E729" s="6" t="s">
        <v>78</v>
      </c>
      <c r="F729" s="6" t="s">
        <v>53</v>
      </c>
      <c r="G729" s="6" t="s">
        <v>54</v>
      </c>
      <c r="H729" s="6">
        <v>1</v>
      </c>
      <c r="I729" s="6" t="s">
        <v>79</v>
      </c>
      <c r="J729" s="6" t="s">
        <v>79</v>
      </c>
      <c r="K729" s="6">
        <v>190</v>
      </c>
      <c r="L729" s="6" t="s">
        <v>33</v>
      </c>
      <c r="M729" s="6" t="s">
        <v>34</v>
      </c>
    </row>
    <row r="730" spans="1:13">
      <c r="A730" s="6" t="s">
        <v>1562</v>
      </c>
      <c r="B730" s="7">
        <v>46180</v>
      </c>
      <c r="C730" s="6" t="s">
        <v>970</v>
      </c>
      <c r="D730" s="6" t="s">
        <v>127</v>
      </c>
      <c r="E730" s="6" t="s">
        <v>46</v>
      </c>
      <c r="F730" s="6" t="s">
        <v>85</v>
      </c>
      <c r="G730" s="6" t="s">
        <v>86</v>
      </c>
      <c r="H730" s="6">
        <v>3</v>
      </c>
      <c r="I730" s="6" t="s">
        <v>82</v>
      </c>
      <c r="J730" s="6" t="s">
        <v>390</v>
      </c>
      <c r="K730" s="6" t="s">
        <v>87</v>
      </c>
      <c r="L730" s="6" t="s">
        <v>42</v>
      </c>
      <c r="M730" s="6" t="s">
        <v>34</v>
      </c>
    </row>
    <row r="731" spans="1:13">
      <c r="A731" s="6" t="s">
        <v>1563</v>
      </c>
      <c r="B731" s="7">
        <v>46081</v>
      </c>
      <c r="C731" s="6" t="s">
        <v>1564</v>
      </c>
      <c r="D731" s="6" t="s">
        <v>77</v>
      </c>
      <c r="E731" s="6" t="s">
        <v>52</v>
      </c>
      <c r="F731" s="6" t="s">
        <v>100</v>
      </c>
      <c r="G731" s="6" t="s">
        <v>101</v>
      </c>
      <c r="H731" s="6">
        <v>1</v>
      </c>
      <c r="I731" s="6" t="s">
        <v>31</v>
      </c>
      <c r="J731" s="6" t="s">
        <v>31</v>
      </c>
      <c r="K731" s="6">
        <v>640</v>
      </c>
      <c r="L731" s="6" t="s">
        <v>42</v>
      </c>
      <c r="M731" s="6" t="s">
        <v>34</v>
      </c>
    </row>
    <row r="732" spans="1:13">
      <c r="A732" s="6" t="s">
        <v>1565</v>
      </c>
      <c r="B732" s="7">
        <v>46053</v>
      </c>
      <c r="C732" s="6" t="s">
        <v>1566</v>
      </c>
      <c r="D732" s="6" t="s">
        <v>45</v>
      </c>
      <c r="E732" s="6" t="s">
        <v>52</v>
      </c>
      <c r="F732" s="6" t="s">
        <v>47</v>
      </c>
      <c r="G732" s="6" t="s">
        <v>48</v>
      </c>
      <c r="H732" s="6">
        <v>1</v>
      </c>
      <c r="I732" s="6" t="s">
        <v>79</v>
      </c>
      <c r="J732" s="6" t="s">
        <v>79</v>
      </c>
      <c r="K732" s="6">
        <v>85</v>
      </c>
      <c r="L732" s="6" t="s">
        <v>33</v>
      </c>
      <c r="M732" s="6" t="s">
        <v>34</v>
      </c>
    </row>
    <row r="733" spans="1:13">
      <c r="A733" s="6" t="s">
        <v>1567</v>
      </c>
      <c r="B733" s="7">
        <v>46114</v>
      </c>
      <c r="C733" s="6" t="s">
        <v>1568</v>
      </c>
      <c r="D733" s="6" t="s">
        <v>45</v>
      </c>
      <c r="E733" s="6" t="s">
        <v>28</v>
      </c>
      <c r="F733" s="6" t="s">
        <v>100</v>
      </c>
      <c r="G733" s="6" t="s">
        <v>101</v>
      </c>
      <c r="H733" s="6">
        <v>1</v>
      </c>
      <c r="I733" s="6" t="s">
        <v>265</v>
      </c>
      <c r="J733" s="6" t="s">
        <v>265</v>
      </c>
      <c r="K733" s="6">
        <v>640</v>
      </c>
      <c r="L733" s="6" t="s">
        <v>42</v>
      </c>
      <c r="M733" s="6" t="s">
        <v>34</v>
      </c>
    </row>
    <row r="734" spans="1:13">
      <c r="A734" s="6" t="s">
        <v>1569</v>
      </c>
      <c r="B734" s="7">
        <v>46162</v>
      </c>
      <c r="C734" s="6" t="s">
        <v>1221</v>
      </c>
      <c r="D734" s="6" t="s">
        <v>110</v>
      </c>
      <c r="E734" s="6" t="s">
        <v>37</v>
      </c>
      <c r="F734" s="6" t="s">
        <v>47</v>
      </c>
      <c r="G734" s="6" t="s">
        <v>48</v>
      </c>
      <c r="H734" s="6">
        <v>2</v>
      </c>
      <c r="I734" s="6" t="s">
        <v>31</v>
      </c>
      <c r="J734" s="6" t="s">
        <v>249</v>
      </c>
      <c r="K734" s="6" t="s">
        <v>49</v>
      </c>
      <c r="L734" s="6" t="s">
        <v>42</v>
      </c>
      <c r="M734" s="6" t="s">
        <v>34</v>
      </c>
    </row>
    <row r="735" spans="1:13">
      <c r="A735" s="6" t="s">
        <v>1570</v>
      </c>
      <c r="B735" s="7">
        <v>46149</v>
      </c>
      <c r="C735" s="6" t="s">
        <v>548</v>
      </c>
      <c r="D735" s="6" t="s">
        <v>72</v>
      </c>
      <c r="E735" s="6" t="s">
        <v>78</v>
      </c>
      <c r="F735" s="6" t="s">
        <v>100</v>
      </c>
      <c r="G735" s="6" t="s">
        <v>101</v>
      </c>
      <c r="H735" s="6">
        <v>1</v>
      </c>
      <c r="I735" s="6" t="s">
        <v>265</v>
      </c>
      <c r="J735" s="6" t="s">
        <v>265</v>
      </c>
      <c r="K735" s="6" t="s">
        <v>119</v>
      </c>
      <c r="L735" s="6" t="s">
        <v>42</v>
      </c>
      <c r="M735" s="6" t="s">
        <v>34</v>
      </c>
    </row>
    <row r="736" spans="1:13">
      <c r="A736" s="6" t="s">
        <v>1571</v>
      </c>
      <c r="B736" s="7">
        <v>46069</v>
      </c>
      <c r="C736" s="6" t="s">
        <v>884</v>
      </c>
      <c r="D736" s="6" t="s">
        <v>45</v>
      </c>
      <c r="E736" s="6" t="s">
        <v>37</v>
      </c>
      <c r="F736" s="6" t="s">
        <v>58</v>
      </c>
      <c r="G736" s="6" t="s">
        <v>59</v>
      </c>
      <c r="H736" s="6">
        <v>2</v>
      </c>
      <c r="I736" s="6" t="s">
        <v>143</v>
      </c>
      <c r="J736" s="6" t="s">
        <v>144</v>
      </c>
      <c r="K736" s="6">
        <v>380</v>
      </c>
      <c r="L736" s="6" t="s">
        <v>42</v>
      </c>
      <c r="M736" s="6" t="s">
        <v>69</v>
      </c>
    </row>
    <row r="737" spans="1:13">
      <c r="A737" s="6" t="s">
        <v>1572</v>
      </c>
      <c r="B737" s="7">
        <v>46041</v>
      </c>
      <c r="C737" s="6" t="s">
        <v>1573</v>
      </c>
      <c r="D737" s="6" t="s">
        <v>57</v>
      </c>
      <c r="E737" s="6" t="s">
        <v>52</v>
      </c>
      <c r="F737" s="6" t="s">
        <v>100</v>
      </c>
      <c r="G737" s="6" t="s">
        <v>101</v>
      </c>
      <c r="H737" s="6">
        <v>1</v>
      </c>
      <c r="I737" s="6" t="s">
        <v>73</v>
      </c>
      <c r="J737" s="6" t="s">
        <v>73</v>
      </c>
      <c r="K737" s="6">
        <v>640</v>
      </c>
      <c r="L737" s="6" t="s">
        <v>33</v>
      </c>
      <c r="M737" s="6" t="s">
        <v>34</v>
      </c>
    </row>
    <row r="738" spans="1:13">
      <c r="A738" s="6" t="s">
        <v>1574</v>
      </c>
      <c r="B738" s="7">
        <v>46105</v>
      </c>
      <c r="C738" s="6" t="s">
        <v>1575</v>
      </c>
      <c r="D738" s="6" t="s">
        <v>110</v>
      </c>
      <c r="E738" s="6" t="s">
        <v>46</v>
      </c>
      <c r="F738" s="6" t="s">
        <v>94</v>
      </c>
      <c r="G738" s="6" t="s">
        <v>95</v>
      </c>
      <c r="H738" s="6">
        <v>2</v>
      </c>
      <c r="I738" s="6" t="s">
        <v>113</v>
      </c>
      <c r="J738" s="6" t="s">
        <v>1576</v>
      </c>
      <c r="K738" s="6">
        <v>340</v>
      </c>
      <c r="L738" s="6" t="s">
        <v>42</v>
      </c>
      <c r="M738" s="6" t="s">
        <v>34</v>
      </c>
    </row>
    <row r="739" spans="1:13">
      <c r="A739" s="6" t="s">
        <v>1577</v>
      </c>
      <c r="B739" s="7">
        <v>46084</v>
      </c>
      <c r="C739" s="6" t="s">
        <v>482</v>
      </c>
      <c r="D739" s="6" t="s">
        <v>27</v>
      </c>
      <c r="E739" s="6" t="s">
        <v>37</v>
      </c>
      <c r="F739" s="6" t="s">
        <v>47</v>
      </c>
      <c r="G739" s="6" t="s">
        <v>48</v>
      </c>
      <c r="H739" s="6">
        <v>1</v>
      </c>
      <c r="I739" s="6" t="s">
        <v>265</v>
      </c>
      <c r="J739" s="6" t="s">
        <v>265</v>
      </c>
      <c r="K739" s="6">
        <v>85</v>
      </c>
      <c r="L739" s="6" t="s">
        <v>42</v>
      </c>
      <c r="M739" s="6" t="s">
        <v>34</v>
      </c>
    </row>
    <row r="740" spans="1:13">
      <c r="A740" s="6" t="s">
        <v>1578</v>
      </c>
      <c r="B740" s="7">
        <v>46060</v>
      </c>
      <c r="C740" s="6" t="s">
        <v>1579</v>
      </c>
      <c r="D740" s="6" t="s">
        <v>77</v>
      </c>
      <c r="E740" s="6" t="s">
        <v>78</v>
      </c>
      <c r="F740" s="6" t="s">
        <v>38</v>
      </c>
      <c r="G740" s="6" t="s">
        <v>39</v>
      </c>
      <c r="H740" s="6">
        <v>2</v>
      </c>
      <c r="I740" s="6" t="s">
        <v>603</v>
      </c>
      <c r="J740" s="6" t="s">
        <v>175</v>
      </c>
      <c r="K740" s="6" t="s">
        <v>41</v>
      </c>
      <c r="L740" s="6" t="s">
        <v>42</v>
      </c>
      <c r="M740" s="6" t="s">
        <v>34</v>
      </c>
    </row>
    <row r="741" spans="1:13">
      <c r="A741" s="6" t="s">
        <v>1580</v>
      </c>
      <c r="B741" s="7">
        <v>46111</v>
      </c>
      <c r="C741" s="6" t="s">
        <v>1581</v>
      </c>
      <c r="D741" s="6" t="s">
        <v>77</v>
      </c>
      <c r="E741" s="6" t="s">
        <v>78</v>
      </c>
      <c r="F741" s="6" t="s">
        <v>47</v>
      </c>
      <c r="G741" s="6" t="s">
        <v>48</v>
      </c>
      <c r="H741" s="6">
        <v>1</v>
      </c>
      <c r="I741" s="6" t="s">
        <v>82</v>
      </c>
      <c r="J741" s="6" t="s">
        <v>82</v>
      </c>
      <c r="K741" s="6">
        <v>85</v>
      </c>
      <c r="L741" s="6" t="s">
        <v>42</v>
      </c>
      <c r="M741" s="6" t="s">
        <v>34</v>
      </c>
    </row>
    <row r="742" spans="1:13">
      <c r="A742" s="6" t="s">
        <v>1582</v>
      </c>
      <c r="B742" s="7">
        <v>46132</v>
      </c>
      <c r="C742" s="6" t="s">
        <v>488</v>
      </c>
      <c r="D742" s="6" t="s">
        <v>57</v>
      </c>
      <c r="E742" s="6" t="s">
        <v>37</v>
      </c>
      <c r="F742" s="6" t="s">
        <v>58</v>
      </c>
      <c r="G742" s="6" t="s">
        <v>59</v>
      </c>
      <c r="H742" s="6">
        <v>1</v>
      </c>
      <c r="I742" s="6" t="s">
        <v>79</v>
      </c>
      <c r="J742" s="6" t="s">
        <v>79</v>
      </c>
      <c r="K742" s="6" t="s">
        <v>61</v>
      </c>
      <c r="L742" s="6" t="s">
        <v>42</v>
      </c>
      <c r="M742" s="6" t="s">
        <v>34</v>
      </c>
    </row>
    <row r="743" spans="1:13">
      <c r="A743" s="6" t="s">
        <v>1583</v>
      </c>
      <c r="B743" s="7">
        <v>46150</v>
      </c>
      <c r="C743" s="6" t="s">
        <v>780</v>
      </c>
      <c r="D743" s="6" t="s">
        <v>64</v>
      </c>
      <c r="E743" s="6" t="s">
        <v>28</v>
      </c>
      <c r="F743" s="6" t="s">
        <v>47</v>
      </c>
      <c r="G743" s="6" t="s">
        <v>48</v>
      </c>
      <c r="H743" s="6">
        <v>2</v>
      </c>
      <c r="I743" s="6" t="s">
        <v>181</v>
      </c>
      <c r="J743" s="6" t="s">
        <v>1584</v>
      </c>
      <c r="K743" s="6" t="s">
        <v>49</v>
      </c>
      <c r="L743" s="6" t="s">
        <v>42</v>
      </c>
      <c r="M743" s="6" t="s">
        <v>69</v>
      </c>
    </row>
    <row r="744" spans="1:13">
      <c r="A744" s="6" t="s">
        <v>1585</v>
      </c>
      <c r="B744" s="7">
        <v>46185</v>
      </c>
      <c r="C744" s="6" t="s">
        <v>1586</v>
      </c>
      <c r="D744" s="6" t="s">
        <v>45</v>
      </c>
      <c r="E744" s="6" t="s">
        <v>78</v>
      </c>
      <c r="F744" s="6" t="s">
        <v>47</v>
      </c>
      <c r="G744" s="6" t="s">
        <v>48</v>
      </c>
      <c r="H744" s="6">
        <v>-1</v>
      </c>
      <c r="I744" s="6" t="s">
        <v>147</v>
      </c>
      <c r="J744" s="8" t="s">
        <v>1333</v>
      </c>
      <c r="K744" s="6" t="s">
        <v>49</v>
      </c>
      <c r="L744" s="6" t="s">
        <v>42</v>
      </c>
      <c r="M744" s="6" t="s">
        <v>69</v>
      </c>
    </row>
    <row r="745" spans="1:13">
      <c r="A745" s="6" t="s">
        <v>1587</v>
      </c>
      <c r="B745" s="7">
        <v>46072</v>
      </c>
      <c r="C745" s="6" t="s">
        <v>1588</v>
      </c>
      <c r="D745" s="6" t="s">
        <v>45</v>
      </c>
      <c r="E745" s="6" t="s">
        <v>28</v>
      </c>
      <c r="F745" s="6" t="s">
        <v>53</v>
      </c>
      <c r="G745" s="6" t="s">
        <v>54</v>
      </c>
      <c r="H745" s="6">
        <v>1</v>
      </c>
      <c r="I745" s="6" t="s">
        <v>90</v>
      </c>
      <c r="J745" s="6" t="s">
        <v>90</v>
      </c>
      <c r="K745" s="6">
        <v>190</v>
      </c>
      <c r="L745" s="6" t="s">
        <v>42</v>
      </c>
      <c r="M745" s="6" t="s">
        <v>34</v>
      </c>
    </row>
    <row r="746" spans="1:13">
      <c r="A746" s="6" t="s">
        <v>1589</v>
      </c>
      <c r="B746" s="7">
        <v>46180</v>
      </c>
      <c r="C746" s="6" t="s">
        <v>1590</v>
      </c>
      <c r="D746" s="6" t="s">
        <v>57</v>
      </c>
      <c r="E746" s="6" t="s">
        <v>52</v>
      </c>
      <c r="F746" s="6" t="s">
        <v>29</v>
      </c>
      <c r="G746" s="6" t="s">
        <v>30</v>
      </c>
      <c r="H746" s="6">
        <v>2</v>
      </c>
      <c r="I746" s="6" t="s">
        <v>90</v>
      </c>
      <c r="J746" s="6" t="s">
        <v>154</v>
      </c>
      <c r="K746" s="6" t="s">
        <v>41</v>
      </c>
      <c r="L746" s="6" t="s">
        <v>42</v>
      </c>
      <c r="M746" s="6" t="s">
        <v>34</v>
      </c>
    </row>
    <row r="747" spans="1:13">
      <c r="A747" s="6" t="s">
        <v>1591</v>
      </c>
      <c r="B747" s="7">
        <v>46109</v>
      </c>
      <c r="C747" s="6" t="s">
        <v>1592</v>
      </c>
      <c r="D747" s="6" t="s">
        <v>72</v>
      </c>
      <c r="E747" s="6" t="s">
        <v>28</v>
      </c>
      <c r="F747" s="6" t="s">
        <v>85</v>
      </c>
      <c r="G747" s="6" t="s">
        <v>86</v>
      </c>
      <c r="H747" s="6">
        <v>1</v>
      </c>
      <c r="I747" s="6" t="s">
        <v>231</v>
      </c>
      <c r="J747" s="6" t="s">
        <v>231</v>
      </c>
      <c r="K747" s="6">
        <v>410</v>
      </c>
      <c r="L747" s="6" t="s">
        <v>42</v>
      </c>
      <c r="M747" s="6" t="s">
        <v>34</v>
      </c>
    </row>
    <row r="748" spans="1:13">
      <c r="A748" s="6" t="s">
        <v>1593</v>
      </c>
      <c r="B748" s="7">
        <v>46029</v>
      </c>
      <c r="C748" s="6" t="s">
        <v>1594</v>
      </c>
      <c r="D748" s="6" t="s">
        <v>57</v>
      </c>
      <c r="E748" s="6" t="s">
        <v>37</v>
      </c>
      <c r="F748" s="6" t="s">
        <v>38</v>
      </c>
      <c r="G748" s="6" t="s">
        <v>39</v>
      </c>
      <c r="H748" s="6">
        <v>1</v>
      </c>
      <c r="I748" s="6" t="s">
        <v>90</v>
      </c>
      <c r="J748" s="6" t="s">
        <v>90</v>
      </c>
      <c r="K748" s="6">
        <v>520</v>
      </c>
      <c r="L748" s="6" t="s">
        <v>42</v>
      </c>
      <c r="M748" s="6" t="s">
        <v>34</v>
      </c>
    </row>
    <row r="749" spans="1:13">
      <c r="A749" s="6" t="s">
        <v>1595</v>
      </c>
      <c r="B749" s="7">
        <v>46271</v>
      </c>
      <c r="C749" s="6" t="s">
        <v>1596</v>
      </c>
      <c r="D749" s="6" t="s">
        <v>77</v>
      </c>
      <c r="E749" s="6" t="s">
        <v>52</v>
      </c>
      <c r="F749" s="6" t="s">
        <v>53</v>
      </c>
      <c r="G749" s="6" t="s">
        <v>54</v>
      </c>
      <c r="H749" s="6">
        <v>1</v>
      </c>
      <c r="I749" s="6" t="s">
        <v>79</v>
      </c>
      <c r="J749" s="6" t="s">
        <v>79</v>
      </c>
      <c r="K749" s="6" t="s">
        <v>122</v>
      </c>
      <c r="L749" s="6" t="s">
        <v>33</v>
      </c>
      <c r="M749" s="6" t="s">
        <v>69</v>
      </c>
    </row>
    <row r="750" spans="1:13">
      <c r="A750" s="6" t="s">
        <v>1597</v>
      </c>
      <c r="B750" s="7">
        <v>46102</v>
      </c>
      <c r="C750" s="6" t="s">
        <v>1598</v>
      </c>
      <c r="D750" s="6" t="s">
        <v>72</v>
      </c>
      <c r="E750" s="6" t="s">
        <v>46</v>
      </c>
      <c r="F750" s="6" t="s">
        <v>100</v>
      </c>
      <c r="G750" s="6" t="s">
        <v>101</v>
      </c>
      <c r="H750" s="6">
        <v>1</v>
      </c>
      <c r="I750" s="6" t="s">
        <v>79</v>
      </c>
      <c r="J750" s="6" t="s">
        <v>79</v>
      </c>
      <c r="K750" s="6">
        <v>640</v>
      </c>
      <c r="L750" s="6" t="s">
        <v>33</v>
      </c>
      <c r="M750" s="6" t="s">
        <v>34</v>
      </c>
    </row>
    <row r="751" spans="1:13">
      <c r="A751" s="6" t="s">
        <v>1599</v>
      </c>
      <c r="B751" s="7">
        <v>46114</v>
      </c>
      <c r="C751" s="6" t="s">
        <v>1600</v>
      </c>
      <c r="D751" s="6" t="s">
        <v>72</v>
      </c>
      <c r="E751" s="6" t="s">
        <v>52</v>
      </c>
      <c r="F751" s="6" t="s">
        <v>85</v>
      </c>
      <c r="G751" s="6" t="s">
        <v>86</v>
      </c>
      <c r="H751" s="6">
        <v>1</v>
      </c>
      <c r="I751" s="6" t="s">
        <v>1004</v>
      </c>
      <c r="J751" s="6" t="s">
        <v>265</v>
      </c>
      <c r="K751" s="6">
        <v>410</v>
      </c>
      <c r="L751" s="6" t="s">
        <v>42</v>
      </c>
      <c r="M751" s="6" t="s">
        <v>34</v>
      </c>
    </row>
    <row r="752" spans="1:13">
      <c r="A752" s="6" t="s">
        <v>1601</v>
      </c>
      <c r="B752" s="7">
        <v>46189</v>
      </c>
      <c r="C752" s="6" t="s">
        <v>594</v>
      </c>
      <c r="D752" s="6" t="s">
        <v>110</v>
      </c>
      <c r="E752" s="6" t="s">
        <v>46</v>
      </c>
      <c r="F752" s="6" t="s">
        <v>58</v>
      </c>
      <c r="G752" s="6" t="s">
        <v>59</v>
      </c>
      <c r="H752" s="6">
        <v>1</v>
      </c>
      <c r="I752" s="6" t="s">
        <v>143</v>
      </c>
      <c r="J752" s="6" t="s">
        <v>143</v>
      </c>
      <c r="K752" s="6" t="s">
        <v>61</v>
      </c>
      <c r="L752" s="6" t="s">
        <v>42</v>
      </c>
      <c r="M752" s="6" t="s">
        <v>34</v>
      </c>
    </row>
    <row r="753" spans="1:13">
      <c r="A753" s="6" t="s">
        <v>1602</v>
      </c>
      <c r="B753" s="7">
        <v>46041</v>
      </c>
      <c r="C753" s="6" t="s">
        <v>1603</v>
      </c>
      <c r="D753" s="6" t="s">
        <v>64</v>
      </c>
      <c r="E753" s="6" t="s">
        <v>52</v>
      </c>
      <c r="F753" s="6" t="s">
        <v>38</v>
      </c>
      <c r="G753" s="6" t="s">
        <v>39</v>
      </c>
      <c r="H753" s="6">
        <v>1</v>
      </c>
      <c r="I753" s="6" t="s">
        <v>143</v>
      </c>
      <c r="J753" s="6" t="s">
        <v>143</v>
      </c>
      <c r="K753" s="6">
        <v>520</v>
      </c>
      <c r="L753" s="6" t="s">
        <v>42</v>
      </c>
      <c r="M753" s="6" t="s">
        <v>34</v>
      </c>
    </row>
    <row r="754" spans="1:13">
      <c r="A754" s="6" t="s">
        <v>1604</v>
      </c>
      <c r="B754" s="7">
        <v>46067</v>
      </c>
      <c r="C754" s="6" t="s">
        <v>1179</v>
      </c>
      <c r="D754" s="6" t="s">
        <v>77</v>
      </c>
      <c r="E754" s="6" t="s">
        <v>52</v>
      </c>
      <c r="F754" s="6" t="s">
        <v>53</v>
      </c>
      <c r="G754" s="6" t="s">
        <v>54</v>
      </c>
      <c r="H754" s="6">
        <v>3</v>
      </c>
      <c r="I754" s="6" t="s">
        <v>143</v>
      </c>
      <c r="J754" s="6" t="s">
        <v>243</v>
      </c>
      <c r="K754" s="6">
        <v>190</v>
      </c>
      <c r="L754" s="6" t="s">
        <v>42</v>
      </c>
      <c r="M754" s="6" t="s">
        <v>34</v>
      </c>
    </row>
    <row r="755" spans="1:13">
      <c r="A755" s="6" t="s">
        <v>1605</v>
      </c>
      <c r="B755" s="7">
        <v>46170</v>
      </c>
      <c r="C755" s="6" t="s">
        <v>1606</v>
      </c>
      <c r="D755" s="6" t="s">
        <v>27</v>
      </c>
      <c r="E755" s="6" t="s">
        <v>78</v>
      </c>
      <c r="F755" s="6" t="s">
        <v>38</v>
      </c>
      <c r="G755" s="6" t="s">
        <v>39</v>
      </c>
      <c r="H755" s="6">
        <v>1</v>
      </c>
      <c r="I755" s="6" t="s">
        <v>90</v>
      </c>
      <c r="J755" s="6" t="s">
        <v>90</v>
      </c>
      <c r="K755" s="6" t="s">
        <v>41</v>
      </c>
      <c r="L755" s="6" t="s">
        <v>42</v>
      </c>
      <c r="M755" s="6" t="s">
        <v>34</v>
      </c>
    </row>
    <row r="756" spans="1:13">
      <c r="A756" s="6" t="s">
        <v>1607</v>
      </c>
      <c r="B756" s="7">
        <v>46144</v>
      </c>
      <c r="C756" s="6" t="s">
        <v>1608</v>
      </c>
      <c r="D756" s="6" t="s">
        <v>57</v>
      </c>
      <c r="E756" s="6" t="s">
        <v>52</v>
      </c>
      <c r="F756" s="6" t="s">
        <v>94</v>
      </c>
      <c r="G756" s="6" t="s">
        <v>95</v>
      </c>
      <c r="H756" s="6">
        <v>1</v>
      </c>
      <c r="I756" s="6" t="s">
        <v>117</v>
      </c>
      <c r="J756" s="6" t="s">
        <v>117</v>
      </c>
      <c r="K756" s="6">
        <v>340</v>
      </c>
      <c r="L756" s="6" t="s">
        <v>33</v>
      </c>
      <c r="M756" s="6" t="s">
        <v>34</v>
      </c>
    </row>
    <row r="757" spans="1:13">
      <c r="A757" s="6" t="s">
        <v>1609</v>
      </c>
      <c r="B757" s="7">
        <v>46187</v>
      </c>
      <c r="C757" s="6" t="s">
        <v>1610</v>
      </c>
      <c r="D757" s="6" t="s">
        <v>27</v>
      </c>
      <c r="E757" s="6" t="s">
        <v>37</v>
      </c>
      <c r="F757" s="6" t="s">
        <v>58</v>
      </c>
      <c r="G757" s="6" t="s">
        <v>59</v>
      </c>
      <c r="H757" s="6">
        <v>1</v>
      </c>
      <c r="I757" s="6" t="s">
        <v>90</v>
      </c>
      <c r="J757" s="6" t="s">
        <v>90</v>
      </c>
      <c r="K757" s="6" t="s">
        <v>61</v>
      </c>
      <c r="L757" s="6" t="s">
        <v>42</v>
      </c>
      <c r="M757" s="6" t="s">
        <v>34</v>
      </c>
    </row>
    <row r="758" spans="1:13">
      <c r="A758" s="6" t="s">
        <v>1611</v>
      </c>
      <c r="B758" s="7">
        <v>46120</v>
      </c>
      <c r="C758" s="6" t="s">
        <v>1612</v>
      </c>
      <c r="D758" s="6" t="s">
        <v>57</v>
      </c>
      <c r="E758" s="6" t="s">
        <v>52</v>
      </c>
      <c r="F758" s="6" t="s">
        <v>58</v>
      </c>
      <c r="G758" s="6" t="s">
        <v>59</v>
      </c>
      <c r="H758" s="6">
        <v>2</v>
      </c>
      <c r="I758" s="6" t="s">
        <v>60</v>
      </c>
      <c r="J758" s="6" t="s">
        <v>189</v>
      </c>
      <c r="K758" s="6">
        <v>380</v>
      </c>
      <c r="L758" s="6" t="s">
        <v>33</v>
      </c>
      <c r="M758" s="6" t="s">
        <v>34</v>
      </c>
    </row>
    <row r="759" spans="1:13">
      <c r="A759" s="6" t="s">
        <v>1613</v>
      </c>
      <c r="B759" s="7">
        <v>46129</v>
      </c>
      <c r="C759" s="6" t="s">
        <v>462</v>
      </c>
      <c r="D759" s="6" t="s">
        <v>27</v>
      </c>
      <c r="E759" s="6" t="s">
        <v>78</v>
      </c>
      <c r="F759" s="6" t="s">
        <v>58</v>
      </c>
      <c r="G759" s="6" t="s">
        <v>59</v>
      </c>
      <c r="H759" s="6">
        <v>1</v>
      </c>
      <c r="I759" s="6" t="s">
        <v>90</v>
      </c>
      <c r="J759" s="6" t="s">
        <v>90</v>
      </c>
      <c r="K759" s="6">
        <v>380</v>
      </c>
      <c r="L759" s="6" t="s">
        <v>33</v>
      </c>
      <c r="M759" s="6" t="s">
        <v>69</v>
      </c>
    </row>
    <row r="760" spans="1:13">
      <c r="A760" s="6" t="s">
        <v>1614</v>
      </c>
      <c r="B760" s="7">
        <v>46196</v>
      </c>
      <c r="C760" s="6" t="s">
        <v>1128</v>
      </c>
      <c r="D760" s="6" t="s">
        <v>77</v>
      </c>
      <c r="E760" s="6" t="s">
        <v>46</v>
      </c>
      <c r="F760" s="6" t="s">
        <v>47</v>
      </c>
      <c r="G760" s="6" t="s">
        <v>48</v>
      </c>
      <c r="H760" s="6">
        <v>1</v>
      </c>
      <c r="I760" s="6" t="s">
        <v>90</v>
      </c>
      <c r="J760" s="6" t="s">
        <v>90</v>
      </c>
      <c r="K760" s="6" t="s">
        <v>49</v>
      </c>
      <c r="L760" s="6" t="s">
        <v>42</v>
      </c>
      <c r="M760" s="6" t="s">
        <v>34</v>
      </c>
    </row>
    <row r="761" spans="1:13">
      <c r="A761" s="6" t="s">
        <v>1615</v>
      </c>
      <c r="B761" s="7">
        <v>46063</v>
      </c>
      <c r="C761" s="6" t="s">
        <v>774</v>
      </c>
      <c r="D761" s="6" t="s">
        <v>77</v>
      </c>
      <c r="E761" s="6" t="s">
        <v>28</v>
      </c>
      <c r="F761" s="6" t="s">
        <v>100</v>
      </c>
      <c r="G761" s="6" t="s">
        <v>101</v>
      </c>
      <c r="H761" s="6">
        <v>2</v>
      </c>
      <c r="I761" s="6" t="s">
        <v>113</v>
      </c>
      <c r="J761" s="6" t="s">
        <v>192</v>
      </c>
      <c r="K761" s="6">
        <v>640</v>
      </c>
      <c r="L761" s="6" t="s">
        <v>42</v>
      </c>
      <c r="M761" s="6" t="s">
        <v>34</v>
      </c>
    </row>
    <row r="762" spans="1:13">
      <c r="A762" s="6" t="s">
        <v>1616</v>
      </c>
      <c r="B762" s="7">
        <v>46199</v>
      </c>
      <c r="C762" s="6" t="s">
        <v>355</v>
      </c>
      <c r="D762" s="6" t="s">
        <v>77</v>
      </c>
      <c r="E762" s="6" t="s">
        <v>78</v>
      </c>
      <c r="F762" s="6" t="s">
        <v>29</v>
      </c>
      <c r="G762" s="6" t="s">
        <v>30</v>
      </c>
      <c r="H762" s="6">
        <v>1</v>
      </c>
      <c r="I762" s="6" t="s">
        <v>82</v>
      </c>
      <c r="J762" s="6" t="s">
        <v>82</v>
      </c>
      <c r="K762" s="6" t="s">
        <v>41</v>
      </c>
      <c r="L762" s="6" t="s">
        <v>42</v>
      </c>
      <c r="M762" s="6" t="s">
        <v>34</v>
      </c>
    </row>
    <row r="763" spans="1:13">
      <c r="A763" s="6" t="s">
        <v>1617</v>
      </c>
      <c r="B763" s="7">
        <v>46113</v>
      </c>
      <c r="C763" s="6" t="s">
        <v>1019</v>
      </c>
      <c r="D763" s="6" t="s">
        <v>72</v>
      </c>
      <c r="E763" s="6" t="s">
        <v>46</v>
      </c>
      <c r="F763" s="6" t="s">
        <v>100</v>
      </c>
      <c r="G763" s="6" t="s">
        <v>101</v>
      </c>
      <c r="H763" s="6">
        <v>1</v>
      </c>
      <c r="I763" s="6" t="s">
        <v>265</v>
      </c>
      <c r="J763" s="6" t="s">
        <v>265</v>
      </c>
      <c r="K763" s="6">
        <v>640</v>
      </c>
      <c r="L763" s="6" t="s">
        <v>42</v>
      </c>
      <c r="M763" s="6" t="s">
        <v>34</v>
      </c>
    </row>
    <row r="764" spans="1:13">
      <c r="A764" s="6" t="s">
        <v>1618</v>
      </c>
      <c r="B764" s="7">
        <v>46182</v>
      </c>
      <c r="C764" s="6" t="s">
        <v>1619</v>
      </c>
      <c r="D764" s="6" t="s">
        <v>77</v>
      </c>
      <c r="E764" s="6" t="s">
        <v>46</v>
      </c>
      <c r="F764" s="6" t="s">
        <v>53</v>
      </c>
      <c r="G764" s="6" t="s">
        <v>54</v>
      </c>
      <c r="H764" s="6">
        <v>1</v>
      </c>
      <c r="I764" s="6" t="s">
        <v>79</v>
      </c>
      <c r="J764" s="6" t="s">
        <v>79</v>
      </c>
      <c r="K764" s="6" t="s">
        <v>122</v>
      </c>
      <c r="L764" s="6" t="s">
        <v>42</v>
      </c>
      <c r="M764" s="6" t="s">
        <v>69</v>
      </c>
    </row>
    <row r="765" spans="1:13">
      <c r="A765" s="6" t="s">
        <v>1620</v>
      </c>
      <c r="B765" s="6" t="s">
        <v>1621</v>
      </c>
      <c r="C765" s="6" t="s">
        <v>369</v>
      </c>
      <c r="D765" s="6" t="s">
        <v>110</v>
      </c>
      <c r="E765" s="6" t="s">
        <v>28</v>
      </c>
      <c r="F765" s="6" t="s">
        <v>38</v>
      </c>
      <c r="G765" s="6" t="s">
        <v>39</v>
      </c>
      <c r="H765" s="6">
        <v>1</v>
      </c>
      <c r="I765" s="6" t="s">
        <v>82</v>
      </c>
      <c r="J765" s="6" t="s">
        <v>82</v>
      </c>
      <c r="K765" s="6" t="s">
        <v>41</v>
      </c>
      <c r="L765" s="6" t="s">
        <v>42</v>
      </c>
      <c r="M765" s="6" t="s">
        <v>69</v>
      </c>
    </row>
    <row r="766" spans="1:13">
      <c r="A766" s="6" t="s">
        <v>1622</v>
      </c>
      <c r="B766" s="7">
        <v>46206</v>
      </c>
      <c r="C766" s="6" t="s">
        <v>1623</v>
      </c>
      <c r="D766" s="6" t="s">
        <v>27</v>
      </c>
      <c r="E766" s="6" t="s">
        <v>28</v>
      </c>
      <c r="F766" s="6" t="s">
        <v>38</v>
      </c>
      <c r="G766" s="6" t="s">
        <v>39</v>
      </c>
      <c r="H766" s="6">
        <v>2</v>
      </c>
      <c r="I766" s="6" t="s">
        <v>181</v>
      </c>
      <c r="J766" s="6" t="s">
        <v>163</v>
      </c>
      <c r="K766" s="6" t="s">
        <v>41</v>
      </c>
      <c r="L766" s="6" t="s">
        <v>42</v>
      </c>
      <c r="M766" s="6" t="s">
        <v>34</v>
      </c>
    </row>
    <row r="767" spans="1:13">
      <c r="A767" s="6" t="s">
        <v>1624</v>
      </c>
      <c r="B767" s="7">
        <v>46180</v>
      </c>
      <c r="C767" s="6" t="s">
        <v>530</v>
      </c>
      <c r="D767" s="6" t="s">
        <v>64</v>
      </c>
      <c r="E767" s="6" t="s">
        <v>37</v>
      </c>
      <c r="F767" s="6" t="s">
        <v>58</v>
      </c>
      <c r="G767" s="6" t="s">
        <v>59</v>
      </c>
      <c r="H767" s="6">
        <v>1</v>
      </c>
      <c r="I767" s="6" t="s">
        <v>67</v>
      </c>
      <c r="J767" s="6" t="s">
        <v>67</v>
      </c>
      <c r="K767" s="6" t="s">
        <v>61</v>
      </c>
      <c r="L767" s="6" t="s">
        <v>42</v>
      </c>
      <c r="M767" s="6" t="s">
        <v>34</v>
      </c>
    </row>
    <row r="768" spans="1:13">
      <c r="A768" s="6" t="s">
        <v>1625</v>
      </c>
      <c r="B768" s="7">
        <v>46057</v>
      </c>
      <c r="C768" s="6" t="s">
        <v>575</v>
      </c>
      <c r="D768" s="6" t="s">
        <v>45</v>
      </c>
      <c r="E768" s="6" t="s">
        <v>46</v>
      </c>
      <c r="F768" s="6" t="s">
        <v>47</v>
      </c>
      <c r="G768" s="6" t="s">
        <v>48</v>
      </c>
      <c r="H768" s="6">
        <v>1</v>
      </c>
      <c r="I768" s="6" t="s">
        <v>143</v>
      </c>
      <c r="J768" s="6" t="s">
        <v>143</v>
      </c>
      <c r="K768" s="6">
        <v>85</v>
      </c>
      <c r="L768" s="6" t="s">
        <v>33</v>
      </c>
      <c r="M768" s="6" t="s">
        <v>69</v>
      </c>
    </row>
    <row r="769" spans="1:13">
      <c r="A769" s="6" t="s">
        <v>1626</v>
      </c>
      <c r="B769" s="7">
        <v>46193</v>
      </c>
      <c r="C769" s="6" t="s">
        <v>501</v>
      </c>
      <c r="D769" s="6" t="s">
        <v>72</v>
      </c>
      <c r="E769" s="6" t="s">
        <v>37</v>
      </c>
      <c r="F769" s="6" t="s">
        <v>47</v>
      </c>
      <c r="G769" s="6" t="s">
        <v>48</v>
      </c>
      <c r="H769" s="6">
        <v>1</v>
      </c>
      <c r="I769" s="6" t="s">
        <v>113</v>
      </c>
      <c r="J769" s="6" t="s">
        <v>113</v>
      </c>
      <c r="K769" s="6" t="s">
        <v>49</v>
      </c>
      <c r="L769" s="6" t="s">
        <v>42</v>
      </c>
      <c r="M769" s="6" t="s">
        <v>69</v>
      </c>
    </row>
    <row r="770" spans="1:13">
      <c r="A770" s="6" t="s">
        <v>1235</v>
      </c>
      <c r="B770" s="7">
        <v>46359</v>
      </c>
      <c r="C770" s="6" t="s">
        <v>1087</v>
      </c>
      <c r="D770" s="6" t="s">
        <v>45</v>
      </c>
      <c r="E770" s="6" t="s">
        <v>52</v>
      </c>
      <c r="F770" s="6" t="s">
        <v>58</v>
      </c>
      <c r="G770" s="6" t="s">
        <v>59</v>
      </c>
      <c r="H770" s="6">
        <v>3</v>
      </c>
      <c r="I770" s="6" t="s">
        <v>82</v>
      </c>
      <c r="J770" s="6" t="s">
        <v>1236</v>
      </c>
      <c r="K770" s="6">
        <v>380</v>
      </c>
      <c r="L770" s="6" t="s">
        <v>42</v>
      </c>
      <c r="M770" s="6" t="s">
        <v>69</v>
      </c>
    </row>
    <row r="771" spans="1:13">
      <c r="A771" s="6" t="s">
        <v>1627</v>
      </c>
      <c r="B771" s="7">
        <v>46175</v>
      </c>
      <c r="C771" s="6" t="s">
        <v>161</v>
      </c>
      <c r="D771" s="6" t="s">
        <v>45</v>
      </c>
      <c r="E771" s="6" t="s">
        <v>46</v>
      </c>
      <c r="F771" s="6" t="s">
        <v>53</v>
      </c>
      <c r="G771" s="6" t="s">
        <v>54</v>
      </c>
      <c r="H771" s="6">
        <v>-2</v>
      </c>
      <c r="I771" s="6" t="s">
        <v>90</v>
      </c>
      <c r="J771" s="8" t="s">
        <v>1628</v>
      </c>
      <c r="K771" s="6" t="s">
        <v>122</v>
      </c>
      <c r="L771" s="6" t="s">
        <v>42</v>
      </c>
      <c r="M771" s="6" t="s">
        <v>69</v>
      </c>
    </row>
    <row r="772" spans="1:13">
      <c r="A772" s="6" t="s">
        <v>1629</v>
      </c>
      <c r="B772" s="7">
        <v>46122</v>
      </c>
      <c r="C772" s="6" t="s">
        <v>1630</v>
      </c>
      <c r="D772" s="6" t="s">
        <v>57</v>
      </c>
      <c r="E772" s="6" t="s">
        <v>46</v>
      </c>
      <c r="F772" s="6" t="s">
        <v>47</v>
      </c>
      <c r="G772" s="6" t="s">
        <v>48</v>
      </c>
      <c r="H772" s="6">
        <v>3</v>
      </c>
      <c r="I772" s="6" t="s">
        <v>117</v>
      </c>
      <c r="J772" s="6" t="s">
        <v>171</v>
      </c>
      <c r="K772" s="6">
        <v>85</v>
      </c>
      <c r="L772" s="6" t="s">
        <v>33</v>
      </c>
      <c r="M772" s="6" t="s">
        <v>34</v>
      </c>
    </row>
    <row r="773" spans="1:13">
      <c r="A773" s="6" t="s">
        <v>1631</v>
      </c>
      <c r="B773" s="7">
        <v>46196</v>
      </c>
      <c r="C773" s="6" t="s">
        <v>615</v>
      </c>
      <c r="D773" s="6" t="s">
        <v>57</v>
      </c>
      <c r="E773" s="6" t="s">
        <v>28</v>
      </c>
      <c r="F773" s="6" t="s">
        <v>94</v>
      </c>
      <c r="G773" s="6" t="s">
        <v>95</v>
      </c>
      <c r="H773" s="6">
        <v>1</v>
      </c>
      <c r="I773" s="6" t="s">
        <v>143</v>
      </c>
      <c r="J773" s="6" t="s">
        <v>143</v>
      </c>
      <c r="K773" s="6" t="s">
        <v>114</v>
      </c>
      <c r="L773" s="6" t="s">
        <v>42</v>
      </c>
      <c r="M773" s="6" t="s">
        <v>34</v>
      </c>
    </row>
    <row r="774" spans="1:13">
      <c r="A774" s="6" t="s">
        <v>1632</v>
      </c>
      <c r="B774" s="7">
        <v>46104</v>
      </c>
      <c r="C774" s="6" t="s">
        <v>977</v>
      </c>
      <c r="D774" s="6" t="s">
        <v>57</v>
      </c>
      <c r="E774" s="6" t="s">
        <v>52</v>
      </c>
      <c r="F774" s="6" t="s">
        <v>38</v>
      </c>
      <c r="G774" s="6" t="s">
        <v>39</v>
      </c>
      <c r="H774" s="6">
        <v>1</v>
      </c>
      <c r="I774" s="6" t="s">
        <v>143</v>
      </c>
      <c r="J774" s="6" t="s">
        <v>143</v>
      </c>
      <c r="K774" s="6">
        <v>520</v>
      </c>
      <c r="L774" s="6" t="s">
        <v>33</v>
      </c>
      <c r="M774" s="6" t="s">
        <v>34</v>
      </c>
    </row>
    <row r="775" spans="1:13">
      <c r="A775" s="6" t="s">
        <v>1633</v>
      </c>
      <c r="B775" s="7">
        <v>46091</v>
      </c>
      <c r="C775" s="6" t="s">
        <v>1634</v>
      </c>
      <c r="D775" s="6" t="s">
        <v>72</v>
      </c>
      <c r="E775" s="6" t="s">
        <v>37</v>
      </c>
      <c r="F775" s="6" t="s">
        <v>53</v>
      </c>
      <c r="G775" s="6" t="s">
        <v>54</v>
      </c>
      <c r="H775" s="6">
        <v>-1</v>
      </c>
      <c r="I775" s="6" t="s">
        <v>437</v>
      </c>
      <c r="J775" s="8" t="s">
        <v>1635</v>
      </c>
      <c r="K775" s="6">
        <v>190</v>
      </c>
      <c r="L775" s="6" t="s">
        <v>42</v>
      </c>
      <c r="M775" s="6" t="s">
        <v>34</v>
      </c>
    </row>
    <row r="776" spans="1:13">
      <c r="A776" s="6" t="s">
        <v>1636</v>
      </c>
      <c r="B776" s="7">
        <v>46049</v>
      </c>
      <c r="C776" s="6" t="s">
        <v>1637</v>
      </c>
      <c r="D776" s="6" t="s">
        <v>105</v>
      </c>
      <c r="E776" s="6" t="s">
        <v>46</v>
      </c>
      <c r="F776" s="6" t="s">
        <v>85</v>
      </c>
      <c r="G776" s="6" t="s">
        <v>86</v>
      </c>
      <c r="H776" s="6">
        <v>2</v>
      </c>
      <c r="I776" s="6" t="s">
        <v>79</v>
      </c>
      <c r="J776" s="6" t="s">
        <v>259</v>
      </c>
      <c r="K776" s="6">
        <v>410</v>
      </c>
      <c r="L776" s="6" t="s">
        <v>33</v>
      </c>
      <c r="M776" s="6" t="s">
        <v>34</v>
      </c>
    </row>
    <row r="777" spans="1:13">
      <c r="A777" s="6" t="s">
        <v>1638</v>
      </c>
      <c r="B777" s="7">
        <v>46079</v>
      </c>
      <c r="C777" s="6" t="s">
        <v>1639</v>
      </c>
      <c r="D777" s="6" t="s">
        <v>110</v>
      </c>
      <c r="E777" s="6" t="s">
        <v>78</v>
      </c>
      <c r="F777" s="6" t="s">
        <v>47</v>
      </c>
      <c r="G777" s="6" t="s">
        <v>48</v>
      </c>
      <c r="H777" s="6">
        <v>2</v>
      </c>
      <c r="I777" s="6" t="s">
        <v>265</v>
      </c>
      <c r="J777" s="6" t="s">
        <v>167</v>
      </c>
      <c r="K777" s="6">
        <v>85</v>
      </c>
      <c r="L777" s="6" t="s">
        <v>33</v>
      </c>
      <c r="M777" s="6" t="s">
        <v>69</v>
      </c>
    </row>
    <row r="778" spans="1:13">
      <c r="A778" s="6" t="s">
        <v>1640</v>
      </c>
      <c r="B778" s="7">
        <v>46166</v>
      </c>
      <c r="C778" s="6" t="s">
        <v>1641</v>
      </c>
      <c r="D778" s="6" t="s">
        <v>45</v>
      </c>
      <c r="E778" s="6" t="s">
        <v>37</v>
      </c>
      <c r="F778" s="6" t="s">
        <v>85</v>
      </c>
      <c r="G778" s="6" t="s">
        <v>86</v>
      </c>
      <c r="H778" s="6">
        <v>2</v>
      </c>
      <c r="I778" s="6" t="s">
        <v>265</v>
      </c>
      <c r="J778" s="6" t="s">
        <v>167</v>
      </c>
      <c r="K778" s="6" t="s">
        <v>87</v>
      </c>
      <c r="L778" s="6" t="s">
        <v>42</v>
      </c>
      <c r="M778" s="6" t="s">
        <v>69</v>
      </c>
    </row>
    <row r="779" spans="1:13">
      <c r="A779" s="6" t="s">
        <v>1642</v>
      </c>
      <c r="B779" s="7">
        <v>46037</v>
      </c>
      <c r="C779" s="6" t="s">
        <v>605</v>
      </c>
      <c r="D779" s="6" t="s">
        <v>27</v>
      </c>
      <c r="E779" s="6" t="s">
        <v>78</v>
      </c>
      <c r="F779" s="6" t="s">
        <v>29</v>
      </c>
      <c r="G779" s="6" t="s">
        <v>30</v>
      </c>
      <c r="H779" s="6">
        <v>1</v>
      </c>
      <c r="I779" s="6" t="s">
        <v>143</v>
      </c>
      <c r="J779" s="6" t="s">
        <v>143</v>
      </c>
      <c r="K779" s="6">
        <v>520</v>
      </c>
      <c r="L779" s="6" t="s">
        <v>33</v>
      </c>
      <c r="M779" s="6" t="s">
        <v>69</v>
      </c>
    </row>
    <row r="780" spans="1:13">
      <c r="A780" s="6" t="s">
        <v>1643</v>
      </c>
      <c r="B780" s="7">
        <v>46061</v>
      </c>
      <c r="C780" s="6" t="s">
        <v>1644</v>
      </c>
      <c r="D780" s="6" t="s">
        <v>77</v>
      </c>
      <c r="E780" s="6" t="s">
        <v>52</v>
      </c>
      <c r="F780" s="6" t="s">
        <v>29</v>
      </c>
      <c r="G780" s="6" t="s">
        <v>30</v>
      </c>
      <c r="H780" s="6">
        <v>2</v>
      </c>
      <c r="I780" s="6" t="s">
        <v>82</v>
      </c>
      <c r="J780" s="6" t="s">
        <v>297</v>
      </c>
      <c r="K780" s="6">
        <v>520</v>
      </c>
      <c r="L780" s="6" t="s">
        <v>42</v>
      </c>
      <c r="M780" s="6" t="s">
        <v>34</v>
      </c>
    </row>
    <row r="781" spans="1:13">
      <c r="A781" s="6" t="s">
        <v>1645</v>
      </c>
      <c r="B781" s="7">
        <v>46158</v>
      </c>
      <c r="C781" s="6" t="s">
        <v>134</v>
      </c>
      <c r="D781" s="6" t="s">
        <v>77</v>
      </c>
      <c r="E781" s="6" t="s">
        <v>52</v>
      </c>
      <c r="F781" s="6" t="s">
        <v>38</v>
      </c>
      <c r="G781" s="6" t="s">
        <v>39</v>
      </c>
      <c r="H781" s="6">
        <v>1</v>
      </c>
      <c r="I781" s="6" t="s">
        <v>117</v>
      </c>
      <c r="J781" s="6" t="s">
        <v>73</v>
      </c>
      <c r="K781" s="6" t="s">
        <v>41</v>
      </c>
      <c r="L781" s="6" t="s">
        <v>33</v>
      </c>
      <c r="M781" s="6" t="s">
        <v>34</v>
      </c>
    </row>
    <row r="782" spans="1:13">
      <c r="A782" s="6" t="s">
        <v>1646</v>
      </c>
      <c r="B782" s="7">
        <v>46129</v>
      </c>
      <c r="C782" s="6" t="s">
        <v>1647</v>
      </c>
      <c r="D782" s="6" t="s">
        <v>57</v>
      </c>
      <c r="E782" s="6" t="s">
        <v>78</v>
      </c>
      <c r="F782" s="6" t="s">
        <v>94</v>
      </c>
      <c r="G782" s="6" t="s">
        <v>95</v>
      </c>
      <c r="H782" s="6">
        <v>1</v>
      </c>
      <c r="I782" s="6" t="s">
        <v>73</v>
      </c>
      <c r="J782" s="6" t="s">
        <v>73</v>
      </c>
      <c r="K782" s="6">
        <v>340</v>
      </c>
      <c r="L782" s="6" t="s">
        <v>42</v>
      </c>
      <c r="M782" s="6" t="s">
        <v>69</v>
      </c>
    </row>
    <row r="783" spans="1:13">
      <c r="A783" s="6" t="s">
        <v>1648</v>
      </c>
      <c r="B783" s="7">
        <v>46057</v>
      </c>
      <c r="C783" s="6" t="s">
        <v>1649</v>
      </c>
      <c r="D783" s="6" t="s">
        <v>77</v>
      </c>
      <c r="E783" s="6" t="s">
        <v>78</v>
      </c>
      <c r="F783" s="6" t="s">
        <v>53</v>
      </c>
      <c r="G783" s="6" t="s">
        <v>54</v>
      </c>
      <c r="H783" s="6">
        <v>1</v>
      </c>
      <c r="I783" s="6" t="s">
        <v>82</v>
      </c>
      <c r="J783" s="6" t="s">
        <v>82</v>
      </c>
      <c r="K783" s="6">
        <v>190</v>
      </c>
      <c r="L783" s="6" t="s">
        <v>33</v>
      </c>
      <c r="M783" s="6" t="s">
        <v>34</v>
      </c>
    </row>
    <row r="784" spans="1:13">
      <c r="A784" s="6" t="s">
        <v>1650</v>
      </c>
      <c r="B784" s="7">
        <v>46171</v>
      </c>
      <c r="C784" s="6" t="s">
        <v>1651</v>
      </c>
      <c r="D784" s="6" t="s">
        <v>45</v>
      </c>
      <c r="E784" s="6" t="s">
        <v>28</v>
      </c>
      <c r="F784" s="6" t="s">
        <v>53</v>
      </c>
      <c r="G784" s="6" t="s">
        <v>54</v>
      </c>
      <c r="H784" s="6">
        <v>1</v>
      </c>
      <c r="I784" s="6" t="s">
        <v>265</v>
      </c>
      <c r="J784" s="6" t="s">
        <v>265</v>
      </c>
      <c r="K784" s="6" t="s">
        <v>122</v>
      </c>
      <c r="L784" s="6" t="s">
        <v>42</v>
      </c>
      <c r="M784" s="6" t="s">
        <v>34</v>
      </c>
    </row>
    <row r="785" spans="1:13">
      <c r="A785" s="6" t="s">
        <v>1652</v>
      </c>
      <c r="B785" s="6" t="s">
        <v>1541</v>
      </c>
      <c r="C785" s="6" t="s">
        <v>1653</v>
      </c>
      <c r="D785" s="6" t="s">
        <v>127</v>
      </c>
      <c r="E785" s="6" t="s">
        <v>46</v>
      </c>
      <c r="F785" s="6" t="s">
        <v>58</v>
      </c>
      <c r="G785" s="6" t="s">
        <v>59</v>
      </c>
      <c r="H785" s="6">
        <v>1</v>
      </c>
      <c r="I785" s="6" t="s">
        <v>90</v>
      </c>
      <c r="J785" s="6" t="s">
        <v>90</v>
      </c>
      <c r="K785" s="6">
        <v>380</v>
      </c>
      <c r="L785" s="6" t="s">
        <v>42</v>
      </c>
      <c r="M785" s="6" t="s">
        <v>69</v>
      </c>
    </row>
    <row r="786" spans="1:13">
      <c r="A786" s="6" t="s">
        <v>1654</v>
      </c>
      <c r="B786" s="6" t="s">
        <v>1441</v>
      </c>
      <c r="C786" s="6" t="s">
        <v>1655</v>
      </c>
      <c r="D786" s="6" t="s">
        <v>57</v>
      </c>
      <c r="E786" s="6" t="s">
        <v>46</v>
      </c>
      <c r="F786" s="6" t="s">
        <v>94</v>
      </c>
      <c r="G786" s="6" t="s">
        <v>95</v>
      </c>
      <c r="H786" s="6">
        <v>2</v>
      </c>
      <c r="I786" s="6" t="s">
        <v>67</v>
      </c>
      <c r="J786" s="6" t="s">
        <v>204</v>
      </c>
      <c r="K786" s="6" t="s">
        <v>114</v>
      </c>
      <c r="L786" s="6" t="s">
        <v>33</v>
      </c>
      <c r="M786" s="6" t="s">
        <v>69</v>
      </c>
    </row>
    <row r="787" spans="1:13">
      <c r="A787" s="6" t="s">
        <v>1656</v>
      </c>
      <c r="B787" s="6" t="s">
        <v>786</v>
      </c>
      <c r="C787" s="6" t="s">
        <v>271</v>
      </c>
      <c r="D787" s="6" t="s">
        <v>110</v>
      </c>
      <c r="E787" s="6" t="s">
        <v>78</v>
      </c>
      <c r="F787" s="6" t="s">
        <v>29</v>
      </c>
      <c r="G787" s="6" t="s">
        <v>30</v>
      </c>
      <c r="H787" s="6">
        <v>2</v>
      </c>
      <c r="I787" s="6" t="s">
        <v>40</v>
      </c>
      <c r="J787" s="6" t="s">
        <v>327</v>
      </c>
      <c r="K787" s="6">
        <v>520</v>
      </c>
      <c r="L787" s="6" t="s">
        <v>33</v>
      </c>
      <c r="M787" s="6" t="s">
        <v>69</v>
      </c>
    </row>
    <row r="788" spans="1:13">
      <c r="A788" s="6" t="s">
        <v>1657</v>
      </c>
      <c r="B788" s="7">
        <v>46143</v>
      </c>
      <c r="C788" s="6" t="s">
        <v>1658</v>
      </c>
      <c r="D788" s="6" t="s">
        <v>64</v>
      </c>
      <c r="E788" s="6" t="s">
        <v>37</v>
      </c>
      <c r="F788" s="6" t="s">
        <v>94</v>
      </c>
      <c r="G788" s="6" t="s">
        <v>95</v>
      </c>
      <c r="H788" s="6">
        <v>2</v>
      </c>
      <c r="I788" s="6" t="s">
        <v>143</v>
      </c>
      <c r="J788" s="6" t="s">
        <v>144</v>
      </c>
      <c r="K788" s="6" t="s">
        <v>114</v>
      </c>
      <c r="L788" s="6" t="s">
        <v>42</v>
      </c>
      <c r="M788" s="6" t="s">
        <v>69</v>
      </c>
    </row>
    <row r="789" spans="1:13">
      <c r="A789" s="6" t="s">
        <v>1659</v>
      </c>
      <c r="B789" s="7">
        <v>46157</v>
      </c>
      <c r="C789" s="6" t="s">
        <v>1660</v>
      </c>
      <c r="D789" s="6" t="s">
        <v>57</v>
      </c>
      <c r="E789" s="6" t="s">
        <v>46</v>
      </c>
      <c r="F789" s="6" t="s">
        <v>47</v>
      </c>
      <c r="G789" s="6" t="s">
        <v>48</v>
      </c>
      <c r="H789" s="6">
        <v>2</v>
      </c>
      <c r="I789" s="6" t="s">
        <v>143</v>
      </c>
      <c r="J789" s="6" t="s">
        <v>144</v>
      </c>
      <c r="K789" s="6" t="s">
        <v>49</v>
      </c>
      <c r="L789" s="6" t="s">
        <v>42</v>
      </c>
      <c r="M789" s="6" t="s">
        <v>34</v>
      </c>
    </row>
    <row r="790" spans="1:13">
      <c r="A790" s="6" t="s">
        <v>1661</v>
      </c>
      <c r="B790" s="7">
        <v>46121</v>
      </c>
      <c r="C790" s="6" t="s">
        <v>1662</v>
      </c>
      <c r="D790" s="6" t="s">
        <v>57</v>
      </c>
      <c r="E790" s="6" t="s">
        <v>28</v>
      </c>
      <c r="F790" s="6" t="s">
        <v>38</v>
      </c>
      <c r="G790" s="6" t="s">
        <v>39</v>
      </c>
      <c r="H790" s="6">
        <v>1</v>
      </c>
      <c r="I790" s="6" t="s">
        <v>90</v>
      </c>
      <c r="J790" s="6" t="s">
        <v>90</v>
      </c>
      <c r="K790" s="6">
        <v>520</v>
      </c>
      <c r="L790" s="6" t="s">
        <v>42</v>
      </c>
      <c r="M790" s="6" t="s">
        <v>34</v>
      </c>
    </row>
    <row r="791" spans="1:13">
      <c r="A791" s="6" t="s">
        <v>1663</v>
      </c>
      <c r="B791" s="7">
        <v>46050</v>
      </c>
      <c r="C791" s="6" t="s">
        <v>1664</v>
      </c>
      <c r="D791" s="6" t="s">
        <v>45</v>
      </c>
      <c r="E791" s="6" t="s">
        <v>52</v>
      </c>
      <c r="F791" s="6" t="s">
        <v>38</v>
      </c>
      <c r="G791" s="6" t="s">
        <v>39</v>
      </c>
      <c r="H791" s="6">
        <v>2</v>
      </c>
      <c r="I791" s="6" t="s">
        <v>181</v>
      </c>
      <c r="J791" s="6" t="s">
        <v>163</v>
      </c>
      <c r="K791" s="6">
        <v>520</v>
      </c>
      <c r="L791" s="6" t="s">
        <v>42</v>
      </c>
      <c r="M791" s="6" t="s">
        <v>34</v>
      </c>
    </row>
    <row r="792" spans="1:13">
      <c r="A792" s="6" t="s">
        <v>1665</v>
      </c>
      <c r="B792" s="7">
        <v>46150</v>
      </c>
      <c r="C792" s="6" t="s">
        <v>1666</v>
      </c>
      <c r="D792" s="6" t="s">
        <v>105</v>
      </c>
      <c r="E792" s="6" t="s">
        <v>78</v>
      </c>
      <c r="F792" s="6" t="s">
        <v>58</v>
      </c>
      <c r="G792" s="6" t="s">
        <v>59</v>
      </c>
      <c r="H792" s="6">
        <v>1</v>
      </c>
      <c r="I792" s="6" t="s">
        <v>96</v>
      </c>
      <c r="J792" s="6" t="s">
        <v>96</v>
      </c>
      <c r="K792" s="6" t="s">
        <v>61</v>
      </c>
      <c r="L792" s="6" t="s">
        <v>42</v>
      </c>
      <c r="M792" s="6" t="s">
        <v>69</v>
      </c>
    </row>
    <row r="793" spans="1:13">
      <c r="A793" s="6" t="s">
        <v>1667</v>
      </c>
      <c r="B793" s="7">
        <v>46154</v>
      </c>
      <c r="C793" s="6" t="s">
        <v>353</v>
      </c>
      <c r="D793" s="6" t="s">
        <v>77</v>
      </c>
      <c r="E793" s="6" t="s">
        <v>37</v>
      </c>
      <c r="F793" s="6" t="s">
        <v>29</v>
      </c>
      <c r="G793" s="6" t="s">
        <v>30</v>
      </c>
      <c r="H793" s="6">
        <v>1</v>
      </c>
      <c r="I793" s="6" t="s">
        <v>181</v>
      </c>
      <c r="J793" s="6" t="s">
        <v>181</v>
      </c>
      <c r="K793" s="6" t="s">
        <v>41</v>
      </c>
      <c r="L793" s="6" t="s">
        <v>42</v>
      </c>
      <c r="M793" s="6" t="s">
        <v>34</v>
      </c>
    </row>
    <row r="794" spans="1:13">
      <c r="A794" s="6" t="s">
        <v>1668</v>
      </c>
      <c r="B794" s="7">
        <v>46037</v>
      </c>
      <c r="C794" s="6" t="s">
        <v>1250</v>
      </c>
      <c r="D794" s="6" t="s">
        <v>45</v>
      </c>
      <c r="E794" s="6" t="s">
        <v>28</v>
      </c>
      <c r="F794" s="6" t="s">
        <v>38</v>
      </c>
      <c r="G794" s="6" t="s">
        <v>39</v>
      </c>
      <c r="H794" s="6">
        <v>1</v>
      </c>
      <c r="I794" s="6" t="s">
        <v>181</v>
      </c>
      <c r="J794" s="6" t="s">
        <v>181</v>
      </c>
      <c r="K794" s="6">
        <v>520</v>
      </c>
      <c r="L794" s="6" t="s">
        <v>42</v>
      </c>
      <c r="M794" s="6" t="s">
        <v>34</v>
      </c>
    </row>
    <row r="795" spans="1:13">
      <c r="A795" s="6" t="s">
        <v>1669</v>
      </c>
      <c r="B795" s="6" t="s">
        <v>1541</v>
      </c>
      <c r="C795" s="6" t="s">
        <v>1670</v>
      </c>
      <c r="D795" s="6" t="s">
        <v>105</v>
      </c>
      <c r="E795" s="6" t="s">
        <v>46</v>
      </c>
      <c r="F795" s="6" t="s">
        <v>38</v>
      </c>
      <c r="G795" s="6" t="s">
        <v>39</v>
      </c>
      <c r="H795" s="6">
        <v>1</v>
      </c>
      <c r="I795" s="6" t="s">
        <v>31</v>
      </c>
      <c r="J795" s="6" t="s">
        <v>31</v>
      </c>
      <c r="K795" s="6">
        <v>520</v>
      </c>
      <c r="L795" s="6" t="s">
        <v>42</v>
      </c>
      <c r="M795" s="6" t="s">
        <v>34</v>
      </c>
    </row>
    <row r="796" spans="1:13">
      <c r="A796" s="6" t="s">
        <v>1671</v>
      </c>
      <c r="B796" s="7">
        <v>46173</v>
      </c>
      <c r="C796" s="6" t="s">
        <v>524</v>
      </c>
      <c r="D796" s="6" t="s">
        <v>127</v>
      </c>
      <c r="E796" s="6" t="s">
        <v>52</v>
      </c>
      <c r="F796" s="6" t="s">
        <v>53</v>
      </c>
      <c r="G796" s="6" t="s">
        <v>54</v>
      </c>
      <c r="H796" s="6">
        <v>2</v>
      </c>
      <c r="I796" s="6" t="s">
        <v>599</v>
      </c>
      <c r="J796" s="6" t="s">
        <v>74</v>
      </c>
      <c r="K796" s="6" t="s">
        <v>122</v>
      </c>
      <c r="L796" s="6" t="s">
        <v>42</v>
      </c>
      <c r="M796" s="6" t="s">
        <v>69</v>
      </c>
    </row>
    <row r="797" spans="1:13">
      <c r="A797" s="6" t="s">
        <v>1672</v>
      </c>
      <c r="B797" s="7">
        <v>46080</v>
      </c>
      <c r="C797" s="6" t="s">
        <v>1673</v>
      </c>
      <c r="D797" s="6" t="s">
        <v>27</v>
      </c>
      <c r="E797" s="6" t="s">
        <v>28</v>
      </c>
      <c r="F797" s="6" t="s">
        <v>58</v>
      </c>
      <c r="G797" s="6" t="s">
        <v>59</v>
      </c>
      <c r="H797" s="6">
        <v>1</v>
      </c>
      <c r="I797" s="6" t="s">
        <v>82</v>
      </c>
      <c r="J797" s="6" t="s">
        <v>1674</v>
      </c>
      <c r="K797" s="6">
        <v>380</v>
      </c>
      <c r="L797" s="6" t="s">
        <v>42</v>
      </c>
      <c r="M797" s="6" t="s">
        <v>34</v>
      </c>
    </row>
    <row r="798" spans="1:13">
      <c r="A798" s="6" t="s">
        <v>1675</v>
      </c>
      <c r="B798" s="7">
        <v>46063</v>
      </c>
      <c r="C798" s="6" t="s">
        <v>496</v>
      </c>
      <c r="D798" s="6" t="s">
        <v>72</v>
      </c>
      <c r="E798" s="6" t="s">
        <v>52</v>
      </c>
      <c r="F798" s="6" t="s">
        <v>47</v>
      </c>
      <c r="G798" s="6" t="s">
        <v>48</v>
      </c>
      <c r="H798" s="6">
        <v>1</v>
      </c>
      <c r="I798" s="6" t="s">
        <v>96</v>
      </c>
      <c r="J798" s="6" t="s">
        <v>96</v>
      </c>
      <c r="K798" s="6">
        <v>85</v>
      </c>
      <c r="L798" s="6" t="s">
        <v>42</v>
      </c>
      <c r="M798" s="6" t="s">
        <v>34</v>
      </c>
    </row>
    <row r="799" spans="1:13">
      <c r="A799" s="6" t="s">
        <v>1676</v>
      </c>
      <c r="B799" s="6" t="s">
        <v>1677</v>
      </c>
      <c r="C799" s="6" t="s">
        <v>1678</v>
      </c>
      <c r="D799" s="6" t="s">
        <v>77</v>
      </c>
      <c r="E799" s="6" t="s">
        <v>78</v>
      </c>
      <c r="F799" s="6" t="s">
        <v>38</v>
      </c>
      <c r="G799" s="6" t="s">
        <v>39</v>
      </c>
      <c r="H799" s="6">
        <v>1</v>
      </c>
      <c r="I799" s="6" t="s">
        <v>113</v>
      </c>
      <c r="J799" s="6" t="s">
        <v>113</v>
      </c>
      <c r="K799" s="6" t="s">
        <v>41</v>
      </c>
      <c r="L799" s="6" t="s">
        <v>42</v>
      </c>
      <c r="M799" s="6" t="s">
        <v>34</v>
      </c>
    </row>
    <row r="800" spans="1:13">
      <c r="A800" s="6" t="s">
        <v>1679</v>
      </c>
      <c r="B800" s="7">
        <v>46037</v>
      </c>
      <c r="C800" s="6" t="s">
        <v>1680</v>
      </c>
      <c r="D800" s="6" t="s">
        <v>57</v>
      </c>
      <c r="E800" s="6" t="s">
        <v>78</v>
      </c>
      <c r="F800" s="6" t="s">
        <v>29</v>
      </c>
      <c r="G800" s="6" t="s">
        <v>30</v>
      </c>
      <c r="H800" s="6">
        <v>1</v>
      </c>
      <c r="I800" s="6" t="s">
        <v>96</v>
      </c>
      <c r="J800" s="6" t="s">
        <v>96</v>
      </c>
      <c r="K800" s="6">
        <v>520</v>
      </c>
      <c r="L800" s="6" t="s">
        <v>42</v>
      </c>
      <c r="M800" s="6" t="s">
        <v>34</v>
      </c>
    </row>
    <row r="801" spans="1:13">
      <c r="A801" s="6" t="s">
        <v>1681</v>
      </c>
      <c r="B801" s="7">
        <v>46165</v>
      </c>
      <c r="C801" s="6" t="s">
        <v>863</v>
      </c>
      <c r="D801" s="6" t="s">
        <v>77</v>
      </c>
      <c r="E801" s="6" t="s">
        <v>78</v>
      </c>
      <c r="F801" s="6" t="s">
        <v>47</v>
      </c>
      <c r="G801" s="6" t="s">
        <v>48</v>
      </c>
      <c r="H801" s="6">
        <v>3</v>
      </c>
      <c r="I801" s="6" t="s">
        <v>117</v>
      </c>
      <c r="J801" s="6" t="s">
        <v>171</v>
      </c>
      <c r="K801" s="6" t="s">
        <v>49</v>
      </c>
      <c r="L801" s="6" t="s">
        <v>42</v>
      </c>
      <c r="M801" s="6" t="s">
        <v>34</v>
      </c>
    </row>
    <row r="802" spans="1:13">
      <c r="A802" s="6" t="s">
        <v>1682</v>
      </c>
      <c r="B802" s="7">
        <v>46151</v>
      </c>
      <c r="C802" s="6" t="s">
        <v>1683</v>
      </c>
      <c r="D802" s="6" t="s">
        <v>110</v>
      </c>
      <c r="E802" s="6" t="s">
        <v>46</v>
      </c>
      <c r="F802" s="6" t="s">
        <v>47</v>
      </c>
      <c r="G802" s="6" t="s">
        <v>48</v>
      </c>
      <c r="H802" s="6">
        <v>2</v>
      </c>
      <c r="I802" s="6" t="s">
        <v>113</v>
      </c>
      <c r="J802" s="6" t="s">
        <v>192</v>
      </c>
      <c r="K802" s="6" t="s">
        <v>49</v>
      </c>
      <c r="L802" s="6" t="s">
        <v>42</v>
      </c>
      <c r="M802" s="6" t="s">
        <v>69</v>
      </c>
    </row>
    <row r="803" spans="1:13">
      <c r="A803" s="6" t="s">
        <v>1684</v>
      </c>
      <c r="B803" s="7">
        <v>46095</v>
      </c>
      <c r="C803" s="6" t="s">
        <v>1685</v>
      </c>
      <c r="D803" s="6" t="s">
        <v>105</v>
      </c>
      <c r="E803" s="6" t="s">
        <v>52</v>
      </c>
      <c r="F803" s="6" t="s">
        <v>94</v>
      </c>
      <c r="G803" s="6" t="s">
        <v>95</v>
      </c>
      <c r="H803" s="6">
        <v>1</v>
      </c>
      <c r="I803" s="6" t="s">
        <v>755</v>
      </c>
      <c r="J803" s="6" t="s">
        <v>117</v>
      </c>
      <c r="K803" s="6">
        <v>340</v>
      </c>
      <c r="L803" s="6" t="s">
        <v>33</v>
      </c>
      <c r="M803" s="6" t="s">
        <v>34</v>
      </c>
    </row>
    <row r="804" spans="1:13">
      <c r="A804" s="6" t="s">
        <v>1686</v>
      </c>
      <c r="B804" s="7">
        <v>46080</v>
      </c>
      <c r="C804" s="6" t="s">
        <v>188</v>
      </c>
      <c r="D804" s="6" t="s">
        <v>45</v>
      </c>
      <c r="E804" s="6" t="s">
        <v>46</v>
      </c>
      <c r="F804" s="6" t="s">
        <v>58</v>
      </c>
      <c r="G804" s="6" t="s">
        <v>59</v>
      </c>
      <c r="H804" s="6">
        <v>1</v>
      </c>
      <c r="I804" s="6" t="s">
        <v>31</v>
      </c>
      <c r="J804" s="6" t="s">
        <v>31</v>
      </c>
      <c r="K804" s="6">
        <v>380</v>
      </c>
      <c r="L804" s="6" t="s">
        <v>42</v>
      </c>
      <c r="M804" s="6" t="s">
        <v>34</v>
      </c>
    </row>
    <row r="805" spans="1:13">
      <c r="A805" s="6" t="s">
        <v>1687</v>
      </c>
      <c r="B805" s="7">
        <v>46124</v>
      </c>
      <c r="C805" s="6" t="s">
        <v>1325</v>
      </c>
      <c r="D805" s="6" t="s">
        <v>45</v>
      </c>
      <c r="E805" s="6" t="s">
        <v>37</v>
      </c>
      <c r="F805" s="6" t="s">
        <v>85</v>
      </c>
      <c r="G805" s="6" t="s">
        <v>86</v>
      </c>
      <c r="H805" s="6">
        <v>2</v>
      </c>
      <c r="I805" s="6" t="s">
        <v>117</v>
      </c>
      <c r="J805" s="6" t="s">
        <v>118</v>
      </c>
      <c r="K805" s="6">
        <v>410</v>
      </c>
      <c r="L805" s="6" t="s">
        <v>42</v>
      </c>
      <c r="M805" s="6" t="s">
        <v>34</v>
      </c>
    </row>
    <row r="806" spans="1:13">
      <c r="A806" s="6" t="s">
        <v>1688</v>
      </c>
      <c r="B806" s="7">
        <v>46041</v>
      </c>
      <c r="C806" s="6" t="s">
        <v>1689</v>
      </c>
      <c r="D806" s="6" t="s">
        <v>77</v>
      </c>
      <c r="E806" s="6" t="s">
        <v>78</v>
      </c>
      <c r="F806" s="6" t="s">
        <v>85</v>
      </c>
      <c r="G806" s="6" t="s">
        <v>86</v>
      </c>
      <c r="H806" s="6">
        <v>2</v>
      </c>
      <c r="I806" s="6" t="s">
        <v>79</v>
      </c>
      <c r="J806" s="6" t="s">
        <v>259</v>
      </c>
      <c r="K806" s="6">
        <v>410</v>
      </c>
      <c r="L806" s="6" t="s">
        <v>42</v>
      </c>
      <c r="M806" s="6" t="s">
        <v>34</v>
      </c>
    </row>
    <row r="807" spans="1:13">
      <c r="A807" s="6" t="s">
        <v>1690</v>
      </c>
      <c r="B807" s="7">
        <v>46133</v>
      </c>
      <c r="C807" s="6" t="s">
        <v>761</v>
      </c>
      <c r="D807" s="6" t="s">
        <v>27</v>
      </c>
      <c r="E807" s="6" t="s">
        <v>52</v>
      </c>
      <c r="F807" s="6" t="s">
        <v>53</v>
      </c>
      <c r="G807" s="6" t="s">
        <v>54</v>
      </c>
      <c r="H807" s="6">
        <v>1</v>
      </c>
      <c r="I807" s="6" t="s">
        <v>113</v>
      </c>
      <c r="J807" s="6" t="s">
        <v>113</v>
      </c>
      <c r="K807" s="6" t="s">
        <v>122</v>
      </c>
      <c r="L807" s="6" t="s">
        <v>42</v>
      </c>
      <c r="M807" s="6" t="s">
        <v>34</v>
      </c>
    </row>
    <row r="808" spans="1:13">
      <c r="A808" s="6" t="s">
        <v>1691</v>
      </c>
      <c r="B808" s="7">
        <v>46176</v>
      </c>
      <c r="C808" s="6" t="s">
        <v>1057</v>
      </c>
      <c r="D808" s="6" t="s">
        <v>110</v>
      </c>
      <c r="E808" s="6" t="s">
        <v>46</v>
      </c>
      <c r="F808" s="6" t="s">
        <v>38</v>
      </c>
      <c r="G808" s="6" t="s">
        <v>39</v>
      </c>
      <c r="H808" s="6">
        <v>2</v>
      </c>
      <c r="I808" s="6" t="s">
        <v>265</v>
      </c>
      <c r="J808" s="6" t="s">
        <v>167</v>
      </c>
      <c r="K808" s="6" t="s">
        <v>41</v>
      </c>
      <c r="L808" s="6" t="s">
        <v>33</v>
      </c>
      <c r="M808" s="6" t="s">
        <v>34</v>
      </c>
    </row>
    <row r="809" spans="1:13">
      <c r="A809" s="6" t="s">
        <v>1692</v>
      </c>
      <c r="B809" s="7">
        <v>46165</v>
      </c>
      <c r="C809" s="6" t="s">
        <v>1693</v>
      </c>
      <c r="D809" s="6" t="s">
        <v>45</v>
      </c>
      <c r="E809" s="6" t="s">
        <v>46</v>
      </c>
      <c r="F809" s="6" t="s">
        <v>29</v>
      </c>
      <c r="G809" s="6" t="s">
        <v>30</v>
      </c>
      <c r="H809" s="6">
        <v>1</v>
      </c>
      <c r="I809" s="6" t="s">
        <v>96</v>
      </c>
      <c r="J809" s="6" t="s">
        <v>96</v>
      </c>
      <c r="K809" s="6" t="s">
        <v>41</v>
      </c>
      <c r="L809" s="6" t="s">
        <v>42</v>
      </c>
      <c r="M809" s="6" t="s">
        <v>69</v>
      </c>
    </row>
    <row r="810" spans="1:13">
      <c r="A810" s="6" t="s">
        <v>1694</v>
      </c>
      <c r="B810" s="7">
        <v>46185</v>
      </c>
      <c r="C810" s="6" t="s">
        <v>1695</v>
      </c>
      <c r="D810" s="6" t="s">
        <v>45</v>
      </c>
      <c r="E810" s="6" t="s">
        <v>52</v>
      </c>
      <c r="F810" s="6" t="s">
        <v>29</v>
      </c>
      <c r="G810" s="6" t="s">
        <v>30</v>
      </c>
      <c r="H810" s="6">
        <v>2</v>
      </c>
      <c r="I810" s="6" t="s">
        <v>90</v>
      </c>
      <c r="J810" s="6" t="s">
        <v>154</v>
      </c>
      <c r="K810" s="6" t="s">
        <v>41</v>
      </c>
      <c r="L810" s="6" t="s">
        <v>42</v>
      </c>
      <c r="M810" s="6" t="s">
        <v>34</v>
      </c>
    </row>
    <row r="811" spans="1:13">
      <c r="A811" s="6" t="s">
        <v>1696</v>
      </c>
      <c r="B811" s="7">
        <v>46065</v>
      </c>
      <c r="C811" s="6" t="s">
        <v>1697</v>
      </c>
      <c r="D811" s="6" t="s">
        <v>110</v>
      </c>
      <c r="E811" s="6" t="s">
        <v>46</v>
      </c>
      <c r="F811" s="6" t="s">
        <v>58</v>
      </c>
      <c r="G811" s="6" t="s">
        <v>59</v>
      </c>
      <c r="H811" s="6">
        <v>2</v>
      </c>
      <c r="I811" s="6" t="s">
        <v>265</v>
      </c>
      <c r="J811" s="6" t="s">
        <v>167</v>
      </c>
      <c r="K811" s="6">
        <v>380</v>
      </c>
      <c r="L811" s="6" t="s">
        <v>42</v>
      </c>
      <c r="M811" s="6" t="s">
        <v>69</v>
      </c>
    </row>
    <row r="812" spans="1:13">
      <c r="A812" s="6" t="s">
        <v>1698</v>
      </c>
      <c r="B812" s="7">
        <v>46117</v>
      </c>
      <c r="C812" s="6" t="s">
        <v>1699</v>
      </c>
      <c r="D812" s="6" t="s">
        <v>127</v>
      </c>
      <c r="E812" s="6" t="s">
        <v>52</v>
      </c>
      <c r="F812" s="6" t="s">
        <v>47</v>
      </c>
      <c r="G812" s="6" t="s">
        <v>48</v>
      </c>
      <c r="H812" s="6">
        <v>2</v>
      </c>
      <c r="I812" s="6" t="s">
        <v>113</v>
      </c>
      <c r="J812" s="6" t="s">
        <v>192</v>
      </c>
      <c r="K812" s="6">
        <v>85</v>
      </c>
      <c r="L812" s="6" t="s">
        <v>42</v>
      </c>
      <c r="M812" s="6" t="s">
        <v>34</v>
      </c>
    </row>
    <row r="813" spans="1:13">
      <c r="A813" s="6" t="s">
        <v>1700</v>
      </c>
      <c r="B813" s="7">
        <v>46101</v>
      </c>
      <c r="C813" s="6" t="s">
        <v>1068</v>
      </c>
      <c r="D813" s="6" t="s">
        <v>45</v>
      </c>
      <c r="E813" s="6" t="s">
        <v>46</v>
      </c>
      <c r="F813" s="6" t="s">
        <v>58</v>
      </c>
      <c r="G813" s="6" t="s">
        <v>59</v>
      </c>
      <c r="H813" s="6">
        <v>1</v>
      </c>
      <c r="I813" s="6" t="s">
        <v>143</v>
      </c>
      <c r="J813" s="6" t="s">
        <v>143</v>
      </c>
      <c r="K813" s="6">
        <v>380</v>
      </c>
      <c r="L813" s="6" t="s">
        <v>42</v>
      </c>
      <c r="M813" s="6" t="s">
        <v>69</v>
      </c>
    </row>
    <row r="814" spans="1:13">
      <c r="A814" s="6" t="s">
        <v>1701</v>
      </c>
      <c r="B814" s="7">
        <v>46084</v>
      </c>
      <c r="C814" s="6" t="s">
        <v>1702</v>
      </c>
      <c r="D814" s="6" t="s">
        <v>127</v>
      </c>
      <c r="E814" s="6" t="s">
        <v>52</v>
      </c>
      <c r="F814" s="6" t="s">
        <v>100</v>
      </c>
      <c r="G814" s="6" t="s">
        <v>101</v>
      </c>
      <c r="H814" s="6">
        <v>1</v>
      </c>
      <c r="I814" s="6" t="s">
        <v>265</v>
      </c>
      <c r="J814" s="6" t="s">
        <v>265</v>
      </c>
      <c r="K814" s="6">
        <v>640</v>
      </c>
      <c r="L814" s="6" t="s">
        <v>42</v>
      </c>
      <c r="M814" s="6" t="s">
        <v>34</v>
      </c>
    </row>
    <row r="815" spans="1:13">
      <c r="A815" s="6" t="s">
        <v>1703</v>
      </c>
      <c r="B815" s="7">
        <v>46153</v>
      </c>
      <c r="C815" s="6" t="s">
        <v>324</v>
      </c>
      <c r="D815" s="6" t="s">
        <v>72</v>
      </c>
      <c r="E815" s="6" t="s">
        <v>78</v>
      </c>
      <c r="F815" s="6" t="s">
        <v>100</v>
      </c>
      <c r="G815" s="6" t="s">
        <v>101</v>
      </c>
      <c r="H815" s="6">
        <v>1</v>
      </c>
      <c r="I815" s="6" t="s">
        <v>31</v>
      </c>
      <c r="J815" s="6" t="s">
        <v>31</v>
      </c>
      <c r="K815" s="6" t="s">
        <v>119</v>
      </c>
      <c r="L815" s="6" t="s">
        <v>42</v>
      </c>
      <c r="M815" s="6" t="s">
        <v>34</v>
      </c>
    </row>
    <row r="816" spans="1:13">
      <c r="A816" s="6" t="s">
        <v>1704</v>
      </c>
      <c r="B816" s="7">
        <v>46202</v>
      </c>
      <c r="C816" s="6" t="s">
        <v>348</v>
      </c>
      <c r="D816" s="6" t="s">
        <v>110</v>
      </c>
      <c r="E816" s="6" t="s">
        <v>78</v>
      </c>
      <c r="F816" s="6" t="s">
        <v>58</v>
      </c>
      <c r="G816" s="6" t="s">
        <v>59</v>
      </c>
      <c r="H816" s="6">
        <v>2</v>
      </c>
      <c r="I816" s="6" t="s">
        <v>79</v>
      </c>
      <c r="J816" s="6" t="s">
        <v>259</v>
      </c>
      <c r="K816" s="6" t="s">
        <v>61</v>
      </c>
      <c r="L816" s="6" t="s">
        <v>33</v>
      </c>
      <c r="M816" s="6" t="s">
        <v>34</v>
      </c>
    </row>
    <row r="817" spans="1:13">
      <c r="A817" s="6" t="s">
        <v>1705</v>
      </c>
      <c r="B817" s="7">
        <v>46086</v>
      </c>
      <c r="C817" s="6" t="s">
        <v>439</v>
      </c>
      <c r="D817" s="6" t="s">
        <v>57</v>
      </c>
      <c r="E817" s="6" t="s">
        <v>78</v>
      </c>
      <c r="F817" s="6" t="s">
        <v>94</v>
      </c>
      <c r="G817" s="6" t="s">
        <v>95</v>
      </c>
      <c r="H817" s="6">
        <v>-3</v>
      </c>
      <c r="I817" s="6" t="s">
        <v>147</v>
      </c>
      <c r="J817" s="8" t="s">
        <v>1706</v>
      </c>
      <c r="K817" s="6">
        <v>340</v>
      </c>
      <c r="L817" s="6" t="s">
        <v>42</v>
      </c>
      <c r="M817" s="6" t="s">
        <v>34</v>
      </c>
    </row>
    <row r="818" spans="1:13">
      <c r="A818" s="6" t="s">
        <v>1707</v>
      </c>
      <c r="B818" s="7">
        <v>46140</v>
      </c>
      <c r="C818" s="6" t="s">
        <v>1303</v>
      </c>
      <c r="D818" s="6" t="s">
        <v>127</v>
      </c>
      <c r="E818" s="6" t="s">
        <v>37</v>
      </c>
      <c r="F818" s="6" t="s">
        <v>94</v>
      </c>
      <c r="G818" s="6" t="s">
        <v>95</v>
      </c>
      <c r="H818" s="6">
        <v>1</v>
      </c>
      <c r="I818" s="6" t="s">
        <v>79</v>
      </c>
      <c r="J818" s="6" t="s">
        <v>79</v>
      </c>
      <c r="K818" s="6" t="s">
        <v>114</v>
      </c>
      <c r="L818" s="6" t="s">
        <v>33</v>
      </c>
      <c r="M818" s="6" t="s">
        <v>34</v>
      </c>
    </row>
    <row r="819" spans="1:13">
      <c r="A819" s="6" t="s">
        <v>1708</v>
      </c>
      <c r="B819" s="7">
        <v>46171</v>
      </c>
      <c r="C819" s="6" t="s">
        <v>944</v>
      </c>
      <c r="D819" s="6" t="s">
        <v>127</v>
      </c>
      <c r="E819" s="6" t="s">
        <v>52</v>
      </c>
      <c r="F819" s="6" t="s">
        <v>47</v>
      </c>
      <c r="G819" s="6" t="s">
        <v>48</v>
      </c>
      <c r="H819" s="6">
        <v>1</v>
      </c>
      <c r="I819" s="6" t="s">
        <v>82</v>
      </c>
      <c r="J819" s="6" t="s">
        <v>82</v>
      </c>
      <c r="K819" s="6" t="s">
        <v>49</v>
      </c>
      <c r="L819" s="6" t="s">
        <v>42</v>
      </c>
      <c r="M819" s="6" t="s">
        <v>69</v>
      </c>
    </row>
    <row r="820" spans="1:13">
      <c r="A820" s="6" t="s">
        <v>1709</v>
      </c>
      <c r="B820" s="7">
        <v>46168</v>
      </c>
      <c r="C820" s="6" t="s">
        <v>520</v>
      </c>
      <c r="D820" s="6" t="s">
        <v>57</v>
      </c>
      <c r="E820" s="6" t="s">
        <v>37</v>
      </c>
      <c r="F820" s="6" t="s">
        <v>53</v>
      </c>
      <c r="G820" s="6" t="s">
        <v>54</v>
      </c>
      <c r="H820" s="6">
        <v>2</v>
      </c>
      <c r="I820" s="6" t="s">
        <v>117</v>
      </c>
      <c r="J820" s="6" t="s">
        <v>118</v>
      </c>
      <c r="K820" s="6" t="s">
        <v>122</v>
      </c>
      <c r="L820" s="6" t="s">
        <v>42</v>
      </c>
      <c r="M820" s="6" t="s">
        <v>34</v>
      </c>
    </row>
    <row r="821" spans="1:13">
      <c r="A821" s="6" t="s">
        <v>1710</v>
      </c>
      <c r="B821" s="7">
        <v>46194</v>
      </c>
      <c r="C821" s="6" t="s">
        <v>794</v>
      </c>
      <c r="D821" s="6" t="s">
        <v>105</v>
      </c>
      <c r="E821" s="6" t="s">
        <v>28</v>
      </c>
      <c r="F821" s="6" t="s">
        <v>29</v>
      </c>
      <c r="G821" s="6" t="s">
        <v>30</v>
      </c>
      <c r="H821" s="6">
        <v>1</v>
      </c>
      <c r="I821" s="6" t="s">
        <v>82</v>
      </c>
      <c r="J821" s="6" t="s">
        <v>82</v>
      </c>
      <c r="K821" s="6" t="s">
        <v>41</v>
      </c>
      <c r="L821" s="6" t="s">
        <v>42</v>
      </c>
      <c r="M821" s="6" t="s">
        <v>69</v>
      </c>
    </row>
    <row r="822" spans="1:13">
      <c r="A822" s="6" t="s">
        <v>1711</v>
      </c>
      <c r="B822" s="7">
        <v>46097</v>
      </c>
      <c r="C822" s="6" t="s">
        <v>1017</v>
      </c>
      <c r="D822" s="6" t="s">
        <v>64</v>
      </c>
      <c r="E822" s="6" t="s">
        <v>78</v>
      </c>
      <c r="F822" s="6" t="s">
        <v>38</v>
      </c>
      <c r="G822" s="6" t="s">
        <v>39</v>
      </c>
      <c r="H822" s="6">
        <v>1</v>
      </c>
      <c r="I822" s="6" t="s">
        <v>231</v>
      </c>
      <c r="J822" s="6" t="s">
        <v>231</v>
      </c>
      <c r="K822" s="6">
        <v>520</v>
      </c>
      <c r="L822" s="6" t="s">
        <v>42</v>
      </c>
      <c r="M822" s="6" t="s">
        <v>34</v>
      </c>
    </row>
    <row r="823" spans="1:13">
      <c r="A823" s="6" t="s">
        <v>1712</v>
      </c>
      <c r="B823" s="7">
        <v>46091</v>
      </c>
      <c r="C823" s="6" t="s">
        <v>1713</v>
      </c>
      <c r="D823" s="6" t="s">
        <v>127</v>
      </c>
      <c r="E823" s="6" t="s">
        <v>37</v>
      </c>
      <c r="F823" s="6" t="s">
        <v>29</v>
      </c>
      <c r="G823" s="6" t="s">
        <v>30</v>
      </c>
      <c r="H823" s="6">
        <v>1</v>
      </c>
      <c r="I823" s="6" t="s">
        <v>82</v>
      </c>
      <c r="J823" s="6" t="s">
        <v>82</v>
      </c>
      <c r="K823" s="6">
        <v>520</v>
      </c>
      <c r="L823" s="6" t="s">
        <v>42</v>
      </c>
      <c r="M823" s="6" t="s">
        <v>34</v>
      </c>
    </row>
    <row r="824" spans="1:13">
      <c r="A824" s="6" t="s">
        <v>1714</v>
      </c>
      <c r="B824" s="7">
        <v>46100</v>
      </c>
      <c r="C824" s="6" t="s">
        <v>879</v>
      </c>
      <c r="D824" s="6" t="s">
        <v>27</v>
      </c>
      <c r="E824" s="6" t="s">
        <v>78</v>
      </c>
      <c r="F824" s="6" t="s">
        <v>85</v>
      </c>
      <c r="G824" s="6" t="s">
        <v>86</v>
      </c>
      <c r="H824" s="6">
        <v>1</v>
      </c>
      <c r="I824" s="6" t="s">
        <v>181</v>
      </c>
      <c r="J824" s="6" t="s">
        <v>1715</v>
      </c>
      <c r="K824" s="6">
        <v>410</v>
      </c>
      <c r="L824" s="6" t="s">
        <v>42</v>
      </c>
      <c r="M824" s="6" t="s">
        <v>34</v>
      </c>
    </row>
    <row r="825" spans="1:13">
      <c r="A825" s="6" t="s">
        <v>1716</v>
      </c>
      <c r="B825" s="6" t="s">
        <v>1385</v>
      </c>
      <c r="C825" s="6" t="s">
        <v>1717</v>
      </c>
      <c r="D825" s="6" t="s">
        <v>45</v>
      </c>
      <c r="E825" s="6" t="s">
        <v>46</v>
      </c>
      <c r="F825" s="6" t="s">
        <v>38</v>
      </c>
      <c r="G825" s="6" t="s">
        <v>39</v>
      </c>
      <c r="H825" s="6">
        <v>3</v>
      </c>
      <c r="I825" s="6" t="s">
        <v>181</v>
      </c>
      <c r="J825" s="6" t="s">
        <v>867</v>
      </c>
      <c r="K825" s="6" t="s">
        <v>41</v>
      </c>
      <c r="L825" s="6" t="s">
        <v>33</v>
      </c>
      <c r="M825" s="6" t="s">
        <v>69</v>
      </c>
    </row>
    <row r="826" spans="1:13">
      <c r="A826" s="6" t="s">
        <v>1434</v>
      </c>
      <c r="B826" s="7">
        <v>46149</v>
      </c>
      <c r="C826" s="6" t="s">
        <v>1435</v>
      </c>
      <c r="D826" s="6" t="s">
        <v>45</v>
      </c>
      <c r="E826" s="6" t="s">
        <v>52</v>
      </c>
      <c r="F826" s="6" t="s">
        <v>58</v>
      </c>
      <c r="G826" s="6" t="s">
        <v>59</v>
      </c>
      <c r="H826" s="6">
        <v>1</v>
      </c>
      <c r="I826" s="6" t="s">
        <v>231</v>
      </c>
      <c r="J826" s="6" t="s">
        <v>1436</v>
      </c>
      <c r="K826" s="6" t="s">
        <v>61</v>
      </c>
      <c r="L826" s="6" t="s">
        <v>42</v>
      </c>
      <c r="M826" s="6" t="s">
        <v>34</v>
      </c>
    </row>
    <row r="827" spans="1:13">
      <c r="A827" s="6" t="s">
        <v>1718</v>
      </c>
      <c r="B827" s="7">
        <v>46153</v>
      </c>
      <c r="C827" s="6" t="s">
        <v>1719</v>
      </c>
      <c r="D827" s="6" t="s">
        <v>57</v>
      </c>
      <c r="E827" s="6" t="s">
        <v>78</v>
      </c>
      <c r="F827" s="6" t="s">
        <v>94</v>
      </c>
      <c r="G827" s="6" t="s">
        <v>95</v>
      </c>
      <c r="H827" s="6">
        <v>1</v>
      </c>
      <c r="I827" s="6" t="s">
        <v>143</v>
      </c>
      <c r="J827" s="6" t="s">
        <v>143</v>
      </c>
      <c r="K827" s="6" t="s">
        <v>114</v>
      </c>
      <c r="L827" s="6" t="s">
        <v>33</v>
      </c>
      <c r="M827" s="6" t="s">
        <v>34</v>
      </c>
    </row>
    <row r="828" spans="1:13">
      <c r="A828" s="6" t="s">
        <v>1720</v>
      </c>
      <c r="B828" s="7">
        <v>46133</v>
      </c>
      <c r="C828" s="6" t="s">
        <v>324</v>
      </c>
      <c r="D828" s="6" t="s">
        <v>45</v>
      </c>
      <c r="E828" s="6" t="s">
        <v>52</v>
      </c>
      <c r="F828" s="6" t="s">
        <v>94</v>
      </c>
      <c r="G828" s="6" t="s">
        <v>95</v>
      </c>
      <c r="H828" s="6">
        <v>1</v>
      </c>
      <c r="I828" s="6" t="s">
        <v>231</v>
      </c>
      <c r="J828" s="6" t="s">
        <v>231</v>
      </c>
      <c r="K828" s="6" t="s">
        <v>114</v>
      </c>
      <c r="L828" s="6" t="s">
        <v>42</v>
      </c>
      <c r="M828" s="6" t="s">
        <v>69</v>
      </c>
    </row>
    <row r="829" spans="1:13">
      <c r="A829" s="6" t="s">
        <v>1721</v>
      </c>
      <c r="B829" s="7">
        <v>46183</v>
      </c>
      <c r="C829" s="6" t="s">
        <v>1722</v>
      </c>
      <c r="D829" s="6" t="s">
        <v>77</v>
      </c>
      <c r="E829" s="6" t="s">
        <v>37</v>
      </c>
      <c r="F829" s="6" t="s">
        <v>29</v>
      </c>
      <c r="G829" s="6" t="s">
        <v>30</v>
      </c>
      <c r="H829" s="6">
        <v>1</v>
      </c>
      <c r="I829" s="6" t="s">
        <v>90</v>
      </c>
      <c r="J829" s="6" t="s">
        <v>90</v>
      </c>
      <c r="K829" s="6" t="s">
        <v>41</v>
      </c>
      <c r="L829" s="6" t="s">
        <v>42</v>
      </c>
      <c r="M829" s="6" t="s">
        <v>34</v>
      </c>
    </row>
    <row r="830" spans="1:13">
      <c r="A830" s="6" t="s">
        <v>1723</v>
      </c>
      <c r="B830" s="7">
        <v>46102</v>
      </c>
      <c r="C830" s="6" t="s">
        <v>1724</v>
      </c>
      <c r="D830" s="6" t="s">
        <v>72</v>
      </c>
      <c r="E830" s="6" t="s">
        <v>78</v>
      </c>
      <c r="F830" s="6" t="s">
        <v>38</v>
      </c>
      <c r="G830" s="6" t="s">
        <v>39</v>
      </c>
      <c r="H830" s="6">
        <v>3</v>
      </c>
      <c r="I830" s="6" t="s">
        <v>147</v>
      </c>
      <c r="J830" s="6" t="s">
        <v>148</v>
      </c>
      <c r="K830" s="6">
        <v>520</v>
      </c>
      <c r="L830" s="6" t="s">
        <v>42</v>
      </c>
      <c r="M830" s="6" t="s">
        <v>34</v>
      </c>
    </row>
    <row r="831" spans="1:13">
      <c r="A831" s="6" t="s">
        <v>1725</v>
      </c>
      <c r="B831" s="7">
        <v>46149</v>
      </c>
      <c r="C831" s="6" t="s">
        <v>1726</v>
      </c>
      <c r="D831" s="6" t="s">
        <v>64</v>
      </c>
      <c r="E831" s="6" t="s">
        <v>46</v>
      </c>
      <c r="F831" s="6" t="s">
        <v>29</v>
      </c>
      <c r="G831" s="6" t="s">
        <v>30</v>
      </c>
      <c r="H831" s="6">
        <v>1</v>
      </c>
      <c r="I831" s="6" t="s">
        <v>82</v>
      </c>
      <c r="J831" s="6" t="s">
        <v>67</v>
      </c>
      <c r="K831" s="6" t="s">
        <v>41</v>
      </c>
      <c r="L831" s="6" t="s">
        <v>42</v>
      </c>
      <c r="M831" s="6" t="s">
        <v>34</v>
      </c>
    </row>
    <row r="832" spans="1:13">
      <c r="A832" s="6" t="s">
        <v>1727</v>
      </c>
      <c r="B832" s="6" t="s">
        <v>1728</v>
      </c>
      <c r="C832" s="6" t="s">
        <v>240</v>
      </c>
      <c r="D832" s="6" t="s">
        <v>27</v>
      </c>
      <c r="E832" s="6" t="s">
        <v>37</v>
      </c>
      <c r="F832" s="6" t="s">
        <v>38</v>
      </c>
      <c r="G832" s="6" t="s">
        <v>39</v>
      </c>
      <c r="H832" s="6">
        <v>2</v>
      </c>
      <c r="I832" s="6" t="s">
        <v>181</v>
      </c>
      <c r="J832" s="6" t="s">
        <v>163</v>
      </c>
      <c r="K832" s="6">
        <v>520</v>
      </c>
      <c r="L832" s="6" t="s">
        <v>42</v>
      </c>
      <c r="M832" s="6" t="s">
        <v>34</v>
      </c>
    </row>
    <row r="833" spans="1:13">
      <c r="A833" s="6" t="s">
        <v>1729</v>
      </c>
      <c r="B833" s="6" t="s">
        <v>481</v>
      </c>
      <c r="C833" s="6" t="s">
        <v>1730</v>
      </c>
      <c r="D833" s="6" t="s">
        <v>77</v>
      </c>
      <c r="E833" s="6" t="s">
        <v>28</v>
      </c>
      <c r="F833" s="6" t="s">
        <v>85</v>
      </c>
      <c r="G833" s="6" t="s">
        <v>86</v>
      </c>
      <c r="H833" s="6">
        <v>1</v>
      </c>
      <c r="I833" s="6" t="s">
        <v>231</v>
      </c>
      <c r="J833" s="6" t="s">
        <v>231</v>
      </c>
      <c r="K833" s="6">
        <v>410</v>
      </c>
      <c r="L833" s="6" t="s">
        <v>33</v>
      </c>
      <c r="M833" s="6" t="s">
        <v>34</v>
      </c>
    </row>
    <row r="834" spans="1:13">
      <c r="A834" s="6" t="s">
        <v>1731</v>
      </c>
      <c r="B834" s="7">
        <v>46097</v>
      </c>
      <c r="C834" s="6" t="s">
        <v>1732</v>
      </c>
      <c r="D834" s="6" t="s">
        <v>45</v>
      </c>
      <c r="E834" s="6" t="s">
        <v>46</v>
      </c>
      <c r="F834" s="6" t="s">
        <v>94</v>
      </c>
      <c r="G834" s="6" t="s">
        <v>95</v>
      </c>
      <c r="H834" s="6">
        <v>3</v>
      </c>
      <c r="I834" s="6" t="s">
        <v>31</v>
      </c>
      <c r="J834" s="6" t="s">
        <v>337</v>
      </c>
      <c r="K834" s="6">
        <v>340</v>
      </c>
      <c r="L834" s="6" t="s">
        <v>42</v>
      </c>
      <c r="M834" s="6" t="s">
        <v>34</v>
      </c>
    </row>
    <row r="835" spans="1:13">
      <c r="A835" s="6" t="s">
        <v>1733</v>
      </c>
      <c r="B835" s="7">
        <v>46038</v>
      </c>
      <c r="C835" s="6" t="s">
        <v>1734</v>
      </c>
      <c r="D835" s="6" t="s">
        <v>110</v>
      </c>
      <c r="E835" s="6" t="s">
        <v>46</v>
      </c>
      <c r="F835" s="6" t="s">
        <v>85</v>
      </c>
      <c r="G835" s="6" t="s">
        <v>86</v>
      </c>
      <c r="H835" s="6">
        <v>3</v>
      </c>
      <c r="I835" s="6" t="s">
        <v>147</v>
      </c>
      <c r="J835" s="6" t="s">
        <v>148</v>
      </c>
      <c r="K835" s="6">
        <v>410</v>
      </c>
      <c r="L835" s="6" t="s">
        <v>33</v>
      </c>
      <c r="M835" s="6" t="s">
        <v>34</v>
      </c>
    </row>
    <row r="836" spans="1:13">
      <c r="A836" s="6" t="s">
        <v>1735</v>
      </c>
      <c r="B836" s="7">
        <v>46141</v>
      </c>
      <c r="C836" s="6" t="s">
        <v>1736</v>
      </c>
      <c r="D836" s="6" t="s">
        <v>45</v>
      </c>
      <c r="E836" s="6" t="s">
        <v>28</v>
      </c>
      <c r="F836" s="6" t="s">
        <v>100</v>
      </c>
      <c r="G836" s="6" t="s">
        <v>101</v>
      </c>
      <c r="H836" s="6">
        <v>-1</v>
      </c>
      <c r="I836" s="6" t="s">
        <v>79</v>
      </c>
      <c r="J836" s="8" t="s">
        <v>1737</v>
      </c>
      <c r="K836" s="6" t="s">
        <v>119</v>
      </c>
      <c r="L836" s="6" t="s">
        <v>42</v>
      </c>
      <c r="M836" s="6" t="s">
        <v>34</v>
      </c>
    </row>
    <row r="837" spans="1:13">
      <c r="A837" s="6" t="s">
        <v>1738</v>
      </c>
      <c r="B837" s="6" t="s">
        <v>481</v>
      </c>
      <c r="C837" s="6" t="s">
        <v>961</v>
      </c>
      <c r="D837" s="6" t="s">
        <v>45</v>
      </c>
      <c r="E837" s="6" t="s">
        <v>46</v>
      </c>
      <c r="F837" s="6" t="s">
        <v>53</v>
      </c>
      <c r="G837" s="6" t="s">
        <v>54</v>
      </c>
      <c r="H837" s="6">
        <v>1</v>
      </c>
      <c r="I837" s="6" t="s">
        <v>79</v>
      </c>
      <c r="J837" s="6" t="s">
        <v>79</v>
      </c>
      <c r="K837" s="6">
        <v>190</v>
      </c>
      <c r="L837" s="6" t="s">
        <v>42</v>
      </c>
      <c r="M837" s="6" t="s">
        <v>34</v>
      </c>
    </row>
    <row r="838" spans="1:13">
      <c r="A838" s="6" t="s">
        <v>1739</v>
      </c>
      <c r="B838" s="7">
        <v>46029</v>
      </c>
      <c r="C838" s="6" t="s">
        <v>410</v>
      </c>
      <c r="D838" s="6" t="s">
        <v>77</v>
      </c>
      <c r="E838" s="6" t="s">
        <v>37</v>
      </c>
      <c r="F838" s="6" t="s">
        <v>47</v>
      </c>
      <c r="G838" s="6" t="s">
        <v>48</v>
      </c>
      <c r="H838" s="6">
        <v>1</v>
      </c>
      <c r="I838" s="6" t="s">
        <v>181</v>
      </c>
      <c r="J838" s="6" t="s">
        <v>1740</v>
      </c>
      <c r="K838" s="6">
        <v>85</v>
      </c>
      <c r="L838" s="6" t="s">
        <v>42</v>
      </c>
      <c r="M838" s="6" t="s">
        <v>34</v>
      </c>
    </row>
    <row r="839" spans="1:13">
      <c r="A839" s="6" t="s">
        <v>1741</v>
      </c>
      <c r="B839" s="7">
        <v>46209</v>
      </c>
      <c r="C839" s="6" t="s">
        <v>1742</v>
      </c>
      <c r="D839" s="6" t="s">
        <v>72</v>
      </c>
      <c r="E839" s="6" t="s">
        <v>46</v>
      </c>
      <c r="F839" s="6" t="s">
        <v>38</v>
      </c>
      <c r="G839" s="6" t="s">
        <v>39</v>
      </c>
      <c r="H839" s="6">
        <v>2</v>
      </c>
      <c r="I839" s="6" t="s">
        <v>90</v>
      </c>
      <c r="J839" s="6" t="s">
        <v>154</v>
      </c>
      <c r="K839" s="6" t="s">
        <v>41</v>
      </c>
      <c r="L839" s="6" t="s">
        <v>42</v>
      </c>
      <c r="M839" s="6" t="s">
        <v>34</v>
      </c>
    </row>
    <row r="840" spans="1:13">
      <c r="A840" s="6" t="s">
        <v>1743</v>
      </c>
      <c r="B840" s="7">
        <v>46101</v>
      </c>
      <c r="C840" s="6" t="s">
        <v>1744</v>
      </c>
      <c r="D840" s="6" t="s">
        <v>27</v>
      </c>
      <c r="E840" s="6" t="s">
        <v>46</v>
      </c>
      <c r="F840" s="6" t="s">
        <v>94</v>
      </c>
      <c r="G840" s="6" t="s">
        <v>95</v>
      </c>
      <c r="H840" s="6">
        <v>1</v>
      </c>
      <c r="I840" s="6" t="s">
        <v>96</v>
      </c>
      <c r="J840" s="6" t="s">
        <v>96</v>
      </c>
      <c r="K840" s="6">
        <v>340</v>
      </c>
      <c r="L840" s="6" t="s">
        <v>42</v>
      </c>
      <c r="M840" s="6" t="s">
        <v>34</v>
      </c>
    </row>
    <row r="841" spans="1:13">
      <c r="A841" s="6" t="s">
        <v>1745</v>
      </c>
      <c r="B841" s="7">
        <v>46145</v>
      </c>
      <c r="C841" s="6" t="s">
        <v>1746</v>
      </c>
      <c r="D841" s="6" t="s">
        <v>72</v>
      </c>
      <c r="E841" s="6" t="s">
        <v>46</v>
      </c>
      <c r="F841" s="6" t="s">
        <v>100</v>
      </c>
      <c r="G841" s="6" t="s">
        <v>101</v>
      </c>
      <c r="H841" s="6">
        <v>2</v>
      </c>
      <c r="I841" s="6" t="s">
        <v>113</v>
      </c>
      <c r="J841" s="6" t="s">
        <v>192</v>
      </c>
      <c r="K841" s="6" t="s">
        <v>119</v>
      </c>
      <c r="L841" s="6" t="s">
        <v>42</v>
      </c>
      <c r="M841" s="6" t="s">
        <v>34</v>
      </c>
    </row>
    <row r="842" spans="1:13">
      <c r="A842" s="6" t="s">
        <v>1747</v>
      </c>
      <c r="B842" s="7">
        <v>46096</v>
      </c>
      <c r="C842" s="6" t="s">
        <v>1748</v>
      </c>
      <c r="D842" s="6" t="s">
        <v>45</v>
      </c>
      <c r="E842" s="6" t="s">
        <v>37</v>
      </c>
      <c r="F842" s="6" t="s">
        <v>53</v>
      </c>
      <c r="G842" s="6" t="s">
        <v>54</v>
      </c>
      <c r="H842" s="6">
        <v>-1</v>
      </c>
      <c r="I842" s="6" t="s">
        <v>67</v>
      </c>
      <c r="J842" s="8" t="s">
        <v>1749</v>
      </c>
      <c r="K842" s="6">
        <v>190</v>
      </c>
      <c r="L842" s="6" t="s">
        <v>42</v>
      </c>
      <c r="M842" s="6" t="s">
        <v>69</v>
      </c>
    </row>
    <row r="843" spans="1:13">
      <c r="A843" s="6" t="s">
        <v>1750</v>
      </c>
      <c r="B843" s="7">
        <v>46190</v>
      </c>
      <c r="C843" s="6" t="s">
        <v>1751</v>
      </c>
      <c r="D843" s="6" t="s">
        <v>45</v>
      </c>
      <c r="E843" s="6" t="s">
        <v>28</v>
      </c>
      <c r="F843" s="6" t="s">
        <v>58</v>
      </c>
      <c r="G843" s="6" t="s">
        <v>59</v>
      </c>
      <c r="H843" s="6">
        <v>2</v>
      </c>
      <c r="I843" s="6" t="s">
        <v>90</v>
      </c>
      <c r="J843" s="6" t="s">
        <v>1752</v>
      </c>
      <c r="K843" s="6" t="s">
        <v>61</v>
      </c>
      <c r="L843" s="6" t="s">
        <v>42</v>
      </c>
      <c r="M843" s="6" t="s">
        <v>34</v>
      </c>
    </row>
    <row r="844" spans="1:13">
      <c r="A844" s="6" t="s">
        <v>1753</v>
      </c>
      <c r="B844" s="7">
        <v>46131</v>
      </c>
      <c r="C844" s="6" t="s">
        <v>1754</v>
      </c>
      <c r="D844" s="6" t="s">
        <v>27</v>
      </c>
      <c r="E844" s="6" t="s">
        <v>46</v>
      </c>
      <c r="F844" s="6" t="s">
        <v>38</v>
      </c>
      <c r="G844" s="6" t="s">
        <v>39</v>
      </c>
      <c r="H844" s="6">
        <v>2</v>
      </c>
      <c r="I844" s="6" t="s">
        <v>79</v>
      </c>
      <c r="J844" s="6" t="s">
        <v>259</v>
      </c>
      <c r="K844" s="6">
        <v>520</v>
      </c>
      <c r="L844" s="6" t="s">
        <v>42</v>
      </c>
      <c r="M844" s="6" t="s">
        <v>34</v>
      </c>
    </row>
    <row r="845" spans="1:13">
      <c r="A845" s="6" t="s">
        <v>1755</v>
      </c>
      <c r="B845" s="7">
        <v>46057</v>
      </c>
      <c r="C845" s="6" t="s">
        <v>1756</v>
      </c>
      <c r="D845" s="6" t="s">
        <v>57</v>
      </c>
      <c r="E845" s="6" t="s">
        <v>37</v>
      </c>
      <c r="F845" s="6" t="s">
        <v>47</v>
      </c>
      <c r="G845" s="6" t="s">
        <v>48</v>
      </c>
      <c r="H845" s="6">
        <v>3</v>
      </c>
      <c r="I845" s="6" t="s">
        <v>79</v>
      </c>
      <c r="J845" s="6" t="s">
        <v>216</v>
      </c>
      <c r="K845" s="6">
        <v>85</v>
      </c>
      <c r="L845" s="6" t="s">
        <v>42</v>
      </c>
      <c r="M845" s="6" t="s">
        <v>34</v>
      </c>
    </row>
    <row r="846" spans="1:13">
      <c r="A846" s="6" t="s">
        <v>1757</v>
      </c>
      <c r="B846" s="7">
        <v>46044</v>
      </c>
      <c r="C846" s="6" t="s">
        <v>1353</v>
      </c>
      <c r="D846" s="6" t="s">
        <v>45</v>
      </c>
      <c r="E846" s="6" t="s">
        <v>46</v>
      </c>
      <c r="F846" s="6" t="s">
        <v>47</v>
      </c>
      <c r="G846" s="6" t="s">
        <v>48</v>
      </c>
      <c r="H846" s="6">
        <v>2</v>
      </c>
      <c r="I846" s="6" t="s">
        <v>1355</v>
      </c>
      <c r="J846" s="6" t="s">
        <v>175</v>
      </c>
      <c r="K846" s="6">
        <v>85</v>
      </c>
      <c r="L846" s="6" t="s">
        <v>33</v>
      </c>
      <c r="M846" s="6" t="s">
        <v>34</v>
      </c>
    </row>
    <row r="847" spans="1:13">
      <c r="A847" s="6" t="s">
        <v>1758</v>
      </c>
      <c r="B847" s="6" t="s">
        <v>1759</v>
      </c>
      <c r="C847" s="6" t="s">
        <v>492</v>
      </c>
      <c r="D847" s="6" t="s">
        <v>64</v>
      </c>
      <c r="E847" s="6" t="s">
        <v>28</v>
      </c>
      <c r="F847" s="6" t="s">
        <v>38</v>
      </c>
      <c r="G847" s="6" t="s">
        <v>39</v>
      </c>
      <c r="H847" s="6">
        <v>1</v>
      </c>
      <c r="I847" s="6" t="s">
        <v>265</v>
      </c>
      <c r="J847" s="6" t="s">
        <v>265</v>
      </c>
      <c r="K847" s="6" t="s">
        <v>41</v>
      </c>
      <c r="L847" s="6" t="s">
        <v>42</v>
      </c>
      <c r="M847" s="6" t="s">
        <v>34</v>
      </c>
    </row>
    <row r="848" spans="1:13">
      <c r="A848" s="6" t="s">
        <v>1760</v>
      </c>
      <c r="B848" s="7">
        <v>46095</v>
      </c>
      <c r="C848" s="6" t="s">
        <v>1484</v>
      </c>
      <c r="D848" s="6" t="s">
        <v>110</v>
      </c>
      <c r="E848" s="6" t="s">
        <v>37</v>
      </c>
      <c r="F848" s="6" t="s">
        <v>47</v>
      </c>
      <c r="G848" s="6" t="s">
        <v>48</v>
      </c>
      <c r="H848" s="6">
        <v>2</v>
      </c>
      <c r="I848" s="6" t="s">
        <v>60</v>
      </c>
      <c r="J848" s="6" t="s">
        <v>189</v>
      </c>
      <c r="K848" s="6">
        <v>85</v>
      </c>
      <c r="L848" s="6" t="s">
        <v>42</v>
      </c>
      <c r="M848" s="6" t="s">
        <v>34</v>
      </c>
    </row>
    <row r="849" spans="1:13">
      <c r="A849" s="6" t="s">
        <v>1761</v>
      </c>
      <c r="B849" s="7">
        <v>46206</v>
      </c>
      <c r="C849" s="6" t="s">
        <v>1762</v>
      </c>
      <c r="D849" s="6" t="s">
        <v>64</v>
      </c>
      <c r="E849" s="6" t="s">
        <v>78</v>
      </c>
      <c r="F849" s="6" t="s">
        <v>29</v>
      </c>
      <c r="G849" s="6" t="s">
        <v>30</v>
      </c>
      <c r="H849" s="6">
        <v>2</v>
      </c>
      <c r="I849" s="6" t="s">
        <v>31</v>
      </c>
      <c r="J849" s="6" t="s">
        <v>249</v>
      </c>
      <c r="K849" s="6" t="s">
        <v>41</v>
      </c>
      <c r="L849" s="6" t="s">
        <v>33</v>
      </c>
      <c r="M849" s="6" t="s">
        <v>34</v>
      </c>
    </row>
    <row r="850" spans="1:13">
      <c r="A850" s="6" t="s">
        <v>1763</v>
      </c>
      <c r="B850" s="6" t="s">
        <v>1764</v>
      </c>
      <c r="C850" s="6" t="s">
        <v>594</v>
      </c>
      <c r="D850" s="6" t="s">
        <v>27</v>
      </c>
      <c r="E850" s="6" t="s">
        <v>37</v>
      </c>
      <c r="F850" s="6" t="s">
        <v>47</v>
      </c>
      <c r="G850" s="6" t="s">
        <v>48</v>
      </c>
      <c r="H850" s="6">
        <v>2</v>
      </c>
      <c r="I850" s="6" t="s">
        <v>265</v>
      </c>
      <c r="J850" s="6" t="s">
        <v>167</v>
      </c>
      <c r="K850" s="6">
        <v>85</v>
      </c>
      <c r="L850" s="6" t="s">
        <v>42</v>
      </c>
      <c r="M850" s="6" t="s">
        <v>69</v>
      </c>
    </row>
    <row r="851" spans="1:13">
      <c r="A851" s="6" t="s">
        <v>1765</v>
      </c>
      <c r="B851" s="7">
        <v>46148</v>
      </c>
      <c r="C851" s="6" t="s">
        <v>1766</v>
      </c>
      <c r="D851" s="6" t="s">
        <v>127</v>
      </c>
      <c r="E851" s="6" t="s">
        <v>52</v>
      </c>
      <c r="F851" s="6" t="s">
        <v>94</v>
      </c>
      <c r="G851" s="6" t="s">
        <v>95</v>
      </c>
      <c r="H851" s="6">
        <v>2</v>
      </c>
      <c r="I851" s="6" t="s">
        <v>1224</v>
      </c>
      <c r="J851" s="6" t="s">
        <v>118</v>
      </c>
      <c r="K851" s="6" t="s">
        <v>114</v>
      </c>
      <c r="L851" s="6" t="s">
        <v>33</v>
      </c>
      <c r="M851" s="6" t="s">
        <v>34</v>
      </c>
    </row>
    <row r="852" spans="1:13">
      <c r="A852" s="6" t="s">
        <v>1767</v>
      </c>
      <c r="B852" s="6" t="s">
        <v>1768</v>
      </c>
      <c r="C852" s="6" t="s">
        <v>1769</v>
      </c>
      <c r="D852" s="6" t="s">
        <v>64</v>
      </c>
      <c r="E852" s="6" t="s">
        <v>28</v>
      </c>
      <c r="F852" s="6" t="s">
        <v>47</v>
      </c>
      <c r="G852" s="6" t="s">
        <v>48</v>
      </c>
      <c r="H852" s="6">
        <v>1</v>
      </c>
      <c r="I852" s="6" t="s">
        <v>147</v>
      </c>
      <c r="J852" s="6" t="s">
        <v>147</v>
      </c>
      <c r="K852" s="6" t="s">
        <v>49</v>
      </c>
      <c r="L852" s="6" t="s">
        <v>42</v>
      </c>
      <c r="M852" s="6" t="s">
        <v>34</v>
      </c>
    </row>
    <row r="853" spans="1:13">
      <c r="A853" s="6" t="s">
        <v>1770</v>
      </c>
      <c r="B853" s="7">
        <v>46172</v>
      </c>
      <c r="C853" s="6" t="s">
        <v>1771</v>
      </c>
      <c r="D853" s="6" t="s">
        <v>105</v>
      </c>
      <c r="E853" s="6" t="s">
        <v>37</v>
      </c>
      <c r="F853" s="6" t="s">
        <v>58</v>
      </c>
      <c r="G853" s="6" t="s">
        <v>59</v>
      </c>
      <c r="H853" s="6">
        <v>1</v>
      </c>
      <c r="I853" s="6" t="s">
        <v>181</v>
      </c>
      <c r="J853" s="6" t="s">
        <v>181</v>
      </c>
      <c r="K853" s="6" t="s">
        <v>61</v>
      </c>
      <c r="L853" s="6" t="s">
        <v>42</v>
      </c>
      <c r="M853" s="6" t="s">
        <v>34</v>
      </c>
    </row>
    <row r="854" spans="1:13">
      <c r="A854" s="6" t="s">
        <v>1772</v>
      </c>
      <c r="B854" s="7">
        <v>46087</v>
      </c>
      <c r="C854" s="6" t="s">
        <v>1773</v>
      </c>
      <c r="D854" s="6" t="s">
        <v>72</v>
      </c>
      <c r="E854" s="6" t="s">
        <v>46</v>
      </c>
      <c r="F854" s="6" t="s">
        <v>100</v>
      </c>
      <c r="G854" s="6" t="s">
        <v>101</v>
      </c>
      <c r="H854" s="6">
        <v>3</v>
      </c>
      <c r="I854" s="6" t="s">
        <v>67</v>
      </c>
      <c r="J854" s="6" t="s">
        <v>68</v>
      </c>
      <c r="K854" s="6">
        <v>640</v>
      </c>
      <c r="L854" s="6" t="s">
        <v>42</v>
      </c>
      <c r="M854" s="6" t="s">
        <v>34</v>
      </c>
    </row>
    <row r="855" spans="1:13">
      <c r="A855" s="6" t="s">
        <v>1774</v>
      </c>
      <c r="B855" s="7">
        <v>46156</v>
      </c>
      <c r="C855" s="6" t="s">
        <v>1775</v>
      </c>
      <c r="D855" s="6" t="s">
        <v>72</v>
      </c>
      <c r="E855" s="6" t="s">
        <v>28</v>
      </c>
      <c r="F855" s="6" t="s">
        <v>94</v>
      </c>
      <c r="G855" s="6" t="s">
        <v>95</v>
      </c>
      <c r="H855" s="6">
        <v>2</v>
      </c>
      <c r="I855" s="6" t="s">
        <v>90</v>
      </c>
      <c r="J855" s="6" t="s">
        <v>154</v>
      </c>
      <c r="K855" s="6" t="s">
        <v>114</v>
      </c>
      <c r="L855" s="6" t="s">
        <v>42</v>
      </c>
      <c r="M855" s="6" t="s">
        <v>34</v>
      </c>
    </row>
    <row r="856" spans="1:13">
      <c r="A856" s="6" t="s">
        <v>1776</v>
      </c>
      <c r="B856" s="7">
        <v>46088</v>
      </c>
      <c r="C856" s="6" t="s">
        <v>1777</v>
      </c>
      <c r="D856" s="6" t="s">
        <v>45</v>
      </c>
      <c r="E856" s="6" t="s">
        <v>52</v>
      </c>
      <c r="F856" s="6" t="s">
        <v>29</v>
      </c>
      <c r="G856" s="6" t="s">
        <v>30</v>
      </c>
      <c r="H856" s="6">
        <v>1</v>
      </c>
      <c r="I856" s="6" t="s">
        <v>437</v>
      </c>
      <c r="J856" s="6" t="s">
        <v>1778</v>
      </c>
      <c r="K856" s="6">
        <v>520</v>
      </c>
      <c r="L856" s="6" t="s">
        <v>42</v>
      </c>
      <c r="M856" s="6" t="s">
        <v>34</v>
      </c>
    </row>
    <row r="857" spans="1:13">
      <c r="A857" s="6" t="s">
        <v>1779</v>
      </c>
      <c r="B857" s="7">
        <v>46204</v>
      </c>
      <c r="C857" s="6" t="s">
        <v>1780</v>
      </c>
      <c r="D857" s="6" t="s">
        <v>45</v>
      </c>
      <c r="E857" s="6" t="s">
        <v>28</v>
      </c>
      <c r="F857" s="6" t="s">
        <v>47</v>
      </c>
      <c r="G857" s="6" t="s">
        <v>48</v>
      </c>
      <c r="H857" s="6">
        <v>3</v>
      </c>
      <c r="I857" s="6" t="s">
        <v>31</v>
      </c>
      <c r="J857" s="6" t="s">
        <v>337</v>
      </c>
      <c r="K857" s="6" t="s">
        <v>49</v>
      </c>
      <c r="L857" s="6" t="s">
        <v>42</v>
      </c>
      <c r="M857" s="6" t="s">
        <v>34</v>
      </c>
    </row>
    <row r="858" spans="1:13">
      <c r="A858" s="6" t="s">
        <v>1781</v>
      </c>
      <c r="B858" s="7">
        <v>46059</v>
      </c>
      <c r="C858" s="6" t="s">
        <v>1340</v>
      </c>
      <c r="D858" s="6" t="s">
        <v>110</v>
      </c>
      <c r="E858" s="6" t="s">
        <v>46</v>
      </c>
      <c r="F858" s="6" t="s">
        <v>100</v>
      </c>
      <c r="G858" s="6" t="s">
        <v>101</v>
      </c>
      <c r="H858" s="6">
        <v>1</v>
      </c>
      <c r="I858" s="6" t="s">
        <v>79</v>
      </c>
      <c r="J858" s="6" t="s">
        <v>79</v>
      </c>
      <c r="K858" s="6">
        <v>640</v>
      </c>
      <c r="L858" s="6" t="s">
        <v>42</v>
      </c>
      <c r="M858" s="6" t="s">
        <v>69</v>
      </c>
    </row>
    <row r="859" spans="1:13">
      <c r="A859" s="6" t="s">
        <v>1782</v>
      </c>
      <c r="B859" s="7">
        <v>46131</v>
      </c>
      <c r="C859" s="6" t="s">
        <v>1296</v>
      </c>
      <c r="D859" s="6" t="s">
        <v>45</v>
      </c>
      <c r="E859" s="6" t="s">
        <v>46</v>
      </c>
      <c r="F859" s="6" t="s">
        <v>53</v>
      </c>
      <c r="G859" s="6" t="s">
        <v>54</v>
      </c>
      <c r="H859" s="6">
        <v>1</v>
      </c>
      <c r="I859" s="6" t="s">
        <v>265</v>
      </c>
      <c r="J859" s="6" t="s">
        <v>265</v>
      </c>
      <c r="K859" s="6">
        <v>190</v>
      </c>
      <c r="L859" s="6" t="s">
        <v>42</v>
      </c>
      <c r="M859" s="6" t="s">
        <v>34</v>
      </c>
    </row>
    <row r="860" spans="1:13">
      <c r="A860" s="6" t="s">
        <v>1783</v>
      </c>
      <c r="B860" s="7">
        <v>46137</v>
      </c>
      <c r="C860" s="6" t="s">
        <v>1784</v>
      </c>
      <c r="D860" s="6" t="s">
        <v>72</v>
      </c>
      <c r="E860" s="6" t="s">
        <v>78</v>
      </c>
      <c r="F860" s="6" t="s">
        <v>38</v>
      </c>
      <c r="G860" s="6" t="s">
        <v>39</v>
      </c>
      <c r="H860" s="6">
        <v>2</v>
      </c>
      <c r="I860" s="6" t="s">
        <v>82</v>
      </c>
      <c r="J860" s="6" t="s">
        <v>297</v>
      </c>
      <c r="K860" s="6" t="s">
        <v>41</v>
      </c>
      <c r="L860" s="6" t="s">
        <v>33</v>
      </c>
      <c r="M860" s="6" t="s">
        <v>34</v>
      </c>
    </row>
    <row r="861" spans="1:13">
      <c r="A861" s="6" t="s">
        <v>1785</v>
      </c>
      <c r="B861" s="7">
        <v>46203</v>
      </c>
      <c r="C861" s="6" t="s">
        <v>1414</v>
      </c>
      <c r="D861" s="6" t="s">
        <v>27</v>
      </c>
      <c r="E861" s="6" t="s">
        <v>78</v>
      </c>
      <c r="F861" s="6" t="s">
        <v>85</v>
      </c>
      <c r="G861" s="6" t="s">
        <v>86</v>
      </c>
      <c r="H861" s="6">
        <v>-3</v>
      </c>
      <c r="I861" s="6" t="s">
        <v>265</v>
      </c>
      <c r="J861" s="8" t="s">
        <v>1786</v>
      </c>
      <c r="K861" s="6" t="s">
        <v>87</v>
      </c>
      <c r="L861" s="6" t="s">
        <v>42</v>
      </c>
      <c r="M861" s="6" t="s">
        <v>34</v>
      </c>
    </row>
    <row r="862" spans="1:13">
      <c r="A862" s="6" t="s">
        <v>1787</v>
      </c>
      <c r="B862" s="7">
        <v>46030</v>
      </c>
      <c r="C862" s="6" t="s">
        <v>1788</v>
      </c>
      <c r="D862" s="6" t="s">
        <v>57</v>
      </c>
      <c r="E862" s="6" t="s">
        <v>78</v>
      </c>
      <c r="F862" s="6" t="s">
        <v>29</v>
      </c>
      <c r="G862" s="6" t="s">
        <v>30</v>
      </c>
      <c r="H862" s="6">
        <v>3</v>
      </c>
      <c r="I862" s="6" t="s">
        <v>67</v>
      </c>
      <c r="J862" s="6" t="s">
        <v>68</v>
      </c>
      <c r="K862" s="6">
        <v>520</v>
      </c>
      <c r="L862" s="6" t="s">
        <v>42</v>
      </c>
      <c r="M862" s="6" t="s">
        <v>34</v>
      </c>
    </row>
    <row r="863" spans="1:13">
      <c r="A863" s="6" t="s">
        <v>1789</v>
      </c>
      <c r="B863" s="6" t="s">
        <v>435</v>
      </c>
      <c r="C863" s="6" t="s">
        <v>988</v>
      </c>
      <c r="D863" s="6" t="s">
        <v>45</v>
      </c>
      <c r="E863" s="6" t="s">
        <v>78</v>
      </c>
      <c r="F863" s="6" t="s">
        <v>85</v>
      </c>
      <c r="G863" s="6" t="s">
        <v>86</v>
      </c>
      <c r="H863" s="6">
        <v>-1</v>
      </c>
      <c r="I863" s="6" t="s">
        <v>117</v>
      </c>
      <c r="J863" s="8" t="s">
        <v>213</v>
      </c>
      <c r="K863" s="6">
        <v>410</v>
      </c>
      <c r="L863" s="6" t="s">
        <v>42</v>
      </c>
      <c r="M863" s="6" t="s">
        <v>34</v>
      </c>
    </row>
    <row r="864" spans="1:13">
      <c r="A864" s="6" t="s">
        <v>1790</v>
      </c>
      <c r="B864" s="7">
        <v>46062</v>
      </c>
      <c r="C864" s="6" t="s">
        <v>1791</v>
      </c>
      <c r="D864" s="6" t="s">
        <v>45</v>
      </c>
      <c r="E864" s="6" t="s">
        <v>28</v>
      </c>
      <c r="F864" s="6" t="s">
        <v>85</v>
      </c>
      <c r="G864" s="6" t="s">
        <v>86</v>
      </c>
      <c r="H864" s="6">
        <v>1</v>
      </c>
      <c r="I864" s="6" t="s">
        <v>60</v>
      </c>
      <c r="J864" s="6" t="s">
        <v>60</v>
      </c>
      <c r="K864" s="6">
        <v>410</v>
      </c>
      <c r="L864" s="6" t="s">
        <v>33</v>
      </c>
      <c r="M864" s="6" t="s">
        <v>34</v>
      </c>
    </row>
    <row r="865" spans="1:13">
      <c r="A865" s="6" t="s">
        <v>1792</v>
      </c>
      <c r="B865" s="7">
        <v>46192</v>
      </c>
      <c r="C865" s="6" t="s">
        <v>1793</v>
      </c>
      <c r="D865" s="6" t="s">
        <v>110</v>
      </c>
      <c r="E865" s="6" t="s">
        <v>78</v>
      </c>
      <c r="F865" s="6" t="s">
        <v>29</v>
      </c>
      <c r="G865" s="6" t="s">
        <v>30</v>
      </c>
      <c r="H865" s="6">
        <v>2</v>
      </c>
      <c r="I865" s="6" t="s">
        <v>117</v>
      </c>
      <c r="J865" s="6" t="s">
        <v>118</v>
      </c>
      <c r="K865" s="6" t="s">
        <v>41</v>
      </c>
      <c r="L865" s="6" t="s">
        <v>33</v>
      </c>
      <c r="M865" s="6" t="s">
        <v>34</v>
      </c>
    </row>
    <row r="866" spans="1:13">
      <c r="A866" s="6" t="s">
        <v>1794</v>
      </c>
      <c r="B866" s="7">
        <v>46168</v>
      </c>
      <c r="C866" s="6" t="s">
        <v>1795</v>
      </c>
      <c r="D866" s="6" t="s">
        <v>110</v>
      </c>
      <c r="E866" s="6" t="s">
        <v>28</v>
      </c>
      <c r="F866" s="6" t="s">
        <v>85</v>
      </c>
      <c r="G866" s="6" t="s">
        <v>86</v>
      </c>
      <c r="H866" s="6">
        <v>3</v>
      </c>
      <c r="I866" s="6" t="s">
        <v>143</v>
      </c>
      <c r="J866" s="6" t="s">
        <v>243</v>
      </c>
      <c r="K866" s="6" t="s">
        <v>87</v>
      </c>
      <c r="L866" s="6" t="s">
        <v>33</v>
      </c>
      <c r="M866" s="6" t="s">
        <v>69</v>
      </c>
    </row>
    <row r="867" spans="1:13">
      <c r="A867" s="6" t="s">
        <v>1796</v>
      </c>
      <c r="B867" s="7">
        <v>46196</v>
      </c>
      <c r="C867" s="6" t="s">
        <v>1797</v>
      </c>
      <c r="D867" s="6" t="s">
        <v>77</v>
      </c>
      <c r="E867" s="6" t="s">
        <v>28</v>
      </c>
      <c r="F867" s="6" t="s">
        <v>53</v>
      </c>
      <c r="G867" s="6" t="s">
        <v>54</v>
      </c>
      <c r="H867" s="6">
        <v>3</v>
      </c>
      <c r="I867" s="6" t="s">
        <v>265</v>
      </c>
      <c r="J867" s="6" t="s">
        <v>401</v>
      </c>
      <c r="K867" s="6" t="s">
        <v>122</v>
      </c>
      <c r="L867" s="6" t="s">
        <v>42</v>
      </c>
      <c r="M867" s="6" t="s">
        <v>69</v>
      </c>
    </row>
    <row r="868" spans="1:13">
      <c r="A868" s="6" t="s">
        <v>1798</v>
      </c>
      <c r="B868" s="7">
        <v>46177</v>
      </c>
      <c r="C868" s="6" t="s">
        <v>699</v>
      </c>
      <c r="D868" s="6" t="s">
        <v>127</v>
      </c>
      <c r="E868" s="6" t="s">
        <v>37</v>
      </c>
      <c r="F868" s="6" t="s">
        <v>58</v>
      </c>
      <c r="G868" s="6" t="s">
        <v>59</v>
      </c>
      <c r="H868" s="6">
        <v>2</v>
      </c>
      <c r="I868" s="6" t="s">
        <v>82</v>
      </c>
      <c r="J868" s="6" t="s">
        <v>297</v>
      </c>
      <c r="K868" s="6" t="s">
        <v>61</v>
      </c>
      <c r="L868" s="6" t="s">
        <v>42</v>
      </c>
      <c r="M868" s="6" t="s">
        <v>34</v>
      </c>
    </row>
    <row r="869" spans="1:13">
      <c r="A869" s="6" t="s">
        <v>1799</v>
      </c>
      <c r="B869" s="7">
        <v>46179</v>
      </c>
      <c r="C869" s="6" t="s">
        <v>1800</v>
      </c>
      <c r="D869" s="6" t="s">
        <v>110</v>
      </c>
      <c r="E869" s="6" t="s">
        <v>28</v>
      </c>
      <c r="F869" s="6" t="s">
        <v>29</v>
      </c>
      <c r="G869" s="6" t="s">
        <v>30</v>
      </c>
      <c r="H869" s="6">
        <v>1</v>
      </c>
      <c r="I869" s="6" t="s">
        <v>96</v>
      </c>
      <c r="J869" s="6" t="s">
        <v>96</v>
      </c>
      <c r="K869" s="6" t="s">
        <v>41</v>
      </c>
      <c r="L869" s="6" t="s">
        <v>42</v>
      </c>
      <c r="M869" s="6" t="s">
        <v>34</v>
      </c>
    </row>
    <row r="870" spans="1:13">
      <c r="A870" s="6" t="s">
        <v>1801</v>
      </c>
      <c r="B870" s="7">
        <v>46130</v>
      </c>
      <c r="C870" s="6" t="s">
        <v>544</v>
      </c>
      <c r="D870" s="6" t="s">
        <v>110</v>
      </c>
      <c r="E870" s="6" t="s">
        <v>52</v>
      </c>
      <c r="F870" s="6" t="s">
        <v>58</v>
      </c>
      <c r="G870" s="6" t="s">
        <v>59</v>
      </c>
      <c r="H870" s="6">
        <v>1</v>
      </c>
      <c r="I870" s="6" t="s">
        <v>113</v>
      </c>
      <c r="J870" s="6" t="s">
        <v>113</v>
      </c>
      <c r="K870" s="6">
        <v>380</v>
      </c>
      <c r="L870" s="6" t="s">
        <v>42</v>
      </c>
      <c r="M870" s="6" t="s">
        <v>34</v>
      </c>
    </row>
    <row r="871" spans="1:13">
      <c r="A871" s="6" t="s">
        <v>1802</v>
      </c>
      <c r="B871" s="7">
        <v>46131</v>
      </c>
      <c r="C871" s="6" t="s">
        <v>1803</v>
      </c>
      <c r="D871" s="6" t="s">
        <v>45</v>
      </c>
      <c r="E871" s="6" t="s">
        <v>37</v>
      </c>
      <c r="F871" s="6" t="s">
        <v>47</v>
      </c>
      <c r="G871" s="6" t="s">
        <v>48</v>
      </c>
      <c r="H871" s="6">
        <v>1</v>
      </c>
      <c r="I871" s="6" t="s">
        <v>73</v>
      </c>
      <c r="J871" s="6" t="s">
        <v>73</v>
      </c>
      <c r="K871" s="6">
        <v>85</v>
      </c>
      <c r="L871" s="6" t="s">
        <v>42</v>
      </c>
      <c r="M871" s="6" t="s">
        <v>69</v>
      </c>
    </row>
    <row r="872" spans="1:13">
      <c r="A872" s="6" t="s">
        <v>1804</v>
      </c>
      <c r="B872" s="7">
        <v>46103</v>
      </c>
      <c r="C872" s="6" t="s">
        <v>646</v>
      </c>
      <c r="D872" s="6" t="s">
        <v>45</v>
      </c>
      <c r="E872" s="6" t="s">
        <v>52</v>
      </c>
      <c r="F872" s="6" t="s">
        <v>94</v>
      </c>
      <c r="G872" s="6" t="s">
        <v>95</v>
      </c>
      <c r="H872" s="6">
        <v>3</v>
      </c>
      <c r="I872" s="6" t="s">
        <v>113</v>
      </c>
      <c r="J872" s="6" t="s">
        <v>138</v>
      </c>
      <c r="K872" s="6">
        <v>340</v>
      </c>
      <c r="L872" s="6" t="s">
        <v>42</v>
      </c>
      <c r="M872" s="6" t="s">
        <v>34</v>
      </c>
    </row>
    <row r="873" spans="1:13">
      <c r="A873" s="6" t="s">
        <v>1805</v>
      </c>
      <c r="B873" s="7">
        <v>46160</v>
      </c>
      <c r="C873" s="6" t="s">
        <v>1221</v>
      </c>
      <c r="D873" s="6" t="s">
        <v>105</v>
      </c>
      <c r="E873" s="6" t="s">
        <v>28</v>
      </c>
      <c r="F873" s="6" t="s">
        <v>29</v>
      </c>
      <c r="G873" s="6" t="s">
        <v>30</v>
      </c>
      <c r="H873" s="6">
        <v>1</v>
      </c>
      <c r="I873" s="6" t="s">
        <v>143</v>
      </c>
      <c r="J873" s="6" t="s">
        <v>143</v>
      </c>
      <c r="K873" s="6" t="s">
        <v>41</v>
      </c>
      <c r="L873" s="6" t="s">
        <v>42</v>
      </c>
      <c r="M873" s="6" t="s">
        <v>69</v>
      </c>
    </row>
    <row r="874" spans="1:13">
      <c r="A874" s="6" t="s">
        <v>1806</v>
      </c>
      <c r="B874" s="7">
        <v>46183</v>
      </c>
      <c r="C874" s="6" t="s">
        <v>1807</v>
      </c>
      <c r="D874" s="6" t="s">
        <v>105</v>
      </c>
      <c r="E874" s="6" t="s">
        <v>46</v>
      </c>
      <c r="F874" s="6" t="s">
        <v>47</v>
      </c>
      <c r="G874" s="6" t="s">
        <v>48</v>
      </c>
      <c r="H874" s="6">
        <v>2</v>
      </c>
      <c r="I874" s="6" t="s">
        <v>231</v>
      </c>
      <c r="J874" s="6" t="s">
        <v>268</v>
      </c>
      <c r="K874" s="6" t="s">
        <v>49</v>
      </c>
      <c r="L874" s="6" t="s">
        <v>42</v>
      </c>
      <c r="M874" s="6" t="s">
        <v>34</v>
      </c>
    </row>
    <row r="875" spans="1:13">
      <c r="A875" s="6" t="s">
        <v>1808</v>
      </c>
      <c r="B875" s="7">
        <v>46031</v>
      </c>
      <c r="C875" s="6" t="s">
        <v>1809</v>
      </c>
      <c r="D875" s="6" t="s">
        <v>72</v>
      </c>
      <c r="E875" s="6" t="s">
        <v>46</v>
      </c>
      <c r="F875" s="6" t="s">
        <v>47</v>
      </c>
      <c r="G875" s="6" t="s">
        <v>48</v>
      </c>
      <c r="H875" s="6">
        <v>2</v>
      </c>
      <c r="I875" s="6" t="s">
        <v>67</v>
      </c>
      <c r="J875" s="6" t="s">
        <v>204</v>
      </c>
      <c r="K875" s="6">
        <v>85</v>
      </c>
      <c r="L875" s="6" t="s">
        <v>33</v>
      </c>
      <c r="M875" s="6" t="s">
        <v>34</v>
      </c>
    </row>
    <row r="876" spans="1:13">
      <c r="A876" s="6" t="s">
        <v>1810</v>
      </c>
      <c r="B876" s="7">
        <v>46094</v>
      </c>
      <c r="C876" s="6" t="s">
        <v>1811</v>
      </c>
      <c r="D876" s="6" t="s">
        <v>27</v>
      </c>
      <c r="E876" s="6" t="s">
        <v>78</v>
      </c>
      <c r="F876" s="6" t="s">
        <v>47</v>
      </c>
      <c r="G876" s="6" t="s">
        <v>48</v>
      </c>
      <c r="H876" s="6">
        <v>2</v>
      </c>
      <c r="I876" s="6" t="s">
        <v>117</v>
      </c>
      <c r="J876" s="6" t="s">
        <v>118</v>
      </c>
      <c r="K876" s="6">
        <v>85</v>
      </c>
      <c r="L876" s="6" t="s">
        <v>42</v>
      </c>
      <c r="M876" s="6" t="s">
        <v>69</v>
      </c>
    </row>
    <row r="877" spans="1:13">
      <c r="A877" s="6" t="s">
        <v>1812</v>
      </c>
      <c r="B877" s="7">
        <v>46205</v>
      </c>
      <c r="C877" s="6" t="s">
        <v>1813</v>
      </c>
      <c r="D877" s="6" t="s">
        <v>57</v>
      </c>
      <c r="E877" s="6" t="s">
        <v>78</v>
      </c>
      <c r="F877" s="6" t="s">
        <v>100</v>
      </c>
      <c r="G877" s="6" t="s">
        <v>101</v>
      </c>
      <c r="H877" s="6">
        <v>1</v>
      </c>
      <c r="I877" s="6" t="s">
        <v>147</v>
      </c>
      <c r="J877" s="6" t="s">
        <v>147</v>
      </c>
      <c r="K877" s="6" t="s">
        <v>119</v>
      </c>
      <c r="L877" s="6" t="s">
        <v>42</v>
      </c>
      <c r="M877" s="6" t="s">
        <v>69</v>
      </c>
    </row>
    <row r="878" spans="1:13">
      <c r="A878" s="6" t="s">
        <v>1814</v>
      </c>
      <c r="B878" s="7">
        <v>46103</v>
      </c>
      <c r="C878" s="6" t="s">
        <v>486</v>
      </c>
      <c r="D878" s="6" t="s">
        <v>57</v>
      </c>
      <c r="E878" s="6" t="s">
        <v>52</v>
      </c>
      <c r="F878" s="6" t="s">
        <v>47</v>
      </c>
      <c r="G878" s="6" t="s">
        <v>48</v>
      </c>
      <c r="H878" s="6">
        <v>2</v>
      </c>
      <c r="I878" s="6" t="s">
        <v>90</v>
      </c>
      <c r="J878" s="6" t="s">
        <v>278</v>
      </c>
      <c r="K878" s="6">
        <v>85</v>
      </c>
      <c r="L878" s="6" t="s">
        <v>42</v>
      </c>
      <c r="M878" s="6" t="s">
        <v>69</v>
      </c>
    </row>
    <row r="879" spans="1:13">
      <c r="A879" s="6" t="s">
        <v>1815</v>
      </c>
      <c r="B879" s="7">
        <v>46169</v>
      </c>
      <c r="C879" s="6" t="s">
        <v>71</v>
      </c>
      <c r="D879" s="6" t="s">
        <v>64</v>
      </c>
      <c r="E879" s="6" t="s">
        <v>78</v>
      </c>
      <c r="F879" s="6" t="s">
        <v>58</v>
      </c>
      <c r="G879" s="6" t="s">
        <v>59</v>
      </c>
      <c r="H879" s="6">
        <v>1</v>
      </c>
      <c r="I879" s="6" t="s">
        <v>143</v>
      </c>
      <c r="J879" s="6" t="s">
        <v>143</v>
      </c>
      <c r="K879" s="6" t="s">
        <v>61</v>
      </c>
      <c r="L879" s="6" t="s">
        <v>42</v>
      </c>
      <c r="M879" s="6" t="s">
        <v>69</v>
      </c>
    </row>
    <row r="880" spans="1:13">
      <c r="A880" s="6" t="s">
        <v>1816</v>
      </c>
      <c r="B880" s="7">
        <v>46109</v>
      </c>
      <c r="C880" s="6" t="s">
        <v>1179</v>
      </c>
      <c r="D880" s="6" t="s">
        <v>57</v>
      </c>
      <c r="E880" s="6" t="s">
        <v>78</v>
      </c>
      <c r="F880" s="6" t="s">
        <v>38</v>
      </c>
      <c r="G880" s="6" t="s">
        <v>39</v>
      </c>
      <c r="H880" s="6">
        <v>1</v>
      </c>
      <c r="I880" s="6" t="s">
        <v>79</v>
      </c>
      <c r="J880" s="6" t="s">
        <v>79</v>
      </c>
      <c r="K880" s="6">
        <v>520</v>
      </c>
      <c r="L880" s="6" t="s">
        <v>42</v>
      </c>
      <c r="M880" s="6" t="s">
        <v>69</v>
      </c>
    </row>
    <row r="881" spans="1:13">
      <c r="A881" s="6" t="s">
        <v>1817</v>
      </c>
      <c r="B881" s="6" t="s">
        <v>1818</v>
      </c>
      <c r="C881" s="6" t="s">
        <v>1819</v>
      </c>
      <c r="D881" s="6" t="s">
        <v>72</v>
      </c>
      <c r="E881" s="6" t="s">
        <v>78</v>
      </c>
      <c r="F881" s="6" t="s">
        <v>29</v>
      </c>
      <c r="G881" s="6" t="s">
        <v>30</v>
      </c>
      <c r="H881" s="6">
        <v>2</v>
      </c>
      <c r="I881" s="6" t="s">
        <v>117</v>
      </c>
      <c r="J881" s="6" t="s">
        <v>118</v>
      </c>
      <c r="K881" s="6" t="s">
        <v>41</v>
      </c>
      <c r="L881" s="6" t="s">
        <v>42</v>
      </c>
      <c r="M881" s="6" t="s">
        <v>34</v>
      </c>
    </row>
    <row r="882" spans="1:13">
      <c r="A882" s="6" t="s">
        <v>1820</v>
      </c>
      <c r="B882" s="7">
        <v>46192</v>
      </c>
      <c r="C882" s="6" t="s">
        <v>1300</v>
      </c>
      <c r="D882" s="6" t="s">
        <v>127</v>
      </c>
      <c r="E882" s="6" t="s">
        <v>28</v>
      </c>
      <c r="F882" s="6" t="s">
        <v>38</v>
      </c>
      <c r="G882" s="6" t="s">
        <v>39</v>
      </c>
      <c r="H882" s="6">
        <v>1</v>
      </c>
      <c r="I882" s="6" t="s">
        <v>113</v>
      </c>
      <c r="J882" s="6" t="s">
        <v>113</v>
      </c>
      <c r="K882" s="6" t="s">
        <v>41</v>
      </c>
      <c r="L882" s="6" t="s">
        <v>42</v>
      </c>
      <c r="M882" s="6" t="s">
        <v>34</v>
      </c>
    </row>
    <row r="883" spans="1:13">
      <c r="A883" s="6" t="s">
        <v>1821</v>
      </c>
      <c r="B883" s="7">
        <v>46031</v>
      </c>
      <c r="C883" s="6" t="s">
        <v>1822</v>
      </c>
      <c r="D883" s="6" t="s">
        <v>110</v>
      </c>
      <c r="E883" s="6" t="s">
        <v>46</v>
      </c>
      <c r="F883" s="6" t="s">
        <v>94</v>
      </c>
      <c r="G883" s="6" t="s">
        <v>95</v>
      </c>
      <c r="H883" s="6">
        <v>1</v>
      </c>
      <c r="I883" s="6" t="s">
        <v>511</v>
      </c>
      <c r="J883" s="6" t="s">
        <v>231</v>
      </c>
      <c r="K883" s="6">
        <v>340</v>
      </c>
      <c r="L883" s="6" t="s">
        <v>33</v>
      </c>
      <c r="M883" s="6" t="s">
        <v>34</v>
      </c>
    </row>
    <row r="884" spans="1:13">
      <c r="A884" s="6" t="s">
        <v>1823</v>
      </c>
      <c r="B884" s="7">
        <v>46029</v>
      </c>
      <c r="C884" s="6" t="s">
        <v>1824</v>
      </c>
      <c r="D884" s="6" t="s">
        <v>45</v>
      </c>
      <c r="E884" s="6" t="s">
        <v>52</v>
      </c>
      <c r="F884" s="6" t="s">
        <v>38</v>
      </c>
      <c r="G884" s="6" t="s">
        <v>39</v>
      </c>
      <c r="H884" s="6">
        <v>3</v>
      </c>
      <c r="I884" s="6" t="s">
        <v>60</v>
      </c>
      <c r="J884" s="6" t="s">
        <v>268</v>
      </c>
      <c r="K884" s="6">
        <v>520</v>
      </c>
      <c r="L884" s="6" t="s">
        <v>33</v>
      </c>
      <c r="M884" s="6" t="s">
        <v>34</v>
      </c>
    </row>
    <row r="885" spans="1:13">
      <c r="A885" s="6" t="s">
        <v>1825</v>
      </c>
      <c r="B885" s="7">
        <v>46117</v>
      </c>
      <c r="C885" s="6" t="s">
        <v>1826</v>
      </c>
      <c r="D885" s="6" t="s">
        <v>57</v>
      </c>
      <c r="E885" s="6" t="s">
        <v>52</v>
      </c>
      <c r="F885" s="6" t="s">
        <v>47</v>
      </c>
      <c r="G885" s="6" t="s">
        <v>48</v>
      </c>
      <c r="H885" s="6">
        <v>1</v>
      </c>
      <c r="I885" s="6" t="s">
        <v>73</v>
      </c>
      <c r="J885" s="6" t="s">
        <v>73</v>
      </c>
      <c r="K885" s="6">
        <v>85</v>
      </c>
      <c r="L885" s="6" t="s">
        <v>42</v>
      </c>
      <c r="M885" s="6" t="s">
        <v>69</v>
      </c>
    </row>
    <row r="886" spans="1:13">
      <c r="A886" s="6" t="s">
        <v>1827</v>
      </c>
      <c r="B886" s="7">
        <v>46179</v>
      </c>
      <c r="C886" s="6" t="s">
        <v>1828</v>
      </c>
      <c r="D886" s="6" t="s">
        <v>127</v>
      </c>
      <c r="E886" s="6" t="s">
        <v>46</v>
      </c>
      <c r="F886" s="6" t="s">
        <v>94</v>
      </c>
      <c r="G886" s="6" t="s">
        <v>95</v>
      </c>
      <c r="H886" s="6">
        <v>3</v>
      </c>
      <c r="I886" s="6" t="s">
        <v>90</v>
      </c>
      <c r="J886" s="6" t="s">
        <v>102</v>
      </c>
      <c r="K886" s="6" t="s">
        <v>114</v>
      </c>
      <c r="L886" s="6" t="s">
        <v>33</v>
      </c>
      <c r="M886" s="6" t="s">
        <v>34</v>
      </c>
    </row>
    <row r="887" spans="1:13">
      <c r="A887" s="6" t="s">
        <v>1829</v>
      </c>
      <c r="B887" s="7">
        <v>46078</v>
      </c>
      <c r="C887" s="6" t="s">
        <v>1746</v>
      </c>
      <c r="D887" s="6" t="s">
        <v>57</v>
      </c>
      <c r="E887" s="6" t="s">
        <v>28</v>
      </c>
      <c r="F887" s="6" t="s">
        <v>29</v>
      </c>
      <c r="G887" s="6" t="s">
        <v>30</v>
      </c>
      <c r="H887" s="6">
        <v>3</v>
      </c>
      <c r="I887" s="6" t="s">
        <v>181</v>
      </c>
      <c r="J887" s="6" t="s">
        <v>867</v>
      </c>
      <c r="K887" s="6">
        <v>520</v>
      </c>
      <c r="L887" s="6" t="s">
        <v>33</v>
      </c>
      <c r="M887" s="6" t="s">
        <v>69</v>
      </c>
    </row>
    <row r="888" spans="1:13">
      <c r="A888" s="6" t="s">
        <v>1830</v>
      </c>
      <c r="B888" s="6" t="s">
        <v>1831</v>
      </c>
      <c r="C888" s="6" t="s">
        <v>150</v>
      </c>
      <c r="D888" s="6" t="s">
        <v>27</v>
      </c>
      <c r="E888" s="6" t="s">
        <v>52</v>
      </c>
      <c r="F888" s="6" t="s">
        <v>85</v>
      </c>
      <c r="G888" s="6" t="s">
        <v>86</v>
      </c>
      <c r="H888" s="6">
        <v>1</v>
      </c>
      <c r="I888" s="6" t="s">
        <v>151</v>
      </c>
      <c r="J888" s="6" t="s">
        <v>31</v>
      </c>
      <c r="K888" s="6">
        <v>410</v>
      </c>
      <c r="L888" s="6" t="s">
        <v>42</v>
      </c>
      <c r="M888" s="6" t="s">
        <v>34</v>
      </c>
    </row>
    <row r="889" spans="1:13">
      <c r="A889" s="6" t="s">
        <v>1832</v>
      </c>
      <c r="B889" s="7">
        <v>46159</v>
      </c>
      <c r="C889" s="6" t="s">
        <v>1144</v>
      </c>
      <c r="D889" s="6" t="s">
        <v>45</v>
      </c>
      <c r="E889" s="6" t="s">
        <v>46</v>
      </c>
      <c r="F889" s="6" t="s">
        <v>58</v>
      </c>
      <c r="G889" s="6" t="s">
        <v>59</v>
      </c>
      <c r="H889" s="6">
        <v>3</v>
      </c>
      <c r="I889" s="6" t="s">
        <v>73</v>
      </c>
      <c r="J889" s="6" t="s">
        <v>499</v>
      </c>
      <c r="K889" s="6" t="s">
        <v>61</v>
      </c>
      <c r="L889" s="6" t="s">
        <v>42</v>
      </c>
      <c r="M889" s="6" t="s">
        <v>34</v>
      </c>
    </row>
    <row r="890" spans="1:13">
      <c r="A890" s="6" t="s">
        <v>1833</v>
      </c>
      <c r="B890" s="7">
        <v>46092</v>
      </c>
      <c r="C890" s="6" t="s">
        <v>1307</v>
      </c>
      <c r="D890" s="6" t="s">
        <v>105</v>
      </c>
      <c r="E890" s="6" t="s">
        <v>37</v>
      </c>
      <c r="F890" s="6" t="s">
        <v>85</v>
      </c>
      <c r="G890" s="6" t="s">
        <v>86</v>
      </c>
      <c r="H890" s="6">
        <v>3</v>
      </c>
      <c r="I890" s="6" t="s">
        <v>90</v>
      </c>
      <c r="J890" s="6" t="s">
        <v>102</v>
      </c>
      <c r="K890" s="6">
        <v>410</v>
      </c>
      <c r="L890" s="6" t="s">
        <v>42</v>
      </c>
      <c r="M890" s="6" t="s">
        <v>34</v>
      </c>
    </row>
    <row r="891" spans="1:13">
      <c r="A891" s="6" t="s">
        <v>1834</v>
      </c>
      <c r="B891" s="7">
        <v>46082</v>
      </c>
      <c r="C891" s="6" t="s">
        <v>1835</v>
      </c>
      <c r="D891" s="6" t="s">
        <v>105</v>
      </c>
      <c r="E891" s="6" t="s">
        <v>52</v>
      </c>
      <c r="F891" s="6" t="s">
        <v>38</v>
      </c>
      <c r="G891" s="6" t="s">
        <v>39</v>
      </c>
      <c r="H891" s="6">
        <v>1</v>
      </c>
      <c r="I891" s="6" t="s">
        <v>117</v>
      </c>
      <c r="J891" s="6" t="s">
        <v>117</v>
      </c>
      <c r="K891" s="6">
        <v>520</v>
      </c>
      <c r="L891" s="6" t="s">
        <v>42</v>
      </c>
      <c r="M891" s="6" t="s">
        <v>69</v>
      </c>
    </row>
    <row r="892" spans="1:13">
      <c r="A892" s="6" t="s">
        <v>1836</v>
      </c>
      <c r="B892" s="7">
        <v>46075</v>
      </c>
      <c r="C892" s="6" t="s">
        <v>1837</v>
      </c>
      <c r="D892" s="6" t="s">
        <v>45</v>
      </c>
      <c r="E892" s="6" t="s">
        <v>78</v>
      </c>
      <c r="F892" s="6" t="s">
        <v>94</v>
      </c>
      <c r="G892" s="6" t="s">
        <v>95</v>
      </c>
      <c r="H892" s="6">
        <v>1</v>
      </c>
      <c r="I892" s="6" t="s">
        <v>67</v>
      </c>
      <c r="J892" s="6" t="s">
        <v>67</v>
      </c>
      <c r="K892" s="6">
        <v>340</v>
      </c>
      <c r="L892" s="6" t="s">
        <v>42</v>
      </c>
      <c r="M892" s="6" t="s">
        <v>34</v>
      </c>
    </row>
    <row r="893" spans="1:13">
      <c r="A893" s="6" t="s">
        <v>1838</v>
      </c>
      <c r="B893" s="7">
        <v>46035</v>
      </c>
      <c r="C893" s="6" t="s">
        <v>1839</v>
      </c>
      <c r="D893" s="6" t="s">
        <v>105</v>
      </c>
      <c r="E893" s="6" t="s">
        <v>28</v>
      </c>
      <c r="F893" s="6" t="s">
        <v>85</v>
      </c>
      <c r="G893" s="6" t="s">
        <v>86</v>
      </c>
      <c r="H893" s="6">
        <v>1</v>
      </c>
      <c r="I893" s="6" t="s">
        <v>67</v>
      </c>
      <c r="J893" s="6" t="s">
        <v>67</v>
      </c>
      <c r="K893" s="6">
        <v>410</v>
      </c>
      <c r="L893" s="6" t="s">
        <v>33</v>
      </c>
      <c r="M893" s="6" t="s">
        <v>34</v>
      </c>
    </row>
    <row r="894" spans="1:13">
      <c r="A894" s="6" t="s">
        <v>1840</v>
      </c>
      <c r="B894" s="7">
        <v>46143</v>
      </c>
      <c r="C894" s="6" t="s">
        <v>1403</v>
      </c>
      <c r="D894" s="6" t="s">
        <v>57</v>
      </c>
      <c r="E894" s="6" t="s">
        <v>78</v>
      </c>
      <c r="F894" s="6" t="s">
        <v>47</v>
      </c>
      <c r="G894" s="6" t="s">
        <v>48</v>
      </c>
      <c r="H894" s="6">
        <v>2</v>
      </c>
      <c r="I894" s="6" t="s">
        <v>82</v>
      </c>
      <c r="J894" s="6" t="s">
        <v>297</v>
      </c>
      <c r="K894" s="6" t="s">
        <v>49</v>
      </c>
      <c r="L894" s="6" t="s">
        <v>42</v>
      </c>
      <c r="M894" s="6" t="s">
        <v>34</v>
      </c>
    </row>
    <row r="895" spans="1:13">
      <c r="A895" s="6" t="s">
        <v>1841</v>
      </c>
      <c r="B895" s="7">
        <v>46114</v>
      </c>
      <c r="C895" s="6" t="s">
        <v>1842</v>
      </c>
      <c r="D895" s="6" t="s">
        <v>72</v>
      </c>
      <c r="E895" s="6" t="s">
        <v>52</v>
      </c>
      <c r="F895" s="6" t="s">
        <v>47</v>
      </c>
      <c r="G895" s="6" t="s">
        <v>48</v>
      </c>
      <c r="H895" s="6">
        <v>3</v>
      </c>
      <c r="I895" s="6" t="s">
        <v>113</v>
      </c>
      <c r="J895" s="6" t="s">
        <v>138</v>
      </c>
      <c r="K895" s="6">
        <v>85</v>
      </c>
      <c r="L895" s="6" t="s">
        <v>42</v>
      </c>
      <c r="M895" s="6" t="s">
        <v>69</v>
      </c>
    </row>
    <row r="896" spans="1:13">
      <c r="A896" s="6" t="s">
        <v>1843</v>
      </c>
      <c r="B896" s="7">
        <v>46048</v>
      </c>
      <c r="C896" s="6" t="s">
        <v>1844</v>
      </c>
      <c r="D896" s="6" t="s">
        <v>105</v>
      </c>
      <c r="E896" s="6" t="s">
        <v>28</v>
      </c>
      <c r="F896" s="6" t="s">
        <v>85</v>
      </c>
      <c r="G896" s="6" t="s">
        <v>86</v>
      </c>
      <c r="H896" s="6">
        <v>2</v>
      </c>
      <c r="I896" s="6" t="s">
        <v>60</v>
      </c>
      <c r="J896" s="6" t="s">
        <v>189</v>
      </c>
      <c r="K896" s="6">
        <v>410</v>
      </c>
      <c r="L896" s="6" t="s">
        <v>33</v>
      </c>
      <c r="M896" s="6" t="s">
        <v>34</v>
      </c>
    </row>
    <row r="897" spans="1:13">
      <c r="A897" s="6" t="s">
        <v>1845</v>
      </c>
      <c r="B897" s="7">
        <v>46199</v>
      </c>
      <c r="C897" s="6" t="s">
        <v>1846</v>
      </c>
      <c r="D897" s="6" t="s">
        <v>77</v>
      </c>
      <c r="E897" s="6" t="s">
        <v>46</v>
      </c>
      <c r="F897" s="6" t="s">
        <v>38</v>
      </c>
      <c r="G897" s="6" t="s">
        <v>39</v>
      </c>
      <c r="H897" s="6">
        <v>1</v>
      </c>
      <c r="I897" s="6" t="s">
        <v>79</v>
      </c>
      <c r="J897" s="6" t="s">
        <v>79</v>
      </c>
      <c r="K897" s="6" t="s">
        <v>41</v>
      </c>
      <c r="L897" s="6" t="s">
        <v>42</v>
      </c>
      <c r="M897" s="6" t="s">
        <v>34</v>
      </c>
    </row>
    <row r="898" spans="1:13">
      <c r="A898" s="6" t="s">
        <v>1847</v>
      </c>
      <c r="B898" s="7">
        <v>46053</v>
      </c>
      <c r="C898" s="6" t="s">
        <v>1149</v>
      </c>
      <c r="D898" s="6" t="s">
        <v>77</v>
      </c>
      <c r="E898" s="6" t="s">
        <v>52</v>
      </c>
      <c r="F898" s="6" t="s">
        <v>58</v>
      </c>
      <c r="G898" s="6" t="s">
        <v>59</v>
      </c>
      <c r="H898" s="6">
        <v>1</v>
      </c>
      <c r="I898" s="6" t="s">
        <v>143</v>
      </c>
      <c r="J898" s="6" t="s">
        <v>143</v>
      </c>
      <c r="K898" s="6">
        <v>380</v>
      </c>
      <c r="L898" s="6" t="s">
        <v>33</v>
      </c>
      <c r="M898" s="6" t="s">
        <v>34</v>
      </c>
    </row>
    <row r="899" spans="1:13">
      <c r="A899" s="6" t="s">
        <v>1848</v>
      </c>
      <c r="B899" s="7">
        <v>46069</v>
      </c>
      <c r="C899" s="6" t="s">
        <v>540</v>
      </c>
      <c r="D899" s="6" t="s">
        <v>64</v>
      </c>
      <c r="E899" s="6" t="s">
        <v>78</v>
      </c>
      <c r="F899" s="6" t="s">
        <v>94</v>
      </c>
      <c r="G899" s="6" t="s">
        <v>95</v>
      </c>
      <c r="H899" s="6">
        <v>1</v>
      </c>
      <c r="I899" s="6" t="s">
        <v>265</v>
      </c>
      <c r="J899" s="6" t="s">
        <v>265</v>
      </c>
      <c r="K899" s="6">
        <v>340</v>
      </c>
      <c r="L899" s="6" t="s">
        <v>42</v>
      </c>
      <c r="M899" s="6" t="s">
        <v>34</v>
      </c>
    </row>
    <row r="900" spans="1:13">
      <c r="A900" s="6" t="s">
        <v>1849</v>
      </c>
      <c r="B900" s="7">
        <v>46081</v>
      </c>
      <c r="C900" s="6" t="s">
        <v>1850</v>
      </c>
      <c r="D900" s="6" t="s">
        <v>45</v>
      </c>
      <c r="E900" s="6" t="s">
        <v>78</v>
      </c>
      <c r="F900" s="6" t="s">
        <v>58</v>
      </c>
      <c r="G900" s="6" t="s">
        <v>59</v>
      </c>
      <c r="H900" s="6">
        <v>1</v>
      </c>
      <c r="I900" s="6" t="s">
        <v>40</v>
      </c>
      <c r="J900" s="6" t="s">
        <v>40</v>
      </c>
      <c r="K900" s="6">
        <v>380</v>
      </c>
      <c r="L900" s="6" t="s">
        <v>42</v>
      </c>
      <c r="M900" s="6" t="s">
        <v>34</v>
      </c>
    </row>
    <row r="901" spans="1:13">
      <c r="A901" s="6" t="s">
        <v>1851</v>
      </c>
      <c r="B901" s="7">
        <v>46131</v>
      </c>
      <c r="C901" s="6" t="s">
        <v>1852</v>
      </c>
      <c r="D901" s="6" t="s">
        <v>77</v>
      </c>
      <c r="E901" s="6" t="s">
        <v>28</v>
      </c>
      <c r="F901" s="6" t="s">
        <v>85</v>
      </c>
      <c r="G901" s="6" t="s">
        <v>86</v>
      </c>
      <c r="H901" s="6">
        <v>2</v>
      </c>
      <c r="I901" s="6" t="s">
        <v>79</v>
      </c>
      <c r="J901" s="6" t="s">
        <v>259</v>
      </c>
      <c r="K901" s="6">
        <v>410</v>
      </c>
      <c r="L901" s="6" t="s">
        <v>42</v>
      </c>
      <c r="M901" s="6" t="s">
        <v>34</v>
      </c>
    </row>
    <row r="902" spans="1:13">
      <c r="A902" s="6" t="s">
        <v>1853</v>
      </c>
      <c r="B902" s="7">
        <v>46029</v>
      </c>
      <c r="C902" s="6" t="s">
        <v>1854</v>
      </c>
      <c r="D902" s="6" t="s">
        <v>77</v>
      </c>
      <c r="E902" s="6" t="s">
        <v>37</v>
      </c>
      <c r="F902" s="6" t="s">
        <v>38</v>
      </c>
      <c r="G902" s="6" t="s">
        <v>39</v>
      </c>
      <c r="H902" s="6">
        <v>1</v>
      </c>
      <c r="I902" s="6" t="s">
        <v>265</v>
      </c>
      <c r="J902" s="6" t="s">
        <v>265</v>
      </c>
      <c r="K902" s="6">
        <v>520</v>
      </c>
      <c r="L902" s="6" t="s">
        <v>42</v>
      </c>
      <c r="M902" s="6" t="s">
        <v>69</v>
      </c>
    </row>
    <row r="903" spans="1:13">
      <c r="A903" s="6" t="s">
        <v>1855</v>
      </c>
      <c r="B903" s="7">
        <v>46123</v>
      </c>
      <c r="C903" s="6" t="s">
        <v>107</v>
      </c>
      <c r="D903" s="6" t="s">
        <v>127</v>
      </c>
      <c r="E903" s="6" t="s">
        <v>46</v>
      </c>
      <c r="F903" s="6" t="s">
        <v>100</v>
      </c>
      <c r="G903" s="6" t="s">
        <v>101</v>
      </c>
      <c r="H903" s="6">
        <v>1</v>
      </c>
      <c r="I903" s="6" t="s">
        <v>231</v>
      </c>
      <c r="J903" s="6" t="s">
        <v>1436</v>
      </c>
      <c r="K903" s="6">
        <v>640</v>
      </c>
      <c r="L903" s="6" t="s">
        <v>42</v>
      </c>
      <c r="M903" s="6" t="s">
        <v>34</v>
      </c>
    </row>
    <row r="904" spans="1:13">
      <c r="A904" s="6" t="s">
        <v>1856</v>
      </c>
      <c r="B904" s="7">
        <v>46163</v>
      </c>
      <c r="C904" s="6" t="s">
        <v>515</v>
      </c>
      <c r="D904" s="6" t="s">
        <v>77</v>
      </c>
      <c r="E904" s="6" t="s">
        <v>37</v>
      </c>
      <c r="F904" s="6" t="s">
        <v>58</v>
      </c>
      <c r="G904" s="6" t="s">
        <v>59</v>
      </c>
      <c r="H904" s="6">
        <v>2</v>
      </c>
      <c r="I904" s="6" t="s">
        <v>82</v>
      </c>
      <c r="J904" s="6" t="s">
        <v>297</v>
      </c>
      <c r="K904" s="6" t="s">
        <v>61</v>
      </c>
      <c r="L904" s="6" t="s">
        <v>42</v>
      </c>
      <c r="M904" s="6" t="s">
        <v>34</v>
      </c>
    </row>
    <row r="905" spans="1:13">
      <c r="A905" s="6" t="s">
        <v>1857</v>
      </c>
      <c r="B905" s="7">
        <v>46187</v>
      </c>
      <c r="C905" s="6" t="s">
        <v>304</v>
      </c>
      <c r="D905" s="6" t="s">
        <v>110</v>
      </c>
      <c r="E905" s="6" t="s">
        <v>46</v>
      </c>
      <c r="F905" s="6" t="s">
        <v>100</v>
      </c>
      <c r="G905" s="6" t="s">
        <v>101</v>
      </c>
      <c r="H905" s="6">
        <v>1</v>
      </c>
      <c r="I905" s="6" t="s">
        <v>113</v>
      </c>
      <c r="J905" s="6" t="s">
        <v>113</v>
      </c>
      <c r="K905" s="6" t="s">
        <v>119</v>
      </c>
      <c r="L905" s="6" t="s">
        <v>42</v>
      </c>
      <c r="M905" s="6" t="s">
        <v>69</v>
      </c>
    </row>
    <row r="906" spans="1:13">
      <c r="A906" s="6" t="s">
        <v>1858</v>
      </c>
      <c r="B906" s="7">
        <v>46070</v>
      </c>
      <c r="C906" s="6" t="s">
        <v>1859</v>
      </c>
      <c r="D906" s="6" t="s">
        <v>64</v>
      </c>
      <c r="E906" s="6" t="s">
        <v>78</v>
      </c>
      <c r="F906" s="6" t="s">
        <v>53</v>
      </c>
      <c r="G906" s="6" t="s">
        <v>54</v>
      </c>
      <c r="H906" s="6">
        <v>1</v>
      </c>
      <c r="I906" s="6" t="s">
        <v>147</v>
      </c>
      <c r="J906" s="6" t="s">
        <v>147</v>
      </c>
      <c r="K906" s="6">
        <v>190</v>
      </c>
      <c r="L906" s="6" t="s">
        <v>42</v>
      </c>
      <c r="M906" s="6" t="s">
        <v>69</v>
      </c>
    </row>
    <row r="907" spans="1:13">
      <c r="A907" s="6" t="s">
        <v>1860</v>
      </c>
      <c r="B907" s="7">
        <v>46047</v>
      </c>
      <c r="C907" s="6" t="s">
        <v>1861</v>
      </c>
      <c r="D907" s="6" t="s">
        <v>77</v>
      </c>
      <c r="E907" s="6" t="s">
        <v>78</v>
      </c>
      <c r="F907" s="6" t="s">
        <v>58</v>
      </c>
      <c r="G907" s="6" t="s">
        <v>59</v>
      </c>
      <c r="H907" s="6">
        <v>1</v>
      </c>
      <c r="I907" s="6" t="s">
        <v>231</v>
      </c>
      <c r="J907" s="6" t="s">
        <v>231</v>
      </c>
      <c r="K907" s="6">
        <v>380</v>
      </c>
      <c r="L907" s="6" t="s">
        <v>42</v>
      </c>
      <c r="M907" s="6" t="s">
        <v>69</v>
      </c>
    </row>
    <row r="908" spans="1:13">
      <c r="A908" s="6" t="s">
        <v>1862</v>
      </c>
      <c r="B908" s="7">
        <v>46080</v>
      </c>
      <c r="C908" s="6" t="s">
        <v>1863</v>
      </c>
      <c r="D908" s="6" t="s">
        <v>45</v>
      </c>
      <c r="E908" s="6" t="s">
        <v>78</v>
      </c>
      <c r="F908" s="6" t="s">
        <v>53</v>
      </c>
      <c r="G908" s="6" t="s">
        <v>54</v>
      </c>
      <c r="H908" s="6">
        <v>1</v>
      </c>
      <c r="I908" s="6" t="s">
        <v>90</v>
      </c>
      <c r="J908" s="6" t="s">
        <v>90</v>
      </c>
      <c r="K908" s="6">
        <v>190</v>
      </c>
      <c r="L908" s="6" t="s">
        <v>42</v>
      </c>
      <c r="M908" s="6" t="s">
        <v>34</v>
      </c>
    </row>
    <row r="909" spans="1:13">
      <c r="A909" s="6" t="s">
        <v>1864</v>
      </c>
      <c r="B909" s="7">
        <v>46143</v>
      </c>
      <c r="C909" s="6" t="s">
        <v>1865</v>
      </c>
      <c r="D909" s="6" t="s">
        <v>105</v>
      </c>
      <c r="E909" s="6" t="s">
        <v>37</v>
      </c>
      <c r="F909" s="6" t="s">
        <v>94</v>
      </c>
      <c r="G909" s="6" t="s">
        <v>95</v>
      </c>
      <c r="H909" s="6">
        <v>1</v>
      </c>
      <c r="I909" s="6" t="s">
        <v>113</v>
      </c>
      <c r="J909" s="6" t="s">
        <v>113</v>
      </c>
      <c r="K909" s="6" t="s">
        <v>114</v>
      </c>
      <c r="L909" s="6" t="s">
        <v>42</v>
      </c>
      <c r="M909" s="6" t="s">
        <v>69</v>
      </c>
    </row>
    <row r="910" spans="1:13">
      <c r="A910" s="6" t="s">
        <v>1866</v>
      </c>
      <c r="B910" s="6" t="s">
        <v>1867</v>
      </c>
      <c r="C910" s="6" t="s">
        <v>93</v>
      </c>
      <c r="D910" s="6" t="s">
        <v>27</v>
      </c>
      <c r="E910" s="6" t="s">
        <v>28</v>
      </c>
      <c r="F910" s="6" t="s">
        <v>47</v>
      </c>
      <c r="G910" s="6" t="s">
        <v>48</v>
      </c>
      <c r="H910" s="6">
        <v>1</v>
      </c>
      <c r="I910" s="6" t="s">
        <v>60</v>
      </c>
      <c r="J910" s="6" t="s">
        <v>60</v>
      </c>
      <c r="K910" s="6" t="s">
        <v>49</v>
      </c>
      <c r="L910" s="6" t="s">
        <v>42</v>
      </c>
      <c r="M910" s="6" t="s">
        <v>34</v>
      </c>
    </row>
    <row r="911" spans="1:13">
      <c r="A911" s="6" t="s">
        <v>1868</v>
      </c>
      <c r="B911" s="7">
        <v>46175</v>
      </c>
      <c r="C911" s="6" t="s">
        <v>326</v>
      </c>
      <c r="D911" s="6" t="s">
        <v>77</v>
      </c>
      <c r="E911" s="6" t="s">
        <v>46</v>
      </c>
      <c r="F911" s="6" t="s">
        <v>47</v>
      </c>
      <c r="G911" s="6" t="s">
        <v>48</v>
      </c>
      <c r="H911" s="6">
        <v>2</v>
      </c>
      <c r="I911" s="6" t="s">
        <v>181</v>
      </c>
      <c r="J911" s="6" t="s">
        <v>163</v>
      </c>
      <c r="K911" s="6">
        <v>85</v>
      </c>
      <c r="L911" s="6" t="s">
        <v>42</v>
      </c>
      <c r="M911" s="6" t="s">
        <v>34</v>
      </c>
    </row>
    <row r="912" spans="1:13">
      <c r="A912" s="6" t="s">
        <v>1869</v>
      </c>
      <c r="B912" s="7">
        <v>46139</v>
      </c>
      <c r="C912" s="6" t="s">
        <v>1870</v>
      </c>
      <c r="D912" s="6" t="s">
        <v>64</v>
      </c>
      <c r="E912" s="6" t="s">
        <v>37</v>
      </c>
      <c r="F912" s="6" t="s">
        <v>58</v>
      </c>
      <c r="G912" s="6" t="s">
        <v>59</v>
      </c>
      <c r="H912" s="6">
        <v>3</v>
      </c>
      <c r="I912" s="6" t="s">
        <v>143</v>
      </c>
      <c r="J912" s="6" t="s">
        <v>243</v>
      </c>
      <c r="K912" s="6" t="s">
        <v>61</v>
      </c>
      <c r="L912" s="6" t="s">
        <v>33</v>
      </c>
      <c r="M912" s="6" t="s">
        <v>34</v>
      </c>
    </row>
    <row r="913" spans="1:13">
      <c r="A913" s="6" t="s">
        <v>1871</v>
      </c>
      <c r="B913" s="7">
        <v>46149</v>
      </c>
      <c r="C913" s="6" t="s">
        <v>1872</v>
      </c>
      <c r="D913" s="6" t="s">
        <v>127</v>
      </c>
      <c r="E913" s="6" t="s">
        <v>28</v>
      </c>
      <c r="F913" s="6" t="s">
        <v>53</v>
      </c>
      <c r="G913" s="6" t="s">
        <v>54</v>
      </c>
      <c r="H913" s="6">
        <v>1</v>
      </c>
      <c r="I913" s="6" t="s">
        <v>82</v>
      </c>
      <c r="J913" s="6" t="s">
        <v>82</v>
      </c>
      <c r="K913" s="6" t="s">
        <v>122</v>
      </c>
      <c r="L913" s="6" t="s">
        <v>42</v>
      </c>
      <c r="M913" s="6" t="s">
        <v>69</v>
      </c>
    </row>
    <row r="914" spans="1:13">
      <c r="A914" s="6" t="s">
        <v>911</v>
      </c>
      <c r="B914" s="7">
        <v>46098</v>
      </c>
      <c r="C914" s="6" t="s">
        <v>912</v>
      </c>
      <c r="D914" s="6" t="s">
        <v>72</v>
      </c>
      <c r="E914" s="6" t="s">
        <v>28</v>
      </c>
      <c r="F914" s="6" t="s">
        <v>100</v>
      </c>
      <c r="G914" s="6" t="s">
        <v>101</v>
      </c>
      <c r="H914" s="6">
        <v>1</v>
      </c>
      <c r="I914" s="6" t="s">
        <v>40</v>
      </c>
      <c r="J914" s="6" t="s">
        <v>40</v>
      </c>
      <c r="K914" s="6">
        <v>640</v>
      </c>
      <c r="L914" s="6" t="s">
        <v>42</v>
      </c>
      <c r="M914" s="6" t="s">
        <v>34</v>
      </c>
    </row>
    <row r="915" spans="1:13">
      <c r="A915" s="6" t="s">
        <v>1873</v>
      </c>
      <c r="B915" s="7">
        <v>46025</v>
      </c>
      <c r="C915" s="6" t="s">
        <v>666</v>
      </c>
      <c r="D915" s="6" t="s">
        <v>45</v>
      </c>
      <c r="E915" s="6" t="s">
        <v>52</v>
      </c>
      <c r="F915" s="6" t="s">
        <v>38</v>
      </c>
      <c r="G915" s="6" t="s">
        <v>39</v>
      </c>
      <c r="H915" s="6">
        <v>2</v>
      </c>
      <c r="I915" s="6" t="s">
        <v>117</v>
      </c>
      <c r="J915" s="6" t="s">
        <v>118</v>
      </c>
      <c r="K915" s="6">
        <v>520</v>
      </c>
      <c r="L915" s="6" t="s">
        <v>33</v>
      </c>
      <c r="M915" s="6" t="s">
        <v>69</v>
      </c>
    </row>
    <row r="916" spans="1:13">
      <c r="A916" s="6" t="s">
        <v>1874</v>
      </c>
      <c r="B916" s="7">
        <v>46056</v>
      </c>
      <c r="C916" s="6" t="s">
        <v>1872</v>
      </c>
      <c r="D916" s="6" t="s">
        <v>127</v>
      </c>
      <c r="E916" s="6" t="s">
        <v>52</v>
      </c>
      <c r="F916" s="6" t="s">
        <v>58</v>
      </c>
      <c r="G916" s="6" t="s">
        <v>59</v>
      </c>
      <c r="H916" s="6">
        <v>2</v>
      </c>
      <c r="I916" s="6" t="s">
        <v>143</v>
      </c>
      <c r="J916" s="6" t="s">
        <v>144</v>
      </c>
      <c r="K916" s="6">
        <v>380</v>
      </c>
      <c r="L916" s="6" t="s">
        <v>42</v>
      </c>
      <c r="M916" s="6" t="s">
        <v>34</v>
      </c>
    </row>
    <row r="917" spans="1:13">
      <c r="A917" s="6" t="s">
        <v>1875</v>
      </c>
      <c r="B917" s="7">
        <v>46135</v>
      </c>
      <c r="C917" s="6" t="s">
        <v>996</v>
      </c>
      <c r="D917" s="6" t="s">
        <v>64</v>
      </c>
      <c r="E917" s="6" t="s">
        <v>46</v>
      </c>
      <c r="F917" s="6" t="s">
        <v>58</v>
      </c>
      <c r="G917" s="6" t="s">
        <v>59</v>
      </c>
      <c r="H917" s="6">
        <v>2</v>
      </c>
      <c r="I917" s="6" t="s">
        <v>82</v>
      </c>
      <c r="J917" s="6" t="s">
        <v>297</v>
      </c>
      <c r="K917" s="6" t="s">
        <v>61</v>
      </c>
      <c r="L917" s="6" t="s">
        <v>42</v>
      </c>
      <c r="M917" s="6" t="s">
        <v>69</v>
      </c>
    </row>
    <row r="918" spans="1:13">
      <c r="A918" s="6" t="s">
        <v>1876</v>
      </c>
      <c r="B918" s="7">
        <v>46191</v>
      </c>
      <c r="C918" s="6" t="s">
        <v>1877</v>
      </c>
      <c r="D918" s="6" t="s">
        <v>72</v>
      </c>
      <c r="E918" s="6" t="s">
        <v>46</v>
      </c>
      <c r="F918" s="6" t="s">
        <v>38</v>
      </c>
      <c r="G918" s="6" t="s">
        <v>39</v>
      </c>
      <c r="H918" s="6">
        <v>2</v>
      </c>
      <c r="I918" s="6" t="s">
        <v>67</v>
      </c>
      <c r="J918" s="6" t="s">
        <v>204</v>
      </c>
      <c r="K918" s="6" t="s">
        <v>41</v>
      </c>
      <c r="L918" s="6" t="s">
        <v>42</v>
      </c>
      <c r="M918" s="6" t="s">
        <v>69</v>
      </c>
    </row>
    <row r="919" spans="1:13">
      <c r="A919" s="6" t="s">
        <v>1878</v>
      </c>
      <c r="B919" s="7">
        <v>46149</v>
      </c>
      <c r="C919" s="6" t="s">
        <v>1879</v>
      </c>
      <c r="D919" s="6" t="s">
        <v>45</v>
      </c>
      <c r="E919" s="6" t="s">
        <v>46</v>
      </c>
      <c r="F919" s="6" t="s">
        <v>94</v>
      </c>
      <c r="G919" s="6" t="s">
        <v>95</v>
      </c>
      <c r="H919" s="6">
        <v>1</v>
      </c>
      <c r="I919" s="6" t="s">
        <v>79</v>
      </c>
      <c r="J919" s="6" t="s">
        <v>79</v>
      </c>
      <c r="K919" s="6" t="s">
        <v>114</v>
      </c>
      <c r="L919" s="6" t="s">
        <v>42</v>
      </c>
      <c r="M919" s="6" t="s">
        <v>34</v>
      </c>
    </row>
    <row r="920" spans="1:13">
      <c r="A920" s="6" t="s">
        <v>1880</v>
      </c>
      <c r="B920" s="7">
        <v>46136</v>
      </c>
      <c r="C920" s="6" t="s">
        <v>1881</v>
      </c>
      <c r="D920" s="6" t="s">
        <v>110</v>
      </c>
      <c r="E920" s="6" t="s">
        <v>28</v>
      </c>
      <c r="F920" s="6" t="s">
        <v>100</v>
      </c>
      <c r="G920" s="6" t="s">
        <v>101</v>
      </c>
      <c r="H920" s="6">
        <v>2</v>
      </c>
      <c r="I920" s="6" t="s">
        <v>117</v>
      </c>
      <c r="J920" s="6" t="s">
        <v>118</v>
      </c>
      <c r="K920" s="6" t="s">
        <v>119</v>
      </c>
      <c r="L920" s="6" t="s">
        <v>42</v>
      </c>
      <c r="M920" s="6" t="s">
        <v>34</v>
      </c>
    </row>
    <row r="921" spans="1:13">
      <c r="A921" s="6" t="s">
        <v>1882</v>
      </c>
      <c r="B921" s="7">
        <v>46117</v>
      </c>
      <c r="C921" s="6" t="s">
        <v>1883</v>
      </c>
      <c r="D921" s="6" t="s">
        <v>45</v>
      </c>
      <c r="E921" s="6" t="s">
        <v>28</v>
      </c>
      <c r="F921" s="6" t="s">
        <v>53</v>
      </c>
      <c r="G921" s="6" t="s">
        <v>54</v>
      </c>
      <c r="H921" s="6">
        <v>-1</v>
      </c>
      <c r="I921" s="6" t="s">
        <v>143</v>
      </c>
      <c r="J921" s="8" t="s">
        <v>1884</v>
      </c>
      <c r="K921" s="6" t="s">
        <v>122</v>
      </c>
      <c r="L921" s="6" t="s">
        <v>42</v>
      </c>
      <c r="M921" s="6" t="s">
        <v>34</v>
      </c>
    </row>
    <row r="922" spans="1:13">
      <c r="A922" s="6" t="s">
        <v>1885</v>
      </c>
      <c r="B922" s="7">
        <v>46191</v>
      </c>
      <c r="C922" s="6" t="s">
        <v>466</v>
      </c>
      <c r="D922" s="6" t="s">
        <v>110</v>
      </c>
      <c r="E922" s="6" t="s">
        <v>46</v>
      </c>
      <c r="F922" s="6" t="s">
        <v>94</v>
      </c>
      <c r="G922" s="6" t="s">
        <v>95</v>
      </c>
      <c r="H922" s="6">
        <v>3</v>
      </c>
      <c r="I922" s="6" t="s">
        <v>73</v>
      </c>
      <c r="J922" s="6" t="s">
        <v>499</v>
      </c>
      <c r="K922" s="6" t="s">
        <v>114</v>
      </c>
      <c r="L922" s="6" t="s">
        <v>42</v>
      </c>
      <c r="M922" s="6" t="s">
        <v>34</v>
      </c>
    </row>
    <row r="923" spans="1:13">
      <c r="A923" s="6" t="s">
        <v>1886</v>
      </c>
      <c r="B923" s="7">
        <v>46127</v>
      </c>
      <c r="C923" s="6" t="s">
        <v>1887</v>
      </c>
      <c r="D923" s="6" t="s">
        <v>77</v>
      </c>
      <c r="E923" s="6" t="s">
        <v>28</v>
      </c>
      <c r="F923" s="6" t="s">
        <v>94</v>
      </c>
      <c r="G923" s="6" t="s">
        <v>95</v>
      </c>
      <c r="H923" s="6">
        <v>2</v>
      </c>
      <c r="I923" s="6" t="s">
        <v>117</v>
      </c>
      <c r="J923" s="6" t="s">
        <v>118</v>
      </c>
      <c r="K923" s="6">
        <v>340</v>
      </c>
      <c r="L923" s="6" t="s">
        <v>42</v>
      </c>
      <c r="M923" s="6" t="s">
        <v>34</v>
      </c>
    </row>
    <row r="924" spans="1:13">
      <c r="A924" s="6" t="s">
        <v>1888</v>
      </c>
      <c r="B924" s="7">
        <v>46166</v>
      </c>
      <c r="C924" s="6" t="s">
        <v>1889</v>
      </c>
      <c r="D924" s="6" t="s">
        <v>45</v>
      </c>
      <c r="E924" s="6" t="s">
        <v>46</v>
      </c>
      <c r="F924" s="6" t="s">
        <v>29</v>
      </c>
      <c r="G924" s="6" t="s">
        <v>30</v>
      </c>
      <c r="H924" s="6">
        <v>3</v>
      </c>
      <c r="I924" s="6" t="s">
        <v>1013</v>
      </c>
      <c r="J924" s="6" t="s">
        <v>97</v>
      </c>
      <c r="K924" s="6" t="s">
        <v>41</v>
      </c>
      <c r="L924" s="6" t="s">
        <v>42</v>
      </c>
      <c r="M924" s="6" t="s">
        <v>69</v>
      </c>
    </row>
    <row r="925" spans="1:13">
      <c r="A925" s="6" t="s">
        <v>1890</v>
      </c>
      <c r="B925" s="7">
        <v>46237</v>
      </c>
      <c r="C925" s="6" t="s">
        <v>1170</v>
      </c>
      <c r="D925" s="6" t="s">
        <v>45</v>
      </c>
      <c r="E925" s="6" t="s">
        <v>46</v>
      </c>
      <c r="F925" s="6" t="s">
        <v>53</v>
      </c>
      <c r="G925" s="6" t="s">
        <v>54</v>
      </c>
      <c r="H925" s="6">
        <v>2</v>
      </c>
      <c r="I925" s="6" t="s">
        <v>117</v>
      </c>
      <c r="J925" s="6" t="s">
        <v>118</v>
      </c>
      <c r="K925" s="6">
        <v>190</v>
      </c>
      <c r="L925" s="6" t="s">
        <v>42</v>
      </c>
      <c r="M925" s="6" t="s">
        <v>34</v>
      </c>
    </row>
    <row r="926" spans="1:13">
      <c r="A926" s="6" t="s">
        <v>1891</v>
      </c>
      <c r="B926" s="7">
        <v>46099</v>
      </c>
      <c r="C926" s="6" t="s">
        <v>134</v>
      </c>
      <c r="D926" s="6" t="s">
        <v>72</v>
      </c>
      <c r="E926" s="6" t="s">
        <v>52</v>
      </c>
      <c r="F926" s="6" t="s">
        <v>47</v>
      </c>
      <c r="G926" s="6" t="s">
        <v>48</v>
      </c>
      <c r="H926" s="6">
        <v>3</v>
      </c>
      <c r="I926" s="6" t="s">
        <v>117</v>
      </c>
      <c r="J926" s="6" t="s">
        <v>171</v>
      </c>
      <c r="K926" s="6">
        <v>85</v>
      </c>
      <c r="L926" s="6" t="s">
        <v>42</v>
      </c>
      <c r="M926" s="6" t="s">
        <v>34</v>
      </c>
    </row>
    <row r="927" spans="1:13">
      <c r="A927" s="6" t="s">
        <v>1892</v>
      </c>
      <c r="B927" s="7">
        <v>46056</v>
      </c>
      <c r="C927" s="6" t="s">
        <v>1670</v>
      </c>
      <c r="D927" s="6" t="s">
        <v>45</v>
      </c>
      <c r="E927" s="6" t="s">
        <v>28</v>
      </c>
      <c r="F927" s="6" t="s">
        <v>38</v>
      </c>
      <c r="G927" s="6" t="s">
        <v>39</v>
      </c>
      <c r="H927" s="6">
        <v>2</v>
      </c>
      <c r="I927" s="6" t="s">
        <v>117</v>
      </c>
      <c r="J927" s="6" t="s">
        <v>118</v>
      </c>
      <c r="K927" s="6">
        <v>520</v>
      </c>
      <c r="L927" s="6" t="s">
        <v>42</v>
      </c>
      <c r="M927" s="6" t="s">
        <v>34</v>
      </c>
    </row>
    <row r="928" spans="1:13">
      <c r="A928" s="6" t="s">
        <v>1893</v>
      </c>
      <c r="B928" s="7">
        <v>46152</v>
      </c>
      <c r="C928" s="6" t="s">
        <v>1894</v>
      </c>
      <c r="D928" s="6" t="s">
        <v>64</v>
      </c>
      <c r="E928" s="6" t="s">
        <v>28</v>
      </c>
      <c r="F928" s="6" t="s">
        <v>29</v>
      </c>
      <c r="G928" s="6" t="s">
        <v>30</v>
      </c>
      <c r="H928" s="6">
        <v>2</v>
      </c>
      <c r="I928" s="6" t="s">
        <v>31</v>
      </c>
      <c r="J928" s="6" t="s">
        <v>249</v>
      </c>
      <c r="K928" s="6" t="s">
        <v>41</v>
      </c>
      <c r="L928" s="6" t="s">
        <v>42</v>
      </c>
      <c r="M928" s="6" t="s">
        <v>34</v>
      </c>
    </row>
    <row r="929" spans="1:13">
      <c r="A929" s="6" t="s">
        <v>1895</v>
      </c>
      <c r="B929" s="7">
        <v>46078</v>
      </c>
      <c r="C929" s="6" t="s">
        <v>1896</v>
      </c>
      <c r="D929" s="6" t="s">
        <v>77</v>
      </c>
      <c r="E929" s="6" t="s">
        <v>52</v>
      </c>
      <c r="F929" s="6" t="s">
        <v>58</v>
      </c>
      <c r="G929" s="6" t="s">
        <v>59</v>
      </c>
      <c r="H929" s="6">
        <v>3</v>
      </c>
      <c r="I929" s="6" t="s">
        <v>79</v>
      </c>
      <c r="J929" s="6" t="s">
        <v>216</v>
      </c>
      <c r="K929" s="6">
        <v>380</v>
      </c>
      <c r="L929" s="6" t="s">
        <v>33</v>
      </c>
      <c r="M929" s="6" t="s">
        <v>69</v>
      </c>
    </row>
    <row r="930" spans="1:13">
      <c r="A930" s="6" t="s">
        <v>1897</v>
      </c>
      <c r="B930" s="7">
        <v>46077</v>
      </c>
      <c r="C930" s="6" t="s">
        <v>1525</v>
      </c>
      <c r="D930" s="6" t="s">
        <v>45</v>
      </c>
      <c r="E930" s="6" t="s">
        <v>28</v>
      </c>
      <c r="F930" s="6" t="s">
        <v>94</v>
      </c>
      <c r="G930" s="6" t="s">
        <v>95</v>
      </c>
      <c r="H930" s="6">
        <v>1</v>
      </c>
      <c r="I930" s="6" t="s">
        <v>231</v>
      </c>
      <c r="J930" s="6" t="s">
        <v>231</v>
      </c>
      <c r="K930" s="6">
        <v>340</v>
      </c>
      <c r="L930" s="6" t="s">
        <v>42</v>
      </c>
      <c r="M930" s="6" t="s">
        <v>34</v>
      </c>
    </row>
    <row r="931" spans="1:13">
      <c r="A931" s="6" t="s">
        <v>1898</v>
      </c>
      <c r="B931" s="7">
        <v>46206</v>
      </c>
      <c r="C931" s="6" t="s">
        <v>1899</v>
      </c>
      <c r="D931" s="6" t="s">
        <v>72</v>
      </c>
      <c r="E931" s="6" t="s">
        <v>46</v>
      </c>
      <c r="F931" s="6" t="s">
        <v>47</v>
      </c>
      <c r="G931" s="6" t="s">
        <v>48</v>
      </c>
      <c r="H931" s="6">
        <v>1</v>
      </c>
      <c r="I931" s="6" t="s">
        <v>79</v>
      </c>
      <c r="J931" s="6" t="s">
        <v>79</v>
      </c>
      <c r="K931" s="6" t="s">
        <v>49</v>
      </c>
      <c r="L931" s="6" t="s">
        <v>42</v>
      </c>
      <c r="M931" s="6" t="s">
        <v>34</v>
      </c>
    </row>
    <row r="932" spans="1:13">
      <c r="A932" s="6" t="s">
        <v>1900</v>
      </c>
      <c r="B932" s="7">
        <v>46034</v>
      </c>
      <c r="C932" s="6" t="s">
        <v>1901</v>
      </c>
      <c r="D932" s="6" t="s">
        <v>27</v>
      </c>
      <c r="E932" s="6" t="s">
        <v>52</v>
      </c>
      <c r="F932" s="6" t="s">
        <v>94</v>
      </c>
      <c r="G932" s="6" t="s">
        <v>95</v>
      </c>
      <c r="H932" s="6">
        <v>3</v>
      </c>
      <c r="I932" s="6" t="s">
        <v>79</v>
      </c>
      <c r="J932" s="6" t="s">
        <v>216</v>
      </c>
      <c r="K932" s="6">
        <v>340</v>
      </c>
      <c r="L932" s="6" t="s">
        <v>42</v>
      </c>
      <c r="M932" s="6" t="s">
        <v>34</v>
      </c>
    </row>
    <row r="933" spans="1:13">
      <c r="A933" s="6" t="s">
        <v>1902</v>
      </c>
      <c r="B933" s="7">
        <v>46119</v>
      </c>
      <c r="C933" s="6" t="s">
        <v>841</v>
      </c>
      <c r="D933" s="6" t="s">
        <v>72</v>
      </c>
      <c r="E933" s="6" t="s">
        <v>52</v>
      </c>
      <c r="F933" s="6" t="s">
        <v>38</v>
      </c>
      <c r="G933" s="6" t="s">
        <v>39</v>
      </c>
      <c r="H933" s="6">
        <v>2</v>
      </c>
      <c r="I933" s="6" t="s">
        <v>82</v>
      </c>
      <c r="J933" s="6" t="s">
        <v>297</v>
      </c>
      <c r="K933" s="6">
        <v>520</v>
      </c>
      <c r="L933" s="6" t="s">
        <v>42</v>
      </c>
      <c r="M933" s="6" t="s">
        <v>69</v>
      </c>
    </row>
    <row r="934" spans="1:13">
      <c r="A934" s="6" t="s">
        <v>1903</v>
      </c>
      <c r="B934" s="7">
        <v>46052</v>
      </c>
      <c r="C934" s="6" t="s">
        <v>794</v>
      </c>
      <c r="D934" s="6" t="s">
        <v>27</v>
      </c>
      <c r="E934" s="6" t="s">
        <v>78</v>
      </c>
      <c r="F934" s="6" t="s">
        <v>38</v>
      </c>
      <c r="G934" s="6" t="s">
        <v>39</v>
      </c>
      <c r="H934" s="6">
        <v>2</v>
      </c>
      <c r="I934" s="6" t="s">
        <v>265</v>
      </c>
      <c r="J934" s="6" t="s">
        <v>167</v>
      </c>
      <c r="K934" s="6">
        <v>520</v>
      </c>
      <c r="L934" s="6" t="s">
        <v>42</v>
      </c>
      <c r="M934" s="6" t="s">
        <v>34</v>
      </c>
    </row>
    <row r="935" spans="1:13">
      <c r="A935" s="6" t="s">
        <v>1904</v>
      </c>
      <c r="B935" s="7">
        <v>46055</v>
      </c>
      <c r="C935" s="6" t="s">
        <v>737</v>
      </c>
      <c r="D935" s="6" t="s">
        <v>72</v>
      </c>
      <c r="E935" s="6" t="s">
        <v>46</v>
      </c>
      <c r="F935" s="6" t="s">
        <v>94</v>
      </c>
      <c r="G935" s="6" t="s">
        <v>95</v>
      </c>
      <c r="H935" s="6">
        <v>1</v>
      </c>
      <c r="I935" s="6" t="s">
        <v>1430</v>
      </c>
      <c r="J935" s="6" t="s">
        <v>143</v>
      </c>
      <c r="K935" s="6">
        <v>340</v>
      </c>
      <c r="L935" s="6" t="s">
        <v>42</v>
      </c>
      <c r="M935" s="6" t="s">
        <v>34</v>
      </c>
    </row>
    <row r="936" spans="1:13">
      <c r="A936" s="6" t="s">
        <v>1905</v>
      </c>
      <c r="B936" s="7">
        <v>46059</v>
      </c>
      <c r="C936" s="6" t="s">
        <v>1070</v>
      </c>
      <c r="D936" s="6" t="s">
        <v>105</v>
      </c>
      <c r="E936" s="6" t="s">
        <v>78</v>
      </c>
      <c r="F936" s="6" t="s">
        <v>29</v>
      </c>
      <c r="G936" s="6" t="s">
        <v>30</v>
      </c>
      <c r="H936" s="6">
        <v>1</v>
      </c>
      <c r="I936" s="6" t="s">
        <v>117</v>
      </c>
      <c r="J936" s="6" t="s">
        <v>117</v>
      </c>
      <c r="K936" s="6">
        <v>520</v>
      </c>
      <c r="L936" s="6" t="s">
        <v>42</v>
      </c>
      <c r="M936" s="6" t="s">
        <v>34</v>
      </c>
    </row>
    <row r="937" spans="1:13">
      <c r="A937" s="6" t="s">
        <v>1906</v>
      </c>
      <c r="B937" s="6" t="s">
        <v>789</v>
      </c>
      <c r="C937" s="6" t="s">
        <v>1907</v>
      </c>
      <c r="D937" s="6" t="s">
        <v>45</v>
      </c>
      <c r="E937" s="6" t="s">
        <v>28</v>
      </c>
      <c r="F937" s="6" t="s">
        <v>38</v>
      </c>
      <c r="G937" s="6" t="s">
        <v>39</v>
      </c>
      <c r="H937" s="6">
        <v>3</v>
      </c>
      <c r="I937" s="6" t="s">
        <v>117</v>
      </c>
      <c r="J937" s="6" t="s">
        <v>171</v>
      </c>
      <c r="K937" s="6" t="s">
        <v>41</v>
      </c>
      <c r="L937" s="6" t="s">
        <v>42</v>
      </c>
      <c r="M937" s="6" t="s">
        <v>34</v>
      </c>
    </row>
    <row r="938" spans="1:13">
      <c r="A938" s="6" t="s">
        <v>1908</v>
      </c>
      <c r="B938" s="7">
        <v>46196</v>
      </c>
      <c r="C938" s="6" t="s">
        <v>1909</v>
      </c>
      <c r="D938" s="6" t="s">
        <v>72</v>
      </c>
      <c r="E938" s="6" t="s">
        <v>78</v>
      </c>
      <c r="F938" s="6" t="s">
        <v>53</v>
      </c>
      <c r="G938" s="6" t="s">
        <v>54</v>
      </c>
      <c r="H938" s="6">
        <v>1</v>
      </c>
      <c r="I938" s="6" t="s">
        <v>143</v>
      </c>
      <c r="J938" s="6" t="s">
        <v>143</v>
      </c>
      <c r="K938" s="6" t="s">
        <v>122</v>
      </c>
      <c r="L938" s="6" t="s">
        <v>42</v>
      </c>
      <c r="M938" s="6" t="s">
        <v>34</v>
      </c>
    </row>
    <row r="939" spans="1:13">
      <c r="A939" s="6" t="s">
        <v>1910</v>
      </c>
      <c r="B939" s="6" t="s">
        <v>1911</v>
      </c>
      <c r="C939" s="6" t="s">
        <v>1742</v>
      </c>
      <c r="D939" s="6" t="s">
        <v>45</v>
      </c>
      <c r="E939" s="6" t="s">
        <v>28</v>
      </c>
      <c r="F939" s="6" t="s">
        <v>47</v>
      </c>
      <c r="G939" s="6" t="s">
        <v>48</v>
      </c>
      <c r="H939" s="6">
        <v>2</v>
      </c>
      <c r="I939" s="6" t="s">
        <v>143</v>
      </c>
      <c r="J939" s="6" t="s">
        <v>144</v>
      </c>
      <c r="K939" s="6" t="s">
        <v>49</v>
      </c>
      <c r="L939" s="6" t="s">
        <v>42</v>
      </c>
      <c r="M939" s="6" t="s">
        <v>34</v>
      </c>
    </row>
    <row r="940" spans="1:13">
      <c r="A940" s="6" t="s">
        <v>1912</v>
      </c>
      <c r="B940" s="7">
        <v>46038</v>
      </c>
      <c r="C940" s="6" t="s">
        <v>1446</v>
      </c>
      <c r="D940" s="6" t="s">
        <v>45</v>
      </c>
      <c r="E940" s="6" t="s">
        <v>46</v>
      </c>
      <c r="F940" s="6" t="s">
        <v>58</v>
      </c>
      <c r="G940" s="6" t="s">
        <v>59</v>
      </c>
      <c r="H940" s="6">
        <v>-3</v>
      </c>
      <c r="I940" s="6" t="s">
        <v>113</v>
      </c>
      <c r="J940" s="8" t="s">
        <v>1913</v>
      </c>
      <c r="K940" s="6">
        <v>380</v>
      </c>
      <c r="L940" s="6" t="s">
        <v>42</v>
      </c>
      <c r="M940" s="6" t="s">
        <v>69</v>
      </c>
    </row>
    <row r="941" spans="1:13">
      <c r="A941" s="6" t="s">
        <v>1914</v>
      </c>
      <c r="B941" s="7">
        <v>46150</v>
      </c>
      <c r="C941" s="6" t="s">
        <v>1242</v>
      </c>
      <c r="D941" s="6" t="s">
        <v>77</v>
      </c>
      <c r="E941" s="6" t="s">
        <v>37</v>
      </c>
      <c r="F941" s="6" t="s">
        <v>100</v>
      </c>
      <c r="G941" s="6" t="s">
        <v>101</v>
      </c>
      <c r="H941" s="6">
        <v>1</v>
      </c>
      <c r="I941" s="6" t="s">
        <v>67</v>
      </c>
      <c r="J941" s="6" t="s">
        <v>67</v>
      </c>
      <c r="K941" s="6" t="s">
        <v>119</v>
      </c>
      <c r="L941" s="6" t="s">
        <v>42</v>
      </c>
      <c r="M941" s="6" t="s">
        <v>34</v>
      </c>
    </row>
    <row r="942" spans="1:13">
      <c r="A942" s="6" t="s">
        <v>1915</v>
      </c>
      <c r="B942" s="7">
        <v>46069</v>
      </c>
      <c r="C942" s="6" t="s">
        <v>967</v>
      </c>
      <c r="D942" s="6" t="s">
        <v>27</v>
      </c>
      <c r="E942" s="6" t="s">
        <v>37</v>
      </c>
      <c r="F942" s="6" t="s">
        <v>53</v>
      </c>
      <c r="G942" s="6" t="s">
        <v>54</v>
      </c>
      <c r="H942" s="6">
        <v>-3</v>
      </c>
      <c r="I942" s="6" t="s">
        <v>143</v>
      </c>
      <c r="J942" s="8" t="s">
        <v>1916</v>
      </c>
      <c r="K942" s="6">
        <v>190</v>
      </c>
      <c r="L942" s="6" t="s">
        <v>42</v>
      </c>
      <c r="M942" s="6" t="s">
        <v>34</v>
      </c>
    </row>
    <row r="943" spans="1:13">
      <c r="A943" s="6" t="s">
        <v>1917</v>
      </c>
      <c r="B943" s="6" t="s">
        <v>1918</v>
      </c>
      <c r="C943" s="6" t="s">
        <v>1919</v>
      </c>
      <c r="D943" s="6" t="s">
        <v>57</v>
      </c>
      <c r="E943" s="6" t="s">
        <v>78</v>
      </c>
      <c r="F943" s="6" t="s">
        <v>85</v>
      </c>
      <c r="G943" s="6" t="s">
        <v>86</v>
      </c>
      <c r="H943" s="6">
        <v>1</v>
      </c>
      <c r="I943" s="6" t="s">
        <v>143</v>
      </c>
      <c r="J943" s="6" t="s">
        <v>143</v>
      </c>
      <c r="K943" s="6">
        <v>410</v>
      </c>
      <c r="L943" s="6" t="s">
        <v>42</v>
      </c>
      <c r="M943" s="6" t="s">
        <v>34</v>
      </c>
    </row>
    <row r="944" spans="1:13">
      <c r="A944" s="6" t="s">
        <v>1920</v>
      </c>
      <c r="B944" s="7">
        <v>46188</v>
      </c>
      <c r="C944" s="6" t="s">
        <v>1921</v>
      </c>
      <c r="D944" s="6" t="s">
        <v>110</v>
      </c>
      <c r="E944" s="6" t="s">
        <v>37</v>
      </c>
      <c r="F944" s="6" t="s">
        <v>38</v>
      </c>
      <c r="G944" s="6" t="s">
        <v>39</v>
      </c>
      <c r="H944" s="6">
        <v>1</v>
      </c>
      <c r="I944" s="6" t="s">
        <v>147</v>
      </c>
      <c r="J944" s="6" t="s">
        <v>147</v>
      </c>
      <c r="K944" s="6" t="s">
        <v>41</v>
      </c>
      <c r="L944" s="6" t="s">
        <v>42</v>
      </c>
      <c r="M944" s="6" t="s">
        <v>34</v>
      </c>
    </row>
    <row r="945" spans="1:13">
      <c r="A945" s="6" t="s">
        <v>1922</v>
      </c>
      <c r="B945" s="7">
        <v>46122</v>
      </c>
      <c r="C945" s="6" t="s">
        <v>1923</v>
      </c>
      <c r="D945" s="6" t="s">
        <v>57</v>
      </c>
      <c r="E945" s="6" t="s">
        <v>78</v>
      </c>
      <c r="F945" s="6" t="s">
        <v>47</v>
      </c>
      <c r="G945" s="6" t="s">
        <v>48</v>
      </c>
      <c r="H945" s="6">
        <v>1</v>
      </c>
      <c r="I945" s="6" t="s">
        <v>67</v>
      </c>
      <c r="J945" s="6" t="s">
        <v>67</v>
      </c>
      <c r="K945" s="6">
        <v>85</v>
      </c>
      <c r="L945" s="6" t="s">
        <v>42</v>
      </c>
      <c r="M945" s="6" t="s">
        <v>69</v>
      </c>
    </row>
    <row r="946" spans="1:13">
      <c r="A946" s="6" t="s">
        <v>1924</v>
      </c>
      <c r="B946" s="7">
        <v>46099</v>
      </c>
      <c r="C946" s="6" t="s">
        <v>1925</v>
      </c>
      <c r="D946" s="6" t="s">
        <v>45</v>
      </c>
      <c r="E946" s="6" t="s">
        <v>28</v>
      </c>
      <c r="F946" s="6" t="s">
        <v>58</v>
      </c>
      <c r="G946" s="6" t="s">
        <v>59</v>
      </c>
      <c r="H946" s="6">
        <v>1</v>
      </c>
      <c r="I946" s="6" t="s">
        <v>31</v>
      </c>
      <c r="J946" s="6" t="s">
        <v>31</v>
      </c>
      <c r="K946" s="6">
        <v>380</v>
      </c>
      <c r="L946" s="6" t="s">
        <v>42</v>
      </c>
      <c r="M946" s="6" t="s">
        <v>34</v>
      </c>
    </row>
    <row r="947" spans="1:13">
      <c r="A947" s="6" t="s">
        <v>1926</v>
      </c>
      <c r="B947" s="7">
        <v>46182</v>
      </c>
      <c r="C947" s="6" t="s">
        <v>771</v>
      </c>
      <c r="D947" s="6" t="s">
        <v>127</v>
      </c>
      <c r="E947" s="6" t="s">
        <v>28</v>
      </c>
      <c r="F947" s="6" t="s">
        <v>94</v>
      </c>
      <c r="G947" s="6" t="s">
        <v>95</v>
      </c>
      <c r="H947" s="6">
        <v>2</v>
      </c>
      <c r="I947" s="6" t="s">
        <v>265</v>
      </c>
      <c r="J947" s="6" t="s">
        <v>167</v>
      </c>
      <c r="K947" s="6" t="s">
        <v>114</v>
      </c>
      <c r="L947" s="6" t="s">
        <v>42</v>
      </c>
      <c r="M947" s="6" t="s">
        <v>34</v>
      </c>
    </row>
    <row r="948" spans="1:13">
      <c r="A948" s="6" t="s">
        <v>1927</v>
      </c>
      <c r="B948" s="7">
        <v>46173</v>
      </c>
      <c r="C948" s="6" t="s">
        <v>626</v>
      </c>
      <c r="D948" s="6" t="s">
        <v>110</v>
      </c>
      <c r="E948" s="6" t="s">
        <v>46</v>
      </c>
      <c r="F948" s="6" t="s">
        <v>38</v>
      </c>
      <c r="G948" s="6" t="s">
        <v>39</v>
      </c>
      <c r="H948" s="6">
        <v>1</v>
      </c>
      <c r="I948" s="6" t="s">
        <v>90</v>
      </c>
      <c r="J948" s="6" t="s">
        <v>90</v>
      </c>
      <c r="K948" s="6" t="s">
        <v>41</v>
      </c>
      <c r="L948" s="6" t="s">
        <v>42</v>
      </c>
      <c r="M948" s="6" t="s">
        <v>34</v>
      </c>
    </row>
    <row r="949" spans="1:13">
      <c r="A949" s="6" t="s">
        <v>1928</v>
      </c>
      <c r="B949" s="7">
        <v>46134</v>
      </c>
      <c r="C949" s="6" t="s">
        <v>1929</v>
      </c>
      <c r="D949" s="6" t="s">
        <v>110</v>
      </c>
      <c r="E949" s="6" t="s">
        <v>37</v>
      </c>
      <c r="F949" s="6" t="s">
        <v>85</v>
      </c>
      <c r="G949" s="6" t="s">
        <v>86</v>
      </c>
      <c r="H949" s="6">
        <v>1</v>
      </c>
      <c r="I949" s="6" t="s">
        <v>265</v>
      </c>
      <c r="J949" s="6" t="s">
        <v>265</v>
      </c>
      <c r="K949" s="6" t="s">
        <v>87</v>
      </c>
      <c r="L949" s="6" t="s">
        <v>42</v>
      </c>
      <c r="M949" s="6" t="s">
        <v>69</v>
      </c>
    </row>
    <row r="950" spans="1:13">
      <c r="A950" s="6" t="s">
        <v>1930</v>
      </c>
      <c r="B950" s="7">
        <v>46177</v>
      </c>
      <c r="C950" s="6" t="s">
        <v>1931</v>
      </c>
      <c r="D950" s="6" t="s">
        <v>72</v>
      </c>
      <c r="E950" s="6" t="s">
        <v>78</v>
      </c>
      <c r="F950" s="6" t="s">
        <v>94</v>
      </c>
      <c r="G950" s="6" t="s">
        <v>95</v>
      </c>
      <c r="H950" s="6">
        <v>2</v>
      </c>
      <c r="I950" s="6" t="s">
        <v>113</v>
      </c>
      <c r="J950" s="6" t="s">
        <v>192</v>
      </c>
      <c r="K950" s="6" t="s">
        <v>114</v>
      </c>
      <c r="L950" s="6" t="s">
        <v>42</v>
      </c>
      <c r="M950" s="6" t="s">
        <v>69</v>
      </c>
    </row>
    <row r="951" spans="1:13">
      <c r="A951" s="6" t="s">
        <v>1932</v>
      </c>
      <c r="B951" s="7">
        <v>46066</v>
      </c>
      <c r="C951" s="6" t="s">
        <v>951</v>
      </c>
      <c r="D951" s="6" t="s">
        <v>72</v>
      </c>
      <c r="E951" s="6" t="s">
        <v>52</v>
      </c>
      <c r="F951" s="6" t="s">
        <v>94</v>
      </c>
      <c r="G951" s="6" t="s">
        <v>95</v>
      </c>
      <c r="H951" s="6">
        <v>2</v>
      </c>
      <c r="I951" s="6" t="s">
        <v>31</v>
      </c>
      <c r="J951" s="6" t="s">
        <v>249</v>
      </c>
      <c r="K951" s="6">
        <v>340</v>
      </c>
      <c r="L951" s="6" t="s">
        <v>42</v>
      </c>
      <c r="M951" s="6" t="s">
        <v>34</v>
      </c>
    </row>
    <row r="952" spans="1:13">
      <c r="A952" s="6" t="s">
        <v>1933</v>
      </c>
      <c r="B952" s="7">
        <v>46116</v>
      </c>
      <c r="C952" s="6" t="s">
        <v>1678</v>
      </c>
      <c r="D952" s="6" t="s">
        <v>105</v>
      </c>
      <c r="E952" s="6" t="s">
        <v>28</v>
      </c>
      <c r="F952" s="6" t="s">
        <v>58</v>
      </c>
      <c r="G952" s="6" t="s">
        <v>59</v>
      </c>
      <c r="H952" s="6">
        <v>3</v>
      </c>
      <c r="I952" s="6" t="s">
        <v>147</v>
      </c>
      <c r="J952" s="6" t="s">
        <v>148</v>
      </c>
      <c r="K952" s="6">
        <v>380</v>
      </c>
      <c r="L952" s="6" t="s">
        <v>42</v>
      </c>
      <c r="M952" s="6" t="s">
        <v>34</v>
      </c>
    </row>
    <row r="953" spans="1:13">
      <c r="A953" s="6" t="s">
        <v>1934</v>
      </c>
      <c r="B953" s="7">
        <v>46106</v>
      </c>
      <c r="C953" s="6" t="s">
        <v>1935</v>
      </c>
      <c r="D953" s="6" t="s">
        <v>105</v>
      </c>
      <c r="E953" s="6" t="s">
        <v>78</v>
      </c>
      <c r="F953" s="6" t="s">
        <v>85</v>
      </c>
      <c r="G953" s="6" t="s">
        <v>86</v>
      </c>
      <c r="H953" s="6">
        <v>-2</v>
      </c>
      <c r="I953" s="6" t="s">
        <v>265</v>
      </c>
      <c r="J953" s="8" t="s">
        <v>778</v>
      </c>
      <c r="K953" s="6">
        <v>410</v>
      </c>
      <c r="L953" s="6" t="s">
        <v>42</v>
      </c>
      <c r="M953" s="6" t="s">
        <v>69</v>
      </c>
    </row>
    <row r="954" spans="1:13">
      <c r="A954" s="6" t="s">
        <v>1936</v>
      </c>
      <c r="B954" s="6" t="s">
        <v>1937</v>
      </c>
      <c r="C954" s="6" t="s">
        <v>1386</v>
      </c>
      <c r="D954" s="6" t="s">
        <v>45</v>
      </c>
      <c r="E954" s="6" t="s">
        <v>46</v>
      </c>
      <c r="F954" s="6" t="s">
        <v>38</v>
      </c>
      <c r="G954" s="6" t="s">
        <v>39</v>
      </c>
      <c r="H954" s="6">
        <v>1</v>
      </c>
      <c r="I954" s="6" t="s">
        <v>90</v>
      </c>
      <c r="J954" s="6" t="s">
        <v>90</v>
      </c>
      <c r="K954" s="6" t="s">
        <v>41</v>
      </c>
      <c r="L954" s="6" t="s">
        <v>33</v>
      </c>
      <c r="M954" s="6" t="s">
        <v>69</v>
      </c>
    </row>
    <row r="955" spans="1:13">
      <c r="A955" s="6" t="s">
        <v>1938</v>
      </c>
      <c r="B955" s="7">
        <v>46124</v>
      </c>
      <c r="C955" s="6" t="s">
        <v>754</v>
      </c>
      <c r="D955" s="6" t="s">
        <v>64</v>
      </c>
      <c r="E955" s="6" t="s">
        <v>78</v>
      </c>
      <c r="F955" s="6" t="s">
        <v>29</v>
      </c>
      <c r="G955" s="6" t="s">
        <v>30</v>
      </c>
      <c r="H955" s="6">
        <v>2</v>
      </c>
      <c r="I955" s="6" t="s">
        <v>31</v>
      </c>
      <c r="J955" s="6" t="s">
        <v>249</v>
      </c>
      <c r="K955" s="6">
        <v>520</v>
      </c>
      <c r="L955" s="6" t="s">
        <v>42</v>
      </c>
      <c r="M955" s="6" t="s">
        <v>34</v>
      </c>
    </row>
    <row r="956" spans="1:13">
      <c r="A956" s="6" t="s">
        <v>1939</v>
      </c>
      <c r="B956" s="7">
        <v>46108</v>
      </c>
      <c r="C956" s="6" t="s">
        <v>1940</v>
      </c>
      <c r="D956" s="6" t="s">
        <v>64</v>
      </c>
      <c r="E956" s="6" t="s">
        <v>46</v>
      </c>
      <c r="F956" s="6" t="s">
        <v>94</v>
      </c>
      <c r="G956" s="6" t="s">
        <v>95</v>
      </c>
      <c r="H956" s="6">
        <v>1</v>
      </c>
      <c r="I956" s="6" t="s">
        <v>79</v>
      </c>
      <c r="J956" s="6" t="s">
        <v>79</v>
      </c>
      <c r="K956" s="6">
        <v>340</v>
      </c>
      <c r="L956" s="6" t="s">
        <v>33</v>
      </c>
      <c r="M956" s="6" t="s">
        <v>34</v>
      </c>
    </row>
    <row r="957" spans="1:13">
      <c r="A957" s="6" t="s">
        <v>1941</v>
      </c>
      <c r="B957" s="7">
        <v>46171</v>
      </c>
      <c r="C957" s="6" t="s">
        <v>1942</v>
      </c>
      <c r="D957" s="6" t="s">
        <v>45</v>
      </c>
      <c r="E957" s="6" t="s">
        <v>78</v>
      </c>
      <c r="F957" s="6" t="s">
        <v>58</v>
      </c>
      <c r="G957" s="6" t="s">
        <v>59</v>
      </c>
      <c r="H957" s="6">
        <v>2</v>
      </c>
      <c r="I957" s="6" t="s">
        <v>143</v>
      </c>
      <c r="J957" s="6" t="s">
        <v>144</v>
      </c>
      <c r="K957" s="6" t="s">
        <v>61</v>
      </c>
      <c r="L957" s="6" t="s">
        <v>42</v>
      </c>
      <c r="M957" s="6" t="s">
        <v>69</v>
      </c>
    </row>
    <row r="958" spans="1:13">
      <c r="A958" s="6" t="s">
        <v>1943</v>
      </c>
      <c r="B958" s="7">
        <v>46327</v>
      </c>
      <c r="C958" s="6" t="s">
        <v>723</v>
      </c>
      <c r="D958" s="6" t="s">
        <v>45</v>
      </c>
      <c r="E958" s="6" t="s">
        <v>37</v>
      </c>
      <c r="F958" s="6" t="s">
        <v>38</v>
      </c>
      <c r="G958" s="6" t="s">
        <v>39</v>
      </c>
      <c r="H958" s="6">
        <v>3</v>
      </c>
      <c r="I958" s="6" t="s">
        <v>265</v>
      </c>
      <c r="J958" s="6" t="s">
        <v>401</v>
      </c>
      <c r="K958" s="6">
        <v>520</v>
      </c>
      <c r="L958" s="6" t="s">
        <v>33</v>
      </c>
      <c r="M958" s="6" t="s">
        <v>34</v>
      </c>
    </row>
    <row r="959" spans="1:13">
      <c r="A959" s="6" t="s">
        <v>1944</v>
      </c>
      <c r="B959" s="7">
        <v>46164</v>
      </c>
      <c r="C959" s="6" t="s">
        <v>1945</v>
      </c>
      <c r="D959" s="6" t="s">
        <v>77</v>
      </c>
      <c r="E959" s="6" t="s">
        <v>28</v>
      </c>
      <c r="F959" s="6" t="s">
        <v>47</v>
      </c>
      <c r="G959" s="6" t="s">
        <v>48</v>
      </c>
      <c r="H959" s="6">
        <v>1</v>
      </c>
      <c r="I959" s="6" t="s">
        <v>265</v>
      </c>
      <c r="J959" s="6" t="s">
        <v>265</v>
      </c>
      <c r="K959" s="6" t="s">
        <v>49</v>
      </c>
      <c r="L959" s="6" t="s">
        <v>42</v>
      </c>
      <c r="M959" s="6" t="s">
        <v>69</v>
      </c>
    </row>
    <row r="960" spans="1:13">
      <c r="A960" s="6" t="s">
        <v>1946</v>
      </c>
      <c r="B960" s="6" t="s">
        <v>247</v>
      </c>
      <c r="C960" s="6" t="s">
        <v>1221</v>
      </c>
      <c r="D960" s="6" t="s">
        <v>45</v>
      </c>
      <c r="E960" s="6" t="s">
        <v>28</v>
      </c>
      <c r="F960" s="6" t="s">
        <v>47</v>
      </c>
      <c r="G960" s="6" t="s">
        <v>48</v>
      </c>
      <c r="H960" s="6">
        <v>2</v>
      </c>
      <c r="I960" s="6" t="s">
        <v>67</v>
      </c>
      <c r="J960" s="6" t="s">
        <v>204</v>
      </c>
      <c r="K960" s="6">
        <v>85</v>
      </c>
      <c r="L960" s="6" t="s">
        <v>33</v>
      </c>
      <c r="M960" s="6" t="s">
        <v>34</v>
      </c>
    </row>
    <row r="961" spans="1:13">
      <c r="A961" s="6" t="s">
        <v>1947</v>
      </c>
      <c r="B961" s="7">
        <v>46176</v>
      </c>
      <c r="C961" s="6" t="s">
        <v>1194</v>
      </c>
      <c r="D961" s="6" t="s">
        <v>45</v>
      </c>
      <c r="E961" s="6" t="s">
        <v>46</v>
      </c>
      <c r="F961" s="6" t="s">
        <v>38</v>
      </c>
      <c r="G961" s="6" t="s">
        <v>39</v>
      </c>
      <c r="H961" s="6">
        <v>2</v>
      </c>
      <c r="I961" s="6" t="s">
        <v>67</v>
      </c>
      <c r="J961" s="6" t="s">
        <v>204</v>
      </c>
      <c r="K961" s="6" t="s">
        <v>41</v>
      </c>
      <c r="L961" s="6" t="s">
        <v>33</v>
      </c>
      <c r="M961" s="6" t="s">
        <v>69</v>
      </c>
    </row>
    <row r="962" spans="1:13">
      <c r="A962" s="6" t="s">
        <v>1948</v>
      </c>
      <c r="B962" s="7">
        <v>46150</v>
      </c>
      <c r="C962" s="6" t="s">
        <v>1949</v>
      </c>
      <c r="D962" s="6" t="s">
        <v>110</v>
      </c>
      <c r="E962" s="6" t="s">
        <v>37</v>
      </c>
      <c r="F962" s="6" t="s">
        <v>85</v>
      </c>
      <c r="G962" s="6" t="s">
        <v>86</v>
      </c>
      <c r="H962" s="6">
        <v>1</v>
      </c>
      <c r="I962" s="6" t="s">
        <v>67</v>
      </c>
      <c r="J962" s="6" t="s">
        <v>67</v>
      </c>
      <c r="K962" s="6" t="s">
        <v>87</v>
      </c>
      <c r="L962" s="6" t="s">
        <v>33</v>
      </c>
      <c r="M962" s="6" t="s">
        <v>34</v>
      </c>
    </row>
    <row r="963" spans="1:13">
      <c r="A963" s="6" t="s">
        <v>1950</v>
      </c>
      <c r="B963" s="7">
        <v>46180</v>
      </c>
      <c r="C963" s="6" t="s">
        <v>1951</v>
      </c>
      <c r="D963" s="6" t="s">
        <v>105</v>
      </c>
      <c r="E963" s="6" t="s">
        <v>28</v>
      </c>
      <c r="F963" s="6" t="s">
        <v>53</v>
      </c>
      <c r="G963" s="6" t="s">
        <v>54</v>
      </c>
      <c r="H963" s="6">
        <v>1</v>
      </c>
      <c r="I963" s="6" t="s">
        <v>113</v>
      </c>
      <c r="J963" s="6" t="s">
        <v>113</v>
      </c>
      <c r="K963" s="6" t="s">
        <v>122</v>
      </c>
      <c r="L963" s="6" t="s">
        <v>42</v>
      </c>
      <c r="M963" s="6" t="s">
        <v>69</v>
      </c>
    </row>
    <row r="964" spans="1:13">
      <c r="A964" s="6" t="s">
        <v>1952</v>
      </c>
      <c r="B964" s="7">
        <v>46175</v>
      </c>
      <c r="C964" s="6" t="s">
        <v>1953</v>
      </c>
      <c r="D964" s="6" t="s">
        <v>27</v>
      </c>
      <c r="E964" s="6" t="s">
        <v>37</v>
      </c>
      <c r="F964" s="6" t="s">
        <v>85</v>
      </c>
      <c r="G964" s="6" t="s">
        <v>86</v>
      </c>
      <c r="H964" s="6">
        <v>1</v>
      </c>
      <c r="I964" s="6" t="s">
        <v>231</v>
      </c>
      <c r="J964" s="6" t="s">
        <v>231</v>
      </c>
      <c r="K964" s="6" t="s">
        <v>87</v>
      </c>
      <c r="L964" s="6" t="s">
        <v>42</v>
      </c>
      <c r="M964" s="6" t="s">
        <v>34</v>
      </c>
    </row>
    <row r="965" spans="1:13">
      <c r="A965" s="6" t="s">
        <v>1954</v>
      </c>
      <c r="B965" s="6" t="s">
        <v>1764</v>
      </c>
      <c r="C965" s="6" t="s">
        <v>1955</v>
      </c>
      <c r="D965" s="6" t="s">
        <v>127</v>
      </c>
      <c r="E965" s="6" t="s">
        <v>78</v>
      </c>
      <c r="F965" s="6" t="s">
        <v>94</v>
      </c>
      <c r="G965" s="6" t="s">
        <v>95</v>
      </c>
      <c r="H965" s="6">
        <v>2</v>
      </c>
      <c r="I965" s="6" t="s">
        <v>113</v>
      </c>
      <c r="J965" s="6" t="s">
        <v>192</v>
      </c>
      <c r="K965" s="6">
        <v>340</v>
      </c>
      <c r="L965" s="6" t="s">
        <v>33</v>
      </c>
      <c r="M965" s="6" t="s">
        <v>34</v>
      </c>
    </row>
    <row r="966" spans="1:13">
      <c r="A966" s="6" t="s">
        <v>1956</v>
      </c>
      <c r="B966" s="7">
        <v>46170</v>
      </c>
      <c r="C966" s="6" t="s">
        <v>1957</v>
      </c>
      <c r="D966" s="6" t="s">
        <v>127</v>
      </c>
      <c r="E966" s="6" t="s">
        <v>78</v>
      </c>
      <c r="F966" s="6" t="s">
        <v>38</v>
      </c>
      <c r="G966" s="6" t="s">
        <v>39</v>
      </c>
      <c r="H966" s="6">
        <v>1</v>
      </c>
      <c r="I966" s="6" t="s">
        <v>143</v>
      </c>
      <c r="J966" s="6" t="s">
        <v>143</v>
      </c>
      <c r="K966" s="6" t="s">
        <v>41</v>
      </c>
      <c r="L966" s="6" t="s">
        <v>33</v>
      </c>
      <c r="M966" s="6" t="s">
        <v>69</v>
      </c>
    </row>
    <row r="967" spans="1:13">
      <c r="A967" s="6" t="s">
        <v>1958</v>
      </c>
      <c r="B967" s="6" t="s">
        <v>1959</v>
      </c>
      <c r="C967" s="6" t="s">
        <v>1176</v>
      </c>
      <c r="D967" s="6" t="s">
        <v>77</v>
      </c>
      <c r="E967" s="6" t="s">
        <v>52</v>
      </c>
      <c r="F967" s="6" t="s">
        <v>53</v>
      </c>
      <c r="G967" s="6" t="s">
        <v>54</v>
      </c>
      <c r="H967" s="6">
        <v>1</v>
      </c>
      <c r="I967" s="6" t="s">
        <v>60</v>
      </c>
      <c r="J967" s="6" t="s">
        <v>1508</v>
      </c>
      <c r="K967" s="6">
        <v>190</v>
      </c>
      <c r="L967" s="6" t="s">
        <v>42</v>
      </c>
      <c r="M967" s="6" t="s">
        <v>34</v>
      </c>
    </row>
    <row r="968" spans="1:13">
      <c r="A968" s="6" t="s">
        <v>1960</v>
      </c>
      <c r="B968" s="7">
        <v>46067</v>
      </c>
      <c r="C968" s="6" t="s">
        <v>873</v>
      </c>
      <c r="D968" s="6" t="s">
        <v>77</v>
      </c>
      <c r="E968" s="6" t="s">
        <v>52</v>
      </c>
      <c r="F968" s="6" t="s">
        <v>38</v>
      </c>
      <c r="G968" s="6" t="s">
        <v>39</v>
      </c>
      <c r="H968" s="6">
        <v>3</v>
      </c>
      <c r="I968" s="6" t="s">
        <v>143</v>
      </c>
      <c r="J968" s="6" t="s">
        <v>243</v>
      </c>
      <c r="K968" s="6">
        <v>520</v>
      </c>
      <c r="L968" s="6" t="s">
        <v>42</v>
      </c>
      <c r="M968" s="6" t="s">
        <v>34</v>
      </c>
    </row>
    <row r="969" spans="1:13">
      <c r="A969" s="6" t="s">
        <v>1961</v>
      </c>
      <c r="B969" s="7">
        <v>46141</v>
      </c>
      <c r="C969" s="6" t="s">
        <v>1962</v>
      </c>
      <c r="D969" s="6" t="s">
        <v>77</v>
      </c>
      <c r="E969" s="6" t="s">
        <v>37</v>
      </c>
      <c r="F969" s="6" t="s">
        <v>100</v>
      </c>
      <c r="G969" s="6" t="s">
        <v>101</v>
      </c>
      <c r="H969" s="6">
        <v>3</v>
      </c>
      <c r="I969" s="6" t="s">
        <v>82</v>
      </c>
      <c r="J969" s="6" t="s">
        <v>390</v>
      </c>
      <c r="K969" s="6" t="s">
        <v>119</v>
      </c>
      <c r="L969" s="6" t="s">
        <v>42</v>
      </c>
      <c r="M969" s="6" t="s">
        <v>34</v>
      </c>
    </row>
    <row r="970" spans="1:13">
      <c r="A970" s="6" t="s">
        <v>1963</v>
      </c>
      <c r="B970" s="7">
        <v>46175</v>
      </c>
      <c r="C970" s="6" t="s">
        <v>1964</v>
      </c>
      <c r="D970" s="6" t="s">
        <v>110</v>
      </c>
      <c r="E970" s="6" t="s">
        <v>52</v>
      </c>
      <c r="F970" s="6" t="s">
        <v>47</v>
      </c>
      <c r="G970" s="6" t="s">
        <v>48</v>
      </c>
      <c r="H970" s="6">
        <v>3</v>
      </c>
      <c r="I970" s="6" t="s">
        <v>265</v>
      </c>
      <c r="J970" s="6" t="s">
        <v>401</v>
      </c>
      <c r="K970" s="6" t="s">
        <v>49</v>
      </c>
      <c r="L970" s="6" t="s">
        <v>42</v>
      </c>
      <c r="M970" s="6" t="s">
        <v>34</v>
      </c>
    </row>
    <row r="971" spans="1:13">
      <c r="A971" s="6" t="s">
        <v>1965</v>
      </c>
      <c r="B971" s="7">
        <v>46081</v>
      </c>
      <c r="C971" s="6" t="s">
        <v>513</v>
      </c>
      <c r="D971" s="6" t="s">
        <v>45</v>
      </c>
      <c r="E971" s="6" t="s">
        <v>28</v>
      </c>
      <c r="F971" s="6" t="s">
        <v>53</v>
      </c>
      <c r="G971" s="6" t="s">
        <v>54</v>
      </c>
      <c r="H971" s="6">
        <v>1</v>
      </c>
      <c r="I971" s="6" t="s">
        <v>90</v>
      </c>
      <c r="J971" s="6" t="s">
        <v>90</v>
      </c>
      <c r="K971" s="6">
        <v>190</v>
      </c>
      <c r="L971" s="6" t="s">
        <v>42</v>
      </c>
      <c r="M971" s="6" t="s">
        <v>34</v>
      </c>
    </row>
    <row r="972" spans="1:13">
      <c r="A972" s="6" t="s">
        <v>1966</v>
      </c>
      <c r="B972" s="7">
        <v>46137</v>
      </c>
      <c r="C972" s="6" t="s">
        <v>869</v>
      </c>
      <c r="D972" s="6" t="s">
        <v>27</v>
      </c>
      <c r="E972" s="6" t="s">
        <v>46</v>
      </c>
      <c r="F972" s="6" t="s">
        <v>53</v>
      </c>
      <c r="G972" s="6" t="s">
        <v>54</v>
      </c>
      <c r="H972" s="6">
        <v>2</v>
      </c>
      <c r="I972" s="6" t="s">
        <v>82</v>
      </c>
      <c r="J972" s="6" t="s">
        <v>297</v>
      </c>
      <c r="K972" s="6" t="s">
        <v>122</v>
      </c>
      <c r="L972" s="6" t="s">
        <v>33</v>
      </c>
      <c r="M972" s="6" t="s">
        <v>34</v>
      </c>
    </row>
    <row r="973" spans="1:13">
      <c r="A973" s="6" t="s">
        <v>1967</v>
      </c>
      <c r="B973" s="7">
        <v>46181</v>
      </c>
      <c r="C973" s="6" t="s">
        <v>1968</v>
      </c>
      <c r="D973" s="6" t="s">
        <v>27</v>
      </c>
      <c r="E973" s="6" t="s">
        <v>52</v>
      </c>
      <c r="F973" s="6" t="s">
        <v>53</v>
      </c>
      <c r="G973" s="6" t="s">
        <v>54</v>
      </c>
      <c r="H973" s="6">
        <v>2</v>
      </c>
      <c r="I973" s="6" t="s">
        <v>96</v>
      </c>
      <c r="J973" s="6" t="s">
        <v>278</v>
      </c>
      <c r="K973" s="6" t="s">
        <v>122</v>
      </c>
      <c r="L973" s="6" t="s">
        <v>42</v>
      </c>
      <c r="M973" s="6" t="s">
        <v>34</v>
      </c>
    </row>
    <row r="974" spans="1:13">
      <c r="A974" s="6" t="s">
        <v>1969</v>
      </c>
      <c r="B974" s="7">
        <v>46268</v>
      </c>
      <c r="C974" s="6" t="s">
        <v>1566</v>
      </c>
      <c r="D974" s="6" t="s">
        <v>72</v>
      </c>
      <c r="E974" s="6" t="s">
        <v>28</v>
      </c>
      <c r="F974" s="6" t="s">
        <v>58</v>
      </c>
      <c r="G974" s="6" t="s">
        <v>59</v>
      </c>
      <c r="H974" s="6">
        <v>1</v>
      </c>
      <c r="I974" s="6" t="s">
        <v>82</v>
      </c>
      <c r="J974" s="6" t="s">
        <v>82</v>
      </c>
      <c r="K974" s="6">
        <v>380</v>
      </c>
      <c r="L974" s="6" t="s">
        <v>42</v>
      </c>
      <c r="M974" s="6" t="s">
        <v>34</v>
      </c>
    </row>
    <row r="975" spans="1:13">
      <c r="A975" s="6" t="s">
        <v>1970</v>
      </c>
      <c r="B975" s="7">
        <v>46069</v>
      </c>
      <c r="C975" s="6" t="s">
        <v>1971</v>
      </c>
      <c r="D975" s="6" t="s">
        <v>45</v>
      </c>
      <c r="E975" s="6" t="s">
        <v>37</v>
      </c>
      <c r="F975" s="6" t="s">
        <v>85</v>
      </c>
      <c r="G975" s="6" t="s">
        <v>86</v>
      </c>
      <c r="H975" s="6">
        <v>2</v>
      </c>
      <c r="I975" s="6" t="s">
        <v>117</v>
      </c>
      <c r="J975" s="6" t="s">
        <v>118</v>
      </c>
      <c r="K975" s="6">
        <v>410</v>
      </c>
      <c r="L975" s="6" t="s">
        <v>42</v>
      </c>
      <c r="M975" s="6" t="s">
        <v>34</v>
      </c>
    </row>
    <row r="976" spans="1:13">
      <c r="A976" s="6" t="s">
        <v>1972</v>
      </c>
      <c r="B976" s="7">
        <v>46151</v>
      </c>
      <c r="C976" s="6" t="s">
        <v>313</v>
      </c>
      <c r="D976" s="6" t="s">
        <v>27</v>
      </c>
      <c r="E976" s="6" t="s">
        <v>52</v>
      </c>
      <c r="F976" s="6" t="s">
        <v>58</v>
      </c>
      <c r="G976" s="6" t="s">
        <v>59</v>
      </c>
      <c r="H976" s="6">
        <v>1</v>
      </c>
      <c r="I976" s="6" t="s">
        <v>619</v>
      </c>
      <c r="J976" s="6" t="s">
        <v>143</v>
      </c>
      <c r="K976" s="6" t="s">
        <v>61</v>
      </c>
      <c r="L976" s="6" t="s">
        <v>42</v>
      </c>
      <c r="M976" s="6" t="s">
        <v>34</v>
      </c>
    </row>
    <row r="977" spans="1:13">
      <c r="A977" s="6" t="s">
        <v>1973</v>
      </c>
      <c r="B977" s="7">
        <v>46208</v>
      </c>
      <c r="C977" s="6" t="s">
        <v>507</v>
      </c>
      <c r="D977" s="6" t="s">
        <v>64</v>
      </c>
      <c r="E977" s="6" t="s">
        <v>28</v>
      </c>
      <c r="F977" s="6" t="s">
        <v>29</v>
      </c>
      <c r="G977" s="6" t="s">
        <v>30</v>
      </c>
      <c r="H977" s="6">
        <v>2</v>
      </c>
      <c r="I977" s="6" t="s">
        <v>143</v>
      </c>
      <c r="J977" s="6" t="s">
        <v>144</v>
      </c>
      <c r="K977" s="6" t="s">
        <v>41</v>
      </c>
      <c r="L977" s="6" t="s">
        <v>33</v>
      </c>
      <c r="M977" s="6" t="s">
        <v>34</v>
      </c>
    </row>
    <row r="978" spans="1:13">
      <c r="A978" s="6" t="s">
        <v>1974</v>
      </c>
      <c r="B978" s="7">
        <v>46115</v>
      </c>
      <c r="C978" s="6" t="s">
        <v>361</v>
      </c>
      <c r="D978" s="6" t="s">
        <v>27</v>
      </c>
      <c r="E978" s="6" t="s">
        <v>52</v>
      </c>
      <c r="F978" s="6" t="s">
        <v>53</v>
      </c>
      <c r="G978" s="6" t="s">
        <v>54</v>
      </c>
      <c r="H978" s="6">
        <v>2</v>
      </c>
      <c r="I978" s="6" t="s">
        <v>96</v>
      </c>
      <c r="J978" s="6" t="s">
        <v>278</v>
      </c>
      <c r="K978" s="6">
        <v>190</v>
      </c>
      <c r="L978" s="6" t="s">
        <v>42</v>
      </c>
      <c r="M978" s="6" t="s">
        <v>34</v>
      </c>
    </row>
    <row r="979" spans="1:13">
      <c r="A979" s="6" t="s">
        <v>1975</v>
      </c>
      <c r="B979" s="6" t="s">
        <v>601</v>
      </c>
      <c r="C979" s="6" t="s">
        <v>615</v>
      </c>
      <c r="D979" s="6" t="s">
        <v>110</v>
      </c>
      <c r="E979" s="6" t="s">
        <v>78</v>
      </c>
      <c r="F979" s="6" t="s">
        <v>29</v>
      </c>
      <c r="G979" s="6" t="s">
        <v>30</v>
      </c>
      <c r="H979" s="6">
        <v>1</v>
      </c>
      <c r="I979" s="6" t="s">
        <v>79</v>
      </c>
      <c r="J979" s="6" t="s">
        <v>79</v>
      </c>
      <c r="K979" s="6">
        <v>520</v>
      </c>
      <c r="L979" s="6" t="s">
        <v>42</v>
      </c>
      <c r="M979" s="6" t="s">
        <v>34</v>
      </c>
    </row>
    <row r="980" spans="1:13">
      <c r="A980" s="6" t="s">
        <v>1976</v>
      </c>
      <c r="B980" s="7">
        <v>46067</v>
      </c>
      <c r="C980" s="6" t="s">
        <v>831</v>
      </c>
      <c r="D980" s="6" t="s">
        <v>27</v>
      </c>
      <c r="E980" s="6" t="s">
        <v>46</v>
      </c>
      <c r="F980" s="6" t="s">
        <v>47</v>
      </c>
      <c r="G980" s="6" t="s">
        <v>48</v>
      </c>
      <c r="H980" s="6">
        <v>2</v>
      </c>
      <c r="I980" s="6" t="s">
        <v>90</v>
      </c>
      <c r="J980" s="6" t="s">
        <v>154</v>
      </c>
      <c r="K980" s="6">
        <v>85</v>
      </c>
      <c r="L980" s="6" t="s">
        <v>33</v>
      </c>
      <c r="M980" s="6" t="s">
        <v>34</v>
      </c>
    </row>
    <row r="981" spans="1:13">
      <c r="A981" s="6" t="s">
        <v>1977</v>
      </c>
      <c r="B981" s="7">
        <v>46117</v>
      </c>
      <c r="C981" s="6" t="s">
        <v>1557</v>
      </c>
      <c r="D981" s="6" t="s">
        <v>57</v>
      </c>
      <c r="E981" s="6" t="s">
        <v>78</v>
      </c>
      <c r="F981" s="6" t="s">
        <v>38</v>
      </c>
      <c r="G981" s="6" t="s">
        <v>39</v>
      </c>
      <c r="H981" s="6">
        <v>3</v>
      </c>
      <c r="I981" s="6" t="s">
        <v>60</v>
      </c>
      <c r="J981" s="6" t="s">
        <v>268</v>
      </c>
      <c r="K981" s="6" t="s">
        <v>41</v>
      </c>
      <c r="L981" s="6" t="s">
        <v>42</v>
      </c>
      <c r="M981" s="6" t="s">
        <v>34</v>
      </c>
    </row>
    <row r="982" spans="1:13">
      <c r="A982" s="6" t="s">
        <v>1978</v>
      </c>
      <c r="B982" s="7">
        <v>46206</v>
      </c>
      <c r="C982" s="6" t="s">
        <v>714</v>
      </c>
      <c r="D982" s="6" t="s">
        <v>105</v>
      </c>
      <c r="E982" s="6" t="s">
        <v>37</v>
      </c>
      <c r="F982" s="6" t="s">
        <v>47</v>
      </c>
      <c r="G982" s="6" t="s">
        <v>48</v>
      </c>
      <c r="H982" s="6">
        <v>2</v>
      </c>
      <c r="I982" s="6" t="s">
        <v>181</v>
      </c>
      <c r="J982" s="6" t="s">
        <v>163</v>
      </c>
      <c r="K982" s="6" t="s">
        <v>49</v>
      </c>
      <c r="L982" s="6" t="s">
        <v>42</v>
      </c>
      <c r="M982" s="6" t="s">
        <v>34</v>
      </c>
    </row>
    <row r="983" spans="1:13">
      <c r="A983" s="6" t="s">
        <v>1979</v>
      </c>
      <c r="B983" s="7">
        <v>46183</v>
      </c>
      <c r="C983" s="6" t="s">
        <v>1980</v>
      </c>
      <c r="D983" s="6" t="s">
        <v>105</v>
      </c>
      <c r="E983" s="6" t="s">
        <v>37</v>
      </c>
      <c r="F983" s="6" t="s">
        <v>94</v>
      </c>
      <c r="G983" s="6" t="s">
        <v>95</v>
      </c>
      <c r="H983" s="6">
        <v>2</v>
      </c>
      <c r="I983" s="6" t="s">
        <v>60</v>
      </c>
      <c r="J983" s="6" t="s">
        <v>189</v>
      </c>
      <c r="K983" s="6" t="s">
        <v>114</v>
      </c>
      <c r="L983" s="6" t="s">
        <v>42</v>
      </c>
      <c r="M983" s="6" t="s">
        <v>69</v>
      </c>
    </row>
    <row r="984" spans="1:13">
      <c r="A984" s="6" t="s">
        <v>1981</v>
      </c>
      <c r="B984" s="7">
        <v>46061</v>
      </c>
      <c r="C984" s="6" t="s">
        <v>1133</v>
      </c>
      <c r="D984" s="6" t="s">
        <v>72</v>
      </c>
      <c r="E984" s="6" t="s">
        <v>46</v>
      </c>
      <c r="F984" s="6" t="s">
        <v>85</v>
      </c>
      <c r="G984" s="6" t="s">
        <v>86</v>
      </c>
      <c r="H984" s="6">
        <v>2</v>
      </c>
      <c r="I984" s="6" t="s">
        <v>79</v>
      </c>
      <c r="J984" s="6" t="s">
        <v>259</v>
      </c>
      <c r="K984" s="6">
        <v>410</v>
      </c>
      <c r="L984" s="6" t="s">
        <v>42</v>
      </c>
      <c r="M984" s="6" t="s">
        <v>34</v>
      </c>
    </row>
    <row r="985" spans="1:13">
      <c r="A985" s="6" t="s">
        <v>1982</v>
      </c>
      <c r="B985" s="7">
        <v>46030</v>
      </c>
      <c r="C985" s="6" t="s">
        <v>1769</v>
      </c>
      <c r="D985" s="6" t="s">
        <v>72</v>
      </c>
      <c r="E985" s="6" t="s">
        <v>37</v>
      </c>
      <c r="F985" s="6" t="s">
        <v>100</v>
      </c>
      <c r="G985" s="6" t="s">
        <v>101</v>
      </c>
      <c r="H985" s="6">
        <v>2</v>
      </c>
      <c r="I985" s="6" t="s">
        <v>40</v>
      </c>
      <c r="J985" s="6" t="s">
        <v>327</v>
      </c>
      <c r="K985" s="6">
        <v>640</v>
      </c>
      <c r="L985" s="6" t="s">
        <v>42</v>
      </c>
      <c r="M985" s="6" t="s">
        <v>34</v>
      </c>
    </row>
    <row r="986" spans="1:13">
      <c r="A986" s="6" t="s">
        <v>1983</v>
      </c>
      <c r="B986" s="7">
        <v>46100</v>
      </c>
      <c r="C986" s="6" t="s">
        <v>1420</v>
      </c>
      <c r="D986" s="6" t="s">
        <v>127</v>
      </c>
      <c r="E986" s="6" t="s">
        <v>52</v>
      </c>
      <c r="F986" s="6" t="s">
        <v>94</v>
      </c>
      <c r="G986" s="6" t="s">
        <v>95</v>
      </c>
      <c r="H986" s="6">
        <v>1</v>
      </c>
      <c r="I986" s="6" t="s">
        <v>82</v>
      </c>
      <c r="J986" s="6" t="s">
        <v>82</v>
      </c>
      <c r="K986" s="6">
        <v>340</v>
      </c>
      <c r="L986" s="6" t="s">
        <v>33</v>
      </c>
      <c r="M986" s="6" t="s">
        <v>34</v>
      </c>
    </row>
    <row r="987" spans="1:13">
      <c r="A987" s="6" t="s">
        <v>1984</v>
      </c>
      <c r="B987" s="7">
        <v>46194</v>
      </c>
      <c r="C987" s="6" t="s">
        <v>1221</v>
      </c>
      <c r="D987" s="6" t="s">
        <v>77</v>
      </c>
      <c r="E987" s="6" t="s">
        <v>46</v>
      </c>
      <c r="F987" s="6" t="s">
        <v>94</v>
      </c>
      <c r="G987" s="6" t="s">
        <v>95</v>
      </c>
      <c r="H987" s="6">
        <v>1</v>
      </c>
      <c r="I987" s="6" t="s">
        <v>90</v>
      </c>
      <c r="J987" s="6" t="s">
        <v>90</v>
      </c>
      <c r="K987" s="6" t="s">
        <v>114</v>
      </c>
      <c r="L987" s="6" t="s">
        <v>33</v>
      </c>
      <c r="M987" s="6" t="s">
        <v>34</v>
      </c>
    </row>
    <row r="988" spans="1:13">
      <c r="A988" s="6" t="s">
        <v>1985</v>
      </c>
      <c r="B988" s="7">
        <v>46182</v>
      </c>
      <c r="C988" s="6" t="s">
        <v>1055</v>
      </c>
      <c r="D988" s="6" t="s">
        <v>45</v>
      </c>
      <c r="E988" s="6" t="s">
        <v>46</v>
      </c>
      <c r="F988" s="6" t="s">
        <v>29</v>
      </c>
      <c r="G988" s="6" t="s">
        <v>30</v>
      </c>
      <c r="H988" s="6">
        <v>2</v>
      </c>
      <c r="I988" s="6" t="s">
        <v>82</v>
      </c>
      <c r="J988" s="6" t="s">
        <v>297</v>
      </c>
      <c r="K988" s="6" t="s">
        <v>41</v>
      </c>
      <c r="L988" s="6" t="s">
        <v>42</v>
      </c>
      <c r="M988" s="6" t="s">
        <v>34</v>
      </c>
    </row>
    <row r="989" spans="1:13">
      <c r="A989" s="6" t="s">
        <v>1334</v>
      </c>
      <c r="B989" s="7">
        <v>46035</v>
      </c>
      <c r="C989" s="6" t="s">
        <v>1335</v>
      </c>
      <c r="D989" s="6" t="s">
        <v>77</v>
      </c>
      <c r="E989" s="6" t="s">
        <v>28</v>
      </c>
      <c r="F989" s="6" t="s">
        <v>47</v>
      </c>
      <c r="G989" s="6" t="s">
        <v>48</v>
      </c>
      <c r="H989" s="6">
        <v>2</v>
      </c>
      <c r="I989" s="6" t="s">
        <v>90</v>
      </c>
      <c r="J989" s="6" t="s">
        <v>154</v>
      </c>
      <c r="K989" s="6">
        <v>85</v>
      </c>
      <c r="L989" s="6" t="s">
        <v>42</v>
      </c>
      <c r="M989" s="6" t="s">
        <v>34</v>
      </c>
    </row>
    <row r="990" spans="1:13">
      <c r="A990" s="6" t="s">
        <v>1986</v>
      </c>
      <c r="B990" s="7">
        <v>46065</v>
      </c>
      <c r="C990" s="6" t="s">
        <v>1987</v>
      </c>
      <c r="D990" s="6" t="s">
        <v>45</v>
      </c>
      <c r="E990" s="6" t="s">
        <v>37</v>
      </c>
      <c r="F990" s="6" t="s">
        <v>94</v>
      </c>
      <c r="G990" s="6" t="s">
        <v>95</v>
      </c>
      <c r="H990" s="6">
        <v>1</v>
      </c>
      <c r="I990" s="6" t="s">
        <v>143</v>
      </c>
      <c r="J990" s="6" t="s">
        <v>143</v>
      </c>
      <c r="K990" s="6">
        <v>340</v>
      </c>
      <c r="L990" s="6" t="s">
        <v>42</v>
      </c>
      <c r="M990" s="6" t="s">
        <v>34</v>
      </c>
    </row>
    <row r="991" spans="1:13">
      <c r="A991" s="6" t="s">
        <v>1988</v>
      </c>
      <c r="B991" s="7">
        <v>46032</v>
      </c>
      <c r="C991" s="6" t="s">
        <v>1989</v>
      </c>
      <c r="D991" s="6" t="s">
        <v>45</v>
      </c>
      <c r="E991" s="6" t="s">
        <v>78</v>
      </c>
      <c r="F991" s="6" t="s">
        <v>58</v>
      </c>
      <c r="G991" s="6" t="s">
        <v>59</v>
      </c>
      <c r="H991" s="6">
        <v>3</v>
      </c>
      <c r="I991" s="6" t="s">
        <v>60</v>
      </c>
      <c r="J991" s="6" t="s">
        <v>268</v>
      </c>
      <c r="K991" s="6">
        <v>380</v>
      </c>
      <c r="L991" s="6" t="s">
        <v>42</v>
      </c>
      <c r="M991" s="6" t="s">
        <v>69</v>
      </c>
    </row>
    <row r="992" spans="1:13">
      <c r="A992" s="6" t="s">
        <v>1990</v>
      </c>
      <c r="B992" s="7">
        <v>46084</v>
      </c>
      <c r="C992" s="6" t="s">
        <v>482</v>
      </c>
      <c r="D992" s="6" t="s">
        <v>64</v>
      </c>
      <c r="E992" s="6" t="s">
        <v>52</v>
      </c>
      <c r="F992" s="6" t="s">
        <v>85</v>
      </c>
      <c r="G992" s="6" t="s">
        <v>86</v>
      </c>
      <c r="H992" s="6">
        <v>2</v>
      </c>
      <c r="I992" s="6" t="s">
        <v>117</v>
      </c>
      <c r="J992" s="6" t="s">
        <v>118</v>
      </c>
      <c r="K992" s="6">
        <v>410</v>
      </c>
      <c r="L992" s="6" t="s">
        <v>42</v>
      </c>
      <c r="M992" s="6" t="s">
        <v>34</v>
      </c>
    </row>
    <row r="993" spans="1:13">
      <c r="A993" s="6" t="s">
        <v>1991</v>
      </c>
      <c r="B993" s="6" t="s">
        <v>948</v>
      </c>
      <c r="C993" s="6" t="s">
        <v>1403</v>
      </c>
      <c r="D993" s="6" t="s">
        <v>77</v>
      </c>
      <c r="E993" s="6" t="s">
        <v>78</v>
      </c>
      <c r="F993" s="6" t="s">
        <v>53</v>
      </c>
      <c r="G993" s="6" t="s">
        <v>54</v>
      </c>
      <c r="H993" s="6">
        <v>2</v>
      </c>
      <c r="I993" s="6" t="s">
        <v>79</v>
      </c>
      <c r="J993" s="6" t="s">
        <v>259</v>
      </c>
      <c r="K993" s="6" t="s">
        <v>122</v>
      </c>
      <c r="L993" s="6" t="s">
        <v>33</v>
      </c>
      <c r="M993" s="6" t="s">
        <v>34</v>
      </c>
    </row>
    <row r="994" spans="1:13">
      <c r="A994" s="6" t="s">
        <v>1992</v>
      </c>
      <c r="B994" s="7">
        <v>46114</v>
      </c>
      <c r="C994" s="6" t="s">
        <v>1993</v>
      </c>
      <c r="D994" s="6" t="s">
        <v>72</v>
      </c>
      <c r="E994" s="6" t="s">
        <v>37</v>
      </c>
      <c r="F994" s="6" t="s">
        <v>53</v>
      </c>
      <c r="G994" s="6" t="s">
        <v>54</v>
      </c>
      <c r="H994" s="6">
        <v>3</v>
      </c>
      <c r="I994" s="6" t="s">
        <v>40</v>
      </c>
      <c r="J994" s="6" t="s">
        <v>579</v>
      </c>
      <c r="K994" s="6">
        <v>190</v>
      </c>
      <c r="L994" s="6" t="s">
        <v>42</v>
      </c>
      <c r="M994" s="6" t="s">
        <v>34</v>
      </c>
    </row>
    <row r="995" spans="1:13">
      <c r="A995" s="6" t="s">
        <v>1994</v>
      </c>
      <c r="B995" s="7">
        <v>46144</v>
      </c>
      <c r="C995" s="6" t="s">
        <v>1995</v>
      </c>
      <c r="D995" s="6" t="s">
        <v>72</v>
      </c>
      <c r="E995" s="6" t="s">
        <v>78</v>
      </c>
      <c r="F995" s="6" t="s">
        <v>58</v>
      </c>
      <c r="G995" s="6" t="s">
        <v>59</v>
      </c>
      <c r="H995" s="6">
        <v>2</v>
      </c>
      <c r="I995" s="6" t="s">
        <v>1004</v>
      </c>
      <c r="J995" s="6" t="s">
        <v>167</v>
      </c>
      <c r="K995" s="6" t="s">
        <v>61</v>
      </c>
      <c r="L995" s="6" t="s">
        <v>42</v>
      </c>
      <c r="M995" s="6" t="s">
        <v>69</v>
      </c>
    </row>
    <row r="996" spans="1:13">
      <c r="A996" s="6" t="s">
        <v>1996</v>
      </c>
      <c r="B996" s="7">
        <v>46129</v>
      </c>
      <c r="C996" s="6" t="s">
        <v>1997</v>
      </c>
      <c r="D996" s="6" t="s">
        <v>45</v>
      </c>
      <c r="E996" s="6" t="s">
        <v>46</v>
      </c>
      <c r="F996" s="6" t="s">
        <v>29</v>
      </c>
      <c r="G996" s="6" t="s">
        <v>30</v>
      </c>
      <c r="H996" s="6">
        <v>1</v>
      </c>
      <c r="I996" s="6" t="s">
        <v>73</v>
      </c>
      <c r="J996" s="6" t="s">
        <v>73</v>
      </c>
      <c r="K996" s="6">
        <v>520</v>
      </c>
      <c r="L996" s="6" t="s">
        <v>42</v>
      </c>
      <c r="M996" s="6" t="s">
        <v>69</v>
      </c>
    </row>
    <row r="997" spans="1:13">
      <c r="A997" s="6" t="s">
        <v>1998</v>
      </c>
      <c r="B997" s="7">
        <v>46179</v>
      </c>
      <c r="C997" s="6" t="s">
        <v>1999</v>
      </c>
      <c r="D997" s="6" t="s">
        <v>127</v>
      </c>
      <c r="E997" s="6" t="s">
        <v>78</v>
      </c>
      <c r="F997" s="6" t="s">
        <v>58</v>
      </c>
      <c r="G997" s="6" t="s">
        <v>59</v>
      </c>
      <c r="H997" s="6">
        <v>2</v>
      </c>
      <c r="I997" s="6" t="s">
        <v>73</v>
      </c>
      <c r="J997" s="6" t="s">
        <v>74</v>
      </c>
      <c r="K997" s="6" t="s">
        <v>61</v>
      </c>
      <c r="L997" s="6" t="s">
        <v>33</v>
      </c>
      <c r="M997" s="6" t="s">
        <v>34</v>
      </c>
    </row>
    <row r="998" spans="1:13">
      <c r="A998" s="6" t="s">
        <v>2000</v>
      </c>
      <c r="B998" s="7">
        <v>46078</v>
      </c>
      <c r="C998" s="6" t="s">
        <v>2001</v>
      </c>
      <c r="D998" s="6" t="s">
        <v>72</v>
      </c>
      <c r="E998" s="6" t="s">
        <v>37</v>
      </c>
      <c r="F998" s="6" t="s">
        <v>47</v>
      </c>
      <c r="G998" s="6" t="s">
        <v>48</v>
      </c>
      <c r="H998" s="6">
        <v>1</v>
      </c>
      <c r="I998" s="6" t="s">
        <v>82</v>
      </c>
      <c r="J998" s="6" t="s">
        <v>82</v>
      </c>
      <c r="K998" s="6">
        <v>85</v>
      </c>
      <c r="L998" s="6" t="s">
        <v>33</v>
      </c>
      <c r="M998" s="6" t="s">
        <v>34</v>
      </c>
    </row>
    <row r="999" spans="1:13">
      <c r="A999" s="6" t="s">
        <v>2002</v>
      </c>
      <c r="B999" s="7">
        <v>46121</v>
      </c>
      <c r="C999" s="6" t="s">
        <v>650</v>
      </c>
      <c r="D999" s="6" t="s">
        <v>27</v>
      </c>
      <c r="E999" s="6" t="s">
        <v>52</v>
      </c>
      <c r="F999" s="6" t="s">
        <v>29</v>
      </c>
      <c r="G999" s="6" t="s">
        <v>30</v>
      </c>
      <c r="H999" s="6">
        <v>3</v>
      </c>
      <c r="I999" s="6" t="s">
        <v>265</v>
      </c>
      <c r="J999" s="6" t="s">
        <v>401</v>
      </c>
      <c r="K999" s="6">
        <v>520</v>
      </c>
      <c r="L999" s="6" t="s">
        <v>42</v>
      </c>
      <c r="M999" s="6" t="s">
        <v>69</v>
      </c>
    </row>
    <row r="1000" spans="1:13">
      <c r="A1000" s="6" t="s">
        <v>2003</v>
      </c>
      <c r="B1000" s="7">
        <v>46042</v>
      </c>
      <c r="C1000" s="6" t="s">
        <v>2004</v>
      </c>
      <c r="D1000" s="6" t="s">
        <v>127</v>
      </c>
      <c r="E1000" s="6" t="s">
        <v>28</v>
      </c>
      <c r="F1000" s="6" t="s">
        <v>100</v>
      </c>
      <c r="G1000" s="6" t="s">
        <v>101</v>
      </c>
      <c r="H1000" s="6">
        <v>1</v>
      </c>
      <c r="I1000" s="6" t="s">
        <v>265</v>
      </c>
      <c r="J1000" s="6" t="s">
        <v>265</v>
      </c>
      <c r="K1000" s="6">
        <v>640</v>
      </c>
      <c r="L1000" s="6" t="s">
        <v>42</v>
      </c>
      <c r="M1000" s="6" t="s">
        <v>34</v>
      </c>
    </row>
    <row r="1001" spans="1:13">
      <c r="A1001" s="6" t="s">
        <v>2005</v>
      </c>
      <c r="B1001" s="7">
        <v>46080</v>
      </c>
      <c r="C1001" s="6" t="s">
        <v>304</v>
      </c>
      <c r="D1001" s="6" t="s">
        <v>77</v>
      </c>
      <c r="E1001" s="6" t="s">
        <v>46</v>
      </c>
      <c r="F1001" s="6" t="s">
        <v>85</v>
      </c>
      <c r="G1001" s="6" t="s">
        <v>86</v>
      </c>
      <c r="H1001" s="6">
        <v>2</v>
      </c>
      <c r="I1001" s="6" t="s">
        <v>147</v>
      </c>
      <c r="J1001" s="6" t="s">
        <v>175</v>
      </c>
      <c r="K1001" s="6">
        <v>410</v>
      </c>
      <c r="L1001" s="6" t="s">
        <v>42</v>
      </c>
      <c r="M1001" s="6" t="s">
        <v>34</v>
      </c>
    </row>
    <row r="1002" spans="1:13">
      <c r="A1002" s="6" t="s">
        <v>2006</v>
      </c>
      <c r="B1002" s="7">
        <v>46094</v>
      </c>
      <c r="C1002" s="6" t="s">
        <v>1887</v>
      </c>
      <c r="D1002" s="6" t="s">
        <v>45</v>
      </c>
      <c r="E1002" s="6" t="s">
        <v>28</v>
      </c>
      <c r="F1002" s="6" t="s">
        <v>58</v>
      </c>
      <c r="G1002" s="6" t="s">
        <v>59</v>
      </c>
      <c r="H1002" s="6">
        <v>3</v>
      </c>
      <c r="I1002" s="6" t="s">
        <v>96</v>
      </c>
      <c r="J1002" s="6" t="s">
        <v>97</v>
      </c>
      <c r="K1002" s="6">
        <v>380</v>
      </c>
      <c r="L1002" s="6" t="s">
        <v>42</v>
      </c>
      <c r="M1002" s="6" t="s">
        <v>34</v>
      </c>
    </row>
    <row r="1003" spans="1:13">
      <c r="A1003" s="6" t="s">
        <v>2007</v>
      </c>
      <c r="B1003" s="7">
        <v>46073</v>
      </c>
      <c r="C1003" s="6" t="s">
        <v>2008</v>
      </c>
      <c r="D1003" s="6" t="s">
        <v>27</v>
      </c>
      <c r="E1003" s="6" t="s">
        <v>78</v>
      </c>
      <c r="F1003" s="6" t="s">
        <v>29</v>
      </c>
      <c r="G1003" s="6" t="s">
        <v>30</v>
      </c>
      <c r="H1003" s="6">
        <v>1</v>
      </c>
      <c r="I1003" s="6" t="s">
        <v>31</v>
      </c>
      <c r="J1003" s="6" t="s">
        <v>31</v>
      </c>
      <c r="K1003" s="6">
        <v>520</v>
      </c>
      <c r="L1003" s="6" t="s">
        <v>33</v>
      </c>
      <c r="M1003" s="6" t="s">
        <v>34</v>
      </c>
    </row>
    <row r="1004" spans="1:13">
      <c r="A1004" s="6" t="s">
        <v>2009</v>
      </c>
      <c r="B1004" s="7">
        <v>46131</v>
      </c>
      <c r="C1004" s="6" t="s">
        <v>2010</v>
      </c>
      <c r="D1004" s="6" t="s">
        <v>45</v>
      </c>
      <c r="E1004" s="6" t="s">
        <v>28</v>
      </c>
      <c r="F1004" s="6" t="s">
        <v>38</v>
      </c>
      <c r="G1004" s="6" t="s">
        <v>39</v>
      </c>
      <c r="H1004" s="6">
        <v>1</v>
      </c>
      <c r="I1004" s="6" t="s">
        <v>166</v>
      </c>
      <c r="J1004" s="6" t="s">
        <v>265</v>
      </c>
      <c r="K1004" s="6">
        <v>520</v>
      </c>
      <c r="L1004" s="6" t="s">
        <v>42</v>
      </c>
      <c r="M1004" s="6" t="s">
        <v>34</v>
      </c>
    </row>
    <row r="1005" spans="1:13">
      <c r="A1005" s="6" t="s">
        <v>2011</v>
      </c>
      <c r="B1005" s="7">
        <v>46127</v>
      </c>
      <c r="C1005" s="6" t="s">
        <v>1034</v>
      </c>
      <c r="D1005" s="6" t="s">
        <v>64</v>
      </c>
      <c r="E1005" s="6" t="s">
        <v>46</v>
      </c>
      <c r="F1005" s="6" t="s">
        <v>85</v>
      </c>
      <c r="G1005" s="6" t="s">
        <v>86</v>
      </c>
      <c r="H1005" s="6">
        <v>2</v>
      </c>
      <c r="I1005" s="6" t="s">
        <v>79</v>
      </c>
      <c r="J1005" s="6" t="s">
        <v>259</v>
      </c>
      <c r="K1005" s="6">
        <v>410</v>
      </c>
      <c r="L1005" s="6" t="s">
        <v>33</v>
      </c>
      <c r="M1005" s="6" t="s">
        <v>34</v>
      </c>
    </row>
    <row r="1006" spans="1:13">
      <c r="A1006" s="6" t="s">
        <v>844</v>
      </c>
      <c r="B1006" s="7">
        <v>46042</v>
      </c>
      <c r="C1006" s="6" t="s">
        <v>845</v>
      </c>
      <c r="D1006" s="6" t="s">
        <v>127</v>
      </c>
      <c r="E1006" s="6" t="s">
        <v>28</v>
      </c>
      <c r="F1006" s="6" t="s">
        <v>38</v>
      </c>
      <c r="G1006" s="6" t="s">
        <v>39</v>
      </c>
      <c r="H1006" s="6">
        <v>2</v>
      </c>
      <c r="I1006" s="6" t="s">
        <v>82</v>
      </c>
      <c r="J1006" s="6" t="s">
        <v>297</v>
      </c>
      <c r="K1006" s="6">
        <v>520</v>
      </c>
      <c r="L1006" s="6" t="s">
        <v>42</v>
      </c>
      <c r="M1006" s="6" t="s">
        <v>34</v>
      </c>
    </row>
    <row r="1007" spans="1:13">
      <c r="A1007" s="6" t="s">
        <v>2012</v>
      </c>
      <c r="B1007" s="7">
        <v>46206</v>
      </c>
      <c r="C1007" s="6" t="s">
        <v>236</v>
      </c>
      <c r="D1007" s="6" t="s">
        <v>72</v>
      </c>
      <c r="E1007" s="6" t="s">
        <v>78</v>
      </c>
      <c r="F1007" s="6" t="s">
        <v>58</v>
      </c>
      <c r="G1007" s="6" t="s">
        <v>59</v>
      </c>
      <c r="H1007" s="6">
        <v>1</v>
      </c>
      <c r="I1007" s="6" t="s">
        <v>96</v>
      </c>
      <c r="J1007" s="6" t="s">
        <v>96</v>
      </c>
      <c r="K1007" s="6" t="s">
        <v>61</v>
      </c>
      <c r="L1007" s="6" t="s">
        <v>42</v>
      </c>
      <c r="M1007" s="6" t="s">
        <v>34</v>
      </c>
    </row>
    <row r="1008" spans="1:13">
      <c r="A1008" s="6" t="s">
        <v>2013</v>
      </c>
      <c r="B1008" s="7">
        <v>46037</v>
      </c>
      <c r="C1008" s="6" t="s">
        <v>2014</v>
      </c>
      <c r="D1008" s="6" t="s">
        <v>127</v>
      </c>
      <c r="E1008" s="6" t="s">
        <v>37</v>
      </c>
      <c r="F1008" s="6" t="s">
        <v>47</v>
      </c>
      <c r="G1008" s="6" t="s">
        <v>48</v>
      </c>
      <c r="H1008" s="6">
        <v>1</v>
      </c>
      <c r="I1008" s="6" t="s">
        <v>181</v>
      </c>
      <c r="J1008" s="6" t="s">
        <v>181</v>
      </c>
      <c r="K1008" s="6">
        <v>85</v>
      </c>
      <c r="L1008" s="6" t="s">
        <v>42</v>
      </c>
      <c r="M1008" s="6" t="s">
        <v>69</v>
      </c>
    </row>
    <row r="1009" spans="1:13">
      <c r="A1009" s="6" t="s">
        <v>2015</v>
      </c>
      <c r="B1009" s="7">
        <v>46162</v>
      </c>
      <c r="C1009" s="6" t="s">
        <v>2016</v>
      </c>
      <c r="D1009" s="6" t="s">
        <v>72</v>
      </c>
      <c r="E1009" s="6" t="s">
        <v>78</v>
      </c>
      <c r="F1009" s="6" t="s">
        <v>58</v>
      </c>
      <c r="G1009" s="6" t="s">
        <v>59</v>
      </c>
      <c r="H1009" s="6">
        <v>2</v>
      </c>
      <c r="I1009" s="6" t="s">
        <v>181</v>
      </c>
      <c r="J1009" s="6" t="s">
        <v>163</v>
      </c>
      <c r="K1009" s="6" t="s">
        <v>61</v>
      </c>
      <c r="L1009" s="6" t="s">
        <v>42</v>
      </c>
      <c r="M1009" s="6" t="s">
        <v>34</v>
      </c>
    </row>
    <row r="1010" spans="1:13">
      <c r="A1010" s="6" t="s">
        <v>2017</v>
      </c>
      <c r="B1010" s="7">
        <v>46144</v>
      </c>
      <c r="C1010" s="6" t="s">
        <v>2018</v>
      </c>
      <c r="D1010" s="6" t="s">
        <v>45</v>
      </c>
      <c r="E1010" s="6" t="s">
        <v>78</v>
      </c>
      <c r="F1010" s="6" t="s">
        <v>94</v>
      </c>
      <c r="G1010" s="6" t="s">
        <v>95</v>
      </c>
      <c r="H1010" s="6">
        <v>1</v>
      </c>
      <c r="I1010" s="6" t="s">
        <v>79</v>
      </c>
      <c r="J1010" s="6" t="s">
        <v>79</v>
      </c>
      <c r="K1010" s="6" t="s">
        <v>114</v>
      </c>
      <c r="L1010" s="6" t="s">
        <v>42</v>
      </c>
      <c r="M1010" s="6" t="s">
        <v>34</v>
      </c>
    </row>
    <row r="1011" spans="1:13">
      <c r="A1011" s="6" t="s">
        <v>2019</v>
      </c>
      <c r="B1011" s="7">
        <v>46140</v>
      </c>
      <c r="C1011" s="6" t="s">
        <v>1210</v>
      </c>
      <c r="D1011" s="6" t="s">
        <v>57</v>
      </c>
      <c r="E1011" s="6" t="s">
        <v>78</v>
      </c>
      <c r="F1011" s="6" t="s">
        <v>29</v>
      </c>
      <c r="G1011" s="6" t="s">
        <v>30</v>
      </c>
      <c r="H1011" s="6">
        <v>1</v>
      </c>
      <c r="I1011" s="6" t="s">
        <v>147</v>
      </c>
      <c r="J1011" s="6" t="s">
        <v>147</v>
      </c>
      <c r="K1011" s="6" t="s">
        <v>41</v>
      </c>
      <c r="L1011" s="6" t="s">
        <v>42</v>
      </c>
      <c r="M1011" s="6" t="s">
        <v>69</v>
      </c>
    </row>
    <row r="1012" spans="1:13">
      <c r="A1012" s="6" t="s">
        <v>2020</v>
      </c>
      <c r="B1012" s="7">
        <v>46038</v>
      </c>
      <c r="C1012" s="6" t="s">
        <v>1497</v>
      </c>
      <c r="D1012" s="6" t="s">
        <v>105</v>
      </c>
      <c r="E1012" s="6" t="s">
        <v>78</v>
      </c>
      <c r="F1012" s="6" t="s">
        <v>29</v>
      </c>
      <c r="G1012" s="6" t="s">
        <v>30</v>
      </c>
      <c r="H1012" s="6">
        <v>1</v>
      </c>
      <c r="I1012" s="6" t="s">
        <v>79</v>
      </c>
      <c r="J1012" s="6" t="s">
        <v>79</v>
      </c>
      <c r="K1012" s="6">
        <v>520</v>
      </c>
      <c r="L1012" s="6" t="s">
        <v>33</v>
      </c>
      <c r="M1012" s="6" t="s">
        <v>34</v>
      </c>
    </row>
    <row r="1013" spans="1:13">
      <c r="A1013" s="6" t="s">
        <v>2021</v>
      </c>
      <c r="B1013" s="7">
        <v>46142</v>
      </c>
      <c r="C1013" s="6" t="s">
        <v>2022</v>
      </c>
      <c r="D1013" s="6" t="s">
        <v>72</v>
      </c>
      <c r="E1013" s="6" t="s">
        <v>46</v>
      </c>
      <c r="F1013" s="6" t="s">
        <v>100</v>
      </c>
      <c r="G1013" s="6" t="s">
        <v>101</v>
      </c>
      <c r="H1013" s="6">
        <v>1</v>
      </c>
      <c r="I1013" s="6" t="s">
        <v>143</v>
      </c>
      <c r="J1013" s="6" t="s">
        <v>143</v>
      </c>
      <c r="K1013" s="6" t="s">
        <v>119</v>
      </c>
      <c r="L1013" s="6" t="s">
        <v>42</v>
      </c>
      <c r="M1013" s="6" t="s">
        <v>34</v>
      </c>
    </row>
    <row r="1014" spans="1:13">
      <c r="A1014" s="6" t="s">
        <v>2023</v>
      </c>
      <c r="B1014" s="7">
        <v>46067</v>
      </c>
      <c r="C1014" s="6" t="s">
        <v>2010</v>
      </c>
      <c r="D1014" s="6" t="s">
        <v>72</v>
      </c>
      <c r="E1014" s="6" t="s">
        <v>37</v>
      </c>
      <c r="F1014" s="6" t="s">
        <v>94</v>
      </c>
      <c r="G1014" s="6" t="s">
        <v>95</v>
      </c>
      <c r="H1014" s="6">
        <v>1</v>
      </c>
      <c r="I1014" s="6" t="s">
        <v>82</v>
      </c>
      <c r="J1014" s="6" t="s">
        <v>1674</v>
      </c>
      <c r="K1014" s="6">
        <v>340</v>
      </c>
      <c r="L1014" s="6" t="s">
        <v>42</v>
      </c>
      <c r="M1014" s="6" t="s">
        <v>69</v>
      </c>
    </row>
    <row r="1015" spans="1:13">
      <c r="A1015" s="6" t="s">
        <v>2024</v>
      </c>
      <c r="B1015" s="7">
        <v>46128</v>
      </c>
      <c r="C1015" s="6" t="s">
        <v>2025</v>
      </c>
      <c r="D1015" s="6" t="s">
        <v>27</v>
      </c>
      <c r="E1015" s="6" t="s">
        <v>52</v>
      </c>
      <c r="F1015" s="6" t="s">
        <v>47</v>
      </c>
      <c r="G1015" s="6" t="s">
        <v>48</v>
      </c>
      <c r="H1015" s="6">
        <v>1</v>
      </c>
      <c r="I1015" s="6" t="s">
        <v>90</v>
      </c>
      <c r="J1015" s="6" t="s">
        <v>90</v>
      </c>
      <c r="K1015" s="6">
        <v>85</v>
      </c>
      <c r="L1015" s="6" t="s">
        <v>42</v>
      </c>
      <c r="M1015" s="6" t="s">
        <v>69</v>
      </c>
    </row>
    <row r="1016" spans="1:13">
      <c r="A1016" s="6" t="s">
        <v>2026</v>
      </c>
      <c r="B1016" s="7">
        <v>46150</v>
      </c>
      <c r="C1016" s="6" t="s">
        <v>2027</v>
      </c>
      <c r="D1016" s="6" t="s">
        <v>57</v>
      </c>
      <c r="E1016" s="6" t="s">
        <v>52</v>
      </c>
      <c r="F1016" s="6" t="s">
        <v>58</v>
      </c>
      <c r="G1016" s="6" t="s">
        <v>59</v>
      </c>
      <c r="H1016" s="6">
        <v>1</v>
      </c>
      <c r="I1016" s="6" t="s">
        <v>113</v>
      </c>
      <c r="J1016" s="6" t="s">
        <v>113</v>
      </c>
      <c r="K1016" s="6" t="s">
        <v>61</v>
      </c>
      <c r="L1016" s="6" t="s">
        <v>42</v>
      </c>
      <c r="M1016" s="6" t="s">
        <v>34</v>
      </c>
    </row>
    <row r="1017" spans="1:13">
      <c r="A1017" s="6" t="s">
        <v>2028</v>
      </c>
      <c r="B1017" s="6" t="s">
        <v>2029</v>
      </c>
      <c r="C1017" s="6" t="s">
        <v>1420</v>
      </c>
      <c r="D1017" s="6" t="s">
        <v>27</v>
      </c>
      <c r="E1017" s="6" t="s">
        <v>37</v>
      </c>
      <c r="F1017" s="6" t="s">
        <v>94</v>
      </c>
      <c r="G1017" s="6" t="s">
        <v>95</v>
      </c>
      <c r="H1017" s="6">
        <v>1</v>
      </c>
      <c r="I1017" s="6" t="s">
        <v>117</v>
      </c>
      <c r="J1017" s="6" t="s">
        <v>117</v>
      </c>
      <c r="K1017" s="6">
        <v>340</v>
      </c>
      <c r="L1017" s="6" t="s">
        <v>33</v>
      </c>
      <c r="M1017" s="6" t="s">
        <v>69</v>
      </c>
    </row>
    <row r="1018" spans="1:13">
      <c r="A1018" s="6" t="s">
        <v>2030</v>
      </c>
      <c r="B1018" s="7">
        <v>46192</v>
      </c>
      <c r="C1018" s="6" t="s">
        <v>2031</v>
      </c>
      <c r="D1018" s="6" t="s">
        <v>110</v>
      </c>
      <c r="E1018" s="6" t="s">
        <v>52</v>
      </c>
      <c r="F1018" s="6" t="s">
        <v>100</v>
      </c>
      <c r="G1018" s="6" t="s">
        <v>101</v>
      </c>
      <c r="H1018" s="6">
        <v>1</v>
      </c>
      <c r="I1018" s="6" t="s">
        <v>181</v>
      </c>
      <c r="J1018" s="6" t="s">
        <v>181</v>
      </c>
      <c r="K1018" s="6" t="s">
        <v>119</v>
      </c>
      <c r="L1018" s="6" t="s">
        <v>42</v>
      </c>
      <c r="M1018" s="6" t="s">
        <v>69</v>
      </c>
    </row>
    <row r="1019" spans="1:13">
      <c r="A1019" s="6" t="s">
        <v>2032</v>
      </c>
      <c r="B1019" s="7">
        <v>46148</v>
      </c>
      <c r="C1019" s="6" t="s">
        <v>2033</v>
      </c>
      <c r="D1019" s="6" t="s">
        <v>64</v>
      </c>
      <c r="E1019" s="6" t="s">
        <v>46</v>
      </c>
      <c r="F1019" s="6" t="s">
        <v>58</v>
      </c>
      <c r="G1019" s="6" t="s">
        <v>59</v>
      </c>
      <c r="H1019" s="6">
        <v>1</v>
      </c>
      <c r="I1019" s="6" t="s">
        <v>117</v>
      </c>
      <c r="J1019" s="6" t="s">
        <v>117</v>
      </c>
      <c r="K1019" s="6" t="s">
        <v>61</v>
      </c>
      <c r="L1019" s="6" t="s">
        <v>42</v>
      </c>
      <c r="M1019" s="6" t="s">
        <v>69</v>
      </c>
    </row>
    <row r="1020" spans="1:13">
      <c r="A1020" s="6" t="s">
        <v>2034</v>
      </c>
      <c r="B1020" s="7">
        <v>46105</v>
      </c>
      <c r="C1020" s="6" t="s">
        <v>2035</v>
      </c>
      <c r="D1020" s="6" t="s">
        <v>105</v>
      </c>
      <c r="E1020" s="6" t="s">
        <v>28</v>
      </c>
      <c r="F1020" s="6" t="s">
        <v>38</v>
      </c>
      <c r="G1020" s="6" t="s">
        <v>39</v>
      </c>
      <c r="H1020" s="6">
        <v>1</v>
      </c>
      <c r="I1020" s="6" t="s">
        <v>265</v>
      </c>
      <c r="J1020" s="6" t="s">
        <v>265</v>
      </c>
      <c r="K1020" s="6">
        <v>520</v>
      </c>
      <c r="L1020" s="6" t="s">
        <v>42</v>
      </c>
      <c r="M1020" s="6" t="s">
        <v>34</v>
      </c>
    </row>
    <row r="1021" spans="1:13">
      <c r="A1021" s="6" t="s">
        <v>2036</v>
      </c>
      <c r="B1021" s="7">
        <v>46175</v>
      </c>
      <c r="C1021" s="6" t="s">
        <v>1901</v>
      </c>
      <c r="D1021" s="6" t="s">
        <v>105</v>
      </c>
      <c r="E1021" s="6" t="s">
        <v>28</v>
      </c>
      <c r="F1021" s="6" t="s">
        <v>29</v>
      </c>
      <c r="G1021" s="6" t="s">
        <v>30</v>
      </c>
      <c r="H1021" s="6">
        <v>2</v>
      </c>
      <c r="I1021" s="6" t="s">
        <v>117</v>
      </c>
      <c r="J1021" s="6" t="s">
        <v>2037</v>
      </c>
      <c r="K1021" s="6" t="s">
        <v>41</v>
      </c>
      <c r="L1021" s="6" t="s">
        <v>42</v>
      </c>
      <c r="M1021" s="6" t="s">
        <v>69</v>
      </c>
    </row>
    <row r="1022" spans="1:13">
      <c r="A1022" s="6" t="s">
        <v>2038</v>
      </c>
      <c r="B1022" s="7">
        <v>46050</v>
      </c>
      <c r="C1022" s="6" t="s">
        <v>2039</v>
      </c>
      <c r="D1022" s="6" t="s">
        <v>57</v>
      </c>
      <c r="E1022" s="6" t="s">
        <v>28</v>
      </c>
      <c r="F1022" s="6" t="s">
        <v>29</v>
      </c>
      <c r="G1022" s="6" t="s">
        <v>30</v>
      </c>
      <c r="H1022" s="6">
        <v>1</v>
      </c>
      <c r="I1022" s="6" t="s">
        <v>96</v>
      </c>
      <c r="J1022" s="6" t="s">
        <v>96</v>
      </c>
      <c r="K1022" s="6">
        <v>520</v>
      </c>
      <c r="L1022" s="6" t="s">
        <v>42</v>
      </c>
      <c r="M1022" s="6" t="s">
        <v>34</v>
      </c>
    </row>
    <row r="1023" spans="1:13">
      <c r="A1023" s="6" t="s">
        <v>2040</v>
      </c>
      <c r="B1023" s="7">
        <v>46181</v>
      </c>
      <c r="C1023" s="6" t="s">
        <v>345</v>
      </c>
      <c r="D1023" s="6" t="s">
        <v>110</v>
      </c>
      <c r="E1023" s="6" t="s">
        <v>28</v>
      </c>
      <c r="F1023" s="6" t="s">
        <v>53</v>
      </c>
      <c r="G1023" s="6" t="s">
        <v>54</v>
      </c>
      <c r="H1023" s="6">
        <v>2</v>
      </c>
      <c r="I1023" s="6" t="s">
        <v>181</v>
      </c>
      <c r="J1023" s="6" t="s">
        <v>163</v>
      </c>
      <c r="K1023" s="6" t="s">
        <v>122</v>
      </c>
      <c r="L1023" s="6" t="s">
        <v>33</v>
      </c>
      <c r="M1023" s="6" t="s">
        <v>34</v>
      </c>
    </row>
    <row r="1024" spans="1:13">
      <c r="A1024" s="6" t="s">
        <v>2041</v>
      </c>
      <c r="B1024" s="7">
        <v>46067</v>
      </c>
      <c r="C1024" s="6" t="s">
        <v>2042</v>
      </c>
      <c r="D1024" s="6" t="s">
        <v>45</v>
      </c>
      <c r="E1024" s="6" t="s">
        <v>46</v>
      </c>
      <c r="F1024" s="6" t="s">
        <v>94</v>
      </c>
      <c r="G1024" s="6" t="s">
        <v>95</v>
      </c>
      <c r="H1024" s="6">
        <v>1</v>
      </c>
      <c r="I1024" s="6" t="s">
        <v>265</v>
      </c>
      <c r="J1024" s="6" t="s">
        <v>265</v>
      </c>
      <c r="K1024" s="6">
        <v>340</v>
      </c>
      <c r="L1024" s="6" t="s">
        <v>42</v>
      </c>
      <c r="M1024" s="6" t="s">
        <v>69</v>
      </c>
    </row>
    <row r="1025" spans="1:13">
      <c r="A1025" s="6" t="s">
        <v>2043</v>
      </c>
      <c r="B1025" s="7">
        <v>46117</v>
      </c>
      <c r="C1025" s="6" t="s">
        <v>1603</v>
      </c>
      <c r="D1025" s="6" t="s">
        <v>127</v>
      </c>
      <c r="E1025" s="6" t="s">
        <v>52</v>
      </c>
      <c r="F1025" s="6" t="s">
        <v>53</v>
      </c>
      <c r="G1025" s="6" t="s">
        <v>54</v>
      </c>
      <c r="H1025" s="6">
        <v>1</v>
      </c>
      <c r="I1025" s="6" t="s">
        <v>113</v>
      </c>
      <c r="J1025" s="6" t="s">
        <v>113</v>
      </c>
      <c r="K1025" s="6">
        <v>190</v>
      </c>
      <c r="L1025" s="6" t="s">
        <v>42</v>
      </c>
      <c r="M1025" s="6" t="s">
        <v>69</v>
      </c>
    </row>
    <row r="1026" spans="1:13">
      <c r="A1026" s="6" t="s">
        <v>2044</v>
      </c>
      <c r="B1026" s="7">
        <v>46110</v>
      </c>
      <c r="C1026" s="6" t="s">
        <v>367</v>
      </c>
      <c r="D1026" s="6" t="s">
        <v>105</v>
      </c>
      <c r="E1026" s="6" t="s">
        <v>28</v>
      </c>
      <c r="F1026" s="6" t="s">
        <v>100</v>
      </c>
      <c r="G1026" s="6" t="s">
        <v>101</v>
      </c>
      <c r="H1026" s="6">
        <v>1</v>
      </c>
      <c r="I1026" s="6" t="s">
        <v>113</v>
      </c>
      <c r="J1026" s="6" t="s">
        <v>1456</v>
      </c>
      <c r="K1026" s="6">
        <v>640</v>
      </c>
      <c r="L1026" s="6" t="s">
        <v>42</v>
      </c>
      <c r="M1026" s="6" t="s">
        <v>34</v>
      </c>
    </row>
    <row r="1027" spans="1:13">
      <c r="A1027" s="6" t="s">
        <v>2045</v>
      </c>
      <c r="B1027" s="7">
        <v>46127</v>
      </c>
      <c r="C1027" s="6" t="s">
        <v>2046</v>
      </c>
      <c r="D1027" s="6" t="s">
        <v>127</v>
      </c>
      <c r="E1027" s="6" t="s">
        <v>46</v>
      </c>
      <c r="F1027" s="6" t="s">
        <v>58</v>
      </c>
      <c r="G1027" s="6" t="s">
        <v>59</v>
      </c>
      <c r="H1027" s="6">
        <v>2</v>
      </c>
      <c r="I1027" s="6" t="s">
        <v>113</v>
      </c>
      <c r="J1027" s="6" t="s">
        <v>1576</v>
      </c>
      <c r="K1027" s="6">
        <v>380</v>
      </c>
      <c r="L1027" s="6" t="s">
        <v>42</v>
      </c>
      <c r="M1027" s="6" t="s">
        <v>34</v>
      </c>
    </row>
    <row r="1028" spans="1:13">
      <c r="A1028" s="6" t="s">
        <v>2047</v>
      </c>
      <c r="B1028" s="7">
        <v>46128</v>
      </c>
      <c r="C1028" s="6" t="s">
        <v>1458</v>
      </c>
      <c r="D1028" s="6" t="s">
        <v>57</v>
      </c>
      <c r="E1028" s="6" t="s">
        <v>28</v>
      </c>
      <c r="F1028" s="6" t="s">
        <v>94</v>
      </c>
      <c r="G1028" s="6" t="s">
        <v>95</v>
      </c>
      <c r="H1028" s="6">
        <v>2</v>
      </c>
      <c r="I1028" s="6" t="s">
        <v>79</v>
      </c>
      <c r="J1028" s="6" t="s">
        <v>259</v>
      </c>
      <c r="K1028" s="6">
        <v>340</v>
      </c>
      <c r="L1028" s="6" t="s">
        <v>33</v>
      </c>
      <c r="M1028" s="6" t="s">
        <v>34</v>
      </c>
    </row>
    <row r="1029" spans="1:13">
      <c r="A1029" s="6" t="s">
        <v>2048</v>
      </c>
      <c r="B1029" s="7">
        <v>46097</v>
      </c>
      <c r="C1029" s="6" t="s">
        <v>1539</v>
      </c>
      <c r="D1029" s="6" t="s">
        <v>45</v>
      </c>
      <c r="E1029" s="6" t="s">
        <v>78</v>
      </c>
      <c r="F1029" s="6" t="s">
        <v>53</v>
      </c>
      <c r="G1029" s="6" t="s">
        <v>54</v>
      </c>
      <c r="H1029" s="6">
        <v>2</v>
      </c>
      <c r="I1029" s="6" t="s">
        <v>40</v>
      </c>
      <c r="J1029" s="6" t="s">
        <v>327</v>
      </c>
      <c r="K1029" s="6">
        <v>190</v>
      </c>
      <c r="L1029" s="6" t="s">
        <v>42</v>
      </c>
      <c r="M1029" s="6" t="s">
        <v>34</v>
      </c>
    </row>
    <row r="1030" spans="1:13">
      <c r="A1030" s="6" t="s">
        <v>2049</v>
      </c>
      <c r="B1030" s="7">
        <v>46068</v>
      </c>
      <c r="C1030" s="6" t="s">
        <v>2050</v>
      </c>
      <c r="D1030" s="6" t="s">
        <v>57</v>
      </c>
      <c r="E1030" s="6" t="s">
        <v>78</v>
      </c>
      <c r="F1030" s="6" t="s">
        <v>47</v>
      </c>
      <c r="G1030" s="6" t="s">
        <v>48</v>
      </c>
      <c r="H1030" s="6">
        <v>1</v>
      </c>
      <c r="I1030" s="6" t="s">
        <v>90</v>
      </c>
      <c r="J1030" s="6" t="s">
        <v>90</v>
      </c>
      <c r="K1030" s="6">
        <v>85</v>
      </c>
      <c r="L1030" s="6" t="s">
        <v>42</v>
      </c>
      <c r="M1030" s="6" t="s">
        <v>34</v>
      </c>
    </row>
    <row r="1031" spans="1:13">
      <c r="A1031" s="6" t="s">
        <v>2051</v>
      </c>
      <c r="B1031" s="7">
        <v>46165</v>
      </c>
      <c r="C1031" s="6" t="s">
        <v>1207</v>
      </c>
      <c r="D1031" s="6" t="s">
        <v>27</v>
      </c>
      <c r="E1031" s="6" t="s">
        <v>78</v>
      </c>
      <c r="F1031" s="6" t="s">
        <v>47</v>
      </c>
      <c r="G1031" s="6" t="s">
        <v>48</v>
      </c>
      <c r="H1031" s="6">
        <v>3</v>
      </c>
      <c r="I1031" s="6" t="s">
        <v>82</v>
      </c>
      <c r="J1031" s="6" t="s">
        <v>390</v>
      </c>
      <c r="K1031" s="6" t="s">
        <v>49</v>
      </c>
      <c r="L1031" s="6" t="s">
        <v>42</v>
      </c>
      <c r="M1031" s="6" t="s">
        <v>69</v>
      </c>
    </row>
    <row r="1032" spans="1:13">
      <c r="A1032" s="6" t="s">
        <v>2052</v>
      </c>
      <c r="B1032" s="7">
        <v>46114</v>
      </c>
      <c r="C1032" s="6" t="s">
        <v>2053</v>
      </c>
      <c r="D1032" s="6" t="s">
        <v>72</v>
      </c>
      <c r="E1032" s="6" t="s">
        <v>78</v>
      </c>
      <c r="F1032" s="6" t="s">
        <v>53</v>
      </c>
      <c r="G1032" s="6" t="s">
        <v>54</v>
      </c>
      <c r="H1032" s="6">
        <v>2</v>
      </c>
      <c r="I1032" s="6" t="s">
        <v>60</v>
      </c>
      <c r="J1032" s="6" t="s">
        <v>189</v>
      </c>
      <c r="K1032" s="6">
        <v>190</v>
      </c>
      <c r="L1032" s="6" t="s">
        <v>42</v>
      </c>
      <c r="M1032" s="6" t="s">
        <v>34</v>
      </c>
    </row>
    <row r="1033" spans="1:13">
      <c r="A1033" s="6" t="s">
        <v>2054</v>
      </c>
      <c r="B1033" s="7">
        <v>46120</v>
      </c>
      <c r="C1033" s="6" t="s">
        <v>2055</v>
      </c>
      <c r="D1033" s="6" t="s">
        <v>72</v>
      </c>
      <c r="E1033" s="6" t="s">
        <v>52</v>
      </c>
      <c r="F1033" s="6" t="s">
        <v>38</v>
      </c>
      <c r="G1033" s="6" t="s">
        <v>39</v>
      </c>
      <c r="H1033" s="6">
        <v>1</v>
      </c>
      <c r="I1033" s="6" t="s">
        <v>79</v>
      </c>
      <c r="J1033" s="6" t="s">
        <v>79</v>
      </c>
      <c r="K1033" s="6">
        <v>520</v>
      </c>
      <c r="L1033" s="6" t="s">
        <v>42</v>
      </c>
      <c r="M1033" s="6" t="s">
        <v>69</v>
      </c>
    </row>
    <row r="1034" spans="1:13">
      <c r="A1034" s="6" t="s">
        <v>2056</v>
      </c>
      <c r="B1034" s="7">
        <v>46130</v>
      </c>
      <c r="C1034" s="6" t="s">
        <v>799</v>
      </c>
      <c r="D1034" s="6" t="s">
        <v>45</v>
      </c>
      <c r="E1034" s="6" t="s">
        <v>78</v>
      </c>
      <c r="F1034" s="6" t="s">
        <v>100</v>
      </c>
      <c r="G1034" s="6" t="s">
        <v>101</v>
      </c>
      <c r="H1034" s="6">
        <v>1</v>
      </c>
      <c r="I1034" s="6" t="s">
        <v>117</v>
      </c>
      <c r="J1034" s="6" t="s">
        <v>117</v>
      </c>
      <c r="K1034" s="6">
        <v>640</v>
      </c>
      <c r="L1034" s="6" t="s">
        <v>42</v>
      </c>
      <c r="M1034" s="6" t="s">
        <v>34</v>
      </c>
    </row>
    <row r="1035" spans="1:13">
      <c r="A1035" s="6" t="s">
        <v>2057</v>
      </c>
      <c r="B1035" s="7">
        <v>46119</v>
      </c>
      <c r="C1035" s="6" t="s">
        <v>1133</v>
      </c>
      <c r="D1035" s="6" t="s">
        <v>57</v>
      </c>
      <c r="E1035" s="6" t="s">
        <v>46</v>
      </c>
      <c r="F1035" s="6" t="s">
        <v>94</v>
      </c>
      <c r="G1035" s="6" t="s">
        <v>95</v>
      </c>
      <c r="H1035" s="6">
        <v>2</v>
      </c>
      <c r="I1035" s="6" t="s">
        <v>31</v>
      </c>
      <c r="J1035" s="6" t="s">
        <v>249</v>
      </c>
      <c r="K1035" s="6">
        <v>340</v>
      </c>
      <c r="L1035" s="6" t="s">
        <v>42</v>
      </c>
      <c r="M1035" s="6" t="s">
        <v>34</v>
      </c>
    </row>
    <row r="1036" spans="1:13">
      <c r="A1036" s="6" t="s">
        <v>2058</v>
      </c>
      <c r="B1036" s="7">
        <v>46159</v>
      </c>
      <c r="C1036" s="6" t="s">
        <v>2059</v>
      </c>
      <c r="D1036" s="6" t="s">
        <v>64</v>
      </c>
      <c r="E1036" s="6" t="s">
        <v>78</v>
      </c>
      <c r="F1036" s="6" t="s">
        <v>94</v>
      </c>
      <c r="G1036" s="6" t="s">
        <v>95</v>
      </c>
      <c r="H1036" s="6">
        <v>1</v>
      </c>
      <c r="I1036" s="6" t="s">
        <v>40</v>
      </c>
      <c r="J1036" s="6" t="s">
        <v>40</v>
      </c>
      <c r="K1036" s="6" t="s">
        <v>114</v>
      </c>
      <c r="L1036" s="6" t="s">
        <v>42</v>
      </c>
      <c r="M1036" s="6" t="s">
        <v>34</v>
      </c>
    </row>
    <row r="1037" spans="1:13">
      <c r="A1037" s="6" t="s">
        <v>2060</v>
      </c>
      <c r="B1037" s="7">
        <v>46173</v>
      </c>
      <c r="C1037" s="6" t="s">
        <v>2061</v>
      </c>
      <c r="D1037" s="6" t="s">
        <v>110</v>
      </c>
      <c r="E1037" s="6" t="s">
        <v>52</v>
      </c>
      <c r="F1037" s="6" t="s">
        <v>94</v>
      </c>
      <c r="G1037" s="6" t="s">
        <v>95</v>
      </c>
      <c r="H1037" s="6">
        <v>1</v>
      </c>
      <c r="I1037" s="6" t="s">
        <v>79</v>
      </c>
      <c r="J1037" s="6" t="s">
        <v>79</v>
      </c>
      <c r="K1037" s="6" t="s">
        <v>114</v>
      </c>
      <c r="L1037" s="6" t="s">
        <v>33</v>
      </c>
      <c r="M1037" s="6" t="s">
        <v>34</v>
      </c>
    </row>
    <row r="1038" spans="1:13">
      <c r="A1038" s="6" t="s">
        <v>2062</v>
      </c>
      <c r="B1038" s="7">
        <v>46187</v>
      </c>
      <c r="C1038" s="6" t="s">
        <v>2063</v>
      </c>
      <c r="D1038" s="6" t="s">
        <v>57</v>
      </c>
      <c r="E1038" s="6" t="s">
        <v>37</v>
      </c>
      <c r="F1038" s="6" t="s">
        <v>58</v>
      </c>
      <c r="G1038" s="6" t="s">
        <v>59</v>
      </c>
      <c r="H1038" s="6">
        <v>1</v>
      </c>
      <c r="I1038" s="6" t="s">
        <v>73</v>
      </c>
      <c r="J1038" s="6" t="s">
        <v>73</v>
      </c>
      <c r="K1038" s="6" t="s">
        <v>61</v>
      </c>
      <c r="L1038" s="6" t="s">
        <v>33</v>
      </c>
      <c r="M1038" s="6" t="s">
        <v>34</v>
      </c>
    </row>
    <row r="1039" spans="1:13">
      <c r="A1039" s="6" t="s">
        <v>2064</v>
      </c>
      <c r="B1039" s="7">
        <v>46114</v>
      </c>
      <c r="C1039" s="6" t="s">
        <v>2065</v>
      </c>
      <c r="D1039" s="6" t="s">
        <v>64</v>
      </c>
      <c r="E1039" s="6" t="s">
        <v>28</v>
      </c>
      <c r="F1039" s="6" t="s">
        <v>94</v>
      </c>
      <c r="G1039" s="6" t="s">
        <v>95</v>
      </c>
      <c r="H1039" s="6">
        <v>1</v>
      </c>
      <c r="I1039" s="6" t="s">
        <v>79</v>
      </c>
      <c r="J1039" s="6" t="s">
        <v>79</v>
      </c>
      <c r="K1039" s="6">
        <v>340</v>
      </c>
      <c r="L1039" s="6" t="s">
        <v>42</v>
      </c>
      <c r="M1039" s="6" t="s">
        <v>34</v>
      </c>
    </row>
    <row r="1040" spans="1:13">
      <c r="A1040" s="6" t="s">
        <v>2066</v>
      </c>
      <c r="B1040" s="7">
        <v>46100</v>
      </c>
      <c r="C1040" s="6" t="s">
        <v>2067</v>
      </c>
      <c r="D1040" s="6" t="s">
        <v>57</v>
      </c>
      <c r="E1040" s="6" t="s">
        <v>37</v>
      </c>
      <c r="F1040" s="6" t="s">
        <v>100</v>
      </c>
      <c r="G1040" s="6" t="s">
        <v>101</v>
      </c>
      <c r="H1040" s="6">
        <v>3</v>
      </c>
      <c r="I1040" s="6" t="s">
        <v>96</v>
      </c>
      <c r="J1040" s="6" t="s">
        <v>2068</v>
      </c>
      <c r="K1040" s="6">
        <v>640</v>
      </c>
      <c r="L1040" s="6" t="s">
        <v>42</v>
      </c>
      <c r="M1040" s="6" t="s">
        <v>34</v>
      </c>
    </row>
    <row r="1041" spans="1:13">
      <c r="A1041" s="6" t="s">
        <v>2069</v>
      </c>
      <c r="B1041" s="7">
        <v>46121</v>
      </c>
      <c r="C1041" s="6" t="s">
        <v>1528</v>
      </c>
      <c r="D1041" s="6" t="s">
        <v>77</v>
      </c>
      <c r="E1041" s="6" t="s">
        <v>46</v>
      </c>
      <c r="F1041" s="6" t="s">
        <v>85</v>
      </c>
      <c r="G1041" s="6" t="s">
        <v>86</v>
      </c>
      <c r="H1041" s="6">
        <v>1</v>
      </c>
      <c r="I1041" s="6" t="s">
        <v>660</v>
      </c>
      <c r="J1041" s="6" t="s">
        <v>79</v>
      </c>
      <c r="K1041" s="6">
        <v>410</v>
      </c>
      <c r="L1041" s="6" t="s">
        <v>42</v>
      </c>
      <c r="M1041" s="6" t="s">
        <v>34</v>
      </c>
    </row>
    <row r="1042" spans="1:13">
      <c r="A1042" s="6" t="s">
        <v>2070</v>
      </c>
      <c r="B1042" s="7">
        <v>46086</v>
      </c>
      <c r="C1042" s="6" t="s">
        <v>2071</v>
      </c>
      <c r="D1042" s="6" t="s">
        <v>27</v>
      </c>
      <c r="E1042" s="6" t="s">
        <v>52</v>
      </c>
      <c r="F1042" s="6" t="s">
        <v>94</v>
      </c>
      <c r="G1042" s="6" t="s">
        <v>95</v>
      </c>
      <c r="H1042" s="6">
        <v>2</v>
      </c>
      <c r="I1042" s="6" t="s">
        <v>82</v>
      </c>
      <c r="J1042" s="6" t="s">
        <v>2072</v>
      </c>
      <c r="K1042" s="6">
        <v>340</v>
      </c>
      <c r="L1042" s="6" t="s">
        <v>42</v>
      </c>
      <c r="M1042" s="6" t="s">
        <v>34</v>
      </c>
    </row>
    <row r="1043" spans="1:13">
      <c r="A1043" s="6" t="s">
        <v>2073</v>
      </c>
      <c r="B1043" s="7">
        <v>46045</v>
      </c>
      <c r="C1043" s="6" t="s">
        <v>2074</v>
      </c>
      <c r="D1043" s="6" t="s">
        <v>77</v>
      </c>
      <c r="E1043" s="6" t="s">
        <v>46</v>
      </c>
      <c r="F1043" s="6" t="s">
        <v>100</v>
      </c>
      <c r="G1043" s="6" t="s">
        <v>101</v>
      </c>
      <c r="H1043" s="6">
        <v>1</v>
      </c>
      <c r="I1043" s="6" t="s">
        <v>90</v>
      </c>
      <c r="J1043" s="6" t="s">
        <v>90</v>
      </c>
      <c r="K1043" s="6">
        <v>640</v>
      </c>
      <c r="L1043" s="6" t="s">
        <v>42</v>
      </c>
      <c r="M1043" s="6" t="s">
        <v>34</v>
      </c>
    </row>
    <row r="1044" spans="1:13">
      <c r="A1044" s="6" t="s">
        <v>2075</v>
      </c>
      <c r="B1044" s="7">
        <v>46049</v>
      </c>
      <c r="C1044" s="6" t="s">
        <v>2076</v>
      </c>
      <c r="D1044" s="6" t="s">
        <v>45</v>
      </c>
      <c r="E1044" s="6" t="s">
        <v>28</v>
      </c>
      <c r="F1044" s="6" t="s">
        <v>94</v>
      </c>
      <c r="G1044" s="6" t="s">
        <v>95</v>
      </c>
      <c r="H1044" s="6">
        <v>2</v>
      </c>
      <c r="I1044" s="6" t="s">
        <v>1013</v>
      </c>
      <c r="J1044" s="6" t="s">
        <v>154</v>
      </c>
      <c r="K1044" s="6">
        <v>340</v>
      </c>
      <c r="L1044" s="6" t="s">
        <v>42</v>
      </c>
      <c r="M1044" s="6" t="s">
        <v>34</v>
      </c>
    </row>
    <row r="1045" spans="1:13">
      <c r="A1045" s="6" t="s">
        <v>2077</v>
      </c>
      <c r="B1045" s="6" t="s">
        <v>2078</v>
      </c>
      <c r="C1045" s="6" t="s">
        <v>1717</v>
      </c>
      <c r="D1045" s="6" t="s">
        <v>27</v>
      </c>
      <c r="E1045" s="6" t="s">
        <v>52</v>
      </c>
      <c r="F1045" s="6" t="s">
        <v>94</v>
      </c>
      <c r="G1045" s="6" t="s">
        <v>95</v>
      </c>
      <c r="H1045" s="6">
        <v>1</v>
      </c>
      <c r="I1045" s="6" t="s">
        <v>67</v>
      </c>
      <c r="J1045" s="6" t="s">
        <v>67</v>
      </c>
      <c r="K1045" s="6" t="s">
        <v>114</v>
      </c>
      <c r="L1045" s="6" t="s">
        <v>42</v>
      </c>
      <c r="M1045" s="6" t="s">
        <v>34</v>
      </c>
    </row>
    <row r="1046" spans="1:13">
      <c r="A1046" s="6" t="s">
        <v>2079</v>
      </c>
      <c r="B1046" s="7">
        <v>46135</v>
      </c>
      <c r="C1046" s="6" t="s">
        <v>1275</v>
      </c>
      <c r="D1046" s="6" t="s">
        <v>110</v>
      </c>
      <c r="E1046" s="6" t="s">
        <v>52</v>
      </c>
      <c r="F1046" s="6" t="s">
        <v>47</v>
      </c>
      <c r="G1046" s="6" t="s">
        <v>48</v>
      </c>
      <c r="H1046" s="6">
        <v>1</v>
      </c>
      <c r="I1046" s="6" t="s">
        <v>82</v>
      </c>
      <c r="J1046" s="6" t="s">
        <v>82</v>
      </c>
      <c r="K1046" s="6" t="s">
        <v>49</v>
      </c>
      <c r="L1046" s="6" t="s">
        <v>33</v>
      </c>
      <c r="M1046" s="6" t="s">
        <v>34</v>
      </c>
    </row>
    <row r="1047" spans="1:13">
      <c r="A1047" s="6" t="s">
        <v>2080</v>
      </c>
      <c r="B1047" s="6" t="s">
        <v>1441</v>
      </c>
      <c r="C1047" s="6" t="s">
        <v>2081</v>
      </c>
      <c r="D1047" s="6" t="s">
        <v>105</v>
      </c>
      <c r="E1047" s="6" t="s">
        <v>52</v>
      </c>
      <c r="F1047" s="6" t="s">
        <v>94</v>
      </c>
      <c r="G1047" s="6" t="s">
        <v>95</v>
      </c>
      <c r="H1047" s="6">
        <v>2</v>
      </c>
      <c r="I1047" s="6" t="s">
        <v>90</v>
      </c>
      <c r="J1047" s="6" t="s">
        <v>154</v>
      </c>
      <c r="K1047" s="6" t="s">
        <v>114</v>
      </c>
      <c r="L1047" s="6" t="s">
        <v>42</v>
      </c>
      <c r="M1047" s="6" t="s">
        <v>69</v>
      </c>
    </row>
    <row r="1048" spans="1:13">
      <c r="A1048" s="6" t="s">
        <v>2082</v>
      </c>
      <c r="B1048" s="7">
        <v>46080</v>
      </c>
      <c r="C1048" s="6" t="s">
        <v>2083</v>
      </c>
      <c r="D1048" s="6" t="s">
        <v>45</v>
      </c>
      <c r="E1048" s="6" t="s">
        <v>46</v>
      </c>
      <c r="F1048" s="6" t="s">
        <v>100</v>
      </c>
      <c r="G1048" s="6" t="s">
        <v>101</v>
      </c>
      <c r="H1048" s="6">
        <v>3</v>
      </c>
      <c r="I1048" s="6" t="s">
        <v>31</v>
      </c>
      <c r="J1048" s="6" t="s">
        <v>337</v>
      </c>
      <c r="K1048" s="6">
        <v>640</v>
      </c>
      <c r="L1048" s="6" t="s">
        <v>42</v>
      </c>
      <c r="M1048" s="6" t="s">
        <v>34</v>
      </c>
    </row>
    <row r="1049" spans="1:13">
      <c r="A1049" s="6" t="s">
        <v>2084</v>
      </c>
      <c r="B1049" s="7">
        <v>46152</v>
      </c>
      <c r="C1049" s="6" t="s">
        <v>2085</v>
      </c>
      <c r="D1049" s="6" t="s">
        <v>77</v>
      </c>
      <c r="E1049" s="6" t="s">
        <v>52</v>
      </c>
      <c r="F1049" s="6" t="s">
        <v>38</v>
      </c>
      <c r="G1049" s="6" t="s">
        <v>39</v>
      </c>
      <c r="H1049" s="6">
        <v>2</v>
      </c>
      <c r="I1049" s="6" t="s">
        <v>181</v>
      </c>
      <c r="J1049" s="6" t="s">
        <v>163</v>
      </c>
      <c r="K1049" s="6" t="s">
        <v>41</v>
      </c>
      <c r="L1049" s="6" t="s">
        <v>33</v>
      </c>
      <c r="M1049" s="6" t="s">
        <v>34</v>
      </c>
    </row>
    <row r="1050" spans="1:13">
      <c r="A1050" s="6" t="s">
        <v>2086</v>
      </c>
      <c r="B1050" s="7">
        <v>46202</v>
      </c>
      <c r="C1050" s="6" t="s">
        <v>2087</v>
      </c>
      <c r="D1050" s="6" t="s">
        <v>72</v>
      </c>
      <c r="E1050" s="6" t="s">
        <v>46</v>
      </c>
      <c r="F1050" s="6" t="s">
        <v>94</v>
      </c>
      <c r="G1050" s="6" t="s">
        <v>95</v>
      </c>
      <c r="H1050" s="6">
        <v>1</v>
      </c>
      <c r="I1050" s="6" t="s">
        <v>113</v>
      </c>
      <c r="J1050" s="6" t="s">
        <v>113</v>
      </c>
      <c r="K1050" s="6" t="s">
        <v>114</v>
      </c>
      <c r="L1050" s="6" t="s">
        <v>42</v>
      </c>
      <c r="M1050" s="6" t="s">
        <v>34</v>
      </c>
    </row>
    <row r="1051" spans="1:13">
      <c r="A1051" s="6" t="s">
        <v>2088</v>
      </c>
      <c r="B1051" s="7">
        <v>46135</v>
      </c>
      <c r="C1051" s="6" t="s">
        <v>2089</v>
      </c>
      <c r="D1051" s="6" t="s">
        <v>64</v>
      </c>
      <c r="E1051" s="6" t="s">
        <v>28</v>
      </c>
      <c r="F1051" s="6" t="s">
        <v>29</v>
      </c>
      <c r="G1051" s="6" t="s">
        <v>30</v>
      </c>
      <c r="H1051" s="6">
        <v>1</v>
      </c>
      <c r="I1051" s="6" t="s">
        <v>113</v>
      </c>
      <c r="J1051" s="6" t="s">
        <v>113</v>
      </c>
      <c r="K1051" s="6" t="s">
        <v>41</v>
      </c>
      <c r="L1051" s="6" t="s">
        <v>42</v>
      </c>
      <c r="M1051" s="6" t="s">
        <v>69</v>
      </c>
    </row>
    <row r="1052" spans="1:13">
      <c r="A1052" s="6" t="s">
        <v>2090</v>
      </c>
      <c r="B1052" s="7">
        <v>46208</v>
      </c>
      <c r="C1052" s="6" t="s">
        <v>2091</v>
      </c>
      <c r="D1052" s="6" t="s">
        <v>45</v>
      </c>
      <c r="E1052" s="6" t="s">
        <v>37</v>
      </c>
      <c r="F1052" s="6" t="s">
        <v>94</v>
      </c>
      <c r="G1052" s="6" t="s">
        <v>95</v>
      </c>
      <c r="H1052" s="6">
        <v>2</v>
      </c>
      <c r="I1052" s="6" t="s">
        <v>113</v>
      </c>
      <c r="J1052" s="6" t="s">
        <v>192</v>
      </c>
      <c r="K1052" s="6" t="s">
        <v>114</v>
      </c>
      <c r="L1052" s="6" t="s">
        <v>42</v>
      </c>
      <c r="M1052" s="6" t="s">
        <v>34</v>
      </c>
    </row>
    <row r="1053" spans="1:13">
      <c r="A1053" s="6" t="s">
        <v>2092</v>
      </c>
      <c r="B1053" s="6" t="s">
        <v>2093</v>
      </c>
      <c r="C1053" s="6" t="s">
        <v>2094</v>
      </c>
      <c r="D1053" s="6" t="s">
        <v>105</v>
      </c>
      <c r="E1053" s="6" t="s">
        <v>52</v>
      </c>
      <c r="F1053" s="6" t="s">
        <v>100</v>
      </c>
      <c r="G1053" s="6" t="s">
        <v>101</v>
      </c>
      <c r="H1053" s="6">
        <v>1</v>
      </c>
      <c r="I1053" s="6" t="s">
        <v>143</v>
      </c>
      <c r="J1053" s="6" t="s">
        <v>143</v>
      </c>
      <c r="K1053" s="6" t="s">
        <v>119</v>
      </c>
      <c r="L1053" s="6" t="s">
        <v>42</v>
      </c>
      <c r="M1053" s="6" t="s">
        <v>34</v>
      </c>
    </row>
    <row r="1054" spans="1:13">
      <c r="A1054" s="6" t="s">
        <v>2095</v>
      </c>
      <c r="B1054" s="7">
        <v>46171</v>
      </c>
      <c r="C1054" s="6" t="s">
        <v>1683</v>
      </c>
      <c r="D1054" s="6" t="s">
        <v>45</v>
      </c>
      <c r="E1054" s="6" t="s">
        <v>28</v>
      </c>
      <c r="F1054" s="6" t="s">
        <v>53</v>
      </c>
      <c r="G1054" s="6" t="s">
        <v>54</v>
      </c>
      <c r="H1054" s="6">
        <v>3</v>
      </c>
      <c r="I1054" s="6" t="s">
        <v>60</v>
      </c>
      <c r="J1054" s="6" t="s">
        <v>268</v>
      </c>
      <c r="K1054" s="6" t="s">
        <v>122</v>
      </c>
      <c r="L1054" s="6" t="s">
        <v>42</v>
      </c>
      <c r="M1054" s="6" t="s">
        <v>34</v>
      </c>
    </row>
    <row r="1055" spans="1:13">
      <c r="A1055" s="6" t="s">
        <v>2096</v>
      </c>
      <c r="B1055" s="7">
        <v>46161</v>
      </c>
      <c r="C1055" s="6" t="s">
        <v>2097</v>
      </c>
      <c r="D1055" s="6" t="s">
        <v>27</v>
      </c>
      <c r="E1055" s="6" t="s">
        <v>78</v>
      </c>
      <c r="F1055" s="6" t="s">
        <v>29</v>
      </c>
      <c r="G1055" s="6" t="s">
        <v>30</v>
      </c>
      <c r="H1055" s="6">
        <v>-1</v>
      </c>
      <c r="I1055" s="6" t="s">
        <v>113</v>
      </c>
      <c r="J1055" s="8" t="s">
        <v>1147</v>
      </c>
      <c r="K1055" s="6" t="s">
        <v>41</v>
      </c>
      <c r="L1055" s="6" t="s">
        <v>42</v>
      </c>
      <c r="M1055" s="6" t="s">
        <v>34</v>
      </c>
    </row>
    <row r="1056" spans="1:13">
      <c r="A1056" s="6" t="s">
        <v>2098</v>
      </c>
      <c r="B1056" s="7">
        <v>46193</v>
      </c>
      <c r="C1056" s="6" t="s">
        <v>1637</v>
      </c>
      <c r="D1056" s="6" t="s">
        <v>127</v>
      </c>
      <c r="E1056" s="6" t="s">
        <v>37</v>
      </c>
      <c r="F1056" s="6" t="s">
        <v>85</v>
      </c>
      <c r="G1056" s="6" t="s">
        <v>86</v>
      </c>
      <c r="H1056" s="6">
        <v>1</v>
      </c>
      <c r="I1056" s="6" t="s">
        <v>113</v>
      </c>
      <c r="J1056" s="6" t="s">
        <v>113</v>
      </c>
      <c r="K1056" s="6" t="s">
        <v>87</v>
      </c>
      <c r="L1056" s="6" t="s">
        <v>42</v>
      </c>
      <c r="M1056" s="6" t="s">
        <v>34</v>
      </c>
    </row>
    <row r="1057" spans="1:13">
      <c r="A1057" s="6" t="s">
        <v>2099</v>
      </c>
      <c r="B1057" s="7">
        <v>46093</v>
      </c>
      <c r="C1057" s="6" t="s">
        <v>608</v>
      </c>
      <c r="D1057" s="6" t="s">
        <v>45</v>
      </c>
      <c r="E1057" s="6" t="s">
        <v>78</v>
      </c>
      <c r="F1057" s="6" t="s">
        <v>47</v>
      </c>
      <c r="G1057" s="6" t="s">
        <v>48</v>
      </c>
      <c r="H1057" s="6">
        <v>1</v>
      </c>
      <c r="I1057" s="6" t="s">
        <v>31</v>
      </c>
      <c r="J1057" s="6" t="s">
        <v>31</v>
      </c>
      <c r="K1057" s="6">
        <v>85</v>
      </c>
      <c r="L1057" s="6" t="s">
        <v>42</v>
      </c>
      <c r="M1057" s="6" t="s">
        <v>34</v>
      </c>
    </row>
    <row r="1058" spans="1:13">
      <c r="A1058" s="6" t="s">
        <v>2100</v>
      </c>
      <c r="B1058" s="7">
        <v>46060</v>
      </c>
      <c r="C1058" s="6" t="s">
        <v>1800</v>
      </c>
      <c r="D1058" s="6" t="s">
        <v>45</v>
      </c>
      <c r="E1058" s="6" t="s">
        <v>37</v>
      </c>
      <c r="F1058" s="6" t="s">
        <v>85</v>
      </c>
      <c r="G1058" s="6" t="s">
        <v>86</v>
      </c>
      <c r="H1058" s="6">
        <v>1</v>
      </c>
      <c r="I1058" s="6" t="s">
        <v>265</v>
      </c>
      <c r="J1058" s="6" t="s">
        <v>265</v>
      </c>
      <c r="K1058" s="6">
        <v>410</v>
      </c>
      <c r="L1058" s="6" t="s">
        <v>42</v>
      </c>
      <c r="M1058" s="6" t="s">
        <v>34</v>
      </c>
    </row>
    <row r="1059" spans="1:13">
      <c r="A1059" s="6" t="s">
        <v>2101</v>
      </c>
      <c r="B1059" s="7">
        <v>46083</v>
      </c>
      <c r="C1059" s="6" t="s">
        <v>1819</v>
      </c>
      <c r="D1059" s="6" t="s">
        <v>110</v>
      </c>
      <c r="E1059" s="6" t="s">
        <v>46</v>
      </c>
      <c r="F1059" s="6" t="s">
        <v>47</v>
      </c>
      <c r="G1059" s="6" t="s">
        <v>48</v>
      </c>
      <c r="H1059" s="6">
        <v>2</v>
      </c>
      <c r="I1059" s="6" t="s">
        <v>82</v>
      </c>
      <c r="J1059" s="6" t="s">
        <v>204</v>
      </c>
      <c r="K1059" s="6">
        <v>85</v>
      </c>
      <c r="L1059" s="6" t="s">
        <v>33</v>
      </c>
      <c r="M1059" s="6" t="s">
        <v>34</v>
      </c>
    </row>
    <row r="1060" spans="1:13">
      <c r="A1060" s="6" t="s">
        <v>2102</v>
      </c>
      <c r="B1060" s="7">
        <v>46177</v>
      </c>
      <c r="C1060" s="6" t="s">
        <v>1453</v>
      </c>
      <c r="D1060" s="6" t="s">
        <v>110</v>
      </c>
      <c r="E1060" s="6" t="s">
        <v>78</v>
      </c>
      <c r="F1060" s="6" t="s">
        <v>29</v>
      </c>
      <c r="G1060" s="6" t="s">
        <v>30</v>
      </c>
      <c r="H1060" s="6">
        <v>2</v>
      </c>
      <c r="I1060" s="6" t="s">
        <v>113</v>
      </c>
      <c r="J1060" s="6" t="s">
        <v>192</v>
      </c>
      <c r="K1060" s="6" t="s">
        <v>41</v>
      </c>
      <c r="L1060" s="6" t="s">
        <v>42</v>
      </c>
      <c r="M1060" s="6" t="s">
        <v>69</v>
      </c>
    </row>
    <row r="1061" spans="1:13">
      <c r="A1061" s="6" t="s">
        <v>2103</v>
      </c>
      <c r="B1061" s="7">
        <v>46125</v>
      </c>
      <c r="C1061" s="6" t="s">
        <v>1375</v>
      </c>
      <c r="D1061" s="6" t="s">
        <v>110</v>
      </c>
      <c r="E1061" s="6" t="s">
        <v>37</v>
      </c>
      <c r="F1061" s="6" t="s">
        <v>100</v>
      </c>
      <c r="G1061" s="6" t="s">
        <v>101</v>
      </c>
      <c r="H1061" s="6">
        <v>2</v>
      </c>
      <c r="I1061" s="6" t="s">
        <v>40</v>
      </c>
      <c r="J1061" s="6" t="s">
        <v>327</v>
      </c>
      <c r="K1061" s="6">
        <v>640</v>
      </c>
      <c r="L1061" s="6" t="s">
        <v>42</v>
      </c>
      <c r="M1061" s="6" t="s">
        <v>69</v>
      </c>
    </row>
    <row r="1062" spans="1:13">
      <c r="A1062" s="6" t="s">
        <v>2104</v>
      </c>
      <c r="B1062" s="7">
        <v>46095</v>
      </c>
      <c r="C1062" s="6" t="s">
        <v>1742</v>
      </c>
      <c r="D1062" s="6" t="s">
        <v>77</v>
      </c>
      <c r="E1062" s="6" t="s">
        <v>37</v>
      </c>
      <c r="F1062" s="6" t="s">
        <v>53</v>
      </c>
      <c r="G1062" s="6" t="s">
        <v>54</v>
      </c>
      <c r="H1062" s="6">
        <v>2</v>
      </c>
      <c r="I1062" s="6" t="s">
        <v>231</v>
      </c>
      <c r="J1062" s="6" t="s">
        <v>232</v>
      </c>
      <c r="K1062" s="6">
        <v>190</v>
      </c>
      <c r="L1062" s="6" t="s">
        <v>42</v>
      </c>
      <c r="M1062" s="6" t="s">
        <v>34</v>
      </c>
    </row>
    <row r="1063" spans="1:13">
      <c r="A1063" s="6" t="s">
        <v>2105</v>
      </c>
      <c r="B1063" s="7">
        <v>46129</v>
      </c>
      <c r="C1063" s="6" t="s">
        <v>2106</v>
      </c>
      <c r="D1063" s="6" t="s">
        <v>45</v>
      </c>
      <c r="E1063" s="6" t="s">
        <v>78</v>
      </c>
      <c r="F1063" s="6" t="s">
        <v>38</v>
      </c>
      <c r="G1063" s="6" t="s">
        <v>39</v>
      </c>
      <c r="H1063" s="6">
        <v>1</v>
      </c>
      <c r="I1063" s="6" t="s">
        <v>31</v>
      </c>
      <c r="J1063" s="6" t="s">
        <v>31</v>
      </c>
      <c r="K1063" s="6">
        <v>520</v>
      </c>
      <c r="L1063" s="6" t="s">
        <v>42</v>
      </c>
      <c r="M1063" s="6" t="s">
        <v>34</v>
      </c>
    </row>
    <row r="1064" spans="1:13">
      <c r="A1064" s="6" t="s">
        <v>2107</v>
      </c>
      <c r="B1064" s="7">
        <v>46124</v>
      </c>
      <c r="C1064" s="6" t="s">
        <v>1420</v>
      </c>
      <c r="D1064" s="6" t="s">
        <v>127</v>
      </c>
      <c r="E1064" s="6" t="s">
        <v>37</v>
      </c>
      <c r="F1064" s="6" t="s">
        <v>94</v>
      </c>
      <c r="G1064" s="6" t="s">
        <v>95</v>
      </c>
      <c r="H1064" s="6">
        <v>3</v>
      </c>
      <c r="I1064" s="6" t="s">
        <v>1004</v>
      </c>
      <c r="J1064" s="6" t="s">
        <v>401</v>
      </c>
      <c r="K1064" s="6">
        <v>340</v>
      </c>
      <c r="L1064" s="6" t="s">
        <v>42</v>
      </c>
      <c r="M1064" s="6" t="s">
        <v>34</v>
      </c>
    </row>
    <row r="1065" spans="1:13">
      <c r="A1065" s="6" t="s">
        <v>2108</v>
      </c>
      <c r="B1065" s="7">
        <v>46106</v>
      </c>
      <c r="C1065" s="6" t="s">
        <v>2109</v>
      </c>
      <c r="D1065" s="6" t="s">
        <v>64</v>
      </c>
      <c r="E1065" s="6" t="s">
        <v>37</v>
      </c>
      <c r="F1065" s="6" t="s">
        <v>58</v>
      </c>
      <c r="G1065" s="6" t="s">
        <v>59</v>
      </c>
      <c r="H1065" s="6">
        <v>1</v>
      </c>
      <c r="I1065" s="6" t="s">
        <v>117</v>
      </c>
      <c r="J1065" s="6" t="s">
        <v>117</v>
      </c>
      <c r="K1065" s="6">
        <v>380</v>
      </c>
      <c r="L1065" s="6" t="s">
        <v>42</v>
      </c>
      <c r="M1065" s="6" t="s">
        <v>34</v>
      </c>
    </row>
    <row r="1066" spans="1:13">
      <c r="A1066" s="6" t="s">
        <v>2110</v>
      </c>
      <c r="B1066" s="7">
        <v>46150</v>
      </c>
      <c r="C1066" s="6" t="s">
        <v>2111</v>
      </c>
      <c r="D1066" s="6" t="s">
        <v>110</v>
      </c>
      <c r="E1066" s="6" t="s">
        <v>37</v>
      </c>
      <c r="F1066" s="6" t="s">
        <v>38</v>
      </c>
      <c r="G1066" s="6" t="s">
        <v>39</v>
      </c>
      <c r="H1066" s="6">
        <v>2</v>
      </c>
      <c r="I1066" s="6" t="s">
        <v>265</v>
      </c>
      <c r="J1066" s="6" t="s">
        <v>167</v>
      </c>
      <c r="K1066" s="6" t="s">
        <v>41</v>
      </c>
      <c r="L1066" s="6" t="s">
        <v>42</v>
      </c>
      <c r="M1066" s="6" t="s">
        <v>34</v>
      </c>
    </row>
    <row r="1067" spans="1:13">
      <c r="A1067" s="6" t="s">
        <v>2112</v>
      </c>
      <c r="B1067" s="7">
        <v>46208</v>
      </c>
      <c r="C1067" s="6" t="s">
        <v>2113</v>
      </c>
      <c r="D1067" s="6" t="s">
        <v>72</v>
      </c>
      <c r="E1067" s="6" t="s">
        <v>37</v>
      </c>
      <c r="F1067" s="6" t="s">
        <v>58</v>
      </c>
      <c r="G1067" s="6" t="s">
        <v>59</v>
      </c>
      <c r="H1067" s="6">
        <v>2</v>
      </c>
      <c r="I1067" s="6" t="s">
        <v>31</v>
      </c>
      <c r="J1067" s="6" t="s">
        <v>249</v>
      </c>
      <c r="K1067" s="6" t="s">
        <v>61</v>
      </c>
      <c r="L1067" s="6" t="s">
        <v>42</v>
      </c>
      <c r="M1067" s="6" t="s">
        <v>69</v>
      </c>
    </row>
    <row r="1068" spans="1:13">
      <c r="A1068" s="6" t="s">
        <v>2114</v>
      </c>
      <c r="B1068" s="7">
        <v>46156</v>
      </c>
      <c r="C1068" s="6" t="s">
        <v>2115</v>
      </c>
      <c r="D1068" s="6" t="s">
        <v>72</v>
      </c>
      <c r="E1068" s="6" t="s">
        <v>37</v>
      </c>
      <c r="F1068" s="6" t="s">
        <v>47</v>
      </c>
      <c r="G1068" s="6" t="s">
        <v>48</v>
      </c>
      <c r="H1068" s="6">
        <v>2</v>
      </c>
      <c r="I1068" s="6" t="s">
        <v>60</v>
      </c>
      <c r="J1068" s="6" t="s">
        <v>2116</v>
      </c>
      <c r="K1068" s="6" t="s">
        <v>49</v>
      </c>
      <c r="L1068" s="6" t="s">
        <v>42</v>
      </c>
      <c r="M1068" s="6" t="s">
        <v>34</v>
      </c>
    </row>
    <row r="1069" spans="1:13">
      <c r="A1069" s="6" t="s">
        <v>2117</v>
      </c>
      <c r="B1069" s="7">
        <v>46043</v>
      </c>
      <c r="C1069" s="6" t="s">
        <v>1200</v>
      </c>
      <c r="D1069" s="6" t="s">
        <v>72</v>
      </c>
      <c r="E1069" s="6" t="s">
        <v>28</v>
      </c>
      <c r="F1069" s="6" t="s">
        <v>100</v>
      </c>
      <c r="G1069" s="6" t="s">
        <v>101</v>
      </c>
      <c r="H1069" s="6">
        <v>3</v>
      </c>
      <c r="I1069" s="6" t="s">
        <v>96</v>
      </c>
      <c r="J1069" s="6" t="s">
        <v>97</v>
      </c>
      <c r="K1069" s="6">
        <v>640</v>
      </c>
      <c r="L1069" s="6" t="s">
        <v>42</v>
      </c>
      <c r="M1069" s="6" t="s">
        <v>34</v>
      </c>
    </row>
    <row r="1070" spans="1:13">
      <c r="A1070" s="6" t="s">
        <v>2118</v>
      </c>
      <c r="B1070" s="7">
        <v>46271</v>
      </c>
      <c r="C1070" s="6" t="s">
        <v>2119</v>
      </c>
      <c r="D1070" s="6" t="s">
        <v>110</v>
      </c>
      <c r="E1070" s="6" t="s">
        <v>28</v>
      </c>
      <c r="F1070" s="6" t="s">
        <v>58</v>
      </c>
      <c r="G1070" s="6" t="s">
        <v>59</v>
      </c>
      <c r="H1070" s="6">
        <v>1</v>
      </c>
      <c r="I1070" s="6" t="s">
        <v>117</v>
      </c>
      <c r="J1070" s="6" t="s">
        <v>117</v>
      </c>
      <c r="K1070" s="6" t="s">
        <v>61</v>
      </c>
      <c r="L1070" s="6" t="s">
        <v>42</v>
      </c>
      <c r="M1070" s="6" t="s">
        <v>34</v>
      </c>
    </row>
    <row r="1071" spans="1:13">
      <c r="A1071" s="6" t="s">
        <v>2120</v>
      </c>
      <c r="B1071" s="7">
        <v>46117</v>
      </c>
      <c r="C1071" s="6" t="s">
        <v>2121</v>
      </c>
      <c r="D1071" s="6" t="s">
        <v>105</v>
      </c>
      <c r="E1071" s="6" t="s">
        <v>78</v>
      </c>
      <c r="F1071" s="6" t="s">
        <v>100</v>
      </c>
      <c r="G1071" s="6" t="s">
        <v>101</v>
      </c>
      <c r="H1071" s="6">
        <v>3</v>
      </c>
      <c r="I1071" s="6" t="s">
        <v>117</v>
      </c>
      <c r="J1071" s="6" t="s">
        <v>171</v>
      </c>
      <c r="K1071" s="6">
        <v>640</v>
      </c>
      <c r="L1071" s="6" t="s">
        <v>42</v>
      </c>
      <c r="M1071" s="6" t="s">
        <v>69</v>
      </c>
    </row>
    <row r="1072" spans="1:13">
      <c r="A1072" s="6" t="s">
        <v>2122</v>
      </c>
      <c r="B1072" s="6" t="s">
        <v>1305</v>
      </c>
      <c r="C1072" s="6" t="s">
        <v>2123</v>
      </c>
      <c r="D1072" s="6" t="s">
        <v>45</v>
      </c>
      <c r="E1072" s="6" t="s">
        <v>46</v>
      </c>
      <c r="F1072" s="6" t="s">
        <v>53</v>
      </c>
      <c r="G1072" s="6" t="s">
        <v>54</v>
      </c>
      <c r="H1072" s="6">
        <v>1</v>
      </c>
      <c r="I1072" s="6" t="s">
        <v>82</v>
      </c>
      <c r="J1072" s="6" t="s">
        <v>82</v>
      </c>
      <c r="K1072" s="6" t="s">
        <v>122</v>
      </c>
      <c r="L1072" s="6" t="s">
        <v>42</v>
      </c>
      <c r="M1072" s="6" t="s">
        <v>34</v>
      </c>
    </row>
    <row r="1073" spans="1:13">
      <c r="A1073" s="6" t="s">
        <v>2124</v>
      </c>
      <c r="B1073" s="7">
        <v>46051</v>
      </c>
      <c r="C1073" s="6" t="s">
        <v>662</v>
      </c>
      <c r="D1073" s="6" t="s">
        <v>72</v>
      </c>
      <c r="E1073" s="6" t="s">
        <v>46</v>
      </c>
      <c r="F1073" s="6" t="s">
        <v>53</v>
      </c>
      <c r="G1073" s="6" t="s">
        <v>54</v>
      </c>
      <c r="H1073" s="6">
        <v>3</v>
      </c>
      <c r="I1073" s="6" t="s">
        <v>82</v>
      </c>
      <c r="J1073" s="6" t="s">
        <v>1198</v>
      </c>
      <c r="K1073" s="6">
        <v>190</v>
      </c>
      <c r="L1073" s="6" t="s">
        <v>33</v>
      </c>
      <c r="M1073" s="6" t="s">
        <v>69</v>
      </c>
    </row>
    <row r="1074" spans="1:13">
      <c r="A1074" s="6" t="s">
        <v>2125</v>
      </c>
      <c r="B1074" s="7">
        <v>46052</v>
      </c>
      <c r="C1074" s="6" t="s">
        <v>2126</v>
      </c>
      <c r="D1074" s="6" t="s">
        <v>72</v>
      </c>
      <c r="E1074" s="6" t="s">
        <v>46</v>
      </c>
      <c r="F1074" s="6" t="s">
        <v>53</v>
      </c>
      <c r="G1074" s="6" t="s">
        <v>54</v>
      </c>
      <c r="H1074" s="6">
        <v>2</v>
      </c>
      <c r="I1074" s="6" t="s">
        <v>143</v>
      </c>
      <c r="J1074" s="6" t="s">
        <v>144</v>
      </c>
      <c r="K1074" s="6">
        <v>190</v>
      </c>
      <c r="L1074" s="6" t="s">
        <v>42</v>
      </c>
      <c r="M1074" s="6" t="s">
        <v>34</v>
      </c>
    </row>
    <row r="1075" spans="1:13">
      <c r="A1075" s="6" t="s">
        <v>2127</v>
      </c>
      <c r="B1075" s="7">
        <v>46102</v>
      </c>
      <c r="C1075" s="6" t="s">
        <v>2128</v>
      </c>
      <c r="D1075" s="6" t="s">
        <v>45</v>
      </c>
      <c r="E1075" s="6" t="s">
        <v>46</v>
      </c>
      <c r="F1075" s="6" t="s">
        <v>100</v>
      </c>
      <c r="G1075" s="6" t="s">
        <v>101</v>
      </c>
      <c r="H1075" s="6">
        <v>1</v>
      </c>
      <c r="I1075" s="6" t="s">
        <v>82</v>
      </c>
      <c r="J1075" s="6" t="s">
        <v>82</v>
      </c>
      <c r="K1075" s="6">
        <v>640</v>
      </c>
      <c r="L1075" s="6" t="s">
        <v>33</v>
      </c>
      <c r="M1075" s="6" t="s">
        <v>69</v>
      </c>
    </row>
    <row r="1076" spans="1:13">
      <c r="A1076" s="6" t="s">
        <v>2129</v>
      </c>
      <c r="B1076" s="6" t="s">
        <v>563</v>
      </c>
      <c r="C1076" s="6" t="s">
        <v>2130</v>
      </c>
      <c r="D1076" s="6" t="s">
        <v>77</v>
      </c>
      <c r="E1076" s="6" t="s">
        <v>28</v>
      </c>
      <c r="F1076" s="6" t="s">
        <v>38</v>
      </c>
      <c r="G1076" s="6" t="s">
        <v>39</v>
      </c>
      <c r="H1076" s="6">
        <v>2</v>
      </c>
      <c r="I1076" s="6" t="s">
        <v>82</v>
      </c>
      <c r="J1076" s="6" t="s">
        <v>297</v>
      </c>
      <c r="K1076" s="6">
        <v>520</v>
      </c>
      <c r="L1076" s="6" t="s">
        <v>42</v>
      </c>
      <c r="M1076" s="6" t="s">
        <v>69</v>
      </c>
    </row>
    <row r="1077" spans="1:13">
      <c r="A1077" s="6" t="s">
        <v>2131</v>
      </c>
      <c r="B1077" s="6" t="s">
        <v>2029</v>
      </c>
      <c r="C1077" s="6" t="s">
        <v>881</v>
      </c>
      <c r="D1077" s="6" t="s">
        <v>57</v>
      </c>
      <c r="E1077" s="6" t="s">
        <v>46</v>
      </c>
      <c r="F1077" s="6" t="s">
        <v>85</v>
      </c>
      <c r="G1077" s="6" t="s">
        <v>86</v>
      </c>
      <c r="H1077" s="6">
        <v>1</v>
      </c>
      <c r="I1077" s="6" t="s">
        <v>96</v>
      </c>
      <c r="J1077" s="6" t="s">
        <v>96</v>
      </c>
      <c r="K1077" s="6">
        <v>410</v>
      </c>
      <c r="L1077" s="6" t="s">
        <v>42</v>
      </c>
      <c r="M1077" s="6" t="s">
        <v>69</v>
      </c>
    </row>
    <row r="1078" spans="1:13">
      <c r="A1078" s="6" t="s">
        <v>2132</v>
      </c>
      <c r="B1078" s="6" t="s">
        <v>2133</v>
      </c>
      <c r="C1078" s="6" t="s">
        <v>681</v>
      </c>
      <c r="D1078" s="6" t="s">
        <v>110</v>
      </c>
      <c r="E1078" s="6" t="s">
        <v>52</v>
      </c>
      <c r="F1078" s="6" t="s">
        <v>47</v>
      </c>
      <c r="G1078" s="6" t="s">
        <v>48</v>
      </c>
      <c r="H1078" s="6">
        <v>1</v>
      </c>
      <c r="I1078" s="6" t="s">
        <v>67</v>
      </c>
      <c r="J1078" s="6" t="s">
        <v>67</v>
      </c>
      <c r="K1078" s="6">
        <v>85</v>
      </c>
      <c r="L1078" s="6" t="s">
        <v>42</v>
      </c>
      <c r="M1078" s="6" t="s">
        <v>34</v>
      </c>
    </row>
    <row r="1079" spans="1:13">
      <c r="A1079" s="6" t="s">
        <v>2134</v>
      </c>
      <c r="B1079" s="7">
        <v>46160</v>
      </c>
      <c r="C1079" s="6" t="s">
        <v>1380</v>
      </c>
      <c r="D1079" s="6" t="s">
        <v>77</v>
      </c>
      <c r="E1079" s="6" t="s">
        <v>78</v>
      </c>
      <c r="F1079" s="6" t="s">
        <v>29</v>
      </c>
      <c r="G1079" s="6" t="s">
        <v>30</v>
      </c>
      <c r="H1079" s="6">
        <v>3</v>
      </c>
      <c r="I1079" s="6" t="s">
        <v>143</v>
      </c>
      <c r="J1079" s="6" t="s">
        <v>243</v>
      </c>
      <c r="K1079" s="6" t="s">
        <v>41</v>
      </c>
      <c r="L1079" s="6" t="s">
        <v>33</v>
      </c>
      <c r="M1079" s="6" t="s">
        <v>69</v>
      </c>
    </row>
    <row r="1080" spans="1:13">
      <c r="A1080" s="6" t="s">
        <v>2135</v>
      </c>
      <c r="B1080" s="7">
        <v>46181</v>
      </c>
      <c r="C1080" s="6" t="s">
        <v>1971</v>
      </c>
      <c r="D1080" s="6" t="s">
        <v>110</v>
      </c>
      <c r="E1080" s="6" t="s">
        <v>28</v>
      </c>
      <c r="F1080" s="6" t="s">
        <v>29</v>
      </c>
      <c r="G1080" s="6" t="s">
        <v>30</v>
      </c>
      <c r="H1080" s="6">
        <v>3</v>
      </c>
      <c r="I1080" s="6" t="s">
        <v>31</v>
      </c>
      <c r="J1080" s="6" t="s">
        <v>337</v>
      </c>
      <c r="K1080" s="6" t="s">
        <v>41</v>
      </c>
      <c r="L1080" s="6" t="s">
        <v>42</v>
      </c>
      <c r="M1080" s="6" t="s">
        <v>34</v>
      </c>
    </row>
    <row r="1081" spans="1:13">
      <c r="A1081" s="6" t="s">
        <v>2136</v>
      </c>
      <c r="B1081" s="7">
        <v>46152</v>
      </c>
      <c r="C1081" s="6" t="s">
        <v>2137</v>
      </c>
      <c r="D1081" s="6" t="s">
        <v>27</v>
      </c>
      <c r="E1081" s="6" t="s">
        <v>52</v>
      </c>
      <c r="F1081" s="6" t="s">
        <v>58</v>
      </c>
      <c r="G1081" s="6" t="s">
        <v>59</v>
      </c>
      <c r="H1081" s="6">
        <v>2</v>
      </c>
      <c r="I1081" s="6" t="s">
        <v>143</v>
      </c>
      <c r="J1081" s="6" t="s">
        <v>144</v>
      </c>
      <c r="K1081" s="6" t="s">
        <v>61</v>
      </c>
      <c r="L1081" s="6" t="s">
        <v>33</v>
      </c>
      <c r="M1081" s="6" t="s">
        <v>34</v>
      </c>
    </row>
    <row r="1082" spans="1:13">
      <c r="A1082" s="6" t="s">
        <v>2138</v>
      </c>
      <c r="B1082" s="7">
        <v>46186</v>
      </c>
      <c r="C1082" s="6" t="s">
        <v>2139</v>
      </c>
      <c r="D1082" s="6" t="s">
        <v>45</v>
      </c>
      <c r="E1082" s="6" t="s">
        <v>46</v>
      </c>
      <c r="F1082" s="6" t="s">
        <v>94</v>
      </c>
      <c r="G1082" s="6" t="s">
        <v>95</v>
      </c>
      <c r="H1082" s="6">
        <v>1</v>
      </c>
      <c r="I1082" s="6" t="s">
        <v>40</v>
      </c>
      <c r="J1082" s="6" t="s">
        <v>40</v>
      </c>
      <c r="K1082" s="6" t="s">
        <v>114</v>
      </c>
      <c r="L1082" s="6" t="s">
        <v>42</v>
      </c>
      <c r="M1082" s="6" t="s">
        <v>34</v>
      </c>
    </row>
    <row r="1083" spans="1:13">
      <c r="A1083" s="6" t="s">
        <v>2140</v>
      </c>
      <c r="B1083" s="7">
        <v>46157</v>
      </c>
      <c r="C1083" s="6" t="s">
        <v>1773</v>
      </c>
      <c r="D1083" s="6" t="s">
        <v>105</v>
      </c>
      <c r="E1083" s="6" t="s">
        <v>28</v>
      </c>
      <c r="F1083" s="6" t="s">
        <v>53</v>
      </c>
      <c r="G1083" s="6" t="s">
        <v>54</v>
      </c>
      <c r="H1083" s="6">
        <v>3</v>
      </c>
      <c r="I1083" s="6" t="s">
        <v>31</v>
      </c>
      <c r="J1083" s="6" t="s">
        <v>337</v>
      </c>
      <c r="K1083" s="6" t="s">
        <v>122</v>
      </c>
      <c r="L1083" s="6" t="s">
        <v>42</v>
      </c>
      <c r="M1083" s="6" t="s">
        <v>34</v>
      </c>
    </row>
    <row r="1084" spans="1:13">
      <c r="A1084" s="6" t="s">
        <v>2141</v>
      </c>
      <c r="B1084" s="7">
        <v>46131</v>
      </c>
      <c r="C1084" s="6" t="s">
        <v>1188</v>
      </c>
      <c r="D1084" s="6" t="s">
        <v>45</v>
      </c>
      <c r="E1084" s="6" t="s">
        <v>28</v>
      </c>
      <c r="F1084" s="6" t="s">
        <v>38</v>
      </c>
      <c r="G1084" s="6" t="s">
        <v>39</v>
      </c>
      <c r="H1084" s="6">
        <v>1</v>
      </c>
      <c r="I1084" s="6" t="s">
        <v>147</v>
      </c>
      <c r="J1084" s="6" t="s">
        <v>147</v>
      </c>
      <c r="K1084" s="6">
        <v>520</v>
      </c>
      <c r="L1084" s="6" t="s">
        <v>42</v>
      </c>
      <c r="M1084" s="6" t="s">
        <v>34</v>
      </c>
    </row>
    <row r="1085" spans="1:13">
      <c r="A1085" s="6" t="s">
        <v>2142</v>
      </c>
      <c r="B1085" s="7">
        <v>46073</v>
      </c>
      <c r="C1085" s="6" t="s">
        <v>264</v>
      </c>
      <c r="D1085" s="6" t="s">
        <v>57</v>
      </c>
      <c r="E1085" s="6" t="s">
        <v>52</v>
      </c>
      <c r="F1085" s="6" t="s">
        <v>58</v>
      </c>
      <c r="G1085" s="6" t="s">
        <v>59</v>
      </c>
      <c r="H1085" s="6">
        <v>3</v>
      </c>
      <c r="I1085" s="6" t="s">
        <v>73</v>
      </c>
      <c r="J1085" s="6" t="s">
        <v>499</v>
      </c>
      <c r="K1085" s="6">
        <v>380</v>
      </c>
      <c r="L1085" s="6" t="s">
        <v>42</v>
      </c>
      <c r="M1085" s="6" t="s">
        <v>69</v>
      </c>
    </row>
    <row r="1086" spans="1:13">
      <c r="A1086" s="6" t="s">
        <v>2143</v>
      </c>
      <c r="B1086" s="7">
        <v>46172</v>
      </c>
      <c r="C1086" s="6" t="s">
        <v>387</v>
      </c>
      <c r="D1086" s="6" t="s">
        <v>72</v>
      </c>
      <c r="E1086" s="6" t="s">
        <v>52</v>
      </c>
      <c r="F1086" s="6" t="s">
        <v>100</v>
      </c>
      <c r="G1086" s="6" t="s">
        <v>101</v>
      </c>
      <c r="H1086" s="6">
        <v>1</v>
      </c>
      <c r="I1086" s="6" t="s">
        <v>147</v>
      </c>
      <c r="J1086" s="6" t="s">
        <v>147</v>
      </c>
      <c r="K1086" s="6" t="s">
        <v>119</v>
      </c>
      <c r="L1086" s="6" t="s">
        <v>42</v>
      </c>
      <c r="M1086" s="6" t="s">
        <v>34</v>
      </c>
    </row>
    <row r="1087" spans="1:13">
      <c r="A1087" s="6" t="s">
        <v>2144</v>
      </c>
      <c r="B1087" s="7">
        <v>46055</v>
      </c>
      <c r="C1087" s="6" t="s">
        <v>286</v>
      </c>
      <c r="D1087" s="6" t="s">
        <v>45</v>
      </c>
      <c r="E1087" s="6" t="s">
        <v>46</v>
      </c>
      <c r="F1087" s="6" t="s">
        <v>94</v>
      </c>
      <c r="G1087" s="6" t="s">
        <v>95</v>
      </c>
      <c r="H1087" s="6">
        <v>1</v>
      </c>
      <c r="I1087" s="6" t="s">
        <v>79</v>
      </c>
      <c r="J1087" s="6" t="s">
        <v>79</v>
      </c>
      <c r="K1087" s="6">
        <v>340</v>
      </c>
      <c r="L1087" s="6" t="s">
        <v>42</v>
      </c>
      <c r="M1087" s="6" t="s">
        <v>34</v>
      </c>
    </row>
    <row r="1088" spans="1:13">
      <c r="A1088" s="6" t="s">
        <v>2145</v>
      </c>
      <c r="B1088" s="7">
        <v>46127</v>
      </c>
      <c r="C1088" s="6" t="s">
        <v>2146</v>
      </c>
      <c r="D1088" s="6" t="s">
        <v>45</v>
      </c>
      <c r="E1088" s="6" t="s">
        <v>28</v>
      </c>
      <c r="F1088" s="6" t="s">
        <v>38</v>
      </c>
      <c r="G1088" s="6" t="s">
        <v>39</v>
      </c>
      <c r="H1088" s="6">
        <v>1</v>
      </c>
      <c r="I1088" s="6" t="s">
        <v>147</v>
      </c>
      <c r="J1088" s="6" t="s">
        <v>147</v>
      </c>
      <c r="K1088" s="6">
        <v>520</v>
      </c>
      <c r="L1088" s="6" t="s">
        <v>42</v>
      </c>
      <c r="M1088" s="6" t="s">
        <v>34</v>
      </c>
    </row>
    <row r="1089" spans="1:13">
      <c r="A1089" s="6" t="s">
        <v>2147</v>
      </c>
      <c r="B1089" s="7">
        <v>46041</v>
      </c>
      <c r="C1089" s="6" t="s">
        <v>464</v>
      </c>
      <c r="D1089" s="6" t="s">
        <v>45</v>
      </c>
      <c r="E1089" s="6" t="s">
        <v>28</v>
      </c>
      <c r="F1089" s="6" t="s">
        <v>47</v>
      </c>
      <c r="G1089" s="6" t="s">
        <v>48</v>
      </c>
      <c r="H1089" s="6">
        <v>1</v>
      </c>
      <c r="I1089" s="6" t="s">
        <v>82</v>
      </c>
      <c r="J1089" s="6" t="s">
        <v>82</v>
      </c>
      <c r="K1089" s="6">
        <v>85</v>
      </c>
      <c r="L1089" s="6" t="s">
        <v>42</v>
      </c>
      <c r="M1089" s="6" t="s">
        <v>69</v>
      </c>
    </row>
    <row r="1090" spans="1:13">
      <c r="A1090" s="6" t="s">
        <v>2148</v>
      </c>
      <c r="B1090" s="7">
        <v>46102</v>
      </c>
      <c r="C1090" s="6" t="s">
        <v>2149</v>
      </c>
      <c r="D1090" s="6" t="s">
        <v>110</v>
      </c>
      <c r="E1090" s="6" t="s">
        <v>28</v>
      </c>
      <c r="F1090" s="6" t="s">
        <v>94</v>
      </c>
      <c r="G1090" s="6" t="s">
        <v>95</v>
      </c>
      <c r="H1090" s="6">
        <v>1</v>
      </c>
      <c r="I1090" s="6" t="s">
        <v>82</v>
      </c>
      <c r="J1090" s="6" t="s">
        <v>471</v>
      </c>
      <c r="K1090" s="6">
        <v>340</v>
      </c>
      <c r="L1090" s="6" t="s">
        <v>42</v>
      </c>
      <c r="M1090" s="6" t="s">
        <v>34</v>
      </c>
    </row>
    <row r="1091" spans="1:13">
      <c r="A1091" s="6" t="s">
        <v>2150</v>
      </c>
      <c r="B1091" s="7">
        <v>46208</v>
      </c>
      <c r="C1091" s="6" t="s">
        <v>2151</v>
      </c>
      <c r="D1091" s="6" t="s">
        <v>110</v>
      </c>
      <c r="E1091" s="6" t="s">
        <v>46</v>
      </c>
      <c r="F1091" s="6" t="s">
        <v>100</v>
      </c>
      <c r="G1091" s="6" t="s">
        <v>101</v>
      </c>
      <c r="H1091" s="6">
        <v>2</v>
      </c>
      <c r="I1091" s="6" t="s">
        <v>265</v>
      </c>
      <c r="J1091" s="6" t="s">
        <v>636</v>
      </c>
      <c r="K1091" s="6" t="s">
        <v>119</v>
      </c>
      <c r="L1091" s="6" t="s">
        <v>42</v>
      </c>
      <c r="M1091" s="6" t="s">
        <v>69</v>
      </c>
    </row>
    <row r="1092" spans="1:13">
      <c r="A1092" s="6" t="s">
        <v>2152</v>
      </c>
      <c r="B1092" s="7">
        <v>46076</v>
      </c>
      <c r="C1092" s="6" t="s">
        <v>2153</v>
      </c>
      <c r="D1092" s="6" t="s">
        <v>45</v>
      </c>
      <c r="E1092" s="6" t="s">
        <v>28</v>
      </c>
      <c r="F1092" s="6" t="s">
        <v>85</v>
      </c>
      <c r="G1092" s="6" t="s">
        <v>86</v>
      </c>
      <c r="H1092" s="6">
        <v>1</v>
      </c>
      <c r="I1092" s="6" t="s">
        <v>60</v>
      </c>
      <c r="J1092" s="6" t="s">
        <v>60</v>
      </c>
      <c r="K1092" s="6">
        <v>410</v>
      </c>
      <c r="L1092" s="6" t="s">
        <v>42</v>
      </c>
      <c r="M1092" s="6" t="s">
        <v>34</v>
      </c>
    </row>
    <row r="1093" spans="1:13">
      <c r="A1093" s="6" t="s">
        <v>2154</v>
      </c>
      <c r="B1093" s="7">
        <v>46164</v>
      </c>
      <c r="C1093" s="6" t="s">
        <v>1800</v>
      </c>
      <c r="D1093" s="6" t="s">
        <v>110</v>
      </c>
      <c r="E1093" s="6" t="s">
        <v>28</v>
      </c>
      <c r="F1093" s="6" t="s">
        <v>53</v>
      </c>
      <c r="G1093" s="6" t="s">
        <v>54</v>
      </c>
      <c r="H1093" s="6">
        <v>3</v>
      </c>
      <c r="I1093" s="6" t="s">
        <v>143</v>
      </c>
      <c r="J1093" s="6" t="s">
        <v>243</v>
      </c>
      <c r="K1093" s="6" t="s">
        <v>122</v>
      </c>
      <c r="L1093" s="6" t="s">
        <v>42</v>
      </c>
      <c r="M1093" s="6" t="s">
        <v>34</v>
      </c>
    </row>
    <row r="1094" spans="1:13">
      <c r="A1094" s="6" t="s">
        <v>2155</v>
      </c>
      <c r="B1094" s="7">
        <v>46183</v>
      </c>
      <c r="C1094" s="6" t="s">
        <v>274</v>
      </c>
      <c r="D1094" s="6" t="s">
        <v>110</v>
      </c>
      <c r="E1094" s="6" t="s">
        <v>52</v>
      </c>
      <c r="F1094" s="6" t="s">
        <v>58</v>
      </c>
      <c r="G1094" s="6" t="s">
        <v>59</v>
      </c>
      <c r="H1094" s="6">
        <v>1</v>
      </c>
      <c r="I1094" s="6" t="s">
        <v>90</v>
      </c>
      <c r="J1094" s="6" t="s">
        <v>1182</v>
      </c>
      <c r="K1094" s="6" t="s">
        <v>61</v>
      </c>
      <c r="L1094" s="6" t="s">
        <v>42</v>
      </c>
      <c r="M1094" s="6" t="s">
        <v>34</v>
      </c>
    </row>
    <row r="1095" spans="1:13">
      <c r="A1095" s="6" t="s">
        <v>2156</v>
      </c>
      <c r="B1095" s="7">
        <v>46155</v>
      </c>
      <c r="C1095" s="6" t="s">
        <v>1055</v>
      </c>
      <c r="D1095" s="6" t="s">
        <v>64</v>
      </c>
      <c r="E1095" s="6" t="s">
        <v>37</v>
      </c>
      <c r="F1095" s="6" t="s">
        <v>94</v>
      </c>
      <c r="G1095" s="6" t="s">
        <v>95</v>
      </c>
      <c r="H1095" s="6">
        <v>1</v>
      </c>
      <c r="I1095" s="6" t="s">
        <v>1013</v>
      </c>
      <c r="J1095" s="6" t="s">
        <v>90</v>
      </c>
      <c r="K1095" s="6" t="s">
        <v>114</v>
      </c>
      <c r="L1095" s="6" t="s">
        <v>42</v>
      </c>
      <c r="M1095" s="6" t="s">
        <v>69</v>
      </c>
    </row>
    <row r="1096" spans="1:13">
      <c r="A1096" s="6" t="s">
        <v>2157</v>
      </c>
      <c r="B1096" s="7">
        <v>46124</v>
      </c>
      <c r="C1096" s="6" t="s">
        <v>888</v>
      </c>
      <c r="D1096" s="6" t="s">
        <v>77</v>
      </c>
      <c r="E1096" s="6" t="s">
        <v>78</v>
      </c>
      <c r="F1096" s="6" t="s">
        <v>53</v>
      </c>
      <c r="G1096" s="6" t="s">
        <v>54</v>
      </c>
      <c r="H1096" s="6">
        <v>1</v>
      </c>
      <c r="I1096" s="6" t="s">
        <v>82</v>
      </c>
      <c r="J1096" s="6" t="s">
        <v>82</v>
      </c>
      <c r="K1096" s="6">
        <v>190</v>
      </c>
      <c r="L1096" s="6" t="s">
        <v>42</v>
      </c>
      <c r="M1096" s="6" t="s">
        <v>69</v>
      </c>
    </row>
    <row r="1097" spans="1:13">
      <c r="A1097" s="6" t="s">
        <v>2158</v>
      </c>
      <c r="B1097" s="7">
        <v>46328</v>
      </c>
      <c r="C1097" s="6" t="s">
        <v>2159</v>
      </c>
      <c r="D1097" s="6" t="s">
        <v>45</v>
      </c>
      <c r="E1097" s="6" t="s">
        <v>46</v>
      </c>
      <c r="F1097" s="6" t="s">
        <v>29</v>
      </c>
      <c r="G1097" s="6" t="s">
        <v>30</v>
      </c>
      <c r="H1097" s="6">
        <v>1</v>
      </c>
      <c r="I1097" s="6" t="s">
        <v>82</v>
      </c>
      <c r="J1097" s="6" t="s">
        <v>82</v>
      </c>
      <c r="K1097" s="6">
        <v>520</v>
      </c>
      <c r="L1097" s="6" t="s">
        <v>42</v>
      </c>
      <c r="M1097" s="6" t="s">
        <v>34</v>
      </c>
    </row>
    <row r="1098" spans="1:13">
      <c r="A1098" s="6" t="s">
        <v>2160</v>
      </c>
      <c r="B1098" s="7">
        <v>46077</v>
      </c>
      <c r="C1098" s="6" t="s">
        <v>2161</v>
      </c>
      <c r="D1098" s="6" t="s">
        <v>45</v>
      </c>
      <c r="E1098" s="6" t="s">
        <v>37</v>
      </c>
      <c r="F1098" s="6" t="s">
        <v>58</v>
      </c>
      <c r="G1098" s="6" t="s">
        <v>59</v>
      </c>
      <c r="H1098" s="6">
        <v>2</v>
      </c>
      <c r="I1098" s="6" t="s">
        <v>117</v>
      </c>
      <c r="J1098" s="6" t="s">
        <v>118</v>
      </c>
      <c r="K1098" s="6">
        <v>380</v>
      </c>
      <c r="L1098" s="6" t="s">
        <v>42</v>
      </c>
      <c r="M1098" s="6" t="s">
        <v>34</v>
      </c>
    </row>
    <row r="1099" spans="1:13">
      <c r="A1099" s="6" t="s">
        <v>2162</v>
      </c>
      <c r="B1099" s="7">
        <v>46127</v>
      </c>
      <c r="C1099" s="6" t="s">
        <v>1269</v>
      </c>
      <c r="D1099" s="6" t="s">
        <v>27</v>
      </c>
      <c r="E1099" s="6" t="s">
        <v>52</v>
      </c>
      <c r="F1099" s="6" t="s">
        <v>94</v>
      </c>
      <c r="G1099" s="6" t="s">
        <v>95</v>
      </c>
      <c r="H1099" s="6">
        <v>3</v>
      </c>
      <c r="I1099" s="6" t="s">
        <v>90</v>
      </c>
      <c r="J1099" s="6" t="s">
        <v>102</v>
      </c>
      <c r="K1099" s="6">
        <v>340</v>
      </c>
      <c r="L1099" s="6" t="s">
        <v>42</v>
      </c>
      <c r="M1099" s="6" t="s">
        <v>34</v>
      </c>
    </row>
    <row r="1100" spans="1:13">
      <c r="A1100" s="6" t="s">
        <v>2163</v>
      </c>
      <c r="B1100" s="7">
        <v>46028</v>
      </c>
      <c r="C1100" s="6" t="s">
        <v>2164</v>
      </c>
      <c r="D1100" s="6" t="s">
        <v>57</v>
      </c>
      <c r="E1100" s="6" t="s">
        <v>37</v>
      </c>
      <c r="F1100" s="6" t="s">
        <v>53</v>
      </c>
      <c r="G1100" s="6" t="s">
        <v>54</v>
      </c>
      <c r="H1100" s="6">
        <v>3</v>
      </c>
      <c r="I1100" s="6" t="s">
        <v>265</v>
      </c>
      <c r="J1100" s="6" t="s">
        <v>401</v>
      </c>
      <c r="K1100" s="6">
        <v>190</v>
      </c>
      <c r="L1100" s="6" t="s">
        <v>42</v>
      </c>
      <c r="M1100" s="6" t="s">
        <v>34</v>
      </c>
    </row>
    <row r="1101" spans="1:13">
      <c r="A1101" s="6" t="s">
        <v>2165</v>
      </c>
      <c r="B1101" s="7">
        <v>46051</v>
      </c>
      <c r="C1101" s="6" t="s">
        <v>2166</v>
      </c>
      <c r="D1101" s="6" t="s">
        <v>127</v>
      </c>
      <c r="E1101" s="6" t="s">
        <v>37</v>
      </c>
      <c r="F1101" s="6" t="s">
        <v>29</v>
      </c>
      <c r="G1101" s="6" t="s">
        <v>30</v>
      </c>
      <c r="H1101" s="6">
        <v>2</v>
      </c>
      <c r="I1101" s="6" t="s">
        <v>79</v>
      </c>
      <c r="J1101" s="6" t="s">
        <v>259</v>
      </c>
      <c r="K1101" s="6">
        <v>520</v>
      </c>
      <c r="L1101" s="6" t="s">
        <v>42</v>
      </c>
      <c r="M1101" s="6" t="s">
        <v>34</v>
      </c>
    </row>
    <row r="1102" spans="1:13">
      <c r="A1102" s="6" t="s">
        <v>2167</v>
      </c>
      <c r="B1102" s="6" t="s">
        <v>1959</v>
      </c>
      <c r="C1102" s="6" t="s">
        <v>526</v>
      </c>
      <c r="D1102" s="6" t="s">
        <v>77</v>
      </c>
      <c r="E1102" s="6" t="s">
        <v>46</v>
      </c>
      <c r="F1102" s="6" t="s">
        <v>85</v>
      </c>
      <c r="G1102" s="6" t="s">
        <v>86</v>
      </c>
      <c r="H1102" s="6">
        <v>2</v>
      </c>
      <c r="I1102" s="6" t="s">
        <v>96</v>
      </c>
      <c r="J1102" s="6" t="s">
        <v>278</v>
      </c>
      <c r="K1102" s="6">
        <v>410</v>
      </c>
      <c r="L1102" s="6" t="s">
        <v>42</v>
      </c>
      <c r="M1102" s="6" t="s">
        <v>69</v>
      </c>
    </row>
    <row r="1103" spans="1:13">
      <c r="A1103" s="6" t="s">
        <v>2168</v>
      </c>
      <c r="B1103" s="6" t="s">
        <v>481</v>
      </c>
      <c r="C1103" s="6" t="s">
        <v>2169</v>
      </c>
      <c r="D1103" s="6" t="s">
        <v>127</v>
      </c>
      <c r="E1103" s="6" t="s">
        <v>28</v>
      </c>
      <c r="F1103" s="6" t="s">
        <v>100</v>
      </c>
      <c r="G1103" s="6" t="s">
        <v>101</v>
      </c>
      <c r="H1103" s="6">
        <v>2</v>
      </c>
      <c r="I1103" s="6" t="s">
        <v>143</v>
      </c>
      <c r="J1103" s="6" t="s">
        <v>144</v>
      </c>
      <c r="K1103" s="6">
        <v>640</v>
      </c>
      <c r="L1103" s="6" t="s">
        <v>42</v>
      </c>
      <c r="M1103" s="6" t="s">
        <v>34</v>
      </c>
    </row>
    <row r="1104" spans="1:13">
      <c r="A1104" s="6" t="s">
        <v>2170</v>
      </c>
      <c r="B1104" s="7">
        <v>46176</v>
      </c>
      <c r="C1104" s="6" t="s">
        <v>2171</v>
      </c>
      <c r="D1104" s="6" t="s">
        <v>27</v>
      </c>
      <c r="E1104" s="6" t="s">
        <v>37</v>
      </c>
      <c r="F1104" s="6" t="s">
        <v>53</v>
      </c>
      <c r="G1104" s="6" t="s">
        <v>54</v>
      </c>
      <c r="H1104" s="6">
        <v>2</v>
      </c>
      <c r="I1104" s="6" t="s">
        <v>82</v>
      </c>
      <c r="J1104" s="6" t="s">
        <v>297</v>
      </c>
      <c r="K1104" s="6" t="s">
        <v>122</v>
      </c>
      <c r="L1104" s="6" t="s">
        <v>42</v>
      </c>
      <c r="M1104" s="6" t="s">
        <v>34</v>
      </c>
    </row>
    <row r="1105" spans="1:13">
      <c r="A1105" s="6" t="s">
        <v>2172</v>
      </c>
      <c r="B1105" s="6" t="s">
        <v>1409</v>
      </c>
      <c r="C1105" s="6" t="s">
        <v>1446</v>
      </c>
      <c r="D1105" s="6" t="s">
        <v>27</v>
      </c>
      <c r="E1105" s="6" t="s">
        <v>46</v>
      </c>
      <c r="F1105" s="6" t="s">
        <v>85</v>
      </c>
      <c r="G1105" s="6" t="s">
        <v>86</v>
      </c>
      <c r="H1105" s="6">
        <v>1</v>
      </c>
      <c r="I1105" s="6" t="s">
        <v>82</v>
      </c>
      <c r="J1105" s="6" t="s">
        <v>82</v>
      </c>
      <c r="K1105" s="6">
        <v>410</v>
      </c>
      <c r="L1105" s="6" t="s">
        <v>42</v>
      </c>
      <c r="M1105" s="6" t="s">
        <v>69</v>
      </c>
    </row>
    <row r="1106" spans="1:13">
      <c r="A1106" s="6" t="s">
        <v>2173</v>
      </c>
      <c r="B1106" s="7">
        <v>46185</v>
      </c>
      <c r="C1106" s="6" t="s">
        <v>2174</v>
      </c>
      <c r="D1106" s="6" t="s">
        <v>105</v>
      </c>
      <c r="E1106" s="6" t="s">
        <v>28</v>
      </c>
      <c r="F1106" s="6" t="s">
        <v>58</v>
      </c>
      <c r="G1106" s="6" t="s">
        <v>59</v>
      </c>
      <c r="H1106" s="6">
        <v>2</v>
      </c>
      <c r="I1106" s="6" t="s">
        <v>166</v>
      </c>
      <c r="J1106" s="6" t="s">
        <v>167</v>
      </c>
      <c r="K1106" s="6" t="s">
        <v>61</v>
      </c>
      <c r="L1106" s="6" t="s">
        <v>33</v>
      </c>
      <c r="M1106" s="6" t="s">
        <v>34</v>
      </c>
    </row>
    <row r="1107" spans="1:13">
      <c r="A1107" s="6" t="s">
        <v>2175</v>
      </c>
      <c r="B1107" s="7">
        <v>46100</v>
      </c>
      <c r="C1107" s="6" t="s">
        <v>302</v>
      </c>
      <c r="D1107" s="6" t="s">
        <v>127</v>
      </c>
      <c r="E1107" s="6" t="s">
        <v>52</v>
      </c>
      <c r="F1107" s="6" t="s">
        <v>29</v>
      </c>
      <c r="G1107" s="6" t="s">
        <v>30</v>
      </c>
      <c r="H1107" s="6">
        <v>1</v>
      </c>
      <c r="I1107" s="6" t="s">
        <v>31</v>
      </c>
      <c r="J1107" s="6" t="s">
        <v>31</v>
      </c>
      <c r="K1107" s="6">
        <v>520</v>
      </c>
      <c r="L1107" s="6" t="s">
        <v>42</v>
      </c>
      <c r="M1107" s="6" t="s">
        <v>34</v>
      </c>
    </row>
    <row r="1108" spans="1:13">
      <c r="A1108" s="6" t="s">
        <v>2176</v>
      </c>
      <c r="B1108" s="7">
        <v>46196</v>
      </c>
      <c r="C1108" s="6" t="s">
        <v>1442</v>
      </c>
      <c r="D1108" s="6" t="s">
        <v>57</v>
      </c>
      <c r="E1108" s="6" t="s">
        <v>37</v>
      </c>
      <c r="F1108" s="6" t="s">
        <v>94</v>
      </c>
      <c r="G1108" s="6" t="s">
        <v>95</v>
      </c>
      <c r="H1108" s="6">
        <v>2</v>
      </c>
      <c r="I1108" s="6" t="s">
        <v>79</v>
      </c>
      <c r="J1108" s="6" t="s">
        <v>259</v>
      </c>
      <c r="K1108" s="6" t="s">
        <v>114</v>
      </c>
      <c r="L1108" s="6" t="s">
        <v>42</v>
      </c>
      <c r="M1108" s="6" t="s">
        <v>34</v>
      </c>
    </row>
    <row r="1109" spans="1:13">
      <c r="A1109" s="6" t="s">
        <v>2177</v>
      </c>
      <c r="B1109" s="7">
        <v>46159</v>
      </c>
      <c r="C1109" s="6" t="s">
        <v>1971</v>
      </c>
      <c r="D1109" s="6" t="s">
        <v>45</v>
      </c>
      <c r="E1109" s="6" t="s">
        <v>37</v>
      </c>
      <c r="F1109" s="6" t="s">
        <v>38</v>
      </c>
      <c r="G1109" s="6" t="s">
        <v>39</v>
      </c>
      <c r="H1109" s="6">
        <v>-2</v>
      </c>
      <c r="I1109" s="6" t="s">
        <v>96</v>
      </c>
      <c r="J1109" s="8" t="s">
        <v>1628</v>
      </c>
      <c r="K1109" s="6" t="s">
        <v>41</v>
      </c>
      <c r="L1109" s="6" t="s">
        <v>42</v>
      </c>
      <c r="M1109" s="6" t="s">
        <v>34</v>
      </c>
    </row>
    <row r="1110" spans="1:13">
      <c r="A1110" s="6" t="s">
        <v>2178</v>
      </c>
      <c r="B1110" s="7">
        <v>46107</v>
      </c>
      <c r="C1110" s="6" t="s">
        <v>2179</v>
      </c>
      <c r="D1110" s="6" t="s">
        <v>45</v>
      </c>
      <c r="E1110" s="6" t="s">
        <v>37</v>
      </c>
      <c r="F1110" s="6" t="s">
        <v>47</v>
      </c>
      <c r="G1110" s="6" t="s">
        <v>48</v>
      </c>
      <c r="H1110" s="6">
        <v>1</v>
      </c>
      <c r="I1110" s="6" t="s">
        <v>67</v>
      </c>
      <c r="J1110" s="6" t="s">
        <v>67</v>
      </c>
      <c r="K1110" s="6">
        <v>85</v>
      </c>
      <c r="L1110" s="6" t="s">
        <v>42</v>
      </c>
      <c r="M1110" s="6" t="s">
        <v>69</v>
      </c>
    </row>
    <row r="1111" spans="1:13">
      <c r="A1111" s="6" t="s">
        <v>2180</v>
      </c>
      <c r="B1111" s="7">
        <v>46200</v>
      </c>
      <c r="C1111" s="6" t="s">
        <v>1151</v>
      </c>
      <c r="D1111" s="6" t="s">
        <v>105</v>
      </c>
      <c r="E1111" s="6" t="s">
        <v>52</v>
      </c>
      <c r="F1111" s="6" t="s">
        <v>85</v>
      </c>
      <c r="G1111" s="6" t="s">
        <v>86</v>
      </c>
      <c r="H1111" s="6">
        <v>2</v>
      </c>
      <c r="I1111" s="6" t="s">
        <v>181</v>
      </c>
      <c r="J1111" s="6" t="s">
        <v>163</v>
      </c>
      <c r="K1111" s="6" t="s">
        <v>87</v>
      </c>
      <c r="L1111" s="6" t="s">
        <v>42</v>
      </c>
      <c r="M1111" s="6" t="s">
        <v>34</v>
      </c>
    </row>
    <row r="1112" spans="1:13">
      <c r="A1112" s="6" t="s">
        <v>2181</v>
      </c>
      <c r="B1112" s="7">
        <v>46045</v>
      </c>
      <c r="C1112" s="6" t="s">
        <v>2182</v>
      </c>
      <c r="D1112" s="6" t="s">
        <v>127</v>
      </c>
      <c r="E1112" s="6" t="s">
        <v>37</v>
      </c>
      <c r="F1112" s="6" t="s">
        <v>85</v>
      </c>
      <c r="G1112" s="6" t="s">
        <v>86</v>
      </c>
      <c r="H1112" s="6">
        <v>1</v>
      </c>
      <c r="I1112" s="6" t="s">
        <v>73</v>
      </c>
      <c r="J1112" s="6" t="s">
        <v>73</v>
      </c>
      <c r="K1112" s="6">
        <v>410</v>
      </c>
      <c r="L1112" s="6" t="s">
        <v>42</v>
      </c>
      <c r="M1112" s="6" t="s">
        <v>69</v>
      </c>
    </row>
    <row r="1113" spans="1:13">
      <c r="A1113" s="6" t="s">
        <v>2183</v>
      </c>
      <c r="B1113" s="7">
        <v>46042</v>
      </c>
      <c r="C1113" s="6" t="s">
        <v>784</v>
      </c>
      <c r="D1113" s="6" t="s">
        <v>64</v>
      </c>
      <c r="E1113" s="6" t="s">
        <v>28</v>
      </c>
      <c r="F1113" s="6" t="s">
        <v>58</v>
      </c>
      <c r="G1113" s="6" t="s">
        <v>59</v>
      </c>
      <c r="H1113" s="6">
        <v>-2</v>
      </c>
      <c r="I1113" s="6" t="s">
        <v>90</v>
      </c>
      <c r="J1113" s="8" t="s">
        <v>292</v>
      </c>
      <c r="K1113" s="6">
        <v>380</v>
      </c>
      <c r="L1113" s="6" t="s">
        <v>42</v>
      </c>
      <c r="M1113" s="6" t="s">
        <v>34</v>
      </c>
    </row>
    <row r="1114" spans="1:13">
      <c r="A1114" s="6" t="s">
        <v>2184</v>
      </c>
      <c r="B1114" s="7">
        <v>46104</v>
      </c>
      <c r="C1114" s="6" t="s">
        <v>2185</v>
      </c>
      <c r="D1114" s="6" t="s">
        <v>72</v>
      </c>
      <c r="E1114" s="6" t="s">
        <v>46</v>
      </c>
      <c r="F1114" s="6" t="s">
        <v>29</v>
      </c>
      <c r="G1114" s="6" t="s">
        <v>30</v>
      </c>
      <c r="H1114" s="6">
        <v>1</v>
      </c>
      <c r="I1114" s="6" t="s">
        <v>31</v>
      </c>
      <c r="J1114" s="6" t="s">
        <v>31</v>
      </c>
      <c r="K1114" s="6">
        <v>520</v>
      </c>
      <c r="L1114" s="6" t="s">
        <v>33</v>
      </c>
      <c r="M1114" s="6" t="s">
        <v>69</v>
      </c>
    </row>
    <row r="1115" spans="1:13">
      <c r="A1115" s="6" t="s">
        <v>2186</v>
      </c>
      <c r="B1115" s="7">
        <v>46086</v>
      </c>
      <c r="C1115" s="6" t="s">
        <v>693</v>
      </c>
      <c r="D1115" s="6" t="s">
        <v>45</v>
      </c>
      <c r="E1115" s="6" t="s">
        <v>78</v>
      </c>
      <c r="F1115" s="6" t="s">
        <v>53</v>
      </c>
      <c r="G1115" s="6" t="s">
        <v>54</v>
      </c>
      <c r="H1115" s="6">
        <v>2</v>
      </c>
      <c r="I1115" s="6" t="s">
        <v>31</v>
      </c>
      <c r="J1115" s="6" t="s">
        <v>249</v>
      </c>
      <c r="K1115" s="6">
        <v>190</v>
      </c>
      <c r="L1115" s="6" t="s">
        <v>42</v>
      </c>
      <c r="M1115" s="6" t="s">
        <v>34</v>
      </c>
    </row>
    <row r="1116" spans="1:13">
      <c r="A1116" s="6" t="s">
        <v>2187</v>
      </c>
      <c r="B1116" s="7">
        <v>46198</v>
      </c>
      <c r="C1116" s="6" t="s">
        <v>1813</v>
      </c>
      <c r="D1116" s="6" t="s">
        <v>27</v>
      </c>
      <c r="E1116" s="6" t="s">
        <v>28</v>
      </c>
      <c r="F1116" s="6" t="s">
        <v>100</v>
      </c>
      <c r="G1116" s="6" t="s">
        <v>101</v>
      </c>
      <c r="H1116" s="6">
        <v>1</v>
      </c>
      <c r="I1116" s="6" t="s">
        <v>31</v>
      </c>
      <c r="J1116" s="6" t="s">
        <v>31</v>
      </c>
      <c r="K1116" s="6" t="s">
        <v>119</v>
      </c>
      <c r="L1116" s="6" t="s">
        <v>42</v>
      </c>
      <c r="M1116" s="6" t="s">
        <v>34</v>
      </c>
    </row>
    <row r="1117" spans="1:13">
      <c r="A1117" s="6" t="s">
        <v>2188</v>
      </c>
      <c r="B1117" s="7">
        <v>46357</v>
      </c>
      <c r="C1117" s="6" t="s">
        <v>89</v>
      </c>
      <c r="D1117" s="6" t="s">
        <v>64</v>
      </c>
      <c r="E1117" s="6" t="s">
        <v>52</v>
      </c>
      <c r="F1117" s="6" t="s">
        <v>85</v>
      </c>
      <c r="G1117" s="6" t="s">
        <v>86</v>
      </c>
      <c r="H1117" s="6">
        <v>1</v>
      </c>
      <c r="I1117" s="6" t="s">
        <v>40</v>
      </c>
      <c r="J1117" s="6" t="s">
        <v>40</v>
      </c>
      <c r="K1117" s="6">
        <v>410</v>
      </c>
      <c r="L1117" s="6" t="s">
        <v>33</v>
      </c>
      <c r="M1117" s="6" t="s">
        <v>69</v>
      </c>
    </row>
    <row r="1118" spans="1:13">
      <c r="A1118" s="6" t="s">
        <v>2189</v>
      </c>
      <c r="B1118" s="7">
        <v>46034</v>
      </c>
      <c r="C1118" s="6" t="s">
        <v>1375</v>
      </c>
      <c r="D1118" s="6" t="s">
        <v>127</v>
      </c>
      <c r="E1118" s="6" t="s">
        <v>52</v>
      </c>
      <c r="F1118" s="6" t="s">
        <v>47</v>
      </c>
      <c r="G1118" s="6" t="s">
        <v>48</v>
      </c>
      <c r="H1118" s="6">
        <v>-2</v>
      </c>
      <c r="I1118" s="6" t="s">
        <v>117</v>
      </c>
      <c r="J1118" s="8" t="s">
        <v>2190</v>
      </c>
      <c r="K1118" s="6">
        <v>85</v>
      </c>
      <c r="L1118" s="6" t="s">
        <v>42</v>
      </c>
      <c r="M1118" s="6" t="s">
        <v>34</v>
      </c>
    </row>
    <row r="1119" spans="1:13">
      <c r="A1119" s="6" t="s">
        <v>2191</v>
      </c>
      <c r="B1119" s="7">
        <v>46360</v>
      </c>
      <c r="C1119" s="6" t="s">
        <v>396</v>
      </c>
      <c r="D1119" s="6" t="s">
        <v>64</v>
      </c>
      <c r="E1119" s="6" t="s">
        <v>78</v>
      </c>
      <c r="F1119" s="6" t="s">
        <v>58</v>
      </c>
      <c r="G1119" s="6" t="s">
        <v>59</v>
      </c>
      <c r="H1119" s="6">
        <v>1</v>
      </c>
      <c r="I1119" s="6" t="s">
        <v>447</v>
      </c>
      <c r="J1119" s="6" t="s">
        <v>90</v>
      </c>
      <c r="K1119" s="6">
        <v>380</v>
      </c>
      <c r="L1119" s="6" t="s">
        <v>33</v>
      </c>
      <c r="M1119" s="6" t="s">
        <v>34</v>
      </c>
    </row>
    <row r="1120" spans="1:13">
      <c r="A1120" s="6" t="s">
        <v>2192</v>
      </c>
      <c r="B1120" s="7">
        <v>46119</v>
      </c>
      <c r="C1120" s="6" t="s">
        <v>2193</v>
      </c>
      <c r="D1120" s="6" t="s">
        <v>45</v>
      </c>
      <c r="E1120" s="6" t="s">
        <v>37</v>
      </c>
      <c r="F1120" s="6" t="s">
        <v>29</v>
      </c>
      <c r="G1120" s="6" t="s">
        <v>30</v>
      </c>
      <c r="H1120" s="6">
        <v>2</v>
      </c>
      <c r="I1120" s="6" t="s">
        <v>143</v>
      </c>
      <c r="J1120" s="6" t="s">
        <v>144</v>
      </c>
      <c r="K1120" s="6">
        <v>520</v>
      </c>
      <c r="L1120" s="6" t="s">
        <v>42</v>
      </c>
      <c r="M1120" s="6" t="s">
        <v>34</v>
      </c>
    </row>
    <row r="1121" spans="1:13">
      <c r="A1121" s="6" t="s">
        <v>2194</v>
      </c>
      <c r="B1121" s="7">
        <v>46050</v>
      </c>
      <c r="C1121" s="6" t="s">
        <v>2195</v>
      </c>
      <c r="D1121" s="6" t="s">
        <v>45</v>
      </c>
      <c r="E1121" s="6" t="s">
        <v>37</v>
      </c>
      <c r="F1121" s="6" t="s">
        <v>58</v>
      </c>
      <c r="G1121" s="6" t="s">
        <v>59</v>
      </c>
      <c r="H1121" s="6">
        <v>2</v>
      </c>
      <c r="I1121" s="6" t="s">
        <v>147</v>
      </c>
      <c r="J1121" s="6" t="s">
        <v>175</v>
      </c>
      <c r="K1121" s="6">
        <v>380</v>
      </c>
      <c r="L1121" s="6" t="s">
        <v>42</v>
      </c>
      <c r="M1121" s="6" t="s">
        <v>34</v>
      </c>
    </row>
    <row r="1122" spans="1:13">
      <c r="A1122" s="6" t="s">
        <v>2196</v>
      </c>
      <c r="B1122" s="7">
        <v>46101</v>
      </c>
      <c r="C1122" s="6" t="s">
        <v>1647</v>
      </c>
      <c r="D1122" s="6" t="s">
        <v>72</v>
      </c>
      <c r="E1122" s="6" t="s">
        <v>37</v>
      </c>
      <c r="F1122" s="6" t="s">
        <v>38</v>
      </c>
      <c r="G1122" s="6" t="s">
        <v>39</v>
      </c>
      <c r="H1122" s="6">
        <v>1</v>
      </c>
      <c r="I1122" s="6" t="s">
        <v>143</v>
      </c>
      <c r="J1122" s="6" t="s">
        <v>143</v>
      </c>
      <c r="K1122" s="6">
        <v>520</v>
      </c>
      <c r="L1122" s="6" t="s">
        <v>42</v>
      </c>
      <c r="M1122" s="6" t="s">
        <v>34</v>
      </c>
    </row>
    <row r="1123" spans="1:13">
      <c r="A1123" s="6" t="s">
        <v>2197</v>
      </c>
      <c r="B1123" s="7">
        <v>46125</v>
      </c>
      <c r="C1123" s="6" t="s">
        <v>2198</v>
      </c>
      <c r="D1123" s="6" t="s">
        <v>45</v>
      </c>
      <c r="E1123" s="6" t="s">
        <v>52</v>
      </c>
      <c r="F1123" s="6" t="s">
        <v>53</v>
      </c>
      <c r="G1123" s="6" t="s">
        <v>54</v>
      </c>
      <c r="H1123" s="6">
        <v>1</v>
      </c>
      <c r="I1123" s="6" t="s">
        <v>113</v>
      </c>
      <c r="J1123" s="6" t="s">
        <v>113</v>
      </c>
      <c r="K1123" s="6">
        <v>190</v>
      </c>
      <c r="L1123" s="6" t="s">
        <v>33</v>
      </c>
      <c r="M1123" s="6" t="s">
        <v>34</v>
      </c>
    </row>
    <row r="1124" spans="1:13">
      <c r="A1124" s="6" t="s">
        <v>2199</v>
      </c>
      <c r="B1124" s="7">
        <v>46084</v>
      </c>
      <c r="C1124" s="6" t="s">
        <v>2200</v>
      </c>
      <c r="D1124" s="6" t="s">
        <v>64</v>
      </c>
      <c r="E1124" s="6" t="s">
        <v>37</v>
      </c>
      <c r="F1124" s="6" t="s">
        <v>53</v>
      </c>
      <c r="G1124" s="6" t="s">
        <v>54</v>
      </c>
      <c r="H1124" s="6">
        <v>1</v>
      </c>
      <c r="I1124" s="6" t="s">
        <v>181</v>
      </c>
      <c r="J1124" s="6" t="s">
        <v>1740</v>
      </c>
      <c r="K1124" s="6">
        <v>190</v>
      </c>
      <c r="L1124" s="6" t="s">
        <v>42</v>
      </c>
      <c r="M1124" s="6" t="s">
        <v>69</v>
      </c>
    </row>
    <row r="1125" spans="1:13">
      <c r="A1125" s="6" t="s">
        <v>2201</v>
      </c>
      <c r="B1125" s="7">
        <v>46100</v>
      </c>
      <c r="C1125" s="6" t="s">
        <v>2202</v>
      </c>
      <c r="D1125" s="6" t="s">
        <v>27</v>
      </c>
      <c r="E1125" s="6" t="s">
        <v>52</v>
      </c>
      <c r="F1125" s="6" t="s">
        <v>100</v>
      </c>
      <c r="G1125" s="6" t="s">
        <v>101</v>
      </c>
      <c r="H1125" s="6">
        <v>1</v>
      </c>
      <c r="I1125" s="6" t="s">
        <v>79</v>
      </c>
      <c r="J1125" s="6" t="s">
        <v>79</v>
      </c>
      <c r="K1125" s="6">
        <v>640</v>
      </c>
      <c r="L1125" s="6" t="s">
        <v>33</v>
      </c>
      <c r="M1125" s="6" t="s">
        <v>34</v>
      </c>
    </row>
    <row r="1126" spans="1:13">
      <c r="A1126" s="6" t="s">
        <v>2203</v>
      </c>
      <c r="B1126" s="7">
        <v>46201</v>
      </c>
      <c r="C1126" s="6" t="s">
        <v>2204</v>
      </c>
      <c r="D1126" s="6" t="s">
        <v>127</v>
      </c>
      <c r="E1126" s="6" t="s">
        <v>28</v>
      </c>
      <c r="F1126" s="6" t="s">
        <v>47</v>
      </c>
      <c r="G1126" s="6" t="s">
        <v>48</v>
      </c>
      <c r="H1126" s="6">
        <v>-2</v>
      </c>
      <c r="I1126" s="6" t="s">
        <v>265</v>
      </c>
      <c r="J1126" s="8" t="s">
        <v>778</v>
      </c>
      <c r="K1126" s="6" t="s">
        <v>49</v>
      </c>
      <c r="L1126" s="6" t="s">
        <v>42</v>
      </c>
      <c r="M1126" s="6" t="s">
        <v>34</v>
      </c>
    </row>
    <row r="1127" spans="1:13">
      <c r="A1127" s="6" t="s">
        <v>2205</v>
      </c>
      <c r="B1127" s="7">
        <v>46052</v>
      </c>
      <c r="C1127" s="6" t="s">
        <v>2111</v>
      </c>
      <c r="D1127" s="6" t="s">
        <v>110</v>
      </c>
      <c r="E1127" s="6" t="s">
        <v>37</v>
      </c>
      <c r="F1127" s="6" t="s">
        <v>85</v>
      </c>
      <c r="G1127" s="6" t="s">
        <v>86</v>
      </c>
      <c r="H1127" s="6">
        <v>2</v>
      </c>
      <c r="I1127" s="6" t="s">
        <v>117</v>
      </c>
      <c r="J1127" s="6" t="s">
        <v>118</v>
      </c>
      <c r="K1127" s="6">
        <v>410</v>
      </c>
      <c r="L1127" s="6" t="s">
        <v>42</v>
      </c>
      <c r="M1127" s="6" t="s">
        <v>34</v>
      </c>
    </row>
    <row r="1128" spans="1:13">
      <c r="A1128" s="6" t="s">
        <v>2206</v>
      </c>
      <c r="B1128" s="7">
        <v>46060</v>
      </c>
      <c r="C1128" s="6" t="s">
        <v>896</v>
      </c>
      <c r="D1128" s="6" t="s">
        <v>64</v>
      </c>
      <c r="E1128" s="6" t="s">
        <v>78</v>
      </c>
      <c r="F1128" s="6" t="s">
        <v>100</v>
      </c>
      <c r="G1128" s="6" t="s">
        <v>101</v>
      </c>
      <c r="H1128" s="6">
        <v>1</v>
      </c>
      <c r="I1128" s="6" t="s">
        <v>143</v>
      </c>
      <c r="J1128" s="6" t="s">
        <v>143</v>
      </c>
      <c r="K1128" s="6">
        <v>640</v>
      </c>
      <c r="L1128" s="6" t="s">
        <v>42</v>
      </c>
      <c r="M1128" s="6" t="s">
        <v>34</v>
      </c>
    </row>
    <row r="1129" spans="1:13">
      <c r="A1129" s="6" t="s">
        <v>2207</v>
      </c>
      <c r="B1129" s="7">
        <v>46046</v>
      </c>
      <c r="C1129" s="6" t="s">
        <v>1865</v>
      </c>
      <c r="D1129" s="6" t="s">
        <v>45</v>
      </c>
      <c r="E1129" s="6" t="s">
        <v>37</v>
      </c>
      <c r="F1129" s="6" t="s">
        <v>38</v>
      </c>
      <c r="G1129" s="6" t="s">
        <v>39</v>
      </c>
      <c r="H1129" s="6">
        <v>2</v>
      </c>
      <c r="I1129" s="6" t="s">
        <v>90</v>
      </c>
      <c r="J1129" s="6" t="s">
        <v>154</v>
      </c>
      <c r="K1129" s="6">
        <v>520</v>
      </c>
      <c r="L1129" s="6" t="s">
        <v>42</v>
      </c>
      <c r="M1129" s="6" t="s">
        <v>34</v>
      </c>
    </row>
    <row r="1130" spans="1:13">
      <c r="A1130" s="6" t="s">
        <v>2208</v>
      </c>
      <c r="B1130" s="7">
        <v>46085</v>
      </c>
      <c r="C1130" s="6" t="s">
        <v>2081</v>
      </c>
      <c r="D1130" s="6" t="s">
        <v>105</v>
      </c>
      <c r="E1130" s="6" t="s">
        <v>46</v>
      </c>
      <c r="F1130" s="6" t="s">
        <v>29</v>
      </c>
      <c r="G1130" s="6" t="s">
        <v>30</v>
      </c>
      <c r="H1130" s="6">
        <v>2</v>
      </c>
      <c r="I1130" s="6" t="s">
        <v>60</v>
      </c>
      <c r="J1130" s="6" t="s">
        <v>189</v>
      </c>
      <c r="K1130" s="6">
        <v>520</v>
      </c>
      <c r="L1130" s="6" t="s">
        <v>42</v>
      </c>
      <c r="M1130" s="6" t="s">
        <v>69</v>
      </c>
    </row>
    <row r="1131" spans="1:13">
      <c r="A1131" s="6" t="s">
        <v>2209</v>
      </c>
      <c r="B1131" s="7">
        <v>46208</v>
      </c>
      <c r="C1131" s="6" t="s">
        <v>2210</v>
      </c>
      <c r="D1131" s="6" t="s">
        <v>77</v>
      </c>
      <c r="E1131" s="6" t="s">
        <v>37</v>
      </c>
      <c r="F1131" s="6" t="s">
        <v>58</v>
      </c>
      <c r="G1131" s="6" t="s">
        <v>59</v>
      </c>
      <c r="H1131" s="6">
        <v>3</v>
      </c>
      <c r="I1131" s="6" t="s">
        <v>90</v>
      </c>
      <c r="J1131" s="6" t="s">
        <v>102</v>
      </c>
      <c r="K1131" s="6" t="s">
        <v>61</v>
      </c>
      <c r="L1131" s="6" t="s">
        <v>42</v>
      </c>
      <c r="M1131" s="6" t="s">
        <v>34</v>
      </c>
    </row>
    <row r="1132" spans="1:13">
      <c r="A1132" s="6" t="s">
        <v>2211</v>
      </c>
      <c r="B1132" s="7">
        <v>46268</v>
      </c>
      <c r="C1132" s="6" t="s">
        <v>132</v>
      </c>
      <c r="D1132" s="6" t="s">
        <v>127</v>
      </c>
      <c r="E1132" s="6" t="s">
        <v>52</v>
      </c>
      <c r="F1132" s="6" t="s">
        <v>85</v>
      </c>
      <c r="G1132" s="6" t="s">
        <v>86</v>
      </c>
      <c r="H1132" s="6">
        <v>2</v>
      </c>
      <c r="I1132" s="6" t="s">
        <v>1004</v>
      </c>
      <c r="J1132" s="6" t="s">
        <v>167</v>
      </c>
      <c r="K1132" s="6">
        <v>410</v>
      </c>
      <c r="L1132" s="6" t="s">
        <v>33</v>
      </c>
      <c r="M1132" s="6" t="s">
        <v>69</v>
      </c>
    </row>
    <row r="1133" spans="1:13">
      <c r="A1133" s="6" t="s">
        <v>2212</v>
      </c>
      <c r="B1133" s="6" t="s">
        <v>347</v>
      </c>
      <c r="C1133" s="6" t="s">
        <v>568</v>
      </c>
      <c r="D1133" s="6" t="s">
        <v>105</v>
      </c>
      <c r="E1133" s="6" t="s">
        <v>28</v>
      </c>
      <c r="F1133" s="6" t="s">
        <v>100</v>
      </c>
      <c r="G1133" s="6" t="s">
        <v>101</v>
      </c>
      <c r="H1133" s="6">
        <v>2</v>
      </c>
      <c r="I1133" s="6" t="s">
        <v>90</v>
      </c>
      <c r="J1133" s="6" t="s">
        <v>154</v>
      </c>
      <c r="K1133" s="6">
        <v>640</v>
      </c>
      <c r="L1133" s="6" t="s">
        <v>33</v>
      </c>
      <c r="M1133" s="6" t="s">
        <v>34</v>
      </c>
    </row>
    <row r="1134" spans="1:13">
      <c r="A1134" s="6" t="s">
        <v>2213</v>
      </c>
      <c r="B1134" s="7">
        <v>46196</v>
      </c>
      <c r="C1134" s="6" t="s">
        <v>2214</v>
      </c>
      <c r="D1134" s="6" t="s">
        <v>27</v>
      </c>
      <c r="E1134" s="6" t="s">
        <v>28</v>
      </c>
      <c r="F1134" s="6" t="s">
        <v>38</v>
      </c>
      <c r="G1134" s="6" t="s">
        <v>39</v>
      </c>
      <c r="H1134" s="6">
        <v>3</v>
      </c>
      <c r="I1134" s="6" t="s">
        <v>40</v>
      </c>
      <c r="J1134" s="6" t="s">
        <v>579</v>
      </c>
      <c r="K1134" s="6" t="s">
        <v>41</v>
      </c>
      <c r="L1134" s="6" t="s">
        <v>42</v>
      </c>
      <c r="M1134" s="6" t="s">
        <v>34</v>
      </c>
    </row>
    <row r="1135" spans="1:13">
      <c r="A1135" s="6" t="s">
        <v>2215</v>
      </c>
      <c r="B1135" s="7">
        <v>46198</v>
      </c>
      <c r="C1135" s="6" t="s">
        <v>2216</v>
      </c>
      <c r="D1135" s="6" t="s">
        <v>64</v>
      </c>
      <c r="E1135" s="6" t="s">
        <v>28</v>
      </c>
      <c r="F1135" s="6" t="s">
        <v>58</v>
      </c>
      <c r="G1135" s="6" t="s">
        <v>59</v>
      </c>
      <c r="H1135" s="6">
        <v>1</v>
      </c>
      <c r="I1135" s="6" t="s">
        <v>231</v>
      </c>
      <c r="J1135" s="6" t="s">
        <v>2217</v>
      </c>
      <c r="K1135" s="6" t="s">
        <v>61</v>
      </c>
      <c r="L1135" s="6" t="s">
        <v>42</v>
      </c>
      <c r="M1135" s="6" t="s">
        <v>69</v>
      </c>
    </row>
    <row r="1136" spans="1:13">
      <c r="A1136" s="6" t="s">
        <v>2218</v>
      </c>
      <c r="B1136" s="7">
        <v>46057</v>
      </c>
      <c r="C1136" s="6" t="s">
        <v>930</v>
      </c>
      <c r="D1136" s="6" t="s">
        <v>27</v>
      </c>
      <c r="E1136" s="6" t="s">
        <v>78</v>
      </c>
      <c r="F1136" s="6" t="s">
        <v>94</v>
      </c>
      <c r="G1136" s="6" t="s">
        <v>95</v>
      </c>
      <c r="H1136" s="6">
        <v>1</v>
      </c>
      <c r="I1136" s="6" t="s">
        <v>90</v>
      </c>
      <c r="J1136" s="6" t="s">
        <v>90</v>
      </c>
      <c r="K1136" s="6">
        <v>340</v>
      </c>
      <c r="L1136" s="6" t="s">
        <v>42</v>
      </c>
      <c r="M1136" s="6" t="s">
        <v>34</v>
      </c>
    </row>
    <row r="1137" spans="1:13">
      <c r="A1137" s="6" t="s">
        <v>2219</v>
      </c>
      <c r="B1137" s="7">
        <v>46057</v>
      </c>
      <c r="C1137" s="6" t="s">
        <v>1087</v>
      </c>
      <c r="D1137" s="6" t="s">
        <v>72</v>
      </c>
      <c r="E1137" s="6" t="s">
        <v>46</v>
      </c>
      <c r="F1137" s="6" t="s">
        <v>100</v>
      </c>
      <c r="G1137" s="6" t="s">
        <v>101</v>
      </c>
      <c r="H1137" s="6">
        <v>1</v>
      </c>
      <c r="I1137" s="6" t="s">
        <v>40</v>
      </c>
      <c r="J1137" s="6" t="s">
        <v>40</v>
      </c>
      <c r="K1137" s="6">
        <v>640</v>
      </c>
      <c r="L1137" s="6" t="s">
        <v>42</v>
      </c>
      <c r="M1137" s="6" t="s">
        <v>34</v>
      </c>
    </row>
    <row r="1138" spans="1:13">
      <c r="A1138" s="6" t="s">
        <v>2220</v>
      </c>
      <c r="B1138" s="7">
        <v>46129</v>
      </c>
      <c r="C1138" s="6" t="s">
        <v>690</v>
      </c>
      <c r="D1138" s="6" t="s">
        <v>127</v>
      </c>
      <c r="E1138" s="6" t="s">
        <v>78</v>
      </c>
      <c r="F1138" s="6" t="s">
        <v>100</v>
      </c>
      <c r="G1138" s="6" t="s">
        <v>101</v>
      </c>
      <c r="H1138" s="6">
        <v>1</v>
      </c>
      <c r="I1138" s="6" t="s">
        <v>147</v>
      </c>
      <c r="J1138" s="6" t="s">
        <v>147</v>
      </c>
      <c r="K1138" s="6">
        <v>640</v>
      </c>
      <c r="L1138" s="6" t="s">
        <v>33</v>
      </c>
      <c r="M1138" s="6" t="s">
        <v>34</v>
      </c>
    </row>
    <row r="1139" spans="1:13">
      <c r="A1139" s="6" t="s">
        <v>2221</v>
      </c>
      <c r="B1139" s="7">
        <v>46101</v>
      </c>
      <c r="C1139" s="6" t="s">
        <v>2222</v>
      </c>
      <c r="D1139" s="6" t="s">
        <v>127</v>
      </c>
      <c r="E1139" s="6" t="s">
        <v>46</v>
      </c>
      <c r="F1139" s="6" t="s">
        <v>94</v>
      </c>
      <c r="G1139" s="6" t="s">
        <v>95</v>
      </c>
      <c r="H1139" s="6">
        <v>1</v>
      </c>
      <c r="I1139" s="6" t="s">
        <v>90</v>
      </c>
      <c r="J1139" s="6" t="s">
        <v>90</v>
      </c>
      <c r="K1139" s="6">
        <v>340</v>
      </c>
      <c r="L1139" s="6" t="s">
        <v>42</v>
      </c>
      <c r="M1139" s="6" t="s">
        <v>34</v>
      </c>
    </row>
    <row r="1140" spans="1:13">
      <c r="A1140" s="6" t="s">
        <v>2223</v>
      </c>
      <c r="B1140" s="7">
        <v>46078</v>
      </c>
      <c r="C1140" s="6" t="s">
        <v>468</v>
      </c>
      <c r="D1140" s="6" t="s">
        <v>45</v>
      </c>
      <c r="E1140" s="6" t="s">
        <v>52</v>
      </c>
      <c r="F1140" s="6" t="s">
        <v>94</v>
      </c>
      <c r="G1140" s="6" t="s">
        <v>95</v>
      </c>
      <c r="H1140" s="6">
        <v>1</v>
      </c>
      <c r="I1140" s="6" t="s">
        <v>1519</v>
      </c>
      <c r="J1140" s="6" t="s">
        <v>231</v>
      </c>
      <c r="K1140" s="6">
        <v>340</v>
      </c>
      <c r="L1140" s="6" t="s">
        <v>42</v>
      </c>
      <c r="M1140" s="6" t="s">
        <v>69</v>
      </c>
    </row>
    <row r="1141" spans="1:13">
      <c r="A1141" s="6" t="s">
        <v>2224</v>
      </c>
      <c r="B1141" s="7">
        <v>46060</v>
      </c>
      <c r="C1141" s="6" t="s">
        <v>2225</v>
      </c>
      <c r="D1141" s="6" t="s">
        <v>72</v>
      </c>
      <c r="E1141" s="6" t="s">
        <v>28</v>
      </c>
      <c r="F1141" s="6" t="s">
        <v>100</v>
      </c>
      <c r="G1141" s="6" t="s">
        <v>101</v>
      </c>
      <c r="H1141" s="6">
        <v>1</v>
      </c>
      <c r="I1141" s="6" t="s">
        <v>143</v>
      </c>
      <c r="J1141" s="6" t="s">
        <v>143</v>
      </c>
      <c r="K1141" s="6" t="s">
        <v>119</v>
      </c>
      <c r="L1141" s="6" t="s">
        <v>42</v>
      </c>
      <c r="M1141" s="6" t="s">
        <v>34</v>
      </c>
    </row>
    <row r="1142" spans="1:13">
      <c r="A1142" s="6" t="s">
        <v>2226</v>
      </c>
      <c r="B1142" s="7">
        <v>46123</v>
      </c>
      <c r="C1142" s="6" t="s">
        <v>1655</v>
      </c>
      <c r="D1142" s="6" t="s">
        <v>64</v>
      </c>
      <c r="E1142" s="6" t="s">
        <v>37</v>
      </c>
      <c r="F1142" s="6" t="s">
        <v>47</v>
      </c>
      <c r="G1142" s="6" t="s">
        <v>48</v>
      </c>
      <c r="H1142" s="6">
        <v>1</v>
      </c>
      <c r="I1142" s="6" t="s">
        <v>60</v>
      </c>
      <c r="J1142" s="6" t="s">
        <v>60</v>
      </c>
      <c r="K1142" s="6">
        <v>85</v>
      </c>
      <c r="L1142" s="6" t="s">
        <v>42</v>
      </c>
      <c r="M1142" s="6" t="s">
        <v>34</v>
      </c>
    </row>
    <row r="1143" spans="1:13">
      <c r="A1143" s="6" t="s">
        <v>2227</v>
      </c>
      <c r="B1143" s="7">
        <v>46167</v>
      </c>
      <c r="C1143" s="6" t="s">
        <v>1883</v>
      </c>
      <c r="D1143" s="6" t="s">
        <v>127</v>
      </c>
      <c r="E1143" s="6" t="s">
        <v>28</v>
      </c>
      <c r="F1143" s="6" t="s">
        <v>29</v>
      </c>
      <c r="G1143" s="6" t="s">
        <v>30</v>
      </c>
      <c r="H1143" s="6">
        <v>2</v>
      </c>
      <c r="I1143" s="6" t="s">
        <v>755</v>
      </c>
      <c r="J1143" s="6" t="s">
        <v>118</v>
      </c>
      <c r="K1143" s="6" t="s">
        <v>41</v>
      </c>
      <c r="L1143" s="6" t="s">
        <v>42</v>
      </c>
      <c r="M1143" s="6" t="s">
        <v>34</v>
      </c>
    </row>
    <row r="1144" spans="1:13">
      <c r="A1144" s="6" t="s">
        <v>2228</v>
      </c>
      <c r="B1144" s="7">
        <v>46155</v>
      </c>
      <c r="C1144" s="6" t="s">
        <v>2229</v>
      </c>
      <c r="D1144" s="6" t="s">
        <v>45</v>
      </c>
      <c r="E1144" s="6" t="s">
        <v>78</v>
      </c>
      <c r="F1144" s="6" t="s">
        <v>100</v>
      </c>
      <c r="G1144" s="6" t="s">
        <v>101</v>
      </c>
      <c r="H1144" s="6">
        <v>2</v>
      </c>
      <c r="I1144" s="6" t="s">
        <v>181</v>
      </c>
      <c r="J1144" s="6" t="s">
        <v>163</v>
      </c>
      <c r="K1144" s="6" t="s">
        <v>119</v>
      </c>
      <c r="L1144" s="6" t="s">
        <v>42</v>
      </c>
      <c r="M1144" s="6" t="s">
        <v>34</v>
      </c>
    </row>
    <row r="1145" spans="1:13">
      <c r="A1145" s="6" t="s">
        <v>2230</v>
      </c>
      <c r="B1145" s="7">
        <v>46266</v>
      </c>
      <c r="C1145" s="6" t="s">
        <v>2231</v>
      </c>
      <c r="D1145" s="6" t="s">
        <v>64</v>
      </c>
      <c r="E1145" s="6" t="s">
        <v>78</v>
      </c>
      <c r="F1145" s="6" t="s">
        <v>100</v>
      </c>
      <c r="G1145" s="6" t="s">
        <v>101</v>
      </c>
      <c r="H1145" s="6">
        <v>1</v>
      </c>
      <c r="I1145" s="6" t="s">
        <v>203</v>
      </c>
      <c r="J1145" s="6" t="s">
        <v>67</v>
      </c>
      <c r="K1145" s="6">
        <v>640</v>
      </c>
      <c r="L1145" s="6" t="s">
        <v>42</v>
      </c>
      <c r="M1145" s="6" t="s">
        <v>34</v>
      </c>
    </row>
    <row r="1146" spans="1:13">
      <c r="A1146" s="6" t="s">
        <v>2232</v>
      </c>
      <c r="B1146" s="7">
        <v>46031</v>
      </c>
      <c r="C1146" s="6" t="s">
        <v>2233</v>
      </c>
      <c r="D1146" s="6" t="s">
        <v>27</v>
      </c>
      <c r="E1146" s="6" t="s">
        <v>78</v>
      </c>
      <c r="F1146" s="6" t="s">
        <v>47</v>
      </c>
      <c r="G1146" s="6" t="s">
        <v>48</v>
      </c>
      <c r="H1146" s="6">
        <v>1</v>
      </c>
      <c r="I1146" s="6" t="s">
        <v>79</v>
      </c>
      <c r="J1146" s="6" t="s">
        <v>79</v>
      </c>
      <c r="K1146" s="6">
        <v>85</v>
      </c>
      <c r="L1146" s="6" t="s">
        <v>42</v>
      </c>
      <c r="M1146" s="6" t="s">
        <v>69</v>
      </c>
    </row>
    <row r="1147" spans="1:13">
      <c r="A1147" s="6" t="s">
        <v>2234</v>
      </c>
      <c r="B1147" s="7">
        <v>46202</v>
      </c>
      <c r="C1147" s="6" t="s">
        <v>1102</v>
      </c>
      <c r="D1147" s="6" t="s">
        <v>105</v>
      </c>
      <c r="E1147" s="6" t="s">
        <v>52</v>
      </c>
      <c r="F1147" s="6" t="s">
        <v>94</v>
      </c>
      <c r="G1147" s="6" t="s">
        <v>95</v>
      </c>
      <c r="H1147" s="6">
        <v>3</v>
      </c>
      <c r="I1147" s="6" t="s">
        <v>31</v>
      </c>
      <c r="J1147" s="6" t="s">
        <v>337</v>
      </c>
      <c r="K1147" s="6" t="s">
        <v>114</v>
      </c>
      <c r="L1147" s="6" t="s">
        <v>33</v>
      </c>
      <c r="M1147" s="6" t="s">
        <v>34</v>
      </c>
    </row>
    <row r="1148" spans="1:13">
      <c r="A1148" s="6" t="s">
        <v>2235</v>
      </c>
      <c r="B1148" s="7">
        <v>46094</v>
      </c>
      <c r="C1148" s="6" t="s">
        <v>2236</v>
      </c>
      <c r="D1148" s="6" t="s">
        <v>64</v>
      </c>
      <c r="E1148" s="6" t="s">
        <v>37</v>
      </c>
      <c r="F1148" s="6" t="s">
        <v>38</v>
      </c>
      <c r="G1148" s="6" t="s">
        <v>39</v>
      </c>
      <c r="H1148" s="6">
        <v>1</v>
      </c>
      <c r="I1148" s="6" t="s">
        <v>603</v>
      </c>
      <c r="J1148" s="6" t="s">
        <v>2237</v>
      </c>
      <c r="K1148" s="6">
        <v>520</v>
      </c>
      <c r="L1148" s="6" t="s">
        <v>42</v>
      </c>
      <c r="M1148" s="6" t="s">
        <v>34</v>
      </c>
    </row>
    <row r="1149" spans="1:13">
      <c r="A1149" s="6" t="s">
        <v>2238</v>
      </c>
      <c r="B1149" s="7">
        <v>46066</v>
      </c>
      <c r="C1149" s="6" t="s">
        <v>2239</v>
      </c>
      <c r="D1149" s="6" t="s">
        <v>105</v>
      </c>
      <c r="E1149" s="6" t="s">
        <v>28</v>
      </c>
      <c r="F1149" s="6" t="s">
        <v>29</v>
      </c>
      <c r="G1149" s="6" t="s">
        <v>30</v>
      </c>
      <c r="H1149" s="6">
        <v>1</v>
      </c>
      <c r="I1149" s="6" t="s">
        <v>490</v>
      </c>
      <c r="J1149" s="6" t="s">
        <v>82</v>
      </c>
      <c r="K1149" s="6">
        <v>520</v>
      </c>
      <c r="L1149" s="6" t="s">
        <v>42</v>
      </c>
      <c r="M1149" s="6" t="s">
        <v>34</v>
      </c>
    </row>
    <row r="1150" spans="1:13">
      <c r="A1150" s="6" t="s">
        <v>2240</v>
      </c>
      <c r="B1150" s="7">
        <v>46051</v>
      </c>
      <c r="C1150" s="6" t="s">
        <v>2241</v>
      </c>
      <c r="D1150" s="6" t="s">
        <v>110</v>
      </c>
      <c r="E1150" s="6" t="s">
        <v>52</v>
      </c>
      <c r="F1150" s="6" t="s">
        <v>38</v>
      </c>
      <c r="G1150" s="6" t="s">
        <v>39</v>
      </c>
      <c r="H1150" s="6">
        <v>2</v>
      </c>
      <c r="I1150" s="6" t="s">
        <v>143</v>
      </c>
      <c r="J1150" s="6" t="s">
        <v>144</v>
      </c>
      <c r="K1150" s="6">
        <v>520</v>
      </c>
      <c r="L1150" s="6" t="s">
        <v>33</v>
      </c>
      <c r="M1150" s="6" t="s">
        <v>34</v>
      </c>
    </row>
    <row r="1151" spans="1:13">
      <c r="A1151" s="6" t="s">
        <v>2242</v>
      </c>
      <c r="B1151" s="7">
        <v>46182</v>
      </c>
      <c r="C1151" s="6" t="s">
        <v>1234</v>
      </c>
      <c r="D1151" s="6" t="s">
        <v>105</v>
      </c>
      <c r="E1151" s="6" t="s">
        <v>28</v>
      </c>
      <c r="F1151" s="6" t="s">
        <v>38</v>
      </c>
      <c r="G1151" s="6" t="s">
        <v>39</v>
      </c>
      <c r="H1151" s="6">
        <v>1</v>
      </c>
      <c r="I1151" s="6" t="s">
        <v>31</v>
      </c>
      <c r="J1151" s="6" t="s">
        <v>31</v>
      </c>
      <c r="K1151" s="6" t="s">
        <v>41</v>
      </c>
      <c r="L1151" s="6" t="s">
        <v>42</v>
      </c>
      <c r="M1151" s="6" t="s">
        <v>34</v>
      </c>
    </row>
    <row r="1152" spans="1:13">
      <c r="A1152" s="6" t="s">
        <v>2243</v>
      </c>
      <c r="B1152" s="6" t="s">
        <v>786</v>
      </c>
      <c r="C1152" s="6" t="s">
        <v>988</v>
      </c>
      <c r="D1152" s="6" t="s">
        <v>57</v>
      </c>
      <c r="E1152" s="6" t="s">
        <v>37</v>
      </c>
      <c r="F1152" s="6" t="s">
        <v>47</v>
      </c>
      <c r="G1152" s="6" t="s">
        <v>48</v>
      </c>
      <c r="H1152" s="6">
        <v>1</v>
      </c>
      <c r="I1152" s="6" t="s">
        <v>117</v>
      </c>
      <c r="J1152" s="6" t="s">
        <v>117</v>
      </c>
      <c r="K1152" s="6">
        <v>85</v>
      </c>
      <c r="L1152" s="6" t="s">
        <v>42</v>
      </c>
      <c r="M1152" s="6" t="s">
        <v>69</v>
      </c>
    </row>
    <row r="1153" spans="1:13">
      <c r="A1153" s="6" t="s">
        <v>2244</v>
      </c>
      <c r="B1153" s="7">
        <v>46063</v>
      </c>
      <c r="C1153" s="6" t="s">
        <v>420</v>
      </c>
      <c r="D1153" s="6" t="s">
        <v>64</v>
      </c>
      <c r="E1153" s="6" t="s">
        <v>46</v>
      </c>
      <c r="F1153" s="6" t="s">
        <v>85</v>
      </c>
      <c r="G1153" s="6" t="s">
        <v>86</v>
      </c>
      <c r="H1153" s="6">
        <v>2</v>
      </c>
      <c r="I1153" s="6" t="s">
        <v>203</v>
      </c>
      <c r="J1153" s="6" t="s">
        <v>204</v>
      </c>
      <c r="K1153" s="6">
        <v>410</v>
      </c>
      <c r="L1153" s="6" t="s">
        <v>42</v>
      </c>
      <c r="M1153" s="6" t="s">
        <v>34</v>
      </c>
    </row>
    <row r="1154" spans="1:13">
      <c r="A1154" s="6" t="s">
        <v>2245</v>
      </c>
      <c r="B1154" s="7">
        <v>46183</v>
      </c>
      <c r="C1154" s="6" t="s">
        <v>367</v>
      </c>
      <c r="D1154" s="6" t="s">
        <v>45</v>
      </c>
      <c r="E1154" s="6" t="s">
        <v>46</v>
      </c>
      <c r="F1154" s="6" t="s">
        <v>47</v>
      </c>
      <c r="G1154" s="6" t="s">
        <v>48</v>
      </c>
      <c r="H1154" s="6">
        <v>2</v>
      </c>
      <c r="I1154" s="6" t="s">
        <v>147</v>
      </c>
      <c r="J1154" s="6" t="s">
        <v>175</v>
      </c>
      <c r="K1154" s="6" t="s">
        <v>49</v>
      </c>
      <c r="L1154" s="6" t="s">
        <v>42</v>
      </c>
      <c r="M1154" s="6" t="s">
        <v>34</v>
      </c>
    </row>
    <row r="1155" spans="1:13">
      <c r="A1155" s="6" t="s">
        <v>2246</v>
      </c>
      <c r="B1155" s="7">
        <v>46129</v>
      </c>
      <c r="C1155" s="6" t="s">
        <v>2247</v>
      </c>
      <c r="D1155" s="6" t="s">
        <v>105</v>
      </c>
      <c r="E1155" s="6" t="s">
        <v>78</v>
      </c>
      <c r="F1155" s="6" t="s">
        <v>94</v>
      </c>
      <c r="G1155" s="6" t="s">
        <v>95</v>
      </c>
      <c r="H1155" s="6">
        <v>2</v>
      </c>
      <c r="I1155" s="6" t="s">
        <v>143</v>
      </c>
      <c r="J1155" s="6" t="s">
        <v>327</v>
      </c>
      <c r="K1155" s="6">
        <v>340</v>
      </c>
      <c r="L1155" s="6" t="s">
        <v>42</v>
      </c>
      <c r="M1155" s="6" t="s">
        <v>34</v>
      </c>
    </row>
    <row r="1156" spans="1:13">
      <c r="A1156" s="6" t="s">
        <v>2248</v>
      </c>
      <c r="B1156" s="7">
        <v>46030</v>
      </c>
      <c r="C1156" s="6" t="s">
        <v>2249</v>
      </c>
      <c r="D1156" s="6" t="s">
        <v>27</v>
      </c>
      <c r="E1156" s="6" t="s">
        <v>78</v>
      </c>
      <c r="F1156" s="6" t="s">
        <v>58</v>
      </c>
      <c r="G1156" s="6" t="s">
        <v>59</v>
      </c>
      <c r="H1156" s="6">
        <v>1</v>
      </c>
      <c r="I1156" s="6" t="s">
        <v>40</v>
      </c>
      <c r="J1156" s="6" t="s">
        <v>2250</v>
      </c>
      <c r="K1156" s="6">
        <v>380</v>
      </c>
      <c r="L1156" s="6" t="s">
        <v>42</v>
      </c>
      <c r="M1156" s="6" t="s">
        <v>69</v>
      </c>
    </row>
    <row r="1157" spans="1:13">
      <c r="A1157" s="6" t="s">
        <v>2251</v>
      </c>
      <c r="B1157" s="7">
        <v>46082</v>
      </c>
      <c r="C1157" s="6" t="s">
        <v>2252</v>
      </c>
      <c r="D1157" s="6" t="s">
        <v>77</v>
      </c>
      <c r="E1157" s="6" t="s">
        <v>28</v>
      </c>
      <c r="F1157" s="6" t="s">
        <v>29</v>
      </c>
      <c r="G1157" s="6" t="s">
        <v>30</v>
      </c>
      <c r="H1157" s="6">
        <v>3</v>
      </c>
      <c r="I1157" s="6" t="s">
        <v>113</v>
      </c>
      <c r="J1157" s="6" t="s">
        <v>138</v>
      </c>
      <c r="K1157" s="6">
        <v>520</v>
      </c>
      <c r="L1157" s="6" t="s">
        <v>42</v>
      </c>
      <c r="M1157" s="6" t="s">
        <v>34</v>
      </c>
    </row>
    <row r="1158" spans="1:13">
      <c r="A1158" s="6" t="s">
        <v>2253</v>
      </c>
      <c r="B1158" s="7">
        <v>46127</v>
      </c>
      <c r="C1158" s="6" t="s">
        <v>134</v>
      </c>
      <c r="D1158" s="6" t="s">
        <v>45</v>
      </c>
      <c r="E1158" s="6" t="s">
        <v>78</v>
      </c>
      <c r="F1158" s="6" t="s">
        <v>47</v>
      </c>
      <c r="G1158" s="6" t="s">
        <v>48</v>
      </c>
      <c r="H1158" s="6">
        <v>3</v>
      </c>
      <c r="I1158" s="6" t="s">
        <v>117</v>
      </c>
      <c r="J1158" s="6" t="s">
        <v>171</v>
      </c>
      <c r="K1158" s="6">
        <v>85</v>
      </c>
      <c r="L1158" s="6" t="s">
        <v>33</v>
      </c>
      <c r="M1158" s="6" t="s">
        <v>34</v>
      </c>
    </row>
    <row r="1159" spans="1:13">
      <c r="A1159" s="6" t="s">
        <v>2254</v>
      </c>
      <c r="B1159" s="7">
        <v>46192</v>
      </c>
      <c r="C1159" s="6" t="s">
        <v>967</v>
      </c>
      <c r="D1159" s="6" t="s">
        <v>105</v>
      </c>
      <c r="E1159" s="6" t="s">
        <v>28</v>
      </c>
      <c r="F1159" s="6" t="s">
        <v>29</v>
      </c>
      <c r="G1159" s="6" t="s">
        <v>30</v>
      </c>
      <c r="H1159" s="6">
        <v>2</v>
      </c>
      <c r="I1159" s="6" t="s">
        <v>265</v>
      </c>
      <c r="J1159" s="6" t="s">
        <v>167</v>
      </c>
      <c r="K1159" s="6" t="s">
        <v>41</v>
      </c>
      <c r="L1159" s="6" t="s">
        <v>42</v>
      </c>
      <c r="M1159" s="6" t="s">
        <v>34</v>
      </c>
    </row>
    <row r="1160" spans="1:13">
      <c r="A1160" s="6" t="s">
        <v>2255</v>
      </c>
      <c r="B1160" s="7">
        <v>46058</v>
      </c>
      <c r="C1160" s="6" t="s">
        <v>2256</v>
      </c>
      <c r="D1160" s="6" t="s">
        <v>105</v>
      </c>
      <c r="E1160" s="6" t="s">
        <v>78</v>
      </c>
      <c r="F1160" s="6" t="s">
        <v>38</v>
      </c>
      <c r="G1160" s="6" t="s">
        <v>39</v>
      </c>
      <c r="H1160" s="6">
        <v>1</v>
      </c>
      <c r="I1160" s="6" t="s">
        <v>73</v>
      </c>
      <c r="J1160" s="6" t="s">
        <v>73</v>
      </c>
      <c r="K1160" s="6">
        <v>520</v>
      </c>
      <c r="L1160" s="6" t="s">
        <v>42</v>
      </c>
      <c r="M1160" s="6" t="s">
        <v>69</v>
      </c>
    </row>
    <row r="1161" spans="1:13">
      <c r="A1161" s="6" t="s">
        <v>2257</v>
      </c>
      <c r="B1161" s="7">
        <v>46146</v>
      </c>
      <c r="C1161" s="6" t="s">
        <v>1286</v>
      </c>
      <c r="D1161" s="6" t="s">
        <v>45</v>
      </c>
      <c r="E1161" s="6" t="s">
        <v>52</v>
      </c>
      <c r="F1161" s="6" t="s">
        <v>58</v>
      </c>
      <c r="G1161" s="6" t="s">
        <v>59</v>
      </c>
      <c r="H1161" s="6">
        <v>2</v>
      </c>
      <c r="I1161" s="6" t="s">
        <v>79</v>
      </c>
      <c r="J1161" s="6" t="s">
        <v>2258</v>
      </c>
      <c r="K1161" s="6" t="s">
        <v>61</v>
      </c>
      <c r="L1161" s="6" t="s">
        <v>42</v>
      </c>
      <c r="M1161" s="6" t="s">
        <v>34</v>
      </c>
    </row>
    <row r="1162" spans="1:13">
      <c r="A1162" s="6" t="s">
        <v>2259</v>
      </c>
      <c r="B1162" s="7">
        <v>46187</v>
      </c>
      <c r="C1162" s="6" t="s">
        <v>1003</v>
      </c>
      <c r="D1162" s="6" t="s">
        <v>27</v>
      </c>
      <c r="E1162" s="6" t="s">
        <v>78</v>
      </c>
      <c r="F1162" s="6" t="s">
        <v>94</v>
      </c>
      <c r="G1162" s="6" t="s">
        <v>95</v>
      </c>
      <c r="H1162" s="6">
        <v>3</v>
      </c>
      <c r="I1162" s="6" t="s">
        <v>113</v>
      </c>
      <c r="J1162" s="6" t="s">
        <v>138</v>
      </c>
      <c r="K1162" s="6" t="s">
        <v>114</v>
      </c>
      <c r="L1162" s="6" t="s">
        <v>42</v>
      </c>
      <c r="M1162" s="6" t="s">
        <v>34</v>
      </c>
    </row>
    <row r="1163" spans="1:13">
      <c r="A1163" s="6" t="s">
        <v>2260</v>
      </c>
      <c r="B1163" s="7">
        <v>46104</v>
      </c>
      <c r="C1163" s="6" t="s">
        <v>2097</v>
      </c>
      <c r="D1163" s="6" t="s">
        <v>72</v>
      </c>
      <c r="E1163" s="6" t="s">
        <v>37</v>
      </c>
      <c r="F1163" s="6" t="s">
        <v>29</v>
      </c>
      <c r="G1163" s="6" t="s">
        <v>30</v>
      </c>
      <c r="H1163" s="6">
        <v>3</v>
      </c>
      <c r="I1163" s="6" t="s">
        <v>31</v>
      </c>
      <c r="J1163" s="6" t="s">
        <v>505</v>
      </c>
      <c r="K1163" s="6">
        <v>520</v>
      </c>
      <c r="L1163" s="6" t="s">
        <v>42</v>
      </c>
      <c r="M1163" s="6" t="s">
        <v>69</v>
      </c>
    </row>
    <row r="1164" spans="1:13">
      <c r="A1164" s="6" t="s">
        <v>2261</v>
      </c>
      <c r="B1164" s="7">
        <v>46060</v>
      </c>
      <c r="C1164" s="6" t="s">
        <v>2262</v>
      </c>
      <c r="D1164" s="6" t="s">
        <v>45</v>
      </c>
      <c r="E1164" s="6" t="s">
        <v>37</v>
      </c>
      <c r="F1164" s="6" t="s">
        <v>85</v>
      </c>
      <c r="G1164" s="6" t="s">
        <v>86</v>
      </c>
      <c r="H1164" s="6">
        <v>2</v>
      </c>
      <c r="I1164" s="6" t="s">
        <v>96</v>
      </c>
      <c r="J1164" s="6" t="s">
        <v>278</v>
      </c>
      <c r="K1164" s="6">
        <v>410</v>
      </c>
      <c r="L1164" s="6" t="s">
        <v>42</v>
      </c>
      <c r="M1164" s="6" t="s">
        <v>34</v>
      </c>
    </row>
    <row r="1165" spans="1:13">
      <c r="A1165" s="6" t="s">
        <v>2263</v>
      </c>
      <c r="B1165" s="7">
        <v>46129</v>
      </c>
      <c r="C1165" s="6" t="s">
        <v>979</v>
      </c>
      <c r="D1165" s="6" t="s">
        <v>27</v>
      </c>
      <c r="E1165" s="6" t="s">
        <v>37</v>
      </c>
      <c r="F1165" s="6" t="s">
        <v>58</v>
      </c>
      <c r="G1165" s="6" t="s">
        <v>59</v>
      </c>
      <c r="H1165" s="6">
        <v>2</v>
      </c>
      <c r="I1165" s="6" t="s">
        <v>265</v>
      </c>
      <c r="J1165" s="6" t="s">
        <v>167</v>
      </c>
      <c r="K1165" s="6">
        <v>380</v>
      </c>
      <c r="L1165" s="6" t="s">
        <v>33</v>
      </c>
      <c r="M1165" s="6" t="s">
        <v>34</v>
      </c>
    </row>
    <row r="1166" spans="1:13">
      <c r="A1166" s="6" t="s">
        <v>2264</v>
      </c>
      <c r="B1166" s="7">
        <v>46140</v>
      </c>
      <c r="C1166" s="6" t="s">
        <v>225</v>
      </c>
      <c r="D1166" s="6" t="s">
        <v>105</v>
      </c>
      <c r="E1166" s="6" t="s">
        <v>37</v>
      </c>
      <c r="F1166" s="6" t="s">
        <v>38</v>
      </c>
      <c r="G1166" s="6" t="s">
        <v>39</v>
      </c>
      <c r="H1166" s="6">
        <v>1</v>
      </c>
      <c r="I1166" s="6" t="s">
        <v>40</v>
      </c>
      <c r="J1166" s="6" t="s">
        <v>40</v>
      </c>
      <c r="K1166" s="6" t="s">
        <v>41</v>
      </c>
      <c r="L1166" s="6" t="s">
        <v>42</v>
      </c>
      <c r="M1166" s="6" t="s">
        <v>34</v>
      </c>
    </row>
    <row r="1167" spans="1:13">
      <c r="A1167" s="6" t="s">
        <v>2265</v>
      </c>
      <c r="B1167" s="7">
        <v>46071</v>
      </c>
      <c r="C1167" s="6" t="s">
        <v>1651</v>
      </c>
      <c r="D1167" s="6" t="s">
        <v>110</v>
      </c>
      <c r="E1167" s="6" t="s">
        <v>78</v>
      </c>
      <c r="F1167" s="6" t="s">
        <v>85</v>
      </c>
      <c r="G1167" s="6" t="s">
        <v>86</v>
      </c>
      <c r="H1167" s="6">
        <v>2</v>
      </c>
      <c r="I1167" s="6" t="s">
        <v>96</v>
      </c>
      <c r="J1167" s="6" t="s">
        <v>278</v>
      </c>
      <c r="K1167" s="6">
        <v>410</v>
      </c>
      <c r="L1167" s="6" t="s">
        <v>42</v>
      </c>
      <c r="M1167" s="6" t="s">
        <v>34</v>
      </c>
    </row>
    <row r="1168" spans="1:13">
      <c r="A1168" s="6" t="s">
        <v>2266</v>
      </c>
      <c r="B1168" s="7">
        <v>46166</v>
      </c>
      <c r="C1168" s="6" t="s">
        <v>1316</v>
      </c>
      <c r="D1168" s="6" t="s">
        <v>45</v>
      </c>
      <c r="E1168" s="6" t="s">
        <v>46</v>
      </c>
      <c r="F1168" s="6" t="s">
        <v>53</v>
      </c>
      <c r="G1168" s="6" t="s">
        <v>54</v>
      </c>
      <c r="H1168" s="6">
        <v>1</v>
      </c>
      <c r="I1168" s="6" t="s">
        <v>113</v>
      </c>
      <c r="J1168" s="6" t="s">
        <v>113</v>
      </c>
      <c r="K1168" s="6" t="s">
        <v>122</v>
      </c>
      <c r="L1168" s="6" t="s">
        <v>42</v>
      </c>
      <c r="M1168" s="6" t="s">
        <v>69</v>
      </c>
    </row>
    <row r="1169" spans="1:13">
      <c r="A1169" s="6" t="s">
        <v>2267</v>
      </c>
      <c r="B1169" s="7">
        <v>46127</v>
      </c>
      <c r="C1169" s="6" t="s">
        <v>1699</v>
      </c>
      <c r="D1169" s="6" t="s">
        <v>72</v>
      </c>
      <c r="E1169" s="6" t="s">
        <v>46</v>
      </c>
      <c r="F1169" s="6" t="s">
        <v>100</v>
      </c>
      <c r="G1169" s="6" t="s">
        <v>101</v>
      </c>
      <c r="H1169" s="6">
        <v>1</v>
      </c>
      <c r="I1169" s="6" t="s">
        <v>113</v>
      </c>
      <c r="J1169" s="6" t="s">
        <v>113</v>
      </c>
      <c r="K1169" s="6">
        <v>640</v>
      </c>
      <c r="L1169" s="6" t="s">
        <v>42</v>
      </c>
      <c r="M1169" s="6" t="s">
        <v>34</v>
      </c>
    </row>
    <row r="1170" spans="1:13">
      <c r="A1170" s="6" t="s">
        <v>2268</v>
      </c>
      <c r="B1170" s="7">
        <v>46330</v>
      </c>
      <c r="C1170" s="6" t="s">
        <v>1964</v>
      </c>
      <c r="D1170" s="6" t="s">
        <v>110</v>
      </c>
      <c r="E1170" s="6" t="s">
        <v>37</v>
      </c>
      <c r="F1170" s="6" t="s">
        <v>58</v>
      </c>
      <c r="G1170" s="6" t="s">
        <v>59</v>
      </c>
      <c r="H1170" s="6">
        <v>2</v>
      </c>
      <c r="I1170" s="6" t="s">
        <v>40</v>
      </c>
      <c r="J1170" s="6" t="s">
        <v>327</v>
      </c>
      <c r="K1170" s="6">
        <v>380</v>
      </c>
      <c r="L1170" s="6" t="s">
        <v>42</v>
      </c>
      <c r="M1170" s="6" t="s">
        <v>34</v>
      </c>
    </row>
    <row r="1171" spans="1:13">
      <c r="A1171" s="6" t="s">
        <v>2269</v>
      </c>
      <c r="B1171" s="7">
        <v>46076</v>
      </c>
      <c r="C1171" s="6" t="s">
        <v>2270</v>
      </c>
      <c r="D1171" s="6" t="s">
        <v>72</v>
      </c>
      <c r="E1171" s="6" t="s">
        <v>78</v>
      </c>
      <c r="F1171" s="6" t="s">
        <v>58</v>
      </c>
      <c r="G1171" s="6" t="s">
        <v>59</v>
      </c>
      <c r="H1171" s="6">
        <v>1</v>
      </c>
      <c r="I1171" s="6" t="s">
        <v>60</v>
      </c>
      <c r="J1171" s="6" t="s">
        <v>60</v>
      </c>
      <c r="K1171" s="6">
        <v>380</v>
      </c>
      <c r="L1171" s="6" t="s">
        <v>33</v>
      </c>
      <c r="M1171" s="6" t="s">
        <v>34</v>
      </c>
    </row>
    <row r="1172" spans="1:13">
      <c r="A1172" s="6" t="s">
        <v>2271</v>
      </c>
      <c r="B1172" s="6" t="s">
        <v>2272</v>
      </c>
      <c r="C1172" s="6" t="s">
        <v>2273</v>
      </c>
      <c r="D1172" s="6" t="s">
        <v>110</v>
      </c>
      <c r="E1172" s="6" t="s">
        <v>52</v>
      </c>
      <c r="F1172" s="6" t="s">
        <v>38</v>
      </c>
      <c r="G1172" s="6" t="s">
        <v>39</v>
      </c>
      <c r="H1172" s="6">
        <v>3</v>
      </c>
      <c r="I1172" s="6" t="s">
        <v>31</v>
      </c>
      <c r="J1172" s="6" t="s">
        <v>337</v>
      </c>
      <c r="K1172" s="6">
        <v>520</v>
      </c>
      <c r="L1172" s="6" t="s">
        <v>42</v>
      </c>
      <c r="M1172" s="6" t="s">
        <v>34</v>
      </c>
    </row>
    <row r="1173" spans="1:13">
      <c r="A1173" s="6" t="s">
        <v>2274</v>
      </c>
      <c r="B1173" s="7">
        <v>46057</v>
      </c>
      <c r="C1173" s="6" t="s">
        <v>2275</v>
      </c>
      <c r="D1173" s="6" t="s">
        <v>105</v>
      </c>
      <c r="E1173" s="6" t="s">
        <v>78</v>
      </c>
      <c r="F1173" s="6" t="s">
        <v>29</v>
      </c>
      <c r="G1173" s="6" t="s">
        <v>30</v>
      </c>
      <c r="H1173" s="6">
        <v>2</v>
      </c>
      <c r="I1173" s="6" t="s">
        <v>265</v>
      </c>
      <c r="J1173" s="6" t="s">
        <v>167</v>
      </c>
      <c r="K1173" s="6">
        <v>520</v>
      </c>
      <c r="L1173" s="6" t="s">
        <v>42</v>
      </c>
      <c r="M1173" s="6" t="s">
        <v>34</v>
      </c>
    </row>
    <row r="1174" spans="1:13">
      <c r="A1174" s="6" t="s">
        <v>2276</v>
      </c>
      <c r="B1174" s="6" t="s">
        <v>2277</v>
      </c>
      <c r="C1174" s="6" t="s">
        <v>2278</v>
      </c>
      <c r="D1174" s="6" t="s">
        <v>105</v>
      </c>
      <c r="E1174" s="6" t="s">
        <v>28</v>
      </c>
      <c r="F1174" s="6" t="s">
        <v>94</v>
      </c>
      <c r="G1174" s="6" t="s">
        <v>95</v>
      </c>
      <c r="H1174" s="6">
        <v>3</v>
      </c>
      <c r="I1174" s="6" t="s">
        <v>113</v>
      </c>
      <c r="J1174" s="6" t="s">
        <v>138</v>
      </c>
      <c r="K1174" s="6" t="s">
        <v>114</v>
      </c>
      <c r="L1174" s="6" t="s">
        <v>33</v>
      </c>
      <c r="M1174" s="6" t="s">
        <v>69</v>
      </c>
    </row>
    <row r="1175" spans="1:13">
      <c r="A1175" s="6" t="s">
        <v>2279</v>
      </c>
      <c r="B1175" s="7">
        <v>46150</v>
      </c>
      <c r="C1175" s="6" t="s">
        <v>2280</v>
      </c>
      <c r="D1175" s="6" t="s">
        <v>77</v>
      </c>
      <c r="E1175" s="6" t="s">
        <v>46</v>
      </c>
      <c r="F1175" s="6" t="s">
        <v>85</v>
      </c>
      <c r="G1175" s="6" t="s">
        <v>86</v>
      </c>
      <c r="H1175" s="6">
        <v>2</v>
      </c>
      <c r="I1175" s="6" t="s">
        <v>31</v>
      </c>
      <c r="J1175" s="6" t="s">
        <v>249</v>
      </c>
      <c r="K1175" s="6" t="s">
        <v>87</v>
      </c>
      <c r="L1175" s="6" t="s">
        <v>42</v>
      </c>
      <c r="M1175" s="6" t="s">
        <v>69</v>
      </c>
    </row>
    <row r="1176" spans="1:13">
      <c r="A1176" s="6" t="s">
        <v>2281</v>
      </c>
      <c r="B1176" s="7">
        <v>46044</v>
      </c>
      <c r="C1176" s="6" t="s">
        <v>1962</v>
      </c>
      <c r="D1176" s="6" t="s">
        <v>45</v>
      </c>
      <c r="E1176" s="6" t="s">
        <v>78</v>
      </c>
      <c r="F1176" s="6" t="s">
        <v>38</v>
      </c>
      <c r="G1176" s="6" t="s">
        <v>39</v>
      </c>
      <c r="H1176" s="6">
        <v>1</v>
      </c>
      <c r="I1176" s="6" t="s">
        <v>1004</v>
      </c>
      <c r="J1176" s="6" t="s">
        <v>265</v>
      </c>
      <c r="K1176" s="6">
        <v>520</v>
      </c>
      <c r="L1176" s="6" t="s">
        <v>42</v>
      </c>
      <c r="M1176" s="6" t="s">
        <v>69</v>
      </c>
    </row>
    <row r="1177" spans="1:13">
      <c r="A1177" s="6" t="s">
        <v>2282</v>
      </c>
      <c r="B1177" s="6" t="s">
        <v>2283</v>
      </c>
      <c r="C1177" s="6" t="s">
        <v>2284</v>
      </c>
      <c r="D1177" s="6" t="s">
        <v>110</v>
      </c>
      <c r="E1177" s="6" t="s">
        <v>52</v>
      </c>
      <c r="F1177" s="6" t="s">
        <v>85</v>
      </c>
      <c r="G1177" s="6" t="s">
        <v>86</v>
      </c>
      <c r="H1177" s="6">
        <v>1</v>
      </c>
      <c r="I1177" s="6" t="s">
        <v>82</v>
      </c>
      <c r="J1177" s="6" t="s">
        <v>82</v>
      </c>
      <c r="K1177" s="6" t="s">
        <v>87</v>
      </c>
      <c r="L1177" s="6" t="s">
        <v>42</v>
      </c>
      <c r="M1177" s="6" t="s">
        <v>34</v>
      </c>
    </row>
    <row r="1178" spans="1:13">
      <c r="A1178" s="6" t="s">
        <v>2285</v>
      </c>
      <c r="B1178" s="7">
        <v>46140</v>
      </c>
      <c r="C1178" s="6" t="s">
        <v>2087</v>
      </c>
      <c r="D1178" s="6" t="s">
        <v>105</v>
      </c>
      <c r="E1178" s="6" t="s">
        <v>28</v>
      </c>
      <c r="F1178" s="6" t="s">
        <v>38</v>
      </c>
      <c r="G1178" s="6" t="s">
        <v>39</v>
      </c>
      <c r="H1178" s="6">
        <v>2</v>
      </c>
      <c r="I1178" s="6" t="s">
        <v>660</v>
      </c>
      <c r="J1178" s="6" t="s">
        <v>259</v>
      </c>
      <c r="K1178" s="6" t="s">
        <v>41</v>
      </c>
      <c r="L1178" s="6" t="s">
        <v>42</v>
      </c>
      <c r="M1178" s="6" t="s">
        <v>34</v>
      </c>
    </row>
    <row r="1179" spans="1:13">
      <c r="A1179" s="6" t="s">
        <v>2286</v>
      </c>
      <c r="B1179" s="7">
        <v>46162</v>
      </c>
      <c r="C1179" s="6" t="s">
        <v>1323</v>
      </c>
      <c r="D1179" s="6" t="s">
        <v>77</v>
      </c>
      <c r="E1179" s="6" t="s">
        <v>46</v>
      </c>
      <c r="F1179" s="6" t="s">
        <v>94</v>
      </c>
      <c r="G1179" s="6" t="s">
        <v>95</v>
      </c>
      <c r="H1179" s="6">
        <v>-2</v>
      </c>
      <c r="I1179" s="6" t="s">
        <v>1013</v>
      </c>
      <c r="J1179" s="8" t="s">
        <v>292</v>
      </c>
      <c r="K1179" s="6" t="s">
        <v>114</v>
      </c>
      <c r="L1179" s="6" t="s">
        <v>33</v>
      </c>
      <c r="M1179" s="6" t="s">
        <v>69</v>
      </c>
    </row>
    <row r="1180" spans="1:13">
      <c r="A1180" s="6" t="s">
        <v>2287</v>
      </c>
      <c r="B1180" s="7">
        <v>46171</v>
      </c>
      <c r="C1180" s="6" t="s">
        <v>2288</v>
      </c>
      <c r="D1180" s="6" t="s">
        <v>127</v>
      </c>
      <c r="E1180" s="6" t="s">
        <v>78</v>
      </c>
      <c r="F1180" s="6" t="s">
        <v>85</v>
      </c>
      <c r="G1180" s="6" t="s">
        <v>86</v>
      </c>
      <c r="H1180" s="6">
        <v>2</v>
      </c>
      <c r="I1180" s="6" t="s">
        <v>67</v>
      </c>
      <c r="J1180" s="6" t="s">
        <v>204</v>
      </c>
      <c r="K1180" s="6" t="s">
        <v>87</v>
      </c>
      <c r="L1180" s="6" t="s">
        <v>42</v>
      </c>
      <c r="M1180" s="6" t="s">
        <v>34</v>
      </c>
    </row>
    <row r="1181" spans="1:13">
      <c r="A1181" s="6" t="s">
        <v>2289</v>
      </c>
      <c r="B1181" s="7">
        <v>46199</v>
      </c>
      <c r="C1181" s="6" t="s">
        <v>2067</v>
      </c>
      <c r="D1181" s="6" t="s">
        <v>45</v>
      </c>
      <c r="E1181" s="6" t="s">
        <v>52</v>
      </c>
      <c r="F1181" s="6" t="s">
        <v>94</v>
      </c>
      <c r="G1181" s="6" t="s">
        <v>95</v>
      </c>
      <c r="H1181" s="6">
        <v>1</v>
      </c>
      <c r="I1181" s="6" t="s">
        <v>31</v>
      </c>
      <c r="J1181" s="6" t="s">
        <v>31</v>
      </c>
      <c r="K1181" s="6" t="s">
        <v>114</v>
      </c>
      <c r="L1181" s="6" t="s">
        <v>42</v>
      </c>
      <c r="M1181" s="6" t="s">
        <v>34</v>
      </c>
    </row>
    <row r="1182" spans="1:13">
      <c r="A1182" s="6" t="s">
        <v>1187</v>
      </c>
      <c r="B1182" s="7">
        <v>46190</v>
      </c>
      <c r="C1182" s="6" t="s">
        <v>1188</v>
      </c>
      <c r="D1182" s="6" t="s">
        <v>127</v>
      </c>
      <c r="E1182" s="6" t="s">
        <v>78</v>
      </c>
      <c r="F1182" s="6" t="s">
        <v>38</v>
      </c>
      <c r="G1182" s="6" t="s">
        <v>39</v>
      </c>
      <c r="H1182" s="6">
        <v>3</v>
      </c>
      <c r="I1182" s="6" t="s">
        <v>79</v>
      </c>
      <c r="J1182" s="6" t="s">
        <v>216</v>
      </c>
      <c r="K1182" s="6" t="s">
        <v>41</v>
      </c>
      <c r="L1182" s="6" t="s">
        <v>42</v>
      </c>
      <c r="M1182" s="6" t="s">
        <v>34</v>
      </c>
    </row>
    <row r="1183" spans="1:13">
      <c r="A1183" s="6" t="s">
        <v>2290</v>
      </c>
      <c r="B1183" s="7">
        <v>46329</v>
      </c>
      <c r="C1183" s="6" t="s">
        <v>509</v>
      </c>
      <c r="D1183" s="6" t="s">
        <v>45</v>
      </c>
      <c r="E1183" s="6" t="s">
        <v>28</v>
      </c>
      <c r="F1183" s="6" t="s">
        <v>100</v>
      </c>
      <c r="G1183" s="6" t="s">
        <v>101</v>
      </c>
      <c r="H1183" s="6">
        <v>1</v>
      </c>
      <c r="I1183" s="6" t="s">
        <v>231</v>
      </c>
      <c r="J1183" s="6" t="s">
        <v>231</v>
      </c>
      <c r="K1183" s="6">
        <v>640</v>
      </c>
      <c r="L1183" s="6" t="s">
        <v>42</v>
      </c>
      <c r="M1183" s="6" t="s">
        <v>34</v>
      </c>
    </row>
    <row r="1184" spans="1:13">
      <c r="A1184" s="6" t="s">
        <v>2291</v>
      </c>
      <c r="B1184" s="6" t="s">
        <v>1450</v>
      </c>
      <c r="C1184" s="6" t="s">
        <v>2292</v>
      </c>
      <c r="D1184" s="6" t="s">
        <v>45</v>
      </c>
      <c r="E1184" s="6" t="s">
        <v>28</v>
      </c>
      <c r="F1184" s="6" t="s">
        <v>38</v>
      </c>
      <c r="G1184" s="6" t="s">
        <v>39</v>
      </c>
      <c r="H1184" s="6">
        <v>2</v>
      </c>
      <c r="I1184" s="6" t="s">
        <v>82</v>
      </c>
      <c r="J1184" s="6" t="s">
        <v>297</v>
      </c>
      <c r="K1184" s="6">
        <v>520</v>
      </c>
      <c r="L1184" s="6" t="s">
        <v>42</v>
      </c>
      <c r="M1184" s="6" t="s">
        <v>34</v>
      </c>
    </row>
    <row r="1185" spans="1:13">
      <c r="A1185" s="6" t="s">
        <v>2293</v>
      </c>
      <c r="B1185" s="7">
        <v>46166</v>
      </c>
      <c r="C1185" s="6" t="s">
        <v>659</v>
      </c>
      <c r="D1185" s="6" t="s">
        <v>110</v>
      </c>
      <c r="E1185" s="6" t="s">
        <v>78</v>
      </c>
      <c r="F1185" s="6" t="s">
        <v>53</v>
      </c>
      <c r="G1185" s="6" t="s">
        <v>54</v>
      </c>
      <c r="H1185" s="6">
        <v>2</v>
      </c>
      <c r="I1185" s="6" t="s">
        <v>181</v>
      </c>
      <c r="J1185" s="6" t="s">
        <v>163</v>
      </c>
      <c r="K1185" s="6" t="s">
        <v>122</v>
      </c>
      <c r="L1185" s="6" t="s">
        <v>42</v>
      </c>
      <c r="M1185" s="6" t="s">
        <v>69</v>
      </c>
    </row>
    <row r="1186" spans="1:13">
      <c r="A1186" s="6" t="s">
        <v>2294</v>
      </c>
      <c r="B1186" s="7">
        <v>46075</v>
      </c>
      <c r="C1186" s="6" t="s">
        <v>1011</v>
      </c>
      <c r="D1186" s="6" t="s">
        <v>45</v>
      </c>
      <c r="E1186" s="6" t="s">
        <v>28</v>
      </c>
      <c r="F1186" s="6" t="s">
        <v>53</v>
      </c>
      <c r="G1186" s="6" t="s">
        <v>54</v>
      </c>
      <c r="H1186" s="6">
        <v>2</v>
      </c>
      <c r="I1186" s="6" t="s">
        <v>82</v>
      </c>
      <c r="J1186" s="6" t="s">
        <v>297</v>
      </c>
      <c r="K1186" s="6">
        <v>190</v>
      </c>
      <c r="L1186" s="6" t="s">
        <v>42</v>
      </c>
      <c r="M1186" s="6" t="s">
        <v>34</v>
      </c>
    </row>
    <row r="1187" spans="1:13">
      <c r="A1187" s="6" t="s">
        <v>2295</v>
      </c>
      <c r="B1187" s="7">
        <v>46097</v>
      </c>
      <c r="C1187" s="6" t="s">
        <v>520</v>
      </c>
      <c r="D1187" s="6" t="s">
        <v>27</v>
      </c>
      <c r="E1187" s="6" t="s">
        <v>78</v>
      </c>
      <c r="F1187" s="6" t="s">
        <v>58</v>
      </c>
      <c r="G1187" s="6" t="s">
        <v>59</v>
      </c>
      <c r="H1187" s="6">
        <v>1</v>
      </c>
      <c r="I1187" s="6" t="s">
        <v>79</v>
      </c>
      <c r="J1187" s="6" t="s">
        <v>79</v>
      </c>
      <c r="K1187" s="6">
        <v>380</v>
      </c>
      <c r="L1187" s="6" t="s">
        <v>42</v>
      </c>
      <c r="M1187" s="6" t="s">
        <v>34</v>
      </c>
    </row>
    <row r="1188" spans="1:13">
      <c r="A1188" s="6" t="s">
        <v>2296</v>
      </c>
      <c r="B1188" s="7">
        <v>46189</v>
      </c>
      <c r="C1188" s="6" t="s">
        <v>1962</v>
      </c>
      <c r="D1188" s="6" t="s">
        <v>127</v>
      </c>
      <c r="E1188" s="6" t="s">
        <v>37</v>
      </c>
      <c r="F1188" s="6" t="s">
        <v>58</v>
      </c>
      <c r="G1188" s="6" t="s">
        <v>59</v>
      </c>
      <c r="H1188" s="6">
        <v>2</v>
      </c>
      <c r="I1188" s="6" t="s">
        <v>40</v>
      </c>
      <c r="J1188" s="6" t="s">
        <v>327</v>
      </c>
      <c r="K1188" s="6" t="s">
        <v>61</v>
      </c>
      <c r="L1188" s="6" t="s">
        <v>33</v>
      </c>
      <c r="M1188" s="6" t="s">
        <v>34</v>
      </c>
    </row>
    <row r="1189" spans="1:13">
      <c r="A1189" s="6" t="s">
        <v>2297</v>
      </c>
      <c r="B1189" s="7">
        <v>46187</v>
      </c>
      <c r="C1189" s="6" t="s">
        <v>1053</v>
      </c>
      <c r="D1189" s="6" t="s">
        <v>57</v>
      </c>
      <c r="E1189" s="6" t="s">
        <v>52</v>
      </c>
      <c r="F1189" s="6" t="s">
        <v>85</v>
      </c>
      <c r="G1189" s="6" t="s">
        <v>86</v>
      </c>
      <c r="H1189" s="6">
        <v>3</v>
      </c>
      <c r="I1189" s="6" t="s">
        <v>755</v>
      </c>
      <c r="J1189" s="6" t="s">
        <v>171</v>
      </c>
      <c r="K1189" s="6" t="s">
        <v>87</v>
      </c>
      <c r="L1189" s="6" t="s">
        <v>42</v>
      </c>
      <c r="M1189" s="6" t="s">
        <v>69</v>
      </c>
    </row>
    <row r="1190" spans="1:13">
      <c r="A1190" s="6" t="s">
        <v>2298</v>
      </c>
      <c r="B1190" s="7">
        <v>46192</v>
      </c>
      <c r="C1190" s="6" t="s">
        <v>1307</v>
      </c>
      <c r="D1190" s="6" t="s">
        <v>57</v>
      </c>
      <c r="E1190" s="6" t="s">
        <v>78</v>
      </c>
      <c r="F1190" s="6" t="s">
        <v>85</v>
      </c>
      <c r="G1190" s="6" t="s">
        <v>86</v>
      </c>
      <c r="H1190" s="6">
        <v>2</v>
      </c>
      <c r="I1190" s="6" t="s">
        <v>117</v>
      </c>
      <c r="J1190" s="6" t="s">
        <v>118</v>
      </c>
      <c r="K1190" s="6" t="s">
        <v>87</v>
      </c>
      <c r="L1190" s="6" t="s">
        <v>42</v>
      </c>
      <c r="M1190" s="6" t="s">
        <v>34</v>
      </c>
    </row>
    <row r="1191" spans="1:13">
      <c r="A1191" s="6" t="s">
        <v>2299</v>
      </c>
      <c r="B1191" s="7">
        <v>46066</v>
      </c>
      <c r="C1191" s="6" t="s">
        <v>2300</v>
      </c>
      <c r="D1191" s="6" t="s">
        <v>110</v>
      </c>
      <c r="E1191" s="6" t="s">
        <v>52</v>
      </c>
      <c r="F1191" s="6" t="s">
        <v>53</v>
      </c>
      <c r="G1191" s="6" t="s">
        <v>54</v>
      </c>
      <c r="H1191" s="6">
        <v>1</v>
      </c>
      <c r="I1191" s="6" t="s">
        <v>31</v>
      </c>
      <c r="J1191" s="6" t="s">
        <v>31</v>
      </c>
      <c r="K1191" s="6">
        <v>190</v>
      </c>
      <c r="L1191" s="6" t="s">
        <v>42</v>
      </c>
      <c r="M1191" s="6" t="s">
        <v>34</v>
      </c>
    </row>
    <row r="1192" spans="1:13">
      <c r="A1192" s="6" t="s">
        <v>2301</v>
      </c>
      <c r="B1192" s="7">
        <v>46127</v>
      </c>
      <c r="C1192" s="6" t="s">
        <v>357</v>
      </c>
      <c r="D1192" s="6" t="s">
        <v>45</v>
      </c>
      <c r="E1192" s="6" t="s">
        <v>28</v>
      </c>
      <c r="F1192" s="6" t="s">
        <v>47</v>
      </c>
      <c r="G1192" s="6" t="s">
        <v>48</v>
      </c>
      <c r="H1192" s="6">
        <v>1</v>
      </c>
      <c r="I1192" s="6" t="s">
        <v>265</v>
      </c>
      <c r="J1192" s="6" t="s">
        <v>265</v>
      </c>
      <c r="K1192" s="6">
        <v>85</v>
      </c>
      <c r="L1192" s="6" t="s">
        <v>42</v>
      </c>
      <c r="M1192" s="6" t="s">
        <v>34</v>
      </c>
    </row>
    <row r="1193" spans="1:13">
      <c r="A1193" s="6" t="s">
        <v>2302</v>
      </c>
      <c r="B1193" s="7">
        <v>46203</v>
      </c>
      <c r="C1193" s="6" t="s">
        <v>2303</v>
      </c>
      <c r="D1193" s="6" t="s">
        <v>72</v>
      </c>
      <c r="E1193" s="6" t="s">
        <v>28</v>
      </c>
      <c r="F1193" s="6" t="s">
        <v>53</v>
      </c>
      <c r="G1193" s="6" t="s">
        <v>54</v>
      </c>
      <c r="H1193" s="6">
        <v>1</v>
      </c>
      <c r="I1193" s="6" t="s">
        <v>181</v>
      </c>
      <c r="J1193" s="6" t="s">
        <v>181</v>
      </c>
      <c r="K1193" s="6" t="s">
        <v>122</v>
      </c>
      <c r="L1193" s="6" t="s">
        <v>42</v>
      </c>
      <c r="M1193" s="6" t="s">
        <v>34</v>
      </c>
    </row>
    <row r="1194" spans="1:13">
      <c r="A1194" s="6" t="s">
        <v>2304</v>
      </c>
      <c r="B1194" s="7">
        <v>46103</v>
      </c>
      <c r="C1194" s="6" t="s">
        <v>894</v>
      </c>
      <c r="D1194" s="6" t="s">
        <v>57</v>
      </c>
      <c r="E1194" s="6" t="s">
        <v>46</v>
      </c>
      <c r="F1194" s="6" t="s">
        <v>38</v>
      </c>
      <c r="G1194" s="6" t="s">
        <v>39</v>
      </c>
      <c r="H1194" s="6">
        <v>2</v>
      </c>
      <c r="I1194" s="6" t="s">
        <v>31</v>
      </c>
      <c r="J1194" s="6" t="s">
        <v>249</v>
      </c>
      <c r="K1194" s="6">
        <v>520</v>
      </c>
      <c r="L1194" s="6" t="s">
        <v>42</v>
      </c>
      <c r="M1194" s="6" t="s">
        <v>34</v>
      </c>
    </row>
    <row r="1195" spans="1:13">
      <c r="A1195" s="6" t="s">
        <v>2305</v>
      </c>
      <c r="B1195" s="7">
        <v>46086</v>
      </c>
      <c r="C1195" s="6" t="s">
        <v>1865</v>
      </c>
      <c r="D1195" s="6" t="s">
        <v>57</v>
      </c>
      <c r="E1195" s="6" t="s">
        <v>28</v>
      </c>
      <c r="F1195" s="6" t="s">
        <v>53</v>
      </c>
      <c r="G1195" s="6" t="s">
        <v>54</v>
      </c>
      <c r="H1195" s="6">
        <v>3</v>
      </c>
      <c r="I1195" s="6" t="s">
        <v>143</v>
      </c>
      <c r="J1195" s="6" t="s">
        <v>579</v>
      </c>
      <c r="K1195" s="6">
        <v>190</v>
      </c>
      <c r="L1195" s="6" t="s">
        <v>42</v>
      </c>
      <c r="M1195" s="6" t="s">
        <v>69</v>
      </c>
    </row>
    <row r="1196" spans="1:13">
      <c r="A1196" s="6" t="s">
        <v>2306</v>
      </c>
      <c r="B1196" s="7">
        <v>46170</v>
      </c>
      <c r="C1196" s="6" t="s">
        <v>914</v>
      </c>
      <c r="D1196" s="6" t="s">
        <v>27</v>
      </c>
      <c r="E1196" s="6" t="s">
        <v>52</v>
      </c>
      <c r="F1196" s="6" t="s">
        <v>100</v>
      </c>
      <c r="G1196" s="6" t="s">
        <v>101</v>
      </c>
      <c r="H1196" s="6">
        <v>1</v>
      </c>
      <c r="I1196" s="6" t="s">
        <v>113</v>
      </c>
      <c r="J1196" s="6" t="s">
        <v>712</v>
      </c>
      <c r="K1196" s="6" t="s">
        <v>119</v>
      </c>
      <c r="L1196" s="6" t="s">
        <v>42</v>
      </c>
      <c r="M1196" s="6" t="s">
        <v>34</v>
      </c>
    </row>
    <row r="1197" spans="1:13">
      <c r="A1197" s="6" t="s">
        <v>2307</v>
      </c>
      <c r="B1197" s="7">
        <v>46040</v>
      </c>
      <c r="C1197" s="6" t="s">
        <v>2308</v>
      </c>
      <c r="D1197" s="6" t="s">
        <v>105</v>
      </c>
      <c r="E1197" s="6" t="s">
        <v>28</v>
      </c>
      <c r="F1197" s="6" t="s">
        <v>58</v>
      </c>
      <c r="G1197" s="6" t="s">
        <v>59</v>
      </c>
      <c r="H1197" s="6">
        <v>2</v>
      </c>
      <c r="I1197" s="6" t="s">
        <v>147</v>
      </c>
      <c r="J1197" s="6" t="s">
        <v>175</v>
      </c>
      <c r="K1197" s="6">
        <v>380</v>
      </c>
      <c r="L1197" s="6" t="s">
        <v>33</v>
      </c>
      <c r="M1197" s="6" t="s">
        <v>34</v>
      </c>
    </row>
    <row r="1198" spans="1:13">
      <c r="A1198" s="6" t="s">
        <v>2309</v>
      </c>
      <c r="B1198" s="7">
        <v>46129</v>
      </c>
      <c r="C1198" s="6" t="s">
        <v>2310</v>
      </c>
      <c r="D1198" s="6" t="s">
        <v>64</v>
      </c>
      <c r="E1198" s="6" t="s">
        <v>78</v>
      </c>
      <c r="F1198" s="6" t="s">
        <v>58</v>
      </c>
      <c r="G1198" s="6" t="s">
        <v>59</v>
      </c>
      <c r="H1198" s="6">
        <v>2</v>
      </c>
      <c r="I1198" s="6" t="s">
        <v>79</v>
      </c>
      <c r="J1198" s="6" t="s">
        <v>259</v>
      </c>
      <c r="K1198" s="6">
        <v>380</v>
      </c>
      <c r="L1198" s="6" t="s">
        <v>42</v>
      </c>
      <c r="M1198" s="6" t="s">
        <v>34</v>
      </c>
    </row>
    <row r="1199" spans="1:13">
      <c r="A1199" s="6" t="s">
        <v>2311</v>
      </c>
      <c r="B1199" s="6" t="s">
        <v>2312</v>
      </c>
      <c r="C1199" s="6" t="s">
        <v>583</v>
      </c>
      <c r="D1199" s="6" t="s">
        <v>127</v>
      </c>
      <c r="E1199" s="6" t="s">
        <v>37</v>
      </c>
      <c r="F1199" s="6" t="s">
        <v>100</v>
      </c>
      <c r="G1199" s="6" t="s">
        <v>101</v>
      </c>
      <c r="H1199" s="6">
        <v>1</v>
      </c>
      <c r="I1199" s="6" t="s">
        <v>90</v>
      </c>
      <c r="J1199" s="6" t="s">
        <v>90</v>
      </c>
      <c r="K1199" s="6" t="s">
        <v>119</v>
      </c>
      <c r="L1199" s="6" t="s">
        <v>42</v>
      </c>
      <c r="M1199" s="6" t="s">
        <v>69</v>
      </c>
    </row>
    <row r="1200" spans="1:13">
      <c r="A1200" s="6" t="s">
        <v>2313</v>
      </c>
      <c r="B1200" s="7">
        <v>46154</v>
      </c>
      <c r="C1200" s="6" t="s">
        <v>1144</v>
      </c>
      <c r="D1200" s="6" t="s">
        <v>127</v>
      </c>
      <c r="E1200" s="6" t="s">
        <v>28</v>
      </c>
      <c r="F1200" s="6" t="s">
        <v>47</v>
      </c>
      <c r="G1200" s="6" t="s">
        <v>48</v>
      </c>
      <c r="H1200" s="6">
        <v>3</v>
      </c>
      <c r="I1200" s="6" t="s">
        <v>90</v>
      </c>
      <c r="J1200" s="6" t="s">
        <v>102</v>
      </c>
      <c r="K1200" s="6" t="s">
        <v>49</v>
      </c>
      <c r="L1200" s="6" t="s">
        <v>33</v>
      </c>
      <c r="M1200" s="6" t="s">
        <v>69</v>
      </c>
    </row>
    <row r="1201" spans="1:13">
      <c r="A1201" s="6" t="s">
        <v>2314</v>
      </c>
      <c r="B1201" s="7">
        <v>46157</v>
      </c>
      <c r="C1201" s="6" t="s">
        <v>2315</v>
      </c>
      <c r="D1201" s="6" t="s">
        <v>45</v>
      </c>
      <c r="E1201" s="6" t="s">
        <v>37</v>
      </c>
      <c r="F1201" s="6" t="s">
        <v>29</v>
      </c>
      <c r="G1201" s="6" t="s">
        <v>30</v>
      </c>
      <c r="H1201" s="6">
        <v>1</v>
      </c>
      <c r="I1201" s="6" t="s">
        <v>143</v>
      </c>
      <c r="J1201" s="6" t="s">
        <v>143</v>
      </c>
      <c r="K1201" s="6" t="s">
        <v>41</v>
      </c>
      <c r="L1201" s="6" t="s">
        <v>42</v>
      </c>
      <c r="M1201" s="6" t="s">
        <v>69</v>
      </c>
    </row>
    <row r="1202" spans="1:13">
      <c r="A1202" s="6" t="s">
        <v>2316</v>
      </c>
      <c r="B1202" s="7">
        <v>46052</v>
      </c>
      <c r="C1202" s="6" t="s">
        <v>2317</v>
      </c>
      <c r="D1202" s="6" t="s">
        <v>57</v>
      </c>
      <c r="E1202" s="6" t="s">
        <v>46</v>
      </c>
      <c r="F1202" s="6" t="s">
        <v>47</v>
      </c>
      <c r="G1202" s="6" t="s">
        <v>48</v>
      </c>
      <c r="H1202" s="6">
        <v>2</v>
      </c>
      <c r="I1202" s="6" t="s">
        <v>147</v>
      </c>
      <c r="J1202" s="6" t="s">
        <v>175</v>
      </c>
      <c r="K1202" s="6">
        <v>85</v>
      </c>
      <c r="L1202" s="6" t="s">
        <v>42</v>
      </c>
      <c r="M1202" s="6" t="s">
        <v>34</v>
      </c>
    </row>
    <row r="1203" spans="1:13">
      <c r="A1203" s="6" t="s">
        <v>2318</v>
      </c>
      <c r="B1203" s="7">
        <v>46122</v>
      </c>
      <c r="C1203" s="6" t="s">
        <v>1637</v>
      </c>
      <c r="D1203" s="6" t="s">
        <v>110</v>
      </c>
      <c r="E1203" s="6" t="s">
        <v>37</v>
      </c>
      <c r="F1203" s="6" t="s">
        <v>85</v>
      </c>
      <c r="G1203" s="6" t="s">
        <v>86</v>
      </c>
      <c r="H1203" s="6">
        <v>1</v>
      </c>
      <c r="I1203" s="6" t="s">
        <v>143</v>
      </c>
      <c r="J1203" s="6" t="s">
        <v>143</v>
      </c>
      <c r="K1203" s="6">
        <v>410</v>
      </c>
      <c r="L1203" s="6" t="s">
        <v>33</v>
      </c>
      <c r="M1203" s="6" t="s">
        <v>34</v>
      </c>
    </row>
    <row r="1204" spans="1:13">
      <c r="A1204" s="6" t="s">
        <v>2319</v>
      </c>
      <c r="B1204" s="7">
        <v>46070</v>
      </c>
      <c r="C1204" s="6" t="s">
        <v>2320</v>
      </c>
      <c r="D1204" s="6" t="s">
        <v>45</v>
      </c>
      <c r="E1204" s="6" t="s">
        <v>78</v>
      </c>
      <c r="F1204" s="6" t="s">
        <v>29</v>
      </c>
      <c r="G1204" s="6" t="s">
        <v>30</v>
      </c>
      <c r="H1204" s="6">
        <v>1</v>
      </c>
      <c r="I1204" s="6" t="s">
        <v>656</v>
      </c>
      <c r="J1204" s="6" t="s">
        <v>113</v>
      </c>
      <c r="K1204" s="6">
        <v>520</v>
      </c>
      <c r="L1204" s="6" t="s">
        <v>42</v>
      </c>
      <c r="M1204" s="6" t="s">
        <v>69</v>
      </c>
    </row>
    <row r="1205" spans="1:13">
      <c r="A1205" s="6" t="s">
        <v>2321</v>
      </c>
      <c r="B1205" s="7">
        <v>46144</v>
      </c>
      <c r="C1205" s="6" t="s">
        <v>2222</v>
      </c>
      <c r="D1205" s="6" t="s">
        <v>110</v>
      </c>
      <c r="E1205" s="6" t="s">
        <v>37</v>
      </c>
      <c r="F1205" s="6" t="s">
        <v>47</v>
      </c>
      <c r="G1205" s="6" t="s">
        <v>48</v>
      </c>
      <c r="H1205" s="6">
        <v>1</v>
      </c>
      <c r="I1205" s="6" t="s">
        <v>40</v>
      </c>
      <c r="J1205" s="6" t="s">
        <v>40</v>
      </c>
      <c r="K1205" s="6">
        <v>85</v>
      </c>
      <c r="L1205" s="6" t="s">
        <v>42</v>
      </c>
      <c r="M1205" s="6" t="s">
        <v>34</v>
      </c>
    </row>
    <row r="1206" spans="1:13">
      <c r="A1206" s="6" t="s">
        <v>2322</v>
      </c>
      <c r="B1206" s="6" t="s">
        <v>2323</v>
      </c>
      <c r="C1206" s="6" t="s">
        <v>1685</v>
      </c>
      <c r="D1206" s="6" t="s">
        <v>45</v>
      </c>
      <c r="E1206" s="6" t="s">
        <v>37</v>
      </c>
      <c r="F1206" s="6" t="s">
        <v>38</v>
      </c>
      <c r="G1206" s="6" t="s">
        <v>39</v>
      </c>
      <c r="H1206" s="6">
        <v>1</v>
      </c>
      <c r="I1206" s="6" t="s">
        <v>231</v>
      </c>
      <c r="J1206" s="6" t="s">
        <v>231</v>
      </c>
      <c r="K1206" s="6">
        <v>520</v>
      </c>
      <c r="L1206" s="6" t="s">
        <v>33</v>
      </c>
      <c r="M1206" s="6" t="s">
        <v>34</v>
      </c>
    </row>
    <row r="1207" spans="1:13">
      <c r="A1207" s="6" t="s">
        <v>2324</v>
      </c>
      <c r="B1207" s="7">
        <v>46078</v>
      </c>
      <c r="C1207" s="6" t="s">
        <v>526</v>
      </c>
      <c r="D1207" s="6" t="s">
        <v>127</v>
      </c>
      <c r="E1207" s="6" t="s">
        <v>52</v>
      </c>
      <c r="F1207" s="6" t="s">
        <v>85</v>
      </c>
      <c r="G1207" s="6" t="s">
        <v>86</v>
      </c>
      <c r="H1207" s="6">
        <v>1</v>
      </c>
      <c r="I1207" s="6" t="s">
        <v>147</v>
      </c>
      <c r="J1207" s="6" t="s">
        <v>147</v>
      </c>
      <c r="K1207" s="6">
        <v>410</v>
      </c>
      <c r="L1207" s="6" t="s">
        <v>33</v>
      </c>
      <c r="M1207" s="6" t="s">
        <v>69</v>
      </c>
    </row>
    <row r="1208" spans="1:13">
      <c r="A1208" s="6" t="s">
        <v>2325</v>
      </c>
      <c r="B1208" s="7">
        <v>46181</v>
      </c>
      <c r="C1208" s="6" t="s">
        <v>2326</v>
      </c>
      <c r="D1208" s="6" t="s">
        <v>110</v>
      </c>
      <c r="E1208" s="6" t="s">
        <v>37</v>
      </c>
      <c r="F1208" s="6" t="s">
        <v>85</v>
      </c>
      <c r="G1208" s="6" t="s">
        <v>86</v>
      </c>
      <c r="H1208" s="6">
        <v>2</v>
      </c>
      <c r="I1208" s="6" t="s">
        <v>113</v>
      </c>
      <c r="J1208" s="6" t="s">
        <v>192</v>
      </c>
      <c r="K1208" s="6" t="s">
        <v>87</v>
      </c>
      <c r="L1208" s="6" t="s">
        <v>42</v>
      </c>
      <c r="M1208" s="6" t="s">
        <v>34</v>
      </c>
    </row>
    <row r="1209" spans="1:13">
      <c r="A1209" s="6" t="s">
        <v>2327</v>
      </c>
      <c r="B1209" s="7">
        <v>46098</v>
      </c>
      <c r="C1209" s="6" t="s">
        <v>1460</v>
      </c>
      <c r="D1209" s="6" t="s">
        <v>45</v>
      </c>
      <c r="E1209" s="6" t="s">
        <v>28</v>
      </c>
      <c r="F1209" s="6" t="s">
        <v>38</v>
      </c>
      <c r="G1209" s="6" t="s">
        <v>39</v>
      </c>
      <c r="H1209" s="6">
        <v>3</v>
      </c>
      <c r="I1209" s="6" t="s">
        <v>31</v>
      </c>
      <c r="J1209" s="6" t="s">
        <v>337</v>
      </c>
      <c r="K1209" s="6">
        <v>520</v>
      </c>
      <c r="L1209" s="6" t="s">
        <v>42</v>
      </c>
      <c r="M1209" s="6" t="s">
        <v>34</v>
      </c>
    </row>
    <row r="1210" spans="1:13">
      <c r="A1210" s="6" t="s">
        <v>2328</v>
      </c>
      <c r="B1210" s="7">
        <v>46105</v>
      </c>
      <c r="C1210" s="6" t="s">
        <v>2329</v>
      </c>
      <c r="D1210" s="6" t="s">
        <v>105</v>
      </c>
      <c r="E1210" s="6" t="s">
        <v>52</v>
      </c>
      <c r="F1210" s="6" t="s">
        <v>53</v>
      </c>
      <c r="G1210" s="6" t="s">
        <v>54</v>
      </c>
      <c r="H1210" s="6">
        <v>1</v>
      </c>
      <c r="I1210" s="6" t="s">
        <v>619</v>
      </c>
      <c r="J1210" s="6" t="s">
        <v>143</v>
      </c>
      <c r="K1210" s="6">
        <v>190</v>
      </c>
      <c r="L1210" s="6" t="s">
        <v>42</v>
      </c>
      <c r="M1210" s="6" t="s">
        <v>34</v>
      </c>
    </row>
    <row r="1211" spans="1:13">
      <c r="A1211" s="6" t="s">
        <v>2330</v>
      </c>
      <c r="B1211" s="7">
        <v>46076</v>
      </c>
      <c r="C1211" s="6" t="s">
        <v>2331</v>
      </c>
      <c r="D1211" s="6" t="s">
        <v>27</v>
      </c>
      <c r="E1211" s="6" t="s">
        <v>46</v>
      </c>
      <c r="F1211" s="6" t="s">
        <v>38</v>
      </c>
      <c r="G1211" s="6" t="s">
        <v>39</v>
      </c>
      <c r="H1211" s="6">
        <v>1</v>
      </c>
      <c r="I1211" s="6" t="s">
        <v>79</v>
      </c>
      <c r="J1211" s="6" t="s">
        <v>79</v>
      </c>
      <c r="K1211" s="6">
        <v>520</v>
      </c>
      <c r="L1211" s="6" t="s">
        <v>42</v>
      </c>
      <c r="M1211" s="6" t="s">
        <v>69</v>
      </c>
    </row>
    <row r="1212" spans="1:13">
      <c r="A1212" s="6" t="s">
        <v>2332</v>
      </c>
      <c r="B1212" s="7">
        <v>46129</v>
      </c>
      <c r="C1212" s="6" t="s">
        <v>2333</v>
      </c>
      <c r="D1212" s="6" t="s">
        <v>110</v>
      </c>
      <c r="E1212" s="6" t="s">
        <v>46</v>
      </c>
      <c r="F1212" s="6" t="s">
        <v>29</v>
      </c>
      <c r="G1212" s="6" t="s">
        <v>30</v>
      </c>
      <c r="H1212" s="6">
        <v>2</v>
      </c>
      <c r="I1212" s="6" t="s">
        <v>117</v>
      </c>
      <c r="J1212" s="6" t="s">
        <v>118</v>
      </c>
      <c r="K1212" s="6">
        <v>520</v>
      </c>
      <c r="L1212" s="6" t="s">
        <v>42</v>
      </c>
      <c r="M1212" s="6" t="s">
        <v>34</v>
      </c>
    </row>
    <row r="1213" spans="1:13">
      <c r="A1213" s="6" t="s">
        <v>2334</v>
      </c>
      <c r="B1213" s="7">
        <v>46202</v>
      </c>
      <c r="C1213" s="6" t="s">
        <v>1039</v>
      </c>
      <c r="D1213" s="6" t="s">
        <v>45</v>
      </c>
      <c r="E1213" s="6" t="s">
        <v>37</v>
      </c>
      <c r="F1213" s="6" t="s">
        <v>38</v>
      </c>
      <c r="G1213" s="6" t="s">
        <v>39</v>
      </c>
      <c r="H1213" s="6">
        <v>3</v>
      </c>
      <c r="I1213" s="6" t="s">
        <v>96</v>
      </c>
      <c r="J1213" s="6" t="s">
        <v>97</v>
      </c>
      <c r="K1213" s="6" t="s">
        <v>41</v>
      </c>
      <c r="L1213" s="6" t="s">
        <v>42</v>
      </c>
      <c r="M1213" s="6" t="s">
        <v>34</v>
      </c>
    </row>
    <row r="1214" spans="1:13">
      <c r="A1214" s="6" t="s">
        <v>2056</v>
      </c>
      <c r="B1214" s="7">
        <v>46130</v>
      </c>
      <c r="C1214" s="6" t="s">
        <v>799</v>
      </c>
      <c r="D1214" s="6" t="s">
        <v>45</v>
      </c>
      <c r="E1214" s="6" t="s">
        <v>78</v>
      </c>
      <c r="F1214" s="6" t="s">
        <v>100</v>
      </c>
      <c r="G1214" s="6" t="s">
        <v>101</v>
      </c>
      <c r="H1214" s="6">
        <v>1</v>
      </c>
      <c r="I1214" s="6" t="s">
        <v>117</v>
      </c>
      <c r="J1214" s="6" t="s">
        <v>117</v>
      </c>
      <c r="K1214" s="6">
        <v>640</v>
      </c>
      <c r="L1214" s="6" t="s">
        <v>42</v>
      </c>
      <c r="M1214" s="6" t="s">
        <v>34</v>
      </c>
    </row>
    <row r="1215" spans="1:13">
      <c r="A1215" s="6" t="s">
        <v>2335</v>
      </c>
      <c r="B1215" s="7">
        <v>46088</v>
      </c>
      <c r="C1215" s="6" t="s">
        <v>2336</v>
      </c>
      <c r="D1215" s="6" t="s">
        <v>127</v>
      </c>
      <c r="E1215" s="6" t="s">
        <v>46</v>
      </c>
      <c r="F1215" s="6" t="s">
        <v>38</v>
      </c>
      <c r="G1215" s="6" t="s">
        <v>39</v>
      </c>
      <c r="H1215" s="6">
        <v>2</v>
      </c>
      <c r="I1215" s="6" t="s">
        <v>117</v>
      </c>
      <c r="J1215" s="6" t="s">
        <v>118</v>
      </c>
      <c r="K1215" s="6">
        <v>520</v>
      </c>
      <c r="L1215" s="6" t="s">
        <v>42</v>
      </c>
      <c r="M1215" s="6" t="s">
        <v>34</v>
      </c>
    </row>
    <row r="1216" spans="1:13">
      <c r="A1216" s="6" t="s">
        <v>2337</v>
      </c>
      <c r="B1216" s="7">
        <v>46180</v>
      </c>
      <c r="C1216" s="6" t="s">
        <v>1619</v>
      </c>
      <c r="D1216" s="6" t="s">
        <v>72</v>
      </c>
      <c r="E1216" s="6" t="s">
        <v>52</v>
      </c>
      <c r="F1216" s="6" t="s">
        <v>53</v>
      </c>
      <c r="G1216" s="6" t="s">
        <v>54</v>
      </c>
      <c r="H1216" s="6">
        <v>2</v>
      </c>
      <c r="I1216" s="6" t="s">
        <v>117</v>
      </c>
      <c r="J1216" s="6" t="s">
        <v>1391</v>
      </c>
      <c r="K1216" s="6" t="s">
        <v>122</v>
      </c>
      <c r="L1216" s="6" t="s">
        <v>42</v>
      </c>
      <c r="M1216" s="6" t="s">
        <v>34</v>
      </c>
    </row>
    <row r="1217" spans="1:13">
      <c r="A1217" s="6" t="s">
        <v>2338</v>
      </c>
      <c r="B1217" s="7">
        <v>46207</v>
      </c>
      <c r="C1217" s="6" t="s">
        <v>2339</v>
      </c>
      <c r="D1217" s="6" t="s">
        <v>45</v>
      </c>
      <c r="E1217" s="6" t="s">
        <v>37</v>
      </c>
      <c r="F1217" s="6" t="s">
        <v>58</v>
      </c>
      <c r="G1217" s="6" t="s">
        <v>59</v>
      </c>
      <c r="H1217" s="6">
        <v>1</v>
      </c>
      <c r="I1217" s="6" t="s">
        <v>31</v>
      </c>
      <c r="J1217" s="6" t="s">
        <v>31</v>
      </c>
      <c r="K1217" s="6" t="s">
        <v>61</v>
      </c>
      <c r="L1217" s="6" t="s">
        <v>42</v>
      </c>
      <c r="M1217" s="6" t="s">
        <v>34</v>
      </c>
    </row>
    <row r="1218" spans="1:13">
      <c r="A1218" s="6" t="s">
        <v>2340</v>
      </c>
      <c r="B1218" s="7">
        <v>46102</v>
      </c>
      <c r="C1218" s="6" t="s">
        <v>2341</v>
      </c>
      <c r="D1218" s="6" t="s">
        <v>105</v>
      </c>
      <c r="E1218" s="6" t="s">
        <v>46</v>
      </c>
      <c r="F1218" s="6" t="s">
        <v>85</v>
      </c>
      <c r="G1218" s="6" t="s">
        <v>86</v>
      </c>
      <c r="H1218" s="6">
        <v>2</v>
      </c>
      <c r="I1218" s="6" t="s">
        <v>79</v>
      </c>
      <c r="J1218" s="6" t="s">
        <v>259</v>
      </c>
      <c r="K1218" s="6">
        <v>410</v>
      </c>
      <c r="L1218" s="6" t="s">
        <v>42</v>
      </c>
      <c r="M1218" s="6" t="s">
        <v>34</v>
      </c>
    </row>
    <row r="1219" spans="1:13">
      <c r="A1219" s="6" t="s">
        <v>2342</v>
      </c>
      <c r="B1219" s="7">
        <v>46104</v>
      </c>
      <c r="C1219" s="6" t="s">
        <v>343</v>
      </c>
      <c r="D1219" s="6" t="s">
        <v>110</v>
      </c>
      <c r="E1219" s="6" t="s">
        <v>46</v>
      </c>
      <c r="F1219" s="6" t="s">
        <v>47</v>
      </c>
      <c r="G1219" s="6" t="s">
        <v>48</v>
      </c>
      <c r="H1219" s="6">
        <v>2</v>
      </c>
      <c r="I1219" s="6" t="s">
        <v>231</v>
      </c>
      <c r="J1219" s="6" t="s">
        <v>232</v>
      </c>
      <c r="K1219" s="6">
        <v>85</v>
      </c>
      <c r="L1219" s="6" t="s">
        <v>42</v>
      </c>
      <c r="M1219" s="6" t="s">
        <v>69</v>
      </c>
    </row>
    <row r="1220" spans="1:13">
      <c r="A1220" s="6" t="s">
        <v>2343</v>
      </c>
      <c r="B1220" s="7">
        <v>46052</v>
      </c>
      <c r="C1220" s="6" t="s">
        <v>2344</v>
      </c>
      <c r="D1220" s="6" t="s">
        <v>45</v>
      </c>
      <c r="E1220" s="6" t="s">
        <v>37</v>
      </c>
      <c r="F1220" s="6" t="s">
        <v>38</v>
      </c>
      <c r="G1220" s="6" t="s">
        <v>39</v>
      </c>
      <c r="H1220" s="6">
        <v>2</v>
      </c>
      <c r="I1220" s="6" t="s">
        <v>82</v>
      </c>
      <c r="J1220" s="6" t="s">
        <v>297</v>
      </c>
      <c r="K1220" s="6">
        <v>520</v>
      </c>
      <c r="L1220" s="6" t="s">
        <v>42</v>
      </c>
      <c r="M1220" s="6" t="s">
        <v>34</v>
      </c>
    </row>
    <row r="1221" spans="1:13">
      <c r="A1221" s="6" t="s">
        <v>2345</v>
      </c>
      <c r="B1221" s="7">
        <v>46185</v>
      </c>
      <c r="C1221" s="6" t="s">
        <v>242</v>
      </c>
      <c r="D1221" s="6" t="s">
        <v>57</v>
      </c>
      <c r="E1221" s="6" t="s">
        <v>78</v>
      </c>
      <c r="F1221" s="6" t="s">
        <v>85</v>
      </c>
      <c r="G1221" s="6" t="s">
        <v>86</v>
      </c>
      <c r="H1221" s="6">
        <v>1</v>
      </c>
      <c r="I1221" s="6" t="s">
        <v>82</v>
      </c>
      <c r="J1221" s="6" t="s">
        <v>82</v>
      </c>
      <c r="K1221" s="6" t="s">
        <v>87</v>
      </c>
      <c r="L1221" s="6" t="s">
        <v>33</v>
      </c>
      <c r="M1221" s="6" t="s">
        <v>69</v>
      </c>
    </row>
    <row r="1222" spans="1:13">
      <c r="A1222" s="6" t="s">
        <v>2346</v>
      </c>
      <c r="B1222" s="7">
        <v>46174</v>
      </c>
      <c r="C1222" s="6" t="s">
        <v>683</v>
      </c>
      <c r="D1222" s="6" t="s">
        <v>77</v>
      </c>
      <c r="E1222" s="6" t="s">
        <v>28</v>
      </c>
      <c r="F1222" s="6" t="s">
        <v>53</v>
      </c>
      <c r="G1222" s="6" t="s">
        <v>54</v>
      </c>
      <c r="H1222" s="6">
        <v>1</v>
      </c>
      <c r="I1222" s="6" t="s">
        <v>31</v>
      </c>
      <c r="J1222" s="6" t="s">
        <v>31</v>
      </c>
      <c r="K1222" s="6">
        <v>190</v>
      </c>
      <c r="L1222" s="6" t="s">
        <v>42</v>
      </c>
      <c r="M1222" s="6" t="s">
        <v>34</v>
      </c>
    </row>
    <row r="1223" spans="1:13">
      <c r="A1223" s="6" t="s">
        <v>2347</v>
      </c>
      <c r="B1223" s="7">
        <v>46112</v>
      </c>
      <c r="C1223" s="6" t="s">
        <v>158</v>
      </c>
      <c r="D1223" s="6" t="s">
        <v>127</v>
      </c>
      <c r="E1223" s="6" t="s">
        <v>28</v>
      </c>
      <c r="F1223" s="6" t="s">
        <v>47</v>
      </c>
      <c r="G1223" s="6" t="s">
        <v>48</v>
      </c>
      <c r="H1223" s="6">
        <v>3</v>
      </c>
      <c r="I1223" s="6" t="s">
        <v>60</v>
      </c>
      <c r="J1223" s="6" t="s">
        <v>268</v>
      </c>
      <c r="K1223" s="6">
        <v>85</v>
      </c>
      <c r="L1223" s="6" t="s">
        <v>42</v>
      </c>
      <c r="M1223" s="6" t="s">
        <v>69</v>
      </c>
    </row>
    <row r="1224" spans="1:13">
      <c r="A1224" s="6" t="s">
        <v>2348</v>
      </c>
      <c r="B1224" s="7">
        <v>46149</v>
      </c>
      <c r="C1224" s="6" t="s">
        <v>672</v>
      </c>
      <c r="D1224" s="6" t="s">
        <v>45</v>
      </c>
      <c r="E1224" s="6" t="s">
        <v>52</v>
      </c>
      <c r="F1224" s="6" t="s">
        <v>47</v>
      </c>
      <c r="G1224" s="6" t="s">
        <v>48</v>
      </c>
      <c r="H1224" s="6">
        <v>2</v>
      </c>
      <c r="I1224" s="6" t="s">
        <v>90</v>
      </c>
      <c r="J1224" s="6" t="s">
        <v>154</v>
      </c>
      <c r="K1224" s="6" t="s">
        <v>49</v>
      </c>
      <c r="L1224" s="6" t="s">
        <v>42</v>
      </c>
      <c r="M1224" s="6" t="s">
        <v>34</v>
      </c>
    </row>
    <row r="1225" spans="1:13">
      <c r="A1225" s="6" t="s">
        <v>2349</v>
      </c>
      <c r="B1225" s="7">
        <v>46052</v>
      </c>
      <c r="C1225" s="6" t="s">
        <v>2350</v>
      </c>
      <c r="D1225" s="6" t="s">
        <v>45</v>
      </c>
      <c r="E1225" s="6" t="s">
        <v>37</v>
      </c>
      <c r="F1225" s="6" t="s">
        <v>100</v>
      </c>
      <c r="G1225" s="6" t="s">
        <v>101</v>
      </c>
      <c r="H1225" s="6">
        <v>2</v>
      </c>
      <c r="I1225" s="6" t="s">
        <v>31</v>
      </c>
      <c r="J1225" s="6" t="s">
        <v>249</v>
      </c>
      <c r="K1225" s="6">
        <v>640</v>
      </c>
      <c r="L1225" s="6" t="s">
        <v>33</v>
      </c>
      <c r="M1225" s="6" t="s">
        <v>34</v>
      </c>
    </row>
    <row r="1226" spans="1:13">
      <c r="A1226" s="6" t="s">
        <v>2351</v>
      </c>
      <c r="B1226" s="7">
        <v>46134</v>
      </c>
      <c r="C1226" s="6" t="s">
        <v>2352</v>
      </c>
      <c r="D1226" s="6" t="s">
        <v>77</v>
      </c>
      <c r="E1226" s="6" t="s">
        <v>52</v>
      </c>
      <c r="F1226" s="6" t="s">
        <v>58</v>
      </c>
      <c r="G1226" s="6" t="s">
        <v>59</v>
      </c>
      <c r="H1226" s="6">
        <v>2</v>
      </c>
      <c r="I1226" s="6" t="s">
        <v>265</v>
      </c>
      <c r="J1226" s="6" t="s">
        <v>175</v>
      </c>
      <c r="K1226" s="6" t="s">
        <v>61</v>
      </c>
      <c r="L1226" s="6" t="s">
        <v>42</v>
      </c>
      <c r="M1226" s="6" t="s">
        <v>34</v>
      </c>
    </row>
    <row r="1227" spans="1:13">
      <c r="A1227" s="6" t="s">
        <v>2353</v>
      </c>
      <c r="B1227" s="6" t="s">
        <v>593</v>
      </c>
      <c r="C1227" s="6" t="s">
        <v>676</v>
      </c>
      <c r="D1227" s="6" t="s">
        <v>57</v>
      </c>
      <c r="E1227" s="6" t="s">
        <v>28</v>
      </c>
      <c r="F1227" s="6" t="s">
        <v>38</v>
      </c>
      <c r="G1227" s="6" t="s">
        <v>39</v>
      </c>
      <c r="H1227" s="6">
        <v>1</v>
      </c>
      <c r="I1227" s="6" t="s">
        <v>31</v>
      </c>
      <c r="J1227" s="6" t="s">
        <v>31</v>
      </c>
      <c r="K1227" s="6" t="s">
        <v>41</v>
      </c>
      <c r="L1227" s="6" t="s">
        <v>42</v>
      </c>
      <c r="M1227" s="6" t="s">
        <v>69</v>
      </c>
    </row>
    <row r="1228" spans="1:13">
      <c r="A1228" s="6" t="s">
        <v>2354</v>
      </c>
      <c r="B1228" s="7">
        <v>46049</v>
      </c>
      <c r="C1228" s="6" t="s">
        <v>1059</v>
      </c>
      <c r="D1228" s="6" t="s">
        <v>127</v>
      </c>
      <c r="E1228" s="6" t="s">
        <v>46</v>
      </c>
      <c r="F1228" s="6" t="s">
        <v>58</v>
      </c>
      <c r="G1228" s="6" t="s">
        <v>59</v>
      </c>
      <c r="H1228" s="6">
        <v>1</v>
      </c>
      <c r="I1228" s="6" t="s">
        <v>113</v>
      </c>
      <c r="J1228" s="6" t="s">
        <v>113</v>
      </c>
      <c r="K1228" s="6">
        <v>380</v>
      </c>
      <c r="L1228" s="6" t="s">
        <v>42</v>
      </c>
      <c r="M1228" s="6" t="s">
        <v>69</v>
      </c>
    </row>
    <row r="1229" spans="1:13">
      <c r="A1229" s="6" t="s">
        <v>2355</v>
      </c>
      <c r="B1229" s="7">
        <v>46207</v>
      </c>
      <c r="C1229" s="6" t="s">
        <v>1530</v>
      </c>
      <c r="D1229" s="6" t="s">
        <v>127</v>
      </c>
      <c r="E1229" s="6" t="s">
        <v>52</v>
      </c>
      <c r="F1229" s="6" t="s">
        <v>38</v>
      </c>
      <c r="G1229" s="6" t="s">
        <v>39</v>
      </c>
      <c r="H1229" s="6">
        <v>2</v>
      </c>
      <c r="I1229" s="6" t="s">
        <v>79</v>
      </c>
      <c r="J1229" s="6" t="s">
        <v>259</v>
      </c>
      <c r="K1229" s="6" t="s">
        <v>41</v>
      </c>
      <c r="L1229" s="6" t="s">
        <v>42</v>
      </c>
      <c r="M1229" s="6" t="s">
        <v>34</v>
      </c>
    </row>
    <row r="1230" spans="1:13">
      <c r="A1230" s="6" t="s">
        <v>2356</v>
      </c>
      <c r="B1230" s="7">
        <v>46152</v>
      </c>
      <c r="C1230" s="6" t="s">
        <v>2357</v>
      </c>
      <c r="D1230" s="6" t="s">
        <v>27</v>
      </c>
      <c r="E1230" s="6" t="s">
        <v>37</v>
      </c>
      <c r="F1230" s="6" t="s">
        <v>29</v>
      </c>
      <c r="G1230" s="6" t="s">
        <v>30</v>
      </c>
      <c r="H1230" s="6">
        <v>1</v>
      </c>
      <c r="I1230" s="6" t="s">
        <v>90</v>
      </c>
      <c r="J1230" s="6" t="s">
        <v>1182</v>
      </c>
      <c r="K1230" s="6" t="s">
        <v>41</v>
      </c>
      <c r="L1230" s="6" t="s">
        <v>42</v>
      </c>
      <c r="M1230" s="6" t="s">
        <v>34</v>
      </c>
    </row>
    <row r="1231" spans="1:13">
      <c r="A1231" s="6" t="s">
        <v>2358</v>
      </c>
      <c r="B1231" s="7">
        <v>46077</v>
      </c>
      <c r="C1231" s="6" t="s">
        <v>2359</v>
      </c>
      <c r="D1231" s="6" t="s">
        <v>105</v>
      </c>
      <c r="E1231" s="6" t="s">
        <v>37</v>
      </c>
      <c r="F1231" s="6" t="s">
        <v>58</v>
      </c>
      <c r="G1231" s="6" t="s">
        <v>59</v>
      </c>
      <c r="H1231" s="6">
        <v>-1</v>
      </c>
      <c r="I1231" s="6" t="s">
        <v>143</v>
      </c>
      <c r="J1231" s="8" t="s">
        <v>1884</v>
      </c>
      <c r="K1231" s="6">
        <v>380</v>
      </c>
      <c r="L1231" s="6" t="s">
        <v>42</v>
      </c>
      <c r="M1231" s="6" t="s">
        <v>69</v>
      </c>
    </row>
    <row r="1232" spans="1:13">
      <c r="A1232" s="6" t="s">
        <v>2360</v>
      </c>
      <c r="B1232" s="7">
        <v>46204</v>
      </c>
      <c r="C1232" s="6" t="s">
        <v>452</v>
      </c>
      <c r="D1232" s="6" t="s">
        <v>64</v>
      </c>
      <c r="E1232" s="6" t="s">
        <v>37</v>
      </c>
      <c r="F1232" s="6" t="s">
        <v>58</v>
      </c>
      <c r="G1232" s="6" t="s">
        <v>59</v>
      </c>
      <c r="H1232" s="6">
        <v>3</v>
      </c>
      <c r="I1232" s="6" t="s">
        <v>40</v>
      </c>
      <c r="J1232" s="6" t="s">
        <v>579</v>
      </c>
      <c r="K1232" s="6" t="s">
        <v>61</v>
      </c>
      <c r="L1232" s="6" t="s">
        <v>33</v>
      </c>
      <c r="M1232" s="6" t="s">
        <v>69</v>
      </c>
    </row>
    <row r="1233" spans="1:13">
      <c r="A1233" s="6" t="s">
        <v>2361</v>
      </c>
      <c r="B1233" s="7">
        <v>46101</v>
      </c>
      <c r="C1233" s="6" t="s">
        <v>1610</v>
      </c>
      <c r="D1233" s="6" t="s">
        <v>110</v>
      </c>
      <c r="E1233" s="6" t="s">
        <v>78</v>
      </c>
      <c r="F1233" s="6" t="s">
        <v>47</v>
      </c>
      <c r="G1233" s="6" t="s">
        <v>48</v>
      </c>
      <c r="H1233" s="6">
        <v>1</v>
      </c>
      <c r="I1233" s="6" t="s">
        <v>67</v>
      </c>
      <c r="J1233" s="6" t="s">
        <v>67</v>
      </c>
      <c r="K1233" s="6">
        <v>85</v>
      </c>
      <c r="L1233" s="6" t="s">
        <v>42</v>
      </c>
      <c r="M1233" s="6" t="s">
        <v>69</v>
      </c>
    </row>
    <row r="1234" spans="1:13">
      <c r="A1234" s="6" t="s">
        <v>2362</v>
      </c>
      <c r="B1234" s="7">
        <v>46145</v>
      </c>
      <c r="C1234" s="6" t="s">
        <v>2363</v>
      </c>
      <c r="D1234" s="6" t="s">
        <v>45</v>
      </c>
      <c r="E1234" s="6" t="s">
        <v>37</v>
      </c>
      <c r="F1234" s="6" t="s">
        <v>100</v>
      </c>
      <c r="G1234" s="6" t="s">
        <v>101</v>
      </c>
      <c r="H1234" s="6">
        <v>1</v>
      </c>
      <c r="I1234" s="6" t="s">
        <v>147</v>
      </c>
      <c r="J1234" s="6" t="s">
        <v>2364</v>
      </c>
      <c r="K1234" s="6">
        <v>640</v>
      </c>
      <c r="L1234" s="6" t="s">
        <v>33</v>
      </c>
      <c r="M1234" s="6" t="s">
        <v>34</v>
      </c>
    </row>
    <row r="1235" spans="1:13">
      <c r="A1235" s="6" t="s">
        <v>2365</v>
      </c>
      <c r="B1235" s="7">
        <v>46028</v>
      </c>
      <c r="C1235" s="6" t="s">
        <v>2182</v>
      </c>
      <c r="D1235" s="6" t="s">
        <v>57</v>
      </c>
      <c r="E1235" s="6" t="s">
        <v>46</v>
      </c>
      <c r="F1235" s="6" t="s">
        <v>38</v>
      </c>
      <c r="G1235" s="6" t="s">
        <v>39</v>
      </c>
      <c r="H1235" s="6">
        <v>1</v>
      </c>
      <c r="I1235" s="6" t="s">
        <v>143</v>
      </c>
      <c r="J1235" s="6" t="s">
        <v>143</v>
      </c>
      <c r="K1235" s="6">
        <v>520</v>
      </c>
      <c r="L1235" s="6" t="s">
        <v>42</v>
      </c>
      <c r="M1235" s="6" t="s">
        <v>34</v>
      </c>
    </row>
    <row r="1236" spans="1:13">
      <c r="A1236" s="6" t="s">
        <v>2366</v>
      </c>
      <c r="B1236" s="7">
        <v>46045</v>
      </c>
      <c r="C1236" s="6" t="s">
        <v>2367</v>
      </c>
      <c r="D1236" s="6" t="s">
        <v>105</v>
      </c>
      <c r="E1236" s="6" t="s">
        <v>46</v>
      </c>
      <c r="F1236" s="6" t="s">
        <v>94</v>
      </c>
      <c r="G1236" s="6" t="s">
        <v>95</v>
      </c>
      <c r="H1236" s="6">
        <v>1</v>
      </c>
      <c r="I1236" s="6" t="s">
        <v>31</v>
      </c>
      <c r="J1236" s="6" t="s">
        <v>31</v>
      </c>
      <c r="K1236" s="6">
        <v>340</v>
      </c>
      <c r="L1236" s="6" t="s">
        <v>42</v>
      </c>
      <c r="M1236" s="6" t="s">
        <v>34</v>
      </c>
    </row>
    <row r="1237" spans="1:13">
      <c r="A1237" s="6" t="s">
        <v>2368</v>
      </c>
      <c r="B1237" s="7">
        <v>46104</v>
      </c>
      <c r="C1237" s="6" t="s">
        <v>1872</v>
      </c>
      <c r="D1237" s="6" t="s">
        <v>105</v>
      </c>
      <c r="E1237" s="6" t="s">
        <v>28</v>
      </c>
      <c r="F1237" s="6" t="s">
        <v>29</v>
      </c>
      <c r="G1237" s="6" t="s">
        <v>30</v>
      </c>
      <c r="H1237" s="6">
        <v>1</v>
      </c>
      <c r="I1237" s="6" t="s">
        <v>31</v>
      </c>
      <c r="J1237" s="6" t="s">
        <v>31</v>
      </c>
      <c r="K1237" s="6">
        <v>520</v>
      </c>
      <c r="L1237" s="6" t="s">
        <v>42</v>
      </c>
      <c r="M1237" s="6" t="s">
        <v>34</v>
      </c>
    </row>
    <row r="1238" spans="1:13">
      <c r="A1238" s="6" t="s">
        <v>2369</v>
      </c>
      <c r="B1238" s="7">
        <v>46158</v>
      </c>
      <c r="C1238" s="6" t="s">
        <v>1822</v>
      </c>
      <c r="D1238" s="6" t="s">
        <v>72</v>
      </c>
      <c r="E1238" s="6" t="s">
        <v>52</v>
      </c>
      <c r="F1238" s="6" t="s">
        <v>94</v>
      </c>
      <c r="G1238" s="6" t="s">
        <v>95</v>
      </c>
      <c r="H1238" s="6">
        <v>1</v>
      </c>
      <c r="I1238" s="6" t="s">
        <v>96</v>
      </c>
      <c r="J1238" s="6" t="s">
        <v>96</v>
      </c>
      <c r="K1238" s="6" t="s">
        <v>114</v>
      </c>
      <c r="L1238" s="6" t="s">
        <v>42</v>
      </c>
      <c r="M1238" s="6" t="s">
        <v>34</v>
      </c>
    </row>
    <row r="1239" spans="1:13">
      <c r="A1239" s="6" t="s">
        <v>2370</v>
      </c>
      <c r="B1239" s="7">
        <v>46162</v>
      </c>
      <c r="C1239" s="6" t="s">
        <v>2371</v>
      </c>
      <c r="D1239" s="6" t="s">
        <v>27</v>
      </c>
      <c r="E1239" s="6" t="s">
        <v>28</v>
      </c>
      <c r="F1239" s="6" t="s">
        <v>53</v>
      </c>
      <c r="G1239" s="6" t="s">
        <v>54</v>
      </c>
      <c r="H1239" s="6">
        <v>2</v>
      </c>
      <c r="I1239" s="6" t="s">
        <v>79</v>
      </c>
      <c r="J1239" s="6" t="s">
        <v>259</v>
      </c>
      <c r="K1239" s="6" t="s">
        <v>122</v>
      </c>
      <c r="L1239" s="6" t="s">
        <v>42</v>
      </c>
      <c r="M1239" s="6" t="s">
        <v>34</v>
      </c>
    </row>
    <row r="1240" spans="1:13">
      <c r="A1240" s="6" t="s">
        <v>2372</v>
      </c>
      <c r="B1240" s="7">
        <v>46103</v>
      </c>
      <c r="C1240" s="6" t="s">
        <v>780</v>
      </c>
      <c r="D1240" s="6" t="s">
        <v>27</v>
      </c>
      <c r="E1240" s="6" t="s">
        <v>52</v>
      </c>
      <c r="F1240" s="6" t="s">
        <v>58</v>
      </c>
      <c r="G1240" s="6" t="s">
        <v>59</v>
      </c>
      <c r="H1240" s="6">
        <v>1</v>
      </c>
      <c r="I1240" s="6" t="s">
        <v>82</v>
      </c>
      <c r="J1240" s="6" t="s">
        <v>82</v>
      </c>
      <c r="K1240" s="6">
        <v>380</v>
      </c>
      <c r="L1240" s="6" t="s">
        <v>33</v>
      </c>
      <c r="M1240" s="6" t="s">
        <v>34</v>
      </c>
    </row>
    <row r="1241" spans="1:13">
      <c r="A1241" s="6" t="s">
        <v>2373</v>
      </c>
      <c r="B1241" s="7">
        <v>46030</v>
      </c>
      <c r="C1241" s="6" t="s">
        <v>351</v>
      </c>
      <c r="D1241" s="6" t="s">
        <v>27</v>
      </c>
      <c r="E1241" s="6" t="s">
        <v>52</v>
      </c>
      <c r="F1241" s="6" t="s">
        <v>29</v>
      </c>
      <c r="G1241" s="6" t="s">
        <v>30</v>
      </c>
      <c r="H1241" s="6">
        <v>2</v>
      </c>
      <c r="I1241" s="6" t="s">
        <v>60</v>
      </c>
      <c r="J1241" s="6" t="s">
        <v>189</v>
      </c>
      <c r="K1241" s="6">
        <v>520</v>
      </c>
      <c r="L1241" s="6" t="s">
        <v>42</v>
      </c>
      <c r="M1241" s="6" t="s">
        <v>34</v>
      </c>
    </row>
    <row r="1242" spans="1:13">
      <c r="A1242" s="6" t="s">
        <v>2374</v>
      </c>
      <c r="B1242" s="7">
        <v>46028</v>
      </c>
      <c r="C1242" s="6" t="s">
        <v>2375</v>
      </c>
      <c r="D1242" s="6" t="s">
        <v>110</v>
      </c>
      <c r="E1242" s="6" t="s">
        <v>78</v>
      </c>
      <c r="F1242" s="6" t="s">
        <v>47</v>
      </c>
      <c r="G1242" s="6" t="s">
        <v>48</v>
      </c>
      <c r="H1242" s="6">
        <v>2</v>
      </c>
      <c r="I1242" s="6" t="s">
        <v>90</v>
      </c>
      <c r="J1242" s="6" t="s">
        <v>154</v>
      </c>
      <c r="K1242" s="6">
        <v>85</v>
      </c>
      <c r="L1242" s="6" t="s">
        <v>42</v>
      </c>
      <c r="M1242" s="6" t="s">
        <v>34</v>
      </c>
    </row>
    <row r="1243" spans="1:13">
      <c r="A1243" s="6" t="s">
        <v>2376</v>
      </c>
      <c r="B1243" s="7">
        <v>46090</v>
      </c>
      <c r="C1243" s="6" t="s">
        <v>2377</v>
      </c>
      <c r="D1243" s="6" t="s">
        <v>77</v>
      </c>
      <c r="E1243" s="6" t="s">
        <v>28</v>
      </c>
      <c r="F1243" s="6" t="s">
        <v>100</v>
      </c>
      <c r="G1243" s="6" t="s">
        <v>101</v>
      </c>
      <c r="H1243" s="6">
        <v>2</v>
      </c>
      <c r="I1243" s="6" t="s">
        <v>117</v>
      </c>
      <c r="J1243" s="6" t="s">
        <v>118</v>
      </c>
      <c r="K1243" s="6">
        <v>640</v>
      </c>
      <c r="L1243" s="6" t="s">
        <v>42</v>
      </c>
      <c r="M1243" s="6" t="s">
        <v>69</v>
      </c>
    </row>
    <row r="1244" spans="1:13">
      <c r="A1244" s="6" t="s">
        <v>2378</v>
      </c>
      <c r="B1244" s="7">
        <v>46128</v>
      </c>
      <c r="C1244" s="6" t="s">
        <v>1375</v>
      </c>
      <c r="D1244" s="6" t="s">
        <v>72</v>
      </c>
      <c r="E1244" s="6" t="s">
        <v>46</v>
      </c>
      <c r="F1244" s="6" t="s">
        <v>85</v>
      </c>
      <c r="G1244" s="6" t="s">
        <v>86</v>
      </c>
      <c r="H1244" s="6">
        <v>2</v>
      </c>
      <c r="I1244" s="6" t="s">
        <v>117</v>
      </c>
      <c r="J1244" s="6" t="s">
        <v>118</v>
      </c>
      <c r="K1244" s="6">
        <v>410</v>
      </c>
      <c r="L1244" s="6" t="s">
        <v>42</v>
      </c>
      <c r="M1244" s="6" t="s">
        <v>69</v>
      </c>
    </row>
    <row r="1245" spans="1:13">
      <c r="A1245" s="6" t="s">
        <v>2379</v>
      </c>
      <c r="B1245" s="7">
        <v>46168</v>
      </c>
      <c r="C1245" s="6" t="s">
        <v>2380</v>
      </c>
      <c r="D1245" s="6" t="s">
        <v>105</v>
      </c>
      <c r="E1245" s="6" t="s">
        <v>37</v>
      </c>
      <c r="F1245" s="6" t="s">
        <v>53</v>
      </c>
      <c r="G1245" s="6" t="s">
        <v>54</v>
      </c>
      <c r="H1245" s="6">
        <v>1</v>
      </c>
      <c r="I1245" s="6" t="s">
        <v>82</v>
      </c>
      <c r="J1245" s="6" t="s">
        <v>82</v>
      </c>
      <c r="K1245" s="6" t="s">
        <v>122</v>
      </c>
      <c r="L1245" s="6" t="s">
        <v>42</v>
      </c>
      <c r="M1245" s="6" t="s">
        <v>69</v>
      </c>
    </row>
    <row r="1246" spans="1:13">
      <c r="A1246" s="6" t="s">
        <v>2381</v>
      </c>
      <c r="B1246" s="7">
        <v>46152</v>
      </c>
      <c r="C1246" s="6" t="s">
        <v>2382</v>
      </c>
      <c r="D1246" s="6" t="s">
        <v>57</v>
      </c>
      <c r="E1246" s="6" t="s">
        <v>46</v>
      </c>
      <c r="F1246" s="6" t="s">
        <v>38</v>
      </c>
      <c r="G1246" s="6" t="s">
        <v>39</v>
      </c>
      <c r="H1246" s="6">
        <v>1</v>
      </c>
      <c r="I1246" s="6" t="s">
        <v>82</v>
      </c>
      <c r="J1246" s="6" t="s">
        <v>82</v>
      </c>
      <c r="K1246" s="6" t="s">
        <v>41</v>
      </c>
      <c r="L1246" s="6" t="s">
        <v>42</v>
      </c>
      <c r="M1246" s="6" t="s">
        <v>69</v>
      </c>
    </row>
    <row r="1247" spans="1:13">
      <c r="A1247" s="6" t="s">
        <v>2383</v>
      </c>
      <c r="B1247" s="6" t="s">
        <v>1285</v>
      </c>
      <c r="C1247" s="6" t="s">
        <v>1383</v>
      </c>
      <c r="D1247" s="6" t="s">
        <v>127</v>
      </c>
      <c r="E1247" s="6" t="s">
        <v>78</v>
      </c>
      <c r="F1247" s="6" t="s">
        <v>29</v>
      </c>
      <c r="G1247" s="6" t="s">
        <v>30</v>
      </c>
      <c r="H1247" s="6">
        <v>2</v>
      </c>
      <c r="I1247" s="6" t="s">
        <v>117</v>
      </c>
      <c r="J1247" s="6" t="s">
        <v>118</v>
      </c>
      <c r="K1247" s="6" t="s">
        <v>41</v>
      </c>
      <c r="L1247" s="6" t="s">
        <v>33</v>
      </c>
      <c r="M1247" s="6" t="s">
        <v>34</v>
      </c>
    </row>
    <row r="1248" spans="1:13">
      <c r="A1248" s="6" t="s">
        <v>2384</v>
      </c>
      <c r="B1248" s="7">
        <v>46168</v>
      </c>
      <c r="C1248" s="6" t="s">
        <v>2385</v>
      </c>
      <c r="D1248" s="6" t="s">
        <v>72</v>
      </c>
      <c r="E1248" s="6" t="s">
        <v>46</v>
      </c>
      <c r="F1248" s="6" t="s">
        <v>38</v>
      </c>
      <c r="G1248" s="6" t="s">
        <v>39</v>
      </c>
      <c r="H1248" s="6">
        <v>1</v>
      </c>
      <c r="I1248" s="6" t="s">
        <v>90</v>
      </c>
      <c r="J1248" s="6" t="s">
        <v>90</v>
      </c>
      <c r="K1248" s="6" t="s">
        <v>41</v>
      </c>
      <c r="L1248" s="6" t="s">
        <v>42</v>
      </c>
      <c r="M1248" s="6" t="s">
        <v>69</v>
      </c>
    </row>
    <row r="1249" spans="1:13">
      <c r="A1249" s="6" t="s">
        <v>2386</v>
      </c>
      <c r="B1249" s="7">
        <v>46183</v>
      </c>
      <c r="C1249" s="6" t="s">
        <v>2387</v>
      </c>
      <c r="D1249" s="6" t="s">
        <v>105</v>
      </c>
      <c r="E1249" s="6" t="s">
        <v>78</v>
      </c>
      <c r="F1249" s="6" t="s">
        <v>38</v>
      </c>
      <c r="G1249" s="6" t="s">
        <v>39</v>
      </c>
      <c r="H1249" s="6">
        <v>2</v>
      </c>
      <c r="I1249" s="6" t="s">
        <v>265</v>
      </c>
      <c r="J1249" s="6" t="s">
        <v>167</v>
      </c>
      <c r="K1249" s="6" t="s">
        <v>41</v>
      </c>
      <c r="L1249" s="6" t="s">
        <v>42</v>
      </c>
      <c r="M1249" s="6" t="s">
        <v>34</v>
      </c>
    </row>
    <row r="1250" spans="1:13">
      <c r="A1250" s="6" t="s">
        <v>2388</v>
      </c>
      <c r="B1250" s="7">
        <v>46091</v>
      </c>
      <c r="C1250" s="6" t="s">
        <v>2010</v>
      </c>
      <c r="D1250" s="6" t="s">
        <v>45</v>
      </c>
      <c r="E1250" s="6" t="s">
        <v>78</v>
      </c>
      <c r="F1250" s="6" t="s">
        <v>29</v>
      </c>
      <c r="G1250" s="6" t="s">
        <v>30</v>
      </c>
      <c r="H1250" s="6">
        <v>2</v>
      </c>
      <c r="I1250" s="6" t="s">
        <v>73</v>
      </c>
      <c r="J1250" s="6" t="s">
        <v>74</v>
      </c>
      <c r="K1250" s="6">
        <v>520</v>
      </c>
      <c r="L1250" s="6" t="s">
        <v>42</v>
      </c>
      <c r="M1250" s="6" t="s">
        <v>34</v>
      </c>
    </row>
    <row r="1251" spans="1:13">
      <c r="A1251" s="6" t="s">
        <v>2389</v>
      </c>
      <c r="B1251" s="7">
        <v>46155</v>
      </c>
      <c r="C1251" s="6" t="s">
        <v>1819</v>
      </c>
      <c r="D1251" s="6" t="s">
        <v>77</v>
      </c>
      <c r="E1251" s="6" t="s">
        <v>37</v>
      </c>
      <c r="F1251" s="6" t="s">
        <v>38</v>
      </c>
      <c r="G1251" s="6" t="s">
        <v>39</v>
      </c>
      <c r="H1251" s="6">
        <v>2</v>
      </c>
      <c r="I1251" s="6" t="s">
        <v>79</v>
      </c>
      <c r="J1251" s="6" t="s">
        <v>259</v>
      </c>
      <c r="K1251" s="6" t="s">
        <v>41</v>
      </c>
      <c r="L1251" s="6" t="s">
        <v>42</v>
      </c>
      <c r="M1251" s="6" t="s">
        <v>34</v>
      </c>
    </row>
    <row r="1252" spans="1:13">
      <c r="A1252" s="6" t="s">
        <v>2390</v>
      </c>
      <c r="B1252" s="7">
        <v>46055</v>
      </c>
      <c r="C1252" s="6" t="s">
        <v>2391</v>
      </c>
      <c r="D1252" s="6" t="s">
        <v>27</v>
      </c>
      <c r="E1252" s="6" t="s">
        <v>52</v>
      </c>
      <c r="F1252" s="6" t="s">
        <v>53</v>
      </c>
      <c r="G1252" s="6" t="s">
        <v>54</v>
      </c>
      <c r="H1252" s="6">
        <v>1</v>
      </c>
      <c r="I1252" s="6" t="s">
        <v>82</v>
      </c>
      <c r="J1252" s="6" t="s">
        <v>82</v>
      </c>
      <c r="K1252" s="6">
        <v>190</v>
      </c>
      <c r="L1252" s="6" t="s">
        <v>42</v>
      </c>
      <c r="M1252" s="6" t="s">
        <v>34</v>
      </c>
    </row>
    <row r="1253" spans="1:13">
      <c r="A1253" s="6" t="s">
        <v>1214</v>
      </c>
      <c r="B1253" s="7">
        <v>46093</v>
      </c>
      <c r="C1253" s="6" t="s">
        <v>1215</v>
      </c>
      <c r="D1253" s="6" t="s">
        <v>77</v>
      </c>
      <c r="E1253" s="6" t="s">
        <v>52</v>
      </c>
      <c r="F1253" s="6" t="s">
        <v>58</v>
      </c>
      <c r="G1253" s="6" t="s">
        <v>59</v>
      </c>
      <c r="H1253" s="6">
        <v>2</v>
      </c>
      <c r="I1253" s="6" t="s">
        <v>147</v>
      </c>
      <c r="J1253" s="6" t="s">
        <v>175</v>
      </c>
      <c r="K1253" s="6">
        <v>380</v>
      </c>
      <c r="L1253" s="6" t="s">
        <v>42</v>
      </c>
      <c r="M1253" s="6" t="s">
        <v>69</v>
      </c>
    </row>
    <row r="1254" spans="1:13">
      <c r="A1254" s="6" t="s">
        <v>2392</v>
      </c>
      <c r="B1254" s="7">
        <v>46170</v>
      </c>
      <c r="C1254" s="6" t="s">
        <v>240</v>
      </c>
      <c r="D1254" s="6" t="s">
        <v>77</v>
      </c>
      <c r="E1254" s="6" t="s">
        <v>78</v>
      </c>
      <c r="F1254" s="6" t="s">
        <v>53</v>
      </c>
      <c r="G1254" s="6" t="s">
        <v>54</v>
      </c>
      <c r="H1254" s="6">
        <v>2</v>
      </c>
      <c r="I1254" s="6" t="s">
        <v>90</v>
      </c>
      <c r="J1254" s="6" t="s">
        <v>278</v>
      </c>
      <c r="K1254" s="6" t="s">
        <v>122</v>
      </c>
      <c r="L1254" s="6" t="s">
        <v>42</v>
      </c>
      <c r="M1254" s="6" t="s">
        <v>34</v>
      </c>
    </row>
    <row r="1255" spans="1:13">
      <c r="A1255" s="6" t="s">
        <v>428</v>
      </c>
      <c r="B1255" s="7">
        <v>46089</v>
      </c>
      <c r="C1255" s="6" t="s">
        <v>429</v>
      </c>
      <c r="D1255" s="6" t="s">
        <v>45</v>
      </c>
      <c r="E1255" s="6" t="s">
        <v>78</v>
      </c>
      <c r="F1255" s="6" t="s">
        <v>29</v>
      </c>
      <c r="G1255" s="6" t="s">
        <v>30</v>
      </c>
      <c r="H1255" s="6">
        <v>1</v>
      </c>
      <c r="I1255" s="6" t="s">
        <v>117</v>
      </c>
      <c r="J1255" s="6" t="s">
        <v>117</v>
      </c>
      <c r="K1255" s="6">
        <v>520</v>
      </c>
      <c r="L1255" s="6" t="s">
        <v>42</v>
      </c>
      <c r="M1255" s="6" t="s">
        <v>34</v>
      </c>
    </row>
    <row r="1256" spans="1:13">
      <c r="A1256" s="6" t="s">
        <v>2393</v>
      </c>
      <c r="B1256" s="6" t="s">
        <v>131</v>
      </c>
      <c r="C1256" s="6" t="s">
        <v>66</v>
      </c>
      <c r="D1256" s="6" t="s">
        <v>64</v>
      </c>
      <c r="E1256" s="6" t="s">
        <v>46</v>
      </c>
      <c r="F1256" s="6" t="s">
        <v>85</v>
      </c>
      <c r="G1256" s="6" t="s">
        <v>86</v>
      </c>
      <c r="H1256" s="6">
        <v>2</v>
      </c>
      <c r="I1256" s="6" t="s">
        <v>656</v>
      </c>
      <c r="J1256" s="6" t="s">
        <v>192</v>
      </c>
      <c r="K1256" s="6">
        <v>410</v>
      </c>
      <c r="L1256" s="6" t="s">
        <v>33</v>
      </c>
      <c r="M1256" s="6" t="s">
        <v>34</v>
      </c>
    </row>
    <row r="1257" spans="1:13">
      <c r="A1257" s="6" t="s">
        <v>2394</v>
      </c>
      <c r="B1257" s="7">
        <v>46058</v>
      </c>
      <c r="C1257" s="6" t="s">
        <v>2395</v>
      </c>
      <c r="D1257" s="6" t="s">
        <v>27</v>
      </c>
      <c r="E1257" s="6" t="s">
        <v>46</v>
      </c>
      <c r="F1257" s="6" t="s">
        <v>29</v>
      </c>
      <c r="G1257" s="6" t="s">
        <v>30</v>
      </c>
      <c r="H1257" s="6">
        <v>2</v>
      </c>
      <c r="I1257" s="6" t="s">
        <v>31</v>
      </c>
      <c r="J1257" s="6" t="s">
        <v>216</v>
      </c>
      <c r="K1257" s="6">
        <v>520</v>
      </c>
      <c r="L1257" s="6" t="s">
        <v>42</v>
      </c>
      <c r="M1257" s="6" t="s">
        <v>34</v>
      </c>
    </row>
    <row r="1258" spans="1:13">
      <c r="A1258" s="6" t="s">
        <v>2396</v>
      </c>
      <c r="B1258" s="7">
        <v>46099</v>
      </c>
      <c r="C1258" s="6" t="s">
        <v>245</v>
      </c>
      <c r="D1258" s="6" t="s">
        <v>57</v>
      </c>
      <c r="E1258" s="6" t="s">
        <v>37</v>
      </c>
      <c r="F1258" s="6" t="s">
        <v>94</v>
      </c>
      <c r="G1258" s="6" t="s">
        <v>95</v>
      </c>
      <c r="H1258" s="6">
        <v>1</v>
      </c>
      <c r="I1258" s="6" t="s">
        <v>67</v>
      </c>
      <c r="J1258" s="6" t="s">
        <v>67</v>
      </c>
      <c r="K1258" s="6">
        <v>340</v>
      </c>
      <c r="L1258" s="6" t="s">
        <v>42</v>
      </c>
      <c r="M1258" s="6" t="s">
        <v>34</v>
      </c>
    </row>
    <row r="1259" spans="1:13">
      <c r="A1259" s="6" t="s">
        <v>2397</v>
      </c>
      <c r="B1259" s="7">
        <v>46140</v>
      </c>
      <c r="C1259" s="6" t="s">
        <v>2398</v>
      </c>
      <c r="D1259" s="6" t="s">
        <v>64</v>
      </c>
      <c r="E1259" s="6" t="s">
        <v>37</v>
      </c>
      <c r="F1259" s="6" t="s">
        <v>100</v>
      </c>
      <c r="G1259" s="6" t="s">
        <v>101</v>
      </c>
      <c r="H1259" s="6">
        <v>1</v>
      </c>
      <c r="I1259" s="6" t="s">
        <v>117</v>
      </c>
      <c r="J1259" s="6" t="s">
        <v>117</v>
      </c>
      <c r="K1259" s="6" t="s">
        <v>119</v>
      </c>
      <c r="L1259" s="6" t="s">
        <v>42</v>
      </c>
      <c r="M1259" s="6" t="s">
        <v>34</v>
      </c>
    </row>
    <row r="1260" spans="1:13">
      <c r="A1260" s="6" t="s">
        <v>2399</v>
      </c>
      <c r="B1260" s="7">
        <v>46098</v>
      </c>
      <c r="C1260" s="6" t="s">
        <v>2400</v>
      </c>
      <c r="D1260" s="6" t="s">
        <v>127</v>
      </c>
      <c r="E1260" s="6" t="s">
        <v>52</v>
      </c>
      <c r="F1260" s="6" t="s">
        <v>29</v>
      </c>
      <c r="G1260" s="6" t="s">
        <v>30</v>
      </c>
      <c r="H1260" s="6">
        <v>1</v>
      </c>
      <c r="I1260" s="6" t="s">
        <v>143</v>
      </c>
      <c r="J1260" s="6" t="s">
        <v>143</v>
      </c>
      <c r="K1260" s="6">
        <v>520</v>
      </c>
      <c r="L1260" s="6" t="s">
        <v>42</v>
      </c>
      <c r="M1260" s="6" t="s">
        <v>34</v>
      </c>
    </row>
    <row r="1261" spans="1:13">
      <c r="A1261" s="6" t="s">
        <v>2401</v>
      </c>
      <c r="B1261" s="6" t="s">
        <v>891</v>
      </c>
      <c r="C1261" s="6" t="s">
        <v>2402</v>
      </c>
      <c r="D1261" s="6" t="s">
        <v>72</v>
      </c>
      <c r="E1261" s="6" t="s">
        <v>28</v>
      </c>
      <c r="F1261" s="6" t="s">
        <v>94</v>
      </c>
      <c r="G1261" s="6" t="s">
        <v>95</v>
      </c>
      <c r="H1261" s="6">
        <v>1</v>
      </c>
      <c r="I1261" s="6" t="s">
        <v>181</v>
      </c>
      <c r="J1261" s="6" t="s">
        <v>181</v>
      </c>
      <c r="K1261" s="6">
        <v>340</v>
      </c>
      <c r="L1261" s="6" t="s">
        <v>33</v>
      </c>
      <c r="M1261" s="6" t="s">
        <v>34</v>
      </c>
    </row>
    <row r="1262" spans="1:13">
      <c r="A1262" s="6" t="s">
        <v>2403</v>
      </c>
      <c r="B1262" s="7">
        <v>46090</v>
      </c>
      <c r="C1262" s="6" t="s">
        <v>2404</v>
      </c>
      <c r="D1262" s="6" t="s">
        <v>127</v>
      </c>
      <c r="E1262" s="6" t="s">
        <v>37</v>
      </c>
      <c r="F1262" s="6" t="s">
        <v>47</v>
      </c>
      <c r="G1262" s="6" t="s">
        <v>48</v>
      </c>
      <c r="H1262" s="6">
        <v>-1</v>
      </c>
      <c r="I1262" s="6" t="s">
        <v>265</v>
      </c>
      <c r="J1262" s="8" t="s">
        <v>311</v>
      </c>
      <c r="K1262" s="6">
        <v>85</v>
      </c>
      <c r="L1262" s="6" t="s">
        <v>33</v>
      </c>
      <c r="M1262" s="6" t="s">
        <v>34</v>
      </c>
    </row>
    <row r="1263" spans="1:13">
      <c r="A1263" s="6" t="s">
        <v>2405</v>
      </c>
      <c r="B1263" s="7">
        <v>46084</v>
      </c>
      <c r="C1263" s="6" t="s">
        <v>2204</v>
      </c>
      <c r="D1263" s="6" t="s">
        <v>64</v>
      </c>
      <c r="E1263" s="6" t="s">
        <v>28</v>
      </c>
      <c r="F1263" s="6" t="s">
        <v>29</v>
      </c>
      <c r="G1263" s="6" t="s">
        <v>30</v>
      </c>
      <c r="H1263" s="6">
        <v>2</v>
      </c>
      <c r="I1263" s="6" t="s">
        <v>60</v>
      </c>
      <c r="J1263" s="6" t="s">
        <v>189</v>
      </c>
      <c r="K1263" s="6">
        <v>520</v>
      </c>
      <c r="L1263" s="6" t="s">
        <v>42</v>
      </c>
      <c r="M1263" s="6" t="s">
        <v>34</v>
      </c>
    </row>
    <row r="1264" spans="1:13">
      <c r="A1264" s="6" t="s">
        <v>2406</v>
      </c>
      <c r="B1264" s="6" t="s">
        <v>1937</v>
      </c>
      <c r="C1264" s="6" t="s">
        <v>1104</v>
      </c>
      <c r="D1264" s="6" t="s">
        <v>64</v>
      </c>
      <c r="E1264" s="6" t="s">
        <v>52</v>
      </c>
      <c r="F1264" s="6" t="s">
        <v>53</v>
      </c>
      <c r="G1264" s="6" t="s">
        <v>54</v>
      </c>
      <c r="H1264" s="6">
        <v>1</v>
      </c>
      <c r="I1264" s="6" t="s">
        <v>90</v>
      </c>
      <c r="J1264" s="6" t="s">
        <v>90</v>
      </c>
      <c r="K1264" s="6" t="s">
        <v>122</v>
      </c>
      <c r="L1264" s="6" t="s">
        <v>42</v>
      </c>
      <c r="M1264" s="6" t="s">
        <v>69</v>
      </c>
    </row>
    <row r="1265" spans="1:13">
      <c r="A1265" s="6" t="s">
        <v>2407</v>
      </c>
      <c r="B1265" s="7">
        <v>46153</v>
      </c>
      <c r="C1265" s="6" t="s">
        <v>1360</v>
      </c>
      <c r="D1265" s="6" t="s">
        <v>57</v>
      </c>
      <c r="E1265" s="6" t="s">
        <v>46</v>
      </c>
      <c r="F1265" s="6" t="s">
        <v>29</v>
      </c>
      <c r="G1265" s="6" t="s">
        <v>30</v>
      </c>
      <c r="H1265" s="6">
        <v>2</v>
      </c>
      <c r="I1265" s="6" t="s">
        <v>67</v>
      </c>
      <c r="J1265" s="6" t="s">
        <v>204</v>
      </c>
      <c r="K1265" s="6" t="s">
        <v>41</v>
      </c>
      <c r="L1265" s="6" t="s">
        <v>42</v>
      </c>
      <c r="M1265" s="6" t="s">
        <v>69</v>
      </c>
    </row>
    <row r="1266" spans="1:13">
      <c r="A1266" s="6" t="s">
        <v>2408</v>
      </c>
      <c r="B1266" s="7">
        <v>46098</v>
      </c>
      <c r="C1266" s="6" t="s">
        <v>446</v>
      </c>
      <c r="D1266" s="6" t="s">
        <v>72</v>
      </c>
      <c r="E1266" s="6" t="s">
        <v>46</v>
      </c>
      <c r="F1266" s="6" t="s">
        <v>85</v>
      </c>
      <c r="G1266" s="6" t="s">
        <v>86</v>
      </c>
      <c r="H1266" s="6">
        <v>3</v>
      </c>
      <c r="I1266" s="6" t="s">
        <v>113</v>
      </c>
      <c r="J1266" s="6" t="s">
        <v>138</v>
      </c>
      <c r="K1266" s="6">
        <v>410</v>
      </c>
      <c r="L1266" s="6" t="s">
        <v>42</v>
      </c>
      <c r="M1266" s="6" t="s">
        <v>34</v>
      </c>
    </row>
    <row r="1267" spans="1:13">
      <c r="A1267" s="6" t="s">
        <v>2409</v>
      </c>
      <c r="B1267" s="7">
        <v>46079</v>
      </c>
      <c r="C1267" s="6" t="s">
        <v>2410</v>
      </c>
      <c r="D1267" s="6" t="s">
        <v>110</v>
      </c>
      <c r="E1267" s="6" t="s">
        <v>37</v>
      </c>
      <c r="F1267" s="6" t="s">
        <v>85</v>
      </c>
      <c r="G1267" s="6" t="s">
        <v>86</v>
      </c>
      <c r="H1267" s="6">
        <v>2</v>
      </c>
      <c r="I1267" s="6" t="s">
        <v>31</v>
      </c>
      <c r="J1267" s="6" t="s">
        <v>249</v>
      </c>
      <c r="K1267" s="6">
        <v>410</v>
      </c>
      <c r="L1267" s="6" t="s">
        <v>42</v>
      </c>
      <c r="M1267" s="6" t="s">
        <v>34</v>
      </c>
    </row>
    <row r="1268" spans="1:13">
      <c r="A1268" s="6" t="s">
        <v>2411</v>
      </c>
      <c r="B1268" s="7">
        <v>46170</v>
      </c>
      <c r="C1268" s="6" t="s">
        <v>2412</v>
      </c>
      <c r="D1268" s="6" t="s">
        <v>127</v>
      </c>
      <c r="E1268" s="6" t="s">
        <v>52</v>
      </c>
      <c r="F1268" s="6" t="s">
        <v>47</v>
      </c>
      <c r="G1268" s="6" t="s">
        <v>48</v>
      </c>
      <c r="H1268" s="6">
        <v>2</v>
      </c>
      <c r="I1268" s="6" t="s">
        <v>265</v>
      </c>
      <c r="J1268" s="6" t="s">
        <v>167</v>
      </c>
      <c r="K1268" s="6" t="s">
        <v>49</v>
      </c>
      <c r="L1268" s="6" t="s">
        <v>42</v>
      </c>
      <c r="M1268" s="6" t="s">
        <v>69</v>
      </c>
    </row>
    <row r="1269" spans="1:13">
      <c r="A1269" s="6" t="s">
        <v>2413</v>
      </c>
      <c r="B1269" s="7">
        <v>46031</v>
      </c>
      <c r="C1269" s="6" t="s">
        <v>784</v>
      </c>
      <c r="D1269" s="6" t="s">
        <v>45</v>
      </c>
      <c r="E1269" s="6" t="s">
        <v>28</v>
      </c>
      <c r="F1269" s="6" t="s">
        <v>53</v>
      </c>
      <c r="G1269" s="6" t="s">
        <v>54</v>
      </c>
      <c r="H1269" s="6">
        <v>2</v>
      </c>
      <c r="I1269" s="6" t="s">
        <v>113</v>
      </c>
      <c r="J1269" s="6" t="s">
        <v>192</v>
      </c>
      <c r="K1269" s="6">
        <v>190</v>
      </c>
      <c r="L1269" s="6" t="s">
        <v>42</v>
      </c>
      <c r="M1269" s="6" t="s">
        <v>34</v>
      </c>
    </row>
    <row r="1270" spans="1:13">
      <c r="A1270" s="6" t="s">
        <v>2414</v>
      </c>
      <c r="B1270" s="7">
        <v>46094</v>
      </c>
      <c r="C1270" s="6" t="s">
        <v>2273</v>
      </c>
      <c r="D1270" s="6" t="s">
        <v>110</v>
      </c>
      <c r="E1270" s="6" t="s">
        <v>52</v>
      </c>
      <c r="F1270" s="6" t="s">
        <v>29</v>
      </c>
      <c r="G1270" s="6" t="s">
        <v>30</v>
      </c>
      <c r="H1270" s="6">
        <v>1</v>
      </c>
      <c r="I1270" s="6" t="s">
        <v>181</v>
      </c>
      <c r="J1270" s="6" t="s">
        <v>1715</v>
      </c>
      <c r="K1270" s="6">
        <v>520</v>
      </c>
      <c r="L1270" s="6" t="s">
        <v>42</v>
      </c>
      <c r="M1270" s="6" t="s">
        <v>34</v>
      </c>
    </row>
    <row r="1271" spans="1:13">
      <c r="A1271" s="6" t="s">
        <v>2415</v>
      </c>
      <c r="B1271" s="7">
        <v>46139</v>
      </c>
      <c r="C1271" s="6" t="s">
        <v>1202</v>
      </c>
      <c r="D1271" s="6" t="s">
        <v>45</v>
      </c>
      <c r="E1271" s="6" t="s">
        <v>78</v>
      </c>
      <c r="F1271" s="6" t="s">
        <v>53</v>
      </c>
      <c r="G1271" s="6" t="s">
        <v>54</v>
      </c>
      <c r="H1271" s="6">
        <v>1</v>
      </c>
      <c r="I1271" s="6" t="s">
        <v>79</v>
      </c>
      <c r="J1271" s="6" t="s">
        <v>79</v>
      </c>
      <c r="K1271" s="6" t="s">
        <v>122</v>
      </c>
      <c r="L1271" s="6" t="s">
        <v>33</v>
      </c>
      <c r="M1271" s="6" t="s">
        <v>34</v>
      </c>
    </row>
    <row r="1272" spans="1:13">
      <c r="A1272" s="6" t="s">
        <v>2416</v>
      </c>
      <c r="B1272" s="7">
        <v>46150</v>
      </c>
      <c r="C1272" s="6" t="s">
        <v>1511</v>
      </c>
      <c r="D1272" s="6" t="s">
        <v>77</v>
      </c>
      <c r="E1272" s="6" t="s">
        <v>52</v>
      </c>
      <c r="F1272" s="6" t="s">
        <v>29</v>
      </c>
      <c r="G1272" s="6" t="s">
        <v>30</v>
      </c>
      <c r="H1272" s="6">
        <v>2</v>
      </c>
      <c r="I1272" s="6" t="s">
        <v>181</v>
      </c>
      <c r="J1272" s="6" t="s">
        <v>163</v>
      </c>
      <c r="K1272" s="6" t="s">
        <v>41</v>
      </c>
      <c r="L1272" s="6" t="s">
        <v>33</v>
      </c>
      <c r="M1272" s="6" t="s">
        <v>34</v>
      </c>
    </row>
    <row r="1273" spans="1:13">
      <c r="A1273" s="6" t="s">
        <v>2417</v>
      </c>
      <c r="B1273" s="7">
        <v>46040</v>
      </c>
      <c r="C1273" s="6" t="s">
        <v>988</v>
      </c>
      <c r="D1273" s="6" t="s">
        <v>72</v>
      </c>
      <c r="E1273" s="6" t="s">
        <v>46</v>
      </c>
      <c r="F1273" s="6" t="s">
        <v>53</v>
      </c>
      <c r="G1273" s="6" t="s">
        <v>54</v>
      </c>
      <c r="H1273" s="6">
        <v>1</v>
      </c>
      <c r="I1273" s="6" t="s">
        <v>143</v>
      </c>
      <c r="J1273" s="6" t="s">
        <v>143</v>
      </c>
      <c r="K1273" s="6">
        <v>190</v>
      </c>
      <c r="L1273" s="6" t="s">
        <v>33</v>
      </c>
      <c r="M1273" s="6" t="s">
        <v>69</v>
      </c>
    </row>
    <row r="1274" spans="1:13">
      <c r="A1274" s="6" t="s">
        <v>2418</v>
      </c>
      <c r="B1274" s="7">
        <v>46028</v>
      </c>
      <c r="C1274" s="6" t="s">
        <v>2419</v>
      </c>
      <c r="D1274" s="6" t="s">
        <v>127</v>
      </c>
      <c r="E1274" s="6" t="s">
        <v>37</v>
      </c>
      <c r="F1274" s="6" t="s">
        <v>58</v>
      </c>
      <c r="G1274" s="6" t="s">
        <v>59</v>
      </c>
      <c r="H1274" s="6">
        <v>2</v>
      </c>
      <c r="I1274" s="6" t="s">
        <v>113</v>
      </c>
      <c r="J1274" s="6" t="s">
        <v>192</v>
      </c>
      <c r="K1274" s="6">
        <v>380</v>
      </c>
      <c r="L1274" s="6" t="s">
        <v>42</v>
      </c>
      <c r="M1274" s="6" t="s">
        <v>34</v>
      </c>
    </row>
    <row r="1275" spans="1:13">
      <c r="A1275" s="6" t="s">
        <v>2420</v>
      </c>
      <c r="B1275" s="7">
        <v>46127</v>
      </c>
      <c r="C1275" s="6" t="s">
        <v>2421</v>
      </c>
      <c r="D1275" s="6" t="s">
        <v>45</v>
      </c>
      <c r="E1275" s="6" t="s">
        <v>52</v>
      </c>
      <c r="F1275" s="6" t="s">
        <v>100</v>
      </c>
      <c r="G1275" s="6" t="s">
        <v>101</v>
      </c>
      <c r="H1275" s="6">
        <v>3</v>
      </c>
      <c r="I1275" s="6" t="s">
        <v>90</v>
      </c>
      <c r="J1275" s="6" t="s">
        <v>102</v>
      </c>
      <c r="K1275" s="6">
        <v>640</v>
      </c>
      <c r="L1275" s="6" t="s">
        <v>33</v>
      </c>
      <c r="M1275" s="6" t="s">
        <v>34</v>
      </c>
    </row>
    <row r="1276" spans="1:13">
      <c r="A1276" s="6" t="s">
        <v>2422</v>
      </c>
      <c r="B1276" s="7">
        <v>46101</v>
      </c>
      <c r="C1276" s="6" t="s">
        <v>1442</v>
      </c>
      <c r="D1276" s="6" t="s">
        <v>105</v>
      </c>
      <c r="E1276" s="6" t="s">
        <v>37</v>
      </c>
      <c r="F1276" s="6" t="s">
        <v>85</v>
      </c>
      <c r="G1276" s="6" t="s">
        <v>86</v>
      </c>
      <c r="H1276" s="6">
        <v>2</v>
      </c>
      <c r="I1276" s="6" t="s">
        <v>143</v>
      </c>
      <c r="J1276" s="6" t="s">
        <v>144</v>
      </c>
      <c r="K1276" s="6">
        <v>410</v>
      </c>
      <c r="L1276" s="6" t="s">
        <v>42</v>
      </c>
      <c r="M1276" s="6" t="s">
        <v>34</v>
      </c>
    </row>
    <row r="1277" spans="1:13">
      <c r="A1277" s="6" t="s">
        <v>2423</v>
      </c>
      <c r="B1277" s="7">
        <v>46056</v>
      </c>
      <c r="C1277" s="6" t="s">
        <v>1139</v>
      </c>
      <c r="D1277" s="6" t="s">
        <v>57</v>
      </c>
      <c r="E1277" s="6" t="s">
        <v>52</v>
      </c>
      <c r="F1277" s="6" t="s">
        <v>29</v>
      </c>
      <c r="G1277" s="6" t="s">
        <v>30</v>
      </c>
      <c r="H1277" s="6">
        <v>2</v>
      </c>
      <c r="I1277" s="6" t="s">
        <v>143</v>
      </c>
      <c r="J1277" s="6" t="s">
        <v>144</v>
      </c>
      <c r="K1277" s="6">
        <v>520</v>
      </c>
      <c r="L1277" s="6" t="s">
        <v>42</v>
      </c>
      <c r="M1277" s="6" t="s">
        <v>34</v>
      </c>
    </row>
    <row r="1278" spans="1:13">
      <c r="A1278" s="6" t="s">
        <v>2424</v>
      </c>
      <c r="B1278" s="7">
        <v>46109</v>
      </c>
      <c r="C1278" s="6" t="s">
        <v>2425</v>
      </c>
      <c r="D1278" s="6" t="s">
        <v>105</v>
      </c>
      <c r="E1278" s="6" t="s">
        <v>46</v>
      </c>
      <c r="F1278" s="6" t="s">
        <v>29</v>
      </c>
      <c r="G1278" s="6" t="s">
        <v>30</v>
      </c>
      <c r="H1278" s="6">
        <v>1</v>
      </c>
      <c r="I1278" s="6" t="s">
        <v>113</v>
      </c>
      <c r="J1278" s="6" t="s">
        <v>113</v>
      </c>
      <c r="K1278" s="6">
        <v>520</v>
      </c>
      <c r="L1278" s="6" t="s">
        <v>42</v>
      </c>
      <c r="M1278" s="6" t="s">
        <v>34</v>
      </c>
    </row>
    <row r="1279" spans="1:13">
      <c r="A1279" s="6" t="s">
        <v>2426</v>
      </c>
      <c r="B1279" s="7">
        <v>46146</v>
      </c>
      <c r="C1279" s="6" t="s">
        <v>161</v>
      </c>
      <c r="D1279" s="6" t="s">
        <v>45</v>
      </c>
      <c r="E1279" s="6" t="s">
        <v>37</v>
      </c>
      <c r="F1279" s="6" t="s">
        <v>58</v>
      </c>
      <c r="G1279" s="6" t="s">
        <v>59</v>
      </c>
      <c r="H1279" s="6">
        <v>1</v>
      </c>
      <c r="I1279" s="6" t="s">
        <v>231</v>
      </c>
      <c r="J1279" s="6" t="s">
        <v>231</v>
      </c>
      <c r="K1279" s="6" t="s">
        <v>61</v>
      </c>
      <c r="L1279" s="6" t="s">
        <v>42</v>
      </c>
      <c r="M1279" s="6" t="s">
        <v>69</v>
      </c>
    </row>
    <row r="1280" spans="1:13">
      <c r="A1280" s="6" t="s">
        <v>2427</v>
      </c>
      <c r="B1280" s="7">
        <v>46028</v>
      </c>
      <c r="C1280" s="6" t="s">
        <v>2119</v>
      </c>
      <c r="D1280" s="6" t="s">
        <v>77</v>
      </c>
      <c r="E1280" s="6" t="s">
        <v>46</v>
      </c>
      <c r="F1280" s="6" t="s">
        <v>29</v>
      </c>
      <c r="G1280" s="6" t="s">
        <v>30</v>
      </c>
      <c r="H1280" s="6">
        <v>2</v>
      </c>
      <c r="I1280" s="6" t="s">
        <v>67</v>
      </c>
      <c r="J1280" s="6" t="s">
        <v>204</v>
      </c>
      <c r="K1280" s="6">
        <v>520</v>
      </c>
      <c r="L1280" s="6" t="s">
        <v>33</v>
      </c>
      <c r="M1280" s="6" t="s">
        <v>69</v>
      </c>
    </row>
    <row r="1281" spans="1:13">
      <c r="A1281" s="6" t="s">
        <v>2428</v>
      </c>
      <c r="B1281" s="6" t="s">
        <v>173</v>
      </c>
      <c r="C1281" s="6" t="s">
        <v>573</v>
      </c>
      <c r="D1281" s="6" t="s">
        <v>27</v>
      </c>
      <c r="E1281" s="6" t="s">
        <v>52</v>
      </c>
      <c r="F1281" s="6" t="s">
        <v>58</v>
      </c>
      <c r="G1281" s="6" t="s">
        <v>59</v>
      </c>
      <c r="H1281" s="6">
        <v>-2</v>
      </c>
      <c r="I1281" s="6" t="s">
        <v>231</v>
      </c>
      <c r="J1281" s="8" t="s">
        <v>2429</v>
      </c>
      <c r="K1281" s="6" t="s">
        <v>61</v>
      </c>
      <c r="L1281" s="6" t="s">
        <v>33</v>
      </c>
      <c r="M1281" s="6" t="s">
        <v>34</v>
      </c>
    </row>
    <row r="1282" spans="1:13">
      <c r="A1282" s="6" t="s">
        <v>2348</v>
      </c>
      <c r="B1282" s="7">
        <v>46149</v>
      </c>
      <c r="C1282" s="6" t="s">
        <v>672</v>
      </c>
      <c r="D1282" s="6" t="s">
        <v>45</v>
      </c>
      <c r="E1282" s="6" t="s">
        <v>52</v>
      </c>
      <c r="F1282" s="6" t="s">
        <v>47</v>
      </c>
      <c r="G1282" s="6" t="s">
        <v>48</v>
      </c>
      <c r="H1282" s="6">
        <v>2</v>
      </c>
      <c r="I1282" s="6" t="s">
        <v>90</v>
      </c>
      <c r="J1282" s="6" t="s">
        <v>154</v>
      </c>
      <c r="K1282" s="6" t="s">
        <v>49</v>
      </c>
      <c r="L1282" s="6" t="s">
        <v>42</v>
      </c>
      <c r="M1282" s="6" t="s">
        <v>34</v>
      </c>
    </row>
    <row r="1283" spans="1:13">
      <c r="A1283" s="6" t="s">
        <v>2430</v>
      </c>
      <c r="B1283" s="7">
        <v>46107</v>
      </c>
      <c r="C1283" s="6" t="s">
        <v>2273</v>
      </c>
      <c r="D1283" s="6" t="s">
        <v>110</v>
      </c>
      <c r="E1283" s="6" t="s">
        <v>46</v>
      </c>
      <c r="F1283" s="6" t="s">
        <v>38</v>
      </c>
      <c r="G1283" s="6" t="s">
        <v>39</v>
      </c>
      <c r="H1283" s="6">
        <v>1</v>
      </c>
      <c r="I1283" s="6" t="s">
        <v>67</v>
      </c>
      <c r="J1283" s="6" t="s">
        <v>67</v>
      </c>
      <c r="K1283" s="6">
        <v>520</v>
      </c>
      <c r="L1283" s="6" t="s">
        <v>33</v>
      </c>
      <c r="M1283" s="6" t="s">
        <v>34</v>
      </c>
    </row>
    <row r="1284" spans="1:13">
      <c r="A1284" s="6" t="s">
        <v>2431</v>
      </c>
      <c r="B1284" s="7">
        <v>46065</v>
      </c>
      <c r="C1284" s="6" t="s">
        <v>2432</v>
      </c>
      <c r="D1284" s="6" t="s">
        <v>45</v>
      </c>
      <c r="E1284" s="6" t="s">
        <v>28</v>
      </c>
      <c r="F1284" s="6" t="s">
        <v>85</v>
      </c>
      <c r="G1284" s="6" t="s">
        <v>86</v>
      </c>
      <c r="H1284" s="6">
        <v>3</v>
      </c>
      <c r="I1284" s="6" t="s">
        <v>117</v>
      </c>
      <c r="J1284" s="6" t="s">
        <v>171</v>
      </c>
      <c r="K1284" s="6">
        <v>410</v>
      </c>
      <c r="L1284" s="6" t="s">
        <v>33</v>
      </c>
      <c r="M1284" s="6" t="s">
        <v>34</v>
      </c>
    </row>
    <row r="1285" spans="1:13">
      <c r="A1285" s="6" t="s">
        <v>2433</v>
      </c>
      <c r="B1285" s="7">
        <v>46073</v>
      </c>
      <c r="C1285" s="6" t="s">
        <v>276</v>
      </c>
      <c r="D1285" s="6" t="s">
        <v>45</v>
      </c>
      <c r="E1285" s="6" t="s">
        <v>46</v>
      </c>
      <c r="F1285" s="6" t="s">
        <v>58</v>
      </c>
      <c r="G1285" s="6" t="s">
        <v>59</v>
      </c>
      <c r="H1285" s="6">
        <v>2</v>
      </c>
      <c r="I1285" s="6" t="s">
        <v>113</v>
      </c>
      <c r="J1285" s="6" t="s">
        <v>192</v>
      </c>
      <c r="K1285" s="6">
        <v>380</v>
      </c>
      <c r="L1285" s="6" t="s">
        <v>42</v>
      </c>
      <c r="M1285" s="6" t="s">
        <v>69</v>
      </c>
    </row>
    <row r="1286" spans="1:13">
      <c r="A1286" s="6" t="s">
        <v>2434</v>
      </c>
      <c r="B1286" s="7">
        <v>46038</v>
      </c>
      <c r="C1286" s="6" t="s">
        <v>324</v>
      </c>
      <c r="D1286" s="6" t="s">
        <v>57</v>
      </c>
      <c r="E1286" s="6" t="s">
        <v>46</v>
      </c>
      <c r="F1286" s="6" t="s">
        <v>53</v>
      </c>
      <c r="G1286" s="6" t="s">
        <v>54</v>
      </c>
      <c r="H1286" s="6">
        <v>2</v>
      </c>
      <c r="I1286" s="6" t="s">
        <v>79</v>
      </c>
      <c r="J1286" s="6" t="s">
        <v>259</v>
      </c>
      <c r="K1286" s="6">
        <v>190</v>
      </c>
      <c r="L1286" s="6" t="s">
        <v>42</v>
      </c>
      <c r="M1286" s="6" t="s">
        <v>34</v>
      </c>
    </row>
    <row r="1287" spans="1:13">
      <c r="A1287" s="6" t="s">
        <v>2435</v>
      </c>
      <c r="B1287" s="7">
        <v>46191</v>
      </c>
      <c r="C1287" s="6" t="s">
        <v>2195</v>
      </c>
      <c r="D1287" s="6" t="s">
        <v>110</v>
      </c>
      <c r="E1287" s="6" t="s">
        <v>28</v>
      </c>
      <c r="F1287" s="6" t="s">
        <v>47</v>
      </c>
      <c r="G1287" s="6" t="s">
        <v>48</v>
      </c>
      <c r="H1287" s="6">
        <v>1</v>
      </c>
      <c r="I1287" s="6" t="s">
        <v>147</v>
      </c>
      <c r="J1287" s="6" t="s">
        <v>147</v>
      </c>
      <c r="K1287" s="6" t="s">
        <v>49</v>
      </c>
      <c r="L1287" s="6" t="s">
        <v>42</v>
      </c>
      <c r="M1287" s="6" t="s">
        <v>34</v>
      </c>
    </row>
    <row r="1288" spans="1:13">
      <c r="A1288" s="6" t="s">
        <v>2436</v>
      </c>
      <c r="B1288" s="6" t="s">
        <v>1831</v>
      </c>
      <c r="C1288" s="6" t="s">
        <v>2437</v>
      </c>
      <c r="D1288" s="6" t="s">
        <v>127</v>
      </c>
      <c r="E1288" s="6" t="s">
        <v>46</v>
      </c>
      <c r="F1288" s="6" t="s">
        <v>29</v>
      </c>
      <c r="G1288" s="6" t="s">
        <v>30</v>
      </c>
      <c r="H1288" s="6">
        <v>2</v>
      </c>
      <c r="I1288" s="6" t="s">
        <v>82</v>
      </c>
      <c r="J1288" s="6" t="s">
        <v>297</v>
      </c>
      <c r="K1288" s="6">
        <v>520</v>
      </c>
      <c r="L1288" s="6" t="s">
        <v>42</v>
      </c>
      <c r="M1288" s="6" t="s">
        <v>34</v>
      </c>
    </row>
    <row r="1289" spans="1:13">
      <c r="A1289" s="6" t="s">
        <v>2438</v>
      </c>
      <c r="B1289" s="7">
        <v>46059</v>
      </c>
      <c r="C1289" s="6" t="s">
        <v>2439</v>
      </c>
      <c r="D1289" s="6" t="s">
        <v>45</v>
      </c>
      <c r="E1289" s="6" t="s">
        <v>52</v>
      </c>
      <c r="F1289" s="6" t="s">
        <v>38</v>
      </c>
      <c r="G1289" s="6" t="s">
        <v>39</v>
      </c>
      <c r="H1289" s="6">
        <v>2</v>
      </c>
      <c r="I1289" s="6" t="s">
        <v>748</v>
      </c>
      <c r="J1289" s="6" t="s">
        <v>192</v>
      </c>
      <c r="K1289" s="6">
        <v>520</v>
      </c>
      <c r="L1289" s="6" t="s">
        <v>42</v>
      </c>
      <c r="M1289" s="6" t="s">
        <v>34</v>
      </c>
    </row>
    <row r="1290" spans="1:13">
      <c r="A1290" s="6" t="s">
        <v>2440</v>
      </c>
      <c r="B1290" s="7">
        <v>46164</v>
      </c>
      <c r="C1290" s="6" t="s">
        <v>1877</v>
      </c>
      <c r="D1290" s="6" t="s">
        <v>45</v>
      </c>
      <c r="E1290" s="6" t="s">
        <v>28</v>
      </c>
      <c r="F1290" s="6" t="s">
        <v>53</v>
      </c>
      <c r="G1290" s="6" t="s">
        <v>54</v>
      </c>
      <c r="H1290" s="6">
        <v>1</v>
      </c>
      <c r="I1290" s="6" t="s">
        <v>113</v>
      </c>
      <c r="J1290" s="6" t="s">
        <v>113</v>
      </c>
      <c r="K1290" s="6" t="s">
        <v>122</v>
      </c>
      <c r="L1290" s="6" t="s">
        <v>42</v>
      </c>
      <c r="M1290" s="6" t="s">
        <v>34</v>
      </c>
    </row>
    <row r="1291" spans="1:13">
      <c r="A1291" s="6" t="s">
        <v>2441</v>
      </c>
      <c r="B1291" s="7">
        <v>46199</v>
      </c>
      <c r="C1291" s="6" t="s">
        <v>1863</v>
      </c>
      <c r="D1291" s="6" t="s">
        <v>45</v>
      </c>
      <c r="E1291" s="6" t="s">
        <v>46</v>
      </c>
      <c r="F1291" s="6" t="s">
        <v>94</v>
      </c>
      <c r="G1291" s="6" t="s">
        <v>95</v>
      </c>
      <c r="H1291" s="6">
        <v>1</v>
      </c>
      <c r="I1291" s="6" t="s">
        <v>79</v>
      </c>
      <c r="J1291" s="6" t="s">
        <v>79</v>
      </c>
      <c r="K1291" s="6" t="s">
        <v>114</v>
      </c>
      <c r="L1291" s="6" t="s">
        <v>42</v>
      </c>
      <c r="M1291" s="6" t="s">
        <v>34</v>
      </c>
    </row>
    <row r="1292" spans="1:13">
      <c r="A1292" s="6" t="s">
        <v>2442</v>
      </c>
      <c r="B1292" s="6" t="s">
        <v>1937</v>
      </c>
      <c r="C1292" s="6" t="s">
        <v>1007</v>
      </c>
      <c r="D1292" s="6" t="s">
        <v>64</v>
      </c>
      <c r="E1292" s="6" t="s">
        <v>28</v>
      </c>
      <c r="F1292" s="6" t="s">
        <v>38</v>
      </c>
      <c r="G1292" s="6" t="s">
        <v>39</v>
      </c>
      <c r="H1292" s="6">
        <v>1</v>
      </c>
      <c r="I1292" s="6" t="s">
        <v>31</v>
      </c>
      <c r="J1292" s="6" t="s">
        <v>31</v>
      </c>
      <c r="K1292" s="6" t="s">
        <v>41</v>
      </c>
      <c r="L1292" s="6" t="s">
        <v>42</v>
      </c>
      <c r="M1292" s="6" t="s">
        <v>34</v>
      </c>
    </row>
    <row r="1293" spans="1:13">
      <c r="A1293" s="6" t="s">
        <v>2443</v>
      </c>
      <c r="B1293" s="6" t="s">
        <v>2029</v>
      </c>
      <c r="C1293" s="6" t="s">
        <v>1059</v>
      </c>
      <c r="D1293" s="6" t="s">
        <v>27</v>
      </c>
      <c r="E1293" s="6" t="s">
        <v>78</v>
      </c>
      <c r="F1293" s="6" t="s">
        <v>85</v>
      </c>
      <c r="G1293" s="6" t="s">
        <v>86</v>
      </c>
      <c r="H1293" s="6">
        <v>3</v>
      </c>
      <c r="I1293" s="6" t="s">
        <v>113</v>
      </c>
      <c r="J1293" s="6" t="s">
        <v>138</v>
      </c>
      <c r="K1293" s="6">
        <v>410</v>
      </c>
      <c r="L1293" s="6" t="s">
        <v>42</v>
      </c>
      <c r="M1293" s="6" t="s">
        <v>34</v>
      </c>
    </row>
    <row r="1294" spans="1:13">
      <c r="A1294" s="6" t="s">
        <v>2444</v>
      </c>
      <c r="B1294" s="7">
        <v>46102</v>
      </c>
      <c r="C1294" s="6" t="s">
        <v>578</v>
      </c>
      <c r="D1294" s="6" t="s">
        <v>64</v>
      </c>
      <c r="E1294" s="6" t="s">
        <v>46</v>
      </c>
      <c r="F1294" s="6" t="s">
        <v>29</v>
      </c>
      <c r="G1294" s="6" t="s">
        <v>30</v>
      </c>
      <c r="H1294" s="6">
        <v>1</v>
      </c>
      <c r="I1294" s="6" t="s">
        <v>31</v>
      </c>
      <c r="J1294" s="6" t="s">
        <v>31</v>
      </c>
      <c r="K1294" s="6">
        <v>520</v>
      </c>
      <c r="L1294" s="6" t="s">
        <v>33</v>
      </c>
      <c r="M1294" s="6" t="s">
        <v>69</v>
      </c>
    </row>
    <row r="1295" spans="1:13">
      <c r="A1295" s="6" t="s">
        <v>2445</v>
      </c>
      <c r="B1295" s="7">
        <v>46186</v>
      </c>
      <c r="C1295" s="6" t="s">
        <v>2123</v>
      </c>
      <c r="D1295" s="6" t="s">
        <v>57</v>
      </c>
      <c r="E1295" s="6" t="s">
        <v>52</v>
      </c>
      <c r="F1295" s="6" t="s">
        <v>100</v>
      </c>
      <c r="G1295" s="6" t="s">
        <v>101</v>
      </c>
      <c r="H1295" s="6">
        <v>1</v>
      </c>
      <c r="I1295" s="6" t="s">
        <v>82</v>
      </c>
      <c r="J1295" s="6" t="s">
        <v>82</v>
      </c>
      <c r="K1295" s="6" t="s">
        <v>119</v>
      </c>
      <c r="L1295" s="6" t="s">
        <v>42</v>
      </c>
      <c r="M1295" s="6" t="s">
        <v>34</v>
      </c>
    </row>
    <row r="1296" spans="1:13">
      <c r="A1296" s="6" t="s">
        <v>2446</v>
      </c>
      <c r="B1296" s="7">
        <v>46151</v>
      </c>
      <c r="C1296" s="6" t="s">
        <v>1343</v>
      </c>
      <c r="D1296" s="6" t="s">
        <v>72</v>
      </c>
      <c r="E1296" s="6" t="s">
        <v>52</v>
      </c>
      <c r="F1296" s="6" t="s">
        <v>29</v>
      </c>
      <c r="G1296" s="6" t="s">
        <v>30</v>
      </c>
      <c r="H1296" s="6">
        <v>1</v>
      </c>
      <c r="I1296" s="6" t="s">
        <v>67</v>
      </c>
      <c r="J1296" s="6" t="s">
        <v>67</v>
      </c>
      <c r="K1296" s="6" t="s">
        <v>41</v>
      </c>
      <c r="L1296" s="6" t="s">
        <v>42</v>
      </c>
      <c r="M1296" s="6" t="s">
        <v>34</v>
      </c>
    </row>
    <row r="1297" spans="1:13">
      <c r="A1297" s="6" t="s">
        <v>2447</v>
      </c>
      <c r="B1297" s="7">
        <v>46082</v>
      </c>
      <c r="C1297" s="6" t="s">
        <v>1263</v>
      </c>
      <c r="D1297" s="6" t="s">
        <v>127</v>
      </c>
      <c r="E1297" s="6" t="s">
        <v>37</v>
      </c>
      <c r="F1297" s="6" t="s">
        <v>53</v>
      </c>
      <c r="G1297" s="6" t="s">
        <v>54</v>
      </c>
      <c r="H1297" s="6">
        <v>1</v>
      </c>
      <c r="I1297" s="6" t="s">
        <v>82</v>
      </c>
      <c r="J1297" s="6" t="s">
        <v>82</v>
      </c>
      <c r="K1297" s="6">
        <v>190</v>
      </c>
      <c r="L1297" s="6" t="s">
        <v>33</v>
      </c>
      <c r="M1297" s="6" t="s">
        <v>69</v>
      </c>
    </row>
    <row r="1298" spans="1:13">
      <c r="A1298" s="6" t="s">
        <v>2448</v>
      </c>
      <c r="B1298" s="7">
        <v>46141</v>
      </c>
      <c r="C1298" s="6" t="s">
        <v>1218</v>
      </c>
      <c r="D1298" s="6" t="s">
        <v>127</v>
      </c>
      <c r="E1298" s="6" t="s">
        <v>37</v>
      </c>
      <c r="F1298" s="6" t="s">
        <v>29</v>
      </c>
      <c r="G1298" s="6" t="s">
        <v>30</v>
      </c>
      <c r="H1298" s="6">
        <v>2</v>
      </c>
      <c r="I1298" s="6" t="s">
        <v>67</v>
      </c>
      <c r="J1298" s="6" t="s">
        <v>2449</v>
      </c>
      <c r="K1298" s="6" t="s">
        <v>41</v>
      </c>
      <c r="L1298" s="6" t="s">
        <v>42</v>
      </c>
      <c r="M1298" s="6" t="s">
        <v>69</v>
      </c>
    </row>
    <row r="1299" spans="1:13">
      <c r="A1299" s="6" t="s">
        <v>2450</v>
      </c>
      <c r="B1299" s="7">
        <v>46032</v>
      </c>
      <c r="C1299" s="6" t="s">
        <v>538</v>
      </c>
      <c r="D1299" s="6" t="s">
        <v>45</v>
      </c>
      <c r="E1299" s="6" t="s">
        <v>78</v>
      </c>
      <c r="F1299" s="6" t="s">
        <v>29</v>
      </c>
      <c r="G1299" s="6" t="s">
        <v>30</v>
      </c>
      <c r="H1299" s="6">
        <v>1</v>
      </c>
      <c r="I1299" s="6" t="s">
        <v>117</v>
      </c>
      <c r="J1299" s="6" t="s">
        <v>117</v>
      </c>
      <c r="K1299" s="6">
        <v>520</v>
      </c>
      <c r="L1299" s="6" t="s">
        <v>42</v>
      </c>
      <c r="M1299" s="6" t="s">
        <v>34</v>
      </c>
    </row>
    <row r="1300" spans="1:13">
      <c r="A1300" s="6" t="s">
        <v>2451</v>
      </c>
      <c r="B1300" s="7">
        <v>46063</v>
      </c>
      <c r="C1300" s="6" t="s">
        <v>534</v>
      </c>
      <c r="D1300" s="6" t="s">
        <v>64</v>
      </c>
      <c r="E1300" s="6" t="s">
        <v>78</v>
      </c>
      <c r="F1300" s="6" t="s">
        <v>58</v>
      </c>
      <c r="G1300" s="6" t="s">
        <v>59</v>
      </c>
      <c r="H1300" s="6">
        <v>1</v>
      </c>
      <c r="I1300" s="6" t="s">
        <v>147</v>
      </c>
      <c r="J1300" s="6" t="s">
        <v>147</v>
      </c>
      <c r="K1300" s="6">
        <v>380</v>
      </c>
      <c r="L1300" s="6" t="s">
        <v>42</v>
      </c>
      <c r="M1300" s="6" t="s">
        <v>34</v>
      </c>
    </row>
    <row r="1301" spans="1:13">
      <c r="A1301" s="6" t="s">
        <v>2452</v>
      </c>
      <c r="B1301" s="7">
        <v>46116</v>
      </c>
      <c r="C1301" s="6" t="s">
        <v>1263</v>
      </c>
      <c r="D1301" s="6" t="s">
        <v>77</v>
      </c>
      <c r="E1301" s="6" t="s">
        <v>37</v>
      </c>
      <c r="F1301" s="6" t="s">
        <v>29</v>
      </c>
      <c r="G1301" s="6" t="s">
        <v>30</v>
      </c>
      <c r="H1301" s="6">
        <v>-3</v>
      </c>
      <c r="I1301" s="6" t="s">
        <v>113</v>
      </c>
      <c r="J1301" s="8" t="s">
        <v>1913</v>
      </c>
      <c r="K1301" s="6">
        <v>520</v>
      </c>
      <c r="L1301" s="6" t="s">
        <v>42</v>
      </c>
      <c r="M1301" s="6" t="s">
        <v>69</v>
      </c>
    </row>
    <row r="1302" spans="1:13">
      <c r="A1302" s="6" t="s">
        <v>2453</v>
      </c>
      <c r="B1302" s="7">
        <v>46130</v>
      </c>
      <c r="C1302" s="6" t="s">
        <v>831</v>
      </c>
      <c r="D1302" s="6" t="s">
        <v>45</v>
      </c>
      <c r="E1302" s="6" t="s">
        <v>78</v>
      </c>
      <c r="F1302" s="6" t="s">
        <v>58</v>
      </c>
      <c r="G1302" s="6" t="s">
        <v>59</v>
      </c>
      <c r="H1302" s="6">
        <v>1</v>
      </c>
      <c r="I1302" s="6" t="s">
        <v>151</v>
      </c>
      <c r="J1302" s="6" t="s">
        <v>31</v>
      </c>
      <c r="K1302" s="6">
        <v>380</v>
      </c>
      <c r="L1302" s="6" t="s">
        <v>42</v>
      </c>
      <c r="M1302" s="6" t="s">
        <v>34</v>
      </c>
    </row>
    <row r="1303" spans="1:13">
      <c r="A1303" s="6" t="s">
        <v>2454</v>
      </c>
      <c r="B1303" s="7">
        <v>46132</v>
      </c>
      <c r="C1303" s="6" t="s">
        <v>2404</v>
      </c>
      <c r="D1303" s="6" t="s">
        <v>57</v>
      </c>
      <c r="E1303" s="6" t="s">
        <v>52</v>
      </c>
      <c r="F1303" s="6" t="s">
        <v>85</v>
      </c>
      <c r="G1303" s="6" t="s">
        <v>86</v>
      </c>
      <c r="H1303" s="6">
        <v>1</v>
      </c>
      <c r="I1303" s="6" t="s">
        <v>117</v>
      </c>
      <c r="J1303" s="6" t="s">
        <v>117</v>
      </c>
      <c r="K1303" s="6" t="s">
        <v>87</v>
      </c>
      <c r="L1303" s="6" t="s">
        <v>42</v>
      </c>
      <c r="M1303" s="6" t="s">
        <v>34</v>
      </c>
    </row>
    <row r="1304" spans="1:13">
      <c r="A1304" s="6" t="s">
        <v>2455</v>
      </c>
      <c r="B1304" s="7">
        <v>46198</v>
      </c>
      <c r="C1304" s="6" t="s">
        <v>1630</v>
      </c>
      <c r="D1304" s="6" t="s">
        <v>72</v>
      </c>
      <c r="E1304" s="6" t="s">
        <v>46</v>
      </c>
      <c r="F1304" s="6" t="s">
        <v>58</v>
      </c>
      <c r="G1304" s="6" t="s">
        <v>59</v>
      </c>
      <c r="H1304" s="6">
        <v>1</v>
      </c>
      <c r="I1304" s="6" t="s">
        <v>143</v>
      </c>
      <c r="J1304" s="6" t="s">
        <v>143</v>
      </c>
      <c r="K1304" s="6" t="s">
        <v>61</v>
      </c>
      <c r="L1304" s="6" t="s">
        <v>42</v>
      </c>
      <c r="M1304" s="6" t="s">
        <v>34</v>
      </c>
    </row>
    <row r="1305" spans="1:13">
      <c r="A1305" s="6" t="s">
        <v>2456</v>
      </c>
      <c r="B1305" s="7">
        <v>46185</v>
      </c>
      <c r="C1305" s="6" t="s">
        <v>1122</v>
      </c>
      <c r="D1305" s="6" t="s">
        <v>77</v>
      </c>
      <c r="E1305" s="6" t="s">
        <v>37</v>
      </c>
      <c r="F1305" s="6" t="s">
        <v>94</v>
      </c>
      <c r="G1305" s="6" t="s">
        <v>95</v>
      </c>
      <c r="H1305" s="6">
        <v>1</v>
      </c>
      <c r="I1305" s="6" t="s">
        <v>113</v>
      </c>
      <c r="J1305" s="6" t="s">
        <v>113</v>
      </c>
      <c r="K1305" s="6" t="s">
        <v>114</v>
      </c>
      <c r="L1305" s="6" t="s">
        <v>42</v>
      </c>
      <c r="M1305" s="6" t="s">
        <v>34</v>
      </c>
    </row>
    <row r="1306" spans="1:13">
      <c r="A1306" s="6" t="s">
        <v>2457</v>
      </c>
      <c r="B1306" s="7">
        <v>46169</v>
      </c>
      <c r="C1306" s="6" t="s">
        <v>2458</v>
      </c>
      <c r="D1306" s="6" t="s">
        <v>105</v>
      </c>
      <c r="E1306" s="6" t="s">
        <v>52</v>
      </c>
      <c r="F1306" s="6" t="s">
        <v>29</v>
      </c>
      <c r="G1306" s="6" t="s">
        <v>30</v>
      </c>
      <c r="H1306" s="6">
        <v>1</v>
      </c>
      <c r="I1306" s="6" t="s">
        <v>231</v>
      </c>
      <c r="J1306" s="6" t="s">
        <v>231</v>
      </c>
      <c r="K1306" s="6" t="s">
        <v>41</v>
      </c>
      <c r="L1306" s="6" t="s">
        <v>33</v>
      </c>
      <c r="M1306" s="6" t="s">
        <v>69</v>
      </c>
    </row>
    <row r="1307" spans="1:13">
      <c r="A1307" s="6" t="s">
        <v>2459</v>
      </c>
      <c r="B1307" s="7">
        <v>46033</v>
      </c>
      <c r="C1307" s="6" t="s">
        <v>158</v>
      </c>
      <c r="D1307" s="6" t="s">
        <v>77</v>
      </c>
      <c r="E1307" s="6" t="s">
        <v>52</v>
      </c>
      <c r="F1307" s="6" t="s">
        <v>38</v>
      </c>
      <c r="G1307" s="6" t="s">
        <v>39</v>
      </c>
      <c r="H1307" s="6">
        <v>2</v>
      </c>
      <c r="I1307" s="6" t="s">
        <v>265</v>
      </c>
      <c r="J1307" s="6" t="s">
        <v>167</v>
      </c>
      <c r="K1307" s="6">
        <v>520</v>
      </c>
      <c r="L1307" s="6" t="s">
        <v>42</v>
      </c>
      <c r="M1307" s="6" t="s">
        <v>34</v>
      </c>
    </row>
    <row r="1308" spans="1:13">
      <c r="A1308" s="6" t="s">
        <v>2460</v>
      </c>
      <c r="B1308" s="7">
        <v>46085</v>
      </c>
      <c r="C1308" s="6" t="s">
        <v>486</v>
      </c>
      <c r="D1308" s="6" t="s">
        <v>64</v>
      </c>
      <c r="E1308" s="6" t="s">
        <v>78</v>
      </c>
      <c r="F1308" s="6" t="s">
        <v>47</v>
      </c>
      <c r="G1308" s="6" t="s">
        <v>48</v>
      </c>
      <c r="H1308" s="6">
        <v>3</v>
      </c>
      <c r="I1308" s="6" t="s">
        <v>90</v>
      </c>
      <c r="J1308" s="6" t="s">
        <v>102</v>
      </c>
      <c r="K1308" s="6">
        <v>85</v>
      </c>
      <c r="L1308" s="6" t="s">
        <v>33</v>
      </c>
      <c r="M1308" s="6" t="s">
        <v>34</v>
      </c>
    </row>
    <row r="1309" spans="1:13">
      <c r="A1309" s="6" t="s">
        <v>2461</v>
      </c>
      <c r="B1309" s="7">
        <v>46052</v>
      </c>
      <c r="C1309" s="6" t="s">
        <v>1398</v>
      </c>
      <c r="D1309" s="6" t="s">
        <v>110</v>
      </c>
      <c r="E1309" s="6" t="s">
        <v>46</v>
      </c>
      <c r="F1309" s="6" t="s">
        <v>29</v>
      </c>
      <c r="G1309" s="6" t="s">
        <v>30</v>
      </c>
      <c r="H1309" s="6">
        <v>1</v>
      </c>
      <c r="I1309" s="6" t="s">
        <v>79</v>
      </c>
      <c r="J1309" s="6" t="s">
        <v>79</v>
      </c>
      <c r="K1309" s="6">
        <v>520</v>
      </c>
      <c r="L1309" s="6" t="s">
        <v>42</v>
      </c>
      <c r="M1309" s="6" t="s">
        <v>34</v>
      </c>
    </row>
    <row r="1310" spans="1:13">
      <c r="A1310" s="6" t="s">
        <v>2462</v>
      </c>
      <c r="B1310" s="7">
        <v>46150</v>
      </c>
      <c r="C1310" s="6" t="s">
        <v>2463</v>
      </c>
      <c r="D1310" s="6" t="s">
        <v>45</v>
      </c>
      <c r="E1310" s="6" t="s">
        <v>46</v>
      </c>
      <c r="F1310" s="6" t="s">
        <v>100</v>
      </c>
      <c r="G1310" s="6" t="s">
        <v>101</v>
      </c>
      <c r="H1310" s="6">
        <v>2</v>
      </c>
      <c r="I1310" s="6" t="s">
        <v>143</v>
      </c>
      <c r="J1310" s="6" t="s">
        <v>144</v>
      </c>
      <c r="K1310" s="6" t="s">
        <v>119</v>
      </c>
      <c r="L1310" s="6" t="s">
        <v>33</v>
      </c>
      <c r="M1310" s="6" t="s">
        <v>34</v>
      </c>
    </row>
    <row r="1311" spans="1:13">
      <c r="A1311" s="6" t="s">
        <v>2464</v>
      </c>
      <c r="B1311" s="7">
        <v>46186</v>
      </c>
      <c r="C1311" s="6" t="s">
        <v>2465</v>
      </c>
      <c r="D1311" s="6" t="s">
        <v>127</v>
      </c>
      <c r="E1311" s="6" t="s">
        <v>52</v>
      </c>
      <c r="F1311" s="6" t="s">
        <v>53</v>
      </c>
      <c r="G1311" s="6" t="s">
        <v>54</v>
      </c>
      <c r="H1311" s="6">
        <v>1</v>
      </c>
      <c r="I1311" s="6" t="s">
        <v>79</v>
      </c>
      <c r="J1311" s="6" t="s">
        <v>79</v>
      </c>
      <c r="K1311" s="6" t="s">
        <v>122</v>
      </c>
      <c r="L1311" s="6" t="s">
        <v>42</v>
      </c>
      <c r="M1311" s="6" t="s">
        <v>34</v>
      </c>
    </row>
    <row r="1312" spans="1:13">
      <c r="A1312" s="6" t="s">
        <v>2466</v>
      </c>
      <c r="B1312" s="7">
        <v>46164</v>
      </c>
      <c r="C1312" s="6" t="s">
        <v>2467</v>
      </c>
      <c r="D1312" s="6" t="s">
        <v>110</v>
      </c>
      <c r="E1312" s="6" t="s">
        <v>52</v>
      </c>
      <c r="F1312" s="6" t="s">
        <v>58</v>
      </c>
      <c r="G1312" s="6" t="s">
        <v>59</v>
      </c>
      <c r="H1312" s="6">
        <v>-1</v>
      </c>
      <c r="I1312" s="6" t="s">
        <v>656</v>
      </c>
      <c r="J1312" s="8" t="s">
        <v>1147</v>
      </c>
      <c r="K1312" s="6" t="s">
        <v>61</v>
      </c>
      <c r="L1312" s="6" t="s">
        <v>33</v>
      </c>
      <c r="M1312" s="6" t="s">
        <v>34</v>
      </c>
    </row>
    <row r="1313" spans="1:13">
      <c r="A1313" s="6" t="s">
        <v>2468</v>
      </c>
      <c r="B1313" s="7">
        <v>46031</v>
      </c>
      <c r="C1313" s="6" t="s">
        <v>2273</v>
      </c>
      <c r="D1313" s="6" t="s">
        <v>45</v>
      </c>
      <c r="E1313" s="6" t="s">
        <v>46</v>
      </c>
      <c r="F1313" s="6" t="s">
        <v>29</v>
      </c>
      <c r="G1313" s="6" t="s">
        <v>30</v>
      </c>
      <c r="H1313" s="6">
        <v>2</v>
      </c>
      <c r="I1313" s="6" t="s">
        <v>113</v>
      </c>
      <c r="J1313" s="6" t="s">
        <v>192</v>
      </c>
      <c r="K1313" s="6">
        <v>520</v>
      </c>
      <c r="L1313" s="6" t="s">
        <v>33</v>
      </c>
      <c r="M1313" s="6" t="s">
        <v>34</v>
      </c>
    </row>
    <row r="1314" spans="1:13">
      <c r="A1314" s="6" t="s">
        <v>2469</v>
      </c>
      <c r="B1314" s="7">
        <v>46047</v>
      </c>
      <c r="C1314" s="6" t="s">
        <v>2470</v>
      </c>
      <c r="D1314" s="6" t="s">
        <v>77</v>
      </c>
      <c r="E1314" s="6" t="s">
        <v>37</v>
      </c>
      <c r="F1314" s="6" t="s">
        <v>38</v>
      </c>
      <c r="G1314" s="6" t="s">
        <v>39</v>
      </c>
      <c r="H1314" s="6">
        <v>1</v>
      </c>
      <c r="I1314" s="6" t="s">
        <v>147</v>
      </c>
      <c r="J1314" s="6" t="s">
        <v>147</v>
      </c>
      <c r="K1314" s="6">
        <v>520</v>
      </c>
      <c r="L1314" s="6" t="s">
        <v>33</v>
      </c>
      <c r="M1314" s="6" t="s">
        <v>34</v>
      </c>
    </row>
    <row r="1315" spans="1:13">
      <c r="A1315" s="6" t="s">
        <v>2471</v>
      </c>
      <c r="B1315" s="7">
        <v>46164</v>
      </c>
      <c r="C1315" s="6" t="s">
        <v>2472</v>
      </c>
      <c r="D1315" s="6" t="s">
        <v>64</v>
      </c>
      <c r="E1315" s="6" t="s">
        <v>37</v>
      </c>
      <c r="F1315" s="6" t="s">
        <v>58</v>
      </c>
      <c r="G1315" s="6" t="s">
        <v>59</v>
      </c>
      <c r="H1315" s="6">
        <v>1</v>
      </c>
      <c r="I1315" s="6" t="s">
        <v>90</v>
      </c>
      <c r="J1315" s="6" t="s">
        <v>90</v>
      </c>
      <c r="K1315" s="6" t="s">
        <v>61</v>
      </c>
      <c r="L1315" s="6" t="s">
        <v>42</v>
      </c>
      <c r="M1315" s="6" t="s">
        <v>34</v>
      </c>
    </row>
    <row r="1316" spans="1:13">
      <c r="A1316" s="6" t="s">
        <v>2473</v>
      </c>
      <c r="B1316" s="7">
        <v>46180</v>
      </c>
      <c r="C1316" s="6" t="s">
        <v>881</v>
      </c>
      <c r="D1316" s="6" t="s">
        <v>72</v>
      </c>
      <c r="E1316" s="6" t="s">
        <v>46</v>
      </c>
      <c r="F1316" s="6" t="s">
        <v>58</v>
      </c>
      <c r="G1316" s="6" t="s">
        <v>59</v>
      </c>
      <c r="H1316" s="6">
        <v>1</v>
      </c>
      <c r="I1316" s="6" t="s">
        <v>31</v>
      </c>
      <c r="J1316" s="6" t="s">
        <v>31</v>
      </c>
      <c r="K1316" s="6" t="s">
        <v>61</v>
      </c>
      <c r="L1316" s="6" t="s">
        <v>42</v>
      </c>
      <c r="M1316" s="6" t="s">
        <v>34</v>
      </c>
    </row>
    <row r="1317" spans="1:13">
      <c r="A1317" s="6" t="s">
        <v>2474</v>
      </c>
      <c r="B1317" s="7">
        <v>46077</v>
      </c>
      <c r="C1317" s="6" t="s">
        <v>2475</v>
      </c>
      <c r="D1317" s="6" t="s">
        <v>45</v>
      </c>
      <c r="E1317" s="6" t="s">
        <v>78</v>
      </c>
      <c r="F1317" s="6" t="s">
        <v>29</v>
      </c>
      <c r="G1317" s="6" t="s">
        <v>30</v>
      </c>
      <c r="H1317" s="6">
        <v>3</v>
      </c>
      <c r="I1317" s="6" t="s">
        <v>490</v>
      </c>
      <c r="J1317" s="6" t="s">
        <v>390</v>
      </c>
      <c r="K1317" s="6">
        <v>520</v>
      </c>
      <c r="L1317" s="6" t="s">
        <v>42</v>
      </c>
      <c r="M1317" s="6" t="s">
        <v>34</v>
      </c>
    </row>
    <row r="1318" spans="1:13">
      <c r="A1318" s="6" t="s">
        <v>2476</v>
      </c>
      <c r="B1318" s="6" t="s">
        <v>948</v>
      </c>
      <c r="C1318" s="6" t="s">
        <v>2477</v>
      </c>
      <c r="D1318" s="6" t="s">
        <v>105</v>
      </c>
      <c r="E1318" s="6" t="s">
        <v>46</v>
      </c>
      <c r="F1318" s="6" t="s">
        <v>94</v>
      </c>
      <c r="G1318" s="6" t="s">
        <v>95</v>
      </c>
      <c r="H1318" s="6">
        <v>2</v>
      </c>
      <c r="I1318" s="6" t="s">
        <v>113</v>
      </c>
      <c r="J1318" s="6" t="s">
        <v>192</v>
      </c>
      <c r="K1318" s="6" t="s">
        <v>114</v>
      </c>
      <c r="L1318" s="6" t="s">
        <v>42</v>
      </c>
      <c r="M1318" s="6" t="s">
        <v>69</v>
      </c>
    </row>
    <row r="1319" spans="1:13">
      <c r="A1319" s="6" t="s">
        <v>2478</v>
      </c>
      <c r="B1319" s="7">
        <v>46124</v>
      </c>
      <c r="C1319" s="6" t="s">
        <v>2479</v>
      </c>
      <c r="D1319" s="6" t="s">
        <v>57</v>
      </c>
      <c r="E1319" s="6" t="s">
        <v>28</v>
      </c>
      <c r="F1319" s="6" t="s">
        <v>94</v>
      </c>
      <c r="G1319" s="6" t="s">
        <v>95</v>
      </c>
      <c r="H1319" s="6">
        <v>2</v>
      </c>
      <c r="I1319" s="6" t="s">
        <v>619</v>
      </c>
      <c r="J1319" s="6" t="s">
        <v>144</v>
      </c>
      <c r="K1319" s="6">
        <v>340</v>
      </c>
      <c r="L1319" s="6" t="s">
        <v>33</v>
      </c>
      <c r="M1319" s="6" t="s">
        <v>34</v>
      </c>
    </row>
    <row r="1320" spans="1:13">
      <c r="A1320" s="6" t="s">
        <v>2480</v>
      </c>
      <c r="B1320" s="7">
        <v>46201</v>
      </c>
      <c r="C1320" s="6" t="s">
        <v>759</v>
      </c>
      <c r="D1320" s="6" t="s">
        <v>127</v>
      </c>
      <c r="E1320" s="6" t="s">
        <v>37</v>
      </c>
      <c r="F1320" s="6" t="s">
        <v>53</v>
      </c>
      <c r="G1320" s="6" t="s">
        <v>54</v>
      </c>
      <c r="H1320" s="6">
        <v>2</v>
      </c>
      <c r="I1320" s="6" t="s">
        <v>113</v>
      </c>
      <c r="J1320" s="6" t="s">
        <v>192</v>
      </c>
      <c r="K1320" s="6" t="s">
        <v>122</v>
      </c>
      <c r="L1320" s="6" t="s">
        <v>42</v>
      </c>
      <c r="M1320" s="6" t="s">
        <v>34</v>
      </c>
    </row>
    <row r="1321" spans="1:13">
      <c r="A1321" s="6" t="s">
        <v>2481</v>
      </c>
      <c r="B1321" s="7">
        <v>46044</v>
      </c>
      <c r="C1321" s="6" t="s">
        <v>1894</v>
      </c>
      <c r="D1321" s="6" t="s">
        <v>110</v>
      </c>
      <c r="E1321" s="6" t="s">
        <v>52</v>
      </c>
      <c r="F1321" s="6" t="s">
        <v>47</v>
      </c>
      <c r="G1321" s="6" t="s">
        <v>48</v>
      </c>
      <c r="H1321" s="6">
        <v>1</v>
      </c>
      <c r="I1321" s="6" t="s">
        <v>231</v>
      </c>
      <c r="J1321" s="6" t="s">
        <v>231</v>
      </c>
      <c r="K1321" s="6">
        <v>85</v>
      </c>
      <c r="L1321" s="6" t="s">
        <v>42</v>
      </c>
      <c r="M1321" s="6" t="s">
        <v>34</v>
      </c>
    </row>
    <row r="1322" spans="1:13">
      <c r="A1322" s="6" t="s">
        <v>2482</v>
      </c>
      <c r="B1322" s="7">
        <v>46184</v>
      </c>
      <c r="C1322" s="6" t="s">
        <v>271</v>
      </c>
      <c r="D1322" s="6" t="s">
        <v>57</v>
      </c>
      <c r="E1322" s="6" t="s">
        <v>52</v>
      </c>
      <c r="F1322" s="6" t="s">
        <v>29</v>
      </c>
      <c r="G1322" s="6" t="s">
        <v>30</v>
      </c>
      <c r="H1322" s="6">
        <v>1</v>
      </c>
      <c r="I1322" s="6" t="s">
        <v>67</v>
      </c>
      <c r="J1322" s="6" t="s">
        <v>67</v>
      </c>
      <c r="K1322" s="6" t="s">
        <v>41</v>
      </c>
      <c r="L1322" s="6" t="s">
        <v>33</v>
      </c>
      <c r="M1322" s="6" t="s">
        <v>34</v>
      </c>
    </row>
    <row r="1323" spans="1:13">
      <c r="A1323" s="6" t="s">
        <v>2483</v>
      </c>
      <c r="B1323" s="7">
        <v>46131</v>
      </c>
      <c r="C1323" s="6" t="s">
        <v>2484</v>
      </c>
      <c r="D1323" s="6" t="s">
        <v>72</v>
      </c>
      <c r="E1323" s="6" t="s">
        <v>28</v>
      </c>
      <c r="F1323" s="6" t="s">
        <v>85</v>
      </c>
      <c r="G1323" s="6" t="s">
        <v>86</v>
      </c>
      <c r="H1323" s="6">
        <v>3</v>
      </c>
      <c r="I1323" s="6" t="s">
        <v>90</v>
      </c>
      <c r="J1323" s="6" t="s">
        <v>102</v>
      </c>
      <c r="K1323" s="6">
        <v>410</v>
      </c>
      <c r="L1323" s="6" t="s">
        <v>42</v>
      </c>
      <c r="M1323" s="6" t="s">
        <v>34</v>
      </c>
    </row>
    <row r="1324" spans="1:13">
      <c r="A1324" s="6" t="s">
        <v>2485</v>
      </c>
      <c r="B1324" s="7">
        <v>46207</v>
      </c>
      <c r="C1324" s="6" t="s">
        <v>348</v>
      </c>
      <c r="D1324" s="6" t="s">
        <v>57</v>
      </c>
      <c r="E1324" s="6" t="s">
        <v>78</v>
      </c>
      <c r="F1324" s="6" t="s">
        <v>53</v>
      </c>
      <c r="G1324" s="6" t="s">
        <v>54</v>
      </c>
      <c r="H1324" s="6">
        <v>1</v>
      </c>
      <c r="I1324" s="6" t="s">
        <v>143</v>
      </c>
      <c r="J1324" s="6" t="s">
        <v>143</v>
      </c>
      <c r="K1324" s="6" t="s">
        <v>122</v>
      </c>
      <c r="L1324" s="6" t="s">
        <v>42</v>
      </c>
      <c r="M1324" s="6" t="s">
        <v>34</v>
      </c>
    </row>
    <row r="1325" spans="1:13">
      <c r="A1325" s="6" t="s">
        <v>2486</v>
      </c>
      <c r="B1325" s="7">
        <v>46203</v>
      </c>
      <c r="C1325" s="6" t="s">
        <v>2159</v>
      </c>
      <c r="D1325" s="6" t="s">
        <v>57</v>
      </c>
      <c r="E1325" s="6" t="s">
        <v>46</v>
      </c>
      <c r="F1325" s="6" t="s">
        <v>85</v>
      </c>
      <c r="G1325" s="6" t="s">
        <v>86</v>
      </c>
      <c r="H1325" s="6">
        <v>3</v>
      </c>
      <c r="I1325" s="6" t="s">
        <v>147</v>
      </c>
      <c r="J1325" s="6" t="s">
        <v>148</v>
      </c>
      <c r="K1325" s="6" t="s">
        <v>87</v>
      </c>
      <c r="L1325" s="6" t="s">
        <v>42</v>
      </c>
      <c r="M1325" s="6" t="s">
        <v>34</v>
      </c>
    </row>
    <row r="1326" spans="1:13">
      <c r="A1326" s="6" t="s">
        <v>2487</v>
      </c>
      <c r="B1326" s="7">
        <v>46205</v>
      </c>
      <c r="C1326" s="6" t="s">
        <v>2488</v>
      </c>
      <c r="D1326" s="6" t="s">
        <v>105</v>
      </c>
      <c r="E1326" s="6" t="s">
        <v>78</v>
      </c>
      <c r="F1326" s="6" t="s">
        <v>53</v>
      </c>
      <c r="G1326" s="6" t="s">
        <v>54</v>
      </c>
      <c r="H1326" s="6">
        <v>1</v>
      </c>
      <c r="I1326" s="6" t="s">
        <v>79</v>
      </c>
      <c r="J1326" s="6" t="s">
        <v>79</v>
      </c>
      <c r="K1326" s="6" t="s">
        <v>122</v>
      </c>
      <c r="L1326" s="6" t="s">
        <v>42</v>
      </c>
      <c r="M1326" s="6" t="s">
        <v>69</v>
      </c>
    </row>
    <row r="1327" spans="1:13">
      <c r="A1327" s="6" t="s">
        <v>2489</v>
      </c>
      <c r="B1327" s="7">
        <v>46169</v>
      </c>
      <c r="C1327" s="6" t="s">
        <v>1807</v>
      </c>
      <c r="D1327" s="6" t="s">
        <v>45</v>
      </c>
      <c r="E1327" s="6" t="s">
        <v>52</v>
      </c>
      <c r="F1327" s="6" t="s">
        <v>29</v>
      </c>
      <c r="G1327" s="6" t="s">
        <v>30</v>
      </c>
      <c r="H1327" s="6">
        <v>3</v>
      </c>
      <c r="I1327" s="6" t="s">
        <v>162</v>
      </c>
      <c r="J1327" s="6" t="s">
        <v>867</v>
      </c>
      <c r="K1327" s="6" t="s">
        <v>41</v>
      </c>
      <c r="L1327" s="6" t="s">
        <v>42</v>
      </c>
      <c r="M1327" s="6" t="s">
        <v>34</v>
      </c>
    </row>
    <row r="1328" spans="1:13">
      <c r="A1328" s="6" t="s">
        <v>2490</v>
      </c>
      <c r="B1328" s="7">
        <v>46035</v>
      </c>
      <c r="C1328" s="6" t="s">
        <v>1863</v>
      </c>
      <c r="D1328" s="6" t="s">
        <v>127</v>
      </c>
      <c r="E1328" s="6" t="s">
        <v>28</v>
      </c>
      <c r="F1328" s="6" t="s">
        <v>58</v>
      </c>
      <c r="G1328" s="6" t="s">
        <v>59</v>
      </c>
      <c r="H1328" s="6">
        <v>2</v>
      </c>
      <c r="I1328" s="6" t="s">
        <v>143</v>
      </c>
      <c r="J1328" s="6" t="s">
        <v>144</v>
      </c>
      <c r="K1328" s="6">
        <v>380</v>
      </c>
      <c r="L1328" s="6" t="s">
        <v>42</v>
      </c>
      <c r="M1328" s="6" t="s">
        <v>34</v>
      </c>
    </row>
    <row r="1329" spans="1:13">
      <c r="A1329" s="6" t="s">
        <v>2491</v>
      </c>
      <c r="B1329" s="6" t="s">
        <v>1091</v>
      </c>
      <c r="C1329" s="6" t="s">
        <v>1055</v>
      </c>
      <c r="D1329" s="6" t="s">
        <v>64</v>
      </c>
      <c r="E1329" s="6" t="s">
        <v>52</v>
      </c>
      <c r="F1329" s="6" t="s">
        <v>85</v>
      </c>
      <c r="G1329" s="6" t="s">
        <v>86</v>
      </c>
      <c r="H1329" s="6">
        <v>1</v>
      </c>
      <c r="I1329" s="6" t="s">
        <v>748</v>
      </c>
      <c r="J1329" s="6" t="s">
        <v>113</v>
      </c>
      <c r="K1329" s="6" t="s">
        <v>87</v>
      </c>
      <c r="L1329" s="6" t="s">
        <v>33</v>
      </c>
      <c r="M1329" s="6" t="s">
        <v>34</v>
      </c>
    </row>
    <row r="1330" spans="1:13">
      <c r="A1330" s="6" t="s">
        <v>2492</v>
      </c>
      <c r="B1330" s="7">
        <v>46068</v>
      </c>
      <c r="C1330" s="6" t="s">
        <v>2493</v>
      </c>
      <c r="D1330" s="6" t="s">
        <v>45</v>
      </c>
      <c r="E1330" s="6" t="s">
        <v>52</v>
      </c>
      <c r="F1330" s="6" t="s">
        <v>58</v>
      </c>
      <c r="G1330" s="6" t="s">
        <v>59</v>
      </c>
      <c r="H1330" s="6">
        <v>1</v>
      </c>
      <c r="I1330" s="6" t="s">
        <v>79</v>
      </c>
      <c r="J1330" s="6" t="s">
        <v>79</v>
      </c>
      <c r="K1330" s="6">
        <v>380</v>
      </c>
      <c r="L1330" s="6" t="s">
        <v>42</v>
      </c>
      <c r="M1330" s="6" t="s">
        <v>34</v>
      </c>
    </row>
    <row r="1331" spans="1:13">
      <c r="A1331" s="6" t="s">
        <v>2494</v>
      </c>
      <c r="B1331" s="7">
        <v>46128</v>
      </c>
      <c r="C1331" s="6" t="s">
        <v>2495</v>
      </c>
      <c r="D1331" s="6" t="s">
        <v>105</v>
      </c>
      <c r="E1331" s="6" t="s">
        <v>28</v>
      </c>
      <c r="F1331" s="6" t="s">
        <v>38</v>
      </c>
      <c r="G1331" s="6" t="s">
        <v>39</v>
      </c>
      <c r="H1331" s="6">
        <v>1</v>
      </c>
      <c r="I1331" s="6" t="s">
        <v>231</v>
      </c>
      <c r="J1331" s="6" t="s">
        <v>231</v>
      </c>
      <c r="K1331" s="6">
        <v>520</v>
      </c>
      <c r="L1331" s="6" t="s">
        <v>42</v>
      </c>
      <c r="M1331" s="6" t="s">
        <v>34</v>
      </c>
    </row>
    <row r="1332" spans="1:13">
      <c r="A1332" s="6" t="s">
        <v>2496</v>
      </c>
      <c r="B1332" s="7">
        <v>46048</v>
      </c>
      <c r="C1332" s="6" t="s">
        <v>2497</v>
      </c>
      <c r="D1332" s="6" t="s">
        <v>27</v>
      </c>
      <c r="E1332" s="6" t="s">
        <v>46</v>
      </c>
      <c r="F1332" s="6" t="s">
        <v>100</v>
      </c>
      <c r="G1332" s="6" t="s">
        <v>101</v>
      </c>
      <c r="H1332" s="6">
        <v>1</v>
      </c>
      <c r="I1332" s="6" t="s">
        <v>96</v>
      </c>
      <c r="J1332" s="6" t="s">
        <v>96</v>
      </c>
      <c r="K1332" s="6">
        <v>640</v>
      </c>
      <c r="L1332" s="6" t="s">
        <v>33</v>
      </c>
      <c r="M1332" s="6" t="s">
        <v>34</v>
      </c>
    </row>
    <row r="1333" spans="1:13">
      <c r="A1333" s="6" t="s">
        <v>2498</v>
      </c>
      <c r="B1333" s="7">
        <v>46120</v>
      </c>
      <c r="C1333" s="6" t="s">
        <v>1053</v>
      </c>
      <c r="D1333" s="6" t="s">
        <v>77</v>
      </c>
      <c r="E1333" s="6" t="s">
        <v>52</v>
      </c>
      <c r="F1333" s="6" t="s">
        <v>58</v>
      </c>
      <c r="G1333" s="6" t="s">
        <v>59</v>
      </c>
      <c r="H1333" s="6">
        <v>1</v>
      </c>
      <c r="I1333" s="6" t="s">
        <v>231</v>
      </c>
      <c r="J1333" s="6" t="s">
        <v>231</v>
      </c>
      <c r="K1333" s="6">
        <v>380</v>
      </c>
      <c r="L1333" s="6" t="s">
        <v>42</v>
      </c>
      <c r="M1333" s="6" t="s">
        <v>69</v>
      </c>
    </row>
    <row r="1334" spans="1:13">
      <c r="A1334" s="6" t="s">
        <v>2499</v>
      </c>
      <c r="B1334" s="7">
        <v>46079</v>
      </c>
      <c r="C1334" s="6" t="s">
        <v>2500</v>
      </c>
      <c r="D1334" s="6" t="s">
        <v>27</v>
      </c>
      <c r="E1334" s="6" t="s">
        <v>37</v>
      </c>
      <c r="F1334" s="6" t="s">
        <v>38</v>
      </c>
      <c r="G1334" s="6" t="s">
        <v>39</v>
      </c>
      <c r="H1334" s="6">
        <v>2</v>
      </c>
      <c r="I1334" s="6" t="s">
        <v>181</v>
      </c>
      <c r="J1334" s="6" t="s">
        <v>163</v>
      </c>
      <c r="K1334" s="6">
        <v>520</v>
      </c>
      <c r="L1334" s="6" t="s">
        <v>42</v>
      </c>
      <c r="M1334" s="6" t="s">
        <v>69</v>
      </c>
    </row>
    <row r="1335" spans="1:13">
      <c r="A1335" s="6" t="s">
        <v>2501</v>
      </c>
      <c r="B1335" s="6" t="s">
        <v>899</v>
      </c>
      <c r="C1335" s="6" t="s">
        <v>2502</v>
      </c>
      <c r="D1335" s="6" t="s">
        <v>45</v>
      </c>
      <c r="E1335" s="6" t="s">
        <v>52</v>
      </c>
      <c r="F1335" s="6" t="s">
        <v>29</v>
      </c>
      <c r="G1335" s="6" t="s">
        <v>30</v>
      </c>
      <c r="H1335" s="6">
        <v>2</v>
      </c>
      <c r="I1335" s="6" t="s">
        <v>117</v>
      </c>
      <c r="J1335" s="6" t="s">
        <v>118</v>
      </c>
      <c r="K1335" s="6">
        <v>520</v>
      </c>
      <c r="L1335" s="6" t="s">
        <v>33</v>
      </c>
      <c r="M1335" s="6" t="s">
        <v>34</v>
      </c>
    </row>
    <row r="1336" spans="1:13">
      <c r="A1336" s="6" t="s">
        <v>2503</v>
      </c>
      <c r="B1336" s="7">
        <v>46128</v>
      </c>
      <c r="C1336" s="6" t="s">
        <v>2504</v>
      </c>
      <c r="D1336" s="6" t="s">
        <v>45</v>
      </c>
      <c r="E1336" s="6" t="s">
        <v>78</v>
      </c>
      <c r="F1336" s="6" t="s">
        <v>53</v>
      </c>
      <c r="G1336" s="6" t="s">
        <v>54</v>
      </c>
      <c r="H1336" s="6">
        <v>1</v>
      </c>
      <c r="I1336" s="6" t="s">
        <v>67</v>
      </c>
      <c r="J1336" s="6" t="s">
        <v>2505</v>
      </c>
      <c r="K1336" s="6">
        <v>190</v>
      </c>
      <c r="L1336" s="6" t="s">
        <v>42</v>
      </c>
      <c r="M1336" s="6" t="s">
        <v>34</v>
      </c>
    </row>
    <row r="1337" spans="1:13">
      <c r="A1337" s="6" t="s">
        <v>2506</v>
      </c>
      <c r="B1337" s="7">
        <v>46092</v>
      </c>
      <c r="C1337" s="6" t="s">
        <v>1980</v>
      </c>
      <c r="D1337" s="6" t="s">
        <v>105</v>
      </c>
      <c r="E1337" s="6" t="s">
        <v>52</v>
      </c>
      <c r="F1337" s="6" t="s">
        <v>94</v>
      </c>
      <c r="G1337" s="6" t="s">
        <v>95</v>
      </c>
      <c r="H1337" s="6">
        <v>1</v>
      </c>
      <c r="I1337" s="6" t="s">
        <v>231</v>
      </c>
      <c r="J1337" s="6" t="s">
        <v>231</v>
      </c>
      <c r="K1337" s="6">
        <v>340</v>
      </c>
      <c r="L1337" s="6" t="s">
        <v>42</v>
      </c>
      <c r="M1337" s="6" t="s">
        <v>34</v>
      </c>
    </row>
    <row r="1338" spans="1:13">
      <c r="A1338" s="6" t="s">
        <v>2507</v>
      </c>
      <c r="B1338" s="6" t="s">
        <v>435</v>
      </c>
      <c r="C1338" s="6" t="s">
        <v>961</v>
      </c>
      <c r="D1338" s="6" t="s">
        <v>77</v>
      </c>
      <c r="E1338" s="6" t="s">
        <v>78</v>
      </c>
      <c r="F1338" s="6" t="s">
        <v>47</v>
      </c>
      <c r="G1338" s="6" t="s">
        <v>48</v>
      </c>
      <c r="H1338" s="6">
        <v>3</v>
      </c>
      <c r="I1338" s="6" t="s">
        <v>143</v>
      </c>
      <c r="J1338" s="6" t="s">
        <v>243</v>
      </c>
      <c r="K1338" s="6">
        <v>85</v>
      </c>
      <c r="L1338" s="6" t="s">
        <v>42</v>
      </c>
      <c r="M1338" s="6" t="s">
        <v>34</v>
      </c>
    </row>
    <row r="1339" spans="1:13">
      <c r="A1339" s="6" t="s">
        <v>2508</v>
      </c>
      <c r="B1339" s="7">
        <v>46053</v>
      </c>
      <c r="C1339" s="6" t="s">
        <v>1439</v>
      </c>
      <c r="D1339" s="6" t="s">
        <v>57</v>
      </c>
      <c r="E1339" s="6" t="s">
        <v>78</v>
      </c>
      <c r="F1339" s="6" t="s">
        <v>94</v>
      </c>
      <c r="G1339" s="6" t="s">
        <v>95</v>
      </c>
      <c r="H1339" s="6">
        <v>2</v>
      </c>
      <c r="I1339" s="6" t="s">
        <v>265</v>
      </c>
      <c r="J1339" s="6" t="s">
        <v>167</v>
      </c>
      <c r="K1339" s="6">
        <v>340</v>
      </c>
      <c r="L1339" s="6" t="s">
        <v>33</v>
      </c>
      <c r="M1339" s="6" t="s">
        <v>34</v>
      </c>
    </row>
    <row r="1340" spans="1:13">
      <c r="A1340" s="6" t="s">
        <v>2509</v>
      </c>
      <c r="B1340" s="7">
        <v>46146</v>
      </c>
      <c r="C1340" s="6" t="s">
        <v>2510</v>
      </c>
      <c r="D1340" s="6" t="s">
        <v>127</v>
      </c>
      <c r="E1340" s="6" t="s">
        <v>46</v>
      </c>
      <c r="F1340" s="6" t="s">
        <v>53</v>
      </c>
      <c r="G1340" s="6" t="s">
        <v>54</v>
      </c>
      <c r="H1340" s="6">
        <v>3</v>
      </c>
      <c r="I1340" s="6" t="s">
        <v>60</v>
      </c>
      <c r="J1340" s="6" t="s">
        <v>268</v>
      </c>
      <c r="K1340" s="6" t="s">
        <v>122</v>
      </c>
      <c r="L1340" s="6" t="s">
        <v>42</v>
      </c>
      <c r="M1340" s="6" t="s">
        <v>34</v>
      </c>
    </row>
    <row r="1341" spans="1:13">
      <c r="A1341" s="6" t="s">
        <v>2511</v>
      </c>
      <c r="B1341" s="7">
        <v>46198</v>
      </c>
      <c r="C1341" s="6" t="s">
        <v>2512</v>
      </c>
      <c r="D1341" s="6" t="s">
        <v>45</v>
      </c>
      <c r="E1341" s="6" t="s">
        <v>46</v>
      </c>
      <c r="F1341" s="6" t="s">
        <v>85</v>
      </c>
      <c r="G1341" s="6" t="s">
        <v>86</v>
      </c>
      <c r="H1341" s="6">
        <v>1</v>
      </c>
      <c r="I1341" s="6" t="s">
        <v>265</v>
      </c>
      <c r="J1341" s="6" t="s">
        <v>265</v>
      </c>
      <c r="K1341" s="6" t="s">
        <v>87</v>
      </c>
      <c r="L1341" s="6" t="s">
        <v>42</v>
      </c>
      <c r="M1341" s="6" t="s">
        <v>69</v>
      </c>
    </row>
    <row r="1342" spans="1:13">
      <c r="A1342" s="6" t="s">
        <v>2513</v>
      </c>
      <c r="B1342" s="7">
        <v>46166</v>
      </c>
      <c r="C1342" s="6" t="s">
        <v>540</v>
      </c>
      <c r="D1342" s="6" t="s">
        <v>45</v>
      </c>
      <c r="E1342" s="6" t="s">
        <v>78</v>
      </c>
      <c r="F1342" s="6" t="s">
        <v>85</v>
      </c>
      <c r="G1342" s="6" t="s">
        <v>86</v>
      </c>
      <c r="H1342" s="6">
        <v>2</v>
      </c>
      <c r="I1342" s="6" t="s">
        <v>31</v>
      </c>
      <c r="J1342" s="6" t="s">
        <v>2514</v>
      </c>
      <c r="K1342" s="6" t="s">
        <v>87</v>
      </c>
      <c r="L1342" s="6" t="s">
        <v>42</v>
      </c>
      <c r="M1342" s="6" t="s">
        <v>34</v>
      </c>
    </row>
    <row r="1343" spans="1:13">
      <c r="A1343" s="6" t="s">
        <v>2515</v>
      </c>
      <c r="B1343" s="7">
        <v>46159</v>
      </c>
      <c r="C1343" s="6" t="s">
        <v>1024</v>
      </c>
      <c r="D1343" s="6" t="s">
        <v>45</v>
      </c>
      <c r="E1343" s="6" t="s">
        <v>28</v>
      </c>
      <c r="F1343" s="6" t="s">
        <v>100</v>
      </c>
      <c r="G1343" s="6" t="s">
        <v>101</v>
      </c>
      <c r="H1343" s="6">
        <v>2</v>
      </c>
      <c r="I1343" s="6" t="s">
        <v>31</v>
      </c>
      <c r="J1343" s="6" t="s">
        <v>249</v>
      </c>
      <c r="K1343" s="6" t="s">
        <v>119</v>
      </c>
      <c r="L1343" s="6" t="s">
        <v>42</v>
      </c>
      <c r="M1343" s="6" t="s">
        <v>34</v>
      </c>
    </row>
    <row r="1344" spans="1:13">
      <c r="A1344" s="6" t="s">
        <v>2516</v>
      </c>
      <c r="B1344" s="7">
        <v>46110</v>
      </c>
      <c r="C1344" s="6" t="s">
        <v>210</v>
      </c>
      <c r="D1344" s="6" t="s">
        <v>77</v>
      </c>
      <c r="E1344" s="6" t="s">
        <v>52</v>
      </c>
      <c r="F1344" s="6" t="s">
        <v>38</v>
      </c>
      <c r="G1344" s="6" t="s">
        <v>39</v>
      </c>
      <c r="H1344" s="6">
        <v>2</v>
      </c>
      <c r="I1344" s="6" t="s">
        <v>60</v>
      </c>
      <c r="J1344" s="6" t="s">
        <v>2116</v>
      </c>
      <c r="K1344" s="6">
        <v>520</v>
      </c>
      <c r="L1344" s="6" t="s">
        <v>42</v>
      </c>
      <c r="M1344" s="6" t="s">
        <v>34</v>
      </c>
    </row>
    <row r="1345" spans="1:13">
      <c r="A1345" s="6" t="s">
        <v>2517</v>
      </c>
      <c r="B1345" s="7">
        <v>46208</v>
      </c>
      <c r="C1345" s="6" t="s">
        <v>2518</v>
      </c>
      <c r="D1345" s="6" t="s">
        <v>72</v>
      </c>
      <c r="E1345" s="6" t="s">
        <v>28</v>
      </c>
      <c r="F1345" s="6" t="s">
        <v>38</v>
      </c>
      <c r="G1345" s="6" t="s">
        <v>39</v>
      </c>
      <c r="H1345" s="6">
        <v>3</v>
      </c>
      <c r="I1345" s="6" t="s">
        <v>79</v>
      </c>
      <c r="J1345" s="6" t="s">
        <v>216</v>
      </c>
      <c r="K1345" s="6" t="s">
        <v>41</v>
      </c>
      <c r="L1345" s="6" t="s">
        <v>42</v>
      </c>
      <c r="M1345" s="6" t="s">
        <v>34</v>
      </c>
    </row>
    <row r="1346" spans="1:13">
      <c r="A1346" s="6" t="s">
        <v>2519</v>
      </c>
      <c r="B1346" s="7">
        <v>46206</v>
      </c>
      <c r="C1346" s="6" t="s">
        <v>2520</v>
      </c>
      <c r="D1346" s="6" t="s">
        <v>64</v>
      </c>
      <c r="E1346" s="6" t="s">
        <v>37</v>
      </c>
      <c r="F1346" s="6" t="s">
        <v>100</v>
      </c>
      <c r="G1346" s="6" t="s">
        <v>101</v>
      </c>
      <c r="H1346" s="6">
        <v>3</v>
      </c>
      <c r="I1346" s="6" t="s">
        <v>90</v>
      </c>
      <c r="J1346" s="6" t="s">
        <v>2521</v>
      </c>
      <c r="K1346" s="6" t="s">
        <v>119</v>
      </c>
      <c r="L1346" s="6" t="s">
        <v>33</v>
      </c>
      <c r="M1346" s="6" t="s">
        <v>34</v>
      </c>
    </row>
    <row r="1347" spans="1:13">
      <c r="A1347" s="6" t="s">
        <v>2522</v>
      </c>
      <c r="B1347" s="7">
        <v>46120</v>
      </c>
      <c r="C1347" s="6" t="s">
        <v>1726</v>
      </c>
      <c r="D1347" s="6" t="s">
        <v>105</v>
      </c>
      <c r="E1347" s="6" t="s">
        <v>28</v>
      </c>
      <c r="F1347" s="6" t="s">
        <v>38</v>
      </c>
      <c r="G1347" s="6" t="s">
        <v>39</v>
      </c>
      <c r="H1347" s="6">
        <v>1</v>
      </c>
      <c r="I1347" s="6" t="s">
        <v>40</v>
      </c>
      <c r="J1347" s="6" t="s">
        <v>40</v>
      </c>
      <c r="K1347" s="6">
        <v>520</v>
      </c>
      <c r="L1347" s="6" t="s">
        <v>42</v>
      </c>
      <c r="M1347" s="6" t="s">
        <v>34</v>
      </c>
    </row>
    <row r="1348" spans="1:13">
      <c r="A1348" s="6" t="s">
        <v>2523</v>
      </c>
      <c r="B1348" s="7">
        <v>46105</v>
      </c>
      <c r="C1348" s="6" t="s">
        <v>2001</v>
      </c>
      <c r="D1348" s="6" t="s">
        <v>105</v>
      </c>
      <c r="E1348" s="6" t="s">
        <v>46</v>
      </c>
      <c r="F1348" s="6" t="s">
        <v>94</v>
      </c>
      <c r="G1348" s="6" t="s">
        <v>95</v>
      </c>
      <c r="H1348" s="6">
        <v>2</v>
      </c>
      <c r="I1348" s="6" t="s">
        <v>143</v>
      </c>
      <c r="J1348" s="6" t="s">
        <v>144</v>
      </c>
      <c r="K1348" s="6">
        <v>340</v>
      </c>
      <c r="L1348" s="6" t="s">
        <v>42</v>
      </c>
      <c r="M1348" s="6" t="s">
        <v>34</v>
      </c>
    </row>
    <row r="1349" spans="1:13">
      <c r="A1349" s="6" t="s">
        <v>2524</v>
      </c>
      <c r="B1349" s="7">
        <v>46166</v>
      </c>
      <c r="C1349" s="6" t="s">
        <v>934</v>
      </c>
      <c r="D1349" s="6" t="s">
        <v>127</v>
      </c>
      <c r="E1349" s="6" t="s">
        <v>37</v>
      </c>
      <c r="F1349" s="6" t="s">
        <v>85</v>
      </c>
      <c r="G1349" s="6" t="s">
        <v>86</v>
      </c>
      <c r="H1349" s="6">
        <v>1</v>
      </c>
      <c r="I1349" s="6" t="s">
        <v>231</v>
      </c>
      <c r="J1349" s="6" t="s">
        <v>231</v>
      </c>
      <c r="K1349" s="6" t="s">
        <v>87</v>
      </c>
      <c r="L1349" s="6" t="s">
        <v>33</v>
      </c>
      <c r="M1349" s="6" t="s">
        <v>34</v>
      </c>
    </row>
    <row r="1350" spans="1:13">
      <c r="A1350" s="6" t="s">
        <v>2525</v>
      </c>
      <c r="B1350" s="7">
        <v>46175</v>
      </c>
      <c r="C1350" s="6" t="s">
        <v>1059</v>
      </c>
      <c r="D1350" s="6" t="s">
        <v>127</v>
      </c>
      <c r="E1350" s="6" t="s">
        <v>78</v>
      </c>
      <c r="F1350" s="6" t="s">
        <v>100</v>
      </c>
      <c r="G1350" s="6" t="s">
        <v>101</v>
      </c>
      <c r="H1350" s="6">
        <v>3</v>
      </c>
      <c r="I1350" s="6" t="s">
        <v>143</v>
      </c>
      <c r="J1350" s="6" t="s">
        <v>243</v>
      </c>
      <c r="K1350" s="6" t="s">
        <v>119</v>
      </c>
      <c r="L1350" s="6" t="s">
        <v>42</v>
      </c>
      <c r="M1350" s="6" t="s">
        <v>34</v>
      </c>
    </row>
    <row r="1351" spans="1:13">
      <c r="A1351" s="6" t="s">
        <v>2526</v>
      </c>
      <c r="B1351" s="7">
        <v>46166</v>
      </c>
      <c r="C1351" s="6" t="s">
        <v>477</v>
      </c>
      <c r="D1351" s="6" t="s">
        <v>77</v>
      </c>
      <c r="E1351" s="6" t="s">
        <v>28</v>
      </c>
      <c r="F1351" s="6" t="s">
        <v>38</v>
      </c>
      <c r="G1351" s="6" t="s">
        <v>39</v>
      </c>
      <c r="H1351" s="6">
        <v>1</v>
      </c>
      <c r="I1351" s="6" t="s">
        <v>73</v>
      </c>
      <c r="J1351" s="6" t="s">
        <v>73</v>
      </c>
      <c r="K1351" s="6" t="s">
        <v>41</v>
      </c>
      <c r="L1351" s="6" t="s">
        <v>42</v>
      </c>
      <c r="M1351" s="6" t="s">
        <v>34</v>
      </c>
    </row>
    <row r="1352" spans="1:13">
      <c r="A1352" s="6" t="s">
        <v>2527</v>
      </c>
      <c r="B1352" s="6" t="s">
        <v>1677</v>
      </c>
      <c r="C1352" s="6" t="s">
        <v>2528</v>
      </c>
      <c r="D1352" s="6" t="s">
        <v>105</v>
      </c>
      <c r="E1352" s="6" t="s">
        <v>37</v>
      </c>
      <c r="F1352" s="6" t="s">
        <v>29</v>
      </c>
      <c r="G1352" s="6" t="s">
        <v>30</v>
      </c>
      <c r="H1352" s="6">
        <v>1</v>
      </c>
      <c r="I1352" s="6" t="s">
        <v>143</v>
      </c>
      <c r="J1352" s="6" t="s">
        <v>143</v>
      </c>
      <c r="K1352" s="6" t="s">
        <v>41</v>
      </c>
      <c r="L1352" s="6" t="s">
        <v>42</v>
      </c>
      <c r="M1352" s="6" t="s">
        <v>34</v>
      </c>
    </row>
    <row r="1353" spans="1:13">
      <c r="A1353" s="6" t="s">
        <v>2529</v>
      </c>
      <c r="B1353" s="7">
        <v>46204</v>
      </c>
      <c r="C1353" s="6" t="s">
        <v>2249</v>
      </c>
      <c r="D1353" s="6" t="s">
        <v>45</v>
      </c>
      <c r="E1353" s="6" t="s">
        <v>46</v>
      </c>
      <c r="F1353" s="6" t="s">
        <v>29</v>
      </c>
      <c r="G1353" s="6" t="s">
        <v>30</v>
      </c>
      <c r="H1353" s="6">
        <v>2</v>
      </c>
      <c r="I1353" s="6" t="s">
        <v>147</v>
      </c>
      <c r="J1353" s="6" t="s">
        <v>175</v>
      </c>
      <c r="K1353" s="6" t="s">
        <v>41</v>
      </c>
      <c r="L1353" s="6" t="s">
        <v>42</v>
      </c>
      <c r="M1353" s="6" t="s">
        <v>34</v>
      </c>
    </row>
    <row r="1354" spans="1:13">
      <c r="A1354" s="6" t="s">
        <v>2530</v>
      </c>
      <c r="B1354" s="7">
        <v>46051</v>
      </c>
      <c r="C1354" s="6" t="s">
        <v>1168</v>
      </c>
      <c r="D1354" s="6" t="s">
        <v>105</v>
      </c>
      <c r="E1354" s="6" t="s">
        <v>28</v>
      </c>
      <c r="F1354" s="6" t="s">
        <v>94</v>
      </c>
      <c r="G1354" s="6" t="s">
        <v>95</v>
      </c>
      <c r="H1354" s="6">
        <v>1</v>
      </c>
      <c r="I1354" s="6" t="s">
        <v>181</v>
      </c>
      <c r="J1354" s="6" t="s">
        <v>181</v>
      </c>
      <c r="K1354" s="6">
        <v>340</v>
      </c>
      <c r="L1354" s="6" t="s">
        <v>42</v>
      </c>
      <c r="M1354" s="6" t="s">
        <v>69</v>
      </c>
    </row>
    <row r="1355" spans="1:13">
      <c r="A1355" s="6" t="s">
        <v>2531</v>
      </c>
      <c r="B1355" s="7">
        <v>46137</v>
      </c>
      <c r="C1355" s="6" t="s">
        <v>2532</v>
      </c>
      <c r="D1355" s="6" t="s">
        <v>27</v>
      </c>
      <c r="E1355" s="6" t="s">
        <v>37</v>
      </c>
      <c r="F1355" s="6" t="s">
        <v>85</v>
      </c>
      <c r="G1355" s="6" t="s">
        <v>86</v>
      </c>
      <c r="H1355" s="6">
        <v>2</v>
      </c>
      <c r="I1355" s="6" t="s">
        <v>373</v>
      </c>
      <c r="J1355" s="6" t="s">
        <v>259</v>
      </c>
      <c r="K1355" s="6" t="s">
        <v>87</v>
      </c>
      <c r="L1355" s="6" t="s">
        <v>42</v>
      </c>
      <c r="M1355" s="6" t="s">
        <v>69</v>
      </c>
    </row>
    <row r="1356" spans="1:13">
      <c r="A1356" s="6" t="s">
        <v>2533</v>
      </c>
      <c r="B1356" s="7">
        <v>46108</v>
      </c>
      <c r="C1356" s="6" t="s">
        <v>2534</v>
      </c>
      <c r="D1356" s="6" t="s">
        <v>27</v>
      </c>
      <c r="E1356" s="6" t="s">
        <v>28</v>
      </c>
      <c r="F1356" s="6" t="s">
        <v>47</v>
      </c>
      <c r="G1356" s="6" t="s">
        <v>48</v>
      </c>
      <c r="H1356" s="6">
        <v>1</v>
      </c>
      <c r="I1356" s="6" t="s">
        <v>603</v>
      </c>
      <c r="J1356" s="6" t="s">
        <v>147</v>
      </c>
      <c r="K1356" s="6">
        <v>85</v>
      </c>
      <c r="L1356" s="6" t="s">
        <v>33</v>
      </c>
      <c r="M1356" s="6" t="s">
        <v>34</v>
      </c>
    </row>
    <row r="1357" spans="1:13">
      <c r="A1357" s="6" t="s">
        <v>2535</v>
      </c>
      <c r="B1357" s="7">
        <v>46041</v>
      </c>
      <c r="C1357" s="6" t="s">
        <v>2536</v>
      </c>
      <c r="D1357" s="6" t="s">
        <v>27</v>
      </c>
      <c r="E1357" s="6" t="s">
        <v>37</v>
      </c>
      <c r="F1357" s="6" t="s">
        <v>53</v>
      </c>
      <c r="G1357" s="6" t="s">
        <v>54</v>
      </c>
      <c r="H1357" s="6">
        <v>1</v>
      </c>
      <c r="I1357" s="6" t="s">
        <v>82</v>
      </c>
      <c r="J1357" s="6" t="s">
        <v>82</v>
      </c>
      <c r="K1357" s="6">
        <v>190</v>
      </c>
      <c r="L1357" s="6" t="s">
        <v>42</v>
      </c>
      <c r="M1357" s="6" t="s">
        <v>69</v>
      </c>
    </row>
    <row r="1358" spans="1:13">
      <c r="A1358" s="6" t="s">
        <v>2537</v>
      </c>
      <c r="B1358" s="7">
        <v>46070</v>
      </c>
      <c r="C1358" s="6" t="s">
        <v>1079</v>
      </c>
      <c r="D1358" s="6" t="s">
        <v>64</v>
      </c>
      <c r="E1358" s="6" t="s">
        <v>78</v>
      </c>
      <c r="F1358" s="6" t="s">
        <v>38</v>
      </c>
      <c r="G1358" s="6" t="s">
        <v>39</v>
      </c>
      <c r="H1358" s="6">
        <v>2</v>
      </c>
      <c r="I1358" s="6" t="s">
        <v>447</v>
      </c>
      <c r="J1358" s="6" t="s">
        <v>154</v>
      </c>
      <c r="K1358" s="6">
        <v>520</v>
      </c>
      <c r="L1358" s="6" t="s">
        <v>42</v>
      </c>
      <c r="M1358" s="6" t="s">
        <v>34</v>
      </c>
    </row>
    <row r="1359" spans="1:13">
      <c r="A1359" s="6" t="s">
        <v>2538</v>
      </c>
      <c r="B1359" s="7">
        <v>46050</v>
      </c>
      <c r="C1359" s="6" t="s">
        <v>2153</v>
      </c>
      <c r="D1359" s="6" t="s">
        <v>27</v>
      </c>
      <c r="E1359" s="6" t="s">
        <v>28</v>
      </c>
      <c r="F1359" s="6" t="s">
        <v>47</v>
      </c>
      <c r="G1359" s="6" t="s">
        <v>48</v>
      </c>
      <c r="H1359" s="6">
        <v>2</v>
      </c>
      <c r="I1359" s="6" t="s">
        <v>748</v>
      </c>
      <c r="J1359" s="6" t="s">
        <v>192</v>
      </c>
      <c r="K1359" s="6">
        <v>85</v>
      </c>
      <c r="L1359" s="6" t="s">
        <v>42</v>
      </c>
      <c r="M1359" s="6" t="s">
        <v>34</v>
      </c>
    </row>
    <row r="1360" spans="1:13">
      <c r="A1360" s="6" t="s">
        <v>218</v>
      </c>
      <c r="B1360" s="7">
        <v>46168</v>
      </c>
      <c r="C1360" s="6" t="s">
        <v>219</v>
      </c>
      <c r="D1360" s="6" t="s">
        <v>45</v>
      </c>
      <c r="E1360" s="6" t="s">
        <v>52</v>
      </c>
      <c r="F1360" s="6" t="s">
        <v>85</v>
      </c>
      <c r="G1360" s="6" t="s">
        <v>86</v>
      </c>
      <c r="H1360" s="6">
        <v>3</v>
      </c>
      <c r="I1360" s="6" t="s">
        <v>79</v>
      </c>
      <c r="J1360" s="6" t="s">
        <v>216</v>
      </c>
      <c r="K1360" s="6" t="s">
        <v>87</v>
      </c>
      <c r="L1360" s="6" t="s">
        <v>42</v>
      </c>
      <c r="M1360" s="6" t="s">
        <v>69</v>
      </c>
    </row>
    <row r="1361" spans="1:13">
      <c r="A1361" s="6" t="s">
        <v>2539</v>
      </c>
      <c r="B1361" s="7">
        <v>46116</v>
      </c>
      <c r="C1361" s="6" t="s">
        <v>1126</v>
      </c>
      <c r="D1361" s="6" t="s">
        <v>110</v>
      </c>
      <c r="E1361" s="6" t="s">
        <v>28</v>
      </c>
      <c r="F1361" s="6" t="s">
        <v>38</v>
      </c>
      <c r="G1361" s="6" t="s">
        <v>39</v>
      </c>
      <c r="H1361" s="6">
        <v>2</v>
      </c>
      <c r="I1361" s="6" t="s">
        <v>96</v>
      </c>
      <c r="J1361" s="6" t="s">
        <v>278</v>
      </c>
      <c r="K1361" s="6">
        <v>520</v>
      </c>
      <c r="L1361" s="6" t="s">
        <v>33</v>
      </c>
      <c r="M1361" s="6" t="s">
        <v>34</v>
      </c>
    </row>
    <row r="1362" spans="1:13">
      <c r="A1362" s="6" t="s">
        <v>2540</v>
      </c>
      <c r="B1362" s="7">
        <v>46093</v>
      </c>
      <c r="C1362" s="6" t="s">
        <v>2541</v>
      </c>
      <c r="D1362" s="6" t="s">
        <v>57</v>
      </c>
      <c r="E1362" s="6" t="s">
        <v>46</v>
      </c>
      <c r="F1362" s="6" t="s">
        <v>100</v>
      </c>
      <c r="G1362" s="6" t="s">
        <v>101</v>
      </c>
      <c r="H1362" s="6">
        <v>1</v>
      </c>
      <c r="I1362" s="6" t="s">
        <v>195</v>
      </c>
      <c r="J1362" s="6" t="s">
        <v>181</v>
      </c>
      <c r="K1362" s="6">
        <v>640</v>
      </c>
      <c r="L1362" s="6" t="s">
        <v>42</v>
      </c>
      <c r="M1362" s="6" t="s">
        <v>34</v>
      </c>
    </row>
    <row r="1363" spans="1:13">
      <c r="A1363" s="6" t="s">
        <v>2542</v>
      </c>
      <c r="B1363" s="7">
        <v>46024</v>
      </c>
      <c r="C1363" s="6" t="s">
        <v>1157</v>
      </c>
      <c r="D1363" s="6" t="s">
        <v>72</v>
      </c>
      <c r="E1363" s="6" t="s">
        <v>28</v>
      </c>
      <c r="F1363" s="6" t="s">
        <v>47</v>
      </c>
      <c r="G1363" s="6" t="s">
        <v>48</v>
      </c>
      <c r="H1363" s="6">
        <v>1</v>
      </c>
      <c r="I1363" s="6" t="s">
        <v>113</v>
      </c>
      <c r="J1363" s="6" t="s">
        <v>113</v>
      </c>
      <c r="K1363" s="6">
        <v>85</v>
      </c>
      <c r="L1363" s="6" t="s">
        <v>42</v>
      </c>
      <c r="M1363" s="6" t="s">
        <v>34</v>
      </c>
    </row>
    <row r="1364" spans="1:13">
      <c r="A1364" s="6" t="s">
        <v>2543</v>
      </c>
      <c r="B1364" s="7">
        <v>46120</v>
      </c>
      <c r="C1364" s="6" t="s">
        <v>608</v>
      </c>
      <c r="D1364" s="6" t="s">
        <v>77</v>
      </c>
      <c r="E1364" s="6" t="s">
        <v>37</v>
      </c>
      <c r="F1364" s="6" t="s">
        <v>38</v>
      </c>
      <c r="G1364" s="6" t="s">
        <v>39</v>
      </c>
      <c r="H1364" s="6">
        <v>1</v>
      </c>
      <c r="I1364" s="6" t="s">
        <v>181</v>
      </c>
      <c r="J1364" s="6" t="s">
        <v>181</v>
      </c>
      <c r="K1364" s="6">
        <v>520</v>
      </c>
      <c r="L1364" s="6" t="s">
        <v>42</v>
      </c>
      <c r="M1364" s="6" t="s">
        <v>34</v>
      </c>
    </row>
    <row r="1365" spans="1:13">
      <c r="A1365" s="6" t="s">
        <v>2544</v>
      </c>
      <c r="B1365" s="7">
        <v>46189</v>
      </c>
      <c r="C1365" s="6" t="s">
        <v>2545</v>
      </c>
      <c r="D1365" s="6" t="s">
        <v>72</v>
      </c>
      <c r="E1365" s="6" t="s">
        <v>46</v>
      </c>
      <c r="F1365" s="6" t="s">
        <v>47</v>
      </c>
      <c r="G1365" s="6" t="s">
        <v>48</v>
      </c>
      <c r="H1365" s="6">
        <v>3</v>
      </c>
      <c r="I1365" s="6" t="s">
        <v>181</v>
      </c>
      <c r="J1365" s="6" t="s">
        <v>867</v>
      </c>
      <c r="K1365" s="6" t="s">
        <v>49</v>
      </c>
      <c r="L1365" s="6" t="s">
        <v>42</v>
      </c>
      <c r="M1365" s="6" t="s">
        <v>69</v>
      </c>
    </row>
    <row r="1366" spans="1:13">
      <c r="A1366" s="6" t="s">
        <v>2546</v>
      </c>
      <c r="B1366" s="7">
        <v>46061</v>
      </c>
      <c r="C1366" s="6" t="s">
        <v>1777</v>
      </c>
      <c r="D1366" s="6" t="s">
        <v>72</v>
      </c>
      <c r="E1366" s="6" t="s">
        <v>52</v>
      </c>
      <c r="F1366" s="6" t="s">
        <v>94</v>
      </c>
      <c r="G1366" s="6" t="s">
        <v>95</v>
      </c>
      <c r="H1366" s="6">
        <v>1</v>
      </c>
      <c r="I1366" s="6" t="s">
        <v>117</v>
      </c>
      <c r="J1366" s="6" t="s">
        <v>117</v>
      </c>
      <c r="K1366" s="6">
        <v>340</v>
      </c>
      <c r="L1366" s="6" t="s">
        <v>42</v>
      </c>
      <c r="M1366" s="6" t="s">
        <v>34</v>
      </c>
    </row>
    <row r="1367" spans="1:13">
      <c r="A1367" s="6" t="s">
        <v>2547</v>
      </c>
      <c r="B1367" s="7">
        <v>46208</v>
      </c>
      <c r="C1367" s="6" t="s">
        <v>1024</v>
      </c>
      <c r="D1367" s="6" t="s">
        <v>57</v>
      </c>
      <c r="E1367" s="6" t="s">
        <v>28</v>
      </c>
      <c r="F1367" s="6" t="s">
        <v>47</v>
      </c>
      <c r="G1367" s="6" t="s">
        <v>48</v>
      </c>
      <c r="H1367" s="6">
        <v>2</v>
      </c>
      <c r="I1367" s="6" t="s">
        <v>31</v>
      </c>
      <c r="J1367" s="6" t="s">
        <v>249</v>
      </c>
      <c r="K1367" s="6" t="s">
        <v>49</v>
      </c>
      <c r="L1367" s="6" t="s">
        <v>33</v>
      </c>
      <c r="M1367" s="6" t="s">
        <v>34</v>
      </c>
    </row>
    <row r="1368" spans="1:13">
      <c r="A1368" s="6" t="s">
        <v>2548</v>
      </c>
      <c r="B1368" s="7">
        <v>46063</v>
      </c>
      <c r="C1368" s="6" t="s">
        <v>1644</v>
      </c>
      <c r="D1368" s="6" t="s">
        <v>27</v>
      </c>
      <c r="E1368" s="6" t="s">
        <v>28</v>
      </c>
      <c r="F1368" s="6" t="s">
        <v>100</v>
      </c>
      <c r="G1368" s="6" t="s">
        <v>101</v>
      </c>
      <c r="H1368" s="6">
        <v>-2</v>
      </c>
      <c r="I1368" s="6" t="s">
        <v>67</v>
      </c>
      <c r="J1368" s="8" t="s">
        <v>2549</v>
      </c>
      <c r="K1368" s="6">
        <v>640</v>
      </c>
      <c r="L1368" s="6" t="s">
        <v>42</v>
      </c>
      <c r="M1368" s="6" t="s">
        <v>34</v>
      </c>
    </row>
    <row r="1369" spans="1:13">
      <c r="A1369" s="6" t="s">
        <v>2550</v>
      </c>
      <c r="B1369" s="7">
        <v>46168</v>
      </c>
      <c r="C1369" s="6" t="s">
        <v>174</v>
      </c>
      <c r="D1369" s="6" t="s">
        <v>45</v>
      </c>
      <c r="E1369" s="6" t="s">
        <v>46</v>
      </c>
      <c r="F1369" s="6" t="s">
        <v>100</v>
      </c>
      <c r="G1369" s="6" t="s">
        <v>101</v>
      </c>
      <c r="H1369" s="6">
        <v>1</v>
      </c>
      <c r="I1369" s="6" t="s">
        <v>1004</v>
      </c>
      <c r="J1369" s="6" t="s">
        <v>265</v>
      </c>
      <c r="K1369" s="6" t="s">
        <v>119</v>
      </c>
      <c r="L1369" s="6" t="s">
        <v>42</v>
      </c>
      <c r="M1369" s="6" t="s">
        <v>34</v>
      </c>
    </row>
    <row r="1370" spans="1:13">
      <c r="A1370" s="6" t="s">
        <v>2551</v>
      </c>
      <c r="B1370" s="7">
        <v>46072</v>
      </c>
      <c r="C1370" s="6" t="s">
        <v>679</v>
      </c>
      <c r="D1370" s="6" t="s">
        <v>45</v>
      </c>
      <c r="E1370" s="6" t="s">
        <v>37</v>
      </c>
      <c r="F1370" s="6" t="s">
        <v>85</v>
      </c>
      <c r="G1370" s="6" t="s">
        <v>86</v>
      </c>
      <c r="H1370" s="6">
        <v>2</v>
      </c>
      <c r="I1370" s="6" t="s">
        <v>265</v>
      </c>
      <c r="J1370" s="6" t="s">
        <v>175</v>
      </c>
      <c r="K1370" s="6">
        <v>410</v>
      </c>
      <c r="L1370" s="6" t="s">
        <v>42</v>
      </c>
      <c r="M1370" s="6" t="s">
        <v>34</v>
      </c>
    </row>
    <row r="1371" spans="1:13">
      <c r="A1371" s="6" t="s">
        <v>2552</v>
      </c>
      <c r="B1371" s="7">
        <v>46117</v>
      </c>
      <c r="C1371" s="6" t="s">
        <v>2553</v>
      </c>
      <c r="D1371" s="6" t="s">
        <v>57</v>
      </c>
      <c r="E1371" s="6" t="s">
        <v>28</v>
      </c>
      <c r="F1371" s="6" t="s">
        <v>94</v>
      </c>
      <c r="G1371" s="6" t="s">
        <v>95</v>
      </c>
      <c r="H1371" s="6">
        <v>3</v>
      </c>
      <c r="I1371" s="6" t="s">
        <v>181</v>
      </c>
      <c r="J1371" s="6" t="s">
        <v>867</v>
      </c>
      <c r="K1371" s="6">
        <v>340</v>
      </c>
      <c r="L1371" s="6" t="s">
        <v>42</v>
      </c>
      <c r="M1371" s="6" t="s">
        <v>34</v>
      </c>
    </row>
    <row r="1372" spans="1:13">
      <c r="A1372" s="6" t="s">
        <v>2554</v>
      </c>
      <c r="B1372" s="7">
        <v>46053</v>
      </c>
      <c r="C1372" s="6" t="s">
        <v>2555</v>
      </c>
      <c r="D1372" s="6" t="s">
        <v>127</v>
      </c>
      <c r="E1372" s="6" t="s">
        <v>46</v>
      </c>
      <c r="F1372" s="6" t="s">
        <v>94</v>
      </c>
      <c r="G1372" s="6" t="s">
        <v>95</v>
      </c>
      <c r="H1372" s="6">
        <v>1</v>
      </c>
      <c r="I1372" s="6" t="s">
        <v>67</v>
      </c>
      <c r="J1372" s="6" t="s">
        <v>67</v>
      </c>
      <c r="K1372" s="6">
        <v>340</v>
      </c>
      <c r="L1372" s="6" t="s">
        <v>33</v>
      </c>
      <c r="M1372" s="6" t="s">
        <v>69</v>
      </c>
    </row>
    <row r="1373" spans="1:13">
      <c r="A1373" s="6" t="s">
        <v>2556</v>
      </c>
      <c r="B1373" s="7">
        <v>46033</v>
      </c>
      <c r="C1373" s="6" t="s">
        <v>51</v>
      </c>
      <c r="D1373" s="6" t="s">
        <v>110</v>
      </c>
      <c r="E1373" s="6" t="s">
        <v>37</v>
      </c>
      <c r="F1373" s="6" t="s">
        <v>53</v>
      </c>
      <c r="G1373" s="6" t="s">
        <v>54</v>
      </c>
      <c r="H1373" s="6">
        <v>1</v>
      </c>
      <c r="I1373" s="6" t="s">
        <v>265</v>
      </c>
      <c r="J1373" s="6" t="s">
        <v>265</v>
      </c>
      <c r="K1373" s="6">
        <v>190</v>
      </c>
      <c r="L1373" s="6" t="s">
        <v>42</v>
      </c>
      <c r="M1373" s="6" t="s">
        <v>69</v>
      </c>
    </row>
    <row r="1374" spans="1:13">
      <c r="A1374" s="6" t="s">
        <v>2557</v>
      </c>
      <c r="B1374" s="7">
        <v>46193</v>
      </c>
      <c r="C1374" s="6" t="s">
        <v>1537</v>
      </c>
      <c r="D1374" s="6" t="s">
        <v>105</v>
      </c>
      <c r="E1374" s="6" t="s">
        <v>37</v>
      </c>
      <c r="F1374" s="6" t="s">
        <v>29</v>
      </c>
      <c r="G1374" s="6" t="s">
        <v>30</v>
      </c>
      <c r="H1374" s="6">
        <v>1</v>
      </c>
      <c r="I1374" s="6" t="s">
        <v>147</v>
      </c>
      <c r="J1374" s="6" t="s">
        <v>147</v>
      </c>
      <c r="K1374" s="6" t="s">
        <v>41</v>
      </c>
      <c r="L1374" s="6" t="s">
        <v>42</v>
      </c>
      <c r="M1374" s="6" t="s">
        <v>69</v>
      </c>
    </row>
    <row r="1375" spans="1:13">
      <c r="A1375" s="6" t="s">
        <v>2558</v>
      </c>
      <c r="B1375" s="6" t="s">
        <v>1621</v>
      </c>
      <c r="C1375" s="6" t="s">
        <v>536</v>
      </c>
      <c r="D1375" s="6" t="s">
        <v>72</v>
      </c>
      <c r="E1375" s="6" t="s">
        <v>28</v>
      </c>
      <c r="F1375" s="6" t="s">
        <v>94</v>
      </c>
      <c r="G1375" s="6" t="s">
        <v>95</v>
      </c>
      <c r="H1375" s="6">
        <v>1</v>
      </c>
      <c r="I1375" s="6" t="s">
        <v>82</v>
      </c>
      <c r="J1375" s="6" t="s">
        <v>82</v>
      </c>
      <c r="K1375" s="6" t="s">
        <v>114</v>
      </c>
      <c r="L1375" s="6" t="s">
        <v>42</v>
      </c>
      <c r="M1375" s="6" t="s">
        <v>34</v>
      </c>
    </row>
    <row r="1376" spans="1:13">
      <c r="A1376" s="6" t="s">
        <v>2559</v>
      </c>
      <c r="B1376" s="7">
        <v>46057</v>
      </c>
      <c r="C1376" s="6" t="s">
        <v>1019</v>
      </c>
      <c r="D1376" s="6" t="s">
        <v>105</v>
      </c>
      <c r="E1376" s="6" t="s">
        <v>78</v>
      </c>
      <c r="F1376" s="6" t="s">
        <v>58</v>
      </c>
      <c r="G1376" s="6" t="s">
        <v>59</v>
      </c>
      <c r="H1376" s="6">
        <v>2</v>
      </c>
      <c r="I1376" s="6" t="s">
        <v>181</v>
      </c>
      <c r="J1376" s="6" t="s">
        <v>163</v>
      </c>
      <c r="K1376" s="6">
        <v>380</v>
      </c>
      <c r="L1376" s="6" t="s">
        <v>33</v>
      </c>
      <c r="M1376" s="6" t="s">
        <v>34</v>
      </c>
    </row>
    <row r="1377" spans="1:13">
      <c r="A1377" s="6" t="s">
        <v>2197</v>
      </c>
      <c r="B1377" s="7">
        <v>46125</v>
      </c>
      <c r="C1377" s="6" t="s">
        <v>2198</v>
      </c>
      <c r="D1377" s="6" t="s">
        <v>45</v>
      </c>
      <c r="E1377" s="6" t="s">
        <v>52</v>
      </c>
      <c r="F1377" s="6" t="s">
        <v>53</v>
      </c>
      <c r="G1377" s="6" t="s">
        <v>54</v>
      </c>
      <c r="H1377" s="6">
        <v>1</v>
      </c>
      <c r="I1377" s="6" t="s">
        <v>113</v>
      </c>
      <c r="J1377" s="6" t="s">
        <v>113</v>
      </c>
      <c r="K1377" s="6">
        <v>190</v>
      </c>
      <c r="L1377" s="6" t="s">
        <v>33</v>
      </c>
      <c r="M1377" s="6" t="s">
        <v>34</v>
      </c>
    </row>
    <row r="1378" spans="1:13">
      <c r="A1378" s="6" t="s">
        <v>2560</v>
      </c>
      <c r="B1378" s="7">
        <v>46075</v>
      </c>
      <c r="C1378" s="6" t="s">
        <v>2561</v>
      </c>
      <c r="D1378" s="6" t="s">
        <v>45</v>
      </c>
      <c r="E1378" s="6" t="s">
        <v>46</v>
      </c>
      <c r="F1378" s="6" t="s">
        <v>100</v>
      </c>
      <c r="G1378" s="6" t="s">
        <v>101</v>
      </c>
      <c r="H1378" s="6">
        <v>2</v>
      </c>
      <c r="I1378" s="6" t="s">
        <v>147</v>
      </c>
      <c r="J1378" s="6" t="s">
        <v>459</v>
      </c>
      <c r="K1378" s="6">
        <v>640</v>
      </c>
      <c r="L1378" s="6" t="s">
        <v>33</v>
      </c>
      <c r="M1378" s="6" t="s">
        <v>34</v>
      </c>
    </row>
    <row r="1379" spans="1:13">
      <c r="A1379" s="6" t="s">
        <v>2562</v>
      </c>
      <c r="B1379" s="7">
        <v>46108</v>
      </c>
      <c r="C1379" s="6" t="s">
        <v>468</v>
      </c>
      <c r="D1379" s="6" t="s">
        <v>57</v>
      </c>
      <c r="E1379" s="6" t="s">
        <v>52</v>
      </c>
      <c r="F1379" s="6" t="s">
        <v>38</v>
      </c>
      <c r="G1379" s="6" t="s">
        <v>39</v>
      </c>
      <c r="H1379" s="6">
        <v>1</v>
      </c>
      <c r="I1379" s="6" t="s">
        <v>660</v>
      </c>
      <c r="J1379" s="6" t="s">
        <v>79</v>
      </c>
      <c r="K1379" s="6">
        <v>520</v>
      </c>
      <c r="L1379" s="6" t="s">
        <v>42</v>
      </c>
      <c r="M1379" s="6" t="s">
        <v>69</v>
      </c>
    </row>
    <row r="1380" spans="1:13">
      <c r="A1380" s="6" t="s">
        <v>2563</v>
      </c>
      <c r="B1380" s="7">
        <v>46121</v>
      </c>
      <c r="C1380" s="6" t="s">
        <v>851</v>
      </c>
      <c r="D1380" s="6" t="s">
        <v>45</v>
      </c>
      <c r="E1380" s="6" t="s">
        <v>52</v>
      </c>
      <c r="F1380" s="6" t="s">
        <v>58</v>
      </c>
      <c r="G1380" s="6" t="s">
        <v>59</v>
      </c>
      <c r="H1380" s="6">
        <v>1</v>
      </c>
      <c r="I1380" s="6" t="s">
        <v>31</v>
      </c>
      <c r="J1380" s="6" t="s">
        <v>31</v>
      </c>
      <c r="K1380" s="6">
        <v>380</v>
      </c>
      <c r="L1380" s="6" t="s">
        <v>42</v>
      </c>
      <c r="M1380" s="6" t="s">
        <v>34</v>
      </c>
    </row>
    <row r="1381" spans="1:13">
      <c r="A1381" s="6" t="s">
        <v>2564</v>
      </c>
      <c r="B1381" s="7">
        <v>46193</v>
      </c>
      <c r="C1381" s="6" t="s">
        <v>2239</v>
      </c>
      <c r="D1381" s="6" t="s">
        <v>57</v>
      </c>
      <c r="E1381" s="6" t="s">
        <v>78</v>
      </c>
      <c r="F1381" s="6" t="s">
        <v>85</v>
      </c>
      <c r="G1381" s="6" t="s">
        <v>86</v>
      </c>
      <c r="H1381" s="6">
        <v>-1</v>
      </c>
      <c r="I1381" s="6" t="s">
        <v>90</v>
      </c>
      <c r="J1381" s="8" t="s">
        <v>135</v>
      </c>
      <c r="K1381" s="6" t="s">
        <v>87</v>
      </c>
      <c r="L1381" s="6" t="s">
        <v>42</v>
      </c>
      <c r="M1381" s="6" t="s">
        <v>34</v>
      </c>
    </row>
    <row r="1382" spans="1:13">
      <c r="A1382" s="6" t="s">
        <v>2565</v>
      </c>
      <c r="B1382" s="7">
        <v>46073</v>
      </c>
      <c r="C1382" s="6" t="s">
        <v>1683</v>
      </c>
      <c r="D1382" s="6" t="s">
        <v>105</v>
      </c>
      <c r="E1382" s="6" t="s">
        <v>37</v>
      </c>
      <c r="F1382" s="6" t="s">
        <v>38</v>
      </c>
      <c r="G1382" s="6" t="s">
        <v>39</v>
      </c>
      <c r="H1382" s="6">
        <v>1</v>
      </c>
      <c r="I1382" s="6" t="s">
        <v>82</v>
      </c>
      <c r="J1382" s="6" t="s">
        <v>82</v>
      </c>
      <c r="K1382" s="6">
        <v>520</v>
      </c>
      <c r="L1382" s="6" t="s">
        <v>33</v>
      </c>
      <c r="M1382" s="6" t="s">
        <v>34</v>
      </c>
    </row>
    <row r="1383" spans="1:13">
      <c r="A1383" s="6" t="s">
        <v>2566</v>
      </c>
      <c r="B1383" s="7">
        <v>46093</v>
      </c>
      <c r="C1383" s="6" t="s">
        <v>2567</v>
      </c>
      <c r="D1383" s="6" t="s">
        <v>45</v>
      </c>
      <c r="E1383" s="6" t="s">
        <v>52</v>
      </c>
      <c r="F1383" s="6" t="s">
        <v>58</v>
      </c>
      <c r="G1383" s="6" t="s">
        <v>59</v>
      </c>
      <c r="H1383" s="6">
        <v>1</v>
      </c>
      <c r="I1383" s="6" t="s">
        <v>67</v>
      </c>
      <c r="J1383" s="6" t="s">
        <v>67</v>
      </c>
      <c r="K1383" s="6">
        <v>380</v>
      </c>
      <c r="L1383" s="6" t="s">
        <v>42</v>
      </c>
      <c r="M1383" s="6" t="s">
        <v>34</v>
      </c>
    </row>
    <row r="1384" spans="1:13">
      <c r="A1384" s="6" t="s">
        <v>2568</v>
      </c>
      <c r="B1384" s="7">
        <v>46205</v>
      </c>
      <c r="C1384" s="6" t="s">
        <v>2569</v>
      </c>
      <c r="D1384" s="6" t="s">
        <v>77</v>
      </c>
      <c r="E1384" s="6" t="s">
        <v>46</v>
      </c>
      <c r="F1384" s="6" t="s">
        <v>94</v>
      </c>
      <c r="G1384" s="6" t="s">
        <v>95</v>
      </c>
      <c r="H1384" s="6">
        <v>2</v>
      </c>
      <c r="I1384" s="6" t="s">
        <v>90</v>
      </c>
      <c r="J1384" s="6" t="s">
        <v>154</v>
      </c>
      <c r="K1384" s="6">
        <v>340</v>
      </c>
      <c r="L1384" s="6" t="s">
        <v>33</v>
      </c>
      <c r="M1384" s="6" t="s">
        <v>34</v>
      </c>
    </row>
    <row r="1385" spans="1:13">
      <c r="A1385" s="6" t="s">
        <v>2570</v>
      </c>
      <c r="B1385" s="7">
        <v>46122</v>
      </c>
      <c r="C1385" s="6" t="s">
        <v>359</v>
      </c>
      <c r="D1385" s="6" t="s">
        <v>72</v>
      </c>
      <c r="E1385" s="6" t="s">
        <v>78</v>
      </c>
      <c r="F1385" s="6" t="s">
        <v>100</v>
      </c>
      <c r="G1385" s="6" t="s">
        <v>101</v>
      </c>
      <c r="H1385" s="6">
        <v>1</v>
      </c>
      <c r="I1385" s="6" t="s">
        <v>82</v>
      </c>
      <c r="J1385" s="6" t="s">
        <v>82</v>
      </c>
      <c r="K1385" s="6">
        <v>640</v>
      </c>
      <c r="L1385" s="6" t="s">
        <v>42</v>
      </c>
      <c r="M1385" s="6" t="s">
        <v>69</v>
      </c>
    </row>
    <row r="1386" spans="1:13">
      <c r="A1386" s="6" t="s">
        <v>2571</v>
      </c>
      <c r="B1386" s="6" t="s">
        <v>1409</v>
      </c>
      <c r="C1386" s="6" t="s">
        <v>2182</v>
      </c>
      <c r="D1386" s="6" t="s">
        <v>57</v>
      </c>
      <c r="E1386" s="6" t="s">
        <v>52</v>
      </c>
      <c r="F1386" s="6" t="s">
        <v>47</v>
      </c>
      <c r="G1386" s="6" t="s">
        <v>48</v>
      </c>
      <c r="H1386" s="6">
        <v>1</v>
      </c>
      <c r="I1386" s="6" t="s">
        <v>117</v>
      </c>
      <c r="J1386" s="6" t="s">
        <v>1060</v>
      </c>
      <c r="K1386" s="6">
        <v>85</v>
      </c>
      <c r="L1386" s="6" t="s">
        <v>42</v>
      </c>
      <c r="M1386" s="6" t="s">
        <v>34</v>
      </c>
    </row>
    <row r="1387" spans="1:13">
      <c r="A1387" s="6" t="s">
        <v>2572</v>
      </c>
      <c r="B1387" s="6" t="s">
        <v>2312</v>
      </c>
      <c r="C1387" s="6" t="s">
        <v>2137</v>
      </c>
      <c r="D1387" s="6" t="s">
        <v>72</v>
      </c>
      <c r="E1387" s="6" t="s">
        <v>28</v>
      </c>
      <c r="F1387" s="6" t="s">
        <v>47</v>
      </c>
      <c r="G1387" s="6" t="s">
        <v>48</v>
      </c>
      <c r="H1387" s="6">
        <v>1</v>
      </c>
      <c r="I1387" s="6" t="s">
        <v>265</v>
      </c>
      <c r="J1387" s="6" t="s">
        <v>265</v>
      </c>
      <c r="K1387" s="6" t="s">
        <v>49</v>
      </c>
      <c r="L1387" s="6" t="s">
        <v>42</v>
      </c>
      <c r="M1387" s="6" t="s">
        <v>69</v>
      </c>
    </row>
    <row r="1388" spans="1:13">
      <c r="A1388" s="6" t="s">
        <v>2573</v>
      </c>
      <c r="B1388" s="7">
        <v>46134</v>
      </c>
      <c r="C1388" s="6" t="s">
        <v>2574</v>
      </c>
      <c r="D1388" s="6" t="s">
        <v>64</v>
      </c>
      <c r="E1388" s="6" t="s">
        <v>28</v>
      </c>
      <c r="F1388" s="6" t="s">
        <v>53</v>
      </c>
      <c r="G1388" s="6" t="s">
        <v>54</v>
      </c>
      <c r="H1388" s="6">
        <v>2</v>
      </c>
      <c r="I1388" s="6" t="s">
        <v>231</v>
      </c>
      <c r="J1388" s="6" t="s">
        <v>232</v>
      </c>
      <c r="K1388" s="6" t="s">
        <v>122</v>
      </c>
      <c r="L1388" s="6" t="s">
        <v>33</v>
      </c>
      <c r="M1388" s="6" t="s">
        <v>34</v>
      </c>
    </row>
    <row r="1389" spans="1:13">
      <c r="A1389" s="6" t="s">
        <v>2575</v>
      </c>
      <c r="B1389" s="7">
        <v>46103</v>
      </c>
      <c r="C1389" s="6" t="s">
        <v>2500</v>
      </c>
      <c r="D1389" s="6" t="s">
        <v>127</v>
      </c>
      <c r="E1389" s="6" t="s">
        <v>46</v>
      </c>
      <c r="F1389" s="6" t="s">
        <v>29</v>
      </c>
      <c r="G1389" s="6" t="s">
        <v>30</v>
      </c>
      <c r="H1389" s="6">
        <v>1</v>
      </c>
      <c r="I1389" s="6" t="s">
        <v>31</v>
      </c>
      <c r="J1389" s="6" t="s">
        <v>31</v>
      </c>
      <c r="K1389" s="6">
        <v>520</v>
      </c>
      <c r="L1389" s="6" t="s">
        <v>42</v>
      </c>
      <c r="M1389" s="6" t="s">
        <v>34</v>
      </c>
    </row>
    <row r="1390" spans="1:13">
      <c r="A1390" s="6" t="s">
        <v>2576</v>
      </c>
      <c r="B1390" s="7">
        <v>46076</v>
      </c>
      <c r="C1390" s="6" t="s">
        <v>589</v>
      </c>
      <c r="D1390" s="6" t="s">
        <v>77</v>
      </c>
      <c r="E1390" s="6" t="s">
        <v>46</v>
      </c>
      <c r="F1390" s="6" t="s">
        <v>53</v>
      </c>
      <c r="G1390" s="6" t="s">
        <v>54</v>
      </c>
      <c r="H1390" s="6">
        <v>3</v>
      </c>
      <c r="I1390" s="6" t="s">
        <v>231</v>
      </c>
      <c r="J1390" s="6" t="s">
        <v>505</v>
      </c>
      <c r="K1390" s="6">
        <v>190</v>
      </c>
      <c r="L1390" s="6" t="s">
        <v>33</v>
      </c>
      <c r="M1390" s="6" t="s">
        <v>69</v>
      </c>
    </row>
    <row r="1391" spans="1:13">
      <c r="A1391" s="6" t="s">
        <v>2577</v>
      </c>
      <c r="B1391" s="6" t="s">
        <v>2578</v>
      </c>
      <c r="C1391" s="6" t="s">
        <v>1039</v>
      </c>
      <c r="D1391" s="6" t="s">
        <v>45</v>
      </c>
      <c r="E1391" s="6" t="s">
        <v>28</v>
      </c>
      <c r="F1391" s="6" t="s">
        <v>53</v>
      </c>
      <c r="G1391" s="6" t="s">
        <v>54</v>
      </c>
      <c r="H1391" s="6">
        <v>1</v>
      </c>
      <c r="I1391" s="6" t="s">
        <v>90</v>
      </c>
      <c r="J1391" s="6" t="s">
        <v>90</v>
      </c>
      <c r="K1391" s="6">
        <v>190</v>
      </c>
      <c r="L1391" s="6" t="s">
        <v>42</v>
      </c>
      <c r="M1391" s="6" t="s">
        <v>34</v>
      </c>
    </row>
    <row r="1392" spans="1:13">
      <c r="A1392" s="6" t="s">
        <v>2579</v>
      </c>
      <c r="B1392" s="7">
        <v>46076</v>
      </c>
      <c r="C1392" s="6" t="s">
        <v>1226</v>
      </c>
      <c r="D1392" s="6" t="s">
        <v>105</v>
      </c>
      <c r="E1392" s="6" t="s">
        <v>28</v>
      </c>
      <c r="F1392" s="6" t="s">
        <v>53</v>
      </c>
      <c r="G1392" s="6" t="s">
        <v>54</v>
      </c>
      <c r="H1392" s="6">
        <v>2</v>
      </c>
      <c r="I1392" s="6" t="s">
        <v>143</v>
      </c>
      <c r="J1392" s="6" t="s">
        <v>144</v>
      </c>
      <c r="K1392" s="6">
        <v>190</v>
      </c>
      <c r="L1392" s="6" t="s">
        <v>42</v>
      </c>
      <c r="M1392" s="6" t="s">
        <v>34</v>
      </c>
    </row>
    <row r="1393" spans="1:13">
      <c r="A1393" s="6" t="s">
        <v>2580</v>
      </c>
      <c r="B1393" s="7">
        <v>46175</v>
      </c>
      <c r="C1393" s="6" t="s">
        <v>2229</v>
      </c>
      <c r="D1393" s="6" t="s">
        <v>72</v>
      </c>
      <c r="E1393" s="6" t="s">
        <v>52</v>
      </c>
      <c r="F1393" s="6" t="s">
        <v>100</v>
      </c>
      <c r="G1393" s="6" t="s">
        <v>101</v>
      </c>
      <c r="H1393" s="6">
        <v>1</v>
      </c>
      <c r="I1393" s="6" t="s">
        <v>79</v>
      </c>
      <c r="J1393" s="6" t="s">
        <v>79</v>
      </c>
      <c r="K1393" s="6" t="s">
        <v>119</v>
      </c>
      <c r="L1393" s="6" t="s">
        <v>42</v>
      </c>
      <c r="M1393" s="6" t="s">
        <v>34</v>
      </c>
    </row>
    <row r="1394" spans="1:13">
      <c r="A1394" s="6" t="s">
        <v>2581</v>
      </c>
      <c r="B1394" s="7">
        <v>46051</v>
      </c>
      <c r="C1394" s="6" t="s">
        <v>507</v>
      </c>
      <c r="D1394" s="6" t="s">
        <v>105</v>
      </c>
      <c r="E1394" s="6" t="s">
        <v>52</v>
      </c>
      <c r="F1394" s="6" t="s">
        <v>53</v>
      </c>
      <c r="G1394" s="6" t="s">
        <v>54</v>
      </c>
      <c r="H1394" s="6">
        <v>2</v>
      </c>
      <c r="I1394" s="6" t="s">
        <v>73</v>
      </c>
      <c r="J1394" s="6" t="s">
        <v>74</v>
      </c>
      <c r="K1394" s="6">
        <v>190</v>
      </c>
      <c r="L1394" s="6" t="s">
        <v>42</v>
      </c>
      <c r="M1394" s="6" t="s">
        <v>34</v>
      </c>
    </row>
    <row r="1395" spans="1:13">
      <c r="A1395" s="6" t="s">
        <v>2582</v>
      </c>
      <c r="B1395" s="7">
        <v>46142</v>
      </c>
      <c r="C1395" s="6" t="s">
        <v>1246</v>
      </c>
      <c r="D1395" s="6" t="s">
        <v>72</v>
      </c>
      <c r="E1395" s="6" t="s">
        <v>37</v>
      </c>
      <c r="F1395" s="6" t="s">
        <v>100</v>
      </c>
      <c r="G1395" s="6" t="s">
        <v>101</v>
      </c>
      <c r="H1395" s="6">
        <v>1</v>
      </c>
      <c r="I1395" s="6" t="s">
        <v>90</v>
      </c>
      <c r="J1395" s="6" t="s">
        <v>90</v>
      </c>
      <c r="K1395" s="6" t="s">
        <v>119</v>
      </c>
      <c r="L1395" s="6" t="s">
        <v>42</v>
      </c>
      <c r="M1395" s="6" t="s">
        <v>34</v>
      </c>
    </row>
    <row r="1396" spans="1:13">
      <c r="A1396" s="6" t="s">
        <v>2583</v>
      </c>
      <c r="B1396" s="7">
        <v>46145</v>
      </c>
      <c r="C1396" s="6" t="s">
        <v>363</v>
      </c>
      <c r="D1396" s="6" t="s">
        <v>27</v>
      </c>
      <c r="E1396" s="6" t="s">
        <v>28</v>
      </c>
      <c r="F1396" s="6" t="s">
        <v>53</v>
      </c>
      <c r="G1396" s="6" t="s">
        <v>54</v>
      </c>
      <c r="H1396" s="6">
        <v>1</v>
      </c>
      <c r="I1396" s="6" t="s">
        <v>113</v>
      </c>
      <c r="J1396" s="6" t="s">
        <v>113</v>
      </c>
      <c r="K1396" s="6">
        <v>190</v>
      </c>
      <c r="L1396" s="6" t="s">
        <v>42</v>
      </c>
      <c r="M1396" s="6" t="s">
        <v>34</v>
      </c>
    </row>
    <row r="1397" spans="1:13">
      <c r="A1397" s="6" t="s">
        <v>2584</v>
      </c>
      <c r="B1397" s="7">
        <v>46056</v>
      </c>
      <c r="C1397" s="6" t="s">
        <v>2585</v>
      </c>
      <c r="D1397" s="6" t="s">
        <v>110</v>
      </c>
      <c r="E1397" s="6" t="s">
        <v>28</v>
      </c>
      <c r="F1397" s="6" t="s">
        <v>53</v>
      </c>
      <c r="G1397" s="6" t="s">
        <v>54</v>
      </c>
      <c r="H1397" s="6">
        <v>2</v>
      </c>
      <c r="I1397" s="6" t="s">
        <v>231</v>
      </c>
      <c r="J1397" s="6" t="s">
        <v>232</v>
      </c>
      <c r="K1397" s="6">
        <v>190</v>
      </c>
      <c r="L1397" s="6" t="s">
        <v>42</v>
      </c>
      <c r="M1397" s="6" t="s">
        <v>34</v>
      </c>
    </row>
    <row r="1398" spans="1:13">
      <c r="A1398" s="6" t="s">
        <v>2586</v>
      </c>
      <c r="B1398" s="7">
        <v>46159</v>
      </c>
      <c r="C1398" s="6" t="s">
        <v>507</v>
      </c>
      <c r="D1398" s="6" t="s">
        <v>57</v>
      </c>
      <c r="E1398" s="6" t="s">
        <v>28</v>
      </c>
      <c r="F1398" s="6" t="s">
        <v>94</v>
      </c>
      <c r="G1398" s="6" t="s">
        <v>95</v>
      </c>
      <c r="H1398" s="6">
        <v>2</v>
      </c>
      <c r="I1398" s="6" t="s">
        <v>143</v>
      </c>
      <c r="J1398" s="6" t="s">
        <v>144</v>
      </c>
      <c r="K1398" s="6" t="s">
        <v>114</v>
      </c>
      <c r="L1398" s="6" t="s">
        <v>33</v>
      </c>
      <c r="M1398" s="6" t="s">
        <v>69</v>
      </c>
    </row>
    <row r="1399" spans="1:13">
      <c r="A1399" s="6" t="s">
        <v>2587</v>
      </c>
      <c r="B1399" s="7">
        <v>46087</v>
      </c>
      <c r="C1399" s="6" t="s">
        <v>2202</v>
      </c>
      <c r="D1399" s="6" t="s">
        <v>77</v>
      </c>
      <c r="E1399" s="6" t="s">
        <v>52</v>
      </c>
      <c r="F1399" s="6" t="s">
        <v>29</v>
      </c>
      <c r="G1399" s="6" t="s">
        <v>30</v>
      </c>
      <c r="H1399" s="6">
        <v>1</v>
      </c>
      <c r="I1399" s="6" t="s">
        <v>143</v>
      </c>
      <c r="J1399" s="6" t="s">
        <v>143</v>
      </c>
      <c r="K1399" s="6">
        <v>520</v>
      </c>
      <c r="L1399" s="6" t="s">
        <v>42</v>
      </c>
      <c r="M1399" s="6" t="s">
        <v>34</v>
      </c>
    </row>
    <row r="1400" spans="1:13">
      <c r="A1400" s="6" t="s">
        <v>2588</v>
      </c>
      <c r="B1400" s="7">
        <v>46119</v>
      </c>
      <c r="C1400" s="6" t="s">
        <v>2589</v>
      </c>
      <c r="D1400" s="6" t="s">
        <v>64</v>
      </c>
      <c r="E1400" s="6" t="s">
        <v>37</v>
      </c>
      <c r="F1400" s="6" t="s">
        <v>53</v>
      </c>
      <c r="G1400" s="6" t="s">
        <v>54</v>
      </c>
      <c r="H1400" s="6">
        <v>1</v>
      </c>
      <c r="I1400" s="6" t="s">
        <v>231</v>
      </c>
      <c r="J1400" s="6" t="s">
        <v>231</v>
      </c>
      <c r="K1400" s="6">
        <v>190</v>
      </c>
      <c r="L1400" s="6" t="s">
        <v>42</v>
      </c>
      <c r="M1400" s="6" t="s">
        <v>69</v>
      </c>
    </row>
    <row r="1401" spans="1:13">
      <c r="A1401" s="6" t="s">
        <v>2590</v>
      </c>
      <c r="B1401" s="7">
        <v>46076</v>
      </c>
      <c r="C1401" s="6" t="s">
        <v>441</v>
      </c>
      <c r="D1401" s="6" t="s">
        <v>27</v>
      </c>
      <c r="E1401" s="6" t="s">
        <v>37</v>
      </c>
      <c r="F1401" s="6" t="s">
        <v>53</v>
      </c>
      <c r="G1401" s="6" t="s">
        <v>54</v>
      </c>
      <c r="H1401" s="6">
        <v>1</v>
      </c>
      <c r="I1401" s="6" t="s">
        <v>67</v>
      </c>
      <c r="J1401" s="6" t="s">
        <v>67</v>
      </c>
      <c r="K1401" s="6">
        <v>190</v>
      </c>
      <c r="L1401" s="6" t="s">
        <v>42</v>
      </c>
      <c r="M1401" s="6" t="s">
        <v>34</v>
      </c>
    </row>
    <row r="1402" spans="1:13">
      <c r="A1402" s="6" t="s">
        <v>2591</v>
      </c>
      <c r="B1402" s="7">
        <v>46082</v>
      </c>
      <c r="C1402" s="6" t="s">
        <v>2195</v>
      </c>
      <c r="D1402" s="6" t="s">
        <v>57</v>
      </c>
      <c r="E1402" s="6" t="s">
        <v>46</v>
      </c>
      <c r="F1402" s="6" t="s">
        <v>100</v>
      </c>
      <c r="G1402" s="6" t="s">
        <v>101</v>
      </c>
      <c r="H1402" s="6">
        <v>3</v>
      </c>
      <c r="I1402" s="6" t="s">
        <v>143</v>
      </c>
      <c r="J1402" s="6" t="s">
        <v>243</v>
      </c>
      <c r="K1402" s="6">
        <v>640</v>
      </c>
      <c r="L1402" s="6" t="s">
        <v>33</v>
      </c>
      <c r="M1402" s="6" t="s">
        <v>34</v>
      </c>
    </row>
    <row r="1403" spans="1:13">
      <c r="A1403" s="6" t="s">
        <v>2592</v>
      </c>
      <c r="B1403" s="7">
        <v>46036</v>
      </c>
      <c r="C1403" s="6" t="s">
        <v>1362</v>
      </c>
      <c r="D1403" s="6" t="s">
        <v>127</v>
      </c>
      <c r="E1403" s="6" t="s">
        <v>37</v>
      </c>
      <c r="F1403" s="6" t="s">
        <v>85</v>
      </c>
      <c r="G1403" s="6" t="s">
        <v>86</v>
      </c>
      <c r="H1403" s="6">
        <v>2</v>
      </c>
      <c r="I1403" s="6" t="s">
        <v>79</v>
      </c>
      <c r="J1403" s="6" t="s">
        <v>259</v>
      </c>
      <c r="K1403" s="6">
        <v>410</v>
      </c>
      <c r="L1403" s="6" t="s">
        <v>42</v>
      </c>
      <c r="M1403" s="6" t="s">
        <v>34</v>
      </c>
    </row>
    <row r="1404" spans="1:13">
      <c r="A1404" s="6" t="s">
        <v>2593</v>
      </c>
      <c r="B1404" s="7">
        <v>46362</v>
      </c>
      <c r="C1404" s="6" t="s">
        <v>2594</v>
      </c>
      <c r="D1404" s="6" t="s">
        <v>110</v>
      </c>
      <c r="E1404" s="6" t="s">
        <v>37</v>
      </c>
      <c r="F1404" s="6" t="s">
        <v>85</v>
      </c>
      <c r="G1404" s="6" t="s">
        <v>86</v>
      </c>
      <c r="H1404" s="6">
        <v>-2</v>
      </c>
      <c r="I1404" s="6" t="s">
        <v>143</v>
      </c>
      <c r="J1404" s="8" t="s">
        <v>859</v>
      </c>
      <c r="K1404" s="6" t="s">
        <v>87</v>
      </c>
      <c r="L1404" s="6" t="s">
        <v>42</v>
      </c>
      <c r="M1404" s="6" t="s">
        <v>34</v>
      </c>
    </row>
    <row r="1405" spans="1:13">
      <c r="A1405" s="6" t="s">
        <v>2595</v>
      </c>
      <c r="B1405" s="7">
        <v>46165</v>
      </c>
      <c r="C1405" s="6" t="s">
        <v>140</v>
      </c>
      <c r="D1405" s="6" t="s">
        <v>72</v>
      </c>
      <c r="E1405" s="6" t="s">
        <v>28</v>
      </c>
      <c r="F1405" s="6" t="s">
        <v>29</v>
      </c>
      <c r="G1405" s="6" t="s">
        <v>30</v>
      </c>
      <c r="H1405" s="6">
        <v>1</v>
      </c>
      <c r="I1405" s="6" t="s">
        <v>143</v>
      </c>
      <c r="J1405" s="6" t="s">
        <v>143</v>
      </c>
      <c r="K1405" s="6" t="s">
        <v>41</v>
      </c>
      <c r="L1405" s="6" t="s">
        <v>42</v>
      </c>
      <c r="M1405" s="6" t="s">
        <v>34</v>
      </c>
    </row>
    <row r="1406" spans="1:13">
      <c r="A1406" s="6" t="s">
        <v>2596</v>
      </c>
      <c r="B1406" s="6" t="s">
        <v>2597</v>
      </c>
      <c r="C1406" s="6" t="s">
        <v>89</v>
      </c>
      <c r="D1406" s="6" t="s">
        <v>45</v>
      </c>
      <c r="E1406" s="6" t="s">
        <v>37</v>
      </c>
      <c r="F1406" s="6" t="s">
        <v>53</v>
      </c>
      <c r="G1406" s="6" t="s">
        <v>54</v>
      </c>
      <c r="H1406" s="6">
        <v>3</v>
      </c>
      <c r="I1406" s="6" t="s">
        <v>113</v>
      </c>
      <c r="J1406" s="6" t="s">
        <v>138</v>
      </c>
      <c r="K1406" s="6">
        <v>190</v>
      </c>
      <c r="L1406" s="6" t="s">
        <v>33</v>
      </c>
      <c r="M1406" s="6" t="s">
        <v>34</v>
      </c>
    </row>
    <row r="1407" spans="1:13">
      <c r="A1407" s="6" t="s">
        <v>2598</v>
      </c>
      <c r="B1407" s="7">
        <v>46144</v>
      </c>
      <c r="C1407" s="6" t="s">
        <v>2402</v>
      </c>
      <c r="D1407" s="6" t="s">
        <v>45</v>
      </c>
      <c r="E1407" s="6" t="s">
        <v>37</v>
      </c>
      <c r="F1407" s="6" t="s">
        <v>29</v>
      </c>
      <c r="G1407" s="6" t="s">
        <v>30</v>
      </c>
      <c r="H1407" s="6">
        <v>1</v>
      </c>
      <c r="I1407" s="6" t="s">
        <v>265</v>
      </c>
      <c r="J1407" s="6" t="s">
        <v>265</v>
      </c>
      <c r="K1407" s="6" t="s">
        <v>41</v>
      </c>
      <c r="L1407" s="6" t="s">
        <v>33</v>
      </c>
      <c r="M1407" s="6" t="s">
        <v>69</v>
      </c>
    </row>
    <row r="1408" spans="1:13">
      <c r="A1408" s="6" t="s">
        <v>2599</v>
      </c>
      <c r="B1408" s="7">
        <v>46116</v>
      </c>
      <c r="C1408" s="6" t="s">
        <v>1323</v>
      </c>
      <c r="D1408" s="6" t="s">
        <v>77</v>
      </c>
      <c r="E1408" s="6" t="s">
        <v>46</v>
      </c>
      <c r="F1408" s="6" t="s">
        <v>29</v>
      </c>
      <c r="G1408" s="6" t="s">
        <v>30</v>
      </c>
      <c r="H1408" s="6">
        <v>1</v>
      </c>
      <c r="I1408" s="6" t="s">
        <v>79</v>
      </c>
      <c r="J1408" s="6" t="s">
        <v>79</v>
      </c>
      <c r="K1408" s="6">
        <v>520</v>
      </c>
      <c r="L1408" s="6" t="s">
        <v>42</v>
      </c>
      <c r="M1408" s="6" t="s">
        <v>69</v>
      </c>
    </row>
    <row r="1409" spans="1:13">
      <c r="A1409" s="6" t="s">
        <v>2600</v>
      </c>
      <c r="B1409" s="7">
        <v>46207</v>
      </c>
      <c r="C1409" s="6" t="s">
        <v>1068</v>
      </c>
      <c r="D1409" s="6" t="s">
        <v>27</v>
      </c>
      <c r="E1409" s="6" t="s">
        <v>37</v>
      </c>
      <c r="F1409" s="6" t="s">
        <v>53</v>
      </c>
      <c r="G1409" s="6" t="s">
        <v>54</v>
      </c>
      <c r="H1409" s="6">
        <v>1</v>
      </c>
      <c r="I1409" s="6" t="s">
        <v>90</v>
      </c>
      <c r="J1409" s="6" t="s">
        <v>90</v>
      </c>
      <c r="K1409" s="6" t="s">
        <v>122</v>
      </c>
      <c r="L1409" s="6" t="s">
        <v>42</v>
      </c>
      <c r="M1409" s="6" t="s">
        <v>69</v>
      </c>
    </row>
    <row r="1410" spans="1:13">
      <c r="A1410" s="6" t="s">
        <v>2601</v>
      </c>
      <c r="B1410" s="7">
        <v>46101</v>
      </c>
      <c r="C1410" s="6" t="s">
        <v>2602</v>
      </c>
      <c r="D1410" s="6" t="s">
        <v>72</v>
      </c>
      <c r="E1410" s="6" t="s">
        <v>52</v>
      </c>
      <c r="F1410" s="6" t="s">
        <v>85</v>
      </c>
      <c r="G1410" s="6" t="s">
        <v>86</v>
      </c>
      <c r="H1410" s="6">
        <v>1</v>
      </c>
      <c r="I1410" s="6" t="s">
        <v>143</v>
      </c>
      <c r="J1410" s="6" t="s">
        <v>143</v>
      </c>
      <c r="K1410" s="6">
        <v>410</v>
      </c>
      <c r="L1410" s="6" t="s">
        <v>42</v>
      </c>
      <c r="M1410" s="6" t="s">
        <v>69</v>
      </c>
    </row>
    <row r="1411" spans="1:13">
      <c r="A1411" s="6" t="s">
        <v>2603</v>
      </c>
      <c r="B1411" s="7">
        <v>46108</v>
      </c>
      <c r="C1411" s="6" t="s">
        <v>930</v>
      </c>
      <c r="D1411" s="6" t="s">
        <v>57</v>
      </c>
      <c r="E1411" s="6" t="s">
        <v>37</v>
      </c>
      <c r="F1411" s="6" t="s">
        <v>38</v>
      </c>
      <c r="G1411" s="6" t="s">
        <v>39</v>
      </c>
      <c r="H1411" s="6">
        <v>1</v>
      </c>
      <c r="I1411" s="6" t="s">
        <v>117</v>
      </c>
      <c r="J1411" s="6" t="s">
        <v>117</v>
      </c>
      <c r="K1411" s="6">
        <v>520</v>
      </c>
      <c r="L1411" s="6" t="s">
        <v>42</v>
      </c>
      <c r="M1411" s="6" t="s">
        <v>69</v>
      </c>
    </row>
    <row r="1412" spans="1:13">
      <c r="A1412" s="6" t="s">
        <v>2604</v>
      </c>
      <c r="B1412" s="7">
        <v>46122</v>
      </c>
      <c r="C1412" s="6" t="s">
        <v>2153</v>
      </c>
      <c r="D1412" s="6" t="s">
        <v>110</v>
      </c>
      <c r="E1412" s="6" t="s">
        <v>46</v>
      </c>
      <c r="F1412" s="6" t="s">
        <v>38</v>
      </c>
      <c r="G1412" s="6" t="s">
        <v>39</v>
      </c>
      <c r="H1412" s="6">
        <v>1</v>
      </c>
      <c r="I1412" s="6" t="s">
        <v>31</v>
      </c>
      <c r="J1412" s="6" t="s">
        <v>31</v>
      </c>
      <c r="K1412" s="6">
        <v>520</v>
      </c>
      <c r="L1412" s="6" t="s">
        <v>42</v>
      </c>
      <c r="M1412" s="6" t="s">
        <v>34</v>
      </c>
    </row>
    <row r="1413" spans="1:13">
      <c r="A1413" s="6" t="s">
        <v>2605</v>
      </c>
      <c r="B1413" s="7">
        <v>46088</v>
      </c>
      <c r="C1413" s="6" t="s">
        <v>1261</v>
      </c>
      <c r="D1413" s="6" t="s">
        <v>110</v>
      </c>
      <c r="E1413" s="6" t="s">
        <v>52</v>
      </c>
      <c r="F1413" s="6" t="s">
        <v>100</v>
      </c>
      <c r="G1413" s="6" t="s">
        <v>101</v>
      </c>
      <c r="H1413" s="6">
        <v>2</v>
      </c>
      <c r="I1413" s="6" t="s">
        <v>79</v>
      </c>
      <c r="J1413" s="6" t="s">
        <v>259</v>
      </c>
      <c r="K1413" s="6">
        <v>640</v>
      </c>
      <c r="L1413" s="6" t="s">
        <v>42</v>
      </c>
      <c r="M1413" s="6" t="s">
        <v>34</v>
      </c>
    </row>
    <row r="1414" spans="1:13">
      <c r="A1414" s="6" t="s">
        <v>2606</v>
      </c>
      <c r="B1414" s="7">
        <v>46043</v>
      </c>
      <c r="C1414" s="6" t="s">
        <v>1539</v>
      </c>
      <c r="D1414" s="6" t="s">
        <v>105</v>
      </c>
      <c r="E1414" s="6" t="s">
        <v>37</v>
      </c>
      <c r="F1414" s="6" t="s">
        <v>47</v>
      </c>
      <c r="G1414" s="6" t="s">
        <v>48</v>
      </c>
      <c r="H1414" s="6">
        <v>1</v>
      </c>
      <c r="I1414" s="6" t="s">
        <v>117</v>
      </c>
      <c r="J1414" s="6" t="s">
        <v>117</v>
      </c>
      <c r="K1414" s="6">
        <v>85</v>
      </c>
      <c r="L1414" s="6" t="s">
        <v>42</v>
      </c>
      <c r="M1414" s="6" t="s">
        <v>34</v>
      </c>
    </row>
    <row r="1415" spans="1:13">
      <c r="A1415" s="6" t="s">
        <v>2607</v>
      </c>
      <c r="B1415" s="7">
        <v>46175</v>
      </c>
      <c r="C1415" s="6" t="s">
        <v>1077</v>
      </c>
      <c r="D1415" s="6" t="s">
        <v>105</v>
      </c>
      <c r="E1415" s="6" t="s">
        <v>52</v>
      </c>
      <c r="F1415" s="6" t="s">
        <v>94</v>
      </c>
      <c r="G1415" s="6" t="s">
        <v>95</v>
      </c>
      <c r="H1415" s="6">
        <v>1</v>
      </c>
      <c r="I1415" s="6" t="s">
        <v>151</v>
      </c>
      <c r="J1415" s="6" t="s">
        <v>31</v>
      </c>
      <c r="K1415" s="6" t="s">
        <v>114</v>
      </c>
      <c r="L1415" s="6" t="s">
        <v>42</v>
      </c>
      <c r="M1415" s="6" t="s">
        <v>34</v>
      </c>
    </row>
    <row r="1416" spans="1:13">
      <c r="A1416" s="6" t="s">
        <v>2608</v>
      </c>
      <c r="B1416" s="7">
        <v>46028</v>
      </c>
      <c r="C1416" s="6" t="s">
        <v>2284</v>
      </c>
      <c r="D1416" s="6" t="s">
        <v>45</v>
      </c>
      <c r="E1416" s="6" t="s">
        <v>46</v>
      </c>
      <c r="F1416" s="6" t="s">
        <v>100</v>
      </c>
      <c r="G1416" s="6" t="s">
        <v>101</v>
      </c>
      <c r="H1416" s="6">
        <v>1</v>
      </c>
      <c r="I1416" s="6" t="s">
        <v>231</v>
      </c>
      <c r="J1416" s="6" t="s">
        <v>231</v>
      </c>
      <c r="K1416" s="6">
        <v>640</v>
      </c>
      <c r="L1416" s="6" t="s">
        <v>42</v>
      </c>
      <c r="M1416" s="6" t="s">
        <v>69</v>
      </c>
    </row>
    <row r="1417" spans="1:13">
      <c r="A1417" s="6" t="s">
        <v>2609</v>
      </c>
      <c r="B1417" s="7">
        <v>46189</v>
      </c>
      <c r="C1417" s="6" t="s">
        <v>227</v>
      </c>
      <c r="D1417" s="6" t="s">
        <v>45</v>
      </c>
      <c r="E1417" s="6" t="s">
        <v>37</v>
      </c>
      <c r="F1417" s="6" t="s">
        <v>29</v>
      </c>
      <c r="G1417" s="6" t="s">
        <v>30</v>
      </c>
      <c r="H1417" s="6">
        <v>1</v>
      </c>
      <c r="I1417" s="6" t="s">
        <v>82</v>
      </c>
      <c r="J1417" s="6" t="s">
        <v>82</v>
      </c>
      <c r="K1417" s="6" t="s">
        <v>41</v>
      </c>
      <c r="L1417" s="6" t="s">
        <v>42</v>
      </c>
      <c r="M1417" s="6" t="s">
        <v>69</v>
      </c>
    </row>
    <row r="1418" spans="1:13">
      <c r="A1418" s="6" t="s">
        <v>2610</v>
      </c>
      <c r="B1418" s="7">
        <v>46140</v>
      </c>
      <c r="C1418" s="6" t="s">
        <v>841</v>
      </c>
      <c r="D1418" s="6" t="s">
        <v>64</v>
      </c>
      <c r="E1418" s="6" t="s">
        <v>52</v>
      </c>
      <c r="F1418" s="6" t="s">
        <v>100</v>
      </c>
      <c r="G1418" s="6" t="s">
        <v>101</v>
      </c>
      <c r="H1418" s="6">
        <v>2</v>
      </c>
      <c r="I1418" s="6" t="s">
        <v>113</v>
      </c>
      <c r="J1418" s="6" t="s">
        <v>192</v>
      </c>
      <c r="K1418" s="6" t="s">
        <v>119</v>
      </c>
      <c r="L1418" s="6" t="s">
        <v>33</v>
      </c>
      <c r="M1418" s="6" t="s">
        <v>34</v>
      </c>
    </row>
    <row r="1419" spans="1:13">
      <c r="A1419" s="6" t="s">
        <v>2611</v>
      </c>
      <c r="B1419" s="7">
        <v>46158</v>
      </c>
      <c r="C1419" s="6" t="s">
        <v>343</v>
      </c>
      <c r="D1419" s="6" t="s">
        <v>105</v>
      </c>
      <c r="E1419" s="6" t="s">
        <v>78</v>
      </c>
      <c r="F1419" s="6" t="s">
        <v>100</v>
      </c>
      <c r="G1419" s="6" t="s">
        <v>101</v>
      </c>
      <c r="H1419" s="6">
        <v>2</v>
      </c>
      <c r="I1419" s="6" t="s">
        <v>265</v>
      </c>
      <c r="J1419" s="6" t="s">
        <v>167</v>
      </c>
      <c r="K1419" s="6" t="s">
        <v>119</v>
      </c>
      <c r="L1419" s="6" t="s">
        <v>42</v>
      </c>
      <c r="M1419" s="6" t="s">
        <v>69</v>
      </c>
    </row>
    <row r="1420" spans="1:13">
      <c r="A1420" s="6" t="s">
        <v>2612</v>
      </c>
      <c r="B1420" s="7">
        <v>46150</v>
      </c>
      <c r="C1420" s="6" t="s">
        <v>2613</v>
      </c>
      <c r="D1420" s="6" t="s">
        <v>77</v>
      </c>
      <c r="E1420" s="6" t="s">
        <v>78</v>
      </c>
      <c r="F1420" s="6" t="s">
        <v>53</v>
      </c>
      <c r="G1420" s="6" t="s">
        <v>54</v>
      </c>
      <c r="H1420" s="6">
        <v>1</v>
      </c>
      <c r="I1420" s="6" t="s">
        <v>147</v>
      </c>
      <c r="J1420" s="6" t="s">
        <v>147</v>
      </c>
      <c r="K1420" s="6" t="s">
        <v>122</v>
      </c>
      <c r="L1420" s="6" t="s">
        <v>42</v>
      </c>
      <c r="M1420" s="6" t="s">
        <v>69</v>
      </c>
    </row>
    <row r="1421" spans="1:13">
      <c r="A1421" s="6" t="s">
        <v>2614</v>
      </c>
      <c r="B1421" s="7">
        <v>46168</v>
      </c>
      <c r="C1421" s="6" t="s">
        <v>2615</v>
      </c>
      <c r="D1421" s="6" t="s">
        <v>64</v>
      </c>
      <c r="E1421" s="6" t="s">
        <v>78</v>
      </c>
      <c r="F1421" s="6" t="s">
        <v>53</v>
      </c>
      <c r="G1421" s="6" t="s">
        <v>54</v>
      </c>
      <c r="H1421" s="6">
        <v>2</v>
      </c>
      <c r="I1421" s="6" t="s">
        <v>490</v>
      </c>
      <c r="J1421" s="6" t="s">
        <v>297</v>
      </c>
      <c r="K1421" s="6" t="s">
        <v>122</v>
      </c>
      <c r="L1421" s="6" t="s">
        <v>42</v>
      </c>
      <c r="M1421" s="6" t="s">
        <v>34</v>
      </c>
    </row>
    <row r="1422" spans="1:13">
      <c r="A1422" s="6" t="s">
        <v>2616</v>
      </c>
      <c r="B1422" s="7">
        <v>46046</v>
      </c>
      <c r="C1422" s="6" t="s">
        <v>949</v>
      </c>
      <c r="D1422" s="6" t="s">
        <v>64</v>
      </c>
      <c r="E1422" s="6" t="s">
        <v>52</v>
      </c>
      <c r="F1422" s="6" t="s">
        <v>58</v>
      </c>
      <c r="G1422" s="6" t="s">
        <v>59</v>
      </c>
      <c r="H1422" s="6">
        <v>2</v>
      </c>
      <c r="I1422" s="6" t="s">
        <v>90</v>
      </c>
      <c r="J1422" s="6" t="s">
        <v>154</v>
      </c>
      <c r="K1422" s="6">
        <v>380</v>
      </c>
      <c r="L1422" s="6" t="s">
        <v>42</v>
      </c>
      <c r="M1422" s="6" t="s">
        <v>34</v>
      </c>
    </row>
    <row r="1423" spans="1:13">
      <c r="A1423" s="6" t="s">
        <v>2617</v>
      </c>
      <c r="B1423" s="7">
        <v>46123</v>
      </c>
      <c r="C1423" s="6" t="s">
        <v>633</v>
      </c>
      <c r="D1423" s="6" t="s">
        <v>64</v>
      </c>
      <c r="E1423" s="6" t="s">
        <v>52</v>
      </c>
      <c r="F1423" s="6" t="s">
        <v>100</v>
      </c>
      <c r="G1423" s="6" t="s">
        <v>101</v>
      </c>
      <c r="H1423" s="6">
        <v>1</v>
      </c>
      <c r="I1423" s="6" t="s">
        <v>90</v>
      </c>
      <c r="J1423" s="6" t="s">
        <v>90</v>
      </c>
      <c r="K1423" s="6">
        <v>640</v>
      </c>
      <c r="L1423" s="6" t="s">
        <v>33</v>
      </c>
      <c r="M1423" s="6" t="s">
        <v>34</v>
      </c>
    </row>
    <row r="1424" spans="1:13">
      <c r="A1424" s="6" t="s">
        <v>2618</v>
      </c>
      <c r="B1424" s="7">
        <v>46161</v>
      </c>
      <c r="C1424" s="6" t="s">
        <v>2367</v>
      </c>
      <c r="D1424" s="6" t="s">
        <v>77</v>
      </c>
      <c r="E1424" s="6" t="s">
        <v>52</v>
      </c>
      <c r="F1424" s="6" t="s">
        <v>100</v>
      </c>
      <c r="G1424" s="6" t="s">
        <v>101</v>
      </c>
      <c r="H1424" s="6">
        <v>3</v>
      </c>
      <c r="I1424" s="6" t="s">
        <v>373</v>
      </c>
      <c r="J1424" s="6" t="s">
        <v>216</v>
      </c>
      <c r="K1424" s="6" t="s">
        <v>119</v>
      </c>
      <c r="L1424" s="6" t="s">
        <v>33</v>
      </c>
      <c r="M1424" s="6" t="s">
        <v>69</v>
      </c>
    </row>
    <row r="1425" spans="1:13">
      <c r="A1425" s="6" t="s">
        <v>2619</v>
      </c>
      <c r="B1425" s="7">
        <v>46163</v>
      </c>
      <c r="C1425" s="6" t="s">
        <v>1766</v>
      </c>
      <c r="D1425" s="6" t="s">
        <v>45</v>
      </c>
      <c r="E1425" s="6" t="s">
        <v>37</v>
      </c>
      <c r="F1425" s="6" t="s">
        <v>38</v>
      </c>
      <c r="G1425" s="6" t="s">
        <v>39</v>
      </c>
      <c r="H1425" s="6">
        <v>1</v>
      </c>
      <c r="I1425" s="6" t="s">
        <v>90</v>
      </c>
      <c r="J1425" s="6" t="s">
        <v>90</v>
      </c>
      <c r="K1425" s="6" t="s">
        <v>41</v>
      </c>
      <c r="L1425" s="6" t="s">
        <v>42</v>
      </c>
      <c r="M1425" s="6" t="s">
        <v>34</v>
      </c>
    </row>
    <row r="1426" spans="1:13">
      <c r="A1426" s="6" t="s">
        <v>2620</v>
      </c>
      <c r="B1426" s="7">
        <v>46031</v>
      </c>
      <c r="C1426" s="6" t="s">
        <v>1465</v>
      </c>
      <c r="D1426" s="6" t="s">
        <v>110</v>
      </c>
      <c r="E1426" s="6" t="s">
        <v>46</v>
      </c>
      <c r="F1426" s="6" t="s">
        <v>94</v>
      </c>
      <c r="G1426" s="6" t="s">
        <v>95</v>
      </c>
      <c r="H1426" s="6">
        <v>1</v>
      </c>
      <c r="I1426" s="6" t="s">
        <v>231</v>
      </c>
      <c r="J1426" s="6" t="s">
        <v>231</v>
      </c>
      <c r="K1426" s="6">
        <v>340</v>
      </c>
      <c r="L1426" s="6" t="s">
        <v>42</v>
      </c>
      <c r="M1426" s="6" t="s">
        <v>69</v>
      </c>
    </row>
    <row r="1427" spans="1:13">
      <c r="A1427" s="6" t="s">
        <v>2621</v>
      </c>
      <c r="B1427" s="7">
        <v>46200</v>
      </c>
      <c r="C1427" s="6" t="s">
        <v>2622</v>
      </c>
      <c r="D1427" s="6" t="s">
        <v>77</v>
      </c>
      <c r="E1427" s="6" t="s">
        <v>78</v>
      </c>
      <c r="F1427" s="6" t="s">
        <v>58</v>
      </c>
      <c r="G1427" s="6" t="s">
        <v>59</v>
      </c>
      <c r="H1427" s="6">
        <v>1</v>
      </c>
      <c r="I1427" s="6" t="s">
        <v>79</v>
      </c>
      <c r="J1427" s="6" t="s">
        <v>79</v>
      </c>
      <c r="K1427" s="6" t="s">
        <v>61</v>
      </c>
      <c r="L1427" s="6" t="s">
        <v>42</v>
      </c>
      <c r="M1427" s="6" t="s">
        <v>34</v>
      </c>
    </row>
    <row r="1428" spans="1:13">
      <c r="A1428" s="6" t="s">
        <v>2623</v>
      </c>
      <c r="B1428" s="7">
        <v>46028</v>
      </c>
      <c r="C1428" s="6" t="s">
        <v>1639</v>
      </c>
      <c r="D1428" s="6" t="s">
        <v>110</v>
      </c>
      <c r="E1428" s="6" t="s">
        <v>52</v>
      </c>
      <c r="F1428" s="6" t="s">
        <v>58</v>
      </c>
      <c r="G1428" s="6" t="s">
        <v>59</v>
      </c>
      <c r="H1428" s="6">
        <v>1</v>
      </c>
      <c r="I1428" s="6" t="s">
        <v>82</v>
      </c>
      <c r="J1428" s="6" t="s">
        <v>82</v>
      </c>
      <c r="K1428" s="6">
        <v>380</v>
      </c>
      <c r="L1428" s="6" t="s">
        <v>42</v>
      </c>
      <c r="M1428" s="6" t="s">
        <v>34</v>
      </c>
    </row>
    <row r="1429" spans="1:13">
      <c r="A1429" s="6" t="s">
        <v>2624</v>
      </c>
      <c r="B1429" s="7">
        <v>46206</v>
      </c>
      <c r="C1429" s="6" t="s">
        <v>2625</v>
      </c>
      <c r="D1429" s="6" t="s">
        <v>72</v>
      </c>
      <c r="E1429" s="6" t="s">
        <v>37</v>
      </c>
      <c r="F1429" s="6" t="s">
        <v>53</v>
      </c>
      <c r="G1429" s="6" t="s">
        <v>54</v>
      </c>
      <c r="H1429" s="6">
        <v>2</v>
      </c>
      <c r="I1429" s="6" t="s">
        <v>2626</v>
      </c>
      <c r="J1429" s="6" t="s">
        <v>297</v>
      </c>
      <c r="K1429" s="6" t="s">
        <v>122</v>
      </c>
      <c r="L1429" s="6" t="s">
        <v>33</v>
      </c>
      <c r="M1429" s="6" t="s">
        <v>34</v>
      </c>
    </row>
    <row r="1430" spans="1:13">
      <c r="A1430" s="6" t="s">
        <v>2627</v>
      </c>
      <c r="B1430" s="7">
        <v>46070</v>
      </c>
      <c r="C1430" s="6" t="s">
        <v>359</v>
      </c>
      <c r="D1430" s="6" t="s">
        <v>27</v>
      </c>
      <c r="E1430" s="6" t="s">
        <v>78</v>
      </c>
      <c r="F1430" s="6" t="s">
        <v>100</v>
      </c>
      <c r="G1430" s="6" t="s">
        <v>101</v>
      </c>
      <c r="H1430" s="6">
        <v>3</v>
      </c>
      <c r="I1430" s="6" t="s">
        <v>82</v>
      </c>
      <c r="J1430" s="6" t="s">
        <v>390</v>
      </c>
      <c r="K1430" s="6">
        <v>640</v>
      </c>
      <c r="L1430" s="6" t="s">
        <v>42</v>
      </c>
      <c r="M1430" s="6" t="s">
        <v>34</v>
      </c>
    </row>
    <row r="1431" spans="1:13">
      <c r="A1431" s="6" t="s">
        <v>2628</v>
      </c>
      <c r="B1431" s="7">
        <v>46041</v>
      </c>
      <c r="C1431" s="6" t="s">
        <v>707</v>
      </c>
      <c r="D1431" s="6" t="s">
        <v>127</v>
      </c>
      <c r="E1431" s="6" t="s">
        <v>78</v>
      </c>
      <c r="F1431" s="6" t="s">
        <v>85</v>
      </c>
      <c r="G1431" s="6" t="s">
        <v>86</v>
      </c>
      <c r="H1431" s="6">
        <v>2</v>
      </c>
      <c r="I1431" s="6" t="s">
        <v>143</v>
      </c>
      <c r="J1431" s="6" t="s">
        <v>144</v>
      </c>
      <c r="K1431" s="6">
        <v>410</v>
      </c>
      <c r="L1431" s="6" t="s">
        <v>42</v>
      </c>
      <c r="M1431" s="6" t="s">
        <v>69</v>
      </c>
    </row>
    <row r="1432" spans="1:13">
      <c r="A1432" s="6" t="s">
        <v>2629</v>
      </c>
      <c r="B1432" s="7">
        <v>46102</v>
      </c>
      <c r="C1432" s="6" t="s">
        <v>2630</v>
      </c>
      <c r="D1432" s="6" t="s">
        <v>45</v>
      </c>
      <c r="E1432" s="6" t="s">
        <v>78</v>
      </c>
      <c r="F1432" s="6" t="s">
        <v>85</v>
      </c>
      <c r="G1432" s="6" t="s">
        <v>86</v>
      </c>
      <c r="H1432" s="6">
        <v>1</v>
      </c>
      <c r="I1432" s="6" t="s">
        <v>656</v>
      </c>
      <c r="J1432" s="6" t="s">
        <v>113</v>
      </c>
      <c r="K1432" s="6">
        <v>410</v>
      </c>
      <c r="L1432" s="6" t="s">
        <v>33</v>
      </c>
      <c r="M1432" s="6" t="s">
        <v>34</v>
      </c>
    </row>
    <row r="1433" spans="1:13">
      <c r="A1433" s="6" t="s">
        <v>2631</v>
      </c>
      <c r="B1433" s="7">
        <v>46149</v>
      </c>
      <c r="C1433" s="6" t="s">
        <v>188</v>
      </c>
      <c r="D1433" s="6" t="s">
        <v>77</v>
      </c>
      <c r="E1433" s="6" t="s">
        <v>78</v>
      </c>
      <c r="F1433" s="6" t="s">
        <v>85</v>
      </c>
      <c r="G1433" s="6" t="s">
        <v>86</v>
      </c>
      <c r="H1433" s="6">
        <v>2</v>
      </c>
      <c r="I1433" s="6" t="s">
        <v>147</v>
      </c>
      <c r="J1433" s="6" t="s">
        <v>175</v>
      </c>
      <c r="K1433" s="6" t="s">
        <v>87</v>
      </c>
      <c r="L1433" s="6" t="s">
        <v>42</v>
      </c>
      <c r="M1433" s="6" t="s">
        <v>34</v>
      </c>
    </row>
    <row r="1434" spans="1:13">
      <c r="A1434" s="6" t="s">
        <v>2632</v>
      </c>
      <c r="B1434" s="7">
        <v>46143</v>
      </c>
      <c r="C1434" s="6" t="s">
        <v>2153</v>
      </c>
      <c r="D1434" s="6" t="s">
        <v>27</v>
      </c>
      <c r="E1434" s="6" t="s">
        <v>52</v>
      </c>
      <c r="F1434" s="6" t="s">
        <v>47</v>
      </c>
      <c r="G1434" s="6" t="s">
        <v>48</v>
      </c>
      <c r="H1434" s="6">
        <v>-2</v>
      </c>
      <c r="I1434" s="6" t="s">
        <v>96</v>
      </c>
      <c r="J1434" s="8" t="s">
        <v>1628</v>
      </c>
      <c r="K1434" s="6" t="s">
        <v>49</v>
      </c>
      <c r="L1434" s="6" t="s">
        <v>42</v>
      </c>
      <c r="M1434" s="6" t="s">
        <v>34</v>
      </c>
    </row>
    <row r="1435" spans="1:13">
      <c r="A1435" s="6" t="s">
        <v>2633</v>
      </c>
      <c r="B1435" s="7">
        <v>46175</v>
      </c>
      <c r="C1435" s="6" t="s">
        <v>2634</v>
      </c>
      <c r="D1435" s="6" t="s">
        <v>57</v>
      </c>
      <c r="E1435" s="6" t="s">
        <v>46</v>
      </c>
      <c r="F1435" s="6" t="s">
        <v>94</v>
      </c>
      <c r="G1435" s="6" t="s">
        <v>95</v>
      </c>
      <c r="H1435" s="6">
        <v>2</v>
      </c>
      <c r="I1435" s="6" t="s">
        <v>265</v>
      </c>
      <c r="J1435" s="6" t="s">
        <v>167</v>
      </c>
      <c r="K1435" s="6" t="s">
        <v>114</v>
      </c>
      <c r="L1435" s="6" t="s">
        <v>42</v>
      </c>
      <c r="M1435" s="6" t="s">
        <v>69</v>
      </c>
    </row>
    <row r="1436" spans="1:13">
      <c r="A1436" s="6" t="s">
        <v>2635</v>
      </c>
      <c r="B1436" s="7">
        <v>46118</v>
      </c>
      <c r="C1436" s="6" t="s">
        <v>2636</v>
      </c>
      <c r="D1436" s="6" t="s">
        <v>45</v>
      </c>
      <c r="E1436" s="6" t="s">
        <v>37</v>
      </c>
      <c r="F1436" s="6" t="s">
        <v>29</v>
      </c>
      <c r="G1436" s="6" t="s">
        <v>30</v>
      </c>
      <c r="H1436" s="6">
        <v>1</v>
      </c>
      <c r="I1436" s="6" t="s">
        <v>143</v>
      </c>
      <c r="J1436" s="6" t="s">
        <v>143</v>
      </c>
      <c r="K1436" s="6">
        <v>520</v>
      </c>
      <c r="L1436" s="6" t="s">
        <v>42</v>
      </c>
      <c r="M1436" s="6" t="s">
        <v>34</v>
      </c>
    </row>
    <row r="1437" spans="1:13">
      <c r="A1437" s="6" t="s">
        <v>2637</v>
      </c>
      <c r="B1437" s="7">
        <v>46107</v>
      </c>
      <c r="C1437" s="6" t="s">
        <v>2638</v>
      </c>
      <c r="D1437" s="6" t="s">
        <v>45</v>
      </c>
      <c r="E1437" s="6" t="s">
        <v>52</v>
      </c>
      <c r="F1437" s="6" t="s">
        <v>94</v>
      </c>
      <c r="G1437" s="6" t="s">
        <v>95</v>
      </c>
      <c r="H1437" s="6">
        <v>1</v>
      </c>
      <c r="I1437" s="6" t="s">
        <v>143</v>
      </c>
      <c r="J1437" s="6" t="s">
        <v>143</v>
      </c>
      <c r="K1437" s="6">
        <v>340</v>
      </c>
      <c r="L1437" s="6" t="s">
        <v>42</v>
      </c>
      <c r="M1437" s="6" t="s">
        <v>34</v>
      </c>
    </row>
    <row r="1438" spans="1:13">
      <c r="A1438" s="6" t="s">
        <v>2639</v>
      </c>
      <c r="B1438" s="7">
        <v>46189</v>
      </c>
      <c r="C1438" s="6" t="s">
        <v>2640</v>
      </c>
      <c r="D1438" s="6" t="s">
        <v>64</v>
      </c>
      <c r="E1438" s="6" t="s">
        <v>78</v>
      </c>
      <c r="F1438" s="6" t="s">
        <v>53</v>
      </c>
      <c r="G1438" s="6" t="s">
        <v>54</v>
      </c>
      <c r="H1438" s="6">
        <v>2</v>
      </c>
      <c r="I1438" s="6" t="s">
        <v>82</v>
      </c>
      <c r="J1438" s="6" t="s">
        <v>297</v>
      </c>
      <c r="K1438" s="6" t="s">
        <v>122</v>
      </c>
      <c r="L1438" s="6" t="s">
        <v>42</v>
      </c>
      <c r="M1438" s="6" t="s">
        <v>34</v>
      </c>
    </row>
    <row r="1439" spans="1:13">
      <c r="A1439" s="6" t="s">
        <v>2641</v>
      </c>
      <c r="B1439" s="7">
        <v>46189</v>
      </c>
      <c r="C1439" s="6" t="s">
        <v>972</v>
      </c>
      <c r="D1439" s="6" t="s">
        <v>64</v>
      </c>
      <c r="E1439" s="6" t="s">
        <v>37</v>
      </c>
      <c r="F1439" s="6" t="s">
        <v>38</v>
      </c>
      <c r="G1439" s="6" t="s">
        <v>39</v>
      </c>
      <c r="H1439" s="6">
        <v>-2</v>
      </c>
      <c r="I1439" s="6" t="s">
        <v>181</v>
      </c>
      <c r="J1439" s="8" t="s">
        <v>2642</v>
      </c>
      <c r="K1439" s="6" t="s">
        <v>41</v>
      </c>
      <c r="L1439" s="6" t="s">
        <v>42</v>
      </c>
      <c r="M1439" s="6" t="s">
        <v>34</v>
      </c>
    </row>
    <row r="1440" spans="1:13">
      <c r="A1440" s="6" t="s">
        <v>2643</v>
      </c>
      <c r="B1440" s="7">
        <v>46145</v>
      </c>
      <c r="C1440" s="6" t="s">
        <v>2644</v>
      </c>
      <c r="D1440" s="6" t="s">
        <v>57</v>
      </c>
      <c r="E1440" s="6" t="s">
        <v>37</v>
      </c>
      <c r="F1440" s="6" t="s">
        <v>85</v>
      </c>
      <c r="G1440" s="6" t="s">
        <v>86</v>
      </c>
      <c r="H1440" s="6">
        <v>1</v>
      </c>
      <c r="I1440" s="6" t="s">
        <v>265</v>
      </c>
      <c r="J1440" s="6" t="s">
        <v>265</v>
      </c>
      <c r="K1440" s="6" t="s">
        <v>87</v>
      </c>
      <c r="L1440" s="6" t="s">
        <v>42</v>
      </c>
      <c r="M1440" s="6" t="s">
        <v>69</v>
      </c>
    </row>
    <row r="1441" spans="1:13">
      <c r="A1441" s="6" t="s">
        <v>2645</v>
      </c>
      <c r="B1441" s="7">
        <v>46200</v>
      </c>
      <c r="C1441" s="6" t="s">
        <v>2646</v>
      </c>
      <c r="D1441" s="6" t="s">
        <v>64</v>
      </c>
      <c r="E1441" s="6" t="s">
        <v>46</v>
      </c>
      <c r="F1441" s="6" t="s">
        <v>94</v>
      </c>
      <c r="G1441" s="6" t="s">
        <v>95</v>
      </c>
      <c r="H1441" s="6">
        <v>1</v>
      </c>
      <c r="I1441" s="6" t="s">
        <v>117</v>
      </c>
      <c r="J1441" s="6" t="s">
        <v>117</v>
      </c>
      <c r="K1441" s="6" t="s">
        <v>114</v>
      </c>
      <c r="L1441" s="6" t="s">
        <v>42</v>
      </c>
      <c r="M1441" s="6" t="s">
        <v>69</v>
      </c>
    </row>
    <row r="1442" spans="1:13">
      <c r="A1442" s="6" t="s">
        <v>2647</v>
      </c>
      <c r="B1442" s="7">
        <v>46145</v>
      </c>
      <c r="C1442" s="6" t="s">
        <v>1693</v>
      </c>
      <c r="D1442" s="6" t="s">
        <v>127</v>
      </c>
      <c r="E1442" s="6" t="s">
        <v>78</v>
      </c>
      <c r="F1442" s="6" t="s">
        <v>29</v>
      </c>
      <c r="G1442" s="6" t="s">
        <v>30</v>
      </c>
      <c r="H1442" s="6">
        <v>3</v>
      </c>
      <c r="I1442" s="6" t="s">
        <v>147</v>
      </c>
      <c r="J1442" s="6" t="s">
        <v>148</v>
      </c>
      <c r="K1442" s="6" t="s">
        <v>41</v>
      </c>
      <c r="L1442" s="6" t="s">
        <v>33</v>
      </c>
      <c r="M1442" s="6" t="s">
        <v>34</v>
      </c>
    </row>
    <row r="1443" spans="1:13">
      <c r="A1443" s="6" t="s">
        <v>2648</v>
      </c>
      <c r="B1443" s="7">
        <v>46040</v>
      </c>
      <c r="C1443" s="6" t="s">
        <v>2518</v>
      </c>
      <c r="D1443" s="6" t="s">
        <v>57</v>
      </c>
      <c r="E1443" s="6" t="s">
        <v>52</v>
      </c>
      <c r="F1443" s="6" t="s">
        <v>53</v>
      </c>
      <c r="G1443" s="6" t="s">
        <v>54</v>
      </c>
      <c r="H1443" s="6">
        <v>1</v>
      </c>
      <c r="I1443" s="6" t="s">
        <v>147</v>
      </c>
      <c r="J1443" s="6" t="s">
        <v>147</v>
      </c>
      <c r="K1443" s="6">
        <v>190</v>
      </c>
      <c r="L1443" s="6" t="s">
        <v>42</v>
      </c>
      <c r="M1443" s="6" t="s">
        <v>34</v>
      </c>
    </row>
    <row r="1444" spans="1:13">
      <c r="A1444" s="6" t="s">
        <v>2649</v>
      </c>
      <c r="B1444" s="7">
        <v>46095</v>
      </c>
      <c r="C1444" s="6" t="s">
        <v>2375</v>
      </c>
      <c r="D1444" s="6" t="s">
        <v>77</v>
      </c>
      <c r="E1444" s="6" t="s">
        <v>78</v>
      </c>
      <c r="F1444" s="6" t="s">
        <v>100</v>
      </c>
      <c r="G1444" s="6" t="s">
        <v>101</v>
      </c>
      <c r="H1444" s="6">
        <v>1</v>
      </c>
      <c r="I1444" s="6" t="s">
        <v>60</v>
      </c>
      <c r="J1444" s="6" t="s">
        <v>60</v>
      </c>
      <c r="K1444" s="6">
        <v>640</v>
      </c>
      <c r="L1444" s="6" t="s">
        <v>42</v>
      </c>
      <c r="M1444" s="6" t="s">
        <v>34</v>
      </c>
    </row>
    <row r="1445" spans="1:13">
      <c r="A1445" s="6" t="s">
        <v>2650</v>
      </c>
      <c r="B1445" s="7">
        <v>46095</v>
      </c>
      <c r="C1445" s="6" t="s">
        <v>2331</v>
      </c>
      <c r="D1445" s="6" t="s">
        <v>72</v>
      </c>
      <c r="E1445" s="6" t="s">
        <v>37</v>
      </c>
      <c r="F1445" s="6" t="s">
        <v>38</v>
      </c>
      <c r="G1445" s="6" t="s">
        <v>39</v>
      </c>
      <c r="H1445" s="6">
        <v>1</v>
      </c>
      <c r="I1445" s="6" t="s">
        <v>265</v>
      </c>
      <c r="J1445" s="6" t="s">
        <v>265</v>
      </c>
      <c r="K1445" s="6">
        <v>520</v>
      </c>
      <c r="L1445" s="6" t="s">
        <v>42</v>
      </c>
      <c r="M1445" s="6" t="s">
        <v>69</v>
      </c>
    </row>
    <row r="1446" spans="1:13">
      <c r="A1446" s="6" t="s">
        <v>2651</v>
      </c>
      <c r="B1446" s="7">
        <v>46085</v>
      </c>
      <c r="C1446" s="6" t="s">
        <v>191</v>
      </c>
      <c r="D1446" s="6" t="s">
        <v>64</v>
      </c>
      <c r="E1446" s="6" t="s">
        <v>46</v>
      </c>
      <c r="F1446" s="6" t="s">
        <v>53</v>
      </c>
      <c r="G1446" s="6" t="s">
        <v>54</v>
      </c>
      <c r="H1446" s="6">
        <v>2</v>
      </c>
      <c r="I1446" s="6" t="s">
        <v>113</v>
      </c>
      <c r="J1446" s="6" t="s">
        <v>192</v>
      </c>
      <c r="K1446" s="6">
        <v>190</v>
      </c>
      <c r="L1446" s="6" t="s">
        <v>33</v>
      </c>
      <c r="M1446" s="6" t="s">
        <v>34</v>
      </c>
    </row>
    <row r="1447" spans="1:13">
      <c r="A1447" s="6" t="s">
        <v>2652</v>
      </c>
      <c r="B1447" s="7">
        <v>46134</v>
      </c>
      <c r="C1447" s="6" t="s">
        <v>2653</v>
      </c>
      <c r="D1447" s="6" t="s">
        <v>110</v>
      </c>
      <c r="E1447" s="6" t="s">
        <v>46</v>
      </c>
      <c r="F1447" s="6" t="s">
        <v>47</v>
      </c>
      <c r="G1447" s="6" t="s">
        <v>48</v>
      </c>
      <c r="H1447" s="6">
        <v>2</v>
      </c>
      <c r="I1447" s="6" t="s">
        <v>619</v>
      </c>
      <c r="J1447" s="6" t="s">
        <v>144</v>
      </c>
      <c r="K1447" s="6" t="s">
        <v>49</v>
      </c>
      <c r="L1447" s="6" t="s">
        <v>33</v>
      </c>
      <c r="M1447" s="6" t="s">
        <v>34</v>
      </c>
    </row>
    <row r="1448" spans="1:13">
      <c r="A1448" s="6" t="s">
        <v>2654</v>
      </c>
      <c r="B1448" s="7">
        <v>46052</v>
      </c>
      <c r="C1448" s="6" t="s">
        <v>1172</v>
      </c>
      <c r="D1448" s="6" t="s">
        <v>45</v>
      </c>
      <c r="E1448" s="6" t="s">
        <v>78</v>
      </c>
      <c r="F1448" s="6" t="s">
        <v>47</v>
      </c>
      <c r="G1448" s="6" t="s">
        <v>48</v>
      </c>
      <c r="H1448" s="6">
        <v>2</v>
      </c>
      <c r="I1448" s="6" t="s">
        <v>31</v>
      </c>
      <c r="J1448" s="6" t="s">
        <v>249</v>
      </c>
      <c r="K1448" s="6">
        <v>85</v>
      </c>
      <c r="L1448" s="6" t="s">
        <v>42</v>
      </c>
      <c r="M1448" s="6" t="s">
        <v>69</v>
      </c>
    </row>
    <row r="1449" spans="1:13">
      <c r="A1449" s="6" t="s">
        <v>2655</v>
      </c>
      <c r="B1449" s="6" t="s">
        <v>2656</v>
      </c>
      <c r="C1449" s="6" t="s">
        <v>752</v>
      </c>
      <c r="D1449" s="6" t="s">
        <v>45</v>
      </c>
      <c r="E1449" s="6" t="s">
        <v>37</v>
      </c>
      <c r="F1449" s="6" t="s">
        <v>85</v>
      </c>
      <c r="G1449" s="6" t="s">
        <v>86</v>
      </c>
      <c r="H1449" s="6">
        <v>1</v>
      </c>
      <c r="I1449" s="6" t="s">
        <v>117</v>
      </c>
      <c r="J1449" s="6" t="s">
        <v>117</v>
      </c>
      <c r="K1449" s="6" t="s">
        <v>87</v>
      </c>
      <c r="L1449" s="6" t="s">
        <v>42</v>
      </c>
      <c r="M1449" s="6" t="s">
        <v>69</v>
      </c>
    </row>
    <row r="1450" spans="1:13">
      <c r="A1450" s="6" t="s">
        <v>2657</v>
      </c>
      <c r="B1450" s="7">
        <v>46194</v>
      </c>
      <c r="C1450" s="6" t="s">
        <v>425</v>
      </c>
      <c r="D1450" s="6" t="s">
        <v>57</v>
      </c>
      <c r="E1450" s="6" t="s">
        <v>52</v>
      </c>
      <c r="F1450" s="6" t="s">
        <v>100</v>
      </c>
      <c r="G1450" s="6" t="s">
        <v>101</v>
      </c>
      <c r="H1450" s="6">
        <v>1</v>
      </c>
      <c r="I1450" s="6" t="s">
        <v>231</v>
      </c>
      <c r="J1450" s="6" t="s">
        <v>231</v>
      </c>
      <c r="K1450" s="6" t="s">
        <v>119</v>
      </c>
      <c r="L1450" s="6" t="s">
        <v>42</v>
      </c>
      <c r="M1450" s="6" t="s">
        <v>34</v>
      </c>
    </row>
    <row r="1451" spans="1:13">
      <c r="A1451" s="6" t="s">
        <v>2658</v>
      </c>
      <c r="B1451" s="7">
        <v>46142</v>
      </c>
      <c r="C1451" s="6" t="s">
        <v>517</v>
      </c>
      <c r="D1451" s="6" t="s">
        <v>77</v>
      </c>
      <c r="E1451" s="6" t="s">
        <v>37</v>
      </c>
      <c r="F1451" s="6" t="s">
        <v>29</v>
      </c>
      <c r="G1451" s="6" t="s">
        <v>30</v>
      </c>
      <c r="H1451" s="6">
        <v>1</v>
      </c>
      <c r="I1451" s="6" t="s">
        <v>31</v>
      </c>
      <c r="J1451" s="6" t="s">
        <v>31</v>
      </c>
      <c r="K1451" s="6" t="s">
        <v>41</v>
      </c>
      <c r="L1451" s="6" t="s">
        <v>42</v>
      </c>
      <c r="M1451" s="6" t="s">
        <v>34</v>
      </c>
    </row>
    <row r="1452" spans="1:13">
      <c r="A1452" s="6" t="s">
        <v>2659</v>
      </c>
      <c r="B1452" s="7">
        <v>46164</v>
      </c>
      <c r="C1452" s="6" t="s">
        <v>503</v>
      </c>
      <c r="D1452" s="6" t="s">
        <v>77</v>
      </c>
      <c r="E1452" s="6" t="s">
        <v>78</v>
      </c>
      <c r="F1452" s="6" t="s">
        <v>100</v>
      </c>
      <c r="G1452" s="6" t="s">
        <v>101</v>
      </c>
      <c r="H1452" s="6">
        <v>3</v>
      </c>
      <c r="I1452" s="6" t="s">
        <v>31</v>
      </c>
      <c r="J1452" s="6" t="s">
        <v>337</v>
      </c>
      <c r="K1452" s="6" t="s">
        <v>119</v>
      </c>
      <c r="L1452" s="6" t="s">
        <v>42</v>
      </c>
      <c r="M1452" s="6" t="s">
        <v>34</v>
      </c>
    </row>
    <row r="1453" spans="1:13">
      <c r="A1453" s="6" t="s">
        <v>2660</v>
      </c>
      <c r="B1453" s="7">
        <v>46180</v>
      </c>
      <c r="C1453" s="6" t="s">
        <v>2661</v>
      </c>
      <c r="D1453" s="6" t="s">
        <v>127</v>
      </c>
      <c r="E1453" s="6" t="s">
        <v>28</v>
      </c>
      <c r="F1453" s="6" t="s">
        <v>47</v>
      </c>
      <c r="G1453" s="6" t="s">
        <v>48</v>
      </c>
      <c r="H1453" s="6">
        <v>-1</v>
      </c>
      <c r="I1453" s="6" t="s">
        <v>1013</v>
      </c>
      <c r="J1453" s="8" t="s">
        <v>135</v>
      </c>
      <c r="K1453" s="6" t="s">
        <v>49</v>
      </c>
      <c r="L1453" s="6" t="s">
        <v>33</v>
      </c>
      <c r="M1453" s="6" t="s">
        <v>34</v>
      </c>
    </row>
    <row r="1454" spans="1:13">
      <c r="A1454" s="6" t="s">
        <v>2662</v>
      </c>
      <c r="B1454" s="6" t="s">
        <v>2663</v>
      </c>
      <c r="C1454" s="6" t="s">
        <v>2113</v>
      </c>
      <c r="D1454" s="6" t="s">
        <v>105</v>
      </c>
      <c r="E1454" s="6" t="s">
        <v>78</v>
      </c>
      <c r="F1454" s="6" t="s">
        <v>85</v>
      </c>
      <c r="G1454" s="6" t="s">
        <v>86</v>
      </c>
      <c r="H1454" s="6">
        <v>1</v>
      </c>
      <c r="I1454" s="6" t="s">
        <v>31</v>
      </c>
      <c r="J1454" s="6" t="s">
        <v>31</v>
      </c>
      <c r="K1454" s="6" t="s">
        <v>87</v>
      </c>
      <c r="L1454" s="6" t="s">
        <v>42</v>
      </c>
      <c r="M1454" s="6" t="s">
        <v>34</v>
      </c>
    </row>
    <row r="1455" spans="1:13">
      <c r="A1455" s="6" t="s">
        <v>2664</v>
      </c>
      <c r="B1455" s="7">
        <v>46132</v>
      </c>
      <c r="C1455" s="6" t="s">
        <v>2382</v>
      </c>
      <c r="D1455" s="6" t="s">
        <v>77</v>
      </c>
      <c r="E1455" s="6" t="s">
        <v>78</v>
      </c>
      <c r="F1455" s="6" t="s">
        <v>53</v>
      </c>
      <c r="G1455" s="6" t="s">
        <v>54</v>
      </c>
      <c r="H1455" s="6">
        <v>2</v>
      </c>
      <c r="I1455" s="6" t="s">
        <v>265</v>
      </c>
      <c r="J1455" s="6" t="s">
        <v>167</v>
      </c>
      <c r="K1455" s="6" t="s">
        <v>122</v>
      </c>
      <c r="L1455" s="6" t="s">
        <v>33</v>
      </c>
      <c r="M1455" s="6" t="s">
        <v>34</v>
      </c>
    </row>
    <row r="1456" spans="1:13">
      <c r="A1456" s="6" t="s">
        <v>2665</v>
      </c>
      <c r="B1456" s="6" t="s">
        <v>946</v>
      </c>
      <c r="C1456" s="6" t="s">
        <v>532</v>
      </c>
      <c r="D1456" s="6" t="s">
        <v>105</v>
      </c>
      <c r="E1456" s="6" t="s">
        <v>78</v>
      </c>
      <c r="F1456" s="6" t="s">
        <v>53</v>
      </c>
      <c r="G1456" s="6" t="s">
        <v>54</v>
      </c>
      <c r="H1456" s="6">
        <v>1</v>
      </c>
      <c r="I1456" s="6" t="s">
        <v>2666</v>
      </c>
      <c r="J1456" s="6" t="s">
        <v>67</v>
      </c>
      <c r="K1456" s="6">
        <v>190</v>
      </c>
      <c r="L1456" s="6" t="s">
        <v>42</v>
      </c>
      <c r="M1456" s="6" t="s">
        <v>69</v>
      </c>
    </row>
    <row r="1457" spans="1:13">
      <c r="A1457" s="6" t="s">
        <v>2667</v>
      </c>
      <c r="B1457" s="7">
        <v>46128</v>
      </c>
      <c r="C1457" s="6" t="s">
        <v>2668</v>
      </c>
      <c r="D1457" s="6" t="s">
        <v>27</v>
      </c>
      <c r="E1457" s="6" t="s">
        <v>46</v>
      </c>
      <c r="F1457" s="6" t="s">
        <v>85</v>
      </c>
      <c r="G1457" s="6" t="s">
        <v>86</v>
      </c>
      <c r="H1457" s="6">
        <v>1</v>
      </c>
      <c r="I1457" s="6" t="s">
        <v>40</v>
      </c>
      <c r="J1457" s="6" t="s">
        <v>40</v>
      </c>
      <c r="K1457" s="6">
        <v>410</v>
      </c>
      <c r="L1457" s="6" t="s">
        <v>42</v>
      </c>
      <c r="M1457" s="6" t="s">
        <v>69</v>
      </c>
    </row>
    <row r="1458" spans="1:13">
      <c r="A1458" s="6" t="s">
        <v>2669</v>
      </c>
      <c r="B1458" s="7">
        <v>46180</v>
      </c>
      <c r="C1458" s="6" t="s">
        <v>1386</v>
      </c>
      <c r="D1458" s="6" t="s">
        <v>27</v>
      </c>
      <c r="E1458" s="6" t="s">
        <v>28</v>
      </c>
      <c r="F1458" s="6" t="s">
        <v>47</v>
      </c>
      <c r="G1458" s="6" t="s">
        <v>48</v>
      </c>
      <c r="H1458" s="6">
        <v>2</v>
      </c>
      <c r="I1458" s="6" t="s">
        <v>60</v>
      </c>
      <c r="J1458" s="6" t="s">
        <v>189</v>
      </c>
      <c r="K1458" s="6" t="s">
        <v>49</v>
      </c>
      <c r="L1458" s="6" t="s">
        <v>42</v>
      </c>
      <c r="M1458" s="6" t="s">
        <v>34</v>
      </c>
    </row>
    <row r="1459" spans="1:13">
      <c r="A1459" s="6" t="s">
        <v>2670</v>
      </c>
      <c r="B1459" s="7">
        <v>46029</v>
      </c>
      <c r="C1459" s="6" t="s">
        <v>2671</v>
      </c>
      <c r="D1459" s="6" t="s">
        <v>72</v>
      </c>
      <c r="E1459" s="6" t="s">
        <v>78</v>
      </c>
      <c r="F1459" s="6" t="s">
        <v>29</v>
      </c>
      <c r="G1459" s="6" t="s">
        <v>30</v>
      </c>
      <c r="H1459" s="6">
        <v>2</v>
      </c>
      <c r="I1459" s="6" t="s">
        <v>231</v>
      </c>
      <c r="J1459" s="6" t="s">
        <v>232</v>
      </c>
      <c r="K1459" s="6">
        <v>520</v>
      </c>
      <c r="L1459" s="6" t="s">
        <v>42</v>
      </c>
      <c r="M1459" s="6" t="s">
        <v>34</v>
      </c>
    </row>
    <row r="1460" spans="1:13">
      <c r="A1460" s="6" t="s">
        <v>2672</v>
      </c>
      <c r="B1460" s="7">
        <v>46071</v>
      </c>
      <c r="C1460" s="6" t="s">
        <v>938</v>
      </c>
      <c r="D1460" s="6" t="s">
        <v>45</v>
      </c>
      <c r="E1460" s="6" t="s">
        <v>52</v>
      </c>
      <c r="F1460" s="6" t="s">
        <v>38</v>
      </c>
      <c r="G1460" s="6" t="s">
        <v>39</v>
      </c>
      <c r="H1460" s="6">
        <v>3</v>
      </c>
      <c r="I1460" s="6" t="s">
        <v>73</v>
      </c>
      <c r="J1460" s="6" t="s">
        <v>499</v>
      </c>
      <c r="K1460" s="6">
        <v>520</v>
      </c>
      <c r="L1460" s="6" t="s">
        <v>33</v>
      </c>
      <c r="M1460" s="6" t="s">
        <v>69</v>
      </c>
    </row>
    <row r="1461" spans="1:13">
      <c r="A1461" s="6" t="s">
        <v>2673</v>
      </c>
      <c r="B1461" s="7">
        <v>46179</v>
      </c>
      <c r="C1461" s="6" t="s">
        <v>841</v>
      </c>
      <c r="D1461" s="6" t="s">
        <v>45</v>
      </c>
      <c r="E1461" s="6" t="s">
        <v>46</v>
      </c>
      <c r="F1461" s="6" t="s">
        <v>29</v>
      </c>
      <c r="G1461" s="6" t="s">
        <v>30</v>
      </c>
      <c r="H1461" s="6">
        <v>1</v>
      </c>
      <c r="I1461" s="6" t="s">
        <v>31</v>
      </c>
      <c r="J1461" s="6" t="s">
        <v>31</v>
      </c>
      <c r="K1461" s="6" t="s">
        <v>41</v>
      </c>
      <c r="L1461" s="6" t="s">
        <v>33</v>
      </c>
      <c r="M1461" s="6" t="s">
        <v>69</v>
      </c>
    </row>
    <row r="1462" spans="1:13">
      <c r="A1462" s="6" t="s">
        <v>2674</v>
      </c>
      <c r="B1462" s="6" t="s">
        <v>891</v>
      </c>
      <c r="C1462" s="6" t="s">
        <v>2675</v>
      </c>
      <c r="D1462" s="6" t="s">
        <v>57</v>
      </c>
      <c r="E1462" s="6" t="s">
        <v>78</v>
      </c>
      <c r="F1462" s="6" t="s">
        <v>85</v>
      </c>
      <c r="G1462" s="6" t="s">
        <v>86</v>
      </c>
      <c r="H1462" s="6">
        <v>2</v>
      </c>
      <c r="I1462" s="6" t="s">
        <v>181</v>
      </c>
      <c r="J1462" s="6" t="s">
        <v>163</v>
      </c>
      <c r="K1462" s="6">
        <v>410</v>
      </c>
      <c r="L1462" s="6" t="s">
        <v>42</v>
      </c>
      <c r="M1462" s="6" t="s">
        <v>34</v>
      </c>
    </row>
    <row r="1463" spans="1:13">
      <c r="A1463" s="6" t="s">
        <v>2676</v>
      </c>
      <c r="B1463" s="7">
        <v>46185</v>
      </c>
      <c r="C1463" s="6" t="s">
        <v>156</v>
      </c>
      <c r="D1463" s="6" t="s">
        <v>27</v>
      </c>
      <c r="E1463" s="6" t="s">
        <v>78</v>
      </c>
      <c r="F1463" s="6" t="s">
        <v>38</v>
      </c>
      <c r="G1463" s="6" t="s">
        <v>39</v>
      </c>
      <c r="H1463" s="6">
        <v>3</v>
      </c>
      <c r="I1463" s="6" t="s">
        <v>40</v>
      </c>
      <c r="J1463" s="6" t="s">
        <v>579</v>
      </c>
      <c r="K1463" s="6" t="s">
        <v>41</v>
      </c>
      <c r="L1463" s="6" t="s">
        <v>42</v>
      </c>
      <c r="M1463" s="6" t="s">
        <v>69</v>
      </c>
    </row>
    <row r="1464" spans="1:13">
      <c r="A1464" s="6" t="s">
        <v>2677</v>
      </c>
      <c r="B1464" s="7">
        <v>46203</v>
      </c>
      <c r="C1464" s="6" t="s">
        <v>828</v>
      </c>
      <c r="D1464" s="6" t="s">
        <v>27</v>
      </c>
      <c r="E1464" s="6" t="s">
        <v>28</v>
      </c>
      <c r="F1464" s="6" t="s">
        <v>53</v>
      </c>
      <c r="G1464" s="6" t="s">
        <v>54</v>
      </c>
      <c r="H1464" s="6">
        <v>1</v>
      </c>
      <c r="I1464" s="6" t="s">
        <v>31</v>
      </c>
      <c r="J1464" s="6" t="s">
        <v>31</v>
      </c>
      <c r="K1464" s="6" t="s">
        <v>122</v>
      </c>
      <c r="L1464" s="6" t="s">
        <v>42</v>
      </c>
      <c r="M1464" s="6" t="s">
        <v>69</v>
      </c>
    </row>
    <row r="1465" spans="1:13">
      <c r="A1465" s="6" t="s">
        <v>2678</v>
      </c>
      <c r="B1465" s="6" t="s">
        <v>563</v>
      </c>
      <c r="C1465" s="6" t="s">
        <v>339</v>
      </c>
      <c r="D1465" s="6" t="s">
        <v>45</v>
      </c>
      <c r="E1465" s="6" t="s">
        <v>46</v>
      </c>
      <c r="F1465" s="6" t="s">
        <v>94</v>
      </c>
      <c r="G1465" s="6" t="s">
        <v>95</v>
      </c>
      <c r="H1465" s="6">
        <v>1</v>
      </c>
      <c r="I1465" s="6" t="s">
        <v>231</v>
      </c>
      <c r="J1465" s="6" t="s">
        <v>231</v>
      </c>
      <c r="K1465" s="6">
        <v>340</v>
      </c>
      <c r="L1465" s="6" t="s">
        <v>33</v>
      </c>
      <c r="M1465" s="6" t="s">
        <v>34</v>
      </c>
    </row>
    <row r="1466" spans="1:13">
      <c r="A1466" s="6" t="s">
        <v>2679</v>
      </c>
      <c r="B1466" s="7">
        <v>46096</v>
      </c>
      <c r="C1466" s="6" t="s">
        <v>2520</v>
      </c>
      <c r="D1466" s="6" t="s">
        <v>27</v>
      </c>
      <c r="E1466" s="6" t="s">
        <v>46</v>
      </c>
      <c r="F1466" s="6" t="s">
        <v>53</v>
      </c>
      <c r="G1466" s="6" t="s">
        <v>54</v>
      </c>
      <c r="H1466" s="6">
        <v>1</v>
      </c>
      <c r="I1466" s="6" t="s">
        <v>265</v>
      </c>
      <c r="J1466" s="6" t="s">
        <v>265</v>
      </c>
      <c r="K1466" s="6">
        <v>190</v>
      </c>
      <c r="L1466" s="6" t="s">
        <v>42</v>
      </c>
      <c r="M1466" s="6" t="s">
        <v>34</v>
      </c>
    </row>
    <row r="1467" spans="1:13">
      <c r="A1467" s="6" t="s">
        <v>2680</v>
      </c>
      <c r="B1467" s="7">
        <v>46162</v>
      </c>
      <c r="C1467" s="6" t="s">
        <v>2681</v>
      </c>
      <c r="D1467" s="6" t="s">
        <v>77</v>
      </c>
      <c r="E1467" s="6" t="s">
        <v>46</v>
      </c>
      <c r="F1467" s="6" t="s">
        <v>100</v>
      </c>
      <c r="G1467" s="6" t="s">
        <v>101</v>
      </c>
      <c r="H1467" s="6">
        <v>3</v>
      </c>
      <c r="I1467" s="6" t="s">
        <v>265</v>
      </c>
      <c r="J1467" s="6" t="s">
        <v>401</v>
      </c>
      <c r="K1467" s="6" t="s">
        <v>119</v>
      </c>
      <c r="L1467" s="6" t="s">
        <v>42</v>
      </c>
      <c r="M1467" s="6" t="s">
        <v>34</v>
      </c>
    </row>
    <row r="1468" spans="1:13">
      <c r="A1468" s="6" t="s">
        <v>2682</v>
      </c>
      <c r="B1468" s="7">
        <v>46086</v>
      </c>
      <c r="C1468" s="6" t="s">
        <v>2683</v>
      </c>
      <c r="D1468" s="6" t="s">
        <v>127</v>
      </c>
      <c r="E1468" s="6" t="s">
        <v>46</v>
      </c>
      <c r="F1468" s="6" t="s">
        <v>94</v>
      </c>
      <c r="G1468" s="6" t="s">
        <v>95</v>
      </c>
      <c r="H1468" s="6">
        <v>-2</v>
      </c>
      <c r="I1468" s="6" t="s">
        <v>73</v>
      </c>
      <c r="J1468" s="8" t="s">
        <v>2684</v>
      </c>
      <c r="K1468" s="6">
        <v>340</v>
      </c>
      <c r="L1468" s="6" t="s">
        <v>42</v>
      </c>
      <c r="M1468" s="6" t="s">
        <v>34</v>
      </c>
    </row>
    <row r="1469" spans="1:13">
      <c r="A1469" s="6" t="s">
        <v>2685</v>
      </c>
      <c r="B1469" s="7">
        <v>46118</v>
      </c>
      <c r="C1469" s="6" t="s">
        <v>2119</v>
      </c>
      <c r="D1469" s="6" t="s">
        <v>57</v>
      </c>
      <c r="E1469" s="6" t="s">
        <v>46</v>
      </c>
      <c r="F1469" s="6" t="s">
        <v>53</v>
      </c>
      <c r="G1469" s="6" t="s">
        <v>54</v>
      </c>
      <c r="H1469" s="6">
        <v>2</v>
      </c>
      <c r="I1469" s="6" t="s">
        <v>60</v>
      </c>
      <c r="J1469" s="6" t="s">
        <v>189</v>
      </c>
      <c r="K1469" s="6">
        <v>190</v>
      </c>
      <c r="L1469" s="6" t="s">
        <v>42</v>
      </c>
      <c r="M1469" s="6" t="s">
        <v>34</v>
      </c>
    </row>
    <row r="1470" spans="1:13">
      <c r="A1470" s="6" t="s">
        <v>2686</v>
      </c>
      <c r="B1470" s="7">
        <v>46140</v>
      </c>
      <c r="C1470" s="6" t="s">
        <v>2687</v>
      </c>
      <c r="D1470" s="6" t="s">
        <v>127</v>
      </c>
      <c r="E1470" s="6" t="s">
        <v>37</v>
      </c>
      <c r="F1470" s="6" t="s">
        <v>38</v>
      </c>
      <c r="G1470" s="6" t="s">
        <v>39</v>
      </c>
      <c r="H1470" s="6">
        <v>1</v>
      </c>
      <c r="I1470" s="6" t="s">
        <v>31</v>
      </c>
      <c r="J1470" s="6" t="s">
        <v>31</v>
      </c>
      <c r="K1470" s="6" t="s">
        <v>41</v>
      </c>
      <c r="L1470" s="6" t="s">
        <v>42</v>
      </c>
      <c r="M1470" s="6" t="s">
        <v>34</v>
      </c>
    </row>
    <row r="1471" spans="1:13">
      <c r="A1471" s="6" t="s">
        <v>2688</v>
      </c>
      <c r="B1471" s="7">
        <v>46189</v>
      </c>
      <c r="C1471" s="6" t="s">
        <v>610</v>
      </c>
      <c r="D1471" s="6" t="s">
        <v>105</v>
      </c>
      <c r="E1471" s="6" t="s">
        <v>52</v>
      </c>
      <c r="F1471" s="6" t="s">
        <v>100</v>
      </c>
      <c r="G1471" s="6" t="s">
        <v>101</v>
      </c>
      <c r="H1471" s="6">
        <v>3</v>
      </c>
      <c r="I1471" s="6" t="s">
        <v>60</v>
      </c>
      <c r="J1471" s="6" t="s">
        <v>268</v>
      </c>
      <c r="K1471" s="6" t="s">
        <v>119</v>
      </c>
      <c r="L1471" s="6" t="s">
        <v>42</v>
      </c>
      <c r="M1471" s="6" t="s">
        <v>34</v>
      </c>
    </row>
    <row r="1472" spans="1:13">
      <c r="A1472" s="6" t="s">
        <v>2689</v>
      </c>
      <c r="B1472" s="7">
        <v>46148</v>
      </c>
      <c r="C1472" s="6" t="s">
        <v>1634</v>
      </c>
      <c r="D1472" s="6" t="s">
        <v>110</v>
      </c>
      <c r="E1472" s="6" t="s">
        <v>52</v>
      </c>
      <c r="F1472" s="6" t="s">
        <v>38</v>
      </c>
      <c r="G1472" s="6" t="s">
        <v>39</v>
      </c>
      <c r="H1472" s="6">
        <v>1</v>
      </c>
      <c r="I1472" s="6" t="s">
        <v>265</v>
      </c>
      <c r="J1472" s="6" t="s">
        <v>265</v>
      </c>
      <c r="K1472" s="6" t="s">
        <v>41</v>
      </c>
      <c r="L1472" s="6" t="s">
        <v>42</v>
      </c>
      <c r="M1472" s="6" t="s">
        <v>34</v>
      </c>
    </row>
    <row r="1473" spans="1:13">
      <c r="A1473" s="6" t="s">
        <v>2690</v>
      </c>
      <c r="B1473" s="7">
        <v>46103</v>
      </c>
      <c r="C1473" s="6" t="s">
        <v>2691</v>
      </c>
      <c r="D1473" s="6" t="s">
        <v>57</v>
      </c>
      <c r="E1473" s="6" t="s">
        <v>78</v>
      </c>
      <c r="F1473" s="6" t="s">
        <v>29</v>
      </c>
      <c r="G1473" s="6" t="s">
        <v>30</v>
      </c>
      <c r="H1473" s="6">
        <v>2</v>
      </c>
      <c r="I1473" s="6" t="s">
        <v>79</v>
      </c>
      <c r="J1473" s="6" t="s">
        <v>259</v>
      </c>
      <c r="K1473" s="6">
        <v>520</v>
      </c>
      <c r="L1473" s="6" t="s">
        <v>33</v>
      </c>
      <c r="M1473" s="6" t="s">
        <v>34</v>
      </c>
    </row>
    <row r="1474" spans="1:13">
      <c r="A1474" s="6" t="s">
        <v>2692</v>
      </c>
      <c r="B1474" s="7">
        <v>46123</v>
      </c>
      <c r="C1474" s="6" t="s">
        <v>414</v>
      </c>
      <c r="D1474" s="6" t="s">
        <v>64</v>
      </c>
      <c r="E1474" s="6" t="s">
        <v>78</v>
      </c>
      <c r="F1474" s="6" t="s">
        <v>94</v>
      </c>
      <c r="G1474" s="6" t="s">
        <v>95</v>
      </c>
      <c r="H1474" s="6">
        <v>2</v>
      </c>
      <c r="I1474" s="6" t="s">
        <v>113</v>
      </c>
      <c r="J1474" s="6" t="s">
        <v>192</v>
      </c>
      <c r="K1474" s="6">
        <v>340</v>
      </c>
      <c r="L1474" s="6" t="s">
        <v>42</v>
      </c>
      <c r="M1474" s="6" t="s">
        <v>34</v>
      </c>
    </row>
    <row r="1475" spans="1:13">
      <c r="A1475" s="6" t="s">
        <v>2693</v>
      </c>
      <c r="B1475" s="7">
        <v>46189</v>
      </c>
      <c r="C1475" s="6" t="s">
        <v>345</v>
      </c>
      <c r="D1475" s="6" t="s">
        <v>57</v>
      </c>
      <c r="E1475" s="6" t="s">
        <v>78</v>
      </c>
      <c r="F1475" s="6" t="s">
        <v>29</v>
      </c>
      <c r="G1475" s="6" t="s">
        <v>30</v>
      </c>
      <c r="H1475" s="6">
        <v>1</v>
      </c>
      <c r="I1475" s="6" t="s">
        <v>31</v>
      </c>
      <c r="J1475" s="6" t="s">
        <v>31</v>
      </c>
      <c r="K1475" s="6" t="s">
        <v>41</v>
      </c>
      <c r="L1475" s="6" t="s">
        <v>42</v>
      </c>
      <c r="M1475" s="6" t="s">
        <v>34</v>
      </c>
    </row>
    <row r="1476" spans="1:13">
      <c r="A1476" s="6" t="s">
        <v>2694</v>
      </c>
      <c r="B1476" s="6" t="s">
        <v>1559</v>
      </c>
      <c r="C1476" s="6" t="s">
        <v>2695</v>
      </c>
      <c r="D1476" s="6" t="s">
        <v>77</v>
      </c>
      <c r="E1476" s="6" t="s">
        <v>37</v>
      </c>
      <c r="F1476" s="6" t="s">
        <v>29</v>
      </c>
      <c r="G1476" s="6" t="s">
        <v>30</v>
      </c>
      <c r="H1476" s="6">
        <v>1</v>
      </c>
      <c r="I1476" s="6" t="s">
        <v>60</v>
      </c>
      <c r="J1476" s="6" t="s">
        <v>60</v>
      </c>
      <c r="K1476" s="6">
        <v>520</v>
      </c>
      <c r="L1476" s="6" t="s">
        <v>42</v>
      </c>
      <c r="M1476" s="6" t="s">
        <v>34</v>
      </c>
    </row>
    <row r="1477" spans="1:13">
      <c r="A1477" s="6" t="s">
        <v>2696</v>
      </c>
      <c r="B1477" s="7">
        <v>46143</v>
      </c>
      <c r="C1477" s="6" t="s">
        <v>1151</v>
      </c>
      <c r="D1477" s="6" t="s">
        <v>27</v>
      </c>
      <c r="E1477" s="6" t="s">
        <v>52</v>
      </c>
      <c r="F1477" s="6" t="s">
        <v>94</v>
      </c>
      <c r="G1477" s="6" t="s">
        <v>95</v>
      </c>
      <c r="H1477" s="6">
        <v>3</v>
      </c>
      <c r="I1477" s="6" t="s">
        <v>113</v>
      </c>
      <c r="J1477" s="6" t="s">
        <v>138</v>
      </c>
      <c r="K1477" s="6" t="s">
        <v>114</v>
      </c>
      <c r="L1477" s="6" t="s">
        <v>42</v>
      </c>
      <c r="M1477" s="6" t="s">
        <v>34</v>
      </c>
    </row>
    <row r="1478" spans="1:13">
      <c r="A1478" s="6" t="s">
        <v>2697</v>
      </c>
      <c r="B1478" s="7">
        <v>46068</v>
      </c>
      <c r="C1478" s="6" t="s">
        <v>1722</v>
      </c>
      <c r="D1478" s="6" t="s">
        <v>45</v>
      </c>
      <c r="E1478" s="6" t="s">
        <v>78</v>
      </c>
      <c r="F1478" s="6" t="s">
        <v>38</v>
      </c>
      <c r="G1478" s="6" t="s">
        <v>39</v>
      </c>
      <c r="H1478" s="6">
        <v>1</v>
      </c>
      <c r="I1478" s="6" t="s">
        <v>265</v>
      </c>
      <c r="J1478" s="6" t="s">
        <v>265</v>
      </c>
      <c r="K1478" s="6">
        <v>520</v>
      </c>
      <c r="L1478" s="6" t="s">
        <v>42</v>
      </c>
      <c r="M1478" s="6" t="s">
        <v>34</v>
      </c>
    </row>
    <row r="1479" spans="1:13">
      <c r="A1479" s="6" t="s">
        <v>2698</v>
      </c>
      <c r="B1479" s="7">
        <v>46064</v>
      </c>
      <c r="C1479" s="6" t="s">
        <v>602</v>
      </c>
      <c r="D1479" s="6" t="s">
        <v>105</v>
      </c>
      <c r="E1479" s="6" t="s">
        <v>78</v>
      </c>
      <c r="F1479" s="6" t="s">
        <v>94</v>
      </c>
      <c r="G1479" s="6" t="s">
        <v>95</v>
      </c>
      <c r="H1479" s="6">
        <v>2</v>
      </c>
      <c r="I1479" s="6" t="s">
        <v>90</v>
      </c>
      <c r="J1479" s="6" t="s">
        <v>154</v>
      </c>
      <c r="K1479" s="6">
        <v>340</v>
      </c>
      <c r="L1479" s="6" t="s">
        <v>42</v>
      </c>
      <c r="M1479" s="6" t="s">
        <v>34</v>
      </c>
    </row>
    <row r="1480" spans="1:13">
      <c r="A1480" s="6" t="s">
        <v>2699</v>
      </c>
      <c r="B1480" s="7">
        <v>46207</v>
      </c>
      <c r="C1480" s="6" t="s">
        <v>1842</v>
      </c>
      <c r="D1480" s="6" t="s">
        <v>77</v>
      </c>
      <c r="E1480" s="6" t="s">
        <v>46</v>
      </c>
      <c r="F1480" s="6" t="s">
        <v>53</v>
      </c>
      <c r="G1480" s="6" t="s">
        <v>54</v>
      </c>
      <c r="H1480" s="6">
        <v>3</v>
      </c>
      <c r="I1480" s="6" t="s">
        <v>117</v>
      </c>
      <c r="J1480" s="6" t="s">
        <v>171</v>
      </c>
      <c r="K1480" s="6" t="s">
        <v>122</v>
      </c>
      <c r="L1480" s="6" t="s">
        <v>33</v>
      </c>
      <c r="M1480" s="6" t="s">
        <v>34</v>
      </c>
    </row>
    <row r="1481" spans="1:13">
      <c r="A1481" s="6" t="s">
        <v>2700</v>
      </c>
      <c r="B1481" s="7">
        <v>46029</v>
      </c>
      <c r="C1481" s="6" t="s">
        <v>2701</v>
      </c>
      <c r="D1481" s="6" t="s">
        <v>127</v>
      </c>
      <c r="E1481" s="6" t="s">
        <v>46</v>
      </c>
      <c r="F1481" s="6" t="s">
        <v>38</v>
      </c>
      <c r="G1481" s="6" t="s">
        <v>39</v>
      </c>
      <c r="H1481" s="6">
        <v>2</v>
      </c>
      <c r="I1481" s="6" t="s">
        <v>265</v>
      </c>
      <c r="J1481" s="6" t="s">
        <v>167</v>
      </c>
      <c r="K1481" s="6">
        <v>520</v>
      </c>
      <c r="L1481" s="6" t="s">
        <v>33</v>
      </c>
      <c r="M1481" s="6" t="s">
        <v>34</v>
      </c>
    </row>
    <row r="1482" spans="1:13">
      <c r="A1482" s="6" t="s">
        <v>2702</v>
      </c>
      <c r="B1482" s="7">
        <v>46034</v>
      </c>
      <c r="C1482" s="6" t="s">
        <v>381</v>
      </c>
      <c r="D1482" s="6" t="s">
        <v>127</v>
      </c>
      <c r="E1482" s="6" t="s">
        <v>78</v>
      </c>
      <c r="F1482" s="6" t="s">
        <v>53</v>
      </c>
      <c r="G1482" s="6" t="s">
        <v>54</v>
      </c>
      <c r="H1482" s="6">
        <v>2</v>
      </c>
      <c r="I1482" s="6" t="s">
        <v>79</v>
      </c>
      <c r="J1482" s="6" t="s">
        <v>259</v>
      </c>
      <c r="K1482" s="6">
        <v>190</v>
      </c>
      <c r="L1482" s="6" t="s">
        <v>42</v>
      </c>
      <c r="M1482" s="6" t="s">
        <v>69</v>
      </c>
    </row>
    <row r="1483" spans="1:13">
      <c r="A1483" s="6" t="s">
        <v>2703</v>
      </c>
      <c r="B1483" s="7">
        <v>46045</v>
      </c>
      <c r="C1483" s="6" t="s">
        <v>1030</v>
      </c>
      <c r="D1483" s="6" t="s">
        <v>64</v>
      </c>
      <c r="E1483" s="6" t="s">
        <v>28</v>
      </c>
      <c r="F1483" s="6" t="s">
        <v>100</v>
      </c>
      <c r="G1483" s="6" t="s">
        <v>101</v>
      </c>
      <c r="H1483" s="6">
        <v>1</v>
      </c>
      <c r="I1483" s="6" t="s">
        <v>1224</v>
      </c>
      <c r="J1483" s="6" t="s">
        <v>117</v>
      </c>
      <c r="K1483" s="6">
        <v>640</v>
      </c>
      <c r="L1483" s="6" t="s">
        <v>42</v>
      </c>
      <c r="M1483" s="6" t="s">
        <v>34</v>
      </c>
    </row>
    <row r="1484" spans="1:13">
      <c r="A1484" s="6" t="s">
        <v>2704</v>
      </c>
      <c r="B1484" s="6" t="s">
        <v>392</v>
      </c>
      <c r="C1484" s="6" t="s">
        <v>949</v>
      </c>
      <c r="D1484" s="6" t="s">
        <v>127</v>
      </c>
      <c r="E1484" s="6" t="s">
        <v>78</v>
      </c>
      <c r="F1484" s="6" t="s">
        <v>47</v>
      </c>
      <c r="G1484" s="6" t="s">
        <v>48</v>
      </c>
      <c r="H1484" s="6">
        <v>1</v>
      </c>
      <c r="I1484" s="6" t="s">
        <v>265</v>
      </c>
      <c r="J1484" s="6" t="s">
        <v>265</v>
      </c>
      <c r="K1484" s="6">
        <v>85</v>
      </c>
      <c r="L1484" s="6" t="s">
        <v>42</v>
      </c>
      <c r="M1484" s="6" t="s">
        <v>34</v>
      </c>
    </row>
    <row r="1485" spans="1:13">
      <c r="A1485" s="6" t="s">
        <v>2705</v>
      </c>
      <c r="B1485" s="7">
        <v>46054</v>
      </c>
      <c r="C1485" s="6" t="s">
        <v>1935</v>
      </c>
      <c r="D1485" s="6" t="s">
        <v>105</v>
      </c>
      <c r="E1485" s="6" t="s">
        <v>78</v>
      </c>
      <c r="F1485" s="6" t="s">
        <v>29</v>
      </c>
      <c r="G1485" s="6" t="s">
        <v>30</v>
      </c>
      <c r="H1485" s="6">
        <v>2</v>
      </c>
      <c r="I1485" s="6" t="s">
        <v>181</v>
      </c>
      <c r="J1485" s="6" t="s">
        <v>163</v>
      </c>
      <c r="K1485" s="6">
        <v>520</v>
      </c>
      <c r="L1485" s="6" t="s">
        <v>42</v>
      </c>
      <c r="M1485" s="6" t="s">
        <v>34</v>
      </c>
    </row>
    <row r="1486" spans="1:13">
      <c r="A1486" s="6" t="s">
        <v>2706</v>
      </c>
      <c r="B1486" s="7">
        <v>46169</v>
      </c>
      <c r="C1486" s="6" t="s">
        <v>2707</v>
      </c>
      <c r="D1486" s="6" t="s">
        <v>105</v>
      </c>
      <c r="E1486" s="6" t="s">
        <v>78</v>
      </c>
      <c r="F1486" s="6" t="s">
        <v>58</v>
      </c>
      <c r="G1486" s="6" t="s">
        <v>59</v>
      </c>
      <c r="H1486" s="6">
        <v>2</v>
      </c>
      <c r="I1486" s="6" t="s">
        <v>265</v>
      </c>
      <c r="J1486" s="6" t="s">
        <v>167</v>
      </c>
      <c r="K1486" s="6" t="s">
        <v>61</v>
      </c>
      <c r="L1486" s="6" t="s">
        <v>42</v>
      </c>
      <c r="M1486" s="6" t="s">
        <v>34</v>
      </c>
    </row>
    <row r="1487" spans="1:13">
      <c r="A1487" s="6" t="s">
        <v>2708</v>
      </c>
      <c r="B1487" s="7">
        <v>46069</v>
      </c>
      <c r="C1487" s="6" t="s">
        <v>833</v>
      </c>
      <c r="D1487" s="6" t="s">
        <v>45</v>
      </c>
      <c r="E1487" s="6" t="s">
        <v>28</v>
      </c>
      <c r="F1487" s="6" t="s">
        <v>100</v>
      </c>
      <c r="G1487" s="6" t="s">
        <v>101</v>
      </c>
      <c r="H1487" s="6">
        <v>1</v>
      </c>
      <c r="I1487" s="6" t="s">
        <v>67</v>
      </c>
      <c r="J1487" s="6" t="s">
        <v>67</v>
      </c>
      <c r="K1487" s="6">
        <v>640</v>
      </c>
      <c r="L1487" s="6" t="s">
        <v>42</v>
      </c>
      <c r="M1487" s="6" t="s">
        <v>34</v>
      </c>
    </row>
    <row r="1488" spans="1:13">
      <c r="A1488" s="6" t="s">
        <v>2709</v>
      </c>
      <c r="B1488" s="7">
        <v>46148</v>
      </c>
      <c r="C1488" s="6" t="s">
        <v>410</v>
      </c>
      <c r="D1488" s="6" t="s">
        <v>72</v>
      </c>
      <c r="E1488" s="6" t="s">
        <v>52</v>
      </c>
      <c r="F1488" s="6" t="s">
        <v>58</v>
      </c>
      <c r="G1488" s="6" t="s">
        <v>59</v>
      </c>
      <c r="H1488" s="6">
        <v>2</v>
      </c>
      <c r="I1488" s="6" t="s">
        <v>660</v>
      </c>
      <c r="J1488" s="6" t="s">
        <v>259</v>
      </c>
      <c r="K1488" s="6" t="s">
        <v>61</v>
      </c>
      <c r="L1488" s="6" t="s">
        <v>42</v>
      </c>
      <c r="M1488" s="6" t="s">
        <v>34</v>
      </c>
    </row>
    <row r="1489" spans="1:13">
      <c r="A1489" s="6" t="s">
        <v>2710</v>
      </c>
      <c r="B1489" s="7">
        <v>46362</v>
      </c>
      <c r="C1489" s="6" t="s">
        <v>1232</v>
      </c>
      <c r="D1489" s="6" t="s">
        <v>72</v>
      </c>
      <c r="E1489" s="6" t="s">
        <v>78</v>
      </c>
      <c r="F1489" s="6" t="s">
        <v>47</v>
      </c>
      <c r="G1489" s="6" t="s">
        <v>48</v>
      </c>
      <c r="H1489" s="6">
        <v>1</v>
      </c>
      <c r="I1489" s="6" t="s">
        <v>79</v>
      </c>
      <c r="J1489" s="6" t="s">
        <v>79</v>
      </c>
      <c r="K1489" s="6" t="s">
        <v>49</v>
      </c>
      <c r="L1489" s="6" t="s">
        <v>42</v>
      </c>
      <c r="M1489" s="6" t="s">
        <v>69</v>
      </c>
    </row>
    <row r="1490" spans="1:13">
      <c r="A1490" s="6" t="s">
        <v>2711</v>
      </c>
      <c r="B1490" s="7">
        <v>46331</v>
      </c>
      <c r="C1490" s="6" t="s">
        <v>2712</v>
      </c>
      <c r="D1490" s="6" t="s">
        <v>45</v>
      </c>
      <c r="E1490" s="6" t="s">
        <v>28</v>
      </c>
      <c r="F1490" s="6" t="s">
        <v>85</v>
      </c>
      <c r="G1490" s="6" t="s">
        <v>86</v>
      </c>
      <c r="H1490" s="6">
        <v>1</v>
      </c>
      <c r="I1490" s="6" t="s">
        <v>40</v>
      </c>
      <c r="J1490" s="6" t="s">
        <v>40</v>
      </c>
      <c r="K1490" s="6" t="s">
        <v>87</v>
      </c>
      <c r="L1490" s="6" t="s">
        <v>42</v>
      </c>
      <c r="M1490" s="6" t="s">
        <v>34</v>
      </c>
    </row>
    <row r="1491" spans="1:13">
      <c r="A1491" s="6" t="s">
        <v>2713</v>
      </c>
      <c r="B1491" s="7">
        <v>46112</v>
      </c>
      <c r="C1491" s="6" t="s">
        <v>1854</v>
      </c>
      <c r="D1491" s="6" t="s">
        <v>64</v>
      </c>
      <c r="E1491" s="6" t="s">
        <v>46</v>
      </c>
      <c r="F1491" s="6" t="s">
        <v>29</v>
      </c>
      <c r="G1491" s="6" t="s">
        <v>30</v>
      </c>
      <c r="H1491" s="6">
        <v>1</v>
      </c>
      <c r="I1491" s="6" t="s">
        <v>117</v>
      </c>
      <c r="J1491" s="6" t="s">
        <v>117</v>
      </c>
      <c r="K1491" s="6">
        <v>520</v>
      </c>
      <c r="L1491" s="6" t="s">
        <v>42</v>
      </c>
      <c r="M1491" s="6" t="s">
        <v>34</v>
      </c>
    </row>
    <row r="1492" spans="1:13">
      <c r="A1492" s="6" t="s">
        <v>2714</v>
      </c>
      <c r="B1492" s="7">
        <v>46029</v>
      </c>
      <c r="C1492" s="6" t="s">
        <v>2715</v>
      </c>
      <c r="D1492" s="6" t="s">
        <v>72</v>
      </c>
      <c r="E1492" s="6" t="s">
        <v>78</v>
      </c>
      <c r="F1492" s="6" t="s">
        <v>47</v>
      </c>
      <c r="G1492" s="6" t="s">
        <v>48</v>
      </c>
      <c r="H1492" s="6">
        <v>1</v>
      </c>
      <c r="I1492" s="6" t="s">
        <v>203</v>
      </c>
      <c r="J1492" s="6" t="s">
        <v>67</v>
      </c>
      <c r="K1492" s="6">
        <v>85</v>
      </c>
      <c r="L1492" s="6" t="s">
        <v>42</v>
      </c>
      <c r="M1492" s="6" t="s">
        <v>34</v>
      </c>
    </row>
    <row r="1493" spans="1:13">
      <c r="A1493" s="6" t="s">
        <v>2716</v>
      </c>
      <c r="B1493" s="7">
        <v>46037</v>
      </c>
      <c r="C1493" s="6" t="s">
        <v>2717</v>
      </c>
      <c r="D1493" s="6" t="s">
        <v>127</v>
      </c>
      <c r="E1493" s="6" t="s">
        <v>46</v>
      </c>
      <c r="F1493" s="6" t="s">
        <v>29</v>
      </c>
      <c r="G1493" s="6" t="s">
        <v>30</v>
      </c>
      <c r="H1493" s="6">
        <v>1</v>
      </c>
      <c r="I1493" s="6" t="s">
        <v>143</v>
      </c>
      <c r="J1493" s="6" t="s">
        <v>143</v>
      </c>
      <c r="K1493" s="6">
        <v>520</v>
      </c>
      <c r="L1493" s="6" t="s">
        <v>42</v>
      </c>
      <c r="M1493" s="6" t="s">
        <v>34</v>
      </c>
    </row>
    <row r="1494" spans="1:13">
      <c r="A1494" s="6" t="s">
        <v>2718</v>
      </c>
      <c r="B1494" s="7">
        <v>46085</v>
      </c>
      <c r="C1494" s="6" t="s">
        <v>1353</v>
      </c>
      <c r="D1494" s="6" t="s">
        <v>72</v>
      </c>
      <c r="E1494" s="6" t="s">
        <v>37</v>
      </c>
      <c r="F1494" s="6" t="s">
        <v>100</v>
      </c>
      <c r="G1494" s="6" t="s">
        <v>101</v>
      </c>
      <c r="H1494" s="6">
        <v>1</v>
      </c>
      <c r="I1494" s="6" t="s">
        <v>147</v>
      </c>
      <c r="J1494" s="6" t="s">
        <v>147</v>
      </c>
      <c r="K1494" s="6">
        <v>640</v>
      </c>
      <c r="L1494" s="6" t="s">
        <v>42</v>
      </c>
      <c r="M1494" s="6" t="s">
        <v>34</v>
      </c>
    </row>
    <row r="1495" spans="1:13">
      <c r="A1495" s="6" t="s">
        <v>2719</v>
      </c>
      <c r="B1495" s="7">
        <v>46200</v>
      </c>
      <c r="C1495" s="6" t="s">
        <v>1200</v>
      </c>
      <c r="D1495" s="6" t="s">
        <v>64</v>
      </c>
      <c r="E1495" s="6" t="s">
        <v>37</v>
      </c>
      <c r="F1495" s="6" t="s">
        <v>58</v>
      </c>
      <c r="G1495" s="6" t="s">
        <v>59</v>
      </c>
      <c r="H1495" s="6">
        <v>1</v>
      </c>
      <c r="I1495" s="6" t="s">
        <v>113</v>
      </c>
      <c r="J1495" s="6" t="s">
        <v>113</v>
      </c>
      <c r="K1495" s="6" t="s">
        <v>61</v>
      </c>
      <c r="L1495" s="6" t="s">
        <v>42</v>
      </c>
      <c r="M1495" s="6" t="s">
        <v>34</v>
      </c>
    </row>
    <row r="1496" spans="1:13">
      <c r="A1496" s="6" t="s">
        <v>2720</v>
      </c>
      <c r="B1496" s="7">
        <v>46109</v>
      </c>
      <c r="C1496" s="6" t="s">
        <v>2359</v>
      </c>
      <c r="D1496" s="6" t="s">
        <v>127</v>
      </c>
      <c r="E1496" s="6" t="s">
        <v>28</v>
      </c>
      <c r="F1496" s="6" t="s">
        <v>100</v>
      </c>
      <c r="G1496" s="6" t="s">
        <v>101</v>
      </c>
      <c r="H1496" s="6">
        <v>2</v>
      </c>
      <c r="I1496" s="6" t="s">
        <v>31</v>
      </c>
      <c r="J1496" s="6" t="s">
        <v>249</v>
      </c>
      <c r="K1496" s="6">
        <v>640</v>
      </c>
      <c r="L1496" s="6" t="s">
        <v>42</v>
      </c>
      <c r="M1496" s="6" t="s">
        <v>69</v>
      </c>
    </row>
    <row r="1497" spans="1:13">
      <c r="A1497" s="6" t="s">
        <v>2721</v>
      </c>
      <c r="B1497" s="6" t="s">
        <v>2656</v>
      </c>
      <c r="C1497" s="6" t="s">
        <v>36</v>
      </c>
      <c r="D1497" s="6" t="s">
        <v>72</v>
      </c>
      <c r="E1497" s="6" t="s">
        <v>46</v>
      </c>
      <c r="F1497" s="6" t="s">
        <v>47</v>
      </c>
      <c r="G1497" s="6" t="s">
        <v>48</v>
      </c>
      <c r="H1497" s="6">
        <v>3</v>
      </c>
      <c r="I1497" s="6" t="s">
        <v>117</v>
      </c>
      <c r="J1497" s="6" t="s">
        <v>171</v>
      </c>
      <c r="K1497" s="6" t="s">
        <v>49</v>
      </c>
      <c r="L1497" s="6" t="s">
        <v>42</v>
      </c>
      <c r="M1497" s="6" t="s">
        <v>69</v>
      </c>
    </row>
    <row r="1498" spans="1:13">
      <c r="A1498" s="6" t="s">
        <v>2722</v>
      </c>
      <c r="B1498" s="7">
        <v>46199</v>
      </c>
      <c r="C1498" s="6" t="s">
        <v>2723</v>
      </c>
      <c r="D1498" s="6" t="s">
        <v>57</v>
      </c>
      <c r="E1498" s="6" t="s">
        <v>37</v>
      </c>
      <c r="F1498" s="6" t="s">
        <v>85</v>
      </c>
      <c r="G1498" s="6" t="s">
        <v>86</v>
      </c>
      <c r="H1498" s="6">
        <v>1</v>
      </c>
      <c r="I1498" s="6" t="s">
        <v>82</v>
      </c>
      <c r="J1498" s="6" t="s">
        <v>82</v>
      </c>
      <c r="K1498" s="6" t="s">
        <v>87</v>
      </c>
      <c r="L1498" s="6" t="s">
        <v>33</v>
      </c>
      <c r="M1498" s="6" t="s">
        <v>34</v>
      </c>
    </row>
    <row r="1499" spans="1:13">
      <c r="A1499" s="6" t="s">
        <v>2724</v>
      </c>
      <c r="B1499" s="7">
        <v>46122</v>
      </c>
      <c r="C1499" s="6" t="s">
        <v>1250</v>
      </c>
      <c r="D1499" s="6" t="s">
        <v>105</v>
      </c>
      <c r="E1499" s="6" t="s">
        <v>78</v>
      </c>
      <c r="F1499" s="6" t="s">
        <v>53</v>
      </c>
      <c r="G1499" s="6" t="s">
        <v>54</v>
      </c>
      <c r="H1499" s="6">
        <v>1</v>
      </c>
      <c r="I1499" s="6" t="s">
        <v>143</v>
      </c>
      <c r="J1499" s="6" t="s">
        <v>143</v>
      </c>
      <c r="K1499" s="6">
        <v>190</v>
      </c>
      <c r="L1499" s="6" t="s">
        <v>42</v>
      </c>
      <c r="M1499" s="6" t="s">
        <v>34</v>
      </c>
    </row>
    <row r="1500" spans="1:13">
      <c r="A1500" s="6" t="s">
        <v>2725</v>
      </c>
      <c r="B1500" s="6" t="s">
        <v>1764</v>
      </c>
      <c r="C1500" s="6" t="s">
        <v>2726</v>
      </c>
      <c r="D1500" s="6" t="s">
        <v>45</v>
      </c>
      <c r="E1500" s="6" t="s">
        <v>28</v>
      </c>
      <c r="F1500" s="6" t="s">
        <v>38</v>
      </c>
      <c r="G1500" s="6" t="s">
        <v>39</v>
      </c>
      <c r="H1500" s="6">
        <v>1</v>
      </c>
      <c r="I1500" s="6" t="s">
        <v>60</v>
      </c>
      <c r="J1500" s="6" t="s">
        <v>60</v>
      </c>
      <c r="K1500" s="6">
        <v>520</v>
      </c>
      <c r="L1500" s="6" t="s">
        <v>33</v>
      </c>
      <c r="M1500" s="6" t="s">
        <v>34</v>
      </c>
    </row>
    <row r="1501" spans="1:13">
      <c r="A1501" s="6" t="s">
        <v>2727</v>
      </c>
      <c r="B1501" s="7">
        <v>46093</v>
      </c>
      <c r="C1501" s="6" t="s">
        <v>2728</v>
      </c>
      <c r="D1501" s="6" t="s">
        <v>64</v>
      </c>
      <c r="E1501" s="6" t="s">
        <v>46</v>
      </c>
      <c r="F1501" s="6" t="s">
        <v>47</v>
      </c>
      <c r="G1501" s="6" t="s">
        <v>48</v>
      </c>
      <c r="H1501" s="6">
        <v>1</v>
      </c>
      <c r="I1501" s="6" t="s">
        <v>231</v>
      </c>
      <c r="J1501" s="6" t="s">
        <v>2729</v>
      </c>
      <c r="K1501" s="6">
        <v>85</v>
      </c>
      <c r="L1501" s="6" t="s">
        <v>42</v>
      </c>
      <c r="M1501" s="6" t="s">
        <v>69</v>
      </c>
    </row>
    <row r="1502" spans="1:13">
      <c r="A1502" s="6" t="s">
        <v>2730</v>
      </c>
      <c r="B1502" s="7">
        <v>46142</v>
      </c>
      <c r="C1502" s="6" t="s">
        <v>1732</v>
      </c>
      <c r="D1502" s="6" t="s">
        <v>105</v>
      </c>
      <c r="E1502" s="6" t="s">
        <v>28</v>
      </c>
      <c r="F1502" s="6" t="s">
        <v>38</v>
      </c>
      <c r="G1502" s="6" t="s">
        <v>39</v>
      </c>
      <c r="H1502" s="6">
        <v>1</v>
      </c>
      <c r="I1502" s="6" t="s">
        <v>143</v>
      </c>
      <c r="J1502" s="6" t="s">
        <v>143</v>
      </c>
      <c r="K1502" s="6" t="s">
        <v>41</v>
      </c>
      <c r="L1502" s="6" t="s">
        <v>42</v>
      </c>
      <c r="M1502" s="6" t="s">
        <v>34</v>
      </c>
    </row>
    <row r="1503" spans="1:13">
      <c r="A1503" s="6" t="s">
        <v>2731</v>
      </c>
      <c r="B1503" s="7">
        <v>46179</v>
      </c>
      <c r="C1503" s="6" t="s">
        <v>938</v>
      </c>
      <c r="D1503" s="6" t="s">
        <v>45</v>
      </c>
      <c r="E1503" s="6" t="s">
        <v>46</v>
      </c>
      <c r="F1503" s="6" t="s">
        <v>58</v>
      </c>
      <c r="G1503" s="6" t="s">
        <v>59</v>
      </c>
      <c r="H1503" s="6">
        <v>1</v>
      </c>
      <c r="I1503" s="6" t="s">
        <v>265</v>
      </c>
      <c r="J1503" s="6" t="s">
        <v>265</v>
      </c>
      <c r="K1503" s="6" t="s">
        <v>61</v>
      </c>
      <c r="L1503" s="6" t="s">
        <v>42</v>
      </c>
      <c r="M1503" s="6" t="s">
        <v>34</v>
      </c>
    </row>
    <row r="1504" spans="1:13">
      <c r="A1504" s="6" t="s">
        <v>2732</v>
      </c>
      <c r="B1504" s="7">
        <v>46051</v>
      </c>
      <c r="C1504" s="6" t="s">
        <v>2214</v>
      </c>
      <c r="D1504" s="6" t="s">
        <v>57</v>
      </c>
      <c r="E1504" s="6" t="s">
        <v>46</v>
      </c>
      <c r="F1504" s="6" t="s">
        <v>38</v>
      </c>
      <c r="G1504" s="6" t="s">
        <v>39</v>
      </c>
      <c r="H1504" s="6">
        <v>1</v>
      </c>
      <c r="I1504" s="6" t="s">
        <v>73</v>
      </c>
      <c r="J1504" s="6" t="s">
        <v>1347</v>
      </c>
      <c r="K1504" s="6">
        <v>520</v>
      </c>
      <c r="L1504" s="6" t="s">
        <v>42</v>
      </c>
      <c r="M1504" s="6" t="s">
        <v>34</v>
      </c>
    </row>
    <row r="1505" spans="1:13">
      <c r="A1505" s="6" t="s">
        <v>2733</v>
      </c>
      <c r="B1505" s="6" t="s">
        <v>776</v>
      </c>
      <c r="C1505" s="6" t="s">
        <v>2014</v>
      </c>
      <c r="D1505" s="6" t="s">
        <v>45</v>
      </c>
      <c r="E1505" s="6" t="s">
        <v>46</v>
      </c>
      <c r="F1505" s="6" t="s">
        <v>38</v>
      </c>
      <c r="G1505" s="6" t="s">
        <v>39</v>
      </c>
      <c r="H1505" s="6">
        <v>1</v>
      </c>
      <c r="I1505" s="6" t="s">
        <v>82</v>
      </c>
      <c r="J1505" s="6" t="s">
        <v>82</v>
      </c>
      <c r="K1505" s="6">
        <v>520</v>
      </c>
      <c r="L1505" s="6" t="s">
        <v>42</v>
      </c>
      <c r="M1505" s="6" t="s">
        <v>34</v>
      </c>
    </row>
    <row r="1506" spans="1:13">
      <c r="A1506" s="6" t="s">
        <v>2734</v>
      </c>
      <c r="B1506" s="6" t="s">
        <v>169</v>
      </c>
      <c r="C1506" s="6" t="s">
        <v>36</v>
      </c>
      <c r="D1506" s="6" t="s">
        <v>72</v>
      </c>
      <c r="E1506" s="6" t="s">
        <v>46</v>
      </c>
      <c r="F1506" s="6" t="s">
        <v>94</v>
      </c>
      <c r="G1506" s="6" t="s">
        <v>95</v>
      </c>
      <c r="H1506" s="6">
        <v>2</v>
      </c>
      <c r="I1506" s="6" t="s">
        <v>31</v>
      </c>
      <c r="J1506" s="6" t="s">
        <v>249</v>
      </c>
      <c r="K1506" s="6">
        <v>340</v>
      </c>
      <c r="L1506" s="6" t="s">
        <v>42</v>
      </c>
      <c r="M1506" s="6" t="s">
        <v>34</v>
      </c>
    </row>
    <row r="1507" spans="1:13">
      <c r="A1507" s="6" t="s">
        <v>2735</v>
      </c>
      <c r="B1507" s="7">
        <v>46100</v>
      </c>
      <c r="C1507" s="6" t="s">
        <v>2109</v>
      </c>
      <c r="D1507" s="6" t="s">
        <v>64</v>
      </c>
      <c r="E1507" s="6" t="s">
        <v>28</v>
      </c>
      <c r="F1507" s="6" t="s">
        <v>85</v>
      </c>
      <c r="G1507" s="6" t="s">
        <v>86</v>
      </c>
      <c r="H1507" s="6">
        <v>1</v>
      </c>
      <c r="I1507" s="6" t="s">
        <v>117</v>
      </c>
      <c r="J1507" s="6" t="s">
        <v>117</v>
      </c>
      <c r="K1507" s="6">
        <v>410</v>
      </c>
      <c r="L1507" s="6" t="s">
        <v>33</v>
      </c>
      <c r="M1507" s="6" t="s">
        <v>34</v>
      </c>
    </row>
    <row r="1508" spans="1:13">
      <c r="A1508" s="6" t="s">
        <v>2736</v>
      </c>
      <c r="B1508" s="7">
        <v>46185</v>
      </c>
      <c r="C1508" s="6" t="s">
        <v>1240</v>
      </c>
      <c r="D1508" s="6" t="s">
        <v>45</v>
      </c>
      <c r="E1508" s="6" t="s">
        <v>46</v>
      </c>
      <c r="F1508" s="6" t="s">
        <v>53</v>
      </c>
      <c r="G1508" s="6" t="s">
        <v>54</v>
      </c>
      <c r="H1508" s="6">
        <v>2</v>
      </c>
      <c r="I1508" s="6" t="s">
        <v>67</v>
      </c>
      <c r="J1508" s="6" t="s">
        <v>204</v>
      </c>
      <c r="K1508" s="6" t="s">
        <v>122</v>
      </c>
      <c r="L1508" s="6" t="s">
        <v>42</v>
      </c>
      <c r="M1508" s="6" t="s">
        <v>34</v>
      </c>
    </row>
    <row r="1509" spans="1:13">
      <c r="A1509" s="6" t="s">
        <v>2737</v>
      </c>
      <c r="B1509" s="7">
        <v>46156</v>
      </c>
      <c r="C1509" s="6" t="s">
        <v>2377</v>
      </c>
      <c r="D1509" s="6" t="s">
        <v>110</v>
      </c>
      <c r="E1509" s="6" t="s">
        <v>37</v>
      </c>
      <c r="F1509" s="6" t="s">
        <v>47</v>
      </c>
      <c r="G1509" s="6" t="s">
        <v>48</v>
      </c>
      <c r="H1509" s="6">
        <v>1</v>
      </c>
      <c r="I1509" s="6" t="s">
        <v>40</v>
      </c>
      <c r="J1509" s="6" t="s">
        <v>40</v>
      </c>
      <c r="K1509" s="6" t="s">
        <v>49</v>
      </c>
      <c r="L1509" s="6" t="s">
        <v>42</v>
      </c>
      <c r="M1509" s="6" t="s">
        <v>34</v>
      </c>
    </row>
    <row r="1510" spans="1:13">
      <c r="A1510" s="6" t="s">
        <v>2738</v>
      </c>
      <c r="B1510" s="6" t="s">
        <v>621</v>
      </c>
      <c r="C1510" s="6" t="s">
        <v>2739</v>
      </c>
      <c r="D1510" s="6" t="s">
        <v>64</v>
      </c>
      <c r="E1510" s="6" t="s">
        <v>52</v>
      </c>
      <c r="F1510" s="6" t="s">
        <v>85</v>
      </c>
      <c r="G1510" s="6" t="s">
        <v>86</v>
      </c>
      <c r="H1510" s="6">
        <v>3</v>
      </c>
      <c r="I1510" s="6" t="s">
        <v>117</v>
      </c>
      <c r="J1510" s="6" t="s">
        <v>171</v>
      </c>
      <c r="K1510" s="6" t="s">
        <v>87</v>
      </c>
      <c r="L1510" s="6" t="s">
        <v>33</v>
      </c>
      <c r="M1510" s="6" t="s">
        <v>34</v>
      </c>
    </row>
    <row r="1511" spans="1:13">
      <c r="A1511" s="6" t="s">
        <v>2740</v>
      </c>
      <c r="B1511" s="7">
        <v>46158</v>
      </c>
      <c r="C1511" s="6" t="s">
        <v>2741</v>
      </c>
      <c r="D1511" s="6" t="s">
        <v>64</v>
      </c>
      <c r="E1511" s="6" t="s">
        <v>28</v>
      </c>
      <c r="F1511" s="6" t="s">
        <v>58</v>
      </c>
      <c r="G1511" s="6" t="s">
        <v>59</v>
      </c>
      <c r="H1511" s="6">
        <v>2</v>
      </c>
      <c r="I1511" s="6" t="s">
        <v>31</v>
      </c>
      <c r="J1511" s="6" t="s">
        <v>249</v>
      </c>
      <c r="K1511" s="6" t="s">
        <v>61</v>
      </c>
      <c r="L1511" s="6" t="s">
        <v>33</v>
      </c>
      <c r="M1511" s="6" t="s">
        <v>34</v>
      </c>
    </row>
    <row r="1512" spans="1:13">
      <c r="A1512" s="6" t="s">
        <v>2742</v>
      </c>
      <c r="B1512" s="7">
        <v>46108</v>
      </c>
      <c r="C1512" s="6" t="s">
        <v>1323</v>
      </c>
      <c r="D1512" s="6" t="s">
        <v>77</v>
      </c>
      <c r="E1512" s="6" t="s">
        <v>52</v>
      </c>
      <c r="F1512" s="6" t="s">
        <v>85</v>
      </c>
      <c r="G1512" s="6" t="s">
        <v>86</v>
      </c>
      <c r="H1512" s="6">
        <v>2</v>
      </c>
      <c r="I1512" s="6" t="s">
        <v>113</v>
      </c>
      <c r="J1512" s="6" t="s">
        <v>192</v>
      </c>
      <c r="K1512" s="6">
        <v>410</v>
      </c>
      <c r="L1512" s="6" t="s">
        <v>42</v>
      </c>
      <c r="M1512" s="6" t="s">
        <v>34</v>
      </c>
    </row>
    <row r="1513" spans="1:13">
      <c r="A1513" s="6" t="s">
        <v>2743</v>
      </c>
      <c r="B1513" s="7">
        <v>46197</v>
      </c>
      <c r="C1513" s="6" t="s">
        <v>2744</v>
      </c>
      <c r="D1513" s="6" t="s">
        <v>45</v>
      </c>
      <c r="E1513" s="6" t="s">
        <v>78</v>
      </c>
      <c r="F1513" s="6" t="s">
        <v>94</v>
      </c>
      <c r="G1513" s="6" t="s">
        <v>95</v>
      </c>
      <c r="H1513" s="6">
        <v>2</v>
      </c>
      <c r="I1513" s="6" t="s">
        <v>79</v>
      </c>
      <c r="J1513" s="6" t="s">
        <v>732</v>
      </c>
      <c r="K1513" s="6" t="s">
        <v>114</v>
      </c>
      <c r="L1513" s="6" t="s">
        <v>42</v>
      </c>
      <c r="M1513" s="6" t="s">
        <v>34</v>
      </c>
    </row>
    <row r="1514" spans="1:13">
      <c r="A1514" s="6" t="s">
        <v>2745</v>
      </c>
      <c r="B1514" s="7">
        <v>46083</v>
      </c>
      <c r="C1514" s="6" t="s">
        <v>2331</v>
      </c>
      <c r="D1514" s="6" t="s">
        <v>57</v>
      </c>
      <c r="E1514" s="6" t="s">
        <v>28</v>
      </c>
      <c r="F1514" s="6" t="s">
        <v>53</v>
      </c>
      <c r="G1514" s="6" t="s">
        <v>54</v>
      </c>
      <c r="H1514" s="6">
        <v>3</v>
      </c>
      <c r="I1514" s="6" t="s">
        <v>90</v>
      </c>
      <c r="J1514" s="6" t="s">
        <v>102</v>
      </c>
      <c r="K1514" s="6">
        <v>190</v>
      </c>
      <c r="L1514" s="6" t="s">
        <v>42</v>
      </c>
      <c r="M1514" s="6" t="s">
        <v>34</v>
      </c>
    </row>
    <row r="1515" spans="1:13">
      <c r="A1515" s="6" t="s">
        <v>2746</v>
      </c>
      <c r="B1515" s="7">
        <v>46187</v>
      </c>
      <c r="C1515" s="6" t="s">
        <v>140</v>
      </c>
      <c r="D1515" s="6" t="s">
        <v>45</v>
      </c>
      <c r="E1515" s="6" t="s">
        <v>52</v>
      </c>
      <c r="F1515" s="6" t="s">
        <v>38</v>
      </c>
      <c r="G1515" s="6" t="s">
        <v>39</v>
      </c>
      <c r="H1515" s="6">
        <v>1</v>
      </c>
      <c r="I1515" s="6" t="s">
        <v>748</v>
      </c>
      <c r="J1515" s="6" t="s">
        <v>113</v>
      </c>
      <c r="K1515" s="6" t="s">
        <v>41</v>
      </c>
      <c r="L1515" s="6" t="s">
        <v>42</v>
      </c>
      <c r="M1515" s="6" t="s">
        <v>34</v>
      </c>
    </row>
    <row r="1516" spans="1:13">
      <c r="A1516" s="6" t="s">
        <v>2747</v>
      </c>
      <c r="B1516" s="7">
        <v>46123</v>
      </c>
      <c r="C1516" s="6" t="s">
        <v>109</v>
      </c>
      <c r="D1516" s="6" t="s">
        <v>57</v>
      </c>
      <c r="E1516" s="6" t="s">
        <v>52</v>
      </c>
      <c r="F1516" s="6" t="s">
        <v>29</v>
      </c>
      <c r="G1516" s="6" t="s">
        <v>30</v>
      </c>
      <c r="H1516" s="6">
        <v>3</v>
      </c>
      <c r="I1516" s="6" t="s">
        <v>755</v>
      </c>
      <c r="J1516" s="6" t="s">
        <v>171</v>
      </c>
      <c r="K1516" s="6">
        <v>520</v>
      </c>
      <c r="L1516" s="6" t="s">
        <v>42</v>
      </c>
      <c r="M1516" s="6" t="s">
        <v>34</v>
      </c>
    </row>
    <row r="1517" spans="1:13">
      <c r="A1517" s="6" t="s">
        <v>2748</v>
      </c>
      <c r="B1517" s="7">
        <v>46121</v>
      </c>
      <c r="C1517" s="6" t="s">
        <v>1953</v>
      </c>
      <c r="D1517" s="6" t="s">
        <v>110</v>
      </c>
      <c r="E1517" s="6" t="s">
        <v>37</v>
      </c>
      <c r="F1517" s="6" t="s">
        <v>94</v>
      </c>
      <c r="G1517" s="6" t="s">
        <v>95</v>
      </c>
      <c r="H1517" s="6">
        <v>1</v>
      </c>
      <c r="I1517" s="6" t="s">
        <v>40</v>
      </c>
      <c r="J1517" s="6" t="s">
        <v>40</v>
      </c>
      <c r="K1517" s="6">
        <v>340</v>
      </c>
      <c r="L1517" s="6" t="s">
        <v>42</v>
      </c>
      <c r="M1517" s="6" t="s">
        <v>34</v>
      </c>
    </row>
    <row r="1518" spans="1:13">
      <c r="A1518" s="6" t="s">
        <v>2749</v>
      </c>
      <c r="B1518" s="7">
        <v>46141</v>
      </c>
      <c r="C1518" s="6" t="s">
        <v>922</v>
      </c>
      <c r="D1518" s="6" t="s">
        <v>127</v>
      </c>
      <c r="E1518" s="6" t="s">
        <v>37</v>
      </c>
      <c r="F1518" s="6" t="s">
        <v>58</v>
      </c>
      <c r="G1518" s="6" t="s">
        <v>59</v>
      </c>
      <c r="H1518" s="6">
        <v>2</v>
      </c>
      <c r="I1518" s="6" t="s">
        <v>31</v>
      </c>
      <c r="J1518" s="6" t="s">
        <v>249</v>
      </c>
      <c r="K1518" s="6" t="s">
        <v>61</v>
      </c>
      <c r="L1518" s="6" t="s">
        <v>42</v>
      </c>
      <c r="M1518" s="6" t="s">
        <v>34</v>
      </c>
    </row>
    <row r="1519" spans="1:13">
      <c r="A1519" s="6" t="s">
        <v>2750</v>
      </c>
      <c r="B1519" s="7">
        <v>46050</v>
      </c>
      <c r="C1519" s="6" t="s">
        <v>2751</v>
      </c>
      <c r="D1519" s="6" t="s">
        <v>64</v>
      </c>
      <c r="E1519" s="6" t="s">
        <v>78</v>
      </c>
      <c r="F1519" s="6" t="s">
        <v>29</v>
      </c>
      <c r="G1519" s="6" t="s">
        <v>30</v>
      </c>
      <c r="H1519" s="6">
        <v>1</v>
      </c>
      <c r="I1519" s="6" t="s">
        <v>117</v>
      </c>
      <c r="J1519" s="6" t="s">
        <v>117</v>
      </c>
      <c r="K1519" s="6">
        <v>520</v>
      </c>
      <c r="L1519" s="6" t="s">
        <v>42</v>
      </c>
      <c r="M1519" s="6" t="s">
        <v>34</v>
      </c>
    </row>
    <row r="1520" spans="1:13">
      <c r="A1520" s="6" t="s">
        <v>2752</v>
      </c>
      <c r="B1520" s="7">
        <v>46174</v>
      </c>
      <c r="C1520" s="6" t="s">
        <v>2753</v>
      </c>
      <c r="D1520" s="6" t="s">
        <v>127</v>
      </c>
      <c r="E1520" s="6" t="s">
        <v>78</v>
      </c>
      <c r="F1520" s="6" t="s">
        <v>58</v>
      </c>
      <c r="G1520" s="6" t="s">
        <v>59</v>
      </c>
      <c r="H1520" s="6">
        <v>1</v>
      </c>
      <c r="I1520" s="6" t="s">
        <v>143</v>
      </c>
      <c r="J1520" s="6" t="s">
        <v>143</v>
      </c>
      <c r="K1520" s="6" t="s">
        <v>61</v>
      </c>
      <c r="L1520" s="6" t="s">
        <v>42</v>
      </c>
      <c r="M1520" s="6" t="s">
        <v>34</v>
      </c>
    </row>
    <row r="1521" spans="1:13">
      <c r="A1521" s="6" t="s">
        <v>2754</v>
      </c>
      <c r="B1521" s="7">
        <v>46093</v>
      </c>
      <c r="C1521" s="6" t="s">
        <v>2755</v>
      </c>
      <c r="D1521" s="6" t="s">
        <v>64</v>
      </c>
      <c r="E1521" s="6" t="s">
        <v>37</v>
      </c>
      <c r="F1521" s="6" t="s">
        <v>53</v>
      </c>
      <c r="G1521" s="6" t="s">
        <v>54</v>
      </c>
      <c r="H1521" s="6">
        <v>2</v>
      </c>
      <c r="I1521" s="6" t="s">
        <v>79</v>
      </c>
      <c r="J1521" s="6" t="s">
        <v>259</v>
      </c>
      <c r="K1521" s="6">
        <v>190</v>
      </c>
      <c r="L1521" s="6" t="s">
        <v>42</v>
      </c>
      <c r="M1521" s="6" t="s">
        <v>34</v>
      </c>
    </row>
    <row r="1522" spans="1:13">
      <c r="A1522" s="6" t="s">
        <v>2756</v>
      </c>
      <c r="B1522" s="7">
        <v>46106</v>
      </c>
      <c r="C1522" s="6" t="s">
        <v>444</v>
      </c>
      <c r="D1522" s="6" t="s">
        <v>127</v>
      </c>
      <c r="E1522" s="6" t="s">
        <v>46</v>
      </c>
      <c r="F1522" s="6" t="s">
        <v>85</v>
      </c>
      <c r="G1522" s="6" t="s">
        <v>86</v>
      </c>
      <c r="H1522" s="6">
        <v>1</v>
      </c>
      <c r="I1522" s="6" t="s">
        <v>31</v>
      </c>
      <c r="J1522" s="6" t="s">
        <v>31</v>
      </c>
      <c r="K1522" s="6">
        <v>410</v>
      </c>
      <c r="L1522" s="6" t="s">
        <v>42</v>
      </c>
      <c r="M1522" s="6" t="s">
        <v>34</v>
      </c>
    </row>
    <row r="1523" spans="1:13">
      <c r="A1523" s="6" t="s">
        <v>2757</v>
      </c>
      <c r="B1523" s="7">
        <v>46184</v>
      </c>
      <c r="C1523" s="6" t="s">
        <v>1213</v>
      </c>
      <c r="D1523" s="6" t="s">
        <v>72</v>
      </c>
      <c r="E1523" s="6" t="s">
        <v>52</v>
      </c>
      <c r="F1523" s="6" t="s">
        <v>29</v>
      </c>
      <c r="G1523" s="6" t="s">
        <v>30</v>
      </c>
      <c r="H1523" s="6">
        <v>2</v>
      </c>
      <c r="I1523" s="6" t="s">
        <v>96</v>
      </c>
      <c r="J1523" s="6" t="s">
        <v>278</v>
      </c>
      <c r="K1523" s="6" t="s">
        <v>41</v>
      </c>
      <c r="L1523" s="6" t="s">
        <v>42</v>
      </c>
      <c r="M1523" s="6" t="s">
        <v>69</v>
      </c>
    </row>
    <row r="1524" spans="1:13">
      <c r="A1524" s="6" t="s">
        <v>1862</v>
      </c>
      <c r="B1524" s="7">
        <v>46080</v>
      </c>
      <c r="C1524" s="6" t="s">
        <v>1863</v>
      </c>
      <c r="D1524" s="6" t="s">
        <v>45</v>
      </c>
      <c r="E1524" s="6" t="s">
        <v>78</v>
      </c>
      <c r="F1524" s="6" t="s">
        <v>53</v>
      </c>
      <c r="G1524" s="6" t="s">
        <v>54</v>
      </c>
      <c r="H1524" s="6">
        <v>1</v>
      </c>
      <c r="I1524" s="6" t="s">
        <v>90</v>
      </c>
      <c r="J1524" s="6" t="s">
        <v>90</v>
      </c>
      <c r="K1524" s="6">
        <v>190</v>
      </c>
      <c r="L1524" s="6" t="s">
        <v>42</v>
      </c>
      <c r="M1524" s="6" t="s">
        <v>34</v>
      </c>
    </row>
    <row r="1525" spans="1:13">
      <c r="A1525" s="6" t="s">
        <v>2758</v>
      </c>
      <c r="B1525" s="7">
        <v>46055</v>
      </c>
      <c r="C1525" s="6" t="s">
        <v>509</v>
      </c>
      <c r="D1525" s="6" t="s">
        <v>64</v>
      </c>
      <c r="E1525" s="6" t="s">
        <v>52</v>
      </c>
      <c r="F1525" s="6" t="s">
        <v>29</v>
      </c>
      <c r="G1525" s="6" t="s">
        <v>30</v>
      </c>
      <c r="H1525" s="6">
        <v>2</v>
      </c>
      <c r="I1525" s="6" t="s">
        <v>31</v>
      </c>
      <c r="J1525" s="6" t="s">
        <v>249</v>
      </c>
      <c r="K1525" s="6">
        <v>520</v>
      </c>
      <c r="L1525" s="6" t="s">
        <v>42</v>
      </c>
      <c r="M1525" s="6" t="s">
        <v>34</v>
      </c>
    </row>
    <row r="1526" spans="1:13">
      <c r="A1526" s="6" t="s">
        <v>2759</v>
      </c>
      <c r="B1526" s="7">
        <v>46184</v>
      </c>
      <c r="C1526" s="6" t="s">
        <v>1250</v>
      </c>
      <c r="D1526" s="6" t="s">
        <v>27</v>
      </c>
      <c r="E1526" s="6" t="s">
        <v>52</v>
      </c>
      <c r="F1526" s="6" t="s">
        <v>100</v>
      </c>
      <c r="G1526" s="6" t="s">
        <v>101</v>
      </c>
      <c r="H1526" s="6">
        <v>3</v>
      </c>
      <c r="I1526" s="6" t="s">
        <v>181</v>
      </c>
      <c r="J1526" s="6" t="s">
        <v>867</v>
      </c>
      <c r="K1526" s="6" t="s">
        <v>119</v>
      </c>
      <c r="L1526" s="6" t="s">
        <v>33</v>
      </c>
      <c r="M1526" s="6" t="s">
        <v>34</v>
      </c>
    </row>
    <row r="1527" spans="1:13">
      <c r="A1527" s="6" t="s">
        <v>2760</v>
      </c>
      <c r="B1527" s="7">
        <v>46032</v>
      </c>
      <c r="C1527" s="6" t="s">
        <v>1137</v>
      </c>
      <c r="D1527" s="6" t="s">
        <v>127</v>
      </c>
      <c r="E1527" s="6" t="s">
        <v>28</v>
      </c>
      <c r="F1527" s="6" t="s">
        <v>47</v>
      </c>
      <c r="G1527" s="6" t="s">
        <v>48</v>
      </c>
      <c r="H1527" s="6">
        <v>1</v>
      </c>
      <c r="I1527" s="6" t="s">
        <v>265</v>
      </c>
      <c r="J1527" s="6" t="s">
        <v>2761</v>
      </c>
      <c r="K1527" s="6">
        <v>85</v>
      </c>
      <c r="L1527" s="6" t="s">
        <v>42</v>
      </c>
      <c r="M1527" s="6" t="s">
        <v>34</v>
      </c>
    </row>
    <row r="1528" spans="1:13">
      <c r="A1528" s="6" t="s">
        <v>2762</v>
      </c>
      <c r="B1528" s="7">
        <v>46161</v>
      </c>
      <c r="C1528" s="6" t="s">
        <v>2763</v>
      </c>
      <c r="D1528" s="6" t="s">
        <v>127</v>
      </c>
      <c r="E1528" s="6" t="s">
        <v>78</v>
      </c>
      <c r="F1528" s="6" t="s">
        <v>47</v>
      </c>
      <c r="G1528" s="6" t="s">
        <v>48</v>
      </c>
      <c r="H1528" s="6">
        <v>2</v>
      </c>
      <c r="I1528" s="6" t="s">
        <v>31</v>
      </c>
      <c r="J1528" s="6" t="s">
        <v>249</v>
      </c>
      <c r="K1528" s="6" t="s">
        <v>49</v>
      </c>
      <c r="L1528" s="6" t="s">
        <v>33</v>
      </c>
      <c r="M1528" s="6" t="s">
        <v>69</v>
      </c>
    </row>
    <row r="1529" spans="1:13">
      <c r="A1529" s="6" t="s">
        <v>2764</v>
      </c>
      <c r="B1529" s="7">
        <v>46027</v>
      </c>
      <c r="C1529" s="6" t="s">
        <v>2765</v>
      </c>
      <c r="D1529" s="6" t="s">
        <v>57</v>
      </c>
      <c r="E1529" s="6" t="s">
        <v>52</v>
      </c>
      <c r="F1529" s="6" t="s">
        <v>53</v>
      </c>
      <c r="G1529" s="6" t="s">
        <v>54</v>
      </c>
      <c r="H1529" s="6">
        <v>1</v>
      </c>
      <c r="I1529" s="6" t="s">
        <v>40</v>
      </c>
      <c r="J1529" s="6" t="s">
        <v>40</v>
      </c>
      <c r="K1529" s="6" t="s">
        <v>122</v>
      </c>
      <c r="L1529" s="6" t="s">
        <v>42</v>
      </c>
      <c r="M1529" s="6" t="s">
        <v>34</v>
      </c>
    </row>
    <row r="1530" spans="1:13">
      <c r="A1530" s="6" t="s">
        <v>2766</v>
      </c>
      <c r="B1530" s="7">
        <v>46090</v>
      </c>
      <c r="C1530" s="6" t="s">
        <v>1357</v>
      </c>
      <c r="D1530" s="6" t="s">
        <v>45</v>
      </c>
      <c r="E1530" s="6" t="s">
        <v>52</v>
      </c>
      <c r="F1530" s="6" t="s">
        <v>100</v>
      </c>
      <c r="G1530" s="6" t="s">
        <v>101</v>
      </c>
      <c r="H1530" s="6">
        <v>3</v>
      </c>
      <c r="I1530" s="6" t="s">
        <v>40</v>
      </c>
      <c r="J1530" s="6" t="s">
        <v>2767</v>
      </c>
      <c r="K1530" s="6">
        <v>640</v>
      </c>
      <c r="L1530" s="6" t="s">
        <v>42</v>
      </c>
      <c r="M1530" s="6" t="s">
        <v>34</v>
      </c>
    </row>
    <row r="1531" spans="1:13">
      <c r="A1531" s="6" t="s">
        <v>2768</v>
      </c>
      <c r="B1531" s="7">
        <v>46028</v>
      </c>
      <c r="C1531" s="6" t="s">
        <v>2359</v>
      </c>
      <c r="D1531" s="6" t="s">
        <v>72</v>
      </c>
      <c r="E1531" s="6" t="s">
        <v>37</v>
      </c>
      <c r="F1531" s="6" t="s">
        <v>94</v>
      </c>
      <c r="G1531" s="6" t="s">
        <v>95</v>
      </c>
      <c r="H1531" s="6">
        <v>2</v>
      </c>
      <c r="I1531" s="6" t="s">
        <v>31</v>
      </c>
      <c r="J1531" s="6" t="s">
        <v>249</v>
      </c>
      <c r="K1531" s="6">
        <v>340</v>
      </c>
      <c r="L1531" s="6" t="s">
        <v>42</v>
      </c>
      <c r="M1531" s="6" t="s">
        <v>34</v>
      </c>
    </row>
    <row r="1532" spans="1:13">
      <c r="A1532" s="6" t="s">
        <v>2769</v>
      </c>
      <c r="B1532" s="7">
        <v>46094</v>
      </c>
      <c r="C1532" s="6" t="s">
        <v>2770</v>
      </c>
      <c r="D1532" s="6" t="s">
        <v>57</v>
      </c>
      <c r="E1532" s="6" t="s">
        <v>52</v>
      </c>
      <c r="F1532" s="6" t="s">
        <v>100</v>
      </c>
      <c r="G1532" s="6" t="s">
        <v>101</v>
      </c>
      <c r="H1532" s="6">
        <v>1</v>
      </c>
      <c r="I1532" s="6" t="s">
        <v>79</v>
      </c>
      <c r="J1532" s="6" t="s">
        <v>79</v>
      </c>
      <c r="K1532" s="6">
        <v>640</v>
      </c>
      <c r="L1532" s="6" t="s">
        <v>42</v>
      </c>
      <c r="M1532" s="6" t="s">
        <v>34</v>
      </c>
    </row>
    <row r="1533" spans="1:13">
      <c r="A1533" s="6" t="s">
        <v>2771</v>
      </c>
      <c r="B1533" s="7">
        <v>46054</v>
      </c>
      <c r="C1533" s="6" t="s">
        <v>1901</v>
      </c>
      <c r="D1533" s="6" t="s">
        <v>45</v>
      </c>
      <c r="E1533" s="6" t="s">
        <v>37</v>
      </c>
      <c r="F1533" s="6" t="s">
        <v>47</v>
      </c>
      <c r="G1533" s="6" t="s">
        <v>48</v>
      </c>
      <c r="H1533" s="6">
        <v>2</v>
      </c>
      <c r="I1533" s="6" t="s">
        <v>73</v>
      </c>
      <c r="J1533" s="6" t="s">
        <v>74</v>
      </c>
      <c r="K1533" s="6">
        <v>85</v>
      </c>
      <c r="L1533" s="6" t="s">
        <v>33</v>
      </c>
      <c r="M1533" s="6" t="s">
        <v>34</v>
      </c>
    </row>
    <row r="1534" spans="1:13">
      <c r="A1534" s="6" t="s">
        <v>2772</v>
      </c>
      <c r="B1534" s="7">
        <v>46159</v>
      </c>
      <c r="C1534" s="6" t="s">
        <v>2200</v>
      </c>
      <c r="D1534" s="6" t="s">
        <v>110</v>
      </c>
      <c r="E1534" s="6" t="s">
        <v>52</v>
      </c>
      <c r="F1534" s="6" t="s">
        <v>53</v>
      </c>
      <c r="G1534" s="6" t="s">
        <v>54</v>
      </c>
      <c r="H1534" s="6">
        <v>1</v>
      </c>
      <c r="I1534" s="6" t="s">
        <v>96</v>
      </c>
      <c r="J1534" s="6" t="s">
        <v>96</v>
      </c>
      <c r="K1534" s="6" t="s">
        <v>122</v>
      </c>
      <c r="L1534" s="6" t="s">
        <v>42</v>
      </c>
      <c r="M1534" s="6" t="s">
        <v>69</v>
      </c>
    </row>
    <row r="1535" spans="1:13">
      <c r="A1535" s="6" t="s">
        <v>2773</v>
      </c>
      <c r="B1535" s="7">
        <v>46191</v>
      </c>
      <c r="C1535" s="6" t="s">
        <v>2774</v>
      </c>
      <c r="D1535" s="6" t="s">
        <v>27</v>
      </c>
      <c r="E1535" s="6" t="s">
        <v>52</v>
      </c>
      <c r="F1535" s="6" t="s">
        <v>100</v>
      </c>
      <c r="G1535" s="6" t="s">
        <v>101</v>
      </c>
      <c r="H1535" s="6">
        <v>1</v>
      </c>
      <c r="I1535" s="6" t="s">
        <v>40</v>
      </c>
      <c r="J1535" s="6" t="s">
        <v>40</v>
      </c>
      <c r="K1535" s="6" t="s">
        <v>119</v>
      </c>
      <c r="L1535" s="6" t="s">
        <v>42</v>
      </c>
      <c r="M1535" s="6" t="s">
        <v>34</v>
      </c>
    </row>
    <row r="1536" spans="1:13">
      <c r="A1536" s="6" t="s">
        <v>2775</v>
      </c>
      <c r="B1536" s="7">
        <v>46148</v>
      </c>
      <c r="C1536" s="6" t="s">
        <v>855</v>
      </c>
      <c r="D1536" s="6" t="s">
        <v>64</v>
      </c>
      <c r="E1536" s="6" t="s">
        <v>28</v>
      </c>
      <c r="F1536" s="6" t="s">
        <v>85</v>
      </c>
      <c r="G1536" s="6" t="s">
        <v>86</v>
      </c>
      <c r="H1536" s="6">
        <v>3</v>
      </c>
      <c r="I1536" s="6" t="s">
        <v>79</v>
      </c>
      <c r="J1536" s="6" t="s">
        <v>216</v>
      </c>
      <c r="K1536" s="6" t="s">
        <v>87</v>
      </c>
      <c r="L1536" s="6" t="s">
        <v>42</v>
      </c>
      <c r="M1536" s="6" t="s">
        <v>34</v>
      </c>
    </row>
    <row r="1537" spans="1:13">
      <c r="A1537" s="6" t="s">
        <v>2776</v>
      </c>
      <c r="B1537" s="7">
        <v>46125</v>
      </c>
      <c r="C1537" s="6" t="s">
        <v>2061</v>
      </c>
      <c r="D1537" s="6" t="s">
        <v>105</v>
      </c>
      <c r="E1537" s="6" t="s">
        <v>46</v>
      </c>
      <c r="F1537" s="6" t="s">
        <v>47</v>
      </c>
      <c r="G1537" s="6" t="s">
        <v>48</v>
      </c>
      <c r="H1537" s="6">
        <v>2</v>
      </c>
      <c r="I1537" s="6" t="s">
        <v>265</v>
      </c>
      <c r="J1537" s="6" t="s">
        <v>167</v>
      </c>
      <c r="K1537" s="6">
        <v>85</v>
      </c>
      <c r="L1537" s="6" t="s">
        <v>33</v>
      </c>
      <c r="M1537" s="6" t="s">
        <v>34</v>
      </c>
    </row>
    <row r="1538" spans="1:13">
      <c r="A1538" s="6" t="s">
        <v>2777</v>
      </c>
      <c r="B1538" s="7">
        <v>46074</v>
      </c>
      <c r="C1538" s="6" t="s">
        <v>2778</v>
      </c>
      <c r="D1538" s="6" t="s">
        <v>72</v>
      </c>
      <c r="E1538" s="6" t="s">
        <v>52</v>
      </c>
      <c r="F1538" s="6" t="s">
        <v>47</v>
      </c>
      <c r="G1538" s="6" t="s">
        <v>48</v>
      </c>
      <c r="H1538" s="6">
        <v>1</v>
      </c>
      <c r="I1538" s="6" t="s">
        <v>231</v>
      </c>
      <c r="J1538" s="6" t="s">
        <v>231</v>
      </c>
      <c r="K1538" s="6">
        <v>85</v>
      </c>
      <c r="L1538" s="6" t="s">
        <v>42</v>
      </c>
      <c r="M1538" s="6" t="s">
        <v>34</v>
      </c>
    </row>
    <row r="1539" spans="1:13">
      <c r="A1539" s="6" t="s">
        <v>2779</v>
      </c>
      <c r="B1539" s="7">
        <v>46187</v>
      </c>
      <c r="C1539" s="6" t="s">
        <v>2780</v>
      </c>
      <c r="D1539" s="6" t="s">
        <v>127</v>
      </c>
      <c r="E1539" s="6" t="s">
        <v>46</v>
      </c>
      <c r="F1539" s="6" t="s">
        <v>47</v>
      </c>
      <c r="G1539" s="6" t="s">
        <v>48</v>
      </c>
      <c r="H1539" s="6">
        <v>2</v>
      </c>
      <c r="I1539" s="6" t="s">
        <v>181</v>
      </c>
      <c r="J1539" s="6" t="s">
        <v>163</v>
      </c>
      <c r="K1539" s="6" t="s">
        <v>49</v>
      </c>
      <c r="L1539" s="6" t="s">
        <v>42</v>
      </c>
      <c r="M1539" s="6" t="s">
        <v>34</v>
      </c>
    </row>
    <row r="1540" spans="1:13">
      <c r="A1540" s="6" t="s">
        <v>2781</v>
      </c>
      <c r="B1540" s="7">
        <v>46146</v>
      </c>
      <c r="C1540" s="6" t="s">
        <v>2782</v>
      </c>
      <c r="D1540" s="6" t="s">
        <v>72</v>
      </c>
      <c r="E1540" s="6" t="s">
        <v>37</v>
      </c>
      <c r="F1540" s="6" t="s">
        <v>100</v>
      </c>
      <c r="G1540" s="6" t="s">
        <v>101</v>
      </c>
      <c r="H1540" s="6">
        <v>2</v>
      </c>
      <c r="I1540" s="6" t="s">
        <v>277</v>
      </c>
      <c r="J1540" s="6" t="s">
        <v>278</v>
      </c>
      <c r="K1540" s="6" t="s">
        <v>119</v>
      </c>
      <c r="L1540" s="6" t="s">
        <v>42</v>
      </c>
      <c r="M1540" s="6" t="s">
        <v>34</v>
      </c>
    </row>
    <row r="1541" spans="1:13">
      <c r="A1541" s="6" t="s">
        <v>2783</v>
      </c>
      <c r="B1541" s="7">
        <v>46187</v>
      </c>
      <c r="C1541" s="6" t="s">
        <v>2784</v>
      </c>
      <c r="D1541" s="6" t="s">
        <v>45</v>
      </c>
      <c r="E1541" s="6" t="s">
        <v>78</v>
      </c>
      <c r="F1541" s="6" t="s">
        <v>53</v>
      </c>
      <c r="G1541" s="6" t="s">
        <v>54</v>
      </c>
      <c r="H1541" s="6">
        <v>-1</v>
      </c>
      <c r="I1541" s="6" t="s">
        <v>203</v>
      </c>
      <c r="J1541" s="8" t="s">
        <v>1749</v>
      </c>
      <c r="K1541" s="6" t="s">
        <v>122</v>
      </c>
      <c r="L1541" s="6" t="s">
        <v>33</v>
      </c>
      <c r="M1541" s="6" t="s">
        <v>34</v>
      </c>
    </row>
    <row r="1542" spans="1:13">
      <c r="A1542" s="6" t="s">
        <v>2785</v>
      </c>
      <c r="B1542" s="7">
        <v>46162</v>
      </c>
      <c r="C1542" s="6" t="s">
        <v>1744</v>
      </c>
      <c r="D1542" s="6" t="s">
        <v>57</v>
      </c>
      <c r="E1542" s="6" t="s">
        <v>37</v>
      </c>
      <c r="F1542" s="6" t="s">
        <v>100</v>
      </c>
      <c r="G1542" s="6" t="s">
        <v>101</v>
      </c>
      <c r="H1542" s="6">
        <v>1</v>
      </c>
      <c r="I1542" s="6" t="s">
        <v>90</v>
      </c>
      <c r="J1542" s="6" t="s">
        <v>90</v>
      </c>
      <c r="K1542" s="6" t="s">
        <v>119</v>
      </c>
      <c r="L1542" s="6" t="s">
        <v>33</v>
      </c>
      <c r="M1542" s="6" t="s">
        <v>34</v>
      </c>
    </row>
    <row r="1543" spans="1:13">
      <c r="A1543" s="6" t="s">
        <v>2786</v>
      </c>
      <c r="B1543" s="7">
        <v>46076</v>
      </c>
      <c r="C1543" s="6" t="s">
        <v>1426</v>
      </c>
      <c r="D1543" s="6" t="s">
        <v>72</v>
      </c>
      <c r="E1543" s="6" t="s">
        <v>78</v>
      </c>
      <c r="F1543" s="6" t="s">
        <v>100</v>
      </c>
      <c r="G1543" s="6" t="s">
        <v>101</v>
      </c>
      <c r="H1543" s="6">
        <v>2</v>
      </c>
      <c r="I1543" s="6" t="s">
        <v>82</v>
      </c>
      <c r="J1543" s="6" t="s">
        <v>297</v>
      </c>
      <c r="K1543" s="6">
        <v>640</v>
      </c>
      <c r="L1543" s="6" t="s">
        <v>42</v>
      </c>
      <c r="M1543" s="6" t="s">
        <v>34</v>
      </c>
    </row>
    <row r="1544" spans="1:13">
      <c r="A1544" s="6" t="s">
        <v>2787</v>
      </c>
      <c r="B1544" s="7">
        <v>46060</v>
      </c>
      <c r="C1544" s="6" t="s">
        <v>2788</v>
      </c>
      <c r="D1544" s="6" t="s">
        <v>105</v>
      </c>
      <c r="E1544" s="6" t="s">
        <v>46</v>
      </c>
      <c r="F1544" s="6" t="s">
        <v>85</v>
      </c>
      <c r="G1544" s="6" t="s">
        <v>86</v>
      </c>
      <c r="H1544" s="6">
        <v>1</v>
      </c>
      <c r="I1544" s="6" t="s">
        <v>151</v>
      </c>
      <c r="J1544" s="6" t="s">
        <v>31</v>
      </c>
      <c r="K1544" s="6">
        <v>410</v>
      </c>
      <c r="L1544" s="6" t="s">
        <v>42</v>
      </c>
      <c r="M1544" s="6" t="s">
        <v>34</v>
      </c>
    </row>
    <row r="1545" spans="1:13">
      <c r="A1545" s="6" t="s">
        <v>2789</v>
      </c>
      <c r="B1545" s="7">
        <v>46239</v>
      </c>
      <c r="C1545" s="6" t="s">
        <v>2790</v>
      </c>
      <c r="D1545" s="6" t="s">
        <v>127</v>
      </c>
      <c r="E1545" s="6" t="s">
        <v>28</v>
      </c>
      <c r="F1545" s="6" t="s">
        <v>58</v>
      </c>
      <c r="G1545" s="6" t="s">
        <v>59</v>
      </c>
      <c r="H1545" s="6">
        <v>1</v>
      </c>
      <c r="I1545" s="6" t="s">
        <v>143</v>
      </c>
      <c r="J1545" s="6" t="s">
        <v>143</v>
      </c>
      <c r="K1545" s="6" t="s">
        <v>61</v>
      </c>
      <c r="L1545" s="6" t="s">
        <v>42</v>
      </c>
      <c r="M1545" s="6" t="s">
        <v>34</v>
      </c>
    </row>
    <row r="1546" spans="1:13">
      <c r="A1546" s="6" t="s">
        <v>2791</v>
      </c>
      <c r="B1546" s="7">
        <v>46045</v>
      </c>
      <c r="C1546" s="6" t="s">
        <v>2463</v>
      </c>
      <c r="D1546" s="6" t="s">
        <v>72</v>
      </c>
      <c r="E1546" s="6" t="s">
        <v>52</v>
      </c>
      <c r="F1546" s="6" t="s">
        <v>47</v>
      </c>
      <c r="G1546" s="6" t="s">
        <v>48</v>
      </c>
      <c r="H1546" s="6">
        <v>2</v>
      </c>
      <c r="I1546" s="6" t="s">
        <v>82</v>
      </c>
      <c r="J1546" s="6" t="s">
        <v>297</v>
      </c>
      <c r="K1546" s="6">
        <v>85</v>
      </c>
      <c r="L1546" s="6" t="s">
        <v>33</v>
      </c>
      <c r="M1546" s="6" t="s">
        <v>34</v>
      </c>
    </row>
    <row r="1547" spans="1:13">
      <c r="A1547" s="6" t="s">
        <v>2792</v>
      </c>
      <c r="B1547" s="7">
        <v>46297</v>
      </c>
      <c r="C1547" s="6" t="s">
        <v>2793</v>
      </c>
      <c r="D1547" s="6" t="s">
        <v>105</v>
      </c>
      <c r="E1547" s="6" t="s">
        <v>78</v>
      </c>
      <c r="F1547" s="6" t="s">
        <v>29</v>
      </c>
      <c r="G1547" s="6" t="s">
        <v>30</v>
      </c>
      <c r="H1547" s="6">
        <v>1</v>
      </c>
      <c r="I1547" s="6" t="s">
        <v>90</v>
      </c>
      <c r="J1547" s="6" t="s">
        <v>90</v>
      </c>
      <c r="K1547" s="6">
        <v>520</v>
      </c>
      <c r="L1547" s="6" t="s">
        <v>42</v>
      </c>
      <c r="M1547" s="6" t="s">
        <v>34</v>
      </c>
    </row>
    <row r="1548" spans="1:13">
      <c r="A1548" s="6" t="s">
        <v>2679</v>
      </c>
      <c r="B1548" s="7">
        <v>46096</v>
      </c>
      <c r="C1548" s="6" t="s">
        <v>2520</v>
      </c>
      <c r="D1548" s="6" t="s">
        <v>27</v>
      </c>
      <c r="E1548" s="6" t="s">
        <v>46</v>
      </c>
      <c r="F1548" s="6" t="s">
        <v>53</v>
      </c>
      <c r="G1548" s="6" t="s">
        <v>54</v>
      </c>
      <c r="H1548" s="6">
        <v>1</v>
      </c>
      <c r="I1548" s="6" t="s">
        <v>265</v>
      </c>
      <c r="J1548" s="6" t="s">
        <v>265</v>
      </c>
      <c r="K1548" s="6">
        <v>190</v>
      </c>
      <c r="L1548" s="6" t="s">
        <v>42</v>
      </c>
      <c r="M1548" s="6" t="s">
        <v>34</v>
      </c>
    </row>
    <row r="1549" spans="1:13">
      <c r="A1549" s="6" t="s">
        <v>2794</v>
      </c>
      <c r="B1549" s="7">
        <v>46197</v>
      </c>
      <c r="C1549" s="6" t="s">
        <v>2795</v>
      </c>
      <c r="D1549" s="6" t="s">
        <v>127</v>
      </c>
      <c r="E1549" s="6" t="s">
        <v>78</v>
      </c>
      <c r="F1549" s="6" t="s">
        <v>47</v>
      </c>
      <c r="G1549" s="6" t="s">
        <v>48</v>
      </c>
      <c r="H1549" s="6">
        <v>1</v>
      </c>
      <c r="I1549" s="6" t="s">
        <v>31</v>
      </c>
      <c r="J1549" s="6" t="s">
        <v>31</v>
      </c>
      <c r="K1549" s="6" t="s">
        <v>49</v>
      </c>
      <c r="L1549" s="6" t="s">
        <v>42</v>
      </c>
      <c r="M1549" s="6" t="s">
        <v>34</v>
      </c>
    </row>
    <row r="1550" spans="1:13">
      <c r="A1550" s="6" t="s">
        <v>2796</v>
      </c>
      <c r="B1550" s="7">
        <v>46127</v>
      </c>
      <c r="C1550" s="6" t="s">
        <v>2797</v>
      </c>
      <c r="D1550" s="6" t="s">
        <v>72</v>
      </c>
      <c r="E1550" s="6" t="s">
        <v>46</v>
      </c>
      <c r="F1550" s="6" t="s">
        <v>94</v>
      </c>
      <c r="G1550" s="6" t="s">
        <v>95</v>
      </c>
      <c r="H1550" s="6">
        <v>3</v>
      </c>
      <c r="I1550" s="6" t="s">
        <v>82</v>
      </c>
      <c r="J1550" s="6" t="s">
        <v>390</v>
      </c>
      <c r="K1550" s="6">
        <v>340</v>
      </c>
      <c r="L1550" s="6" t="s">
        <v>42</v>
      </c>
      <c r="M1550" s="6" t="s">
        <v>69</v>
      </c>
    </row>
    <row r="1551" spans="1:13">
      <c r="A1551" s="6" t="s">
        <v>2798</v>
      </c>
      <c r="B1551" s="7">
        <v>46084</v>
      </c>
      <c r="C1551" s="6" t="s">
        <v>1007</v>
      </c>
      <c r="D1551" s="6" t="s">
        <v>127</v>
      </c>
      <c r="E1551" s="6" t="s">
        <v>37</v>
      </c>
      <c r="F1551" s="6" t="s">
        <v>94</v>
      </c>
      <c r="G1551" s="6" t="s">
        <v>95</v>
      </c>
      <c r="H1551" s="6">
        <v>1</v>
      </c>
      <c r="I1551" s="6" t="s">
        <v>143</v>
      </c>
      <c r="J1551" s="6" t="s">
        <v>143</v>
      </c>
      <c r="K1551" s="6">
        <v>340</v>
      </c>
      <c r="L1551" s="6" t="s">
        <v>33</v>
      </c>
      <c r="M1551" s="6" t="s">
        <v>69</v>
      </c>
    </row>
    <row r="1552" spans="1:13">
      <c r="A1552" s="6" t="s">
        <v>2799</v>
      </c>
      <c r="B1552" s="7">
        <v>46180</v>
      </c>
      <c r="C1552" s="6" t="s">
        <v>873</v>
      </c>
      <c r="D1552" s="6" t="s">
        <v>27</v>
      </c>
      <c r="E1552" s="6" t="s">
        <v>37</v>
      </c>
      <c r="F1552" s="6" t="s">
        <v>94</v>
      </c>
      <c r="G1552" s="6" t="s">
        <v>95</v>
      </c>
      <c r="H1552" s="6">
        <v>1</v>
      </c>
      <c r="I1552" s="6" t="s">
        <v>113</v>
      </c>
      <c r="J1552" s="6" t="s">
        <v>113</v>
      </c>
      <c r="K1552" s="6" t="s">
        <v>114</v>
      </c>
      <c r="L1552" s="6" t="s">
        <v>33</v>
      </c>
      <c r="M1552" s="6" t="s">
        <v>69</v>
      </c>
    </row>
    <row r="1553" spans="1:13">
      <c r="A1553" s="6" t="s">
        <v>2800</v>
      </c>
      <c r="B1553" s="7">
        <v>46031</v>
      </c>
      <c r="C1553" s="6" t="s">
        <v>1179</v>
      </c>
      <c r="D1553" s="6" t="s">
        <v>110</v>
      </c>
      <c r="E1553" s="6" t="s">
        <v>46</v>
      </c>
      <c r="F1553" s="6" t="s">
        <v>94</v>
      </c>
      <c r="G1553" s="6" t="s">
        <v>95</v>
      </c>
      <c r="H1553" s="6">
        <v>2</v>
      </c>
      <c r="I1553" s="6" t="s">
        <v>231</v>
      </c>
      <c r="J1553" s="6" t="s">
        <v>232</v>
      </c>
      <c r="K1553" s="6">
        <v>340</v>
      </c>
      <c r="L1553" s="6" t="s">
        <v>42</v>
      </c>
      <c r="M1553" s="6" t="s">
        <v>69</v>
      </c>
    </row>
    <row r="1554" spans="1:13">
      <c r="A1554" s="6" t="s">
        <v>2801</v>
      </c>
      <c r="B1554" s="7">
        <v>46051</v>
      </c>
      <c r="C1554" s="6" t="s">
        <v>2802</v>
      </c>
      <c r="D1554" s="6" t="s">
        <v>72</v>
      </c>
      <c r="E1554" s="6" t="s">
        <v>52</v>
      </c>
      <c r="F1554" s="6" t="s">
        <v>100</v>
      </c>
      <c r="G1554" s="6" t="s">
        <v>101</v>
      </c>
      <c r="H1554" s="6">
        <v>3</v>
      </c>
      <c r="I1554" s="6" t="s">
        <v>373</v>
      </c>
      <c r="J1554" s="6" t="s">
        <v>216</v>
      </c>
      <c r="K1554" s="6">
        <v>640</v>
      </c>
      <c r="L1554" s="6" t="s">
        <v>33</v>
      </c>
      <c r="M1554" s="6" t="s">
        <v>34</v>
      </c>
    </row>
    <row r="1555" spans="1:13">
      <c r="A1555" s="6" t="s">
        <v>2803</v>
      </c>
      <c r="B1555" s="7">
        <v>46206</v>
      </c>
      <c r="C1555" s="6" t="s">
        <v>2804</v>
      </c>
      <c r="D1555" s="6" t="s">
        <v>105</v>
      </c>
      <c r="E1555" s="6" t="s">
        <v>37</v>
      </c>
      <c r="F1555" s="6" t="s">
        <v>53</v>
      </c>
      <c r="G1555" s="6" t="s">
        <v>54</v>
      </c>
      <c r="H1555" s="6">
        <v>1</v>
      </c>
      <c r="I1555" s="6" t="s">
        <v>113</v>
      </c>
      <c r="J1555" s="6" t="s">
        <v>113</v>
      </c>
      <c r="K1555" s="6">
        <v>190</v>
      </c>
      <c r="L1555" s="6" t="s">
        <v>33</v>
      </c>
      <c r="M1555" s="6" t="s">
        <v>69</v>
      </c>
    </row>
    <row r="1556" spans="1:13">
      <c r="A1556" s="6" t="s">
        <v>2805</v>
      </c>
      <c r="B1556" s="7">
        <v>46054</v>
      </c>
      <c r="C1556" s="6" t="s">
        <v>1697</v>
      </c>
      <c r="D1556" s="6" t="s">
        <v>64</v>
      </c>
      <c r="E1556" s="6" t="s">
        <v>37</v>
      </c>
      <c r="F1556" s="6" t="s">
        <v>85</v>
      </c>
      <c r="G1556" s="6" t="s">
        <v>86</v>
      </c>
      <c r="H1556" s="6">
        <v>2</v>
      </c>
      <c r="I1556" s="6" t="s">
        <v>73</v>
      </c>
      <c r="J1556" s="6" t="s">
        <v>74</v>
      </c>
      <c r="K1556" s="6">
        <v>410</v>
      </c>
      <c r="L1556" s="6" t="s">
        <v>42</v>
      </c>
      <c r="M1556" s="6" t="s">
        <v>34</v>
      </c>
    </row>
    <row r="1557" spans="1:13">
      <c r="A1557" s="6" t="s">
        <v>2806</v>
      </c>
      <c r="B1557" s="6" t="s">
        <v>2807</v>
      </c>
      <c r="C1557" s="6" t="s">
        <v>2004</v>
      </c>
      <c r="D1557" s="6" t="s">
        <v>57</v>
      </c>
      <c r="E1557" s="6" t="s">
        <v>28</v>
      </c>
      <c r="F1557" s="6" t="s">
        <v>85</v>
      </c>
      <c r="G1557" s="6" t="s">
        <v>86</v>
      </c>
      <c r="H1557" s="6">
        <v>1</v>
      </c>
      <c r="I1557" s="6" t="s">
        <v>82</v>
      </c>
      <c r="J1557" s="6" t="s">
        <v>82</v>
      </c>
      <c r="K1557" s="6" t="s">
        <v>87</v>
      </c>
      <c r="L1557" s="6" t="s">
        <v>33</v>
      </c>
      <c r="M1557" s="6" t="s">
        <v>34</v>
      </c>
    </row>
    <row r="1558" spans="1:13">
      <c r="A1558" s="6" t="s">
        <v>2808</v>
      </c>
      <c r="B1558" s="7">
        <v>46124</v>
      </c>
      <c r="C1558" s="6" t="s">
        <v>2809</v>
      </c>
      <c r="D1558" s="6" t="s">
        <v>127</v>
      </c>
      <c r="E1558" s="6" t="s">
        <v>52</v>
      </c>
      <c r="F1558" s="6" t="s">
        <v>53</v>
      </c>
      <c r="G1558" s="6" t="s">
        <v>54</v>
      </c>
      <c r="H1558" s="6">
        <v>2</v>
      </c>
      <c r="I1558" s="6" t="s">
        <v>265</v>
      </c>
      <c r="J1558" s="6" t="s">
        <v>167</v>
      </c>
      <c r="K1558" s="6">
        <v>190</v>
      </c>
      <c r="L1558" s="6" t="s">
        <v>42</v>
      </c>
      <c r="M1558" s="6" t="s">
        <v>34</v>
      </c>
    </row>
    <row r="1559" spans="1:13">
      <c r="A1559" s="6" t="s">
        <v>2810</v>
      </c>
      <c r="B1559" s="7">
        <v>46177</v>
      </c>
      <c r="C1559" s="6" t="s">
        <v>2811</v>
      </c>
      <c r="D1559" s="6" t="s">
        <v>72</v>
      </c>
      <c r="E1559" s="6" t="s">
        <v>52</v>
      </c>
      <c r="F1559" s="6" t="s">
        <v>47</v>
      </c>
      <c r="G1559" s="6" t="s">
        <v>48</v>
      </c>
      <c r="H1559" s="6">
        <v>2</v>
      </c>
      <c r="I1559" s="6" t="s">
        <v>181</v>
      </c>
      <c r="J1559" s="6" t="s">
        <v>163</v>
      </c>
      <c r="K1559" s="6" t="s">
        <v>49</v>
      </c>
      <c r="L1559" s="6" t="s">
        <v>42</v>
      </c>
      <c r="M1559" s="6" t="s">
        <v>34</v>
      </c>
    </row>
    <row r="1560" spans="1:13">
      <c r="A1560" s="6" t="s">
        <v>2812</v>
      </c>
      <c r="B1560" s="7">
        <v>46136</v>
      </c>
      <c r="C1560" s="6" t="s">
        <v>845</v>
      </c>
      <c r="D1560" s="6" t="s">
        <v>72</v>
      </c>
      <c r="E1560" s="6" t="s">
        <v>78</v>
      </c>
      <c r="F1560" s="6" t="s">
        <v>85</v>
      </c>
      <c r="G1560" s="6" t="s">
        <v>86</v>
      </c>
      <c r="H1560" s="6">
        <v>1</v>
      </c>
      <c r="I1560" s="6" t="s">
        <v>90</v>
      </c>
      <c r="J1560" s="6" t="s">
        <v>90</v>
      </c>
      <c r="K1560" s="6" t="s">
        <v>87</v>
      </c>
      <c r="L1560" s="6" t="s">
        <v>42</v>
      </c>
      <c r="M1560" s="6" t="s">
        <v>69</v>
      </c>
    </row>
    <row r="1561" spans="1:13">
      <c r="A1561" s="6" t="s">
        <v>2813</v>
      </c>
      <c r="B1561" s="7">
        <v>46155</v>
      </c>
      <c r="C1561" s="6" t="s">
        <v>1098</v>
      </c>
      <c r="D1561" s="6" t="s">
        <v>127</v>
      </c>
      <c r="E1561" s="6" t="s">
        <v>37</v>
      </c>
      <c r="F1561" s="6" t="s">
        <v>38</v>
      </c>
      <c r="G1561" s="6" t="s">
        <v>39</v>
      </c>
      <c r="H1561" s="6">
        <v>1</v>
      </c>
      <c r="I1561" s="6" t="s">
        <v>90</v>
      </c>
      <c r="J1561" s="6" t="s">
        <v>90</v>
      </c>
      <c r="K1561" s="6" t="s">
        <v>41</v>
      </c>
      <c r="L1561" s="6" t="s">
        <v>42</v>
      </c>
      <c r="M1561" s="6" t="s">
        <v>69</v>
      </c>
    </row>
    <row r="1562" spans="1:13">
      <c r="A1562" s="6" t="s">
        <v>2814</v>
      </c>
      <c r="B1562" s="7">
        <v>46157</v>
      </c>
      <c r="C1562" s="6" t="s">
        <v>2815</v>
      </c>
      <c r="D1562" s="6" t="s">
        <v>77</v>
      </c>
      <c r="E1562" s="6" t="s">
        <v>52</v>
      </c>
      <c r="F1562" s="6" t="s">
        <v>100</v>
      </c>
      <c r="G1562" s="6" t="s">
        <v>101</v>
      </c>
      <c r="H1562" s="6">
        <v>1</v>
      </c>
      <c r="I1562" s="6" t="s">
        <v>231</v>
      </c>
      <c r="J1562" s="6" t="s">
        <v>231</v>
      </c>
      <c r="K1562" s="6" t="s">
        <v>119</v>
      </c>
      <c r="L1562" s="6" t="s">
        <v>33</v>
      </c>
      <c r="M1562" s="6" t="s">
        <v>34</v>
      </c>
    </row>
    <row r="1563" spans="1:13">
      <c r="A1563" s="6" t="s">
        <v>2816</v>
      </c>
      <c r="B1563" s="7">
        <v>46125</v>
      </c>
      <c r="C1563" s="6" t="s">
        <v>2817</v>
      </c>
      <c r="D1563" s="6" t="s">
        <v>64</v>
      </c>
      <c r="E1563" s="6" t="s">
        <v>46</v>
      </c>
      <c r="F1563" s="6" t="s">
        <v>85</v>
      </c>
      <c r="G1563" s="6" t="s">
        <v>86</v>
      </c>
      <c r="H1563" s="6">
        <v>2</v>
      </c>
      <c r="I1563" s="6" t="s">
        <v>143</v>
      </c>
      <c r="J1563" s="6" t="s">
        <v>144</v>
      </c>
      <c r="K1563" s="6">
        <v>410</v>
      </c>
      <c r="L1563" s="6" t="s">
        <v>42</v>
      </c>
      <c r="M1563" s="6" t="s">
        <v>69</v>
      </c>
    </row>
    <row r="1564" spans="1:13">
      <c r="A1564" s="6" t="s">
        <v>2818</v>
      </c>
      <c r="B1564" s="7">
        <v>46106</v>
      </c>
      <c r="C1564" s="6" t="s">
        <v>1286</v>
      </c>
      <c r="D1564" s="6" t="s">
        <v>127</v>
      </c>
      <c r="E1564" s="6" t="s">
        <v>52</v>
      </c>
      <c r="F1564" s="6" t="s">
        <v>53</v>
      </c>
      <c r="G1564" s="6" t="s">
        <v>54</v>
      </c>
      <c r="H1564" s="6">
        <v>2</v>
      </c>
      <c r="I1564" s="6" t="s">
        <v>113</v>
      </c>
      <c r="J1564" s="6" t="s">
        <v>192</v>
      </c>
      <c r="K1564" s="6">
        <v>190</v>
      </c>
      <c r="L1564" s="6" t="s">
        <v>42</v>
      </c>
      <c r="M1564" s="6" t="s">
        <v>69</v>
      </c>
    </row>
    <row r="1565" spans="1:13">
      <c r="A1565" s="6" t="s">
        <v>2819</v>
      </c>
      <c r="B1565" s="7">
        <v>46125</v>
      </c>
      <c r="C1565" s="6" t="s">
        <v>2820</v>
      </c>
      <c r="D1565" s="6" t="s">
        <v>45</v>
      </c>
      <c r="E1565" s="6" t="s">
        <v>37</v>
      </c>
      <c r="F1565" s="6" t="s">
        <v>85</v>
      </c>
      <c r="G1565" s="6" t="s">
        <v>86</v>
      </c>
      <c r="H1565" s="6">
        <v>2</v>
      </c>
      <c r="I1565" s="6" t="s">
        <v>147</v>
      </c>
      <c r="J1565" s="6" t="s">
        <v>175</v>
      </c>
      <c r="K1565" s="6">
        <v>410</v>
      </c>
      <c r="L1565" s="6" t="s">
        <v>42</v>
      </c>
      <c r="M1565" s="6" t="s">
        <v>34</v>
      </c>
    </row>
    <row r="1566" spans="1:13">
      <c r="A1566" s="6" t="s">
        <v>2821</v>
      </c>
      <c r="B1566" s="7">
        <v>46124</v>
      </c>
      <c r="C1566" s="6" t="s">
        <v>2822</v>
      </c>
      <c r="D1566" s="6" t="s">
        <v>72</v>
      </c>
      <c r="E1566" s="6" t="s">
        <v>37</v>
      </c>
      <c r="F1566" s="6" t="s">
        <v>29</v>
      </c>
      <c r="G1566" s="6" t="s">
        <v>30</v>
      </c>
      <c r="H1566" s="6">
        <v>1</v>
      </c>
      <c r="I1566" s="6" t="s">
        <v>2626</v>
      </c>
      <c r="J1566" s="6" t="s">
        <v>82</v>
      </c>
      <c r="K1566" s="6">
        <v>520</v>
      </c>
      <c r="L1566" s="6" t="s">
        <v>42</v>
      </c>
      <c r="M1566" s="6" t="s">
        <v>34</v>
      </c>
    </row>
    <row r="1567" spans="1:13">
      <c r="A1567" s="6" t="s">
        <v>2823</v>
      </c>
      <c r="B1567" s="7">
        <v>46044</v>
      </c>
      <c r="C1567" s="6" t="s">
        <v>2824</v>
      </c>
      <c r="D1567" s="6" t="s">
        <v>45</v>
      </c>
      <c r="E1567" s="6" t="s">
        <v>52</v>
      </c>
      <c r="F1567" s="6" t="s">
        <v>47</v>
      </c>
      <c r="G1567" s="6" t="s">
        <v>48</v>
      </c>
      <c r="H1567" s="6">
        <v>2</v>
      </c>
      <c r="I1567" s="6" t="s">
        <v>1224</v>
      </c>
      <c r="J1567" s="6" t="s">
        <v>118</v>
      </c>
      <c r="K1567" s="6">
        <v>85</v>
      </c>
      <c r="L1567" s="6" t="s">
        <v>42</v>
      </c>
      <c r="M1567" s="6" t="s">
        <v>69</v>
      </c>
    </row>
    <row r="1568" spans="1:13">
      <c r="A1568" s="6" t="s">
        <v>2825</v>
      </c>
      <c r="B1568" s="7">
        <v>46051</v>
      </c>
      <c r="C1568" s="6" t="s">
        <v>1252</v>
      </c>
      <c r="D1568" s="6" t="s">
        <v>72</v>
      </c>
      <c r="E1568" s="6" t="s">
        <v>46</v>
      </c>
      <c r="F1568" s="6" t="s">
        <v>94</v>
      </c>
      <c r="G1568" s="6" t="s">
        <v>95</v>
      </c>
      <c r="H1568" s="6">
        <v>3</v>
      </c>
      <c r="I1568" s="6" t="s">
        <v>231</v>
      </c>
      <c r="J1568" s="6" t="s">
        <v>505</v>
      </c>
      <c r="K1568" s="6">
        <v>340</v>
      </c>
      <c r="L1568" s="6" t="s">
        <v>33</v>
      </c>
      <c r="M1568" s="6" t="s">
        <v>34</v>
      </c>
    </row>
    <row r="1569" spans="1:13">
      <c r="A1569" s="6" t="s">
        <v>2826</v>
      </c>
      <c r="B1569" s="7">
        <v>46109</v>
      </c>
      <c r="C1569" s="6" t="s">
        <v>1839</v>
      </c>
      <c r="D1569" s="6" t="s">
        <v>57</v>
      </c>
      <c r="E1569" s="6" t="s">
        <v>52</v>
      </c>
      <c r="F1569" s="6" t="s">
        <v>85</v>
      </c>
      <c r="G1569" s="6" t="s">
        <v>86</v>
      </c>
      <c r="H1569" s="6">
        <v>2</v>
      </c>
      <c r="I1569" s="6" t="s">
        <v>113</v>
      </c>
      <c r="J1569" s="6" t="s">
        <v>2827</v>
      </c>
      <c r="K1569" s="6">
        <v>410</v>
      </c>
      <c r="L1569" s="6" t="s">
        <v>42</v>
      </c>
      <c r="M1569" s="6" t="s">
        <v>34</v>
      </c>
    </row>
    <row r="1570" spans="1:13">
      <c r="A1570" s="6" t="s">
        <v>2828</v>
      </c>
      <c r="B1570" s="7">
        <v>46164</v>
      </c>
      <c r="C1570" s="6" t="s">
        <v>2829</v>
      </c>
      <c r="D1570" s="6" t="s">
        <v>127</v>
      </c>
      <c r="E1570" s="6" t="s">
        <v>78</v>
      </c>
      <c r="F1570" s="6" t="s">
        <v>94</v>
      </c>
      <c r="G1570" s="6" t="s">
        <v>95</v>
      </c>
      <c r="H1570" s="6">
        <v>2</v>
      </c>
      <c r="I1570" s="6" t="s">
        <v>117</v>
      </c>
      <c r="J1570" s="6" t="s">
        <v>118</v>
      </c>
      <c r="K1570" s="6" t="s">
        <v>114</v>
      </c>
      <c r="L1570" s="6" t="s">
        <v>42</v>
      </c>
      <c r="M1570" s="6" t="s">
        <v>34</v>
      </c>
    </row>
    <row r="1571" spans="1:13">
      <c r="A1571" s="6" t="s">
        <v>2830</v>
      </c>
      <c r="B1571" s="7">
        <v>46150</v>
      </c>
      <c r="C1571" s="6" t="s">
        <v>578</v>
      </c>
      <c r="D1571" s="6" t="s">
        <v>64</v>
      </c>
      <c r="E1571" s="6" t="s">
        <v>78</v>
      </c>
      <c r="F1571" s="6" t="s">
        <v>53</v>
      </c>
      <c r="G1571" s="6" t="s">
        <v>54</v>
      </c>
      <c r="H1571" s="6">
        <v>2</v>
      </c>
      <c r="I1571" s="6" t="s">
        <v>265</v>
      </c>
      <c r="J1571" s="6" t="s">
        <v>167</v>
      </c>
      <c r="K1571" s="6" t="s">
        <v>122</v>
      </c>
      <c r="L1571" s="6" t="s">
        <v>42</v>
      </c>
      <c r="M1571" s="6" t="s">
        <v>34</v>
      </c>
    </row>
    <row r="1572" spans="1:13">
      <c r="A1572" s="6" t="s">
        <v>2831</v>
      </c>
      <c r="B1572" s="7">
        <v>46157</v>
      </c>
      <c r="C1572" s="6" t="s">
        <v>552</v>
      </c>
      <c r="D1572" s="6" t="s">
        <v>77</v>
      </c>
      <c r="E1572" s="6" t="s">
        <v>78</v>
      </c>
      <c r="F1572" s="6" t="s">
        <v>100</v>
      </c>
      <c r="G1572" s="6" t="s">
        <v>101</v>
      </c>
      <c r="H1572" s="6">
        <v>1</v>
      </c>
      <c r="I1572" s="6" t="s">
        <v>265</v>
      </c>
      <c r="J1572" s="6" t="s">
        <v>265</v>
      </c>
      <c r="K1572" s="6" t="s">
        <v>119</v>
      </c>
      <c r="L1572" s="6" t="s">
        <v>42</v>
      </c>
      <c r="M1572" s="6" t="s">
        <v>34</v>
      </c>
    </row>
    <row r="1573" spans="1:13">
      <c r="A1573" s="6" t="s">
        <v>2832</v>
      </c>
      <c r="B1573" s="7">
        <v>46060</v>
      </c>
      <c r="C1573" s="6" t="s">
        <v>2833</v>
      </c>
      <c r="D1573" s="6" t="s">
        <v>27</v>
      </c>
      <c r="E1573" s="6" t="s">
        <v>78</v>
      </c>
      <c r="F1573" s="6" t="s">
        <v>29</v>
      </c>
      <c r="G1573" s="6" t="s">
        <v>30</v>
      </c>
      <c r="H1573" s="6">
        <v>1</v>
      </c>
      <c r="I1573" s="6" t="s">
        <v>40</v>
      </c>
      <c r="J1573" s="6" t="s">
        <v>40</v>
      </c>
      <c r="K1573" s="6">
        <v>520</v>
      </c>
      <c r="L1573" s="6" t="s">
        <v>42</v>
      </c>
      <c r="M1573" s="6" t="s">
        <v>69</v>
      </c>
    </row>
    <row r="1574" spans="1:13">
      <c r="A1574" s="6" t="s">
        <v>2834</v>
      </c>
      <c r="B1574" s="7">
        <v>46095</v>
      </c>
      <c r="C1574" s="6" t="s">
        <v>507</v>
      </c>
      <c r="D1574" s="6" t="s">
        <v>105</v>
      </c>
      <c r="E1574" s="6" t="s">
        <v>46</v>
      </c>
      <c r="F1574" s="6" t="s">
        <v>47</v>
      </c>
      <c r="G1574" s="6" t="s">
        <v>48</v>
      </c>
      <c r="H1574" s="6">
        <v>3</v>
      </c>
      <c r="I1574" s="6" t="s">
        <v>181</v>
      </c>
      <c r="J1574" s="6" t="s">
        <v>867</v>
      </c>
      <c r="K1574" s="6">
        <v>85</v>
      </c>
      <c r="L1574" s="6" t="s">
        <v>42</v>
      </c>
      <c r="M1574" s="6" t="s">
        <v>34</v>
      </c>
    </row>
    <row r="1575" spans="1:13">
      <c r="A1575" s="6" t="s">
        <v>2835</v>
      </c>
      <c r="B1575" s="7">
        <v>46113</v>
      </c>
      <c r="C1575" s="6" t="s">
        <v>2836</v>
      </c>
      <c r="D1575" s="6" t="s">
        <v>27</v>
      </c>
      <c r="E1575" s="6" t="s">
        <v>28</v>
      </c>
      <c r="F1575" s="6" t="s">
        <v>29</v>
      </c>
      <c r="G1575" s="6" t="s">
        <v>30</v>
      </c>
      <c r="H1575" s="6">
        <v>1</v>
      </c>
      <c r="I1575" s="6" t="s">
        <v>82</v>
      </c>
      <c r="J1575" s="6" t="s">
        <v>82</v>
      </c>
      <c r="K1575" s="6">
        <v>520</v>
      </c>
      <c r="L1575" s="6" t="s">
        <v>42</v>
      </c>
      <c r="M1575" s="6" t="s">
        <v>34</v>
      </c>
    </row>
    <row r="1576" spans="1:13">
      <c r="A1576" s="6" t="s">
        <v>2837</v>
      </c>
      <c r="B1576" s="7">
        <v>46098</v>
      </c>
      <c r="C1576" s="6" t="s">
        <v>2838</v>
      </c>
      <c r="D1576" s="6" t="s">
        <v>77</v>
      </c>
      <c r="E1576" s="6" t="s">
        <v>78</v>
      </c>
      <c r="F1576" s="6" t="s">
        <v>29</v>
      </c>
      <c r="G1576" s="6" t="s">
        <v>30</v>
      </c>
      <c r="H1576" s="6">
        <v>3</v>
      </c>
      <c r="I1576" s="6" t="s">
        <v>231</v>
      </c>
      <c r="J1576" s="6" t="s">
        <v>2839</v>
      </c>
      <c r="K1576" s="6">
        <v>520</v>
      </c>
      <c r="L1576" s="6" t="s">
        <v>33</v>
      </c>
      <c r="M1576" s="6" t="s">
        <v>34</v>
      </c>
    </row>
    <row r="1577" spans="1:13">
      <c r="A1577" s="6" t="s">
        <v>2840</v>
      </c>
      <c r="B1577" s="7">
        <v>46125</v>
      </c>
      <c r="C1577" s="6" t="s">
        <v>2841</v>
      </c>
      <c r="D1577" s="6" t="s">
        <v>110</v>
      </c>
      <c r="E1577" s="6" t="s">
        <v>37</v>
      </c>
      <c r="F1577" s="6" t="s">
        <v>58</v>
      </c>
      <c r="G1577" s="6" t="s">
        <v>59</v>
      </c>
      <c r="H1577" s="6">
        <v>1</v>
      </c>
      <c r="I1577" s="6" t="s">
        <v>67</v>
      </c>
      <c r="J1577" s="6" t="s">
        <v>67</v>
      </c>
      <c r="K1577" s="6">
        <v>380</v>
      </c>
      <c r="L1577" s="6" t="s">
        <v>42</v>
      </c>
      <c r="M1577" s="6" t="s">
        <v>34</v>
      </c>
    </row>
    <row r="1578" spans="1:13">
      <c r="A1578" s="6" t="s">
        <v>2842</v>
      </c>
      <c r="B1578" s="7">
        <v>46173</v>
      </c>
      <c r="C1578" s="6" t="s">
        <v>2091</v>
      </c>
      <c r="D1578" s="6" t="s">
        <v>72</v>
      </c>
      <c r="E1578" s="6" t="s">
        <v>37</v>
      </c>
      <c r="F1578" s="6" t="s">
        <v>94</v>
      </c>
      <c r="G1578" s="6" t="s">
        <v>95</v>
      </c>
      <c r="H1578" s="6">
        <v>1</v>
      </c>
      <c r="I1578" s="6" t="s">
        <v>265</v>
      </c>
      <c r="J1578" s="6" t="s">
        <v>265</v>
      </c>
      <c r="K1578" s="6" t="s">
        <v>114</v>
      </c>
      <c r="L1578" s="6" t="s">
        <v>42</v>
      </c>
      <c r="M1578" s="6" t="s">
        <v>34</v>
      </c>
    </row>
    <row r="1579" spans="1:13">
      <c r="A1579" s="6" t="s">
        <v>2843</v>
      </c>
      <c r="B1579" s="6" t="s">
        <v>2844</v>
      </c>
      <c r="C1579" s="6" t="s">
        <v>2087</v>
      </c>
      <c r="D1579" s="6" t="s">
        <v>27</v>
      </c>
      <c r="E1579" s="6" t="s">
        <v>52</v>
      </c>
      <c r="F1579" s="6" t="s">
        <v>58</v>
      </c>
      <c r="G1579" s="6" t="s">
        <v>59</v>
      </c>
      <c r="H1579" s="6">
        <v>2</v>
      </c>
      <c r="I1579" s="6" t="s">
        <v>117</v>
      </c>
      <c r="J1579" s="6" t="s">
        <v>118</v>
      </c>
      <c r="K1579" s="6">
        <v>380</v>
      </c>
      <c r="L1579" s="6" t="s">
        <v>42</v>
      </c>
      <c r="M1579" s="6" t="s">
        <v>34</v>
      </c>
    </row>
    <row r="1580" spans="1:13">
      <c r="A1580" s="6" t="s">
        <v>2845</v>
      </c>
      <c r="B1580" s="7">
        <v>46150</v>
      </c>
      <c r="C1580" s="6" t="s">
        <v>843</v>
      </c>
      <c r="D1580" s="6" t="s">
        <v>57</v>
      </c>
      <c r="E1580" s="6" t="s">
        <v>78</v>
      </c>
      <c r="F1580" s="6" t="s">
        <v>100</v>
      </c>
      <c r="G1580" s="6" t="s">
        <v>101</v>
      </c>
      <c r="H1580" s="6">
        <v>2</v>
      </c>
      <c r="I1580" s="6" t="s">
        <v>113</v>
      </c>
      <c r="J1580" s="6" t="s">
        <v>192</v>
      </c>
      <c r="K1580" s="6" t="s">
        <v>119</v>
      </c>
      <c r="L1580" s="6" t="s">
        <v>42</v>
      </c>
      <c r="M1580" s="6" t="s">
        <v>34</v>
      </c>
    </row>
    <row r="1581" spans="1:13">
      <c r="A1581" s="6" t="s">
        <v>2846</v>
      </c>
      <c r="B1581" s="7">
        <v>46087</v>
      </c>
      <c r="C1581" s="6" t="s">
        <v>2847</v>
      </c>
      <c r="D1581" s="6" t="s">
        <v>27</v>
      </c>
      <c r="E1581" s="6" t="s">
        <v>78</v>
      </c>
      <c r="F1581" s="6" t="s">
        <v>58</v>
      </c>
      <c r="G1581" s="6" t="s">
        <v>59</v>
      </c>
      <c r="H1581" s="6">
        <v>1</v>
      </c>
      <c r="I1581" s="6" t="s">
        <v>31</v>
      </c>
      <c r="J1581" s="6" t="s">
        <v>1255</v>
      </c>
      <c r="K1581" s="6">
        <v>380</v>
      </c>
      <c r="L1581" s="6" t="s">
        <v>42</v>
      </c>
      <c r="M1581" s="6" t="s">
        <v>34</v>
      </c>
    </row>
    <row r="1582" spans="1:13">
      <c r="A1582" s="6" t="s">
        <v>2848</v>
      </c>
      <c r="B1582" s="7">
        <v>46130</v>
      </c>
      <c r="C1582" s="6" t="s">
        <v>2849</v>
      </c>
      <c r="D1582" s="6" t="s">
        <v>64</v>
      </c>
      <c r="E1582" s="6" t="s">
        <v>52</v>
      </c>
      <c r="F1582" s="6" t="s">
        <v>47</v>
      </c>
      <c r="G1582" s="6" t="s">
        <v>48</v>
      </c>
      <c r="H1582" s="6">
        <v>1</v>
      </c>
      <c r="I1582" s="6" t="s">
        <v>147</v>
      </c>
      <c r="J1582" s="6" t="s">
        <v>147</v>
      </c>
      <c r="K1582" s="6">
        <v>85</v>
      </c>
      <c r="L1582" s="6" t="s">
        <v>42</v>
      </c>
      <c r="M1582" s="6" t="s">
        <v>34</v>
      </c>
    </row>
    <row r="1583" spans="1:13">
      <c r="A1583" s="6" t="s">
        <v>2850</v>
      </c>
      <c r="B1583" s="7">
        <v>46075</v>
      </c>
      <c r="C1583" s="6" t="s">
        <v>1446</v>
      </c>
      <c r="D1583" s="6" t="s">
        <v>45</v>
      </c>
      <c r="E1583" s="6" t="s">
        <v>52</v>
      </c>
      <c r="F1583" s="6" t="s">
        <v>47</v>
      </c>
      <c r="G1583" s="6" t="s">
        <v>48</v>
      </c>
      <c r="H1583" s="6">
        <v>3</v>
      </c>
      <c r="I1583" s="6" t="s">
        <v>60</v>
      </c>
      <c r="J1583" s="6" t="s">
        <v>268</v>
      </c>
      <c r="K1583" s="6">
        <v>85</v>
      </c>
      <c r="L1583" s="6" t="s">
        <v>33</v>
      </c>
      <c r="M1583" s="6" t="s">
        <v>34</v>
      </c>
    </row>
    <row r="1584" spans="1:13">
      <c r="A1584" s="6" t="s">
        <v>2851</v>
      </c>
      <c r="B1584" s="7">
        <v>46071</v>
      </c>
      <c r="C1584" s="6" t="s">
        <v>1942</v>
      </c>
      <c r="D1584" s="6" t="s">
        <v>72</v>
      </c>
      <c r="E1584" s="6" t="s">
        <v>46</v>
      </c>
      <c r="F1584" s="6" t="s">
        <v>53</v>
      </c>
      <c r="G1584" s="6" t="s">
        <v>54</v>
      </c>
      <c r="H1584" s="6">
        <v>2</v>
      </c>
      <c r="I1584" s="6" t="s">
        <v>143</v>
      </c>
      <c r="J1584" s="6" t="s">
        <v>144</v>
      </c>
      <c r="K1584" s="6">
        <v>190</v>
      </c>
      <c r="L1584" s="6" t="s">
        <v>42</v>
      </c>
      <c r="M1584" s="6" t="s">
        <v>69</v>
      </c>
    </row>
    <row r="1585" spans="1:13">
      <c r="A1585" s="6" t="s">
        <v>2852</v>
      </c>
      <c r="B1585" s="7">
        <v>46125</v>
      </c>
      <c r="C1585" s="6" t="s">
        <v>2653</v>
      </c>
      <c r="D1585" s="6" t="s">
        <v>64</v>
      </c>
      <c r="E1585" s="6" t="s">
        <v>78</v>
      </c>
      <c r="F1585" s="6" t="s">
        <v>29</v>
      </c>
      <c r="G1585" s="6" t="s">
        <v>30</v>
      </c>
      <c r="H1585" s="6">
        <v>1</v>
      </c>
      <c r="I1585" s="6" t="s">
        <v>90</v>
      </c>
      <c r="J1585" s="6" t="s">
        <v>90</v>
      </c>
      <c r="K1585" s="6">
        <v>520</v>
      </c>
      <c r="L1585" s="6" t="s">
        <v>42</v>
      </c>
      <c r="M1585" s="6" t="s">
        <v>34</v>
      </c>
    </row>
    <row r="1586" spans="1:13">
      <c r="A1586" s="6" t="s">
        <v>2853</v>
      </c>
      <c r="B1586" s="7">
        <v>46057</v>
      </c>
      <c r="C1586" s="6" t="s">
        <v>1257</v>
      </c>
      <c r="D1586" s="6" t="s">
        <v>72</v>
      </c>
      <c r="E1586" s="6" t="s">
        <v>28</v>
      </c>
      <c r="F1586" s="6" t="s">
        <v>58</v>
      </c>
      <c r="G1586" s="6" t="s">
        <v>59</v>
      </c>
      <c r="H1586" s="6">
        <v>1</v>
      </c>
      <c r="I1586" s="6" t="s">
        <v>265</v>
      </c>
      <c r="J1586" s="6" t="s">
        <v>2761</v>
      </c>
      <c r="K1586" s="6">
        <v>380</v>
      </c>
      <c r="L1586" s="6" t="s">
        <v>42</v>
      </c>
      <c r="M1586" s="6" t="s">
        <v>34</v>
      </c>
    </row>
    <row r="1587" spans="1:13">
      <c r="A1587" s="6" t="s">
        <v>2854</v>
      </c>
      <c r="B1587" s="7">
        <v>46161</v>
      </c>
      <c r="C1587" s="6" t="s">
        <v>2402</v>
      </c>
      <c r="D1587" s="6" t="s">
        <v>57</v>
      </c>
      <c r="E1587" s="6" t="s">
        <v>78</v>
      </c>
      <c r="F1587" s="6" t="s">
        <v>29</v>
      </c>
      <c r="G1587" s="6" t="s">
        <v>30</v>
      </c>
      <c r="H1587" s="6">
        <v>1</v>
      </c>
      <c r="I1587" s="6" t="s">
        <v>31</v>
      </c>
      <c r="J1587" s="6" t="s">
        <v>31</v>
      </c>
      <c r="K1587" s="6" t="s">
        <v>41</v>
      </c>
      <c r="L1587" s="6" t="s">
        <v>33</v>
      </c>
      <c r="M1587" s="6" t="s">
        <v>34</v>
      </c>
    </row>
    <row r="1588" spans="1:13">
      <c r="A1588" s="6" t="s">
        <v>2855</v>
      </c>
      <c r="B1588" s="7">
        <v>46176</v>
      </c>
      <c r="C1588" s="6" t="s">
        <v>575</v>
      </c>
      <c r="D1588" s="6" t="s">
        <v>64</v>
      </c>
      <c r="E1588" s="6" t="s">
        <v>46</v>
      </c>
      <c r="F1588" s="6" t="s">
        <v>58</v>
      </c>
      <c r="G1588" s="6" t="s">
        <v>59</v>
      </c>
      <c r="H1588" s="6">
        <v>2</v>
      </c>
      <c r="I1588" s="6" t="s">
        <v>231</v>
      </c>
      <c r="J1588" s="6" t="s">
        <v>232</v>
      </c>
      <c r="K1588" s="6" t="s">
        <v>61</v>
      </c>
      <c r="L1588" s="6" t="s">
        <v>42</v>
      </c>
      <c r="M1588" s="6" t="s">
        <v>34</v>
      </c>
    </row>
    <row r="1589" spans="1:13">
      <c r="A1589" s="6" t="s">
        <v>2856</v>
      </c>
      <c r="B1589" s="6" t="s">
        <v>92</v>
      </c>
      <c r="C1589" s="6" t="s">
        <v>2371</v>
      </c>
      <c r="D1589" s="6" t="s">
        <v>110</v>
      </c>
      <c r="E1589" s="6" t="s">
        <v>28</v>
      </c>
      <c r="F1589" s="6" t="s">
        <v>29</v>
      </c>
      <c r="G1589" s="6" t="s">
        <v>30</v>
      </c>
      <c r="H1589" s="6">
        <v>2</v>
      </c>
      <c r="I1589" s="6" t="s">
        <v>67</v>
      </c>
      <c r="J1589" s="6" t="s">
        <v>204</v>
      </c>
      <c r="K1589" s="6">
        <v>520</v>
      </c>
      <c r="L1589" s="6" t="s">
        <v>42</v>
      </c>
      <c r="M1589" s="6" t="s">
        <v>69</v>
      </c>
    </row>
    <row r="1590" spans="1:13">
      <c r="A1590" s="6" t="s">
        <v>2857</v>
      </c>
      <c r="B1590" s="7">
        <v>46080</v>
      </c>
      <c r="C1590" s="6" t="s">
        <v>2858</v>
      </c>
      <c r="D1590" s="6" t="s">
        <v>77</v>
      </c>
      <c r="E1590" s="6" t="s">
        <v>78</v>
      </c>
      <c r="F1590" s="6" t="s">
        <v>85</v>
      </c>
      <c r="G1590" s="6" t="s">
        <v>86</v>
      </c>
      <c r="H1590" s="6">
        <v>2</v>
      </c>
      <c r="I1590" s="6" t="s">
        <v>181</v>
      </c>
      <c r="J1590" s="6" t="s">
        <v>163</v>
      </c>
      <c r="K1590" s="6">
        <v>410</v>
      </c>
      <c r="L1590" s="6" t="s">
        <v>42</v>
      </c>
      <c r="M1590" s="6" t="s">
        <v>34</v>
      </c>
    </row>
    <row r="1591" spans="1:13">
      <c r="A1591" s="6" t="s">
        <v>2859</v>
      </c>
      <c r="B1591" s="6" t="s">
        <v>640</v>
      </c>
      <c r="C1591" s="6" t="s">
        <v>934</v>
      </c>
      <c r="D1591" s="6" t="s">
        <v>45</v>
      </c>
      <c r="E1591" s="6" t="s">
        <v>46</v>
      </c>
      <c r="F1591" s="6" t="s">
        <v>29</v>
      </c>
      <c r="G1591" s="6" t="s">
        <v>30</v>
      </c>
      <c r="H1591" s="6">
        <v>2</v>
      </c>
      <c r="I1591" s="6" t="s">
        <v>73</v>
      </c>
      <c r="J1591" s="6" t="s">
        <v>74</v>
      </c>
      <c r="K1591" s="6">
        <v>520</v>
      </c>
      <c r="L1591" s="6" t="s">
        <v>42</v>
      </c>
      <c r="M1591" s="6" t="s">
        <v>34</v>
      </c>
    </row>
    <row r="1592" spans="1:13">
      <c r="A1592" s="6" t="s">
        <v>2860</v>
      </c>
      <c r="B1592" s="7">
        <v>46160</v>
      </c>
      <c r="C1592" s="6" t="s">
        <v>2861</v>
      </c>
      <c r="D1592" s="6" t="s">
        <v>72</v>
      </c>
      <c r="E1592" s="6" t="s">
        <v>78</v>
      </c>
      <c r="F1592" s="6" t="s">
        <v>100</v>
      </c>
      <c r="G1592" s="6" t="s">
        <v>101</v>
      </c>
      <c r="H1592" s="6">
        <v>2</v>
      </c>
      <c r="I1592" s="6" t="s">
        <v>79</v>
      </c>
      <c r="J1592" s="6" t="s">
        <v>259</v>
      </c>
      <c r="K1592" s="6" t="s">
        <v>119</v>
      </c>
      <c r="L1592" s="6" t="s">
        <v>42</v>
      </c>
      <c r="M1592" s="6" t="s">
        <v>34</v>
      </c>
    </row>
    <row r="1593" spans="1:13">
      <c r="A1593" s="6" t="s">
        <v>2862</v>
      </c>
      <c r="B1593" s="7">
        <v>46092</v>
      </c>
      <c r="C1593" s="6" t="s">
        <v>676</v>
      </c>
      <c r="D1593" s="6" t="s">
        <v>64</v>
      </c>
      <c r="E1593" s="6" t="s">
        <v>46</v>
      </c>
      <c r="F1593" s="6" t="s">
        <v>85</v>
      </c>
      <c r="G1593" s="6" t="s">
        <v>86</v>
      </c>
      <c r="H1593" s="6">
        <v>3</v>
      </c>
      <c r="I1593" s="6" t="s">
        <v>113</v>
      </c>
      <c r="J1593" s="6" t="s">
        <v>2863</v>
      </c>
      <c r="K1593" s="6">
        <v>410</v>
      </c>
      <c r="L1593" s="6" t="s">
        <v>42</v>
      </c>
      <c r="M1593" s="6" t="s">
        <v>34</v>
      </c>
    </row>
    <row r="1594" spans="1:13">
      <c r="A1594" s="6" t="s">
        <v>2864</v>
      </c>
      <c r="B1594" s="7">
        <v>46077</v>
      </c>
      <c r="C1594" s="6" t="s">
        <v>146</v>
      </c>
      <c r="D1594" s="6" t="s">
        <v>110</v>
      </c>
      <c r="E1594" s="6" t="s">
        <v>37</v>
      </c>
      <c r="F1594" s="6" t="s">
        <v>58</v>
      </c>
      <c r="G1594" s="6" t="s">
        <v>59</v>
      </c>
      <c r="H1594" s="6">
        <v>2</v>
      </c>
      <c r="I1594" s="6" t="s">
        <v>143</v>
      </c>
      <c r="J1594" s="6" t="s">
        <v>144</v>
      </c>
      <c r="K1594" s="6">
        <v>380</v>
      </c>
      <c r="L1594" s="6" t="s">
        <v>42</v>
      </c>
      <c r="M1594" s="6" t="s">
        <v>34</v>
      </c>
    </row>
    <row r="1595" spans="1:13">
      <c r="A1595" s="6" t="s">
        <v>2865</v>
      </c>
      <c r="B1595" s="7">
        <v>46105</v>
      </c>
      <c r="C1595" s="6" t="s">
        <v>1664</v>
      </c>
      <c r="D1595" s="6" t="s">
        <v>72</v>
      </c>
      <c r="E1595" s="6" t="s">
        <v>52</v>
      </c>
      <c r="F1595" s="6" t="s">
        <v>38</v>
      </c>
      <c r="G1595" s="6" t="s">
        <v>39</v>
      </c>
      <c r="H1595" s="6">
        <v>2</v>
      </c>
      <c r="I1595" s="6" t="s">
        <v>96</v>
      </c>
      <c r="J1595" s="6" t="s">
        <v>278</v>
      </c>
      <c r="K1595" s="6">
        <v>520</v>
      </c>
      <c r="L1595" s="6" t="s">
        <v>33</v>
      </c>
      <c r="M1595" s="6" t="s">
        <v>69</v>
      </c>
    </row>
    <row r="1596" spans="1:13">
      <c r="A1596" s="6" t="s">
        <v>2866</v>
      </c>
      <c r="B1596" s="6" t="s">
        <v>1036</v>
      </c>
      <c r="C1596" s="6" t="s">
        <v>1238</v>
      </c>
      <c r="D1596" s="6" t="s">
        <v>72</v>
      </c>
      <c r="E1596" s="6" t="s">
        <v>78</v>
      </c>
      <c r="F1596" s="6" t="s">
        <v>94</v>
      </c>
      <c r="G1596" s="6" t="s">
        <v>95</v>
      </c>
      <c r="H1596" s="6">
        <v>1</v>
      </c>
      <c r="I1596" s="6" t="s">
        <v>143</v>
      </c>
      <c r="J1596" s="6" t="s">
        <v>143</v>
      </c>
      <c r="K1596" s="6" t="s">
        <v>114</v>
      </c>
      <c r="L1596" s="6" t="s">
        <v>42</v>
      </c>
      <c r="M1596" s="6" t="s">
        <v>34</v>
      </c>
    </row>
    <row r="1597" spans="1:13">
      <c r="A1597" s="6" t="s">
        <v>2867</v>
      </c>
      <c r="B1597" s="7">
        <v>46162</v>
      </c>
      <c r="C1597" s="6" t="s">
        <v>2790</v>
      </c>
      <c r="D1597" s="6" t="s">
        <v>45</v>
      </c>
      <c r="E1597" s="6" t="s">
        <v>28</v>
      </c>
      <c r="F1597" s="6" t="s">
        <v>38</v>
      </c>
      <c r="G1597" s="6" t="s">
        <v>39</v>
      </c>
      <c r="H1597" s="6">
        <v>2</v>
      </c>
      <c r="I1597" s="6" t="s">
        <v>73</v>
      </c>
      <c r="J1597" s="6" t="s">
        <v>74</v>
      </c>
      <c r="K1597" s="6" t="s">
        <v>41</v>
      </c>
      <c r="L1597" s="6" t="s">
        <v>42</v>
      </c>
      <c r="M1597" s="6" t="s">
        <v>34</v>
      </c>
    </row>
    <row r="1598" spans="1:13">
      <c r="A1598" s="6" t="s">
        <v>2868</v>
      </c>
      <c r="B1598" s="6" t="s">
        <v>1764</v>
      </c>
      <c r="C1598" s="6" t="s">
        <v>741</v>
      </c>
      <c r="D1598" s="6" t="s">
        <v>45</v>
      </c>
      <c r="E1598" s="6" t="s">
        <v>46</v>
      </c>
      <c r="F1598" s="6" t="s">
        <v>38</v>
      </c>
      <c r="G1598" s="6" t="s">
        <v>39</v>
      </c>
      <c r="H1598" s="6">
        <v>1</v>
      </c>
      <c r="I1598" s="6" t="s">
        <v>82</v>
      </c>
      <c r="J1598" s="6" t="s">
        <v>82</v>
      </c>
      <c r="K1598" s="6">
        <v>520</v>
      </c>
      <c r="L1598" s="6" t="s">
        <v>42</v>
      </c>
      <c r="M1598" s="6" t="s">
        <v>69</v>
      </c>
    </row>
    <row r="1599" spans="1:13">
      <c r="A1599" s="6" t="s">
        <v>2869</v>
      </c>
      <c r="B1599" s="7">
        <v>46137</v>
      </c>
      <c r="C1599" s="6" t="s">
        <v>372</v>
      </c>
      <c r="D1599" s="6" t="s">
        <v>105</v>
      </c>
      <c r="E1599" s="6" t="s">
        <v>52</v>
      </c>
      <c r="F1599" s="6" t="s">
        <v>29</v>
      </c>
      <c r="G1599" s="6" t="s">
        <v>30</v>
      </c>
      <c r="H1599" s="6">
        <v>1</v>
      </c>
      <c r="I1599" s="6" t="s">
        <v>90</v>
      </c>
      <c r="J1599" s="6" t="s">
        <v>90</v>
      </c>
      <c r="K1599" s="6" t="s">
        <v>41</v>
      </c>
      <c r="L1599" s="6" t="s">
        <v>42</v>
      </c>
      <c r="M1599" s="6" t="s">
        <v>34</v>
      </c>
    </row>
    <row r="1600" spans="1:13">
      <c r="A1600" s="6" t="s">
        <v>2870</v>
      </c>
      <c r="B1600" s="7">
        <v>46068</v>
      </c>
      <c r="C1600" s="6" t="s">
        <v>2871</v>
      </c>
      <c r="D1600" s="6" t="s">
        <v>57</v>
      </c>
      <c r="E1600" s="6" t="s">
        <v>78</v>
      </c>
      <c r="F1600" s="6" t="s">
        <v>58</v>
      </c>
      <c r="G1600" s="6" t="s">
        <v>59</v>
      </c>
      <c r="H1600" s="6">
        <v>1</v>
      </c>
      <c r="I1600" s="6" t="s">
        <v>90</v>
      </c>
      <c r="J1600" s="6" t="s">
        <v>90</v>
      </c>
      <c r="K1600" s="6">
        <v>380</v>
      </c>
      <c r="L1600" s="6" t="s">
        <v>42</v>
      </c>
      <c r="M1600" s="6" t="s">
        <v>69</v>
      </c>
    </row>
    <row r="1601" spans="1:13">
      <c r="A1601" s="6" t="s">
        <v>2872</v>
      </c>
      <c r="B1601" s="6" t="s">
        <v>131</v>
      </c>
      <c r="C1601" s="6" t="s">
        <v>2873</v>
      </c>
      <c r="D1601" s="6" t="s">
        <v>127</v>
      </c>
      <c r="E1601" s="6" t="s">
        <v>28</v>
      </c>
      <c r="F1601" s="6" t="s">
        <v>47</v>
      </c>
      <c r="G1601" s="6" t="s">
        <v>48</v>
      </c>
      <c r="H1601" s="6">
        <v>3</v>
      </c>
      <c r="I1601" s="6" t="s">
        <v>90</v>
      </c>
      <c r="J1601" s="6" t="s">
        <v>102</v>
      </c>
      <c r="K1601" s="6">
        <v>85</v>
      </c>
      <c r="L1601" s="6" t="s">
        <v>42</v>
      </c>
      <c r="M1601" s="6" t="s">
        <v>34</v>
      </c>
    </row>
    <row r="1602" spans="1:13">
      <c r="A1602" s="6" t="s">
        <v>2874</v>
      </c>
      <c r="B1602" s="7">
        <v>46143</v>
      </c>
      <c r="C1602" s="6" t="s">
        <v>2875</v>
      </c>
      <c r="D1602" s="6" t="s">
        <v>57</v>
      </c>
      <c r="E1602" s="6" t="s">
        <v>52</v>
      </c>
      <c r="F1602" s="6" t="s">
        <v>47</v>
      </c>
      <c r="G1602" s="6" t="s">
        <v>48</v>
      </c>
      <c r="H1602" s="6">
        <v>2</v>
      </c>
      <c r="I1602" s="6" t="s">
        <v>143</v>
      </c>
      <c r="J1602" s="6" t="s">
        <v>144</v>
      </c>
      <c r="K1602" s="6" t="s">
        <v>49</v>
      </c>
      <c r="L1602" s="6" t="s">
        <v>42</v>
      </c>
      <c r="M1602" s="6" t="s">
        <v>34</v>
      </c>
    </row>
    <row r="1603" spans="1:13">
      <c r="A1603" s="6" t="s">
        <v>2876</v>
      </c>
      <c r="B1603" s="6" t="s">
        <v>131</v>
      </c>
      <c r="C1603" s="6" t="s">
        <v>2050</v>
      </c>
      <c r="D1603" s="6" t="s">
        <v>64</v>
      </c>
      <c r="E1603" s="6" t="s">
        <v>37</v>
      </c>
      <c r="F1603" s="6" t="s">
        <v>100</v>
      </c>
      <c r="G1603" s="6" t="s">
        <v>101</v>
      </c>
      <c r="H1603" s="6">
        <v>3</v>
      </c>
      <c r="I1603" s="6" t="s">
        <v>143</v>
      </c>
      <c r="J1603" s="6" t="s">
        <v>243</v>
      </c>
      <c r="K1603" s="6">
        <v>640</v>
      </c>
      <c r="L1603" s="6" t="s">
        <v>42</v>
      </c>
      <c r="M1603" s="6" t="s">
        <v>34</v>
      </c>
    </row>
    <row r="1604" spans="1:13">
      <c r="A1604" s="6" t="s">
        <v>2877</v>
      </c>
      <c r="B1604" s="7">
        <v>46082</v>
      </c>
      <c r="C1604" s="6" t="s">
        <v>598</v>
      </c>
      <c r="D1604" s="6" t="s">
        <v>45</v>
      </c>
      <c r="E1604" s="6" t="s">
        <v>46</v>
      </c>
      <c r="F1604" s="6" t="s">
        <v>38</v>
      </c>
      <c r="G1604" s="6" t="s">
        <v>39</v>
      </c>
      <c r="H1604" s="6">
        <v>3</v>
      </c>
      <c r="I1604" s="6" t="s">
        <v>265</v>
      </c>
      <c r="J1604" s="6" t="s">
        <v>401</v>
      </c>
      <c r="K1604" s="6">
        <v>520</v>
      </c>
      <c r="L1604" s="6" t="s">
        <v>33</v>
      </c>
      <c r="M1604" s="6" t="s">
        <v>34</v>
      </c>
    </row>
    <row r="1605" spans="1:13">
      <c r="A1605" s="6" t="s">
        <v>2878</v>
      </c>
      <c r="B1605" s="7">
        <v>46070</v>
      </c>
      <c r="C1605" s="6" t="s">
        <v>2879</v>
      </c>
      <c r="D1605" s="6" t="s">
        <v>45</v>
      </c>
      <c r="E1605" s="6" t="s">
        <v>52</v>
      </c>
      <c r="F1605" s="6" t="s">
        <v>94</v>
      </c>
      <c r="G1605" s="6" t="s">
        <v>95</v>
      </c>
      <c r="H1605" s="6">
        <v>1</v>
      </c>
      <c r="I1605" s="6" t="s">
        <v>656</v>
      </c>
      <c r="J1605" s="6" t="s">
        <v>113</v>
      </c>
      <c r="K1605" s="6">
        <v>340</v>
      </c>
      <c r="L1605" s="6" t="s">
        <v>42</v>
      </c>
      <c r="M1605" s="6" t="s">
        <v>34</v>
      </c>
    </row>
    <row r="1606" spans="1:13">
      <c r="A1606" s="6" t="s">
        <v>2880</v>
      </c>
      <c r="B1606" s="6" t="s">
        <v>960</v>
      </c>
      <c r="C1606" s="6" t="s">
        <v>2881</v>
      </c>
      <c r="D1606" s="6" t="s">
        <v>57</v>
      </c>
      <c r="E1606" s="6" t="s">
        <v>37</v>
      </c>
      <c r="F1606" s="6" t="s">
        <v>100</v>
      </c>
      <c r="G1606" s="6" t="s">
        <v>101</v>
      </c>
      <c r="H1606" s="6">
        <v>3</v>
      </c>
      <c r="I1606" s="6" t="s">
        <v>117</v>
      </c>
      <c r="J1606" s="6" t="s">
        <v>171</v>
      </c>
      <c r="K1606" s="6" t="s">
        <v>119</v>
      </c>
      <c r="L1606" s="6" t="s">
        <v>42</v>
      </c>
      <c r="M1606" s="6" t="s">
        <v>34</v>
      </c>
    </row>
    <row r="1607" spans="1:13">
      <c r="A1607" s="6" t="s">
        <v>2882</v>
      </c>
      <c r="B1607" s="7">
        <v>46187</v>
      </c>
      <c r="C1607" s="6" t="s">
        <v>215</v>
      </c>
      <c r="D1607" s="6" t="s">
        <v>105</v>
      </c>
      <c r="E1607" s="6" t="s">
        <v>52</v>
      </c>
      <c r="F1607" s="6" t="s">
        <v>29</v>
      </c>
      <c r="G1607" s="6" t="s">
        <v>30</v>
      </c>
      <c r="H1607" s="6">
        <v>1</v>
      </c>
      <c r="I1607" s="6" t="s">
        <v>113</v>
      </c>
      <c r="J1607" s="6" t="s">
        <v>113</v>
      </c>
      <c r="K1607" s="6" t="s">
        <v>41</v>
      </c>
      <c r="L1607" s="6" t="s">
        <v>42</v>
      </c>
      <c r="M1607" s="6" t="s">
        <v>69</v>
      </c>
    </row>
    <row r="1608" spans="1:13">
      <c r="A1608" s="6" t="s">
        <v>2883</v>
      </c>
      <c r="B1608" s="7">
        <v>46266</v>
      </c>
      <c r="C1608" s="6" t="s">
        <v>2884</v>
      </c>
      <c r="D1608" s="6" t="s">
        <v>77</v>
      </c>
      <c r="E1608" s="6" t="s">
        <v>52</v>
      </c>
      <c r="F1608" s="6" t="s">
        <v>53</v>
      </c>
      <c r="G1608" s="6" t="s">
        <v>54</v>
      </c>
      <c r="H1608" s="6">
        <v>1</v>
      </c>
      <c r="I1608" s="6" t="s">
        <v>96</v>
      </c>
      <c r="J1608" s="6" t="s">
        <v>2885</v>
      </c>
      <c r="K1608" s="6">
        <v>190</v>
      </c>
      <c r="L1608" s="6" t="s">
        <v>33</v>
      </c>
      <c r="M1608" s="6" t="s">
        <v>34</v>
      </c>
    </row>
    <row r="1609" spans="1:13">
      <c r="A1609" s="6" t="s">
        <v>2886</v>
      </c>
      <c r="B1609" s="7">
        <v>46030</v>
      </c>
      <c r="C1609" s="6" t="s">
        <v>310</v>
      </c>
      <c r="D1609" s="6" t="s">
        <v>64</v>
      </c>
      <c r="E1609" s="6" t="s">
        <v>78</v>
      </c>
      <c r="F1609" s="6" t="s">
        <v>94</v>
      </c>
      <c r="G1609" s="6" t="s">
        <v>95</v>
      </c>
      <c r="H1609" s="6">
        <v>2</v>
      </c>
      <c r="I1609" s="6" t="s">
        <v>82</v>
      </c>
      <c r="J1609" s="6" t="s">
        <v>297</v>
      </c>
      <c r="K1609" s="6">
        <v>340</v>
      </c>
      <c r="L1609" s="6" t="s">
        <v>42</v>
      </c>
      <c r="M1609" s="6" t="s">
        <v>34</v>
      </c>
    </row>
    <row r="1610" spans="1:13">
      <c r="A1610" s="6" t="s">
        <v>2887</v>
      </c>
      <c r="B1610" s="7">
        <v>46077</v>
      </c>
      <c r="C1610" s="6" t="s">
        <v>828</v>
      </c>
      <c r="D1610" s="6" t="s">
        <v>64</v>
      </c>
      <c r="E1610" s="6" t="s">
        <v>28</v>
      </c>
      <c r="F1610" s="6" t="s">
        <v>53</v>
      </c>
      <c r="G1610" s="6" t="s">
        <v>54</v>
      </c>
      <c r="H1610" s="6">
        <v>1</v>
      </c>
      <c r="I1610" s="6" t="s">
        <v>31</v>
      </c>
      <c r="J1610" s="6" t="s">
        <v>31</v>
      </c>
      <c r="K1610" s="6">
        <v>190</v>
      </c>
      <c r="L1610" s="6" t="s">
        <v>42</v>
      </c>
      <c r="M1610" s="6" t="s">
        <v>34</v>
      </c>
    </row>
    <row r="1611" spans="1:13">
      <c r="A1611" s="6" t="s">
        <v>2888</v>
      </c>
      <c r="B1611" s="6" t="s">
        <v>891</v>
      </c>
      <c r="C1611" s="6" t="s">
        <v>1484</v>
      </c>
      <c r="D1611" s="6" t="s">
        <v>27</v>
      </c>
      <c r="E1611" s="6" t="s">
        <v>52</v>
      </c>
      <c r="F1611" s="6" t="s">
        <v>53</v>
      </c>
      <c r="G1611" s="6" t="s">
        <v>54</v>
      </c>
      <c r="H1611" s="6">
        <v>2</v>
      </c>
      <c r="I1611" s="6" t="s">
        <v>117</v>
      </c>
      <c r="J1611" s="6" t="s">
        <v>118</v>
      </c>
      <c r="K1611" s="6">
        <v>190</v>
      </c>
      <c r="L1611" s="6" t="s">
        <v>42</v>
      </c>
      <c r="M1611" s="6" t="s">
        <v>34</v>
      </c>
    </row>
    <row r="1612" spans="1:13">
      <c r="A1612" s="6" t="s">
        <v>2889</v>
      </c>
      <c r="B1612" s="7">
        <v>46122</v>
      </c>
      <c r="C1612" s="6" t="s">
        <v>423</v>
      </c>
      <c r="D1612" s="6" t="s">
        <v>105</v>
      </c>
      <c r="E1612" s="6" t="s">
        <v>78</v>
      </c>
      <c r="F1612" s="6" t="s">
        <v>85</v>
      </c>
      <c r="G1612" s="6" t="s">
        <v>86</v>
      </c>
      <c r="H1612" s="6">
        <v>3</v>
      </c>
      <c r="I1612" s="6" t="s">
        <v>79</v>
      </c>
      <c r="J1612" s="6" t="s">
        <v>216</v>
      </c>
      <c r="K1612" s="6">
        <v>410</v>
      </c>
      <c r="L1612" s="6" t="s">
        <v>33</v>
      </c>
      <c r="M1612" s="6" t="s">
        <v>34</v>
      </c>
    </row>
    <row r="1613" spans="1:13">
      <c r="A1613" s="6" t="s">
        <v>2890</v>
      </c>
      <c r="B1613" s="7">
        <v>46202</v>
      </c>
      <c r="C1613" s="6" t="s">
        <v>642</v>
      </c>
      <c r="D1613" s="6" t="s">
        <v>57</v>
      </c>
      <c r="E1613" s="6" t="s">
        <v>78</v>
      </c>
      <c r="F1613" s="6" t="s">
        <v>58</v>
      </c>
      <c r="G1613" s="6" t="s">
        <v>59</v>
      </c>
      <c r="H1613" s="6">
        <v>3</v>
      </c>
      <c r="I1613" s="6" t="s">
        <v>228</v>
      </c>
      <c r="J1613" s="6" t="s">
        <v>2891</v>
      </c>
      <c r="K1613" s="6" t="s">
        <v>61</v>
      </c>
      <c r="L1613" s="6" t="s">
        <v>42</v>
      </c>
      <c r="M1613" s="6" t="s">
        <v>34</v>
      </c>
    </row>
    <row r="1614" spans="1:13">
      <c r="A1614" s="6" t="s">
        <v>2892</v>
      </c>
      <c r="B1614" s="7">
        <v>46177</v>
      </c>
      <c r="C1614" s="6" t="s">
        <v>618</v>
      </c>
      <c r="D1614" s="6" t="s">
        <v>77</v>
      </c>
      <c r="E1614" s="6" t="s">
        <v>46</v>
      </c>
      <c r="F1614" s="6" t="s">
        <v>100</v>
      </c>
      <c r="G1614" s="6" t="s">
        <v>101</v>
      </c>
      <c r="H1614" s="6">
        <v>1</v>
      </c>
      <c r="I1614" s="6" t="s">
        <v>73</v>
      </c>
      <c r="J1614" s="6" t="s">
        <v>73</v>
      </c>
      <c r="K1614" s="6" t="s">
        <v>119</v>
      </c>
      <c r="L1614" s="6" t="s">
        <v>42</v>
      </c>
      <c r="M1614" s="6" t="s">
        <v>34</v>
      </c>
    </row>
    <row r="1615" spans="1:13">
      <c r="A1615" s="6" t="s">
        <v>2893</v>
      </c>
      <c r="B1615" s="7">
        <v>46029</v>
      </c>
      <c r="C1615" s="6" t="s">
        <v>1141</v>
      </c>
      <c r="D1615" s="6" t="s">
        <v>45</v>
      </c>
      <c r="E1615" s="6" t="s">
        <v>78</v>
      </c>
      <c r="F1615" s="6" t="s">
        <v>85</v>
      </c>
      <c r="G1615" s="6" t="s">
        <v>86</v>
      </c>
      <c r="H1615" s="6">
        <v>3</v>
      </c>
      <c r="I1615" s="6" t="s">
        <v>147</v>
      </c>
      <c r="J1615" s="6" t="s">
        <v>148</v>
      </c>
      <c r="K1615" s="6">
        <v>410</v>
      </c>
      <c r="L1615" s="6" t="s">
        <v>42</v>
      </c>
      <c r="M1615" s="6" t="s">
        <v>34</v>
      </c>
    </row>
    <row r="1616" spans="1:13">
      <c r="A1616" s="6" t="s">
        <v>2894</v>
      </c>
      <c r="B1616" s="7">
        <v>46151</v>
      </c>
      <c r="C1616" s="6" t="s">
        <v>707</v>
      </c>
      <c r="D1616" s="6" t="s">
        <v>127</v>
      </c>
      <c r="E1616" s="6" t="s">
        <v>28</v>
      </c>
      <c r="F1616" s="6" t="s">
        <v>85</v>
      </c>
      <c r="G1616" s="6" t="s">
        <v>86</v>
      </c>
      <c r="H1616" s="6">
        <v>1</v>
      </c>
      <c r="I1616" s="6" t="s">
        <v>769</v>
      </c>
      <c r="J1616" s="6" t="s">
        <v>60</v>
      </c>
      <c r="K1616" s="6" t="s">
        <v>87</v>
      </c>
      <c r="L1616" s="6" t="s">
        <v>42</v>
      </c>
      <c r="M1616" s="6" t="s">
        <v>34</v>
      </c>
    </row>
    <row r="1617" spans="1:13">
      <c r="A1617" s="6" t="s">
        <v>2895</v>
      </c>
      <c r="B1617" s="7">
        <v>46332</v>
      </c>
      <c r="C1617" s="6" t="s">
        <v>2033</v>
      </c>
      <c r="D1617" s="6" t="s">
        <v>127</v>
      </c>
      <c r="E1617" s="6" t="s">
        <v>28</v>
      </c>
      <c r="F1617" s="6" t="s">
        <v>58</v>
      </c>
      <c r="G1617" s="6" t="s">
        <v>59</v>
      </c>
      <c r="H1617" s="6">
        <v>1</v>
      </c>
      <c r="I1617" s="6" t="s">
        <v>143</v>
      </c>
      <c r="J1617" s="6" t="s">
        <v>143</v>
      </c>
      <c r="K1617" s="6" t="s">
        <v>61</v>
      </c>
      <c r="L1617" s="6" t="s">
        <v>42</v>
      </c>
      <c r="M1617" s="6" t="s">
        <v>34</v>
      </c>
    </row>
    <row r="1618" spans="1:13">
      <c r="A1618" s="6" t="s">
        <v>2896</v>
      </c>
      <c r="B1618" s="6" t="s">
        <v>2656</v>
      </c>
      <c r="C1618" s="6" t="s">
        <v>1065</v>
      </c>
      <c r="D1618" s="6" t="s">
        <v>27</v>
      </c>
      <c r="E1618" s="6" t="s">
        <v>28</v>
      </c>
      <c r="F1618" s="6" t="s">
        <v>29</v>
      </c>
      <c r="G1618" s="6" t="s">
        <v>30</v>
      </c>
      <c r="H1618" s="6">
        <v>1</v>
      </c>
      <c r="I1618" s="6" t="s">
        <v>90</v>
      </c>
      <c r="J1618" s="6" t="s">
        <v>90</v>
      </c>
      <c r="K1618" s="6" t="s">
        <v>41</v>
      </c>
      <c r="L1618" s="6" t="s">
        <v>42</v>
      </c>
      <c r="M1618" s="6" t="s">
        <v>69</v>
      </c>
    </row>
    <row r="1619" spans="1:13">
      <c r="A1619" s="6" t="s">
        <v>2897</v>
      </c>
      <c r="B1619" s="7">
        <v>46063</v>
      </c>
      <c r="C1619" s="6" t="s">
        <v>331</v>
      </c>
      <c r="D1619" s="6" t="s">
        <v>45</v>
      </c>
      <c r="E1619" s="6" t="s">
        <v>46</v>
      </c>
      <c r="F1619" s="6" t="s">
        <v>100</v>
      </c>
      <c r="G1619" s="6" t="s">
        <v>101</v>
      </c>
      <c r="H1619" s="6">
        <v>2</v>
      </c>
      <c r="I1619" s="6" t="s">
        <v>40</v>
      </c>
      <c r="J1619" s="6" t="s">
        <v>327</v>
      </c>
      <c r="K1619" s="6">
        <v>640</v>
      </c>
      <c r="L1619" s="6" t="s">
        <v>42</v>
      </c>
      <c r="M1619" s="6" t="s">
        <v>69</v>
      </c>
    </row>
    <row r="1620" spans="1:13">
      <c r="A1620" s="6" t="s">
        <v>2898</v>
      </c>
      <c r="B1620" s="7">
        <v>46208</v>
      </c>
      <c r="C1620" s="6" t="s">
        <v>524</v>
      </c>
      <c r="D1620" s="6" t="s">
        <v>105</v>
      </c>
      <c r="E1620" s="6" t="s">
        <v>28</v>
      </c>
      <c r="F1620" s="6" t="s">
        <v>100</v>
      </c>
      <c r="G1620" s="6" t="s">
        <v>101</v>
      </c>
      <c r="H1620" s="6">
        <v>2</v>
      </c>
      <c r="I1620" s="6" t="s">
        <v>60</v>
      </c>
      <c r="J1620" s="6" t="s">
        <v>189</v>
      </c>
      <c r="K1620" s="6" t="s">
        <v>119</v>
      </c>
      <c r="L1620" s="6" t="s">
        <v>42</v>
      </c>
      <c r="M1620" s="6" t="s">
        <v>34</v>
      </c>
    </row>
    <row r="1621" spans="1:13">
      <c r="A1621" s="6" t="s">
        <v>2899</v>
      </c>
      <c r="B1621" s="7">
        <v>46115</v>
      </c>
      <c r="C1621" s="6" t="s">
        <v>949</v>
      </c>
      <c r="D1621" s="6" t="s">
        <v>64</v>
      </c>
      <c r="E1621" s="6" t="s">
        <v>28</v>
      </c>
      <c r="F1621" s="6" t="s">
        <v>38</v>
      </c>
      <c r="G1621" s="6" t="s">
        <v>39</v>
      </c>
      <c r="H1621" s="6">
        <v>1</v>
      </c>
      <c r="I1621" s="6" t="s">
        <v>90</v>
      </c>
      <c r="J1621" s="6" t="s">
        <v>90</v>
      </c>
      <c r="K1621" s="6">
        <v>520</v>
      </c>
      <c r="L1621" s="6" t="s">
        <v>42</v>
      </c>
      <c r="M1621" s="6" t="s">
        <v>69</v>
      </c>
    </row>
    <row r="1622" spans="1:13">
      <c r="A1622" s="6" t="s">
        <v>2900</v>
      </c>
      <c r="B1622" s="7">
        <v>46079</v>
      </c>
      <c r="C1622" s="6" t="s">
        <v>2901</v>
      </c>
      <c r="D1622" s="6" t="s">
        <v>27</v>
      </c>
      <c r="E1622" s="6" t="s">
        <v>46</v>
      </c>
      <c r="F1622" s="6" t="s">
        <v>58</v>
      </c>
      <c r="G1622" s="6" t="s">
        <v>59</v>
      </c>
      <c r="H1622" s="6">
        <v>1</v>
      </c>
      <c r="I1622" s="6" t="s">
        <v>31</v>
      </c>
      <c r="J1622" s="6" t="s">
        <v>31</v>
      </c>
      <c r="K1622" s="6">
        <v>380</v>
      </c>
      <c r="L1622" s="6" t="s">
        <v>33</v>
      </c>
      <c r="M1622" s="6" t="s">
        <v>34</v>
      </c>
    </row>
    <row r="1623" spans="1:13">
      <c r="A1623" s="6" t="s">
        <v>2902</v>
      </c>
      <c r="B1623" s="7">
        <v>46144</v>
      </c>
      <c r="C1623" s="6" t="s">
        <v>871</v>
      </c>
      <c r="D1623" s="6" t="s">
        <v>105</v>
      </c>
      <c r="E1623" s="6" t="s">
        <v>78</v>
      </c>
      <c r="F1623" s="6" t="s">
        <v>38</v>
      </c>
      <c r="G1623" s="6" t="s">
        <v>39</v>
      </c>
      <c r="H1623" s="6">
        <v>3</v>
      </c>
      <c r="I1623" s="6" t="s">
        <v>147</v>
      </c>
      <c r="J1623" s="6" t="s">
        <v>148</v>
      </c>
      <c r="K1623" s="6">
        <v>520</v>
      </c>
      <c r="L1623" s="6" t="s">
        <v>42</v>
      </c>
      <c r="M1623" s="6" t="s">
        <v>34</v>
      </c>
    </row>
    <row r="1624" spans="1:13">
      <c r="A1624" s="6" t="s">
        <v>2903</v>
      </c>
      <c r="B1624" s="7">
        <v>46088</v>
      </c>
      <c r="C1624" s="6" t="s">
        <v>892</v>
      </c>
      <c r="D1624" s="6" t="s">
        <v>127</v>
      </c>
      <c r="E1624" s="6" t="s">
        <v>37</v>
      </c>
      <c r="F1624" s="6" t="s">
        <v>29</v>
      </c>
      <c r="G1624" s="6" t="s">
        <v>30</v>
      </c>
      <c r="H1624" s="6">
        <v>1</v>
      </c>
      <c r="I1624" s="6" t="s">
        <v>90</v>
      </c>
      <c r="J1624" s="6" t="s">
        <v>90</v>
      </c>
      <c r="K1624" s="6">
        <v>520</v>
      </c>
      <c r="L1624" s="6" t="s">
        <v>42</v>
      </c>
      <c r="M1624" s="6" t="s">
        <v>34</v>
      </c>
    </row>
    <row r="1625" spans="1:13">
      <c r="A1625" s="6" t="s">
        <v>2904</v>
      </c>
      <c r="B1625" s="7">
        <v>46096</v>
      </c>
      <c r="C1625" s="6" t="s">
        <v>2905</v>
      </c>
      <c r="D1625" s="6" t="s">
        <v>57</v>
      </c>
      <c r="E1625" s="6" t="s">
        <v>78</v>
      </c>
      <c r="F1625" s="6" t="s">
        <v>47</v>
      </c>
      <c r="G1625" s="6" t="s">
        <v>48</v>
      </c>
      <c r="H1625" s="6">
        <v>1</v>
      </c>
      <c r="I1625" s="6" t="s">
        <v>113</v>
      </c>
      <c r="J1625" s="6" t="s">
        <v>113</v>
      </c>
      <c r="K1625" s="6">
        <v>85</v>
      </c>
      <c r="L1625" s="6" t="s">
        <v>33</v>
      </c>
      <c r="M1625" s="6" t="s">
        <v>69</v>
      </c>
    </row>
    <row r="1626" spans="1:13">
      <c r="A1626" s="6" t="s">
        <v>2906</v>
      </c>
      <c r="B1626" s="7">
        <v>46117</v>
      </c>
      <c r="C1626" s="6" t="s">
        <v>2907</v>
      </c>
      <c r="D1626" s="6" t="s">
        <v>57</v>
      </c>
      <c r="E1626" s="6" t="s">
        <v>37</v>
      </c>
      <c r="F1626" s="6" t="s">
        <v>58</v>
      </c>
      <c r="G1626" s="6" t="s">
        <v>59</v>
      </c>
      <c r="H1626" s="6">
        <v>1</v>
      </c>
      <c r="I1626" s="6" t="s">
        <v>73</v>
      </c>
      <c r="J1626" s="6" t="s">
        <v>73</v>
      </c>
      <c r="K1626" s="6">
        <v>380</v>
      </c>
      <c r="L1626" s="6" t="s">
        <v>33</v>
      </c>
      <c r="M1626" s="6" t="s">
        <v>34</v>
      </c>
    </row>
    <row r="1627" spans="1:13">
      <c r="A1627" s="6" t="s">
        <v>2908</v>
      </c>
      <c r="B1627" s="7">
        <v>46120</v>
      </c>
      <c r="C1627" s="6" t="s">
        <v>2909</v>
      </c>
      <c r="D1627" s="6" t="s">
        <v>127</v>
      </c>
      <c r="E1627" s="6" t="s">
        <v>46</v>
      </c>
      <c r="F1627" s="6" t="s">
        <v>47</v>
      </c>
      <c r="G1627" s="6" t="s">
        <v>48</v>
      </c>
      <c r="H1627" s="6">
        <v>1</v>
      </c>
      <c r="I1627" s="6" t="s">
        <v>31</v>
      </c>
      <c r="J1627" s="6" t="s">
        <v>31</v>
      </c>
      <c r="K1627" s="6">
        <v>85</v>
      </c>
      <c r="L1627" s="6" t="s">
        <v>33</v>
      </c>
      <c r="M1627" s="6" t="s">
        <v>69</v>
      </c>
    </row>
    <row r="1628" spans="1:13">
      <c r="A1628" s="6" t="s">
        <v>2910</v>
      </c>
      <c r="B1628" s="7">
        <v>46112</v>
      </c>
      <c r="C1628" s="6" t="s">
        <v>492</v>
      </c>
      <c r="D1628" s="6" t="s">
        <v>105</v>
      </c>
      <c r="E1628" s="6" t="s">
        <v>78</v>
      </c>
      <c r="F1628" s="6" t="s">
        <v>58</v>
      </c>
      <c r="G1628" s="6" t="s">
        <v>59</v>
      </c>
      <c r="H1628" s="6">
        <v>2</v>
      </c>
      <c r="I1628" s="6" t="s">
        <v>113</v>
      </c>
      <c r="J1628" s="6" t="s">
        <v>192</v>
      </c>
      <c r="K1628" s="6">
        <v>380</v>
      </c>
      <c r="L1628" s="6" t="s">
        <v>42</v>
      </c>
      <c r="M1628" s="6" t="s">
        <v>34</v>
      </c>
    </row>
    <row r="1629" spans="1:13">
      <c r="A1629" s="6" t="s">
        <v>2911</v>
      </c>
      <c r="B1629" s="7">
        <v>46140</v>
      </c>
      <c r="C1629" s="6" t="s">
        <v>240</v>
      </c>
      <c r="D1629" s="6" t="s">
        <v>77</v>
      </c>
      <c r="E1629" s="6" t="s">
        <v>37</v>
      </c>
      <c r="F1629" s="6" t="s">
        <v>38</v>
      </c>
      <c r="G1629" s="6" t="s">
        <v>39</v>
      </c>
      <c r="H1629" s="6">
        <v>1</v>
      </c>
      <c r="I1629" s="6" t="s">
        <v>31</v>
      </c>
      <c r="J1629" s="6" t="s">
        <v>31</v>
      </c>
      <c r="K1629" s="6" t="s">
        <v>41</v>
      </c>
      <c r="L1629" s="6" t="s">
        <v>42</v>
      </c>
      <c r="M1629" s="6" t="s">
        <v>34</v>
      </c>
    </row>
    <row r="1630" spans="1:13">
      <c r="A1630" s="6" t="s">
        <v>2912</v>
      </c>
      <c r="B1630" s="7">
        <v>46134</v>
      </c>
      <c r="C1630" s="6" t="s">
        <v>2387</v>
      </c>
      <c r="D1630" s="6" t="s">
        <v>57</v>
      </c>
      <c r="E1630" s="6" t="s">
        <v>52</v>
      </c>
      <c r="F1630" s="6" t="s">
        <v>47</v>
      </c>
      <c r="G1630" s="6" t="s">
        <v>48</v>
      </c>
      <c r="H1630" s="6">
        <v>2</v>
      </c>
      <c r="I1630" s="6" t="s">
        <v>143</v>
      </c>
      <c r="J1630" s="6" t="s">
        <v>144</v>
      </c>
      <c r="K1630" s="6" t="s">
        <v>49</v>
      </c>
      <c r="L1630" s="6" t="s">
        <v>42</v>
      </c>
      <c r="M1630" s="6" t="s">
        <v>34</v>
      </c>
    </row>
    <row r="1631" spans="1:13">
      <c r="A1631" s="6" t="s">
        <v>2913</v>
      </c>
      <c r="B1631" s="7">
        <v>46035</v>
      </c>
      <c r="C1631" s="6" t="s">
        <v>1307</v>
      </c>
      <c r="D1631" s="6" t="s">
        <v>45</v>
      </c>
      <c r="E1631" s="6" t="s">
        <v>37</v>
      </c>
      <c r="F1631" s="6" t="s">
        <v>53</v>
      </c>
      <c r="G1631" s="6" t="s">
        <v>54</v>
      </c>
      <c r="H1631" s="6">
        <v>2</v>
      </c>
      <c r="I1631" s="6" t="s">
        <v>79</v>
      </c>
      <c r="J1631" s="6" t="s">
        <v>259</v>
      </c>
      <c r="K1631" s="6">
        <v>190</v>
      </c>
      <c r="L1631" s="6" t="s">
        <v>42</v>
      </c>
      <c r="M1631" s="6" t="s">
        <v>34</v>
      </c>
    </row>
    <row r="1632" spans="1:13">
      <c r="A1632" s="6" t="s">
        <v>2914</v>
      </c>
      <c r="B1632" s="6" t="s">
        <v>621</v>
      </c>
      <c r="C1632" s="6" t="s">
        <v>1210</v>
      </c>
      <c r="D1632" s="6" t="s">
        <v>27</v>
      </c>
      <c r="E1632" s="6" t="s">
        <v>52</v>
      </c>
      <c r="F1632" s="6" t="s">
        <v>85</v>
      </c>
      <c r="G1632" s="6" t="s">
        <v>86</v>
      </c>
      <c r="H1632" s="6">
        <v>1</v>
      </c>
      <c r="I1632" s="6" t="s">
        <v>113</v>
      </c>
      <c r="J1632" s="6" t="s">
        <v>113</v>
      </c>
      <c r="K1632" s="6" t="s">
        <v>87</v>
      </c>
      <c r="L1632" s="6" t="s">
        <v>42</v>
      </c>
      <c r="M1632" s="6" t="s">
        <v>34</v>
      </c>
    </row>
    <row r="1633" spans="1:13">
      <c r="A1633" s="6" t="s">
        <v>2915</v>
      </c>
      <c r="B1633" s="7">
        <v>46178</v>
      </c>
      <c r="C1633" s="6" t="s">
        <v>1809</v>
      </c>
      <c r="D1633" s="6" t="s">
        <v>72</v>
      </c>
      <c r="E1633" s="6" t="s">
        <v>52</v>
      </c>
      <c r="F1633" s="6" t="s">
        <v>47</v>
      </c>
      <c r="G1633" s="6" t="s">
        <v>48</v>
      </c>
      <c r="H1633" s="6">
        <v>1</v>
      </c>
      <c r="I1633" s="6" t="s">
        <v>143</v>
      </c>
      <c r="J1633" s="6" t="s">
        <v>143</v>
      </c>
      <c r="K1633" s="6" t="s">
        <v>49</v>
      </c>
      <c r="L1633" s="6" t="s">
        <v>33</v>
      </c>
      <c r="M1633" s="6" t="s">
        <v>34</v>
      </c>
    </row>
    <row r="1634" spans="1:13">
      <c r="A1634" s="6" t="s">
        <v>2916</v>
      </c>
      <c r="B1634" s="7">
        <v>46111</v>
      </c>
      <c r="C1634" s="6" t="s">
        <v>2917</v>
      </c>
      <c r="D1634" s="6" t="s">
        <v>57</v>
      </c>
      <c r="E1634" s="6" t="s">
        <v>52</v>
      </c>
      <c r="F1634" s="6" t="s">
        <v>100</v>
      </c>
      <c r="G1634" s="6" t="s">
        <v>101</v>
      </c>
      <c r="H1634" s="6">
        <v>2</v>
      </c>
      <c r="I1634" s="6" t="s">
        <v>117</v>
      </c>
      <c r="J1634" s="6" t="s">
        <v>118</v>
      </c>
      <c r="K1634" s="6">
        <v>640</v>
      </c>
      <c r="L1634" s="6" t="s">
        <v>42</v>
      </c>
      <c r="M1634" s="6" t="s">
        <v>69</v>
      </c>
    </row>
    <row r="1635" spans="1:13">
      <c r="A1635" s="6" t="s">
        <v>2918</v>
      </c>
      <c r="B1635" s="7">
        <v>46205</v>
      </c>
      <c r="C1635" s="6" t="s">
        <v>2919</v>
      </c>
      <c r="D1635" s="6" t="s">
        <v>57</v>
      </c>
      <c r="E1635" s="6" t="s">
        <v>28</v>
      </c>
      <c r="F1635" s="6" t="s">
        <v>29</v>
      </c>
      <c r="G1635" s="6" t="s">
        <v>30</v>
      </c>
      <c r="H1635" s="6">
        <v>1</v>
      </c>
      <c r="I1635" s="6" t="s">
        <v>265</v>
      </c>
      <c r="J1635" s="6" t="s">
        <v>265</v>
      </c>
      <c r="K1635" s="6" t="s">
        <v>41</v>
      </c>
      <c r="L1635" s="6" t="s">
        <v>33</v>
      </c>
      <c r="M1635" s="6" t="s">
        <v>34</v>
      </c>
    </row>
    <row r="1636" spans="1:13">
      <c r="A1636" s="6" t="s">
        <v>2920</v>
      </c>
      <c r="B1636" s="7">
        <v>46030</v>
      </c>
      <c r="C1636" s="6" t="s">
        <v>2594</v>
      </c>
      <c r="D1636" s="6" t="s">
        <v>127</v>
      </c>
      <c r="E1636" s="6" t="s">
        <v>78</v>
      </c>
      <c r="F1636" s="6" t="s">
        <v>58</v>
      </c>
      <c r="G1636" s="6" t="s">
        <v>59</v>
      </c>
      <c r="H1636" s="6">
        <v>1</v>
      </c>
      <c r="I1636" s="6" t="s">
        <v>79</v>
      </c>
      <c r="J1636" s="6" t="s">
        <v>79</v>
      </c>
      <c r="K1636" s="6">
        <v>380</v>
      </c>
      <c r="L1636" s="6" t="s">
        <v>42</v>
      </c>
      <c r="M1636" s="6" t="s">
        <v>34</v>
      </c>
    </row>
    <row r="1637" spans="1:13">
      <c r="A1637" s="6" t="s">
        <v>2921</v>
      </c>
      <c r="B1637" s="7">
        <v>46129</v>
      </c>
      <c r="C1637" s="6" t="s">
        <v>2063</v>
      </c>
      <c r="D1637" s="6" t="s">
        <v>64</v>
      </c>
      <c r="E1637" s="6" t="s">
        <v>46</v>
      </c>
      <c r="F1637" s="6" t="s">
        <v>100</v>
      </c>
      <c r="G1637" s="6" t="s">
        <v>101</v>
      </c>
      <c r="H1637" s="6">
        <v>2</v>
      </c>
      <c r="I1637" s="6" t="s">
        <v>79</v>
      </c>
      <c r="J1637" s="6" t="s">
        <v>259</v>
      </c>
      <c r="K1637" s="6">
        <v>640</v>
      </c>
      <c r="L1637" s="6" t="s">
        <v>33</v>
      </c>
      <c r="M1637" s="6" t="s">
        <v>34</v>
      </c>
    </row>
    <row r="1638" spans="1:13">
      <c r="A1638" s="6" t="s">
        <v>2922</v>
      </c>
      <c r="B1638" s="7">
        <v>46068</v>
      </c>
      <c r="C1638" s="6" t="s">
        <v>2923</v>
      </c>
      <c r="D1638" s="6" t="s">
        <v>64</v>
      </c>
      <c r="E1638" s="6" t="s">
        <v>28</v>
      </c>
      <c r="F1638" s="6" t="s">
        <v>38</v>
      </c>
      <c r="G1638" s="6" t="s">
        <v>39</v>
      </c>
      <c r="H1638" s="6">
        <v>1</v>
      </c>
      <c r="I1638" s="6" t="s">
        <v>60</v>
      </c>
      <c r="J1638" s="6" t="s">
        <v>60</v>
      </c>
      <c r="K1638" s="6">
        <v>520</v>
      </c>
      <c r="L1638" s="6" t="s">
        <v>42</v>
      </c>
      <c r="M1638" s="6" t="s">
        <v>34</v>
      </c>
    </row>
    <row r="1639" spans="1:13">
      <c r="A1639" s="6" t="s">
        <v>2924</v>
      </c>
      <c r="B1639" s="7">
        <v>46128</v>
      </c>
      <c r="C1639" s="6" t="s">
        <v>2925</v>
      </c>
      <c r="D1639" s="6" t="s">
        <v>27</v>
      </c>
      <c r="E1639" s="6" t="s">
        <v>28</v>
      </c>
      <c r="F1639" s="6" t="s">
        <v>29</v>
      </c>
      <c r="G1639" s="6" t="s">
        <v>30</v>
      </c>
      <c r="H1639" s="6">
        <v>1</v>
      </c>
      <c r="I1639" s="6" t="s">
        <v>40</v>
      </c>
      <c r="J1639" s="6" t="s">
        <v>40</v>
      </c>
      <c r="K1639" s="6">
        <v>520</v>
      </c>
      <c r="L1639" s="6" t="s">
        <v>33</v>
      </c>
      <c r="M1639" s="6" t="s">
        <v>34</v>
      </c>
    </row>
    <row r="1640" spans="1:13">
      <c r="A1640" s="6" t="s">
        <v>2926</v>
      </c>
      <c r="B1640" s="7">
        <v>46096</v>
      </c>
      <c r="C1640" s="6" t="s">
        <v>2707</v>
      </c>
      <c r="D1640" s="6" t="s">
        <v>64</v>
      </c>
      <c r="E1640" s="6" t="s">
        <v>52</v>
      </c>
      <c r="F1640" s="6" t="s">
        <v>53</v>
      </c>
      <c r="G1640" s="6" t="s">
        <v>54</v>
      </c>
      <c r="H1640" s="6">
        <v>1</v>
      </c>
      <c r="I1640" s="6" t="s">
        <v>90</v>
      </c>
      <c r="J1640" s="6" t="s">
        <v>90</v>
      </c>
      <c r="K1640" s="6">
        <v>190</v>
      </c>
      <c r="L1640" s="6" t="s">
        <v>42</v>
      </c>
      <c r="M1640" s="6" t="s">
        <v>34</v>
      </c>
    </row>
    <row r="1641" spans="1:13">
      <c r="A1641" s="6" t="s">
        <v>2927</v>
      </c>
      <c r="B1641" s="7">
        <v>46187</v>
      </c>
      <c r="C1641" s="6" t="s">
        <v>414</v>
      </c>
      <c r="D1641" s="6" t="s">
        <v>105</v>
      </c>
      <c r="E1641" s="6" t="s">
        <v>37</v>
      </c>
      <c r="F1641" s="6" t="s">
        <v>53</v>
      </c>
      <c r="G1641" s="6" t="s">
        <v>54</v>
      </c>
      <c r="H1641" s="6">
        <v>2</v>
      </c>
      <c r="I1641" s="6" t="s">
        <v>265</v>
      </c>
      <c r="J1641" s="6" t="s">
        <v>167</v>
      </c>
      <c r="K1641" s="6" t="s">
        <v>122</v>
      </c>
      <c r="L1641" s="6" t="s">
        <v>42</v>
      </c>
      <c r="M1641" s="6" t="s">
        <v>69</v>
      </c>
    </row>
    <row r="1642" spans="1:13">
      <c r="A1642" s="6" t="s">
        <v>2928</v>
      </c>
      <c r="B1642" s="7">
        <v>46143</v>
      </c>
      <c r="C1642" s="6" t="s">
        <v>2053</v>
      </c>
      <c r="D1642" s="6" t="s">
        <v>57</v>
      </c>
      <c r="E1642" s="6" t="s">
        <v>28</v>
      </c>
      <c r="F1642" s="6" t="s">
        <v>100</v>
      </c>
      <c r="G1642" s="6" t="s">
        <v>101</v>
      </c>
      <c r="H1642" s="6">
        <v>2</v>
      </c>
      <c r="I1642" s="6" t="s">
        <v>143</v>
      </c>
      <c r="J1642" s="6" t="s">
        <v>144</v>
      </c>
      <c r="K1642" s="6" t="s">
        <v>119</v>
      </c>
      <c r="L1642" s="6" t="s">
        <v>42</v>
      </c>
      <c r="M1642" s="6" t="s">
        <v>69</v>
      </c>
    </row>
    <row r="1643" spans="1:13">
      <c r="A1643" s="6" t="s">
        <v>2929</v>
      </c>
      <c r="B1643" s="7">
        <v>46128</v>
      </c>
      <c r="C1643" s="6" t="s">
        <v>2930</v>
      </c>
      <c r="D1643" s="6" t="s">
        <v>27</v>
      </c>
      <c r="E1643" s="6" t="s">
        <v>46</v>
      </c>
      <c r="F1643" s="6" t="s">
        <v>38</v>
      </c>
      <c r="G1643" s="6" t="s">
        <v>39</v>
      </c>
      <c r="H1643" s="6">
        <v>-1</v>
      </c>
      <c r="I1643" s="6" t="s">
        <v>231</v>
      </c>
      <c r="J1643" s="8" t="s">
        <v>2931</v>
      </c>
      <c r="K1643" s="6">
        <v>520</v>
      </c>
      <c r="L1643" s="6" t="s">
        <v>42</v>
      </c>
      <c r="M1643" s="6" t="s">
        <v>34</v>
      </c>
    </row>
    <row r="1644" spans="1:13">
      <c r="A1644" s="6" t="s">
        <v>2932</v>
      </c>
      <c r="B1644" s="7">
        <v>46208</v>
      </c>
      <c r="C1644" s="6" t="s">
        <v>2039</v>
      </c>
      <c r="D1644" s="6" t="s">
        <v>64</v>
      </c>
      <c r="E1644" s="6" t="s">
        <v>52</v>
      </c>
      <c r="F1644" s="6" t="s">
        <v>58</v>
      </c>
      <c r="G1644" s="6" t="s">
        <v>59</v>
      </c>
      <c r="H1644" s="6">
        <v>2</v>
      </c>
      <c r="I1644" s="6" t="s">
        <v>60</v>
      </c>
      <c r="J1644" s="6" t="s">
        <v>189</v>
      </c>
      <c r="K1644" s="6" t="s">
        <v>61</v>
      </c>
      <c r="L1644" s="6" t="s">
        <v>42</v>
      </c>
      <c r="M1644" s="6" t="s">
        <v>34</v>
      </c>
    </row>
    <row r="1645" spans="1:13">
      <c r="A1645" s="6" t="s">
        <v>2933</v>
      </c>
      <c r="B1645" s="7">
        <v>46074</v>
      </c>
      <c r="C1645" s="6" t="s">
        <v>1865</v>
      </c>
      <c r="D1645" s="6" t="s">
        <v>72</v>
      </c>
      <c r="E1645" s="6" t="s">
        <v>37</v>
      </c>
      <c r="F1645" s="6" t="s">
        <v>94</v>
      </c>
      <c r="G1645" s="6" t="s">
        <v>95</v>
      </c>
      <c r="H1645" s="6">
        <v>1</v>
      </c>
      <c r="I1645" s="6" t="s">
        <v>1224</v>
      </c>
      <c r="J1645" s="6" t="s">
        <v>117</v>
      </c>
      <c r="K1645" s="6">
        <v>340</v>
      </c>
      <c r="L1645" s="6" t="s">
        <v>42</v>
      </c>
      <c r="M1645" s="6" t="s">
        <v>34</v>
      </c>
    </row>
    <row r="1646" spans="1:13">
      <c r="A1646" s="6" t="s">
        <v>2934</v>
      </c>
      <c r="B1646" s="7">
        <v>46114</v>
      </c>
      <c r="C1646" s="6" t="s">
        <v>109</v>
      </c>
      <c r="D1646" s="6" t="s">
        <v>27</v>
      </c>
      <c r="E1646" s="6" t="s">
        <v>37</v>
      </c>
      <c r="F1646" s="6" t="s">
        <v>29</v>
      </c>
      <c r="G1646" s="6" t="s">
        <v>30</v>
      </c>
      <c r="H1646" s="6">
        <v>3</v>
      </c>
      <c r="I1646" s="6" t="s">
        <v>90</v>
      </c>
      <c r="J1646" s="6" t="s">
        <v>102</v>
      </c>
      <c r="K1646" s="6">
        <v>520</v>
      </c>
      <c r="L1646" s="6" t="s">
        <v>42</v>
      </c>
      <c r="M1646" s="6" t="s">
        <v>34</v>
      </c>
    </row>
    <row r="1647" spans="1:13">
      <c r="A1647" s="6" t="s">
        <v>2935</v>
      </c>
      <c r="B1647" s="7">
        <v>46146</v>
      </c>
      <c r="C1647" s="6" t="s">
        <v>2936</v>
      </c>
      <c r="D1647" s="6" t="s">
        <v>64</v>
      </c>
      <c r="E1647" s="6" t="s">
        <v>37</v>
      </c>
      <c r="F1647" s="6" t="s">
        <v>100</v>
      </c>
      <c r="G1647" s="6" t="s">
        <v>101</v>
      </c>
      <c r="H1647" s="6">
        <v>1</v>
      </c>
      <c r="I1647" s="6" t="s">
        <v>117</v>
      </c>
      <c r="J1647" s="6" t="s">
        <v>117</v>
      </c>
      <c r="K1647" s="6" t="s">
        <v>119</v>
      </c>
      <c r="L1647" s="6" t="s">
        <v>42</v>
      </c>
      <c r="M1647" s="6" t="s">
        <v>34</v>
      </c>
    </row>
    <row r="1648" spans="1:13">
      <c r="A1648" s="6" t="s">
        <v>2937</v>
      </c>
      <c r="B1648" s="7">
        <v>46154</v>
      </c>
      <c r="C1648" s="6" t="s">
        <v>81</v>
      </c>
      <c r="D1648" s="6" t="s">
        <v>105</v>
      </c>
      <c r="E1648" s="6" t="s">
        <v>28</v>
      </c>
      <c r="F1648" s="6" t="s">
        <v>100</v>
      </c>
      <c r="G1648" s="6" t="s">
        <v>101</v>
      </c>
      <c r="H1648" s="6">
        <v>2</v>
      </c>
      <c r="I1648" s="6" t="s">
        <v>265</v>
      </c>
      <c r="J1648" s="6" t="s">
        <v>167</v>
      </c>
      <c r="K1648" s="6" t="s">
        <v>119</v>
      </c>
      <c r="L1648" s="6" t="s">
        <v>42</v>
      </c>
      <c r="M1648" s="6" t="s">
        <v>34</v>
      </c>
    </row>
    <row r="1649" spans="1:13">
      <c r="A1649" s="6" t="s">
        <v>2938</v>
      </c>
      <c r="B1649" s="7">
        <v>46099</v>
      </c>
      <c r="C1649" s="6" t="s">
        <v>1210</v>
      </c>
      <c r="D1649" s="6" t="s">
        <v>64</v>
      </c>
      <c r="E1649" s="6" t="s">
        <v>46</v>
      </c>
      <c r="F1649" s="6" t="s">
        <v>47</v>
      </c>
      <c r="G1649" s="6" t="s">
        <v>48</v>
      </c>
      <c r="H1649" s="6">
        <v>1</v>
      </c>
      <c r="I1649" s="6" t="s">
        <v>117</v>
      </c>
      <c r="J1649" s="6" t="s">
        <v>117</v>
      </c>
      <c r="K1649" s="6">
        <v>85</v>
      </c>
      <c r="L1649" s="6" t="s">
        <v>33</v>
      </c>
      <c r="M1649" s="6" t="s">
        <v>34</v>
      </c>
    </row>
    <row r="1650" spans="1:13">
      <c r="A1650" s="6" t="s">
        <v>2939</v>
      </c>
      <c r="B1650" s="6" t="s">
        <v>2940</v>
      </c>
      <c r="C1650" s="6" t="s">
        <v>988</v>
      </c>
      <c r="D1650" s="6" t="s">
        <v>27</v>
      </c>
      <c r="E1650" s="6" t="s">
        <v>78</v>
      </c>
      <c r="F1650" s="6" t="s">
        <v>85</v>
      </c>
      <c r="G1650" s="6" t="s">
        <v>86</v>
      </c>
      <c r="H1650" s="6">
        <v>2</v>
      </c>
      <c r="I1650" s="6" t="s">
        <v>117</v>
      </c>
      <c r="J1650" s="6" t="s">
        <v>118</v>
      </c>
      <c r="K1650" s="6">
        <v>410</v>
      </c>
      <c r="L1650" s="6" t="s">
        <v>42</v>
      </c>
      <c r="M1650" s="6" t="s">
        <v>34</v>
      </c>
    </row>
    <row r="1651" spans="1:13">
      <c r="A1651" s="6" t="s">
        <v>2941</v>
      </c>
      <c r="B1651" s="7">
        <v>46033</v>
      </c>
      <c r="C1651" s="6" t="s">
        <v>2942</v>
      </c>
      <c r="D1651" s="6" t="s">
        <v>45</v>
      </c>
      <c r="E1651" s="6" t="s">
        <v>78</v>
      </c>
      <c r="F1651" s="6" t="s">
        <v>38</v>
      </c>
      <c r="G1651" s="6" t="s">
        <v>39</v>
      </c>
      <c r="H1651" s="6">
        <v>1</v>
      </c>
      <c r="I1651" s="6" t="s">
        <v>79</v>
      </c>
      <c r="J1651" s="6" t="s">
        <v>79</v>
      </c>
      <c r="K1651" s="6">
        <v>520</v>
      </c>
      <c r="L1651" s="6" t="s">
        <v>42</v>
      </c>
      <c r="M1651" s="6" t="s">
        <v>69</v>
      </c>
    </row>
    <row r="1652" spans="1:13">
      <c r="A1652" s="6" t="s">
        <v>2943</v>
      </c>
      <c r="B1652" s="7">
        <v>46111</v>
      </c>
      <c r="C1652" s="6" t="s">
        <v>2944</v>
      </c>
      <c r="D1652" s="6" t="s">
        <v>105</v>
      </c>
      <c r="E1652" s="6" t="s">
        <v>52</v>
      </c>
      <c r="F1652" s="6" t="s">
        <v>94</v>
      </c>
      <c r="G1652" s="6" t="s">
        <v>95</v>
      </c>
      <c r="H1652" s="6">
        <v>2</v>
      </c>
      <c r="I1652" s="6" t="s">
        <v>147</v>
      </c>
      <c r="J1652" s="6" t="s">
        <v>175</v>
      </c>
      <c r="K1652" s="6">
        <v>340</v>
      </c>
      <c r="L1652" s="6" t="s">
        <v>42</v>
      </c>
      <c r="M1652" s="6" t="s">
        <v>34</v>
      </c>
    </row>
    <row r="1653" spans="1:13">
      <c r="A1653" s="6" t="s">
        <v>2945</v>
      </c>
      <c r="B1653" s="7">
        <v>46039</v>
      </c>
      <c r="C1653" s="6" t="s">
        <v>1094</v>
      </c>
      <c r="D1653" s="6" t="s">
        <v>64</v>
      </c>
      <c r="E1653" s="6" t="s">
        <v>78</v>
      </c>
      <c r="F1653" s="6" t="s">
        <v>100</v>
      </c>
      <c r="G1653" s="6" t="s">
        <v>101</v>
      </c>
      <c r="H1653" s="6">
        <v>2</v>
      </c>
      <c r="I1653" s="6" t="s">
        <v>40</v>
      </c>
      <c r="J1653" s="6" t="s">
        <v>327</v>
      </c>
      <c r="K1653" s="6">
        <v>640</v>
      </c>
      <c r="L1653" s="6" t="s">
        <v>42</v>
      </c>
      <c r="M1653" s="6" t="s">
        <v>34</v>
      </c>
    </row>
    <row r="1654" spans="1:13">
      <c r="A1654" s="6" t="s">
        <v>2946</v>
      </c>
      <c r="B1654" s="7">
        <v>46057</v>
      </c>
      <c r="C1654" s="6" t="s">
        <v>532</v>
      </c>
      <c r="D1654" s="6" t="s">
        <v>77</v>
      </c>
      <c r="E1654" s="6" t="s">
        <v>78</v>
      </c>
      <c r="F1654" s="6" t="s">
        <v>29</v>
      </c>
      <c r="G1654" s="6" t="s">
        <v>30</v>
      </c>
      <c r="H1654" s="6">
        <v>2</v>
      </c>
      <c r="I1654" s="6" t="s">
        <v>117</v>
      </c>
      <c r="J1654" s="6" t="s">
        <v>118</v>
      </c>
      <c r="K1654" s="6">
        <v>520</v>
      </c>
      <c r="L1654" s="6" t="s">
        <v>42</v>
      </c>
      <c r="M1654" s="6" t="s">
        <v>34</v>
      </c>
    </row>
    <row r="1655" spans="1:13">
      <c r="A1655" s="6" t="s">
        <v>2947</v>
      </c>
      <c r="B1655" s="7">
        <v>46152</v>
      </c>
      <c r="C1655" s="6" t="s">
        <v>2161</v>
      </c>
      <c r="D1655" s="6" t="s">
        <v>45</v>
      </c>
      <c r="E1655" s="6" t="s">
        <v>78</v>
      </c>
      <c r="F1655" s="6" t="s">
        <v>85</v>
      </c>
      <c r="G1655" s="6" t="s">
        <v>86</v>
      </c>
      <c r="H1655" s="6">
        <v>1</v>
      </c>
      <c r="I1655" s="6" t="s">
        <v>73</v>
      </c>
      <c r="J1655" s="6" t="s">
        <v>73</v>
      </c>
      <c r="K1655" s="6" t="s">
        <v>87</v>
      </c>
      <c r="L1655" s="6" t="s">
        <v>33</v>
      </c>
      <c r="M1655" s="6" t="s">
        <v>34</v>
      </c>
    </row>
    <row r="1656" spans="1:13">
      <c r="A1656" s="6" t="s">
        <v>2948</v>
      </c>
      <c r="B1656" s="7">
        <v>46190</v>
      </c>
      <c r="C1656" s="6" t="s">
        <v>2484</v>
      </c>
      <c r="D1656" s="6" t="s">
        <v>57</v>
      </c>
      <c r="E1656" s="6" t="s">
        <v>78</v>
      </c>
      <c r="F1656" s="6" t="s">
        <v>94</v>
      </c>
      <c r="G1656" s="6" t="s">
        <v>95</v>
      </c>
      <c r="H1656" s="6">
        <v>1</v>
      </c>
      <c r="I1656" s="6" t="s">
        <v>73</v>
      </c>
      <c r="J1656" s="6" t="s">
        <v>73</v>
      </c>
      <c r="K1656" s="6" t="s">
        <v>114</v>
      </c>
      <c r="L1656" s="6" t="s">
        <v>33</v>
      </c>
      <c r="M1656" s="6" t="s">
        <v>69</v>
      </c>
    </row>
    <row r="1657" spans="1:13">
      <c r="A1657" s="6" t="s">
        <v>2949</v>
      </c>
      <c r="B1657" s="7">
        <v>46038</v>
      </c>
      <c r="C1657" s="6" t="s">
        <v>591</v>
      </c>
      <c r="D1657" s="6" t="s">
        <v>45</v>
      </c>
      <c r="E1657" s="6" t="s">
        <v>37</v>
      </c>
      <c r="F1657" s="6" t="s">
        <v>100</v>
      </c>
      <c r="G1657" s="6" t="s">
        <v>101</v>
      </c>
      <c r="H1657" s="6">
        <v>1</v>
      </c>
      <c r="I1657" s="6" t="s">
        <v>90</v>
      </c>
      <c r="J1657" s="6" t="s">
        <v>90</v>
      </c>
      <c r="K1657" s="6">
        <v>640</v>
      </c>
      <c r="L1657" s="6" t="s">
        <v>42</v>
      </c>
      <c r="M1657" s="6" t="s">
        <v>34</v>
      </c>
    </row>
    <row r="1658" spans="1:13">
      <c r="A1658" s="6" t="s">
        <v>2950</v>
      </c>
      <c r="B1658" s="7">
        <v>46173</v>
      </c>
      <c r="C1658" s="6" t="s">
        <v>1238</v>
      </c>
      <c r="D1658" s="6" t="s">
        <v>45</v>
      </c>
      <c r="E1658" s="6" t="s">
        <v>37</v>
      </c>
      <c r="F1658" s="6" t="s">
        <v>29</v>
      </c>
      <c r="G1658" s="6" t="s">
        <v>30</v>
      </c>
      <c r="H1658" s="6">
        <v>1</v>
      </c>
      <c r="I1658" s="6" t="s">
        <v>147</v>
      </c>
      <c r="J1658" s="6" t="s">
        <v>147</v>
      </c>
      <c r="K1658" s="6" t="s">
        <v>41</v>
      </c>
      <c r="L1658" s="6" t="s">
        <v>42</v>
      </c>
      <c r="M1658" s="6" t="s">
        <v>34</v>
      </c>
    </row>
    <row r="1659" spans="1:13">
      <c r="A1659" s="6" t="s">
        <v>2951</v>
      </c>
      <c r="B1659" s="7">
        <v>46119</v>
      </c>
      <c r="C1659" s="6" t="s">
        <v>436</v>
      </c>
      <c r="D1659" s="6" t="s">
        <v>45</v>
      </c>
      <c r="E1659" s="6" t="s">
        <v>52</v>
      </c>
      <c r="F1659" s="6" t="s">
        <v>29</v>
      </c>
      <c r="G1659" s="6" t="s">
        <v>30</v>
      </c>
      <c r="H1659" s="6">
        <v>3</v>
      </c>
      <c r="I1659" s="6" t="s">
        <v>113</v>
      </c>
      <c r="J1659" s="6" t="s">
        <v>138</v>
      </c>
      <c r="K1659" s="6">
        <v>520</v>
      </c>
      <c r="L1659" s="6" t="s">
        <v>42</v>
      </c>
      <c r="M1659" s="6" t="s">
        <v>34</v>
      </c>
    </row>
    <row r="1660" spans="1:13">
      <c r="A1660" s="6" t="s">
        <v>2952</v>
      </c>
      <c r="B1660" s="7">
        <v>46050</v>
      </c>
      <c r="C1660" s="6" t="s">
        <v>2512</v>
      </c>
      <c r="D1660" s="6" t="s">
        <v>45</v>
      </c>
      <c r="E1660" s="6" t="s">
        <v>52</v>
      </c>
      <c r="F1660" s="6" t="s">
        <v>85</v>
      </c>
      <c r="G1660" s="6" t="s">
        <v>86</v>
      </c>
      <c r="H1660" s="6">
        <v>2</v>
      </c>
      <c r="I1660" s="6" t="s">
        <v>90</v>
      </c>
      <c r="J1660" s="6" t="s">
        <v>154</v>
      </c>
      <c r="K1660" s="6">
        <v>410</v>
      </c>
      <c r="L1660" s="6" t="s">
        <v>42</v>
      </c>
      <c r="M1660" s="6" t="s">
        <v>34</v>
      </c>
    </row>
    <row r="1661" spans="1:13">
      <c r="A1661" s="6" t="s">
        <v>2953</v>
      </c>
      <c r="B1661" s="7">
        <v>46065</v>
      </c>
      <c r="C1661" s="6" t="s">
        <v>1683</v>
      </c>
      <c r="D1661" s="6" t="s">
        <v>45</v>
      </c>
      <c r="E1661" s="6" t="s">
        <v>52</v>
      </c>
      <c r="F1661" s="6" t="s">
        <v>38</v>
      </c>
      <c r="G1661" s="6" t="s">
        <v>39</v>
      </c>
      <c r="H1661" s="6">
        <v>1</v>
      </c>
      <c r="I1661" s="6" t="s">
        <v>2954</v>
      </c>
      <c r="J1661" s="6" t="s">
        <v>31</v>
      </c>
      <c r="K1661" s="6">
        <v>520</v>
      </c>
      <c r="L1661" s="6" t="s">
        <v>33</v>
      </c>
      <c r="M1661" s="6" t="s">
        <v>34</v>
      </c>
    </row>
    <row r="1662" spans="1:13">
      <c r="A1662" s="6" t="s">
        <v>2955</v>
      </c>
      <c r="B1662" s="7">
        <v>46146</v>
      </c>
      <c r="C1662" s="6" t="s">
        <v>2956</v>
      </c>
      <c r="D1662" s="6" t="s">
        <v>57</v>
      </c>
      <c r="E1662" s="6" t="s">
        <v>52</v>
      </c>
      <c r="F1662" s="6" t="s">
        <v>94</v>
      </c>
      <c r="G1662" s="6" t="s">
        <v>95</v>
      </c>
      <c r="H1662" s="6">
        <v>1</v>
      </c>
      <c r="I1662" s="6" t="s">
        <v>162</v>
      </c>
      <c r="J1662" s="6" t="s">
        <v>181</v>
      </c>
      <c r="K1662" s="6" t="s">
        <v>114</v>
      </c>
      <c r="L1662" s="6" t="s">
        <v>42</v>
      </c>
      <c r="M1662" s="6" t="s">
        <v>34</v>
      </c>
    </row>
    <row r="1663" spans="1:13">
      <c r="A1663" s="6" t="s">
        <v>2957</v>
      </c>
      <c r="B1663" s="7">
        <v>46141</v>
      </c>
      <c r="C1663" s="6" t="s">
        <v>2802</v>
      </c>
      <c r="D1663" s="6" t="s">
        <v>110</v>
      </c>
      <c r="E1663" s="6" t="s">
        <v>78</v>
      </c>
      <c r="F1663" s="6" t="s">
        <v>85</v>
      </c>
      <c r="G1663" s="6" t="s">
        <v>86</v>
      </c>
      <c r="H1663" s="6">
        <v>1</v>
      </c>
      <c r="I1663" s="6" t="s">
        <v>181</v>
      </c>
      <c r="J1663" s="6" t="s">
        <v>181</v>
      </c>
      <c r="K1663" s="6" t="s">
        <v>87</v>
      </c>
      <c r="L1663" s="6" t="s">
        <v>33</v>
      </c>
      <c r="M1663" s="6" t="s">
        <v>69</v>
      </c>
    </row>
    <row r="1664" spans="1:13">
      <c r="A1664" s="6" t="s">
        <v>2958</v>
      </c>
      <c r="B1664" s="7">
        <v>46101</v>
      </c>
      <c r="C1664" s="6" t="s">
        <v>711</v>
      </c>
      <c r="D1664" s="6" t="s">
        <v>27</v>
      </c>
      <c r="E1664" s="6" t="s">
        <v>78</v>
      </c>
      <c r="F1664" s="6" t="s">
        <v>53</v>
      </c>
      <c r="G1664" s="6" t="s">
        <v>54</v>
      </c>
      <c r="H1664" s="6">
        <v>1</v>
      </c>
      <c r="I1664" s="6" t="s">
        <v>67</v>
      </c>
      <c r="J1664" s="6" t="s">
        <v>67</v>
      </c>
      <c r="K1664" s="6">
        <v>190</v>
      </c>
      <c r="L1664" s="6" t="s">
        <v>42</v>
      </c>
      <c r="M1664" s="6" t="s">
        <v>34</v>
      </c>
    </row>
    <row r="1665" spans="1:13">
      <c r="A1665" s="6" t="s">
        <v>2959</v>
      </c>
      <c r="B1665" s="6" t="s">
        <v>1911</v>
      </c>
      <c r="C1665" s="6" t="s">
        <v>2960</v>
      </c>
      <c r="D1665" s="6" t="s">
        <v>57</v>
      </c>
      <c r="E1665" s="6" t="s">
        <v>52</v>
      </c>
      <c r="F1665" s="6" t="s">
        <v>29</v>
      </c>
      <c r="G1665" s="6" t="s">
        <v>30</v>
      </c>
      <c r="H1665" s="6">
        <v>3</v>
      </c>
      <c r="I1665" s="6" t="s">
        <v>265</v>
      </c>
      <c r="J1665" s="6" t="s">
        <v>401</v>
      </c>
      <c r="K1665" s="6" t="s">
        <v>41</v>
      </c>
      <c r="L1665" s="6" t="s">
        <v>42</v>
      </c>
      <c r="M1665" s="6" t="s">
        <v>69</v>
      </c>
    </row>
    <row r="1666" spans="1:13">
      <c r="A1666" s="6" t="s">
        <v>2961</v>
      </c>
      <c r="B1666" s="7">
        <v>46092</v>
      </c>
      <c r="C1666" s="6" t="s">
        <v>811</v>
      </c>
      <c r="D1666" s="6" t="s">
        <v>105</v>
      </c>
      <c r="E1666" s="6" t="s">
        <v>78</v>
      </c>
      <c r="F1666" s="6" t="s">
        <v>94</v>
      </c>
      <c r="G1666" s="6" t="s">
        <v>95</v>
      </c>
      <c r="H1666" s="6">
        <v>2</v>
      </c>
      <c r="I1666" s="6" t="s">
        <v>748</v>
      </c>
      <c r="J1666" s="6" t="s">
        <v>192</v>
      </c>
      <c r="K1666" s="6">
        <v>340</v>
      </c>
      <c r="L1666" s="6" t="s">
        <v>42</v>
      </c>
      <c r="M1666" s="6" t="s">
        <v>34</v>
      </c>
    </row>
    <row r="1667" spans="1:13">
      <c r="A1667" s="6" t="s">
        <v>2962</v>
      </c>
      <c r="B1667" s="7">
        <v>46066</v>
      </c>
      <c r="C1667" s="6" t="s">
        <v>2179</v>
      </c>
      <c r="D1667" s="6" t="s">
        <v>45</v>
      </c>
      <c r="E1667" s="6" t="s">
        <v>37</v>
      </c>
      <c r="F1667" s="6" t="s">
        <v>58</v>
      </c>
      <c r="G1667" s="6" t="s">
        <v>59</v>
      </c>
      <c r="H1667" s="6">
        <v>1</v>
      </c>
      <c r="I1667" s="6" t="s">
        <v>147</v>
      </c>
      <c r="J1667" s="6" t="s">
        <v>147</v>
      </c>
      <c r="K1667" s="6">
        <v>380</v>
      </c>
      <c r="L1667" s="6" t="s">
        <v>42</v>
      </c>
      <c r="M1667" s="6" t="s">
        <v>34</v>
      </c>
    </row>
    <row r="1668" spans="1:13">
      <c r="A1668" s="6" t="s">
        <v>2963</v>
      </c>
      <c r="B1668" s="7">
        <v>46064</v>
      </c>
      <c r="C1668" s="6" t="s">
        <v>1371</v>
      </c>
      <c r="D1668" s="6" t="s">
        <v>105</v>
      </c>
      <c r="E1668" s="6" t="s">
        <v>28</v>
      </c>
      <c r="F1668" s="6" t="s">
        <v>85</v>
      </c>
      <c r="G1668" s="6" t="s">
        <v>86</v>
      </c>
      <c r="H1668" s="6">
        <v>2</v>
      </c>
      <c r="I1668" s="6" t="s">
        <v>31</v>
      </c>
      <c r="J1668" s="6" t="s">
        <v>249</v>
      </c>
      <c r="K1668" s="6">
        <v>410</v>
      </c>
      <c r="L1668" s="6" t="s">
        <v>42</v>
      </c>
      <c r="M1668" s="6" t="s">
        <v>69</v>
      </c>
    </row>
    <row r="1669" spans="1:13">
      <c r="A1669" s="6" t="s">
        <v>2964</v>
      </c>
      <c r="B1669" s="7">
        <v>46098</v>
      </c>
      <c r="C1669" s="6" t="s">
        <v>1623</v>
      </c>
      <c r="D1669" s="6" t="s">
        <v>45</v>
      </c>
      <c r="E1669" s="6" t="s">
        <v>78</v>
      </c>
      <c r="F1669" s="6" t="s">
        <v>100</v>
      </c>
      <c r="G1669" s="6" t="s">
        <v>101</v>
      </c>
      <c r="H1669" s="6">
        <v>1</v>
      </c>
      <c r="I1669" s="6" t="s">
        <v>113</v>
      </c>
      <c r="J1669" s="6" t="s">
        <v>113</v>
      </c>
      <c r="K1669" s="6">
        <v>640</v>
      </c>
      <c r="L1669" s="6" t="s">
        <v>42</v>
      </c>
      <c r="M1669" s="6" t="s">
        <v>69</v>
      </c>
    </row>
    <row r="1670" spans="1:13">
      <c r="A1670" s="6" t="s">
        <v>2965</v>
      </c>
      <c r="B1670" s="7">
        <v>46097</v>
      </c>
      <c r="C1670" s="6" t="s">
        <v>853</v>
      </c>
      <c r="D1670" s="6" t="s">
        <v>45</v>
      </c>
      <c r="E1670" s="6" t="s">
        <v>78</v>
      </c>
      <c r="F1670" s="6" t="s">
        <v>29</v>
      </c>
      <c r="G1670" s="6" t="s">
        <v>30</v>
      </c>
      <c r="H1670" s="6">
        <v>1</v>
      </c>
      <c r="I1670" s="6" t="s">
        <v>265</v>
      </c>
      <c r="J1670" s="6" t="s">
        <v>265</v>
      </c>
      <c r="K1670" s="6">
        <v>520</v>
      </c>
      <c r="L1670" s="6" t="s">
        <v>42</v>
      </c>
      <c r="M1670" s="6" t="s">
        <v>34</v>
      </c>
    </row>
    <row r="1671" spans="1:13">
      <c r="A1671" s="6" t="s">
        <v>2966</v>
      </c>
      <c r="B1671" s="7">
        <v>46203</v>
      </c>
      <c r="C1671" s="6" t="s">
        <v>1901</v>
      </c>
      <c r="D1671" s="6" t="s">
        <v>45</v>
      </c>
      <c r="E1671" s="6" t="s">
        <v>28</v>
      </c>
      <c r="F1671" s="6" t="s">
        <v>85</v>
      </c>
      <c r="G1671" s="6" t="s">
        <v>86</v>
      </c>
      <c r="H1671" s="6">
        <v>1</v>
      </c>
      <c r="I1671" s="6" t="s">
        <v>769</v>
      </c>
      <c r="J1671" s="6" t="s">
        <v>60</v>
      </c>
      <c r="K1671" s="6" t="s">
        <v>87</v>
      </c>
      <c r="L1671" s="6" t="s">
        <v>33</v>
      </c>
      <c r="M1671" s="6" t="s">
        <v>34</v>
      </c>
    </row>
    <row r="1672" spans="1:13">
      <c r="A1672" s="6" t="s">
        <v>2967</v>
      </c>
      <c r="B1672" s="7">
        <v>46116</v>
      </c>
      <c r="C1672" s="6" t="s">
        <v>1309</v>
      </c>
      <c r="D1672" s="6" t="s">
        <v>45</v>
      </c>
      <c r="E1672" s="6" t="s">
        <v>46</v>
      </c>
      <c r="F1672" s="6" t="s">
        <v>58</v>
      </c>
      <c r="G1672" s="6" t="s">
        <v>59</v>
      </c>
      <c r="H1672" s="6">
        <v>2</v>
      </c>
      <c r="I1672" s="6" t="s">
        <v>231</v>
      </c>
      <c r="J1672" s="6" t="s">
        <v>232</v>
      </c>
      <c r="K1672" s="6">
        <v>380</v>
      </c>
      <c r="L1672" s="6" t="s">
        <v>42</v>
      </c>
      <c r="M1672" s="6" t="s">
        <v>69</v>
      </c>
    </row>
    <row r="1673" spans="1:13">
      <c r="A1673" s="6" t="s">
        <v>2968</v>
      </c>
      <c r="B1673" s="7">
        <v>46164</v>
      </c>
      <c r="C1673" s="6" t="s">
        <v>1547</v>
      </c>
      <c r="D1673" s="6" t="s">
        <v>105</v>
      </c>
      <c r="E1673" s="6" t="s">
        <v>46</v>
      </c>
      <c r="F1673" s="6" t="s">
        <v>38</v>
      </c>
      <c r="G1673" s="6" t="s">
        <v>39</v>
      </c>
      <c r="H1673" s="6">
        <v>1</v>
      </c>
      <c r="I1673" s="6" t="s">
        <v>90</v>
      </c>
      <c r="J1673" s="6" t="s">
        <v>90</v>
      </c>
      <c r="K1673" s="6" t="s">
        <v>41</v>
      </c>
      <c r="L1673" s="6" t="s">
        <v>42</v>
      </c>
      <c r="M1673" s="6" t="s">
        <v>34</v>
      </c>
    </row>
    <row r="1674" spans="1:13">
      <c r="A1674" s="6" t="s">
        <v>2969</v>
      </c>
      <c r="B1674" s="7">
        <v>46028</v>
      </c>
      <c r="C1674" s="6" t="s">
        <v>2233</v>
      </c>
      <c r="D1674" s="6" t="s">
        <v>72</v>
      </c>
      <c r="E1674" s="6" t="s">
        <v>28</v>
      </c>
      <c r="F1674" s="6" t="s">
        <v>47</v>
      </c>
      <c r="G1674" s="6" t="s">
        <v>48</v>
      </c>
      <c r="H1674" s="6">
        <v>1</v>
      </c>
      <c r="I1674" s="6" t="s">
        <v>117</v>
      </c>
      <c r="J1674" s="6" t="s">
        <v>117</v>
      </c>
      <c r="K1674" s="6">
        <v>85</v>
      </c>
      <c r="L1674" s="6" t="s">
        <v>42</v>
      </c>
      <c r="M1674" s="6" t="s">
        <v>69</v>
      </c>
    </row>
    <row r="1675" spans="1:13">
      <c r="A1675" s="6" t="s">
        <v>2970</v>
      </c>
      <c r="B1675" s="7">
        <v>46143</v>
      </c>
      <c r="C1675" s="6" t="s">
        <v>858</v>
      </c>
      <c r="D1675" s="6" t="s">
        <v>57</v>
      </c>
      <c r="E1675" s="6" t="s">
        <v>78</v>
      </c>
      <c r="F1675" s="6" t="s">
        <v>58</v>
      </c>
      <c r="G1675" s="6" t="s">
        <v>59</v>
      </c>
      <c r="H1675" s="6">
        <v>1</v>
      </c>
      <c r="I1675" s="6" t="s">
        <v>265</v>
      </c>
      <c r="J1675" s="6" t="s">
        <v>265</v>
      </c>
      <c r="K1675" s="6" t="s">
        <v>61</v>
      </c>
      <c r="L1675" s="6" t="s">
        <v>42</v>
      </c>
      <c r="M1675" s="6" t="s">
        <v>34</v>
      </c>
    </row>
    <row r="1676" spans="1:13">
      <c r="A1676" s="6" t="s">
        <v>2971</v>
      </c>
      <c r="B1676" s="7">
        <v>46124</v>
      </c>
      <c r="C1676" s="6" t="s">
        <v>2972</v>
      </c>
      <c r="D1676" s="6" t="s">
        <v>77</v>
      </c>
      <c r="E1676" s="6" t="s">
        <v>52</v>
      </c>
      <c r="F1676" s="6" t="s">
        <v>94</v>
      </c>
      <c r="G1676" s="6" t="s">
        <v>95</v>
      </c>
      <c r="H1676" s="6">
        <v>2</v>
      </c>
      <c r="I1676" s="6" t="s">
        <v>60</v>
      </c>
      <c r="J1676" s="6" t="s">
        <v>2973</v>
      </c>
      <c r="K1676" s="6">
        <v>340</v>
      </c>
      <c r="L1676" s="6" t="s">
        <v>33</v>
      </c>
      <c r="M1676" s="6" t="s">
        <v>34</v>
      </c>
    </row>
    <row r="1677" spans="1:13">
      <c r="A1677" s="6" t="s">
        <v>2974</v>
      </c>
      <c r="B1677" s="7">
        <v>46101</v>
      </c>
      <c r="C1677" s="6" t="s">
        <v>2975</v>
      </c>
      <c r="D1677" s="6" t="s">
        <v>27</v>
      </c>
      <c r="E1677" s="6" t="s">
        <v>46</v>
      </c>
      <c r="F1677" s="6" t="s">
        <v>53</v>
      </c>
      <c r="G1677" s="6" t="s">
        <v>54</v>
      </c>
      <c r="H1677" s="6">
        <v>2</v>
      </c>
      <c r="I1677" s="6" t="s">
        <v>437</v>
      </c>
      <c r="J1677" s="6" t="s">
        <v>327</v>
      </c>
      <c r="K1677" s="6">
        <v>190</v>
      </c>
      <c r="L1677" s="6" t="s">
        <v>33</v>
      </c>
      <c r="M1677" s="6" t="s">
        <v>34</v>
      </c>
    </row>
    <row r="1678" spans="1:13">
      <c r="A1678" s="6" t="s">
        <v>2976</v>
      </c>
      <c r="B1678" s="6" t="s">
        <v>350</v>
      </c>
      <c r="C1678" s="6" t="s">
        <v>879</v>
      </c>
      <c r="D1678" s="6" t="s">
        <v>110</v>
      </c>
      <c r="E1678" s="6" t="s">
        <v>28</v>
      </c>
      <c r="F1678" s="6" t="s">
        <v>53</v>
      </c>
      <c r="G1678" s="6" t="s">
        <v>54</v>
      </c>
      <c r="H1678" s="6">
        <v>1</v>
      </c>
      <c r="I1678" s="6" t="s">
        <v>96</v>
      </c>
      <c r="J1678" s="6" t="s">
        <v>96</v>
      </c>
      <c r="K1678" s="6">
        <v>190</v>
      </c>
      <c r="L1678" s="6" t="s">
        <v>42</v>
      </c>
      <c r="M1678" s="6" t="s">
        <v>69</v>
      </c>
    </row>
    <row r="1679" spans="1:13">
      <c r="A1679" s="6" t="s">
        <v>2738</v>
      </c>
      <c r="B1679" s="6" t="s">
        <v>621</v>
      </c>
      <c r="C1679" s="6" t="s">
        <v>2739</v>
      </c>
      <c r="D1679" s="6" t="s">
        <v>64</v>
      </c>
      <c r="E1679" s="6" t="s">
        <v>52</v>
      </c>
      <c r="F1679" s="6" t="s">
        <v>85</v>
      </c>
      <c r="G1679" s="6" t="s">
        <v>86</v>
      </c>
      <c r="H1679" s="6">
        <v>3</v>
      </c>
      <c r="I1679" s="6" t="s">
        <v>117</v>
      </c>
      <c r="J1679" s="6" t="s">
        <v>171</v>
      </c>
      <c r="K1679" s="6" t="s">
        <v>87</v>
      </c>
      <c r="L1679" s="6" t="s">
        <v>33</v>
      </c>
      <c r="M1679" s="6" t="s">
        <v>34</v>
      </c>
    </row>
    <row r="1680" spans="1:13">
      <c r="A1680" s="6" t="s">
        <v>2977</v>
      </c>
      <c r="B1680" s="7">
        <v>46112</v>
      </c>
      <c r="C1680" s="6" t="s">
        <v>240</v>
      </c>
      <c r="D1680" s="6" t="s">
        <v>127</v>
      </c>
      <c r="E1680" s="6" t="s">
        <v>78</v>
      </c>
      <c r="F1680" s="6" t="s">
        <v>94</v>
      </c>
      <c r="G1680" s="6" t="s">
        <v>95</v>
      </c>
      <c r="H1680" s="6">
        <v>2</v>
      </c>
      <c r="I1680" s="6" t="s">
        <v>117</v>
      </c>
      <c r="J1680" s="6" t="s">
        <v>1391</v>
      </c>
      <c r="K1680" s="6">
        <v>340</v>
      </c>
      <c r="L1680" s="6" t="s">
        <v>33</v>
      </c>
      <c r="M1680" s="6" t="s">
        <v>34</v>
      </c>
    </row>
    <row r="1681" spans="1:13">
      <c r="A1681" s="6" t="s">
        <v>2978</v>
      </c>
      <c r="B1681" s="7">
        <v>46299</v>
      </c>
      <c r="C1681" s="6" t="s">
        <v>2979</v>
      </c>
      <c r="D1681" s="6" t="s">
        <v>57</v>
      </c>
      <c r="E1681" s="6" t="s">
        <v>28</v>
      </c>
      <c r="F1681" s="6" t="s">
        <v>94</v>
      </c>
      <c r="G1681" s="6" t="s">
        <v>95</v>
      </c>
      <c r="H1681" s="6">
        <v>1</v>
      </c>
      <c r="I1681" s="6" t="s">
        <v>82</v>
      </c>
      <c r="J1681" s="6" t="s">
        <v>82</v>
      </c>
      <c r="K1681" s="6">
        <v>340</v>
      </c>
      <c r="L1681" s="6" t="s">
        <v>42</v>
      </c>
      <c r="M1681" s="6" t="s">
        <v>34</v>
      </c>
    </row>
    <row r="1682" spans="1:13">
      <c r="A1682" s="6" t="s">
        <v>2980</v>
      </c>
      <c r="B1682" s="7">
        <v>46176</v>
      </c>
      <c r="C1682" s="6" t="s">
        <v>2375</v>
      </c>
      <c r="D1682" s="6" t="s">
        <v>45</v>
      </c>
      <c r="E1682" s="6" t="s">
        <v>37</v>
      </c>
      <c r="F1682" s="6" t="s">
        <v>53</v>
      </c>
      <c r="G1682" s="6" t="s">
        <v>54</v>
      </c>
      <c r="H1682" s="6">
        <v>2</v>
      </c>
      <c r="I1682" s="6" t="s">
        <v>67</v>
      </c>
      <c r="J1682" s="6" t="s">
        <v>204</v>
      </c>
      <c r="K1682" s="6" t="s">
        <v>122</v>
      </c>
      <c r="L1682" s="6" t="s">
        <v>42</v>
      </c>
      <c r="M1682" s="6" t="s">
        <v>34</v>
      </c>
    </row>
    <row r="1683" spans="1:13">
      <c r="A1683" s="6" t="s">
        <v>2981</v>
      </c>
      <c r="B1683" s="7">
        <v>46061</v>
      </c>
      <c r="C1683" s="6" t="s">
        <v>2982</v>
      </c>
      <c r="D1683" s="6" t="s">
        <v>45</v>
      </c>
      <c r="E1683" s="6" t="s">
        <v>46</v>
      </c>
      <c r="F1683" s="6" t="s">
        <v>100</v>
      </c>
      <c r="G1683" s="6" t="s">
        <v>101</v>
      </c>
      <c r="H1683" s="6">
        <v>1</v>
      </c>
      <c r="I1683" s="6" t="s">
        <v>143</v>
      </c>
      <c r="J1683" s="6" t="s">
        <v>143</v>
      </c>
      <c r="K1683" s="6">
        <v>640</v>
      </c>
      <c r="L1683" s="6" t="s">
        <v>42</v>
      </c>
      <c r="M1683" s="6" t="s">
        <v>69</v>
      </c>
    </row>
    <row r="1684" spans="1:13">
      <c r="A1684" s="6" t="s">
        <v>2983</v>
      </c>
      <c r="B1684" s="7">
        <v>46198</v>
      </c>
      <c r="C1684" s="6" t="s">
        <v>2984</v>
      </c>
      <c r="D1684" s="6" t="s">
        <v>64</v>
      </c>
      <c r="E1684" s="6" t="s">
        <v>28</v>
      </c>
      <c r="F1684" s="6" t="s">
        <v>58</v>
      </c>
      <c r="G1684" s="6" t="s">
        <v>59</v>
      </c>
      <c r="H1684" s="6">
        <v>2</v>
      </c>
      <c r="I1684" s="6" t="s">
        <v>96</v>
      </c>
      <c r="J1684" s="6" t="s">
        <v>278</v>
      </c>
      <c r="K1684" s="6" t="s">
        <v>61</v>
      </c>
      <c r="L1684" s="6" t="s">
        <v>42</v>
      </c>
      <c r="M1684" s="6" t="s">
        <v>69</v>
      </c>
    </row>
    <row r="1685" spans="1:13">
      <c r="A1685" s="6" t="s">
        <v>2985</v>
      </c>
      <c r="B1685" s="7">
        <v>46041</v>
      </c>
      <c r="C1685" s="6" t="s">
        <v>184</v>
      </c>
      <c r="D1685" s="6" t="s">
        <v>27</v>
      </c>
      <c r="E1685" s="6" t="s">
        <v>52</v>
      </c>
      <c r="F1685" s="6" t="s">
        <v>85</v>
      </c>
      <c r="G1685" s="6" t="s">
        <v>86</v>
      </c>
      <c r="H1685" s="6">
        <v>1</v>
      </c>
      <c r="I1685" s="6" t="s">
        <v>117</v>
      </c>
      <c r="J1685" s="6" t="s">
        <v>117</v>
      </c>
      <c r="K1685" s="6">
        <v>410</v>
      </c>
      <c r="L1685" s="6" t="s">
        <v>42</v>
      </c>
      <c r="M1685" s="6" t="s">
        <v>34</v>
      </c>
    </row>
    <row r="1686" spans="1:13">
      <c r="A1686" s="6" t="s">
        <v>2986</v>
      </c>
      <c r="B1686" s="7">
        <v>46043</v>
      </c>
      <c r="C1686" s="6" t="s">
        <v>881</v>
      </c>
      <c r="D1686" s="6" t="s">
        <v>105</v>
      </c>
      <c r="E1686" s="6" t="s">
        <v>52</v>
      </c>
      <c r="F1686" s="6" t="s">
        <v>94</v>
      </c>
      <c r="G1686" s="6" t="s">
        <v>95</v>
      </c>
      <c r="H1686" s="6">
        <v>3</v>
      </c>
      <c r="I1686" s="6" t="s">
        <v>113</v>
      </c>
      <c r="J1686" s="6" t="s">
        <v>138</v>
      </c>
      <c r="K1686" s="6">
        <v>340</v>
      </c>
      <c r="L1686" s="6" t="s">
        <v>42</v>
      </c>
      <c r="M1686" s="6" t="s">
        <v>34</v>
      </c>
    </row>
    <row r="1687" spans="1:13">
      <c r="A1687" s="6" t="s">
        <v>2987</v>
      </c>
      <c r="B1687" s="7">
        <v>46194</v>
      </c>
      <c r="C1687" s="6" t="s">
        <v>2988</v>
      </c>
      <c r="D1687" s="6" t="s">
        <v>110</v>
      </c>
      <c r="E1687" s="6" t="s">
        <v>78</v>
      </c>
      <c r="F1687" s="6" t="s">
        <v>53</v>
      </c>
      <c r="G1687" s="6" t="s">
        <v>54</v>
      </c>
      <c r="H1687" s="6">
        <v>1</v>
      </c>
      <c r="I1687" s="6" t="s">
        <v>73</v>
      </c>
      <c r="J1687" s="6" t="s">
        <v>73</v>
      </c>
      <c r="K1687" s="6" t="s">
        <v>122</v>
      </c>
      <c r="L1687" s="6" t="s">
        <v>33</v>
      </c>
      <c r="M1687" s="6" t="s">
        <v>34</v>
      </c>
    </row>
    <row r="1688" spans="1:13">
      <c r="A1688" s="6" t="s">
        <v>2989</v>
      </c>
      <c r="B1688" s="6" t="s">
        <v>2078</v>
      </c>
      <c r="C1688" s="6" t="s">
        <v>2990</v>
      </c>
      <c r="D1688" s="6" t="s">
        <v>45</v>
      </c>
      <c r="E1688" s="6" t="s">
        <v>52</v>
      </c>
      <c r="F1688" s="6" t="s">
        <v>100</v>
      </c>
      <c r="G1688" s="6" t="s">
        <v>101</v>
      </c>
      <c r="H1688" s="6">
        <v>1</v>
      </c>
      <c r="I1688" s="6" t="s">
        <v>96</v>
      </c>
      <c r="J1688" s="6" t="s">
        <v>96</v>
      </c>
      <c r="K1688" s="6" t="s">
        <v>119</v>
      </c>
      <c r="L1688" s="6" t="s">
        <v>42</v>
      </c>
      <c r="M1688" s="6" t="s">
        <v>69</v>
      </c>
    </row>
    <row r="1689" spans="1:13">
      <c r="A1689" s="6" t="s">
        <v>2991</v>
      </c>
      <c r="B1689" s="7">
        <v>46122</v>
      </c>
      <c r="C1689" s="6" t="s">
        <v>727</v>
      </c>
      <c r="D1689" s="6" t="s">
        <v>64</v>
      </c>
      <c r="E1689" s="6" t="s">
        <v>37</v>
      </c>
      <c r="F1689" s="6" t="s">
        <v>53</v>
      </c>
      <c r="G1689" s="6" t="s">
        <v>54</v>
      </c>
      <c r="H1689" s="6">
        <v>3</v>
      </c>
      <c r="I1689" s="6" t="s">
        <v>79</v>
      </c>
      <c r="J1689" s="6" t="s">
        <v>216</v>
      </c>
      <c r="K1689" s="6">
        <v>190</v>
      </c>
      <c r="L1689" s="6" t="s">
        <v>42</v>
      </c>
      <c r="M1689" s="6" t="s">
        <v>69</v>
      </c>
    </row>
    <row r="1690" spans="1:13">
      <c r="A1690" s="6" t="s">
        <v>2992</v>
      </c>
      <c r="B1690" s="7">
        <v>46195</v>
      </c>
      <c r="C1690" s="6" t="s">
        <v>674</v>
      </c>
      <c r="D1690" s="6" t="s">
        <v>105</v>
      </c>
      <c r="E1690" s="6" t="s">
        <v>37</v>
      </c>
      <c r="F1690" s="6" t="s">
        <v>47</v>
      </c>
      <c r="G1690" s="6" t="s">
        <v>48</v>
      </c>
      <c r="H1690" s="6">
        <v>1</v>
      </c>
      <c r="I1690" s="6" t="s">
        <v>96</v>
      </c>
      <c r="J1690" s="6" t="s">
        <v>96</v>
      </c>
      <c r="K1690" s="6" t="s">
        <v>49</v>
      </c>
      <c r="L1690" s="6" t="s">
        <v>42</v>
      </c>
      <c r="M1690" s="6" t="s">
        <v>34</v>
      </c>
    </row>
    <row r="1691" spans="1:13">
      <c r="A1691" s="6" t="s">
        <v>2993</v>
      </c>
      <c r="B1691" s="7">
        <v>46205</v>
      </c>
      <c r="C1691" s="6" t="s">
        <v>2994</v>
      </c>
      <c r="D1691" s="6" t="s">
        <v>72</v>
      </c>
      <c r="E1691" s="6" t="s">
        <v>46</v>
      </c>
      <c r="F1691" s="6" t="s">
        <v>100</v>
      </c>
      <c r="G1691" s="6" t="s">
        <v>101</v>
      </c>
      <c r="H1691" s="6">
        <v>3</v>
      </c>
      <c r="I1691" s="6" t="s">
        <v>82</v>
      </c>
      <c r="J1691" s="6" t="s">
        <v>390</v>
      </c>
      <c r="K1691" s="6" t="s">
        <v>119</v>
      </c>
      <c r="L1691" s="6" t="s">
        <v>42</v>
      </c>
      <c r="M1691" s="6" t="s">
        <v>34</v>
      </c>
    </row>
    <row r="1692" spans="1:13">
      <c r="A1692" s="6" t="s">
        <v>2995</v>
      </c>
      <c r="B1692" s="7">
        <v>46037</v>
      </c>
      <c r="C1692" s="6" t="s">
        <v>1174</v>
      </c>
      <c r="D1692" s="6" t="s">
        <v>110</v>
      </c>
      <c r="E1692" s="6" t="s">
        <v>78</v>
      </c>
      <c r="F1692" s="6" t="s">
        <v>47</v>
      </c>
      <c r="G1692" s="6" t="s">
        <v>48</v>
      </c>
      <c r="H1692" s="6">
        <v>2</v>
      </c>
      <c r="I1692" s="6" t="s">
        <v>143</v>
      </c>
      <c r="J1692" s="6" t="s">
        <v>144</v>
      </c>
      <c r="K1692" s="6">
        <v>85</v>
      </c>
      <c r="L1692" s="6" t="s">
        <v>33</v>
      </c>
      <c r="M1692" s="6" t="s">
        <v>34</v>
      </c>
    </row>
    <row r="1693" spans="1:13">
      <c r="A1693" s="6" t="s">
        <v>2996</v>
      </c>
      <c r="B1693" s="7">
        <v>46195</v>
      </c>
      <c r="C1693" s="6" t="s">
        <v>536</v>
      </c>
      <c r="D1693" s="6" t="s">
        <v>64</v>
      </c>
      <c r="E1693" s="6" t="s">
        <v>37</v>
      </c>
      <c r="F1693" s="6" t="s">
        <v>53</v>
      </c>
      <c r="G1693" s="6" t="s">
        <v>54</v>
      </c>
      <c r="H1693" s="6">
        <v>1</v>
      </c>
      <c r="I1693" s="6" t="s">
        <v>113</v>
      </c>
      <c r="J1693" s="6" t="s">
        <v>113</v>
      </c>
      <c r="K1693" s="6" t="s">
        <v>122</v>
      </c>
      <c r="L1693" s="6" t="s">
        <v>33</v>
      </c>
      <c r="M1693" s="6" t="s">
        <v>34</v>
      </c>
    </row>
    <row r="1694" spans="1:13">
      <c r="A1694" s="6" t="s">
        <v>2997</v>
      </c>
      <c r="B1694" s="7">
        <v>46053</v>
      </c>
      <c r="C1694" s="6" t="s">
        <v>2998</v>
      </c>
      <c r="D1694" s="6" t="s">
        <v>27</v>
      </c>
      <c r="E1694" s="6" t="s">
        <v>78</v>
      </c>
      <c r="F1694" s="6" t="s">
        <v>29</v>
      </c>
      <c r="G1694" s="6" t="s">
        <v>30</v>
      </c>
      <c r="H1694" s="6">
        <v>2</v>
      </c>
      <c r="I1694" s="6" t="s">
        <v>113</v>
      </c>
      <c r="J1694" s="6" t="s">
        <v>1576</v>
      </c>
      <c r="K1694" s="6">
        <v>520</v>
      </c>
      <c r="L1694" s="6" t="s">
        <v>42</v>
      </c>
      <c r="M1694" s="6" t="s">
        <v>34</v>
      </c>
    </row>
    <row r="1695" spans="1:13">
      <c r="A1695" s="6" t="s">
        <v>2999</v>
      </c>
      <c r="B1695" s="7">
        <v>46069</v>
      </c>
      <c r="C1695" s="6" t="s">
        <v>2097</v>
      </c>
      <c r="D1695" s="6" t="s">
        <v>72</v>
      </c>
      <c r="E1695" s="6" t="s">
        <v>78</v>
      </c>
      <c r="F1695" s="6" t="s">
        <v>29</v>
      </c>
      <c r="G1695" s="6" t="s">
        <v>30</v>
      </c>
      <c r="H1695" s="6">
        <v>2</v>
      </c>
      <c r="I1695" s="6" t="s">
        <v>113</v>
      </c>
      <c r="J1695" s="6" t="s">
        <v>192</v>
      </c>
      <c r="K1695" s="6">
        <v>520</v>
      </c>
      <c r="L1695" s="6" t="s">
        <v>42</v>
      </c>
      <c r="M1695" s="6" t="s">
        <v>34</v>
      </c>
    </row>
    <row r="1696" spans="1:13">
      <c r="A1696" s="6" t="s">
        <v>3000</v>
      </c>
      <c r="B1696" s="7">
        <v>46079</v>
      </c>
      <c r="C1696" s="6" t="s">
        <v>336</v>
      </c>
      <c r="D1696" s="6" t="s">
        <v>72</v>
      </c>
      <c r="E1696" s="6" t="s">
        <v>78</v>
      </c>
      <c r="F1696" s="6" t="s">
        <v>47</v>
      </c>
      <c r="G1696" s="6" t="s">
        <v>48</v>
      </c>
      <c r="H1696" s="6">
        <v>3</v>
      </c>
      <c r="I1696" s="6" t="s">
        <v>147</v>
      </c>
      <c r="J1696" s="6" t="s">
        <v>148</v>
      </c>
      <c r="K1696" s="6">
        <v>85</v>
      </c>
      <c r="L1696" s="6" t="s">
        <v>33</v>
      </c>
      <c r="M1696" s="6" t="s">
        <v>34</v>
      </c>
    </row>
    <row r="1697" spans="1:13">
      <c r="A1697" s="6" t="s">
        <v>3001</v>
      </c>
      <c r="B1697" s="6" t="s">
        <v>169</v>
      </c>
      <c r="C1697" s="6" t="s">
        <v>594</v>
      </c>
      <c r="D1697" s="6" t="s">
        <v>64</v>
      </c>
      <c r="E1697" s="6" t="s">
        <v>28</v>
      </c>
      <c r="F1697" s="6" t="s">
        <v>29</v>
      </c>
      <c r="G1697" s="6" t="s">
        <v>30</v>
      </c>
      <c r="H1697" s="6">
        <v>1</v>
      </c>
      <c r="I1697" s="6" t="s">
        <v>67</v>
      </c>
      <c r="J1697" s="6" t="s">
        <v>67</v>
      </c>
      <c r="K1697" s="6">
        <v>520</v>
      </c>
      <c r="L1697" s="6" t="s">
        <v>42</v>
      </c>
      <c r="M1697" s="6" t="s">
        <v>34</v>
      </c>
    </row>
    <row r="1698" spans="1:13">
      <c r="A1698" s="6" t="s">
        <v>3002</v>
      </c>
      <c r="B1698" s="7">
        <v>46064</v>
      </c>
      <c r="C1698" s="6" t="s">
        <v>1942</v>
      </c>
      <c r="D1698" s="6" t="s">
        <v>77</v>
      </c>
      <c r="E1698" s="6" t="s">
        <v>28</v>
      </c>
      <c r="F1698" s="6" t="s">
        <v>29</v>
      </c>
      <c r="G1698" s="6" t="s">
        <v>30</v>
      </c>
      <c r="H1698" s="6">
        <v>2</v>
      </c>
      <c r="I1698" s="6" t="s">
        <v>60</v>
      </c>
      <c r="J1698" s="6" t="s">
        <v>189</v>
      </c>
      <c r="K1698" s="6">
        <v>520</v>
      </c>
      <c r="L1698" s="6" t="s">
        <v>42</v>
      </c>
      <c r="M1698" s="6" t="s">
        <v>34</v>
      </c>
    </row>
    <row r="1699" spans="1:13">
      <c r="A1699" s="6" t="s">
        <v>3003</v>
      </c>
      <c r="B1699" s="7">
        <v>46178</v>
      </c>
      <c r="C1699" s="6" t="s">
        <v>3004</v>
      </c>
      <c r="D1699" s="6" t="s">
        <v>27</v>
      </c>
      <c r="E1699" s="6" t="s">
        <v>46</v>
      </c>
      <c r="F1699" s="6" t="s">
        <v>29</v>
      </c>
      <c r="G1699" s="6" t="s">
        <v>30</v>
      </c>
      <c r="H1699" s="6">
        <v>2</v>
      </c>
      <c r="I1699" s="6" t="s">
        <v>31</v>
      </c>
      <c r="J1699" s="6" t="s">
        <v>249</v>
      </c>
      <c r="K1699" s="6" t="s">
        <v>41</v>
      </c>
      <c r="L1699" s="6" t="s">
        <v>42</v>
      </c>
      <c r="M1699" s="6" t="s">
        <v>34</v>
      </c>
    </row>
    <row r="1700" spans="1:13">
      <c r="A1700" s="6" t="s">
        <v>3005</v>
      </c>
      <c r="B1700" s="6" t="s">
        <v>1621</v>
      </c>
      <c r="C1700" s="6" t="s">
        <v>3006</v>
      </c>
      <c r="D1700" s="6" t="s">
        <v>110</v>
      </c>
      <c r="E1700" s="6" t="s">
        <v>28</v>
      </c>
      <c r="F1700" s="6" t="s">
        <v>38</v>
      </c>
      <c r="G1700" s="6" t="s">
        <v>39</v>
      </c>
      <c r="H1700" s="6">
        <v>1</v>
      </c>
      <c r="I1700" s="6" t="s">
        <v>147</v>
      </c>
      <c r="J1700" s="6" t="s">
        <v>147</v>
      </c>
      <c r="K1700" s="6" t="s">
        <v>41</v>
      </c>
      <c r="L1700" s="6" t="s">
        <v>33</v>
      </c>
      <c r="M1700" s="6" t="s">
        <v>69</v>
      </c>
    </row>
    <row r="1701" spans="1:13">
      <c r="A1701" s="6" t="s">
        <v>3007</v>
      </c>
      <c r="B1701" s="7">
        <v>46076</v>
      </c>
      <c r="C1701" s="6" t="s">
        <v>191</v>
      </c>
      <c r="D1701" s="6" t="s">
        <v>27</v>
      </c>
      <c r="E1701" s="6" t="s">
        <v>28</v>
      </c>
      <c r="F1701" s="6" t="s">
        <v>100</v>
      </c>
      <c r="G1701" s="6" t="s">
        <v>101</v>
      </c>
      <c r="H1701" s="6">
        <v>1</v>
      </c>
      <c r="I1701" s="6" t="s">
        <v>265</v>
      </c>
      <c r="J1701" s="6" t="s">
        <v>265</v>
      </c>
      <c r="K1701" s="6">
        <v>640</v>
      </c>
      <c r="L1701" s="6" t="s">
        <v>42</v>
      </c>
      <c r="M1701" s="6" t="s">
        <v>34</v>
      </c>
    </row>
    <row r="1702" spans="1:13">
      <c r="A1702" s="6" t="s">
        <v>3008</v>
      </c>
      <c r="B1702" s="7">
        <v>46165</v>
      </c>
      <c r="C1702" s="6" t="s">
        <v>3009</v>
      </c>
      <c r="D1702" s="6" t="s">
        <v>77</v>
      </c>
      <c r="E1702" s="6" t="s">
        <v>28</v>
      </c>
      <c r="F1702" s="6" t="s">
        <v>29</v>
      </c>
      <c r="G1702" s="6" t="s">
        <v>30</v>
      </c>
      <c r="H1702" s="6">
        <v>1</v>
      </c>
      <c r="I1702" s="6" t="s">
        <v>82</v>
      </c>
      <c r="J1702" s="6" t="s">
        <v>82</v>
      </c>
      <c r="K1702" s="6" t="s">
        <v>41</v>
      </c>
      <c r="L1702" s="6" t="s">
        <v>42</v>
      </c>
      <c r="M1702" s="6" t="s">
        <v>69</v>
      </c>
    </row>
    <row r="1703" spans="1:13">
      <c r="A1703" s="6" t="s">
        <v>3010</v>
      </c>
      <c r="B1703" s="7">
        <v>46187</v>
      </c>
      <c r="C1703" s="6" t="s">
        <v>256</v>
      </c>
      <c r="D1703" s="6" t="s">
        <v>77</v>
      </c>
      <c r="E1703" s="6" t="s">
        <v>28</v>
      </c>
      <c r="F1703" s="6" t="s">
        <v>29</v>
      </c>
      <c r="G1703" s="6" t="s">
        <v>30</v>
      </c>
      <c r="H1703" s="6">
        <v>1</v>
      </c>
      <c r="I1703" s="6" t="s">
        <v>143</v>
      </c>
      <c r="J1703" s="6" t="s">
        <v>3011</v>
      </c>
      <c r="K1703" s="6" t="s">
        <v>41</v>
      </c>
      <c r="L1703" s="6" t="s">
        <v>42</v>
      </c>
      <c r="M1703" s="6" t="s">
        <v>34</v>
      </c>
    </row>
    <row r="1704" spans="1:13">
      <c r="A1704" s="6" t="s">
        <v>3012</v>
      </c>
      <c r="B1704" s="7">
        <v>46055</v>
      </c>
      <c r="C1704" s="6" t="s">
        <v>1192</v>
      </c>
      <c r="D1704" s="6" t="s">
        <v>105</v>
      </c>
      <c r="E1704" s="6" t="s">
        <v>78</v>
      </c>
      <c r="F1704" s="6" t="s">
        <v>58</v>
      </c>
      <c r="G1704" s="6" t="s">
        <v>59</v>
      </c>
      <c r="H1704" s="6">
        <v>2</v>
      </c>
      <c r="I1704" s="6" t="s">
        <v>113</v>
      </c>
      <c r="J1704" s="6" t="s">
        <v>192</v>
      </c>
      <c r="K1704" s="6">
        <v>380</v>
      </c>
      <c r="L1704" s="6" t="s">
        <v>42</v>
      </c>
      <c r="M1704" s="6" t="s">
        <v>34</v>
      </c>
    </row>
    <row r="1705" spans="1:13">
      <c r="A1705" s="6" t="s">
        <v>3013</v>
      </c>
      <c r="B1705" s="7">
        <v>46150</v>
      </c>
      <c r="C1705" s="6" t="s">
        <v>242</v>
      </c>
      <c r="D1705" s="6" t="s">
        <v>64</v>
      </c>
      <c r="E1705" s="6" t="s">
        <v>46</v>
      </c>
      <c r="F1705" s="6" t="s">
        <v>38</v>
      </c>
      <c r="G1705" s="6" t="s">
        <v>39</v>
      </c>
      <c r="H1705" s="6">
        <v>-1</v>
      </c>
      <c r="I1705" s="6" t="s">
        <v>60</v>
      </c>
      <c r="J1705" s="8" t="s">
        <v>3014</v>
      </c>
      <c r="K1705" s="6" t="s">
        <v>41</v>
      </c>
      <c r="L1705" s="6" t="s">
        <v>42</v>
      </c>
      <c r="M1705" s="6" t="s">
        <v>34</v>
      </c>
    </row>
    <row r="1706" spans="1:13">
      <c r="A1706" s="6" t="s">
        <v>3015</v>
      </c>
      <c r="B1706" s="7">
        <v>46114</v>
      </c>
      <c r="C1706" s="6" t="s">
        <v>3016</v>
      </c>
      <c r="D1706" s="6" t="s">
        <v>45</v>
      </c>
      <c r="E1706" s="6" t="s">
        <v>52</v>
      </c>
      <c r="F1706" s="6" t="s">
        <v>100</v>
      </c>
      <c r="G1706" s="6" t="s">
        <v>101</v>
      </c>
      <c r="H1706" s="6">
        <v>-2</v>
      </c>
      <c r="I1706" s="6" t="s">
        <v>79</v>
      </c>
      <c r="J1706" s="8" t="s">
        <v>1095</v>
      </c>
      <c r="K1706" s="6">
        <v>640</v>
      </c>
      <c r="L1706" s="6" t="s">
        <v>42</v>
      </c>
      <c r="M1706" s="6" t="s">
        <v>34</v>
      </c>
    </row>
    <row r="1707" spans="1:13">
      <c r="A1707" s="6" t="s">
        <v>3017</v>
      </c>
      <c r="B1707" s="7">
        <v>46055</v>
      </c>
      <c r="C1707" s="6" t="s">
        <v>515</v>
      </c>
      <c r="D1707" s="6" t="s">
        <v>127</v>
      </c>
      <c r="E1707" s="6" t="s">
        <v>37</v>
      </c>
      <c r="F1707" s="6" t="s">
        <v>47</v>
      </c>
      <c r="G1707" s="6" t="s">
        <v>48</v>
      </c>
      <c r="H1707" s="6">
        <v>1</v>
      </c>
      <c r="I1707" s="6" t="s">
        <v>143</v>
      </c>
      <c r="J1707" s="6" t="s">
        <v>143</v>
      </c>
      <c r="K1707" s="6">
        <v>85</v>
      </c>
      <c r="L1707" s="6" t="s">
        <v>42</v>
      </c>
      <c r="M1707" s="6" t="s">
        <v>69</v>
      </c>
    </row>
    <row r="1708" spans="1:13">
      <c r="A1708" s="6" t="s">
        <v>3018</v>
      </c>
      <c r="B1708" s="7">
        <v>46128</v>
      </c>
      <c r="C1708" s="6" t="s">
        <v>3019</v>
      </c>
      <c r="D1708" s="6" t="s">
        <v>64</v>
      </c>
      <c r="E1708" s="6" t="s">
        <v>52</v>
      </c>
      <c r="F1708" s="6" t="s">
        <v>29</v>
      </c>
      <c r="G1708" s="6" t="s">
        <v>30</v>
      </c>
      <c r="H1708" s="6">
        <v>1</v>
      </c>
      <c r="I1708" s="6" t="s">
        <v>90</v>
      </c>
      <c r="J1708" s="6" t="s">
        <v>90</v>
      </c>
      <c r="K1708" s="6">
        <v>520</v>
      </c>
      <c r="L1708" s="6" t="s">
        <v>42</v>
      </c>
      <c r="M1708" s="6" t="s">
        <v>34</v>
      </c>
    </row>
    <row r="1709" spans="1:13">
      <c r="A1709" s="6" t="s">
        <v>3020</v>
      </c>
      <c r="B1709" s="7">
        <v>46198</v>
      </c>
      <c r="C1709" s="6" t="s">
        <v>979</v>
      </c>
      <c r="D1709" s="6" t="s">
        <v>64</v>
      </c>
      <c r="E1709" s="6" t="s">
        <v>28</v>
      </c>
      <c r="F1709" s="6" t="s">
        <v>58</v>
      </c>
      <c r="G1709" s="6" t="s">
        <v>59</v>
      </c>
      <c r="H1709" s="6">
        <v>2</v>
      </c>
      <c r="I1709" s="6" t="s">
        <v>511</v>
      </c>
      <c r="J1709" s="6" t="s">
        <v>232</v>
      </c>
      <c r="K1709" s="6" t="s">
        <v>61</v>
      </c>
      <c r="L1709" s="6" t="s">
        <v>33</v>
      </c>
      <c r="M1709" s="6" t="s">
        <v>34</v>
      </c>
    </row>
    <row r="1710" spans="1:13">
      <c r="A1710" s="6" t="s">
        <v>3021</v>
      </c>
      <c r="B1710" s="7">
        <v>46036</v>
      </c>
      <c r="C1710" s="6" t="s">
        <v>3022</v>
      </c>
      <c r="D1710" s="6" t="s">
        <v>127</v>
      </c>
      <c r="E1710" s="6" t="s">
        <v>28</v>
      </c>
      <c r="F1710" s="6" t="s">
        <v>94</v>
      </c>
      <c r="G1710" s="6" t="s">
        <v>95</v>
      </c>
      <c r="H1710" s="6">
        <v>2</v>
      </c>
      <c r="I1710" s="6" t="s">
        <v>113</v>
      </c>
      <c r="J1710" s="6" t="s">
        <v>192</v>
      </c>
      <c r="K1710" s="6">
        <v>340</v>
      </c>
      <c r="L1710" s="6" t="s">
        <v>42</v>
      </c>
      <c r="M1710" s="6" t="s">
        <v>69</v>
      </c>
    </row>
    <row r="1711" spans="1:13">
      <c r="A1711" s="6" t="s">
        <v>3023</v>
      </c>
      <c r="B1711" s="7">
        <v>46271</v>
      </c>
      <c r="C1711" s="6" t="s">
        <v>2025</v>
      </c>
      <c r="D1711" s="6" t="s">
        <v>45</v>
      </c>
      <c r="E1711" s="6" t="s">
        <v>78</v>
      </c>
      <c r="F1711" s="6" t="s">
        <v>100</v>
      </c>
      <c r="G1711" s="6" t="s">
        <v>101</v>
      </c>
      <c r="H1711" s="6">
        <v>1</v>
      </c>
      <c r="I1711" s="6" t="s">
        <v>113</v>
      </c>
      <c r="J1711" s="6" t="s">
        <v>113</v>
      </c>
      <c r="K1711" s="6" t="s">
        <v>119</v>
      </c>
      <c r="L1711" s="6" t="s">
        <v>42</v>
      </c>
      <c r="M1711" s="6" t="s">
        <v>34</v>
      </c>
    </row>
    <row r="1712" spans="1:13">
      <c r="A1712" s="6" t="s">
        <v>3024</v>
      </c>
      <c r="B1712" s="7">
        <v>46182</v>
      </c>
      <c r="C1712" s="6" t="s">
        <v>3025</v>
      </c>
      <c r="D1712" s="6" t="s">
        <v>64</v>
      </c>
      <c r="E1712" s="6" t="s">
        <v>52</v>
      </c>
      <c r="F1712" s="6" t="s">
        <v>85</v>
      </c>
      <c r="G1712" s="6" t="s">
        <v>86</v>
      </c>
      <c r="H1712" s="6">
        <v>1</v>
      </c>
      <c r="I1712" s="6" t="s">
        <v>147</v>
      </c>
      <c r="J1712" s="6" t="s">
        <v>147</v>
      </c>
      <c r="K1712" s="6" t="s">
        <v>87</v>
      </c>
      <c r="L1712" s="6" t="s">
        <v>42</v>
      </c>
      <c r="M1712" s="6" t="s">
        <v>34</v>
      </c>
    </row>
    <row r="1713" spans="1:13">
      <c r="A1713" s="6" t="s">
        <v>3026</v>
      </c>
      <c r="B1713" s="7">
        <v>46111</v>
      </c>
      <c r="C1713" s="6" t="s">
        <v>1844</v>
      </c>
      <c r="D1713" s="6" t="s">
        <v>127</v>
      </c>
      <c r="E1713" s="6" t="s">
        <v>78</v>
      </c>
      <c r="F1713" s="6" t="s">
        <v>100</v>
      </c>
      <c r="G1713" s="6" t="s">
        <v>101</v>
      </c>
      <c r="H1713" s="6">
        <v>2</v>
      </c>
      <c r="I1713" s="6" t="s">
        <v>231</v>
      </c>
      <c r="J1713" s="6" t="s">
        <v>232</v>
      </c>
      <c r="K1713" s="6">
        <v>640</v>
      </c>
      <c r="L1713" s="6" t="s">
        <v>42</v>
      </c>
      <c r="M1713" s="6" t="s">
        <v>69</v>
      </c>
    </row>
    <row r="1714" spans="1:13">
      <c r="A1714" s="6" t="s">
        <v>3027</v>
      </c>
      <c r="B1714" s="7">
        <v>46145</v>
      </c>
      <c r="C1714" s="6" t="s">
        <v>2412</v>
      </c>
      <c r="D1714" s="6" t="s">
        <v>72</v>
      </c>
      <c r="E1714" s="6" t="s">
        <v>78</v>
      </c>
      <c r="F1714" s="6" t="s">
        <v>47</v>
      </c>
      <c r="G1714" s="6" t="s">
        <v>48</v>
      </c>
      <c r="H1714" s="6">
        <v>1</v>
      </c>
      <c r="I1714" s="6" t="s">
        <v>90</v>
      </c>
      <c r="J1714" s="6" t="s">
        <v>96</v>
      </c>
      <c r="K1714" s="6" t="s">
        <v>49</v>
      </c>
      <c r="L1714" s="6" t="s">
        <v>42</v>
      </c>
      <c r="M1714" s="6" t="s">
        <v>69</v>
      </c>
    </row>
    <row r="1715" spans="1:13">
      <c r="A1715" s="6" t="s">
        <v>3028</v>
      </c>
      <c r="B1715" s="7">
        <v>46080</v>
      </c>
      <c r="C1715" s="6" t="s">
        <v>3029</v>
      </c>
      <c r="D1715" s="6" t="s">
        <v>45</v>
      </c>
      <c r="E1715" s="6" t="s">
        <v>46</v>
      </c>
      <c r="F1715" s="6" t="s">
        <v>100</v>
      </c>
      <c r="G1715" s="6" t="s">
        <v>101</v>
      </c>
      <c r="H1715" s="6">
        <v>-1</v>
      </c>
      <c r="I1715" s="6" t="s">
        <v>143</v>
      </c>
      <c r="J1715" s="8" t="s">
        <v>1884</v>
      </c>
      <c r="K1715" s="6">
        <v>640</v>
      </c>
      <c r="L1715" s="6" t="s">
        <v>42</v>
      </c>
      <c r="M1715" s="6" t="s">
        <v>69</v>
      </c>
    </row>
    <row r="1716" spans="1:13">
      <c r="A1716" s="6" t="s">
        <v>3030</v>
      </c>
      <c r="B1716" s="7">
        <v>46172</v>
      </c>
      <c r="C1716" s="6" t="s">
        <v>799</v>
      </c>
      <c r="D1716" s="6" t="s">
        <v>72</v>
      </c>
      <c r="E1716" s="6" t="s">
        <v>46</v>
      </c>
      <c r="F1716" s="6" t="s">
        <v>53</v>
      </c>
      <c r="G1716" s="6" t="s">
        <v>54</v>
      </c>
      <c r="H1716" s="6">
        <v>1</v>
      </c>
      <c r="I1716" s="6" t="s">
        <v>82</v>
      </c>
      <c r="J1716" s="6" t="s">
        <v>82</v>
      </c>
      <c r="K1716" s="6" t="s">
        <v>122</v>
      </c>
      <c r="L1716" s="6" t="s">
        <v>42</v>
      </c>
      <c r="M1716" s="6" t="s">
        <v>34</v>
      </c>
    </row>
    <row r="1717" spans="1:13">
      <c r="A1717" s="6" t="s">
        <v>3031</v>
      </c>
      <c r="B1717" s="7">
        <v>46158</v>
      </c>
      <c r="C1717" s="6" t="s">
        <v>3032</v>
      </c>
      <c r="D1717" s="6" t="s">
        <v>127</v>
      </c>
      <c r="E1717" s="6" t="s">
        <v>78</v>
      </c>
      <c r="F1717" s="6" t="s">
        <v>53</v>
      </c>
      <c r="G1717" s="6" t="s">
        <v>54</v>
      </c>
      <c r="H1717" s="6">
        <v>1</v>
      </c>
      <c r="I1717" s="6" t="s">
        <v>82</v>
      </c>
      <c r="J1717" s="6" t="s">
        <v>82</v>
      </c>
      <c r="K1717" s="6" t="s">
        <v>122</v>
      </c>
      <c r="L1717" s="6" t="s">
        <v>33</v>
      </c>
      <c r="M1717" s="6" t="s">
        <v>34</v>
      </c>
    </row>
    <row r="1718" spans="1:13">
      <c r="A1718" s="6" t="s">
        <v>3033</v>
      </c>
      <c r="B1718" s="7">
        <v>46151</v>
      </c>
      <c r="C1718" s="6" t="s">
        <v>2385</v>
      </c>
      <c r="D1718" s="6" t="s">
        <v>27</v>
      </c>
      <c r="E1718" s="6" t="s">
        <v>46</v>
      </c>
      <c r="F1718" s="6" t="s">
        <v>85</v>
      </c>
      <c r="G1718" s="6" t="s">
        <v>86</v>
      </c>
      <c r="H1718" s="6">
        <v>-2</v>
      </c>
      <c r="I1718" s="6" t="s">
        <v>90</v>
      </c>
      <c r="J1718" s="8" t="s">
        <v>292</v>
      </c>
      <c r="K1718" s="6" t="s">
        <v>87</v>
      </c>
      <c r="L1718" s="6" t="s">
        <v>42</v>
      </c>
      <c r="M1718" s="6" t="s">
        <v>34</v>
      </c>
    </row>
    <row r="1719" spans="1:13">
      <c r="A1719" s="6" t="s">
        <v>3034</v>
      </c>
      <c r="B1719" s="7">
        <v>46184</v>
      </c>
      <c r="C1719" s="6" t="s">
        <v>3035</v>
      </c>
      <c r="D1719" s="6" t="s">
        <v>77</v>
      </c>
      <c r="E1719" s="6" t="s">
        <v>37</v>
      </c>
      <c r="F1719" s="6" t="s">
        <v>100</v>
      </c>
      <c r="G1719" s="6" t="s">
        <v>101</v>
      </c>
      <c r="H1719" s="6">
        <v>3</v>
      </c>
      <c r="I1719" s="6" t="s">
        <v>96</v>
      </c>
      <c r="J1719" s="6" t="s">
        <v>97</v>
      </c>
      <c r="K1719" s="6" t="s">
        <v>119</v>
      </c>
      <c r="L1719" s="6" t="s">
        <v>42</v>
      </c>
      <c r="M1719" s="6" t="s">
        <v>34</v>
      </c>
    </row>
    <row r="1720" spans="1:13">
      <c r="A1720" s="6" t="s">
        <v>3036</v>
      </c>
      <c r="B1720" s="7">
        <v>46034</v>
      </c>
      <c r="C1720" s="6" t="s">
        <v>731</v>
      </c>
      <c r="D1720" s="6" t="s">
        <v>64</v>
      </c>
      <c r="E1720" s="6" t="s">
        <v>78</v>
      </c>
      <c r="F1720" s="6" t="s">
        <v>58</v>
      </c>
      <c r="G1720" s="6" t="s">
        <v>59</v>
      </c>
      <c r="H1720" s="6">
        <v>3</v>
      </c>
      <c r="I1720" s="6" t="s">
        <v>40</v>
      </c>
      <c r="J1720" s="6" t="s">
        <v>579</v>
      </c>
      <c r="K1720" s="6">
        <v>380</v>
      </c>
      <c r="L1720" s="6" t="s">
        <v>33</v>
      </c>
      <c r="M1720" s="6" t="s">
        <v>34</v>
      </c>
    </row>
    <row r="1721" spans="1:13">
      <c r="A1721" s="6" t="s">
        <v>3037</v>
      </c>
      <c r="B1721" s="7">
        <v>46032</v>
      </c>
      <c r="C1721" s="6" t="s">
        <v>996</v>
      </c>
      <c r="D1721" s="6" t="s">
        <v>110</v>
      </c>
      <c r="E1721" s="6" t="s">
        <v>52</v>
      </c>
      <c r="F1721" s="6" t="s">
        <v>94</v>
      </c>
      <c r="G1721" s="6" t="s">
        <v>95</v>
      </c>
      <c r="H1721" s="6">
        <v>2</v>
      </c>
      <c r="I1721" s="6" t="s">
        <v>90</v>
      </c>
      <c r="J1721" s="6" t="s">
        <v>154</v>
      </c>
      <c r="K1721" s="6">
        <v>340</v>
      </c>
      <c r="L1721" s="6" t="s">
        <v>42</v>
      </c>
      <c r="M1721" s="6" t="s">
        <v>34</v>
      </c>
    </row>
    <row r="1722" spans="1:13">
      <c r="A1722" s="6" t="s">
        <v>3038</v>
      </c>
      <c r="B1722" s="7">
        <v>46137</v>
      </c>
      <c r="C1722" s="6" t="s">
        <v>2193</v>
      </c>
      <c r="D1722" s="6" t="s">
        <v>45</v>
      </c>
      <c r="E1722" s="6" t="s">
        <v>52</v>
      </c>
      <c r="F1722" s="6" t="s">
        <v>53</v>
      </c>
      <c r="G1722" s="6" t="s">
        <v>54</v>
      </c>
      <c r="H1722" s="6">
        <v>2</v>
      </c>
      <c r="I1722" s="6" t="s">
        <v>79</v>
      </c>
      <c r="J1722" s="6" t="s">
        <v>259</v>
      </c>
      <c r="K1722" s="6" t="s">
        <v>122</v>
      </c>
      <c r="L1722" s="6" t="s">
        <v>42</v>
      </c>
      <c r="M1722" s="6" t="s">
        <v>69</v>
      </c>
    </row>
    <row r="1723" spans="1:13">
      <c r="A1723" s="6" t="s">
        <v>3039</v>
      </c>
      <c r="B1723" s="7">
        <v>46036</v>
      </c>
      <c r="C1723" s="6" t="s">
        <v>3040</v>
      </c>
      <c r="D1723" s="6" t="s">
        <v>57</v>
      </c>
      <c r="E1723" s="6" t="s">
        <v>78</v>
      </c>
      <c r="F1723" s="6" t="s">
        <v>100</v>
      </c>
      <c r="G1723" s="6" t="s">
        <v>101</v>
      </c>
      <c r="H1723" s="6">
        <v>2</v>
      </c>
      <c r="I1723" s="6" t="s">
        <v>117</v>
      </c>
      <c r="J1723" s="6" t="s">
        <v>118</v>
      </c>
      <c r="K1723" s="6">
        <v>640</v>
      </c>
      <c r="L1723" s="6" t="s">
        <v>42</v>
      </c>
      <c r="M1723" s="6" t="s">
        <v>34</v>
      </c>
    </row>
    <row r="1724" spans="1:13">
      <c r="A1724" s="6" t="s">
        <v>3041</v>
      </c>
      <c r="B1724" s="7">
        <v>46031</v>
      </c>
      <c r="C1724" s="6" t="s">
        <v>3042</v>
      </c>
      <c r="D1724" s="6" t="s">
        <v>105</v>
      </c>
      <c r="E1724" s="6" t="s">
        <v>52</v>
      </c>
      <c r="F1724" s="6" t="s">
        <v>47</v>
      </c>
      <c r="G1724" s="6" t="s">
        <v>48</v>
      </c>
      <c r="H1724" s="6">
        <v>3</v>
      </c>
      <c r="I1724" s="6" t="s">
        <v>82</v>
      </c>
      <c r="J1724" s="6" t="s">
        <v>390</v>
      </c>
      <c r="K1724" s="6">
        <v>85</v>
      </c>
      <c r="L1724" s="6" t="s">
        <v>42</v>
      </c>
      <c r="M1724" s="6" t="s">
        <v>34</v>
      </c>
    </row>
    <row r="1725" spans="1:13">
      <c r="A1725" s="6" t="s">
        <v>3043</v>
      </c>
      <c r="B1725" s="7">
        <v>46197</v>
      </c>
      <c r="C1725" s="6" t="s">
        <v>3044</v>
      </c>
      <c r="D1725" s="6" t="s">
        <v>57</v>
      </c>
      <c r="E1725" s="6" t="s">
        <v>46</v>
      </c>
      <c r="F1725" s="6" t="s">
        <v>94</v>
      </c>
      <c r="G1725" s="6" t="s">
        <v>95</v>
      </c>
      <c r="H1725" s="6">
        <v>3</v>
      </c>
      <c r="I1725" s="6" t="s">
        <v>60</v>
      </c>
      <c r="J1725" s="6" t="s">
        <v>268</v>
      </c>
      <c r="K1725" s="6" t="s">
        <v>114</v>
      </c>
      <c r="L1725" s="6" t="s">
        <v>33</v>
      </c>
      <c r="M1725" s="6" t="s">
        <v>34</v>
      </c>
    </row>
    <row r="1726" spans="1:13">
      <c r="A1726" s="6" t="s">
        <v>3045</v>
      </c>
      <c r="B1726" s="7">
        <v>46361</v>
      </c>
      <c r="C1726" s="6" t="s">
        <v>1748</v>
      </c>
      <c r="D1726" s="6" t="s">
        <v>45</v>
      </c>
      <c r="E1726" s="6" t="s">
        <v>28</v>
      </c>
      <c r="F1726" s="6" t="s">
        <v>38</v>
      </c>
      <c r="G1726" s="6" t="s">
        <v>39</v>
      </c>
      <c r="H1726" s="6">
        <v>1</v>
      </c>
      <c r="I1726" s="6" t="s">
        <v>265</v>
      </c>
      <c r="J1726" s="6" t="s">
        <v>265</v>
      </c>
      <c r="K1726" s="6" t="s">
        <v>41</v>
      </c>
      <c r="L1726" s="6" t="s">
        <v>42</v>
      </c>
      <c r="M1726" s="6" t="s">
        <v>69</v>
      </c>
    </row>
    <row r="1727" spans="1:13">
      <c r="A1727" s="6" t="s">
        <v>3046</v>
      </c>
      <c r="B1727" s="6" t="s">
        <v>1009</v>
      </c>
      <c r="C1727" s="6" t="s">
        <v>1539</v>
      </c>
      <c r="D1727" s="6" t="s">
        <v>72</v>
      </c>
      <c r="E1727" s="6" t="s">
        <v>78</v>
      </c>
      <c r="F1727" s="6" t="s">
        <v>58</v>
      </c>
      <c r="G1727" s="6" t="s">
        <v>59</v>
      </c>
      <c r="H1727" s="6">
        <v>2</v>
      </c>
      <c r="I1727" s="6" t="s">
        <v>143</v>
      </c>
      <c r="J1727" s="6" t="s">
        <v>3047</v>
      </c>
      <c r="K1727" s="6">
        <v>380</v>
      </c>
      <c r="L1727" s="6" t="s">
        <v>42</v>
      </c>
      <c r="M1727" s="6" t="s">
        <v>34</v>
      </c>
    </row>
    <row r="1728" spans="1:13">
      <c r="A1728" s="6" t="s">
        <v>3048</v>
      </c>
      <c r="B1728" s="6" t="s">
        <v>301</v>
      </c>
      <c r="C1728" s="6" t="s">
        <v>2412</v>
      </c>
      <c r="D1728" s="6" t="s">
        <v>27</v>
      </c>
      <c r="E1728" s="6" t="s">
        <v>28</v>
      </c>
      <c r="F1728" s="6" t="s">
        <v>53</v>
      </c>
      <c r="G1728" s="6" t="s">
        <v>54</v>
      </c>
      <c r="H1728" s="6">
        <v>1</v>
      </c>
      <c r="I1728" s="6" t="s">
        <v>79</v>
      </c>
      <c r="J1728" s="6" t="s">
        <v>79</v>
      </c>
      <c r="K1728" s="6">
        <v>190</v>
      </c>
      <c r="L1728" s="6" t="s">
        <v>42</v>
      </c>
      <c r="M1728" s="6" t="s">
        <v>69</v>
      </c>
    </row>
    <row r="1729" spans="1:13">
      <c r="A1729" s="6" t="s">
        <v>3049</v>
      </c>
      <c r="B1729" s="7">
        <v>46298</v>
      </c>
      <c r="C1729" s="6" t="s">
        <v>992</v>
      </c>
      <c r="D1729" s="6" t="s">
        <v>45</v>
      </c>
      <c r="E1729" s="6" t="s">
        <v>28</v>
      </c>
      <c r="F1729" s="6" t="s">
        <v>38</v>
      </c>
      <c r="G1729" s="6" t="s">
        <v>39</v>
      </c>
      <c r="H1729" s="6">
        <v>2</v>
      </c>
      <c r="I1729" s="6" t="s">
        <v>117</v>
      </c>
      <c r="J1729" s="6" t="s">
        <v>118</v>
      </c>
      <c r="K1729" s="6">
        <v>520</v>
      </c>
      <c r="L1729" s="6" t="s">
        <v>42</v>
      </c>
      <c r="M1729" s="6" t="s">
        <v>34</v>
      </c>
    </row>
    <row r="1730" spans="1:13">
      <c r="A1730" s="6" t="s">
        <v>3050</v>
      </c>
      <c r="B1730" s="7">
        <v>46101</v>
      </c>
      <c r="C1730" s="6" t="s">
        <v>2111</v>
      </c>
      <c r="D1730" s="6" t="s">
        <v>72</v>
      </c>
      <c r="E1730" s="6" t="s">
        <v>78</v>
      </c>
      <c r="F1730" s="6" t="s">
        <v>58</v>
      </c>
      <c r="G1730" s="6" t="s">
        <v>59</v>
      </c>
      <c r="H1730" s="6">
        <v>3</v>
      </c>
      <c r="I1730" s="6" t="s">
        <v>31</v>
      </c>
      <c r="J1730" s="6" t="s">
        <v>337</v>
      </c>
      <c r="K1730" s="6">
        <v>380</v>
      </c>
      <c r="L1730" s="6" t="s">
        <v>42</v>
      </c>
      <c r="M1730" s="6" t="s">
        <v>69</v>
      </c>
    </row>
    <row r="1731" spans="1:13">
      <c r="A1731" s="6" t="s">
        <v>3051</v>
      </c>
      <c r="B1731" s="7">
        <v>46107</v>
      </c>
      <c r="C1731" s="6" t="s">
        <v>1935</v>
      </c>
      <c r="D1731" s="6" t="s">
        <v>45</v>
      </c>
      <c r="E1731" s="6" t="s">
        <v>37</v>
      </c>
      <c r="F1731" s="6" t="s">
        <v>100</v>
      </c>
      <c r="G1731" s="6" t="s">
        <v>101</v>
      </c>
      <c r="H1731" s="6">
        <v>1</v>
      </c>
      <c r="I1731" s="6" t="s">
        <v>40</v>
      </c>
      <c r="J1731" s="6" t="s">
        <v>40</v>
      </c>
      <c r="K1731" s="6">
        <v>640</v>
      </c>
      <c r="L1731" s="6" t="s">
        <v>33</v>
      </c>
      <c r="M1731" s="6" t="s">
        <v>69</v>
      </c>
    </row>
    <row r="1732" spans="1:13">
      <c r="A1732" s="6" t="s">
        <v>3052</v>
      </c>
      <c r="B1732" s="7">
        <v>46128</v>
      </c>
      <c r="C1732" s="6" t="s">
        <v>439</v>
      </c>
      <c r="D1732" s="6" t="s">
        <v>127</v>
      </c>
      <c r="E1732" s="6" t="s">
        <v>78</v>
      </c>
      <c r="F1732" s="6" t="s">
        <v>94</v>
      </c>
      <c r="G1732" s="6" t="s">
        <v>95</v>
      </c>
      <c r="H1732" s="6">
        <v>1</v>
      </c>
      <c r="I1732" s="6" t="s">
        <v>143</v>
      </c>
      <c r="J1732" s="6" t="s">
        <v>143</v>
      </c>
      <c r="K1732" s="6">
        <v>340</v>
      </c>
      <c r="L1732" s="6" t="s">
        <v>42</v>
      </c>
      <c r="M1732" s="6" t="s">
        <v>69</v>
      </c>
    </row>
    <row r="1733" spans="1:13">
      <c r="A1733" s="6" t="s">
        <v>3053</v>
      </c>
      <c r="B1733" s="7">
        <v>46079</v>
      </c>
      <c r="C1733" s="6" t="s">
        <v>1259</v>
      </c>
      <c r="D1733" s="6" t="s">
        <v>45</v>
      </c>
      <c r="E1733" s="6" t="s">
        <v>78</v>
      </c>
      <c r="F1733" s="6" t="s">
        <v>100</v>
      </c>
      <c r="G1733" s="6" t="s">
        <v>101</v>
      </c>
      <c r="H1733" s="6">
        <v>3</v>
      </c>
      <c r="I1733" s="6" t="s">
        <v>79</v>
      </c>
      <c r="J1733" s="6" t="s">
        <v>216</v>
      </c>
      <c r="K1733" s="6">
        <v>640</v>
      </c>
      <c r="L1733" s="6" t="s">
        <v>42</v>
      </c>
      <c r="M1733" s="6" t="s">
        <v>34</v>
      </c>
    </row>
    <row r="1734" spans="1:13">
      <c r="A1734" s="6" t="s">
        <v>3054</v>
      </c>
      <c r="B1734" s="7">
        <v>46114</v>
      </c>
      <c r="C1734" s="6" t="s">
        <v>771</v>
      </c>
      <c r="D1734" s="6" t="s">
        <v>110</v>
      </c>
      <c r="E1734" s="6" t="s">
        <v>78</v>
      </c>
      <c r="F1734" s="6" t="s">
        <v>85</v>
      </c>
      <c r="G1734" s="6" t="s">
        <v>86</v>
      </c>
      <c r="H1734" s="6">
        <v>2</v>
      </c>
      <c r="I1734" s="6" t="s">
        <v>79</v>
      </c>
      <c r="J1734" s="6" t="s">
        <v>259</v>
      </c>
      <c r="K1734" s="6">
        <v>410</v>
      </c>
      <c r="L1734" s="6" t="s">
        <v>42</v>
      </c>
      <c r="M1734" s="6" t="s">
        <v>34</v>
      </c>
    </row>
    <row r="1735" spans="1:13">
      <c r="A1735" s="6" t="s">
        <v>3055</v>
      </c>
      <c r="B1735" s="7">
        <v>46131</v>
      </c>
      <c r="C1735" s="6" t="s">
        <v>142</v>
      </c>
      <c r="D1735" s="6" t="s">
        <v>72</v>
      </c>
      <c r="E1735" s="6" t="s">
        <v>52</v>
      </c>
      <c r="F1735" s="6" t="s">
        <v>47</v>
      </c>
      <c r="G1735" s="6" t="s">
        <v>48</v>
      </c>
      <c r="H1735" s="6">
        <v>1</v>
      </c>
      <c r="I1735" s="6" t="s">
        <v>143</v>
      </c>
      <c r="J1735" s="6" t="s">
        <v>143</v>
      </c>
      <c r="K1735" s="6">
        <v>85</v>
      </c>
      <c r="L1735" s="6" t="s">
        <v>42</v>
      </c>
      <c r="M1735" s="6" t="s">
        <v>34</v>
      </c>
    </row>
    <row r="1736" spans="1:13">
      <c r="A1736" s="6" t="s">
        <v>3056</v>
      </c>
      <c r="B1736" s="7">
        <v>46028</v>
      </c>
      <c r="C1736" s="6" t="s">
        <v>3057</v>
      </c>
      <c r="D1736" s="6" t="s">
        <v>45</v>
      </c>
      <c r="E1736" s="6" t="s">
        <v>46</v>
      </c>
      <c r="F1736" s="6" t="s">
        <v>29</v>
      </c>
      <c r="G1736" s="6" t="s">
        <v>30</v>
      </c>
      <c r="H1736" s="6">
        <v>1</v>
      </c>
      <c r="I1736" s="6" t="s">
        <v>117</v>
      </c>
      <c r="J1736" s="6" t="s">
        <v>1281</v>
      </c>
      <c r="K1736" s="6">
        <v>520</v>
      </c>
      <c r="L1736" s="6" t="s">
        <v>42</v>
      </c>
      <c r="M1736" s="6" t="s">
        <v>34</v>
      </c>
    </row>
    <row r="1737" spans="1:13">
      <c r="A1737" s="6" t="s">
        <v>3058</v>
      </c>
      <c r="B1737" s="7">
        <v>46171</v>
      </c>
      <c r="C1737" s="6" t="s">
        <v>1386</v>
      </c>
      <c r="D1737" s="6" t="s">
        <v>27</v>
      </c>
      <c r="E1737" s="6" t="s">
        <v>37</v>
      </c>
      <c r="F1737" s="6" t="s">
        <v>58</v>
      </c>
      <c r="G1737" s="6" t="s">
        <v>59</v>
      </c>
      <c r="H1737" s="6">
        <v>3</v>
      </c>
      <c r="I1737" s="6" t="s">
        <v>113</v>
      </c>
      <c r="J1737" s="6" t="s">
        <v>138</v>
      </c>
      <c r="K1737" s="6" t="s">
        <v>61</v>
      </c>
      <c r="L1737" s="6" t="s">
        <v>33</v>
      </c>
      <c r="M1737" s="6" t="s">
        <v>34</v>
      </c>
    </row>
    <row r="1738" spans="1:13">
      <c r="A1738" s="6" t="s">
        <v>3059</v>
      </c>
      <c r="B1738" s="7">
        <v>46206</v>
      </c>
      <c r="C1738" s="6" t="s">
        <v>475</v>
      </c>
      <c r="D1738" s="6" t="s">
        <v>45</v>
      </c>
      <c r="E1738" s="6" t="s">
        <v>52</v>
      </c>
      <c r="F1738" s="6" t="s">
        <v>38</v>
      </c>
      <c r="G1738" s="6" t="s">
        <v>39</v>
      </c>
      <c r="H1738" s="6">
        <v>3</v>
      </c>
      <c r="I1738" s="6" t="s">
        <v>113</v>
      </c>
      <c r="J1738" s="6" t="s">
        <v>138</v>
      </c>
      <c r="K1738" s="6" t="s">
        <v>41</v>
      </c>
      <c r="L1738" s="6" t="s">
        <v>42</v>
      </c>
      <c r="M1738" s="6" t="s">
        <v>34</v>
      </c>
    </row>
    <row r="1739" spans="1:13">
      <c r="A1739" s="6" t="s">
        <v>3060</v>
      </c>
      <c r="B1739" s="7">
        <v>46186</v>
      </c>
      <c r="C1739" s="6" t="s">
        <v>2520</v>
      </c>
      <c r="D1739" s="6" t="s">
        <v>105</v>
      </c>
      <c r="E1739" s="6" t="s">
        <v>28</v>
      </c>
      <c r="F1739" s="6" t="s">
        <v>100</v>
      </c>
      <c r="G1739" s="6" t="s">
        <v>101</v>
      </c>
      <c r="H1739" s="6">
        <v>2</v>
      </c>
      <c r="I1739" s="6" t="s">
        <v>90</v>
      </c>
      <c r="J1739" s="6" t="s">
        <v>154</v>
      </c>
      <c r="K1739" s="6" t="s">
        <v>119</v>
      </c>
      <c r="L1739" s="6" t="s">
        <v>42</v>
      </c>
      <c r="M1739" s="6" t="s">
        <v>34</v>
      </c>
    </row>
    <row r="1740" spans="1:13">
      <c r="A1740" s="6" t="s">
        <v>3061</v>
      </c>
      <c r="B1740" s="7">
        <v>46079</v>
      </c>
      <c r="C1740" s="6" t="s">
        <v>1746</v>
      </c>
      <c r="D1740" s="6" t="s">
        <v>110</v>
      </c>
      <c r="E1740" s="6" t="s">
        <v>37</v>
      </c>
      <c r="F1740" s="6" t="s">
        <v>94</v>
      </c>
      <c r="G1740" s="6" t="s">
        <v>95</v>
      </c>
      <c r="H1740" s="6">
        <v>3</v>
      </c>
      <c r="I1740" s="6" t="s">
        <v>96</v>
      </c>
      <c r="J1740" s="6" t="s">
        <v>97</v>
      </c>
      <c r="K1740" s="6">
        <v>340</v>
      </c>
      <c r="L1740" s="6" t="s">
        <v>33</v>
      </c>
      <c r="M1740" s="6" t="s">
        <v>34</v>
      </c>
    </row>
    <row r="1741" spans="1:13">
      <c r="A1741" s="6" t="s">
        <v>3062</v>
      </c>
      <c r="B1741" s="7">
        <v>46167</v>
      </c>
      <c r="C1741" s="6" t="s">
        <v>212</v>
      </c>
      <c r="D1741" s="6" t="s">
        <v>77</v>
      </c>
      <c r="E1741" s="6" t="s">
        <v>46</v>
      </c>
      <c r="F1741" s="6" t="s">
        <v>100</v>
      </c>
      <c r="G1741" s="6" t="s">
        <v>101</v>
      </c>
      <c r="H1741" s="6">
        <v>-1</v>
      </c>
      <c r="I1741" s="6" t="s">
        <v>490</v>
      </c>
      <c r="J1741" s="8" t="s">
        <v>1415</v>
      </c>
      <c r="K1741" s="6" t="s">
        <v>119</v>
      </c>
      <c r="L1741" s="6" t="s">
        <v>42</v>
      </c>
      <c r="M1741" s="6" t="s">
        <v>34</v>
      </c>
    </row>
    <row r="1742" spans="1:13">
      <c r="A1742" s="6" t="s">
        <v>3063</v>
      </c>
      <c r="B1742" s="7">
        <v>46024</v>
      </c>
      <c r="C1742" s="6" t="s">
        <v>2063</v>
      </c>
      <c r="D1742" s="6" t="s">
        <v>105</v>
      </c>
      <c r="E1742" s="6" t="s">
        <v>52</v>
      </c>
      <c r="F1742" s="6" t="s">
        <v>94</v>
      </c>
      <c r="G1742" s="6" t="s">
        <v>95</v>
      </c>
      <c r="H1742" s="6">
        <v>2</v>
      </c>
      <c r="I1742" s="6" t="s">
        <v>265</v>
      </c>
      <c r="J1742" s="6" t="s">
        <v>167</v>
      </c>
      <c r="K1742" s="6">
        <v>340</v>
      </c>
      <c r="L1742" s="6" t="s">
        <v>42</v>
      </c>
      <c r="M1742" s="6" t="s">
        <v>34</v>
      </c>
    </row>
    <row r="1743" spans="1:13">
      <c r="A1743" s="6" t="s">
        <v>3064</v>
      </c>
      <c r="B1743" s="7">
        <v>46200</v>
      </c>
      <c r="C1743" s="6" t="s">
        <v>3065</v>
      </c>
      <c r="D1743" s="6" t="s">
        <v>45</v>
      </c>
      <c r="E1743" s="6" t="s">
        <v>46</v>
      </c>
      <c r="F1743" s="6" t="s">
        <v>29</v>
      </c>
      <c r="G1743" s="6" t="s">
        <v>30</v>
      </c>
      <c r="H1743" s="6">
        <v>1</v>
      </c>
      <c r="I1743" s="6" t="s">
        <v>40</v>
      </c>
      <c r="J1743" s="6" t="s">
        <v>40</v>
      </c>
      <c r="K1743" s="6" t="s">
        <v>41</v>
      </c>
      <c r="L1743" s="6" t="s">
        <v>42</v>
      </c>
      <c r="M1743" s="6" t="s">
        <v>34</v>
      </c>
    </row>
    <row r="1744" spans="1:13">
      <c r="A1744" s="6" t="s">
        <v>3066</v>
      </c>
      <c r="B1744" s="7">
        <v>46041</v>
      </c>
      <c r="C1744" s="6" t="s">
        <v>2331</v>
      </c>
      <c r="D1744" s="6" t="s">
        <v>64</v>
      </c>
      <c r="E1744" s="6" t="s">
        <v>37</v>
      </c>
      <c r="F1744" s="6" t="s">
        <v>29</v>
      </c>
      <c r="G1744" s="6" t="s">
        <v>30</v>
      </c>
      <c r="H1744" s="6">
        <v>1</v>
      </c>
      <c r="I1744" s="6" t="s">
        <v>96</v>
      </c>
      <c r="J1744" s="6" t="s">
        <v>96</v>
      </c>
      <c r="K1744" s="6">
        <v>520</v>
      </c>
      <c r="L1744" s="6" t="s">
        <v>33</v>
      </c>
      <c r="M1744" s="6" t="s">
        <v>34</v>
      </c>
    </row>
    <row r="1745" spans="1:13">
      <c r="A1745" s="6" t="s">
        <v>3067</v>
      </c>
      <c r="B1745" s="7">
        <v>46183</v>
      </c>
      <c r="C1745" s="6" t="s">
        <v>1835</v>
      </c>
      <c r="D1745" s="6" t="s">
        <v>27</v>
      </c>
      <c r="E1745" s="6" t="s">
        <v>52</v>
      </c>
      <c r="F1745" s="6" t="s">
        <v>38</v>
      </c>
      <c r="G1745" s="6" t="s">
        <v>39</v>
      </c>
      <c r="H1745" s="6">
        <v>2</v>
      </c>
      <c r="I1745" s="6" t="s">
        <v>73</v>
      </c>
      <c r="J1745" s="6" t="s">
        <v>74</v>
      </c>
      <c r="K1745" s="6" t="s">
        <v>41</v>
      </c>
      <c r="L1745" s="6" t="s">
        <v>42</v>
      </c>
      <c r="M1745" s="6" t="s">
        <v>34</v>
      </c>
    </row>
    <row r="1746" spans="1:13">
      <c r="A1746" s="6" t="s">
        <v>3068</v>
      </c>
      <c r="B1746" s="6" t="s">
        <v>3069</v>
      </c>
      <c r="C1746" s="6" t="s">
        <v>707</v>
      </c>
      <c r="D1746" s="6" t="s">
        <v>72</v>
      </c>
      <c r="E1746" s="6" t="s">
        <v>52</v>
      </c>
      <c r="F1746" s="6" t="s">
        <v>47</v>
      </c>
      <c r="G1746" s="6" t="s">
        <v>48</v>
      </c>
      <c r="H1746" s="6">
        <v>1</v>
      </c>
      <c r="I1746" s="6" t="s">
        <v>96</v>
      </c>
      <c r="J1746" s="6" t="s">
        <v>96</v>
      </c>
      <c r="K1746" s="6">
        <v>85</v>
      </c>
      <c r="L1746" s="6" t="s">
        <v>42</v>
      </c>
      <c r="M1746" s="6" t="s">
        <v>34</v>
      </c>
    </row>
    <row r="1747" spans="1:13">
      <c r="A1747" s="6" t="s">
        <v>3070</v>
      </c>
      <c r="B1747" s="7">
        <v>46189</v>
      </c>
      <c r="C1747" s="6" t="s">
        <v>1732</v>
      </c>
      <c r="D1747" s="6" t="s">
        <v>27</v>
      </c>
      <c r="E1747" s="6" t="s">
        <v>46</v>
      </c>
      <c r="F1747" s="6" t="s">
        <v>29</v>
      </c>
      <c r="G1747" s="6" t="s">
        <v>30</v>
      </c>
      <c r="H1747" s="6">
        <v>2</v>
      </c>
      <c r="I1747" s="6" t="s">
        <v>60</v>
      </c>
      <c r="J1747" s="6" t="s">
        <v>189</v>
      </c>
      <c r="K1747" s="6" t="s">
        <v>41</v>
      </c>
      <c r="L1747" s="6" t="s">
        <v>42</v>
      </c>
      <c r="M1747" s="6" t="s">
        <v>69</v>
      </c>
    </row>
    <row r="1748" spans="1:13">
      <c r="A1748" s="6" t="s">
        <v>3071</v>
      </c>
      <c r="B1748" s="6" t="s">
        <v>270</v>
      </c>
      <c r="C1748" s="6" t="s">
        <v>520</v>
      </c>
      <c r="D1748" s="6" t="s">
        <v>64</v>
      </c>
      <c r="E1748" s="6" t="s">
        <v>28</v>
      </c>
      <c r="F1748" s="6" t="s">
        <v>38</v>
      </c>
      <c r="G1748" s="6" t="s">
        <v>39</v>
      </c>
      <c r="H1748" s="6">
        <v>1</v>
      </c>
      <c r="I1748" s="6" t="s">
        <v>79</v>
      </c>
      <c r="J1748" s="6" t="s">
        <v>79</v>
      </c>
      <c r="K1748" s="6" t="s">
        <v>41</v>
      </c>
      <c r="L1748" s="6" t="s">
        <v>42</v>
      </c>
      <c r="M1748" s="6" t="s">
        <v>69</v>
      </c>
    </row>
    <row r="1749" spans="1:13">
      <c r="A1749" s="6" t="s">
        <v>3072</v>
      </c>
      <c r="B1749" s="7">
        <v>46046</v>
      </c>
      <c r="C1749" s="6" t="s">
        <v>206</v>
      </c>
      <c r="D1749" s="6" t="s">
        <v>45</v>
      </c>
      <c r="E1749" s="6" t="s">
        <v>52</v>
      </c>
      <c r="F1749" s="6" t="s">
        <v>85</v>
      </c>
      <c r="G1749" s="6" t="s">
        <v>86</v>
      </c>
      <c r="H1749" s="6">
        <v>1</v>
      </c>
      <c r="I1749" s="6" t="s">
        <v>117</v>
      </c>
      <c r="J1749" s="6" t="s">
        <v>117</v>
      </c>
      <c r="K1749" s="6">
        <v>410</v>
      </c>
      <c r="L1749" s="6" t="s">
        <v>42</v>
      </c>
      <c r="M1749" s="6" t="s">
        <v>34</v>
      </c>
    </row>
    <row r="1750" spans="1:13">
      <c r="A1750" s="6" t="s">
        <v>3073</v>
      </c>
      <c r="B1750" s="7">
        <v>46161</v>
      </c>
      <c r="C1750" s="6" t="s">
        <v>146</v>
      </c>
      <c r="D1750" s="6" t="s">
        <v>57</v>
      </c>
      <c r="E1750" s="6" t="s">
        <v>52</v>
      </c>
      <c r="F1750" s="6" t="s">
        <v>38</v>
      </c>
      <c r="G1750" s="6" t="s">
        <v>39</v>
      </c>
      <c r="H1750" s="6">
        <v>1</v>
      </c>
      <c r="I1750" s="6" t="s">
        <v>90</v>
      </c>
      <c r="J1750" s="6" t="s">
        <v>90</v>
      </c>
      <c r="K1750" s="6" t="s">
        <v>41</v>
      </c>
      <c r="L1750" s="6" t="s">
        <v>42</v>
      </c>
      <c r="M1750" s="6" t="s">
        <v>34</v>
      </c>
    </row>
    <row r="1751" spans="1:13">
      <c r="A1751" s="6" t="s">
        <v>3074</v>
      </c>
      <c r="B1751" s="7">
        <v>46067</v>
      </c>
      <c r="C1751" s="6" t="s">
        <v>3075</v>
      </c>
      <c r="D1751" s="6" t="s">
        <v>64</v>
      </c>
      <c r="E1751" s="6" t="s">
        <v>52</v>
      </c>
      <c r="F1751" s="6" t="s">
        <v>85</v>
      </c>
      <c r="G1751" s="6" t="s">
        <v>86</v>
      </c>
      <c r="H1751" s="6">
        <v>2</v>
      </c>
      <c r="I1751" s="6" t="s">
        <v>113</v>
      </c>
      <c r="J1751" s="6" t="s">
        <v>192</v>
      </c>
      <c r="K1751" s="6">
        <v>410</v>
      </c>
      <c r="L1751" s="6" t="s">
        <v>42</v>
      </c>
      <c r="M1751" s="6" t="s">
        <v>34</v>
      </c>
    </row>
    <row r="1752" spans="1:13">
      <c r="A1752" s="6" t="s">
        <v>3076</v>
      </c>
      <c r="B1752" s="7">
        <v>46068</v>
      </c>
      <c r="C1752" s="6" t="s">
        <v>3077</v>
      </c>
      <c r="D1752" s="6" t="s">
        <v>64</v>
      </c>
      <c r="E1752" s="6" t="s">
        <v>37</v>
      </c>
      <c r="F1752" s="6" t="s">
        <v>29</v>
      </c>
      <c r="G1752" s="6" t="s">
        <v>30</v>
      </c>
      <c r="H1752" s="6">
        <v>1</v>
      </c>
      <c r="I1752" s="6" t="s">
        <v>82</v>
      </c>
      <c r="J1752" s="6" t="s">
        <v>82</v>
      </c>
      <c r="K1752" s="6">
        <v>520</v>
      </c>
      <c r="L1752" s="6" t="s">
        <v>42</v>
      </c>
      <c r="M1752" s="6" t="s">
        <v>34</v>
      </c>
    </row>
    <row r="1753" spans="1:13">
      <c r="A1753" s="6" t="s">
        <v>3078</v>
      </c>
      <c r="B1753" s="7">
        <v>46036</v>
      </c>
      <c r="C1753" s="6" t="s">
        <v>1343</v>
      </c>
      <c r="D1753" s="6" t="s">
        <v>72</v>
      </c>
      <c r="E1753" s="6" t="s">
        <v>28</v>
      </c>
      <c r="F1753" s="6" t="s">
        <v>85</v>
      </c>
      <c r="G1753" s="6" t="s">
        <v>86</v>
      </c>
      <c r="H1753" s="6">
        <v>1</v>
      </c>
      <c r="I1753" s="6" t="s">
        <v>113</v>
      </c>
      <c r="J1753" s="6" t="s">
        <v>113</v>
      </c>
      <c r="K1753" s="6">
        <v>410</v>
      </c>
      <c r="L1753" s="6" t="s">
        <v>33</v>
      </c>
      <c r="M1753" s="6" t="s">
        <v>69</v>
      </c>
    </row>
    <row r="1754" spans="1:13">
      <c r="A1754" s="6" t="s">
        <v>3079</v>
      </c>
      <c r="B1754" s="7">
        <v>46088</v>
      </c>
      <c r="C1754" s="6" t="s">
        <v>1989</v>
      </c>
      <c r="D1754" s="6" t="s">
        <v>105</v>
      </c>
      <c r="E1754" s="6" t="s">
        <v>37</v>
      </c>
      <c r="F1754" s="6" t="s">
        <v>38</v>
      </c>
      <c r="G1754" s="6" t="s">
        <v>39</v>
      </c>
      <c r="H1754" s="6">
        <v>1</v>
      </c>
      <c r="I1754" s="6" t="s">
        <v>82</v>
      </c>
      <c r="J1754" s="6" t="s">
        <v>82</v>
      </c>
      <c r="K1754" s="6">
        <v>520</v>
      </c>
      <c r="L1754" s="6" t="s">
        <v>42</v>
      </c>
      <c r="M1754" s="6" t="s">
        <v>69</v>
      </c>
    </row>
    <row r="1755" spans="1:13">
      <c r="A1755" s="6" t="s">
        <v>3080</v>
      </c>
      <c r="B1755" s="7">
        <v>46157</v>
      </c>
      <c r="C1755" s="6" t="s">
        <v>2179</v>
      </c>
      <c r="D1755" s="6" t="s">
        <v>110</v>
      </c>
      <c r="E1755" s="6" t="s">
        <v>37</v>
      </c>
      <c r="F1755" s="6" t="s">
        <v>94</v>
      </c>
      <c r="G1755" s="6" t="s">
        <v>95</v>
      </c>
      <c r="H1755" s="6">
        <v>1</v>
      </c>
      <c r="I1755" s="6" t="s">
        <v>90</v>
      </c>
      <c r="J1755" s="6" t="s">
        <v>90</v>
      </c>
      <c r="K1755" s="6" t="s">
        <v>114</v>
      </c>
      <c r="L1755" s="6" t="s">
        <v>42</v>
      </c>
      <c r="M1755" s="6" t="s">
        <v>34</v>
      </c>
    </row>
    <row r="1756" spans="1:13">
      <c r="A1756" s="6" t="s">
        <v>3081</v>
      </c>
      <c r="B1756" s="7">
        <v>46091</v>
      </c>
      <c r="C1756" s="6" t="s">
        <v>3082</v>
      </c>
      <c r="D1756" s="6" t="s">
        <v>110</v>
      </c>
      <c r="E1756" s="6" t="s">
        <v>78</v>
      </c>
      <c r="F1756" s="6" t="s">
        <v>29</v>
      </c>
      <c r="G1756" s="6" t="s">
        <v>30</v>
      </c>
      <c r="H1756" s="6">
        <v>2</v>
      </c>
      <c r="I1756" s="6" t="s">
        <v>60</v>
      </c>
      <c r="J1756" s="6" t="s">
        <v>189</v>
      </c>
      <c r="K1756" s="6">
        <v>520</v>
      </c>
      <c r="L1756" s="6" t="s">
        <v>42</v>
      </c>
      <c r="M1756" s="6" t="s">
        <v>34</v>
      </c>
    </row>
    <row r="1757" spans="1:13">
      <c r="A1757" s="6" t="s">
        <v>3083</v>
      </c>
      <c r="B1757" s="7">
        <v>46147</v>
      </c>
      <c r="C1757" s="6" t="s">
        <v>1139</v>
      </c>
      <c r="D1757" s="6" t="s">
        <v>64</v>
      </c>
      <c r="E1757" s="6" t="s">
        <v>46</v>
      </c>
      <c r="F1757" s="6" t="s">
        <v>38</v>
      </c>
      <c r="G1757" s="6" t="s">
        <v>39</v>
      </c>
      <c r="H1757" s="6">
        <v>1</v>
      </c>
      <c r="I1757" s="6" t="s">
        <v>147</v>
      </c>
      <c r="J1757" s="6" t="s">
        <v>147</v>
      </c>
      <c r="K1757" s="6" t="s">
        <v>41</v>
      </c>
      <c r="L1757" s="6" t="s">
        <v>42</v>
      </c>
      <c r="M1757" s="6" t="s">
        <v>34</v>
      </c>
    </row>
    <row r="1758" spans="1:13">
      <c r="A1758" s="6" t="s">
        <v>3084</v>
      </c>
      <c r="B1758" s="7">
        <v>46036</v>
      </c>
      <c r="C1758" s="6" t="s">
        <v>3085</v>
      </c>
      <c r="D1758" s="6" t="s">
        <v>110</v>
      </c>
      <c r="E1758" s="6" t="s">
        <v>37</v>
      </c>
      <c r="F1758" s="6" t="s">
        <v>100</v>
      </c>
      <c r="G1758" s="6" t="s">
        <v>101</v>
      </c>
      <c r="H1758" s="6">
        <v>1</v>
      </c>
      <c r="I1758" s="6" t="s">
        <v>82</v>
      </c>
      <c r="J1758" s="6" t="s">
        <v>82</v>
      </c>
      <c r="K1758" s="6">
        <v>640</v>
      </c>
      <c r="L1758" s="6" t="s">
        <v>42</v>
      </c>
      <c r="M1758" s="6" t="s">
        <v>34</v>
      </c>
    </row>
    <row r="1759" spans="1:13">
      <c r="A1759" s="6" t="s">
        <v>3086</v>
      </c>
      <c r="B1759" s="6" t="s">
        <v>3069</v>
      </c>
      <c r="C1759" s="6" t="s">
        <v>564</v>
      </c>
      <c r="D1759" s="6" t="s">
        <v>45</v>
      </c>
      <c r="E1759" s="6" t="s">
        <v>78</v>
      </c>
      <c r="F1759" s="6" t="s">
        <v>94</v>
      </c>
      <c r="G1759" s="6" t="s">
        <v>95</v>
      </c>
      <c r="H1759" s="6">
        <v>2</v>
      </c>
      <c r="I1759" s="6" t="s">
        <v>147</v>
      </c>
      <c r="J1759" s="6" t="s">
        <v>3087</v>
      </c>
      <c r="K1759" s="6">
        <v>340</v>
      </c>
      <c r="L1759" s="6" t="s">
        <v>42</v>
      </c>
      <c r="M1759" s="6" t="s">
        <v>34</v>
      </c>
    </row>
    <row r="1760" spans="1:13">
      <c r="A1760" s="6" t="s">
        <v>3088</v>
      </c>
      <c r="B1760" s="6" t="s">
        <v>1000</v>
      </c>
      <c r="C1760" s="6" t="s">
        <v>2153</v>
      </c>
      <c r="D1760" s="6" t="s">
        <v>27</v>
      </c>
      <c r="E1760" s="6" t="s">
        <v>52</v>
      </c>
      <c r="F1760" s="6" t="s">
        <v>85</v>
      </c>
      <c r="G1760" s="6" t="s">
        <v>86</v>
      </c>
      <c r="H1760" s="6">
        <v>1</v>
      </c>
      <c r="I1760" s="6" t="s">
        <v>117</v>
      </c>
      <c r="J1760" s="6" t="s">
        <v>117</v>
      </c>
      <c r="K1760" s="6" t="s">
        <v>87</v>
      </c>
      <c r="L1760" s="6" t="s">
        <v>33</v>
      </c>
      <c r="M1760" s="6" t="s">
        <v>69</v>
      </c>
    </row>
    <row r="1761" spans="1:13">
      <c r="A1761" s="6" t="s">
        <v>3089</v>
      </c>
      <c r="B1761" s="7">
        <v>46296</v>
      </c>
      <c r="C1761" s="6" t="s">
        <v>3090</v>
      </c>
      <c r="D1761" s="6" t="s">
        <v>64</v>
      </c>
      <c r="E1761" s="6" t="s">
        <v>52</v>
      </c>
      <c r="F1761" s="6" t="s">
        <v>58</v>
      </c>
      <c r="G1761" s="6" t="s">
        <v>59</v>
      </c>
      <c r="H1761" s="6">
        <v>1</v>
      </c>
      <c r="I1761" s="6" t="s">
        <v>79</v>
      </c>
      <c r="J1761" s="6" t="s">
        <v>79</v>
      </c>
      <c r="K1761" s="6">
        <v>380</v>
      </c>
      <c r="L1761" s="6" t="s">
        <v>42</v>
      </c>
      <c r="M1761" s="6" t="s">
        <v>69</v>
      </c>
    </row>
    <row r="1762" spans="1:13">
      <c r="A1762" s="6" t="s">
        <v>3091</v>
      </c>
      <c r="B1762" s="7">
        <v>46192</v>
      </c>
      <c r="C1762" s="6" t="s">
        <v>1997</v>
      </c>
      <c r="D1762" s="6" t="s">
        <v>105</v>
      </c>
      <c r="E1762" s="6" t="s">
        <v>78</v>
      </c>
      <c r="F1762" s="6" t="s">
        <v>53</v>
      </c>
      <c r="G1762" s="6" t="s">
        <v>54</v>
      </c>
      <c r="H1762" s="6">
        <v>2</v>
      </c>
      <c r="I1762" s="6" t="s">
        <v>31</v>
      </c>
      <c r="J1762" s="6" t="s">
        <v>249</v>
      </c>
      <c r="K1762" s="6" t="s">
        <v>122</v>
      </c>
      <c r="L1762" s="6" t="s">
        <v>42</v>
      </c>
      <c r="M1762" s="6" t="s">
        <v>34</v>
      </c>
    </row>
    <row r="1763" spans="1:13">
      <c r="A1763" s="6" t="s">
        <v>3092</v>
      </c>
      <c r="B1763" s="7">
        <v>46062</v>
      </c>
      <c r="C1763" s="6" t="s">
        <v>3093</v>
      </c>
      <c r="D1763" s="6" t="s">
        <v>27</v>
      </c>
      <c r="E1763" s="6" t="s">
        <v>46</v>
      </c>
      <c r="F1763" s="6" t="s">
        <v>47</v>
      </c>
      <c r="G1763" s="6" t="s">
        <v>48</v>
      </c>
      <c r="H1763" s="6">
        <v>3</v>
      </c>
      <c r="I1763" s="6" t="s">
        <v>96</v>
      </c>
      <c r="J1763" s="6" t="s">
        <v>97</v>
      </c>
      <c r="K1763" s="6">
        <v>85</v>
      </c>
      <c r="L1763" s="6" t="s">
        <v>42</v>
      </c>
      <c r="M1763" s="6" t="s">
        <v>34</v>
      </c>
    </row>
    <row r="1764" spans="1:13">
      <c r="A1764" s="6" t="s">
        <v>3094</v>
      </c>
      <c r="B1764" s="7">
        <v>46054</v>
      </c>
      <c r="C1764" s="6" t="s">
        <v>3095</v>
      </c>
      <c r="D1764" s="6" t="s">
        <v>57</v>
      </c>
      <c r="E1764" s="6" t="s">
        <v>46</v>
      </c>
      <c r="F1764" s="6" t="s">
        <v>53</v>
      </c>
      <c r="G1764" s="6" t="s">
        <v>54</v>
      </c>
      <c r="H1764" s="6">
        <v>1</v>
      </c>
      <c r="I1764" s="6" t="s">
        <v>265</v>
      </c>
      <c r="J1764" s="6" t="s">
        <v>265</v>
      </c>
      <c r="K1764" s="6">
        <v>190</v>
      </c>
      <c r="L1764" s="6" t="s">
        <v>42</v>
      </c>
      <c r="M1764" s="6" t="s">
        <v>69</v>
      </c>
    </row>
    <row r="1765" spans="1:13">
      <c r="A1765" s="6" t="s">
        <v>3096</v>
      </c>
      <c r="B1765" s="7">
        <v>46071</v>
      </c>
      <c r="C1765" s="6" t="s">
        <v>2975</v>
      </c>
      <c r="D1765" s="6" t="s">
        <v>127</v>
      </c>
      <c r="E1765" s="6" t="s">
        <v>46</v>
      </c>
      <c r="F1765" s="6" t="s">
        <v>53</v>
      </c>
      <c r="G1765" s="6" t="s">
        <v>54</v>
      </c>
      <c r="H1765" s="6">
        <v>1</v>
      </c>
      <c r="I1765" s="6" t="s">
        <v>79</v>
      </c>
      <c r="J1765" s="6" t="s">
        <v>79</v>
      </c>
      <c r="K1765" s="6">
        <v>190</v>
      </c>
      <c r="L1765" s="6" t="s">
        <v>42</v>
      </c>
      <c r="M1765" s="6" t="s">
        <v>34</v>
      </c>
    </row>
    <row r="1766" spans="1:13">
      <c r="A1766" s="6" t="s">
        <v>3097</v>
      </c>
      <c r="B1766" s="7">
        <v>46141</v>
      </c>
      <c r="C1766" s="6" t="s">
        <v>2111</v>
      </c>
      <c r="D1766" s="6" t="s">
        <v>72</v>
      </c>
      <c r="E1766" s="6" t="s">
        <v>46</v>
      </c>
      <c r="F1766" s="6" t="s">
        <v>47</v>
      </c>
      <c r="G1766" s="6" t="s">
        <v>48</v>
      </c>
      <c r="H1766" s="6">
        <v>1</v>
      </c>
      <c r="I1766" s="6" t="s">
        <v>117</v>
      </c>
      <c r="J1766" s="6" t="s">
        <v>117</v>
      </c>
      <c r="K1766" s="6" t="s">
        <v>49</v>
      </c>
      <c r="L1766" s="6" t="s">
        <v>42</v>
      </c>
      <c r="M1766" s="6" t="s">
        <v>34</v>
      </c>
    </row>
    <row r="1767" spans="1:13">
      <c r="A1767" s="6" t="s">
        <v>3098</v>
      </c>
      <c r="B1767" s="7">
        <v>46183</v>
      </c>
      <c r="C1767" s="6" t="s">
        <v>509</v>
      </c>
      <c r="D1767" s="6" t="s">
        <v>57</v>
      </c>
      <c r="E1767" s="6" t="s">
        <v>52</v>
      </c>
      <c r="F1767" s="6" t="s">
        <v>58</v>
      </c>
      <c r="G1767" s="6" t="s">
        <v>59</v>
      </c>
      <c r="H1767" s="6">
        <v>1</v>
      </c>
      <c r="I1767" s="6" t="s">
        <v>181</v>
      </c>
      <c r="J1767" s="6" t="s">
        <v>181</v>
      </c>
      <c r="K1767" s="6" t="s">
        <v>61</v>
      </c>
      <c r="L1767" s="6" t="s">
        <v>42</v>
      </c>
      <c r="M1767" s="6" t="s">
        <v>34</v>
      </c>
    </row>
    <row r="1768" spans="1:13">
      <c r="A1768" s="6" t="s">
        <v>3099</v>
      </c>
      <c r="B1768" s="6" t="s">
        <v>270</v>
      </c>
      <c r="C1768" s="6" t="s">
        <v>210</v>
      </c>
      <c r="D1768" s="6" t="s">
        <v>110</v>
      </c>
      <c r="E1768" s="6" t="s">
        <v>78</v>
      </c>
      <c r="F1768" s="6" t="s">
        <v>47</v>
      </c>
      <c r="G1768" s="6" t="s">
        <v>48</v>
      </c>
      <c r="H1768" s="6">
        <v>1</v>
      </c>
      <c r="I1768" s="6" t="s">
        <v>60</v>
      </c>
      <c r="J1768" s="6" t="s">
        <v>60</v>
      </c>
      <c r="K1768" s="6" t="s">
        <v>49</v>
      </c>
      <c r="L1768" s="6" t="s">
        <v>42</v>
      </c>
      <c r="M1768" s="6" t="s">
        <v>34</v>
      </c>
    </row>
    <row r="1769" spans="1:13">
      <c r="A1769" s="6" t="s">
        <v>3100</v>
      </c>
      <c r="B1769" s="7">
        <v>46201</v>
      </c>
      <c r="C1769" s="6" t="s">
        <v>2214</v>
      </c>
      <c r="D1769" s="6" t="s">
        <v>57</v>
      </c>
      <c r="E1769" s="6" t="s">
        <v>46</v>
      </c>
      <c r="F1769" s="6" t="s">
        <v>100</v>
      </c>
      <c r="G1769" s="6" t="s">
        <v>101</v>
      </c>
      <c r="H1769" s="6">
        <v>1</v>
      </c>
      <c r="I1769" s="6" t="s">
        <v>265</v>
      </c>
      <c r="J1769" s="6" t="s">
        <v>265</v>
      </c>
      <c r="K1769" s="6" t="s">
        <v>119</v>
      </c>
      <c r="L1769" s="6" t="s">
        <v>42</v>
      </c>
      <c r="M1769" s="6" t="s">
        <v>69</v>
      </c>
    </row>
    <row r="1770" spans="1:13">
      <c r="A1770" s="6" t="s">
        <v>3101</v>
      </c>
      <c r="B1770" s="7">
        <v>46206</v>
      </c>
      <c r="C1770" s="6" t="s">
        <v>2202</v>
      </c>
      <c r="D1770" s="6" t="s">
        <v>110</v>
      </c>
      <c r="E1770" s="6" t="s">
        <v>78</v>
      </c>
      <c r="F1770" s="6" t="s">
        <v>47</v>
      </c>
      <c r="G1770" s="6" t="s">
        <v>48</v>
      </c>
      <c r="H1770" s="6">
        <v>2</v>
      </c>
      <c r="I1770" s="6" t="s">
        <v>60</v>
      </c>
      <c r="J1770" s="6" t="s">
        <v>2973</v>
      </c>
      <c r="K1770" s="6" t="s">
        <v>49</v>
      </c>
      <c r="L1770" s="6" t="s">
        <v>42</v>
      </c>
      <c r="M1770" s="6" t="s">
        <v>34</v>
      </c>
    </row>
    <row r="1771" spans="1:13">
      <c r="A1771" s="6" t="s">
        <v>3102</v>
      </c>
      <c r="B1771" s="7">
        <v>46045</v>
      </c>
      <c r="C1771" s="6" t="s">
        <v>3103</v>
      </c>
      <c r="D1771" s="6" t="s">
        <v>45</v>
      </c>
      <c r="E1771" s="6" t="s">
        <v>37</v>
      </c>
      <c r="F1771" s="6" t="s">
        <v>53</v>
      </c>
      <c r="G1771" s="6" t="s">
        <v>54</v>
      </c>
      <c r="H1771" s="6">
        <v>3</v>
      </c>
      <c r="I1771" s="6" t="s">
        <v>79</v>
      </c>
      <c r="J1771" s="6" t="s">
        <v>3104</v>
      </c>
      <c r="K1771" s="6">
        <v>190</v>
      </c>
      <c r="L1771" s="6" t="s">
        <v>33</v>
      </c>
      <c r="M1771" s="6" t="s">
        <v>34</v>
      </c>
    </row>
    <row r="1772" spans="1:13">
      <c r="A1772" s="6" t="s">
        <v>3105</v>
      </c>
      <c r="B1772" s="7">
        <v>46130</v>
      </c>
      <c r="C1772" s="6" t="s">
        <v>1809</v>
      </c>
      <c r="D1772" s="6" t="s">
        <v>72</v>
      </c>
      <c r="E1772" s="6" t="s">
        <v>37</v>
      </c>
      <c r="F1772" s="6" t="s">
        <v>94</v>
      </c>
      <c r="G1772" s="6" t="s">
        <v>95</v>
      </c>
      <c r="H1772" s="6">
        <v>2</v>
      </c>
      <c r="I1772" s="6" t="s">
        <v>231</v>
      </c>
      <c r="J1772" s="6" t="s">
        <v>232</v>
      </c>
      <c r="K1772" s="6">
        <v>340</v>
      </c>
      <c r="L1772" s="6" t="s">
        <v>42</v>
      </c>
      <c r="M1772" s="6" t="s">
        <v>69</v>
      </c>
    </row>
    <row r="1773" spans="1:13">
      <c r="A1773" s="6" t="s">
        <v>3106</v>
      </c>
      <c r="B1773" s="7">
        <v>46061</v>
      </c>
      <c r="C1773" s="6" t="s">
        <v>1670</v>
      </c>
      <c r="D1773" s="6" t="s">
        <v>110</v>
      </c>
      <c r="E1773" s="6" t="s">
        <v>46</v>
      </c>
      <c r="F1773" s="6" t="s">
        <v>100</v>
      </c>
      <c r="G1773" s="6" t="s">
        <v>101</v>
      </c>
      <c r="H1773" s="6">
        <v>3</v>
      </c>
      <c r="I1773" s="6" t="s">
        <v>265</v>
      </c>
      <c r="J1773" s="6" t="s">
        <v>401</v>
      </c>
      <c r="K1773" s="6">
        <v>640</v>
      </c>
      <c r="L1773" s="6" t="s">
        <v>33</v>
      </c>
      <c r="M1773" s="6" t="s">
        <v>34</v>
      </c>
    </row>
    <row r="1774" spans="1:13">
      <c r="A1774" s="6" t="s">
        <v>3107</v>
      </c>
      <c r="B1774" s="7">
        <v>46193</v>
      </c>
      <c r="C1774" s="6" t="s">
        <v>596</v>
      </c>
      <c r="D1774" s="6" t="s">
        <v>105</v>
      </c>
      <c r="E1774" s="6" t="s">
        <v>28</v>
      </c>
      <c r="F1774" s="6" t="s">
        <v>100</v>
      </c>
      <c r="G1774" s="6" t="s">
        <v>101</v>
      </c>
      <c r="H1774" s="6">
        <v>1</v>
      </c>
      <c r="I1774" s="6" t="s">
        <v>73</v>
      </c>
      <c r="J1774" s="6" t="s">
        <v>73</v>
      </c>
      <c r="K1774" s="6" t="s">
        <v>119</v>
      </c>
      <c r="L1774" s="6" t="s">
        <v>42</v>
      </c>
      <c r="M1774" s="6" t="s">
        <v>34</v>
      </c>
    </row>
    <row r="1775" spans="1:13">
      <c r="A1775" s="6" t="s">
        <v>3108</v>
      </c>
      <c r="B1775" s="7">
        <v>46085</v>
      </c>
      <c r="C1775" s="6" t="s">
        <v>2344</v>
      </c>
      <c r="D1775" s="6" t="s">
        <v>105</v>
      </c>
      <c r="E1775" s="6" t="s">
        <v>28</v>
      </c>
      <c r="F1775" s="6" t="s">
        <v>58</v>
      </c>
      <c r="G1775" s="6" t="s">
        <v>59</v>
      </c>
      <c r="H1775" s="6">
        <v>3</v>
      </c>
      <c r="I1775" s="6" t="s">
        <v>90</v>
      </c>
      <c r="J1775" s="6" t="s">
        <v>102</v>
      </c>
      <c r="K1775" s="6">
        <v>380</v>
      </c>
      <c r="L1775" s="6" t="s">
        <v>42</v>
      </c>
      <c r="M1775" s="6" t="s">
        <v>34</v>
      </c>
    </row>
    <row r="1776" spans="1:13">
      <c r="A1776" s="6" t="s">
        <v>1871</v>
      </c>
      <c r="B1776" s="7">
        <v>46149</v>
      </c>
      <c r="C1776" s="6" t="s">
        <v>1872</v>
      </c>
      <c r="D1776" s="6" t="s">
        <v>127</v>
      </c>
      <c r="E1776" s="6" t="s">
        <v>28</v>
      </c>
      <c r="F1776" s="6" t="s">
        <v>53</v>
      </c>
      <c r="G1776" s="6" t="s">
        <v>54</v>
      </c>
      <c r="H1776" s="6">
        <v>1</v>
      </c>
      <c r="I1776" s="6" t="s">
        <v>82</v>
      </c>
      <c r="J1776" s="6" t="s">
        <v>82</v>
      </c>
      <c r="K1776" s="6" t="s">
        <v>122</v>
      </c>
      <c r="L1776" s="6" t="s">
        <v>42</v>
      </c>
      <c r="M1776" s="6" t="s">
        <v>69</v>
      </c>
    </row>
    <row r="1777" spans="1:13">
      <c r="A1777" s="6" t="s">
        <v>3109</v>
      </c>
      <c r="B1777" s="7">
        <v>46155</v>
      </c>
      <c r="C1777" s="6" t="s">
        <v>3110</v>
      </c>
      <c r="D1777" s="6" t="s">
        <v>105</v>
      </c>
      <c r="E1777" s="6" t="s">
        <v>46</v>
      </c>
      <c r="F1777" s="6" t="s">
        <v>38</v>
      </c>
      <c r="G1777" s="6" t="s">
        <v>39</v>
      </c>
      <c r="H1777" s="6">
        <v>1</v>
      </c>
      <c r="I1777" s="6" t="s">
        <v>265</v>
      </c>
      <c r="J1777" s="6" t="s">
        <v>2761</v>
      </c>
      <c r="K1777" s="6" t="s">
        <v>41</v>
      </c>
      <c r="L1777" s="6" t="s">
        <v>42</v>
      </c>
      <c r="M1777" s="6" t="s">
        <v>34</v>
      </c>
    </row>
    <row r="1778" spans="1:13">
      <c r="A1778" s="6" t="s">
        <v>3111</v>
      </c>
      <c r="B1778" s="7">
        <v>46196</v>
      </c>
      <c r="C1778" s="6" t="s">
        <v>1923</v>
      </c>
      <c r="D1778" s="6" t="s">
        <v>72</v>
      </c>
      <c r="E1778" s="6" t="s">
        <v>78</v>
      </c>
      <c r="F1778" s="6" t="s">
        <v>29</v>
      </c>
      <c r="G1778" s="6" t="s">
        <v>30</v>
      </c>
      <c r="H1778" s="6">
        <v>2</v>
      </c>
      <c r="I1778" s="6" t="s">
        <v>96</v>
      </c>
      <c r="J1778" s="6" t="s">
        <v>797</v>
      </c>
      <c r="K1778" s="6" t="s">
        <v>41</v>
      </c>
      <c r="L1778" s="6" t="s">
        <v>33</v>
      </c>
      <c r="M1778" s="6" t="s">
        <v>69</v>
      </c>
    </row>
    <row r="1779" spans="1:13">
      <c r="A1779" s="6" t="s">
        <v>3112</v>
      </c>
      <c r="B1779" s="7">
        <v>46180</v>
      </c>
      <c r="C1779" s="6" t="s">
        <v>3113</v>
      </c>
      <c r="D1779" s="6" t="s">
        <v>45</v>
      </c>
      <c r="E1779" s="6" t="s">
        <v>52</v>
      </c>
      <c r="F1779" s="6" t="s">
        <v>100</v>
      </c>
      <c r="G1779" s="6" t="s">
        <v>101</v>
      </c>
      <c r="H1779" s="6">
        <v>2</v>
      </c>
      <c r="I1779" s="6" t="s">
        <v>31</v>
      </c>
      <c r="J1779" s="6" t="s">
        <v>249</v>
      </c>
      <c r="K1779" s="6" t="s">
        <v>119</v>
      </c>
      <c r="L1779" s="6" t="s">
        <v>42</v>
      </c>
      <c r="M1779" s="6" t="s">
        <v>34</v>
      </c>
    </row>
    <row r="1780" spans="1:13">
      <c r="A1780" s="6" t="s">
        <v>3114</v>
      </c>
      <c r="B1780" s="7">
        <v>46098</v>
      </c>
      <c r="C1780" s="6" t="s">
        <v>3115</v>
      </c>
      <c r="D1780" s="6" t="s">
        <v>45</v>
      </c>
      <c r="E1780" s="6" t="s">
        <v>78</v>
      </c>
      <c r="F1780" s="6" t="s">
        <v>29</v>
      </c>
      <c r="G1780" s="6" t="s">
        <v>30</v>
      </c>
      <c r="H1780" s="6">
        <v>1</v>
      </c>
      <c r="I1780" s="6" t="s">
        <v>117</v>
      </c>
      <c r="J1780" s="6" t="s">
        <v>117</v>
      </c>
      <c r="K1780" s="6">
        <v>520</v>
      </c>
      <c r="L1780" s="6" t="s">
        <v>42</v>
      </c>
      <c r="M1780" s="6" t="s">
        <v>34</v>
      </c>
    </row>
    <row r="1781" spans="1:13">
      <c r="A1781" s="6" t="s">
        <v>3116</v>
      </c>
      <c r="B1781" s="7">
        <v>46087</v>
      </c>
      <c r="C1781" s="6" t="s">
        <v>1726</v>
      </c>
      <c r="D1781" s="6" t="s">
        <v>45</v>
      </c>
      <c r="E1781" s="6" t="s">
        <v>28</v>
      </c>
      <c r="F1781" s="6" t="s">
        <v>38</v>
      </c>
      <c r="G1781" s="6" t="s">
        <v>39</v>
      </c>
      <c r="H1781" s="6">
        <v>2</v>
      </c>
      <c r="I1781" s="6" t="s">
        <v>79</v>
      </c>
      <c r="J1781" s="6" t="s">
        <v>259</v>
      </c>
      <c r="K1781" s="6" t="s">
        <v>41</v>
      </c>
      <c r="L1781" s="6" t="s">
        <v>42</v>
      </c>
      <c r="M1781" s="6" t="s">
        <v>69</v>
      </c>
    </row>
    <row r="1782" spans="1:13">
      <c r="A1782" s="6" t="s">
        <v>3117</v>
      </c>
      <c r="B1782" s="7">
        <v>46098</v>
      </c>
      <c r="C1782" s="6" t="s">
        <v>2822</v>
      </c>
      <c r="D1782" s="6" t="s">
        <v>27</v>
      </c>
      <c r="E1782" s="6" t="s">
        <v>52</v>
      </c>
      <c r="F1782" s="6" t="s">
        <v>94</v>
      </c>
      <c r="G1782" s="6" t="s">
        <v>95</v>
      </c>
      <c r="H1782" s="6">
        <v>2</v>
      </c>
      <c r="I1782" s="6" t="s">
        <v>231</v>
      </c>
      <c r="J1782" s="6" t="s">
        <v>232</v>
      </c>
      <c r="K1782" s="6">
        <v>340</v>
      </c>
      <c r="L1782" s="6" t="s">
        <v>42</v>
      </c>
      <c r="M1782" s="6" t="s">
        <v>34</v>
      </c>
    </row>
    <row r="1783" spans="1:13">
      <c r="A1783" s="6" t="s">
        <v>3118</v>
      </c>
      <c r="B1783" s="6" t="s">
        <v>925</v>
      </c>
      <c r="C1783" s="6" t="s">
        <v>3119</v>
      </c>
      <c r="D1783" s="6" t="s">
        <v>64</v>
      </c>
      <c r="E1783" s="6" t="s">
        <v>46</v>
      </c>
      <c r="F1783" s="6" t="s">
        <v>29</v>
      </c>
      <c r="G1783" s="6" t="s">
        <v>30</v>
      </c>
      <c r="H1783" s="6">
        <v>1</v>
      </c>
      <c r="I1783" s="6" t="s">
        <v>82</v>
      </c>
      <c r="J1783" s="6" t="s">
        <v>82</v>
      </c>
      <c r="K1783" s="6" t="s">
        <v>41</v>
      </c>
      <c r="L1783" s="6" t="s">
        <v>42</v>
      </c>
      <c r="M1783" s="6" t="s">
        <v>34</v>
      </c>
    </row>
    <row r="1784" spans="1:13">
      <c r="A1784" s="6" t="s">
        <v>3120</v>
      </c>
      <c r="B1784" s="7">
        <v>46140</v>
      </c>
      <c r="C1784" s="6" t="s">
        <v>573</v>
      </c>
      <c r="D1784" s="6" t="s">
        <v>110</v>
      </c>
      <c r="E1784" s="6" t="s">
        <v>28</v>
      </c>
      <c r="F1784" s="6" t="s">
        <v>94</v>
      </c>
      <c r="G1784" s="6" t="s">
        <v>95</v>
      </c>
      <c r="H1784" s="6">
        <v>1</v>
      </c>
      <c r="I1784" s="6" t="s">
        <v>40</v>
      </c>
      <c r="J1784" s="6" t="s">
        <v>40</v>
      </c>
      <c r="K1784" s="6" t="s">
        <v>114</v>
      </c>
      <c r="L1784" s="6" t="s">
        <v>42</v>
      </c>
      <c r="M1784" s="6" t="s">
        <v>34</v>
      </c>
    </row>
    <row r="1785" spans="1:13">
      <c r="A1785" s="6" t="s">
        <v>3121</v>
      </c>
      <c r="B1785" s="7">
        <v>46125</v>
      </c>
      <c r="C1785" s="6" t="s">
        <v>2229</v>
      </c>
      <c r="D1785" s="6" t="s">
        <v>45</v>
      </c>
      <c r="E1785" s="6" t="s">
        <v>37</v>
      </c>
      <c r="F1785" s="6" t="s">
        <v>47</v>
      </c>
      <c r="G1785" s="6" t="s">
        <v>48</v>
      </c>
      <c r="H1785" s="6">
        <v>2</v>
      </c>
      <c r="I1785" s="6" t="s">
        <v>79</v>
      </c>
      <c r="J1785" s="6" t="s">
        <v>259</v>
      </c>
      <c r="K1785" s="6">
        <v>85</v>
      </c>
      <c r="L1785" s="6" t="s">
        <v>42</v>
      </c>
      <c r="M1785" s="6" t="s">
        <v>34</v>
      </c>
    </row>
    <row r="1786" spans="1:13">
      <c r="A1786" s="6" t="s">
        <v>3122</v>
      </c>
      <c r="B1786" s="7">
        <v>46093</v>
      </c>
      <c r="C1786" s="6" t="s">
        <v>3123</v>
      </c>
      <c r="D1786" s="6" t="s">
        <v>27</v>
      </c>
      <c r="E1786" s="6" t="s">
        <v>28</v>
      </c>
      <c r="F1786" s="6" t="s">
        <v>85</v>
      </c>
      <c r="G1786" s="6" t="s">
        <v>86</v>
      </c>
      <c r="H1786" s="6">
        <v>1</v>
      </c>
      <c r="I1786" s="6" t="s">
        <v>82</v>
      </c>
      <c r="J1786" s="6" t="s">
        <v>82</v>
      </c>
      <c r="K1786" s="6">
        <v>410</v>
      </c>
      <c r="L1786" s="6" t="s">
        <v>42</v>
      </c>
      <c r="M1786" s="6" t="s">
        <v>69</v>
      </c>
    </row>
    <row r="1787" spans="1:13">
      <c r="A1787" s="6" t="s">
        <v>3124</v>
      </c>
      <c r="B1787" s="7">
        <v>46029</v>
      </c>
      <c r="C1787" s="6" t="s">
        <v>3125</v>
      </c>
      <c r="D1787" s="6" t="s">
        <v>57</v>
      </c>
      <c r="E1787" s="6" t="s">
        <v>78</v>
      </c>
      <c r="F1787" s="6" t="s">
        <v>85</v>
      </c>
      <c r="G1787" s="6" t="s">
        <v>86</v>
      </c>
      <c r="H1787" s="6">
        <v>2</v>
      </c>
      <c r="I1787" s="6" t="s">
        <v>265</v>
      </c>
      <c r="J1787" s="6" t="s">
        <v>167</v>
      </c>
      <c r="K1787" s="6">
        <v>410</v>
      </c>
      <c r="L1787" s="6" t="s">
        <v>42</v>
      </c>
      <c r="M1787" s="6" t="s">
        <v>34</v>
      </c>
    </row>
    <row r="1788" spans="1:13">
      <c r="A1788" s="6" t="s">
        <v>3126</v>
      </c>
      <c r="B1788" s="7">
        <v>46184</v>
      </c>
      <c r="C1788" s="6" t="s">
        <v>3127</v>
      </c>
      <c r="D1788" s="6" t="s">
        <v>110</v>
      </c>
      <c r="E1788" s="6" t="s">
        <v>78</v>
      </c>
      <c r="F1788" s="6" t="s">
        <v>58</v>
      </c>
      <c r="G1788" s="6" t="s">
        <v>59</v>
      </c>
      <c r="H1788" s="6">
        <v>2</v>
      </c>
      <c r="I1788" s="6" t="s">
        <v>90</v>
      </c>
      <c r="J1788" s="6" t="s">
        <v>154</v>
      </c>
      <c r="K1788" s="6" t="s">
        <v>61</v>
      </c>
      <c r="L1788" s="6" t="s">
        <v>42</v>
      </c>
      <c r="M1788" s="6" t="s">
        <v>69</v>
      </c>
    </row>
    <row r="1789" spans="1:13">
      <c r="A1789" s="6" t="s">
        <v>3128</v>
      </c>
      <c r="B1789" s="7">
        <v>46187</v>
      </c>
      <c r="C1789" s="6" t="s">
        <v>2815</v>
      </c>
      <c r="D1789" s="6" t="s">
        <v>64</v>
      </c>
      <c r="E1789" s="6" t="s">
        <v>52</v>
      </c>
      <c r="F1789" s="6" t="s">
        <v>38</v>
      </c>
      <c r="G1789" s="6" t="s">
        <v>39</v>
      </c>
      <c r="H1789" s="6">
        <v>2</v>
      </c>
      <c r="I1789" s="6" t="s">
        <v>231</v>
      </c>
      <c r="J1789" s="6" t="s">
        <v>232</v>
      </c>
      <c r="K1789" s="6" t="s">
        <v>41</v>
      </c>
      <c r="L1789" s="6" t="s">
        <v>42</v>
      </c>
      <c r="M1789" s="6" t="s">
        <v>34</v>
      </c>
    </row>
    <row r="1790" spans="1:13">
      <c r="A1790" s="6" t="s">
        <v>3129</v>
      </c>
      <c r="B1790" s="7">
        <v>46167</v>
      </c>
      <c r="C1790" s="6" t="s">
        <v>873</v>
      </c>
      <c r="D1790" s="6" t="s">
        <v>127</v>
      </c>
      <c r="E1790" s="6" t="s">
        <v>37</v>
      </c>
      <c r="F1790" s="6" t="s">
        <v>100</v>
      </c>
      <c r="G1790" s="6" t="s">
        <v>101</v>
      </c>
      <c r="H1790" s="6">
        <v>3</v>
      </c>
      <c r="I1790" s="6" t="s">
        <v>31</v>
      </c>
      <c r="J1790" s="6" t="s">
        <v>337</v>
      </c>
      <c r="K1790" s="6" t="s">
        <v>119</v>
      </c>
      <c r="L1790" s="6" t="s">
        <v>42</v>
      </c>
      <c r="M1790" s="6" t="s">
        <v>34</v>
      </c>
    </row>
    <row r="1791" spans="1:13">
      <c r="A1791" s="6" t="s">
        <v>3130</v>
      </c>
      <c r="B1791" s="7">
        <v>46056</v>
      </c>
      <c r="C1791" s="6" t="s">
        <v>170</v>
      </c>
      <c r="D1791" s="6" t="s">
        <v>110</v>
      </c>
      <c r="E1791" s="6" t="s">
        <v>46</v>
      </c>
      <c r="F1791" s="6" t="s">
        <v>47</v>
      </c>
      <c r="G1791" s="6" t="s">
        <v>48</v>
      </c>
      <c r="H1791" s="6">
        <v>1</v>
      </c>
      <c r="I1791" s="6" t="s">
        <v>143</v>
      </c>
      <c r="J1791" s="6" t="s">
        <v>143</v>
      </c>
      <c r="K1791" s="6">
        <v>85</v>
      </c>
      <c r="L1791" s="6" t="s">
        <v>42</v>
      </c>
      <c r="M1791" s="6" t="s">
        <v>34</v>
      </c>
    </row>
    <row r="1792" spans="1:13">
      <c r="A1792" s="6" t="s">
        <v>3131</v>
      </c>
      <c r="B1792" s="7">
        <v>46129</v>
      </c>
      <c r="C1792" s="6" t="s">
        <v>345</v>
      </c>
      <c r="D1792" s="6" t="s">
        <v>105</v>
      </c>
      <c r="E1792" s="6" t="s">
        <v>28</v>
      </c>
      <c r="F1792" s="6" t="s">
        <v>94</v>
      </c>
      <c r="G1792" s="6" t="s">
        <v>95</v>
      </c>
      <c r="H1792" s="6">
        <v>1</v>
      </c>
      <c r="I1792" s="6" t="s">
        <v>147</v>
      </c>
      <c r="J1792" s="6" t="s">
        <v>147</v>
      </c>
      <c r="K1792" s="6">
        <v>340</v>
      </c>
      <c r="L1792" s="6" t="s">
        <v>42</v>
      </c>
      <c r="M1792" s="6" t="s">
        <v>34</v>
      </c>
    </row>
    <row r="1793" spans="1:13">
      <c r="A1793" s="6" t="s">
        <v>3132</v>
      </c>
      <c r="B1793" s="7">
        <v>46167</v>
      </c>
      <c r="C1793" s="6" t="s">
        <v>1923</v>
      </c>
      <c r="D1793" s="6" t="s">
        <v>72</v>
      </c>
      <c r="E1793" s="6" t="s">
        <v>52</v>
      </c>
      <c r="F1793" s="6" t="s">
        <v>85</v>
      </c>
      <c r="G1793" s="6" t="s">
        <v>86</v>
      </c>
      <c r="H1793" s="6">
        <v>2</v>
      </c>
      <c r="I1793" s="6" t="s">
        <v>231</v>
      </c>
      <c r="J1793" s="6" t="s">
        <v>232</v>
      </c>
      <c r="K1793" s="6" t="s">
        <v>87</v>
      </c>
      <c r="L1793" s="6" t="s">
        <v>42</v>
      </c>
      <c r="M1793" s="6" t="s">
        <v>34</v>
      </c>
    </row>
    <row r="1794" spans="1:13">
      <c r="A1794" s="6" t="s">
        <v>3133</v>
      </c>
      <c r="B1794" s="7">
        <v>46164</v>
      </c>
      <c r="C1794" s="6" t="s">
        <v>3134</v>
      </c>
      <c r="D1794" s="6" t="s">
        <v>45</v>
      </c>
      <c r="E1794" s="6" t="s">
        <v>78</v>
      </c>
      <c r="F1794" s="6" t="s">
        <v>47</v>
      </c>
      <c r="G1794" s="6" t="s">
        <v>48</v>
      </c>
      <c r="H1794" s="6">
        <v>1</v>
      </c>
      <c r="I1794" s="6" t="s">
        <v>143</v>
      </c>
      <c r="J1794" s="6" t="s">
        <v>143</v>
      </c>
      <c r="K1794" s="6" t="s">
        <v>49</v>
      </c>
      <c r="L1794" s="6" t="s">
        <v>42</v>
      </c>
      <c r="M1794" s="6" t="s">
        <v>34</v>
      </c>
    </row>
    <row r="1795" spans="1:13">
      <c r="A1795" s="6" t="s">
        <v>3135</v>
      </c>
      <c r="B1795" s="7">
        <v>46148</v>
      </c>
      <c r="C1795" s="6" t="s">
        <v>458</v>
      </c>
      <c r="D1795" s="6" t="s">
        <v>77</v>
      </c>
      <c r="E1795" s="6" t="s">
        <v>52</v>
      </c>
      <c r="F1795" s="6" t="s">
        <v>29</v>
      </c>
      <c r="G1795" s="6" t="s">
        <v>30</v>
      </c>
      <c r="H1795" s="6">
        <v>3</v>
      </c>
      <c r="I1795" s="6" t="s">
        <v>79</v>
      </c>
      <c r="J1795" s="6" t="s">
        <v>216</v>
      </c>
      <c r="K1795" s="6" t="s">
        <v>41</v>
      </c>
      <c r="L1795" s="6" t="s">
        <v>42</v>
      </c>
      <c r="M1795" s="6" t="s">
        <v>34</v>
      </c>
    </row>
    <row r="1796" spans="1:13">
      <c r="A1796" s="6" t="s">
        <v>3136</v>
      </c>
      <c r="B1796" s="7">
        <v>46154</v>
      </c>
      <c r="C1796" s="6" t="s">
        <v>1795</v>
      </c>
      <c r="D1796" s="6" t="s">
        <v>77</v>
      </c>
      <c r="E1796" s="6" t="s">
        <v>78</v>
      </c>
      <c r="F1796" s="6" t="s">
        <v>29</v>
      </c>
      <c r="G1796" s="6" t="s">
        <v>30</v>
      </c>
      <c r="H1796" s="6">
        <v>3</v>
      </c>
      <c r="I1796" s="6" t="s">
        <v>117</v>
      </c>
      <c r="J1796" s="6" t="s">
        <v>171</v>
      </c>
      <c r="K1796" s="6" t="s">
        <v>41</v>
      </c>
      <c r="L1796" s="6" t="s">
        <v>42</v>
      </c>
      <c r="M1796" s="6" t="s">
        <v>34</v>
      </c>
    </row>
    <row r="1797" spans="1:13">
      <c r="A1797" s="6" t="s">
        <v>2473</v>
      </c>
      <c r="B1797" s="7">
        <v>46180</v>
      </c>
      <c r="C1797" s="6" t="s">
        <v>881</v>
      </c>
      <c r="D1797" s="6" t="s">
        <v>72</v>
      </c>
      <c r="E1797" s="6" t="s">
        <v>46</v>
      </c>
      <c r="F1797" s="6" t="s">
        <v>58</v>
      </c>
      <c r="G1797" s="6" t="s">
        <v>59</v>
      </c>
      <c r="H1797" s="6">
        <v>1</v>
      </c>
      <c r="I1797" s="6" t="s">
        <v>31</v>
      </c>
      <c r="J1797" s="6" t="s">
        <v>31</v>
      </c>
      <c r="K1797" s="6" t="s">
        <v>61</v>
      </c>
      <c r="L1797" s="6" t="s">
        <v>42</v>
      </c>
      <c r="M1797" s="6" t="s">
        <v>34</v>
      </c>
    </row>
    <row r="1798" spans="1:13">
      <c r="A1798" s="6" t="s">
        <v>3137</v>
      </c>
      <c r="B1798" s="7">
        <v>46046</v>
      </c>
      <c r="C1798" s="6" t="s">
        <v>2085</v>
      </c>
      <c r="D1798" s="6" t="s">
        <v>45</v>
      </c>
      <c r="E1798" s="6" t="s">
        <v>52</v>
      </c>
      <c r="F1798" s="6" t="s">
        <v>85</v>
      </c>
      <c r="G1798" s="6" t="s">
        <v>86</v>
      </c>
      <c r="H1798" s="6">
        <v>3</v>
      </c>
      <c r="I1798" s="6" t="s">
        <v>90</v>
      </c>
      <c r="J1798" s="6" t="s">
        <v>102</v>
      </c>
      <c r="K1798" s="6">
        <v>410</v>
      </c>
      <c r="L1798" s="6" t="s">
        <v>33</v>
      </c>
      <c r="M1798" s="6" t="s">
        <v>34</v>
      </c>
    </row>
    <row r="1799" spans="1:13">
      <c r="A1799" s="6" t="s">
        <v>3138</v>
      </c>
      <c r="B1799" s="6" t="s">
        <v>3139</v>
      </c>
      <c r="C1799" s="6" t="s">
        <v>3140</v>
      </c>
      <c r="D1799" s="6" t="s">
        <v>57</v>
      </c>
      <c r="E1799" s="6" t="s">
        <v>52</v>
      </c>
      <c r="F1799" s="6" t="s">
        <v>58</v>
      </c>
      <c r="G1799" s="6" t="s">
        <v>59</v>
      </c>
      <c r="H1799" s="6">
        <v>2</v>
      </c>
      <c r="I1799" s="6" t="s">
        <v>67</v>
      </c>
      <c r="J1799" s="6" t="s">
        <v>204</v>
      </c>
      <c r="K1799" s="6">
        <v>380</v>
      </c>
      <c r="L1799" s="6" t="s">
        <v>42</v>
      </c>
      <c r="M1799" s="6" t="s">
        <v>34</v>
      </c>
    </row>
    <row r="1800" spans="1:13">
      <c r="A1800" s="6" t="s">
        <v>3141</v>
      </c>
      <c r="B1800" s="7">
        <v>46057</v>
      </c>
      <c r="C1800" s="6" t="s">
        <v>2975</v>
      </c>
      <c r="D1800" s="6" t="s">
        <v>105</v>
      </c>
      <c r="E1800" s="6" t="s">
        <v>78</v>
      </c>
      <c r="F1800" s="6" t="s">
        <v>85</v>
      </c>
      <c r="G1800" s="6" t="s">
        <v>86</v>
      </c>
      <c r="H1800" s="6">
        <v>-1</v>
      </c>
      <c r="I1800" s="6" t="s">
        <v>113</v>
      </c>
      <c r="J1800" s="8" t="s">
        <v>1147</v>
      </c>
      <c r="K1800" s="6">
        <v>410</v>
      </c>
      <c r="L1800" s="6" t="s">
        <v>42</v>
      </c>
      <c r="M1800" s="6" t="s">
        <v>34</v>
      </c>
    </row>
    <row r="1801" spans="1:13">
      <c r="A1801" s="6" t="s">
        <v>3142</v>
      </c>
      <c r="B1801" s="7">
        <v>46053</v>
      </c>
      <c r="C1801" s="6" t="s">
        <v>1396</v>
      </c>
      <c r="D1801" s="6" t="s">
        <v>72</v>
      </c>
      <c r="E1801" s="6" t="s">
        <v>28</v>
      </c>
      <c r="F1801" s="6" t="s">
        <v>38</v>
      </c>
      <c r="G1801" s="6" t="s">
        <v>39</v>
      </c>
      <c r="H1801" s="6">
        <v>2</v>
      </c>
      <c r="I1801" s="6" t="s">
        <v>1519</v>
      </c>
      <c r="J1801" s="6" t="s">
        <v>232</v>
      </c>
      <c r="K1801" s="6">
        <v>520</v>
      </c>
      <c r="L1801" s="6" t="s">
        <v>42</v>
      </c>
      <c r="M1801" s="6" t="s">
        <v>34</v>
      </c>
    </row>
    <row r="1802" spans="1:13">
      <c r="A1802" s="6" t="s">
        <v>3143</v>
      </c>
      <c r="B1802" s="7">
        <v>46073</v>
      </c>
      <c r="C1802" s="6" t="s">
        <v>3144</v>
      </c>
      <c r="D1802" s="6" t="s">
        <v>77</v>
      </c>
      <c r="E1802" s="6" t="s">
        <v>37</v>
      </c>
      <c r="F1802" s="6" t="s">
        <v>29</v>
      </c>
      <c r="G1802" s="6" t="s">
        <v>30</v>
      </c>
      <c r="H1802" s="6">
        <v>3</v>
      </c>
      <c r="I1802" s="6" t="s">
        <v>82</v>
      </c>
      <c r="J1802" s="6" t="s">
        <v>390</v>
      </c>
      <c r="K1802" s="6">
        <v>520</v>
      </c>
      <c r="L1802" s="6" t="s">
        <v>42</v>
      </c>
      <c r="M1802" s="6" t="s">
        <v>34</v>
      </c>
    </row>
    <row r="1803" spans="1:13">
      <c r="A1803" s="6" t="s">
        <v>3145</v>
      </c>
      <c r="B1803" s="7">
        <v>46142</v>
      </c>
      <c r="C1803" s="6" t="s">
        <v>1971</v>
      </c>
      <c r="D1803" s="6" t="s">
        <v>77</v>
      </c>
      <c r="E1803" s="6" t="s">
        <v>78</v>
      </c>
      <c r="F1803" s="6" t="s">
        <v>38</v>
      </c>
      <c r="G1803" s="6" t="s">
        <v>39</v>
      </c>
      <c r="H1803" s="6">
        <v>3</v>
      </c>
      <c r="I1803" s="6" t="s">
        <v>96</v>
      </c>
      <c r="J1803" s="6" t="s">
        <v>97</v>
      </c>
      <c r="K1803" s="6" t="s">
        <v>41</v>
      </c>
      <c r="L1803" s="6" t="s">
        <v>42</v>
      </c>
      <c r="M1803" s="6" t="s">
        <v>34</v>
      </c>
    </row>
    <row r="1804" spans="1:13">
      <c r="A1804" s="6" t="s">
        <v>3146</v>
      </c>
      <c r="B1804" s="7">
        <v>46196</v>
      </c>
      <c r="C1804" s="6" t="s">
        <v>1507</v>
      </c>
      <c r="D1804" s="6" t="s">
        <v>77</v>
      </c>
      <c r="E1804" s="6" t="s">
        <v>46</v>
      </c>
      <c r="F1804" s="6" t="s">
        <v>47</v>
      </c>
      <c r="G1804" s="6" t="s">
        <v>48</v>
      </c>
      <c r="H1804" s="6">
        <v>2</v>
      </c>
      <c r="I1804" s="6" t="s">
        <v>265</v>
      </c>
      <c r="J1804" s="6" t="s">
        <v>167</v>
      </c>
      <c r="K1804" s="6" t="s">
        <v>49</v>
      </c>
      <c r="L1804" s="6" t="s">
        <v>42</v>
      </c>
      <c r="M1804" s="6" t="s">
        <v>34</v>
      </c>
    </row>
    <row r="1805" spans="1:13">
      <c r="A1805" s="6" t="s">
        <v>3147</v>
      </c>
      <c r="B1805" s="7">
        <v>46140</v>
      </c>
      <c r="C1805" s="6" t="s">
        <v>2031</v>
      </c>
      <c r="D1805" s="6" t="s">
        <v>64</v>
      </c>
      <c r="E1805" s="6" t="s">
        <v>28</v>
      </c>
      <c r="F1805" s="6" t="s">
        <v>47</v>
      </c>
      <c r="G1805" s="6" t="s">
        <v>48</v>
      </c>
      <c r="H1805" s="6">
        <v>2</v>
      </c>
      <c r="I1805" s="6" t="s">
        <v>181</v>
      </c>
      <c r="J1805" s="6" t="s">
        <v>163</v>
      </c>
      <c r="K1805" s="6" t="s">
        <v>49</v>
      </c>
      <c r="L1805" s="6" t="s">
        <v>42</v>
      </c>
      <c r="M1805" s="6" t="s">
        <v>34</v>
      </c>
    </row>
    <row r="1806" spans="1:13">
      <c r="A1806" s="6" t="s">
        <v>3148</v>
      </c>
      <c r="B1806" s="7">
        <v>46129</v>
      </c>
      <c r="C1806" s="6" t="s">
        <v>3149</v>
      </c>
      <c r="D1806" s="6" t="s">
        <v>127</v>
      </c>
      <c r="E1806" s="6" t="s">
        <v>37</v>
      </c>
      <c r="F1806" s="6" t="s">
        <v>85</v>
      </c>
      <c r="G1806" s="6" t="s">
        <v>86</v>
      </c>
      <c r="H1806" s="6">
        <v>1</v>
      </c>
      <c r="I1806" s="6" t="s">
        <v>73</v>
      </c>
      <c r="J1806" s="6" t="s">
        <v>73</v>
      </c>
      <c r="K1806" s="6">
        <v>410</v>
      </c>
      <c r="L1806" s="6" t="s">
        <v>42</v>
      </c>
      <c r="M1806" s="6" t="s">
        <v>34</v>
      </c>
    </row>
    <row r="1807" spans="1:13">
      <c r="A1807" s="6" t="s">
        <v>3150</v>
      </c>
      <c r="B1807" s="7">
        <v>46109</v>
      </c>
      <c r="C1807" s="6" t="s">
        <v>2919</v>
      </c>
      <c r="D1807" s="6" t="s">
        <v>64</v>
      </c>
      <c r="E1807" s="6" t="s">
        <v>78</v>
      </c>
      <c r="F1807" s="6" t="s">
        <v>94</v>
      </c>
      <c r="G1807" s="6" t="s">
        <v>95</v>
      </c>
      <c r="H1807" s="6">
        <v>1</v>
      </c>
      <c r="I1807" s="6" t="s">
        <v>113</v>
      </c>
      <c r="J1807" s="6" t="s">
        <v>113</v>
      </c>
      <c r="K1807" s="6">
        <v>340</v>
      </c>
      <c r="L1807" s="6" t="s">
        <v>33</v>
      </c>
      <c r="M1807" s="6" t="s">
        <v>34</v>
      </c>
    </row>
    <row r="1808" spans="1:13">
      <c r="A1808" s="6" t="s">
        <v>3151</v>
      </c>
      <c r="B1808" s="7">
        <v>46117</v>
      </c>
      <c r="C1808" s="6" t="s">
        <v>1403</v>
      </c>
      <c r="D1808" s="6" t="s">
        <v>110</v>
      </c>
      <c r="E1808" s="6" t="s">
        <v>37</v>
      </c>
      <c r="F1808" s="6" t="s">
        <v>38</v>
      </c>
      <c r="G1808" s="6" t="s">
        <v>39</v>
      </c>
      <c r="H1808" s="6">
        <v>1</v>
      </c>
      <c r="I1808" s="6" t="s">
        <v>143</v>
      </c>
      <c r="J1808" s="6" t="s">
        <v>3011</v>
      </c>
      <c r="K1808" s="6" t="s">
        <v>41</v>
      </c>
      <c r="L1808" s="6" t="s">
        <v>42</v>
      </c>
      <c r="M1808" s="6" t="s">
        <v>34</v>
      </c>
    </row>
    <row r="1809" spans="1:13">
      <c r="A1809" s="6" t="s">
        <v>3152</v>
      </c>
      <c r="B1809" s="7">
        <v>46083</v>
      </c>
      <c r="C1809" s="6" t="s">
        <v>1118</v>
      </c>
      <c r="D1809" s="6" t="s">
        <v>105</v>
      </c>
      <c r="E1809" s="6" t="s">
        <v>78</v>
      </c>
      <c r="F1809" s="6" t="s">
        <v>100</v>
      </c>
      <c r="G1809" s="6" t="s">
        <v>101</v>
      </c>
      <c r="H1809" s="6">
        <v>1</v>
      </c>
      <c r="I1809" s="6" t="s">
        <v>96</v>
      </c>
      <c r="J1809" s="6" t="s">
        <v>561</v>
      </c>
      <c r="K1809" s="6">
        <v>640</v>
      </c>
      <c r="L1809" s="6" t="s">
        <v>42</v>
      </c>
      <c r="M1809" s="6" t="s">
        <v>34</v>
      </c>
    </row>
    <row r="1810" spans="1:13">
      <c r="A1810" s="6" t="s">
        <v>3153</v>
      </c>
      <c r="B1810" s="7">
        <v>46182</v>
      </c>
      <c r="C1810" s="6" t="s">
        <v>2622</v>
      </c>
      <c r="D1810" s="6" t="s">
        <v>27</v>
      </c>
      <c r="E1810" s="6" t="s">
        <v>46</v>
      </c>
      <c r="F1810" s="6" t="s">
        <v>58</v>
      </c>
      <c r="G1810" s="6" t="s">
        <v>59</v>
      </c>
      <c r="H1810" s="6">
        <v>3</v>
      </c>
      <c r="I1810" s="6" t="s">
        <v>90</v>
      </c>
      <c r="J1810" s="6" t="s">
        <v>102</v>
      </c>
      <c r="K1810" s="6" t="s">
        <v>61</v>
      </c>
      <c r="L1810" s="6" t="s">
        <v>42</v>
      </c>
      <c r="M1810" s="6" t="s">
        <v>69</v>
      </c>
    </row>
    <row r="1811" spans="1:13">
      <c r="A1811" s="6" t="s">
        <v>3154</v>
      </c>
      <c r="B1811" s="7">
        <v>46180</v>
      </c>
      <c r="C1811" s="6" t="s">
        <v>2067</v>
      </c>
      <c r="D1811" s="6" t="s">
        <v>45</v>
      </c>
      <c r="E1811" s="6" t="s">
        <v>46</v>
      </c>
      <c r="F1811" s="6" t="s">
        <v>53</v>
      </c>
      <c r="G1811" s="6" t="s">
        <v>54</v>
      </c>
      <c r="H1811" s="6">
        <v>3</v>
      </c>
      <c r="I1811" s="6" t="s">
        <v>265</v>
      </c>
      <c r="J1811" s="6" t="s">
        <v>401</v>
      </c>
      <c r="K1811" s="6" t="s">
        <v>122</v>
      </c>
      <c r="L1811" s="6" t="s">
        <v>42</v>
      </c>
      <c r="M1811" s="6" t="s">
        <v>34</v>
      </c>
    </row>
    <row r="1812" spans="1:13">
      <c r="A1812" s="6" t="s">
        <v>3155</v>
      </c>
      <c r="B1812" s="7">
        <v>46048</v>
      </c>
      <c r="C1812" s="6" t="s">
        <v>140</v>
      </c>
      <c r="D1812" s="6" t="s">
        <v>77</v>
      </c>
      <c r="E1812" s="6" t="s">
        <v>78</v>
      </c>
      <c r="F1812" s="6" t="s">
        <v>38</v>
      </c>
      <c r="G1812" s="6" t="s">
        <v>39</v>
      </c>
      <c r="H1812" s="6">
        <v>2</v>
      </c>
      <c r="I1812" s="6" t="s">
        <v>147</v>
      </c>
      <c r="J1812" s="6" t="s">
        <v>175</v>
      </c>
      <c r="K1812" s="6">
        <v>520</v>
      </c>
      <c r="L1812" s="6" t="s">
        <v>33</v>
      </c>
      <c r="M1812" s="6" t="s">
        <v>34</v>
      </c>
    </row>
    <row r="1813" spans="1:13">
      <c r="A1813" s="6" t="s">
        <v>3156</v>
      </c>
      <c r="B1813" s="7">
        <v>46067</v>
      </c>
      <c r="C1813" s="6" t="s">
        <v>701</v>
      </c>
      <c r="D1813" s="6" t="s">
        <v>45</v>
      </c>
      <c r="E1813" s="6" t="s">
        <v>28</v>
      </c>
      <c r="F1813" s="6" t="s">
        <v>100</v>
      </c>
      <c r="G1813" s="6" t="s">
        <v>101</v>
      </c>
      <c r="H1813" s="6">
        <v>2</v>
      </c>
      <c r="I1813" s="6" t="s">
        <v>143</v>
      </c>
      <c r="J1813" s="6" t="s">
        <v>144</v>
      </c>
      <c r="K1813" s="6">
        <v>640</v>
      </c>
      <c r="L1813" s="6" t="s">
        <v>42</v>
      </c>
      <c r="M1813" s="6" t="s">
        <v>34</v>
      </c>
    </row>
    <row r="1814" spans="1:13">
      <c r="A1814" s="6" t="s">
        <v>3157</v>
      </c>
      <c r="B1814" s="7">
        <v>46126</v>
      </c>
      <c r="C1814" s="6" t="s">
        <v>51</v>
      </c>
      <c r="D1814" s="6" t="s">
        <v>110</v>
      </c>
      <c r="E1814" s="6" t="s">
        <v>28</v>
      </c>
      <c r="F1814" s="6" t="s">
        <v>94</v>
      </c>
      <c r="G1814" s="6" t="s">
        <v>95</v>
      </c>
      <c r="H1814" s="6">
        <v>3</v>
      </c>
      <c r="I1814" s="6" t="s">
        <v>265</v>
      </c>
      <c r="J1814" s="6" t="s">
        <v>401</v>
      </c>
      <c r="K1814" s="6">
        <v>340</v>
      </c>
      <c r="L1814" s="6" t="s">
        <v>42</v>
      </c>
      <c r="M1814" s="6" t="s">
        <v>34</v>
      </c>
    </row>
    <row r="1815" spans="1:13">
      <c r="A1815" s="6" t="s">
        <v>3158</v>
      </c>
      <c r="B1815" s="7">
        <v>46084</v>
      </c>
      <c r="C1815" s="6" t="s">
        <v>1015</v>
      </c>
      <c r="D1815" s="6" t="s">
        <v>27</v>
      </c>
      <c r="E1815" s="6" t="s">
        <v>28</v>
      </c>
      <c r="F1815" s="6" t="s">
        <v>94</v>
      </c>
      <c r="G1815" s="6" t="s">
        <v>95</v>
      </c>
      <c r="H1815" s="6">
        <v>1</v>
      </c>
      <c r="I1815" s="6" t="s">
        <v>67</v>
      </c>
      <c r="J1815" s="6" t="s">
        <v>67</v>
      </c>
      <c r="K1815" s="6">
        <v>340</v>
      </c>
      <c r="L1815" s="6" t="s">
        <v>42</v>
      </c>
      <c r="M1815" s="6" t="s">
        <v>34</v>
      </c>
    </row>
    <row r="1816" spans="1:13">
      <c r="A1816" s="6" t="s">
        <v>3159</v>
      </c>
      <c r="B1816" s="7">
        <v>46058</v>
      </c>
      <c r="C1816" s="6" t="s">
        <v>3160</v>
      </c>
      <c r="D1816" s="6" t="s">
        <v>45</v>
      </c>
      <c r="E1816" s="6" t="s">
        <v>46</v>
      </c>
      <c r="F1816" s="6" t="s">
        <v>53</v>
      </c>
      <c r="G1816" s="6" t="s">
        <v>54</v>
      </c>
      <c r="H1816" s="6">
        <v>3</v>
      </c>
      <c r="I1816" s="6" t="s">
        <v>231</v>
      </c>
      <c r="J1816" s="6" t="s">
        <v>3161</v>
      </c>
      <c r="K1816" s="6">
        <v>190</v>
      </c>
      <c r="L1816" s="6" t="s">
        <v>42</v>
      </c>
      <c r="M1816" s="6" t="s">
        <v>34</v>
      </c>
    </row>
    <row r="1817" spans="1:13">
      <c r="A1817" s="6" t="s">
        <v>3162</v>
      </c>
      <c r="B1817" s="7">
        <v>46089</v>
      </c>
      <c r="C1817" s="6" t="s">
        <v>3163</v>
      </c>
      <c r="D1817" s="6" t="s">
        <v>105</v>
      </c>
      <c r="E1817" s="6" t="s">
        <v>78</v>
      </c>
      <c r="F1817" s="6" t="s">
        <v>94</v>
      </c>
      <c r="G1817" s="6" t="s">
        <v>95</v>
      </c>
      <c r="H1817" s="6">
        <v>1</v>
      </c>
      <c r="I1817" s="6" t="s">
        <v>117</v>
      </c>
      <c r="J1817" s="6" t="s">
        <v>117</v>
      </c>
      <c r="K1817" s="6">
        <v>340</v>
      </c>
      <c r="L1817" s="6" t="s">
        <v>33</v>
      </c>
      <c r="M1817" s="6" t="s">
        <v>34</v>
      </c>
    </row>
    <row r="1818" spans="1:13">
      <c r="A1818" s="6" t="s">
        <v>3164</v>
      </c>
      <c r="B1818" s="7">
        <v>46194</v>
      </c>
      <c r="C1818" s="6" t="s">
        <v>3165</v>
      </c>
      <c r="D1818" s="6" t="s">
        <v>27</v>
      </c>
      <c r="E1818" s="6" t="s">
        <v>46</v>
      </c>
      <c r="F1818" s="6" t="s">
        <v>85</v>
      </c>
      <c r="G1818" s="6" t="s">
        <v>86</v>
      </c>
      <c r="H1818" s="6">
        <v>1</v>
      </c>
      <c r="I1818" s="6" t="s">
        <v>90</v>
      </c>
      <c r="J1818" s="6" t="s">
        <v>90</v>
      </c>
      <c r="K1818" s="6" t="s">
        <v>87</v>
      </c>
      <c r="L1818" s="6" t="s">
        <v>33</v>
      </c>
      <c r="M1818" s="6" t="s">
        <v>34</v>
      </c>
    </row>
    <row r="1819" spans="1:13">
      <c r="A1819" s="6" t="s">
        <v>3166</v>
      </c>
      <c r="B1819" s="7">
        <v>46033</v>
      </c>
      <c r="C1819" s="6" t="s">
        <v>1678</v>
      </c>
      <c r="D1819" s="6" t="s">
        <v>105</v>
      </c>
      <c r="E1819" s="6" t="s">
        <v>37</v>
      </c>
      <c r="F1819" s="6" t="s">
        <v>47</v>
      </c>
      <c r="G1819" s="6" t="s">
        <v>48</v>
      </c>
      <c r="H1819" s="6">
        <v>1</v>
      </c>
      <c r="I1819" s="6" t="s">
        <v>31</v>
      </c>
      <c r="J1819" s="6" t="s">
        <v>31</v>
      </c>
      <c r="K1819" s="6">
        <v>85</v>
      </c>
      <c r="L1819" s="6" t="s">
        <v>42</v>
      </c>
      <c r="M1819" s="6" t="s">
        <v>34</v>
      </c>
    </row>
    <row r="1820" spans="1:13">
      <c r="A1820" s="6" t="s">
        <v>3167</v>
      </c>
      <c r="B1820" s="7">
        <v>46109</v>
      </c>
      <c r="C1820" s="6" t="s">
        <v>482</v>
      </c>
      <c r="D1820" s="6" t="s">
        <v>45</v>
      </c>
      <c r="E1820" s="6" t="s">
        <v>37</v>
      </c>
      <c r="F1820" s="6" t="s">
        <v>85</v>
      </c>
      <c r="G1820" s="6" t="s">
        <v>86</v>
      </c>
      <c r="H1820" s="6">
        <v>3</v>
      </c>
      <c r="I1820" s="6" t="s">
        <v>82</v>
      </c>
      <c r="J1820" s="6" t="s">
        <v>390</v>
      </c>
      <c r="K1820" s="6">
        <v>410</v>
      </c>
      <c r="L1820" s="6" t="s">
        <v>42</v>
      </c>
      <c r="M1820" s="6" t="s">
        <v>69</v>
      </c>
    </row>
    <row r="1821" spans="1:13">
      <c r="A1821" s="6" t="s">
        <v>3168</v>
      </c>
      <c r="B1821" s="7">
        <v>46151</v>
      </c>
      <c r="C1821" s="6" t="s">
        <v>3169</v>
      </c>
      <c r="D1821" s="6" t="s">
        <v>45</v>
      </c>
      <c r="E1821" s="6" t="s">
        <v>52</v>
      </c>
      <c r="F1821" s="6" t="s">
        <v>100</v>
      </c>
      <c r="G1821" s="6" t="s">
        <v>101</v>
      </c>
      <c r="H1821" s="6">
        <v>1</v>
      </c>
      <c r="I1821" s="6" t="s">
        <v>143</v>
      </c>
      <c r="J1821" s="6" t="s">
        <v>3170</v>
      </c>
      <c r="K1821" s="6" t="s">
        <v>119</v>
      </c>
      <c r="L1821" s="6" t="s">
        <v>42</v>
      </c>
      <c r="M1821" s="6" t="s">
        <v>34</v>
      </c>
    </row>
    <row r="1822" spans="1:13">
      <c r="A1822" s="6" t="s">
        <v>3171</v>
      </c>
      <c r="B1822" s="7">
        <v>46357</v>
      </c>
      <c r="C1822" s="6" t="s">
        <v>2668</v>
      </c>
      <c r="D1822" s="6" t="s">
        <v>110</v>
      </c>
      <c r="E1822" s="6" t="s">
        <v>37</v>
      </c>
      <c r="F1822" s="6" t="s">
        <v>38</v>
      </c>
      <c r="G1822" s="6" t="s">
        <v>39</v>
      </c>
      <c r="H1822" s="6">
        <v>1</v>
      </c>
      <c r="I1822" s="6" t="s">
        <v>82</v>
      </c>
      <c r="J1822" s="6" t="s">
        <v>82</v>
      </c>
      <c r="K1822" s="6">
        <v>520</v>
      </c>
      <c r="L1822" s="6" t="s">
        <v>42</v>
      </c>
      <c r="M1822" s="6" t="s">
        <v>34</v>
      </c>
    </row>
    <row r="1823" spans="1:13">
      <c r="A1823" s="6" t="s">
        <v>3172</v>
      </c>
      <c r="B1823" s="7">
        <v>46057</v>
      </c>
      <c r="C1823" s="6" t="s">
        <v>646</v>
      </c>
      <c r="D1823" s="6" t="s">
        <v>127</v>
      </c>
      <c r="E1823" s="6" t="s">
        <v>78</v>
      </c>
      <c r="F1823" s="6" t="s">
        <v>29</v>
      </c>
      <c r="G1823" s="6" t="s">
        <v>30</v>
      </c>
      <c r="H1823" s="6">
        <v>1</v>
      </c>
      <c r="I1823" s="6" t="s">
        <v>113</v>
      </c>
      <c r="J1823" s="6" t="s">
        <v>113</v>
      </c>
      <c r="K1823" s="6">
        <v>520</v>
      </c>
      <c r="L1823" s="6" t="s">
        <v>42</v>
      </c>
      <c r="M1823" s="6" t="s">
        <v>34</v>
      </c>
    </row>
    <row r="1824" spans="1:13">
      <c r="A1824" s="6" t="s">
        <v>3173</v>
      </c>
      <c r="B1824" s="7">
        <v>46202</v>
      </c>
      <c r="C1824" s="6" t="s">
        <v>587</v>
      </c>
      <c r="D1824" s="6" t="s">
        <v>64</v>
      </c>
      <c r="E1824" s="6" t="s">
        <v>52</v>
      </c>
      <c r="F1824" s="6" t="s">
        <v>38</v>
      </c>
      <c r="G1824" s="6" t="s">
        <v>39</v>
      </c>
      <c r="H1824" s="6">
        <v>1</v>
      </c>
      <c r="I1824" s="6" t="s">
        <v>31</v>
      </c>
      <c r="J1824" s="6" t="s">
        <v>31</v>
      </c>
      <c r="K1824" s="6" t="s">
        <v>41</v>
      </c>
      <c r="L1824" s="6" t="s">
        <v>42</v>
      </c>
      <c r="M1824" s="6" t="s">
        <v>69</v>
      </c>
    </row>
    <row r="1825" spans="1:13">
      <c r="A1825" s="6" t="s">
        <v>3174</v>
      </c>
      <c r="B1825" s="7">
        <v>46128</v>
      </c>
      <c r="C1825" s="6" t="s">
        <v>3175</v>
      </c>
      <c r="D1825" s="6" t="s">
        <v>64</v>
      </c>
      <c r="E1825" s="6" t="s">
        <v>46</v>
      </c>
      <c r="F1825" s="6" t="s">
        <v>85</v>
      </c>
      <c r="G1825" s="6" t="s">
        <v>86</v>
      </c>
      <c r="H1825" s="6">
        <v>1</v>
      </c>
      <c r="I1825" s="6" t="s">
        <v>755</v>
      </c>
      <c r="J1825" s="6" t="s">
        <v>117</v>
      </c>
      <c r="K1825" s="6">
        <v>410</v>
      </c>
      <c r="L1825" s="6" t="s">
        <v>33</v>
      </c>
      <c r="M1825" s="6" t="s">
        <v>34</v>
      </c>
    </row>
    <row r="1826" spans="1:13">
      <c r="A1826" s="6" t="s">
        <v>3176</v>
      </c>
      <c r="B1826" s="7">
        <v>46125</v>
      </c>
      <c r="C1826" s="6" t="s">
        <v>3177</v>
      </c>
      <c r="D1826" s="6" t="s">
        <v>45</v>
      </c>
      <c r="E1826" s="6" t="s">
        <v>28</v>
      </c>
      <c r="F1826" s="6" t="s">
        <v>94</v>
      </c>
      <c r="G1826" s="6" t="s">
        <v>95</v>
      </c>
      <c r="H1826" s="6">
        <v>2</v>
      </c>
      <c r="I1826" s="6" t="s">
        <v>1430</v>
      </c>
      <c r="J1826" s="6" t="s">
        <v>144</v>
      </c>
      <c r="K1826" s="6">
        <v>340</v>
      </c>
      <c r="L1826" s="6" t="s">
        <v>42</v>
      </c>
      <c r="M1826" s="6" t="s">
        <v>34</v>
      </c>
    </row>
    <row r="1827" spans="1:13">
      <c r="A1827" s="6" t="s">
        <v>3178</v>
      </c>
      <c r="B1827" s="7">
        <v>46332</v>
      </c>
      <c r="C1827" s="6" t="s">
        <v>3179</v>
      </c>
      <c r="D1827" s="6" t="s">
        <v>45</v>
      </c>
      <c r="E1827" s="6" t="s">
        <v>78</v>
      </c>
      <c r="F1827" s="6" t="s">
        <v>94</v>
      </c>
      <c r="G1827" s="6" t="s">
        <v>95</v>
      </c>
      <c r="H1827" s="6">
        <v>1</v>
      </c>
      <c r="I1827" s="6" t="s">
        <v>113</v>
      </c>
      <c r="J1827" s="6" t="s">
        <v>113</v>
      </c>
      <c r="K1827" s="6" t="s">
        <v>114</v>
      </c>
      <c r="L1827" s="6" t="s">
        <v>33</v>
      </c>
      <c r="M1827" s="6" t="s">
        <v>34</v>
      </c>
    </row>
    <row r="1828" spans="1:13">
      <c r="A1828" s="6" t="s">
        <v>3180</v>
      </c>
      <c r="B1828" s="7">
        <v>46041</v>
      </c>
      <c r="C1828" s="6" t="s">
        <v>3181</v>
      </c>
      <c r="D1828" s="6" t="s">
        <v>57</v>
      </c>
      <c r="E1828" s="6" t="s">
        <v>46</v>
      </c>
      <c r="F1828" s="6" t="s">
        <v>38</v>
      </c>
      <c r="G1828" s="6" t="s">
        <v>39</v>
      </c>
      <c r="H1828" s="6">
        <v>1</v>
      </c>
      <c r="I1828" s="6" t="s">
        <v>667</v>
      </c>
      <c r="J1828" s="6" t="s">
        <v>40</v>
      </c>
      <c r="K1828" s="6">
        <v>520</v>
      </c>
      <c r="L1828" s="6" t="s">
        <v>42</v>
      </c>
      <c r="M1828" s="6" t="s">
        <v>34</v>
      </c>
    </row>
    <row r="1829" spans="1:13">
      <c r="A1829" s="6" t="s">
        <v>3182</v>
      </c>
      <c r="B1829" s="7">
        <v>46087</v>
      </c>
      <c r="C1829" s="6" t="s">
        <v>3183</v>
      </c>
      <c r="D1829" s="6" t="s">
        <v>45</v>
      </c>
      <c r="E1829" s="6" t="s">
        <v>28</v>
      </c>
      <c r="F1829" s="6" t="s">
        <v>58</v>
      </c>
      <c r="G1829" s="6" t="s">
        <v>59</v>
      </c>
      <c r="H1829" s="6">
        <v>-1</v>
      </c>
      <c r="I1829" s="6" t="s">
        <v>373</v>
      </c>
      <c r="J1829" s="8" t="s">
        <v>1737</v>
      </c>
      <c r="K1829" s="6">
        <v>380</v>
      </c>
      <c r="L1829" s="6" t="s">
        <v>42</v>
      </c>
      <c r="M1829" s="6" t="s">
        <v>34</v>
      </c>
    </row>
    <row r="1830" spans="1:13">
      <c r="A1830" s="6" t="s">
        <v>3184</v>
      </c>
      <c r="B1830" s="7">
        <v>46112</v>
      </c>
      <c r="C1830" s="6" t="s">
        <v>1194</v>
      </c>
      <c r="D1830" s="6" t="s">
        <v>45</v>
      </c>
      <c r="E1830" s="6" t="s">
        <v>28</v>
      </c>
      <c r="F1830" s="6" t="s">
        <v>38</v>
      </c>
      <c r="G1830" s="6" t="s">
        <v>39</v>
      </c>
      <c r="H1830" s="6">
        <v>2</v>
      </c>
      <c r="I1830" s="6" t="s">
        <v>113</v>
      </c>
      <c r="J1830" s="6" t="s">
        <v>192</v>
      </c>
      <c r="K1830" s="6">
        <v>520</v>
      </c>
      <c r="L1830" s="6" t="s">
        <v>33</v>
      </c>
      <c r="M1830" s="6" t="s">
        <v>34</v>
      </c>
    </row>
    <row r="1831" spans="1:13">
      <c r="A1831" s="6" t="s">
        <v>3185</v>
      </c>
      <c r="B1831" s="6" t="s">
        <v>2277</v>
      </c>
      <c r="C1831" s="6" t="s">
        <v>826</v>
      </c>
      <c r="D1831" s="6" t="s">
        <v>27</v>
      </c>
      <c r="E1831" s="6" t="s">
        <v>37</v>
      </c>
      <c r="F1831" s="6" t="s">
        <v>38</v>
      </c>
      <c r="G1831" s="6" t="s">
        <v>39</v>
      </c>
      <c r="H1831" s="6">
        <v>-2</v>
      </c>
      <c r="I1831" s="6" t="s">
        <v>31</v>
      </c>
      <c r="J1831" s="8" t="s">
        <v>159</v>
      </c>
      <c r="K1831" s="6" t="s">
        <v>41</v>
      </c>
      <c r="L1831" s="6" t="s">
        <v>33</v>
      </c>
      <c r="M1831" s="6" t="s">
        <v>34</v>
      </c>
    </row>
    <row r="1832" spans="1:13">
      <c r="A1832" s="6" t="s">
        <v>3186</v>
      </c>
      <c r="B1832" s="7">
        <v>46161</v>
      </c>
      <c r="C1832" s="6" t="s">
        <v>3187</v>
      </c>
      <c r="D1832" s="6" t="s">
        <v>110</v>
      </c>
      <c r="E1832" s="6" t="s">
        <v>28</v>
      </c>
      <c r="F1832" s="6" t="s">
        <v>47</v>
      </c>
      <c r="G1832" s="6" t="s">
        <v>48</v>
      </c>
      <c r="H1832" s="6">
        <v>2</v>
      </c>
      <c r="I1832" s="6" t="s">
        <v>231</v>
      </c>
      <c r="J1832" s="6" t="s">
        <v>232</v>
      </c>
      <c r="K1832" s="6" t="s">
        <v>49</v>
      </c>
      <c r="L1832" s="6" t="s">
        <v>33</v>
      </c>
      <c r="M1832" s="6" t="s">
        <v>34</v>
      </c>
    </row>
    <row r="1833" spans="1:13">
      <c r="A1833" s="6" t="s">
        <v>3188</v>
      </c>
      <c r="B1833" s="7">
        <v>46124</v>
      </c>
      <c r="C1833" s="6" t="s">
        <v>3189</v>
      </c>
      <c r="D1833" s="6" t="s">
        <v>45</v>
      </c>
      <c r="E1833" s="6" t="s">
        <v>52</v>
      </c>
      <c r="F1833" s="6" t="s">
        <v>85</v>
      </c>
      <c r="G1833" s="6" t="s">
        <v>86</v>
      </c>
      <c r="H1833" s="6">
        <v>1</v>
      </c>
      <c r="I1833" s="6" t="s">
        <v>117</v>
      </c>
      <c r="J1833" s="6" t="s">
        <v>117</v>
      </c>
      <c r="K1833" s="6">
        <v>410</v>
      </c>
      <c r="L1833" s="6" t="s">
        <v>42</v>
      </c>
      <c r="M1833" s="6" t="s">
        <v>69</v>
      </c>
    </row>
    <row r="1834" spans="1:13">
      <c r="A1834" s="6" t="s">
        <v>3190</v>
      </c>
      <c r="B1834" s="7">
        <v>46092</v>
      </c>
      <c r="C1834" s="6" t="s">
        <v>2717</v>
      </c>
      <c r="D1834" s="6" t="s">
        <v>57</v>
      </c>
      <c r="E1834" s="6" t="s">
        <v>46</v>
      </c>
      <c r="F1834" s="6" t="s">
        <v>100</v>
      </c>
      <c r="G1834" s="6" t="s">
        <v>101</v>
      </c>
      <c r="H1834" s="6">
        <v>1</v>
      </c>
      <c r="I1834" s="6" t="s">
        <v>67</v>
      </c>
      <c r="J1834" s="6" t="s">
        <v>67</v>
      </c>
      <c r="K1834" s="6">
        <v>640</v>
      </c>
      <c r="L1834" s="6" t="s">
        <v>42</v>
      </c>
      <c r="M1834" s="6" t="s">
        <v>34</v>
      </c>
    </row>
    <row r="1835" spans="1:13">
      <c r="A1835" s="6" t="s">
        <v>3191</v>
      </c>
      <c r="B1835" s="7">
        <v>46112</v>
      </c>
      <c r="C1835" s="6" t="s">
        <v>1130</v>
      </c>
      <c r="D1835" s="6" t="s">
        <v>45</v>
      </c>
      <c r="E1835" s="6" t="s">
        <v>78</v>
      </c>
      <c r="F1835" s="6" t="s">
        <v>53</v>
      </c>
      <c r="G1835" s="6" t="s">
        <v>54</v>
      </c>
      <c r="H1835" s="6">
        <v>1</v>
      </c>
      <c r="I1835" s="6" t="s">
        <v>113</v>
      </c>
      <c r="J1835" s="6" t="s">
        <v>113</v>
      </c>
      <c r="K1835" s="6">
        <v>190</v>
      </c>
      <c r="L1835" s="6" t="s">
        <v>42</v>
      </c>
      <c r="M1835" s="6" t="s">
        <v>34</v>
      </c>
    </row>
    <row r="1836" spans="1:13">
      <c r="A1836" s="6" t="s">
        <v>2631</v>
      </c>
      <c r="B1836" s="7">
        <v>46149</v>
      </c>
      <c r="C1836" s="6" t="s">
        <v>188</v>
      </c>
      <c r="D1836" s="6" t="s">
        <v>77</v>
      </c>
      <c r="E1836" s="6" t="s">
        <v>78</v>
      </c>
      <c r="F1836" s="6" t="s">
        <v>85</v>
      </c>
      <c r="G1836" s="6" t="s">
        <v>86</v>
      </c>
      <c r="H1836" s="6">
        <v>2</v>
      </c>
      <c r="I1836" s="6" t="s">
        <v>147</v>
      </c>
      <c r="J1836" s="6" t="s">
        <v>175</v>
      </c>
      <c r="K1836" s="6" t="s">
        <v>87</v>
      </c>
      <c r="L1836" s="6" t="s">
        <v>42</v>
      </c>
      <c r="M1836" s="6" t="s">
        <v>34</v>
      </c>
    </row>
    <row r="1837" spans="1:13">
      <c r="A1837" s="6" t="s">
        <v>3192</v>
      </c>
      <c r="B1837" s="7">
        <v>46068</v>
      </c>
      <c r="C1837" s="6" t="s">
        <v>2280</v>
      </c>
      <c r="D1837" s="6" t="s">
        <v>45</v>
      </c>
      <c r="E1837" s="6" t="s">
        <v>52</v>
      </c>
      <c r="F1837" s="6" t="s">
        <v>100</v>
      </c>
      <c r="G1837" s="6" t="s">
        <v>101</v>
      </c>
      <c r="H1837" s="6">
        <v>2</v>
      </c>
      <c r="I1837" s="6" t="s">
        <v>231</v>
      </c>
      <c r="J1837" s="6" t="s">
        <v>232</v>
      </c>
      <c r="K1837" s="6">
        <v>640</v>
      </c>
      <c r="L1837" s="6" t="s">
        <v>42</v>
      </c>
      <c r="M1837" s="6" t="s">
        <v>34</v>
      </c>
    </row>
    <row r="1838" spans="1:13">
      <c r="A1838" s="6" t="s">
        <v>3193</v>
      </c>
      <c r="B1838" s="7">
        <v>46091</v>
      </c>
      <c r="C1838" s="6" t="s">
        <v>408</v>
      </c>
      <c r="D1838" s="6" t="s">
        <v>127</v>
      </c>
      <c r="E1838" s="6" t="s">
        <v>46</v>
      </c>
      <c r="F1838" s="6" t="s">
        <v>38</v>
      </c>
      <c r="G1838" s="6" t="s">
        <v>39</v>
      </c>
      <c r="H1838" s="6">
        <v>1</v>
      </c>
      <c r="I1838" s="6" t="s">
        <v>82</v>
      </c>
      <c r="J1838" s="6" t="s">
        <v>82</v>
      </c>
      <c r="K1838" s="6">
        <v>520</v>
      </c>
      <c r="L1838" s="6" t="s">
        <v>42</v>
      </c>
      <c r="M1838" s="6" t="s">
        <v>69</v>
      </c>
    </row>
    <row r="1839" spans="1:13">
      <c r="A1839" s="6" t="s">
        <v>3194</v>
      </c>
      <c r="B1839" s="7">
        <v>46270</v>
      </c>
      <c r="C1839" s="6" t="s">
        <v>1594</v>
      </c>
      <c r="D1839" s="6" t="s">
        <v>45</v>
      </c>
      <c r="E1839" s="6" t="s">
        <v>28</v>
      </c>
      <c r="F1839" s="6" t="s">
        <v>38</v>
      </c>
      <c r="G1839" s="6" t="s">
        <v>39</v>
      </c>
      <c r="H1839" s="6">
        <v>1</v>
      </c>
      <c r="I1839" s="6" t="s">
        <v>82</v>
      </c>
      <c r="J1839" s="6" t="s">
        <v>82</v>
      </c>
      <c r="K1839" s="6" t="s">
        <v>41</v>
      </c>
      <c r="L1839" s="6" t="s">
        <v>42</v>
      </c>
      <c r="M1839" s="6" t="s">
        <v>34</v>
      </c>
    </row>
    <row r="1840" spans="1:13">
      <c r="A1840" s="6" t="s">
        <v>3195</v>
      </c>
      <c r="B1840" s="7">
        <v>46037</v>
      </c>
      <c r="C1840" s="6" t="s">
        <v>610</v>
      </c>
      <c r="D1840" s="6" t="s">
        <v>72</v>
      </c>
      <c r="E1840" s="6" t="s">
        <v>46</v>
      </c>
      <c r="F1840" s="6" t="s">
        <v>94</v>
      </c>
      <c r="G1840" s="6" t="s">
        <v>95</v>
      </c>
      <c r="H1840" s="6">
        <v>1</v>
      </c>
      <c r="I1840" s="6" t="s">
        <v>113</v>
      </c>
      <c r="J1840" s="6" t="s">
        <v>181</v>
      </c>
      <c r="K1840" s="6">
        <v>340</v>
      </c>
      <c r="L1840" s="6" t="s">
        <v>42</v>
      </c>
      <c r="M1840" s="6" t="s">
        <v>34</v>
      </c>
    </row>
    <row r="1841" spans="1:13">
      <c r="A1841" s="6" t="s">
        <v>3196</v>
      </c>
      <c r="B1841" s="7">
        <v>46028</v>
      </c>
      <c r="C1841" s="6" t="s">
        <v>3197</v>
      </c>
      <c r="D1841" s="6" t="s">
        <v>45</v>
      </c>
      <c r="E1841" s="6" t="s">
        <v>52</v>
      </c>
      <c r="F1841" s="6" t="s">
        <v>94</v>
      </c>
      <c r="G1841" s="6" t="s">
        <v>95</v>
      </c>
      <c r="H1841" s="6">
        <v>3</v>
      </c>
      <c r="I1841" s="6" t="s">
        <v>40</v>
      </c>
      <c r="J1841" s="6" t="s">
        <v>2767</v>
      </c>
      <c r="K1841" s="6">
        <v>340</v>
      </c>
      <c r="L1841" s="6" t="s">
        <v>42</v>
      </c>
      <c r="M1841" s="6" t="s">
        <v>69</v>
      </c>
    </row>
    <row r="1842" spans="1:13">
      <c r="A1842" s="6" t="s">
        <v>3198</v>
      </c>
      <c r="B1842" s="7">
        <v>46205</v>
      </c>
      <c r="C1842" s="6" t="s">
        <v>1163</v>
      </c>
      <c r="D1842" s="6" t="s">
        <v>127</v>
      </c>
      <c r="E1842" s="6" t="s">
        <v>37</v>
      </c>
      <c r="F1842" s="6" t="s">
        <v>94</v>
      </c>
      <c r="G1842" s="6" t="s">
        <v>95</v>
      </c>
      <c r="H1842" s="6">
        <v>2</v>
      </c>
      <c r="I1842" s="6" t="s">
        <v>40</v>
      </c>
      <c r="J1842" s="6" t="s">
        <v>3199</v>
      </c>
      <c r="K1842" s="6" t="s">
        <v>114</v>
      </c>
      <c r="L1842" s="6" t="s">
        <v>42</v>
      </c>
      <c r="M1842" s="6" t="s">
        <v>34</v>
      </c>
    </row>
    <row r="1843" spans="1:13">
      <c r="A1843" s="6" t="s">
        <v>3200</v>
      </c>
      <c r="B1843" s="7">
        <v>46166</v>
      </c>
      <c r="C1843" s="6" t="s">
        <v>714</v>
      </c>
      <c r="D1843" s="6" t="s">
        <v>105</v>
      </c>
      <c r="E1843" s="6" t="s">
        <v>52</v>
      </c>
      <c r="F1843" s="6" t="s">
        <v>94</v>
      </c>
      <c r="G1843" s="6" t="s">
        <v>95</v>
      </c>
      <c r="H1843" s="6">
        <v>1</v>
      </c>
      <c r="I1843" s="6" t="s">
        <v>79</v>
      </c>
      <c r="J1843" s="6" t="s">
        <v>79</v>
      </c>
      <c r="K1843" s="6" t="s">
        <v>114</v>
      </c>
      <c r="L1843" s="6" t="s">
        <v>42</v>
      </c>
      <c r="M1843" s="6" t="s">
        <v>34</v>
      </c>
    </row>
    <row r="1844" spans="1:13">
      <c r="A1844" s="6" t="s">
        <v>3201</v>
      </c>
      <c r="B1844" s="7">
        <v>46058</v>
      </c>
      <c r="C1844" s="6" t="s">
        <v>2333</v>
      </c>
      <c r="D1844" s="6" t="s">
        <v>110</v>
      </c>
      <c r="E1844" s="6" t="s">
        <v>28</v>
      </c>
      <c r="F1844" s="6" t="s">
        <v>53</v>
      </c>
      <c r="G1844" s="6" t="s">
        <v>54</v>
      </c>
      <c r="H1844" s="6">
        <v>1</v>
      </c>
      <c r="I1844" s="6" t="s">
        <v>143</v>
      </c>
      <c r="J1844" s="6" t="s">
        <v>143</v>
      </c>
      <c r="K1844" s="6">
        <v>190</v>
      </c>
      <c r="L1844" s="6" t="s">
        <v>42</v>
      </c>
      <c r="M1844" s="6" t="s">
        <v>69</v>
      </c>
    </row>
    <row r="1845" spans="1:13">
      <c r="A1845" s="6" t="s">
        <v>3202</v>
      </c>
      <c r="B1845" s="7">
        <v>46134</v>
      </c>
      <c r="C1845" s="6" t="s">
        <v>2137</v>
      </c>
      <c r="D1845" s="6" t="s">
        <v>105</v>
      </c>
      <c r="E1845" s="6" t="s">
        <v>46</v>
      </c>
      <c r="F1845" s="6" t="s">
        <v>94</v>
      </c>
      <c r="G1845" s="6" t="s">
        <v>95</v>
      </c>
      <c r="H1845" s="6">
        <v>1</v>
      </c>
      <c r="I1845" s="6" t="s">
        <v>60</v>
      </c>
      <c r="J1845" s="6" t="s">
        <v>60</v>
      </c>
      <c r="K1845" s="6" t="s">
        <v>114</v>
      </c>
      <c r="L1845" s="6" t="s">
        <v>42</v>
      </c>
      <c r="M1845" s="6" t="s">
        <v>34</v>
      </c>
    </row>
    <row r="1846" spans="1:13">
      <c r="A1846" s="6" t="s">
        <v>3203</v>
      </c>
      <c r="B1846" s="7">
        <v>46045</v>
      </c>
      <c r="C1846" s="6" t="s">
        <v>1742</v>
      </c>
      <c r="D1846" s="6" t="s">
        <v>105</v>
      </c>
      <c r="E1846" s="6" t="s">
        <v>28</v>
      </c>
      <c r="F1846" s="6" t="s">
        <v>29</v>
      </c>
      <c r="G1846" s="6" t="s">
        <v>30</v>
      </c>
      <c r="H1846" s="6">
        <v>1</v>
      </c>
      <c r="I1846" s="6" t="s">
        <v>231</v>
      </c>
      <c r="J1846" s="6" t="s">
        <v>231</v>
      </c>
      <c r="K1846" s="6">
        <v>520</v>
      </c>
      <c r="L1846" s="6" t="s">
        <v>42</v>
      </c>
      <c r="M1846" s="6" t="s">
        <v>34</v>
      </c>
    </row>
    <row r="1847" spans="1:13">
      <c r="A1847" s="6" t="s">
        <v>3204</v>
      </c>
      <c r="B1847" s="7">
        <v>46167</v>
      </c>
      <c r="C1847" s="6" t="s">
        <v>1651</v>
      </c>
      <c r="D1847" s="6" t="s">
        <v>45</v>
      </c>
      <c r="E1847" s="6" t="s">
        <v>78</v>
      </c>
      <c r="F1847" s="6" t="s">
        <v>38</v>
      </c>
      <c r="G1847" s="6" t="s">
        <v>39</v>
      </c>
      <c r="H1847" s="6">
        <v>1</v>
      </c>
      <c r="I1847" s="6" t="s">
        <v>79</v>
      </c>
      <c r="J1847" s="6" t="s">
        <v>79</v>
      </c>
      <c r="K1847" s="6" t="s">
        <v>41</v>
      </c>
      <c r="L1847" s="6" t="s">
        <v>42</v>
      </c>
      <c r="M1847" s="6" t="s">
        <v>34</v>
      </c>
    </row>
    <row r="1848" spans="1:13">
      <c r="A1848" s="6" t="s">
        <v>3205</v>
      </c>
      <c r="B1848" s="7">
        <v>46153</v>
      </c>
      <c r="C1848" s="6" t="s">
        <v>869</v>
      </c>
      <c r="D1848" s="6" t="s">
        <v>64</v>
      </c>
      <c r="E1848" s="6" t="s">
        <v>52</v>
      </c>
      <c r="F1848" s="6" t="s">
        <v>85</v>
      </c>
      <c r="G1848" s="6" t="s">
        <v>86</v>
      </c>
      <c r="H1848" s="6">
        <v>2</v>
      </c>
      <c r="I1848" s="6" t="s">
        <v>231</v>
      </c>
      <c r="J1848" s="6" t="s">
        <v>232</v>
      </c>
      <c r="K1848" s="6" t="s">
        <v>87</v>
      </c>
      <c r="L1848" s="6" t="s">
        <v>42</v>
      </c>
      <c r="M1848" s="6" t="s">
        <v>34</v>
      </c>
    </row>
    <row r="1849" spans="1:13">
      <c r="A1849" s="6" t="s">
        <v>3206</v>
      </c>
      <c r="B1849" s="7">
        <v>46076</v>
      </c>
      <c r="C1849" s="6" t="s">
        <v>1369</v>
      </c>
      <c r="D1849" s="6" t="s">
        <v>105</v>
      </c>
      <c r="E1849" s="6" t="s">
        <v>37</v>
      </c>
      <c r="F1849" s="6" t="s">
        <v>94</v>
      </c>
      <c r="G1849" s="6" t="s">
        <v>95</v>
      </c>
      <c r="H1849" s="6">
        <v>2</v>
      </c>
      <c r="I1849" s="6" t="s">
        <v>82</v>
      </c>
      <c r="J1849" s="6" t="s">
        <v>297</v>
      </c>
      <c r="K1849" s="6">
        <v>340</v>
      </c>
      <c r="L1849" s="6" t="s">
        <v>42</v>
      </c>
      <c r="M1849" s="6" t="s">
        <v>69</v>
      </c>
    </row>
    <row r="1850" spans="1:13">
      <c r="A1850" s="6" t="s">
        <v>3207</v>
      </c>
      <c r="B1850" s="7">
        <v>46165</v>
      </c>
      <c r="C1850" s="6" t="s">
        <v>3208</v>
      </c>
      <c r="D1850" s="6" t="s">
        <v>110</v>
      </c>
      <c r="E1850" s="6" t="s">
        <v>52</v>
      </c>
      <c r="F1850" s="6" t="s">
        <v>47</v>
      </c>
      <c r="G1850" s="6" t="s">
        <v>48</v>
      </c>
      <c r="H1850" s="6">
        <v>1</v>
      </c>
      <c r="I1850" s="6" t="s">
        <v>90</v>
      </c>
      <c r="J1850" s="6" t="s">
        <v>90</v>
      </c>
      <c r="K1850" s="6" t="s">
        <v>49</v>
      </c>
      <c r="L1850" s="6" t="s">
        <v>42</v>
      </c>
      <c r="M1850" s="6" t="s">
        <v>34</v>
      </c>
    </row>
    <row r="1851" spans="1:13">
      <c r="A1851" s="6" t="s">
        <v>3209</v>
      </c>
      <c r="B1851" s="7">
        <v>46079</v>
      </c>
      <c r="C1851" s="6" t="s">
        <v>2802</v>
      </c>
      <c r="D1851" s="6" t="s">
        <v>27</v>
      </c>
      <c r="E1851" s="6" t="s">
        <v>46</v>
      </c>
      <c r="F1851" s="6" t="s">
        <v>53</v>
      </c>
      <c r="G1851" s="6" t="s">
        <v>54</v>
      </c>
      <c r="H1851" s="6">
        <v>3</v>
      </c>
      <c r="I1851" s="6" t="s">
        <v>117</v>
      </c>
      <c r="J1851" s="6" t="s">
        <v>171</v>
      </c>
      <c r="K1851" s="6">
        <v>190</v>
      </c>
      <c r="L1851" s="6" t="s">
        <v>42</v>
      </c>
      <c r="M1851" s="6" t="s">
        <v>34</v>
      </c>
    </row>
    <row r="1852" spans="1:13">
      <c r="A1852" s="6" t="s">
        <v>3210</v>
      </c>
      <c r="B1852" s="7">
        <v>46174</v>
      </c>
      <c r="C1852" s="6" t="s">
        <v>3211</v>
      </c>
      <c r="D1852" s="6" t="s">
        <v>72</v>
      </c>
      <c r="E1852" s="6" t="s">
        <v>52</v>
      </c>
      <c r="F1852" s="6" t="s">
        <v>58</v>
      </c>
      <c r="G1852" s="6" t="s">
        <v>59</v>
      </c>
      <c r="H1852" s="6">
        <v>2</v>
      </c>
      <c r="I1852" s="6" t="s">
        <v>113</v>
      </c>
      <c r="J1852" s="6" t="s">
        <v>192</v>
      </c>
      <c r="K1852" s="6" t="s">
        <v>61</v>
      </c>
      <c r="L1852" s="6" t="s">
        <v>42</v>
      </c>
      <c r="M1852" s="6" t="s">
        <v>34</v>
      </c>
    </row>
    <row r="1853" spans="1:13">
      <c r="A1853" s="6" t="s">
        <v>3212</v>
      </c>
      <c r="B1853" s="7">
        <v>46133</v>
      </c>
      <c r="C1853" s="6" t="s">
        <v>1769</v>
      </c>
      <c r="D1853" s="6" t="s">
        <v>77</v>
      </c>
      <c r="E1853" s="6" t="s">
        <v>46</v>
      </c>
      <c r="F1853" s="6" t="s">
        <v>100</v>
      </c>
      <c r="G1853" s="6" t="s">
        <v>101</v>
      </c>
      <c r="H1853" s="6">
        <v>2</v>
      </c>
      <c r="I1853" s="6" t="s">
        <v>40</v>
      </c>
      <c r="J1853" s="6" t="s">
        <v>3199</v>
      </c>
      <c r="K1853" s="6" t="s">
        <v>119</v>
      </c>
      <c r="L1853" s="6" t="s">
        <v>33</v>
      </c>
      <c r="M1853" s="6" t="s">
        <v>34</v>
      </c>
    </row>
    <row r="1854" spans="1:13">
      <c r="A1854" s="6" t="s">
        <v>3213</v>
      </c>
      <c r="B1854" s="7">
        <v>46053</v>
      </c>
      <c r="C1854" s="6" t="s">
        <v>1557</v>
      </c>
      <c r="D1854" s="6" t="s">
        <v>127</v>
      </c>
      <c r="E1854" s="6" t="s">
        <v>46</v>
      </c>
      <c r="F1854" s="6" t="s">
        <v>58</v>
      </c>
      <c r="G1854" s="6" t="s">
        <v>59</v>
      </c>
      <c r="H1854" s="6">
        <v>1</v>
      </c>
      <c r="I1854" s="6" t="s">
        <v>143</v>
      </c>
      <c r="J1854" s="6" t="s">
        <v>143</v>
      </c>
      <c r="K1854" s="6">
        <v>380</v>
      </c>
      <c r="L1854" s="6" t="s">
        <v>42</v>
      </c>
      <c r="M1854" s="6" t="s">
        <v>34</v>
      </c>
    </row>
    <row r="1855" spans="1:13">
      <c r="A1855" s="6" t="s">
        <v>3214</v>
      </c>
      <c r="B1855" s="7">
        <v>46042</v>
      </c>
      <c r="C1855" s="6" t="s">
        <v>3215</v>
      </c>
      <c r="D1855" s="6" t="s">
        <v>72</v>
      </c>
      <c r="E1855" s="6" t="s">
        <v>46</v>
      </c>
      <c r="F1855" s="6" t="s">
        <v>85</v>
      </c>
      <c r="G1855" s="6" t="s">
        <v>86</v>
      </c>
      <c r="H1855" s="6">
        <v>2</v>
      </c>
      <c r="I1855" s="6" t="s">
        <v>90</v>
      </c>
      <c r="J1855" s="6" t="s">
        <v>154</v>
      </c>
      <c r="K1855" s="6">
        <v>410</v>
      </c>
      <c r="L1855" s="6" t="s">
        <v>33</v>
      </c>
      <c r="M1855" s="6" t="s">
        <v>34</v>
      </c>
    </row>
    <row r="1856" spans="1:13">
      <c r="A1856" s="6" t="s">
        <v>1249</v>
      </c>
      <c r="B1856" s="7">
        <v>46170</v>
      </c>
      <c r="C1856" s="6" t="s">
        <v>1250</v>
      </c>
      <c r="D1856" s="6" t="s">
        <v>27</v>
      </c>
      <c r="E1856" s="6" t="s">
        <v>28</v>
      </c>
      <c r="F1856" s="6" t="s">
        <v>58</v>
      </c>
      <c r="G1856" s="6" t="s">
        <v>59</v>
      </c>
      <c r="H1856" s="6">
        <v>2</v>
      </c>
      <c r="I1856" s="6" t="s">
        <v>599</v>
      </c>
      <c r="J1856" s="6" t="s">
        <v>74</v>
      </c>
      <c r="K1856" s="6" t="s">
        <v>61</v>
      </c>
      <c r="L1856" s="6" t="s">
        <v>42</v>
      </c>
      <c r="M1856" s="6" t="s">
        <v>34</v>
      </c>
    </row>
    <row r="1857" spans="1:13">
      <c r="A1857" s="6" t="s">
        <v>3216</v>
      </c>
      <c r="B1857" s="7">
        <v>46197</v>
      </c>
      <c r="C1857" s="6" t="s">
        <v>2923</v>
      </c>
      <c r="D1857" s="6" t="s">
        <v>110</v>
      </c>
      <c r="E1857" s="6" t="s">
        <v>46</v>
      </c>
      <c r="F1857" s="6" t="s">
        <v>94</v>
      </c>
      <c r="G1857" s="6" t="s">
        <v>95</v>
      </c>
      <c r="H1857" s="6">
        <v>2</v>
      </c>
      <c r="I1857" s="6" t="s">
        <v>147</v>
      </c>
      <c r="J1857" s="6" t="s">
        <v>175</v>
      </c>
      <c r="K1857" s="6" t="s">
        <v>114</v>
      </c>
      <c r="L1857" s="6" t="s">
        <v>42</v>
      </c>
      <c r="M1857" s="6" t="s">
        <v>34</v>
      </c>
    </row>
    <row r="1858" spans="1:13">
      <c r="A1858" s="6" t="s">
        <v>3217</v>
      </c>
      <c r="B1858" s="7">
        <v>46208</v>
      </c>
      <c r="C1858" s="6" t="s">
        <v>3218</v>
      </c>
      <c r="D1858" s="6" t="s">
        <v>77</v>
      </c>
      <c r="E1858" s="6" t="s">
        <v>78</v>
      </c>
      <c r="F1858" s="6" t="s">
        <v>38</v>
      </c>
      <c r="G1858" s="6" t="s">
        <v>39</v>
      </c>
      <c r="H1858" s="6">
        <v>1</v>
      </c>
      <c r="I1858" s="6" t="s">
        <v>82</v>
      </c>
      <c r="J1858" s="6" t="s">
        <v>82</v>
      </c>
      <c r="K1858" s="6" t="s">
        <v>41</v>
      </c>
      <c r="L1858" s="6" t="s">
        <v>42</v>
      </c>
      <c r="M1858" s="6" t="s">
        <v>34</v>
      </c>
    </row>
    <row r="1859" spans="1:13">
      <c r="A1859" s="6" t="s">
        <v>3219</v>
      </c>
      <c r="B1859" s="7">
        <v>46073</v>
      </c>
      <c r="C1859" s="6" t="s">
        <v>585</v>
      </c>
      <c r="D1859" s="6" t="s">
        <v>64</v>
      </c>
      <c r="E1859" s="6" t="s">
        <v>52</v>
      </c>
      <c r="F1859" s="6" t="s">
        <v>100</v>
      </c>
      <c r="G1859" s="6" t="s">
        <v>101</v>
      </c>
      <c r="H1859" s="6">
        <v>2</v>
      </c>
      <c r="I1859" s="6" t="s">
        <v>265</v>
      </c>
      <c r="J1859" s="6" t="s">
        <v>636</v>
      </c>
      <c r="K1859" s="6">
        <v>640</v>
      </c>
      <c r="L1859" s="6" t="s">
        <v>42</v>
      </c>
      <c r="M1859" s="6" t="s">
        <v>34</v>
      </c>
    </row>
    <row r="1860" spans="1:13">
      <c r="A1860" s="6" t="s">
        <v>3220</v>
      </c>
      <c r="B1860" s="7">
        <v>46196</v>
      </c>
      <c r="C1860" s="6" t="s">
        <v>881</v>
      </c>
      <c r="D1860" s="6" t="s">
        <v>64</v>
      </c>
      <c r="E1860" s="6" t="s">
        <v>52</v>
      </c>
      <c r="F1860" s="6" t="s">
        <v>94</v>
      </c>
      <c r="G1860" s="6" t="s">
        <v>95</v>
      </c>
      <c r="H1860" s="6">
        <v>1</v>
      </c>
      <c r="I1860" s="6" t="s">
        <v>117</v>
      </c>
      <c r="J1860" s="6" t="s">
        <v>117</v>
      </c>
      <c r="K1860" s="6" t="s">
        <v>114</v>
      </c>
      <c r="L1860" s="6" t="s">
        <v>42</v>
      </c>
      <c r="M1860" s="6" t="s">
        <v>34</v>
      </c>
    </row>
    <row r="1861" spans="1:13">
      <c r="A1861" s="6" t="s">
        <v>3221</v>
      </c>
      <c r="B1861" s="7">
        <v>46044</v>
      </c>
      <c r="C1861" s="6" t="s">
        <v>2475</v>
      </c>
      <c r="D1861" s="6" t="s">
        <v>45</v>
      </c>
      <c r="E1861" s="6" t="s">
        <v>52</v>
      </c>
      <c r="F1861" s="6" t="s">
        <v>38</v>
      </c>
      <c r="G1861" s="6" t="s">
        <v>39</v>
      </c>
      <c r="H1861" s="6">
        <v>1</v>
      </c>
      <c r="I1861" s="6" t="s">
        <v>73</v>
      </c>
      <c r="J1861" s="6" t="s">
        <v>73</v>
      </c>
      <c r="K1861" s="6">
        <v>520</v>
      </c>
      <c r="L1861" s="6" t="s">
        <v>33</v>
      </c>
      <c r="M1861" s="6" t="s">
        <v>69</v>
      </c>
    </row>
    <row r="1862" spans="1:13">
      <c r="A1862" s="6" t="s">
        <v>880</v>
      </c>
      <c r="B1862" s="7">
        <v>46151</v>
      </c>
      <c r="C1862" s="6" t="s">
        <v>881</v>
      </c>
      <c r="D1862" s="6" t="s">
        <v>127</v>
      </c>
      <c r="E1862" s="6" t="s">
        <v>28</v>
      </c>
      <c r="F1862" s="6" t="s">
        <v>29</v>
      </c>
      <c r="G1862" s="6" t="s">
        <v>30</v>
      </c>
      <c r="H1862" s="6">
        <v>3</v>
      </c>
      <c r="I1862" s="6" t="s">
        <v>73</v>
      </c>
      <c r="J1862" s="6" t="s">
        <v>882</v>
      </c>
      <c r="K1862" s="6" t="s">
        <v>41</v>
      </c>
      <c r="L1862" s="6" t="s">
        <v>33</v>
      </c>
      <c r="M1862" s="6" t="s">
        <v>34</v>
      </c>
    </row>
    <row r="1863" spans="1:13">
      <c r="A1863" s="6" t="s">
        <v>3222</v>
      </c>
      <c r="B1863" s="7">
        <v>46045</v>
      </c>
      <c r="C1863" s="6" t="s">
        <v>3223</v>
      </c>
      <c r="D1863" s="6" t="s">
        <v>105</v>
      </c>
      <c r="E1863" s="6" t="s">
        <v>46</v>
      </c>
      <c r="F1863" s="6" t="s">
        <v>29</v>
      </c>
      <c r="G1863" s="6" t="s">
        <v>30</v>
      </c>
      <c r="H1863" s="6">
        <v>2</v>
      </c>
      <c r="I1863" s="6" t="s">
        <v>113</v>
      </c>
      <c r="J1863" s="6" t="s">
        <v>192</v>
      </c>
      <c r="K1863" s="6">
        <v>520</v>
      </c>
      <c r="L1863" s="6" t="s">
        <v>42</v>
      </c>
      <c r="M1863" s="6" t="s">
        <v>34</v>
      </c>
    </row>
    <row r="1864" spans="1:13">
      <c r="A1864" s="6" t="s">
        <v>3224</v>
      </c>
      <c r="B1864" s="7">
        <v>46120</v>
      </c>
      <c r="C1864" s="6" t="s">
        <v>1373</v>
      </c>
      <c r="D1864" s="6" t="s">
        <v>127</v>
      </c>
      <c r="E1864" s="6" t="s">
        <v>52</v>
      </c>
      <c r="F1864" s="6" t="s">
        <v>94</v>
      </c>
      <c r="G1864" s="6" t="s">
        <v>95</v>
      </c>
      <c r="H1864" s="6">
        <v>2</v>
      </c>
      <c r="I1864" s="6" t="s">
        <v>31</v>
      </c>
      <c r="J1864" s="6" t="s">
        <v>249</v>
      </c>
      <c r="K1864" s="6">
        <v>340</v>
      </c>
      <c r="L1864" s="6" t="s">
        <v>42</v>
      </c>
      <c r="M1864" s="6" t="s">
        <v>34</v>
      </c>
    </row>
    <row r="1865" spans="1:13">
      <c r="A1865" s="6" t="s">
        <v>3225</v>
      </c>
      <c r="B1865" s="7">
        <v>46267</v>
      </c>
      <c r="C1865" s="6" t="s">
        <v>153</v>
      </c>
      <c r="D1865" s="6" t="s">
        <v>45</v>
      </c>
      <c r="E1865" s="6" t="s">
        <v>37</v>
      </c>
      <c r="F1865" s="6" t="s">
        <v>29</v>
      </c>
      <c r="G1865" s="6" t="s">
        <v>30</v>
      </c>
      <c r="H1865" s="6">
        <v>2</v>
      </c>
      <c r="I1865" s="6" t="s">
        <v>31</v>
      </c>
      <c r="J1865" s="6" t="s">
        <v>249</v>
      </c>
      <c r="K1865" s="6">
        <v>520</v>
      </c>
      <c r="L1865" s="6" t="s">
        <v>42</v>
      </c>
      <c r="M1865" s="6" t="s">
        <v>34</v>
      </c>
    </row>
    <row r="1866" spans="1:13">
      <c r="A1866" s="6" t="s">
        <v>3226</v>
      </c>
      <c r="B1866" s="7">
        <v>46078</v>
      </c>
      <c r="C1866" s="6" t="s">
        <v>3006</v>
      </c>
      <c r="D1866" s="6" t="s">
        <v>105</v>
      </c>
      <c r="E1866" s="6" t="s">
        <v>37</v>
      </c>
      <c r="F1866" s="6" t="s">
        <v>53</v>
      </c>
      <c r="G1866" s="6" t="s">
        <v>54</v>
      </c>
      <c r="H1866" s="6">
        <v>2</v>
      </c>
      <c r="I1866" s="6" t="s">
        <v>67</v>
      </c>
      <c r="J1866" s="6" t="s">
        <v>204</v>
      </c>
      <c r="K1866" s="6">
        <v>190</v>
      </c>
      <c r="L1866" s="6" t="s">
        <v>42</v>
      </c>
      <c r="M1866" s="6" t="s">
        <v>34</v>
      </c>
    </row>
    <row r="1867" spans="1:13">
      <c r="A1867" s="6" t="s">
        <v>3227</v>
      </c>
      <c r="B1867" s="7">
        <v>46150</v>
      </c>
      <c r="C1867" s="6" t="s">
        <v>1104</v>
      </c>
      <c r="D1867" s="6" t="s">
        <v>77</v>
      </c>
      <c r="E1867" s="6" t="s">
        <v>46</v>
      </c>
      <c r="F1867" s="6" t="s">
        <v>53</v>
      </c>
      <c r="G1867" s="6" t="s">
        <v>54</v>
      </c>
      <c r="H1867" s="6">
        <v>-1</v>
      </c>
      <c r="I1867" s="6" t="s">
        <v>79</v>
      </c>
      <c r="J1867" s="8" t="s">
        <v>1737</v>
      </c>
      <c r="K1867" s="6" t="s">
        <v>122</v>
      </c>
      <c r="L1867" s="6" t="s">
        <v>42</v>
      </c>
      <c r="M1867" s="6" t="s">
        <v>34</v>
      </c>
    </row>
    <row r="1868" spans="1:13">
      <c r="A1868" s="6" t="s">
        <v>3228</v>
      </c>
      <c r="B1868" s="7">
        <v>46044</v>
      </c>
      <c r="C1868" s="6" t="s">
        <v>723</v>
      </c>
      <c r="D1868" s="6" t="s">
        <v>45</v>
      </c>
      <c r="E1868" s="6" t="s">
        <v>52</v>
      </c>
      <c r="F1868" s="6" t="s">
        <v>53</v>
      </c>
      <c r="G1868" s="6" t="s">
        <v>54</v>
      </c>
      <c r="H1868" s="6">
        <v>1</v>
      </c>
      <c r="I1868" s="6" t="s">
        <v>31</v>
      </c>
      <c r="J1868" s="6" t="s">
        <v>31</v>
      </c>
      <c r="K1868" s="6">
        <v>190</v>
      </c>
      <c r="L1868" s="6" t="s">
        <v>42</v>
      </c>
      <c r="M1868" s="6" t="s">
        <v>34</v>
      </c>
    </row>
    <row r="1869" spans="1:13">
      <c r="A1869" s="6" t="s">
        <v>3229</v>
      </c>
      <c r="B1869" s="7">
        <v>46083</v>
      </c>
      <c r="C1869" s="6" t="s">
        <v>626</v>
      </c>
      <c r="D1869" s="6" t="s">
        <v>110</v>
      </c>
      <c r="E1869" s="6" t="s">
        <v>78</v>
      </c>
      <c r="F1869" s="6" t="s">
        <v>38</v>
      </c>
      <c r="G1869" s="6" t="s">
        <v>39</v>
      </c>
      <c r="H1869" s="6">
        <v>1</v>
      </c>
      <c r="I1869" s="6" t="s">
        <v>265</v>
      </c>
      <c r="J1869" s="6" t="s">
        <v>265</v>
      </c>
      <c r="K1869" s="6">
        <v>520</v>
      </c>
      <c r="L1869" s="6" t="s">
        <v>42</v>
      </c>
      <c r="M1869" s="6" t="s">
        <v>34</v>
      </c>
    </row>
    <row r="1870" spans="1:13">
      <c r="A1870" s="6" t="s">
        <v>3230</v>
      </c>
      <c r="B1870" s="7">
        <v>46040</v>
      </c>
      <c r="C1870" s="6" t="s">
        <v>2137</v>
      </c>
      <c r="D1870" s="6" t="s">
        <v>77</v>
      </c>
      <c r="E1870" s="6" t="s">
        <v>78</v>
      </c>
      <c r="F1870" s="6" t="s">
        <v>53</v>
      </c>
      <c r="G1870" s="6" t="s">
        <v>54</v>
      </c>
      <c r="H1870" s="6">
        <v>2</v>
      </c>
      <c r="I1870" s="6" t="s">
        <v>67</v>
      </c>
      <c r="J1870" s="6" t="s">
        <v>204</v>
      </c>
      <c r="K1870" s="6">
        <v>190</v>
      </c>
      <c r="L1870" s="6" t="s">
        <v>42</v>
      </c>
      <c r="M1870" s="6" t="s">
        <v>69</v>
      </c>
    </row>
    <row r="1871" spans="1:13">
      <c r="A1871" s="6" t="s">
        <v>3231</v>
      </c>
      <c r="B1871" s="7">
        <v>46083</v>
      </c>
      <c r="C1871" s="6" t="s">
        <v>3232</v>
      </c>
      <c r="D1871" s="6" t="s">
        <v>110</v>
      </c>
      <c r="E1871" s="6" t="s">
        <v>37</v>
      </c>
      <c r="F1871" s="6" t="s">
        <v>94</v>
      </c>
      <c r="G1871" s="6" t="s">
        <v>95</v>
      </c>
      <c r="H1871" s="6">
        <v>2</v>
      </c>
      <c r="I1871" s="6" t="s">
        <v>79</v>
      </c>
      <c r="J1871" s="6" t="s">
        <v>259</v>
      </c>
      <c r="K1871" s="6">
        <v>340</v>
      </c>
      <c r="L1871" s="6" t="s">
        <v>42</v>
      </c>
      <c r="M1871" s="6" t="s">
        <v>34</v>
      </c>
    </row>
    <row r="1872" spans="1:13">
      <c r="A1872" s="6" t="s">
        <v>3233</v>
      </c>
      <c r="B1872" s="7">
        <v>46079</v>
      </c>
      <c r="C1872" s="6" t="s">
        <v>3234</v>
      </c>
      <c r="D1872" s="6" t="s">
        <v>110</v>
      </c>
      <c r="E1872" s="6" t="s">
        <v>46</v>
      </c>
      <c r="F1872" s="6" t="s">
        <v>47</v>
      </c>
      <c r="G1872" s="6" t="s">
        <v>48</v>
      </c>
      <c r="H1872" s="6">
        <v>1</v>
      </c>
      <c r="I1872" s="6" t="s">
        <v>73</v>
      </c>
      <c r="J1872" s="6" t="s">
        <v>73</v>
      </c>
      <c r="K1872" s="6">
        <v>85</v>
      </c>
      <c r="L1872" s="6" t="s">
        <v>42</v>
      </c>
      <c r="M1872" s="6" t="s">
        <v>34</v>
      </c>
    </row>
    <row r="1873" spans="1:13">
      <c r="A1873" s="6" t="s">
        <v>3235</v>
      </c>
      <c r="B1873" s="7">
        <v>46071</v>
      </c>
      <c r="C1873" s="6" t="s">
        <v>2467</v>
      </c>
      <c r="D1873" s="6" t="s">
        <v>45</v>
      </c>
      <c r="E1873" s="6" t="s">
        <v>37</v>
      </c>
      <c r="F1873" s="6" t="s">
        <v>38</v>
      </c>
      <c r="G1873" s="6" t="s">
        <v>39</v>
      </c>
      <c r="H1873" s="6">
        <v>2</v>
      </c>
      <c r="I1873" s="6" t="s">
        <v>31</v>
      </c>
      <c r="J1873" s="6" t="s">
        <v>249</v>
      </c>
      <c r="K1873" s="6">
        <v>520</v>
      </c>
      <c r="L1873" s="6" t="s">
        <v>33</v>
      </c>
      <c r="M1873" s="6" t="s">
        <v>34</v>
      </c>
    </row>
    <row r="1874" spans="1:13">
      <c r="A1874" s="6" t="s">
        <v>3236</v>
      </c>
      <c r="B1874" s="6" t="s">
        <v>179</v>
      </c>
      <c r="C1874" s="6" t="s">
        <v>2352</v>
      </c>
      <c r="D1874" s="6" t="s">
        <v>77</v>
      </c>
      <c r="E1874" s="6" t="s">
        <v>46</v>
      </c>
      <c r="F1874" s="6" t="s">
        <v>94</v>
      </c>
      <c r="G1874" s="6" t="s">
        <v>95</v>
      </c>
      <c r="H1874" s="6">
        <v>2</v>
      </c>
      <c r="I1874" s="6" t="s">
        <v>113</v>
      </c>
      <c r="J1874" s="6" t="s">
        <v>192</v>
      </c>
      <c r="K1874" s="6">
        <v>340</v>
      </c>
      <c r="L1874" s="6" t="s">
        <v>42</v>
      </c>
      <c r="M1874" s="6" t="s">
        <v>34</v>
      </c>
    </row>
    <row r="1875" spans="1:13">
      <c r="A1875" s="6" t="s">
        <v>3237</v>
      </c>
      <c r="B1875" s="7">
        <v>46070</v>
      </c>
      <c r="C1875" s="6" t="s">
        <v>345</v>
      </c>
      <c r="D1875" s="6" t="s">
        <v>110</v>
      </c>
      <c r="E1875" s="6" t="s">
        <v>28</v>
      </c>
      <c r="F1875" s="6" t="s">
        <v>47</v>
      </c>
      <c r="G1875" s="6" t="s">
        <v>48</v>
      </c>
      <c r="H1875" s="6">
        <v>1</v>
      </c>
      <c r="I1875" s="6" t="s">
        <v>373</v>
      </c>
      <c r="J1875" s="6" t="s">
        <v>79</v>
      </c>
      <c r="K1875" s="6">
        <v>85</v>
      </c>
      <c r="L1875" s="6" t="s">
        <v>33</v>
      </c>
      <c r="M1875" s="6" t="s">
        <v>69</v>
      </c>
    </row>
    <row r="1876" spans="1:13">
      <c r="A1876" s="6" t="s">
        <v>3238</v>
      </c>
      <c r="B1876" s="7">
        <v>46148</v>
      </c>
      <c r="C1876" s="6" t="s">
        <v>150</v>
      </c>
      <c r="D1876" s="6" t="s">
        <v>45</v>
      </c>
      <c r="E1876" s="6" t="s">
        <v>46</v>
      </c>
      <c r="F1876" s="6" t="s">
        <v>53</v>
      </c>
      <c r="G1876" s="6" t="s">
        <v>54</v>
      </c>
      <c r="H1876" s="6">
        <v>1</v>
      </c>
      <c r="I1876" s="6" t="s">
        <v>143</v>
      </c>
      <c r="J1876" s="6" t="s">
        <v>143</v>
      </c>
      <c r="K1876" s="6" t="s">
        <v>122</v>
      </c>
      <c r="L1876" s="6" t="s">
        <v>42</v>
      </c>
      <c r="M1876" s="6" t="s">
        <v>69</v>
      </c>
    </row>
    <row r="1877" spans="1:13">
      <c r="A1877" s="6" t="s">
        <v>3239</v>
      </c>
      <c r="B1877" s="7">
        <v>46111</v>
      </c>
      <c r="C1877" s="6" t="s">
        <v>3240</v>
      </c>
      <c r="D1877" s="6" t="s">
        <v>45</v>
      </c>
      <c r="E1877" s="6" t="s">
        <v>37</v>
      </c>
      <c r="F1877" s="6" t="s">
        <v>100</v>
      </c>
      <c r="G1877" s="6" t="s">
        <v>101</v>
      </c>
      <c r="H1877" s="6">
        <v>2</v>
      </c>
      <c r="I1877" s="6" t="s">
        <v>113</v>
      </c>
      <c r="J1877" s="6" t="s">
        <v>192</v>
      </c>
      <c r="K1877" s="6">
        <v>640</v>
      </c>
      <c r="L1877" s="6" t="s">
        <v>33</v>
      </c>
      <c r="M1877" s="6" t="s">
        <v>34</v>
      </c>
    </row>
    <row r="1878" spans="1:13">
      <c r="A1878" s="6" t="s">
        <v>3241</v>
      </c>
      <c r="B1878" s="6" t="s">
        <v>1279</v>
      </c>
      <c r="C1878" s="6" t="s">
        <v>466</v>
      </c>
      <c r="D1878" s="6" t="s">
        <v>77</v>
      </c>
      <c r="E1878" s="6" t="s">
        <v>28</v>
      </c>
      <c r="F1878" s="6" t="s">
        <v>94</v>
      </c>
      <c r="G1878" s="6" t="s">
        <v>95</v>
      </c>
      <c r="H1878" s="6">
        <v>2</v>
      </c>
      <c r="I1878" s="6" t="s">
        <v>117</v>
      </c>
      <c r="J1878" s="6" t="s">
        <v>118</v>
      </c>
      <c r="K1878" s="6">
        <v>340</v>
      </c>
      <c r="L1878" s="6" t="s">
        <v>42</v>
      </c>
      <c r="M1878" s="6" t="s">
        <v>34</v>
      </c>
    </row>
    <row r="1879" spans="1:13">
      <c r="A1879" s="6" t="s">
        <v>3242</v>
      </c>
      <c r="B1879" s="7">
        <v>46190</v>
      </c>
      <c r="C1879" s="6" t="s">
        <v>1713</v>
      </c>
      <c r="D1879" s="6" t="s">
        <v>110</v>
      </c>
      <c r="E1879" s="6" t="s">
        <v>37</v>
      </c>
      <c r="F1879" s="6" t="s">
        <v>29</v>
      </c>
      <c r="G1879" s="6" t="s">
        <v>30</v>
      </c>
      <c r="H1879" s="6">
        <v>2</v>
      </c>
      <c r="I1879" s="6" t="s">
        <v>67</v>
      </c>
      <c r="J1879" s="6" t="s">
        <v>204</v>
      </c>
      <c r="K1879" s="6" t="s">
        <v>41</v>
      </c>
      <c r="L1879" s="6" t="s">
        <v>42</v>
      </c>
      <c r="M1879" s="6" t="s">
        <v>34</v>
      </c>
    </row>
    <row r="1880" spans="1:13">
      <c r="A1880" s="6" t="s">
        <v>3243</v>
      </c>
      <c r="B1880" s="7">
        <v>46117</v>
      </c>
      <c r="C1880" s="6" t="s">
        <v>3244</v>
      </c>
      <c r="D1880" s="6" t="s">
        <v>64</v>
      </c>
      <c r="E1880" s="6" t="s">
        <v>52</v>
      </c>
      <c r="F1880" s="6" t="s">
        <v>29</v>
      </c>
      <c r="G1880" s="6" t="s">
        <v>30</v>
      </c>
      <c r="H1880" s="6">
        <v>1</v>
      </c>
      <c r="I1880" s="6" t="s">
        <v>181</v>
      </c>
      <c r="J1880" s="6" t="s">
        <v>181</v>
      </c>
      <c r="K1880" s="6">
        <v>520</v>
      </c>
      <c r="L1880" s="6" t="s">
        <v>42</v>
      </c>
      <c r="M1880" s="6" t="s">
        <v>34</v>
      </c>
    </row>
    <row r="1881" spans="1:13">
      <c r="A1881" s="6" t="s">
        <v>3245</v>
      </c>
      <c r="B1881" s="7">
        <v>46072</v>
      </c>
      <c r="C1881" s="6" t="s">
        <v>1032</v>
      </c>
      <c r="D1881" s="6" t="s">
        <v>45</v>
      </c>
      <c r="E1881" s="6" t="s">
        <v>52</v>
      </c>
      <c r="F1881" s="6" t="s">
        <v>94</v>
      </c>
      <c r="G1881" s="6" t="s">
        <v>95</v>
      </c>
      <c r="H1881" s="6">
        <v>1</v>
      </c>
      <c r="I1881" s="6" t="s">
        <v>181</v>
      </c>
      <c r="J1881" s="6" t="s">
        <v>1715</v>
      </c>
      <c r="K1881" s="6">
        <v>340</v>
      </c>
      <c r="L1881" s="6" t="s">
        <v>42</v>
      </c>
      <c r="M1881" s="6" t="s">
        <v>34</v>
      </c>
    </row>
    <row r="1882" spans="1:13">
      <c r="A1882" s="6" t="s">
        <v>3246</v>
      </c>
      <c r="B1882" s="7">
        <v>46041</v>
      </c>
      <c r="C1882" s="6" t="s">
        <v>2567</v>
      </c>
      <c r="D1882" s="6" t="s">
        <v>105</v>
      </c>
      <c r="E1882" s="6" t="s">
        <v>52</v>
      </c>
      <c r="F1882" s="6" t="s">
        <v>58</v>
      </c>
      <c r="G1882" s="6" t="s">
        <v>59</v>
      </c>
      <c r="H1882" s="6">
        <v>3</v>
      </c>
      <c r="I1882" s="6" t="s">
        <v>117</v>
      </c>
      <c r="J1882" s="6" t="s">
        <v>171</v>
      </c>
      <c r="K1882" s="6">
        <v>380</v>
      </c>
      <c r="L1882" s="6" t="s">
        <v>42</v>
      </c>
      <c r="M1882" s="6" t="s">
        <v>34</v>
      </c>
    </row>
    <row r="1883" spans="1:13">
      <c r="A1883" s="6" t="s">
        <v>3247</v>
      </c>
      <c r="B1883" s="7">
        <v>46115</v>
      </c>
      <c r="C1883" s="6" t="s">
        <v>2726</v>
      </c>
      <c r="D1883" s="6" t="s">
        <v>127</v>
      </c>
      <c r="E1883" s="6" t="s">
        <v>37</v>
      </c>
      <c r="F1883" s="6" t="s">
        <v>94</v>
      </c>
      <c r="G1883" s="6" t="s">
        <v>95</v>
      </c>
      <c r="H1883" s="6">
        <v>1</v>
      </c>
      <c r="I1883" s="6" t="s">
        <v>31</v>
      </c>
      <c r="J1883" s="6" t="s">
        <v>31</v>
      </c>
      <c r="K1883" s="6">
        <v>340</v>
      </c>
      <c r="L1883" s="6" t="s">
        <v>42</v>
      </c>
      <c r="M1883" s="6" t="s">
        <v>34</v>
      </c>
    </row>
    <row r="1884" spans="1:13">
      <c r="A1884" s="6" t="s">
        <v>3248</v>
      </c>
      <c r="B1884" s="7">
        <v>46327</v>
      </c>
      <c r="C1884" s="6" t="s">
        <v>2171</v>
      </c>
      <c r="D1884" s="6" t="s">
        <v>45</v>
      </c>
      <c r="E1884" s="6" t="s">
        <v>78</v>
      </c>
      <c r="F1884" s="6" t="s">
        <v>29</v>
      </c>
      <c r="G1884" s="6" t="s">
        <v>30</v>
      </c>
      <c r="H1884" s="6">
        <v>1</v>
      </c>
      <c r="I1884" s="6" t="s">
        <v>79</v>
      </c>
      <c r="J1884" s="6" t="s">
        <v>79</v>
      </c>
      <c r="K1884" s="6">
        <v>520</v>
      </c>
      <c r="L1884" s="6" t="s">
        <v>42</v>
      </c>
      <c r="M1884" s="6" t="s">
        <v>69</v>
      </c>
    </row>
    <row r="1885" spans="1:13">
      <c r="A1885" s="6" t="s">
        <v>3249</v>
      </c>
      <c r="B1885" s="7">
        <v>46104</v>
      </c>
      <c r="C1885" s="6" t="s">
        <v>888</v>
      </c>
      <c r="D1885" s="6" t="s">
        <v>77</v>
      </c>
      <c r="E1885" s="6" t="s">
        <v>28</v>
      </c>
      <c r="F1885" s="6" t="s">
        <v>47</v>
      </c>
      <c r="G1885" s="6" t="s">
        <v>48</v>
      </c>
      <c r="H1885" s="6">
        <v>3</v>
      </c>
      <c r="I1885" s="6" t="s">
        <v>113</v>
      </c>
      <c r="J1885" s="6" t="s">
        <v>138</v>
      </c>
      <c r="K1885" s="6">
        <v>85</v>
      </c>
      <c r="L1885" s="6" t="s">
        <v>33</v>
      </c>
      <c r="M1885" s="6" t="s">
        <v>69</v>
      </c>
    </row>
    <row r="1886" spans="1:13">
      <c r="A1886" s="6" t="s">
        <v>3250</v>
      </c>
      <c r="B1886" s="6" t="s">
        <v>247</v>
      </c>
      <c r="C1886" s="6" t="s">
        <v>3029</v>
      </c>
      <c r="D1886" s="6" t="s">
        <v>77</v>
      </c>
      <c r="E1886" s="6" t="s">
        <v>28</v>
      </c>
      <c r="F1886" s="6" t="s">
        <v>94</v>
      </c>
      <c r="G1886" s="6" t="s">
        <v>95</v>
      </c>
      <c r="H1886" s="6">
        <v>1</v>
      </c>
      <c r="I1886" s="6" t="s">
        <v>31</v>
      </c>
      <c r="J1886" s="6" t="s">
        <v>31</v>
      </c>
      <c r="K1886" s="6">
        <v>340</v>
      </c>
      <c r="L1886" s="6" t="s">
        <v>42</v>
      </c>
      <c r="M1886" s="6" t="s">
        <v>69</v>
      </c>
    </row>
    <row r="1887" spans="1:13">
      <c r="A1887" s="6" t="s">
        <v>3251</v>
      </c>
      <c r="B1887" s="7">
        <v>46113</v>
      </c>
      <c r="C1887" s="6" t="s">
        <v>2741</v>
      </c>
      <c r="D1887" s="6" t="s">
        <v>127</v>
      </c>
      <c r="E1887" s="6" t="s">
        <v>52</v>
      </c>
      <c r="F1887" s="6" t="s">
        <v>58</v>
      </c>
      <c r="G1887" s="6" t="s">
        <v>59</v>
      </c>
      <c r="H1887" s="6">
        <v>-1</v>
      </c>
      <c r="I1887" s="6" t="s">
        <v>599</v>
      </c>
      <c r="J1887" s="8" t="s">
        <v>3252</v>
      </c>
      <c r="K1887" s="6">
        <v>380</v>
      </c>
      <c r="L1887" s="6" t="s">
        <v>42</v>
      </c>
      <c r="M1887" s="6" t="s">
        <v>34</v>
      </c>
    </row>
    <row r="1888" spans="1:13">
      <c r="A1888" s="6" t="s">
        <v>3253</v>
      </c>
      <c r="B1888" s="7">
        <v>46172</v>
      </c>
      <c r="C1888" s="6" t="s">
        <v>2994</v>
      </c>
      <c r="D1888" s="6" t="s">
        <v>110</v>
      </c>
      <c r="E1888" s="6" t="s">
        <v>78</v>
      </c>
      <c r="F1888" s="6" t="s">
        <v>100</v>
      </c>
      <c r="G1888" s="6" t="s">
        <v>101</v>
      </c>
      <c r="H1888" s="6">
        <v>1</v>
      </c>
      <c r="I1888" s="6" t="s">
        <v>40</v>
      </c>
      <c r="J1888" s="6" t="s">
        <v>40</v>
      </c>
      <c r="K1888" s="6" t="s">
        <v>119</v>
      </c>
      <c r="L1888" s="6" t="s">
        <v>42</v>
      </c>
      <c r="M1888" s="6" t="s">
        <v>69</v>
      </c>
    </row>
    <row r="1889" spans="1:13">
      <c r="A1889" s="6" t="s">
        <v>3254</v>
      </c>
      <c r="B1889" s="7">
        <v>46182</v>
      </c>
      <c r="C1889" s="6" t="s">
        <v>3255</v>
      </c>
      <c r="D1889" s="6" t="s">
        <v>57</v>
      </c>
      <c r="E1889" s="6" t="s">
        <v>37</v>
      </c>
      <c r="F1889" s="6" t="s">
        <v>100</v>
      </c>
      <c r="G1889" s="6" t="s">
        <v>101</v>
      </c>
      <c r="H1889" s="6">
        <v>1</v>
      </c>
      <c r="I1889" s="6" t="s">
        <v>90</v>
      </c>
      <c r="J1889" s="6" t="s">
        <v>1182</v>
      </c>
      <c r="K1889" s="6" t="s">
        <v>119</v>
      </c>
      <c r="L1889" s="6" t="s">
        <v>42</v>
      </c>
      <c r="M1889" s="6" t="s">
        <v>34</v>
      </c>
    </row>
    <row r="1890" spans="1:13">
      <c r="A1890" s="6" t="s">
        <v>3256</v>
      </c>
      <c r="B1890" s="7">
        <v>46081</v>
      </c>
      <c r="C1890" s="6" t="s">
        <v>302</v>
      </c>
      <c r="D1890" s="6" t="s">
        <v>105</v>
      </c>
      <c r="E1890" s="6" t="s">
        <v>52</v>
      </c>
      <c r="F1890" s="6" t="s">
        <v>58</v>
      </c>
      <c r="G1890" s="6" t="s">
        <v>59</v>
      </c>
      <c r="H1890" s="6">
        <v>1</v>
      </c>
      <c r="I1890" s="6" t="s">
        <v>143</v>
      </c>
      <c r="J1890" s="6" t="s">
        <v>143</v>
      </c>
      <c r="K1890" s="6">
        <v>380</v>
      </c>
      <c r="L1890" s="6" t="s">
        <v>42</v>
      </c>
      <c r="M1890" s="6" t="s">
        <v>34</v>
      </c>
    </row>
    <row r="1891" spans="1:13">
      <c r="A1891" s="6" t="s">
        <v>3257</v>
      </c>
      <c r="B1891" s="6" t="s">
        <v>2029</v>
      </c>
      <c r="C1891" s="6" t="s">
        <v>3258</v>
      </c>
      <c r="D1891" s="6" t="s">
        <v>72</v>
      </c>
      <c r="E1891" s="6" t="s">
        <v>52</v>
      </c>
      <c r="F1891" s="6" t="s">
        <v>53</v>
      </c>
      <c r="G1891" s="6" t="s">
        <v>54</v>
      </c>
      <c r="H1891" s="6">
        <v>1</v>
      </c>
      <c r="I1891" s="6" t="s">
        <v>96</v>
      </c>
      <c r="J1891" s="6" t="s">
        <v>96</v>
      </c>
      <c r="K1891" s="6">
        <v>190</v>
      </c>
      <c r="L1891" s="6" t="s">
        <v>33</v>
      </c>
      <c r="M1891" s="6" t="s">
        <v>34</v>
      </c>
    </row>
    <row r="1892" spans="1:13">
      <c r="A1892" s="6" t="s">
        <v>3259</v>
      </c>
      <c r="B1892" s="7">
        <v>46093</v>
      </c>
      <c r="C1892" s="6" t="s">
        <v>3260</v>
      </c>
      <c r="D1892" s="6" t="s">
        <v>105</v>
      </c>
      <c r="E1892" s="6" t="s">
        <v>28</v>
      </c>
      <c r="F1892" s="6" t="s">
        <v>100</v>
      </c>
      <c r="G1892" s="6" t="s">
        <v>101</v>
      </c>
      <c r="H1892" s="6">
        <v>1</v>
      </c>
      <c r="I1892" s="6" t="s">
        <v>1004</v>
      </c>
      <c r="J1892" s="6" t="s">
        <v>265</v>
      </c>
      <c r="K1892" s="6">
        <v>640</v>
      </c>
      <c r="L1892" s="6" t="s">
        <v>42</v>
      </c>
      <c r="M1892" s="6" t="s">
        <v>34</v>
      </c>
    </row>
    <row r="1893" spans="1:13">
      <c r="A1893" s="6" t="s">
        <v>3261</v>
      </c>
      <c r="B1893" s="7">
        <v>46188</v>
      </c>
      <c r="C1893" s="6" t="s">
        <v>3262</v>
      </c>
      <c r="D1893" s="6" t="s">
        <v>45</v>
      </c>
      <c r="E1893" s="6" t="s">
        <v>78</v>
      </c>
      <c r="F1893" s="6" t="s">
        <v>100</v>
      </c>
      <c r="G1893" s="6" t="s">
        <v>101</v>
      </c>
      <c r="H1893" s="6">
        <v>1</v>
      </c>
      <c r="I1893" s="6" t="s">
        <v>265</v>
      </c>
      <c r="J1893" s="6" t="s">
        <v>265</v>
      </c>
      <c r="K1893" s="6" t="s">
        <v>119</v>
      </c>
      <c r="L1893" s="6" t="s">
        <v>42</v>
      </c>
      <c r="M1893" s="6" t="s">
        <v>34</v>
      </c>
    </row>
    <row r="1894" spans="1:13">
      <c r="A1894" s="6" t="s">
        <v>3263</v>
      </c>
      <c r="B1894" s="7">
        <v>46172</v>
      </c>
      <c r="C1894" s="6" t="s">
        <v>1362</v>
      </c>
      <c r="D1894" s="6" t="s">
        <v>127</v>
      </c>
      <c r="E1894" s="6" t="s">
        <v>52</v>
      </c>
      <c r="F1894" s="6" t="s">
        <v>29</v>
      </c>
      <c r="G1894" s="6" t="s">
        <v>30</v>
      </c>
      <c r="H1894" s="6">
        <v>2</v>
      </c>
      <c r="I1894" s="6" t="s">
        <v>67</v>
      </c>
      <c r="J1894" s="6" t="s">
        <v>708</v>
      </c>
      <c r="K1894" s="6" t="s">
        <v>41</v>
      </c>
      <c r="L1894" s="6" t="s">
        <v>33</v>
      </c>
      <c r="M1894" s="6" t="s">
        <v>34</v>
      </c>
    </row>
    <row r="1895" spans="1:13">
      <c r="A1895" s="6" t="s">
        <v>3264</v>
      </c>
      <c r="B1895" s="7">
        <v>46122</v>
      </c>
      <c r="C1895" s="6" t="s">
        <v>2171</v>
      </c>
      <c r="D1895" s="6" t="s">
        <v>64</v>
      </c>
      <c r="E1895" s="6" t="s">
        <v>46</v>
      </c>
      <c r="F1895" s="6" t="s">
        <v>38</v>
      </c>
      <c r="G1895" s="6" t="s">
        <v>39</v>
      </c>
      <c r="H1895" s="6">
        <v>1</v>
      </c>
      <c r="I1895" s="6" t="s">
        <v>143</v>
      </c>
      <c r="J1895" s="6" t="s">
        <v>143</v>
      </c>
      <c r="K1895" s="6">
        <v>520</v>
      </c>
      <c r="L1895" s="6" t="s">
        <v>42</v>
      </c>
      <c r="M1895" s="6" t="s">
        <v>34</v>
      </c>
    </row>
    <row r="1896" spans="1:13">
      <c r="A1896" s="6" t="s">
        <v>3265</v>
      </c>
      <c r="B1896" s="7">
        <v>46138</v>
      </c>
      <c r="C1896" s="6" t="s">
        <v>2671</v>
      </c>
      <c r="D1896" s="6" t="s">
        <v>127</v>
      </c>
      <c r="E1896" s="6" t="s">
        <v>52</v>
      </c>
      <c r="F1896" s="6" t="s">
        <v>53</v>
      </c>
      <c r="G1896" s="6" t="s">
        <v>54</v>
      </c>
      <c r="H1896" s="6">
        <v>2</v>
      </c>
      <c r="I1896" s="6" t="s">
        <v>2666</v>
      </c>
      <c r="J1896" s="6" t="s">
        <v>204</v>
      </c>
      <c r="K1896" s="6" t="s">
        <v>122</v>
      </c>
      <c r="L1896" s="6" t="s">
        <v>42</v>
      </c>
      <c r="M1896" s="6" t="s">
        <v>34</v>
      </c>
    </row>
    <row r="1897" spans="1:13">
      <c r="A1897" s="6" t="s">
        <v>3266</v>
      </c>
      <c r="B1897" s="7">
        <v>46149</v>
      </c>
      <c r="C1897" s="6" t="s">
        <v>1539</v>
      </c>
      <c r="D1897" s="6" t="s">
        <v>105</v>
      </c>
      <c r="E1897" s="6" t="s">
        <v>46</v>
      </c>
      <c r="F1897" s="6" t="s">
        <v>58</v>
      </c>
      <c r="G1897" s="6" t="s">
        <v>59</v>
      </c>
      <c r="H1897" s="6">
        <v>3</v>
      </c>
      <c r="I1897" s="6" t="s">
        <v>231</v>
      </c>
      <c r="J1897" s="6" t="s">
        <v>505</v>
      </c>
      <c r="K1897" s="6" t="s">
        <v>61</v>
      </c>
      <c r="L1897" s="6" t="s">
        <v>42</v>
      </c>
      <c r="M1897" s="6" t="s">
        <v>34</v>
      </c>
    </row>
    <row r="1898" spans="1:13">
      <c r="A1898" s="6" t="s">
        <v>3267</v>
      </c>
      <c r="B1898" s="7">
        <v>46199</v>
      </c>
      <c r="C1898" s="6" t="s">
        <v>3268</v>
      </c>
      <c r="D1898" s="6" t="s">
        <v>27</v>
      </c>
      <c r="E1898" s="6" t="s">
        <v>78</v>
      </c>
      <c r="F1898" s="6" t="s">
        <v>85</v>
      </c>
      <c r="G1898" s="6" t="s">
        <v>86</v>
      </c>
      <c r="H1898" s="6">
        <v>1</v>
      </c>
      <c r="I1898" s="6" t="s">
        <v>79</v>
      </c>
      <c r="J1898" s="6" t="s">
        <v>79</v>
      </c>
      <c r="K1898" s="6" t="s">
        <v>87</v>
      </c>
      <c r="L1898" s="6" t="s">
        <v>42</v>
      </c>
      <c r="M1898" s="6" t="s">
        <v>69</v>
      </c>
    </row>
    <row r="1899" spans="1:13">
      <c r="A1899" s="6" t="s">
        <v>3269</v>
      </c>
      <c r="B1899" s="7">
        <v>46144</v>
      </c>
      <c r="C1899" s="6" t="s">
        <v>1215</v>
      </c>
      <c r="D1899" s="6" t="s">
        <v>72</v>
      </c>
      <c r="E1899" s="6" t="s">
        <v>46</v>
      </c>
      <c r="F1899" s="6" t="s">
        <v>58</v>
      </c>
      <c r="G1899" s="6" t="s">
        <v>59</v>
      </c>
      <c r="H1899" s="6">
        <v>1</v>
      </c>
      <c r="I1899" s="6" t="s">
        <v>113</v>
      </c>
      <c r="J1899" s="6" t="s">
        <v>113</v>
      </c>
      <c r="K1899" s="6" t="s">
        <v>61</v>
      </c>
      <c r="L1899" s="6" t="s">
        <v>33</v>
      </c>
      <c r="M1899" s="6" t="s">
        <v>34</v>
      </c>
    </row>
    <row r="1900" spans="1:13">
      <c r="A1900" s="6" t="s">
        <v>3270</v>
      </c>
      <c r="B1900" s="7">
        <v>46056</v>
      </c>
      <c r="C1900" s="6" t="s">
        <v>1390</v>
      </c>
      <c r="D1900" s="6" t="s">
        <v>27</v>
      </c>
      <c r="E1900" s="6" t="s">
        <v>37</v>
      </c>
      <c r="F1900" s="6" t="s">
        <v>85</v>
      </c>
      <c r="G1900" s="6" t="s">
        <v>86</v>
      </c>
      <c r="H1900" s="6">
        <v>1</v>
      </c>
      <c r="I1900" s="6" t="s">
        <v>79</v>
      </c>
      <c r="J1900" s="6" t="s">
        <v>79</v>
      </c>
      <c r="K1900" s="6">
        <v>410</v>
      </c>
      <c r="L1900" s="6" t="s">
        <v>42</v>
      </c>
      <c r="M1900" s="6" t="s">
        <v>34</v>
      </c>
    </row>
    <row r="1901" spans="1:13">
      <c r="A1901" s="6" t="s">
        <v>3271</v>
      </c>
      <c r="B1901" s="7">
        <v>46041</v>
      </c>
      <c r="C1901" s="6" t="s">
        <v>2861</v>
      </c>
      <c r="D1901" s="6" t="s">
        <v>77</v>
      </c>
      <c r="E1901" s="6" t="s">
        <v>46</v>
      </c>
      <c r="F1901" s="6" t="s">
        <v>47</v>
      </c>
      <c r="G1901" s="6" t="s">
        <v>48</v>
      </c>
      <c r="H1901" s="6">
        <v>1</v>
      </c>
      <c r="I1901" s="6" t="s">
        <v>67</v>
      </c>
      <c r="J1901" s="6" t="s">
        <v>67</v>
      </c>
      <c r="K1901" s="6">
        <v>85</v>
      </c>
      <c r="L1901" s="6" t="s">
        <v>42</v>
      </c>
      <c r="M1901" s="6" t="s">
        <v>34</v>
      </c>
    </row>
    <row r="1902" spans="1:13">
      <c r="A1902" s="6" t="s">
        <v>3272</v>
      </c>
      <c r="B1902" s="7">
        <v>46065</v>
      </c>
      <c r="C1902" s="6" t="s">
        <v>2121</v>
      </c>
      <c r="D1902" s="6" t="s">
        <v>105</v>
      </c>
      <c r="E1902" s="6" t="s">
        <v>52</v>
      </c>
      <c r="F1902" s="6" t="s">
        <v>85</v>
      </c>
      <c r="G1902" s="6" t="s">
        <v>86</v>
      </c>
      <c r="H1902" s="6">
        <v>1</v>
      </c>
      <c r="I1902" s="6" t="s">
        <v>67</v>
      </c>
      <c r="J1902" s="6" t="s">
        <v>67</v>
      </c>
      <c r="K1902" s="6">
        <v>410</v>
      </c>
      <c r="L1902" s="6" t="s">
        <v>33</v>
      </c>
      <c r="M1902" s="6" t="s">
        <v>34</v>
      </c>
    </row>
    <row r="1903" spans="1:13">
      <c r="A1903" s="6" t="s">
        <v>3273</v>
      </c>
      <c r="B1903" s="7">
        <v>46059</v>
      </c>
      <c r="C1903" s="6" t="s">
        <v>3035</v>
      </c>
      <c r="D1903" s="6" t="s">
        <v>127</v>
      </c>
      <c r="E1903" s="6" t="s">
        <v>28</v>
      </c>
      <c r="F1903" s="6" t="s">
        <v>38</v>
      </c>
      <c r="G1903" s="6" t="s">
        <v>39</v>
      </c>
      <c r="H1903" s="6">
        <v>1</v>
      </c>
      <c r="I1903" s="6" t="s">
        <v>231</v>
      </c>
      <c r="J1903" s="6" t="s">
        <v>231</v>
      </c>
      <c r="K1903" s="6">
        <v>520</v>
      </c>
      <c r="L1903" s="6" t="s">
        <v>42</v>
      </c>
      <c r="M1903" s="6" t="s">
        <v>34</v>
      </c>
    </row>
    <row r="1904" spans="1:13">
      <c r="A1904" s="6" t="s">
        <v>3274</v>
      </c>
      <c r="B1904" s="7">
        <v>46047</v>
      </c>
      <c r="C1904" s="6" t="s">
        <v>1925</v>
      </c>
      <c r="D1904" s="6" t="s">
        <v>105</v>
      </c>
      <c r="E1904" s="6" t="s">
        <v>46</v>
      </c>
      <c r="F1904" s="6" t="s">
        <v>58</v>
      </c>
      <c r="G1904" s="6" t="s">
        <v>59</v>
      </c>
      <c r="H1904" s="6">
        <v>1</v>
      </c>
      <c r="I1904" s="6" t="s">
        <v>231</v>
      </c>
      <c r="J1904" s="6" t="s">
        <v>231</v>
      </c>
      <c r="K1904" s="6">
        <v>380</v>
      </c>
      <c r="L1904" s="6" t="s">
        <v>42</v>
      </c>
      <c r="M1904" s="6" t="s">
        <v>34</v>
      </c>
    </row>
    <row r="1905" spans="1:13">
      <c r="A1905" s="6" t="s">
        <v>3275</v>
      </c>
      <c r="B1905" s="7">
        <v>46207</v>
      </c>
      <c r="C1905" s="6" t="s">
        <v>3160</v>
      </c>
      <c r="D1905" s="6" t="s">
        <v>72</v>
      </c>
      <c r="E1905" s="6" t="s">
        <v>46</v>
      </c>
      <c r="F1905" s="6" t="s">
        <v>100</v>
      </c>
      <c r="G1905" s="6" t="s">
        <v>101</v>
      </c>
      <c r="H1905" s="6">
        <v>-2</v>
      </c>
      <c r="I1905" s="6" t="s">
        <v>82</v>
      </c>
      <c r="J1905" s="8" t="s">
        <v>616</v>
      </c>
      <c r="K1905" s="6">
        <v>640</v>
      </c>
      <c r="L1905" s="6" t="s">
        <v>42</v>
      </c>
      <c r="M1905" s="6" t="s">
        <v>34</v>
      </c>
    </row>
    <row r="1906" spans="1:13">
      <c r="A1906" s="6" t="s">
        <v>3276</v>
      </c>
      <c r="B1906" s="7">
        <v>46127</v>
      </c>
      <c r="C1906" s="6" t="s">
        <v>1139</v>
      </c>
      <c r="D1906" s="6" t="s">
        <v>72</v>
      </c>
      <c r="E1906" s="6" t="s">
        <v>28</v>
      </c>
      <c r="F1906" s="6" t="s">
        <v>58</v>
      </c>
      <c r="G1906" s="6" t="s">
        <v>59</v>
      </c>
      <c r="H1906" s="6">
        <v>2</v>
      </c>
      <c r="I1906" s="6" t="s">
        <v>265</v>
      </c>
      <c r="J1906" s="6" t="s">
        <v>167</v>
      </c>
      <c r="K1906" s="6">
        <v>380</v>
      </c>
      <c r="L1906" s="6" t="s">
        <v>42</v>
      </c>
      <c r="M1906" s="6" t="s">
        <v>34</v>
      </c>
    </row>
    <row r="1907" spans="1:13">
      <c r="A1907" s="6" t="s">
        <v>3277</v>
      </c>
      <c r="B1907" s="7">
        <v>46078</v>
      </c>
      <c r="C1907" s="6" t="s">
        <v>2065</v>
      </c>
      <c r="D1907" s="6" t="s">
        <v>127</v>
      </c>
      <c r="E1907" s="6" t="s">
        <v>37</v>
      </c>
      <c r="F1907" s="6" t="s">
        <v>100</v>
      </c>
      <c r="G1907" s="6" t="s">
        <v>101</v>
      </c>
      <c r="H1907" s="6">
        <v>1</v>
      </c>
      <c r="I1907" s="6" t="s">
        <v>90</v>
      </c>
      <c r="J1907" s="6" t="s">
        <v>90</v>
      </c>
      <c r="K1907" s="6">
        <v>640</v>
      </c>
      <c r="L1907" s="6" t="s">
        <v>42</v>
      </c>
      <c r="M1907" s="6" t="s">
        <v>34</v>
      </c>
    </row>
    <row r="1908" spans="1:13">
      <c r="A1908" s="6" t="s">
        <v>3278</v>
      </c>
      <c r="B1908" s="7">
        <v>46083</v>
      </c>
      <c r="C1908" s="6" t="s">
        <v>2280</v>
      </c>
      <c r="D1908" s="6" t="s">
        <v>27</v>
      </c>
      <c r="E1908" s="6" t="s">
        <v>78</v>
      </c>
      <c r="F1908" s="6" t="s">
        <v>85</v>
      </c>
      <c r="G1908" s="6" t="s">
        <v>86</v>
      </c>
      <c r="H1908" s="6">
        <v>1</v>
      </c>
      <c r="I1908" s="6" t="s">
        <v>117</v>
      </c>
      <c r="J1908" s="6" t="s">
        <v>1281</v>
      </c>
      <c r="K1908" s="6">
        <v>410</v>
      </c>
      <c r="L1908" s="6" t="s">
        <v>42</v>
      </c>
      <c r="M1908" s="6" t="s">
        <v>69</v>
      </c>
    </row>
    <row r="1909" spans="1:13">
      <c r="A1909" s="6" t="s">
        <v>3279</v>
      </c>
      <c r="B1909" s="7">
        <v>46053</v>
      </c>
      <c r="C1909" s="6" t="s">
        <v>1775</v>
      </c>
      <c r="D1909" s="6" t="s">
        <v>110</v>
      </c>
      <c r="E1909" s="6" t="s">
        <v>46</v>
      </c>
      <c r="F1909" s="6" t="s">
        <v>85</v>
      </c>
      <c r="G1909" s="6" t="s">
        <v>86</v>
      </c>
      <c r="H1909" s="6">
        <v>1</v>
      </c>
      <c r="I1909" s="6" t="s">
        <v>147</v>
      </c>
      <c r="J1909" s="6" t="s">
        <v>2364</v>
      </c>
      <c r="K1909" s="6">
        <v>410</v>
      </c>
      <c r="L1909" s="6" t="s">
        <v>42</v>
      </c>
      <c r="M1909" s="6" t="s">
        <v>34</v>
      </c>
    </row>
    <row r="1910" spans="1:13">
      <c r="A1910" s="6" t="s">
        <v>3280</v>
      </c>
      <c r="B1910" s="7">
        <v>46206</v>
      </c>
      <c r="C1910" s="6" t="s">
        <v>3281</v>
      </c>
      <c r="D1910" s="6" t="s">
        <v>105</v>
      </c>
      <c r="E1910" s="6" t="s">
        <v>37</v>
      </c>
      <c r="F1910" s="6" t="s">
        <v>47</v>
      </c>
      <c r="G1910" s="6" t="s">
        <v>48</v>
      </c>
      <c r="H1910" s="6">
        <v>1</v>
      </c>
      <c r="I1910" s="6" t="s">
        <v>73</v>
      </c>
      <c r="J1910" s="6" t="s">
        <v>73</v>
      </c>
      <c r="K1910" s="6" t="s">
        <v>49</v>
      </c>
      <c r="L1910" s="6" t="s">
        <v>42</v>
      </c>
      <c r="M1910" s="6" t="s">
        <v>69</v>
      </c>
    </row>
    <row r="1911" spans="1:13">
      <c r="A1911" s="6" t="s">
        <v>3282</v>
      </c>
      <c r="B1911" s="7">
        <v>46157</v>
      </c>
      <c r="C1911" s="6" t="s">
        <v>3197</v>
      </c>
      <c r="D1911" s="6" t="s">
        <v>45</v>
      </c>
      <c r="E1911" s="6" t="s">
        <v>28</v>
      </c>
      <c r="F1911" s="6" t="s">
        <v>100</v>
      </c>
      <c r="G1911" s="6" t="s">
        <v>101</v>
      </c>
      <c r="H1911" s="6">
        <v>2</v>
      </c>
      <c r="I1911" s="6" t="s">
        <v>113</v>
      </c>
      <c r="J1911" s="6" t="s">
        <v>192</v>
      </c>
      <c r="K1911" s="6" t="s">
        <v>119</v>
      </c>
      <c r="L1911" s="6" t="s">
        <v>42</v>
      </c>
      <c r="M1911" s="6" t="s">
        <v>34</v>
      </c>
    </row>
    <row r="1912" spans="1:13">
      <c r="A1912" s="6" t="s">
        <v>3283</v>
      </c>
      <c r="B1912" s="7">
        <v>46145</v>
      </c>
      <c r="C1912" s="6" t="s">
        <v>3093</v>
      </c>
      <c r="D1912" s="6" t="s">
        <v>45</v>
      </c>
      <c r="E1912" s="6" t="s">
        <v>28</v>
      </c>
      <c r="F1912" s="6" t="s">
        <v>53</v>
      </c>
      <c r="G1912" s="6" t="s">
        <v>54</v>
      </c>
      <c r="H1912" s="6">
        <v>3</v>
      </c>
      <c r="I1912" s="6" t="s">
        <v>113</v>
      </c>
      <c r="J1912" s="6" t="s">
        <v>138</v>
      </c>
      <c r="K1912" s="6" t="s">
        <v>122</v>
      </c>
      <c r="L1912" s="6" t="s">
        <v>42</v>
      </c>
      <c r="M1912" s="6" t="s">
        <v>34</v>
      </c>
    </row>
    <row r="1913" spans="1:13">
      <c r="A1913" s="6" t="s">
        <v>3284</v>
      </c>
      <c r="B1913" s="7">
        <v>46157</v>
      </c>
      <c r="C1913" s="6" t="s">
        <v>1795</v>
      </c>
      <c r="D1913" s="6" t="s">
        <v>27</v>
      </c>
      <c r="E1913" s="6" t="s">
        <v>78</v>
      </c>
      <c r="F1913" s="6" t="s">
        <v>100</v>
      </c>
      <c r="G1913" s="6" t="s">
        <v>101</v>
      </c>
      <c r="H1913" s="6">
        <v>1</v>
      </c>
      <c r="I1913" s="6" t="s">
        <v>143</v>
      </c>
      <c r="J1913" s="6" t="s">
        <v>143</v>
      </c>
      <c r="K1913" s="6" t="s">
        <v>119</v>
      </c>
      <c r="L1913" s="6" t="s">
        <v>42</v>
      </c>
      <c r="M1913" s="6" t="s">
        <v>34</v>
      </c>
    </row>
    <row r="1914" spans="1:13">
      <c r="A1914" s="6" t="s">
        <v>3285</v>
      </c>
      <c r="B1914" s="7">
        <v>46054</v>
      </c>
      <c r="C1914" s="6" t="s">
        <v>2280</v>
      </c>
      <c r="D1914" s="6" t="s">
        <v>72</v>
      </c>
      <c r="E1914" s="6" t="s">
        <v>52</v>
      </c>
      <c r="F1914" s="6" t="s">
        <v>85</v>
      </c>
      <c r="G1914" s="6" t="s">
        <v>86</v>
      </c>
      <c r="H1914" s="6">
        <v>3</v>
      </c>
      <c r="I1914" s="6" t="s">
        <v>147</v>
      </c>
      <c r="J1914" s="6" t="s">
        <v>148</v>
      </c>
      <c r="K1914" s="6">
        <v>410</v>
      </c>
      <c r="L1914" s="6" t="s">
        <v>42</v>
      </c>
      <c r="M1914" s="6" t="s">
        <v>69</v>
      </c>
    </row>
    <row r="1915" spans="1:13">
      <c r="A1915" s="6" t="s">
        <v>3286</v>
      </c>
      <c r="B1915" s="7">
        <v>46166</v>
      </c>
      <c r="C1915" s="6" t="s">
        <v>153</v>
      </c>
      <c r="D1915" s="6" t="s">
        <v>110</v>
      </c>
      <c r="E1915" s="6" t="s">
        <v>78</v>
      </c>
      <c r="F1915" s="6" t="s">
        <v>53</v>
      </c>
      <c r="G1915" s="6" t="s">
        <v>54</v>
      </c>
      <c r="H1915" s="6">
        <v>3</v>
      </c>
      <c r="I1915" s="6" t="s">
        <v>265</v>
      </c>
      <c r="J1915" s="6" t="s">
        <v>401</v>
      </c>
      <c r="K1915" s="6" t="s">
        <v>122</v>
      </c>
      <c r="L1915" s="6" t="s">
        <v>33</v>
      </c>
      <c r="M1915" s="6" t="s">
        <v>34</v>
      </c>
    </row>
    <row r="1916" spans="1:13">
      <c r="A1916" s="6" t="s">
        <v>3287</v>
      </c>
      <c r="B1916" s="7">
        <v>46107</v>
      </c>
      <c r="C1916" s="6" t="s">
        <v>3288</v>
      </c>
      <c r="D1916" s="6" t="s">
        <v>127</v>
      </c>
      <c r="E1916" s="6" t="s">
        <v>78</v>
      </c>
      <c r="F1916" s="6" t="s">
        <v>100</v>
      </c>
      <c r="G1916" s="6" t="s">
        <v>101</v>
      </c>
      <c r="H1916" s="6">
        <v>1</v>
      </c>
      <c r="I1916" s="6" t="s">
        <v>67</v>
      </c>
      <c r="J1916" s="6" t="s">
        <v>67</v>
      </c>
      <c r="K1916" s="6">
        <v>640</v>
      </c>
      <c r="L1916" s="6" t="s">
        <v>42</v>
      </c>
      <c r="M1916" s="6" t="s">
        <v>34</v>
      </c>
    </row>
    <row r="1917" spans="1:13">
      <c r="A1917" s="6" t="s">
        <v>3289</v>
      </c>
      <c r="B1917" s="6" t="s">
        <v>925</v>
      </c>
      <c r="C1917" s="6" t="s">
        <v>412</v>
      </c>
      <c r="D1917" s="6" t="s">
        <v>45</v>
      </c>
      <c r="E1917" s="6" t="s">
        <v>28</v>
      </c>
      <c r="F1917" s="6" t="s">
        <v>58</v>
      </c>
      <c r="G1917" s="6" t="s">
        <v>59</v>
      </c>
      <c r="H1917" s="6">
        <v>2</v>
      </c>
      <c r="I1917" s="6" t="s">
        <v>181</v>
      </c>
      <c r="J1917" s="6" t="s">
        <v>163</v>
      </c>
      <c r="K1917" s="6" t="s">
        <v>61</v>
      </c>
      <c r="L1917" s="6" t="s">
        <v>42</v>
      </c>
      <c r="M1917" s="6" t="s">
        <v>69</v>
      </c>
    </row>
    <row r="1918" spans="1:13">
      <c r="A1918" s="6" t="s">
        <v>3290</v>
      </c>
      <c r="B1918" s="7">
        <v>46126</v>
      </c>
      <c r="C1918" s="6" t="s">
        <v>3181</v>
      </c>
      <c r="D1918" s="6" t="s">
        <v>27</v>
      </c>
      <c r="E1918" s="6" t="s">
        <v>46</v>
      </c>
      <c r="F1918" s="6" t="s">
        <v>29</v>
      </c>
      <c r="G1918" s="6" t="s">
        <v>30</v>
      </c>
      <c r="H1918" s="6">
        <v>2</v>
      </c>
      <c r="I1918" s="6" t="s">
        <v>265</v>
      </c>
      <c r="J1918" s="6" t="s">
        <v>167</v>
      </c>
      <c r="K1918" s="6">
        <v>520</v>
      </c>
      <c r="L1918" s="6" t="s">
        <v>42</v>
      </c>
      <c r="M1918" s="6" t="s">
        <v>34</v>
      </c>
    </row>
    <row r="1919" spans="1:13">
      <c r="A1919" s="6" t="s">
        <v>3291</v>
      </c>
      <c r="B1919" s="7">
        <v>46134</v>
      </c>
      <c r="C1919" s="6" t="s">
        <v>2126</v>
      </c>
      <c r="D1919" s="6" t="s">
        <v>77</v>
      </c>
      <c r="E1919" s="6" t="s">
        <v>37</v>
      </c>
      <c r="F1919" s="6" t="s">
        <v>100</v>
      </c>
      <c r="G1919" s="6" t="s">
        <v>101</v>
      </c>
      <c r="H1919" s="6">
        <v>1</v>
      </c>
      <c r="I1919" s="6" t="s">
        <v>60</v>
      </c>
      <c r="J1919" s="6" t="s">
        <v>60</v>
      </c>
      <c r="K1919" s="6" t="s">
        <v>119</v>
      </c>
      <c r="L1919" s="6" t="s">
        <v>42</v>
      </c>
      <c r="M1919" s="6" t="s">
        <v>34</v>
      </c>
    </row>
    <row r="1920" spans="1:13">
      <c r="A1920" s="6" t="s">
        <v>3292</v>
      </c>
      <c r="B1920" s="7">
        <v>46056</v>
      </c>
      <c r="C1920" s="6" t="s">
        <v>3293</v>
      </c>
      <c r="D1920" s="6" t="s">
        <v>64</v>
      </c>
      <c r="E1920" s="6" t="s">
        <v>37</v>
      </c>
      <c r="F1920" s="6" t="s">
        <v>38</v>
      </c>
      <c r="G1920" s="6" t="s">
        <v>39</v>
      </c>
      <c r="H1920" s="6">
        <v>-3</v>
      </c>
      <c r="I1920" s="6" t="s">
        <v>231</v>
      </c>
      <c r="J1920" s="8" t="s">
        <v>3294</v>
      </c>
      <c r="K1920" s="6">
        <v>520</v>
      </c>
      <c r="L1920" s="6" t="s">
        <v>42</v>
      </c>
      <c r="M1920" s="6" t="s">
        <v>34</v>
      </c>
    </row>
    <row r="1921" spans="1:13">
      <c r="A1921" s="6" t="s">
        <v>3295</v>
      </c>
      <c r="B1921" s="7">
        <v>46053</v>
      </c>
      <c r="C1921" s="6" t="s">
        <v>761</v>
      </c>
      <c r="D1921" s="6" t="s">
        <v>45</v>
      </c>
      <c r="E1921" s="6" t="s">
        <v>37</v>
      </c>
      <c r="F1921" s="6" t="s">
        <v>100</v>
      </c>
      <c r="G1921" s="6" t="s">
        <v>101</v>
      </c>
      <c r="H1921" s="6">
        <v>3</v>
      </c>
      <c r="I1921" s="6" t="s">
        <v>143</v>
      </c>
      <c r="J1921" s="6" t="s">
        <v>243</v>
      </c>
      <c r="K1921" s="6">
        <v>640</v>
      </c>
      <c r="L1921" s="6" t="s">
        <v>42</v>
      </c>
      <c r="M1921" s="6" t="s">
        <v>69</v>
      </c>
    </row>
    <row r="1922" spans="1:13">
      <c r="A1922" s="6" t="s">
        <v>3296</v>
      </c>
      <c r="B1922" s="7">
        <v>46091</v>
      </c>
      <c r="C1922" s="6" t="s">
        <v>873</v>
      </c>
      <c r="D1922" s="6" t="s">
        <v>105</v>
      </c>
      <c r="E1922" s="6" t="s">
        <v>46</v>
      </c>
      <c r="F1922" s="6" t="s">
        <v>53</v>
      </c>
      <c r="G1922" s="6" t="s">
        <v>54</v>
      </c>
      <c r="H1922" s="6">
        <v>1</v>
      </c>
      <c r="I1922" s="6" t="s">
        <v>143</v>
      </c>
      <c r="J1922" s="6" t="s">
        <v>143</v>
      </c>
      <c r="K1922" s="6">
        <v>190</v>
      </c>
      <c r="L1922" s="6" t="s">
        <v>42</v>
      </c>
      <c r="M1922" s="6" t="s">
        <v>34</v>
      </c>
    </row>
    <row r="1923" spans="1:13">
      <c r="A1923" s="6" t="s">
        <v>3297</v>
      </c>
      <c r="B1923" s="7">
        <v>46050</v>
      </c>
      <c r="C1923" s="6" t="s">
        <v>2534</v>
      </c>
      <c r="D1923" s="6" t="s">
        <v>105</v>
      </c>
      <c r="E1923" s="6" t="s">
        <v>52</v>
      </c>
      <c r="F1923" s="6" t="s">
        <v>53</v>
      </c>
      <c r="G1923" s="6" t="s">
        <v>54</v>
      </c>
      <c r="H1923" s="6">
        <v>1</v>
      </c>
      <c r="I1923" s="6" t="s">
        <v>113</v>
      </c>
      <c r="J1923" s="6" t="s">
        <v>113</v>
      </c>
      <c r="K1923" s="6">
        <v>190</v>
      </c>
      <c r="L1923" s="6" t="s">
        <v>42</v>
      </c>
      <c r="M1923" s="6" t="s">
        <v>34</v>
      </c>
    </row>
    <row r="1924" spans="1:13">
      <c r="A1924" s="6" t="s">
        <v>3298</v>
      </c>
      <c r="B1924" s="7">
        <v>46051</v>
      </c>
      <c r="C1924" s="6" t="s">
        <v>3299</v>
      </c>
      <c r="D1924" s="6" t="s">
        <v>77</v>
      </c>
      <c r="E1924" s="6" t="s">
        <v>78</v>
      </c>
      <c r="F1924" s="6" t="s">
        <v>29</v>
      </c>
      <c r="G1924" s="6" t="s">
        <v>30</v>
      </c>
      <c r="H1924" s="6">
        <v>1</v>
      </c>
      <c r="I1924" s="6" t="s">
        <v>113</v>
      </c>
      <c r="J1924" s="6" t="s">
        <v>113</v>
      </c>
      <c r="K1924" s="6">
        <v>520</v>
      </c>
      <c r="L1924" s="6" t="s">
        <v>42</v>
      </c>
      <c r="M1924" s="6" t="s">
        <v>34</v>
      </c>
    </row>
    <row r="1925" spans="1:13">
      <c r="A1925" s="6" t="s">
        <v>3300</v>
      </c>
      <c r="B1925" s="7">
        <v>46175</v>
      </c>
      <c r="C1925" s="6" t="s">
        <v>2247</v>
      </c>
      <c r="D1925" s="6" t="s">
        <v>127</v>
      </c>
      <c r="E1925" s="6" t="s">
        <v>37</v>
      </c>
      <c r="F1925" s="6" t="s">
        <v>38</v>
      </c>
      <c r="G1925" s="6" t="s">
        <v>39</v>
      </c>
      <c r="H1925" s="6">
        <v>1</v>
      </c>
      <c r="I1925" s="6" t="s">
        <v>117</v>
      </c>
      <c r="J1925" s="6" t="s">
        <v>117</v>
      </c>
      <c r="K1925" s="6" t="s">
        <v>41</v>
      </c>
      <c r="L1925" s="6" t="s">
        <v>42</v>
      </c>
      <c r="M1925" s="6" t="s">
        <v>34</v>
      </c>
    </row>
    <row r="1926" spans="1:13">
      <c r="A1926" s="6" t="s">
        <v>3301</v>
      </c>
      <c r="B1926" s="6" t="s">
        <v>3302</v>
      </c>
      <c r="C1926" s="6" t="s">
        <v>938</v>
      </c>
      <c r="D1926" s="6" t="s">
        <v>57</v>
      </c>
      <c r="E1926" s="6" t="s">
        <v>37</v>
      </c>
      <c r="F1926" s="6" t="s">
        <v>94</v>
      </c>
      <c r="G1926" s="6" t="s">
        <v>95</v>
      </c>
      <c r="H1926" s="6">
        <v>1</v>
      </c>
      <c r="I1926" s="6" t="s">
        <v>73</v>
      </c>
      <c r="J1926" s="6" t="s">
        <v>73</v>
      </c>
      <c r="K1926" s="6" t="s">
        <v>114</v>
      </c>
      <c r="L1926" s="6" t="s">
        <v>42</v>
      </c>
      <c r="M1926" s="6" t="s">
        <v>34</v>
      </c>
    </row>
    <row r="1927" spans="1:13">
      <c r="A1927" s="6" t="s">
        <v>3303</v>
      </c>
      <c r="B1927" s="7">
        <v>46059</v>
      </c>
      <c r="C1927" s="6" t="s">
        <v>3304</v>
      </c>
      <c r="D1927" s="6" t="s">
        <v>57</v>
      </c>
      <c r="E1927" s="6" t="s">
        <v>52</v>
      </c>
      <c r="F1927" s="6" t="s">
        <v>29</v>
      </c>
      <c r="G1927" s="6" t="s">
        <v>30</v>
      </c>
      <c r="H1927" s="6">
        <v>1</v>
      </c>
      <c r="I1927" s="6" t="s">
        <v>90</v>
      </c>
      <c r="J1927" s="6" t="s">
        <v>90</v>
      </c>
      <c r="K1927" s="6">
        <v>520</v>
      </c>
      <c r="L1927" s="6" t="s">
        <v>33</v>
      </c>
      <c r="M1927" s="6" t="s">
        <v>34</v>
      </c>
    </row>
    <row r="1928" spans="1:13">
      <c r="A1928" s="6" t="s">
        <v>3305</v>
      </c>
      <c r="B1928" s="7">
        <v>46118</v>
      </c>
      <c r="C1928" s="6" t="s">
        <v>191</v>
      </c>
      <c r="D1928" s="6" t="s">
        <v>27</v>
      </c>
      <c r="E1928" s="6" t="s">
        <v>28</v>
      </c>
      <c r="F1928" s="6" t="s">
        <v>38</v>
      </c>
      <c r="G1928" s="6" t="s">
        <v>39</v>
      </c>
      <c r="H1928" s="6">
        <v>2</v>
      </c>
      <c r="I1928" s="6" t="s">
        <v>143</v>
      </c>
      <c r="J1928" s="6" t="s">
        <v>144</v>
      </c>
      <c r="K1928" s="6">
        <v>520</v>
      </c>
      <c r="L1928" s="6" t="s">
        <v>33</v>
      </c>
      <c r="M1928" s="6" t="s">
        <v>34</v>
      </c>
    </row>
    <row r="1929" spans="1:13">
      <c r="A1929" s="6" t="s">
        <v>3306</v>
      </c>
      <c r="B1929" s="7">
        <v>46125</v>
      </c>
      <c r="C1929" s="6" t="s">
        <v>186</v>
      </c>
      <c r="D1929" s="6" t="s">
        <v>110</v>
      </c>
      <c r="E1929" s="6" t="s">
        <v>46</v>
      </c>
      <c r="F1929" s="6" t="s">
        <v>94</v>
      </c>
      <c r="G1929" s="6" t="s">
        <v>95</v>
      </c>
      <c r="H1929" s="6">
        <v>1</v>
      </c>
      <c r="I1929" s="6" t="s">
        <v>265</v>
      </c>
      <c r="J1929" s="6" t="s">
        <v>265</v>
      </c>
      <c r="K1929" s="6">
        <v>340</v>
      </c>
      <c r="L1929" s="6" t="s">
        <v>42</v>
      </c>
      <c r="M1929" s="6" t="s">
        <v>34</v>
      </c>
    </row>
    <row r="1930" spans="1:13">
      <c r="A1930" s="6" t="s">
        <v>3307</v>
      </c>
      <c r="B1930" s="7">
        <v>46194</v>
      </c>
      <c r="C1930" s="6" t="s">
        <v>696</v>
      </c>
      <c r="D1930" s="6" t="s">
        <v>105</v>
      </c>
      <c r="E1930" s="6" t="s">
        <v>28</v>
      </c>
      <c r="F1930" s="6" t="s">
        <v>85</v>
      </c>
      <c r="G1930" s="6" t="s">
        <v>86</v>
      </c>
      <c r="H1930" s="6">
        <v>1</v>
      </c>
      <c r="I1930" s="6" t="s">
        <v>60</v>
      </c>
      <c r="J1930" s="6" t="s">
        <v>60</v>
      </c>
      <c r="K1930" s="6" t="s">
        <v>87</v>
      </c>
      <c r="L1930" s="6" t="s">
        <v>42</v>
      </c>
      <c r="M1930" s="6" t="s">
        <v>34</v>
      </c>
    </row>
    <row r="1931" spans="1:13">
      <c r="A1931" s="6" t="s">
        <v>3308</v>
      </c>
      <c r="B1931" s="7">
        <v>46174</v>
      </c>
      <c r="C1931" s="6" t="s">
        <v>2016</v>
      </c>
      <c r="D1931" s="6" t="s">
        <v>110</v>
      </c>
      <c r="E1931" s="6" t="s">
        <v>78</v>
      </c>
      <c r="F1931" s="6" t="s">
        <v>38</v>
      </c>
      <c r="G1931" s="6" t="s">
        <v>39</v>
      </c>
      <c r="H1931" s="6">
        <v>1</v>
      </c>
      <c r="I1931" s="6" t="s">
        <v>79</v>
      </c>
      <c r="J1931" s="6" t="s">
        <v>79</v>
      </c>
      <c r="K1931" s="6" t="s">
        <v>41</v>
      </c>
      <c r="L1931" s="6" t="s">
        <v>33</v>
      </c>
      <c r="M1931" s="6" t="s">
        <v>34</v>
      </c>
    </row>
    <row r="1932" spans="1:13">
      <c r="A1932" s="6" t="s">
        <v>3309</v>
      </c>
      <c r="B1932" s="6" t="s">
        <v>481</v>
      </c>
      <c r="C1932" s="6" t="s">
        <v>735</v>
      </c>
      <c r="D1932" s="6" t="s">
        <v>72</v>
      </c>
      <c r="E1932" s="6" t="s">
        <v>28</v>
      </c>
      <c r="F1932" s="6" t="s">
        <v>53</v>
      </c>
      <c r="G1932" s="6" t="s">
        <v>54</v>
      </c>
      <c r="H1932" s="6">
        <v>2</v>
      </c>
      <c r="I1932" s="6" t="s">
        <v>143</v>
      </c>
      <c r="J1932" s="6" t="s">
        <v>144</v>
      </c>
      <c r="K1932" s="6">
        <v>190</v>
      </c>
      <c r="L1932" s="6" t="s">
        <v>42</v>
      </c>
      <c r="M1932" s="6" t="s">
        <v>69</v>
      </c>
    </row>
    <row r="1933" spans="1:13">
      <c r="A1933" s="6" t="s">
        <v>3310</v>
      </c>
      <c r="B1933" s="7">
        <v>46043</v>
      </c>
      <c r="C1933" s="6" t="s">
        <v>1889</v>
      </c>
      <c r="D1933" s="6" t="s">
        <v>45</v>
      </c>
      <c r="E1933" s="6" t="s">
        <v>78</v>
      </c>
      <c r="F1933" s="6" t="s">
        <v>29</v>
      </c>
      <c r="G1933" s="6" t="s">
        <v>30</v>
      </c>
      <c r="H1933" s="6">
        <v>1</v>
      </c>
      <c r="I1933" s="6" t="s">
        <v>73</v>
      </c>
      <c r="J1933" s="6" t="s">
        <v>73</v>
      </c>
      <c r="K1933" s="6">
        <v>520</v>
      </c>
      <c r="L1933" s="6" t="s">
        <v>42</v>
      </c>
      <c r="M1933" s="6" t="s">
        <v>34</v>
      </c>
    </row>
    <row r="1934" spans="1:13">
      <c r="A1934" s="6" t="s">
        <v>3311</v>
      </c>
      <c r="B1934" s="7">
        <v>46150</v>
      </c>
      <c r="C1934" s="6" t="s">
        <v>3312</v>
      </c>
      <c r="D1934" s="6" t="s">
        <v>127</v>
      </c>
      <c r="E1934" s="6" t="s">
        <v>78</v>
      </c>
      <c r="F1934" s="6" t="s">
        <v>47</v>
      </c>
      <c r="G1934" s="6" t="s">
        <v>48</v>
      </c>
      <c r="H1934" s="6">
        <v>1</v>
      </c>
      <c r="I1934" s="6" t="s">
        <v>79</v>
      </c>
      <c r="J1934" s="6" t="s">
        <v>79</v>
      </c>
      <c r="K1934" s="6" t="s">
        <v>49</v>
      </c>
      <c r="L1934" s="6" t="s">
        <v>42</v>
      </c>
      <c r="M1934" s="6" t="s">
        <v>69</v>
      </c>
    </row>
    <row r="1935" spans="1:13">
      <c r="A1935" s="6" t="s">
        <v>3313</v>
      </c>
      <c r="B1935" s="7">
        <v>46119</v>
      </c>
      <c r="C1935" s="6" t="s">
        <v>3314</v>
      </c>
      <c r="D1935" s="6" t="s">
        <v>110</v>
      </c>
      <c r="E1935" s="6" t="s">
        <v>78</v>
      </c>
      <c r="F1935" s="6" t="s">
        <v>100</v>
      </c>
      <c r="G1935" s="6" t="s">
        <v>101</v>
      </c>
      <c r="H1935" s="6">
        <v>1</v>
      </c>
      <c r="I1935" s="6" t="s">
        <v>67</v>
      </c>
      <c r="J1935" s="6" t="s">
        <v>67</v>
      </c>
      <c r="K1935" s="6">
        <v>640</v>
      </c>
      <c r="L1935" s="6" t="s">
        <v>42</v>
      </c>
      <c r="M1935" s="6" t="s">
        <v>69</v>
      </c>
    </row>
    <row r="1936" spans="1:13">
      <c r="A1936" s="6" t="s">
        <v>3315</v>
      </c>
      <c r="B1936" s="7">
        <v>46102</v>
      </c>
      <c r="C1936" s="6" t="s">
        <v>3316</v>
      </c>
      <c r="D1936" s="6" t="s">
        <v>45</v>
      </c>
      <c r="E1936" s="6" t="s">
        <v>52</v>
      </c>
      <c r="F1936" s="6" t="s">
        <v>29</v>
      </c>
      <c r="G1936" s="6" t="s">
        <v>30</v>
      </c>
      <c r="H1936" s="6">
        <v>3</v>
      </c>
      <c r="I1936" s="6" t="s">
        <v>117</v>
      </c>
      <c r="J1936" s="6" t="s">
        <v>171</v>
      </c>
      <c r="K1936" s="6">
        <v>520</v>
      </c>
      <c r="L1936" s="6" t="s">
        <v>42</v>
      </c>
      <c r="M1936" s="6" t="s">
        <v>34</v>
      </c>
    </row>
    <row r="1937" spans="1:13">
      <c r="A1937" s="6" t="s">
        <v>3317</v>
      </c>
      <c r="B1937" s="7">
        <v>46080</v>
      </c>
      <c r="C1937" s="6" t="s">
        <v>573</v>
      </c>
      <c r="D1937" s="6" t="s">
        <v>45</v>
      </c>
      <c r="E1937" s="6" t="s">
        <v>52</v>
      </c>
      <c r="F1937" s="6" t="s">
        <v>85</v>
      </c>
      <c r="G1937" s="6" t="s">
        <v>86</v>
      </c>
      <c r="H1937" s="6">
        <v>3</v>
      </c>
      <c r="I1937" s="6" t="s">
        <v>79</v>
      </c>
      <c r="J1937" s="6" t="s">
        <v>216</v>
      </c>
      <c r="K1937" s="6">
        <v>410</v>
      </c>
      <c r="L1937" s="6" t="s">
        <v>42</v>
      </c>
      <c r="M1937" s="6" t="s">
        <v>34</v>
      </c>
    </row>
    <row r="1938" spans="1:13">
      <c r="A1938" s="6" t="s">
        <v>3318</v>
      </c>
      <c r="B1938" s="7">
        <v>46064</v>
      </c>
      <c r="C1938" s="6" t="s">
        <v>219</v>
      </c>
      <c r="D1938" s="6" t="s">
        <v>105</v>
      </c>
      <c r="E1938" s="6" t="s">
        <v>52</v>
      </c>
      <c r="F1938" s="6" t="s">
        <v>94</v>
      </c>
      <c r="G1938" s="6" t="s">
        <v>95</v>
      </c>
      <c r="H1938" s="6">
        <v>1</v>
      </c>
      <c r="I1938" s="6" t="s">
        <v>82</v>
      </c>
      <c r="J1938" s="6" t="s">
        <v>82</v>
      </c>
      <c r="K1938" s="6">
        <v>340</v>
      </c>
      <c r="L1938" s="6" t="s">
        <v>42</v>
      </c>
      <c r="M1938" s="6" t="s">
        <v>34</v>
      </c>
    </row>
    <row r="1939" spans="1:13">
      <c r="A1939" s="6" t="s">
        <v>3319</v>
      </c>
      <c r="B1939" s="7">
        <v>46054</v>
      </c>
      <c r="C1939" s="6" t="s">
        <v>1554</v>
      </c>
      <c r="D1939" s="6" t="s">
        <v>127</v>
      </c>
      <c r="E1939" s="6" t="s">
        <v>28</v>
      </c>
      <c r="F1939" s="6" t="s">
        <v>29</v>
      </c>
      <c r="G1939" s="6" t="s">
        <v>30</v>
      </c>
      <c r="H1939" s="6">
        <v>3</v>
      </c>
      <c r="I1939" s="6" t="s">
        <v>40</v>
      </c>
      <c r="J1939" s="6" t="s">
        <v>579</v>
      </c>
      <c r="K1939" s="6">
        <v>520</v>
      </c>
      <c r="L1939" s="6" t="s">
        <v>42</v>
      </c>
      <c r="M1939" s="6" t="s">
        <v>69</v>
      </c>
    </row>
    <row r="1940" spans="1:13">
      <c r="A1940" s="6" t="s">
        <v>3320</v>
      </c>
      <c r="B1940" s="7">
        <v>46077</v>
      </c>
      <c r="C1940" s="6" t="s">
        <v>1666</v>
      </c>
      <c r="D1940" s="6" t="s">
        <v>45</v>
      </c>
      <c r="E1940" s="6" t="s">
        <v>52</v>
      </c>
      <c r="F1940" s="6" t="s">
        <v>100</v>
      </c>
      <c r="G1940" s="6" t="s">
        <v>101</v>
      </c>
      <c r="H1940" s="6">
        <v>3</v>
      </c>
      <c r="I1940" s="6" t="s">
        <v>90</v>
      </c>
      <c r="J1940" s="6" t="s">
        <v>2521</v>
      </c>
      <c r="K1940" s="6">
        <v>640</v>
      </c>
      <c r="L1940" s="6" t="s">
        <v>42</v>
      </c>
      <c r="M1940" s="6" t="s">
        <v>34</v>
      </c>
    </row>
    <row r="1941" spans="1:13">
      <c r="A1941" s="6" t="s">
        <v>3321</v>
      </c>
      <c r="B1941" s="7">
        <v>46187</v>
      </c>
      <c r="C1941" s="6" t="s">
        <v>2071</v>
      </c>
      <c r="D1941" s="6" t="s">
        <v>77</v>
      </c>
      <c r="E1941" s="6" t="s">
        <v>28</v>
      </c>
      <c r="F1941" s="6" t="s">
        <v>53</v>
      </c>
      <c r="G1941" s="6" t="s">
        <v>54</v>
      </c>
      <c r="H1941" s="6">
        <v>3</v>
      </c>
      <c r="I1941" s="6" t="s">
        <v>231</v>
      </c>
      <c r="J1941" s="6" t="s">
        <v>505</v>
      </c>
      <c r="K1941" s="6" t="s">
        <v>122</v>
      </c>
      <c r="L1941" s="6" t="s">
        <v>42</v>
      </c>
      <c r="M1941" s="6" t="s">
        <v>34</v>
      </c>
    </row>
    <row r="1942" spans="1:13">
      <c r="A1942" s="6" t="s">
        <v>3322</v>
      </c>
      <c r="B1942" s="7">
        <v>46146</v>
      </c>
      <c r="C1942" s="6" t="s">
        <v>184</v>
      </c>
      <c r="D1942" s="6" t="s">
        <v>110</v>
      </c>
      <c r="E1942" s="6" t="s">
        <v>52</v>
      </c>
      <c r="F1942" s="6" t="s">
        <v>53</v>
      </c>
      <c r="G1942" s="6" t="s">
        <v>54</v>
      </c>
      <c r="H1942" s="6">
        <v>2</v>
      </c>
      <c r="I1942" s="6" t="s">
        <v>231</v>
      </c>
      <c r="J1942" s="6" t="s">
        <v>268</v>
      </c>
      <c r="K1942" s="6">
        <v>190</v>
      </c>
      <c r="L1942" s="6" t="s">
        <v>33</v>
      </c>
      <c r="M1942" s="6" t="s">
        <v>34</v>
      </c>
    </row>
    <row r="1943" spans="1:13">
      <c r="A1943" s="6" t="s">
        <v>3323</v>
      </c>
      <c r="B1943" s="7">
        <v>46178</v>
      </c>
      <c r="C1943" s="6" t="s">
        <v>475</v>
      </c>
      <c r="D1943" s="6" t="s">
        <v>45</v>
      </c>
      <c r="E1943" s="6" t="s">
        <v>37</v>
      </c>
      <c r="F1943" s="6" t="s">
        <v>53</v>
      </c>
      <c r="G1943" s="6" t="s">
        <v>54</v>
      </c>
      <c r="H1943" s="6">
        <v>1</v>
      </c>
      <c r="I1943" s="6" t="s">
        <v>511</v>
      </c>
      <c r="J1943" s="6" t="s">
        <v>231</v>
      </c>
      <c r="K1943" s="6" t="s">
        <v>122</v>
      </c>
      <c r="L1943" s="6" t="s">
        <v>42</v>
      </c>
      <c r="M1943" s="6" t="s">
        <v>69</v>
      </c>
    </row>
    <row r="1944" spans="1:13">
      <c r="A1944" s="6" t="s">
        <v>3324</v>
      </c>
      <c r="B1944" s="7">
        <v>46038</v>
      </c>
      <c r="C1944" s="6" t="s">
        <v>146</v>
      </c>
      <c r="D1944" s="6" t="s">
        <v>64</v>
      </c>
      <c r="E1944" s="6" t="s">
        <v>37</v>
      </c>
      <c r="F1944" s="6" t="s">
        <v>100</v>
      </c>
      <c r="G1944" s="6" t="s">
        <v>101</v>
      </c>
      <c r="H1944" s="6">
        <v>2</v>
      </c>
      <c r="I1944" s="6" t="s">
        <v>40</v>
      </c>
      <c r="J1944" s="6" t="s">
        <v>327</v>
      </c>
      <c r="K1944" s="6">
        <v>640</v>
      </c>
      <c r="L1944" s="6" t="s">
        <v>42</v>
      </c>
      <c r="M1944" s="6" t="s">
        <v>34</v>
      </c>
    </row>
    <row r="1945" spans="1:13">
      <c r="A1945" s="6" t="s">
        <v>3325</v>
      </c>
      <c r="B1945" s="7">
        <v>46093</v>
      </c>
      <c r="C1945" s="6" t="s">
        <v>903</v>
      </c>
      <c r="D1945" s="6" t="s">
        <v>27</v>
      </c>
      <c r="E1945" s="6" t="s">
        <v>28</v>
      </c>
      <c r="F1945" s="6" t="s">
        <v>47</v>
      </c>
      <c r="G1945" s="6" t="s">
        <v>48</v>
      </c>
      <c r="H1945" s="6">
        <v>1</v>
      </c>
      <c r="I1945" s="6" t="s">
        <v>82</v>
      </c>
      <c r="J1945" s="6" t="s">
        <v>82</v>
      </c>
      <c r="K1945" s="6">
        <v>85</v>
      </c>
      <c r="L1945" s="6" t="s">
        <v>42</v>
      </c>
      <c r="M1945" s="6" t="s">
        <v>34</v>
      </c>
    </row>
    <row r="1946" spans="1:13">
      <c r="A1946" s="6" t="s">
        <v>3326</v>
      </c>
      <c r="B1946" s="7">
        <v>46165</v>
      </c>
      <c r="C1946" s="6" t="s">
        <v>648</v>
      </c>
      <c r="D1946" s="6" t="s">
        <v>127</v>
      </c>
      <c r="E1946" s="6" t="s">
        <v>78</v>
      </c>
      <c r="F1946" s="6" t="s">
        <v>38</v>
      </c>
      <c r="G1946" s="6" t="s">
        <v>39</v>
      </c>
      <c r="H1946" s="6">
        <v>1</v>
      </c>
      <c r="I1946" s="6" t="s">
        <v>143</v>
      </c>
      <c r="J1946" s="6" t="s">
        <v>143</v>
      </c>
      <c r="K1946" s="6" t="s">
        <v>41</v>
      </c>
      <c r="L1946" s="6" t="s">
        <v>33</v>
      </c>
      <c r="M1946" s="6" t="s">
        <v>69</v>
      </c>
    </row>
    <row r="1947" spans="1:13">
      <c r="A1947" s="6" t="s">
        <v>3327</v>
      </c>
      <c r="B1947" s="7">
        <v>46110</v>
      </c>
      <c r="C1947" s="6" t="s">
        <v>454</v>
      </c>
      <c r="D1947" s="6" t="s">
        <v>127</v>
      </c>
      <c r="E1947" s="6" t="s">
        <v>46</v>
      </c>
      <c r="F1947" s="6" t="s">
        <v>85</v>
      </c>
      <c r="G1947" s="6" t="s">
        <v>86</v>
      </c>
      <c r="H1947" s="6">
        <v>1</v>
      </c>
      <c r="I1947" s="6" t="s">
        <v>90</v>
      </c>
      <c r="J1947" s="6" t="s">
        <v>90</v>
      </c>
      <c r="K1947" s="6">
        <v>410</v>
      </c>
      <c r="L1947" s="6" t="s">
        <v>42</v>
      </c>
      <c r="M1947" s="6" t="s">
        <v>34</v>
      </c>
    </row>
    <row r="1948" spans="1:13">
      <c r="A1948" s="6" t="s">
        <v>3328</v>
      </c>
      <c r="B1948" s="7">
        <v>46147</v>
      </c>
      <c r="C1948" s="6" t="s">
        <v>1859</v>
      </c>
      <c r="D1948" s="6" t="s">
        <v>45</v>
      </c>
      <c r="E1948" s="6" t="s">
        <v>37</v>
      </c>
      <c r="F1948" s="6" t="s">
        <v>85</v>
      </c>
      <c r="G1948" s="6" t="s">
        <v>86</v>
      </c>
      <c r="H1948" s="6">
        <v>1</v>
      </c>
      <c r="I1948" s="6" t="s">
        <v>79</v>
      </c>
      <c r="J1948" s="6" t="s">
        <v>79</v>
      </c>
      <c r="K1948" s="6" t="s">
        <v>87</v>
      </c>
      <c r="L1948" s="6" t="s">
        <v>42</v>
      </c>
      <c r="M1948" s="6" t="s">
        <v>34</v>
      </c>
    </row>
    <row r="1949" spans="1:13">
      <c r="A1949" s="6" t="s">
        <v>3329</v>
      </c>
      <c r="B1949" s="7">
        <v>46171</v>
      </c>
      <c r="C1949" s="6" t="s">
        <v>3330</v>
      </c>
      <c r="D1949" s="6" t="s">
        <v>45</v>
      </c>
      <c r="E1949" s="6" t="s">
        <v>37</v>
      </c>
      <c r="F1949" s="6" t="s">
        <v>47</v>
      </c>
      <c r="G1949" s="6" t="s">
        <v>48</v>
      </c>
      <c r="H1949" s="6">
        <v>1</v>
      </c>
      <c r="I1949" s="6" t="s">
        <v>147</v>
      </c>
      <c r="J1949" s="6" t="s">
        <v>147</v>
      </c>
      <c r="K1949" s="6" t="s">
        <v>49</v>
      </c>
      <c r="L1949" s="6" t="s">
        <v>33</v>
      </c>
      <c r="M1949" s="6" t="s">
        <v>34</v>
      </c>
    </row>
    <row r="1950" spans="1:13">
      <c r="A1950" s="6" t="s">
        <v>222</v>
      </c>
      <c r="B1950" s="7">
        <v>46119</v>
      </c>
      <c r="C1950" s="6" t="s">
        <v>223</v>
      </c>
      <c r="D1950" s="6" t="s">
        <v>45</v>
      </c>
      <c r="E1950" s="6" t="s">
        <v>78</v>
      </c>
      <c r="F1950" s="6" t="s">
        <v>38</v>
      </c>
      <c r="G1950" s="6" t="s">
        <v>39</v>
      </c>
      <c r="H1950" s="6">
        <v>2</v>
      </c>
      <c r="I1950" s="6" t="s">
        <v>147</v>
      </c>
      <c r="J1950" s="6" t="s">
        <v>175</v>
      </c>
      <c r="K1950" s="6">
        <v>520</v>
      </c>
      <c r="L1950" s="6" t="s">
        <v>42</v>
      </c>
      <c r="M1950" s="6" t="s">
        <v>34</v>
      </c>
    </row>
    <row r="1951" spans="1:13">
      <c r="A1951" s="6" t="s">
        <v>3331</v>
      </c>
      <c r="B1951" s="7">
        <v>46045</v>
      </c>
      <c r="C1951" s="6" t="s">
        <v>3332</v>
      </c>
      <c r="D1951" s="6" t="s">
        <v>27</v>
      </c>
      <c r="E1951" s="6" t="s">
        <v>28</v>
      </c>
      <c r="F1951" s="6" t="s">
        <v>38</v>
      </c>
      <c r="G1951" s="6" t="s">
        <v>39</v>
      </c>
      <c r="H1951" s="6">
        <v>3</v>
      </c>
      <c r="I1951" s="6" t="s">
        <v>31</v>
      </c>
      <c r="J1951" s="6" t="s">
        <v>337</v>
      </c>
      <c r="K1951" s="6">
        <v>520</v>
      </c>
      <c r="L1951" s="6" t="s">
        <v>42</v>
      </c>
      <c r="M1951" s="6" t="s">
        <v>34</v>
      </c>
    </row>
    <row r="1952" spans="1:13">
      <c r="A1952" s="6" t="s">
        <v>3333</v>
      </c>
      <c r="B1952" s="7">
        <v>46195</v>
      </c>
      <c r="C1952" s="6" t="s">
        <v>3334</v>
      </c>
      <c r="D1952" s="6" t="s">
        <v>45</v>
      </c>
      <c r="E1952" s="6" t="s">
        <v>78</v>
      </c>
      <c r="F1952" s="6" t="s">
        <v>29</v>
      </c>
      <c r="G1952" s="6" t="s">
        <v>30</v>
      </c>
      <c r="H1952" s="6">
        <v>1</v>
      </c>
      <c r="I1952" s="6" t="s">
        <v>60</v>
      </c>
      <c r="J1952" s="6" t="s">
        <v>60</v>
      </c>
      <c r="K1952" s="6" t="s">
        <v>41</v>
      </c>
      <c r="L1952" s="6" t="s">
        <v>33</v>
      </c>
      <c r="M1952" s="6" t="s">
        <v>34</v>
      </c>
    </row>
    <row r="1953" spans="1:13">
      <c r="A1953" s="6" t="s">
        <v>3335</v>
      </c>
      <c r="B1953" s="7">
        <v>46086</v>
      </c>
      <c r="C1953" s="6" t="s">
        <v>3299</v>
      </c>
      <c r="D1953" s="6" t="s">
        <v>72</v>
      </c>
      <c r="E1953" s="6" t="s">
        <v>28</v>
      </c>
      <c r="F1953" s="6" t="s">
        <v>38</v>
      </c>
      <c r="G1953" s="6" t="s">
        <v>39</v>
      </c>
      <c r="H1953" s="6">
        <v>3</v>
      </c>
      <c r="I1953" s="6" t="s">
        <v>67</v>
      </c>
      <c r="J1953" s="6" t="s">
        <v>68</v>
      </c>
      <c r="K1953" s="6">
        <v>520</v>
      </c>
      <c r="L1953" s="6" t="s">
        <v>42</v>
      </c>
      <c r="M1953" s="6" t="s">
        <v>69</v>
      </c>
    </row>
    <row r="1954" spans="1:13">
      <c r="A1954" s="6" t="s">
        <v>3336</v>
      </c>
      <c r="B1954" s="7">
        <v>46043</v>
      </c>
      <c r="C1954" s="6" t="s">
        <v>2288</v>
      </c>
      <c r="D1954" s="6" t="s">
        <v>45</v>
      </c>
      <c r="E1954" s="6" t="s">
        <v>37</v>
      </c>
      <c r="F1954" s="6" t="s">
        <v>100</v>
      </c>
      <c r="G1954" s="6" t="s">
        <v>101</v>
      </c>
      <c r="H1954" s="6">
        <v>1</v>
      </c>
      <c r="I1954" s="6" t="s">
        <v>73</v>
      </c>
      <c r="J1954" s="6" t="s">
        <v>73</v>
      </c>
      <c r="K1954" s="6">
        <v>640</v>
      </c>
      <c r="L1954" s="6" t="s">
        <v>42</v>
      </c>
      <c r="M1954" s="6" t="s">
        <v>69</v>
      </c>
    </row>
    <row r="1955" spans="1:13">
      <c r="A1955" s="6" t="s">
        <v>3337</v>
      </c>
      <c r="B1955" s="7">
        <v>46192</v>
      </c>
      <c r="C1955" s="6" t="s">
        <v>2055</v>
      </c>
      <c r="D1955" s="6" t="s">
        <v>45</v>
      </c>
      <c r="E1955" s="6" t="s">
        <v>52</v>
      </c>
      <c r="F1955" s="6" t="s">
        <v>100</v>
      </c>
      <c r="G1955" s="6" t="s">
        <v>101</v>
      </c>
      <c r="H1955" s="6">
        <v>2</v>
      </c>
      <c r="I1955" s="6" t="s">
        <v>79</v>
      </c>
      <c r="J1955" s="6" t="s">
        <v>259</v>
      </c>
      <c r="K1955" s="6" t="s">
        <v>119</v>
      </c>
      <c r="L1955" s="6" t="s">
        <v>42</v>
      </c>
      <c r="M1955" s="6" t="s">
        <v>34</v>
      </c>
    </row>
    <row r="1956" spans="1:13">
      <c r="A1956" s="6" t="s">
        <v>3338</v>
      </c>
      <c r="B1956" s="7">
        <v>46205</v>
      </c>
      <c r="C1956" s="6" t="s">
        <v>2022</v>
      </c>
      <c r="D1956" s="6" t="s">
        <v>110</v>
      </c>
      <c r="E1956" s="6" t="s">
        <v>78</v>
      </c>
      <c r="F1956" s="6" t="s">
        <v>58</v>
      </c>
      <c r="G1956" s="6" t="s">
        <v>59</v>
      </c>
      <c r="H1956" s="6">
        <v>3</v>
      </c>
      <c r="I1956" s="6" t="s">
        <v>117</v>
      </c>
      <c r="J1956" s="6" t="s">
        <v>171</v>
      </c>
      <c r="K1956" s="6" t="s">
        <v>61</v>
      </c>
      <c r="L1956" s="6" t="s">
        <v>42</v>
      </c>
      <c r="M1956" s="6" t="s">
        <v>34</v>
      </c>
    </row>
    <row r="1957" spans="1:13">
      <c r="A1957" s="6" t="s">
        <v>3339</v>
      </c>
      <c r="B1957" s="6" t="s">
        <v>1818</v>
      </c>
      <c r="C1957" s="6" t="s">
        <v>3340</v>
      </c>
      <c r="D1957" s="6" t="s">
        <v>57</v>
      </c>
      <c r="E1957" s="6" t="s">
        <v>28</v>
      </c>
      <c r="F1957" s="6" t="s">
        <v>85</v>
      </c>
      <c r="G1957" s="6" t="s">
        <v>86</v>
      </c>
      <c r="H1957" s="6">
        <v>2</v>
      </c>
      <c r="I1957" s="6" t="s">
        <v>181</v>
      </c>
      <c r="J1957" s="6" t="s">
        <v>163</v>
      </c>
      <c r="K1957" s="6" t="s">
        <v>87</v>
      </c>
      <c r="L1957" s="6" t="s">
        <v>42</v>
      </c>
      <c r="M1957" s="6" t="s">
        <v>34</v>
      </c>
    </row>
    <row r="1958" spans="1:13">
      <c r="A1958" s="6" t="s">
        <v>3341</v>
      </c>
      <c r="B1958" s="7">
        <v>46031</v>
      </c>
      <c r="C1958" s="6" t="s">
        <v>3342</v>
      </c>
      <c r="D1958" s="6" t="s">
        <v>45</v>
      </c>
      <c r="E1958" s="6" t="s">
        <v>37</v>
      </c>
      <c r="F1958" s="6" t="s">
        <v>38</v>
      </c>
      <c r="G1958" s="6" t="s">
        <v>39</v>
      </c>
      <c r="H1958" s="6">
        <v>2</v>
      </c>
      <c r="I1958" s="6" t="s">
        <v>60</v>
      </c>
      <c r="J1958" s="6" t="s">
        <v>189</v>
      </c>
      <c r="K1958" s="6">
        <v>520</v>
      </c>
      <c r="L1958" s="6" t="s">
        <v>33</v>
      </c>
      <c r="M1958" s="6" t="s">
        <v>34</v>
      </c>
    </row>
    <row r="1959" spans="1:13">
      <c r="A1959" s="6" t="s">
        <v>3343</v>
      </c>
      <c r="B1959" s="6" t="s">
        <v>1918</v>
      </c>
      <c r="C1959" s="6" t="s">
        <v>3344</v>
      </c>
      <c r="D1959" s="6" t="s">
        <v>77</v>
      </c>
      <c r="E1959" s="6" t="s">
        <v>37</v>
      </c>
      <c r="F1959" s="6" t="s">
        <v>47</v>
      </c>
      <c r="G1959" s="6" t="s">
        <v>48</v>
      </c>
      <c r="H1959" s="6">
        <v>1</v>
      </c>
      <c r="I1959" s="6" t="s">
        <v>67</v>
      </c>
      <c r="J1959" s="6" t="s">
        <v>67</v>
      </c>
      <c r="K1959" s="6">
        <v>85</v>
      </c>
      <c r="L1959" s="6" t="s">
        <v>42</v>
      </c>
      <c r="M1959" s="6" t="s">
        <v>34</v>
      </c>
    </row>
    <row r="1960" spans="1:13">
      <c r="A1960" s="6" t="s">
        <v>3345</v>
      </c>
      <c r="B1960" s="7">
        <v>46153</v>
      </c>
      <c r="C1960" s="6" t="s">
        <v>2879</v>
      </c>
      <c r="D1960" s="6" t="s">
        <v>57</v>
      </c>
      <c r="E1960" s="6" t="s">
        <v>28</v>
      </c>
      <c r="F1960" s="6" t="s">
        <v>58</v>
      </c>
      <c r="G1960" s="6" t="s">
        <v>59</v>
      </c>
      <c r="H1960" s="6">
        <v>1</v>
      </c>
      <c r="I1960" s="6" t="s">
        <v>82</v>
      </c>
      <c r="J1960" s="6" t="s">
        <v>82</v>
      </c>
      <c r="K1960" s="6" t="s">
        <v>61</v>
      </c>
      <c r="L1960" s="6" t="s">
        <v>42</v>
      </c>
      <c r="M1960" s="6" t="s">
        <v>69</v>
      </c>
    </row>
    <row r="1961" spans="1:13">
      <c r="A1961" s="6" t="s">
        <v>3346</v>
      </c>
      <c r="B1961" s="7">
        <v>46208</v>
      </c>
      <c r="C1961" s="6" t="s">
        <v>794</v>
      </c>
      <c r="D1961" s="6" t="s">
        <v>57</v>
      </c>
      <c r="E1961" s="6" t="s">
        <v>46</v>
      </c>
      <c r="F1961" s="6" t="s">
        <v>53</v>
      </c>
      <c r="G1961" s="6" t="s">
        <v>54</v>
      </c>
      <c r="H1961" s="6">
        <v>1</v>
      </c>
      <c r="I1961" s="6" t="s">
        <v>40</v>
      </c>
      <c r="J1961" s="6" t="s">
        <v>40</v>
      </c>
      <c r="K1961" s="6" t="s">
        <v>122</v>
      </c>
      <c r="L1961" s="6" t="s">
        <v>33</v>
      </c>
      <c r="M1961" s="6" t="s">
        <v>69</v>
      </c>
    </row>
    <row r="1962" spans="1:13">
      <c r="A1962" s="6" t="s">
        <v>3347</v>
      </c>
      <c r="B1962" s="7">
        <v>46050</v>
      </c>
      <c r="C1962" s="6" t="s">
        <v>1001</v>
      </c>
      <c r="D1962" s="6" t="s">
        <v>110</v>
      </c>
      <c r="E1962" s="6" t="s">
        <v>52</v>
      </c>
      <c r="F1962" s="6" t="s">
        <v>58</v>
      </c>
      <c r="G1962" s="6" t="s">
        <v>59</v>
      </c>
      <c r="H1962" s="6">
        <v>1</v>
      </c>
      <c r="I1962" s="6" t="s">
        <v>60</v>
      </c>
      <c r="J1962" s="6" t="s">
        <v>60</v>
      </c>
      <c r="K1962" s="6">
        <v>380</v>
      </c>
      <c r="L1962" s="6" t="s">
        <v>33</v>
      </c>
      <c r="M1962" s="6" t="s">
        <v>34</v>
      </c>
    </row>
    <row r="1963" spans="1:13">
      <c r="A1963" s="6" t="s">
        <v>3348</v>
      </c>
      <c r="B1963" s="7">
        <v>46038</v>
      </c>
      <c r="C1963" s="6" t="s">
        <v>3349</v>
      </c>
      <c r="D1963" s="6" t="s">
        <v>127</v>
      </c>
      <c r="E1963" s="6" t="s">
        <v>46</v>
      </c>
      <c r="F1963" s="6" t="s">
        <v>38</v>
      </c>
      <c r="G1963" s="6" t="s">
        <v>39</v>
      </c>
      <c r="H1963" s="6">
        <v>3</v>
      </c>
      <c r="I1963" s="6" t="s">
        <v>40</v>
      </c>
      <c r="J1963" s="6" t="s">
        <v>579</v>
      </c>
      <c r="K1963" s="6">
        <v>520</v>
      </c>
      <c r="L1963" s="6" t="s">
        <v>42</v>
      </c>
      <c r="M1963" s="6" t="s">
        <v>34</v>
      </c>
    </row>
    <row r="1964" spans="1:13">
      <c r="A1964" s="6" t="s">
        <v>3350</v>
      </c>
      <c r="B1964" s="7">
        <v>46165</v>
      </c>
      <c r="C1964" s="6" t="s">
        <v>251</v>
      </c>
      <c r="D1964" s="6" t="s">
        <v>127</v>
      </c>
      <c r="E1964" s="6" t="s">
        <v>52</v>
      </c>
      <c r="F1964" s="6" t="s">
        <v>94</v>
      </c>
      <c r="G1964" s="6" t="s">
        <v>95</v>
      </c>
      <c r="H1964" s="6">
        <v>2</v>
      </c>
      <c r="I1964" s="6" t="s">
        <v>265</v>
      </c>
      <c r="J1964" s="6" t="s">
        <v>3351</v>
      </c>
      <c r="K1964" s="6" t="s">
        <v>114</v>
      </c>
      <c r="L1964" s="6" t="s">
        <v>42</v>
      </c>
      <c r="M1964" s="6" t="s">
        <v>69</v>
      </c>
    </row>
    <row r="1965" spans="1:13">
      <c r="A1965" s="6" t="s">
        <v>3352</v>
      </c>
      <c r="B1965" s="7">
        <v>46164</v>
      </c>
      <c r="C1965" s="6" t="s">
        <v>847</v>
      </c>
      <c r="D1965" s="6" t="s">
        <v>57</v>
      </c>
      <c r="E1965" s="6" t="s">
        <v>46</v>
      </c>
      <c r="F1965" s="6" t="s">
        <v>85</v>
      </c>
      <c r="G1965" s="6" t="s">
        <v>86</v>
      </c>
      <c r="H1965" s="6">
        <v>1</v>
      </c>
      <c r="I1965" s="6" t="s">
        <v>181</v>
      </c>
      <c r="J1965" s="6" t="s">
        <v>181</v>
      </c>
      <c r="K1965" s="6" t="s">
        <v>87</v>
      </c>
      <c r="L1965" s="6" t="s">
        <v>42</v>
      </c>
      <c r="M1965" s="6" t="s">
        <v>69</v>
      </c>
    </row>
    <row r="1966" spans="1:13">
      <c r="A1966" s="6" t="s">
        <v>3353</v>
      </c>
      <c r="B1966" s="7">
        <v>46200</v>
      </c>
      <c r="C1966" s="6" t="s">
        <v>560</v>
      </c>
      <c r="D1966" s="6" t="s">
        <v>27</v>
      </c>
      <c r="E1966" s="6" t="s">
        <v>52</v>
      </c>
      <c r="F1966" s="6" t="s">
        <v>38</v>
      </c>
      <c r="G1966" s="6" t="s">
        <v>39</v>
      </c>
      <c r="H1966" s="6">
        <v>1</v>
      </c>
      <c r="I1966" s="6" t="s">
        <v>117</v>
      </c>
      <c r="J1966" s="6" t="s">
        <v>73</v>
      </c>
      <c r="K1966" s="6" t="s">
        <v>41</v>
      </c>
      <c r="L1966" s="6" t="s">
        <v>42</v>
      </c>
      <c r="M1966" s="6" t="s">
        <v>69</v>
      </c>
    </row>
    <row r="1967" spans="1:13">
      <c r="A1967" s="6" t="s">
        <v>3354</v>
      </c>
      <c r="B1967" s="7">
        <v>46112</v>
      </c>
      <c r="C1967" s="6" t="s">
        <v>3355</v>
      </c>
      <c r="D1967" s="6" t="s">
        <v>127</v>
      </c>
      <c r="E1967" s="6" t="s">
        <v>78</v>
      </c>
      <c r="F1967" s="6" t="s">
        <v>38</v>
      </c>
      <c r="G1967" s="6" t="s">
        <v>39</v>
      </c>
      <c r="H1967" s="6">
        <v>1</v>
      </c>
      <c r="I1967" s="6" t="s">
        <v>79</v>
      </c>
      <c r="J1967" s="6" t="s">
        <v>79</v>
      </c>
      <c r="K1967" s="6">
        <v>520</v>
      </c>
      <c r="L1967" s="6" t="s">
        <v>33</v>
      </c>
      <c r="M1967" s="6" t="s">
        <v>34</v>
      </c>
    </row>
    <row r="1968" spans="1:13">
      <c r="A1968" s="6" t="s">
        <v>3356</v>
      </c>
      <c r="B1968" s="7">
        <v>46146</v>
      </c>
      <c r="C1968" s="6" t="s">
        <v>2944</v>
      </c>
      <c r="D1968" s="6" t="s">
        <v>105</v>
      </c>
      <c r="E1968" s="6" t="s">
        <v>37</v>
      </c>
      <c r="F1968" s="6" t="s">
        <v>85</v>
      </c>
      <c r="G1968" s="6" t="s">
        <v>86</v>
      </c>
      <c r="H1968" s="6">
        <v>1</v>
      </c>
      <c r="I1968" s="6" t="s">
        <v>82</v>
      </c>
      <c r="J1968" s="6" t="s">
        <v>82</v>
      </c>
      <c r="K1968" s="6" t="s">
        <v>87</v>
      </c>
      <c r="L1968" s="6" t="s">
        <v>42</v>
      </c>
      <c r="M1968" s="6" t="s">
        <v>69</v>
      </c>
    </row>
    <row r="1969" spans="1:13">
      <c r="A1969" s="6" t="s">
        <v>3357</v>
      </c>
      <c r="B1969" s="7">
        <v>46184</v>
      </c>
      <c r="C1969" s="6" t="s">
        <v>242</v>
      </c>
      <c r="D1969" s="6" t="s">
        <v>27</v>
      </c>
      <c r="E1969" s="6" t="s">
        <v>46</v>
      </c>
      <c r="F1969" s="6" t="s">
        <v>100</v>
      </c>
      <c r="G1969" s="6" t="s">
        <v>101</v>
      </c>
      <c r="H1969" s="6">
        <v>1</v>
      </c>
      <c r="I1969" s="6" t="s">
        <v>90</v>
      </c>
      <c r="J1969" s="6" t="s">
        <v>90</v>
      </c>
      <c r="K1969" s="6" t="s">
        <v>119</v>
      </c>
      <c r="L1969" s="6" t="s">
        <v>42</v>
      </c>
      <c r="M1969" s="6" t="s">
        <v>34</v>
      </c>
    </row>
    <row r="1970" spans="1:13">
      <c r="A1970" s="6" t="s">
        <v>3358</v>
      </c>
      <c r="B1970" s="7">
        <v>46204</v>
      </c>
      <c r="C1970" s="6" t="s">
        <v>387</v>
      </c>
      <c r="D1970" s="6" t="s">
        <v>72</v>
      </c>
      <c r="E1970" s="6" t="s">
        <v>52</v>
      </c>
      <c r="F1970" s="6" t="s">
        <v>94</v>
      </c>
      <c r="G1970" s="6" t="s">
        <v>95</v>
      </c>
      <c r="H1970" s="6">
        <v>3</v>
      </c>
      <c r="I1970" s="6" t="s">
        <v>143</v>
      </c>
      <c r="J1970" s="6" t="s">
        <v>243</v>
      </c>
      <c r="K1970" s="6" t="s">
        <v>114</v>
      </c>
      <c r="L1970" s="6" t="s">
        <v>42</v>
      </c>
      <c r="M1970" s="6" t="s">
        <v>69</v>
      </c>
    </row>
    <row r="1971" spans="1:13">
      <c r="A1971" s="6" t="s">
        <v>3359</v>
      </c>
      <c r="B1971" s="7">
        <v>46071</v>
      </c>
      <c r="C1971" s="6" t="s">
        <v>258</v>
      </c>
      <c r="D1971" s="6" t="s">
        <v>45</v>
      </c>
      <c r="E1971" s="6" t="s">
        <v>78</v>
      </c>
      <c r="F1971" s="6" t="s">
        <v>100</v>
      </c>
      <c r="G1971" s="6" t="s">
        <v>101</v>
      </c>
      <c r="H1971" s="6">
        <v>1</v>
      </c>
      <c r="I1971" s="6" t="s">
        <v>117</v>
      </c>
      <c r="J1971" s="6" t="s">
        <v>117</v>
      </c>
      <c r="K1971" s="6">
        <v>640</v>
      </c>
      <c r="L1971" s="6" t="s">
        <v>42</v>
      </c>
      <c r="M1971" s="6" t="s">
        <v>34</v>
      </c>
    </row>
    <row r="1972" spans="1:13">
      <c r="A1972" s="6" t="s">
        <v>3360</v>
      </c>
      <c r="B1972" s="7">
        <v>46202</v>
      </c>
      <c r="C1972" s="6" t="s">
        <v>777</v>
      </c>
      <c r="D1972" s="6" t="s">
        <v>72</v>
      </c>
      <c r="E1972" s="6" t="s">
        <v>28</v>
      </c>
      <c r="F1972" s="6" t="s">
        <v>100</v>
      </c>
      <c r="G1972" s="6" t="s">
        <v>101</v>
      </c>
      <c r="H1972" s="6">
        <v>2</v>
      </c>
      <c r="I1972" s="6" t="s">
        <v>143</v>
      </c>
      <c r="J1972" s="6" t="s">
        <v>144</v>
      </c>
      <c r="K1972" s="6" t="s">
        <v>119</v>
      </c>
      <c r="L1972" s="6" t="s">
        <v>33</v>
      </c>
      <c r="M1972" s="6" t="s">
        <v>34</v>
      </c>
    </row>
    <row r="1973" spans="1:13">
      <c r="A1973" s="6" t="s">
        <v>3361</v>
      </c>
      <c r="B1973" s="7">
        <v>46201</v>
      </c>
      <c r="C1973" s="6" t="s">
        <v>3110</v>
      </c>
      <c r="D1973" s="6" t="s">
        <v>77</v>
      </c>
      <c r="E1973" s="6" t="s">
        <v>52</v>
      </c>
      <c r="F1973" s="6" t="s">
        <v>100</v>
      </c>
      <c r="G1973" s="6" t="s">
        <v>101</v>
      </c>
      <c r="H1973" s="6">
        <v>1</v>
      </c>
      <c r="I1973" s="6" t="s">
        <v>82</v>
      </c>
      <c r="J1973" s="6" t="s">
        <v>82</v>
      </c>
      <c r="K1973" s="6" t="s">
        <v>119</v>
      </c>
      <c r="L1973" s="6" t="s">
        <v>42</v>
      </c>
      <c r="M1973" s="6" t="s">
        <v>34</v>
      </c>
    </row>
    <row r="1974" spans="1:13">
      <c r="A1974" s="6" t="s">
        <v>3362</v>
      </c>
      <c r="B1974" s="7">
        <v>46085</v>
      </c>
      <c r="C1974" s="6" t="s">
        <v>815</v>
      </c>
      <c r="D1974" s="6" t="s">
        <v>64</v>
      </c>
      <c r="E1974" s="6" t="s">
        <v>78</v>
      </c>
      <c r="F1974" s="6" t="s">
        <v>38</v>
      </c>
      <c r="G1974" s="6" t="s">
        <v>39</v>
      </c>
      <c r="H1974" s="6">
        <v>1</v>
      </c>
      <c r="I1974" s="6" t="s">
        <v>60</v>
      </c>
      <c r="J1974" s="6" t="s">
        <v>60</v>
      </c>
      <c r="K1974" s="6">
        <v>520</v>
      </c>
      <c r="L1974" s="6" t="s">
        <v>42</v>
      </c>
      <c r="M1974" s="6" t="s">
        <v>34</v>
      </c>
    </row>
    <row r="1975" spans="1:13">
      <c r="A1975" s="6" t="s">
        <v>3363</v>
      </c>
      <c r="B1975" s="6" t="s">
        <v>3364</v>
      </c>
      <c r="C1975" s="6" t="s">
        <v>456</v>
      </c>
      <c r="D1975" s="6" t="s">
        <v>45</v>
      </c>
      <c r="E1975" s="6" t="s">
        <v>78</v>
      </c>
      <c r="F1975" s="6" t="s">
        <v>100</v>
      </c>
      <c r="G1975" s="6" t="s">
        <v>101</v>
      </c>
      <c r="H1975" s="6">
        <v>1</v>
      </c>
      <c r="I1975" s="6" t="s">
        <v>79</v>
      </c>
      <c r="J1975" s="6" t="s">
        <v>79</v>
      </c>
      <c r="K1975" s="6">
        <v>640</v>
      </c>
      <c r="L1975" s="6" t="s">
        <v>42</v>
      </c>
      <c r="M1975" s="6" t="s">
        <v>34</v>
      </c>
    </row>
    <row r="1976" spans="1:13">
      <c r="A1976" s="6" t="s">
        <v>3365</v>
      </c>
      <c r="B1976" s="6" t="s">
        <v>2029</v>
      </c>
      <c r="C1976" s="6" t="s">
        <v>379</v>
      </c>
      <c r="D1976" s="6" t="s">
        <v>110</v>
      </c>
      <c r="E1976" s="6" t="s">
        <v>78</v>
      </c>
      <c r="F1976" s="6" t="s">
        <v>29</v>
      </c>
      <c r="G1976" s="6" t="s">
        <v>30</v>
      </c>
      <c r="H1976" s="6">
        <v>3</v>
      </c>
      <c r="I1976" s="6" t="s">
        <v>96</v>
      </c>
      <c r="J1976" s="6" t="s">
        <v>2068</v>
      </c>
      <c r="K1976" s="6">
        <v>520</v>
      </c>
      <c r="L1976" s="6" t="s">
        <v>42</v>
      </c>
      <c r="M1976" s="6" t="s">
        <v>69</v>
      </c>
    </row>
    <row r="1977" spans="1:13">
      <c r="A1977" s="6" t="s">
        <v>3366</v>
      </c>
      <c r="B1977" s="7">
        <v>46057</v>
      </c>
      <c r="C1977" s="6" t="s">
        <v>2668</v>
      </c>
      <c r="D1977" s="6" t="s">
        <v>127</v>
      </c>
      <c r="E1977" s="6" t="s">
        <v>52</v>
      </c>
      <c r="F1977" s="6" t="s">
        <v>58</v>
      </c>
      <c r="G1977" s="6" t="s">
        <v>59</v>
      </c>
      <c r="H1977" s="6">
        <v>1</v>
      </c>
      <c r="I1977" s="6" t="s">
        <v>147</v>
      </c>
      <c r="J1977" s="6" t="s">
        <v>147</v>
      </c>
      <c r="K1977" s="6">
        <v>380</v>
      </c>
      <c r="L1977" s="6" t="s">
        <v>33</v>
      </c>
      <c r="M1977" s="6" t="s">
        <v>34</v>
      </c>
    </row>
    <row r="1978" spans="1:13">
      <c r="A1978" s="6" t="s">
        <v>3367</v>
      </c>
      <c r="B1978" s="6" t="s">
        <v>2312</v>
      </c>
      <c r="C1978" s="6" t="s">
        <v>236</v>
      </c>
      <c r="D1978" s="6" t="s">
        <v>110</v>
      </c>
      <c r="E1978" s="6" t="s">
        <v>78</v>
      </c>
      <c r="F1978" s="6" t="s">
        <v>38</v>
      </c>
      <c r="G1978" s="6" t="s">
        <v>39</v>
      </c>
      <c r="H1978" s="6">
        <v>2</v>
      </c>
      <c r="I1978" s="6" t="s">
        <v>31</v>
      </c>
      <c r="J1978" s="6" t="s">
        <v>249</v>
      </c>
      <c r="K1978" s="6" t="s">
        <v>41</v>
      </c>
      <c r="L1978" s="6" t="s">
        <v>33</v>
      </c>
      <c r="M1978" s="6" t="s">
        <v>34</v>
      </c>
    </row>
    <row r="1979" spans="1:13">
      <c r="A1979" s="6" t="s">
        <v>3368</v>
      </c>
      <c r="B1979" s="7">
        <v>46191</v>
      </c>
      <c r="C1979" s="6" t="s">
        <v>3369</v>
      </c>
      <c r="D1979" s="6" t="s">
        <v>105</v>
      </c>
      <c r="E1979" s="6" t="s">
        <v>78</v>
      </c>
      <c r="F1979" s="6" t="s">
        <v>53</v>
      </c>
      <c r="G1979" s="6" t="s">
        <v>54</v>
      </c>
      <c r="H1979" s="6">
        <v>1</v>
      </c>
      <c r="I1979" s="6" t="s">
        <v>265</v>
      </c>
      <c r="J1979" s="6" t="s">
        <v>265</v>
      </c>
      <c r="K1979" s="6" t="s">
        <v>122</v>
      </c>
      <c r="L1979" s="6" t="s">
        <v>42</v>
      </c>
      <c r="M1979" s="6" t="s">
        <v>34</v>
      </c>
    </row>
    <row r="1980" spans="1:13">
      <c r="A1980" s="6" t="s">
        <v>3370</v>
      </c>
      <c r="B1980" s="6" t="s">
        <v>3371</v>
      </c>
      <c r="C1980" s="6" t="s">
        <v>515</v>
      </c>
      <c r="D1980" s="6" t="s">
        <v>45</v>
      </c>
      <c r="E1980" s="6" t="s">
        <v>52</v>
      </c>
      <c r="F1980" s="6" t="s">
        <v>100</v>
      </c>
      <c r="G1980" s="6" t="s">
        <v>101</v>
      </c>
      <c r="H1980" s="6">
        <v>-1</v>
      </c>
      <c r="I1980" s="6" t="s">
        <v>82</v>
      </c>
      <c r="J1980" s="8" t="s">
        <v>1415</v>
      </c>
      <c r="K1980" s="6" t="s">
        <v>119</v>
      </c>
      <c r="L1980" s="6" t="s">
        <v>42</v>
      </c>
      <c r="M1980" s="6" t="s">
        <v>34</v>
      </c>
    </row>
    <row r="1981" spans="1:13">
      <c r="A1981" s="6" t="s">
        <v>3372</v>
      </c>
      <c r="B1981" s="7">
        <v>46199</v>
      </c>
      <c r="C1981" s="6" t="s">
        <v>1383</v>
      </c>
      <c r="D1981" s="6" t="s">
        <v>64</v>
      </c>
      <c r="E1981" s="6" t="s">
        <v>28</v>
      </c>
      <c r="F1981" s="6" t="s">
        <v>85</v>
      </c>
      <c r="G1981" s="6" t="s">
        <v>86</v>
      </c>
      <c r="H1981" s="6">
        <v>2</v>
      </c>
      <c r="I1981" s="6" t="s">
        <v>40</v>
      </c>
      <c r="J1981" s="6" t="s">
        <v>327</v>
      </c>
      <c r="K1981" s="6" t="s">
        <v>87</v>
      </c>
      <c r="L1981" s="6" t="s">
        <v>42</v>
      </c>
      <c r="M1981" s="6" t="s">
        <v>69</v>
      </c>
    </row>
    <row r="1982" spans="1:13">
      <c r="A1982" s="6" t="s">
        <v>3373</v>
      </c>
      <c r="B1982" s="7">
        <v>46132</v>
      </c>
      <c r="C1982" s="6" t="s">
        <v>2467</v>
      </c>
      <c r="D1982" s="6" t="s">
        <v>57</v>
      </c>
      <c r="E1982" s="6" t="s">
        <v>37</v>
      </c>
      <c r="F1982" s="6" t="s">
        <v>58</v>
      </c>
      <c r="G1982" s="6" t="s">
        <v>59</v>
      </c>
      <c r="H1982" s="6">
        <v>3</v>
      </c>
      <c r="I1982" s="6" t="s">
        <v>60</v>
      </c>
      <c r="J1982" s="6" t="s">
        <v>268</v>
      </c>
      <c r="K1982" s="6" t="s">
        <v>61</v>
      </c>
      <c r="L1982" s="6" t="s">
        <v>42</v>
      </c>
      <c r="M1982" s="6" t="s">
        <v>69</v>
      </c>
    </row>
    <row r="1983" spans="1:13">
      <c r="A1983" s="6" t="s">
        <v>3374</v>
      </c>
      <c r="B1983" s="6" t="s">
        <v>1091</v>
      </c>
      <c r="C1983" s="6" t="s">
        <v>2016</v>
      </c>
      <c r="D1983" s="6" t="s">
        <v>57</v>
      </c>
      <c r="E1983" s="6" t="s">
        <v>78</v>
      </c>
      <c r="F1983" s="6" t="s">
        <v>85</v>
      </c>
      <c r="G1983" s="6" t="s">
        <v>86</v>
      </c>
      <c r="H1983" s="6">
        <v>1</v>
      </c>
      <c r="I1983" s="6" t="s">
        <v>265</v>
      </c>
      <c r="J1983" s="6" t="s">
        <v>265</v>
      </c>
      <c r="K1983" s="6" t="s">
        <v>87</v>
      </c>
      <c r="L1983" s="6" t="s">
        <v>42</v>
      </c>
      <c r="M1983" s="6" t="s">
        <v>34</v>
      </c>
    </row>
    <row r="1984" spans="1:13">
      <c r="A1984" s="6" t="s">
        <v>3375</v>
      </c>
      <c r="B1984" s="6" t="s">
        <v>1074</v>
      </c>
      <c r="C1984" s="6" t="s">
        <v>1135</v>
      </c>
      <c r="D1984" s="6" t="s">
        <v>127</v>
      </c>
      <c r="E1984" s="6" t="s">
        <v>37</v>
      </c>
      <c r="F1984" s="6" t="s">
        <v>38</v>
      </c>
      <c r="G1984" s="6" t="s">
        <v>39</v>
      </c>
      <c r="H1984" s="6">
        <v>2</v>
      </c>
      <c r="I1984" s="6" t="s">
        <v>117</v>
      </c>
      <c r="J1984" s="6" t="s">
        <v>118</v>
      </c>
      <c r="K1984" s="6">
        <v>520</v>
      </c>
      <c r="L1984" s="6" t="s">
        <v>42</v>
      </c>
      <c r="M1984" s="6" t="s">
        <v>69</v>
      </c>
    </row>
    <row r="1985" spans="1:13">
      <c r="A1985" s="6" t="s">
        <v>3376</v>
      </c>
      <c r="B1985" s="7">
        <v>46031</v>
      </c>
      <c r="C1985" s="6" t="s">
        <v>446</v>
      </c>
      <c r="D1985" s="6" t="s">
        <v>45</v>
      </c>
      <c r="E1985" s="6" t="s">
        <v>28</v>
      </c>
      <c r="F1985" s="6" t="s">
        <v>85</v>
      </c>
      <c r="G1985" s="6" t="s">
        <v>86</v>
      </c>
      <c r="H1985" s="6">
        <v>1</v>
      </c>
      <c r="I1985" s="6" t="s">
        <v>117</v>
      </c>
      <c r="J1985" s="6" t="s">
        <v>117</v>
      </c>
      <c r="K1985" s="6">
        <v>410</v>
      </c>
      <c r="L1985" s="6" t="s">
        <v>42</v>
      </c>
      <c r="M1985" s="6" t="s">
        <v>34</v>
      </c>
    </row>
    <row r="1986" spans="1:13">
      <c r="A1986" s="6" t="s">
        <v>3377</v>
      </c>
      <c r="B1986" s="7">
        <v>46327</v>
      </c>
      <c r="C1986" s="6" t="s">
        <v>3378</v>
      </c>
      <c r="D1986" s="6" t="s">
        <v>64</v>
      </c>
      <c r="E1986" s="6" t="s">
        <v>46</v>
      </c>
      <c r="F1986" s="6" t="s">
        <v>58</v>
      </c>
      <c r="G1986" s="6" t="s">
        <v>59</v>
      </c>
      <c r="H1986" s="6">
        <v>2</v>
      </c>
      <c r="I1986" s="6" t="s">
        <v>117</v>
      </c>
      <c r="J1986" s="6" t="s">
        <v>118</v>
      </c>
      <c r="K1986" s="6">
        <v>380</v>
      </c>
      <c r="L1986" s="6" t="s">
        <v>42</v>
      </c>
      <c r="M1986" s="6" t="s">
        <v>34</v>
      </c>
    </row>
    <row r="1987" spans="1:13">
      <c r="A1987" s="6" t="s">
        <v>3379</v>
      </c>
      <c r="B1987" s="7">
        <v>46128</v>
      </c>
      <c r="C1987" s="6" t="s">
        <v>3380</v>
      </c>
      <c r="D1987" s="6" t="s">
        <v>57</v>
      </c>
      <c r="E1987" s="6" t="s">
        <v>78</v>
      </c>
      <c r="F1987" s="6" t="s">
        <v>47</v>
      </c>
      <c r="G1987" s="6" t="s">
        <v>48</v>
      </c>
      <c r="H1987" s="6">
        <v>2</v>
      </c>
      <c r="I1987" s="6" t="s">
        <v>117</v>
      </c>
      <c r="J1987" s="6" t="s">
        <v>118</v>
      </c>
      <c r="K1987" s="6">
        <v>85</v>
      </c>
      <c r="L1987" s="6" t="s">
        <v>42</v>
      </c>
      <c r="M1987" s="6" t="s">
        <v>34</v>
      </c>
    </row>
    <row r="1988" spans="1:13">
      <c r="A1988" s="6" t="s">
        <v>3381</v>
      </c>
      <c r="B1988" s="7">
        <v>46075</v>
      </c>
      <c r="C1988" s="6" t="s">
        <v>3382</v>
      </c>
      <c r="D1988" s="6" t="s">
        <v>64</v>
      </c>
      <c r="E1988" s="6" t="s">
        <v>37</v>
      </c>
      <c r="F1988" s="6" t="s">
        <v>100</v>
      </c>
      <c r="G1988" s="6" t="s">
        <v>101</v>
      </c>
      <c r="H1988" s="6">
        <v>1</v>
      </c>
      <c r="I1988" s="6" t="s">
        <v>143</v>
      </c>
      <c r="J1988" s="6" t="s">
        <v>143</v>
      </c>
      <c r="K1988" s="6">
        <v>640</v>
      </c>
      <c r="L1988" s="6" t="s">
        <v>33</v>
      </c>
      <c r="M1988" s="6" t="s">
        <v>34</v>
      </c>
    </row>
    <row r="1989" spans="1:13">
      <c r="A1989" s="6" t="s">
        <v>3383</v>
      </c>
      <c r="B1989" s="7">
        <v>46194</v>
      </c>
      <c r="C1989" s="6" t="s">
        <v>1495</v>
      </c>
      <c r="D1989" s="6" t="s">
        <v>57</v>
      </c>
      <c r="E1989" s="6" t="s">
        <v>28</v>
      </c>
      <c r="F1989" s="6" t="s">
        <v>47</v>
      </c>
      <c r="G1989" s="6" t="s">
        <v>48</v>
      </c>
      <c r="H1989" s="6">
        <v>2</v>
      </c>
      <c r="I1989" s="6" t="s">
        <v>181</v>
      </c>
      <c r="J1989" s="6" t="s">
        <v>163</v>
      </c>
      <c r="K1989" s="6" t="s">
        <v>49</v>
      </c>
      <c r="L1989" s="6" t="s">
        <v>42</v>
      </c>
      <c r="M1989" s="6" t="s">
        <v>34</v>
      </c>
    </row>
    <row r="1990" spans="1:13">
      <c r="A1990" s="6" t="s">
        <v>3384</v>
      </c>
      <c r="B1990" s="6" t="s">
        <v>197</v>
      </c>
      <c r="C1990" s="6" t="s">
        <v>1030</v>
      </c>
      <c r="D1990" s="6" t="s">
        <v>110</v>
      </c>
      <c r="E1990" s="6" t="s">
        <v>37</v>
      </c>
      <c r="F1990" s="6" t="s">
        <v>47</v>
      </c>
      <c r="G1990" s="6" t="s">
        <v>48</v>
      </c>
      <c r="H1990" s="6">
        <v>1</v>
      </c>
      <c r="I1990" s="6" t="s">
        <v>1430</v>
      </c>
      <c r="J1990" s="6" t="s">
        <v>143</v>
      </c>
      <c r="K1990" s="6" t="s">
        <v>49</v>
      </c>
      <c r="L1990" s="6" t="s">
        <v>42</v>
      </c>
      <c r="M1990" s="6" t="s">
        <v>69</v>
      </c>
    </row>
    <row r="1991" spans="1:13">
      <c r="A1991" s="6" t="s">
        <v>3385</v>
      </c>
      <c r="B1991" s="7">
        <v>46157</v>
      </c>
      <c r="C1991" s="6" t="s">
        <v>150</v>
      </c>
      <c r="D1991" s="6" t="s">
        <v>64</v>
      </c>
      <c r="E1991" s="6" t="s">
        <v>28</v>
      </c>
      <c r="F1991" s="6" t="s">
        <v>85</v>
      </c>
      <c r="G1991" s="6" t="s">
        <v>86</v>
      </c>
      <c r="H1991" s="6">
        <v>2</v>
      </c>
      <c r="I1991" s="6" t="s">
        <v>769</v>
      </c>
      <c r="J1991" s="6" t="s">
        <v>189</v>
      </c>
      <c r="K1991" s="6" t="s">
        <v>87</v>
      </c>
      <c r="L1991" s="6" t="s">
        <v>42</v>
      </c>
      <c r="M1991" s="6" t="s">
        <v>34</v>
      </c>
    </row>
    <row r="1992" spans="1:13">
      <c r="A1992" s="6" t="s">
        <v>3386</v>
      </c>
      <c r="B1992" s="7">
        <v>46197</v>
      </c>
      <c r="C1992" s="6" t="s">
        <v>1515</v>
      </c>
      <c r="D1992" s="6" t="s">
        <v>45</v>
      </c>
      <c r="E1992" s="6" t="s">
        <v>78</v>
      </c>
      <c r="F1992" s="6" t="s">
        <v>100</v>
      </c>
      <c r="G1992" s="6" t="s">
        <v>101</v>
      </c>
      <c r="H1992" s="6">
        <v>2</v>
      </c>
      <c r="I1992" s="6" t="s">
        <v>96</v>
      </c>
      <c r="J1992" s="6" t="s">
        <v>278</v>
      </c>
      <c r="K1992" s="6" t="s">
        <v>119</v>
      </c>
      <c r="L1992" s="6" t="s">
        <v>42</v>
      </c>
      <c r="M1992" s="6" t="s">
        <v>34</v>
      </c>
    </row>
    <row r="1993" spans="1:13">
      <c r="A1993" s="6" t="s">
        <v>3387</v>
      </c>
      <c r="B1993" s="7">
        <v>46116</v>
      </c>
      <c r="C1993" s="6" t="s">
        <v>3388</v>
      </c>
      <c r="D1993" s="6" t="s">
        <v>110</v>
      </c>
      <c r="E1993" s="6" t="s">
        <v>37</v>
      </c>
      <c r="F1993" s="6" t="s">
        <v>29</v>
      </c>
      <c r="G1993" s="6" t="s">
        <v>30</v>
      </c>
      <c r="H1993" s="6">
        <v>3</v>
      </c>
      <c r="I1993" s="6" t="s">
        <v>60</v>
      </c>
      <c r="J1993" s="6" t="s">
        <v>268</v>
      </c>
      <c r="K1993" s="6">
        <v>520</v>
      </c>
      <c r="L1993" s="6" t="s">
        <v>33</v>
      </c>
      <c r="M1993" s="6" t="s">
        <v>34</v>
      </c>
    </row>
    <row r="1994" spans="1:13">
      <c r="A1994" s="6" t="s">
        <v>3389</v>
      </c>
      <c r="B1994" s="7">
        <v>46142</v>
      </c>
      <c r="C1994" s="6" t="s">
        <v>2500</v>
      </c>
      <c r="D1994" s="6" t="s">
        <v>127</v>
      </c>
      <c r="E1994" s="6" t="s">
        <v>78</v>
      </c>
      <c r="F1994" s="6" t="s">
        <v>47</v>
      </c>
      <c r="G1994" s="6" t="s">
        <v>48</v>
      </c>
      <c r="H1994" s="6">
        <v>2</v>
      </c>
      <c r="I1994" s="6" t="s">
        <v>143</v>
      </c>
      <c r="J1994" s="6" t="s">
        <v>144</v>
      </c>
      <c r="K1994" s="6" t="s">
        <v>49</v>
      </c>
      <c r="L1994" s="6" t="s">
        <v>33</v>
      </c>
      <c r="M1994" s="6" t="s">
        <v>69</v>
      </c>
    </row>
    <row r="1995" spans="1:13">
      <c r="A1995" s="6" t="s">
        <v>3390</v>
      </c>
      <c r="B1995" s="7">
        <v>46187</v>
      </c>
      <c r="C1995" s="6" t="s">
        <v>3391</v>
      </c>
      <c r="D1995" s="6" t="s">
        <v>127</v>
      </c>
      <c r="E1995" s="6" t="s">
        <v>37</v>
      </c>
      <c r="F1995" s="6" t="s">
        <v>38</v>
      </c>
      <c r="G1995" s="6" t="s">
        <v>39</v>
      </c>
      <c r="H1995" s="6">
        <v>2</v>
      </c>
      <c r="I1995" s="6" t="s">
        <v>113</v>
      </c>
      <c r="J1995" s="6" t="s">
        <v>192</v>
      </c>
      <c r="K1995" s="6" t="s">
        <v>41</v>
      </c>
      <c r="L1995" s="6" t="s">
        <v>42</v>
      </c>
      <c r="M1995" s="6" t="s">
        <v>34</v>
      </c>
    </row>
    <row r="1996" spans="1:13">
      <c r="A1996" s="6" t="s">
        <v>3392</v>
      </c>
      <c r="B1996" s="7">
        <v>46055</v>
      </c>
      <c r="C1996" s="6" t="s">
        <v>2585</v>
      </c>
      <c r="D1996" s="6" t="s">
        <v>105</v>
      </c>
      <c r="E1996" s="6" t="s">
        <v>37</v>
      </c>
      <c r="F1996" s="6" t="s">
        <v>58</v>
      </c>
      <c r="G1996" s="6" t="s">
        <v>59</v>
      </c>
      <c r="H1996" s="6">
        <v>2</v>
      </c>
      <c r="I1996" s="6" t="s">
        <v>181</v>
      </c>
      <c r="J1996" s="6" t="s">
        <v>163</v>
      </c>
      <c r="K1996" s="6">
        <v>380</v>
      </c>
      <c r="L1996" s="6" t="s">
        <v>42</v>
      </c>
      <c r="M1996" s="6" t="s">
        <v>69</v>
      </c>
    </row>
    <row r="1997" spans="1:13">
      <c r="A1997" s="6" t="s">
        <v>3393</v>
      </c>
      <c r="B1997" s="7">
        <v>46087</v>
      </c>
      <c r="C1997" s="6" t="s">
        <v>3394</v>
      </c>
      <c r="D1997" s="6" t="s">
        <v>45</v>
      </c>
      <c r="E1997" s="6" t="s">
        <v>28</v>
      </c>
      <c r="F1997" s="6" t="s">
        <v>58</v>
      </c>
      <c r="G1997" s="6" t="s">
        <v>59</v>
      </c>
      <c r="H1997" s="6">
        <v>1</v>
      </c>
      <c r="I1997" s="6" t="s">
        <v>73</v>
      </c>
      <c r="J1997" s="6" t="s">
        <v>73</v>
      </c>
      <c r="K1997" s="6">
        <v>380</v>
      </c>
      <c r="L1997" s="6" t="s">
        <v>42</v>
      </c>
      <c r="M1997" s="6" t="s">
        <v>34</v>
      </c>
    </row>
    <row r="1998" spans="1:13">
      <c r="A1998" s="6" t="s">
        <v>3395</v>
      </c>
      <c r="B1998" s="7">
        <v>46065</v>
      </c>
      <c r="C1998" s="6" t="s">
        <v>2470</v>
      </c>
      <c r="D1998" s="6" t="s">
        <v>45</v>
      </c>
      <c r="E1998" s="6" t="s">
        <v>78</v>
      </c>
      <c r="F1998" s="6" t="s">
        <v>58</v>
      </c>
      <c r="G1998" s="6" t="s">
        <v>59</v>
      </c>
      <c r="H1998" s="6">
        <v>1</v>
      </c>
      <c r="I1998" s="6" t="s">
        <v>96</v>
      </c>
      <c r="J1998" s="6" t="s">
        <v>96</v>
      </c>
      <c r="K1998" s="6">
        <v>380</v>
      </c>
      <c r="L1998" s="6" t="s">
        <v>42</v>
      </c>
      <c r="M1998" s="6" t="s">
        <v>34</v>
      </c>
    </row>
    <row r="1999" spans="1:13">
      <c r="A1999" s="6" t="s">
        <v>3396</v>
      </c>
      <c r="B1999" s="7">
        <v>46061</v>
      </c>
      <c r="C1999" s="6" t="s">
        <v>2988</v>
      </c>
      <c r="D1999" s="6" t="s">
        <v>77</v>
      </c>
      <c r="E1999" s="6" t="s">
        <v>46</v>
      </c>
      <c r="F1999" s="6" t="s">
        <v>100</v>
      </c>
      <c r="G1999" s="6" t="s">
        <v>101</v>
      </c>
      <c r="H1999" s="6">
        <v>1</v>
      </c>
      <c r="I1999" s="6" t="s">
        <v>31</v>
      </c>
      <c r="J1999" s="6" t="s">
        <v>31</v>
      </c>
      <c r="K1999" s="6">
        <v>640</v>
      </c>
      <c r="L1999" s="6" t="s">
        <v>42</v>
      </c>
      <c r="M1999" s="6" t="s">
        <v>69</v>
      </c>
    </row>
    <row r="2000" spans="1:13">
      <c r="A2000" s="6" t="s">
        <v>3397</v>
      </c>
      <c r="B2000" s="7">
        <v>46093</v>
      </c>
      <c r="C2000" s="6" t="s">
        <v>389</v>
      </c>
      <c r="D2000" s="6" t="s">
        <v>110</v>
      </c>
      <c r="E2000" s="6" t="s">
        <v>37</v>
      </c>
      <c r="F2000" s="6" t="s">
        <v>29</v>
      </c>
      <c r="G2000" s="6" t="s">
        <v>30</v>
      </c>
      <c r="H2000" s="6">
        <v>3</v>
      </c>
      <c r="I2000" s="6" t="s">
        <v>265</v>
      </c>
      <c r="J2000" s="6" t="s">
        <v>401</v>
      </c>
      <c r="K2000" s="6">
        <v>520</v>
      </c>
      <c r="L2000" s="6" t="s">
        <v>42</v>
      </c>
      <c r="M2000" s="6" t="s">
        <v>34</v>
      </c>
    </row>
    <row r="2001" spans="1:13">
      <c r="A2001" s="6" t="s">
        <v>2134</v>
      </c>
      <c r="B2001" s="7">
        <v>46160</v>
      </c>
      <c r="C2001" s="6" t="s">
        <v>1380</v>
      </c>
      <c r="D2001" s="6" t="s">
        <v>77</v>
      </c>
      <c r="E2001" s="6" t="s">
        <v>78</v>
      </c>
      <c r="F2001" s="6" t="s">
        <v>29</v>
      </c>
      <c r="G2001" s="6" t="s">
        <v>30</v>
      </c>
      <c r="H2001" s="6">
        <v>3</v>
      </c>
      <c r="I2001" s="6" t="s">
        <v>143</v>
      </c>
      <c r="J2001" s="6" t="s">
        <v>243</v>
      </c>
      <c r="K2001" s="6" t="s">
        <v>41</v>
      </c>
      <c r="L2001" s="6" t="s">
        <v>33</v>
      </c>
      <c r="M2001" s="6" t="s">
        <v>69</v>
      </c>
    </row>
    <row r="2002" spans="1:13">
      <c r="A2002" s="6" t="s">
        <v>3398</v>
      </c>
      <c r="B2002" s="7">
        <v>46144</v>
      </c>
      <c r="C2002" s="6" t="s">
        <v>1349</v>
      </c>
      <c r="D2002" s="6" t="s">
        <v>27</v>
      </c>
      <c r="E2002" s="6" t="s">
        <v>46</v>
      </c>
      <c r="F2002" s="6" t="s">
        <v>94</v>
      </c>
      <c r="G2002" s="6" t="s">
        <v>95</v>
      </c>
      <c r="H2002" s="6">
        <v>2</v>
      </c>
      <c r="I2002" s="6" t="s">
        <v>31</v>
      </c>
      <c r="J2002" s="6" t="s">
        <v>249</v>
      </c>
      <c r="K2002" s="6" t="s">
        <v>114</v>
      </c>
      <c r="L2002" s="6" t="s">
        <v>33</v>
      </c>
      <c r="M2002" s="6" t="s">
        <v>34</v>
      </c>
    </row>
    <row r="2003" spans="1:13">
      <c r="A2003" s="6" t="s">
        <v>3399</v>
      </c>
      <c r="B2003" s="7">
        <v>46133</v>
      </c>
      <c r="C2003" s="6" t="s">
        <v>3400</v>
      </c>
      <c r="D2003" s="6" t="s">
        <v>72</v>
      </c>
      <c r="E2003" s="6" t="s">
        <v>52</v>
      </c>
      <c r="F2003" s="6" t="s">
        <v>100</v>
      </c>
      <c r="G2003" s="6" t="s">
        <v>101</v>
      </c>
      <c r="H2003" s="6">
        <v>2</v>
      </c>
      <c r="I2003" s="6" t="s">
        <v>143</v>
      </c>
      <c r="J2003" s="6" t="s">
        <v>3401</v>
      </c>
      <c r="K2003" s="6" t="s">
        <v>119</v>
      </c>
      <c r="L2003" s="6" t="s">
        <v>42</v>
      </c>
      <c r="M2003" s="6" t="s">
        <v>34</v>
      </c>
    </row>
    <row r="2004" spans="1:13">
      <c r="A2004" s="6" t="s">
        <v>3402</v>
      </c>
      <c r="B2004" s="7">
        <v>46131</v>
      </c>
      <c r="C2004" s="6" t="s">
        <v>3403</v>
      </c>
      <c r="D2004" s="6" t="s">
        <v>45</v>
      </c>
      <c r="E2004" s="6" t="s">
        <v>28</v>
      </c>
      <c r="F2004" s="6" t="s">
        <v>58</v>
      </c>
      <c r="G2004" s="6" t="s">
        <v>59</v>
      </c>
      <c r="H2004" s="6">
        <v>1</v>
      </c>
      <c r="I2004" s="6" t="s">
        <v>90</v>
      </c>
      <c r="J2004" s="6" t="s">
        <v>90</v>
      </c>
      <c r="K2004" s="6">
        <v>380</v>
      </c>
      <c r="L2004" s="6" t="s">
        <v>42</v>
      </c>
      <c r="M2004" s="6" t="s">
        <v>69</v>
      </c>
    </row>
    <row r="2005" spans="1:13">
      <c r="A2005" s="6" t="s">
        <v>3404</v>
      </c>
      <c r="B2005" s="7">
        <v>46071</v>
      </c>
      <c r="C2005" s="6" t="s">
        <v>1793</v>
      </c>
      <c r="D2005" s="6" t="s">
        <v>64</v>
      </c>
      <c r="E2005" s="6" t="s">
        <v>37</v>
      </c>
      <c r="F2005" s="6" t="s">
        <v>53</v>
      </c>
      <c r="G2005" s="6" t="s">
        <v>54</v>
      </c>
      <c r="H2005" s="6">
        <v>1</v>
      </c>
      <c r="I2005" s="6" t="s">
        <v>96</v>
      </c>
      <c r="J2005" s="6" t="s">
        <v>96</v>
      </c>
      <c r="K2005" s="6">
        <v>190</v>
      </c>
      <c r="L2005" s="6" t="s">
        <v>42</v>
      </c>
      <c r="M2005" s="6" t="s">
        <v>34</v>
      </c>
    </row>
    <row r="2006" spans="1:13">
      <c r="A2006" s="6" t="s">
        <v>3405</v>
      </c>
      <c r="B2006" s="7">
        <v>46080</v>
      </c>
      <c r="C2006" s="6" t="s">
        <v>2613</v>
      </c>
      <c r="D2006" s="6" t="s">
        <v>45</v>
      </c>
      <c r="E2006" s="6" t="s">
        <v>52</v>
      </c>
      <c r="F2006" s="6" t="s">
        <v>85</v>
      </c>
      <c r="G2006" s="6" t="s">
        <v>86</v>
      </c>
      <c r="H2006" s="6">
        <v>1</v>
      </c>
      <c r="I2006" s="6" t="s">
        <v>73</v>
      </c>
      <c r="J2006" s="6" t="s">
        <v>73</v>
      </c>
      <c r="K2006" s="6">
        <v>410</v>
      </c>
      <c r="L2006" s="6" t="s">
        <v>42</v>
      </c>
      <c r="M2006" s="6" t="s">
        <v>69</v>
      </c>
    </row>
    <row r="2007" spans="1:13">
      <c r="A2007" s="6" t="s">
        <v>3406</v>
      </c>
      <c r="B2007" s="7">
        <v>46066</v>
      </c>
      <c r="C2007" s="6" t="s">
        <v>3349</v>
      </c>
      <c r="D2007" s="6" t="s">
        <v>57</v>
      </c>
      <c r="E2007" s="6" t="s">
        <v>78</v>
      </c>
      <c r="F2007" s="6" t="s">
        <v>58</v>
      </c>
      <c r="G2007" s="6" t="s">
        <v>59</v>
      </c>
      <c r="H2007" s="6">
        <v>-1</v>
      </c>
      <c r="I2007" s="6" t="s">
        <v>96</v>
      </c>
      <c r="J2007" s="8" t="s">
        <v>3407</v>
      </c>
      <c r="K2007" s="6">
        <v>380</v>
      </c>
      <c r="L2007" s="6" t="s">
        <v>42</v>
      </c>
      <c r="M2007" s="6" t="s">
        <v>34</v>
      </c>
    </row>
    <row r="2008" spans="1:13">
      <c r="A2008" s="6" t="s">
        <v>3408</v>
      </c>
      <c r="B2008" s="7">
        <v>46205</v>
      </c>
      <c r="C2008" s="6" t="s">
        <v>3409</v>
      </c>
      <c r="D2008" s="6" t="s">
        <v>77</v>
      </c>
      <c r="E2008" s="6" t="s">
        <v>52</v>
      </c>
      <c r="F2008" s="6" t="s">
        <v>94</v>
      </c>
      <c r="G2008" s="6" t="s">
        <v>95</v>
      </c>
      <c r="H2008" s="6">
        <v>3</v>
      </c>
      <c r="I2008" s="6" t="s">
        <v>90</v>
      </c>
      <c r="J2008" s="6" t="s">
        <v>102</v>
      </c>
      <c r="K2008" s="6" t="s">
        <v>114</v>
      </c>
      <c r="L2008" s="6" t="s">
        <v>42</v>
      </c>
      <c r="M2008" s="6" t="s">
        <v>34</v>
      </c>
    </row>
    <row r="2009" spans="1:13">
      <c r="A2009" s="6" t="s">
        <v>3410</v>
      </c>
      <c r="B2009" s="7">
        <v>46150</v>
      </c>
      <c r="C2009" s="6" t="s">
        <v>1371</v>
      </c>
      <c r="D2009" s="6" t="s">
        <v>110</v>
      </c>
      <c r="E2009" s="6" t="s">
        <v>37</v>
      </c>
      <c r="F2009" s="6" t="s">
        <v>100</v>
      </c>
      <c r="G2009" s="6" t="s">
        <v>101</v>
      </c>
      <c r="H2009" s="6">
        <v>2</v>
      </c>
      <c r="I2009" s="6" t="s">
        <v>231</v>
      </c>
      <c r="J2009" s="6" t="s">
        <v>232</v>
      </c>
      <c r="K2009" s="6" t="s">
        <v>119</v>
      </c>
      <c r="L2009" s="6" t="s">
        <v>42</v>
      </c>
      <c r="M2009" s="6" t="s">
        <v>34</v>
      </c>
    </row>
    <row r="2010" spans="1:13">
      <c r="A2010" s="6" t="s">
        <v>3411</v>
      </c>
      <c r="B2010" s="7">
        <v>46194</v>
      </c>
      <c r="C2010" s="6" t="s">
        <v>1100</v>
      </c>
      <c r="D2010" s="6" t="s">
        <v>57</v>
      </c>
      <c r="E2010" s="6" t="s">
        <v>37</v>
      </c>
      <c r="F2010" s="6" t="s">
        <v>38</v>
      </c>
      <c r="G2010" s="6" t="s">
        <v>39</v>
      </c>
      <c r="H2010" s="6">
        <v>3</v>
      </c>
      <c r="I2010" s="6" t="s">
        <v>113</v>
      </c>
      <c r="J2010" s="6" t="s">
        <v>138</v>
      </c>
      <c r="K2010" s="6" t="s">
        <v>41</v>
      </c>
      <c r="L2010" s="6" t="s">
        <v>42</v>
      </c>
      <c r="M2010" s="6" t="s">
        <v>34</v>
      </c>
    </row>
    <row r="2011" spans="1:13">
      <c r="A2011" s="6" t="s">
        <v>3412</v>
      </c>
      <c r="B2011" s="6" t="s">
        <v>1000</v>
      </c>
      <c r="C2011" s="6" t="s">
        <v>1265</v>
      </c>
      <c r="D2011" s="6" t="s">
        <v>45</v>
      </c>
      <c r="E2011" s="6" t="s">
        <v>46</v>
      </c>
      <c r="F2011" s="6" t="s">
        <v>53</v>
      </c>
      <c r="G2011" s="6" t="s">
        <v>54</v>
      </c>
      <c r="H2011" s="6">
        <v>2</v>
      </c>
      <c r="I2011" s="6" t="s">
        <v>79</v>
      </c>
      <c r="J2011" s="6" t="s">
        <v>259</v>
      </c>
      <c r="K2011" s="6" t="s">
        <v>122</v>
      </c>
      <c r="L2011" s="6" t="s">
        <v>42</v>
      </c>
      <c r="M2011" s="6" t="s">
        <v>34</v>
      </c>
    </row>
    <row r="2012" spans="1:13">
      <c r="A2012" s="6" t="s">
        <v>3413</v>
      </c>
      <c r="B2012" s="7">
        <v>46070</v>
      </c>
      <c r="C2012" s="6" t="s">
        <v>2661</v>
      </c>
      <c r="D2012" s="6" t="s">
        <v>110</v>
      </c>
      <c r="E2012" s="6" t="s">
        <v>28</v>
      </c>
      <c r="F2012" s="6" t="s">
        <v>58</v>
      </c>
      <c r="G2012" s="6" t="s">
        <v>59</v>
      </c>
      <c r="H2012" s="6">
        <v>1</v>
      </c>
      <c r="I2012" s="6" t="s">
        <v>79</v>
      </c>
      <c r="J2012" s="6" t="s">
        <v>3414</v>
      </c>
      <c r="K2012" s="6">
        <v>380</v>
      </c>
      <c r="L2012" s="6" t="s">
        <v>42</v>
      </c>
      <c r="M2012" s="6" t="s">
        <v>34</v>
      </c>
    </row>
    <row r="2013" spans="1:13">
      <c r="A2013" s="6" t="s">
        <v>3415</v>
      </c>
      <c r="B2013" s="7">
        <v>46188</v>
      </c>
      <c r="C2013" s="6" t="s">
        <v>3416</v>
      </c>
      <c r="D2013" s="6" t="s">
        <v>127</v>
      </c>
      <c r="E2013" s="6" t="s">
        <v>37</v>
      </c>
      <c r="F2013" s="6" t="s">
        <v>100</v>
      </c>
      <c r="G2013" s="6" t="s">
        <v>101</v>
      </c>
      <c r="H2013" s="6">
        <v>2</v>
      </c>
      <c r="I2013" s="6" t="s">
        <v>79</v>
      </c>
      <c r="J2013" s="6" t="s">
        <v>259</v>
      </c>
      <c r="K2013" s="6" t="s">
        <v>119</v>
      </c>
      <c r="L2013" s="6" t="s">
        <v>42</v>
      </c>
      <c r="M2013" s="6" t="s">
        <v>34</v>
      </c>
    </row>
    <row r="2014" spans="1:13">
      <c r="A2014" s="6" t="s">
        <v>3417</v>
      </c>
      <c r="B2014" s="7">
        <v>46128</v>
      </c>
      <c r="C2014" s="6" t="s">
        <v>3418</v>
      </c>
      <c r="D2014" s="6" t="s">
        <v>72</v>
      </c>
      <c r="E2014" s="6" t="s">
        <v>37</v>
      </c>
      <c r="F2014" s="6" t="s">
        <v>53</v>
      </c>
      <c r="G2014" s="6" t="s">
        <v>54</v>
      </c>
      <c r="H2014" s="6">
        <v>1</v>
      </c>
      <c r="I2014" s="6" t="s">
        <v>147</v>
      </c>
      <c r="J2014" s="6" t="s">
        <v>147</v>
      </c>
      <c r="K2014" s="6">
        <v>190</v>
      </c>
      <c r="L2014" s="6" t="s">
        <v>33</v>
      </c>
      <c r="M2014" s="6" t="s">
        <v>69</v>
      </c>
    </row>
    <row r="2015" spans="1:13">
      <c r="A2015" s="6" t="s">
        <v>3419</v>
      </c>
      <c r="B2015" s="7">
        <v>46207</v>
      </c>
      <c r="C2015" s="6" t="s">
        <v>2123</v>
      </c>
      <c r="D2015" s="6" t="s">
        <v>105</v>
      </c>
      <c r="E2015" s="6" t="s">
        <v>28</v>
      </c>
      <c r="F2015" s="6" t="s">
        <v>53</v>
      </c>
      <c r="G2015" s="6" t="s">
        <v>54</v>
      </c>
      <c r="H2015" s="6">
        <v>3</v>
      </c>
      <c r="I2015" s="6" t="s">
        <v>31</v>
      </c>
      <c r="J2015" s="6" t="s">
        <v>337</v>
      </c>
      <c r="K2015" s="6" t="s">
        <v>122</v>
      </c>
      <c r="L2015" s="6" t="s">
        <v>33</v>
      </c>
      <c r="M2015" s="6" t="s">
        <v>34</v>
      </c>
    </row>
    <row r="2016" spans="1:13">
      <c r="A2016" s="6" t="s">
        <v>3420</v>
      </c>
      <c r="B2016" s="7">
        <v>46148</v>
      </c>
      <c r="C2016" s="6" t="s">
        <v>1386</v>
      </c>
      <c r="D2016" s="6" t="s">
        <v>27</v>
      </c>
      <c r="E2016" s="6" t="s">
        <v>52</v>
      </c>
      <c r="F2016" s="6" t="s">
        <v>94</v>
      </c>
      <c r="G2016" s="6" t="s">
        <v>95</v>
      </c>
      <c r="H2016" s="6">
        <v>2</v>
      </c>
      <c r="I2016" s="6" t="s">
        <v>73</v>
      </c>
      <c r="J2016" s="6" t="s">
        <v>74</v>
      </c>
      <c r="K2016" s="6" t="s">
        <v>114</v>
      </c>
      <c r="L2016" s="6" t="s">
        <v>42</v>
      </c>
      <c r="M2016" s="6" t="s">
        <v>34</v>
      </c>
    </row>
    <row r="2017" spans="1:13">
      <c r="A2017" s="6" t="s">
        <v>3421</v>
      </c>
      <c r="B2017" s="7">
        <v>46088</v>
      </c>
      <c r="C2017" s="6" t="s">
        <v>2375</v>
      </c>
      <c r="D2017" s="6" t="s">
        <v>110</v>
      </c>
      <c r="E2017" s="6" t="s">
        <v>28</v>
      </c>
      <c r="F2017" s="6" t="s">
        <v>85</v>
      </c>
      <c r="G2017" s="6" t="s">
        <v>86</v>
      </c>
      <c r="H2017" s="6">
        <v>1</v>
      </c>
      <c r="I2017" s="6" t="s">
        <v>67</v>
      </c>
      <c r="J2017" s="6" t="s">
        <v>67</v>
      </c>
      <c r="K2017" s="6">
        <v>410</v>
      </c>
      <c r="L2017" s="6" t="s">
        <v>42</v>
      </c>
      <c r="M2017" s="6" t="s">
        <v>34</v>
      </c>
    </row>
    <row r="2018" spans="1:13">
      <c r="A2018" s="6" t="s">
        <v>3422</v>
      </c>
      <c r="B2018" s="7">
        <v>46176</v>
      </c>
      <c r="C2018" s="6" t="s">
        <v>202</v>
      </c>
      <c r="D2018" s="6" t="s">
        <v>110</v>
      </c>
      <c r="E2018" s="6" t="s">
        <v>78</v>
      </c>
      <c r="F2018" s="6" t="s">
        <v>29</v>
      </c>
      <c r="G2018" s="6" t="s">
        <v>30</v>
      </c>
      <c r="H2018" s="6">
        <v>2</v>
      </c>
      <c r="I2018" s="6" t="s">
        <v>79</v>
      </c>
      <c r="J2018" s="6" t="s">
        <v>259</v>
      </c>
      <c r="K2018" s="6" t="s">
        <v>41</v>
      </c>
      <c r="L2018" s="6" t="s">
        <v>42</v>
      </c>
      <c r="M2018" s="6" t="s">
        <v>34</v>
      </c>
    </row>
    <row r="2019" spans="1:13">
      <c r="A2019" s="6" t="s">
        <v>3423</v>
      </c>
      <c r="B2019" s="7">
        <v>46116</v>
      </c>
      <c r="C2019" s="6" t="s">
        <v>1386</v>
      </c>
      <c r="D2019" s="6" t="s">
        <v>57</v>
      </c>
      <c r="E2019" s="6" t="s">
        <v>52</v>
      </c>
      <c r="F2019" s="6" t="s">
        <v>94</v>
      </c>
      <c r="G2019" s="6" t="s">
        <v>95</v>
      </c>
      <c r="H2019" s="6">
        <v>3</v>
      </c>
      <c r="I2019" s="6" t="s">
        <v>447</v>
      </c>
      <c r="J2019" s="6" t="s">
        <v>102</v>
      </c>
      <c r="K2019" s="6">
        <v>340</v>
      </c>
      <c r="L2019" s="6" t="s">
        <v>33</v>
      </c>
      <c r="M2019" s="6" t="s">
        <v>34</v>
      </c>
    </row>
    <row r="2020" spans="1:13">
      <c r="A2020" s="6" t="s">
        <v>3424</v>
      </c>
      <c r="B2020" s="6" t="s">
        <v>786</v>
      </c>
      <c r="C2020" s="6" t="s">
        <v>1971</v>
      </c>
      <c r="D2020" s="6" t="s">
        <v>72</v>
      </c>
      <c r="E2020" s="6" t="s">
        <v>46</v>
      </c>
      <c r="F2020" s="6" t="s">
        <v>29</v>
      </c>
      <c r="G2020" s="6" t="s">
        <v>30</v>
      </c>
      <c r="H2020" s="6">
        <v>1</v>
      </c>
      <c r="I2020" s="6" t="s">
        <v>231</v>
      </c>
      <c r="J2020" s="6" t="s">
        <v>231</v>
      </c>
      <c r="K2020" s="6">
        <v>520</v>
      </c>
      <c r="L2020" s="6" t="s">
        <v>33</v>
      </c>
      <c r="M2020" s="6" t="s">
        <v>34</v>
      </c>
    </row>
    <row r="2021" spans="1:13">
      <c r="A2021" s="6" t="s">
        <v>3425</v>
      </c>
      <c r="B2021" s="7">
        <v>46054</v>
      </c>
      <c r="C2021" s="6" t="s">
        <v>2919</v>
      </c>
      <c r="D2021" s="6" t="s">
        <v>45</v>
      </c>
      <c r="E2021" s="6" t="s">
        <v>52</v>
      </c>
      <c r="F2021" s="6" t="s">
        <v>58</v>
      </c>
      <c r="G2021" s="6" t="s">
        <v>59</v>
      </c>
      <c r="H2021" s="6">
        <v>2</v>
      </c>
      <c r="I2021" s="6" t="s">
        <v>31</v>
      </c>
      <c r="J2021" s="6" t="s">
        <v>249</v>
      </c>
      <c r="K2021" s="6">
        <v>380</v>
      </c>
      <c r="L2021" s="6" t="s">
        <v>42</v>
      </c>
      <c r="M2021" s="6" t="s">
        <v>34</v>
      </c>
    </row>
    <row r="2022" spans="1:13">
      <c r="A2022" s="6" t="s">
        <v>3426</v>
      </c>
      <c r="B2022" s="7">
        <v>46081</v>
      </c>
      <c r="C2022" s="6" t="s">
        <v>1139</v>
      </c>
      <c r="D2022" s="6" t="s">
        <v>27</v>
      </c>
      <c r="E2022" s="6" t="s">
        <v>52</v>
      </c>
      <c r="F2022" s="6" t="s">
        <v>58</v>
      </c>
      <c r="G2022" s="6" t="s">
        <v>59</v>
      </c>
      <c r="H2022" s="6">
        <v>2</v>
      </c>
      <c r="I2022" s="6" t="s">
        <v>31</v>
      </c>
      <c r="J2022" s="6" t="s">
        <v>249</v>
      </c>
      <c r="K2022" s="6">
        <v>380</v>
      </c>
      <c r="L2022" s="6" t="s">
        <v>42</v>
      </c>
      <c r="M2022" s="6" t="s">
        <v>69</v>
      </c>
    </row>
    <row r="2023" spans="1:13">
      <c r="A2023" s="6" t="s">
        <v>3427</v>
      </c>
      <c r="B2023" s="7">
        <v>46029</v>
      </c>
      <c r="C2023" s="6" t="s">
        <v>2838</v>
      </c>
      <c r="D2023" s="6" t="s">
        <v>45</v>
      </c>
      <c r="E2023" s="6" t="s">
        <v>78</v>
      </c>
      <c r="F2023" s="6" t="s">
        <v>29</v>
      </c>
      <c r="G2023" s="6" t="s">
        <v>30</v>
      </c>
      <c r="H2023" s="6">
        <v>2</v>
      </c>
      <c r="I2023" s="6" t="s">
        <v>113</v>
      </c>
      <c r="J2023" s="6" t="s">
        <v>192</v>
      </c>
      <c r="K2023" s="6">
        <v>520</v>
      </c>
      <c r="L2023" s="6" t="s">
        <v>42</v>
      </c>
      <c r="M2023" s="6" t="s">
        <v>34</v>
      </c>
    </row>
    <row r="2024" spans="1:13">
      <c r="A2024" s="6" t="s">
        <v>3428</v>
      </c>
      <c r="B2024" s="7">
        <v>46167</v>
      </c>
      <c r="C2024" s="6" t="s">
        <v>2202</v>
      </c>
      <c r="D2024" s="6" t="s">
        <v>110</v>
      </c>
      <c r="E2024" s="6" t="s">
        <v>37</v>
      </c>
      <c r="F2024" s="6" t="s">
        <v>38</v>
      </c>
      <c r="G2024" s="6" t="s">
        <v>39</v>
      </c>
      <c r="H2024" s="6">
        <v>2</v>
      </c>
      <c r="I2024" s="6" t="s">
        <v>684</v>
      </c>
      <c r="J2024" s="6" t="s">
        <v>3429</v>
      </c>
      <c r="K2024" s="6" t="s">
        <v>41</v>
      </c>
      <c r="L2024" s="6" t="s">
        <v>42</v>
      </c>
      <c r="M2024" s="6" t="s">
        <v>34</v>
      </c>
    </row>
    <row r="2025" spans="1:13">
      <c r="A2025" s="6" t="s">
        <v>3430</v>
      </c>
      <c r="B2025" s="7">
        <v>46055</v>
      </c>
      <c r="C2025" s="6" t="s">
        <v>3431</v>
      </c>
      <c r="D2025" s="6" t="s">
        <v>110</v>
      </c>
      <c r="E2025" s="6" t="s">
        <v>46</v>
      </c>
      <c r="F2025" s="6" t="s">
        <v>58</v>
      </c>
      <c r="G2025" s="6" t="s">
        <v>59</v>
      </c>
      <c r="H2025" s="6">
        <v>1</v>
      </c>
      <c r="I2025" s="6" t="s">
        <v>113</v>
      </c>
      <c r="J2025" s="6" t="s">
        <v>113</v>
      </c>
      <c r="K2025" s="6">
        <v>380</v>
      </c>
      <c r="L2025" s="6" t="s">
        <v>33</v>
      </c>
      <c r="M2025" s="6" t="s">
        <v>34</v>
      </c>
    </row>
    <row r="2026" spans="1:13">
      <c r="A2026" s="6" t="s">
        <v>3432</v>
      </c>
      <c r="B2026" s="7">
        <v>46096</v>
      </c>
      <c r="C2026" s="6" t="s">
        <v>3433</v>
      </c>
      <c r="D2026" s="6" t="s">
        <v>57</v>
      </c>
      <c r="E2026" s="6" t="s">
        <v>37</v>
      </c>
      <c r="F2026" s="6" t="s">
        <v>100</v>
      </c>
      <c r="G2026" s="6" t="s">
        <v>101</v>
      </c>
      <c r="H2026" s="6">
        <v>3</v>
      </c>
      <c r="I2026" s="6" t="s">
        <v>90</v>
      </c>
      <c r="J2026" s="6" t="s">
        <v>448</v>
      </c>
      <c r="K2026" s="6">
        <v>640</v>
      </c>
      <c r="L2026" s="6" t="s">
        <v>33</v>
      </c>
      <c r="M2026" s="6" t="s">
        <v>34</v>
      </c>
    </row>
    <row r="2027" spans="1:13">
      <c r="A2027" s="6" t="s">
        <v>3434</v>
      </c>
      <c r="B2027" s="7">
        <v>46101</v>
      </c>
      <c r="C2027" s="6" t="s">
        <v>1813</v>
      </c>
      <c r="D2027" s="6" t="s">
        <v>72</v>
      </c>
      <c r="E2027" s="6" t="s">
        <v>46</v>
      </c>
      <c r="F2027" s="6" t="s">
        <v>85</v>
      </c>
      <c r="G2027" s="6" t="s">
        <v>86</v>
      </c>
      <c r="H2027" s="6">
        <v>3</v>
      </c>
      <c r="I2027" s="6" t="s">
        <v>79</v>
      </c>
      <c r="J2027" s="6" t="s">
        <v>216</v>
      </c>
      <c r="K2027" s="6">
        <v>410</v>
      </c>
      <c r="L2027" s="6" t="s">
        <v>42</v>
      </c>
      <c r="M2027" s="6" t="s">
        <v>34</v>
      </c>
    </row>
    <row r="2028" spans="1:13">
      <c r="A2028" s="6" t="s">
        <v>3435</v>
      </c>
      <c r="B2028" s="7">
        <v>46126</v>
      </c>
      <c r="C2028" s="6" t="s">
        <v>3436</v>
      </c>
      <c r="D2028" s="6" t="s">
        <v>110</v>
      </c>
      <c r="E2028" s="6" t="s">
        <v>28</v>
      </c>
      <c r="F2028" s="6" t="s">
        <v>85</v>
      </c>
      <c r="G2028" s="6" t="s">
        <v>86</v>
      </c>
      <c r="H2028" s="6">
        <v>1</v>
      </c>
      <c r="I2028" s="6" t="s">
        <v>40</v>
      </c>
      <c r="J2028" s="6" t="s">
        <v>40</v>
      </c>
      <c r="K2028" s="6">
        <v>410</v>
      </c>
      <c r="L2028" s="6" t="s">
        <v>42</v>
      </c>
      <c r="M2028" s="6" t="s">
        <v>34</v>
      </c>
    </row>
    <row r="2029" spans="1:13">
      <c r="A2029" s="6" t="s">
        <v>3437</v>
      </c>
      <c r="B2029" s="7">
        <v>46080</v>
      </c>
      <c r="C2029" s="6" t="s">
        <v>3438</v>
      </c>
      <c r="D2029" s="6" t="s">
        <v>127</v>
      </c>
      <c r="E2029" s="6" t="s">
        <v>52</v>
      </c>
      <c r="F2029" s="6" t="s">
        <v>100</v>
      </c>
      <c r="G2029" s="6" t="s">
        <v>101</v>
      </c>
      <c r="H2029" s="6">
        <v>2</v>
      </c>
      <c r="I2029" s="6" t="s">
        <v>82</v>
      </c>
      <c r="J2029" s="6" t="s">
        <v>297</v>
      </c>
      <c r="K2029" s="6">
        <v>640</v>
      </c>
      <c r="L2029" s="6" t="s">
        <v>42</v>
      </c>
      <c r="M2029" s="6" t="s">
        <v>69</v>
      </c>
    </row>
    <row r="2030" spans="1:13">
      <c r="A2030" s="6" t="s">
        <v>3439</v>
      </c>
      <c r="B2030" s="7">
        <v>46032</v>
      </c>
      <c r="C2030" s="6" t="s">
        <v>3440</v>
      </c>
      <c r="D2030" s="6" t="s">
        <v>57</v>
      </c>
      <c r="E2030" s="6" t="s">
        <v>46</v>
      </c>
      <c r="F2030" s="6" t="s">
        <v>100</v>
      </c>
      <c r="G2030" s="6" t="s">
        <v>101</v>
      </c>
      <c r="H2030" s="6">
        <v>1</v>
      </c>
      <c r="I2030" s="6" t="s">
        <v>67</v>
      </c>
      <c r="J2030" s="6" t="s">
        <v>67</v>
      </c>
      <c r="K2030" s="6">
        <v>640</v>
      </c>
      <c r="L2030" s="6" t="s">
        <v>42</v>
      </c>
      <c r="M2030" s="6" t="s">
        <v>69</v>
      </c>
    </row>
    <row r="2031" spans="1:13">
      <c r="A2031" s="6" t="s">
        <v>3441</v>
      </c>
      <c r="B2031" s="7">
        <v>46044</v>
      </c>
      <c r="C2031" s="6" t="s">
        <v>400</v>
      </c>
      <c r="D2031" s="6" t="s">
        <v>27</v>
      </c>
      <c r="E2031" s="6" t="s">
        <v>28</v>
      </c>
      <c r="F2031" s="6" t="s">
        <v>29</v>
      </c>
      <c r="G2031" s="6" t="s">
        <v>30</v>
      </c>
      <c r="H2031" s="6">
        <v>1</v>
      </c>
      <c r="I2031" s="6" t="s">
        <v>96</v>
      </c>
      <c r="J2031" s="6" t="s">
        <v>96</v>
      </c>
      <c r="K2031" s="6">
        <v>520</v>
      </c>
      <c r="L2031" s="6" t="s">
        <v>42</v>
      </c>
      <c r="M2031" s="6" t="s">
        <v>34</v>
      </c>
    </row>
    <row r="2032" spans="1:13">
      <c r="A2032" s="6" t="s">
        <v>3442</v>
      </c>
      <c r="B2032" s="7">
        <v>46202</v>
      </c>
      <c r="C2032" s="6" t="s">
        <v>2382</v>
      </c>
      <c r="D2032" s="6" t="s">
        <v>45</v>
      </c>
      <c r="E2032" s="6" t="s">
        <v>52</v>
      </c>
      <c r="F2032" s="6" t="s">
        <v>38</v>
      </c>
      <c r="G2032" s="6" t="s">
        <v>39</v>
      </c>
      <c r="H2032" s="6">
        <v>1</v>
      </c>
      <c r="I2032" s="6" t="s">
        <v>31</v>
      </c>
      <c r="J2032" s="6" t="s">
        <v>31</v>
      </c>
      <c r="K2032" s="6" t="s">
        <v>41</v>
      </c>
      <c r="L2032" s="6" t="s">
        <v>42</v>
      </c>
      <c r="M2032" s="6" t="s">
        <v>34</v>
      </c>
    </row>
    <row r="2033" spans="1:13">
      <c r="A2033" s="6" t="s">
        <v>3443</v>
      </c>
      <c r="B2033" s="7">
        <v>46085</v>
      </c>
      <c r="C2033" s="6" t="s">
        <v>2292</v>
      </c>
      <c r="D2033" s="6" t="s">
        <v>110</v>
      </c>
      <c r="E2033" s="6" t="s">
        <v>46</v>
      </c>
      <c r="F2033" s="6" t="s">
        <v>85</v>
      </c>
      <c r="G2033" s="6" t="s">
        <v>86</v>
      </c>
      <c r="H2033" s="6">
        <v>1</v>
      </c>
      <c r="I2033" s="6" t="s">
        <v>231</v>
      </c>
      <c r="J2033" s="6" t="s">
        <v>231</v>
      </c>
      <c r="K2033" s="6">
        <v>410</v>
      </c>
      <c r="L2033" s="6" t="s">
        <v>42</v>
      </c>
      <c r="M2033" s="6" t="s">
        <v>34</v>
      </c>
    </row>
    <row r="2034" spans="1:13">
      <c r="A2034" s="6" t="s">
        <v>3444</v>
      </c>
      <c r="B2034" s="7">
        <v>46100</v>
      </c>
      <c r="C2034" s="6" t="s">
        <v>3445</v>
      </c>
      <c r="D2034" s="6" t="s">
        <v>72</v>
      </c>
      <c r="E2034" s="6" t="s">
        <v>46</v>
      </c>
      <c r="F2034" s="6" t="s">
        <v>29</v>
      </c>
      <c r="G2034" s="6" t="s">
        <v>30</v>
      </c>
      <c r="H2034" s="6">
        <v>2</v>
      </c>
      <c r="I2034" s="6" t="s">
        <v>82</v>
      </c>
      <c r="J2034" s="6" t="s">
        <v>297</v>
      </c>
      <c r="K2034" s="6">
        <v>520</v>
      </c>
      <c r="L2034" s="6" t="s">
        <v>42</v>
      </c>
      <c r="M2034" s="6" t="s">
        <v>69</v>
      </c>
    </row>
    <row r="2035" spans="1:13">
      <c r="A2035" s="6" t="s">
        <v>3446</v>
      </c>
      <c r="B2035" s="7">
        <v>46030</v>
      </c>
      <c r="C2035" s="6" t="s">
        <v>735</v>
      </c>
      <c r="D2035" s="6" t="s">
        <v>64</v>
      </c>
      <c r="E2035" s="6" t="s">
        <v>78</v>
      </c>
      <c r="F2035" s="6" t="s">
        <v>29</v>
      </c>
      <c r="G2035" s="6" t="s">
        <v>30</v>
      </c>
      <c r="H2035" s="6">
        <v>1</v>
      </c>
      <c r="I2035" s="6" t="s">
        <v>113</v>
      </c>
      <c r="J2035" s="6" t="s">
        <v>113</v>
      </c>
      <c r="K2035" s="6">
        <v>520</v>
      </c>
      <c r="L2035" s="6" t="s">
        <v>42</v>
      </c>
      <c r="M2035" s="6" t="s">
        <v>69</v>
      </c>
    </row>
    <row r="2036" spans="1:13">
      <c r="A2036" s="6" t="s">
        <v>3447</v>
      </c>
      <c r="B2036" s="7">
        <v>46100</v>
      </c>
      <c r="C2036" s="6" t="s">
        <v>1957</v>
      </c>
      <c r="D2036" s="6" t="s">
        <v>57</v>
      </c>
      <c r="E2036" s="6" t="s">
        <v>78</v>
      </c>
      <c r="F2036" s="6" t="s">
        <v>94</v>
      </c>
      <c r="G2036" s="6" t="s">
        <v>95</v>
      </c>
      <c r="H2036" s="6">
        <v>3</v>
      </c>
      <c r="I2036" s="6" t="s">
        <v>143</v>
      </c>
      <c r="J2036" s="6" t="s">
        <v>243</v>
      </c>
      <c r="K2036" s="6">
        <v>340</v>
      </c>
      <c r="L2036" s="6" t="s">
        <v>42</v>
      </c>
      <c r="M2036" s="6" t="s">
        <v>34</v>
      </c>
    </row>
    <row r="2037" spans="1:13">
      <c r="A2037" s="6" t="s">
        <v>3448</v>
      </c>
      <c r="B2037" s="7">
        <v>46152</v>
      </c>
      <c r="C2037" s="6" t="s">
        <v>635</v>
      </c>
      <c r="D2037" s="6" t="s">
        <v>105</v>
      </c>
      <c r="E2037" s="6" t="s">
        <v>37</v>
      </c>
      <c r="F2037" s="6" t="s">
        <v>53</v>
      </c>
      <c r="G2037" s="6" t="s">
        <v>54</v>
      </c>
      <c r="H2037" s="6">
        <v>2</v>
      </c>
      <c r="I2037" s="6" t="s">
        <v>231</v>
      </c>
      <c r="J2037" s="6" t="s">
        <v>232</v>
      </c>
      <c r="K2037" s="6" t="s">
        <v>122</v>
      </c>
      <c r="L2037" s="6" t="s">
        <v>42</v>
      </c>
      <c r="M2037" s="6" t="s">
        <v>69</v>
      </c>
    </row>
    <row r="2038" spans="1:13">
      <c r="A2038" s="6" t="s">
        <v>3449</v>
      </c>
      <c r="B2038" s="7">
        <v>46055</v>
      </c>
      <c r="C2038" s="6" t="s">
        <v>2739</v>
      </c>
      <c r="D2038" s="6" t="s">
        <v>110</v>
      </c>
      <c r="E2038" s="6" t="s">
        <v>78</v>
      </c>
      <c r="F2038" s="6" t="s">
        <v>53</v>
      </c>
      <c r="G2038" s="6" t="s">
        <v>54</v>
      </c>
      <c r="H2038" s="6">
        <v>1</v>
      </c>
      <c r="I2038" s="6" t="s">
        <v>147</v>
      </c>
      <c r="J2038" s="6" t="s">
        <v>147</v>
      </c>
      <c r="K2038" s="6">
        <v>190</v>
      </c>
      <c r="L2038" s="6" t="s">
        <v>42</v>
      </c>
      <c r="M2038" s="6" t="s">
        <v>69</v>
      </c>
    </row>
    <row r="2039" spans="1:13">
      <c r="A2039" s="6" t="s">
        <v>3450</v>
      </c>
      <c r="B2039" s="7">
        <v>46146</v>
      </c>
      <c r="C2039" s="6" t="s">
        <v>3095</v>
      </c>
      <c r="D2039" s="6" t="s">
        <v>72</v>
      </c>
      <c r="E2039" s="6" t="s">
        <v>46</v>
      </c>
      <c r="F2039" s="6" t="s">
        <v>47</v>
      </c>
      <c r="G2039" s="6" t="s">
        <v>48</v>
      </c>
      <c r="H2039" s="6">
        <v>2</v>
      </c>
      <c r="I2039" s="6" t="s">
        <v>143</v>
      </c>
      <c r="J2039" s="6" t="s">
        <v>144</v>
      </c>
      <c r="K2039" s="6" t="s">
        <v>49</v>
      </c>
      <c r="L2039" s="6" t="s">
        <v>33</v>
      </c>
      <c r="M2039" s="6" t="s">
        <v>34</v>
      </c>
    </row>
    <row r="2040" spans="1:13">
      <c r="A2040" s="6" t="s">
        <v>3451</v>
      </c>
      <c r="B2040" s="7">
        <v>46098</v>
      </c>
      <c r="C2040" s="6" t="s">
        <v>3452</v>
      </c>
      <c r="D2040" s="6" t="s">
        <v>72</v>
      </c>
      <c r="E2040" s="6" t="s">
        <v>37</v>
      </c>
      <c r="F2040" s="6" t="s">
        <v>100</v>
      </c>
      <c r="G2040" s="6" t="s">
        <v>101</v>
      </c>
      <c r="H2040" s="6">
        <v>1</v>
      </c>
      <c r="I2040" s="6" t="s">
        <v>96</v>
      </c>
      <c r="J2040" s="6" t="s">
        <v>96</v>
      </c>
      <c r="K2040" s="6">
        <v>640</v>
      </c>
      <c r="L2040" s="6" t="s">
        <v>42</v>
      </c>
      <c r="M2040" s="6" t="s">
        <v>34</v>
      </c>
    </row>
    <row r="2041" spans="1:13">
      <c r="A2041" s="6" t="s">
        <v>3453</v>
      </c>
      <c r="B2041" s="7">
        <v>46156</v>
      </c>
      <c r="C2041" s="6" t="s">
        <v>1907</v>
      </c>
      <c r="D2041" s="6" t="s">
        <v>127</v>
      </c>
      <c r="E2041" s="6" t="s">
        <v>52</v>
      </c>
      <c r="F2041" s="6" t="s">
        <v>94</v>
      </c>
      <c r="G2041" s="6" t="s">
        <v>95</v>
      </c>
      <c r="H2041" s="6">
        <v>1</v>
      </c>
      <c r="I2041" s="6" t="s">
        <v>96</v>
      </c>
      <c r="J2041" s="6" t="s">
        <v>96</v>
      </c>
      <c r="K2041" s="6" t="s">
        <v>114</v>
      </c>
      <c r="L2041" s="6" t="s">
        <v>42</v>
      </c>
      <c r="M2041" s="6" t="s">
        <v>34</v>
      </c>
    </row>
    <row r="2042" spans="1:13">
      <c r="A2042" s="6" t="s">
        <v>3454</v>
      </c>
      <c r="B2042" s="7">
        <v>46113</v>
      </c>
      <c r="C2042" s="6" t="s">
        <v>3455</v>
      </c>
      <c r="D2042" s="6" t="s">
        <v>105</v>
      </c>
      <c r="E2042" s="6" t="s">
        <v>28</v>
      </c>
      <c r="F2042" s="6" t="s">
        <v>38</v>
      </c>
      <c r="G2042" s="6" t="s">
        <v>39</v>
      </c>
      <c r="H2042" s="6">
        <v>1</v>
      </c>
      <c r="I2042" s="6" t="s">
        <v>82</v>
      </c>
      <c r="J2042" s="6" t="s">
        <v>82</v>
      </c>
      <c r="K2042" s="6">
        <v>520</v>
      </c>
      <c r="L2042" s="6" t="s">
        <v>42</v>
      </c>
      <c r="M2042" s="6" t="s">
        <v>34</v>
      </c>
    </row>
    <row r="2043" spans="1:13">
      <c r="A2043" s="6" t="s">
        <v>3456</v>
      </c>
      <c r="B2043" s="7">
        <v>46175</v>
      </c>
      <c r="C2043" s="6" t="s">
        <v>320</v>
      </c>
      <c r="D2043" s="6" t="s">
        <v>77</v>
      </c>
      <c r="E2043" s="6" t="s">
        <v>37</v>
      </c>
      <c r="F2043" s="6" t="s">
        <v>38</v>
      </c>
      <c r="G2043" s="6" t="s">
        <v>39</v>
      </c>
      <c r="H2043" s="6">
        <v>1</v>
      </c>
      <c r="I2043" s="6" t="s">
        <v>113</v>
      </c>
      <c r="J2043" s="6" t="s">
        <v>113</v>
      </c>
      <c r="K2043" s="6">
        <v>520</v>
      </c>
      <c r="L2043" s="6" t="s">
        <v>42</v>
      </c>
      <c r="M2043" s="6" t="s">
        <v>34</v>
      </c>
    </row>
    <row r="2044" spans="1:13">
      <c r="A2044" s="6" t="s">
        <v>3457</v>
      </c>
      <c r="B2044" s="7">
        <v>46160</v>
      </c>
      <c r="C2044" s="6" t="s">
        <v>2668</v>
      </c>
      <c r="D2044" s="6" t="s">
        <v>45</v>
      </c>
      <c r="E2044" s="6" t="s">
        <v>46</v>
      </c>
      <c r="F2044" s="6" t="s">
        <v>58</v>
      </c>
      <c r="G2044" s="6" t="s">
        <v>59</v>
      </c>
      <c r="H2044" s="6">
        <v>-3</v>
      </c>
      <c r="I2044" s="6" t="s">
        <v>265</v>
      </c>
      <c r="J2044" s="8" t="s">
        <v>3458</v>
      </c>
      <c r="K2044" s="6" t="s">
        <v>61</v>
      </c>
      <c r="L2044" s="6" t="s">
        <v>42</v>
      </c>
      <c r="M2044" s="6" t="s">
        <v>34</v>
      </c>
    </row>
    <row r="2045" spans="1:13">
      <c r="A2045" s="6" t="s">
        <v>3459</v>
      </c>
      <c r="B2045" s="7">
        <v>46203</v>
      </c>
      <c r="C2045" s="6" t="s">
        <v>3455</v>
      </c>
      <c r="D2045" s="6" t="s">
        <v>64</v>
      </c>
      <c r="E2045" s="6" t="s">
        <v>52</v>
      </c>
      <c r="F2045" s="6" t="s">
        <v>29</v>
      </c>
      <c r="G2045" s="6" t="s">
        <v>30</v>
      </c>
      <c r="H2045" s="6">
        <v>2</v>
      </c>
      <c r="I2045" s="6" t="s">
        <v>619</v>
      </c>
      <c r="J2045" s="6" t="s">
        <v>144</v>
      </c>
      <c r="K2045" s="6" t="s">
        <v>41</v>
      </c>
      <c r="L2045" s="6" t="s">
        <v>42</v>
      </c>
      <c r="M2045" s="6" t="s">
        <v>34</v>
      </c>
    </row>
    <row r="2046" spans="1:13">
      <c r="A2046" s="6" t="s">
        <v>3460</v>
      </c>
      <c r="B2046" s="7">
        <v>46136</v>
      </c>
      <c r="C2046" s="6" t="s">
        <v>583</v>
      </c>
      <c r="D2046" s="6" t="s">
        <v>27</v>
      </c>
      <c r="E2046" s="6" t="s">
        <v>52</v>
      </c>
      <c r="F2046" s="6" t="s">
        <v>47</v>
      </c>
      <c r="G2046" s="6" t="s">
        <v>48</v>
      </c>
      <c r="H2046" s="6">
        <v>3</v>
      </c>
      <c r="I2046" s="6" t="s">
        <v>265</v>
      </c>
      <c r="J2046" s="6" t="s">
        <v>401</v>
      </c>
      <c r="K2046" s="6" t="s">
        <v>49</v>
      </c>
      <c r="L2046" s="6" t="s">
        <v>42</v>
      </c>
      <c r="M2046" s="6" t="s">
        <v>69</v>
      </c>
    </row>
    <row r="2047" spans="1:13">
      <c r="A2047" s="6" t="s">
        <v>3461</v>
      </c>
      <c r="B2047" s="7">
        <v>46095</v>
      </c>
      <c r="C2047" s="6" t="s">
        <v>284</v>
      </c>
      <c r="D2047" s="6" t="s">
        <v>77</v>
      </c>
      <c r="E2047" s="6" t="s">
        <v>46</v>
      </c>
      <c r="F2047" s="6" t="s">
        <v>53</v>
      </c>
      <c r="G2047" s="6" t="s">
        <v>54</v>
      </c>
      <c r="H2047" s="6">
        <v>1</v>
      </c>
      <c r="I2047" s="6" t="s">
        <v>113</v>
      </c>
      <c r="J2047" s="6" t="s">
        <v>113</v>
      </c>
      <c r="K2047" s="6">
        <v>190</v>
      </c>
      <c r="L2047" s="6" t="s">
        <v>42</v>
      </c>
      <c r="M2047" s="6" t="s">
        <v>69</v>
      </c>
    </row>
    <row r="2048" spans="1:13">
      <c r="A2048" s="6" t="s">
        <v>3462</v>
      </c>
      <c r="B2048" s="7">
        <v>46147</v>
      </c>
      <c r="C2048" s="6" t="s">
        <v>1655</v>
      </c>
      <c r="D2048" s="6" t="s">
        <v>105</v>
      </c>
      <c r="E2048" s="6" t="s">
        <v>52</v>
      </c>
      <c r="F2048" s="6" t="s">
        <v>47</v>
      </c>
      <c r="G2048" s="6" t="s">
        <v>48</v>
      </c>
      <c r="H2048" s="6">
        <v>1</v>
      </c>
      <c r="I2048" s="6" t="s">
        <v>60</v>
      </c>
      <c r="J2048" s="6" t="s">
        <v>60</v>
      </c>
      <c r="K2048" s="6" t="s">
        <v>49</v>
      </c>
      <c r="L2048" s="6" t="s">
        <v>42</v>
      </c>
      <c r="M2048" s="6" t="s">
        <v>34</v>
      </c>
    </row>
    <row r="2049" spans="1:13">
      <c r="A2049" s="6" t="s">
        <v>3463</v>
      </c>
      <c r="B2049" s="7">
        <v>46094</v>
      </c>
      <c r="C2049" s="6" t="s">
        <v>296</v>
      </c>
      <c r="D2049" s="6" t="s">
        <v>110</v>
      </c>
      <c r="E2049" s="6" t="s">
        <v>37</v>
      </c>
      <c r="F2049" s="6" t="s">
        <v>47</v>
      </c>
      <c r="G2049" s="6" t="s">
        <v>48</v>
      </c>
      <c r="H2049" s="6">
        <v>3</v>
      </c>
      <c r="I2049" s="6" t="s">
        <v>147</v>
      </c>
      <c r="J2049" s="6" t="s">
        <v>148</v>
      </c>
      <c r="K2049" s="6">
        <v>85</v>
      </c>
      <c r="L2049" s="6" t="s">
        <v>33</v>
      </c>
      <c r="M2049" s="6" t="s">
        <v>34</v>
      </c>
    </row>
    <row r="2050" spans="1:13">
      <c r="A2050" s="6" t="s">
        <v>3464</v>
      </c>
      <c r="B2050" s="7">
        <v>46060</v>
      </c>
      <c r="C2050" s="6" t="s">
        <v>3465</v>
      </c>
      <c r="D2050" s="6" t="s">
        <v>45</v>
      </c>
      <c r="E2050" s="6" t="s">
        <v>78</v>
      </c>
      <c r="F2050" s="6" t="s">
        <v>38</v>
      </c>
      <c r="G2050" s="6" t="s">
        <v>39</v>
      </c>
      <c r="H2050" s="6">
        <v>1</v>
      </c>
      <c r="I2050" s="6" t="s">
        <v>143</v>
      </c>
      <c r="J2050" s="6" t="s">
        <v>143</v>
      </c>
      <c r="K2050" s="6">
        <v>520</v>
      </c>
      <c r="L2050" s="6" t="s">
        <v>42</v>
      </c>
      <c r="M2050" s="6" t="s">
        <v>34</v>
      </c>
    </row>
    <row r="2051" spans="1:13">
      <c r="A2051" s="6" t="s">
        <v>3466</v>
      </c>
      <c r="B2051" s="7">
        <v>46099</v>
      </c>
      <c r="C2051" s="6" t="s">
        <v>648</v>
      </c>
      <c r="D2051" s="6" t="s">
        <v>64</v>
      </c>
      <c r="E2051" s="6" t="s">
        <v>52</v>
      </c>
      <c r="F2051" s="6" t="s">
        <v>58</v>
      </c>
      <c r="G2051" s="6" t="s">
        <v>59</v>
      </c>
      <c r="H2051" s="6">
        <v>1</v>
      </c>
      <c r="I2051" s="6" t="s">
        <v>619</v>
      </c>
      <c r="J2051" s="6" t="s">
        <v>143</v>
      </c>
      <c r="K2051" s="6">
        <v>380</v>
      </c>
      <c r="L2051" s="6" t="s">
        <v>42</v>
      </c>
      <c r="M2051" s="6" t="s">
        <v>34</v>
      </c>
    </row>
    <row r="2052" spans="1:13">
      <c r="A2052" s="6" t="s">
        <v>3467</v>
      </c>
      <c r="B2052" s="7">
        <v>46042</v>
      </c>
      <c r="C2052" s="6" t="s">
        <v>389</v>
      </c>
      <c r="D2052" s="6" t="s">
        <v>72</v>
      </c>
      <c r="E2052" s="6" t="s">
        <v>37</v>
      </c>
      <c r="F2052" s="6" t="s">
        <v>47</v>
      </c>
      <c r="G2052" s="6" t="s">
        <v>48</v>
      </c>
      <c r="H2052" s="6">
        <v>1</v>
      </c>
      <c r="I2052" s="6" t="s">
        <v>82</v>
      </c>
      <c r="J2052" s="6" t="s">
        <v>82</v>
      </c>
      <c r="K2052" s="6">
        <v>85</v>
      </c>
      <c r="L2052" s="6" t="s">
        <v>42</v>
      </c>
      <c r="M2052" s="6" t="s">
        <v>34</v>
      </c>
    </row>
    <row r="2053" spans="1:13">
      <c r="A2053" s="6" t="s">
        <v>3468</v>
      </c>
      <c r="B2053" s="7">
        <v>46105</v>
      </c>
      <c r="C2053" s="6" t="s">
        <v>1470</v>
      </c>
      <c r="D2053" s="6" t="s">
        <v>57</v>
      </c>
      <c r="E2053" s="6" t="s">
        <v>37</v>
      </c>
      <c r="F2053" s="6" t="s">
        <v>38</v>
      </c>
      <c r="G2053" s="6" t="s">
        <v>39</v>
      </c>
      <c r="H2053" s="6">
        <v>2</v>
      </c>
      <c r="I2053" s="6" t="s">
        <v>60</v>
      </c>
      <c r="J2053" s="6" t="s">
        <v>189</v>
      </c>
      <c r="K2053" s="6">
        <v>520</v>
      </c>
      <c r="L2053" s="6" t="s">
        <v>42</v>
      </c>
      <c r="M2053" s="6" t="s">
        <v>34</v>
      </c>
    </row>
    <row r="2054" spans="1:13">
      <c r="A2054" s="6" t="s">
        <v>3469</v>
      </c>
      <c r="B2054" s="6" t="s">
        <v>2323</v>
      </c>
      <c r="C2054" s="6" t="s">
        <v>932</v>
      </c>
      <c r="D2054" s="6" t="s">
        <v>45</v>
      </c>
      <c r="E2054" s="6" t="s">
        <v>46</v>
      </c>
      <c r="F2054" s="6" t="s">
        <v>53</v>
      </c>
      <c r="G2054" s="6" t="s">
        <v>54</v>
      </c>
      <c r="H2054" s="6">
        <v>1</v>
      </c>
      <c r="I2054" s="6" t="s">
        <v>31</v>
      </c>
      <c r="J2054" s="6" t="s">
        <v>31</v>
      </c>
      <c r="K2054" s="6">
        <v>190</v>
      </c>
      <c r="L2054" s="6" t="s">
        <v>42</v>
      </c>
      <c r="M2054" s="6" t="s">
        <v>34</v>
      </c>
    </row>
    <row r="2055" spans="1:13">
      <c r="A2055" s="6" t="s">
        <v>3470</v>
      </c>
      <c r="B2055" s="7">
        <v>46070</v>
      </c>
      <c r="C2055" s="6" t="s">
        <v>3471</v>
      </c>
      <c r="D2055" s="6" t="s">
        <v>77</v>
      </c>
      <c r="E2055" s="6" t="s">
        <v>37</v>
      </c>
      <c r="F2055" s="6" t="s">
        <v>53</v>
      </c>
      <c r="G2055" s="6" t="s">
        <v>54</v>
      </c>
      <c r="H2055" s="6">
        <v>2</v>
      </c>
      <c r="I2055" s="6" t="s">
        <v>40</v>
      </c>
      <c r="J2055" s="6" t="s">
        <v>3472</v>
      </c>
      <c r="K2055" s="6">
        <v>190</v>
      </c>
      <c r="L2055" s="6" t="s">
        <v>33</v>
      </c>
      <c r="M2055" s="6" t="s">
        <v>34</v>
      </c>
    </row>
    <row r="2056" spans="1:13">
      <c r="A2056" s="6" t="s">
        <v>3473</v>
      </c>
      <c r="B2056" s="7">
        <v>46125</v>
      </c>
      <c r="C2056" s="6" t="s">
        <v>676</v>
      </c>
      <c r="D2056" s="6" t="s">
        <v>127</v>
      </c>
      <c r="E2056" s="6" t="s">
        <v>52</v>
      </c>
      <c r="F2056" s="6" t="s">
        <v>47</v>
      </c>
      <c r="G2056" s="6" t="s">
        <v>48</v>
      </c>
      <c r="H2056" s="6">
        <v>1</v>
      </c>
      <c r="I2056" s="6" t="s">
        <v>82</v>
      </c>
      <c r="J2056" s="6" t="s">
        <v>82</v>
      </c>
      <c r="K2056" s="6">
        <v>85</v>
      </c>
      <c r="L2056" s="6" t="s">
        <v>42</v>
      </c>
      <c r="M2056" s="6" t="s">
        <v>69</v>
      </c>
    </row>
    <row r="2057" spans="1:13">
      <c r="A2057" s="6" t="s">
        <v>3474</v>
      </c>
      <c r="B2057" s="7">
        <v>46150</v>
      </c>
      <c r="C2057" s="6" t="s">
        <v>836</v>
      </c>
      <c r="D2057" s="6" t="s">
        <v>110</v>
      </c>
      <c r="E2057" s="6" t="s">
        <v>78</v>
      </c>
      <c r="F2057" s="6" t="s">
        <v>47</v>
      </c>
      <c r="G2057" s="6" t="s">
        <v>48</v>
      </c>
      <c r="H2057" s="6">
        <v>1</v>
      </c>
      <c r="I2057" s="6" t="s">
        <v>82</v>
      </c>
      <c r="J2057" s="6" t="s">
        <v>82</v>
      </c>
      <c r="K2057" s="6" t="s">
        <v>49</v>
      </c>
      <c r="L2057" s="6" t="s">
        <v>42</v>
      </c>
      <c r="M2057" s="6" t="s">
        <v>34</v>
      </c>
    </row>
    <row r="2058" spans="1:13">
      <c r="A2058" s="6" t="s">
        <v>3475</v>
      </c>
      <c r="B2058" s="7">
        <v>46198</v>
      </c>
      <c r="C2058" s="6" t="s">
        <v>2001</v>
      </c>
      <c r="D2058" s="6" t="s">
        <v>110</v>
      </c>
      <c r="E2058" s="6" t="s">
        <v>37</v>
      </c>
      <c r="F2058" s="6" t="s">
        <v>38</v>
      </c>
      <c r="G2058" s="6" t="s">
        <v>39</v>
      </c>
      <c r="H2058" s="6">
        <v>1</v>
      </c>
      <c r="I2058" s="6" t="s">
        <v>90</v>
      </c>
      <c r="J2058" s="6" t="s">
        <v>90</v>
      </c>
      <c r="K2058" s="6" t="s">
        <v>41</v>
      </c>
      <c r="L2058" s="6" t="s">
        <v>42</v>
      </c>
      <c r="M2058" s="6" t="s">
        <v>34</v>
      </c>
    </row>
    <row r="2059" spans="1:13">
      <c r="A2059" s="6" t="s">
        <v>3476</v>
      </c>
      <c r="B2059" s="7">
        <v>46070</v>
      </c>
      <c r="C2059" s="6" t="s">
        <v>2247</v>
      </c>
      <c r="D2059" s="6" t="s">
        <v>57</v>
      </c>
      <c r="E2059" s="6" t="s">
        <v>52</v>
      </c>
      <c r="F2059" s="6" t="s">
        <v>29</v>
      </c>
      <c r="G2059" s="6" t="s">
        <v>30</v>
      </c>
      <c r="H2059" s="6">
        <v>1</v>
      </c>
      <c r="I2059" s="6" t="s">
        <v>31</v>
      </c>
      <c r="J2059" s="6" t="s">
        <v>31</v>
      </c>
      <c r="K2059" s="6">
        <v>520</v>
      </c>
      <c r="L2059" s="6" t="s">
        <v>42</v>
      </c>
      <c r="M2059" s="6" t="s">
        <v>34</v>
      </c>
    </row>
    <row r="2060" spans="1:13">
      <c r="A2060" s="6" t="s">
        <v>3477</v>
      </c>
      <c r="B2060" s="7">
        <v>46101</v>
      </c>
      <c r="C2060" s="6" t="s">
        <v>3478</v>
      </c>
      <c r="D2060" s="6" t="s">
        <v>27</v>
      </c>
      <c r="E2060" s="6" t="s">
        <v>28</v>
      </c>
      <c r="F2060" s="6" t="s">
        <v>38</v>
      </c>
      <c r="G2060" s="6" t="s">
        <v>39</v>
      </c>
      <c r="H2060" s="6">
        <v>1</v>
      </c>
      <c r="I2060" s="6" t="s">
        <v>113</v>
      </c>
      <c r="J2060" s="6" t="s">
        <v>113</v>
      </c>
      <c r="K2060" s="6">
        <v>520</v>
      </c>
      <c r="L2060" s="6" t="s">
        <v>42</v>
      </c>
      <c r="M2060" s="6" t="s">
        <v>34</v>
      </c>
    </row>
    <row r="2061" spans="1:13">
      <c r="A2061" s="6" t="s">
        <v>3479</v>
      </c>
      <c r="B2061" s="7">
        <v>46067</v>
      </c>
      <c r="C2061" s="6" t="s">
        <v>274</v>
      </c>
      <c r="D2061" s="6" t="s">
        <v>27</v>
      </c>
      <c r="E2061" s="6" t="s">
        <v>52</v>
      </c>
      <c r="F2061" s="6" t="s">
        <v>38</v>
      </c>
      <c r="G2061" s="6" t="s">
        <v>39</v>
      </c>
      <c r="H2061" s="6">
        <v>1</v>
      </c>
      <c r="I2061" s="6" t="s">
        <v>143</v>
      </c>
      <c r="J2061" s="6" t="s">
        <v>143</v>
      </c>
      <c r="K2061" s="6">
        <v>520</v>
      </c>
      <c r="L2061" s="6" t="s">
        <v>42</v>
      </c>
      <c r="M2061" s="6" t="s">
        <v>34</v>
      </c>
    </row>
    <row r="2062" spans="1:13">
      <c r="A2062" s="6" t="s">
        <v>3480</v>
      </c>
      <c r="B2062" s="7">
        <v>46330</v>
      </c>
      <c r="C2062" s="6" t="s">
        <v>841</v>
      </c>
      <c r="D2062" s="6" t="s">
        <v>77</v>
      </c>
      <c r="E2062" s="6" t="s">
        <v>78</v>
      </c>
      <c r="F2062" s="6" t="s">
        <v>58</v>
      </c>
      <c r="G2062" s="6" t="s">
        <v>59</v>
      </c>
      <c r="H2062" s="6">
        <v>2</v>
      </c>
      <c r="I2062" s="6" t="s">
        <v>113</v>
      </c>
      <c r="J2062" s="6" t="s">
        <v>192</v>
      </c>
      <c r="K2062" s="6">
        <v>380</v>
      </c>
      <c r="L2062" s="6" t="s">
        <v>42</v>
      </c>
      <c r="M2062" s="6" t="s">
        <v>34</v>
      </c>
    </row>
    <row r="2063" spans="1:13">
      <c r="A2063" s="6" t="s">
        <v>3481</v>
      </c>
      <c r="B2063" s="7">
        <v>46054</v>
      </c>
      <c r="C2063" s="6" t="s">
        <v>225</v>
      </c>
      <c r="D2063" s="6" t="s">
        <v>127</v>
      </c>
      <c r="E2063" s="6" t="s">
        <v>46</v>
      </c>
      <c r="F2063" s="6" t="s">
        <v>85</v>
      </c>
      <c r="G2063" s="6" t="s">
        <v>86</v>
      </c>
      <c r="H2063" s="6">
        <v>1</v>
      </c>
      <c r="I2063" s="6" t="s">
        <v>96</v>
      </c>
      <c r="J2063" s="6" t="s">
        <v>96</v>
      </c>
      <c r="K2063" s="6">
        <v>410</v>
      </c>
      <c r="L2063" s="6" t="s">
        <v>42</v>
      </c>
      <c r="M2063" s="6" t="s">
        <v>34</v>
      </c>
    </row>
    <row r="2064" spans="1:13">
      <c r="A2064" s="6" t="s">
        <v>3482</v>
      </c>
      <c r="B2064" s="6" t="s">
        <v>789</v>
      </c>
      <c r="C2064" s="6" t="s">
        <v>777</v>
      </c>
      <c r="D2064" s="6" t="s">
        <v>77</v>
      </c>
      <c r="E2064" s="6" t="s">
        <v>78</v>
      </c>
      <c r="F2064" s="6" t="s">
        <v>85</v>
      </c>
      <c r="G2064" s="6" t="s">
        <v>86</v>
      </c>
      <c r="H2064" s="6">
        <v>2</v>
      </c>
      <c r="I2064" s="6" t="s">
        <v>265</v>
      </c>
      <c r="J2064" s="6" t="s">
        <v>167</v>
      </c>
      <c r="K2064" s="6" t="s">
        <v>87</v>
      </c>
      <c r="L2064" s="6" t="s">
        <v>42</v>
      </c>
      <c r="M2064" s="6" t="s">
        <v>34</v>
      </c>
    </row>
    <row r="2065" spans="1:13">
      <c r="A2065" s="6" t="s">
        <v>3483</v>
      </c>
      <c r="B2065" s="7">
        <v>46053</v>
      </c>
      <c r="C2065" s="6" t="s">
        <v>258</v>
      </c>
      <c r="D2065" s="6" t="s">
        <v>57</v>
      </c>
      <c r="E2065" s="6" t="s">
        <v>78</v>
      </c>
      <c r="F2065" s="6" t="s">
        <v>58</v>
      </c>
      <c r="G2065" s="6" t="s">
        <v>59</v>
      </c>
      <c r="H2065" s="6">
        <v>1</v>
      </c>
      <c r="I2065" s="6" t="s">
        <v>113</v>
      </c>
      <c r="J2065" s="6" t="s">
        <v>113</v>
      </c>
      <c r="K2065" s="6">
        <v>380</v>
      </c>
      <c r="L2065" s="6" t="s">
        <v>42</v>
      </c>
      <c r="M2065" s="6" t="s">
        <v>34</v>
      </c>
    </row>
    <row r="2066" spans="1:13">
      <c r="A2066" s="6" t="s">
        <v>3484</v>
      </c>
      <c r="B2066" s="7">
        <v>46066</v>
      </c>
      <c r="C2066" s="6" t="s">
        <v>1133</v>
      </c>
      <c r="D2066" s="6" t="s">
        <v>27</v>
      </c>
      <c r="E2066" s="6" t="s">
        <v>28</v>
      </c>
      <c r="F2066" s="6" t="s">
        <v>100</v>
      </c>
      <c r="G2066" s="6" t="s">
        <v>101</v>
      </c>
      <c r="H2066" s="6">
        <v>2</v>
      </c>
      <c r="I2066" s="6" t="s">
        <v>181</v>
      </c>
      <c r="J2066" s="6" t="s">
        <v>163</v>
      </c>
      <c r="K2066" s="6">
        <v>640</v>
      </c>
      <c r="L2066" s="6" t="s">
        <v>42</v>
      </c>
      <c r="M2066" s="6" t="s">
        <v>69</v>
      </c>
    </row>
    <row r="2067" spans="1:13">
      <c r="A2067" s="6" t="s">
        <v>3485</v>
      </c>
      <c r="B2067" s="7">
        <v>46208</v>
      </c>
      <c r="C2067" s="6" t="s">
        <v>737</v>
      </c>
      <c r="D2067" s="6" t="s">
        <v>72</v>
      </c>
      <c r="E2067" s="6" t="s">
        <v>37</v>
      </c>
      <c r="F2067" s="6" t="s">
        <v>94</v>
      </c>
      <c r="G2067" s="6" t="s">
        <v>95</v>
      </c>
      <c r="H2067" s="6">
        <v>1</v>
      </c>
      <c r="I2067" s="6" t="s">
        <v>265</v>
      </c>
      <c r="J2067" s="6" t="s">
        <v>265</v>
      </c>
      <c r="K2067" s="6" t="s">
        <v>114</v>
      </c>
      <c r="L2067" s="6" t="s">
        <v>42</v>
      </c>
      <c r="M2067" s="6" t="s">
        <v>69</v>
      </c>
    </row>
    <row r="2068" spans="1:13">
      <c r="A2068" s="6" t="s">
        <v>3486</v>
      </c>
      <c r="B2068" s="7">
        <v>46028</v>
      </c>
      <c r="C2068" s="6" t="s">
        <v>2901</v>
      </c>
      <c r="D2068" s="6" t="s">
        <v>127</v>
      </c>
      <c r="E2068" s="6" t="s">
        <v>78</v>
      </c>
      <c r="F2068" s="6" t="s">
        <v>47</v>
      </c>
      <c r="G2068" s="6" t="s">
        <v>48</v>
      </c>
      <c r="H2068" s="6">
        <v>2</v>
      </c>
      <c r="I2068" s="6" t="s">
        <v>656</v>
      </c>
      <c r="J2068" s="6" t="s">
        <v>192</v>
      </c>
      <c r="K2068" s="6" t="s">
        <v>49</v>
      </c>
      <c r="L2068" s="6" t="s">
        <v>33</v>
      </c>
      <c r="M2068" s="6" t="s">
        <v>69</v>
      </c>
    </row>
    <row r="2069" spans="1:13">
      <c r="A2069" s="6" t="s">
        <v>3487</v>
      </c>
      <c r="B2069" s="7">
        <v>46170</v>
      </c>
      <c r="C2069" s="6" t="s">
        <v>3268</v>
      </c>
      <c r="D2069" s="6" t="s">
        <v>27</v>
      </c>
      <c r="E2069" s="6" t="s">
        <v>28</v>
      </c>
      <c r="F2069" s="6" t="s">
        <v>94</v>
      </c>
      <c r="G2069" s="6" t="s">
        <v>95</v>
      </c>
      <c r="H2069" s="6">
        <v>3</v>
      </c>
      <c r="I2069" s="6" t="s">
        <v>265</v>
      </c>
      <c r="J2069" s="6" t="s">
        <v>401</v>
      </c>
      <c r="K2069" s="6" t="s">
        <v>114</v>
      </c>
      <c r="L2069" s="6" t="s">
        <v>42</v>
      </c>
      <c r="M2069" s="6" t="s">
        <v>34</v>
      </c>
    </row>
    <row r="2070" spans="1:13">
      <c r="A2070" s="6" t="s">
        <v>3488</v>
      </c>
      <c r="B2070" s="7">
        <v>46160</v>
      </c>
      <c r="C2070" s="6" t="s">
        <v>2333</v>
      </c>
      <c r="D2070" s="6" t="s">
        <v>57</v>
      </c>
      <c r="E2070" s="6" t="s">
        <v>28</v>
      </c>
      <c r="F2070" s="6" t="s">
        <v>38</v>
      </c>
      <c r="G2070" s="6" t="s">
        <v>39</v>
      </c>
      <c r="H2070" s="6">
        <v>1</v>
      </c>
      <c r="I2070" s="6" t="s">
        <v>31</v>
      </c>
      <c r="J2070" s="6" t="s">
        <v>31</v>
      </c>
      <c r="K2070" s="6" t="s">
        <v>41</v>
      </c>
      <c r="L2070" s="6" t="s">
        <v>42</v>
      </c>
      <c r="M2070" s="6" t="s">
        <v>34</v>
      </c>
    </row>
    <row r="2071" spans="1:13">
      <c r="A2071" s="6" t="s">
        <v>3489</v>
      </c>
      <c r="B2071" s="6" t="s">
        <v>786</v>
      </c>
      <c r="C2071" s="6" t="s">
        <v>3490</v>
      </c>
      <c r="D2071" s="6" t="s">
        <v>57</v>
      </c>
      <c r="E2071" s="6" t="s">
        <v>78</v>
      </c>
      <c r="F2071" s="6" t="s">
        <v>38</v>
      </c>
      <c r="G2071" s="6" t="s">
        <v>39</v>
      </c>
      <c r="H2071" s="6">
        <v>1</v>
      </c>
      <c r="I2071" s="6" t="s">
        <v>181</v>
      </c>
      <c r="J2071" s="6" t="s">
        <v>181</v>
      </c>
      <c r="K2071" s="6">
        <v>520</v>
      </c>
      <c r="L2071" s="6" t="s">
        <v>42</v>
      </c>
      <c r="M2071" s="6" t="s">
        <v>34</v>
      </c>
    </row>
    <row r="2072" spans="1:13">
      <c r="A2072" s="6" t="s">
        <v>2711</v>
      </c>
      <c r="B2072" s="7">
        <v>46331</v>
      </c>
      <c r="C2072" s="6" t="s">
        <v>2712</v>
      </c>
      <c r="D2072" s="6" t="s">
        <v>45</v>
      </c>
      <c r="E2072" s="6" t="s">
        <v>28</v>
      </c>
      <c r="F2072" s="6" t="s">
        <v>85</v>
      </c>
      <c r="G2072" s="6" t="s">
        <v>86</v>
      </c>
      <c r="H2072" s="6">
        <v>1</v>
      </c>
      <c r="I2072" s="6" t="s">
        <v>40</v>
      </c>
      <c r="J2072" s="6" t="s">
        <v>40</v>
      </c>
      <c r="K2072" s="6" t="s">
        <v>87</v>
      </c>
      <c r="L2072" s="6" t="s">
        <v>42</v>
      </c>
      <c r="M2072" s="6" t="s">
        <v>34</v>
      </c>
    </row>
    <row r="2073" spans="1:13">
      <c r="A2073" s="6" t="s">
        <v>3491</v>
      </c>
      <c r="B2073" s="7">
        <v>46083</v>
      </c>
      <c r="C2073" s="6" t="s">
        <v>1497</v>
      </c>
      <c r="D2073" s="6" t="s">
        <v>110</v>
      </c>
      <c r="E2073" s="6" t="s">
        <v>46</v>
      </c>
      <c r="F2073" s="6" t="s">
        <v>53</v>
      </c>
      <c r="G2073" s="6" t="s">
        <v>54</v>
      </c>
      <c r="H2073" s="6">
        <v>2</v>
      </c>
      <c r="I2073" s="6" t="s">
        <v>31</v>
      </c>
      <c r="J2073" s="6" t="s">
        <v>249</v>
      </c>
      <c r="K2073" s="6">
        <v>190</v>
      </c>
      <c r="L2073" s="6" t="s">
        <v>42</v>
      </c>
      <c r="M2073" s="6" t="s">
        <v>69</v>
      </c>
    </row>
    <row r="2074" spans="1:13">
      <c r="A2074" s="6" t="s">
        <v>3492</v>
      </c>
      <c r="B2074" s="7">
        <v>46195</v>
      </c>
      <c r="C2074" s="6" t="s">
        <v>1161</v>
      </c>
      <c r="D2074" s="6" t="s">
        <v>45</v>
      </c>
      <c r="E2074" s="6" t="s">
        <v>52</v>
      </c>
      <c r="F2074" s="6" t="s">
        <v>85</v>
      </c>
      <c r="G2074" s="6" t="s">
        <v>86</v>
      </c>
      <c r="H2074" s="6">
        <v>3</v>
      </c>
      <c r="I2074" s="6" t="s">
        <v>113</v>
      </c>
      <c r="J2074" s="6" t="s">
        <v>138</v>
      </c>
      <c r="K2074" s="6" t="s">
        <v>87</v>
      </c>
      <c r="L2074" s="6" t="s">
        <v>42</v>
      </c>
      <c r="M2074" s="6" t="s">
        <v>34</v>
      </c>
    </row>
    <row r="2075" spans="1:13">
      <c r="A2075" s="6" t="s">
        <v>3493</v>
      </c>
      <c r="B2075" s="7">
        <v>46054</v>
      </c>
      <c r="C2075" s="6" t="s">
        <v>3494</v>
      </c>
      <c r="D2075" s="6" t="s">
        <v>57</v>
      </c>
      <c r="E2075" s="6" t="s">
        <v>46</v>
      </c>
      <c r="F2075" s="6" t="s">
        <v>53</v>
      </c>
      <c r="G2075" s="6" t="s">
        <v>54</v>
      </c>
      <c r="H2075" s="6">
        <v>1</v>
      </c>
      <c r="I2075" s="6" t="s">
        <v>79</v>
      </c>
      <c r="J2075" s="6" t="s">
        <v>79</v>
      </c>
      <c r="K2075" s="6">
        <v>190</v>
      </c>
      <c r="L2075" s="6" t="s">
        <v>33</v>
      </c>
      <c r="M2075" s="6" t="s">
        <v>34</v>
      </c>
    </row>
    <row r="2076" spans="1:13">
      <c r="A2076" s="6" t="s">
        <v>3495</v>
      </c>
      <c r="B2076" s="7">
        <v>46162</v>
      </c>
      <c r="C2076" s="6" t="s">
        <v>3496</v>
      </c>
      <c r="D2076" s="6" t="s">
        <v>45</v>
      </c>
      <c r="E2076" s="6" t="s">
        <v>52</v>
      </c>
      <c r="F2076" s="6" t="s">
        <v>58</v>
      </c>
      <c r="G2076" s="6" t="s">
        <v>59</v>
      </c>
      <c r="H2076" s="6">
        <v>-1</v>
      </c>
      <c r="I2076" s="6" t="s">
        <v>79</v>
      </c>
      <c r="J2076" s="8" t="s">
        <v>1737</v>
      </c>
      <c r="K2076" s="6" t="s">
        <v>61</v>
      </c>
      <c r="L2076" s="6" t="s">
        <v>42</v>
      </c>
      <c r="M2076" s="6" t="s">
        <v>34</v>
      </c>
    </row>
    <row r="2077" spans="1:13">
      <c r="A2077" s="6" t="s">
        <v>3497</v>
      </c>
      <c r="B2077" s="7">
        <v>46042</v>
      </c>
      <c r="C2077" s="6" t="s">
        <v>970</v>
      </c>
      <c r="D2077" s="6" t="s">
        <v>45</v>
      </c>
      <c r="E2077" s="6" t="s">
        <v>46</v>
      </c>
      <c r="F2077" s="6" t="s">
        <v>58</v>
      </c>
      <c r="G2077" s="6" t="s">
        <v>59</v>
      </c>
      <c r="H2077" s="6">
        <v>1</v>
      </c>
      <c r="I2077" s="6" t="s">
        <v>40</v>
      </c>
      <c r="J2077" s="6" t="s">
        <v>40</v>
      </c>
      <c r="K2077" s="6">
        <v>380</v>
      </c>
      <c r="L2077" s="6" t="s">
        <v>42</v>
      </c>
      <c r="M2077" s="6" t="s">
        <v>34</v>
      </c>
    </row>
    <row r="2078" spans="1:13">
      <c r="A2078" s="6" t="s">
        <v>3498</v>
      </c>
      <c r="B2078" s="6" t="s">
        <v>698</v>
      </c>
      <c r="C2078" s="6" t="s">
        <v>532</v>
      </c>
      <c r="D2078" s="6" t="s">
        <v>77</v>
      </c>
      <c r="E2078" s="6" t="s">
        <v>78</v>
      </c>
      <c r="F2078" s="6" t="s">
        <v>38</v>
      </c>
      <c r="G2078" s="6" t="s">
        <v>39</v>
      </c>
      <c r="H2078" s="6">
        <v>3</v>
      </c>
      <c r="I2078" s="6" t="s">
        <v>60</v>
      </c>
      <c r="J2078" s="6" t="s">
        <v>268</v>
      </c>
      <c r="K2078" s="6">
        <v>520</v>
      </c>
      <c r="L2078" s="6" t="s">
        <v>33</v>
      </c>
      <c r="M2078" s="6" t="s">
        <v>34</v>
      </c>
    </row>
    <row r="2079" spans="1:13">
      <c r="A2079" s="6" t="s">
        <v>3499</v>
      </c>
      <c r="B2079" s="7">
        <v>46053</v>
      </c>
      <c r="C2079" s="6" t="s">
        <v>2035</v>
      </c>
      <c r="D2079" s="6" t="s">
        <v>72</v>
      </c>
      <c r="E2079" s="6" t="s">
        <v>52</v>
      </c>
      <c r="F2079" s="6" t="s">
        <v>85</v>
      </c>
      <c r="G2079" s="6" t="s">
        <v>86</v>
      </c>
      <c r="H2079" s="6">
        <v>2</v>
      </c>
      <c r="I2079" s="6" t="s">
        <v>90</v>
      </c>
      <c r="J2079" s="6" t="s">
        <v>154</v>
      </c>
      <c r="K2079" s="6">
        <v>410</v>
      </c>
      <c r="L2079" s="6" t="s">
        <v>42</v>
      </c>
      <c r="M2079" s="6" t="s">
        <v>69</v>
      </c>
    </row>
    <row r="2080" spans="1:13">
      <c r="A2080" s="6" t="s">
        <v>3500</v>
      </c>
      <c r="B2080" s="7">
        <v>46041</v>
      </c>
      <c r="C2080" s="6" t="s">
        <v>454</v>
      </c>
      <c r="D2080" s="6" t="s">
        <v>127</v>
      </c>
      <c r="E2080" s="6" t="s">
        <v>37</v>
      </c>
      <c r="F2080" s="6" t="s">
        <v>58</v>
      </c>
      <c r="G2080" s="6" t="s">
        <v>59</v>
      </c>
      <c r="H2080" s="6">
        <v>1</v>
      </c>
      <c r="I2080" s="6" t="s">
        <v>143</v>
      </c>
      <c r="J2080" s="6" t="s">
        <v>143</v>
      </c>
      <c r="K2080" s="6">
        <v>380</v>
      </c>
      <c r="L2080" s="6" t="s">
        <v>42</v>
      </c>
      <c r="M2080" s="6" t="s">
        <v>34</v>
      </c>
    </row>
    <row r="2081" spans="1:13">
      <c r="A2081" s="6" t="s">
        <v>3501</v>
      </c>
      <c r="B2081" s="7">
        <v>46136</v>
      </c>
      <c r="C2081" s="6" t="s">
        <v>513</v>
      </c>
      <c r="D2081" s="6" t="s">
        <v>64</v>
      </c>
      <c r="E2081" s="6" t="s">
        <v>52</v>
      </c>
      <c r="F2081" s="6" t="s">
        <v>100</v>
      </c>
      <c r="G2081" s="6" t="s">
        <v>101</v>
      </c>
      <c r="H2081" s="6">
        <v>1</v>
      </c>
      <c r="I2081" s="6" t="s">
        <v>113</v>
      </c>
      <c r="J2081" s="6" t="s">
        <v>113</v>
      </c>
      <c r="K2081" s="6" t="s">
        <v>119</v>
      </c>
      <c r="L2081" s="6" t="s">
        <v>42</v>
      </c>
      <c r="M2081" s="6" t="s">
        <v>34</v>
      </c>
    </row>
    <row r="2082" spans="1:13">
      <c r="A2082" s="6" t="s">
        <v>3502</v>
      </c>
      <c r="B2082" s="7">
        <v>46090</v>
      </c>
      <c r="C2082" s="6" t="s">
        <v>2687</v>
      </c>
      <c r="D2082" s="6" t="s">
        <v>27</v>
      </c>
      <c r="E2082" s="6" t="s">
        <v>37</v>
      </c>
      <c r="F2082" s="6" t="s">
        <v>58</v>
      </c>
      <c r="G2082" s="6" t="s">
        <v>59</v>
      </c>
      <c r="H2082" s="6">
        <v>3</v>
      </c>
      <c r="I2082" s="6" t="s">
        <v>73</v>
      </c>
      <c r="J2082" s="6" t="s">
        <v>499</v>
      </c>
      <c r="K2082" s="6">
        <v>380</v>
      </c>
      <c r="L2082" s="6" t="s">
        <v>42</v>
      </c>
      <c r="M2082" s="6" t="s">
        <v>69</v>
      </c>
    </row>
    <row r="2083" spans="1:13">
      <c r="A2083" s="6" t="s">
        <v>3503</v>
      </c>
      <c r="B2083" s="7">
        <v>46136</v>
      </c>
      <c r="C2083" s="6" t="s">
        <v>2339</v>
      </c>
      <c r="D2083" s="6" t="s">
        <v>110</v>
      </c>
      <c r="E2083" s="6" t="s">
        <v>28</v>
      </c>
      <c r="F2083" s="6" t="s">
        <v>100</v>
      </c>
      <c r="G2083" s="6" t="s">
        <v>101</v>
      </c>
      <c r="H2083" s="6">
        <v>1</v>
      </c>
      <c r="I2083" s="6" t="s">
        <v>2666</v>
      </c>
      <c r="J2083" s="6" t="s">
        <v>67</v>
      </c>
      <c r="K2083" s="6" t="s">
        <v>119</v>
      </c>
      <c r="L2083" s="6" t="s">
        <v>33</v>
      </c>
      <c r="M2083" s="6" t="s">
        <v>34</v>
      </c>
    </row>
    <row r="2084" spans="1:13">
      <c r="A2084" s="6" t="s">
        <v>3504</v>
      </c>
      <c r="B2084" s="7">
        <v>46185</v>
      </c>
      <c r="C2084" s="6" t="s">
        <v>1087</v>
      </c>
      <c r="D2084" s="6" t="s">
        <v>45</v>
      </c>
      <c r="E2084" s="6" t="s">
        <v>37</v>
      </c>
      <c r="F2084" s="6" t="s">
        <v>38</v>
      </c>
      <c r="G2084" s="6" t="s">
        <v>39</v>
      </c>
      <c r="H2084" s="6">
        <v>2</v>
      </c>
      <c r="I2084" s="6" t="s">
        <v>90</v>
      </c>
      <c r="J2084" s="6" t="s">
        <v>154</v>
      </c>
      <c r="K2084" s="6" t="s">
        <v>41</v>
      </c>
      <c r="L2084" s="6" t="s">
        <v>42</v>
      </c>
      <c r="M2084" s="6" t="s">
        <v>34</v>
      </c>
    </row>
    <row r="2085" spans="1:13">
      <c r="A2085" s="6" t="s">
        <v>3505</v>
      </c>
      <c r="B2085" s="6" t="s">
        <v>2844</v>
      </c>
      <c r="C2085" s="6" t="s">
        <v>3177</v>
      </c>
      <c r="D2085" s="6" t="s">
        <v>27</v>
      </c>
      <c r="E2085" s="6" t="s">
        <v>78</v>
      </c>
      <c r="F2085" s="6" t="s">
        <v>47</v>
      </c>
      <c r="G2085" s="6" t="s">
        <v>48</v>
      </c>
      <c r="H2085" s="6">
        <v>3</v>
      </c>
      <c r="I2085" s="6" t="s">
        <v>113</v>
      </c>
      <c r="J2085" s="6" t="s">
        <v>138</v>
      </c>
      <c r="K2085" s="6">
        <v>85</v>
      </c>
      <c r="L2085" s="6" t="s">
        <v>42</v>
      </c>
      <c r="M2085" s="6" t="s">
        <v>69</v>
      </c>
    </row>
    <row r="2086" spans="1:13">
      <c r="A2086" s="6" t="s">
        <v>3506</v>
      </c>
      <c r="B2086" s="7">
        <v>46065</v>
      </c>
      <c r="C2086" s="6" t="s">
        <v>3507</v>
      </c>
      <c r="D2086" s="6" t="s">
        <v>105</v>
      </c>
      <c r="E2086" s="6" t="s">
        <v>28</v>
      </c>
      <c r="F2086" s="6" t="s">
        <v>38</v>
      </c>
      <c r="G2086" s="6" t="s">
        <v>39</v>
      </c>
      <c r="H2086" s="6">
        <v>1</v>
      </c>
      <c r="I2086" s="6" t="s">
        <v>117</v>
      </c>
      <c r="J2086" s="6" t="s">
        <v>1060</v>
      </c>
      <c r="K2086" s="6">
        <v>520</v>
      </c>
      <c r="L2086" s="6" t="s">
        <v>42</v>
      </c>
      <c r="M2086" s="6" t="s">
        <v>34</v>
      </c>
    </row>
    <row r="2087" spans="1:13">
      <c r="A2087" s="6" t="s">
        <v>3508</v>
      </c>
      <c r="B2087" s="7">
        <v>46116</v>
      </c>
      <c r="C2087" s="6" t="s">
        <v>2231</v>
      </c>
      <c r="D2087" s="6" t="s">
        <v>127</v>
      </c>
      <c r="E2087" s="6" t="s">
        <v>78</v>
      </c>
      <c r="F2087" s="6" t="s">
        <v>29</v>
      </c>
      <c r="G2087" s="6" t="s">
        <v>30</v>
      </c>
      <c r="H2087" s="6">
        <v>1</v>
      </c>
      <c r="I2087" s="6" t="s">
        <v>67</v>
      </c>
      <c r="J2087" s="6" t="s">
        <v>67</v>
      </c>
      <c r="K2087" s="6">
        <v>520</v>
      </c>
      <c r="L2087" s="6" t="s">
        <v>42</v>
      </c>
      <c r="M2087" s="6" t="s">
        <v>34</v>
      </c>
    </row>
    <row r="2088" spans="1:13">
      <c r="A2088" s="6" t="s">
        <v>3509</v>
      </c>
      <c r="B2088" s="7">
        <v>46208</v>
      </c>
      <c r="C2088" s="6" t="s">
        <v>1396</v>
      </c>
      <c r="D2088" s="6" t="s">
        <v>105</v>
      </c>
      <c r="E2088" s="6" t="s">
        <v>78</v>
      </c>
      <c r="F2088" s="6" t="s">
        <v>85</v>
      </c>
      <c r="G2088" s="6" t="s">
        <v>86</v>
      </c>
      <c r="H2088" s="6">
        <v>2</v>
      </c>
      <c r="I2088" s="6" t="s">
        <v>619</v>
      </c>
      <c r="J2088" s="6" t="s">
        <v>144</v>
      </c>
      <c r="K2088" s="6" t="s">
        <v>87</v>
      </c>
      <c r="L2088" s="6" t="s">
        <v>42</v>
      </c>
      <c r="M2088" s="6" t="s">
        <v>34</v>
      </c>
    </row>
    <row r="2089" spans="1:13">
      <c r="A2089" s="6" t="s">
        <v>3510</v>
      </c>
      <c r="B2089" s="7">
        <v>46113</v>
      </c>
      <c r="C2089" s="6" t="s">
        <v>509</v>
      </c>
      <c r="D2089" s="6" t="s">
        <v>110</v>
      </c>
      <c r="E2089" s="6" t="s">
        <v>46</v>
      </c>
      <c r="F2089" s="6" t="s">
        <v>85</v>
      </c>
      <c r="G2089" s="6" t="s">
        <v>86</v>
      </c>
      <c r="H2089" s="6">
        <v>1</v>
      </c>
      <c r="I2089" s="6" t="s">
        <v>265</v>
      </c>
      <c r="J2089" s="6" t="s">
        <v>265</v>
      </c>
      <c r="K2089" s="6">
        <v>410</v>
      </c>
      <c r="L2089" s="6" t="s">
        <v>42</v>
      </c>
      <c r="M2089" s="6" t="s">
        <v>34</v>
      </c>
    </row>
    <row r="2090" spans="1:13">
      <c r="A2090" s="6" t="s">
        <v>3511</v>
      </c>
      <c r="B2090" s="7">
        <v>46141</v>
      </c>
      <c r="C2090" s="6" t="s">
        <v>3057</v>
      </c>
      <c r="D2090" s="6" t="s">
        <v>27</v>
      </c>
      <c r="E2090" s="6" t="s">
        <v>78</v>
      </c>
      <c r="F2090" s="6" t="s">
        <v>38</v>
      </c>
      <c r="G2090" s="6" t="s">
        <v>39</v>
      </c>
      <c r="H2090" s="6">
        <v>1</v>
      </c>
      <c r="I2090" s="6" t="s">
        <v>31</v>
      </c>
      <c r="J2090" s="6" t="s">
        <v>31</v>
      </c>
      <c r="K2090" s="6" t="s">
        <v>41</v>
      </c>
      <c r="L2090" s="6" t="s">
        <v>42</v>
      </c>
      <c r="M2090" s="6" t="s">
        <v>34</v>
      </c>
    </row>
    <row r="2091" spans="1:13">
      <c r="A2091" s="6" t="s">
        <v>3512</v>
      </c>
      <c r="B2091" s="7">
        <v>46031</v>
      </c>
      <c r="C2091" s="6" t="s">
        <v>1719</v>
      </c>
      <c r="D2091" s="6" t="s">
        <v>45</v>
      </c>
      <c r="E2091" s="6" t="s">
        <v>46</v>
      </c>
      <c r="F2091" s="6" t="s">
        <v>29</v>
      </c>
      <c r="G2091" s="6" t="s">
        <v>30</v>
      </c>
      <c r="H2091" s="6">
        <v>2</v>
      </c>
      <c r="I2091" s="6" t="s">
        <v>660</v>
      </c>
      <c r="J2091" s="6" t="s">
        <v>259</v>
      </c>
      <c r="K2091" s="6">
        <v>520</v>
      </c>
      <c r="L2091" s="6" t="s">
        <v>33</v>
      </c>
      <c r="M2091" s="6" t="s">
        <v>34</v>
      </c>
    </row>
    <row r="2092" spans="1:13">
      <c r="A2092" s="6" t="s">
        <v>3513</v>
      </c>
      <c r="B2092" s="7">
        <v>46100</v>
      </c>
      <c r="C2092" s="6" t="s">
        <v>3514</v>
      </c>
      <c r="D2092" s="6" t="s">
        <v>105</v>
      </c>
      <c r="E2092" s="6" t="s">
        <v>37</v>
      </c>
      <c r="F2092" s="6" t="s">
        <v>38</v>
      </c>
      <c r="G2092" s="6" t="s">
        <v>39</v>
      </c>
      <c r="H2092" s="6">
        <v>1</v>
      </c>
      <c r="I2092" s="6" t="s">
        <v>67</v>
      </c>
      <c r="J2092" s="6" t="s">
        <v>67</v>
      </c>
      <c r="K2092" s="6">
        <v>520</v>
      </c>
      <c r="L2092" s="6" t="s">
        <v>42</v>
      </c>
      <c r="M2092" s="6" t="s">
        <v>34</v>
      </c>
    </row>
    <row r="2093" spans="1:13">
      <c r="A2093" s="6" t="s">
        <v>3515</v>
      </c>
      <c r="B2093" s="7">
        <v>46040</v>
      </c>
      <c r="C2093" s="6" t="s">
        <v>1104</v>
      </c>
      <c r="D2093" s="6" t="s">
        <v>57</v>
      </c>
      <c r="E2093" s="6" t="s">
        <v>28</v>
      </c>
      <c r="F2093" s="6" t="s">
        <v>38</v>
      </c>
      <c r="G2093" s="6" t="s">
        <v>39</v>
      </c>
      <c r="H2093" s="6">
        <v>2</v>
      </c>
      <c r="I2093" s="6" t="s">
        <v>79</v>
      </c>
      <c r="J2093" s="6" t="s">
        <v>259</v>
      </c>
      <c r="K2093" s="6">
        <v>520</v>
      </c>
      <c r="L2093" s="6" t="s">
        <v>42</v>
      </c>
      <c r="M2093" s="6" t="s">
        <v>34</v>
      </c>
    </row>
    <row r="2094" spans="1:13">
      <c r="A2094" s="6" t="s">
        <v>3516</v>
      </c>
      <c r="B2094" s="7">
        <v>46028</v>
      </c>
      <c r="C2094" s="6" t="s">
        <v>1081</v>
      </c>
      <c r="D2094" s="6" t="s">
        <v>105</v>
      </c>
      <c r="E2094" s="6" t="s">
        <v>78</v>
      </c>
      <c r="F2094" s="6" t="s">
        <v>58</v>
      </c>
      <c r="G2094" s="6" t="s">
        <v>59</v>
      </c>
      <c r="H2094" s="6">
        <v>1</v>
      </c>
      <c r="I2094" s="6" t="s">
        <v>90</v>
      </c>
      <c r="J2094" s="6" t="s">
        <v>262</v>
      </c>
      <c r="K2094" s="6">
        <v>380</v>
      </c>
      <c r="L2094" s="6" t="s">
        <v>42</v>
      </c>
      <c r="M2094" s="6" t="s">
        <v>69</v>
      </c>
    </row>
    <row r="2095" spans="1:13">
      <c r="A2095" s="6" t="s">
        <v>3517</v>
      </c>
      <c r="B2095" s="7">
        <v>46094</v>
      </c>
      <c r="C2095" s="6" t="s">
        <v>2901</v>
      </c>
      <c r="D2095" s="6" t="s">
        <v>64</v>
      </c>
      <c r="E2095" s="6" t="s">
        <v>52</v>
      </c>
      <c r="F2095" s="6" t="s">
        <v>58</v>
      </c>
      <c r="G2095" s="6" t="s">
        <v>59</v>
      </c>
      <c r="H2095" s="6">
        <v>1</v>
      </c>
      <c r="I2095" s="6" t="s">
        <v>82</v>
      </c>
      <c r="J2095" s="6" t="s">
        <v>82</v>
      </c>
      <c r="K2095" s="6">
        <v>380</v>
      </c>
      <c r="L2095" s="6" t="s">
        <v>42</v>
      </c>
      <c r="M2095" s="6" t="s">
        <v>34</v>
      </c>
    </row>
    <row r="2096" spans="1:13">
      <c r="A2096" s="6" t="s">
        <v>3518</v>
      </c>
      <c r="B2096" s="7">
        <v>46150</v>
      </c>
      <c r="C2096" s="6" t="s">
        <v>1118</v>
      </c>
      <c r="D2096" s="6" t="s">
        <v>45</v>
      </c>
      <c r="E2096" s="6" t="s">
        <v>46</v>
      </c>
      <c r="F2096" s="6" t="s">
        <v>47</v>
      </c>
      <c r="G2096" s="6" t="s">
        <v>48</v>
      </c>
      <c r="H2096" s="6">
        <v>1</v>
      </c>
      <c r="I2096" s="6" t="s">
        <v>265</v>
      </c>
      <c r="J2096" s="6" t="s">
        <v>265</v>
      </c>
      <c r="K2096" s="6" t="s">
        <v>49</v>
      </c>
      <c r="L2096" s="6" t="s">
        <v>42</v>
      </c>
      <c r="M2096" s="6" t="s">
        <v>34</v>
      </c>
    </row>
    <row r="2097" spans="1:13">
      <c r="A2097" s="6" t="s">
        <v>3519</v>
      </c>
      <c r="B2097" s="7">
        <v>46026</v>
      </c>
      <c r="C2097" s="6" t="s">
        <v>429</v>
      </c>
      <c r="D2097" s="6" t="s">
        <v>77</v>
      </c>
      <c r="E2097" s="6" t="s">
        <v>78</v>
      </c>
      <c r="F2097" s="6" t="s">
        <v>38</v>
      </c>
      <c r="G2097" s="6" t="s">
        <v>39</v>
      </c>
      <c r="H2097" s="6">
        <v>1</v>
      </c>
      <c r="I2097" s="6" t="s">
        <v>265</v>
      </c>
      <c r="J2097" s="6" t="s">
        <v>265</v>
      </c>
      <c r="K2097" s="6">
        <v>520</v>
      </c>
      <c r="L2097" s="6" t="s">
        <v>42</v>
      </c>
      <c r="M2097" s="6" t="s">
        <v>34</v>
      </c>
    </row>
    <row r="2098" spans="1:13">
      <c r="A2098" s="6" t="s">
        <v>3520</v>
      </c>
      <c r="B2098" s="7">
        <v>46116</v>
      </c>
      <c r="C2098" s="6" t="s">
        <v>3521</v>
      </c>
      <c r="D2098" s="6" t="s">
        <v>57</v>
      </c>
      <c r="E2098" s="6" t="s">
        <v>37</v>
      </c>
      <c r="F2098" s="6" t="s">
        <v>100</v>
      </c>
      <c r="G2098" s="6" t="s">
        <v>101</v>
      </c>
      <c r="H2098" s="6">
        <v>1</v>
      </c>
      <c r="I2098" s="6" t="s">
        <v>40</v>
      </c>
      <c r="J2098" s="6" t="s">
        <v>40</v>
      </c>
      <c r="K2098" s="6">
        <v>640</v>
      </c>
      <c r="L2098" s="6" t="s">
        <v>42</v>
      </c>
      <c r="M2098" s="6" t="s">
        <v>34</v>
      </c>
    </row>
    <row r="2099" spans="1:13">
      <c r="A2099" s="6" t="s">
        <v>3522</v>
      </c>
      <c r="B2099" s="6" t="s">
        <v>593</v>
      </c>
      <c r="C2099" s="6" t="s">
        <v>264</v>
      </c>
      <c r="D2099" s="6" t="s">
        <v>27</v>
      </c>
      <c r="E2099" s="6" t="s">
        <v>28</v>
      </c>
      <c r="F2099" s="6" t="s">
        <v>53</v>
      </c>
      <c r="G2099" s="6" t="s">
        <v>54</v>
      </c>
      <c r="H2099" s="6">
        <v>1</v>
      </c>
      <c r="I2099" s="6" t="s">
        <v>60</v>
      </c>
      <c r="J2099" s="6" t="s">
        <v>60</v>
      </c>
      <c r="K2099" s="6" t="s">
        <v>122</v>
      </c>
      <c r="L2099" s="6" t="s">
        <v>42</v>
      </c>
      <c r="M2099" s="6" t="s">
        <v>34</v>
      </c>
    </row>
    <row r="2100" spans="1:13">
      <c r="A2100" s="6" t="s">
        <v>3523</v>
      </c>
      <c r="B2100" s="7">
        <v>46153</v>
      </c>
      <c r="C2100" s="6" t="s">
        <v>2074</v>
      </c>
      <c r="D2100" s="6" t="s">
        <v>45</v>
      </c>
      <c r="E2100" s="6" t="s">
        <v>52</v>
      </c>
      <c r="F2100" s="6" t="s">
        <v>100</v>
      </c>
      <c r="G2100" s="6" t="s">
        <v>101</v>
      </c>
      <c r="H2100" s="6">
        <v>3</v>
      </c>
      <c r="I2100" s="6" t="s">
        <v>60</v>
      </c>
      <c r="J2100" s="6" t="s">
        <v>268</v>
      </c>
      <c r="K2100" s="6" t="s">
        <v>119</v>
      </c>
      <c r="L2100" s="6" t="s">
        <v>33</v>
      </c>
      <c r="M2100" s="6" t="s">
        <v>34</v>
      </c>
    </row>
    <row r="2101" spans="1:13">
      <c r="A2101" s="6" t="s">
        <v>3524</v>
      </c>
      <c r="B2101" s="7">
        <v>46173</v>
      </c>
      <c r="C2101" s="6" t="s">
        <v>1800</v>
      </c>
      <c r="D2101" s="6" t="s">
        <v>64</v>
      </c>
      <c r="E2101" s="6" t="s">
        <v>28</v>
      </c>
      <c r="F2101" s="6" t="s">
        <v>47</v>
      </c>
      <c r="G2101" s="6" t="s">
        <v>48</v>
      </c>
      <c r="H2101" s="6">
        <v>2</v>
      </c>
      <c r="I2101" s="6" t="s">
        <v>79</v>
      </c>
      <c r="J2101" s="6" t="s">
        <v>259</v>
      </c>
      <c r="K2101" s="6" t="s">
        <v>49</v>
      </c>
      <c r="L2101" s="6" t="s">
        <v>42</v>
      </c>
      <c r="M2101" s="6" t="s">
        <v>34</v>
      </c>
    </row>
    <row r="2102" spans="1:13">
      <c r="A2102" s="6" t="s">
        <v>3525</v>
      </c>
      <c r="B2102" s="7">
        <v>46051</v>
      </c>
      <c r="C2102" s="6" t="s">
        <v>3110</v>
      </c>
      <c r="D2102" s="6" t="s">
        <v>57</v>
      </c>
      <c r="E2102" s="6" t="s">
        <v>46</v>
      </c>
      <c r="F2102" s="6" t="s">
        <v>29</v>
      </c>
      <c r="G2102" s="6" t="s">
        <v>30</v>
      </c>
      <c r="H2102" s="6">
        <v>3</v>
      </c>
      <c r="I2102" s="6" t="s">
        <v>162</v>
      </c>
      <c r="J2102" s="6" t="s">
        <v>867</v>
      </c>
      <c r="K2102" s="6">
        <v>520</v>
      </c>
      <c r="L2102" s="6" t="s">
        <v>42</v>
      </c>
      <c r="M2102" s="6" t="s">
        <v>34</v>
      </c>
    </row>
    <row r="2103" spans="1:13">
      <c r="A2103" s="6" t="s">
        <v>3526</v>
      </c>
      <c r="B2103" s="7">
        <v>46111</v>
      </c>
      <c r="C2103" s="6" t="s">
        <v>355</v>
      </c>
      <c r="D2103" s="6" t="s">
        <v>72</v>
      </c>
      <c r="E2103" s="6" t="s">
        <v>28</v>
      </c>
      <c r="F2103" s="6" t="s">
        <v>47</v>
      </c>
      <c r="G2103" s="6" t="s">
        <v>48</v>
      </c>
      <c r="H2103" s="6">
        <v>1</v>
      </c>
      <c r="I2103" s="6" t="s">
        <v>67</v>
      </c>
      <c r="J2103" s="6" t="s">
        <v>67</v>
      </c>
      <c r="K2103" s="6">
        <v>85</v>
      </c>
      <c r="L2103" s="6" t="s">
        <v>42</v>
      </c>
      <c r="M2103" s="6" t="s">
        <v>69</v>
      </c>
    </row>
    <row r="2104" spans="1:13">
      <c r="A2104" s="6" t="s">
        <v>3527</v>
      </c>
      <c r="B2104" s="7">
        <v>46073</v>
      </c>
      <c r="C2104" s="6" t="s">
        <v>3528</v>
      </c>
      <c r="D2104" s="6" t="s">
        <v>64</v>
      </c>
      <c r="E2104" s="6" t="s">
        <v>28</v>
      </c>
      <c r="F2104" s="6" t="s">
        <v>94</v>
      </c>
      <c r="G2104" s="6" t="s">
        <v>95</v>
      </c>
      <c r="H2104" s="6">
        <v>2</v>
      </c>
      <c r="I2104" s="6" t="s">
        <v>113</v>
      </c>
      <c r="J2104" s="6" t="s">
        <v>192</v>
      </c>
      <c r="K2104" s="6">
        <v>340</v>
      </c>
      <c r="L2104" s="6" t="s">
        <v>42</v>
      </c>
      <c r="M2104" s="6" t="s">
        <v>34</v>
      </c>
    </row>
    <row r="2105" spans="1:13">
      <c r="A2105" s="6" t="s">
        <v>3529</v>
      </c>
      <c r="B2105" s="7">
        <v>46195</v>
      </c>
      <c r="C2105" s="6" t="s">
        <v>466</v>
      </c>
      <c r="D2105" s="6" t="s">
        <v>45</v>
      </c>
      <c r="E2105" s="6" t="s">
        <v>28</v>
      </c>
      <c r="F2105" s="6" t="s">
        <v>58</v>
      </c>
      <c r="G2105" s="6" t="s">
        <v>59</v>
      </c>
      <c r="H2105" s="6">
        <v>3</v>
      </c>
      <c r="I2105" s="6" t="s">
        <v>31</v>
      </c>
      <c r="J2105" s="6" t="s">
        <v>337</v>
      </c>
      <c r="K2105" s="6" t="s">
        <v>61</v>
      </c>
      <c r="L2105" s="6" t="s">
        <v>33</v>
      </c>
      <c r="M2105" s="6" t="s">
        <v>69</v>
      </c>
    </row>
    <row r="2106" spans="1:13">
      <c r="A2106" s="6" t="s">
        <v>3530</v>
      </c>
      <c r="B2106" s="6" t="s">
        <v>3069</v>
      </c>
      <c r="C2106" s="6" t="s">
        <v>2994</v>
      </c>
      <c r="D2106" s="6" t="s">
        <v>127</v>
      </c>
      <c r="E2106" s="6" t="s">
        <v>37</v>
      </c>
      <c r="F2106" s="6" t="s">
        <v>85</v>
      </c>
      <c r="G2106" s="6" t="s">
        <v>86</v>
      </c>
      <c r="H2106" s="6">
        <v>2</v>
      </c>
      <c r="I2106" s="6" t="s">
        <v>660</v>
      </c>
      <c r="J2106" s="6" t="s">
        <v>259</v>
      </c>
      <c r="K2106" s="6">
        <v>410</v>
      </c>
      <c r="L2106" s="6" t="s">
        <v>42</v>
      </c>
      <c r="M2106" s="6" t="s">
        <v>34</v>
      </c>
    </row>
    <row r="2107" spans="1:13">
      <c r="A2107" s="6" t="s">
        <v>3531</v>
      </c>
      <c r="B2107" s="7">
        <v>46051</v>
      </c>
      <c r="C2107" s="6" t="s">
        <v>331</v>
      </c>
      <c r="D2107" s="6" t="s">
        <v>127</v>
      </c>
      <c r="E2107" s="6" t="s">
        <v>46</v>
      </c>
      <c r="F2107" s="6" t="s">
        <v>100</v>
      </c>
      <c r="G2107" s="6" t="s">
        <v>101</v>
      </c>
      <c r="H2107" s="6">
        <v>1</v>
      </c>
      <c r="I2107" s="6" t="s">
        <v>181</v>
      </c>
      <c r="J2107" s="6" t="s">
        <v>181</v>
      </c>
      <c r="K2107" s="6">
        <v>640</v>
      </c>
      <c r="L2107" s="6" t="s">
        <v>42</v>
      </c>
      <c r="M2107" s="6" t="s">
        <v>69</v>
      </c>
    </row>
    <row r="2108" spans="1:13">
      <c r="A2108" s="6" t="s">
        <v>3532</v>
      </c>
      <c r="B2108" s="7">
        <v>46143</v>
      </c>
      <c r="C2108" s="6" t="s">
        <v>3110</v>
      </c>
      <c r="D2108" s="6" t="s">
        <v>57</v>
      </c>
      <c r="E2108" s="6" t="s">
        <v>52</v>
      </c>
      <c r="F2108" s="6" t="s">
        <v>94</v>
      </c>
      <c r="G2108" s="6" t="s">
        <v>95</v>
      </c>
      <c r="H2108" s="6">
        <v>2</v>
      </c>
      <c r="I2108" s="6" t="s">
        <v>67</v>
      </c>
      <c r="J2108" s="6" t="s">
        <v>204</v>
      </c>
      <c r="K2108" s="6" t="s">
        <v>114</v>
      </c>
      <c r="L2108" s="6" t="s">
        <v>33</v>
      </c>
      <c r="M2108" s="6" t="s">
        <v>34</v>
      </c>
    </row>
    <row r="2109" spans="1:13">
      <c r="A2109" s="6" t="s">
        <v>3533</v>
      </c>
      <c r="B2109" s="7">
        <v>46174</v>
      </c>
      <c r="C2109" s="6" t="s">
        <v>1594</v>
      </c>
      <c r="D2109" s="6" t="s">
        <v>57</v>
      </c>
      <c r="E2109" s="6" t="s">
        <v>28</v>
      </c>
      <c r="F2109" s="6" t="s">
        <v>100</v>
      </c>
      <c r="G2109" s="6" t="s">
        <v>101</v>
      </c>
      <c r="H2109" s="6">
        <v>1</v>
      </c>
      <c r="I2109" s="6" t="s">
        <v>113</v>
      </c>
      <c r="J2109" s="6" t="s">
        <v>113</v>
      </c>
      <c r="K2109" s="6">
        <v>640</v>
      </c>
      <c r="L2109" s="6" t="s">
        <v>42</v>
      </c>
      <c r="M2109" s="6" t="s">
        <v>69</v>
      </c>
    </row>
    <row r="2110" spans="1:13">
      <c r="A2110" s="6" t="s">
        <v>3534</v>
      </c>
      <c r="B2110" s="7">
        <v>46029</v>
      </c>
      <c r="C2110" s="6" t="s">
        <v>1513</v>
      </c>
      <c r="D2110" s="6" t="s">
        <v>45</v>
      </c>
      <c r="E2110" s="6" t="s">
        <v>78</v>
      </c>
      <c r="F2110" s="6" t="s">
        <v>53</v>
      </c>
      <c r="G2110" s="6" t="s">
        <v>54</v>
      </c>
      <c r="H2110" s="6">
        <v>1</v>
      </c>
      <c r="I2110" s="6" t="s">
        <v>181</v>
      </c>
      <c r="J2110" s="6" t="s">
        <v>181</v>
      </c>
      <c r="K2110" s="6">
        <v>190</v>
      </c>
      <c r="L2110" s="6" t="s">
        <v>42</v>
      </c>
      <c r="M2110" s="6" t="s">
        <v>34</v>
      </c>
    </row>
    <row r="2111" spans="1:13">
      <c r="A2111" s="6" t="s">
        <v>3535</v>
      </c>
      <c r="B2111" s="7">
        <v>46205</v>
      </c>
      <c r="C2111" s="6" t="s">
        <v>184</v>
      </c>
      <c r="D2111" s="6" t="s">
        <v>110</v>
      </c>
      <c r="E2111" s="6" t="s">
        <v>78</v>
      </c>
      <c r="F2111" s="6" t="s">
        <v>53</v>
      </c>
      <c r="G2111" s="6" t="s">
        <v>54</v>
      </c>
      <c r="H2111" s="6">
        <v>2</v>
      </c>
      <c r="I2111" s="6" t="s">
        <v>79</v>
      </c>
      <c r="J2111" s="6" t="s">
        <v>259</v>
      </c>
      <c r="K2111" s="6" t="s">
        <v>122</v>
      </c>
      <c r="L2111" s="6" t="s">
        <v>42</v>
      </c>
      <c r="M2111" s="6" t="s">
        <v>34</v>
      </c>
    </row>
    <row r="2112" spans="1:13">
      <c r="A2112" s="6" t="s">
        <v>3536</v>
      </c>
      <c r="B2112" s="6" t="s">
        <v>1831</v>
      </c>
      <c r="C2112" s="6" t="s">
        <v>363</v>
      </c>
      <c r="D2112" s="6" t="s">
        <v>45</v>
      </c>
      <c r="E2112" s="6" t="s">
        <v>28</v>
      </c>
      <c r="F2112" s="6" t="s">
        <v>58</v>
      </c>
      <c r="G2112" s="6" t="s">
        <v>59</v>
      </c>
      <c r="H2112" s="6">
        <v>1</v>
      </c>
      <c r="I2112" s="6" t="s">
        <v>656</v>
      </c>
      <c r="J2112" s="6" t="s">
        <v>113</v>
      </c>
      <c r="K2112" s="6">
        <v>380</v>
      </c>
      <c r="L2112" s="6" t="s">
        <v>42</v>
      </c>
      <c r="M2112" s="6" t="s">
        <v>34</v>
      </c>
    </row>
    <row r="2113" spans="1:13">
      <c r="A2113" s="6" t="s">
        <v>3537</v>
      </c>
      <c r="B2113" s="7">
        <v>46114</v>
      </c>
      <c r="C2113" s="6" t="s">
        <v>2536</v>
      </c>
      <c r="D2113" s="6" t="s">
        <v>45</v>
      </c>
      <c r="E2113" s="6" t="s">
        <v>46</v>
      </c>
      <c r="F2113" s="6" t="s">
        <v>85</v>
      </c>
      <c r="G2113" s="6" t="s">
        <v>86</v>
      </c>
      <c r="H2113" s="6">
        <v>1</v>
      </c>
      <c r="I2113" s="6" t="s">
        <v>60</v>
      </c>
      <c r="J2113" s="6" t="s">
        <v>60</v>
      </c>
      <c r="K2113" s="6">
        <v>410</v>
      </c>
      <c r="L2113" s="6" t="s">
        <v>42</v>
      </c>
      <c r="M2113" s="6" t="s">
        <v>34</v>
      </c>
    </row>
    <row r="2114" spans="1:13">
      <c r="A2114" s="6" t="s">
        <v>3538</v>
      </c>
      <c r="B2114" s="7">
        <v>46115</v>
      </c>
      <c r="C2114" s="6" t="s">
        <v>256</v>
      </c>
      <c r="D2114" s="6" t="s">
        <v>105</v>
      </c>
      <c r="E2114" s="6" t="s">
        <v>78</v>
      </c>
      <c r="F2114" s="6" t="s">
        <v>58</v>
      </c>
      <c r="G2114" s="6" t="s">
        <v>59</v>
      </c>
      <c r="H2114" s="6">
        <v>2</v>
      </c>
      <c r="I2114" s="6" t="s">
        <v>143</v>
      </c>
      <c r="J2114" s="6" t="s">
        <v>144</v>
      </c>
      <c r="K2114" s="6">
        <v>380</v>
      </c>
      <c r="L2114" s="6" t="s">
        <v>42</v>
      </c>
      <c r="M2114" s="6" t="s">
        <v>34</v>
      </c>
    </row>
    <row r="2115" spans="1:13">
      <c r="A2115" s="6" t="s">
        <v>3539</v>
      </c>
      <c r="B2115" s="6" t="s">
        <v>765</v>
      </c>
      <c r="C2115" s="6" t="s">
        <v>1788</v>
      </c>
      <c r="D2115" s="6" t="s">
        <v>45</v>
      </c>
      <c r="E2115" s="6" t="s">
        <v>52</v>
      </c>
      <c r="F2115" s="6" t="s">
        <v>29</v>
      </c>
      <c r="G2115" s="6" t="s">
        <v>30</v>
      </c>
      <c r="H2115" s="6">
        <v>1</v>
      </c>
      <c r="I2115" s="6" t="s">
        <v>143</v>
      </c>
      <c r="J2115" s="6" t="s">
        <v>143</v>
      </c>
      <c r="K2115" s="6">
        <v>520</v>
      </c>
      <c r="L2115" s="6" t="s">
        <v>42</v>
      </c>
      <c r="M2115" s="6" t="s">
        <v>69</v>
      </c>
    </row>
    <row r="2116" spans="1:13">
      <c r="A2116" s="6" t="s">
        <v>3540</v>
      </c>
      <c r="B2116" s="7">
        <v>46026</v>
      </c>
      <c r="C2116" s="6" t="s">
        <v>2357</v>
      </c>
      <c r="D2116" s="6" t="s">
        <v>57</v>
      </c>
      <c r="E2116" s="6" t="s">
        <v>37</v>
      </c>
      <c r="F2116" s="6" t="s">
        <v>38</v>
      </c>
      <c r="G2116" s="6" t="s">
        <v>39</v>
      </c>
      <c r="H2116" s="6">
        <v>1</v>
      </c>
      <c r="I2116" s="6" t="s">
        <v>82</v>
      </c>
      <c r="J2116" s="6" t="s">
        <v>82</v>
      </c>
      <c r="K2116" s="6">
        <v>520</v>
      </c>
      <c r="L2116" s="6" t="s">
        <v>33</v>
      </c>
      <c r="M2116" s="6" t="s">
        <v>34</v>
      </c>
    </row>
    <row r="2117" spans="1:13">
      <c r="A2117" s="6" t="s">
        <v>3541</v>
      </c>
      <c r="B2117" s="7">
        <v>46104</v>
      </c>
      <c r="C2117" s="6" t="s">
        <v>1879</v>
      </c>
      <c r="D2117" s="6" t="s">
        <v>64</v>
      </c>
      <c r="E2117" s="6" t="s">
        <v>28</v>
      </c>
      <c r="F2117" s="6" t="s">
        <v>53</v>
      </c>
      <c r="G2117" s="6" t="s">
        <v>54</v>
      </c>
      <c r="H2117" s="6">
        <v>1</v>
      </c>
      <c r="I2117" s="6" t="s">
        <v>143</v>
      </c>
      <c r="J2117" s="6" t="s">
        <v>143</v>
      </c>
      <c r="K2117" s="6">
        <v>190</v>
      </c>
      <c r="L2117" s="6" t="s">
        <v>33</v>
      </c>
      <c r="M2117" s="6" t="s">
        <v>69</v>
      </c>
    </row>
    <row r="2118" spans="1:13">
      <c r="A2118" s="6" t="s">
        <v>3542</v>
      </c>
      <c r="B2118" s="7">
        <v>46144</v>
      </c>
      <c r="C2118" s="6" t="s">
        <v>3543</v>
      </c>
      <c r="D2118" s="6" t="s">
        <v>77</v>
      </c>
      <c r="E2118" s="6" t="s">
        <v>52</v>
      </c>
      <c r="F2118" s="6" t="s">
        <v>53</v>
      </c>
      <c r="G2118" s="6" t="s">
        <v>54</v>
      </c>
      <c r="H2118" s="6">
        <v>1</v>
      </c>
      <c r="I2118" s="6" t="s">
        <v>143</v>
      </c>
      <c r="J2118" s="6" t="s">
        <v>143</v>
      </c>
      <c r="K2118" s="6" t="s">
        <v>122</v>
      </c>
      <c r="L2118" s="6" t="s">
        <v>42</v>
      </c>
      <c r="M2118" s="6" t="s">
        <v>34</v>
      </c>
    </row>
    <row r="2119" spans="1:13">
      <c r="A2119" s="6" t="s">
        <v>3544</v>
      </c>
      <c r="B2119" s="7">
        <v>46098</v>
      </c>
      <c r="C2119" s="6" t="s">
        <v>1360</v>
      </c>
      <c r="D2119" s="6" t="s">
        <v>57</v>
      </c>
      <c r="E2119" s="6" t="s">
        <v>46</v>
      </c>
      <c r="F2119" s="6" t="s">
        <v>29</v>
      </c>
      <c r="G2119" s="6" t="s">
        <v>30</v>
      </c>
      <c r="H2119" s="6">
        <v>2</v>
      </c>
      <c r="I2119" s="6" t="s">
        <v>113</v>
      </c>
      <c r="J2119" s="6" t="s">
        <v>192</v>
      </c>
      <c r="K2119" s="6">
        <v>520</v>
      </c>
      <c r="L2119" s="6" t="s">
        <v>33</v>
      </c>
      <c r="M2119" s="6" t="s">
        <v>69</v>
      </c>
    </row>
    <row r="2120" spans="1:13">
      <c r="A2120" s="6" t="s">
        <v>3545</v>
      </c>
      <c r="B2120" s="7">
        <v>46063</v>
      </c>
      <c r="C2120" s="6" t="s">
        <v>1513</v>
      </c>
      <c r="D2120" s="6" t="s">
        <v>72</v>
      </c>
      <c r="E2120" s="6" t="s">
        <v>46</v>
      </c>
      <c r="F2120" s="6" t="s">
        <v>94</v>
      </c>
      <c r="G2120" s="6" t="s">
        <v>95</v>
      </c>
      <c r="H2120" s="6">
        <v>2</v>
      </c>
      <c r="I2120" s="6" t="s">
        <v>147</v>
      </c>
      <c r="J2120" s="6" t="s">
        <v>175</v>
      </c>
      <c r="K2120" s="6">
        <v>340</v>
      </c>
      <c r="L2120" s="6" t="s">
        <v>33</v>
      </c>
      <c r="M2120" s="6" t="s">
        <v>34</v>
      </c>
    </row>
    <row r="2121" spans="1:13">
      <c r="A2121" s="6" t="s">
        <v>3546</v>
      </c>
      <c r="B2121" s="7">
        <v>46057</v>
      </c>
      <c r="C2121" s="6" t="s">
        <v>2391</v>
      </c>
      <c r="D2121" s="6" t="s">
        <v>105</v>
      </c>
      <c r="E2121" s="6" t="s">
        <v>37</v>
      </c>
      <c r="F2121" s="6" t="s">
        <v>58</v>
      </c>
      <c r="G2121" s="6" t="s">
        <v>59</v>
      </c>
      <c r="H2121" s="6">
        <v>1</v>
      </c>
      <c r="I2121" s="6" t="s">
        <v>113</v>
      </c>
      <c r="J2121" s="6" t="s">
        <v>113</v>
      </c>
      <c r="K2121" s="6">
        <v>380</v>
      </c>
      <c r="L2121" s="6" t="s">
        <v>42</v>
      </c>
      <c r="M2121" s="6" t="s">
        <v>34</v>
      </c>
    </row>
    <row r="2122" spans="1:13">
      <c r="A2122" s="6" t="s">
        <v>3547</v>
      </c>
      <c r="B2122" s="7">
        <v>46043</v>
      </c>
      <c r="C2122" s="6" t="s">
        <v>294</v>
      </c>
      <c r="D2122" s="6" t="s">
        <v>127</v>
      </c>
      <c r="E2122" s="6" t="s">
        <v>28</v>
      </c>
      <c r="F2122" s="6" t="s">
        <v>29</v>
      </c>
      <c r="G2122" s="6" t="s">
        <v>30</v>
      </c>
      <c r="H2122" s="6">
        <v>2</v>
      </c>
      <c r="I2122" s="6" t="s">
        <v>143</v>
      </c>
      <c r="J2122" s="6" t="s">
        <v>144</v>
      </c>
      <c r="K2122" s="6">
        <v>520</v>
      </c>
      <c r="L2122" s="6" t="s">
        <v>33</v>
      </c>
      <c r="M2122" s="6" t="s">
        <v>34</v>
      </c>
    </row>
    <row r="2123" spans="1:13">
      <c r="A2123" s="6" t="s">
        <v>3548</v>
      </c>
      <c r="B2123" s="7">
        <v>46151</v>
      </c>
      <c r="C2123" s="6" t="s">
        <v>3549</v>
      </c>
      <c r="D2123" s="6" t="s">
        <v>45</v>
      </c>
      <c r="E2123" s="6" t="s">
        <v>78</v>
      </c>
      <c r="F2123" s="6" t="s">
        <v>58</v>
      </c>
      <c r="G2123" s="6" t="s">
        <v>59</v>
      </c>
      <c r="H2123" s="6">
        <v>1</v>
      </c>
      <c r="I2123" s="6" t="s">
        <v>60</v>
      </c>
      <c r="J2123" s="6" t="s">
        <v>60</v>
      </c>
      <c r="K2123" s="6" t="s">
        <v>61</v>
      </c>
      <c r="L2123" s="6" t="s">
        <v>42</v>
      </c>
      <c r="M2123" s="6" t="s">
        <v>69</v>
      </c>
    </row>
    <row r="2124" spans="1:13">
      <c r="A2124" s="6" t="s">
        <v>3550</v>
      </c>
      <c r="B2124" s="7">
        <v>46097</v>
      </c>
      <c r="C2124" s="6" t="s">
        <v>454</v>
      </c>
      <c r="D2124" s="6" t="s">
        <v>64</v>
      </c>
      <c r="E2124" s="6" t="s">
        <v>37</v>
      </c>
      <c r="F2124" s="6" t="s">
        <v>47</v>
      </c>
      <c r="G2124" s="6" t="s">
        <v>48</v>
      </c>
      <c r="H2124" s="6">
        <v>-1</v>
      </c>
      <c r="I2124" s="6" t="s">
        <v>181</v>
      </c>
      <c r="J2124" s="8" t="s">
        <v>314</v>
      </c>
      <c r="K2124" s="6">
        <v>85</v>
      </c>
      <c r="L2124" s="6" t="s">
        <v>42</v>
      </c>
      <c r="M2124" s="6" t="s">
        <v>34</v>
      </c>
    </row>
    <row r="2125" spans="1:13">
      <c r="A2125" s="6" t="s">
        <v>3551</v>
      </c>
      <c r="B2125" s="7">
        <v>46049</v>
      </c>
      <c r="C2125" s="6" t="s">
        <v>3281</v>
      </c>
      <c r="D2125" s="6" t="s">
        <v>45</v>
      </c>
      <c r="E2125" s="6" t="s">
        <v>52</v>
      </c>
      <c r="F2125" s="6" t="s">
        <v>58</v>
      </c>
      <c r="G2125" s="6" t="s">
        <v>59</v>
      </c>
      <c r="H2125" s="6">
        <v>2</v>
      </c>
      <c r="I2125" s="6" t="s">
        <v>82</v>
      </c>
      <c r="J2125" s="6" t="s">
        <v>297</v>
      </c>
      <c r="K2125" s="6">
        <v>380</v>
      </c>
      <c r="L2125" s="6" t="s">
        <v>33</v>
      </c>
      <c r="M2125" s="6" t="s">
        <v>69</v>
      </c>
    </row>
    <row r="2126" spans="1:13">
      <c r="A2126" s="6" t="s">
        <v>3552</v>
      </c>
      <c r="B2126" s="7">
        <v>46189</v>
      </c>
      <c r="C2126" s="6" t="s">
        <v>3553</v>
      </c>
      <c r="D2126" s="6" t="s">
        <v>105</v>
      </c>
      <c r="E2126" s="6" t="s">
        <v>28</v>
      </c>
      <c r="F2126" s="6" t="s">
        <v>85</v>
      </c>
      <c r="G2126" s="6" t="s">
        <v>86</v>
      </c>
      <c r="H2126" s="6">
        <v>1</v>
      </c>
      <c r="I2126" s="6" t="s">
        <v>181</v>
      </c>
      <c r="J2126" s="6" t="s">
        <v>181</v>
      </c>
      <c r="K2126" s="6" t="s">
        <v>87</v>
      </c>
      <c r="L2126" s="6" t="s">
        <v>42</v>
      </c>
      <c r="M2126" s="6" t="s">
        <v>34</v>
      </c>
    </row>
    <row r="2127" spans="1:13">
      <c r="A2127" s="6" t="s">
        <v>3554</v>
      </c>
      <c r="B2127" s="7">
        <v>46204</v>
      </c>
      <c r="C2127" s="6" t="s">
        <v>2475</v>
      </c>
      <c r="D2127" s="6" t="s">
        <v>64</v>
      </c>
      <c r="E2127" s="6" t="s">
        <v>37</v>
      </c>
      <c r="F2127" s="6" t="s">
        <v>29</v>
      </c>
      <c r="G2127" s="6" t="s">
        <v>30</v>
      </c>
      <c r="H2127" s="6">
        <v>1</v>
      </c>
      <c r="I2127" s="6" t="s">
        <v>31</v>
      </c>
      <c r="J2127" s="6" t="s">
        <v>31</v>
      </c>
      <c r="K2127" s="6">
        <v>520</v>
      </c>
      <c r="L2127" s="6" t="s">
        <v>42</v>
      </c>
      <c r="M2127" s="6" t="s">
        <v>34</v>
      </c>
    </row>
    <row r="2128" spans="1:13">
      <c r="A2128" s="6" t="s">
        <v>3555</v>
      </c>
      <c r="B2128" s="7">
        <v>46146</v>
      </c>
      <c r="C2128" s="6" t="s">
        <v>2534</v>
      </c>
      <c r="D2128" s="6" t="s">
        <v>27</v>
      </c>
      <c r="E2128" s="6" t="s">
        <v>78</v>
      </c>
      <c r="F2128" s="6" t="s">
        <v>100</v>
      </c>
      <c r="G2128" s="6" t="s">
        <v>101</v>
      </c>
      <c r="H2128" s="6">
        <v>1</v>
      </c>
      <c r="I2128" s="6" t="s">
        <v>31</v>
      </c>
      <c r="J2128" s="6" t="s">
        <v>31</v>
      </c>
      <c r="K2128" s="6" t="s">
        <v>119</v>
      </c>
      <c r="L2128" s="6" t="s">
        <v>33</v>
      </c>
      <c r="M2128" s="6" t="s">
        <v>34</v>
      </c>
    </row>
    <row r="2129" spans="1:13">
      <c r="A2129" s="6" t="s">
        <v>3556</v>
      </c>
      <c r="B2129" s="7">
        <v>46074</v>
      </c>
      <c r="C2129" s="6" t="s">
        <v>3557</v>
      </c>
      <c r="D2129" s="6" t="s">
        <v>27</v>
      </c>
      <c r="E2129" s="6" t="s">
        <v>28</v>
      </c>
      <c r="F2129" s="6" t="s">
        <v>29</v>
      </c>
      <c r="G2129" s="6" t="s">
        <v>30</v>
      </c>
      <c r="H2129" s="6">
        <v>2</v>
      </c>
      <c r="I2129" s="6" t="s">
        <v>147</v>
      </c>
      <c r="J2129" s="6" t="s">
        <v>175</v>
      </c>
      <c r="K2129" s="6">
        <v>520</v>
      </c>
      <c r="L2129" s="6" t="s">
        <v>42</v>
      </c>
      <c r="M2129" s="6" t="s">
        <v>34</v>
      </c>
    </row>
    <row r="2130" spans="1:13">
      <c r="A2130" s="6" t="s">
        <v>3558</v>
      </c>
      <c r="B2130" s="7">
        <v>46177</v>
      </c>
      <c r="C2130" s="6" t="s">
        <v>610</v>
      </c>
      <c r="D2130" s="6" t="s">
        <v>110</v>
      </c>
      <c r="E2130" s="6" t="s">
        <v>28</v>
      </c>
      <c r="F2130" s="6" t="s">
        <v>47</v>
      </c>
      <c r="G2130" s="6" t="s">
        <v>48</v>
      </c>
      <c r="H2130" s="6">
        <v>2</v>
      </c>
      <c r="I2130" s="6" t="s">
        <v>181</v>
      </c>
      <c r="J2130" s="6" t="s">
        <v>163</v>
      </c>
      <c r="K2130" s="6" t="s">
        <v>49</v>
      </c>
      <c r="L2130" s="6" t="s">
        <v>42</v>
      </c>
      <c r="M2130" s="6" t="s">
        <v>34</v>
      </c>
    </row>
    <row r="2131" spans="1:13">
      <c r="A2131" s="6" t="s">
        <v>3559</v>
      </c>
      <c r="B2131" s="7">
        <v>46070</v>
      </c>
      <c r="C2131" s="6" t="s">
        <v>66</v>
      </c>
      <c r="D2131" s="6" t="s">
        <v>27</v>
      </c>
      <c r="E2131" s="6" t="s">
        <v>37</v>
      </c>
      <c r="F2131" s="6" t="s">
        <v>58</v>
      </c>
      <c r="G2131" s="6" t="s">
        <v>59</v>
      </c>
      <c r="H2131" s="6">
        <v>1</v>
      </c>
      <c r="I2131" s="6" t="s">
        <v>117</v>
      </c>
      <c r="J2131" s="6" t="s">
        <v>117</v>
      </c>
      <c r="K2131" s="6">
        <v>380</v>
      </c>
      <c r="L2131" s="6" t="s">
        <v>42</v>
      </c>
      <c r="M2131" s="6" t="s">
        <v>34</v>
      </c>
    </row>
    <row r="2132" spans="1:13">
      <c r="A2132" s="6" t="s">
        <v>3560</v>
      </c>
      <c r="B2132" s="7">
        <v>46142</v>
      </c>
      <c r="C2132" s="6" t="s">
        <v>901</v>
      </c>
      <c r="D2132" s="6" t="s">
        <v>77</v>
      </c>
      <c r="E2132" s="6" t="s">
        <v>78</v>
      </c>
      <c r="F2132" s="6" t="s">
        <v>53</v>
      </c>
      <c r="G2132" s="6" t="s">
        <v>54</v>
      </c>
      <c r="H2132" s="6">
        <v>2</v>
      </c>
      <c r="I2132" s="6" t="s">
        <v>265</v>
      </c>
      <c r="J2132" s="6" t="s">
        <v>636</v>
      </c>
      <c r="K2132" s="6" t="s">
        <v>122</v>
      </c>
      <c r="L2132" s="6" t="s">
        <v>42</v>
      </c>
      <c r="M2132" s="6" t="s">
        <v>34</v>
      </c>
    </row>
    <row r="2133" spans="1:13">
      <c r="A2133" s="6" t="s">
        <v>3561</v>
      </c>
      <c r="B2133" s="7">
        <v>46142</v>
      </c>
      <c r="C2133" s="6" t="s">
        <v>881</v>
      </c>
      <c r="D2133" s="6" t="s">
        <v>27</v>
      </c>
      <c r="E2133" s="6" t="s">
        <v>52</v>
      </c>
      <c r="F2133" s="6" t="s">
        <v>29</v>
      </c>
      <c r="G2133" s="6" t="s">
        <v>30</v>
      </c>
      <c r="H2133" s="6">
        <v>1</v>
      </c>
      <c r="I2133" s="6" t="s">
        <v>82</v>
      </c>
      <c r="J2133" s="6" t="s">
        <v>82</v>
      </c>
      <c r="K2133" s="6" t="s">
        <v>41</v>
      </c>
      <c r="L2133" s="6" t="s">
        <v>42</v>
      </c>
      <c r="M2133" s="6" t="s">
        <v>34</v>
      </c>
    </row>
    <row r="2134" spans="1:13">
      <c r="A2134" s="6" t="s">
        <v>3562</v>
      </c>
      <c r="B2134" s="7">
        <v>46154</v>
      </c>
      <c r="C2134" s="6" t="s">
        <v>1083</v>
      </c>
      <c r="D2134" s="6" t="s">
        <v>64</v>
      </c>
      <c r="E2134" s="6" t="s">
        <v>37</v>
      </c>
      <c r="F2134" s="6" t="s">
        <v>29</v>
      </c>
      <c r="G2134" s="6" t="s">
        <v>30</v>
      </c>
      <c r="H2134" s="6">
        <v>3</v>
      </c>
      <c r="I2134" s="6" t="s">
        <v>231</v>
      </c>
      <c r="J2134" s="6" t="s">
        <v>505</v>
      </c>
      <c r="K2134" s="6" t="s">
        <v>41</v>
      </c>
      <c r="L2134" s="6" t="s">
        <v>42</v>
      </c>
      <c r="M2134" s="6" t="s">
        <v>34</v>
      </c>
    </row>
    <row r="2135" spans="1:13">
      <c r="A2135" s="6" t="s">
        <v>3563</v>
      </c>
      <c r="B2135" s="7">
        <v>46090</v>
      </c>
      <c r="C2135" s="6" t="s">
        <v>977</v>
      </c>
      <c r="D2135" s="6" t="s">
        <v>77</v>
      </c>
      <c r="E2135" s="6" t="s">
        <v>46</v>
      </c>
      <c r="F2135" s="6" t="s">
        <v>53</v>
      </c>
      <c r="G2135" s="6" t="s">
        <v>54</v>
      </c>
      <c r="H2135" s="6">
        <v>3</v>
      </c>
      <c r="I2135" s="6" t="s">
        <v>265</v>
      </c>
      <c r="J2135" s="6" t="s">
        <v>401</v>
      </c>
      <c r="K2135" s="6">
        <v>190</v>
      </c>
      <c r="L2135" s="6" t="s">
        <v>42</v>
      </c>
      <c r="M2135" s="6" t="s">
        <v>69</v>
      </c>
    </row>
    <row r="2136" spans="1:13">
      <c r="A2136" s="6" t="s">
        <v>3564</v>
      </c>
      <c r="B2136" s="7">
        <v>46200</v>
      </c>
      <c r="C2136" s="6" t="s">
        <v>1499</v>
      </c>
      <c r="D2136" s="6" t="s">
        <v>72</v>
      </c>
      <c r="E2136" s="6" t="s">
        <v>78</v>
      </c>
      <c r="F2136" s="6" t="s">
        <v>53</v>
      </c>
      <c r="G2136" s="6" t="s">
        <v>54</v>
      </c>
      <c r="H2136" s="6">
        <v>1</v>
      </c>
      <c r="I2136" s="6" t="s">
        <v>231</v>
      </c>
      <c r="J2136" s="6" t="s">
        <v>231</v>
      </c>
      <c r="K2136" s="6" t="s">
        <v>122</v>
      </c>
      <c r="L2136" s="6" t="s">
        <v>42</v>
      </c>
      <c r="M2136" s="6" t="s">
        <v>34</v>
      </c>
    </row>
    <row r="2137" spans="1:13">
      <c r="A2137" s="6" t="s">
        <v>3565</v>
      </c>
      <c r="B2137" s="7">
        <v>46207</v>
      </c>
      <c r="C2137" s="6" t="s">
        <v>1226</v>
      </c>
      <c r="D2137" s="6" t="s">
        <v>77</v>
      </c>
      <c r="E2137" s="6" t="s">
        <v>46</v>
      </c>
      <c r="F2137" s="6" t="s">
        <v>100</v>
      </c>
      <c r="G2137" s="6" t="s">
        <v>101</v>
      </c>
      <c r="H2137" s="6">
        <v>2</v>
      </c>
      <c r="I2137" s="6" t="s">
        <v>60</v>
      </c>
      <c r="J2137" s="6" t="s">
        <v>189</v>
      </c>
      <c r="K2137" s="6" t="s">
        <v>119</v>
      </c>
      <c r="L2137" s="6" t="s">
        <v>33</v>
      </c>
      <c r="M2137" s="6" t="s">
        <v>34</v>
      </c>
    </row>
    <row r="2138" spans="1:13">
      <c r="A2138" s="6" t="s">
        <v>3566</v>
      </c>
      <c r="B2138" s="7">
        <v>46139</v>
      </c>
      <c r="C2138" s="6" t="s">
        <v>2585</v>
      </c>
      <c r="D2138" s="6" t="s">
        <v>57</v>
      </c>
      <c r="E2138" s="6" t="s">
        <v>28</v>
      </c>
      <c r="F2138" s="6" t="s">
        <v>47</v>
      </c>
      <c r="G2138" s="6" t="s">
        <v>48</v>
      </c>
      <c r="H2138" s="6">
        <v>1</v>
      </c>
      <c r="I2138" s="6" t="s">
        <v>117</v>
      </c>
      <c r="J2138" s="6" t="s">
        <v>117</v>
      </c>
      <c r="K2138" s="6" t="s">
        <v>49</v>
      </c>
      <c r="L2138" s="6" t="s">
        <v>42</v>
      </c>
      <c r="M2138" s="6" t="s">
        <v>34</v>
      </c>
    </row>
    <row r="2139" spans="1:13">
      <c r="A2139" s="6" t="s">
        <v>3567</v>
      </c>
      <c r="B2139" s="7">
        <v>46112</v>
      </c>
      <c r="C2139" s="6" t="s">
        <v>1346</v>
      </c>
      <c r="D2139" s="6" t="s">
        <v>110</v>
      </c>
      <c r="E2139" s="6" t="s">
        <v>78</v>
      </c>
      <c r="F2139" s="6" t="s">
        <v>85</v>
      </c>
      <c r="G2139" s="6" t="s">
        <v>86</v>
      </c>
      <c r="H2139" s="6">
        <v>1</v>
      </c>
      <c r="I2139" s="6" t="s">
        <v>143</v>
      </c>
      <c r="J2139" s="6" t="s">
        <v>143</v>
      </c>
      <c r="K2139" s="6">
        <v>410</v>
      </c>
      <c r="L2139" s="6" t="s">
        <v>42</v>
      </c>
      <c r="M2139" s="6" t="s">
        <v>69</v>
      </c>
    </row>
    <row r="2140" spans="1:13">
      <c r="A2140" s="6" t="s">
        <v>3568</v>
      </c>
      <c r="B2140" s="7">
        <v>46114</v>
      </c>
      <c r="C2140" s="6" t="s">
        <v>369</v>
      </c>
      <c r="D2140" s="6" t="s">
        <v>57</v>
      </c>
      <c r="E2140" s="6" t="s">
        <v>37</v>
      </c>
      <c r="F2140" s="6" t="s">
        <v>100</v>
      </c>
      <c r="G2140" s="6" t="s">
        <v>101</v>
      </c>
      <c r="H2140" s="6">
        <v>1</v>
      </c>
      <c r="I2140" s="6" t="s">
        <v>181</v>
      </c>
      <c r="J2140" s="6" t="s">
        <v>181</v>
      </c>
      <c r="K2140" s="6">
        <v>640</v>
      </c>
      <c r="L2140" s="6" t="s">
        <v>42</v>
      </c>
      <c r="M2140" s="6" t="s">
        <v>34</v>
      </c>
    </row>
    <row r="2141" spans="1:13">
      <c r="A2141" s="6" t="s">
        <v>3569</v>
      </c>
      <c r="B2141" s="7">
        <v>46035</v>
      </c>
      <c r="C2141" s="6" t="s">
        <v>805</v>
      </c>
      <c r="D2141" s="6" t="s">
        <v>64</v>
      </c>
      <c r="E2141" s="6" t="s">
        <v>46</v>
      </c>
      <c r="F2141" s="6" t="s">
        <v>53</v>
      </c>
      <c r="G2141" s="6" t="s">
        <v>54</v>
      </c>
      <c r="H2141" s="6">
        <v>3</v>
      </c>
      <c r="I2141" s="6" t="s">
        <v>67</v>
      </c>
      <c r="J2141" s="6" t="s">
        <v>68</v>
      </c>
      <c r="K2141" s="6">
        <v>190</v>
      </c>
      <c r="L2141" s="6" t="s">
        <v>42</v>
      </c>
      <c r="M2141" s="6" t="s">
        <v>69</v>
      </c>
    </row>
    <row r="2142" spans="1:13">
      <c r="A2142" s="6" t="s">
        <v>3570</v>
      </c>
      <c r="B2142" s="7">
        <v>46147</v>
      </c>
      <c r="C2142" s="6" t="s">
        <v>3571</v>
      </c>
      <c r="D2142" s="6" t="s">
        <v>27</v>
      </c>
      <c r="E2142" s="6" t="s">
        <v>46</v>
      </c>
      <c r="F2142" s="6" t="s">
        <v>29</v>
      </c>
      <c r="G2142" s="6" t="s">
        <v>30</v>
      </c>
      <c r="H2142" s="6">
        <v>2</v>
      </c>
      <c r="I2142" s="6" t="s">
        <v>96</v>
      </c>
      <c r="J2142" s="6" t="s">
        <v>278</v>
      </c>
      <c r="K2142" s="6" t="s">
        <v>41</v>
      </c>
      <c r="L2142" s="6" t="s">
        <v>33</v>
      </c>
      <c r="M2142" s="6" t="s">
        <v>34</v>
      </c>
    </row>
    <row r="2143" spans="1:13">
      <c r="A2143" s="6" t="s">
        <v>3572</v>
      </c>
      <c r="B2143" s="7">
        <v>46169</v>
      </c>
      <c r="C2143" s="6" t="s">
        <v>963</v>
      </c>
      <c r="D2143" s="6" t="s">
        <v>110</v>
      </c>
      <c r="E2143" s="6" t="s">
        <v>46</v>
      </c>
      <c r="F2143" s="6" t="s">
        <v>58</v>
      </c>
      <c r="G2143" s="6" t="s">
        <v>59</v>
      </c>
      <c r="H2143" s="6">
        <v>1</v>
      </c>
      <c r="I2143" s="6" t="s">
        <v>117</v>
      </c>
      <c r="J2143" s="6" t="s">
        <v>117</v>
      </c>
      <c r="K2143" s="6" t="s">
        <v>61</v>
      </c>
      <c r="L2143" s="6" t="s">
        <v>42</v>
      </c>
      <c r="M2143" s="6" t="s">
        <v>34</v>
      </c>
    </row>
    <row r="2144" spans="1:13">
      <c r="A2144" s="6" t="s">
        <v>3573</v>
      </c>
      <c r="B2144" s="6" t="s">
        <v>270</v>
      </c>
      <c r="C2144" s="6" t="s">
        <v>1426</v>
      </c>
      <c r="D2144" s="6" t="s">
        <v>57</v>
      </c>
      <c r="E2144" s="6" t="s">
        <v>37</v>
      </c>
      <c r="F2144" s="6" t="s">
        <v>53</v>
      </c>
      <c r="G2144" s="6" t="s">
        <v>54</v>
      </c>
      <c r="H2144" s="6">
        <v>3</v>
      </c>
      <c r="I2144" s="6" t="s">
        <v>181</v>
      </c>
      <c r="J2144" s="6" t="s">
        <v>867</v>
      </c>
      <c r="K2144" s="6" t="s">
        <v>122</v>
      </c>
      <c r="L2144" s="6" t="s">
        <v>33</v>
      </c>
      <c r="M2144" s="6" t="s">
        <v>69</v>
      </c>
    </row>
    <row r="2145" spans="1:13">
      <c r="A2145" s="6" t="s">
        <v>3574</v>
      </c>
      <c r="B2145" s="7">
        <v>46165</v>
      </c>
      <c r="C2145" s="6" t="s">
        <v>3575</v>
      </c>
      <c r="D2145" s="6" t="s">
        <v>72</v>
      </c>
      <c r="E2145" s="6" t="s">
        <v>37</v>
      </c>
      <c r="F2145" s="6" t="s">
        <v>100</v>
      </c>
      <c r="G2145" s="6" t="s">
        <v>101</v>
      </c>
      <c r="H2145" s="6">
        <v>1</v>
      </c>
      <c r="I2145" s="6" t="s">
        <v>31</v>
      </c>
      <c r="J2145" s="6" t="s">
        <v>31</v>
      </c>
      <c r="K2145" s="6" t="s">
        <v>119</v>
      </c>
      <c r="L2145" s="6" t="s">
        <v>42</v>
      </c>
      <c r="M2145" s="6" t="s">
        <v>34</v>
      </c>
    </row>
    <row r="2146" spans="1:13">
      <c r="A2146" s="6" t="s">
        <v>3576</v>
      </c>
      <c r="B2146" s="7">
        <v>46144</v>
      </c>
      <c r="C2146" s="6" t="s">
        <v>367</v>
      </c>
      <c r="D2146" s="6" t="s">
        <v>45</v>
      </c>
      <c r="E2146" s="6" t="s">
        <v>37</v>
      </c>
      <c r="F2146" s="6" t="s">
        <v>53</v>
      </c>
      <c r="G2146" s="6" t="s">
        <v>54</v>
      </c>
      <c r="H2146" s="6">
        <v>2</v>
      </c>
      <c r="I2146" s="6" t="s">
        <v>231</v>
      </c>
      <c r="J2146" s="6" t="s">
        <v>232</v>
      </c>
      <c r="K2146" s="6" t="s">
        <v>122</v>
      </c>
      <c r="L2146" s="6" t="s">
        <v>33</v>
      </c>
      <c r="M2146" s="6" t="s">
        <v>34</v>
      </c>
    </row>
    <row r="2147" spans="1:13">
      <c r="A2147" s="6" t="s">
        <v>3577</v>
      </c>
      <c r="B2147" s="7">
        <v>46122</v>
      </c>
      <c r="C2147" s="6" t="s">
        <v>2018</v>
      </c>
      <c r="D2147" s="6" t="s">
        <v>72</v>
      </c>
      <c r="E2147" s="6" t="s">
        <v>46</v>
      </c>
      <c r="F2147" s="6" t="s">
        <v>58</v>
      </c>
      <c r="G2147" s="6" t="s">
        <v>59</v>
      </c>
      <c r="H2147" s="6">
        <v>1</v>
      </c>
      <c r="I2147" s="6" t="s">
        <v>113</v>
      </c>
      <c r="J2147" s="6" t="s">
        <v>113</v>
      </c>
      <c r="K2147" s="6">
        <v>380</v>
      </c>
      <c r="L2147" s="6" t="s">
        <v>33</v>
      </c>
      <c r="M2147" s="6" t="s">
        <v>34</v>
      </c>
    </row>
    <row r="2148" spans="1:13">
      <c r="A2148" s="6" t="s">
        <v>2238</v>
      </c>
      <c r="B2148" s="7">
        <v>46066</v>
      </c>
      <c r="C2148" s="6" t="s">
        <v>2239</v>
      </c>
      <c r="D2148" s="6" t="s">
        <v>105</v>
      </c>
      <c r="E2148" s="6" t="s">
        <v>28</v>
      </c>
      <c r="F2148" s="6" t="s">
        <v>29</v>
      </c>
      <c r="G2148" s="6" t="s">
        <v>30</v>
      </c>
      <c r="H2148" s="6">
        <v>1</v>
      </c>
      <c r="I2148" s="6" t="s">
        <v>490</v>
      </c>
      <c r="J2148" s="6" t="s">
        <v>82</v>
      </c>
      <c r="K2148" s="6">
        <v>520</v>
      </c>
      <c r="L2148" s="6" t="s">
        <v>42</v>
      </c>
      <c r="M2148" s="6" t="s">
        <v>34</v>
      </c>
    </row>
    <row r="2149" spans="1:13">
      <c r="A2149" s="6" t="s">
        <v>3578</v>
      </c>
      <c r="B2149" s="7">
        <v>46088</v>
      </c>
      <c r="C2149" s="6" t="s">
        <v>2236</v>
      </c>
      <c r="D2149" s="6" t="s">
        <v>105</v>
      </c>
      <c r="E2149" s="6" t="s">
        <v>52</v>
      </c>
      <c r="F2149" s="6" t="s">
        <v>58</v>
      </c>
      <c r="G2149" s="6" t="s">
        <v>59</v>
      </c>
      <c r="H2149" s="6">
        <v>1</v>
      </c>
      <c r="I2149" s="6" t="s">
        <v>90</v>
      </c>
      <c r="J2149" s="6" t="s">
        <v>90</v>
      </c>
      <c r="K2149" s="6">
        <v>380</v>
      </c>
      <c r="L2149" s="6" t="s">
        <v>42</v>
      </c>
      <c r="M2149" s="6" t="s">
        <v>69</v>
      </c>
    </row>
    <row r="2150" spans="1:13">
      <c r="A2150" s="6" t="s">
        <v>3579</v>
      </c>
      <c r="B2150" s="7">
        <v>46181</v>
      </c>
      <c r="C2150" s="6" t="s">
        <v>2076</v>
      </c>
      <c r="D2150" s="6" t="s">
        <v>57</v>
      </c>
      <c r="E2150" s="6" t="s">
        <v>78</v>
      </c>
      <c r="F2150" s="6" t="s">
        <v>38</v>
      </c>
      <c r="G2150" s="6" t="s">
        <v>39</v>
      </c>
      <c r="H2150" s="6">
        <v>1</v>
      </c>
      <c r="I2150" s="6" t="s">
        <v>79</v>
      </c>
      <c r="J2150" s="6" t="s">
        <v>79</v>
      </c>
      <c r="K2150" s="6" t="s">
        <v>41</v>
      </c>
      <c r="L2150" s="6" t="s">
        <v>42</v>
      </c>
      <c r="M2150" s="6" t="s">
        <v>34</v>
      </c>
    </row>
    <row r="2151" spans="1:13">
      <c r="A2151" s="6" t="s">
        <v>3580</v>
      </c>
      <c r="B2151" s="7">
        <v>46297</v>
      </c>
      <c r="C2151" s="6" t="s">
        <v>1360</v>
      </c>
      <c r="D2151" s="6" t="s">
        <v>72</v>
      </c>
      <c r="E2151" s="6" t="s">
        <v>78</v>
      </c>
      <c r="F2151" s="6" t="s">
        <v>38</v>
      </c>
      <c r="G2151" s="6" t="s">
        <v>39</v>
      </c>
      <c r="H2151" s="6">
        <v>1</v>
      </c>
      <c r="I2151" s="6" t="s">
        <v>511</v>
      </c>
      <c r="J2151" s="6" t="s">
        <v>231</v>
      </c>
      <c r="K2151" s="6">
        <v>520</v>
      </c>
      <c r="L2151" s="6" t="s">
        <v>42</v>
      </c>
      <c r="M2151" s="6" t="s">
        <v>69</v>
      </c>
    </row>
    <row r="2152" spans="1:13">
      <c r="A2152" s="6" t="s">
        <v>3432</v>
      </c>
      <c r="B2152" s="7">
        <v>46096</v>
      </c>
      <c r="C2152" s="6" t="s">
        <v>3433</v>
      </c>
      <c r="D2152" s="6" t="s">
        <v>57</v>
      </c>
      <c r="E2152" s="6" t="s">
        <v>37</v>
      </c>
      <c r="F2152" s="6" t="s">
        <v>100</v>
      </c>
      <c r="G2152" s="6" t="s">
        <v>101</v>
      </c>
      <c r="H2152" s="6">
        <v>3</v>
      </c>
      <c r="I2152" s="6" t="s">
        <v>90</v>
      </c>
      <c r="J2152" s="6" t="s">
        <v>448</v>
      </c>
      <c r="K2152" s="6">
        <v>640</v>
      </c>
      <c r="L2152" s="6" t="s">
        <v>33</v>
      </c>
      <c r="M2152" s="6" t="s">
        <v>34</v>
      </c>
    </row>
    <row r="2153" spans="1:13">
      <c r="A2153" s="6" t="s">
        <v>3581</v>
      </c>
      <c r="B2153" s="7">
        <v>46138</v>
      </c>
      <c r="C2153" s="6" t="s">
        <v>3582</v>
      </c>
      <c r="D2153" s="6" t="s">
        <v>105</v>
      </c>
      <c r="E2153" s="6" t="s">
        <v>37</v>
      </c>
      <c r="F2153" s="6" t="s">
        <v>100</v>
      </c>
      <c r="G2153" s="6" t="s">
        <v>101</v>
      </c>
      <c r="H2153" s="6">
        <v>1</v>
      </c>
      <c r="I2153" s="6" t="s">
        <v>82</v>
      </c>
      <c r="J2153" s="6" t="s">
        <v>82</v>
      </c>
      <c r="K2153" s="6" t="s">
        <v>119</v>
      </c>
      <c r="L2153" s="6" t="s">
        <v>33</v>
      </c>
      <c r="M2153" s="6" t="s">
        <v>69</v>
      </c>
    </row>
    <row r="2154" spans="1:13">
      <c r="A2154" s="6" t="s">
        <v>3583</v>
      </c>
      <c r="B2154" s="7">
        <v>46060</v>
      </c>
      <c r="C2154" s="6" t="s">
        <v>626</v>
      </c>
      <c r="D2154" s="6" t="s">
        <v>72</v>
      </c>
      <c r="E2154" s="6" t="s">
        <v>28</v>
      </c>
      <c r="F2154" s="6" t="s">
        <v>29</v>
      </c>
      <c r="G2154" s="6" t="s">
        <v>30</v>
      </c>
      <c r="H2154" s="6">
        <v>3</v>
      </c>
      <c r="I2154" s="6" t="s">
        <v>82</v>
      </c>
      <c r="J2154" s="6" t="s">
        <v>390</v>
      </c>
      <c r="K2154" s="6">
        <v>520</v>
      </c>
      <c r="L2154" s="6" t="s">
        <v>33</v>
      </c>
      <c r="M2154" s="6" t="s">
        <v>34</v>
      </c>
    </row>
    <row r="2155" spans="1:13">
      <c r="A2155" s="6" t="s">
        <v>3584</v>
      </c>
      <c r="B2155" s="7">
        <v>46129</v>
      </c>
      <c r="C2155" s="6" t="s">
        <v>3585</v>
      </c>
      <c r="D2155" s="6" t="s">
        <v>64</v>
      </c>
      <c r="E2155" s="6" t="s">
        <v>78</v>
      </c>
      <c r="F2155" s="6" t="s">
        <v>58</v>
      </c>
      <c r="G2155" s="6" t="s">
        <v>59</v>
      </c>
      <c r="H2155" s="6">
        <v>3</v>
      </c>
      <c r="I2155" s="6" t="s">
        <v>79</v>
      </c>
      <c r="J2155" s="6" t="s">
        <v>216</v>
      </c>
      <c r="K2155" s="6">
        <v>380</v>
      </c>
      <c r="L2155" s="6" t="s">
        <v>33</v>
      </c>
      <c r="M2155" s="6" t="s">
        <v>34</v>
      </c>
    </row>
    <row r="2156" spans="1:13">
      <c r="A2156" s="6" t="s">
        <v>3586</v>
      </c>
      <c r="B2156" s="7">
        <v>46090</v>
      </c>
      <c r="C2156" s="6" t="s">
        <v>2636</v>
      </c>
      <c r="D2156" s="6" t="s">
        <v>77</v>
      </c>
      <c r="E2156" s="6" t="s">
        <v>52</v>
      </c>
      <c r="F2156" s="6" t="s">
        <v>58</v>
      </c>
      <c r="G2156" s="6" t="s">
        <v>59</v>
      </c>
      <c r="H2156" s="6">
        <v>2</v>
      </c>
      <c r="I2156" s="6" t="s">
        <v>143</v>
      </c>
      <c r="J2156" s="6" t="s">
        <v>144</v>
      </c>
      <c r="K2156" s="6">
        <v>380</v>
      </c>
      <c r="L2156" s="6" t="s">
        <v>42</v>
      </c>
      <c r="M2156" s="6" t="s">
        <v>34</v>
      </c>
    </row>
    <row r="2157" spans="1:13">
      <c r="A2157" s="6" t="s">
        <v>3587</v>
      </c>
      <c r="B2157" s="7">
        <v>46327</v>
      </c>
      <c r="C2157" s="6" t="s">
        <v>725</v>
      </c>
      <c r="D2157" s="6" t="s">
        <v>45</v>
      </c>
      <c r="E2157" s="6" t="s">
        <v>37</v>
      </c>
      <c r="F2157" s="6" t="s">
        <v>100</v>
      </c>
      <c r="G2157" s="6" t="s">
        <v>101</v>
      </c>
      <c r="H2157" s="6">
        <v>2</v>
      </c>
      <c r="I2157" s="6" t="s">
        <v>82</v>
      </c>
      <c r="J2157" s="6" t="s">
        <v>297</v>
      </c>
      <c r="K2157" s="6">
        <v>640</v>
      </c>
      <c r="L2157" s="6" t="s">
        <v>42</v>
      </c>
      <c r="M2157" s="6" t="s">
        <v>34</v>
      </c>
    </row>
    <row r="2158" spans="1:13">
      <c r="A2158" s="6" t="s">
        <v>3588</v>
      </c>
      <c r="B2158" s="7">
        <v>46104</v>
      </c>
      <c r="C2158" s="6" t="s">
        <v>1186</v>
      </c>
      <c r="D2158" s="6" t="s">
        <v>77</v>
      </c>
      <c r="E2158" s="6" t="s">
        <v>46</v>
      </c>
      <c r="F2158" s="6" t="s">
        <v>94</v>
      </c>
      <c r="G2158" s="6" t="s">
        <v>95</v>
      </c>
      <c r="H2158" s="6">
        <v>2</v>
      </c>
      <c r="I2158" s="6" t="s">
        <v>447</v>
      </c>
      <c r="J2158" s="6" t="s">
        <v>154</v>
      </c>
      <c r="K2158" s="6">
        <v>340</v>
      </c>
      <c r="L2158" s="6" t="s">
        <v>42</v>
      </c>
      <c r="M2158" s="6" t="s">
        <v>34</v>
      </c>
    </row>
    <row r="2159" spans="1:13">
      <c r="A2159" s="6" t="s">
        <v>3589</v>
      </c>
      <c r="B2159" s="7">
        <v>46041</v>
      </c>
      <c r="C2159" s="6" t="s">
        <v>1439</v>
      </c>
      <c r="D2159" s="6" t="s">
        <v>105</v>
      </c>
      <c r="E2159" s="6" t="s">
        <v>78</v>
      </c>
      <c r="F2159" s="6" t="s">
        <v>100</v>
      </c>
      <c r="G2159" s="6" t="s">
        <v>101</v>
      </c>
      <c r="H2159" s="6">
        <v>3</v>
      </c>
      <c r="I2159" s="6" t="s">
        <v>31</v>
      </c>
      <c r="J2159" s="6" t="s">
        <v>337</v>
      </c>
      <c r="K2159" s="6">
        <v>640</v>
      </c>
      <c r="L2159" s="6" t="s">
        <v>42</v>
      </c>
      <c r="M2159" s="6" t="s">
        <v>34</v>
      </c>
    </row>
    <row r="2160" spans="1:13">
      <c r="A2160" s="6" t="s">
        <v>3590</v>
      </c>
      <c r="B2160" s="7">
        <v>46206</v>
      </c>
      <c r="C2160" s="6" t="s">
        <v>853</v>
      </c>
      <c r="D2160" s="6" t="s">
        <v>110</v>
      </c>
      <c r="E2160" s="6" t="s">
        <v>78</v>
      </c>
      <c r="F2160" s="6" t="s">
        <v>94</v>
      </c>
      <c r="G2160" s="6" t="s">
        <v>95</v>
      </c>
      <c r="H2160" s="6">
        <v>3</v>
      </c>
      <c r="I2160" s="6" t="s">
        <v>79</v>
      </c>
      <c r="J2160" s="6" t="s">
        <v>216</v>
      </c>
      <c r="K2160" s="6">
        <v>340</v>
      </c>
      <c r="L2160" s="6" t="s">
        <v>42</v>
      </c>
      <c r="M2160" s="6" t="s">
        <v>34</v>
      </c>
    </row>
    <row r="2161" spans="1:13">
      <c r="A2161" s="6" t="s">
        <v>3591</v>
      </c>
      <c r="B2161" s="7">
        <v>46061</v>
      </c>
      <c r="C2161" s="6" t="s">
        <v>752</v>
      </c>
      <c r="D2161" s="6" t="s">
        <v>45</v>
      </c>
      <c r="E2161" s="6" t="s">
        <v>78</v>
      </c>
      <c r="F2161" s="6" t="s">
        <v>38</v>
      </c>
      <c r="G2161" s="6" t="s">
        <v>39</v>
      </c>
      <c r="H2161" s="6">
        <v>1</v>
      </c>
      <c r="I2161" s="6" t="s">
        <v>90</v>
      </c>
      <c r="J2161" s="6" t="s">
        <v>90</v>
      </c>
      <c r="K2161" s="6">
        <v>520</v>
      </c>
      <c r="L2161" s="6" t="s">
        <v>33</v>
      </c>
      <c r="M2161" s="6" t="s">
        <v>69</v>
      </c>
    </row>
    <row r="2162" spans="1:13">
      <c r="A2162" s="6" t="s">
        <v>3592</v>
      </c>
      <c r="B2162" s="7">
        <v>46146</v>
      </c>
      <c r="C2162" s="6" t="s">
        <v>1321</v>
      </c>
      <c r="D2162" s="6" t="s">
        <v>45</v>
      </c>
      <c r="E2162" s="6" t="s">
        <v>78</v>
      </c>
      <c r="F2162" s="6" t="s">
        <v>94</v>
      </c>
      <c r="G2162" s="6" t="s">
        <v>95</v>
      </c>
      <c r="H2162" s="6">
        <v>1</v>
      </c>
      <c r="I2162" s="6" t="s">
        <v>31</v>
      </c>
      <c r="J2162" s="6" t="s">
        <v>31</v>
      </c>
      <c r="K2162" s="6" t="s">
        <v>114</v>
      </c>
      <c r="L2162" s="6" t="s">
        <v>42</v>
      </c>
      <c r="M2162" s="6" t="s">
        <v>34</v>
      </c>
    </row>
    <row r="2163" spans="1:13">
      <c r="A2163" s="6" t="s">
        <v>3593</v>
      </c>
      <c r="B2163" s="7">
        <v>46186</v>
      </c>
      <c r="C2163" s="6" t="s">
        <v>2174</v>
      </c>
      <c r="D2163" s="6" t="s">
        <v>110</v>
      </c>
      <c r="E2163" s="6" t="s">
        <v>28</v>
      </c>
      <c r="F2163" s="6" t="s">
        <v>58</v>
      </c>
      <c r="G2163" s="6" t="s">
        <v>59</v>
      </c>
      <c r="H2163" s="6">
        <v>1</v>
      </c>
      <c r="I2163" s="6" t="s">
        <v>79</v>
      </c>
      <c r="J2163" s="6" t="s">
        <v>79</v>
      </c>
      <c r="K2163" s="6" t="s">
        <v>61</v>
      </c>
      <c r="L2163" s="6" t="s">
        <v>33</v>
      </c>
      <c r="M2163" s="6" t="s">
        <v>34</v>
      </c>
    </row>
    <row r="2164" spans="1:13">
      <c r="A2164" s="6" t="s">
        <v>3594</v>
      </c>
      <c r="B2164" s="7">
        <v>46067</v>
      </c>
      <c r="C2164" s="6" t="s">
        <v>1877</v>
      </c>
      <c r="D2164" s="6" t="s">
        <v>105</v>
      </c>
      <c r="E2164" s="6" t="s">
        <v>52</v>
      </c>
      <c r="F2164" s="6" t="s">
        <v>94</v>
      </c>
      <c r="G2164" s="6" t="s">
        <v>95</v>
      </c>
      <c r="H2164" s="6">
        <v>2</v>
      </c>
      <c r="I2164" s="6" t="s">
        <v>82</v>
      </c>
      <c r="J2164" s="6" t="s">
        <v>297</v>
      </c>
      <c r="K2164" s="6">
        <v>340</v>
      </c>
      <c r="L2164" s="6" t="s">
        <v>42</v>
      </c>
      <c r="M2164" s="6" t="s">
        <v>69</v>
      </c>
    </row>
    <row r="2165" spans="1:13">
      <c r="A2165" s="6" t="s">
        <v>3595</v>
      </c>
      <c r="B2165" s="7">
        <v>46150</v>
      </c>
      <c r="C2165" s="6" t="s">
        <v>236</v>
      </c>
      <c r="D2165" s="6" t="s">
        <v>64</v>
      </c>
      <c r="E2165" s="6" t="s">
        <v>28</v>
      </c>
      <c r="F2165" s="6" t="s">
        <v>94</v>
      </c>
      <c r="G2165" s="6" t="s">
        <v>95</v>
      </c>
      <c r="H2165" s="6">
        <v>1</v>
      </c>
      <c r="I2165" s="6" t="s">
        <v>40</v>
      </c>
      <c r="J2165" s="6" t="s">
        <v>40</v>
      </c>
      <c r="K2165" s="6" t="s">
        <v>114</v>
      </c>
      <c r="L2165" s="6" t="s">
        <v>33</v>
      </c>
      <c r="M2165" s="6" t="s">
        <v>69</v>
      </c>
    </row>
    <row r="2166" spans="1:13">
      <c r="A2166" s="6" t="s">
        <v>3596</v>
      </c>
      <c r="B2166" s="7">
        <v>46198</v>
      </c>
      <c r="C2166" s="6" t="s">
        <v>1769</v>
      </c>
      <c r="D2166" s="6" t="s">
        <v>72</v>
      </c>
      <c r="E2166" s="6" t="s">
        <v>46</v>
      </c>
      <c r="F2166" s="6" t="s">
        <v>94</v>
      </c>
      <c r="G2166" s="6" t="s">
        <v>95</v>
      </c>
      <c r="H2166" s="6">
        <v>2</v>
      </c>
      <c r="I2166" s="6" t="s">
        <v>117</v>
      </c>
      <c r="J2166" s="6" t="s">
        <v>118</v>
      </c>
      <c r="K2166" s="6" t="s">
        <v>114</v>
      </c>
      <c r="L2166" s="6" t="s">
        <v>42</v>
      </c>
      <c r="M2166" s="6" t="s">
        <v>34</v>
      </c>
    </row>
    <row r="2167" spans="1:13">
      <c r="A2167" s="6" t="s">
        <v>3597</v>
      </c>
      <c r="B2167" s="7">
        <v>46180</v>
      </c>
      <c r="C2167" s="6" t="s">
        <v>568</v>
      </c>
      <c r="D2167" s="6" t="s">
        <v>105</v>
      </c>
      <c r="E2167" s="6" t="s">
        <v>46</v>
      </c>
      <c r="F2167" s="6" t="s">
        <v>85</v>
      </c>
      <c r="G2167" s="6" t="s">
        <v>86</v>
      </c>
      <c r="H2167" s="6">
        <v>1</v>
      </c>
      <c r="I2167" s="6" t="s">
        <v>143</v>
      </c>
      <c r="J2167" s="6" t="s">
        <v>143</v>
      </c>
      <c r="K2167" s="6" t="s">
        <v>87</v>
      </c>
      <c r="L2167" s="6" t="s">
        <v>42</v>
      </c>
      <c r="M2167" s="6" t="s">
        <v>34</v>
      </c>
    </row>
    <row r="2168" spans="1:13">
      <c r="A2168" s="6" t="s">
        <v>3598</v>
      </c>
      <c r="B2168" s="7">
        <v>46055</v>
      </c>
      <c r="C2168" s="6" t="s">
        <v>446</v>
      </c>
      <c r="D2168" s="6" t="s">
        <v>27</v>
      </c>
      <c r="E2168" s="6" t="s">
        <v>46</v>
      </c>
      <c r="F2168" s="6" t="s">
        <v>29</v>
      </c>
      <c r="G2168" s="6" t="s">
        <v>30</v>
      </c>
      <c r="H2168" s="6">
        <v>3</v>
      </c>
      <c r="I2168" s="6" t="s">
        <v>73</v>
      </c>
      <c r="J2168" s="6" t="s">
        <v>499</v>
      </c>
      <c r="K2168" s="6">
        <v>520</v>
      </c>
      <c r="L2168" s="6" t="s">
        <v>42</v>
      </c>
      <c r="M2168" s="6" t="s">
        <v>34</v>
      </c>
    </row>
    <row r="2169" spans="1:13">
      <c r="A2169" s="6" t="s">
        <v>1963</v>
      </c>
      <c r="B2169" s="7">
        <v>46175</v>
      </c>
      <c r="C2169" s="6" t="s">
        <v>1964</v>
      </c>
      <c r="D2169" s="6" t="s">
        <v>110</v>
      </c>
      <c r="E2169" s="6" t="s">
        <v>52</v>
      </c>
      <c r="F2169" s="6" t="s">
        <v>47</v>
      </c>
      <c r="G2169" s="6" t="s">
        <v>48</v>
      </c>
      <c r="H2169" s="6">
        <v>3</v>
      </c>
      <c r="I2169" s="6" t="s">
        <v>265</v>
      </c>
      <c r="J2169" s="6" t="s">
        <v>401</v>
      </c>
      <c r="K2169" s="6" t="s">
        <v>49</v>
      </c>
      <c r="L2169" s="6" t="s">
        <v>42</v>
      </c>
      <c r="M2169" s="6" t="s">
        <v>34</v>
      </c>
    </row>
    <row r="2170" spans="1:13">
      <c r="A2170" s="6" t="s">
        <v>3599</v>
      </c>
      <c r="B2170" s="7">
        <v>46136</v>
      </c>
      <c r="C2170" s="6" t="s">
        <v>3600</v>
      </c>
      <c r="D2170" s="6" t="s">
        <v>127</v>
      </c>
      <c r="E2170" s="6" t="s">
        <v>78</v>
      </c>
      <c r="F2170" s="6" t="s">
        <v>100</v>
      </c>
      <c r="G2170" s="6" t="s">
        <v>101</v>
      </c>
      <c r="H2170" s="6">
        <v>3</v>
      </c>
      <c r="I2170" s="6" t="s">
        <v>117</v>
      </c>
      <c r="J2170" s="6" t="s">
        <v>171</v>
      </c>
      <c r="K2170" s="6" t="s">
        <v>119</v>
      </c>
      <c r="L2170" s="6" t="s">
        <v>42</v>
      </c>
      <c r="M2170" s="6" t="s">
        <v>34</v>
      </c>
    </row>
    <row r="2171" spans="1:13">
      <c r="A2171" s="6" t="s">
        <v>3601</v>
      </c>
      <c r="B2171" s="6" t="s">
        <v>1818</v>
      </c>
      <c r="C2171" s="6" t="s">
        <v>1883</v>
      </c>
      <c r="D2171" s="6" t="s">
        <v>72</v>
      </c>
      <c r="E2171" s="6" t="s">
        <v>46</v>
      </c>
      <c r="F2171" s="6" t="s">
        <v>58</v>
      </c>
      <c r="G2171" s="6" t="s">
        <v>59</v>
      </c>
      <c r="H2171" s="6">
        <v>2</v>
      </c>
      <c r="I2171" s="6" t="s">
        <v>113</v>
      </c>
      <c r="J2171" s="6" t="s">
        <v>192</v>
      </c>
      <c r="K2171" s="6" t="s">
        <v>61</v>
      </c>
      <c r="L2171" s="6" t="s">
        <v>42</v>
      </c>
      <c r="M2171" s="6" t="s">
        <v>34</v>
      </c>
    </row>
    <row r="2172" spans="1:13">
      <c r="A2172" s="6" t="s">
        <v>3602</v>
      </c>
      <c r="B2172" s="7">
        <v>46146</v>
      </c>
      <c r="C2172" s="6" t="s">
        <v>1349</v>
      </c>
      <c r="D2172" s="6" t="s">
        <v>110</v>
      </c>
      <c r="E2172" s="6" t="s">
        <v>46</v>
      </c>
      <c r="F2172" s="6" t="s">
        <v>94</v>
      </c>
      <c r="G2172" s="6" t="s">
        <v>95</v>
      </c>
      <c r="H2172" s="6">
        <v>1</v>
      </c>
      <c r="I2172" s="6" t="s">
        <v>96</v>
      </c>
      <c r="J2172" s="6" t="s">
        <v>96</v>
      </c>
      <c r="K2172" s="6" t="s">
        <v>114</v>
      </c>
      <c r="L2172" s="6" t="s">
        <v>42</v>
      </c>
      <c r="M2172" s="6" t="s">
        <v>34</v>
      </c>
    </row>
    <row r="2173" spans="1:13">
      <c r="A2173" s="6" t="s">
        <v>3603</v>
      </c>
      <c r="B2173" s="7">
        <v>46117</v>
      </c>
      <c r="C2173" s="6" t="s">
        <v>299</v>
      </c>
      <c r="D2173" s="6" t="s">
        <v>77</v>
      </c>
      <c r="E2173" s="6" t="s">
        <v>37</v>
      </c>
      <c r="F2173" s="6" t="s">
        <v>94</v>
      </c>
      <c r="G2173" s="6" t="s">
        <v>95</v>
      </c>
      <c r="H2173" s="6">
        <v>2</v>
      </c>
      <c r="I2173" s="6" t="s">
        <v>90</v>
      </c>
      <c r="J2173" s="6" t="s">
        <v>154</v>
      </c>
      <c r="K2173" s="6">
        <v>340</v>
      </c>
      <c r="L2173" s="6" t="s">
        <v>42</v>
      </c>
      <c r="M2173" s="6" t="s">
        <v>34</v>
      </c>
    </row>
    <row r="2174" spans="1:13">
      <c r="A2174" s="6" t="s">
        <v>3604</v>
      </c>
      <c r="B2174" s="7">
        <v>46146</v>
      </c>
      <c r="C2174" s="6" t="s">
        <v>2085</v>
      </c>
      <c r="D2174" s="6" t="s">
        <v>110</v>
      </c>
      <c r="E2174" s="6" t="s">
        <v>46</v>
      </c>
      <c r="F2174" s="6" t="s">
        <v>94</v>
      </c>
      <c r="G2174" s="6" t="s">
        <v>95</v>
      </c>
      <c r="H2174" s="6">
        <v>2</v>
      </c>
      <c r="I2174" s="6" t="s">
        <v>147</v>
      </c>
      <c r="J2174" s="6" t="s">
        <v>175</v>
      </c>
      <c r="K2174" s="6">
        <v>340</v>
      </c>
      <c r="L2174" s="6" t="s">
        <v>42</v>
      </c>
      <c r="M2174" s="6" t="s">
        <v>34</v>
      </c>
    </row>
    <row r="2175" spans="1:13">
      <c r="A2175" s="6" t="s">
        <v>3605</v>
      </c>
      <c r="B2175" s="7">
        <v>46118</v>
      </c>
      <c r="C2175" s="6" t="s">
        <v>66</v>
      </c>
      <c r="D2175" s="6" t="s">
        <v>77</v>
      </c>
      <c r="E2175" s="6" t="s">
        <v>37</v>
      </c>
      <c r="F2175" s="6" t="s">
        <v>58</v>
      </c>
      <c r="G2175" s="6" t="s">
        <v>59</v>
      </c>
      <c r="H2175" s="6">
        <v>2</v>
      </c>
      <c r="I2175" s="6" t="s">
        <v>73</v>
      </c>
      <c r="J2175" s="6" t="s">
        <v>74</v>
      </c>
      <c r="K2175" s="6">
        <v>380</v>
      </c>
      <c r="L2175" s="6" t="s">
        <v>42</v>
      </c>
      <c r="M2175" s="6" t="s">
        <v>34</v>
      </c>
    </row>
    <row r="2176" spans="1:13">
      <c r="A2176" s="6" t="s">
        <v>3606</v>
      </c>
      <c r="B2176" s="7">
        <v>46113</v>
      </c>
      <c r="C2176" s="6" t="s">
        <v>3077</v>
      </c>
      <c r="D2176" s="6" t="s">
        <v>45</v>
      </c>
      <c r="E2176" s="6" t="s">
        <v>28</v>
      </c>
      <c r="F2176" s="6" t="s">
        <v>29</v>
      </c>
      <c r="G2176" s="6" t="s">
        <v>30</v>
      </c>
      <c r="H2176" s="6">
        <v>3</v>
      </c>
      <c r="I2176" s="6" t="s">
        <v>143</v>
      </c>
      <c r="J2176" s="6" t="s">
        <v>243</v>
      </c>
      <c r="K2176" s="6">
        <v>520</v>
      </c>
      <c r="L2176" s="6" t="s">
        <v>42</v>
      </c>
      <c r="M2176" s="6" t="s">
        <v>69</v>
      </c>
    </row>
    <row r="2177" spans="1:13">
      <c r="A2177" s="6" t="s">
        <v>3607</v>
      </c>
      <c r="B2177" s="7">
        <v>46176</v>
      </c>
      <c r="C2177" s="6" t="s">
        <v>853</v>
      </c>
      <c r="D2177" s="6" t="s">
        <v>57</v>
      </c>
      <c r="E2177" s="6" t="s">
        <v>37</v>
      </c>
      <c r="F2177" s="6" t="s">
        <v>94</v>
      </c>
      <c r="G2177" s="6" t="s">
        <v>95</v>
      </c>
      <c r="H2177" s="6">
        <v>1</v>
      </c>
      <c r="I2177" s="6" t="s">
        <v>684</v>
      </c>
      <c r="J2177" s="6" t="s">
        <v>73</v>
      </c>
      <c r="K2177" s="6" t="s">
        <v>114</v>
      </c>
      <c r="L2177" s="6" t="s">
        <v>42</v>
      </c>
      <c r="M2177" s="6" t="s">
        <v>34</v>
      </c>
    </row>
    <row r="2178" spans="1:13">
      <c r="A2178" s="6" t="s">
        <v>3608</v>
      </c>
      <c r="B2178" s="7">
        <v>46127</v>
      </c>
      <c r="C2178" s="6" t="s">
        <v>618</v>
      </c>
      <c r="D2178" s="6" t="s">
        <v>57</v>
      </c>
      <c r="E2178" s="6" t="s">
        <v>52</v>
      </c>
      <c r="F2178" s="6" t="s">
        <v>47</v>
      </c>
      <c r="G2178" s="6" t="s">
        <v>48</v>
      </c>
      <c r="H2178" s="6">
        <v>2</v>
      </c>
      <c r="I2178" s="6" t="s">
        <v>90</v>
      </c>
      <c r="J2178" s="6" t="s">
        <v>154</v>
      </c>
      <c r="K2178" s="6">
        <v>85</v>
      </c>
      <c r="L2178" s="6" t="s">
        <v>42</v>
      </c>
      <c r="M2178" s="6" t="s">
        <v>34</v>
      </c>
    </row>
    <row r="2179" spans="1:13">
      <c r="A2179" s="6" t="s">
        <v>3609</v>
      </c>
      <c r="B2179" s="7">
        <v>46030</v>
      </c>
      <c r="C2179" s="6" t="s">
        <v>1202</v>
      </c>
      <c r="D2179" s="6" t="s">
        <v>27</v>
      </c>
      <c r="E2179" s="6" t="s">
        <v>46</v>
      </c>
      <c r="F2179" s="6" t="s">
        <v>94</v>
      </c>
      <c r="G2179" s="6" t="s">
        <v>95</v>
      </c>
      <c r="H2179" s="6">
        <v>1</v>
      </c>
      <c r="I2179" s="6" t="s">
        <v>73</v>
      </c>
      <c r="J2179" s="6" t="s">
        <v>73</v>
      </c>
      <c r="K2179" s="6">
        <v>340</v>
      </c>
      <c r="L2179" s="6" t="s">
        <v>42</v>
      </c>
      <c r="M2179" s="6" t="s">
        <v>34</v>
      </c>
    </row>
    <row r="2180" spans="1:13">
      <c r="A2180" s="6" t="s">
        <v>3610</v>
      </c>
      <c r="B2180" s="7">
        <v>46122</v>
      </c>
      <c r="C2180" s="6" t="s">
        <v>2793</v>
      </c>
      <c r="D2180" s="6" t="s">
        <v>72</v>
      </c>
      <c r="E2180" s="6" t="s">
        <v>52</v>
      </c>
      <c r="F2180" s="6" t="s">
        <v>100</v>
      </c>
      <c r="G2180" s="6" t="s">
        <v>101</v>
      </c>
      <c r="H2180" s="6">
        <v>3</v>
      </c>
      <c r="I2180" s="6" t="s">
        <v>117</v>
      </c>
      <c r="J2180" s="6" t="s">
        <v>171</v>
      </c>
      <c r="K2180" s="6">
        <v>640</v>
      </c>
      <c r="L2180" s="6" t="s">
        <v>42</v>
      </c>
      <c r="M2180" s="6" t="s">
        <v>34</v>
      </c>
    </row>
    <row r="2181" spans="1:13">
      <c r="A2181" s="6" t="s">
        <v>3611</v>
      </c>
      <c r="B2181" s="7">
        <v>46067</v>
      </c>
      <c r="C2181" s="6" t="s">
        <v>1842</v>
      </c>
      <c r="D2181" s="6" t="s">
        <v>45</v>
      </c>
      <c r="E2181" s="6" t="s">
        <v>78</v>
      </c>
      <c r="F2181" s="6" t="s">
        <v>38</v>
      </c>
      <c r="G2181" s="6" t="s">
        <v>39</v>
      </c>
      <c r="H2181" s="6">
        <v>1</v>
      </c>
      <c r="I2181" s="6" t="s">
        <v>117</v>
      </c>
      <c r="J2181" s="6" t="s">
        <v>117</v>
      </c>
      <c r="K2181" s="6">
        <v>520</v>
      </c>
      <c r="L2181" s="6" t="s">
        <v>42</v>
      </c>
      <c r="M2181" s="6" t="s">
        <v>69</v>
      </c>
    </row>
    <row r="2182" spans="1:13">
      <c r="A2182" s="6" t="s">
        <v>3612</v>
      </c>
      <c r="B2182" s="7">
        <v>46127</v>
      </c>
      <c r="C2182" s="6" t="s">
        <v>3613</v>
      </c>
      <c r="D2182" s="6" t="s">
        <v>77</v>
      </c>
      <c r="E2182" s="6" t="s">
        <v>46</v>
      </c>
      <c r="F2182" s="6" t="s">
        <v>29</v>
      </c>
      <c r="G2182" s="6" t="s">
        <v>30</v>
      </c>
      <c r="H2182" s="6">
        <v>2</v>
      </c>
      <c r="I2182" s="6" t="s">
        <v>265</v>
      </c>
      <c r="J2182" s="6" t="s">
        <v>167</v>
      </c>
      <c r="K2182" s="6">
        <v>520</v>
      </c>
      <c r="L2182" s="6" t="s">
        <v>42</v>
      </c>
      <c r="M2182" s="6" t="s">
        <v>34</v>
      </c>
    </row>
    <row r="2183" spans="1:13">
      <c r="A2183" s="6" t="s">
        <v>3614</v>
      </c>
      <c r="B2183" s="7">
        <v>46181</v>
      </c>
      <c r="C2183" s="6" t="s">
        <v>1678</v>
      </c>
      <c r="D2183" s="6" t="s">
        <v>57</v>
      </c>
      <c r="E2183" s="6" t="s">
        <v>52</v>
      </c>
      <c r="F2183" s="6" t="s">
        <v>29</v>
      </c>
      <c r="G2183" s="6" t="s">
        <v>30</v>
      </c>
      <c r="H2183" s="6">
        <v>1</v>
      </c>
      <c r="I2183" s="6" t="s">
        <v>31</v>
      </c>
      <c r="J2183" s="6" t="s">
        <v>31</v>
      </c>
      <c r="K2183" s="6" t="s">
        <v>41</v>
      </c>
      <c r="L2183" s="6" t="s">
        <v>42</v>
      </c>
      <c r="M2183" s="6" t="s">
        <v>34</v>
      </c>
    </row>
    <row r="2184" spans="1:13">
      <c r="A2184" s="6" t="s">
        <v>3615</v>
      </c>
      <c r="B2184" s="7">
        <v>46097</v>
      </c>
      <c r="C2184" s="6" t="s">
        <v>3616</v>
      </c>
      <c r="D2184" s="6" t="s">
        <v>110</v>
      </c>
      <c r="E2184" s="6" t="s">
        <v>52</v>
      </c>
      <c r="F2184" s="6" t="s">
        <v>29</v>
      </c>
      <c r="G2184" s="6" t="s">
        <v>30</v>
      </c>
      <c r="H2184" s="6">
        <v>3</v>
      </c>
      <c r="I2184" s="6" t="s">
        <v>67</v>
      </c>
      <c r="J2184" s="6" t="s">
        <v>68</v>
      </c>
      <c r="K2184" s="6">
        <v>520</v>
      </c>
      <c r="L2184" s="6" t="s">
        <v>42</v>
      </c>
      <c r="M2184" s="6" t="s">
        <v>34</v>
      </c>
    </row>
    <row r="2185" spans="1:13">
      <c r="A2185" s="6" t="s">
        <v>3617</v>
      </c>
      <c r="B2185" s="7">
        <v>46155</v>
      </c>
      <c r="C2185" s="6" t="s">
        <v>291</v>
      </c>
      <c r="D2185" s="6" t="s">
        <v>57</v>
      </c>
      <c r="E2185" s="6" t="s">
        <v>28</v>
      </c>
      <c r="F2185" s="6" t="s">
        <v>47</v>
      </c>
      <c r="G2185" s="6" t="s">
        <v>48</v>
      </c>
      <c r="H2185" s="6">
        <v>3</v>
      </c>
      <c r="I2185" s="6" t="s">
        <v>82</v>
      </c>
      <c r="J2185" s="6" t="s">
        <v>390</v>
      </c>
      <c r="K2185" s="6" t="s">
        <v>49</v>
      </c>
      <c r="L2185" s="6" t="s">
        <v>42</v>
      </c>
      <c r="M2185" s="6" t="s">
        <v>34</v>
      </c>
    </row>
    <row r="2186" spans="1:13">
      <c r="A2186" s="6" t="s">
        <v>3618</v>
      </c>
      <c r="B2186" s="7">
        <v>46148</v>
      </c>
      <c r="C2186" s="6" t="s">
        <v>3619</v>
      </c>
      <c r="D2186" s="6" t="s">
        <v>110</v>
      </c>
      <c r="E2186" s="6" t="s">
        <v>46</v>
      </c>
      <c r="F2186" s="6" t="s">
        <v>38</v>
      </c>
      <c r="G2186" s="6" t="s">
        <v>39</v>
      </c>
      <c r="H2186" s="6">
        <v>1</v>
      </c>
      <c r="I2186" s="6" t="s">
        <v>40</v>
      </c>
      <c r="J2186" s="6" t="s">
        <v>40</v>
      </c>
      <c r="K2186" s="6" t="s">
        <v>41</v>
      </c>
      <c r="L2186" s="6" t="s">
        <v>42</v>
      </c>
      <c r="M2186" s="6" t="s">
        <v>34</v>
      </c>
    </row>
    <row r="2187" spans="1:13">
      <c r="A2187" s="6" t="s">
        <v>3620</v>
      </c>
      <c r="B2187" s="7">
        <v>46031</v>
      </c>
      <c r="C2187" s="6" t="s">
        <v>2475</v>
      </c>
      <c r="D2187" s="6" t="s">
        <v>57</v>
      </c>
      <c r="E2187" s="6" t="s">
        <v>78</v>
      </c>
      <c r="F2187" s="6" t="s">
        <v>85</v>
      </c>
      <c r="G2187" s="6" t="s">
        <v>86</v>
      </c>
      <c r="H2187" s="6">
        <v>1</v>
      </c>
      <c r="I2187" s="6" t="s">
        <v>82</v>
      </c>
      <c r="J2187" s="6" t="s">
        <v>82</v>
      </c>
      <c r="K2187" s="6">
        <v>410</v>
      </c>
      <c r="L2187" s="6" t="s">
        <v>42</v>
      </c>
      <c r="M2187" s="6" t="s">
        <v>34</v>
      </c>
    </row>
    <row r="2188" spans="1:13">
      <c r="A2188" s="6" t="s">
        <v>3621</v>
      </c>
      <c r="B2188" s="7">
        <v>46130</v>
      </c>
      <c r="C2188" s="6" t="s">
        <v>3521</v>
      </c>
      <c r="D2188" s="6" t="s">
        <v>45</v>
      </c>
      <c r="E2188" s="6" t="s">
        <v>52</v>
      </c>
      <c r="F2188" s="6" t="s">
        <v>29</v>
      </c>
      <c r="G2188" s="6" t="s">
        <v>30</v>
      </c>
      <c r="H2188" s="6">
        <v>1</v>
      </c>
      <c r="I2188" s="6" t="s">
        <v>96</v>
      </c>
      <c r="J2188" s="6" t="s">
        <v>96</v>
      </c>
      <c r="K2188" s="6">
        <v>520</v>
      </c>
      <c r="L2188" s="6" t="s">
        <v>42</v>
      </c>
      <c r="M2188" s="6" t="s">
        <v>34</v>
      </c>
    </row>
    <row r="2189" spans="1:13">
      <c r="A2189" s="6" t="s">
        <v>3622</v>
      </c>
      <c r="B2189" s="7">
        <v>46113</v>
      </c>
      <c r="C2189" s="6" t="s">
        <v>2216</v>
      </c>
      <c r="D2189" s="6" t="s">
        <v>105</v>
      </c>
      <c r="E2189" s="6" t="s">
        <v>52</v>
      </c>
      <c r="F2189" s="6" t="s">
        <v>94</v>
      </c>
      <c r="G2189" s="6" t="s">
        <v>95</v>
      </c>
      <c r="H2189" s="6">
        <v>2</v>
      </c>
      <c r="I2189" s="6" t="s">
        <v>117</v>
      </c>
      <c r="J2189" s="6" t="s">
        <v>118</v>
      </c>
      <c r="K2189" s="6">
        <v>340</v>
      </c>
      <c r="L2189" s="6" t="s">
        <v>33</v>
      </c>
      <c r="M2189" s="6" t="s">
        <v>34</v>
      </c>
    </row>
    <row r="2190" spans="1:13">
      <c r="A2190" s="6" t="s">
        <v>3623</v>
      </c>
      <c r="B2190" s="7">
        <v>46054</v>
      </c>
      <c r="C2190" s="6" t="s">
        <v>1098</v>
      </c>
      <c r="D2190" s="6" t="s">
        <v>45</v>
      </c>
      <c r="E2190" s="6" t="s">
        <v>52</v>
      </c>
      <c r="F2190" s="6" t="s">
        <v>47</v>
      </c>
      <c r="G2190" s="6" t="s">
        <v>48</v>
      </c>
      <c r="H2190" s="6">
        <v>3</v>
      </c>
      <c r="I2190" s="6" t="s">
        <v>31</v>
      </c>
      <c r="J2190" s="6" t="s">
        <v>337</v>
      </c>
      <c r="K2190" s="6">
        <v>85</v>
      </c>
      <c r="L2190" s="6" t="s">
        <v>42</v>
      </c>
      <c r="M2190" s="6" t="s">
        <v>34</v>
      </c>
    </row>
    <row r="2191" spans="1:13">
      <c r="A2191" s="6" t="s">
        <v>3624</v>
      </c>
      <c r="B2191" s="7">
        <v>46029</v>
      </c>
      <c r="C2191" s="6" t="s">
        <v>1453</v>
      </c>
      <c r="D2191" s="6" t="s">
        <v>57</v>
      </c>
      <c r="E2191" s="6" t="s">
        <v>28</v>
      </c>
      <c r="F2191" s="6" t="s">
        <v>85</v>
      </c>
      <c r="G2191" s="6" t="s">
        <v>86</v>
      </c>
      <c r="H2191" s="6">
        <v>1</v>
      </c>
      <c r="I2191" s="6" t="s">
        <v>40</v>
      </c>
      <c r="J2191" s="6" t="s">
        <v>40</v>
      </c>
      <c r="K2191" s="6">
        <v>410</v>
      </c>
      <c r="L2191" s="6" t="s">
        <v>33</v>
      </c>
      <c r="M2191" s="6" t="s">
        <v>34</v>
      </c>
    </row>
    <row r="2192" spans="1:13">
      <c r="A2192" s="6" t="s">
        <v>3625</v>
      </c>
      <c r="B2192" s="7">
        <v>46071</v>
      </c>
      <c r="C2192" s="6" t="s">
        <v>670</v>
      </c>
      <c r="D2192" s="6" t="s">
        <v>27</v>
      </c>
      <c r="E2192" s="6" t="s">
        <v>52</v>
      </c>
      <c r="F2192" s="6" t="s">
        <v>29</v>
      </c>
      <c r="G2192" s="6" t="s">
        <v>30</v>
      </c>
      <c r="H2192" s="6">
        <v>3</v>
      </c>
      <c r="I2192" s="6" t="s">
        <v>231</v>
      </c>
      <c r="J2192" s="6" t="s">
        <v>505</v>
      </c>
      <c r="K2192" s="6">
        <v>520</v>
      </c>
      <c r="L2192" s="6" t="s">
        <v>42</v>
      </c>
      <c r="M2192" s="6" t="s">
        <v>69</v>
      </c>
    </row>
    <row r="2193" spans="1:13">
      <c r="A2193" s="6" t="s">
        <v>3626</v>
      </c>
      <c r="B2193" s="7">
        <v>46040</v>
      </c>
      <c r="C2193" s="6" t="s">
        <v>2683</v>
      </c>
      <c r="D2193" s="6" t="s">
        <v>127</v>
      </c>
      <c r="E2193" s="6" t="s">
        <v>52</v>
      </c>
      <c r="F2193" s="6" t="s">
        <v>58</v>
      </c>
      <c r="G2193" s="6" t="s">
        <v>59</v>
      </c>
      <c r="H2193" s="6">
        <v>3</v>
      </c>
      <c r="I2193" s="6" t="s">
        <v>265</v>
      </c>
      <c r="J2193" s="6" t="s">
        <v>401</v>
      </c>
      <c r="K2193" s="6">
        <v>380</v>
      </c>
      <c r="L2193" s="6" t="s">
        <v>42</v>
      </c>
      <c r="M2193" s="6" t="s">
        <v>34</v>
      </c>
    </row>
    <row r="2194" spans="1:13">
      <c r="A2194" s="6" t="s">
        <v>3627</v>
      </c>
      <c r="B2194" s="7">
        <v>46164</v>
      </c>
      <c r="C2194" s="6" t="s">
        <v>1600</v>
      </c>
      <c r="D2194" s="6" t="s">
        <v>45</v>
      </c>
      <c r="E2194" s="6" t="s">
        <v>52</v>
      </c>
      <c r="F2194" s="6" t="s">
        <v>100</v>
      </c>
      <c r="G2194" s="6" t="s">
        <v>101</v>
      </c>
      <c r="H2194" s="6">
        <v>2</v>
      </c>
      <c r="I2194" s="6" t="s">
        <v>96</v>
      </c>
      <c r="J2194" s="6" t="s">
        <v>278</v>
      </c>
      <c r="K2194" s="6" t="s">
        <v>119</v>
      </c>
      <c r="L2194" s="6" t="s">
        <v>42</v>
      </c>
      <c r="M2194" s="6" t="s">
        <v>69</v>
      </c>
    </row>
    <row r="2195" spans="1:13">
      <c r="A2195" s="6" t="s">
        <v>3628</v>
      </c>
      <c r="B2195" s="7">
        <v>46142</v>
      </c>
      <c r="C2195" s="6" t="s">
        <v>3629</v>
      </c>
      <c r="D2195" s="6" t="s">
        <v>72</v>
      </c>
      <c r="E2195" s="6" t="s">
        <v>28</v>
      </c>
      <c r="F2195" s="6" t="s">
        <v>100</v>
      </c>
      <c r="G2195" s="6" t="s">
        <v>101</v>
      </c>
      <c r="H2195" s="6">
        <v>1</v>
      </c>
      <c r="I2195" s="6" t="s">
        <v>31</v>
      </c>
      <c r="J2195" s="6" t="s">
        <v>31</v>
      </c>
      <c r="K2195" s="6" t="s">
        <v>119</v>
      </c>
      <c r="L2195" s="6" t="s">
        <v>33</v>
      </c>
      <c r="M2195" s="6" t="s">
        <v>34</v>
      </c>
    </row>
    <row r="2196" spans="1:13">
      <c r="A2196" s="6" t="s">
        <v>3630</v>
      </c>
      <c r="B2196" s="7">
        <v>46144</v>
      </c>
      <c r="C2196" s="6" t="s">
        <v>2744</v>
      </c>
      <c r="D2196" s="6" t="s">
        <v>45</v>
      </c>
      <c r="E2196" s="6" t="s">
        <v>37</v>
      </c>
      <c r="F2196" s="6" t="s">
        <v>47</v>
      </c>
      <c r="G2196" s="6" t="s">
        <v>48</v>
      </c>
      <c r="H2196" s="6">
        <v>1</v>
      </c>
      <c r="I2196" s="6" t="s">
        <v>79</v>
      </c>
      <c r="J2196" s="6" t="s">
        <v>3414</v>
      </c>
      <c r="K2196" s="6" t="s">
        <v>49</v>
      </c>
      <c r="L2196" s="6" t="s">
        <v>42</v>
      </c>
      <c r="M2196" s="6" t="s">
        <v>34</v>
      </c>
    </row>
    <row r="2197" spans="1:13">
      <c r="A2197" s="6" t="s">
        <v>3631</v>
      </c>
      <c r="B2197" s="7">
        <v>46196</v>
      </c>
      <c r="C2197" s="6" t="s">
        <v>1493</v>
      </c>
      <c r="D2197" s="6" t="s">
        <v>127</v>
      </c>
      <c r="E2197" s="6" t="s">
        <v>78</v>
      </c>
      <c r="F2197" s="6" t="s">
        <v>29</v>
      </c>
      <c r="G2197" s="6" t="s">
        <v>30</v>
      </c>
      <c r="H2197" s="6">
        <v>1</v>
      </c>
      <c r="I2197" s="6" t="s">
        <v>79</v>
      </c>
      <c r="J2197" s="6" t="s">
        <v>79</v>
      </c>
      <c r="K2197" s="6" t="s">
        <v>41</v>
      </c>
      <c r="L2197" s="6" t="s">
        <v>42</v>
      </c>
      <c r="M2197" s="6" t="s">
        <v>34</v>
      </c>
    </row>
    <row r="2198" spans="1:13">
      <c r="A2198" s="6" t="s">
        <v>3632</v>
      </c>
      <c r="B2198" s="7">
        <v>46075</v>
      </c>
      <c r="C2198" s="6" t="s">
        <v>3016</v>
      </c>
      <c r="D2198" s="6" t="s">
        <v>77</v>
      </c>
      <c r="E2198" s="6" t="s">
        <v>28</v>
      </c>
      <c r="F2198" s="6" t="s">
        <v>53</v>
      </c>
      <c r="G2198" s="6" t="s">
        <v>54</v>
      </c>
      <c r="H2198" s="6">
        <v>2</v>
      </c>
      <c r="I2198" s="6" t="s">
        <v>90</v>
      </c>
      <c r="J2198" s="6" t="s">
        <v>154</v>
      </c>
      <c r="K2198" s="6">
        <v>190</v>
      </c>
      <c r="L2198" s="6" t="s">
        <v>33</v>
      </c>
      <c r="M2198" s="6" t="s">
        <v>69</v>
      </c>
    </row>
    <row r="2199" spans="1:13">
      <c r="A2199" s="6" t="s">
        <v>3633</v>
      </c>
      <c r="B2199" s="7">
        <v>46128</v>
      </c>
      <c r="C2199" s="6" t="s">
        <v>1644</v>
      </c>
      <c r="D2199" s="6" t="s">
        <v>64</v>
      </c>
      <c r="E2199" s="6" t="s">
        <v>46</v>
      </c>
      <c r="F2199" s="6" t="s">
        <v>29</v>
      </c>
      <c r="G2199" s="6" t="s">
        <v>30</v>
      </c>
      <c r="H2199" s="6">
        <v>2</v>
      </c>
      <c r="I2199" s="6" t="s">
        <v>82</v>
      </c>
      <c r="J2199" s="6" t="s">
        <v>297</v>
      </c>
      <c r="K2199" s="6">
        <v>520</v>
      </c>
      <c r="L2199" s="6" t="s">
        <v>33</v>
      </c>
      <c r="M2199" s="6" t="s">
        <v>34</v>
      </c>
    </row>
    <row r="2200" spans="1:13">
      <c r="A2200" s="6" t="s">
        <v>3634</v>
      </c>
      <c r="B2200" s="7">
        <v>46058</v>
      </c>
      <c r="C2200" s="6" t="s">
        <v>1566</v>
      </c>
      <c r="D2200" s="6" t="s">
        <v>27</v>
      </c>
      <c r="E2200" s="6" t="s">
        <v>28</v>
      </c>
      <c r="F2200" s="6" t="s">
        <v>38</v>
      </c>
      <c r="G2200" s="6" t="s">
        <v>39</v>
      </c>
      <c r="H2200" s="6">
        <v>2</v>
      </c>
      <c r="I2200" s="6" t="s">
        <v>73</v>
      </c>
      <c r="J2200" s="6" t="s">
        <v>74</v>
      </c>
      <c r="K2200" s="6">
        <v>520</v>
      </c>
      <c r="L2200" s="6" t="s">
        <v>42</v>
      </c>
      <c r="M2200" s="6" t="s">
        <v>34</v>
      </c>
    </row>
    <row r="2201" spans="1:13">
      <c r="A2201" s="6" t="s">
        <v>3635</v>
      </c>
      <c r="B2201" s="6" t="s">
        <v>2277</v>
      </c>
      <c r="C2201" s="6" t="s">
        <v>2594</v>
      </c>
      <c r="D2201" s="6" t="s">
        <v>105</v>
      </c>
      <c r="E2201" s="6" t="s">
        <v>52</v>
      </c>
      <c r="F2201" s="6" t="s">
        <v>85</v>
      </c>
      <c r="G2201" s="6" t="s">
        <v>86</v>
      </c>
      <c r="H2201" s="6">
        <v>-2</v>
      </c>
      <c r="I2201" s="6" t="s">
        <v>117</v>
      </c>
      <c r="J2201" s="8" t="s">
        <v>2190</v>
      </c>
      <c r="K2201" s="6" t="s">
        <v>87</v>
      </c>
      <c r="L2201" s="6" t="s">
        <v>42</v>
      </c>
      <c r="M2201" s="6" t="s">
        <v>34</v>
      </c>
    </row>
    <row r="2202" spans="1:13">
      <c r="A2202" s="6" t="s">
        <v>3636</v>
      </c>
      <c r="B2202" s="7">
        <v>46206</v>
      </c>
      <c r="C2202" s="6" t="s">
        <v>1137</v>
      </c>
      <c r="D2202" s="6" t="s">
        <v>57</v>
      </c>
      <c r="E2202" s="6" t="s">
        <v>78</v>
      </c>
      <c r="F2202" s="6" t="s">
        <v>85</v>
      </c>
      <c r="G2202" s="6" t="s">
        <v>86</v>
      </c>
      <c r="H2202" s="6">
        <v>1</v>
      </c>
      <c r="I2202" s="6" t="s">
        <v>147</v>
      </c>
      <c r="J2202" s="6" t="s">
        <v>147</v>
      </c>
      <c r="K2202" s="6">
        <v>410</v>
      </c>
      <c r="L2202" s="6" t="s">
        <v>42</v>
      </c>
      <c r="M2202" s="6" t="s">
        <v>69</v>
      </c>
    </row>
    <row r="2203" spans="1:13">
      <c r="A2203" s="6" t="s">
        <v>3637</v>
      </c>
      <c r="B2203" s="7">
        <v>46204</v>
      </c>
      <c r="C2203" s="6" t="s">
        <v>1588</v>
      </c>
      <c r="D2203" s="6" t="s">
        <v>27</v>
      </c>
      <c r="E2203" s="6" t="s">
        <v>28</v>
      </c>
      <c r="F2203" s="6" t="s">
        <v>38</v>
      </c>
      <c r="G2203" s="6" t="s">
        <v>39</v>
      </c>
      <c r="H2203" s="6">
        <v>1</v>
      </c>
      <c r="I2203" s="6" t="s">
        <v>265</v>
      </c>
      <c r="J2203" s="6" t="s">
        <v>265</v>
      </c>
      <c r="K2203" s="6" t="s">
        <v>41</v>
      </c>
      <c r="L2203" s="6" t="s">
        <v>42</v>
      </c>
      <c r="M2203" s="6" t="s">
        <v>34</v>
      </c>
    </row>
    <row r="2204" spans="1:13">
      <c r="A2204" s="6" t="s">
        <v>3638</v>
      </c>
      <c r="B2204" s="7">
        <v>46092</v>
      </c>
      <c r="C2204" s="6" t="s">
        <v>2671</v>
      </c>
      <c r="D2204" s="6" t="s">
        <v>127</v>
      </c>
      <c r="E2204" s="6" t="s">
        <v>52</v>
      </c>
      <c r="F2204" s="6" t="s">
        <v>53</v>
      </c>
      <c r="G2204" s="6" t="s">
        <v>54</v>
      </c>
      <c r="H2204" s="6">
        <v>1</v>
      </c>
      <c r="I2204" s="6" t="s">
        <v>79</v>
      </c>
      <c r="J2204" s="6" t="s">
        <v>79</v>
      </c>
      <c r="K2204" s="6">
        <v>190</v>
      </c>
      <c r="L2204" s="6" t="s">
        <v>33</v>
      </c>
      <c r="M2204" s="6" t="s">
        <v>34</v>
      </c>
    </row>
    <row r="2205" spans="1:13">
      <c r="A2205" s="6" t="s">
        <v>3639</v>
      </c>
      <c r="B2205" s="7">
        <v>46163</v>
      </c>
      <c r="C2205" s="6" t="s">
        <v>1311</v>
      </c>
      <c r="D2205" s="6" t="s">
        <v>127</v>
      </c>
      <c r="E2205" s="6" t="s">
        <v>28</v>
      </c>
      <c r="F2205" s="6" t="s">
        <v>85</v>
      </c>
      <c r="G2205" s="6" t="s">
        <v>86</v>
      </c>
      <c r="H2205" s="6">
        <v>2</v>
      </c>
      <c r="I2205" s="6" t="s">
        <v>147</v>
      </c>
      <c r="J2205" s="6" t="s">
        <v>175</v>
      </c>
      <c r="K2205" s="6" t="s">
        <v>87</v>
      </c>
      <c r="L2205" s="6" t="s">
        <v>42</v>
      </c>
      <c r="M2205" s="6" t="s">
        <v>69</v>
      </c>
    </row>
    <row r="2206" spans="1:13">
      <c r="A2206" s="6" t="s">
        <v>3640</v>
      </c>
      <c r="B2206" s="7">
        <v>46111</v>
      </c>
      <c r="C2206" s="6" t="s">
        <v>2400</v>
      </c>
      <c r="D2206" s="6" t="s">
        <v>127</v>
      </c>
      <c r="E2206" s="6" t="s">
        <v>28</v>
      </c>
      <c r="F2206" s="6" t="s">
        <v>53</v>
      </c>
      <c r="G2206" s="6" t="s">
        <v>54</v>
      </c>
      <c r="H2206" s="6">
        <v>1</v>
      </c>
      <c r="I2206" s="6" t="s">
        <v>31</v>
      </c>
      <c r="J2206" s="6" t="s">
        <v>31</v>
      </c>
      <c r="K2206" s="6">
        <v>190</v>
      </c>
      <c r="L2206" s="6" t="s">
        <v>42</v>
      </c>
      <c r="M2206" s="6" t="s">
        <v>34</v>
      </c>
    </row>
    <row r="2207" spans="1:13">
      <c r="A2207" s="6" t="s">
        <v>3641</v>
      </c>
      <c r="B2207" s="7">
        <v>46198</v>
      </c>
      <c r="C2207" s="6" t="s">
        <v>464</v>
      </c>
      <c r="D2207" s="6" t="s">
        <v>57</v>
      </c>
      <c r="E2207" s="6" t="s">
        <v>28</v>
      </c>
      <c r="F2207" s="6" t="s">
        <v>94</v>
      </c>
      <c r="G2207" s="6" t="s">
        <v>95</v>
      </c>
      <c r="H2207" s="6">
        <v>2</v>
      </c>
      <c r="I2207" s="6" t="s">
        <v>31</v>
      </c>
      <c r="J2207" s="6" t="s">
        <v>249</v>
      </c>
      <c r="K2207" s="6" t="s">
        <v>114</v>
      </c>
      <c r="L2207" s="6" t="s">
        <v>42</v>
      </c>
      <c r="M2207" s="6" t="s">
        <v>34</v>
      </c>
    </row>
    <row r="2208" spans="1:13">
      <c r="A2208" s="6" t="s">
        <v>3642</v>
      </c>
      <c r="B2208" s="7">
        <v>46082</v>
      </c>
      <c r="C2208" s="6" t="s">
        <v>1122</v>
      </c>
      <c r="D2208" s="6" t="s">
        <v>127</v>
      </c>
      <c r="E2208" s="6" t="s">
        <v>28</v>
      </c>
      <c r="F2208" s="6" t="s">
        <v>85</v>
      </c>
      <c r="G2208" s="6" t="s">
        <v>86</v>
      </c>
      <c r="H2208" s="6">
        <v>1</v>
      </c>
      <c r="I2208" s="6" t="s">
        <v>79</v>
      </c>
      <c r="J2208" s="6" t="s">
        <v>79</v>
      </c>
      <c r="K2208" s="6">
        <v>410</v>
      </c>
      <c r="L2208" s="6" t="s">
        <v>33</v>
      </c>
      <c r="M2208" s="6" t="s">
        <v>34</v>
      </c>
    </row>
    <row r="2209" spans="1:13">
      <c r="A2209" s="6" t="s">
        <v>3643</v>
      </c>
      <c r="B2209" s="6" t="s">
        <v>1302</v>
      </c>
      <c r="C2209" s="6" t="s">
        <v>3644</v>
      </c>
      <c r="D2209" s="6" t="s">
        <v>27</v>
      </c>
      <c r="E2209" s="6" t="s">
        <v>78</v>
      </c>
      <c r="F2209" s="6" t="s">
        <v>29</v>
      </c>
      <c r="G2209" s="6" t="s">
        <v>30</v>
      </c>
      <c r="H2209" s="6">
        <v>1</v>
      </c>
      <c r="I2209" s="6" t="s">
        <v>79</v>
      </c>
      <c r="J2209" s="6" t="s">
        <v>79</v>
      </c>
      <c r="K2209" s="6" t="s">
        <v>41</v>
      </c>
      <c r="L2209" s="6" t="s">
        <v>42</v>
      </c>
      <c r="M2209" s="6" t="s">
        <v>69</v>
      </c>
    </row>
    <row r="2210" spans="1:13">
      <c r="A2210" s="6" t="s">
        <v>3645</v>
      </c>
      <c r="B2210" s="7">
        <v>46085</v>
      </c>
      <c r="C2210" s="6" t="s">
        <v>66</v>
      </c>
      <c r="D2210" s="6" t="s">
        <v>57</v>
      </c>
      <c r="E2210" s="6" t="s">
        <v>46</v>
      </c>
      <c r="F2210" s="6" t="s">
        <v>58</v>
      </c>
      <c r="G2210" s="6" t="s">
        <v>59</v>
      </c>
      <c r="H2210" s="6">
        <v>3</v>
      </c>
      <c r="I2210" s="6" t="s">
        <v>113</v>
      </c>
      <c r="J2210" s="6" t="s">
        <v>138</v>
      </c>
      <c r="K2210" s="6">
        <v>380</v>
      </c>
      <c r="L2210" s="6" t="s">
        <v>42</v>
      </c>
      <c r="M2210" s="6" t="s">
        <v>69</v>
      </c>
    </row>
    <row r="2211" spans="1:13">
      <c r="A2211" s="6" t="s">
        <v>3646</v>
      </c>
      <c r="B2211" s="7">
        <v>46206</v>
      </c>
      <c r="C2211" s="6" t="s">
        <v>605</v>
      </c>
      <c r="D2211" s="6" t="s">
        <v>77</v>
      </c>
      <c r="E2211" s="6" t="s">
        <v>37</v>
      </c>
      <c r="F2211" s="6" t="s">
        <v>29</v>
      </c>
      <c r="G2211" s="6" t="s">
        <v>30</v>
      </c>
      <c r="H2211" s="6">
        <v>1</v>
      </c>
      <c r="I2211" s="6" t="s">
        <v>147</v>
      </c>
      <c r="J2211" s="6" t="s">
        <v>147</v>
      </c>
      <c r="K2211" s="6" t="s">
        <v>41</v>
      </c>
      <c r="L2211" s="6" t="s">
        <v>42</v>
      </c>
      <c r="M2211" s="6" t="s">
        <v>34</v>
      </c>
    </row>
    <row r="2212" spans="1:13">
      <c r="A2212" s="6" t="s">
        <v>3647</v>
      </c>
      <c r="B2212" s="7">
        <v>46119</v>
      </c>
      <c r="C2212" s="6" t="s">
        <v>107</v>
      </c>
      <c r="D2212" s="6" t="s">
        <v>27</v>
      </c>
      <c r="E2212" s="6" t="s">
        <v>46</v>
      </c>
      <c r="F2212" s="6" t="s">
        <v>85</v>
      </c>
      <c r="G2212" s="6" t="s">
        <v>86</v>
      </c>
      <c r="H2212" s="6">
        <v>1</v>
      </c>
      <c r="I2212" s="6" t="s">
        <v>82</v>
      </c>
      <c r="J2212" s="6" t="s">
        <v>82</v>
      </c>
      <c r="K2212" s="6">
        <v>410</v>
      </c>
      <c r="L2212" s="6" t="s">
        <v>42</v>
      </c>
      <c r="M2212" s="6" t="s">
        <v>34</v>
      </c>
    </row>
    <row r="2213" spans="1:13">
      <c r="A2213" s="6" t="s">
        <v>3648</v>
      </c>
      <c r="B2213" s="7">
        <v>46149</v>
      </c>
      <c r="C2213" s="6" t="s">
        <v>701</v>
      </c>
      <c r="D2213" s="6" t="s">
        <v>105</v>
      </c>
      <c r="E2213" s="6" t="s">
        <v>78</v>
      </c>
      <c r="F2213" s="6" t="s">
        <v>47</v>
      </c>
      <c r="G2213" s="6" t="s">
        <v>48</v>
      </c>
      <c r="H2213" s="6">
        <v>-2</v>
      </c>
      <c r="I2213" s="6" t="s">
        <v>117</v>
      </c>
      <c r="J2213" s="8" t="s">
        <v>2190</v>
      </c>
      <c r="K2213" s="6" t="s">
        <v>49</v>
      </c>
      <c r="L2213" s="6" t="s">
        <v>42</v>
      </c>
      <c r="M2213" s="6" t="s">
        <v>69</v>
      </c>
    </row>
    <row r="2214" spans="1:13">
      <c r="A2214" s="6" t="s">
        <v>3649</v>
      </c>
      <c r="B2214" s="7">
        <v>46052</v>
      </c>
      <c r="C2214" s="6" t="s">
        <v>1678</v>
      </c>
      <c r="D2214" s="6" t="s">
        <v>45</v>
      </c>
      <c r="E2214" s="6" t="s">
        <v>52</v>
      </c>
      <c r="F2214" s="6" t="s">
        <v>85</v>
      </c>
      <c r="G2214" s="6" t="s">
        <v>86</v>
      </c>
      <c r="H2214" s="6">
        <v>3</v>
      </c>
      <c r="I2214" s="6" t="s">
        <v>143</v>
      </c>
      <c r="J2214" s="6" t="s">
        <v>243</v>
      </c>
      <c r="K2214" s="6">
        <v>410</v>
      </c>
      <c r="L2214" s="6" t="s">
        <v>42</v>
      </c>
      <c r="M2214" s="6" t="s">
        <v>69</v>
      </c>
    </row>
    <row r="2215" spans="1:13">
      <c r="A2215" s="6" t="s">
        <v>3650</v>
      </c>
      <c r="B2215" s="7">
        <v>46203</v>
      </c>
      <c r="C2215" s="6" t="s">
        <v>3165</v>
      </c>
      <c r="D2215" s="6" t="s">
        <v>110</v>
      </c>
      <c r="E2215" s="6" t="s">
        <v>78</v>
      </c>
      <c r="F2215" s="6" t="s">
        <v>85</v>
      </c>
      <c r="G2215" s="6" t="s">
        <v>86</v>
      </c>
      <c r="H2215" s="6">
        <v>2</v>
      </c>
      <c r="I2215" s="6" t="s">
        <v>31</v>
      </c>
      <c r="J2215" s="6" t="s">
        <v>249</v>
      </c>
      <c r="K2215" s="6" t="s">
        <v>87</v>
      </c>
      <c r="L2215" s="6" t="s">
        <v>42</v>
      </c>
      <c r="M2215" s="6" t="s">
        <v>34</v>
      </c>
    </row>
    <row r="2216" spans="1:13">
      <c r="A2216" s="6" t="s">
        <v>3651</v>
      </c>
      <c r="B2216" s="7">
        <v>46197</v>
      </c>
      <c r="C2216" s="6" t="s">
        <v>1386</v>
      </c>
      <c r="D2216" s="6" t="s">
        <v>64</v>
      </c>
      <c r="E2216" s="6" t="s">
        <v>28</v>
      </c>
      <c r="F2216" s="6" t="s">
        <v>58</v>
      </c>
      <c r="G2216" s="6" t="s">
        <v>59</v>
      </c>
      <c r="H2216" s="6">
        <v>3</v>
      </c>
      <c r="I2216" s="6" t="s">
        <v>79</v>
      </c>
      <c r="J2216" s="6" t="s">
        <v>216</v>
      </c>
      <c r="K2216" s="6" t="s">
        <v>61</v>
      </c>
      <c r="L2216" s="6" t="s">
        <v>33</v>
      </c>
      <c r="M2216" s="6" t="s">
        <v>34</v>
      </c>
    </row>
    <row r="2217" spans="1:13">
      <c r="A2217" s="6" t="s">
        <v>3652</v>
      </c>
      <c r="B2217" s="7">
        <v>46147</v>
      </c>
      <c r="C2217" s="6" t="s">
        <v>752</v>
      </c>
      <c r="D2217" s="6" t="s">
        <v>77</v>
      </c>
      <c r="E2217" s="6" t="s">
        <v>28</v>
      </c>
      <c r="F2217" s="6" t="s">
        <v>29</v>
      </c>
      <c r="G2217" s="6" t="s">
        <v>30</v>
      </c>
      <c r="H2217" s="6">
        <v>1</v>
      </c>
      <c r="I2217" s="6" t="s">
        <v>82</v>
      </c>
      <c r="J2217" s="6" t="s">
        <v>82</v>
      </c>
      <c r="K2217" s="6" t="s">
        <v>41</v>
      </c>
      <c r="L2217" s="6" t="s">
        <v>42</v>
      </c>
      <c r="M2217" s="6" t="s">
        <v>34</v>
      </c>
    </row>
    <row r="2218" spans="1:13">
      <c r="A2218" s="6" t="s">
        <v>617</v>
      </c>
      <c r="B2218" s="7">
        <v>46039</v>
      </c>
      <c r="C2218" s="6" t="s">
        <v>618</v>
      </c>
      <c r="D2218" s="6" t="s">
        <v>57</v>
      </c>
      <c r="E2218" s="6" t="s">
        <v>37</v>
      </c>
      <c r="F2218" s="6" t="s">
        <v>85</v>
      </c>
      <c r="G2218" s="6" t="s">
        <v>86</v>
      </c>
      <c r="H2218" s="6">
        <v>2</v>
      </c>
      <c r="I2218" s="6" t="s">
        <v>619</v>
      </c>
      <c r="J2218" s="6" t="s">
        <v>144</v>
      </c>
      <c r="K2218" s="6">
        <v>410</v>
      </c>
      <c r="L2218" s="6" t="s">
        <v>42</v>
      </c>
      <c r="M2218" s="6" t="s">
        <v>34</v>
      </c>
    </row>
    <row r="2219" spans="1:13">
      <c r="A2219" s="6" t="s">
        <v>3653</v>
      </c>
      <c r="B2219" s="7">
        <v>46067</v>
      </c>
      <c r="C2219" s="6" t="s">
        <v>3654</v>
      </c>
      <c r="D2219" s="6" t="s">
        <v>64</v>
      </c>
      <c r="E2219" s="6" t="s">
        <v>52</v>
      </c>
      <c r="F2219" s="6" t="s">
        <v>47</v>
      </c>
      <c r="G2219" s="6" t="s">
        <v>48</v>
      </c>
      <c r="H2219" s="6">
        <v>2</v>
      </c>
      <c r="I2219" s="6" t="s">
        <v>96</v>
      </c>
      <c r="J2219" s="6" t="s">
        <v>278</v>
      </c>
      <c r="K2219" s="6">
        <v>85</v>
      </c>
      <c r="L2219" s="6" t="s">
        <v>42</v>
      </c>
      <c r="M2219" s="6" t="s">
        <v>69</v>
      </c>
    </row>
    <row r="2220" spans="1:13">
      <c r="A2220" s="6" t="s">
        <v>3655</v>
      </c>
      <c r="B2220" s="7">
        <v>46145</v>
      </c>
      <c r="C2220" s="6" t="s">
        <v>1176</v>
      </c>
      <c r="D2220" s="6" t="s">
        <v>45</v>
      </c>
      <c r="E2220" s="6" t="s">
        <v>28</v>
      </c>
      <c r="F2220" s="6" t="s">
        <v>94</v>
      </c>
      <c r="G2220" s="6" t="s">
        <v>95</v>
      </c>
      <c r="H2220" s="6">
        <v>1</v>
      </c>
      <c r="I2220" s="6" t="s">
        <v>82</v>
      </c>
      <c r="J2220" s="6" t="s">
        <v>82</v>
      </c>
      <c r="K2220" s="6" t="s">
        <v>114</v>
      </c>
      <c r="L2220" s="6" t="s">
        <v>33</v>
      </c>
      <c r="M2220" s="6" t="s">
        <v>69</v>
      </c>
    </row>
    <row r="2221" spans="1:13">
      <c r="A2221" s="6" t="s">
        <v>3656</v>
      </c>
      <c r="B2221" s="7">
        <v>46103</v>
      </c>
      <c r="C2221" s="6" t="s">
        <v>1658</v>
      </c>
      <c r="D2221" s="6" t="s">
        <v>45</v>
      </c>
      <c r="E2221" s="6" t="s">
        <v>46</v>
      </c>
      <c r="F2221" s="6" t="s">
        <v>38</v>
      </c>
      <c r="G2221" s="6" t="s">
        <v>39</v>
      </c>
      <c r="H2221" s="6">
        <v>1</v>
      </c>
      <c r="I2221" s="6" t="s">
        <v>231</v>
      </c>
      <c r="J2221" s="6" t="s">
        <v>231</v>
      </c>
      <c r="K2221" s="6">
        <v>520</v>
      </c>
      <c r="L2221" s="6" t="s">
        <v>42</v>
      </c>
      <c r="M2221" s="6" t="s">
        <v>69</v>
      </c>
    </row>
    <row r="2222" spans="1:13">
      <c r="A2222" s="6" t="s">
        <v>3657</v>
      </c>
      <c r="B2222" s="7">
        <v>46102</v>
      </c>
      <c r="C2222" s="6" t="s">
        <v>3093</v>
      </c>
      <c r="D2222" s="6" t="s">
        <v>105</v>
      </c>
      <c r="E2222" s="6" t="s">
        <v>37</v>
      </c>
      <c r="F2222" s="6" t="s">
        <v>85</v>
      </c>
      <c r="G2222" s="6" t="s">
        <v>86</v>
      </c>
      <c r="H2222" s="6">
        <v>1</v>
      </c>
      <c r="I2222" s="6" t="s">
        <v>90</v>
      </c>
      <c r="J2222" s="6" t="s">
        <v>1182</v>
      </c>
      <c r="K2222" s="6">
        <v>410</v>
      </c>
      <c r="L2222" s="6" t="s">
        <v>42</v>
      </c>
      <c r="M2222" s="6" t="s">
        <v>69</v>
      </c>
    </row>
    <row r="2223" spans="1:13">
      <c r="A2223" s="6" t="s">
        <v>3658</v>
      </c>
      <c r="B2223" s="7">
        <v>46039</v>
      </c>
      <c r="C2223" s="6" t="s">
        <v>963</v>
      </c>
      <c r="D2223" s="6" t="s">
        <v>27</v>
      </c>
      <c r="E2223" s="6" t="s">
        <v>78</v>
      </c>
      <c r="F2223" s="6" t="s">
        <v>58</v>
      </c>
      <c r="G2223" s="6" t="s">
        <v>59</v>
      </c>
      <c r="H2223" s="6">
        <v>2</v>
      </c>
      <c r="I2223" s="6" t="s">
        <v>1004</v>
      </c>
      <c r="J2223" s="6" t="s">
        <v>167</v>
      </c>
      <c r="K2223" s="6">
        <v>380</v>
      </c>
      <c r="L2223" s="6" t="s">
        <v>42</v>
      </c>
      <c r="M2223" s="6" t="s">
        <v>34</v>
      </c>
    </row>
    <row r="2224" spans="1:13">
      <c r="A2224" s="6" t="s">
        <v>3659</v>
      </c>
      <c r="B2224" s="7">
        <v>46107</v>
      </c>
      <c r="C2224" s="6" t="s">
        <v>1340</v>
      </c>
      <c r="D2224" s="6" t="s">
        <v>45</v>
      </c>
      <c r="E2224" s="6" t="s">
        <v>78</v>
      </c>
      <c r="F2224" s="6" t="s">
        <v>29</v>
      </c>
      <c r="G2224" s="6" t="s">
        <v>30</v>
      </c>
      <c r="H2224" s="6">
        <v>1</v>
      </c>
      <c r="I2224" s="6" t="s">
        <v>82</v>
      </c>
      <c r="J2224" s="6" t="s">
        <v>82</v>
      </c>
      <c r="K2224" s="6">
        <v>520</v>
      </c>
      <c r="L2224" s="6" t="s">
        <v>42</v>
      </c>
      <c r="M2224" s="6" t="s">
        <v>34</v>
      </c>
    </row>
    <row r="2225" spans="1:13">
      <c r="A2225" s="6" t="s">
        <v>3660</v>
      </c>
      <c r="B2225" s="7">
        <v>46165</v>
      </c>
      <c r="C2225" s="6" t="s">
        <v>81</v>
      </c>
      <c r="D2225" s="6" t="s">
        <v>77</v>
      </c>
      <c r="E2225" s="6" t="s">
        <v>28</v>
      </c>
      <c r="F2225" s="6" t="s">
        <v>38</v>
      </c>
      <c r="G2225" s="6" t="s">
        <v>39</v>
      </c>
      <c r="H2225" s="6">
        <v>2</v>
      </c>
      <c r="I2225" s="6" t="s">
        <v>67</v>
      </c>
      <c r="J2225" s="6" t="s">
        <v>204</v>
      </c>
      <c r="K2225" s="6" t="s">
        <v>41</v>
      </c>
      <c r="L2225" s="6" t="s">
        <v>42</v>
      </c>
      <c r="M2225" s="6" t="s">
        <v>34</v>
      </c>
    </row>
    <row r="2226" spans="1:13">
      <c r="A2226" s="6" t="s">
        <v>3661</v>
      </c>
      <c r="B2226" s="7">
        <v>46174</v>
      </c>
      <c r="C2226" s="6" t="s">
        <v>2907</v>
      </c>
      <c r="D2226" s="6" t="s">
        <v>105</v>
      </c>
      <c r="E2226" s="6" t="s">
        <v>46</v>
      </c>
      <c r="F2226" s="6" t="s">
        <v>100</v>
      </c>
      <c r="G2226" s="6" t="s">
        <v>101</v>
      </c>
      <c r="H2226" s="6">
        <v>2</v>
      </c>
      <c r="I2226" s="6" t="s">
        <v>113</v>
      </c>
      <c r="J2226" s="6" t="s">
        <v>192</v>
      </c>
      <c r="K2226" s="6" t="s">
        <v>119</v>
      </c>
      <c r="L2226" s="6" t="s">
        <v>42</v>
      </c>
      <c r="M2226" s="6" t="s">
        <v>34</v>
      </c>
    </row>
    <row r="2227" spans="1:13">
      <c r="A2227" s="6" t="s">
        <v>3662</v>
      </c>
      <c r="B2227" s="7">
        <v>46044</v>
      </c>
      <c r="C2227" s="6" t="s">
        <v>1120</v>
      </c>
      <c r="D2227" s="6" t="s">
        <v>45</v>
      </c>
      <c r="E2227" s="6" t="s">
        <v>37</v>
      </c>
      <c r="F2227" s="6" t="s">
        <v>53</v>
      </c>
      <c r="G2227" s="6" t="s">
        <v>54</v>
      </c>
      <c r="H2227" s="6">
        <v>1</v>
      </c>
      <c r="I2227" s="6" t="s">
        <v>113</v>
      </c>
      <c r="J2227" s="6" t="s">
        <v>113</v>
      </c>
      <c r="K2227" s="6">
        <v>190</v>
      </c>
      <c r="L2227" s="6" t="s">
        <v>42</v>
      </c>
      <c r="M2227" s="6" t="s">
        <v>69</v>
      </c>
    </row>
    <row r="2228" spans="1:13">
      <c r="A2228" s="6" t="s">
        <v>3663</v>
      </c>
      <c r="B2228" s="7">
        <v>46129</v>
      </c>
      <c r="C2228" s="6" t="s">
        <v>3234</v>
      </c>
      <c r="D2228" s="6" t="s">
        <v>27</v>
      </c>
      <c r="E2228" s="6" t="s">
        <v>37</v>
      </c>
      <c r="F2228" s="6" t="s">
        <v>53</v>
      </c>
      <c r="G2228" s="6" t="s">
        <v>54</v>
      </c>
      <c r="H2228" s="6">
        <v>2</v>
      </c>
      <c r="I2228" s="6" t="s">
        <v>265</v>
      </c>
      <c r="J2228" s="6" t="s">
        <v>167</v>
      </c>
      <c r="K2228" s="6">
        <v>190</v>
      </c>
      <c r="L2228" s="6" t="s">
        <v>42</v>
      </c>
      <c r="M2228" s="6" t="s">
        <v>34</v>
      </c>
    </row>
    <row r="2229" spans="1:13">
      <c r="A2229" s="6" t="s">
        <v>3664</v>
      </c>
      <c r="B2229" s="7">
        <v>46085</v>
      </c>
      <c r="C2229" s="6" t="s">
        <v>3665</v>
      </c>
      <c r="D2229" s="6" t="s">
        <v>72</v>
      </c>
      <c r="E2229" s="6" t="s">
        <v>46</v>
      </c>
      <c r="F2229" s="6" t="s">
        <v>85</v>
      </c>
      <c r="G2229" s="6" t="s">
        <v>86</v>
      </c>
      <c r="H2229" s="6">
        <v>1</v>
      </c>
      <c r="I2229" s="6" t="s">
        <v>1013</v>
      </c>
      <c r="J2229" s="6" t="s">
        <v>96</v>
      </c>
      <c r="K2229" s="6">
        <v>410</v>
      </c>
      <c r="L2229" s="6" t="s">
        <v>42</v>
      </c>
      <c r="M2229" s="6" t="s">
        <v>34</v>
      </c>
    </row>
    <row r="2230" spans="1:13">
      <c r="A2230" s="6" t="s">
        <v>3666</v>
      </c>
      <c r="B2230" s="6" t="s">
        <v>301</v>
      </c>
      <c r="C2230" s="6" t="s">
        <v>3388</v>
      </c>
      <c r="D2230" s="6" t="s">
        <v>57</v>
      </c>
      <c r="E2230" s="6" t="s">
        <v>37</v>
      </c>
      <c r="F2230" s="6" t="s">
        <v>58</v>
      </c>
      <c r="G2230" s="6" t="s">
        <v>59</v>
      </c>
      <c r="H2230" s="6">
        <v>1</v>
      </c>
      <c r="I2230" s="6" t="s">
        <v>82</v>
      </c>
      <c r="J2230" s="6" t="s">
        <v>82</v>
      </c>
      <c r="K2230" s="6">
        <v>380</v>
      </c>
      <c r="L2230" s="6" t="s">
        <v>33</v>
      </c>
      <c r="M2230" s="6" t="s">
        <v>69</v>
      </c>
    </row>
    <row r="2231" spans="1:13">
      <c r="A2231" s="6" t="s">
        <v>3667</v>
      </c>
      <c r="B2231" s="7">
        <v>46119</v>
      </c>
      <c r="C2231" s="6" t="s">
        <v>3668</v>
      </c>
      <c r="D2231" s="6" t="s">
        <v>57</v>
      </c>
      <c r="E2231" s="6" t="s">
        <v>37</v>
      </c>
      <c r="F2231" s="6" t="s">
        <v>53</v>
      </c>
      <c r="G2231" s="6" t="s">
        <v>54</v>
      </c>
      <c r="H2231" s="6">
        <v>3</v>
      </c>
      <c r="I2231" s="6" t="s">
        <v>265</v>
      </c>
      <c r="J2231" s="6" t="s">
        <v>401</v>
      </c>
      <c r="K2231" s="6">
        <v>190</v>
      </c>
      <c r="L2231" s="6" t="s">
        <v>42</v>
      </c>
      <c r="M2231" s="6" t="s">
        <v>34</v>
      </c>
    </row>
    <row r="2232" spans="1:13">
      <c r="A2232" s="6" t="s">
        <v>3669</v>
      </c>
      <c r="B2232" s="7">
        <v>46192</v>
      </c>
      <c r="C2232" s="6" t="s">
        <v>1476</v>
      </c>
      <c r="D2232" s="6" t="s">
        <v>110</v>
      </c>
      <c r="E2232" s="6" t="s">
        <v>28</v>
      </c>
      <c r="F2232" s="6" t="s">
        <v>38</v>
      </c>
      <c r="G2232" s="6" t="s">
        <v>39</v>
      </c>
      <c r="H2232" s="6">
        <v>1</v>
      </c>
      <c r="I2232" s="6" t="s">
        <v>90</v>
      </c>
      <c r="J2232" s="6" t="s">
        <v>96</v>
      </c>
      <c r="K2232" s="6" t="s">
        <v>41</v>
      </c>
      <c r="L2232" s="6" t="s">
        <v>33</v>
      </c>
      <c r="M2232" s="6" t="s">
        <v>34</v>
      </c>
    </row>
    <row r="2233" spans="1:13">
      <c r="A2233" s="6" t="s">
        <v>3670</v>
      </c>
      <c r="B2233" s="7">
        <v>46189</v>
      </c>
      <c r="C2233" s="6" t="s">
        <v>1149</v>
      </c>
      <c r="D2233" s="6" t="s">
        <v>64</v>
      </c>
      <c r="E2233" s="6" t="s">
        <v>46</v>
      </c>
      <c r="F2233" s="6" t="s">
        <v>53</v>
      </c>
      <c r="G2233" s="6" t="s">
        <v>54</v>
      </c>
      <c r="H2233" s="6">
        <v>2</v>
      </c>
      <c r="I2233" s="6" t="s">
        <v>79</v>
      </c>
      <c r="J2233" s="6" t="s">
        <v>259</v>
      </c>
      <c r="K2233" s="6" t="s">
        <v>122</v>
      </c>
      <c r="L2233" s="6" t="s">
        <v>42</v>
      </c>
      <c r="M2233" s="6" t="s">
        <v>69</v>
      </c>
    </row>
    <row r="2234" spans="1:13">
      <c r="A2234" s="6" t="s">
        <v>3671</v>
      </c>
      <c r="B2234" s="7">
        <v>46084</v>
      </c>
      <c r="C2234" s="6" t="s">
        <v>3672</v>
      </c>
      <c r="D2234" s="6" t="s">
        <v>110</v>
      </c>
      <c r="E2234" s="6" t="s">
        <v>46</v>
      </c>
      <c r="F2234" s="6" t="s">
        <v>38</v>
      </c>
      <c r="G2234" s="6" t="s">
        <v>39</v>
      </c>
      <c r="H2234" s="6">
        <v>1</v>
      </c>
      <c r="I2234" s="6" t="s">
        <v>67</v>
      </c>
      <c r="J2234" s="6" t="s">
        <v>3673</v>
      </c>
      <c r="K2234" s="6">
        <v>520</v>
      </c>
      <c r="L2234" s="6" t="s">
        <v>42</v>
      </c>
      <c r="M2234" s="6" t="s">
        <v>34</v>
      </c>
    </row>
    <row r="2235" spans="1:13">
      <c r="A2235" s="6" t="s">
        <v>3674</v>
      </c>
      <c r="B2235" s="7">
        <v>46157</v>
      </c>
      <c r="C2235" s="6" t="s">
        <v>3675</v>
      </c>
      <c r="D2235" s="6" t="s">
        <v>127</v>
      </c>
      <c r="E2235" s="6" t="s">
        <v>52</v>
      </c>
      <c r="F2235" s="6" t="s">
        <v>94</v>
      </c>
      <c r="G2235" s="6" t="s">
        <v>95</v>
      </c>
      <c r="H2235" s="6">
        <v>1</v>
      </c>
      <c r="I2235" s="6" t="s">
        <v>79</v>
      </c>
      <c r="J2235" s="6" t="s">
        <v>79</v>
      </c>
      <c r="K2235" s="6" t="s">
        <v>114</v>
      </c>
      <c r="L2235" s="6" t="s">
        <v>33</v>
      </c>
      <c r="M2235" s="6" t="s">
        <v>34</v>
      </c>
    </row>
    <row r="2236" spans="1:13">
      <c r="A2236" s="6" t="s">
        <v>3676</v>
      </c>
      <c r="B2236" s="7">
        <v>46179</v>
      </c>
      <c r="C2236" s="6" t="s">
        <v>602</v>
      </c>
      <c r="D2236" s="6" t="s">
        <v>45</v>
      </c>
      <c r="E2236" s="6" t="s">
        <v>46</v>
      </c>
      <c r="F2236" s="6" t="s">
        <v>58</v>
      </c>
      <c r="G2236" s="6" t="s">
        <v>59</v>
      </c>
      <c r="H2236" s="6">
        <v>1</v>
      </c>
      <c r="I2236" s="6" t="s">
        <v>113</v>
      </c>
      <c r="J2236" s="6" t="s">
        <v>113</v>
      </c>
      <c r="K2236" s="6" t="s">
        <v>61</v>
      </c>
      <c r="L2236" s="6" t="s">
        <v>42</v>
      </c>
      <c r="M2236" s="6" t="s">
        <v>34</v>
      </c>
    </row>
    <row r="2237" spans="1:13">
      <c r="A2237" s="6" t="s">
        <v>3677</v>
      </c>
      <c r="B2237" s="7">
        <v>46164</v>
      </c>
      <c r="C2237" s="6" t="s">
        <v>768</v>
      </c>
      <c r="D2237" s="6" t="s">
        <v>127</v>
      </c>
      <c r="E2237" s="6" t="s">
        <v>78</v>
      </c>
      <c r="F2237" s="6" t="s">
        <v>58</v>
      </c>
      <c r="G2237" s="6" t="s">
        <v>59</v>
      </c>
      <c r="H2237" s="6">
        <v>-3</v>
      </c>
      <c r="I2237" s="6" t="s">
        <v>82</v>
      </c>
      <c r="J2237" s="8" t="s">
        <v>3678</v>
      </c>
      <c r="K2237" s="6" t="s">
        <v>61</v>
      </c>
      <c r="L2237" s="6" t="s">
        <v>42</v>
      </c>
      <c r="M2237" s="6" t="s">
        <v>34</v>
      </c>
    </row>
    <row r="2238" spans="1:13">
      <c r="A2238" s="6" t="s">
        <v>3679</v>
      </c>
      <c r="B2238" s="7">
        <v>46138</v>
      </c>
      <c r="C2238" s="6" t="s">
        <v>3680</v>
      </c>
      <c r="D2238" s="6" t="s">
        <v>77</v>
      </c>
      <c r="E2238" s="6" t="s">
        <v>28</v>
      </c>
      <c r="F2238" s="6" t="s">
        <v>58</v>
      </c>
      <c r="G2238" s="6" t="s">
        <v>59</v>
      </c>
      <c r="H2238" s="6">
        <v>3</v>
      </c>
      <c r="I2238" s="6" t="s">
        <v>113</v>
      </c>
      <c r="J2238" s="6" t="s">
        <v>138</v>
      </c>
      <c r="K2238" s="6" t="s">
        <v>61</v>
      </c>
      <c r="L2238" s="6" t="s">
        <v>42</v>
      </c>
      <c r="M2238" s="6" t="s">
        <v>34</v>
      </c>
    </row>
    <row r="2239" spans="1:13">
      <c r="A2239" s="6" t="s">
        <v>3681</v>
      </c>
      <c r="B2239" s="7">
        <v>46055</v>
      </c>
      <c r="C2239" s="6" t="s">
        <v>2371</v>
      </c>
      <c r="D2239" s="6" t="s">
        <v>72</v>
      </c>
      <c r="E2239" s="6" t="s">
        <v>46</v>
      </c>
      <c r="F2239" s="6" t="s">
        <v>85</v>
      </c>
      <c r="G2239" s="6" t="s">
        <v>86</v>
      </c>
      <c r="H2239" s="6">
        <v>1</v>
      </c>
      <c r="I2239" s="6" t="s">
        <v>265</v>
      </c>
      <c r="J2239" s="6" t="s">
        <v>265</v>
      </c>
      <c r="K2239" s="6">
        <v>410</v>
      </c>
      <c r="L2239" s="6" t="s">
        <v>42</v>
      </c>
      <c r="M2239" s="6" t="s">
        <v>34</v>
      </c>
    </row>
    <row r="2240" spans="1:13">
      <c r="A2240" s="6" t="s">
        <v>3682</v>
      </c>
      <c r="B2240" s="7">
        <v>46185</v>
      </c>
      <c r="C2240" s="6" t="s">
        <v>2050</v>
      </c>
      <c r="D2240" s="6" t="s">
        <v>105</v>
      </c>
      <c r="E2240" s="6" t="s">
        <v>37</v>
      </c>
      <c r="F2240" s="6" t="s">
        <v>85</v>
      </c>
      <c r="G2240" s="6" t="s">
        <v>86</v>
      </c>
      <c r="H2240" s="6">
        <v>1</v>
      </c>
      <c r="I2240" s="6" t="s">
        <v>143</v>
      </c>
      <c r="J2240" s="6" t="s">
        <v>143</v>
      </c>
      <c r="K2240" s="6" t="s">
        <v>87</v>
      </c>
      <c r="L2240" s="6" t="s">
        <v>42</v>
      </c>
      <c r="M2240" s="6" t="s">
        <v>34</v>
      </c>
    </row>
    <row r="2241" spans="1:13">
      <c r="A2241" s="6" t="s">
        <v>3683</v>
      </c>
      <c r="B2241" s="7">
        <v>46132</v>
      </c>
      <c r="C2241" s="6" t="s">
        <v>3684</v>
      </c>
      <c r="D2241" s="6" t="s">
        <v>77</v>
      </c>
      <c r="E2241" s="6" t="s">
        <v>46</v>
      </c>
      <c r="F2241" s="6" t="s">
        <v>100</v>
      </c>
      <c r="G2241" s="6" t="s">
        <v>101</v>
      </c>
      <c r="H2241" s="6">
        <v>3</v>
      </c>
      <c r="I2241" s="6" t="s">
        <v>113</v>
      </c>
      <c r="J2241" s="6" t="s">
        <v>138</v>
      </c>
      <c r="K2241" s="6" t="s">
        <v>119</v>
      </c>
      <c r="L2241" s="6" t="s">
        <v>33</v>
      </c>
      <c r="M2241" s="6" t="s">
        <v>69</v>
      </c>
    </row>
    <row r="2242" spans="1:13">
      <c r="A2242" s="6" t="s">
        <v>3685</v>
      </c>
      <c r="B2242" s="7">
        <v>46105</v>
      </c>
      <c r="C2242" s="6" t="s">
        <v>3686</v>
      </c>
      <c r="D2242" s="6" t="s">
        <v>110</v>
      </c>
      <c r="E2242" s="6" t="s">
        <v>46</v>
      </c>
      <c r="F2242" s="6" t="s">
        <v>29</v>
      </c>
      <c r="G2242" s="6" t="s">
        <v>30</v>
      </c>
      <c r="H2242" s="6">
        <v>2</v>
      </c>
      <c r="I2242" s="6" t="s">
        <v>117</v>
      </c>
      <c r="J2242" s="6" t="s">
        <v>118</v>
      </c>
      <c r="K2242" s="6">
        <v>520</v>
      </c>
      <c r="L2242" s="6" t="s">
        <v>42</v>
      </c>
      <c r="M2242" s="6" t="s">
        <v>34</v>
      </c>
    </row>
    <row r="2243" spans="1:13">
      <c r="A2243" s="6" t="s">
        <v>3687</v>
      </c>
      <c r="B2243" s="7">
        <v>46183</v>
      </c>
      <c r="C2243" s="6" t="s">
        <v>771</v>
      </c>
      <c r="D2243" s="6" t="s">
        <v>45</v>
      </c>
      <c r="E2243" s="6" t="s">
        <v>78</v>
      </c>
      <c r="F2243" s="6" t="s">
        <v>47</v>
      </c>
      <c r="G2243" s="6" t="s">
        <v>48</v>
      </c>
      <c r="H2243" s="6">
        <v>2</v>
      </c>
      <c r="I2243" s="6" t="s">
        <v>113</v>
      </c>
      <c r="J2243" s="6" t="s">
        <v>192</v>
      </c>
      <c r="K2243" s="6" t="s">
        <v>49</v>
      </c>
      <c r="L2243" s="6" t="s">
        <v>42</v>
      </c>
      <c r="M2243" s="6" t="s">
        <v>34</v>
      </c>
    </row>
    <row r="2244" spans="1:13">
      <c r="A2244" s="6" t="s">
        <v>3688</v>
      </c>
      <c r="B2244" s="7">
        <v>46059</v>
      </c>
      <c r="C2244" s="6" t="s">
        <v>355</v>
      </c>
      <c r="D2244" s="6" t="s">
        <v>105</v>
      </c>
      <c r="E2244" s="6" t="s">
        <v>46</v>
      </c>
      <c r="F2244" s="6" t="s">
        <v>47</v>
      </c>
      <c r="G2244" s="6" t="s">
        <v>48</v>
      </c>
      <c r="H2244" s="6">
        <v>1</v>
      </c>
      <c r="I2244" s="6" t="s">
        <v>82</v>
      </c>
      <c r="J2244" s="6" t="s">
        <v>82</v>
      </c>
      <c r="K2244" s="6" t="s">
        <v>49</v>
      </c>
      <c r="L2244" s="6" t="s">
        <v>42</v>
      </c>
      <c r="M2244" s="6" t="s">
        <v>69</v>
      </c>
    </row>
    <row r="2245" spans="1:13">
      <c r="A2245" s="6" t="s">
        <v>3689</v>
      </c>
      <c r="B2245" s="7">
        <v>46156</v>
      </c>
      <c r="C2245" s="6" t="s">
        <v>3690</v>
      </c>
      <c r="D2245" s="6" t="s">
        <v>110</v>
      </c>
      <c r="E2245" s="6" t="s">
        <v>52</v>
      </c>
      <c r="F2245" s="6" t="s">
        <v>53</v>
      </c>
      <c r="G2245" s="6" t="s">
        <v>54</v>
      </c>
      <c r="H2245" s="6">
        <v>1</v>
      </c>
      <c r="I2245" s="6" t="s">
        <v>90</v>
      </c>
      <c r="J2245" s="6" t="s">
        <v>90</v>
      </c>
      <c r="K2245" s="6" t="s">
        <v>122</v>
      </c>
      <c r="L2245" s="6" t="s">
        <v>33</v>
      </c>
      <c r="M2245" s="6" t="s">
        <v>34</v>
      </c>
    </row>
    <row r="2246" spans="1:13">
      <c r="A2246" s="6" t="s">
        <v>3691</v>
      </c>
      <c r="B2246" s="7">
        <v>46164</v>
      </c>
      <c r="C2246" s="6" t="s">
        <v>355</v>
      </c>
      <c r="D2246" s="6" t="s">
        <v>27</v>
      </c>
      <c r="E2246" s="6" t="s">
        <v>46</v>
      </c>
      <c r="F2246" s="6" t="s">
        <v>58</v>
      </c>
      <c r="G2246" s="6" t="s">
        <v>59</v>
      </c>
      <c r="H2246" s="6">
        <v>2</v>
      </c>
      <c r="I2246" s="6" t="s">
        <v>755</v>
      </c>
      <c r="J2246" s="6" t="s">
        <v>118</v>
      </c>
      <c r="K2246" s="6" t="s">
        <v>61</v>
      </c>
      <c r="L2246" s="6" t="s">
        <v>33</v>
      </c>
      <c r="M2246" s="6" t="s">
        <v>34</v>
      </c>
    </row>
    <row r="2247" spans="1:13">
      <c r="A2247" s="6" t="s">
        <v>3692</v>
      </c>
      <c r="B2247" s="7">
        <v>46035</v>
      </c>
      <c r="C2247" s="6" t="s">
        <v>3140</v>
      </c>
      <c r="D2247" s="6" t="s">
        <v>27</v>
      </c>
      <c r="E2247" s="6" t="s">
        <v>78</v>
      </c>
      <c r="F2247" s="6" t="s">
        <v>85</v>
      </c>
      <c r="G2247" s="6" t="s">
        <v>86</v>
      </c>
      <c r="H2247" s="6">
        <v>1</v>
      </c>
      <c r="I2247" s="6" t="s">
        <v>748</v>
      </c>
      <c r="J2247" s="6" t="s">
        <v>113</v>
      </c>
      <c r="K2247" s="6">
        <v>410</v>
      </c>
      <c r="L2247" s="6" t="s">
        <v>42</v>
      </c>
      <c r="M2247" s="6" t="s">
        <v>34</v>
      </c>
    </row>
    <row r="2248" spans="1:13">
      <c r="A2248" s="6" t="s">
        <v>3693</v>
      </c>
      <c r="B2248" s="7">
        <v>46202</v>
      </c>
      <c r="C2248" s="6" t="s">
        <v>326</v>
      </c>
      <c r="D2248" s="6" t="s">
        <v>45</v>
      </c>
      <c r="E2248" s="6" t="s">
        <v>28</v>
      </c>
      <c r="F2248" s="6" t="s">
        <v>29</v>
      </c>
      <c r="G2248" s="6" t="s">
        <v>30</v>
      </c>
      <c r="H2248" s="6">
        <v>2</v>
      </c>
      <c r="I2248" s="6" t="s">
        <v>90</v>
      </c>
      <c r="J2248" s="6" t="s">
        <v>154</v>
      </c>
      <c r="K2248" s="6" t="s">
        <v>41</v>
      </c>
      <c r="L2248" s="6" t="s">
        <v>42</v>
      </c>
      <c r="M2248" s="6" t="s">
        <v>69</v>
      </c>
    </row>
    <row r="2249" spans="1:13">
      <c r="A2249" s="6" t="s">
        <v>3694</v>
      </c>
      <c r="B2249" s="7">
        <v>46203</v>
      </c>
      <c r="C2249" s="6" t="s">
        <v>280</v>
      </c>
      <c r="D2249" s="6" t="s">
        <v>45</v>
      </c>
      <c r="E2249" s="6" t="s">
        <v>46</v>
      </c>
      <c r="F2249" s="6" t="s">
        <v>100</v>
      </c>
      <c r="G2249" s="6" t="s">
        <v>101</v>
      </c>
      <c r="H2249" s="6">
        <v>3</v>
      </c>
      <c r="I2249" s="6" t="s">
        <v>73</v>
      </c>
      <c r="J2249" s="6" t="s">
        <v>3695</v>
      </c>
      <c r="K2249" s="6" t="s">
        <v>119</v>
      </c>
      <c r="L2249" s="6" t="s">
        <v>42</v>
      </c>
      <c r="M2249" s="6" t="s">
        <v>34</v>
      </c>
    </row>
    <row r="2250" spans="1:13">
      <c r="A2250" s="6" t="s">
        <v>3696</v>
      </c>
      <c r="B2250" s="7">
        <v>46073</v>
      </c>
      <c r="C2250" s="6" t="s">
        <v>524</v>
      </c>
      <c r="D2250" s="6" t="s">
        <v>57</v>
      </c>
      <c r="E2250" s="6" t="s">
        <v>52</v>
      </c>
      <c r="F2250" s="6" t="s">
        <v>100</v>
      </c>
      <c r="G2250" s="6" t="s">
        <v>101</v>
      </c>
      <c r="H2250" s="6">
        <v>3</v>
      </c>
      <c r="I2250" s="6" t="s">
        <v>67</v>
      </c>
      <c r="J2250" s="6" t="s">
        <v>68</v>
      </c>
      <c r="K2250" s="6">
        <v>640</v>
      </c>
      <c r="L2250" s="6" t="s">
        <v>42</v>
      </c>
      <c r="M2250" s="6" t="s">
        <v>69</v>
      </c>
    </row>
    <row r="2251" spans="1:13">
      <c r="A2251" s="6" t="s">
        <v>3697</v>
      </c>
      <c r="B2251" s="7">
        <v>46086</v>
      </c>
      <c r="C2251" s="6" t="s">
        <v>784</v>
      </c>
      <c r="D2251" s="6" t="s">
        <v>45</v>
      </c>
      <c r="E2251" s="6" t="s">
        <v>46</v>
      </c>
      <c r="F2251" s="6" t="s">
        <v>100</v>
      </c>
      <c r="G2251" s="6" t="s">
        <v>101</v>
      </c>
      <c r="H2251" s="6">
        <v>-1</v>
      </c>
      <c r="I2251" s="6" t="s">
        <v>265</v>
      </c>
      <c r="J2251" s="8" t="s">
        <v>311</v>
      </c>
      <c r="K2251" s="6">
        <v>640</v>
      </c>
      <c r="L2251" s="6" t="s">
        <v>42</v>
      </c>
      <c r="M2251" s="6" t="s">
        <v>34</v>
      </c>
    </row>
    <row r="2252" spans="1:13">
      <c r="A2252" s="6" t="s">
        <v>3698</v>
      </c>
      <c r="B2252" s="7">
        <v>46145</v>
      </c>
      <c r="C2252" s="6" t="s">
        <v>2778</v>
      </c>
      <c r="D2252" s="6" t="s">
        <v>110</v>
      </c>
      <c r="E2252" s="6" t="s">
        <v>46</v>
      </c>
      <c r="F2252" s="6" t="s">
        <v>38</v>
      </c>
      <c r="G2252" s="6" t="s">
        <v>39</v>
      </c>
      <c r="H2252" s="6">
        <v>2</v>
      </c>
      <c r="I2252" s="6" t="s">
        <v>79</v>
      </c>
      <c r="J2252" s="6" t="s">
        <v>259</v>
      </c>
      <c r="K2252" s="6">
        <v>520</v>
      </c>
      <c r="L2252" s="6" t="s">
        <v>42</v>
      </c>
      <c r="M2252" s="6" t="s">
        <v>34</v>
      </c>
    </row>
    <row r="2253" spans="1:13">
      <c r="A2253" s="6" t="s">
        <v>3699</v>
      </c>
      <c r="B2253" s="7">
        <v>46103</v>
      </c>
      <c r="C2253" s="6" t="s">
        <v>3521</v>
      </c>
      <c r="D2253" s="6" t="s">
        <v>45</v>
      </c>
      <c r="E2253" s="6" t="s">
        <v>46</v>
      </c>
      <c r="F2253" s="6" t="s">
        <v>100</v>
      </c>
      <c r="G2253" s="6" t="s">
        <v>101</v>
      </c>
      <c r="H2253" s="6">
        <v>2</v>
      </c>
      <c r="I2253" s="6" t="s">
        <v>117</v>
      </c>
      <c r="J2253" s="6" t="s">
        <v>118</v>
      </c>
      <c r="K2253" s="6">
        <v>640</v>
      </c>
      <c r="L2253" s="6" t="s">
        <v>33</v>
      </c>
      <c r="M2253" s="6" t="s">
        <v>34</v>
      </c>
    </row>
    <row r="2254" spans="1:13">
      <c r="A2254" s="6" t="s">
        <v>3700</v>
      </c>
      <c r="B2254" s="7">
        <v>46075</v>
      </c>
      <c r="C2254" s="6" t="s">
        <v>2308</v>
      </c>
      <c r="D2254" s="6" t="s">
        <v>64</v>
      </c>
      <c r="E2254" s="6" t="s">
        <v>52</v>
      </c>
      <c r="F2254" s="6" t="s">
        <v>29</v>
      </c>
      <c r="G2254" s="6" t="s">
        <v>30</v>
      </c>
      <c r="H2254" s="6">
        <v>1</v>
      </c>
      <c r="I2254" s="6" t="s">
        <v>181</v>
      </c>
      <c r="J2254" s="6" t="s">
        <v>181</v>
      </c>
      <c r="K2254" s="6">
        <v>520</v>
      </c>
      <c r="L2254" s="6" t="s">
        <v>33</v>
      </c>
      <c r="M2254" s="6" t="s">
        <v>34</v>
      </c>
    </row>
    <row r="2255" spans="1:13">
      <c r="A2255" s="6" t="s">
        <v>3701</v>
      </c>
      <c r="B2255" s="7">
        <v>46119</v>
      </c>
      <c r="C2255" s="6" t="s">
        <v>381</v>
      </c>
      <c r="D2255" s="6" t="s">
        <v>64</v>
      </c>
      <c r="E2255" s="6" t="s">
        <v>78</v>
      </c>
      <c r="F2255" s="6" t="s">
        <v>58</v>
      </c>
      <c r="G2255" s="6" t="s">
        <v>59</v>
      </c>
      <c r="H2255" s="6">
        <v>1</v>
      </c>
      <c r="I2255" s="6" t="s">
        <v>265</v>
      </c>
      <c r="J2255" s="6" t="s">
        <v>265</v>
      </c>
      <c r="K2255" s="6">
        <v>380</v>
      </c>
      <c r="L2255" s="6" t="s">
        <v>42</v>
      </c>
      <c r="M2255" s="6" t="s">
        <v>69</v>
      </c>
    </row>
    <row r="2256" spans="1:13">
      <c r="A2256" s="6" t="s">
        <v>3702</v>
      </c>
      <c r="B2256" s="7">
        <v>46035</v>
      </c>
      <c r="C2256" s="6" t="s">
        <v>2881</v>
      </c>
      <c r="D2256" s="6" t="s">
        <v>64</v>
      </c>
      <c r="E2256" s="6" t="s">
        <v>46</v>
      </c>
      <c r="F2256" s="6" t="s">
        <v>58</v>
      </c>
      <c r="G2256" s="6" t="s">
        <v>59</v>
      </c>
      <c r="H2256" s="6">
        <v>1</v>
      </c>
      <c r="I2256" s="6" t="s">
        <v>181</v>
      </c>
      <c r="J2256" s="6" t="s">
        <v>181</v>
      </c>
      <c r="K2256" s="6">
        <v>380</v>
      </c>
      <c r="L2256" s="6" t="s">
        <v>42</v>
      </c>
      <c r="M2256" s="6" t="s">
        <v>34</v>
      </c>
    </row>
    <row r="2257" spans="1:13">
      <c r="A2257" s="6" t="s">
        <v>3703</v>
      </c>
      <c r="B2257" s="7">
        <v>46155</v>
      </c>
      <c r="C2257" s="6" t="s">
        <v>1894</v>
      </c>
      <c r="D2257" s="6" t="s">
        <v>57</v>
      </c>
      <c r="E2257" s="6" t="s">
        <v>46</v>
      </c>
      <c r="F2257" s="6" t="s">
        <v>58</v>
      </c>
      <c r="G2257" s="6" t="s">
        <v>59</v>
      </c>
      <c r="H2257" s="6">
        <v>1</v>
      </c>
      <c r="I2257" s="6" t="s">
        <v>166</v>
      </c>
      <c r="J2257" s="6" t="s">
        <v>265</v>
      </c>
      <c r="K2257" s="6" t="s">
        <v>61</v>
      </c>
      <c r="L2257" s="6" t="s">
        <v>33</v>
      </c>
      <c r="M2257" s="6" t="s">
        <v>34</v>
      </c>
    </row>
    <row r="2258" spans="1:13">
      <c r="A2258" s="6" t="s">
        <v>3704</v>
      </c>
      <c r="B2258" s="7">
        <v>46031</v>
      </c>
      <c r="C2258" s="6" t="s">
        <v>206</v>
      </c>
      <c r="D2258" s="6" t="s">
        <v>77</v>
      </c>
      <c r="E2258" s="6" t="s">
        <v>37</v>
      </c>
      <c r="F2258" s="6" t="s">
        <v>100</v>
      </c>
      <c r="G2258" s="6" t="s">
        <v>101</v>
      </c>
      <c r="H2258" s="6">
        <v>1</v>
      </c>
      <c r="I2258" s="6" t="s">
        <v>265</v>
      </c>
      <c r="J2258" s="6" t="s">
        <v>265</v>
      </c>
      <c r="K2258" s="6">
        <v>640</v>
      </c>
      <c r="L2258" s="6" t="s">
        <v>33</v>
      </c>
      <c r="M2258" s="6" t="s">
        <v>34</v>
      </c>
    </row>
    <row r="2259" spans="1:13">
      <c r="A2259" s="6" t="s">
        <v>3705</v>
      </c>
      <c r="B2259" s="7">
        <v>46089</v>
      </c>
      <c r="C2259" s="6" t="s">
        <v>3706</v>
      </c>
      <c r="D2259" s="6" t="s">
        <v>105</v>
      </c>
      <c r="E2259" s="6" t="s">
        <v>52</v>
      </c>
      <c r="F2259" s="6" t="s">
        <v>47</v>
      </c>
      <c r="G2259" s="6" t="s">
        <v>48</v>
      </c>
      <c r="H2259" s="6">
        <v>1</v>
      </c>
      <c r="I2259" s="6" t="s">
        <v>147</v>
      </c>
      <c r="J2259" s="6" t="s">
        <v>147</v>
      </c>
      <c r="K2259" s="6">
        <v>85</v>
      </c>
      <c r="L2259" s="6" t="s">
        <v>33</v>
      </c>
      <c r="M2259" s="6" t="s">
        <v>69</v>
      </c>
    </row>
    <row r="2260" spans="1:13">
      <c r="A2260" s="6" t="s">
        <v>3707</v>
      </c>
      <c r="B2260" s="7">
        <v>46055</v>
      </c>
      <c r="C2260" s="6" t="s">
        <v>3708</v>
      </c>
      <c r="D2260" s="6" t="s">
        <v>127</v>
      </c>
      <c r="E2260" s="6" t="s">
        <v>52</v>
      </c>
      <c r="F2260" s="6" t="s">
        <v>85</v>
      </c>
      <c r="G2260" s="6" t="s">
        <v>86</v>
      </c>
      <c r="H2260" s="6">
        <v>1</v>
      </c>
      <c r="I2260" s="6" t="s">
        <v>90</v>
      </c>
      <c r="J2260" s="6" t="s">
        <v>90</v>
      </c>
      <c r="K2260" s="6">
        <v>410</v>
      </c>
      <c r="L2260" s="6" t="s">
        <v>42</v>
      </c>
      <c r="M2260" s="6" t="s">
        <v>69</v>
      </c>
    </row>
    <row r="2261" spans="1:13">
      <c r="A2261" s="6" t="s">
        <v>3709</v>
      </c>
      <c r="B2261" s="7">
        <v>46166</v>
      </c>
      <c r="C2261" s="6" t="s">
        <v>351</v>
      </c>
      <c r="D2261" s="6" t="s">
        <v>72</v>
      </c>
      <c r="E2261" s="6" t="s">
        <v>28</v>
      </c>
      <c r="F2261" s="6" t="s">
        <v>85</v>
      </c>
      <c r="G2261" s="6" t="s">
        <v>86</v>
      </c>
      <c r="H2261" s="6">
        <v>1</v>
      </c>
      <c r="I2261" s="6" t="s">
        <v>31</v>
      </c>
      <c r="J2261" s="6" t="s">
        <v>31</v>
      </c>
      <c r="K2261" s="6" t="s">
        <v>87</v>
      </c>
      <c r="L2261" s="6" t="s">
        <v>42</v>
      </c>
      <c r="M2261" s="6" t="s">
        <v>34</v>
      </c>
    </row>
    <row r="2262" spans="1:13">
      <c r="A2262" s="6" t="s">
        <v>3710</v>
      </c>
      <c r="B2262" s="7">
        <v>46083</v>
      </c>
      <c r="C2262" s="6" t="s">
        <v>2284</v>
      </c>
      <c r="D2262" s="6" t="s">
        <v>27</v>
      </c>
      <c r="E2262" s="6" t="s">
        <v>78</v>
      </c>
      <c r="F2262" s="6" t="s">
        <v>38</v>
      </c>
      <c r="G2262" s="6" t="s">
        <v>39</v>
      </c>
      <c r="H2262" s="6">
        <v>2</v>
      </c>
      <c r="I2262" s="6" t="s">
        <v>143</v>
      </c>
      <c r="J2262" s="6" t="s">
        <v>327</v>
      </c>
      <c r="K2262" s="6">
        <v>520</v>
      </c>
      <c r="L2262" s="6" t="s">
        <v>42</v>
      </c>
      <c r="M2262" s="6" t="s">
        <v>69</v>
      </c>
    </row>
    <row r="2263" spans="1:13">
      <c r="A2263" s="6" t="s">
        <v>3711</v>
      </c>
      <c r="B2263" s="7">
        <v>46093</v>
      </c>
      <c r="C2263" s="6" t="s">
        <v>1929</v>
      </c>
      <c r="D2263" s="6" t="s">
        <v>105</v>
      </c>
      <c r="E2263" s="6" t="s">
        <v>78</v>
      </c>
      <c r="F2263" s="6" t="s">
        <v>38</v>
      </c>
      <c r="G2263" s="6" t="s">
        <v>39</v>
      </c>
      <c r="H2263" s="6">
        <v>2</v>
      </c>
      <c r="I2263" s="6" t="s">
        <v>96</v>
      </c>
      <c r="J2263" s="6" t="s">
        <v>278</v>
      </c>
      <c r="K2263" s="6">
        <v>520</v>
      </c>
      <c r="L2263" s="6" t="s">
        <v>42</v>
      </c>
      <c r="M2263" s="6" t="s">
        <v>34</v>
      </c>
    </row>
    <row r="2264" spans="1:13">
      <c r="A2264" s="6" t="s">
        <v>3712</v>
      </c>
      <c r="B2264" s="7">
        <v>46169</v>
      </c>
      <c r="C2264" s="6" t="s">
        <v>1861</v>
      </c>
      <c r="D2264" s="6" t="s">
        <v>27</v>
      </c>
      <c r="E2264" s="6" t="s">
        <v>52</v>
      </c>
      <c r="F2264" s="6" t="s">
        <v>47</v>
      </c>
      <c r="G2264" s="6" t="s">
        <v>48</v>
      </c>
      <c r="H2264" s="6">
        <v>2</v>
      </c>
      <c r="I2264" s="6" t="s">
        <v>113</v>
      </c>
      <c r="J2264" s="6" t="s">
        <v>192</v>
      </c>
      <c r="K2264" s="6" t="s">
        <v>49</v>
      </c>
      <c r="L2264" s="6" t="s">
        <v>42</v>
      </c>
      <c r="M2264" s="6" t="s">
        <v>34</v>
      </c>
    </row>
    <row r="2265" spans="1:13">
      <c r="A2265" s="6" t="s">
        <v>3713</v>
      </c>
      <c r="B2265" s="7">
        <v>46069</v>
      </c>
      <c r="C2265" s="6" t="s">
        <v>1257</v>
      </c>
      <c r="D2265" s="6" t="s">
        <v>105</v>
      </c>
      <c r="E2265" s="6" t="s">
        <v>78</v>
      </c>
      <c r="F2265" s="6" t="s">
        <v>58</v>
      </c>
      <c r="G2265" s="6" t="s">
        <v>59</v>
      </c>
      <c r="H2265" s="6">
        <v>3</v>
      </c>
      <c r="I2265" s="6" t="s">
        <v>90</v>
      </c>
      <c r="J2265" s="6" t="s">
        <v>102</v>
      </c>
      <c r="K2265" s="6">
        <v>380</v>
      </c>
      <c r="L2265" s="6" t="s">
        <v>33</v>
      </c>
      <c r="M2265" s="6" t="s">
        <v>34</v>
      </c>
    </row>
    <row r="2266" spans="1:13">
      <c r="A2266" s="6" t="s">
        <v>3714</v>
      </c>
      <c r="B2266" s="7">
        <v>46036</v>
      </c>
      <c r="C2266" s="6" t="s">
        <v>318</v>
      </c>
      <c r="D2266" s="6" t="s">
        <v>72</v>
      </c>
      <c r="E2266" s="6" t="s">
        <v>37</v>
      </c>
      <c r="F2266" s="6" t="s">
        <v>58</v>
      </c>
      <c r="G2266" s="6" t="s">
        <v>59</v>
      </c>
      <c r="H2266" s="6">
        <v>1</v>
      </c>
      <c r="I2266" s="6" t="s">
        <v>143</v>
      </c>
      <c r="J2266" s="6" t="s">
        <v>143</v>
      </c>
      <c r="K2266" s="6">
        <v>380</v>
      </c>
      <c r="L2266" s="6" t="s">
        <v>42</v>
      </c>
      <c r="M2266" s="6" t="s">
        <v>34</v>
      </c>
    </row>
    <row r="2267" spans="1:13">
      <c r="A2267" s="6" t="s">
        <v>3715</v>
      </c>
      <c r="B2267" s="7">
        <v>46090</v>
      </c>
      <c r="C2267" s="6" t="s">
        <v>970</v>
      </c>
      <c r="D2267" s="6" t="s">
        <v>45</v>
      </c>
      <c r="E2267" s="6" t="s">
        <v>78</v>
      </c>
      <c r="F2267" s="6" t="s">
        <v>29</v>
      </c>
      <c r="G2267" s="6" t="s">
        <v>30</v>
      </c>
      <c r="H2267" s="6">
        <v>1</v>
      </c>
      <c r="I2267" s="6" t="s">
        <v>265</v>
      </c>
      <c r="J2267" s="6" t="s">
        <v>265</v>
      </c>
      <c r="K2267" s="6">
        <v>520</v>
      </c>
      <c r="L2267" s="6" t="s">
        <v>33</v>
      </c>
      <c r="M2267" s="6" t="s">
        <v>34</v>
      </c>
    </row>
    <row r="2268" spans="1:13">
      <c r="A2268" s="6" t="s">
        <v>3716</v>
      </c>
      <c r="B2268" s="7">
        <v>46162</v>
      </c>
      <c r="C2268" s="6" t="s">
        <v>2320</v>
      </c>
      <c r="D2268" s="6" t="s">
        <v>105</v>
      </c>
      <c r="E2268" s="6" t="s">
        <v>28</v>
      </c>
      <c r="F2268" s="6" t="s">
        <v>53</v>
      </c>
      <c r="G2268" s="6" t="s">
        <v>54</v>
      </c>
      <c r="H2268" s="6">
        <v>3</v>
      </c>
      <c r="I2268" s="6" t="s">
        <v>147</v>
      </c>
      <c r="J2268" s="6" t="s">
        <v>148</v>
      </c>
      <c r="K2268" s="6" t="s">
        <v>122</v>
      </c>
      <c r="L2268" s="6" t="s">
        <v>33</v>
      </c>
      <c r="M2268" s="6" t="s">
        <v>34</v>
      </c>
    </row>
    <row r="2269" spans="1:13">
      <c r="A2269" s="6" t="s">
        <v>3717</v>
      </c>
      <c r="B2269" s="6" t="s">
        <v>891</v>
      </c>
      <c r="C2269" s="6" t="s">
        <v>683</v>
      </c>
      <c r="D2269" s="6" t="s">
        <v>45</v>
      </c>
      <c r="E2269" s="6" t="s">
        <v>28</v>
      </c>
      <c r="F2269" s="6" t="s">
        <v>29</v>
      </c>
      <c r="G2269" s="6" t="s">
        <v>30</v>
      </c>
      <c r="H2269" s="6">
        <v>2</v>
      </c>
      <c r="I2269" s="6" t="s">
        <v>181</v>
      </c>
      <c r="J2269" s="6" t="s">
        <v>163</v>
      </c>
      <c r="K2269" s="6">
        <v>520</v>
      </c>
      <c r="L2269" s="6" t="s">
        <v>42</v>
      </c>
      <c r="M2269" s="6" t="s">
        <v>69</v>
      </c>
    </row>
    <row r="2270" spans="1:13">
      <c r="A2270" s="6" t="s">
        <v>3718</v>
      </c>
      <c r="B2270" s="7">
        <v>46133</v>
      </c>
      <c r="C2270" s="6" t="s">
        <v>3719</v>
      </c>
      <c r="D2270" s="6" t="s">
        <v>57</v>
      </c>
      <c r="E2270" s="6" t="s">
        <v>78</v>
      </c>
      <c r="F2270" s="6" t="s">
        <v>85</v>
      </c>
      <c r="G2270" s="6" t="s">
        <v>86</v>
      </c>
      <c r="H2270" s="6">
        <v>1</v>
      </c>
      <c r="I2270" s="6" t="s">
        <v>90</v>
      </c>
      <c r="J2270" s="6" t="s">
        <v>90</v>
      </c>
      <c r="K2270" s="6" t="s">
        <v>87</v>
      </c>
      <c r="L2270" s="6" t="s">
        <v>42</v>
      </c>
      <c r="M2270" s="6" t="s">
        <v>34</v>
      </c>
    </row>
    <row r="2271" spans="1:13">
      <c r="A2271" s="6" t="s">
        <v>3720</v>
      </c>
      <c r="B2271" s="7">
        <v>46195</v>
      </c>
      <c r="C2271" s="6" t="s">
        <v>1877</v>
      </c>
      <c r="D2271" s="6" t="s">
        <v>77</v>
      </c>
      <c r="E2271" s="6" t="s">
        <v>52</v>
      </c>
      <c r="F2271" s="6" t="s">
        <v>29</v>
      </c>
      <c r="G2271" s="6" t="s">
        <v>30</v>
      </c>
      <c r="H2271" s="6">
        <v>2</v>
      </c>
      <c r="I2271" s="6" t="s">
        <v>31</v>
      </c>
      <c r="J2271" s="6" t="s">
        <v>249</v>
      </c>
      <c r="K2271" s="6" t="s">
        <v>41</v>
      </c>
      <c r="L2271" s="6" t="s">
        <v>42</v>
      </c>
      <c r="M2271" s="6" t="s">
        <v>69</v>
      </c>
    </row>
    <row r="2272" spans="1:13">
      <c r="A2272" s="6" t="s">
        <v>3721</v>
      </c>
      <c r="B2272" s="7">
        <v>46194</v>
      </c>
      <c r="C2272" s="6" t="s">
        <v>1547</v>
      </c>
      <c r="D2272" s="6" t="s">
        <v>110</v>
      </c>
      <c r="E2272" s="6" t="s">
        <v>52</v>
      </c>
      <c r="F2272" s="6" t="s">
        <v>53</v>
      </c>
      <c r="G2272" s="6" t="s">
        <v>54</v>
      </c>
      <c r="H2272" s="6">
        <v>1</v>
      </c>
      <c r="I2272" s="6" t="s">
        <v>90</v>
      </c>
      <c r="J2272" s="6" t="s">
        <v>90</v>
      </c>
      <c r="K2272" s="6" t="s">
        <v>122</v>
      </c>
      <c r="L2272" s="6" t="s">
        <v>33</v>
      </c>
      <c r="M2272" s="6" t="s">
        <v>34</v>
      </c>
    </row>
    <row r="2273" spans="1:13">
      <c r="A2273" s="6" t="s">
        <v>3722</v>
      </c>
      <c r="B2273" s="7">
        <v>46176</v>
      </c>
      <c r="C2273" s="6" t="s">
        <v>2739</v>
      </c>
      <c r="D2273" s="6" t="s">
        <v>105</v>
      </c>
      <c r="E2273" s="6" t="s">
        <v>37</v>
      </c>
      <c r="F2273" s="6" t="s">
        <v>58</v>
      </c>
      <c r="G2273" s="6" t="s">
        <v>59</v>
      </c>
      <c r="H2273" s="6">
        <v>3</v>
      </c>
      <c r="I2273" s="6" t="s">
        <v>31</v>
      </c>
      <c r="J2273" s="6" t="s">
        <v>337</v>
      </c>
      <c r="K2273" s="6" t="s">
        <v>61</v>
      </c>
      <c r="L2273" s="6" t="s">
        <v>42</v>
      </c>
      <c r="M2273" s="6" t="s">
        <v>34</v>
      </c>
    </row>
    <row r="2274" spans="1:13">
      <c r="A2274" s="6" t="s">
        <v>3723</v>
      </c>
      <c r="B2274" s="6" t="s">
        <v>270</v>
      </c>
      <c r="C2274" s="6" t="s">
        <v>3409</v>
      </c>
      <c r="D2274" s="6" t="s">
        <v>110</v>
      </c>
      <c r="E2274" s="6" t="s">
        <v>46</v>
      </c>
      <c r="F2274" s="6" t="s">
        <v>29</v>
      </c>
      <c r="G2274" s="6" t="s">
        <v>30</v>
      </c>
      <c r="H2274" s="6">
        <v>-1</v>
      </c>
      <c r="I2274" s="6" t="s">
        <v>40</v>
      </c>
      <c r="J2274" s="8" t="s">
        <v>1635</v>
      </c>
      <c r="K2274" s="6" t="s">
        <v>41</v>
      </c>
      <c r="L2274" s="6" t="s">
        <v>33</v>
      </c>
      <c r="M2274" s="6" t="s">
        <v>34</v>
      </c>
    </row>
    <row r="2275" spans="1:13">
      <c r="A2275" s="6" t="s">
        <v>3724</v>
      </c>
      <c r="B2275" s="7">
        <v>46168</v>
      </c>
      <c r="C2275" s="6" t="s">
        <v>427</v>
      </c>
      <c r="D2275" s="6" t="s">
        <v>110</v>
      </c>
      <c r="E2275" s="6" t="s">
        <v>46</v>
      </c>
      <c r="F2275" s="6" t="s">
        <v>38</v>
      </c>
      <c r="G2275" s="6" t="s">
        <v>39</v>
      </c>
      <c r="H2275" s="6">
        <v>1</v>
      </c>
      <c r="I2275" s="6" t="s">
        <v>147</v>
      </c>
      <c r="J2275" s="6" t="s">
        <v>147</v>
      </c>
      <c r="K2275" s="6" t="s">
        <v>41</v>
      </c>
      <c r="L2275" s="6" t="s">
        <v>33</v>
      </c>
      <c r="M2275" s="6" t="s">
        <v>69</v>
      </c>
    </row>
    <row r="2276" spans="1:13">
      <c r="A2276" s="6" t="s">
        <v>3725</v>
      </c>
      <c r="B2276" s="7">
        <v>46137</v>
      </c>
      <c r="C2276" s="6" t="s">
        <v>1309</v>
      </c>
      <c r="D2276" s="6" t="s">
        <v>105</v>
      </c>
      <c r="E2276" s="6" t="s">
        <v>28</v>
      </c>
      <c r="F2276" s="6" t="s">
        <v>47</v>
      </c>
      <c r="G2276" s="6" t="s">
        <v>48</v>
      </c>
      <c r="H2276" s="6">
        <v>2</v>
      </c>
      <c r="I2276" s="6" t="s">
        <v>113</v>
      </c>
      <c r="J2276" s="6" t="s">
        <v>192</v>
      </c>
      <c r="K2276" s="6" t="s">
        <v>49</v>
      </c>
      <c r="L2276" s="6" t="s">
        <v>42</v>
      </c>
      <c r="M2276" s="6" t="s">
        <v>34</v>
      </c>
    </row>
    <row r="2277" spans="1:13">
      <c r="A2277" s="6" t="s">
        <v>3726</v>
      </c>
      <c r="B2277" s="7">
        <v>46147</v>
      </c>
      <c r="C2277" s="6" t="s">
        <v>1702</v>
      </c>
      <c r="D2277" s="6" t="s">
        <v>72</v>
      </c>
      <c r="E2277" s="6" t="s">
        <v>52</v>
      </c>
      <c r="F2277" s="6" t="s">
        <v>29</v>
      </c>
      <c r="G2277" s="6" t="s">
        <v>30</v>
      </c>
      <c r="H2277" s="6">
        <v>1</v>
      </c>
      <c r="I2277" s="6" t="s">
        <v>96</v>
      </c>
      <c r="J2277" s="6" t="s">
        <v>96</v>
      </c>
      <c r="K2277" s="6" t="s">
        <v>41</v>
      </c>
      <c r="L2277" s="6" t="s">
        <v>33</v>
      </c>
      <c r="M2277" s="6" t="s">
        <v>69</v>
      </c>
    </row>
    <row r="2278" spans="1:13">
      <c r="A2278" s="6" t="s">
        <v>3727</v>
      </c>
      <c r="B2278" s="7">
        <v>46042</v>
      </c>
      <c r="C2278" s="6" t="s">
        <v>1001</v>
      </c>
      <c r="D2278" s="6" t="s">
        <v>27</v>
      </c>
      <c r="E2278" s="6" t="s">
        <v>46</v>
      </c>
      <c r="F2278" s="6" t="s">
        <v>47</v>
      </c>
      <c r="G2278" s="6" t="s">
        <v>48</v>
      </c>
      <c r="H2278" s="6">
        <v>3</v>
      </c>
      <c r="I2278" s="6" t="s">
        <v>31</v>
      </c>
      <c r="J2278" s="6" t="s">
        <v>337</v>
      </c>
      <c r="K2278" s="6">
        <v>85</v>
      </c>
      <c r="L2278" s="6" t="s">
        <v>33</v>
      </c>
      <c r="M2278" s="6" t="s">
        <v>34</v>
      </c>
    </row>
    <row r="2279" spans="1:13">
      <c r="A2279" s="6" t="s">
        <v>3728</v>
      </c>
      <c r="B2279" s="7">
        <v>46112</v>
      </c>
      <c r="C2279" s="6" t="s">
        <v>2182</v>
      </c>
      <c r="D2279" s="6" t="s">
        <v>77</v>
      </c>
      <c r="E2279" s="6" t="s">
        <v>28</v>
      </c>
      <c r="F2279" s="6" t="s">
        <v>100</v>
      </c>
      <c r="G2279" s="6" t="s">
        <v>101</v>
      </c>
      <c r="H2279" s="6">
        <v>1</v>
      </c>
      <c r="I2279" s="6" t="s">
        <v>79</v>
      </c>
      <c r="J2279" s="6" t="s">
        <v>79</v>
      </c>
      <c r="K2279" s="6">
        <v>640</v>
      </c>
      <c r="L2279" s="6" t="s">
        <v>42</v>
      </c>
      <c r="M2279" s="6" t="s">
        <v>34</v>
      </c>
    </row>
    <row r="2280" spans="1:13">
      <c r="A2280" s="6" t="s">
        <v>3729</v>
      </c>
      <c r="B2280" s="7">
        <v>46188</v>
      </c>
      <c r="C2280" s="6" t="s">
        <v>888</v>
      </c>
      <c r="D2280" s="6" t="s">
        <v>64</v>
      </c>
      <c r="E2280" s="6" t="s">
        <v>37</v>
      </c>
      <c r="F2280" s="6" t="s">
        <v>29</v>
      </c>
      <c r="G2280" s="6" t="s">
        <v>30</v>
      </c>
      <c r="H2280" s="6">
        <v>3</v>
      </c>
      <c r="I2280" s="6" t="s">
        <v>113</v>
      </c>
      <c r="J2280" s="6" t="s">
        <v>138</v>
      </c>
      <c r="K2280" s="6" t="s">
        <v>41</v>
      </c>
      <c r="L2280" s="6" t="s">
        <v>33</v>
      </c>
      <c r="M2280" s="6" t="s">
        <v>34</v>
      </c>
    </row>
    <row r="2281" spans="1:13">
      <c r="A2281" s="6" t="s">
        <v>3730</v>
      </c>
      <c r="B2281" s="7">
        <v>46150</v>
      </c>
      <c r="C2281" s="6" t="s">
        <v>284</v>
      </c>
      <c r="D2281" s="6" t="s">
        <v>72</v>
      </c>
      <c r="E2281" s="6" t="s">
        <v>28</v>
      </c>
      <c r="F2281" s="6" t="s">
        <v>38</v>
      </c>
      <c r="G2281" s="6" t="s">
        <v>39</v>
      </c>
      <c r="H2281" s="6">
        <v>3</v>
      </c>
      <c r="I2281" s="6" t="s">
        <v>82</v>
      </c>
      <c r="J2281" s="6" t="s">
        <v>390</v>
      </c>
      <c r="K2281" s="6" t="s">
        <v>41</v>
      </c>
      <c r="L2281" s="6" t="s">
        <v>42</v>
      </c>
      <c r="M2281" s="6" t="s">
        <v>34</v>
      </c>
    </row>
    <row r="2282" spans="1:13">
      <c r="A2282" s="6" t="s">
        <v>3731</v>
      </c>
      <c r="B2282" s="7">
        <v>46040</v>
      </c>
      <c r="C2282" s="6" t="s">
        <v>1190</v>
      </c>
      <c r="D2282" s="6" t="s">
        <v>64</v>
      </c>
      <c r="E2282" s="6" t="s">
        <v>78</v>
      </c>
      <c r="F2282" s="6" t="s">
        <v>38</v>
      </c>
      <c r="G2282" s="6" t="s">
        <v>39</v>
      </c>
      <c r="H2282" s="6">
        <v>1</v>
      </c>
      <c r="I2282" s="6" t="s">
        <v>147</v>
      </c>
      <c r="J2282" s="6" t="s">
        <v>147</v>
      </c>
      <c r="K2282" s="6">
        <v>520</v>
      </c>
      <c r="L2282" s="6" t="s">
        <v>42</v>
      </c>
      <c r="M2282" s="6" t="s">
        <v>34</v>
      </c>
    </row>
    <row r="2283" spans="1:13">
      <c r="A2283" s="6" t="s">
        <v>3732</v>
      </c>
      <c r="B2283" s="7">
        <v>46167</v>
      </c>
      <c r="C2283" s="6" t="s">
        <v>427</v>
      </c>
      <c r="D2283" s="6" t="s">
        <v>105</v>
      </c>
      <c r="E2283" s="6" t="s">
        <v>78</v>
      </c>
      <c r="F2283" s="6" t="s">
        <v>29</v>
      </c>
      <c r="G2283" s="6" t="s">
        <v>30</v>
      </c>
      <c r="H2283" s="6">
        <v>3</v>
      </c>
      <c r="I2283" s="6" t="s">
        <v>117</v>
      </c>
      <c r="J2283" s="6" t="s">
        <v>171</v>
      </c>
      <c r="K2283" s="6" t="s">
        <v>41</v>
      </c>
      <c r="L2283" s="6" t="s">
        <v>42</v>
      </c>
      <c r="M2283" s="6" t="s">
        <v>34</v>
      </c>
    </row>
    <row r="2284" spans="1:13">
      <c r="A2284" s="6" t="s">
        <v>3733</v>
      </c>
      <c r="B2284" s="7">
        <v>46064</v>
      </c>
      <c r="C2284" s="6" t="s">
        <v>3734</v>
      </c>
      <c r="D2284" s="6" t="s">
        <v>77</v>
      </c>
      <c r="E2284" s="6" t="s">
        <v>78</v>
      </c>
      <c r="F2284" s="6" t="s">
        <v>58</v>
      </c>
      <c r="G2284" s="6" t="s">
        <v>59</v>
      </c>
      <c r="H2284" s="6">
        <v>3</v>
      </c>
      <c r="I2284" s="6" t="s">
        <v>117</v>
      </c>
      <c r="J2284" s="6" t="s">
        <v>171</v>
      </c>
      <c r="K2284" s="6">
        <v>380</v>
      </c>
      <c r="L2284" s="6" t="s">
        <v>42</v>
      </c>
      <c r="M2284" s="6" t="s">
        <v>69</v>
      </c>
    </row>
    <row r="2285" spans="1:13">
      <c r="A2285" s="6" t="s">
        <v>3735</v>
      </c>
      <c r="B2285" s="7">
        <v>46081</v>
      </c>
      <c r="C2285" s="6" t="s">
        <v>2534</v>
      </c>
      <c r="D2285" s="6" t="s">
        <v>45</v>
      </c>
      <c r="E2285" s="6" t="s">
        <v>46</v>
      </c>
      <c r="F2285" s="6" t="s">
        <v>58</v>
      </c>
      <c r="G2285" s="6" t="s">
        <v>59</v>
      </c>
      <c r="H2285" s="6">
        <v>2</v>
      </c>
      <c r="I2285" s="6" t="s">
        <v>73</v>
      </c>
      <c r="J2285" s="6" t="s">
        <v>74</v>
      </c>
      <c r="K2285" s="6">
        <v>380</v>
      </c>
      <c r="L2285" s="6" t="s">
        <v>33</v>
      </c>
      <c r="M2285" s="6" t="s">
        <v>34</v>
      </c>
    </row>
    <row r="2286" spans="1:13">
      <c r="A2286" s="6" t="s">
        <v>3736</v>
      </c>
      <c r="B2286" s="7">
        <v>46062</v>
      </c>
      <c r="C2286" s="6" t="s">
        <v>3737</v>
      </c>
      <c r="D2286" s="6" t="s">
        <v>77</v>
      </c>
      <c r="E2286" s="6" t="s">
        <v>28</v>
      </c>
      <c r="F2286" s="6" t="s">
        <v>100</v>
      </c>
      <c r="G2286" s="6" t="s">
        <v>101</v>
      </c>
      <c r="H2286" s="6">
        <v>1</v>
      </c>
      <c r="I2286" s="6" t="s">
        <v>90</v>
      </c>
      <c r="J2286" s="6" t="s">
        <v>90</v>
      </c>
      <c r="K2286" s="6">
        <v>640</v>
      </c>
      <c r="L2286" s="6" t="s">
        <v>42</v>
      </c>
      <c r="M2286" s="6" t="s">
        <v>34</v>
      </c>
    </row>
    <row r="2287" spans="1:13">
      <c r="A2287" s="6" t="s">
        <v>3738</v>
      </c>
      <c r="B2287" s="7">
        <v>46203</v>
      </c>
      <c r="C2287" s="6" t="s">
        <v>1275</v>
      </c>
      <c r="D2287" s="6" t="s">
        <v>110</v>
      </c>
      <c r="E2287" s="6" t="s">
        <v>78</v>
      </c>
      <c r="F2287" s="6" t="s">
        <v>38</v>
      </c>
      <c r="G2287" s="6" t="s">
        <v>39</v>
      </c>
      <c r="H2287" s="6">
        <v>1</v>
      </c>
      <c r="I2287" s="6" t="s">
        <v>181</v>
      </c>
      <c r="J2287" s="6" t="s">
        <v>181</v>
      </c>
      <c r="K2287" s="6" t="s">
        <v>41</v>
      </c>
      <c r="L2287" s="6" t="s">
        <v>42</v>
      </c>
      <c r="M2287" s="6" t="s">
        <v>69</v>
      </c>
    </row>
    <row r="2288" spans="1:13">
      <c r="A2288" s="6" t="s">
        <v>3739</v>
      </c>
      <c r="B2288" s="7">
        <v>46195</v>
      </c>
      <c r="C2288" s="6" t="s">
        <v>3740</v>
      </c>
      <c r="D2288" s="6" t="s">
        <v>27</v>
      </c>
      <c r="E2288" s="6" t="s">
        <v>28</v>
      </c>
      <c r="F2288" s="6" t="s">
        <v>47</v>
      </c>
      <c r="G2288" s="6" t="s">
        <v>48</v>
      </c>
      <c r="H2288" s="6">
        <v>2</v>
      </c>
      <c r="I2288" s="6" t="s">
        <v>90</v>
      </c>
      <c r="J2288" s="6" t="s">
        <v>154</v>
      </c>
      <c r="K2288" s="6" t="s">
        <v>49</v>
      </c>
      <c r="L2288" s="6" t="s">
        <v>42</v>
      </c>
      <c r="M2288" s="6" t="s">
        <v>34</v>
      </c>
    </row>
    <row r="2289" spans="1:13">
      <c r="A2289" s="6" t="s">
        <v>3741</v>
      </c>
      <c r="B2289" s="7">
        <v>46097</v>
      </c>
      <c r="C2289" s="6" t="s">
        <v>884</v>
      </c>
      <c r="D2289" s="6" t="s">
        <v>27</v>
      </c>
      <c r="E2289" s="6" t="s">
        <v>78</v>
      </c>
      <c r="F2289" s="6" t="s">
        <v>47</v>
      </c>
      <c r="G2289" s="6" t="s">
        <v>48</v>
      </c>
      <c r="H2289" s="6">
        <v>2</v>
      </c>
      <c r="I2289" s="6" t="s">
        <v>73</v>
      </c>
      <c r="J2289" s="6" t="s">
        <v>74</v>
      </c>
      <c r="K2289" s="6">
        <v>85</v>
      </c>
      <c r="L2289" s="6" t="s">
        <v>42</v>
      </c>
      <c r="M2289" s="6" t="s">
        <v>34</v>
      </c>
    </row>
    <row r="2290" spans="1:13">
      <c r="A2290" s="6" t="s">
        <v>3742</v>
      </c>
      <c r="B2290" s="7">
        <v>46141</v>
      </c>
      <c r="C2290" s="6" t="s">
        <v>191</v>
      </c>
      <c r="D2290" s="6" t="s">
        <v>27</v>
      </c>
      <c r="E2290" s="6" t="s">
        <v>46</v>
      </c>
      <c r="F2290" s="6" t="s">
        <v>100</v>
      </c>
      <c r="G2290" s="6" t="s">
        <v>101</v>
      </c>
      <c r="H2290" s="6">
        <v>1</v>
      </c>
      <c r="I2290" s="6" t="s">
        <v>117</v>
      </c>
      <c r="J2290" s="6" t="s">
        <v>117</v>
      </c>
      <c r="K2290" s="6" t="s">
        <v>119</v>
      </c>
      <c r="L2290" s="6" t="s">
        <v>42</v>
      </c>
      <c r="M2290" s="6" t="s">
        <v>34</v>
      </c>
    </row>
    <row r="2291" spans="1:13">
      <c r="A2291" s="6" t="s">
        <v>3743</v>
      </c>
      <c r="B2291" s="7">
        <v>46093</v>
      </c>
      <c r="C2291" s="6" t="s">
        <v>1964</v>
      </c>
      <c r="D2291" s="6" t="s">
        <v>57</v>
      </c>
      <c r="E2291" s="6" t="s">
        <v>37</v>
      </c>
      <c r="F2291" s="6" t="s">
        <v>47</v>
      </c>
      <c r="G2291" s="6" t="s">
        <v>48</v>
      </c>
      <c r="H2291" s="6">
        <v>2</v>
      </c>
      <c r="I2291" s="6" t="s">
        <v>60</v>
      </c>
      <c r="J2291" s="6" t="s">
        <v>189</v>
      </c>
      <c r="K2291" s="6">
        <v>85</v>
      </c>
      <c r="L2291" s="6" t="s">
        <v>33</v>
      </c>
      <c r="M2291" s="6" t="s">
        <v>34</v>
      </c>
    </row>
    <row r="2292" spans="1:13">
      <c r="A2292" s="6" t="s">
        <v>3744</v>
      </c>
      <c r="B2292" s="7">
        <v>46107</v>
      </c>
      <c r="C2292" s="6" t="s">
        <v>1168</v>
      </c>
      <c r="D2292" s="6" t="s">
        <v>45</v>
      </c>
      <c r="E2292" s="6" t="s">
        <v>37</v>
      </c>
      <c r="F2292" s="6" t="s">
        <v>94</v>
      </c>
      <c r="G2292" s="6" t="s">
        <v>95</v>
      </c>
      <c r="H2292" s="6">
        <v>1</v>
      </c>
      <c r="I2292" s="6" t="s">
        <v>265</v>
      </c>
      <c r="J2292" s="6" t="s">
        <v>265</v>
      </c>
      <c r="K2292" s="6">
        <v>340</v>
      </c>
      <c r="L2292" s="6" t="s">
        <v>42</v>
      </c>
      <c r="M2292" s="6" t="s">
        <v>34</v>
      </c>
    </row>
    <row r="2293" spans="1:13">
      <c r="A2293" s="6" t="s">
        <v>3745</v>
      </c>
      <c r="B2293" s="7">
        <v>46197</v>
      </c>
      <c r="C2293" s="6" t="s">
        <v>1059</v>
      </c>
      <c r="D2293" s="6" t="s">
        <v>105</v>
      </c>
      <c r="E2293" s="6" t="s">
        <v>78</v>
      </c>
      <c r="F2293" s="6" t="s">
        <v>85</v>
      </c>
      <c r="G2293" s="6" t="s">
        <v>86</v>
      </c>
      <c r="H2293" s="6">
        <v>3</v>
      </c>
      <c r="I2293" s="6" t="s">
        <v>265</v>
      </c>
      <c r="J2293" s="6" t="s">
        <v>401</v>
      </c>
      <c r="K2293" s="6" t="s">
        <v>87</v>
      </c>
      <c r="L2293" s="6" t="s">
        <v>42</v>
      </c>
      <c r="M2293" s="6" t="s">
        <v>34</v>
      </c>
    </row>
    <row r="2294" spans="1:13">
      <c r="A2294" s="6" t="s">
        <v>3746</v>
      </c>
      <c r="B2294" s="7">
        <v>46120</v>
      </c>
      <c r="C2294" s="6" t="s">
        <v>1323</v>
      </c>
      <c r="D2294" s="6" t="s">
        <v>27</v>
      </c>
      <c r="E2294" s="6" t="s">
        <v>78</v>
      </c>
      <c r="F2294" s="6" t="s">
        <v>47</v>
      </c>
      <c r="G2294" s="6" t="s">
        <v>48</v>
      </c>
      <c r="H2294" s="6">
        <v>2</v>
      </c>
      <c r="I2294" s="6" t="s">
        <v>231</v>
      </c>
      <c r="J2294" s="6" t="s">
        <v>232</v>
      </c>
      <c r="K2294" s="6">
        <v>85</v>
      </c>
      <c r="L2294" s="6" t="s">
        <v>42</v>
      </c>
      <c r="M2294" s="6" t="s">
        <v>34</v>
      </c>
    </row>
    <row r="2295" spans="1:13">
      <c r="A2295" s="6" t="s">
        <v>3747</v>
      </c>
      <c r="B2295" s="7">
        <v>46206</v>
      </c>
      <c r="C2295" s="6" t="s">
        <v>3748</v>
      </c>
      <c r="D2295" s="6" t="s">
        <v>127</v>
      </c>
      <c r="E2295" s="6" t="s">
        <v>28</v>
      </c>
      <c r="F2295" s="6" t="s">
        <v>47</v>
      </c>
      <c r="G2295" s="6" t="s">
        <v>48</v>
      </c>
      <c r="H2295" s="6">
        <v>1</v>
      </c>
      <c r="I2295" s="6" t="s">
        <v>79</v>
      </c>
      <c r="J2295" s="6" t="s">
        <v>79</v>
      </c>
      <c r="K2295" s="6" t="s">
        <v>49</v>
      </c>
      <c r="L2295" s="6" t="s">
        <v>42</v>
      </c>
      <c r="M2295" s="6" t="s">
        <v>34</v>
      </c>
    </row>
    <row r="2296" spans="1:13">
      <c r="A2296" s="6" t="s">
        <v>3749</v>
      </c>
      <c r="B2296" s="7">
        <v>46060</v>
      </c>
      <c r="C2296" s="6" t="s">
        <v>951</v>
      </c>
      <c r="D2296" s="6" t="s">
        <v>72</v>
      </c>
      <c r="E2296" s="6" t="s">
        <v>37</v>
      </c>
      <c r="F2296" s="6" t="s">
        <v>53</v>
      </c>
      <c r="G2296" s="6" t="s">
        <v>54</v>
      </c>
      <c r="H2296" s="6">
        <v>2</v>
      </c>
      <c r="I2296" s="6" t="s">
        <v>117</v>
      </c>
      <c r="J2296" s="6" t="s">
        <v>118</v>
      </c>
      <c r="K2296" s="6">
        <v>190</v>
      </c>
      <c r="L2296" s="6" t="s">
        <v>33</v>
      </c>
      <c r="M2296" s="6" t="s">
        <v>69</v>
      </c>
    </row>
    <row r="2297" spans="1:13">
      <c r="A2297" s="6" t="s">
        <v>3750</v>
      </c>
      <c r="B2297" s="7">
        <v>46089</v>
      </c>
      <c r="C2297" s="6" t="s">
        <v>3751</v>
      </c>
      <c r="D2297" s="6" t="s">
        <v>127</v>
      </c>
      <c r="E2297" s="6" t="s">
        <v>28</v>
      </c>
      <c r="F2297" s="6" t="s">
        <v>38</v>
      </c>
      <c r="G2297" s="6" t="s">
        <v>39</v>
      </c>
      <c r="H2297" s="6">
        <v>2</v>
      </c>
      <c r="I2297" s="6" t="s">
        <v>117</v>
      </c>
      <c r="J2297" s="6" t="s">
        <v>118</v>
      </c>
      <c r="K2297" s="6">
        <v>520</v>
      </c>
      <c r="L2297" s="6" t="s">
        <v>42</v>
      </c>
      <c r="M2297" s="6" t="s">
        <v>69</v>
      </c>
    </row>
    <row r="2298" spans="1:13">
      <c r="A2298" s="6" t="s">
        <v>3752</v>
      </c>
      <c r="B2298" s="7">
        <v>46185</v>
      </c>
      <c r="C2298" s="6" t="s">
        <v>1734</v>
      </c>
      <c r="D2298" s="6" t="s">
        <v>77</v>
      </c>
      <c r="E2298" s="6" t="s">
        <v>78</v>
      </c>
      <c r="F2298" s="6" t="s">
        <v>53</v>
      </c>
      <c r="G2298" s="6" t="s">
        <v>54</v>
      </c>
      <c r="H2298" s="6">
        <v>3</v>
      </c>
      <c r="I2298" s="6" t="s">
        <v>143</v>
      </c>
      <c r="J2298" s="6" t="s">
        <v>243</v>
      </c>
      <c r="K2298" s="6" t="s">
        <v>122</v>
      </c>
      <c r="L2298" s="6" t="s">
        <v>42</v>
      </c>
      <c r="M2298" s="6" t="s">
        <v>34</v>
      </c>
    </row>
    <row r="2299" spans="1:13">
      <c r="A2299" s="6" t="s">
        <v>3753</v>
      </c>
      <c r="B2299" s="7">
        <v>46113</v>
      </c>
      <c r="C2299" s="6" t="s">
        <v>2638</v>
      </c>
      <c r="D2299" s="6" t="s">
        <v>27</v>
      </c>
      <c r="E2299" s="6" t="s">
        <v>52</v>
      </c>
      <c r="F2299" s="6" t="s">
        <v>94</v>
      </c>
      <c r="G2299" s="6" t="s">
        <v>95</v>
      </c>
      <c r="H2299" s="6">
        <v>2</v>
      </c>
      <c r="I2299" s="6" t="s">
        <v>113</v>
      </c>
      <c r="J2299" s="6" t="s">
        <v>192</v>
      </c>
      <c r="K2299" s="6">
        <v>340</v>
      </c>
      <c r="L2299" s="6" t="s">
        <v>42</v>
      </c>
      <c r="M2299" s="6" t="s">
        <v>34</v>
      </c>
    </row>
    <row r="2300" spans="1:13">
      <c r="A2300" s="6" t="s">
        <v>3754</v>
      </c>
      <c r="B2300" s="7">
        <v>46171</v>
      </c>
      <c r="C2300" s="6" t="s">
        <v>1081</v>
      </c>
      <c r="D2300" s="6" t="s">
        <v>45</v>
      </c>
      <c r="E2300" s="6" t="s">
        <v>78</v>
      </c>
      <c r="F2300" s="6" t="s">
        <v>85</v>
      </c>
      <c r="G2300" s="6" t="s">
        <v>86</v>
      </c>
      <c r="H2300" s="6">
        <v>1</v>
      </c>
      <c r="I2300" s="6" t="s">
        <v>82</v>
      </c>
      <c r="J2300" s="6" t="s">
        <v>82</v>
      </c>
      <c r="K2300" s="6" t="s">
        <v>87</v>
      </c>
      <c r="L2300" s="6" t="s">
        <v>42</v>
      </c>
      <c r="M2300" s="6" t="s">
        <v>34</v>
      </c>
    </row>
    <row r="2301" spans="1:13">
      <c r="A2301" s="6" t="s">
        <v>3755</v>
      </c>
      <c r="B2301" s="7">
        <v>46028</v>
      </c>
      <c r="C2301" s="6" t="s">
        <v>1332</v>
      </c>
      <c r="D2301" s="6" t="s">
        <v>110</v>
      </c>
      <c r="E2301" s="6" t="s">
        <v>52</v>
      </c>
      <c r="F2301" s="6" t="s">
        <v>29</v>
      </c>
      <c r="G2301" s="6" t="s">
        <v>30</v>
      </c>
      <c r="H2301" s="6">
        <v>2</v>
      </c>
      <c r="I2301" s="6" t="s">
        <v>79</v>
      </c>
      <c r="J2301" s="6" t="s">
        <v>259</v>
      </c>
      <c r="K2301" s="6">
        <v>520</v>
      </c>
      <c r="L2301" s="6" t="s">
        <v>42</v>
      </c>
      <c r="M2301" s="6" t="s">
        <v>34</v>
      </c>
    </row>
    <row r="2302" spans="1:13">
      <c r="A2302" s="6" t="s">
        <v>3756</v>
      </c>
      <c r="B2302" s="7">
        <v>46063</v>
      </c>
      <c r="C2302" s="6" t="s">
        <v>2484</v>
      </c>
      <c r="D2302" s="6" t="s">
        <v>27</v>
      </c>
      <c r="E2302" s="6" t="s">
        <v>28</v>
      </c>
      <c r="F2302" s="6" t="s">
        <v>94</v>
      </c>
      <c r="G2302" s="6" t="s">
        <v>95</v>
      </c>
      <c r="H2302" s="6">
        <v>3</v>
      </c>
      <c r="I2302" s="6" t="s">
        <v>79</v>
      </c>
      <c r="J2302" s="6" t="s">
        <v>216</v>
      </c>
      <c r="K2302" s="6">
        <v>340</v>
      </c>
      <c r="L2302" s="6" t="s">
        <v>42</v>
      </c>
      <c r="M2302" s="6" t="s">
        <v>34</v>
      </c>
    </row>
    <row r="2303" spans="1:13">
      <c r="A2303" s="6" t="s">
        <v>3757</v>
      </c>
      <c r="B2303" s="7">
        <v>46041</v>
      </c>
      <c r="C2303" s="6" t="s">
        <v>1286</v>
      </c>
      <c r="D2303" s="6" t="s">
        <v>57</v>
      </c>
      <c r="E2303" s="6" t="s">
        <v>52</v>
      </c>
      <c r="F2303" s="6" t="s">
        <v>38</v>
      </c>
      <c r="G2303" s="6" t="s">
        <v>39</v>
      </c>
      <c r="H2303" s="6">
        <v>1</v>
      </c>
      <c r="I2303" s="6" t="s">
        <v>31</v>
      </c>
      <c r="J2303" s="6" t="s">
        <v>31</v>
      </c>
      <c r="K2303" s="6">
        <v>520</v>
      </c>
      <c r="L2303" s="6" t="s">
        <v>42</v>
      </c>
      <c r="M2303" s="6" t="s">
        <v>34</v>
      </c>
    </row>
    <row r="2304" spans="1:13">
      <c r="A2304" s="6" t="s">
        <v>3758</v>
      </c>
      <c r="B2304" s="7">
        <v>46032</v>
      </c>
      <c r="C2304" s="6" t="s">
        <v>990</v>
      </c>
      <c r="D2304" s="6" t="s">
        <v>72</v>
      </c>
      <c r="E2304" s="6" t="s">
        <v>78</v>
      </c>
      <c r="F2304" s="6" t="s">
        <v>38</v>
      </c>
      <c r="G2304" s="6" t="s">
        <v>39</v>
      </c>
      <c r="H2304" s="6">
        <v>3</v>
      </c>
      <c r="I2304" s="6" t="s">
        <v>31</v>
      </c>
      <c r="J2304" s="6" t="s">
        <v>337</v>
      </c>
      <c r="K2304" s="6">
        <v>520</v>
      </c>
      <c r="L2304" s="6" t="s">
        <v>33</v>
      </c>
      <c r="M2304" s="6" t="s">
        <v>69</v>
      </c>
    </row>
    <row r="2305" spans="1:13">
      <c r="A2305" s="6" t="s">
        <v>3759</v>
      </c>
      <c r="B2305" s="7">
        <v>46143</v>
      </c>
      <c r="C2305" s="6" t="s">
        <v>202</v>
      </c>
      <c r="D2305" s="6" t="s">
        <v>105</v>
      </c>
      <c r="E2305" s="6" t="s">
        <v>52</v>
      </c>
      <c r="F2305" s="6" t="s">
        <v>94</v>
      </c>
      <c r="G2305" s="6" t="s">
        <v>95</v>
      </c>
      <c r="H2305" s="6">
        <v>-2</v>
      </c>
      <c r="I2305" s="6" t="s">
        <v>31</v>
      </c>
      <c r="J2305" s="8" t="s">
        <v>159</v>
      </c>
      <c r="K2305" s="6" t="s">
        <v>114</v>
      </c>
      <c r="L2305" s="6" t="s">
        <v>33</v>
      </c>
      <c r="M2305" s="6" t="s">
        <v>69</v>
      </c>
    </row>
    <row r="2306" spans="1:13">
      <c r="A2306" s="6" t="s">
        <v>3760</v>
      </c>
      <c r="B2306" s="7">
        <v>46052</v>
      </c>
      <c r="C2306" s="6" t="s">
        <v>564</v>
      </c>
      <c r="D2306" s="6" t="s">
        <v>45</v>
      </c>
      <c r="E2306" s="6" t="s">
        <v>46</v>
      </c>
      <c r="F2306" s="6" t="s">
        <v>94</v>
      </c>
      <c r="G2306" s="6" t="s">
        <v>95</v>
      </c>
      <c r="H2306" s="6">
        <v>1</v>
      </c>
      <c r="I2306" s="6" t="s">
        <v>79</v>
      </c>
      <c r="J2306" s="6" t="s">
        <v>79</v>
      </c>
      <c r="K2306" s="6">
        <v>340</v>
      </c>
      <c r="L2306" s="6" t="s">
        <v>33</v>
      </c>
      <c r="M2306" s="6" t="s">
        <v>34</v>
      </c>
    </row>
    <row r="2307" spans="1:13">
      <c r="A2307" s="6" t="s">
        <v>3761</v>
      </c>
      <c r="B2307" s="7">
        <v>46051</v>
      </c>
      <c r="C2307" s="6" t="s">
        <v>3762</v>
      </c>
      <c r="D2307" s="6" t="s">
        <v>27</v>
      </c>
      <c r="E2307" s="6" t="s">
        <v>52</v>
      </c>
      <c r="F2307" s="6" t="s">
        <v>47</v>
      </c>
      <c r="G2307" s="6" t="s">
        <v>48</v>
      </c>
      <c r="H2307" s="6">
        <v>3</v>
      </c>
      <c r="I2307" s="6" t="s">
        <v>79</v>
      </c>
      <c r="J2307" s="6" t="s">
        <v>216</v>
      </c>
      <c r="K2307" s="6">
        <v>85</v>
      </c>
      <c r="L2307" s="6" t="s">
        <v>33</v>
      </c>
      <c r="M2307" s="6" t="s">
        <v>34</v>
      </c>
    </row>
    <row r="2308" spans="1:13">
      <c r="A2308" s="6" t="s">
        <v>3763</v>
      </c>
      <c r="B2308" s="7">
        <v>46063</v>
      </c>
      <c r="C2308" s="6" t="s">
        <v>1286</v>
      </c>
      <c r="D2308" s="6" t="s">
        <v>27</v>
      </c>
      <c r="E2308" s="6" t="s">
        <v>78</v>
      </c>
      <c r="F2308" s="6" t="s">
        <v>47</v>
      </c>
      <c r="G2308" s="6" t="s">
        <v>48</v>
      </c>
      <c r="H2308" s="6">
        <v>2</v>
      </c>
      <c r="I2308" s="6" t="s">
        <v>113</v>
      </c>
      <c r="J2308" s="6" t="s">
        <v>192</v>
      </c>
      <c r="K2308" s="6">
        <v>85</v>
      </c>
      <c r="L2308" s="6" t="s">
        <v>42</v>
      </c>
      <c r="M2308" s="6" t="s">
        <v>34</v>
      </c>
    </row>
    <row r="2309" spans="1:13">
      <c r="A2309" s="6" t="s">
        <v>3764</v>
      </c>
      <c r="B2309" s="7">
        <v>46088</v>
      </c>
      <c r="C2309" s="6" t="s">
        <v>36</v>
      </c>
      <c r="D2309" s="6" t="s">
        <v>57</v>
      </c>
      <c r="E2309" s="6" t="s">
        <v>78</v>
      </c>
      <c r="F2309" s="6" t="s">
        <v>29</v>
      </c>
      <c r="G2309" s="6" t="s">
        <v>30</v>
      </c>
      <c r="H2309" s="6">
        <v>2</v>
      </c>
      <c r="I2309" s="6" t="s">
        <v>113</v>
      </c>
      <c r="J2309" s="6" t="s">
        <v>192</v>
      </c>
      <c r="K2309" s="6" t="s">
        <v>41</v>
      </c>
      <c r="L2309" s="6" t="s">
        <v>33</v>
      </c>
      <c r="M2309" s="6" t="s">
        <v>34</v>
      </c>
    </row>
    <row r="2310" spans="1:13">
      <c r="A2310" s="6" t="s">
        <v>3765</v>
      </c>
      <c r="B2310" s="7">
        <v>46175</v>
      </c>
      <c r="C2310" s="6" t="s">
        <v>427</v>
      </c>
      <c r="D2310" s="6" t="s">
        <v>105</v>
      </c>
      <c r="E2310" s="6" t="s">
        <v>46</v>
      </c>
      <c r="F2310" s="6" t="s">
        <v>38</v>
      </c>
      <c r="G2310" s="6" t="s">
        <v>39</v>
      </c>
      <c r="H2310" s="6">
        <v>2</v>
      </c>
      <c r="I2310" s="6" t="s">
        <v>31</v>
      </c>
      <c r="J2310" s="6" t="s">
        <v>249</v>
      </c>
      <c r="K2310" s="6" t="s">
        <v>41</v>
      </c>
      <c r="L2310" s="6" t="s">
        <v>42</v>
      </c>
      <c r="M2310" s="6" t="s">
        <v>69</v>
      </c>
    </row>
    <row r="2311" spans="1:13">
      <c r="A2311" s="6" t="s">
        <v>3766</v>
      </c>
      <c r="B2311" s="7">
        <v>46060</v>
      </c>
      <c r="C2311" s="6" t="s">
        <v>735</v>
      </c>
      <c r="D2311" s="6" t="s">
        <v>57</v>
      </c>
      <c r="E2311" s="6" t="s">
        <v>46</v>
      </c>
      <c r="F2311" s="6" t="s">
        <v>38</v>
      </c>
      <c r="G2311" s="6" t="s">
        <v>39</v>
      </c>
      <c r="H2311" s="6">
        <v>3</v>
      </c>
      <c r="I2311" s="6" t="s">
        <v>31</v>
      </c>
      <c r="J2311" s="6" t="s">
        <v>337</v>
      </c>
      <c r="K2311" s="6">
        <v>520</v>
      </c>
      <c r="L2311" s="6" t="s">
        <v>42</v>
      </c>
      <c r="M2311" s="6" t="s">
        <v>69</v>
      </c>
    </row>
    <row r="2312" spans="1:13">
      <c r="A2312" s="6" t="s">
        <v>3767</v>
      </c>
      <c r="B2312" s="7">
        <v>46032</v>
      </c>
      <c r="C2312" s="6" t="s">
        <v>433</v>
      </c>
      <c r="D2312" s="6" t="s">
        <v>110</v>
      </c>
      <c r="E2312" s="6" t="s">
        <v>37</v>
      </c>
      <c r="F2312" s="6" t="s">
        <v>38</v>
      </c>
      <c r="G2312" s="6" t="s">
        <v>39</v>
      </c>
      <c r="H2312" s="6">
        <v>3</v>
      </c>
      <c r="I2312" s="6" t="s">
        <v>67</v>
      </c>
      <c r="J2312" s="6" t="s">
        <v>68</v>
      </c>
      <c r="K2312" s="6">
        <v>520</v>
      </c>
      <c r="L2312" s="6" t="s">
        <v>33</v>
      </c>
      <c r="M2312" s="6" t="s">
        <v>69</v>
      </c>
    </row>
    <row r="2313" spans="1:13">
      <c r="A2313" s="6" t="s">
        <v>3768</v>
      </c>
      <c r="B2313" s="7">
        <v>46149</v>
      </c>
      <c r="C2313" s="6" t="s">
        <v>296</v>
      </c>
      <c r="D2313" s="6" t="s">
        <v>77</v>
      </c>
      <c r="E2313" s="6" t="s">
        <v>28</v>
      </c>
      <c r="F2313" s="6" t="s">
        <v>100</v>
      </c>
      <c r="G2313" s="6" t="s">
        <v>101</v>
      </c>
      <c r="H2313" s="6">
        <v>1</v>
      </c>
      <c r="I2313" s="6" t="s">
        <v>265</v>
      </c>
      <c r="J2313" s="6" t="s">
        <v>265</v>
      </c>
      <c r="K2313" s="6" t="s">
        <v>119</v>
      </c>
      <c r="L2313" s="6" t="s">
        <v>33</v>
      </c>
      <c r="M2313" s="6" t="s">
        <v>34</v>
      </c>
    </row>
    <row r="2314" spans="1:13">
      <c r="A2314" s="6" t="s">
        <v>3769</v>
      </c>
      <c r="B2314" s="7">
        <v>46175</v>
      </c>
      <c r="C2314" s="6" t="s">
        <v>3770</v>
      </c>
      <c r="D2314" s="6" t="s">
        <v>72</v>
      </c>
      <c r="E2314" s="6" t="s">
        <v>37</v>
      </c>
      <c r="F2314" s="6" t="s">
        <v>58</v>
      </c>
      <c r="G2314" s="6" t="s">
        <v>59</v>
      </c>
      <c r="H2314" s="6">
        <v>1</v>
      </c>
      <c r="I2314" s="6" t="s">
        <v>231</v>
      </c>
      <c r="J2314" s="6" t="s">
        <v>231</v>
      </c>
      <c r="K2314" s="6">
        <v>380</v>
      </c>
      <c r="L2314" s="6" t="s">
        <v>42</v>
      </c>
      <c r="M2314" s="6" t="s">
        <v>69</v>
      </c>
    </row>
    <row r="2315" spans="1:13">
      <c r="A2315" s="6" t="s">
        <v>3771</v>
      </c>
      <c r="B2315" s="7">
        <v>46174</v>
      </c>
      <c r="C2315" s="6" t="s">
        <v>1428</v>
      </c>
      <c r="D2315" s="6" t="s">
        <v>57</v>
      </c>
      <c r="E2315" s="6" t="s">
        <v>78</v>
      </c>
      <c r="F2315" s="6" t="s">
        <v>47</v>
      </c>
      <c r="G2315" s="6" t="s">
        <v>48</v>
      </c>
      <c r="H2315" s="6">
        <v>3</v>
      </c>
      <c r="I2315" s="6" t="s">
        <v>265</v>
      </c>
      <c r="J2315" s="6" t="s">
        <v>401</v>
      </c>
      <c r="K2315" s="6" t="s">
        <v>49</v>
      </c>
      <c r="L2315" s="6" t="s">
        <v>42</v>
      </c>
      <c r="M2315" s="6" t="s">
        <v>34</v>
      </c>
    </row>
    <row r="2316" spans="1:13">
      <c r="A2316" s="6" t="s">
        <v>3772</v>
      </c>
      <c r="B2316" s="6" t="s">
        <v>1818</v>
      </c>
      <c r="C2316" s="6" t="s">
        <v>2008</v>
      </c>
      <c r="D2316" s="6" t="s">
        <v>64</v>
      </c>
      <c r="E2316" s="6" t="s">
        <v>37</v>
      </c>
      <c r="F2316" s="6" t="s">
        <v>58</v>
      </c>
      <c r="G2316" s="6" t="s">
        <v>59</v>
      </c>
      <c r="H2316" s="6">
        <v>1</v>
      </c>
      <c r="I2316" s="6" t="s">
        <v>79</v>
      </c>
      <c r="J2316" s="6" t="s">
        <v>79</v>
      </c>
      <c r="K2316" s="6" t="s">
        <v>61</v>
      </c>
      <c r="L2316" s="6" t="s">
        <v>42</v>
      </c>
      <c r="M2316" s="6" t="s">
        <v>34</v>
      </c>
    </row>
    <row r="2317" spans="1:13">
      <c r="A2317" s="6" t="s">
        <v>3773</v>
      </c>
      <c r="B2317" s="7">
        <v>46160</v>
      </c>
      <c r="C2317" s="6" t="s">
        <v>2545</v>
      </c>
      <c r="D2317" s="6" t="s">
        <v>127</v>
      </c>
      <c r="E2317" s="6" t="s">
        <v>46</v>
      </c>
      <c r="F2317" s="6" t="s">
        <v>38</v>
      </c>
      <c r="G2317" s="6" t="s">
        <v>39</v>
      </c>
      <c r="H2317" s="6">
        <v>3</v>
      </c>
      <c r="I2317" s="6" t="s">
        <v>656</v>
      </c>
      <c r="J2317" s="6" t="s">
        <v>138</v>
      </c>
      <c r="K2317" s="6" t="s">
        <v>41</v>
      </c>
      <c r="L2317" s="6" t="s">
        <v>42</v>
      </c>
      <c r="M2317" s="6" t="s">
        <v>34</v>
      </c>
    </row>
    <row r="2318" spans="1:13">
      <c r="A2318" s="6" t="s">
        <v>3774</v>
      </c>
      <c r="B2318" s="7">
        <v>46114</v>
      </c>
      <c r="C2318" s="6" t="s">
        <v>843</v>
      </c>
      <c r="D2318" s="6" t="s">
        <v>27</v>
      </c>
      <c r="E2318" s="6" t="s">
        <v>78</v>
      </c>
      <c r="F2318" s="6" t="s">
        <v>100</v>
      </c>
      <c r="G2318" s="6" t="s">
        <v>101</v>
      </c>
      <c r="H2318" s="6">
        <v>1</v>
      </c>
      <c r="I2318" s="6" t="s">
        <v>143</v>
      </c>
      <c r="J2318" s="6" t="s">
        <v>143</v>
      </c>
      <c r="K2318" s="6">
        <v>640</v>
      </c>
      <c r="L2318" s="6" t="s">
        <v>42</v>
      </c>
      <c r="M2318" s="6" t="s">
        <v>69</v>
      </c>
    </row>
    <row r="2319" spans="1:13">
      <c r="A2319" s="6" t="s">
        <v>3775</v>
      </c>
      <c r="B2319" s="7">
        <v>46193</v>
      </c>
      <c r="C2319" s="6" t="s">
        <v>3776</v>
      </c>
      <c r="D2319" s="6" t="s">
        <v>27</v>
      </c>
      <c r="E2319" s="6" t="s">
        <v>52</v>
      </c>
      <c r="F2319" s="6" t="s">
        <v>47</v>
      </c>
      <c r="G2319" s="6" t="s">
        <v>48</v>
      </c>
      <c r="H2319" s="6">
        <v>2</v>
      </c>
      <c r="I2319" s="6" t="s">
        <v>96</v>
      </c>
      <c r="J2319" s="6" t="s">
        <v>797</v>
      </c>
      <c r="K2319" s="6" t="s">
        <v>49</v>
      </c>
      <c r="L2319" s="6" t="s">
        <v>42</v>
      </c>
      <c r="M2319" s="6" t="s">
        <v>34</v>
      </c>
    </row>
    <row r="2320" spans="1:13">
      <c r="A2320" s="6" t="s">
        <v>3777</v>
      </c>
      <c r="B2320" s="7">
        <v>46120</v>
      </c>
      <c r="C2320" s="6" t="s">
        <v>644</v>
      </c>
      <c r="D2320" s="6" t="s">
        <v>57</v>
      </c>
      <c r="E2320" s="6" t="s">
        <v>46</v>
      </c>
      <c r="F2320" s="6" t="s">
        <v>58</v>
      </c>
      <c r="G2320" s="6" t="s">
        <v>59</v>
      </c>
      <c r="H2320" s="6">
        <v>1</v>
      </c>
      <c r="I2320" s="6" t="s">
        <v>31</v>
      </c>
      <c r="J2320" s="6" t="s">
        <v>31</v>
      </c>
      <c r="K2320" s="6">
        <v>380</v>
      </c>
      <c r="L2320" s="6" t="s">
        <v>42</v>
      </c>
      <c r="M2320" s="6" t="s">
        <v>34</v>
      </c>
    </row>
    <row r="2321" spans="1:13">
      <c r="A2321" s="6" t="s">
        <v>3778</v>
      </c>
      <c r="B2321" s="7">
        <v>46122</v>
      </c>
      <c r="C2321" s="6" t="s">
        <v>191</v>
      </c>
      <c r="D2321" s="6" t="s">
        <v>64</v>
      </c>
      <c r="E2321" s="6" t="s">
        <v>78</v>
      </c>
      <c r="F2321" s="6" t="s">
        <v>100</v>
      </c>
      <c r="G2321" s="6" t="s">
        <v>101</v>
      </c>
      <c r="H2321" s="6">
        <v>1</v>
      </c>
      <c r="I2321" s="6" t="s">
        <v>117</v>
      </c>
      <c r="J2321" s="6" t="s">
        <v>117</v>
      </c>
      <c r="K2321" s="6">
        <v>640</v>
      </c>
      <c r="L2321" s="6" t="s">
        <v>42</v>
      </c>
      <c r="M2321" s="6" t="s">
        <v>34</v>
      </c>
    </row>
    <row r="2322" spans="1:13">
      <c r="A2322" s="6" t="s">
        <v>3779</v>
      </c>
      <c r="B2322" s="7">
        <v>46040</v>
      </c>
      <c r="C2322" s="6" t="s">
        <v>1680</v>
      </c>
      <c r="D2322" s="6" t="s">
        <v>64</v>
      </c>
      <c r="E2322" s="6" t="s">
        <v>37</v>
      </c>
      <c r="F2322" s="6" t="s">
        <v>94</v>
      </c>
      <c r="G2322" s="6" t="s">
        <v>95</v>
      </c>
      <c r="H2322" s="6">
        <v>3</v>
      </c>
      <c r="I2322" s="6" t="s">
        <v>265</v>
      </c>
      <c r="J2322" s="6" t="s">
        <v>401</v>
      </c>
      <c r="K2322" s="6">
        <v>340</v>
      </c>
      <c r="L2322" s="6" t="s">
        <v>42</v>
      </c>
      <c r="M2322" s="6" t="s">
        <v>34</v>
      </c>
    </row>
    <row r="2323" spans="1:13">
      <c r="A2323" s="6" t="s">
        <v>3780</v>
      </c>
      <c r="B2323" s="7">
        <v>46135</v>
      </c>
      <c r="C2323" s="6" t="s">
        <v>1592</v>
      </c>
      <c r="D2323" s="6" t="s">
        <v>27</v>
      </c>
      <c r="E2323" s="6" t="s">
        <v>52</v>
      </c>
      <c r="F2323" s="6" t="s">
        <v>29</v>
      </c>
      <c r="G2323" s="6" t="s">
        <v>30</v>
      </c>
      <c r="H2323" s="6">
        <v>2</v>
      </c>
      <c r="I2323" s="6" t="s">
        <v>1430</v>
      </c>
      <c r="J2323" s="6" t="s">
        <v>144</v>
      </c>
      <c r="K2323" s="6" t="s">
        <v>41</v>
      </c>
      <c r="L2323" s="6" t="s">
        <v>42</v>
      </c>
      <c r="M2323" s="6" t="s">
        <v>34</v>
      </c>
    </row>
    <row r="2324" spans="1:13">
      <c r="A2324" s="6" t="s">
        <v>3781</v>
      </c>
      <c r="B2324" s="7">
        <v>46042</v>
      </c>
      <c r="C2324" s="6" t="s">
        <v>2770</v>
      </c>
      <c r="D2324" s="6" t="s">
        <v>57</v>
      </c>
      <c r="E2324" s="6" t="s">
        <v>46</v>
      </c>
      <c r="F2324" s="6" t="s">
        <v>100</v>
      </c>
      <c r="G2324" s="6" t="s">
        <v>101</v>
      </c>
      <c r="H2324" s="6">
        <v>1</v>
      </c>
      <c r="I2324" s="6" t="s">
        <v>79</v>
      </c>
      <c r="J2324" s="6" t="s">
        <v>79</v>
      </c>
      <c r="K2324" s="6">
        <v>640</v>
      </c>
      <c r="L2324" s="6" t="s">
        <v>42</v>
      </c>
      <c r="M2324" s="6" t="s">
        <v>34</v>
      </c>
    </row>
    <row r="2325" spans="1:13">
      <c r="A2325" s="6" t="s">
        <v>3782</v>
      </c>
      <c r="B2325" s="6" t="s">
        <v>948</v>
      </c>
      <c r="C2325" s="6" t="s">
        <v>996</v>
      </c>
      <c r="D2325" s="6" t="s">
        <v>45</v>
      </c>
      <c r="E2325" s="6" t="s">
        <v>78</v>
      </c>
      <c r="F2325" s="6" t="s">
        <v>53</v>
      </c>
      <c r="G2325" s="6" t="s">
        <v>54</v>
      </c>
      <c r="H2325" s="6">
        <v>1</v>
      </c>
      <c r="I2325" s="6" t="s">
        <v>1519</v>
      </c>
      <c r="J2325" s="6" t="s">
        <v>231</v>
      </c>
      <c r="K2325" s="6" t="s">
        <v>122</v>
      </c>
      <c r="L2325" s="6" t="s">
        <v>42</v>
      </c>
      <c r="M2325" s="6" t="s">
        <v>69</v>
      </c>
    </row>
    <row r="2326" spans="1:13">
      <c r="A2326" s="6" t="s">
        <v>3783</v>
      </c>
      <c r="B2326" s="7">
        <v>46105</v>
      </c>
      <c r="C2326" s="6" t="s">
        <v>3784</v>
      </c>
      <c r="D2326" s="6" t="s">
        <v>72</v>
      </c>
      <c r="E2326" s="6" t="s">
        <v>28</v>
      </c>
      <c r="F2326" s="6" t="s">
        <v>94</v>
      </c>
      <c r="G2326" s="6" t="s">
        <v>95</v>
      </c>
      <c r="H2326" s="6">
        <v>1</v>
      </c>
      <c r="I2326" s="6" t="s">
        <v>143</v>
      </c>
      <c r="J2326" s="6" t="s">
        <v>143</v>
      </c>
      <c r="K2326" s="6">
        <v>340</v>
      </c>
      <c r="L2326" s="6" t="s">
        <v>42</v>
      </c>
      <c r="M2326" s="6" t="s">
        <v>34</v>
      </c>
    </row>
    <row r="2327" spans="1:13">
      <c r="A2327" s="6" t="s">
        <v>3785</v>
      </c>
      <c r="B2327" s="7">
        <v>46163</v>
      </c>
      <c r="C2327" s="6" t="s">
        <v>1766</v>
      </c>
      <c r="D2327" s="6" t="s">
        <v>127</v>
      </c>
      <c r="E2327" s="6" t="s">
        <v>52</v>
      </c>
      <c r="F2327" s="6" t="s">
        <v>29</v>
      </c>
      <c r="G2327" s="6" t="s">
        <v>30</v>
      </c>
      <c r="H2327" s="6">
        <v>1</v>
      </c>
      <c r="I2327" s="6" t="s">
        <v>143</v>
      </c>
      <c r="J2327" s="6" t="s">
        <v>143</v>
      </c>
      <c r="K2327" s="6" t="s">
        <v>41</v>
      </c>
      <c r="L2327" s="6" t="s">
        <v>33</v>
      </c>
      <c r="M2327" s="6" t="s">
        <v>34</v>
      </c>
    </row>
    <row r="2328" spans="1:13">
      <c r="A2328" s="6" t="s">
        <v>3786</v>
      </c>
      <c r="B2328" s="7">
        <v>46115</v>
      </c>
      <c r="C2328" s="6" t="s">
        <v>3787</v>
      </c>
      <c r="D2328" s="6" t="s">
        <v>27</v>
      </c>
      <c r="E2328" s="6" t="s">
        <v>46</v>
      </c>
      <c r="F2328" s="6" t="s">
        <v>29</v>
      </c>
      <c r="G2328" s="6" t="s">
        <v>30</v>
      </c>
      <c r="H2328" s="6">
        <v>3</v>
      </c>
      <c r="I2328" s="6" t="s">
        <v>447</v>
      </c>
      <c r="J2328" s="6" t="s">
        <v>102</v>
      </c>
      <c r="K2328" s="6">
        <v>520</v>
      </c>
      <c r="L2328" s="6" t="s">
        <v>33</v>
      </c>
      <c r="M2328" s="6" t="s">
        <v>34</v>
      </c>
    </row>
    <row r="2329" spans="1:13">
      <c r="A2329" s="6" t="s">
        <v>3788</v>
      </c>
      <c r="B2329" s="7">
        <v>46113</v>
      </c>
      <c r="C2329" s="6" t="s">
        <v>343</v>
      </c>
      <c r="D2329" s="6" t="s">
        <v>27</v>
      </c>
      <c r="E2329" s="6" t="s">
        <v>46</v>
      </c>
      <c r="F2329" s="6" t="s">
        <v>85</v>
      </c>
      <c r="G2329" s="6" t="s">
        <v>86</v>
      </c>
      <c r="H2329" s="6">
        <v>1</v>
      </c>
      <c r="I2329" s="6" t="s">
        <v>231</v>
      </c>
      <c r="J2329" s="6" t="s">
        <v>1436</v>
      </c>
      <c r="K2329" s="6">
        <v>410</v>
      </c>
      <c r="L2329" s="6" t="s">
        <v>42</v>
      </c>
      <c r="M2329" s="6" t="s">
        <v>34</v>
      </c>
    </row>
    <row r="2330" spans="1:13">
      <c r="A2330" s="6" t="s">
        <v>3789</v>
      </c>
      <c r="B2330" s="7">
        <v>46159</v>
      </c>
      <c r="C2330" s="6" t="s">
        <v>429</v>
      </c>
      <c r="D2330" s="6" t="s">
        <v>77</v>
      </c>
      <c r="E2330" s="6" t="s">
        <v>52</v>
      </c>
      <c r="F2330" s="6" t="s">
        <v>29</v>
      </c>
      <c r="G2330" s="6" t="s">
        <v>30</v>
      </c>
      <c r="H2330" s="6">
        <v>2</v>
      </c>
      <c r="I2330" s="6" t="s">
        <v>79</v>
      </c>
      <c r="J2330" s="6" t="s">
        <v>259</v>
      </c>
      <c r="K2330" s="6" t="s">
        <v>41</v>
      </c>
      <c r="L2330" s="6" t="s">
        <v>42</v>
      </c>
      <c r="M2330" s="6" t="s">
        <v>34</v>
      </c>
    </row>
    <row r="2331" spans="1:13">
      <c r="A2331" s="6" t="s">
        <v>3790</v>
      </c>
      <c r="B2331" s="7">
        <v>46076</v>
      </c>
      <c r="C2331" s="6" t="s">
        <v>963</v>
      </c>
      <c r="D2331" s="6" t="s">
        <v>64</v>
      </c>
      <c r="E2331" s="6" t="s">
        <v>52</v>
      </c>
      <c r="F2331" s="6" t="s">
        <v>85</v>
      </c>
      <c r="G2331" s="6" t="s">
        <v>86</v>
      </c>
      <c r="H2331" s="6">
        <v>1</v>
      </c>
      <c r="I2331" s="6" t="s">
        <v>90</v>
      </c>
      <c r="J2331" s="6" t="s">
        <v>90</v>
      </c>
      <c r="K2331" s="6">
        <v>410</v>
      </c>
      <c r="L2331" s="6" t="s">
        <v>42</v>
      </c>
      <c r="M2331" s="6" t="s">
        <v>34</v>
      </c>
    </row>
    <row r="2332" spans="1:13">
      <c r="A2332" s="6" t="s">
        <v>3791</v>
      </c>
      <c r="B2332" s="7">
        <v>46129</v>
      </c>
      <c r="C2332" s="6" t="s">
        <v>3792</v>
      </c>
      <c r="D2332" s="6" t="s">
        <v>72</v>
      </c>
      <c r="E2332" s="6" t="s">
        <v>46</v>
      </c>
      <c r="F2332" s="6" t="s">
        <v>53</v>
      </c>
      <c r="G2332" s="6" t="s">
        <v>54</v>
      </c>
      <c r="H2332" s="6">
        <v>1</v>
      </c>
      <c r="I2332" s="6" t="s">
        <v>31</v>
      </c>
      <c r="J2332" s="6" t="s">
        <v>31</v>
      </c>
      <c r="K2332" s="6">
        <v>190</v>
      </c>
      <c r="L2332" s="6" t="s">
        <v>42</v>
      </c>
      <c r="M2332" s="6" t="s">
        <v>34</v>
      </c>
    </row>
    <row r="2333" spans="1:13">
      <c r="A2333" s="6" t="s">
        <v>3793</v>
      </c>
      <c r="B2333" s="7">
        <v>46171</v>
      </c>
      <c r="C2333" s="6" t="s">
        <v>598</v>
      </c>
      <c r="D2333" s="6" t="s">
        <v>127</v>
      </c>
      <c r="E2333" s="6" t="s">
        <v>28</v>
      </c>
      <c r="F2333" s="6" t="s">
        <v>100</v>
      </c>
      <c r="G2333" s="6" t="s">
        <v>101</v>
      </c>
      <c r="H2333" s="6">
        <v>2</v>
      </c>
      <c r="I2333" s="6" t="s">
        <v>228</v>
      </c>
      <c r="J2333" s="6" t="s">
        <v>278</v>
      </c>
      <c r="K2333" s="6" t="s">
        <v>119</v>
      </c>
      <c r="L2333" s="6" t="s">
        <v>42</v>
      </c>
      <c r="M2333" s="6" t="s">
        <v>34</v>
      </c>
    </row>
    <row r="2334" spans="1:13">
      <c r="A2334" s="6" t="s">
        <v>3794</v>
      </c>
      <c r="B2334" s="7">
        <v>46066</v>
      </c>
      <c r="C2334" s="6" t="s">
        <v>538</v>
      </c>
      <c r="D2334" s="6" t="s">
        <v>77</v>
      </c>
      <c r="E2334" s="6" t="s">
        <v>46</v>
      </c>
      <c r="F2334" s="6" t="s">
        <v>100</v>
      </c>
      <c r="G2334" s="6" t="s">
        <v>101</v>
      </c>
      <c r="H2334" s="6">
        <v>1</v>
      </c>
      <c r="I2334" s="6" t="s">
        <v>79</v>
      </c>
      <c r="J2334" s="6" t="s">
        <v>60</v>
      </c>
      <c r="K2334" s="6">
        <v>640</v>
      </c>
      <c r="L2334" s="6" t="s">
        <v>42</v>
      </c>
      <c r="M2334" s="6" t="s">
        <v>69</v>
      </c>
    </row>
    <row r="2335" spans="1:13">
      <c r="A2335" s="6" t="s">
        <v>3795</v>
      </c>
      <c r="B2335" s="7">
        <v>46178</v>
      </c>
      <c r="C2335" s="6" t="s">
        <v>2936</v>
      </c>
      <c r="D2335" s="6" t="s">
        <v>64</v>
      </c>
      <c r="E2335" s="6" t="s">
        <v>37</v>
      </c>
      <c r="F2335" s="6" t="s">
        <v>47</v>
      </c>
      <c r="G2335" s="6" t="s">
        <v>48</v>
      </c>
      <c r="H2335" s="6">
        <v>1</v>
      </c>
      <c r="I2335" s="6" t="s">
        <v>90</v>
      </c>
      <c r="J2335" s="6" t="s">
        <v>1182</v>
      </c>
      <c r="K2335" s="6" t="s">
        <v>49</v>
      </c>
      <c r="L2335" s="6" t="s">
        <v>42</v>
      </c>
      <c r="M2335" s="6" t="s">
        <v>34</v>
      </c>
    </row>
    <row r="2336" spans="1:13">
      <c r="A2336" s="6" t="s">
        <v>3796</v>
      </c>
      <c r="B2336" s="7">
        <v>46237</v>
      </c>
      <c r="C2336" s="6" t="s">
        <v>251</v>
      </c>
      <c r="D2336" s="6" t="s">
        <v>72</v>
      </c>
      <c r="E2336" s="6" t="s">
        <v>78</v>
      </c>
      <c r="F2336" s="6" t="s">
        <v>47</v>
      </c>
      <c r="G2336" s="6" t="s">
        <v>48</v>
      </c>
      <c r="H2336" s="6">
        <v>3</v>
      </c>
      <c r="I2336" s="6" t="s">
        <v>40</v>
      </c>
      <c r="J2336" s="6" t="s">
        <v>653</v>
      </c>
      <c r="K2336" s="6">
        <v>85</v>
      </c>
      <c r="L2336" s="6" t="s">
        <v>42</v>
      </c>
      <c r="M2336" s="6" t="s">
        <v>69</v>
      </c>
    </row>
    <row r="2337" spans="1:13">
      <c r="A2337" s="6" t="s">
        <v>3797</v>
      </c>
      <c r="B2337" s="7">
        <v>46036</v>
      </c>
      <c r="C2337" s="6" t="s">
        <v>1346</v>
      </c>
      <c r="D2337" s="6" t="s">
        <v>27</v>
      </c>
      <c r="E2337" s="6" t="s">
        <v>46</v>
      </c>
      <c r="F2337" s="6" t="s">
        <v>53</v>
      </c>
      <c r="G2337" s="6" t="s">
        <v>54</v>
      </c>
      <c r="H2337" s="6">
        <v>2</v>
      </c>
      <c r="I2337" s="6" t="s">
        <v>143</v>
      </c>
      <c r="J2337" s="6" t="s">
        <v>144</v>
      </c>
      <c r="K2337" s="6">
        <v>190</v>
      </c>
      <c r="L2337" s="6" t="s">
        <v>42</v>
      </c>
      <c r="M2337" s="6" t="s">
        <v>34</v>
      </c>
    </row>
    <row r="2338" spans="1:13">
      <c r="A2338" s="6" t="s">
        <v>3798</v>
      </c>
      <c r="B2338" s="7">
        <v>46118</v>
      </c>
      <c r="C2338" s="6" t="s">
        <v>3042</v>
      </c>
      <c r="D2338" s="6" t="s">
        <v>72</v>
      </c>
      <c r="E2338" s="6" t="s">
        <v>37</v>
      </c>
      <c r="F2338" s="6" t="s">
        <v>38</v>
      </c>
      <c r="G2338" s="6" t="s">
        <v>39</v>
      </c>
      <c r="H2338" s="6">
        <v>1</v>
      </c>
      <c r="I2338" s="6" t="s">
        <v>31</v>
      </c>
      <c r="J2338" s="6" t="s">
        <v>31</v>
      </c>
      <c r="K2338" s="6">
        <v>520</v>
      </c>
      <c r="L2338" s="6" t="s">
        <v>33</v>
      </c>
      <c r="M2338" s="6" t="s">
        <v>34</v>
      </c>
    </row>
    <row r="2339" spans="1:13">
      <c r="A2339" s="6" t="s">
        <v>3799</v>
      </c>
      <c r="B2339" s="7">
        <v>46083</v>
      </c>
      <c r="C2339" s="6" t="s">
        <v>1146</v>
      </c>
      <c r="D2339" s="6" t="s">
        <v>57</v>
      </c>
      <c r="E2339" s="6" t="s">
        <v>37</v>
      </c>
      <c r="F2339" s="6" t="s">
        <v>100</v>
      </c>
      <c r="G2339" s="6" t="s">
        <v>101</v>
      </c>
      <c r="H2339" s="6">
        <v>1</v>
      </c>
      <c r="I2339" s="6" t="s">
        <v>113</v>
      </c>
      <c r="J2339" s="6" t="s">
        <v>113</v>
      </c>
      <c r="K2339" s="6">
        <v>640</v>
      </c>
      <c r="L2339" s="6" t="s">
        <v>42</v>
      </c>
      <c r="M2339" s="6" t="s">
        <v>34</v>
      </c>
    </row>
    <row r="2340" spans="1:13">
      <c r="A2340" s="6" t="s">
        <v>3800</v>
      </c>
      <c r="B2340" s="7">
        <v>46151</v>
      </c>
      <c r="C2340" s="6" t="s">
        <v>982</v>
      </c>
      <c r="D2340" s="6" t="s">
        <v>27</v>
      </c>
      <c r="E2340" s="6" t="s">
        <v>28</v>
      </c>
      <c r="F2340" s="6" t="s">
        <v>58</v>
      </c>
      <c r="G2340" s="6" t="s">
        <v>59</v>
      </c>
      <c r="H2340" s="6">
        <v>1</v>
      </c>
      <c r="I2340" s="6" t="s">
        <v>31</v>
      </c>
      <c r="J2340" s="6" t="s">
        <v>31</v>
      </c>
      <c r="K2340" s="6" t="s">
        <v>61</v>
      </c>
      <c r="L2340" s="6" t="s">
        <v>42</v>
      </c>
      <c r="M2340" s="6" t="s">
        <v>34</v>
      </c>
    </row>
    <row r="2341" spans="1:13">
      <c r="A2341" s="6" t="s">
        <v>3801</v>
      </c>
      <c r="B2341" s="7">
        <v>46181</v>
      </c>
      <c r="C2341" s="6" t="s">
        <v>2081</v>
      </c>
      <c r="D2341" s="6" t="s">
        <v>127</v>
      </c>
      <c r="E2341" s="6" t="s">
        <v>46</v>
      </c>
      <c r="F2341" s="6" t="s">
        <v>100</v>
      </c>
      <c r="G2341" s="6" t="s">
        <v>101</v>
      </c>
      <c r="H2341" s="6">
        <v>2</v>
      </c>
      <c r="I2341" s="6" t="s">
        <v>82</v>
      </c>
      <c r="J2341" s="6" t="s">
        <v>297</v>
      </c>
      <c r="K2341" s="6" t="s">
        <v>119</v>
      </c>
      <c r="L2341" s="6" t="s">
        <v>42</v>
      </c>
      <c r="M2341" s="6" t="s">
        <v>34</v>
      </c>
    </row>
    <row r="2342" spans="1:13">
      <c r="A2342" s="6" t="s">
        <v>3802</v>
      </c>
      <c r="B2342" s="7">
        <v>46137</v>
      </c>
      <c r="C2342" s="6" t="s">
        <v>544</v>
      </c>
      <c r="D2342" s="6" t="s">
        <v>105</v>
      </c>
      <c r="E2342" s="6" t="s">
        <v>37</v>
      </c>
      <c r="F2342" s="6" t="s">
        <v>94</v>
      </c>
      <c r="G2342" s="6" t="s">
        <v>95</v>
      </c>
      <c r="H2342" s="6">
        <v>-3</v>
      </c>
      <c r="I2342" s="6" t="s">
        <v>113</v>
      </c>
      <c r="J2342" s="8" t="s">
        <v>1913</v>
      </c>
      <c r="K2342" s="6" t="s">
        <v>114</v>
      </c>
      <c r="L2342" s="6" t="s">
        <v>33</v>
      </c>
      <c r="M2342" s="6" t="s">
        <v>34</v>
      </c>
    </row>
    <row r="2343" spans="1:13">
      <c r="A2343" s="6" t="s">
        <v>3803</v>
      </c>
      <c r="B2343" s="6" t="s">
        <v>3804</v>
      </c>
      <c r="C2343" s="6" t="s">
        <v>363</v>
      </c>
      <c r="D2343" s="6" t="s">
        <v>45</v>
      </c>
      <c r="E2343" s="6" t="s">
        <v>28</v>
      </c>
      <c r="F2343" s="6" t="s">
        <v>38</v>
      </c>
      <c r="G2343" s="6" t="s">
        <v>39</v>
      </c>
      <c r="H2343" s="6">
        <v>1</v>
      </c>
      <c r="I2343" s="6" t="s">
        <v>31</v>
      </c>
      <c r="J2343" s="6" t="s">
        <v>31</v>
      </c>
      <c r="K2343" s="6" t="s">
        <v>41</v>
      </c>
      <c r="L2343" s="6" t="s">
        <v>42</v>
      </c>
      <c r="M2343" s="6" t="s">
        <v>34</v>
      </c>
    </row>
    <row r="2344" spans="1:13">
      <c r="A2344" s="6" t="s">
        <v>3805</v>
      </c>
      <c r="B2344" s="7">
        <v>46169</v>
      </c>
      <c r="C2344" s="6" t="s">
        <v>3806</v>
      </c>
      <c r="D2344" s="6" t="s">
        <v>64</v>
      </c>
      <c r="E2344" s="6" t="s">
        <v>78</v>
      </c>
      <c r="F2344" s="6" t="s">
        <v>29</v>
      </c>
      <c r="G2344" s="6" t="s">
        <v>30</v>
      </c>
      <c r="H2344" s="6">
        <v>1</v>
      </c>
      <c r="I2344" s="6" t="s">
        <v>231</v>
      </c>
      <c r="J2344" s="6" t="s">
        <v>231</v>
      </c>
      <c r="K2344" s="6" t="s">
        <v>41</v>
      </c>
      <c r="L2344" s="6" t="s">
        <v>42</v>
      </c>
      <c r="M2344" s="6" t="s">
        <v>34</v>
      </c>
    </row>
    <row r="2345" spans="1:13">
      <c r="A2345" s="6" t="s">
        <v>3807</v>
      </c>
      <c r="B2345" s="7">
        <v>46110</v>
      </c>
      <c r="C2345" s="6" t="s">
        <v>1809</v>
      </c>
      <c r="D2345" s="6" t="s">
        <v>64</v>
      </c>
      <c r="E2345" s="6" t="s">
        <v>28</v>
      </c>
      <c r="F2345" s="6" t="s">
        <v>38</v>
      </c>
      <c r="G2345" s="6" t="s">
        <v>39</v>
      </c>
      <c r="H2345" s="6">
        <v>-1</v>
      </c>
      <c r="I2345" s="6" t="s">
        <v>117</v>
      </c>
      <c r="J2345" s="8" t="s">
        <v>213</v>
      </c>
      <c r="K2345" s="6">
        <v>520</v>
      </c>
      <c r="L2345" s="6" t="s">
        <v>42</v>
      </c>
      <c r="M2345" s="6" t="s">
        <v>34</v>
      </c>
    </row>
    <row r="2346" spans="1:13">
      <c r="A2346" s="6" t="s">
        <v>3808</v>
      </c>
      <c r="B2346" s="7">
        <v>46129</v>
      </c>
      <c r="C2346" s="6" t="s">
        <v>3809</v>
      </c>
      <c r="D2346" s="6" t="s">
        <v>45</v>
      </c>
      <c r="E2346" s="6" t="s">
        <v>46</v>
      </c>
      <c r="F2346" s="6" t="s">
        <v>58</v>
      </c>
      <c r="G2346" s="6" t="s">
        <v>59</v>
      </c>
      <c r="H2346" s="6">
        <v>1</v>
      </c>
      <c r="I2346" s="6" t="s">
        <v>265</v>
      </c>
      <c r="J2346" s="6" t="s">
        <v>265</v>
      </c>
      <c r="K2346" s="6">
        <v>380</v>
      </c>
      <c r="L2346" s="6" t="s">
        <v>42</v>
      </c>
      <c r="M2346" s="6" t="s">
        <v>34</v>
      </c>
    </row>
    <row r="2347" spans="1:13">
      <c r="A2347" s="6" t="s">
        <v>3810</v>
      </c>
      <c r="B2347" s="7">
        <v>46031</v>
      </c>
      <c r="C2347" s="6" t="s">
        <v>1063</v>
      </c>
      <c r="D2347" s="6" t="s">
        <v>64</v>
      </c>
      <c r="E2347" s="6" t="s">
        <v>52</v>
      </c>
      <c r="F2347" s="6" t="s">
        <v>38</v>
      </c>
      <c r="G2347" s="6" t="s">
        <v>39</v>
      </c>
      <c r="H2347" s="6">
        <v>2</v>
      </c>
      <c r="I2347" s="6" t="s">
        <v>82</v>
      </c>
      <c r="J2347" s="6" t="s">
        <v>297</v>
      </c>
      <c r="K2347" s="6">
        <v>520</v>
      </c>
      <c r="L2347" s="6" t="s">
        <v>42</v>
      </c>
      <c r="M2347" s="6" t="s">
        <v>34</v>
      </c>
    </row>
    <row r="2348" spans="1:13">
      <c r="A2348" s="6" t="s">
        <v>3811</v>
      </c>
      <c r="B2348" s="7">
        <v>46269</v>
      </c>
      <c r="C2348" s="6" t="s">
        <v>452</v>
      </c>
      <c r="D2348" s="6" t="s">
        <v>77</v>
      </c>
      <c r="E2348" s="6" t="s">
        <v>78</v>
      </c>
      <c r="F2348" s="6" t="s">
        <v>47</v>
      </c>
      <c r="G2348" s="6" t="s">
        <v>48</v>
      </c>
      <c r="H2348" s="6">
        <v>3</v>
      </c>
      <c r="I2348" s="6" t="s">
        <v>231</v>
      </c>
      <c r="J2348" s="6" t="s">
        <v>505</v>
      </c>
      <c r="K2348" s="6">
        <v>85</v>
      </c>
      <c r="L2348" s="6" t="s">
        <v>42</v>
      </c>
      <c r="M2348" s="6" t="s">
        <v>34</v>
      </c>
    </row>
    <row r="2349" spans="1:13">
      <c r="A2349" s="6" t="s">
        <v>2066</v>
      </c>
      <c r="B2349" s="7">
        <v>46100</v>
      </c>
      <c r="C2349" s="6" t="s">
        <v>2067</v>
      </c>
      <c r="D2349" s="6" t="s">
        <v>57</v>
      </c>
      <c r="E2349" s="6" t="s">
        <v>37</v>
      </c>
      <c r="F2349" s="6" t="s">
        <v>100</v>
      </c>
      <c r="G2349" s="6" t="s">
        <v>101</v>
      </c>
      <c r="H2349" s="6">
        <v>3</v>
      </c>
      <c r="I2349" s="6" t="s">
        <v>96</v>
      </c>
      <c r="J2349" s="6" t="s">
        <v>2068</v>
      </c>
      <c r="K2349" s="6">
        <v>640</v>
      </c>
      <c r="L2349" s="6" t="s">
        <v>42</v>
      </c>
      <c r="M2349" s="6" t="s">
        <v>34</v>
      </c>
    </row>
    <row r="2350" spans="1:13">
      <c r="A2350" s="6" t="s">
        <v>3812</v>
      </c>
      <c r="B2350" s="7">
        <v>46070</v>
      </c>
      <c r="C2350" s="6" t="s">
        <v>635</v>
      </c>
      <c r="D2350" s="6" t="s">
        <v>57</v>
      </c>
      <c r="E2350" s="6" t="s">
        <v>46</v>
      </c>
      <c r="F2350" s="6" t="s">
        <v>85</v>
      </c>
      <c r="G2350" s="6" t="s">
        <v>86</v>
      </c>
      <c r="H2350" s="6">
        <v>1</v>
      </c>
      <c r="I2350" s="6" t="s">
        <v>73</v>
      </c>
      <c r="J2350" s="6" t="s">
        <v>73</v>
      </c>
      <c r="K2350" s="6">
        <v>410</v>
      </c>
      <c r="L2350" s="6" t="s">
        <v>42</v>
      </c>
      <c r="M2350" s="6" t="s">
        <v>69</v>
      </c>
    </row>
    <row r="2351" spans="1:13">
      <c r="A2351" s="6" t="s">
        <v>3813</v>
      </c>
      <c r="B2351" s="7">
        <v>46038</v>
      </c>
      <c r="C2351" s="6" t="s">
        <v>1822</v>
      </c>
      <c r="D2351" s="6" t="s">
        <v>105</v>
      </c>
      <c r="E2351" s="6" t="s">
        <v>28</v>
      </c>
      <c r="F2351" s="6" t="s">
        <v>94</v>
      </c>
      <c r="G2351" s="6" t="s">
        <v>95</v>
      </c>
      <c r="H2351" s="6">
        <v>3</v>
      </c>
      <c r="I2351" s="6" t="s">
        <v>79</v>
      </c>
      <c r="J2351" s="6" t="s">
        <v>216</v>
      </c>
      <c r="K2351" s="6">
        <v>340</v>
      </c>
      <c r="L2351" s="6" t="s">
        <v>42</v>
      </c>
      <c r="M2351" s="6" t="s">
        <v>69</v>
      </c>
    </row>
    <row r="2352" spans="1:13">
      <c r="A2352" s="6" t="s">
        <v>3814</v>
      </c>
      <c r="B2352" s="7">
        <v>46082</v>
      </c>
      <c r="C2352" s="6" t="s">
        <v>3349</v>
      </c>
      <c r="D2352" s="6" t="s">
        <v>45</v>
      </c>
      <c r="E2352" s="6" t="s">
        <v>46</v>
      </c>
      <c r="F2352" s="6" t="s">
        <v>85</v>
      </c>
      <c r="G2352" s="6" t="s">
        <v>86</v>
      </c>
      <c r="H2352" s="6">
        <v>1</v>
      </c>
      <c r="I2352" s="6" t="s">
        <v>117</v>
      </c>
      <c r="J2352" s="6" t="s">
        <v>117</v>
      </c>
      <c r="K2352" s="6">
        <v>410</v>
      </c>
      <c r="L2352" s="6" t="s">
        <v>42</v>
      </c>
      <c r="M2352" s="6" t="s">
        <v>34</v>
      </c>
    </row>
    <row r="2353" spans="1:13">
      <c r="A2353" s="6" t="s">
        <v>3815</v>
      </c>
      <c r="B2353" s="7">
        <v>46044</v>
      </c>
      <c r="C2353" s="6" t="s">
        <v>3816</v>
      </c>
      <c r="D2353" s="6" t="s">
        <v>57</v>
      </c>
      <c r="E2353" s="6" t="s">
        <v>78</v>
      </c>
      <c r="F2353" s="6" t="s">
        <v>85</v>
      </c>
      <c r="G2353" s="6" t="s">
        <v>86</v>
      </c>
      <c r="H2353" s="6">
        <v>3</v>
      </c>
      <c r="I2353" s="6" t="s">
        <v>147</v>
      </c>
      <c r="J2353" s="6" t="s">
        <v>148</v>
      </c>
      <c r="K2353" s="6">
        <v>410</v>
      </c>
      <c r="L2353" s="6" t="s">
        <v>42</v>
      </c>
      <c r="M2353" s="6" t="s">
        <v>34</v>
      </c>
    </row>
    <row r="2354" spans="1:13">
      <c r="A2354" s="6" t="s">
        <v>3817</v>
      </c>
      <c r="B2354" s="7">
        <v>46091</v>
      </c>
      <c r="C2354" s="6" t="s">
        <v>165</v>
      </c>
      <c r="D2354" s="6" t="s">
        <v>110</v>
      </c>
      <c r="E2354" s="6" t="s">
        <v>46</v>
      </c>
      <c r="F2354" s="6" t="s">
        <v>38</v>
      </c>
      <c r="G2354" s="6" t="s">
        <v>39</v>
      </c>
      <c r="H2354" s="6">
        <v>2</v>
      </c>
      <c r="I2354" s="6" t="s">
        <v>166</v>
      </c>
      <c r="J2354" s="6" t="s">
        <v>167</v>
      </c>
      <c r="K2354" s="6">
        <v>520</v>
      </c>
      <c r="L2354" s="6" t="s">
        <v>42</v>
      </c>
      <c r="M2354" s="6" t="s">
        <v>34</v>
      </c>
    </row>
    <row r="2355" spans="1:13">
      <c r="A2355" s="6" t="s">
        <v>3818</v>
      </c>
      <c r="B2355" s="7">
        <v>46077</v>
      </c>
      <c r="C2355" s="6" t="s">
        <v>191</v>
      </c>
      <c r="D2355" s="6" t="s">
        <v>105</v>
      </c>
      <c r="E2355" s="6" t="s">
        <v>78</v>
      </c>
      <c r="F2355" s="6" t="s">
        <v>58</v>
      </c>
      <c r="G2355" s="6" t="s">
        <v>59</v>
      </c>
      <c r="H2355" s="6">
        <v>3</v>
      </c>
      <c r="I2355" s="6" t="s">
        <v>79</v>
      </c>
      <c r="J2355" s="6" t="s">
        <v>216</v>
      </c>
      <c r="K2355" s="6">
        <v>380</v>
      </c>
      <c r="L2355" s="6" t="s">
        <v>42</v>
      </c>
      <c r="M2355" s="6" t="s">
        <v>34</v>
      </c>
    </row>
    <row r="2356" spans="1:13">
      <c r="A2356" s="6" t="s">
        <v>3819</v>
      </c>
      <c r="B2356" s="7">
        <v>46072</v>
      </c>
      <c r="C2356" s="6" t="s">
        <v>3820</v>
      </c>
      <c r="D2356" s="6" t="s">
        <v>57</v>
      </c>
      <c r="E2356" s="6" t="s">
        <v>52</v>
      </c>
      <c r="F2356" s="6" t="s">
        <v>85</v>
      </c>
      <c r="G2356" s="6" t="s">
        <v>86</v>
      </c>
      <c r="H2356" s="6">
        <v>2</v>
      </c>
      <c r="I2356" s="6" t="s">
        <v>82</v>
      </c>
      <c r="J2356" s="6" t="s">
        <v>297</v>
      </c>
      <c r="K2356" s="6">
        <v>410</v>
      </c>
      <c r="L2356" s="6" t="s">
        <v>42</v>
      </c>
      <c r="M2356" s="6" t="s">
        <v>69</v>
      </c>
    </row>
    <row r="2357" spans="1:13">
      <c r="A2357" s="6" t="s">
        <v>3821</v>
      </c>
      <c r="B2357" s="7">
        <v>46190</v>
      </c>
      <c r="C2357" s="6" t="s">
        <v>1793</v>
      </c>
      <c r="D2357" s="6" t="s">
        <v>27</v>
      </c>
      <c r="E2357" s="6" t="s">
        <v>28</v>
      </c>
      <c r="F2357" s="6" t="s">
        <v>29</v>
      </c>
      <c r="G2357" s="6" t="s">
        <v>30</v>
      </c>
      <c r="H2357" s="6">
        <v>2</v>
      </c>
      <c r="I2357" s="6" t="s">
        <v>2666</v>
      </c>
      <c r="J2357" s="6" t="s">
        <v>204</v>
      </c>
      <c r="K2357" s="6" t="s">
        <v>41</v>
      </c>
      <c r="L2357" s="6" t="s">
        <v>42</v>
      </c>
      <c r="M2357" s="6" t="s">
        <v>34</v>
      </c>
    </row>
    <row r="2358" spans="1:13">
      <c r="A2358" s="6" t="s">
        <v>3822</v>
      </c>
      <c r="B2358" s="7">
        <v>46192</v>
      </c>
      <c r="C2358" s="6" t="s">
        <v>3823</v>
      </c>
      <c r="D2358" s="6" t="s">
        <v>110</v>
      </c>
      <c r="E2358" s="6" t="s">
        <v>46</v>
      </c>
      <c r="F2358" s="6" t="s">
        <v>29</v>
      </c>
      <c r="G2358" s="6" t="s">
        <v>30</v>
      </c>
      <c r="H2358" s="6">
        <v>3</v>
      </c>
      <c r="I2358" s="6" t="s">
        <v>60</v>
      </c>
      <c r="J2358" s="6" t="s">
        <v>268</v>
      </c>
      <c r="K2358" s="6" t="s">
        <v>41</v>
      </c>
      <c r="L2358" s="6" t="s">
        <v>42</v>
      </c>
      <c r="M2358" s="6" t="s">
        <v>34</v>
      </c>
    </row>
    <row r="2359" spans="1:13">
      <c r="A2359" s="6" t="s">
        <v>3824</v>
      </c>
      <c r="B2359" s="7">
        <v>46054</v>
      </c>
      <c r="C2359" s="6" t="s">
        <v>2074</v>
      </c>
      <c r="D2359" s="6" t="s">
        <v>127</v>
      </c>
      <c r="E2359" s="6" t="s">
        <v>78</v>
      </c>
      <c r="F2359" s="6" t="s">
        <v>94</v>
      </c>
      <c r="G2359" s="6" t="s">
        <v>95</v>
      </c>
      <c r="H2359" s="6">
        <v>1</v>
      </c>
      <c r="I2359" s="6" t="s">
        <v>113</v>
      </c>
      <c r="J2359" s="6" t="s">
        <v>113</v>
      </c>
      <c r="K2359" s="6">
        <v>340</v>
      </c>
      <c r="L2359" s="6" t="s">
        <v>42</v>
      </c>
      <c r="M2359" s="6" t="s">
        <v>34</v>
      </c>
    </row>
    <row r="2360" spans="1:13">
      <c r="A2360" s="6" t="s">
        <v>3825</v>
      </c>
      <c r="B2360" s="7">
        <v>46185</v>
      </c>
      <c r="C2360" s="6" t="s">
        <v>1194</v>
      </c>
      <c r="D2360" s="6" t="s">
        <v>45</v>
      </c>
      <c r="E2360" s="6" t="s">
        <v>78</v>
      </c>
      <c r="F2360" s="6" t="s">
        <v>100</v>
      </c>
      <c r="G2360" s="6" t="s">
        <v>101</v>
      </c>
      <c r="H2360" s="6">
        <v>1</v>
      </c>
      <c r="I2360" s="6" t="s">
        <v>82</v>
      </c>
      <c r="J2360" s="6" t="s">
        <v>82</v>
      </c>
      <c r="K2360" s="6" t="s">
        <v>119</v>
      </c>
      <c r="L2360" s="6" t="s">
        <v>33</v>
      </c>
      <c r="M2360" s="6" t="s">
        <v>34</v>
      </c>
    </row>
    <row r="2361" spans="1:13">
      <c r="A2361" s="6" t="s">
        <v>3826</v>
      </c>
      <c r="B2361" s="7">
        <v>46070</v>
      </c>
      <c r="C2361" s="6" t="s">
        <v>3827</v>
      </c>
      <c r="D2361" s="6" t="s">
        <v>27</v>
      </c>
      <c r="E2361" s="6" t="s">
        <v>52</v>
      </c>
      <c r="F2361" s="6" t="s">
        <v>47</v>
      </c>
      <c r="G2361" s="6" t="s">
        <v>48</v>
      </c>
      <c r="H2361" s="6">
        <v>1</v>
      </c>
      <c r="I2361" s="6" t="s">
        <v>82</v>
      </c>
      <c r="J2361" s="6" t="s">
        <v>82</v>
      </c>
      <c r="K2361" s="6">
        <v>85</v>
      </c>
      <c r="L2361" s="6" t="s">
        <v>42</v>
      </c>
      <c r="M2361" s="6" t="s">
        <v>34</v>
      </c>
    </row>
    <row r="2362" spans="1:13">
      <c r="A2362" s="6" t="s">
        <v>3828</v>
      </c>
      <c r="B2362" s="7">
        <v>46201</v>
      </c>
      <c r="C2362" s="6" t="s">
        <v>881</v>
      </c>
      <c r="D2362" s="6" t="s">
        <v>72</v>
      </c>
      <c r="E2362" s="6" t="s">
        <v>52</v>
      </c>
      <c r="F2362" s="6" t="s">
        <v>100</v>
      </c>
      <c r="G2362" s="6" t="s">
        <v>101</v>
      </c>
      <c r="H2362" s="6">
        <v>2</v>
      </c>
      <c r="I2362" s="6" t="s">
        <v>82</v>
      </c>
      <c r="J2362" s="6" t="s">
        <v>297</v>
      </c>
      <c r="K2362" s="6" t="s">
        <v>119</v>
      </c>
      <c r="L2362" s="6" t="s">
        <v>42</v>
      </c>
      <c r="M2362" s="6" t="s">
        <v>34</v>
      </c>
    </row>
    <row r="2363" spans="1:13">
      <c r="A2363" s="6" t="s">
        <v>3829</v>
      </c>
      <c r="B2363" s="7">
        <v>46051</v>
      </c>
      <c r="C2363" s="6" t="s">
        <v>1870</v>
      </c>
      <c r="D2363" s="6" t="s">
        <v>45</v>
      </c>
      <c r="E2363" s="6" t="s">
        <v>52</v>
      </c>
      <c r="F2363" s="6" t="s">
        <v>58</v>
      </c>
      <c r="G2363" s="6" t="s">
        <v>59</v>
      </c>
      <c r="H2363" s="6">
        <v>1</v>
      </c>
      <c r="I2363" s="6" t="s">
        <v>117</v>
      </c>
      <c r="J2363" s="6" t="s">
        <v>117</v>
      </c>
      <c r="K2363" s="6">
        <v>380</v>
      </c>
      <c r="L2363" s="6" t="s">
        <v>42</v>
      </c>
      <c r="M2363" s="6" t="s">
        <v>34</v>
      </c>
    </row>
    <row r="2364" spans="1:13">
      <c r="A2364" s="6" t="s">
        <v>3830</v>
      </c>
      <c r="B2364" s="7">
        <v>46051</v>
      </c>
      <c r="C2364" s="6" t="s">
        <v>1870</v>
      </c>
      <c r="D2364" s="6" t="s">
        <v>72</v>
      </c>
      <c r="E2364" s="6" t="s">
        <v>46</v>
      </c>
      <c r="F2364" s="6" t="s">
        <v>38</v>
      </c>
      <c r="G2364" s="6" t="s">
        <v>39</v>
      </c>
      <c r="H2364" s="6">
        <v>2</v>
      </c>
      <c r="I2364" s="6" t="s">
        <v>96</v>
      </c>
      <c r="J2364" s="6" t="s">
        <v>278</v>
      </c>
      <c r="K2364" s="6">
        <v>520</v>
      </c>
      <c r="L2364" s="6" t="s">
        <v>42</v>
      </c>
      <c r="M2364" s="6" t="s">
        <v>34</v>
      </c>
    </row>
    <row r="2365" spans="1:13">
      <c r="A2365" s="6" t="s">
        <v>3831</v>
      </c>
      <c r="B2365" s="7">
        <v>46044</v>
      </c>
      <c r="C2365" s="6" t="s">
        <v>2907</v>
      </c>
      <c r="D2365" s="6" t="s">
        <v>72</v>
      </c>
      <c r="E2365" s="6" t="s">
        <v>28</v>
      </c>
      <c r="F2365" s="6" t="s">
        <v>94</v>
      </c>
      <c r="G2365" s="6" t="s">
        <v>95</v>
      </c>
      <c r="H2365" s="6">
        <v>1</v>
      </c>
      <c r="I2365" s="6" t="s">
        <v>265</v>
      </c>
      <c r="J2365" s="6" t="s">
        <v>3832</v>
      </c>
      <c r="K2365" s="6">
        <v>340</v>
      </c>
      <c r="L2365" s="6" t="s">
        <v>33</v>
      </c>
      <c r="M2365" s="6" t="s">
        <v>34</v>
      </c>
    </row>
    <row r="2366" spans="1:13">
      <c r="A2366" s="6" t="s">
        <v>3833</v>
      </c>
      <c r="B2366" s="7">
        <v>46152</v>
      </c>
      <c r="C2366" s="6" t="s">
        <v>3834</v>
      </c>
      <c r="D2366" s="6" t="s">
        <v>45</v>
      </c>
      <c r="E2366" s="6" t="s">
        <v>37</v>
      </c>
      <c r="F2366" s="6" t="s">
        <v>47</v>
      </c>
      <c r="G2366" s="6" t="s">
        <v>48</v>
      </c>
      <c r="H2366" s="6">
        <v>3</v>
      </c>
      <c r="I2366" s="6" t="s">
        <v>96</v>
      </c>
      <c r="J2366" s="6" t="s">
        <v>97</v>
      </c>
      <c r="K2366" s="6" t="s">
        <v>49</v>
      </c>
      <c r="L2366" s="6" t="s">
        <v>42</v>
      </c>
      <c r="M2366" s="6" t="s">
        <v>34</v>
      </c>
    </row>
    <row r="2367" spans="1:13">
      <c r="A2367" s="6" t="s">
        <v>3835</v>
      </c>
      <c r="B2367" s="7">
        <v>46360</v>
      </c>
      <c r="C2367" s="6" t="s">
        <v>1935</v>
      </c>
      <c r="D2367" s="6" t="s">
        <v>72</v>
      </c>
      <c r="E2367" s="6" t="s">
        <v>28</v>
      </c>
      <c r="F2367" s="6" t="s">
        <v>53</v>
      </c>
      <c r="G2367" s="6" t="s">
        <v>54</v>
      </c>
      <c r="H2367" s="6">
        <v>3</v>
      </c>
      <c r="I2367" s="6" t="s">
        <v>748</v>
      </c>
      <c r="J2367" s="6" t="s">
        <v>138</v>
      </c>
      <c r="K2367" s="6">
        <v>190</v>
      </c>
      <c r="L2367" s="6" t="s">
        <v>42</v>
      </c>
      <c r="M2367" s="6" t="s">
        <v>34</v>
      </c>
    </row>
    <row r="2368" spans="1:13">
      <c r="A2368" s="6" t="s">
        <v>3836</v>
      </c>
      <c r="B2368" s="7">
        <v>46164</v>
      </c>
      <c r="C2368" s="6" t="s">
        <v>901</v>
      </c>
      <c r="D2368" s="6" t="s">
        <v>105</v>
      </c>
      <c r="E2368" s="6" t="s">
        <v>37</v>
      </c>
      <c r="F2368" s="6" t="s">
        <v>29</v>
      </c>
      <c r="G2368" s="6" t="s">
        <v>30</v>
      </c>
      <c r="H2368" s="6">
        <v>3</v>
      </c>
      <c r="I2368" s="6" t="s">
        <v>1004</v>
      </c>
      <c r="J2368" s="6" t="s">
        <v>401</v>
      </c>
      <c r="K2368" s="6" t="s">
        <v>41</v>
      </c>
      <c r="L2368" s="6" t="s">
        <v>42</v>
      </c>
      <c r="M2368" s="6" t="s">
        <v>34</v>
      </c>
    </row>
    <row r="2369" spans="1:13">
      <c r="A2369" s="6" t="s">
        <v>3837</v>
      </c>
      <c r="B2369" s="7">
        <v>46157</v>
      </c>
      <c r="C2369" s="6" t="s">
        <v>1850</v>
      </c>
      <c r="D2369" s="6" t="s">
        <v>57</v>
      </c>
      <c r="E2369" s="6" t="s">
        <v>28</v>
      </c>
      <c r="F2369" s="6" t="s">
        <v>29</v>
      </c>
      <c r="G2369" s="6" t="s">
        <v>30</v>
      </c>
      <c r="H2369" s="6">
        <v>-3</v>
      </c>
      <c r="I2369" s="6" t="s">
        <v>228</v>
      </c>
      <c r="J2369" s="8" t="s">
        <v>3838</v>
      </c>
      <c r="K2369" s="6" t="s">
        <v>41</v>
      </c>
      <c r="L2369" s="6" t="s">
        <v>33</v>
      </c>
      <c r="M2369" s="6" t="s">
        <v>34</v>
      </c>
    </row>
    <row r="2370" spans="1:13">
      <c r="A2370" s="6" t="s">
        <v>3839</v>
      </c>
      <c r="B2370" s="6" t="s">
        <v>698</v>
      </c>
      <c r="C2370" s="6" t="s">
        <v>701</v>
      </c>
      <c r="D2370" s="6" t="s">
        <v>77</v>
      </c>
      <c r="E2370" s="6" t="s">
        <v>52</v>
      </c>
      <c r="F2370" s="6" t="s">
        <v>29</v>
      </c>
      <c r="G2370" s="6" t="s">
        <v>30</v>
      </c>
      <c r="H2370" s="6">
        <v>1</v>
      </c>
      <c r="I2370" s="6" t="s">
        <v>90</v>
      </c>
      <c r="J2370" s="6" t="s">
        <v>90</v>
      </c>
      <c r="K2370" s="6">
        <v>520</v>
      </c>
      <c r="L2370" s="6" t="s">
        <v>42</v>
      </c>
      <c r="M2370" s="6" t="s">
        <v>34</v>
      </c>
    </row>
    <row r="2371" spans="1:13">
      <c r="A2371" s="6" t="s">
        <v>3840</v>
      </c>
      <c r="B2371" s="7">
        <v>46129</v>
      </c>
      <c r="C2371" s="6" t="s">
        <v>930</v>
      </c>
      <c r="D2371" s="6" t="s">
        <v>110</v>
      </c>
      <c r="E2371" s="6" t="s">
        <v>37</v>
      </c>
      <c r="F2371" s="6" t="s">
        <v>29</v>
      </c>
      <c r="G2371" s="6" t="s">
        <v>30</v>
      </c>
      <c r="H2371" s="6">
        <v>2</v>
      </c>
      <c r="I2371" s="6" t="s">
        <v>265</v>
      </c>
      <c r="J2371" s="6" t="s">
        <v>167</v>
      </c>
      <c r="K2371" s="6">
        <v>520</v>
      </c>
      <c r="L2371" s="6" t="s">
        <v>42</v>
      </c>
      <c r="M2371" s="6" t="s">
        <v>34</v>
      </c>
    </row>
    <row r="2372" spans="1:13">
      <c r="A2372" s="6" t="s">
        <v>3659</v>
      </c>
      <c r="B2372" s="7">
        <v>46107</v>
      </c>
      <c r="C2372" s="6" t="s">
        <v>1340</v>
      </c>
      <c r="D2372" s="6" t="s">
        <v>45</v>
      </c>
      <c r="E2372" s="6" t="s">
        <v>78</v>
      </c>
      <c r="F2372" s="6" t="s">
        <v>29</v>
      </c>
      <c r="G2372" s="6" t="s">
        <v>30</v>
      </c>
      <c r="H2372" s="6">
        <v>1</v>
      </c>
      <c r="I2372" s="6" t="s">
        <v>82</v>
      </c>
      <c r="J2372" s="6" t="s">
        <v>82</v>
      </c>
      <c r="K2372" s="6">
        <v>520</v>
      </c>
      <c r="L2372" s="6" t="s">
        <v>42</v>
      </c>
      <c r="M2372" s="6" t="s">
        <v>34</v>
      </c>
    </row>
    <row r="2373" spans="1:13">
      <c r="A2373" s="6" t="s">
        <v>3841</v>
      </c>
      <c r="B2373" s="7">
        <v>46142</v>
      </c>
      <c r="C2373" s="6" t="s">
        <v>3842</v>
      </c>
      <c r="D2373" s="6" t="s">
        <v>27</v>
      </c>
      <c r="E2373" s="6" t="s">
        <v>46</v>
      </c>
      <c r="F2373" s="6" t="s">
        <v>58</v>
      </c>
      <c r="G2373" s="6" t="s">
        <v>59</v>
      </c>
      <c r="H2373" s="6">
        <v>1</v>
      </c>
      <c r="I2373" s="6" t="s">
        <v>265</v>
      </c>
      <c r="J2373" s="6" t="s">
        <v>2761</v>
      </c>
      <c r="K2373" s="6" t="s">
        <v>61</v>
      </c>
      <c r="L2373" s="6" t="s">
        <v>42</v>
      </c>
      <c r="M2373" s="6" t="s">
        <v>34</v>
      </c>
    </row>
    <row r="2374" spans="1:13">
      <c r="A2374" s="6" t="s">
        <v>3843</v>
      </c>
      <c r="B2374" s="7">
        <v>46051</v>
      </c>
      <c r="C2374" s="6" t="s">
        <v>454</v>
      </c>
      <c r="D2374" s="6" t="s">
        <v>105</v>
      </c>
      <c r="E2374" s="6" t="s">
        <v>78</v>
      </c>
      <c r="F2374" s="6" t="s">
        <v>100</v>
      </c>
      <c r="G2374" s="6" t="s">
        <v>101</v>
      </c>
      <c r="H2374" s="6">
        <v>1</v>
      </c>
      <c r="I2374" s="6" t="s">
        <v>113</v>
      </c>
      <c r="J2374" s="6" t="s">
        <v>113</v>
      </c>
      <c r="K2374" s="6">
        <v>640</v>
      </c>
      <c r="L2374" s="6" t="s">
        <v>42</v>
      </c>
      <c r="M2374" s="6" t="s">
        <v>34</v>
      </c>
    </row>
    <row r="2375" spans="1:13">
      <c r="A2375" s="6" t="s">
        <v>3844</v>
      </c>
      <c r="B2375" s="7">
        <v>46169</v>
      </c>
      <c r="C2375" s="6" t="s">
        <v>1373</v>
      </c>
      <c r="D2375" s="6" t="s">
        <v>127</v>
      </c>
      <c r="E2375" s="6" t="s">
        <v>37</v>
      </c>
      <c r="F2375" s="6" t="s">
        <v>38</v>
      </c>
      <c r="G2375" s="6" t="s">
        <v>39</v>
      </c>
      <c r="H2375" s="6">
        <v>1</v>
      </c>
      <c r="I2375" s="6" t="s">
        <v>117</v>
      </c>
      <c r="J2375" s="6" t="s">
        <v>117</v>
      </c>
      <c r="K2375" s="6" t="s">
        <v>41</v>
      </c>
      <c r="L2375" s="6" t="s">
        <v>33</v>
      </c>
      <c r="M2375" s="6" t="s">
        <v>34</v>
      </c>
    </row>
    <row r="2376" spans="1:13">
      <c r="A2376" s="6" t="s">
        <v>3845</v>
      </c>
      <c r="B2376" s="7">
        <v>46158</v>
      </c>
      <c r="C2376" s="6" t="s">
        <v>1719</v>
      </c>
      <c r="D2376" s="6" t="s">
        <v>127</v>
      </c>
      <c r="E2376" s="6" t="s">
        <v>28</v>
      </c>
      <c r="F2376" s="6" t="s">
        <v>29</v>
      </c>
      <c r="G2376" s="6" t="s">
        <v>30</v>
      </c>
      <c r="H2376" s="6">
        <v>2</v>
      </c>
      <c r="I2376" s="6" t="s">
        <v>60</v>
      </c>
      <c r="J2376" s="6" t="s">
        <v>189</v>
      </c>
      <c r="K2376" s="6" t="s">
        <v>41</v>
      </c>
      <c r="L2376" s="6" t="s">
        <v>42</v>
      </c>
      <c r="M2376" s="6" t="s">
        <v>34</v>
      </c>
    </row>
    <row r="2377" spans="1:13">
      <c r="A2377" s="6" t="s">
        <v>3846</v>
      </c>
      <c r="B2377" s="7">
        <v>46135</v>
      </c>
      <c r="C2377" s="6" t="s">
        <v>2412</v>
      </c>
      <c r="D2377" s="6" t="s">
        <v>72</v>
      </c>
      <c r="E2377" s="6" t="s">
        <v>37</v>
      </c>
      <c r="F2377" s="6" t="s">
        <v>100</v>
      </c>
      <c r="G2377" s="6" t="s">
        <v>101</v>
      </c>
      <c r="H2377" s="6">
        <v>3</v>
      </c>
      <c r="I2377" s="6" t="s">
        <v>113</v>
      </c>
      <c r="J2377" s="6" t="s">
        <v>138</v>
      </c>
      <c r="K2377" s="6" t="s">
        <v>119</v>
      </c>
      <c r="L2377" s="6" t="s">
        <v>42</v>
      </c>
      <c r="M2377" s="6" t="s">
        <v>69</v>
      </c>
    </row>
    <row r="2378" spans="1:13">
      <c r="A2378" s="6" t="s">
        <v>3847</v>
      </c>
      <c r="B2378" s="7">
        <v>46105</v>
      </c>
      <c r="C2378" s="6" t="s">
        <v>1468</v>
      </c>
      <c r="D2378" s="6" t="s">
        <v>27</v>
      </c>
      <c r="E2378" s="6" t="s">
        <v>52</v>
      </c>
      <c r="F2378" s="6" t="s">
        <v>100</v>
      </c>
      <c r="G2378" s="6" t="s">
        <v>101</v>
      </c>
      <c r="H2378" s="6">
        <v>1</v>
      </c>
      <c r="I2378" s="6" t="s">
        <v>31</v>
      </c>
      <c r="J2378" s="6" t="s">
        <v>31</v>
      </c>
      <c r="K2378" s="6">
        <v>640</v>
      </c>
      <c r="L2378" s="6" t="s">
        <v>42</v>
      </c>
      <c r="M2378" s="6" t="s">
        <v>34</v>
      </c>
    </row>
    <row r="2379" spans="1:13">
      <c r="A2379" s="6" t="s">
        <v>3848</v>
      </c>
      <c r="B2379" s="7">
        <v>46040</v>
      </c>
      <c r="C2379" s="6" t="s">
        <v>2802</v>
      </c>
      <c r="D2379" s="6" t="s">
        <v>45</v>
      </c>
      <c r="E2379" s="6" t="s">
        <v>28</v>
      </c>
      <c r="F2379" s="6" t="s">
        <v>53</v>
      </c>
      <c r="G2379" s="6" t="s">
        <v>54</v>
      </c>
      <c r="H2379" s="6">
        <v>2</v>
      </c>
      <c r="I2379" s="6" t="s">
        <v>82</v>
      </c>
      <c r="J2379" s="6" t="s">
        <v>297</v>
      </c>
      <c r="K2379" s="6">
        <v>190</v>
      </c>
      <c r="L2379" s="6" t="s">
        <v>42</v>
      </c>
      <c r="M2379" s="6" t="s">
        <v>69</v>
      </c>
    </row>
    <row r="2380" spans="1:13">
      <c r="A2380" s="6" t="s">
        <v>3849</v>
      </c>
      <c r="B2380" s="7">
        <v>46132</v>
      </c>
      <c r="C2380" s="6" t="s">
        <v>2975</v>
      </c>
      <c r="D2380" s="6" t="s">
        <v>45</v>
      </c>
      <c r="E2380" s="6" t="s">
        <v>37</v>
      </c>
      <c r="F2380" s="6" t="s">
        <v>94</v>
      </c>
      <c r="G2380" s="6" t="s">
        <v>95</v>
      </c>
      <c r="H2380" s="6">
        <v>1</v>
      </c>
      <c r="I2380" s="6" t="s">
        <v>143</v>
      </c>
      <c r="J2380" s="6" t="s">
        <v>143</v>
      </c>
      <c r="K2380" s="6" t="s">
        <v>114</v>
      </c>
      <c r="L2380" s="6" t="s">
        <v>42</v>
      </c>
      <c r="M2380" s="6" t="s">
        <v>69</v>
      </c>
    </row>
    <row r="2381" spans="1:13">
      <c r="A2381" s="6" t="s">
        <v>3850</v>
      </c>
      <c r="B2381" s="7">
        <v>46181</v>
      </c>
      <c r="C2381" s="6" t="s">
        <v>3400</v>
      </c>
      <c r="D2381" s="6" t="s">
        <v>110</v>
      </c>
      <c r="E2381" s="6" t="s">
        <v>52</v>
      </c>
      <c r="F2381" s="6" t="s">
        <v>58</v>
      </c>
      <c r="G2381" s="6" t="s">
        <v>59</v>
      </c>
      <c r="H2381" s="6">
        <v>2</v>
      </c>
      <c r="I2381" s="6" t="s">
        <v>31</v>
      </c>
      <c r="J2381" s="6" t="s">
        <v>249</v>
      </c>
      <c r="K2381" s="6" t="s">
        <v>61</v>
      </c>
      <c r="L2381" s="6" t="s">
        <v>33</v>
      </c>
      <c r="M2381" s="6" t="s">
        <v>69</v>
      </c>
    </row>
    <row r="2382" spans="1:13">
      <c r="A2382" s="6" t="s">
        <v>3851</v>
      </c>
      <c r="B2382" s="7">
        <v>46076</v>
      </c>
      <c r="C2382" s="6" t="s">
        <v>2622</v>
      </c>
      <c r="D2382" s="6" t="s">
        <v>105</v>
      </c>
      <c r="E2382" s="6" t="s">
        <v>78</v>
      </c>
      <c r="F2382" s="6" t="s">
        <v>94</v>
      </c>
      <c r="G2382" s="6" t="s">
        <v>95</v>
      </c>
      <c r="H2382" s="6">
        <v>1</v>
      </c>
      <c r="I2382" s="6" t="s">
        <v>40</v>
      </c>
      <c r="J2382" s="6" t="s">
        <v>3852</v>
      </c>
      <c r="K2382" s="6">
        <v>340</v>
      </c>
      <c r="L2382" s="6" t="s">
        <v>33</v>
      </c>
      <c r="M2382" s="6" t="s">
        <v>34</v>
      </c>
    </row>
    <row r="2383" spans="1:13">
      <c r="A2383" s="6" t="s">
        <v>3853</v>
      </c>
      <c r="B2383" s="7">
        <v>46112</v>
      </c>
      <c r="C2383" s="6" t="s">
        <v>2811</v>
      </c>
      <c r="D2383" s="6" t="s">
        <v>64</v>
      </c>
      <c r="E2383" s="6" t="s">
        <v>28</v>
      </c>
      <c r="F2383" s="6" t="s">
        <v>58</v>
      </c>
      <c r="G2383" s="6" t="s">
        <v>59</v>
      </c>
      <c r="H2383" s="6">
        <v>1</v>
      </c>
      <c r="I2383" s="6" t="s">
        <v>67</v>
      </c>
      <c r="J2383" s="6" t="s">
        <v>67</v>
      </c>
      <c r="K2383" s="6">
        <v>380</v>
      </c>
      <c r="L2383" s="6" t="s">
        <v>42</v>
      </c>
      <c r="M2383" s="6" t="s">
        <v>69</v>
      </c>
    </row>
    <row r="2384" spans="1:13">
      <c r="A2384" s="6" t="s">
        <v>3854</v>
      </c>
      <c r="B2384" s="7">
        <v>46073</v>
      </c>
      <c r="C2384" s="6" t="s">
        <v>3855</v>
      </c>
      <c r="D2384" s="6" t="s">
        <v>110</v>
      </c>
      <c r="E2384" s="6" t="s">
        <v>37</v>
      </c>
      <c r="F2384" s="6" t="s">
        <v>53</v>
      </c>
      <c r="G2384" s="6" t="s">
        <v>54</v>
      </c>
      <c r="H2384" s="6">
        <v>1</v>
      </c>
      <c r="I2384" s="6" t="s">
        <v>265</v>
      </c>
      <c r="J2384" s="6" t="s">
        <v>265</v>
      </c>
      <c r="K2384" s="6">
        <v>190</v>
      </c>
      <c r="L2384" s="6" t="s">
        <v>42</v>
      </c>
      <c r="M2384" s="6" t="s">
        <v>69</v>
      </c>
    </row>
    <row r="2385" spans="1:13">
      <c r="A2385" s="6" t="s">
        <v>3856</v>
      </c>
      <c r="B2385" s="7">
        <v>46198</v>
      </c>
      <c r="C2385" s="6" t="s">
        <v>3784</v>
      </c>
      <c r="D2385" s="6" t="s">
        <v>45</v>
      </c>
      <c r="E2385" s="6" t="s">
        <v>78</v>
      </c>
      <c r="F2385" s="6" t="s">
        <v>53</v>
      </c>
      <c r="G2385" s="6" t="s">
        <v>54</v>
      </c>
      <c r="H2385" s="6">
        <v>1</v>
      </c>
      <c r="I2385" s="6" t="s">
        <v>90</v>
      </c>
      <c r="J2385" s="6" t="s">
        <v>90</v>
      </c>
      <c r="K2385" s="6" t="s">
        <v>122</v>
      </c>
      <c r="L2385" s="6" t="s">
        <v>42</v>
      </c>
      <c r="M2385" s="6" t="s">
        <v>69</v>
      </c>
    </row>
    <row r="2386" spans="1:13">
      <c r="A2386" s="6" t="s">
        <v>3857</v>
      </c>
      <c r="B2386" s="7">
        <v>46175</v>
      </c>
      <c r="C2386" s="6" t="s">
        <v>3858</v>
      </c>
      <c r="D2386" s="6" t="s">
        <v>105</v>
      </c>
      <c r="E2386" s="6" t="s">
        <v>28</v>
      </c>
      <c r="F2386" s="6" t="s">
        <v>29</v>
      </c>
      <c r="G2386" s="6" t="s">
        <v>30</v>
      </c>
      <c r="H2386" s="6">
        <v>1</v>
      </c>
      <c r="I2386" s="6" t="s">
        <v>96</v>
      </c>
      <c r="J2386" s="6" t="s">
        <v>96</v>
      </c>
      <c r="K2386" s="6" t="s">
        <v>41</v>
      </c>
      <c r="L2386" s="6" t="s">
        <v>42</v>
      </c>
      <c r="M2386" s="6" t="s">
        <v>69</v>
      </c>
    </row>
    <row r="2387" spans="1:13">
      <c r="A2387" s="6" t="s">
        <v>3859</v>
      </c>
      <c r="B2387" s="7">
        <v>46073</v>
      </c>
      <c r="C2387" s="6" t="s">
        <v>3860</v>
      </c>
      <c r="D2387" s="6" t="s">
        <v>72</v>
      </c>
      <c r="E2387" s="6" t="s">
        <v>28</v>
      </c>
      <c r="F2387" s="6" t="s">
        <v>85</v>
      </c>
      <c r="G2387" s="6" t="s">
        <v>86</v>
      </c>
      <c r="H2387" s="6">
        <v>2</v>
      </c>
      <c r="I2387" s="6" t="s">
        <v>147</v>
      </c>
      <c r="J2387" s="6" t="s">
        <v>175</v>
      </c>
      <c r="K2387" s="6">
        <v>410</v>
      </c>
      <c r="L2387" s="6" t="s">
        <v>42</v>
      </c>
      <c r="M2387" s="6" t="s">
        <v>69</v>
      </c>
    </row>
    <row r="2388" spans="1:13">
      <c r="A2388" s="6" t="s">
        <v>3861</v>
      </c>
      <c r="B2388" s="7">
        <v>46143</v>
      </c>
      <c r="C2388" s="6" t="s">
        <v>1482</v>
      </c>
      <c r="D2388" s="6" t="s">
        <v>64</v>
      </c>
      <c r="E2388" s="6" t="s">
        <v>52</v>
      </c>
      <c r="F2388" s="6" t="s">
        <v>47</v>
      </c>
      <c r="G2388" s="6" t="s">
        <v>48</v>
      </c>
      <c r="H2388" s="6">
        <v>2</v>
      </c>
      <c r="I2388" s="6" t="s">
        <v>143</v>
      </c>
      <c r="J2388" s="6" t="s">
        <v>144</v>
      </c>
      <c r="K2388" s="6" t="s">
        <v>49</v>
      </c>
      <c r="L2388" s="6" t="s">
        <v>42</v>
      </c>
      <c r="M2388" s="6" t="s">
        <v>34</v>
      </c>
    </row>
    <row r="2389" spans="1:13">
      <c r="A2389" s="6" t="s">
        <v>3862</v>
      </c>
      <c r="B2389" s="7">
        <v>46060</v>
      </c>
      <c r="C2389" s="6" t="s">
        <v>1803</v>
      </c>
      <c r="D2389" s="6" t="s">
        <v>27</v>
      </c>
      <c r="E2389" s="6" t="s">
        <v>28</v>
      </c>
      <c r="F2389" s="6" t="s">
        <v>100</v>
      </c>
      <c r="G2389" s="6" t="s">
        <v>101</v>
      </c>
      <c r="H2389" s="6">
        <v>1</v>
      </c>
      <c r="I2389" s="6" t="s">
        <v>90</v>
      </c>
      <c r="J2389" s="6" t="s">
        <v>262</v>
      </c>
      <c r="K2389" s="6">
        <v>640</v>
      </c>
      <c r="L2389" s="6" t="s">
        <v>42</v>
      </c>
      <c r="M2389" s="6" t="s">
        <v>34</v>
      </c>
    </row>
    <row r="2390" spans="1:13">
      <c r="A2390" s="6" t="s">
        <v>3863</v>
      </c>
      <c r="B2390" s="7">
        <v>46100</v>
      </c>
      <c r="C2390" s="6" t="s">
        <v>1439</v>
      </c>
      <c r="D2390" s="6" t="s">
        <v>127</v>
      </c>
      <c r="E2390" s="6" t="s">
        <v>78</v>
      </c>
      <c r="F2390" s="6" t="s">
        <v>94</v>
      </c>
      <c r="G2390" s="6" t="s">
        <v>95</v>
      </c>
      <c r="H2390" s="6">
        <v>3</v>
      </c>
      <c r="I2390" s="6" t="s">
        <v>90</v>
      </c>
      <c r="J2390" s="6" t="s">
        <v>102</v>
      </c>
      <c r="K2390" s="6">
        <v>340</v>
      </c>
      <c r="L2390" s="6" t="s">
        <v>42</v>
      </c>
      <c r="M2390" s="6" t="s">
        <v>34</v>
      </c>
    </row>
    <row r="2391" spans="1:13">
      <c r="A2391" s="6" t="s">
        <v>3864</v>
      </c>
      <c r="B2391" s="7">
        <v>46043</v>
      </c>
      <c r="C2391" s="6" t="s">
        <v>851</v>
      </c>
      <c r="D2391" s="6" t="s">
        <v>72</v>
      </c>
      <c r="E2391" s="6" t="s">
        <v>52</v>
      </c>
      <c r="F2391" s="6" t="s">
        <v>29</v>
      </c>
      <c r="G2391" s="6" t="s">
        <v>30</v>
      </c>
      <c r="H2391" s="6">
        <v>1</v>
      </c>
      <c r="I2391" s="6" t="s">
        <v>67</v>
      </c>
      <c r="J2391" s="6" t="s">
        <v>67</v>
      </c>
      <c r="K2391" s="6">
        <v>520</v>
      </c>
      <c r="L2391" s="6" t="s">
        <v>42</v>
      </c>
      <c r="M2391" s="6" t="s">
        <v>34</v>
      </c>
    </row>
    <row r="2392" spans="1:13">
      <c r="A2392" s="6" t="s">
        <v>3865</v>
      </c>
      <c r="B2392" s="7">
        <v>46050</v>
      </c>
      <c r="C2392" s="6" t="s">
        <v>3465</v>
      </c>
      <c r="D2392" s="6" t="s">
        <v>57</v>
      </c>
      <c r="E2392" s="6" t="s">
        <v>46</v>
      </c>
      <c r="F2392" s="6" t="s">
        <v>38</v>
      </c>
      <c r="G2392" s="6" t="s">
        <v>39</v>
      </c>
      <c r="H2392" s="6">
        <v>2</v>
      </c>
      <c r="I2392" s="6" t="s">
        <v>67</v>
      </c>
      <c r="J2392" s="6" t="s">
        <v>204</v>
      </c>
      <c r="K2392" s="6">
        <v>520</v>
      </c>
      <c r="L2392" s="6" t="s">
        <v>42</v>
      </c>
      <c r="M2392" s="6" t="s">
        <v>34</v>
      </c>
    </row>
    <row r="2393" spans="1:13">
      <c r="A2393" s="6" t="s">
        <v>3866</v>
      </c>
      <c r="B2393" s="7">
        <v>46175</v>
      </c>
      <c r="C2393" s="6" t="s">
        <v>3103</v>
      </c>
      <c r="D2393" s="6" t="s">
        <v>105</v>
      </c>
      <c r="E2393" s="6" t="s">
        <v>78</v>
      </c>
      <c r="F2393" s="6" t="s">
        <v>53</v>
      </c>
      <c r="G2393" s="6" t="s">
        <v>54</v>
      </c>
      <c r="H2393" s="6">
        <v>3</v>
      </c>
      <c r="I2393" s="6" t="s">
        <v>265</v>
      </c>
      <c r="J2393" s="6" t="s">
        <v>401</v>
      </c>
      <c r="K2393" s="6" t="s">
        <v>122</v>
      </c>
      <c r="L2393" s="6" t="s">
        <v>33</v>
      </c>
      <c r="M2393" s="6" t="s">
        <v>34</v>
      </c>
    </row>
    <row r="2394" spans="1:13">
      <c r="A2394" s="6" t="s">
        <v>3867</v>
      </c>
      <c r="B2394" s="7">
        <v>46151</v>
      </c>
      <c r="C2394" s="6" t="s">
        <v>3868</v>
      </c>
      <c r="D2394" s="6" t="s">
        <v>105</v>
      </c>
      <c r="E2394" s="6" t="s">
        <v>46</v>
      </c>
      <c r="F2394" s="6" t="s">
        <v>53</v>
      </c>
      <c r="G2394" s="6" t="s">
        <v>54</v>
      </c>
      <c r="H2394" s="6">
        <v>1</v>
      </c>
      <c r="I2394" s="6" t="s">
        <v>117</v>
      </c>
      <c r="J2394" s="6" t="s">
        <v>117</v>
      </c>
      <c r="K2394" s="6" t="s">
        <v>122</v>
      </c>
      <c r="L2394" s="6" t="s">
        <v>42</v>
      </c>
      <c r="M2394" s="6" t="s">
        <v>34</v>
      </c>
    </row>
    <row r="2395" spans="1:13">
      <c r="A2395" s="6" t="s">
        <v>3869</v>
      </c>
      <c r="B2395" s="7">
        <v>46106</v>
      </c>
      <c r="C2395" s="6" t="s">
        <v>757</v>
      </c>
      <c r="D2395" s="6" t="s">
        <v>77</v>
      </c>
      <c r="E2395" s="6" t="s">
        <v>46</v>
      </c>
      <c r="F2395" s="6" t="s">
        <v>47</v>
      </c>
      <c r="G2395" s="6" t="s">
        <v>48</v>
      </c>
      <c r="H2395" s="6">
        <v>1</v>
      </c>
      <c r="I2395" s="6" t="s">
        <v>143</v>
      </c>
      <c r="J2395" s="6" t="s">
        <v>143</v>
      </c>
      <c r="K2395" s="6">
        <v>85</v>
      </c>
      <c r="L2395" s="6" t="s">
        <v>33</v>
      </c>
      <c r="M2395" s="6" t="s">
        <v>69</v>
      </c>
    </row>
    <row r="2396" spans="1:13">
      <c r="A2396" s="6" t="s">
        <v>3870</v>
      </c>
      <c r="B2396" s="7">
        <v>46088</v>
      </c>
      <c r="C2396" s="6" t="s">
        <v>2765</v>
      </c>
      <c r="D2396" s="6" t="s">
        <v>64</v>
      </c>
      <c r="E2396" s="6" t="s">
        <v>52</v>
      </c>
      <c r="F2396" s="6" t="s">
        <v>47</v>
      </c>
      <c r="G2396" s="6" t="s">
        <v>48</v>
      </c>
      <c r="H2396" s="6">
        <v>1</v>
      </c>
      <c r="I2396" s="6" t="s">
        <v>113</v>
      </c>
      <c r="J2396" s="6" t="s">
        <v>113</v>
      </c>
      <c r="K2396" s="6">
        <v>85</v>
      </c>
      <c r="L2396" s="6" t="s">
        <v>42</v>
      </c>
      <c r="M2396" s="6" t="s">
        <v>69</v>
      </c>
    </row>
    <row r="2397" spans="1:13">
      <c r="A2397" s="6" t="s">
        <v>3871</v>
      </c>
      <c r="B2397" s="7">
        <v>46040</v>
      </c>
      <c r="C2397" s="6" t="s">
        <v>2463</v>
      </c>
      <c r="D2397" s="6" t="s">
        <v>57</v>
      </c>
      <c r="E2397" s="6" t="s">
        <v>46</v>
      </c>
      <c r="F2397" s="6" t="s">
        <v>38</v>
      </c>
      <c r="G2397" s="6" t="s">
        <v>39</v>
      </c>
      <c r="H2397" s="6">
        <v>2</v>
      </c>
      <c r="I2397" s="6" t="s">
        <v>117</v>
      </c>
      <c r="J2397" s="6" t="s">
        <v>118</v>
      </c>
      <c r="K2397" s="6">
        <v>520</v>
      </c>
      <c r="L2397" s="6" t="s">
        <v>42</v>
      </c>
      <c r="M2397" s="6" t="s">
        <v>69</v>
      </c>
    </row>
    <row r="2398" spans="1:13">
      <c r="A2398" s="6" t="s">
        <v>3872</v>
      </c>
      <c r="B2398" s="7">
        <v>46099</v>
      </c>
      <c r="C2398" s="6" t="s">
        <v>3873</v>
      </c>
      <c r="D2398" s="6" t="s">
        <v>105</v>
      </c>
      <c r="E2398" s="6" t="s">
        <v>52</v>
      </c>
      <c r="F2398" s="6" t="s">
        <v>29</v>
      </c>
      <c r="G2398" s="6" t="s">
        <v>30</v>
      </c>
      <c r="H2398" s="6">
        <v>1</v>
      </c>
      <c r="I2398" s="6" t="s">
        <v>113</v>
      </c>
      <c r="J2398" s="6" t="s">
        <v>113</v>
      </c>
      <c r="K2398" s="6">
        <v>520</v>
      </c>
      <c r="L2398" s="6" t="s">
        <v>33</v>
      </c>
      <c r="M2398" s="6" t="s">
        <v>34</v>
      </c>
    </row>
    <row r="2399" spans="1:13">
      <c r="A2399" s="6" t="s">
        <v>3874</v>
      </c>
      <c r="B2399" s="7">
        <v>46180</v>
      </c>
      <c r="C2399" s="6" t="s">
        <v>3528</v>
      </c>
      <c r="D2399" s="6" t="s">
        <v>77</v>
      </c>
      <c r="E2399" s="6" t="s">
        <v>52</v>
      </c>
      <c r="F2399" s="6" t="s">
        <v>38</v>
      </c>
      <c r="G2399" s="6" t="s">
        <v>39</v>
      </c>
      <c r="H2399" s="6">
        <v>3</v>
      </c>
      <c r="I2399" s="6" t="s">
        <v>40</v>
      </c>
      <c r="J2399" s="6" t="s">
        <v>579</v>
      </c>
      <c r="K2399" s="6" t="s">
        <v>41</v>
      </c>
      <c r="L2399" s="6" t="s">
        <v>33</v>
      </c>
      <c r="M2399" s="6" t="s">
        <v>34</v>
      </c>
    </row>
    <row r="2400" spans="1:13">
      <c r="A2400" s="6" t="s">
        <v>3875</v>
      </c>
      <c r="B2400" s="7">
        <v>46164</v>
      </c>
      <c r="C2400" s="6" t="s">
        <v>351</v>
      </c>
      <c r="D2400" s="6" t="s">
        <v>45</v>
      </c>
      <c r="E2400" s="6" t="s">
        <v>46</v>
      </c>
      <c r="F2400" s="6" t="s">
        <v>94</v>
      </c>
      <c r="G2400" s="6" t="s">
        <v>95</v>
      </c>
      <c r="H2400" s="6">
        <v>2</v>
      </c>
      <c r="I2400" s="6" t="s">
        <v>117</v>
      </c>
      <c r="J2400" s="6" t="s">
        <v>2037</v>
      </c>
      <c r="K2400" s="6" t="s">
        <v>114</v>
      </c>
      <c r="L2400" s="6" t="s">
        <v>42</v>
      </c>
      <c r="M2400" s="6" t="s">
        <v>34</v>
      </c>
    </row>
    <row r="2401" spans="1:13">
      <c r="A2401" s="6" t="s">
        <v>3876</v>
      </c>
      <c r="B2401" s="6" t="s">
        <v>3371</v>
      </c>
      <c r="C2401" s="6" t="s">
        <v>903</v>
      </c>
      <c r="D2401" s="6" t="s">
        <v>110</v>
      </c>
      <c r="E2401" s="6" t="s">
        <v>37</v>
      </c>
      <c r="F2401" s="6" t="s">
        <v>29</v>
      </c>
      <c r="G2401" s="6" t="s">
        <v>30</v>
      </c>
      <c r="H2401" s="6">
        <v>1</v>
      </c>
      <c r="I2401" s="6" t="s">
        <v>31</v>
      </c>
      <c r="J2401" s="6" t="s">
        <v>31</v>
      </c>
      <c r="K2401" s="6" t="s">
        <v>41</v>
      </c>
      <c r="L2401" s="6" t="s">
        <v>42</v>
      </c>
      <c r="M2401" s="6" t="s">
        <v>34</v>
      </c>
    </row>
    <row r="2402" spans="1:13">
      <c r="A2402" s="6" t="s">
        <v>3877</v>
      </c>
      <c r="B2402" s="7">
        <v>46076</v>
      </c>
      <c r="C2402" s="6" t="s">
        <v>801</v>
      </c>
      <c r="D2402" s="6" t="s">
        <v>45</v>
      </c>
      <c r="E2402" s="6" t="s">
        <v>46</v>
      </c>
      <c r="F2402" s="6" t="s">
        <v>94</v>
      </c>
      <c r="G2402" s="6" t="s">
        <v>95</v>
      </c>
      <c r="H2402" s="6">
        <v>3</v>
      </c>
      <c r="I2402" s="6" t="s">
        <v>31</v>
      </c>
      <c r="J2402" s="6" t="s">
        <v>337</v>
      </c>
      <c r="K2402" s="6">
        <v>340</v>
      </c>
      <c r="L2402" s="6" t="s">
        <v>42</v>
      </c>
      <c r="M2402" s="6" t="s">
        <v>69</v>
      </c>
    </row>
    <row r="2403" spans="1:13">
      <c r="A2403" s="6" t="s">
        <v>3878</v>
      </c>
      <c r="B2403" s="7">
        <v>46104</v>
      </c>
      <c r="C2403" s="6" t="s">
        <v>462</v>
      </c>
      <c r="D2403" s="6" t="s">
        <v>45</v>
      </c>
      <c r="E2403" s="6" t="s">
        <v>52</v>
      </c>
      <c r="F2403" s="6" t="s">
        <v>38</v>
      </c>
      <c r="G2403" s="6" t="s">
        <v>39</v>
      </c>
      <c r="H2403" s="6">
        <v>2</v>
      </c>
      <c r="I2403" s="6" t="s">
        <v>113</v>
      </c>
      <c r="J2403" s="6" t="s">
        <v>192</v>
      </c>
      <c r="K2403" s="6">
        <v>520</v>
      </c>
      <c r="L2403" s="6" t="s">
        <v>42</v>
      </c>
      <c r="M2403" s="6" t="s">
        <v>34</v>
      </c>
    </row>
    <row r="2404" spans="1:13">
      <c r="A2404" s="6" t="s">
        <v>3879</v>
      </c>
      <c r="B2404" s="7">
        <v>46163</v>
      </c>
      <c r="C2404" s="6" t="s">
        <v>3880</v>
      </c>
      <c r="D2404" s="6" t="s">
        <v>57</v>
      </c>
      <c r="E2404" s="6" t="s">
        <v>46</v>
      </c>
      <c r="F2404" s="6" t="s">
        <v>94</v>
      </c>
      <c r="G2404" s="6" t="s">
        <v>95</v>
      </c>
      <c r="H2404" s="6">
        <v>1</v>
      </c>
      <c r="I2404" s="6" t="s">
        <v>31</v>
      </c>
      <c r="J2404" s="6" t="s">
        <v>31</v>
      </c>
      <c r="K2404" s="6" t="s">
        <v>114</v>
      </c>
      <c r="L2404" s="6" t="s">
        <v>42</v>
      </c>
      <c r="M2404" s="6" t="s">
        <v>34</v>
      </c>
    </row>
    <row r="2405" spans="1:13">
      <c r="A2405" s="6" t="s">
        <v>3881</v>
      </c>
      <c r="B2405" s="7">
        <v>46115</v>
      </c>
      <c r="C2405" s="6" t="s">
        <v>1803</v>
      </c>
      <c r="D2405" s="6" t="s">
        <v>127</v>
      </c>
      <c r="E2405" s="6" t="s">
        <v>28</v>
      </c>
      <c r="F2405" s="6" t="s">
        <v>38</v>
      </c>
      <c r="G2405" s="6" t="s">
        <v>39</v>
      </c>
      <c r="H2405" s="6">
        <v>3</v>
      </c>
      <c r="I2405" s="6" t="s">
        <v>40</v>
      </c>
      <c r="J2405" s="6" t="s">
        <v>579</v>
      </c>
      <c r="K2405" s="6">
        <v>520</v>
      </c>
      <c r="L2405" s="6" t="s">
        <v>42</v>
      </c>
      <c r="M2405" s="6" t="s">
        <v>34</v>
      </c>
    </row>
    <row r="2406" spans="1:13">
      <c r="A2406" s="6" t="s">
        <v>3882</v>
      </c>
      <c r="B2406" s="7">
        <v>46044</v>
      </c>
      <c r="C2406" s="6" t="s">
        <v>1693</v>
      </c>
      <c r="D2406" s="6" t="s">
        <v>105</v>
      </c>
      <c r="E2406" s="6" t="s">
        <v>28</v>
      </c>
      <c r="F2406" s="6" t="s">
        <v>100</v>
      </c>
      <c r="G2406" s="6" t="s">
        <v>101</v>
      </c>
      <c r="H2406" s="6">
        <v>1</v>
      </c>
      <c r="I2406" s="6" t="s">
        <v>143</v>
      </c>
      <c r="J2406" s="6" t="s">
        <v>143</v>
      </c>
      <c r="K2406" s="6">
        <v>640</v>
      </c>
      <c r="L2406" s="6" t="s">
        <v>33</v>
      </c>
      <c r="M2406" s="6" t="s">
        <v>34</v>
      </c>
    </row>
    <row r="2407" spans="1:13">
      <c r="A2407" s="6" t="s">
        <v>3883</v>
      </c>
      <c r="B2407" s="7">
        <v>46085</v>
      </c>
      <c r="C2407" s="6" t="s">
        <v>3884</v>
      </c>
      <c r="D2407" s="6" t="s">
        <v>57</v>
      </c>
      <c r="E2407" s="6" t="s">
        <v>52</v>
      </c>
      <c r="F2407" s="6" t="s">
        <v>58</v>
      </c>
      <c r="G2407" s="6" t="s">
        <v>59</v>
      </c>
      <c r="H2407" s="6">
        <v>1</v>
      </c>
      <c r="I2407" s="6" t="s">
        <v>60</v>
      </c>
      <c r="J2407" s="6" t="s">
        <v>60</v>
      </c>
      <c r="K2407" s="6">
        <v>380</v>
      </c>
      <c r="L2407" s="6" t="s">
        <v>42</v>
      </c>
      <c r="M2407" s="6" t="s">
        <v>69</v>
      </c>
    </row>
    <row r="2408" spans="1:13">
      <c r="A2408" s="6" t="s">
        <v>3885</v>
      </c>
      <c r="B2408" s="7">
        <v>46071</v>
      </c>
      <c r="C2408" s="6" t="s">
        <v>3886</v>
      </c>
      <c r="D2408" s="6" t="s">
        <v>72</v>
      </c>
      <c r="E2408" s="6" t="s">
        <v>46</v>
      </c>
      <c r="F2408" s="6" t="s">
        <v>58</v>
      </c>
      <c r="G2408" s="6" t="s">
        <v>59</v>
      </c>
      <c r="H2408" s="6">
        <v>1</v>
      </c>
      <c r="I2408" s="6" t="s">
        <v>147</v>
      </c>
      <c r="J2408" s="6" t="s">
        <v>147</v>
      </c>
      <c r="K2408" s="6">
        <v>380</v>
      </c>
      <c r="L2408" s="6" t="s">
        <v>42</v>
      </c>
      <c r="M2408" s="6" t="s">
        <v>34</v>
      </c>
    </row>
    <row r="2409" spans="1:13">
      <c r="A2409" s="6" t="s">
        <v>3887</v>
      </c>
      <c r="B2409" s="7">
        <v>46138</v>
      </c>
      <c r="C2409" s="6" t="s">
        <v>2545</v>
      </c>
      <c r="D2409" s="6" t="s">
        <v>64</v>
      </c>
      <c r="E2409" s="6" t="s">
        <v>28</v>
      </c>
      <c r="F2409" s="6" t="s">
        <v>38</v>
      </c>
      <c r="G2409" s="6" t="s">
        <v>39</v>
      </c>
      <c r="H2409" s="6">
        <v>3</v>
      </c>
      <c r="I2409" s="6" t="s">
        <v>90</v>
      </c>
      <c r="J2409" s="6" t="s">
        <v>102</v>
      </c>
      <c r="K2409" s="6" t="s">
        <v>41</v>
      </c>
      <c r="L2409" s="6" t="s">
        <v>42</v>
      </c>
      <c r="M2409" s="6" t="s">
        <v>34</v>
      </c>
    </row>
    <row r="2410" spans="1:13">
      <c r="A2410" s="6" t="s">
        <v>3888</v>
      </c>
      <c r="B2410" s="7">
        <v>46080</v>
      </c>
      <c r="C2410" s="6" t="s">
        <v>2164</v>
      </c>
      <c r="D2410" s="6" t="s">
        <v>57</v>
      </c>
      <c r="E2410" s="6" t="s">
        <v>52</v>
      </c>
      <c r="F2410" s="6" t="s">
        <v>29</v>
      </c>
      <c r="G2410" s="6" t="s">
        <v>30</v>
      </c>
      <c r="H2410" s="6">
        <v>1</v>
      </c>
      <c r="I2410" s="6" t="s">
        <v>117</v>
      </c>
      <c r="J2410" s="6" t="s">
        <v>117</v>
      </c>
      <c r="K2410" s="6">
        <v>520</v>
      </c>
      <c r="L2410" s="6" t="s">
        <v>33</v>
      </c>
      <c r="M2410" s="6" t="s">
        <v>34</v>
      </c>
    </row>
    <row r="2411" spans="1:13">
      <c r="A2411" s="6" t="s">
        <v>3889</v>
      </c>
      <c r="B2411" s="7">
        <v>46116</v>
      </c>
      <c r="C2411" s="6" t="s">
        <v>3134</v>
      </c>
      <c r="D2411" s="6" t="s">
        <v>72</v>
      </c>
      <c r="E2411" s="6" t="s">
        <v>46</v>
      </c>
      <c r="F2411" s="6" t="s">
        <v>94</v>
      </c>
      <c r="G2411" s="6" t="s">
        <v>95</v>
      </c>
      <c r="H2411" s="6">
        <v>1</v>
      </c>
      <c r="I2411" s="6" t="s">
        <v>265</v>
      </c>
      <c r="J2411" s="6" t="s">
        <v>265</v>
      </c>
      <c r="K2411" s="6">
        <v>340</v>
      </c>
      <c r="L2411" s="6" t="s">
        <v>42</v>
      </c>
      <c r="M2411" s="6" t="s">
        <v>34</v>
      </c>
    </row>
    <row r="2412" spans="1:13">
      <c r="A2412" s="6" t="s">
        <v>3890</v>
      </c>
      <c r="B2412" s="7">
        <v>46083</v>
      </c>
      <c r="C2412" s="6" t="s">
        <v>750</v>
      </c>
      <c r="D2412" s="6" t="s">
        <v>110</v>
      </c>
      <c r="E2412" s="6" t="s">
        <v>28</v>
      </c>
      <c r="F2412" s="6" t="s">
        <v>47</v>
      </c>
      <c r="G2412" s="6" t="s">
        <v>48</v>
      </c>
      <c r="H2412" s="6">
        <v>3</v>
      </c>
      <c r="I2412" s="6" t="s">
        <v>73</v>
      </c>
      <c r="J2412" s="6" t="s">
        <v>499</v>
      </c>
      <c r="K2412" s="6">
        <v>85</v>
      </c>
      <c r="L2412" s="6" t="s">
        <v>42</v>
      </c>
      <c r="M2412" s="6" t="s">
        <v>34</v>
      </c>
    </row>
    <row r="2413" spans="1:13">
      <c r="A2413" s="6" t="s">
        <v>3891</v>
      </c>
      <c r="B2413" s="7">
        <v>46053</v>
      </c>
      <c r="C2413" s="6" t="s">
        <v>1418</v>
      </c>
      <c r="D2413" s="6" t="s">
        <v>127</v>
      </c>
      <c r="E2413" s="6" t="s">
        <v>46</v>
      </c>
      <c r="F2413" s="6" t="s">
        <v>29</v>
      </c>
      <c r="G2413" s="6" t="s">
        <v>30</v>
      </c>
      <c r="H2413" s="6">
        <v>3</v>
      </c>
      <c r="I2413" s="6" t="s">
        <v>143</v>
      </c>
      <c r="J2413" s="6" t="s">
        <v>243</v>
      </c>
      <c r="K2413" s="6">
        <v>520</v>
      </c>
      <c r="L2413" s="6" t="s">
        <v>42</v>
      </c>
      <c r="M2413" s="6" t="s">
        <v>34</v>
      </c>
    </row>
    <row r="2414" spans="1:13">
      <c r="A2414" s="6" t="s">
        <v>3892</v>
      </c>
      <c r="B2414" s="7">
        <v>46085</v>
      </c>
      <c r="C2414" s="6" t="s">
        <v>3893</v>
      </c>
      <c r="D2414" s="6" t="s">
        <v>45</v>
      </c>
      <c r="E2414" s="6" t="s">
        <v>28</v>
      </c>
      <c r="F2414" s="6" t="s">
        <v>29</v>
      </c>
      <c r="G2414" s="6" t="s">
        <v>30</v>
      </c>
      <c r="H2414" s="6">
        <v>1</v>
      </c>
      <c r="I2414" s="6" t="s">
        <v>143</v>
      </c>
      <c r="J2414" s="6" t="s">
        <v>143</v>
      </c>
      <c r="K2414" s="6">
        <v>520</v>
      </c>
      <c r="L2414" s="6" t="s">
        <v>42</v>
      </c>
      <c r="M2414" s="6" t="s">
        <v>34</v>
      </c>
    </row>
    <row r="2415" spans="1:13">
      <c r="A2415" s="6" t="s">
        <v>3894</v>
      </c>
      <c r="B2415" s="7">
        <v>46106</v>
      </c>
      <c r="C2415" s="6" t="s">
        <v>705</v>
      </c>
      <c r="D2415" s="6" t="s">
        <v>45</v>
      </c>
      <c r="E2415" s="6" t="s">
        <v>37</v>
      </c>
      <c r="F2415" s="6" t="s">
        <v>58</v>
      </c>
      <c r="G2415" s="6" t="s">
        <v>59</v>
      </c>
      <c r="H2415" s="6">
        <v>3</v>
      </c>
      <c r="I2415" s="6" t="s">
        <v>79</v>
      </c>
      <c r="J2415" s="6" t="s">
        <v>216</v>
      </c>
      <c r="K2415" s="6">
        <v>380</v>
      </c>
      <c r="L2415" s="6" t="s">
        <v>42</v>
      </c>
      <c r="M2415" s="6" t="s">
        <v>69</v>
      </c>
    </row>
    <row r="2416" spans="1:13">
      <c r="A2416" s="6" t="s">
        <v>3895</v>
      </c>
      <c r="B2416" s="7">
        <v>46131</v>
      </c>
      <c r="C2416" s="6" t="s">
        <v>355</v>
      </c>
      <c r="D2416" s="6" t="s">
        <v>77</v>
      </c>
      <c r="E2416" s="6" t="s">
        <v>78</v>
      </c>
      <c r="F2416" s="6" t="s">
        <v>47</v>
      </c>
      <c r="G2416" s="6" t="s">
        <v>48</v>
      </c>
      <c r="H2416" s="6">
        <v>2</v>
      </c>
      <c r="I2416" s="6" t="s">
        <v>82</v>
      </c>
      <c r="J2416" s="6" t="s">
        <v>297</v>
      </c>
      <c r="K2416" s="6">
        <v>85</v>
      </c>
      <c r="L2416" s="6" t="s">
        <v>33</v>
      </c>
      <c r="M2416" s="6" t="s">
        <v>34</v>
      </c>
    </row>
    <row r="2417" spans="1:13">
      <c r="A2417" s="6" t="s">
        <v>3896</v>
      </c>
      <c r="B2417" s="7">
        <v>46177</v>
      </c>
      <c r="C2417" s="6" t="s">
        <v>3897</v>
      </c>
      <c r="D2417" s="6" t="s">
        <v>57</v>
      </c>
      <c r="E2417" s="6" t="s">
        <v>52</v>
      </c>
      <c r="F2417" s="6" t="s">
        <v>58</v>
      </c>
      <c r="G2417" s="6" t="s">
        <v>59</v>
      </c>
      <c r="H2417" s="6">
        <v>2</v>
      </c>
      <c r="I2417" s="6" t="s">
        <v>231</v>
      </c>
      <c r="J2417" s="6" t="s">
        <v>232</v>
      </c>
      <c r="K2417" s="6" t="s">
        <v>61</v>
      </c>
      <c r="L2417" s="6" t="s">
        <v>42</v>
      </c>
      <c r="M2417" s="6" t="s">
        <v>34</v>
      </c>
    </row>
    <row r="2418" spans="1:13">
      <c r="A2418" s="6" t="s">
        <v>3898</v>
      </c>
      <c r="B2418" s="7">
        <v>46152</v>
      </c>
      <c r="C2418" s="6" t="s">
        <v>3899</v>
      </c>
      <c r="D2418" s="6" t="s">
        <v>64</v>
      </c>
      <c r="E2418" s="6" t="s">
        <v>46</v>
      </c>
      <c r="F2418" s="6" t="s">
        <v>85</v>
      </c>
      <c r="G2418" s="6" t="s">
        <v>86</v>
      </c>
      <c r="H2418" s="6">
        <v>1</v>
      </c>
      <c r="I2418" s="6" t="s">
        <v>143</v>
      </c>
      <c r="J2418" s="6" t="s">
        <v>143</v>
      </c>
      <c r="K2418" s="6" t="s">
        <v>87</v>
      </c>
      <c r="L2418" s="6" t="s">
        <v>42</v>
      </c>
      <c r="M2418" s="6" t="s">
        <v>69</v>
      </c>
    </row>
    <row r="2419" spans="1:13">
      <c r="A2419" s="6" t="s">
        <v>3900</v>
      </c>
      <c r="B2419" s="7">
        <v>46144</v>
      </c>
      <c r="C2419" s="6" t="s">
        <v>215</v>
      </c>
      <c r="D2419" s="6" t="s">
        <v>127</v>
      </c>
      <c r="E2419" s="6" t="s">
        <v>37</v>
      </c>
      <c r="F2419" s="6" t="s">
        <v>100</v>
      </c>
      <c r="G2419" s="6" t="s">
        <v>101</v>
      </c>
      <c r="H2419" s="6">
        <v>2</v>
      </c>
      <c r="I2419" s="6" t="s">
        <v>113</v>
      </c>
      <c r="J2419" s="6" t="s">
        <v>192</v>
      </c>
      <c r="K2419" s="6" t="s">
        <v>119</v>
      </c>
      <c r="L2419" s="6" t="s">
        <v>33</v>
      </c>
      <c r="M2419" s="6" t="s">
        <v>34</v>
      </c>
    </row>
    <row r="2420" spans="1:13">
      <c r="A2420" s="6" t="s">
        <v>3901</v>
      </c>
      <c r="B2420" s="7">
        <v>46033</v>
      </c>
      <c r="C2420" s="6" t="s">
        <v>494</v>
      </c>
      <c r="D2420" s="6" t="s">
        <v>45</v>
      </c>
      <c r="E2420" s="6" t="s">
        <v>46</v>
      </c>
      <c r="F2420" s="6" t="s">
        <v>58</v>
      </c>
      <c r="G2420" s="6" t="s">
        <v>59</v>
      </c>
      <c r="H2420" s="6">
        <v>2</v>
      </c>
      <c r="I2420" s="6" t="s">
        <v>79</v>
      </c>
      <c r="J2420" s="6" t="s">
        <v>259</v>
      </c>
      <c r="K2420" s="6">
        <v>380</v>
      </c>
      <c r="L2420" s="6" t="s">
        <v>42</v>
      </c>
      <c r="M2420" s="6" t="s">
        <v>69</v>
      </c>
    </row>
    <row r="2421" spans="1:13">
      <c r="A2421" s="6" t="s">
        <v>3902</v>
      </c>
      <c r="B2421" s="7">
        <v>46087</v>
      </c>
      <c r="C2421" s="6" t="s">
        <v>1202</v>
      </c>
      <c r="D2421" s="6" t="s">
        <v>110</v>
      </c>
      <c r="E2421" s="6" t="s">
        <v>78</v>
      </c>
      <c r="F2421" s="6" t="s">
        <v>53</v>
      </c>
      <c r="G2421" s="6" t="s">
        <v>54</v>
      </c>
      <c r="H2421" s="6">
        <v>2</v>
      </c>
      <c r="I2421" s="6" t="s">
        <v>181</v>
      </c>
      <c r="J2421" s="6" t="s">
        <v>1584</v>
      </c>
      <c r="K2421" s="6">
        <v>190</v>
      </c>
      <c r="L2421" s="6" t="s">
        <v>42</v>
      </c>
      <c r="M2421" s="6" t="s">
        <v>69</v>
      </c>
    </row>
    <row r="2422" spans="1:13">
      <c r="A2422" s="6" t="s">
        <v>3903</v>
      </c>
      <c r="B2422" s="7">
        <v>46125</v>
      </c>
      <c r="C2422" s="6" t="s">
        <v>2613</v>
      </c>
      <c r="D2422" s="6" t="s">
        <v>110</v>
      </c>
      <c r="E2422" s="6" t="s">
        <v>52</v>
      </c>
      <c r="F2422" s="6" t="s">
        <v>47</v>
      </c>
      <c r="G2422" s="6" t="s">
        <v>48</v>
      </c>
      <c r="H2422" s="6">
        <v>2</v>
      </c>
      <c r="I2422" s="6" t="s">
        <v>147</v>
      </c>
      <c r="J2422" s="6" t="s">
        <v>175</v>
      </c>
      <c r="K2422" s="6">
        <v>85</v>
      </c>
      <c r="L2422" s="6" t="s">
        <v>42</v>
      </c>
      <c r="M2422" s="6" t="s">
        <v>69</v>
      </c>
    </row>
    <row r="2423" spans="1:13">
      <c r="A2423" s="6" t="s">
        <v>3904</v>
      </c>
      <c r="B2423" s="6" t="s">
        <v>593</v>
      </c>
      <c r="C2423" s="6" t="s">
        <v>3175</v>
      </c>
      <c r="D2423" s="6" t="s">
        <v>72</v>
      </c>
      <c r="E2423" s="6" t="s">
        <v>52</v>
      </c>
      <c r="F2423" s="6" t="s">
        <v>53</v>
      </c>
      <c r="G2423" s="6" t="s">
        <v>54</v>
      </c>
      <c r="H2423" s="6">
        <v>3</v>
      </c>
      <c r="I2423" s="6" t="s">
        <v>90</v>
      </c>
      <c r="J2423" s="6" t="s">
        <v>102</v>
      </c>
      <c r="K2423" s="6" t="s">
        <v>122</v>
      </c>
      <c r="L2423" s="6" t="s">
        <v>42</v>
      </c>
      <c r="M2423" s="6" t="s">
        <v>34</v>
      </c>
    </row>
    <row r="2424" spans="1:13">
      <c r="A2424" s="6" t="s">
        <v>3905</v>
      </c>
      <c r="B2424" s="7">
        <v>46192</v>
      </c>
      <c r="C2424" s="6" t="s">
        <v>348</v>
      </c>
      <c r="D2424" s="6" t="s">
        <v>57</v>
      </c>
      <c r="E2424" s="6" t="s">
        <v>46</v>
      </c>
      <c r="F2424" s="6" t="s">
        <v>47</v>
      </c>
      <c r="G2424" s="6" t="s">
        <v>48</v>
      </c>
      <c r="H2424" s="6">
        <v>1</v>
      </c>
      <c r="I2424" s="6" t="s">
        <v>90</v>
      </c>
      <c r="J2424" s="6" t="s">
        <v>90</v>
      </c>
      <c r="K2424" s="6" t="s">
        <v>49</v>
      </c>
      <c r="L2424" s="6" t="s">
        <v>42</v>
      </c>
      <c r="M2424" s="6" t="s">
        <v>34</v>
      </c>
    </row>
    <row r="2425" spans="1:13">
      <c r="A2425" s="6" t="s">
        <v>3906</v>
      </c>
      <c r="B2425" s="7">
        <v>46200</v>
      </c>
      <c r="C2425" s="6" t="s">
        <v>1581</v>
      </c>
      <c r="D2425" s="6" t="s">
        <v>110</v>
      </c>
      <c r="E2425" s="6" t="s">
        <v>37</v>
      </c>
      <c r="F2425" s="6" t="s">
        <v>100</v>
      </c>
      <c r="G2425" s="6" t="s">
        <v>101</v>
      </c>
      <c r="H2425" s="6">
        <v>1</v>
      </c>
      <c r="I2425" s="6" t="s">
        <v>31</v>
      </c>
      <c r="J2425" s="6" t="s">
        <v>31</v>
      </c>
      <c r="K2425" s="6" t="s">
        <v>119</v>
      </c>
      <c r="L2425" s="6" t="s">
        <v>42</v>
      </c>
      <c r="M2425" s="6" t="s">
        <v>34</v>
      </c>
    </row>
    <row r="2426" spans="1:13">
      <c r="A2426" s="6" t="s">
        <v>3907</v>
      </c>
      <c r="B2426" s="7">
        <v>46155</v>
      </c>
      <c r="C2426" s="6" t="s">
        <v>365</v>
      </c>
      <c r="D2426" s="6" t="s">
        <v>105</v>
      </c>
      <c r="E2426" s="6" t="s">
        <v>52</v>
      </c>
      <c r="F2426" s="6" t="s">
        <v>47</v>
      </c>
      <c r="G2426" s="6" t="s">
        <v>48</v>
      </c>
      <c r="H2426" s="6">
        <v>2</v>
      </c>
      <c r="I2426" s="6" t="s">
        <v>73</v>
      </c>
      <c r="J2426" s="6" t="s">
        <v>74</v>
      </c>
      <c r="K2426" s="6" t="s">
        <v>49</v>
      </c>
      <c r="L2426" s="6" t="s">
        <v>42</v>
      </c>
      <c r="M2426" s="6" t="s">
        <v>69</v>
      </c>
    </row>
    <row r="2427" spans="1:13">
      <c r="A2427" s="6" t="s">
        <v>3908</v>
      </c>
      <c r="B2427" s="6" t="s">
        <v>333</v>
      </c>
      <c r="C2427" s="6" t="s">
        <v>2385</v>
      </c>
      <c r="D2427" s="6" t="s">
        <v>72</v>
      </c>
      <c r="E2427" s="6" t="s">
        <v>78</v>
      </c>
      <c r="F2427" s="6" t="s">
        <v>85</v>
      </c>
      <c r="G2427" s="6" t="s">
        <v>86</v>
      </c>
      <c r="H2427" s="6">
        <v>1</v>
      </c>
      <c r="I2427" s="6" t="s">
        <v>769</v>
      </c>
      <c r="J2427" s="6" t="s">
        <v>60</v>
      </c>
      <c r="K2427" s="6">
        <v>410</v>
      </c>
      <c r="L2427" s="6" t="s">
        <v>33</v>
      </c>
      <c r="M2427" s="6" t="s">
        <v>34</v>
      </c>
    </row>
    <row r="2428" spans="1:13">
      <c r="A2428" s="6" t="s">
        <v>3909</v>
      </c>
      <c r="B2428" s="7">
        <v>46115</v>
      </c>
      <c r="C2428" s="6" t="s">
        <v>3910</v>
      </c>
      <c r="D2428" s="6" t="s">
        <v>45</v>
      </c>
      <c r="E2428" s="6" t="s">
        <v>28</v>
      </c>
      <c r="F2428" s="6" t="s">
        <v>58</v>
      </c>
      <c r="G2428" s="6" t="s">
        <v>59</v>
      </c>
      <c r="H2428" s="6">
        <v>2</v>
      </c>
      <c r="I2428" s="6" t="s">
        <v>79</v>
      </c>
      <c r="J2428" s="6" t="s">
        <v>259</v>
      </c>
      <c r="K2428" s="6">
        <v>380</v>
      </c>
      <c r="L2428" s="6" t="s">
        <v>42</v>
      </c>
      <c r="M2428" s="6" t="s">
        <v>34</v>
      </c>
    </row>
    <row r="2429" spans="1:13">
      <c r="A2429" s="6" t="s">
        <v>3911</v>
      </c>
      <c r="B2429" s="7">
        <v>46297</v>
      </c>
      <c r="C2429" s="6" t="s">
        <v>470</v>
      </c>
      <c r="D2429" s="6" t="s">
        <v>57</v>
      </c>
      <c r="E2429" s="6" t="s">
        <v>52</v>
      </c>
      <c r="F2429" s="6" t="s">
        <v>85</v>
      </c>
      <c r="G2429" s="6" t="s">
        <v>86</v>
      </c>
      <c r="H2429" s="6">
        <v>2</v>
      </c>
      <c r="I2429" s="6" t="s">
        <v>117</v>
      </c>
      <c r="J2429" s="6" t="s">
        <v>118</v>
      </c>
      <c r="K2429" s="6">
        <v>410</v>
      </c>
      <c r="L2429" s="6" t="s">
        <v>42</v>
      </c>
      <c r="M2429" s="6" t="s">
        <v>69</v>
      </c>
    </row>
    <row r="2430" spans="1:13">
      <c r="A2430" s="6" t="s">
        <v>3912</v>
      </c>
      <c r="B2430" s="7">
        <v>46329</v>
      </c>
      <c r="C2430" s="6" t="s">
        <v>3913</v>
      </c>
      <c r="D2430" s="6" t="s">
        <v>45</v>
      </c>
      <c r="E2430" s="6" t="s">
        <v>46</v>
      </c>
      <c r="F2430" s="6" t="s">
        <v>58</v>
      </c>
      <c r="G2430" s="6" t="s">
        <v>59</v>
      </c>
      <c r="H2430" s="6">
        <v>2</v>
      </c>
      <c r="I2430" s="6" t="s">
        <v>181</v>
      </c>
      <c r="J2430" s="6" t="s">
        <v>163</v>
      </c>
      <c r="K2430" s="6">
        <v>380</v>
      </c>
      <c r="L2430" s="6" t="s">
        <v>42</v>
      </c>
      <c r="M2430" s="6" t="s">
        <v>34</v>
      </c>
    </row>
    <row r="2431" spans="1:13">
      <c r="A2431" s="6" t="s">
        <v>3914</v>
      </c>
      <c r="B2431" s="7">
        <v>46204</v>
      </c>
      <c r="C2431" s="6" t="s">
        <v>1053</v>
      </c>
      <c r="D2431" s="6" t="s">
        <v>72</v>
      </c>
      <c r="E2431" s="6" t="s">
        <v>78</v>
      </c>
      <c r="F2431" s="6" t="s">
        <v>53</v>
      </c>
      <c r="G2431" s="6" t="s">
        <v>54</v>
      </c>
      <c r="H2431" s="6">
        <v>1</v>
      </c>
      <c r="I2431" s="6" t="s">
        <v>90</v>
      </c>
      <c r="J2431" s="6" t="s">
        <v>90</v>
      </c>
      <c r="K2431" s="6" t="s">
        <v>122</v>
      </c>
      <c r="L2431" s="6" t="s">
        <v>42</v>
      </c>
      <c r="M2431" s="6" t="s">
        <v>34</v>
      </c>
    </row>
    <row r="2432" spans="1:13">
      <c r="A2432" s="6" t="s">
        <v>3915</v>
      </c>
      <c r="B2432" s="7">
        <v>46093</v>
      </c>
      <c r="C2432" s="6" t="s">
        <v>3025</v>
      </c>
      <c r="D2432" s="6" t="s">
        <v>105</v>
      </c>
      <c r="E2432" s="6" t="s">
        <v>46</v>
      </c>
      <c r="F2432" s="6" t="s">
        <v>29</v>
      </c>
      <c r="G2432" s="6" t="s">
        <v>30</v>
      </c>
      <c r="H2432" s="6">
        <v>1</v>
      </c>
      <c r="I2432" s="6" t="s">
        <v>143</v>
      </c>
      <c r="J2432" s="6" t="s">
        <v>143</v>
      </c>
      <c r="K2432" s="6">
        <v>520</v>
      </c>
      <c r="L2432" s="6" t="s">
        <v>42</v>
      </c>
      <c r="M2432" s="6" t="s">
        <v>34</v>
      </c>
    </row>
    <row r="2433" spans="1:13">
      <c r="A2433" s="6" t="s">
        <v>3916</v>
      </c>
      <c r="B2433" s="7">
        <v>46299</v>
      </c>
      <c r="C2433" s="6" t="s">
        <v>299</v>
      </c>
      <c r="D2433" s="6" t="s">
        <v>64</v>
      </c>
      <c r="E2433" s="6" t="s">
        <v>28</v>
      </c>
      <c r="F2433" s="6" t="s">
        <v>85</v>
      </c>
      <c r="G2433" s="6" t="s">
        <v>86</v>
      </c>
      <c r="H2433" s="6">
        <v>1</v>
      </c>
      <c r="I2433" s="6" t="s">
        <v>82</v>
      </c>
      <c r="J2433" s="6" t="s">
        <v>82</v>
      </c>
      <c r="K2433" s="6">
        <v>410</v>
      </c>
      <c r="L2433" s="6" t="s">
        <v>42</v>
      </c>
      <c r="M2433" s="6" t="s">
        <v>34</v>
      </c>
    </row>
    <row r="2434" spans="1:13">
      <c r="A2434" s="6" t="s">
        <v>3917</v>
      </c>
      <c r="B2434" s="6" t="s">
        <v>2597</v>
      </c>
      <c r="C2434" s="6" t="s">
        <v>799</v>
      </c>
      <c r="D2434" s="6" t="s">
        <v>57</v>
      </c>
      <c r="E2434" s="6" t="s">
        <v>28</v>
      </c>
      <c r="F2434" s="6" t="s">
        <v>100</v>
      </c>
      <c r="G2434" s="6" t="s">
        <v>101</v>
      </c>
      <c r="H2434" s="6">
        <v>1</v>
      </c>
      <c r="I2434" s="6" t="s">
        <v>73</v>
      </c>
      <c r="J2434" s="6" t="s">
        <v>73</v>
      </c>
      <c r="K2434" s="6">
        <v>640</v>
      </c>
      <c r="L2434" s="6" t="s">
        <v>33</v>
      </c>
      <c r="M2434" s="6" t="s">
        <v>34</v>
      </c>
    </row>
    <row r="2435" spans="1:13">
      <c r="A2435" s="6" t="s">
        <v>3918</v>
      </c>
      <c r="B2435" s="7">
        <v>46070</v>
      </c>
      <c r="C2435" s="6" t="s">
        <v>2225</v>
      </c>
      <c r="D2435" s="6" t="s">
        <v>77</v>
      </c>
      <c r="E2435" s="6" t="s">
        <v>52</v>
      </c>
      <c r="F2435" s="6" t="s">
        <v>94</v>
      </c>
      <c r="G2435" s="6" t="s">
        <v>95</v>
      </c>
      <c r="H2435" s="6">
        <v>2</v>
      </c>
      <c r="I2435" s="6" t="s">
        <v>82</v>
      </c>
      <c r="J2435" s="6" t="s">
        <v>297</v>
      </c>
      <c r="K2435" s="6">
        <v>340</v>
      </c>
      <c r="L2435" s="6" t="s">
        <v>42</v>
      </c>
      <c r="M2435" s="6" t="s">
        <v>34</v>
      </c>
    </row>
    <row r="2436" spans="1:13">
      <c r="A2436" s="6" t="s">
        <v>3919</v>
      </c>
      <c r="B2436" s="6" t="s">
        <v>593</v>
      </c>
      <c r="C2436" s="6" t="s">
        <v>752</v>
      </c>
      <c r="D2436" s="6" t="s">
        <v>45</v>
      </c>
      <c r="E2436" s="6" t="s">
        <v>28</v>
      </c>
      <c r="F2436" s="6" t="s">
        <v>58</v>
      </c>
      <c r="G2436" s="6" t="s">
        <v>59</v>
      </c>
      <c r="H2436" s="6">
        <v>3</v>
      </c>
      <c r="I2436" s="6" t="s">
        <v>60</v>
      </c>
      <c r="J2436" s="6" t="s">
        <v>268</v>
      </c>
      <c r="K2436" s="6" t="s">
        <v>61</v>
      </c>
      <c r="L2436" s="6" t="s">
        <v>42</v>
      </c>
      <c r="M2436" s="6" t="s">
        <v>34</v>
      </c>
    </row>
    <row r="2437" spans="1:13">
      <c r="A2437" s="6" t="s">
        <v>3920</v>
      </c>
      <c r="B2437" s="7">
        <v>46093</v>
      </c>
      <c r="C2437" s="6" t="s">
        <v>542</v>
      </c>
      <c r="D2437" s="6" t="s">
        <v>77</v>
      </c>
      <c r="E2437" s="6" t="s">
        <v>37</v>
      </c>
      <c r="F2437" s="6" t="s">
        <v>100</v>
      </c>
      <c r="G2437" s="6" t="s">
        <v>101</v>
      </c>
      <c r="H2437" s="6">
        <v>1</v>
      </c>
      <c r="I2437" s="6" t="s">
        <v>113</v>
      </c>
      <c r="J2437" s="6" t="s">
        <v>113</v>
      </c>
      <c r="K2437" s="6">
        <v>640</v>
      </c>
      <c r="L2437" s="6" t="s">
        <v>33</v>
      </c>
      <c r="M2437" s="6" t="s">
        <v>34</v>
      </c>
    </row>
    <row r="2438" spans="1:13">
      <c r="A2438" s="6" t="s">
        <v>3921</v>
      </c>
      <c r="B2438" s="7">
        <v>46101</v>
      </c>
      <c r="C2438" s="6" t="s">
        <v>1608</v>
      </c>
      <c r="D2438" s="6" t="s">
        <v>110</v>
      </c>
      <c r="E2438" s="6" t="s">
        <v>46</v>
      </c>
      <c r="F2438" s="6" t="s">
        <v>38</v>
      </c>
      <c r="G2438" s="6" t="s">
        <v>39</v>
      </c>
      <c r="H2438" s="6">
        <v>1</v>
      </c>
      <c r="I2438" s="6" t="s">
        <v>181</v>
      </c>
      <c r="J2438" s="6" t="s">
        <v>181</v>
      </c>
      <c r="K2438" s="6">
        <v>520</v>
      </c>
      <c r="L2438" s="6" t="s">
        <v>42</v>
      </c>
      <c r="M2438" s="6" t="s">
        <v>34</v>
      </c>
    </row>
    <row r="2439" spans="1:13">
      <c r="A2439" s="6" t="s">
        <v>3922</v>
      </c>
      <c r="B2439" s="7">
        <v>46179</v>
      </c>
      <c r="C2439" s="6" t="s">
        <v>3923</v>
      </c>
      <c r="D2439" s="6" t="s">
        <v>27</v>
      </c>
      <c r="E2439" s="6" t="s">
        <v>28</v>
      </c>
      <c r="F2439" s="6" t="s">
        <v>38</v>
      </c>
      <c r="G2439" s="6" t="s">
        <v>39</v>
      </c>
      <c r="H2439" s="6">
        <v>3</v>
      </c>
      <c r="I2439" s="6" t="s">
        <v>265</v>
      </c>
      <c r="J2439" s="6" t="s">
        <v>401</v>
      </c>
      <c r="K2439" s="6" t="s">
        <v>41</v>
      </c>
      <c r="L2439" s="6" t="s">
        <v>42</v>
      </c>
      <c r="M2439" s="6" t="s">
        <v>34</v>
      </c>
    </row>
    <row r="2440" spans="1:13">
      <c r="A2440" s="6" t="s">
        <v>3924</v>
      </c>
      <c r="B2440" s="7">
        <v>46067</v>
      </c>
      <c r="C2440" s="6" t="s">
        <v>1568</v>
      </c>
      <c r="D2440" s="6" t="s">
        <v>27</v>
      </c>
      <c r="E2440" s="6" t="s">
        <v>28</v>
      </c>
      <c r="F2440" s="6" t="s">
        <v>38</v>
      </c>
      <c r="G2440" s="6" t="s">
        <v>39</v>
      </c>
      <c r="H2440" s="6">
        <v>2</v>
      </c>
      <c r="I2440" s="6" t="s">
        <v>2954</v>
      </c>
      <c r="J2440" s="6" t="s">
        <v>249</v>
      </c>
      <c r="K2440" s="6">
        <v>520</v>
      </c>
      <c r="L2440" s="6" t="s">
        <v>42</v>
      </c>
      <c r="M2440" s="6" t="s">
        <v>34</v>
      </c>
    </row>
    <row r="2441" spans="1:13">
      <c r="A2441" s="6" t="s">
        <v>3925</v>
      </c>
      <c r="B2441" s="7">
        <v>46118</v>
      </c>
      <c r="C2441" s="6" t="s">
        <v>3926</v>
      </c>
      <c r="D2441" s="6" t="s">
        <v>64</v>
      </c>
      <c r="E2441" s="6" t="s">
        <v>28</v>
      </c>
      <c r="F2441" s="6" t="s">
        <v>100</v>
      </c>
      <c r="G2441" s="6" t="s">
        <v>101</v>
      </c>
      <c r="H2441" s="6">
        <v>1</v>
      </c>
      <c r="I2441" s="6" t="s">
        <v>90</v>
      </c>
      <c r="J2441" s="6" t="s">
        <v>90</v>
      </c>
      <c r="K2441" s="6">
        <v>640</v>
      </c>
      <c r="L2441" s="6" t="s">
        <v>42</v>
      </c>
      <c r="M2441" s="6" t="s">
        <v>34</v>
      </c>
    </row>
    <row r="2442" spans="1:13">
      <c r="A2442" s="6" t="s">
        <v>3927</v>
      </c>
      <c r="B2442" s="7">
        <v>46050</v>
      </c>
      <c r="C2442" s="6" t="s">
        <v>3928</v>
      </c>
      <c r="D2442" s="6" t="s">
        <v>77</v>
      </c>
      <c r="E2442" s="6" t="s">
        <v>28</v>
      </c>
      <c r="F2442" s="6" t="s">
        <v>94</v>
      </c>
      <c r="G2442" s="6" t="s">
        <v>95</v>
      </c>
      <c r="H2442" s="6">
        <v>1</v>
      </c>
      <c r="I2442" s="6" t="s">
        <v>31</v>
      </c>
      <c r="J2442" s="6" t="s">
        <v>31</v>
      </c>
      <c r="K2442" s="6">
        <v>340</v>
      </c>
      <c r="L2442" s="6" t="s">
        <v>42</v>
      </c>
      <c r="M2442" s="6" t="s">
        <v>34</v>
      </c>
    </row>
    <row r="2443" spans="1:13">
      <c r="A2443" s="6" t="s">
        <v>3929</v>
      </c>
      <c r="B2443" s="7">
        <v>46030</v>
      </c>
      <c r="C2443" s="6" t="s">
        <v>524</v>
      </c>
      <c r="D2443" s="6" t="s">
        <v>27</v>
      </c>
      <c r="E2443" s="6" t="s">
        <v>78</v>
      </c>
      <c r="F2443" s="6" t="s">
        <v>38</v>
      </c>
      <c r="G2443" s="6" t="s">
        <v>39</v>
      </c>
      <c r="H2443" s="6">
        <v>2</v>
      </c>
      <c r="I2443" s="6" t="s">
        <v>231</v>
      </c>
      <c r="J2443" s="6" t="s">
        <v>232</v>
      </c>
      <c r="K2443" s="6">
        <v>520</v>
      </c>
      <c r="L2443" s="6" t="s">
        <v>33</v>
      </c>
      <c r="M2443" s="6" t="s">
        <v>34</v>
      </c>
    </row>
    <row r="2444" spans="1:13">
      <c r="A2444" s="6" t="s">
        <v>3930</v>
      </c>
      <c r="B2444" s="7">
        <v>46059</v>
      </c>
      <c r="C2444" s="6" t="s">
        <v>2615</v>
      </c>
      <c r="D2444" s="6" t="s">
        <v>110</v>
      </c>
      <c r="E2444" s="6" t="s">
        <v>52</v>
      </c>
      <c r="F2444" s="6" t="s">
        <v>29</v>
      </c>
      <c r="G2444" s="6" t="s">
        <v>30</v>
      </c>
      <c r="H2444" s="6">
        <v>1</v>
      </c>
      <c r="I2444" s="6" t="s">
        <v>31</v>
      </c>
      <c r="J2444" s="6" t="s">
        <v>31</v>
      </c>
      <c r="K2444" s="6">
        <v>520</v>
      </c>
      <c r="L2444" s="6" t="s">
        <v>42</v>
      </c>
      <c r="M2444" s="6" t="s">
        <v>34</v>
      </c>
    </row>
    <row r="2445" spans="1:13">
      <c r="A2445" s="6" t="s">
        <v>3931</v>
      </c>
      <c r="B2445" s="7">
        <v>46065</v>
      </c>
      <c r="C2445" s="6" t="s">
        <v>2994</v>
      </c>
      <c r="D2445" s="6" t="s">
        <v>57</v>
      </c>
      <c r="E2445" s="6" t="s">
        <v>78</v>
      </c>
      <c r="F2445" s="6" t="s">
        <v>58</v>
      </c>
      <c r="G2445" s="6" t="s">
        <v>59</v>
      </c>
      <c r="H2445" s="6">
        <v>1</v>
      </c>
      <c r="I2445" s="6" t="s">
        <v>117</v>
      </c>
      <c r="J2445" s="6" t="s">
        <v>117</v>
      </c>
      <c r="K2445" s="6">
        <v>380</v>
      </c>
      <c r="L2445" s="6" t="s">
        <v>42</v>
      </c>
      <c r="M2445" s="6" t="s">
        <v>34</v>
      </c>
    </row>
    <row r="2446" spans="1:13">
      <c r="A2446" s="6" t="s">
        <v>3932</v>
      </c>
      <c r="B2446" s="7">
        <v>46076</v>
      </c>
      <c r="C2446" s="6" t="s">
        <v>1511</v>
      </c>
      <c r="D2446" s="6" t="s">
        <v>72</v>
      </c>
      <c r="E2446" s="6" t="s">
        <v>37</v>
      </c>
      <c r="F2446" s="6" t="s">
        <v>53</v>
      </c>
      <c r="G2446" s="6" t="s">
        <v>54</v>
      </c>
      <c r="H2446" s="6">
        <v>1</v>
      </c>
      <c r="I2446" s="6" t="s">
        <v>117</v>
      </c>
      <c r="J2446" s="6" t="s">
        <v>117</v>
      </c>
      <c r="K2446" s="6">
        <v>190</v>
      </c>
      <c r="L2446" s="6" t="s">
        <v>42</v>
      </c>
      <c r="M2446" s="6" t="s">
        <v>34</v>
      </c>
    </row>
    <row r="2447" spans="1:13">
      <c r="A2447" s="6" t="s">
        <v>3933</v>
      </c>
      <c r="B2447" s="7">
        <v>46055</v>
      </c>
      <c r="C2447" s="6" t="s">
        <v>2919</v>
      </c>
      <c r="D2447" s="6" t="s">
        <v>127</v>
      </c>
      <c r="E2447" s="6" t="s">
        <v>78</v>
      </c>
      <c r="F2447" s="6" t="s">
        <v>85</v>
      </c>
      <c r="G2447" s="6" t="s">
        <v>86</v>
      </c>
      <c r="H2447" s="6">
        <v>2</v>
      </c>
      <c r="I2447" s="6" t="s">
        <v>143</v>
      </c>
      <c r="J2447" s="6" t="s">
        <v>144</v>
      </c>
      <c r="K2447" s="6">
        <v>410</v>
      </c>
      <c r="L2447" s="6" t="s">
        <v>42</v>
      </c>
      <c r="M2447" s="6" t="s">
        <v>69</v>
      </c>
    </row>
    <row r="2448" spans="1:13">
      <c r="A2448" s="6" t="s">
        <v>3934</v>
      </c>
      <c r="B2448" s="7">
        <v>46038</v>
      </c>
      <c r="C2448" s="6" t="s">
        <v>2341</v>
      </c>
      <c r="D2448" s="6" t="s">
        <v>127</v>
      </c>
      <c r="E2448" s="6" t="s">
        <v>46</v>
      </c>
      <c r="F2448" s="6" t="s">
        <v>29</v>
      </c>
      <c r="G2448" s="6" t="s">
        <v>30</v>
      </c>
      <c r="H2448" s="6">
        <v>2</v>
      </c>
      <c r="I2448" s="6" t="s">
        <v>60</v>
      </c>
      <c r="J2448" s="6" t="s">
        <v>189</v>
      </c>
      <c r="K2448" s="6">
        <v>520</v>
      </c>
      <c r="L2448" s="6" t="s">
        <v>42</v>
      </c>
      <c r="M2448" s="6" t="s">
        <v>34</v>
      </c>
    </row>
    <row r="2449" spans="1:13">
      <c r="A2449" s="6" t="s">
        <v>3935</v>
      </c>
      <c r="B2449" s="7">
        <v>46199</v>
      </c>
      <c r="C2449" s="6" t="s">
        <v>1951</v>
      </c>
      <c r="D2449" s="6" t="s">
        <v>45</v>
      </c>
      <c r="E2449" s="6" t="s">
        <v>28</v>
      </c>
      <c r="F2449" s="6" t="s">
        <v>29</v>
      </c>
      <c r="G2449" s="6" t="s">
        <v>30</v>
      </c>
      <c r="H2449" s="6">
        <v>1</v>
      </c>
      <c r="I2449" s="6" t="s">
        <v>117</v>
      </c>
      <c r="J2449" s="6" t="s">
        <v>117</v>
      </c>
      <c r="K2449" s="6" t="s">
        <v>41</v>
      </c>
      <c r="L2449" s="6" t="s">
        <v>42</v>
      </c>
      <c r="M2449" s="6" t="s">
        <v>34</v>
      </c>
    </row>
    <row r="2450" spans="1:13">
      <c r="A2450" s="6" t="s">
        <v>3936</v>
      </c>
      <c r="B2450" s="7">
        <v>46183</v>
      </c>
      <c r="C2450" s="6" t="s">
        <v>3937</v>
      </c>
      <c r="D2450" s="6" t="s">
        <v>27</v>
      </c>
      <c r="E2450" s="6" t="s">
        <v>78</v>
      </c>
      <c r="F2450" s="6" t="s">
        <v>47</v>
      </c>
      <c r="G2450" s="6" t="s">
        <v>48</v>
      </c>
      <c r="H2450" s="6">
        <v>2</v>
      </c>
      <c r="I2450" s="6" t="s">
        <v>143</v>
      </c>
      <c r="J2450" s="6" t="s">
        <v>144</v>
      </c>
      <c r="K2450" s="6" t="s">
        <v>49</v>
      </c>
      <c r="L2450" s="6" t="s">
        <v>42</v>
      </c>
      <c r="M2450" s="6" t="s">
        <v>69</v>
      </c>
    </row>
    <row r="2451" spans="1:13">
      <c r="A2451" s="6" t="s">
        <v>3938</v>
      </c>
      <c r="B2451" s="7">
        <v>46079</v>
      </c>
      <c r="C2451" s="6" t="s">
        <v>3939</v>
      </c>
      <c r="D2451" s="6" t="s">
        <v>27</v>
      </c>
      <c r="E2451" s="6" t="s">
        <v>28</v>
      </c>
      <c r="F2451" s="6" t="s">
        <v>100</v>
      </c>
      <c r="G2451" s="6" t="s">
        <v>101</v>
      </c>
      <c r="H2451" s="6">
        <v>1</v>
      </c>
      <c r="I2451" s="6" t="s">
        <v>67</v>
      </c>
      <c r="J2451" s="6" t="s">
        <v>67</v>
      </c>
      <c r="K2451" s="6">
        <v>640</v>
      </c>
      <c r="L2451" s="6" t="s">
        <v>42</v>
      </c>
      <c r="M2451" s="6" t="s">
        <v>34</v>
      </c>
    </row>
    <row r="2452" spans="1:13">
      <c r="A2452" s="6" t="s">
        <v>3940</v>
      </c>
      <c r="B2452" s="7">
        <v>46119</v>
      </c>
      <c r="C2452" s="6" t="s">
        <v>1575</v>
      </c>
      <c r="D2452" s="6" t="s">
        <v>45</v>
      </c>
      <c r="E2452" s="6" t="s">
        <v>28</v>
      </c>
      <c r="F2452" s="6" t="s">
        <v>29</v>
      </c>
      <c r="G2452" s="6" t="s">
        <v>30</v>
      </c>
      <c r="H2452" s="6">
        <v>2</v>
      </c>
      <c r="I2452" s="6" t="s">
        <v>117</v>
      </c>
      <c r="J2452" s="6" t="s">
        <v>118</v>
      </c>
      <c r="K2452" s="6" t="s">
        <v>41</v>
      </c>
      <c r="L2452" s="6" t="s">
        <v>42</v>
      </c>
      <c r="M2452" s="6" t="s">
        <v>34</v>
      </c>
    </row>
    <row r="2453" spans="1:13">
      <c r="A2453" s="6" t="s">
        <v>3941</v>
      </c>
      <c r="B2453" s="7">
        <v>46126</v>
      </c>
      <c r="C2453" s="6" t="s">
        <v>3942</v>
      </c>
      <c r="D2453" s="6" t="s">
        <v>64</v>
      </c>
      <c r="E2453" s="6" t="s">
        <v>28</v>
      </c>
      <c r="F2453" s="6" t="s">
        <v>100</v>
      </c>
      <c r="G2453" s="6" t="s">
        <v>101</v>
      </c>
      <c r="H2453" s="6">
        <v>1</v>
      </c>
      <c r="I2453" s="6" t="s">
        <v>90</v>
      </c>
      <c r="J2453" s="6" t="s">
        <v>90</v>
      </c>
      <c r="K2453" s="6">
        <v>640</v>
      </c>
      <c r="L2453" s="6" t="s">
        <v>42</v>
      </c>
      <c r="M2453" s="6" t="s">
        <v>34</v>
      </c>
    </row>
    <row r="2454" spans="1:13">
      <c r="A2454" s="6" t="s">
        <v>3943</v>
      </c>
      <c r="B2454" s="7">
        <v>46081</v>
      </c>
      <c r="C2454" s="6" t="s">
        <v>869</v>
      </c>
      <c r="D2454" s="6" t="s">
        <v>105</v>
      </c>
      <c r="E2454" s="6" t="s">
        <v>37</v>
      </c>
      <c r="F2454" s="6" t="s">
        <v>29</v>
      </c>
      <c r="G2454" s="6" t="s">
        <v>30</v>
      </c>
      <c r="H2454" s="6">
        <v>2</v>
      </c>
      <c r="I2454" s="6" t="s">
        <v>90</v>
      </c>
      <c r="J2454" s="6" t="s">
        <v>154</v>
      </c>
      <c r="K2454" s="6">
        <v>520</v>
      </c>
      <c r="L2454" s="6" t="s">
        <v>42</v>
      </c>
      <c r="M2454" s="6" t="s">
        <v>69</v>
      </c>
    </row>
    <row r="2455" spans="1:13">
      <c r="A2455" s="6" t="s">
        <v>3944</v>
      </c>
      <c r="B2455" s="7">
        <v>46146</v>
      </c>
      <c r="C2455" s="6" t="s">
        <v>3571</v>
      </c>
      <c r="D2455" s="6" t="s">
        <v>77</v>
      </c>
      <c r="E2455" s="6" t="s">
        <v>78</v>
      </c>
      <c r="F2455" s="6" t="s">
        <v>38</v>
      </c>
      <c r="G2455" s="6" t="s">
        <v>39</v>
      </c>
      <c r="H2455" s="6">
        <v>1</v>
      </c>
      <c r="I2455" s="6" t="s">
        <v>96</v>
      </c>
      <c r="J2455" s="6" t="s">
        <v>96</v>
      </c>
      <c r="K2455" s="6">
        <v>520</v>
      </c>
      <c r="L2455" s="6" t="s">
        <v>42</v>
      </c>
      <c r="M2455" s="6" t="s">
        <v>34</v>
      </c>
    </row>
    <row r="2456" spans="1:13">
      <c r="A2456" s="6" t="s">
        <v>3945</v>
      </c>
      <c r="B2456" s="7">
        <v>46066</v>
      </c>
      <c r="C2456" s="6" t="s">
        <v>1870</v>
      </c>
      <c r="D2456" s="6" t="s">
        <v>45</v>
      </c>
      <c r="E2456" s="6" t="s">
        <v>78</v>
      </c>
      <c r="F2456" s="6" t="s">
        <v>47</v>
      </c>
      <c r="G2456" s="6" t="s">
        <v>48</v>
      </c>
      <c r="H2456" s="6">
        <v>1</v>
      </c>
      <c r="I2456" s="6" t="s">
        <v>96</v>
      </c>
      <c r="J2456" s="6" t="s">
        <v>96</v>
      </c>
      <c r="K2456" s="6">
        <v>85</v>
      </c>
      <c r="L2456" s="6" t="s">
        <v>42</v>
      </c>
      <c r="M2456" s="6" t="s">
        <v>34</v>
      </c>
    </row>
    <row r="2457" spans="1:13">
      <c r="A2457" s="6" t="s">
        <v>3946</v>
      </c>
      <c r="B2457" s="7">
        <v>46064</v>
      </c>
      <c r="C2457" s="6" t="s">
        <v>3947</v>
      </c>
      <c r="D2457" s="6" t="s">
        <v>105</v>
      </c>
      <c r="E2457" s="6" t="s">
        <v>28</v>
      </c>
      <c r="F2457" s="6" t="s">
        <v>85</v>
      </c>
      <c r="G2457" s="6" t="s">
        <v>86</v>
      </c>
      <c r="H2457" s="6">
        <v>2</v>
      </c>
      <c r="I2457" s="6" t="s">
        <v>82</v>
      </c>
      <c r="J2457" s="6" t="s">
        <v>297</v>
      </c>
      <c r="K2457" s="6">
        <v>410</v>
      </c>
      <c r="L2457" s="6" t="s">
        <v>42</v>
      </c>
      <c r="M2457" s="6" t="s">
        <v>34</v>
      </c>
    </row>
    <row r="2458" spans="1:13">
      <c r="A2458" s="6" t="s">
        <v>3948</v>
      </c>
      <c r="B2458" s="7">
        <v>46198</v>
      </c>
      <c r="C2458" s="6" t="s">
        <v>735</v>
      </c>
      <c r="D2458" s="6" t="s">
        <v>45</v>
      </c>
      <c r="E2458" s="6" t="s">
        <v>28</v>
      </c>
      <c r="F2458" s="6" t="s">
        <v>100</v>
      </c>
      <c r="G2458" s="6" t="s">
        <v>101</v>
      </c>
      <c r="H2458" s="6">
        <v>3</v>
      </c>
      <c r="I2458" s="6" t="s">
        <v>79</v>
      </c>
      <c r="J2458" s="6" t="s">
        <v>216</v>
      </c>
      <c r="K2458" s="6" t="s">
        <v>119</v>
      </c>
      <c r="L2458" s="6" t="s">
        <v>42</v>
      </c>
      <c r="M2458" s="6" t="s">
        <v>34</v>
      </c>
    </row>
    <row r="2459" spans="1:13">
      <c r="A2459" s="6" t="s">
        <v>3949</v>
      </c>
      <c r="B2459" s="7">
        <v>46092</v>
      </c>
      <c r="C2459" s="6" t="s">
        <v>2463</v>
      </c>
      <c r="D2459" s="6" t="s">
        <v>105</v>
      </c>
      <c r="E2459" s="6" t="s">
        <v>28</v>
      </c>
      <c r="F2459" s="6" t="s">
        <v>94</v>
      </c>
      <c r="G2459" s="6" t="s">
        <v>95</v>
      </c>
      <c r="H2459" s="6">
        <v>3</v>
      </c>
      <c r="I2459" s="6" t="s">
        <v>143</v>
      </c>
      <c r="J2459" s="6" t="s">
        <v>243</v>
      </c>
      <c r="K2459" s="6">
        <v>340</v>
      </c>
      <c r="L2459" s="6" t="s">
        <v>33</v>
      </c>
      <c r="M2459" s="6" t="s">
        <v>34</v>
      </c>
    </row>
    <row r="2460" spans="1:13">
      <c r="A2460" s="6" t="s">
        <v>3950</v>
      </c>
      <c r="B2460" s="7">
        <v>46097</v>
      </c>
      <c r="C2460" s="6" t="s">
        <v>2139</v>
      </c>
      <c r="D2460" s="6" t="s">
        <v>105</v>
      </c>
      <c r="E2460" s="6" t="s">
        <v>46</v>
      </c>
      <c r="F2460" s="6" t="s">
        <v>38</v>
      </c>
      <c r="G2460" s="6" t="s">
        <v>39</v>
      </c>
      <c r="H2460" s="6">
        <v>2</v>
      </c>
      <c r="I2460" s="6" t="s">
        <v>79</v>
      </c>
      <c r="J2460" s="6" t="s">
        <v>259</v>
      </c>
      <c r="K2460" s="6">
        <v>520</v>
      </c>
      <c r="L2460" s="6" t="s">
        <v>42</v>
      </c>
      <c r="M2460" s="6" t="s">
        <v>34</v>
      </c>
    </row>
    <row r="2461" spans="1:13">
      <c r="A2461" s="6" t="s">
        <v>3951</v>
      </c>
      <c r="B2461" s="7">
        <v>46137</v>
      </c>
      <c r="C2461" s="6" t="s">
        <v>3748</v>
      </c>
      <c r="D2461" s="6" t="s">
        <v>72</v>
      </c>
      <c r="E2461" s="6" t="s">
        <v>46</v>
      </c>
      <c r="F2461" s="6" t="s">
        <v>47</v>
      </c>
      <c r="G2461" s="6" t="s">
        <v>48</v>
      </c>
      <c r="H2461" s="6">
        <v>3</v>
      </c>
      <c r="I2461" s="6" t="s">
        <v>265</v>
      </c>
      <c r="J2461" s="6" t="s">
        <v>401</v>
      </c>
      <c r="K2461" s="6" t="s">
        <v>49</v>
      </c>
      <c r="L2461" s="6" t="s">
        <v>42</v>
      </c>
      <c r="M2461" s="6" t="s">
        <v>34</v>
      </c>
    </row>
    <row r="2462" spans="1:13">
      <c r="A2462" s="6" t="s">
        <v>3952</v>
      </c>
      <c r="B2462" s="7">
        <v>46132</v>
      </c>
      <c r="C2462" s="6" t="s">
        <v>3262</v>
      </c>
      <c r="D2462" s="6" t="s">
        <v>110</v>
      </c>
      <c r="E2462" s="6" t="s">
        <v>52</v>
      </c>
      <c r="F2462" s="6" t="s">
        <v>85</v>
      </c>
      <c r="G2462" s="6" t="s">
        <v>86</v>
      </c>
      <c r="H2462" s="6">
        <v>1</v>
      </c>
      <c r="I2462" s="6" t="s">
        <v>82</v>
      </c>
      <c r="J2462" s="6" t="s">
        <v>82</v>
      </c>
      <c r="K2462" s="6" t="s">
        <v>87</v>
      </c>
      <c r="L2462" s="6" t="s">
        <v>42</v>
      </c>
      <c r="M2462" s="6" t="s">
        <v>69</v>
      </c>
    </row>
    <row r="2463" spans="1:13">
      <c r="A2463" s="6" t="s">
        <v>3953</v>
      </c>
      <c r="B2463" s="7">
        <v>46208</v>
      </c>
      <c r="C2463" s="6" t="s">
        <v>3740</v>
      </c>
      <c r="D2463" s="6" t="s">
        <v>27</v>
      </c>
      <c r="E2463" s="6" t="s">
        <v>28</v>
      </c>
      <c r="F2463" s="6" t="s">
        <v>38</v>
      </c>
      <c r="G2463" s="6" t="s">
        <v>39</v>
      </c>
      <c r="H2463" s="6">
        <v>1</v>
      </c>
      <c r="I2463" s="6" t="s">
        <v>67</v>
      </c>
      <c r="J2463" s="6" t="s">
        <v>67</v>
      </c>
      <c r="K2463" s="6" t="s">
        <v>41</v>
      </c>
      <c r="L2463" s="6" t="s">
        <v>42</v>
      </c>
      <c r="M2463" s="6" t="s">
        <v>69</v>
      </c>
    </row>
    <row r="2464" spans="1:13">
      <c r="A2464" s="6" t="s">
        <v>3954</v>
      </c>
      <c r="B2464" s="7">
        <v>46187</v>
      </c>
      <c r="C2464" s="6" t="s">
        <v>2067</v>
      </c>
      <c r="D2464" s="6" t="s">
        <v>45</v>
      </c>
      <c r="E2464" s="6" t="s">
        <v>28</v>
      </c>
      <c r="F2464" s="6" t="s">
        <v>58</v>
      </c>
      <c r="G2464" s="6" t="s">
        <v>59</v>
      </c>
      <c r="H2464" s="6">
        <v>2</v>
      </c>
      <c r="I2464" s="6" t="s">
        <v>147</v>
      </c>
      <c r="J2464" s="6" t="s">
        <v>175</v>
      </c>
      <c r="K2464" s="6" t="s">
        <v>61</v>
      </c>
      <c r="L2464" s="6" t="s">
        <v>42</v>
      </c>
      <c r="M2464" s="6" t="s">
        <v>34</v>
      </c>
    </row>
    <row r="2465" spans="1:13">
      <c r="A2465" s="6" t="s">
        <v>3955</v>
      </c>
      <c r="B2465" s="7">
        <v>46200</v>
      </c>
      <c r="C2465" s="6" t="s">
        <v>2858</v>
      </c>
      <c r="D2465" s="6" t="s">
        <v>77</v>
      </c>
      <c r="E2465" s="6" t="s">
        <v>37</v>
      </c>
      <c r="F2465" s="6" t="s">
        <v>47</v>
      </c>
      <c r="G2465" s="6" t="s">
        <v>48</v>
      </c>
      <c r="H2465" s="6">
        <v>1</v>
      </c>
      <c r="I2465" s="6" t="s">
        <v>147</v>
      </c>
      <c r="J2465" s="6" t="s">
        <v>147</v>
      </c>
      <c r="K2465" s="6" t="s">
        <v>49</v>
      </c>
      <c r="L2465" s="6" t="s">
        <v>42</v>
      </c>
      <c r="M2465" s="6" t="s">
        <v>34</v>
      </c>
    </row>
    <row r="2466" spans="1:13">
      <c r="A2466" s="6" t="s">
        <v>3956</v>
      </c>
      <c r="B2466" s="7">
        <v>46075</v>
      </c>
      <c r="C2466" s="6" t="s">
        <v>1380</v>
      </c>
      <c r="D2466" s="6" t="s">
        <v>45</v>
      </c>
      <c r="E2466" s="6" t="s">
        <v>37</v>
      </c>
      <c r="F2466" s="6" t="s">
        <v>29</v>
      </c>
      <c r="G2466" s="6" t="s">
        <v>30</v>
      </c>
      <c r="H2466" s="6">
        <v>2</v>
      </c>
      <c r="I2466" s="6" t="s">
        <v>82</v>
      </c>
      <c r="J2466" s="6" t="s">
        <v>297</v>
      </c>
      <c r="K2466" s="6">
        <v>520</v>
      </c>
      <c r="L2466" s="6" t="s">
        <v>33</v>
      </c>
      <c r="M2466" s="6" t="s">
        <v>69</v>
      </c>
    </row>
    <row r="2467" spans="1:13">
      <c r="A2467" s="6" t="s">
        <v>3957</v>
      </c>
      <c r="B2467" s="7">
        <v>46106</v>
      </c>
      <c r="C2467" s="6" t="s">
        <v>711</v>
      </c>
      <c r="D2467" s="6" t="s">
        <v>110</v>
      </c>
      <c r="E2467" s="6" t="s">
        <v>78</v>
      </c>
      <c r="F2467" s="6" t="s">
        <v>29</v>
      </c>
      <c r="G2467" s="6" t="s">
        <v>30</v>
      </c>
      <c r="H2467" s="6">
        <v>2</v>
      </c>
      <c r="I2467" s="6" t="s">
        <v>79</v>
      </c>
      <c r="J2467" s="6" t="s">
        <v>2258</v>
      </c>
      <c r="K2467" s="6">
        <v>520</v>
      </c>
      <c r="L2467" s="6" t="s">
        <v>42</v>
      </c>
      <c r="M2467" s="6" t="s">
        <v>34</v>
      </c>
    </row>
    <row r="2468" spans="1:13">
      <c r="A2468" s="6" t="s">
        <v>3958</v>
      </c>
      <c r="B2468" s="7">
        <v>46029</v>
      </c>
      <c r="C2468" s="6" t="s">
        <v>198</v>
      </c>
      <c r="D2468" s="6" t="s">
        <v>105</v>
      </c>
      <c r="E2468" s="6" t="s">
        <v>46</v>
      </c>
      <c r="F2468" s="6" t="s">
        <v>85</v>
      </c>
      <c r="G2468" s="6" t="s">
        <v>86</v>
      </c>
      <c r="H2468" s="6">
        <v>2</v>
      </c>
      <c r="I2468" s="6" t="s">
        <v>79</v>
      </c>
      <c r="J2468" s="6" t="s">
        <v>259</v>
      </c>
      <c r="K2468" s="6">
        <v>410</v>
      </c>
      <c r="L2468" s="6" t="s">
        <v>42</v>
      </c>
      <c r="M2468" s="6" t="s">
        <v>34</v>
      </c>
    </row>
    <row r="2469" spans="1:13">
      <c r="A2469" s="6" t="s">
        <v>3959</v>
      </c>
      <c r="B2469" s="7">
        <v>46156</v>
      </c>
      <c r="C2469" s="6" t="s">
        <v>3960</v>
      </c>
      <c r="D2469" s="6" t="s">
        <v>72</v>
      </c>
      <c r="E2469" s="6" t="s">
        <v>28</v>
      </c>
      <c r="F2469" s="6" t="s">
        <v>53</v>
      </c>
      <c r="G2469" s="6" t="s">
        <v>54</v>
      </c>
      <c r="H2469" s="6">
        <v>2</v>
      </c>
      <c r="I2469" s="6" t="s">
        <v>40</v>
      </c>
      <c r="J2469" s="6" t="s">
        <v>327</v>
      </c>
      <c r="K2469" s="6" t="s">
        <v>122</v>
      </c>
      <c r="L2469" s="6" t="s">
        <v>42</v>
      </c>
      <c r="M2469" s="6" t="s">
        <v>69</v>
      </c>
    </row>
    <row r="2470" spans="1:13">
      <c r="A2470" s="6" t="s">
        <v>3961</v>
      </c>
      <c r="B2470" s="7">
        <v>46114</v>
      </c>
      <c r="C2470" s="6" t="s">
        <v>2404</v>
      </c>
      <c r="D2470" s="6" t="s">
        <v>105</v>
      </c>
      <c r="E2470" s="6" t="s">
        <v>52</v>
      </c>
      <c r="F2470" s="6" t="s">
        <v>100</v>
      </c>
      <c r="G2470" s="6" t="s">
        <v>101</v>
      </c>
      <c r="H2470" s="6">
        <v>-1</v>
      </c>
      <c r="I2470" s="6" t="s">
        <v>490</v>
      </c>
      <c r="J2470" s="8" t="s">
        <v>1415</v>
      </c>
      <c r="K2470" s="6">
        <v>640</v>
      </c>
      <c r="L2470" s="6" t="s">
        <v>33</v>
      </c>
      <c r="M2470" s="6" t="s">
        <v>34</v>
      </c>
    </row>
    <row r="2471" spans="1:13">
      <c r="A2471" s="6" t="s">
        <v>3962</v>
      </c>
      <c r="B2471" s="7">
        <v>46204</v>
      </c>
      <c r="C2471" s="6" t="s">
        <v>492</v>
      </c>
      <c r="D2471" s="6" t="s">
        <v>45</v>
      </c>
      <c r="E2471" s="6" t="s">
        <v>28</v>
      </c>
      <c r="F2471" s="6" t="s">
        <v>85</v>
      </c>
      <c r="G2471" s="6" t="s">
        <v>86</v>
      </c>
      <c r="H2471" s="6">
        <v>1</v>
      </c>
      <c r="I2471" s="6" t="s">
        <v>265</v>
      </c>
      <c r="J2471" s="6" t="s">
        <v>265</v>
      </c>
      <c r="K2471" s="6">
        <v>410</v>
      </c>
      <c r="L2471" s="6" t="s">
        <v>42</v>
      </c>
      <c r="M2471" s="6" t="s">
        <v>34</v>
      </c>
    </row>
    <row r="2472" spans="1:13">
      <c r="A2472" s="6" t="s">
        <v>3963</v>
      </c>
      <c r="B2472" s="7">
        <v>46069</v>
      </c>
      <c r="C2472" s="6" t="s">
        <v>3964</v>
      </c>
      <c r="D2472" s="6" t="s">
        <v>77</v>
      </c>
      <c r="E2472" s="6" t="s">
        <v>46</v>
      </c>
      <c r="F2472" s="6" t="s">
        <v>85</v>
      </c>
      <c r="G2472" s="6" t="s">
        <v>86</v>
      </c>
      <c r="H2472" s="6">
        <v>2</v>
      </c>
      <c r="I2472" s="6" t="s">
        <v>31</v>
      </c>
      <c r="J2472" s="6" t="s">
        <v>232</v>
      </c>
      <c r="K2472" s="6">
        <v>410</v>
      </c>
      <c r="L2472" s="6" t="s">
        <v>42</v>
      </c>
      <c r="M2472" s="6" t="s">
        <v>34</v>
      </c>
    </row>
    <row r="2473" spans="1:13">
      <c r="A2473" s="6" t="s">
        <v>3965</v>
      </c>
      <c r="B2473" s="7">
        <v>46171</v>
      </c>
      <c r="C2473" s="6" t="s">
        <v>2836</v>
      </c>
      <c r="D2473" s="6" t="s">
        <v>105</v>
      </c>
      <c r="E2473" s="6" t="s">
        <v>37</v>
      </c>
      <c r="F2473" s="6" t="s">
        <v>47</v>
      </c>
      <c r="G2473" s="6" t="s">
        <v>48</v>
      </c>
      <c r="H2473" s="6">
        <v>1</v>
      </c>
      <c r="I2473" s="6" t="s">
        <v>31</v>
      </c>
      <c r="J2473" s="6" t="s">
        <v>31</v>
      </c>
      <c r="K2473" s="6" t="s">
        <v>49</v>
      </c>
      <c r="L2473" s="6" t="s">
        <v>42</v>
      </c>
      <c r="M2473" s="6" t="s">
        <v>34</v>
      </c>
    </row>
    <row r="2474" spans="1:13">
      <c r="A2474" s="6" t="s">
        <v>3966</v>
      </c>
      <c r="B2474" s="7">
        <v>46135</v>
      </c>
      <c r="C2474" s="6" t="s">
        <v>150</v>
      </c>
      <c r="D2474" s="6" t="s">
        <v>45</v>
      </c>
      <c r="E2474" s="6" t="s">
        <v>78</v>
      </c>
      <c r="F2474" s="6" t="s">
        <v>85</v>
      </c>
      <c r="G2474" s="6" t="s">
        <v>86</v>
      </c>
      <c r="H2474" s="6">
        <v>3</v>
      </c>
      <c r="I2474" s="6" t="s">
        <v>82</v>
      </c>
      <c r="J2474" s="6" t="s">
        <v>390</v>
      </c>
      <c r="K2474" s="6" t="s">
        <v>87</v>
      </c>
      <c r="L2474" s="6" t="s">
        <v>42</v>
      </c>
      <c r="M2474" s="6" t="s">
        <v>34</v>
      </c>
    </row>
    <row r="2475" spans="1:13">
      <c r="A2475" s="6" t="s">
        <v>3967</v>
      </c>
      <c r="B2475" s="7">
        <v>46088</v>
      </c>
      <c r="C2475" s="6" t="s">
        <v>2553</v>
      </c>
      <c r="D2475" s="6" t="s">
        <v>110</v>
      </c>
      <c r="E2475" s="6" t="s">
        <v>78</v>
      </c>
      <c r="F2475" s="6" t="s">
        <v>47</v>
      </c>
      <c r="G2475" s="6" t="s">
        <v>48</v>
      </c>
      <c r="H2475" s="6">
        <v>1</v>
      </c>
      <c r="I2475" s="6" t="s">
        <v>90</v>
      </c>
      <c r="J2475" s="6" t="s">
        <v>90</v>
      </c>
      <c r="K2475" s="6" t="s">
        <v>49</v>
      </c>
      <c r="L2475" s="6" t="s">
        <v>33</v>
      </c>
      <c r="M2475" s="6" t="s">
        <v>34</v>
      </c>
    </row>
    <row r="2476" spans="1:13">
      <c r="A2476" s="6" t="s">
        <v>3968</v>
      </c>
      <c r="B2476" s="7">
        <v>46114</v>
      </c>
      <c r="C2476" s="6" t="s">
        <v>1537</v>
      </c>
      <c r="D2476" s="6" t="s">
        <v>105</v>
      </c>
      <c r="E2476" s="6" t="s">
        <v>52</v>
      </c>
      <c r="F2476" s="6" t="s">
        <v>53</v>
      </c>
      <c r="G2476" s="6" t="s">
        <v>54</v>
      </c>
      <c r="H2476" s="6">
        <v>2</v>
      </c>
      <c r="I2476" s="6" t="s">
        <v>117</v>
      </c>
      <c r="J2476" s="6" t="s">
        <v>118</v>
      </c>
      <c r="K2476" s="6">
        <v>190</v>
      </c>
      <c r="L2476" s="6" t="s">
        <v>42</v>
      </c>
      <c r="M2476" s="6" t="s">
        <v>34</v>
      </c>
    </row>
    <row r="2477" spans="1:13">
      <c r="A2477" s="6" t="s">
        <v>3969</v>
      </c>
      <c r="B2477" s="7">
        <v>46153</v>
      </c>
      <c r="C2477" s="6" t="s">
        <v>436</v>
      </c>
      <c r="D2477" s="6" t="s">
        <v>45</v>
      </c>
      <c r="E2477" s="6" t="s">
        <v>52</v>
      </c>
      <c r="F2477" s="6" t="s">
        <v>38</v>
      </c>
      <c r="G2477" s="6" t="s">
        <v>39</v>
      </c>
      <c r="H2477" s="6">
        <v>-3</v>
      </c>
      <c r="I2477" s="6" t="s">
        <v>113</v>
      </c>
      <c r="J2477" s="8" t="s">
        <v>1913</v>
      </c>
      <c r="K2477" s="6" t="s">
        <v>41</v>
      </c>
      <c r="L2477" s="6" t="s">
        <v>42</v>
      </c>
      <c r="M2477" s="6" t="s">
        <v>69</v>
      </c>
    </row>
    <row r="2478" spans="1:13">
      <c r="A2478" s="6" t="s">
        <v>3970</v>
      </c>
      <c r="B2478" s="7">
        <v>46204</v>
      </c>
      <c r="C2478" s="6" t="s">
        <v>3886</v>
      </c>
      <c r="D2478" s="6" t="s">
        <v>105</v>
      </c>
      <c r="E2478" s="6" t="s">
        <v>78</v>
      </c>
      <c r="F2478" s="6" t="s">
        <v>29</v>
      </c>
      <c r="G2478" s="6" t="s">
        <v>30</v>
      </c>
      <c r="H2478" s="6">
        <v>1</v>
      </c>
      <c r="I2478" s="6" t="s">
        <v>117</v>
      </c>
      <c r="J2478" s="6" t="s">
        <v>117</v>
      </c>
      <c r="K2478" s="6" t="s">
        <v>41</v>
      </c>
      <c r="L2478" s="6" t="s">
        <v>42</v>
      </c>
      <c r="M2478" s="6" t="s">
        <v>69</v>
      </c>
    </row>
    <row r="2479" spans="1:13">
      <c r="A2479" s="6" t="s">
        <v>3971</v>
      </c>
      <c r="B2479" s="7">
        <v>46158</v>
      </c>
      <c r="C2479" s="6" t="s">
        <v>2171</v>
      </c>
      <c r="D2479" s="6" t="s">
        <v>105</v>
      </c>
      <c r="E2479" s="6" t="s">
        <v>28</v>
      </c>
      <c r="F2479" s="6" t="s">
        <v>38</v>
      </c>
      <c r="G2479" s="6" t="s">
        <v>39</v>
      </c>
      <c r="H2479" s="6">
        <v>2</v>
      </c>
      <c r="I2479" s="6" t="s">
        <v>96</v>
      </c>
      <c r="J2479" s="6" t="s">
        <v>278</v>
      </c>
      <c r="K2479" s="6" t="s">
        <v>41</v>
      </c>
      <c r="L2479" s="6" t="s">
        <v>42</v>
      </c>
      <c r="M2479" s="6" t="s">
        <v>69</v>
      </c>
    </row>
    <row r="2480" spans="1:13">
      <c r="A2480" s="6" t="s">
        <v>3972</v>
      </c>
      <c r="B2480" s="7">
        <v>46090</v>
      </c>
      <c r="C2480" s="6" t="s">
        <v>274</v>
      </c>
      <c r="D2480" s="6" t="s">
        <v>57</v>
      </c>
      <c r="E2480" s="6" t="s">
        <v>46</v>
      </c>
      <c r="F2480" s="6" t="s">
        <v>58</v>
      </c>
      <c r="G2480" s="6" t="s">
        <v>59</v>
      </c>
      <c r="H2480" s="6">
        <v>2</v>
      </c>
      <c r="I2480" s="6" t="s">
        <v>79</v>
      </c>
      <c r="J2480" s="6" t="s">
        <v>259</v>
      </c>
      <c r="K2480" s="6">
        <v>380</v>
      </c>
      <c r="L2480" s="6" t="s">
        <v>42</v>
      </c>
      <c r="M2480" s="6" t="s">
        <v>34</v>
      </c>
    </row>
    <row r="2481" spans="1:13">
      <c r="A2481" s="6" t="s">
        <v>3973</v>
      </c>
      <c r="B2481" s="7">
        <v>46028</v>
      </c>
      <c r="C2481" s="6" t="s">
        <v>2113</v>
      </c>
      <c r="D2481" s="6" t="s">
        <v>77</v>
      </c>
      <c r="E2481" s="6" t="s">
        <v>28</v>
      </c>
      <c r="F2481" s="6" t="s">
        <v>47</v>
      </c>
      <c r="G2481" s="6" t="s">
        <v>48</v>
      </c>
      <c r="H2481" s="6">
        <v>1</v>
      </c>
      <c r="I2481" s="6" t="s">
        <v>117</v>
      </c>
      <c r="J2481" s="6" t="s">
        <v>117</v>
      </c>
      <c r="K2481" s="6">
        <v>85</v>
      </c>
      <c r="L2481" s="6" t="s">
        <v>42</v>
      </c>
      <c r="M2481" s="6" t="s">
        <v>34</v>
      </c>
    </row>
    <row r="2482" spans="1:13">
      <c r="A2482" s="6" t="s">
        <v>3974</v>
      </c>
      <c r="B2482" s="7">
        <v>46044</v>
      </c>
      <c r="C2482" s="6" t="s">
        <v>3465</v>
      </c>
      <c r="D2482" s="6" t="s">
        <v>45</v>
      </c>
      <c r="E2482" s="6" t="s">
        <v>46</v>
      </c>
      <c r="F2482" s="6" t="s">
        <v>53</v>
      </c>
      <c r="G2482" s="6" t="s">
        <v>54</v>
      </c>
      <c r="H2482" s="6">
        <v>1</v>
      </c>
      <c r="I2482" s="6" t="s">
        <v>82</v>
      </c>
      <c r="J2482" s="6" t="s">
        <v>82</v>
      </c>
      <c r="K2482" s="6">
        <v>190</v>
      </c>
      <c r="L2482" s="6" t="s">
        <v>42</v>
      </c>
      <c r="M2482" s="6" t="s">
        <v>34</v>
      </c>
    </row>
    <row r="2483" spans="1:13">
      <c r="A2483" s="6" t="s">
        <v>3975</v>
      </c>
      <c r="B2483" s="7">
        <v>46081</v>
      </c>
      <c r="C2483" s="6" t="s">
        <v>1083</v>
      </c>
      <c r="D2483" s="6" t="s">
        <v>110</v>
      </c>
      <c r="E2483" s="6" t="s">
        <v>46</v>
      </c>
      <c r="F2483" s="6" t="s">
        <v>85</v>
      </c>
      <c r="G2483" s="6" t="s">
        <v>86</v>
      </c>
      <c r="H2483" s="6">
        <v>1</v>
      </c>
      <c r="I2483" s="6" t="s">
        <v>265</v>
      </c>
      <c r="J2483" s="6" t="s">
        <v>265</v>
      </c>
      <c r="K2483" s="6">
        <v>410</v>
      </c>
      <c r="L2483" s="6" t="s">
        <v>33</v>
      </c>
      <c r="M2483" s="6" t="s">
        <v>69</v>
      </c>
    </row>
    <row r="2484" spans="1:13">
      <c r="A2484" s="6" t="s">
        <v>3976</v>
      </c>
      <c r="B2484" s="7">
        <v>46106</v>
      </c>
      <c r="C2484" s="6" t="s">
        <v>3977</v>
      </c>
      <c r="D2484" s="6" t="s">
        <v>27</v>
      </c>
      <c r="E2484" s="6" t="s">
        <v>28</v>
      </c>
      <c r="F2484" s="6" t="s">
        <v>38</v>
      </c>
      <c r="G2484" s="6" t="s">
        <v>39</v>
      </c>
      <c r="H2484" s="6">
        <v>2</v>
      </c>
      <c r="I2484" s="6" t="s">
        <v>31</v>
      </c>
      <c r="J2484" s="6" t="s">
        <v>249</v>
      </c>
      <c r="K2484" s="6">
        <v>520</v>
      </c>
      <c r="L2484" s="6" t="s">
        <v>42</v>
      </c>
      <c r="M2484" s="6" t="s">
        <v>34</v>
      </c>
    </row>
    <row r="2485" spans="1:13">
      <c r="A2485" s="6" t="s">
        <v>3978</v>
      </c>
      <c r="B2485" s="7">
        <v>46179</v>
      </c>
      <c r="C2485" s="6" t="s">
        <v>3979</v>
      </c>
      <c r="D2485" s="6" t="s">
        <v>57</v>
      </c>
      <c r="E2485" s="6" t="s">
        <v>52</v>
      </c>
      <c r="F2485" s="6" t="s">
        <v>85</v>
      </c>
      <c r="G2485" s="6" t="s">
        <v>86</v>
      </c>
      <c r="H2485" s="6">
        <v>3</v>
      </c>
      <c r="I2485" s="6" t="s">
        <v>143</v>
      </c>
      <c r="J2485" s="6" t="s">
        <v>243</v>
      </c>
      <c r="K2485" s="6" t="s">
        <v>87</v>
      </c>
      <c r="L2485" s="6" t="s">
        <v>33</v>
      </c>
      <c r="M2485" s="6" t="s">
        <v>34</v>
      </c>
    </row>
    <row r="2486" spans="1:13">
      <c r="A2486" s="6" t="s">
        <v>3980</v>
      </c>
      <c r="B2486" s="7">
        <v>46152</v>
      </c>
      <c r="C2486" s="6" t="s">
        <v>1137</v>
      </c>
      <c r="D2486" s="6" t="s">
        <v>110</v>
      </c>
      <c r="E2486" s="6" t="s">
        <v>52</v>
      </c>
      <c r="F2486" s="6" t="s">
        <v>47</v>
      </c>
      <c r="G2486" s="6" t="s">
        <v>48</v>
      </c>
      <c r="H2486" s="6">
        <v>2</v>
      </c>
      <c r="I2486" s="6" t="s">
        <v>79</v>
      </c>
      <c r="J2486" s="6" t="s">
        <v>259</v>
      </c>
      <c r="K2486" s="6" t="s">
        <v>49</v>
      </c>
      <c r="L2486" s="6" t="s">
        <v>42</v>
      </c>
      <c r="M2486" s="6" t="s">
        <v>34</v>
      </c>
    </row>
    <row r="2487" spans="1:13">
      <c r="A2487" s="6" t="s">
        <v>665</v>
      </c>
      <c r="B2487" s="7">
        <v>46118</v>
      </c>
      <c r="C2487" s="6" t="s">
        <v>666</v>
      </c>
      <c r="D2487" s="6" t="s">
        <v>105</v>
      </c>
      <c r="E2487" s="6" t="s">
        <v>37</v>
      </c>
      <c r="F2487" s="6" t="s">
        <v>58</v>
      </c>
      <c r="G2487" s="6" t="s">
        <v>59</v>
      </c>
      <c r="H2487" s="6">
        <v>2</v>
      </c>
      <c r="I2487" s="6" t="s">
        <v>667</v>
      </c>
      <c r="J2487" s="6" t="s">
        <v>327</v>
      </c>
      <c r="K2487" s="6" t="s">
        <v>61</v>
      </c>
      <c r="L2487" s="6" t="s">
        <v>42</v>
      </c>
      <c r="M2487" s="6" t="s">
        <v>34</v>
      </c>
    </row>
    <row r="2488" spans="1:13">
      <c r="A2488" s="6" t="s">
        <v>3981</v>
      </c>
      <c r="B2488" s="7">
        <v>46177</v>
      </c>
      <c r="C2488" s="6" t="s">
        <v>3982</v>
      </c>
      <c r="D2488" s="6" t="s">
        <v>64</v>
      </c>
      <c r="E2488" s="6" t="s">
        <v>37</v>
      </c>
      <c r="F2488" s="6" t="s">
        <v>58</v>
      </c>
      <c r="G2488" s="6" t="s">
        <v>59</v>
      </c>
      <c r="H2488" s="6">
        <v>2</v>
      </c>
      <c r="I2488" s="6" t="s">
        <v>490</v>
      </c>
      <c r="J2488" s="6" t="s">
        <v>297</v>
      </c>
      <c r="K2488" s="6" t="s">
        <v>61</v>
      </c>
      <c r="L2488" s="6" t="s">
        <v>42</v>
      </c>
      <c r="M2488" s="6" t="s">
        <v>34</v>
      </c>
    </row>
    <row r="2489" spans="1:13">
      <c r="A2489" s="6" t="s">
        <v>3983</v>
      </c>
      <c r="B2489" s="7">
        <v>46141</v>
      </c>
      <c r="C2489" s="6" t="s">
        <v>470</v>
      </c>
      <c r="D2489" s="6" t="s">
        <v>105</v>
      </c>
      <c r="E2489" s="6" t="s">
        <v>46</v>
      </c>
      <c r="F2489" s="6" t="s">
        <v>94</v>
      </c>
      <c r="G2489" s="6" t="s">
        <v>95</v>
      </c>
      <c r="H2489" s="6">
        <v>2</v>
      </c>
      <c r="I2489" s="6" t="s">
        <v>82</v>
      </c>
      <c r="J2489" s="6" t="s">
        <v>297</v>
      </c>
      <c r="K2489" s="6" t="s">
        <v>114</v>
      </c>
      <c r="L2489" s="6" t="s">
        <v>42</v>
      </c>
      <c r="M2489" s="6" t="s">
        <v>34</v>
      </c>
    </row>
    <row r="2490" spans="1:13">
      <c r="A2490" s="6" t="s">
        <v>3984</v>
      </c>
      <c r="B2490" s="7">
        <v>46199</v>
      </c>
      <c r="C2490" s="6" t="s">
        <v>771</v>
      </c>
      <c r="D2490" s="6" t="s">
        <v>110</v>
      </c>
      <c r="E2490" s="6" t="s">
        <v>46</v>
      </c>
      <c r="F2490" s="6" t="s">
        <v>94</v>
      </c>
      <c r="G2490" s="6" t="s">
        <v>95</v>
      </c>
      <c r="H2490" s="6">
        <v>1</v>
      </c>
      <c r="I2490" s="6" t="s">
        <v>31</v>
      </c>
      <c r="J2490" s="6" t="s">
        <v>31</v>
      </c>
      <c r="K2490" s="6" t="s">
        <v>114</v>
      </c>
      <c r="L2490" s="6" t="s">
        <v>42</v>
      </c>
      <c r="M2490" s="6" t="s">
        <v>69</v>
      </c>
    </row>
    <row r="2491" spans="1:13">
      <c r="A2491" s="6" t="s">
        <v>3985</v>
      </c>
      <c r="B2491" s="7">
        <v>46134</v>
      </c>
      <c r="C2491" s="6" t="s">
        <v>436</v>
      </c>
      <c r="D2491" s="6" t="s">
        <v>27</v>
      </c>
      <c r="E2491" s="6" t="s">
        <v>37</v>
      </c>
      <c r="F2491" s="6" t="s">
        <v>38</v>
      </c>
      <c r="G2491" s="6" t="s">
        <v>39</v>
      </c>
      <c r="H2491" s="6">
        <v>1</v>
      </c>
      <c r="I2491" s="6" t="s">
        <v>31</v>
      </c>
      <c r="J2491" s="6" t="s">
        <v>31</v>
      </c>
      <c r="K2491" s="6" t="s">
        <v>41</v>
      </c>
      <c r="L2491" s="6" t="s">
        <v>33</v>
      </c>
      <c r="M2491" s="6" t="s">
        <v>69</v>
      </c>
    </row>
    <row r="2492" spans="1:13">
      <c r="A2492" s="6" t="s">
        <v>3986</v>
      </c>
      <c r="B2492" s="7">
        <v>46119</v>
      </c>
      <c r="C2492" s="6" t="s">
        <v>1420</v>
      </c>
      <c r="D2492" s="6" t="s">
        <v>45</v>
      </c>
      <c r="E2492" s="6" t="s">
        <v>46</v>
      </c>
      <c r="F2492" s="6" t="s">
        <v>47</v>
      </c>
      <c r="G2492" s="6" t="s">
        <v>48</v>
      </c>
      <c r="H2492" s="6">
        <v>-1</v>
      </c>
      <c r="I2492" s="6" t="s">
        <v>60</v>
      </c>
      <c r="J2492" s="8" t="s">
        <v>3014</v>
      </c>
      <c r="K2492" s="6">
        <v>85</v>
      </c>
      <c r="L2492" s="6" t="s">
        <v>42</v>
      </c>
      <c r="M2492" s="6" t="s">
        <v>34</v>
      </c>
    </row>
    <row r="2493" spans="1:13">
      <c r="A2493" s="6" t="s">
        <v>3987</v>
      </c>
      <c r="B2493" s="7">
        <v>46104</v>
      </c>
      <c r="C2493" s="6" t="s">
        <v>3988</v>
      </c>
      <c r="D2493" s="6" t="s">
        <v>105</v>
      </c>
      <c r="E2493" s="6" t="s">
        <v>78</v>
      </c>
      <c r="F2493" s="6" t="s">
        <v>47</v>
      </c>
      <c r="G2493" s="6" t="s">
        <v>48</v>
      </c>
      <c r="H2493" s="6">
        <v>2</v>
      </c>
      <c r="I2493" s="6" t="s">
        <v>113</v>
      </c>
      <c r="J2493" s="6" t="s">
        <v>192</v>
      </c>
      <c r="K2493" s="6">
        <v>85</v>
      </c>
      <c r="L2493" s="6" t="s">
        <v>42</v>
      </c>
      <c r="M2493" s="6" t="s">
        <v>34</v>
      </c>
    </row>
    <row r="2494" spans="1:13">
      <c r="A2494" s="6" t="s">
        <v>3989</v>
      </c>
      <c r="B2494" s="7">
        <v>46152</v>
      </c>
      <c r="C2494" s="6" t="s">
        <v>3355</v>
      </c>
      <c r="D2494" s="6" t="s">
        <v>64</v>
      </c>
      <c r="E2494" s="6" t="s">
        <v>52</v>
      </c>
      <c r="F2494" s="6" t="s">
        <v>53</v>
      </c>
      <c r="G2494" s="6" t="s">
        <v>54</v>
      </c>
      <c r="H2494" s="6">
        <v>1</v>
      </c>
      <c r="I2494" s="6" t="s">
        <v>31</v>
      </c>
      <c r="J2494" s="6" t="s">
        <v>231</v>
      </c>
      <c r="K2494" s="6" t="s">
        <v>122</v>
      </c>
      <c r="L2494" s="6" t="s">
        <v>42</v>
      </c>
      <c r="M2494" s="6" t="s">
        <v>34</v>
      </c>
    </row>
    <row r="2495" spans="1:13">
      <c r="A2495" s="6" t="s">
        <v>3990</v>
      </c>
      <c r="B2495" s="7">
        <v>46208</v>
      </c>
      <c r="C2495" s="6" t="s">
        <v>3964</v>
      </c>
      <c r="D2495" s="6" t="s">
        <v>27</v>
      </c>
      <c r="E2495" s="6" t="s">
        <v>28</v>
      </c>
      <c r="F2495" s="6" t="s">
        <v>38</v>
      </c>
      <c r="G2495" s="6" t="s">
        <v>39</v>
      </c>
      <c r="H2495" s="6">
        <v>3</v>
      </c>
      <c r="I2495" s="6" t="s">
        <v>67</v>
      </c>
      <c r="J2495" s="6" t="s">
        <v>68</v>
      </c>
      <c r="K2495" s="6" t="s">
        <v>41</v>
      </c>
      <c r="L2495" s="6" t="s">
        <v>42</v>
      </c>
      <c r="M2495" s="6" t="s">
        <v>34</v>
      </c>
    </row>
    <row r="2496" spans="1:13">
      <c r="A2496" s="6" t="s">
        <v>3991</v>
      </c>
      <c r="B2496" s="7">
        <v>46202</v>
      </c>
      <c r="C2496" s="6" t="s">
        <v>1228</v>
      </c>
      <c r="D2496" s="6" t="s">
        <v>72</v>
      </c>
      <c r="E2496" s="6" t="s">
        <v>37</v>
      </c>
      <c r="F2496" s="6" t="s">
        <v>47</v>
      </c>
      <c r="G2496" s="6" t="s">
        <v>48</v>
      </c>
      <c r="H2496" s="6">
        <v>1</v>
      </c>
      <c r="I2496" s="6" t="s">
        <v>96</v>
      </c>
      <c r="J2496" s="6" t="s">
        <v>96</v>
      </c>
      <c r="K2496" s="6" t="s">
        <v>49</v>
      </c>
      <c r="L2496" s="6" t="s">
        <v>42</v>
      </c>
      <c r="M2496" s="6" t="s">
        <v>34</v>
      </c>
    </row>
    <row r="2497" spans="1:13">
      <c r="A2497" s="6" t="s">
        <v>3992</v>
      </c>
      <c r="B2497" s="7">
        <v>46079</v>
      </c>
      <c r="C2497" s="6" t="s">
        <v>1070</v>
      </c>
      <c r="D2497" s="6" t="s">
        <v>57</v>
      </c>
      <c r="E2497" s="6" t="s">
        <v>52</v>
      </c>
      <c r="F2497" s="6" t="s">
        <v>100</v>
      </c>
      <c r="G2497" s="6" t="s">
        <v>101</v>
      </c>
      <c r="H2497" s="6">
        <v>3</v>
      </c>
      <c r="I2497" s="6" t="s">
        <v>117</v>
      </c>
      <c r="J2497" s="6" t="s">
        <v>171</v>
      </c>
      <c r="K2497" s="6">
        <v>640</v>
      </c>
      <c r="L2497" s="6" t="s">
        <v>42</v>
      </c>
      <c r="M2497" s="6" t="s">
        <v>34</v>
      </c>
    </row>
    <row r="2498" spans="1:13">
      <c r="A2498" s="6" t="s">
        <v>3993</v>
      </c>
      <c r="B2498" s="7">
        <v>46144</v>
      </c>
      <c r="C2498" s="6" t="s">
        <v>2753</v>
      </c>
      <c r="D2498" s="6" t="s">
        <v>45</v>
      </c>
      <c r="E2498" s="6" t="s">
        <v>28</v>
      </c>
      <c r="F2498" s="6" t="s">
        <v>58</v>
      </c>
      <c r="G2498" s="6" t="s">
        <v>59</v>
      </c>
      <c r="H2498" s="6">
        <v>3</v>
      </c>
      <c r="I2498" s="6" t="s">
        <v>117</v>
      </c>
      <c r="J2498" s="6" t="s">
        <v>171</v>
      </c>
      <c r="K2498" s="6" t="s">
        <v>61</v>
      </c>
      <c r="L2498" s="6" t="s">
        <v>42</v>
      </c>
      <c r="M2498" s="6" t="s">
        <v>69</v>
      </c>
    </row>
    <row r="2499" spans="1:13">
      <c r="A2499" s="6" t="s">
        <v>3994</v>
      </c>
      <c r="B2499" s="7">
        <v>46034</v>
      </c>
      <c r="C2499" s="6" t="s">
        <v>570</v>
      </c>
      <c r="D2499" s="6" t="s">
        <v>77</v>
      </c>
      <c r="E2499" s="6" t="s">
        <v>52</v>
      </c>
      <c r="F2499" s="6" t="s">
        <v>58</v>
      </c>
      <c r="G2499" s="6" t="s">
        <v>59</v>
      </c>
      <c r="H2499" s="6">
        <v>3</v>
      </c>
      <c r="I2499" s="6" t="s">
        <v>265</v>
      </c>
      <c r="J2499" s="6" t="s">
        <v>401</v>
      </c>
      <c r="K2499" s="6">
        <v>380</v>
      </c>
      <c r="L2499" s="6" t="s">
        <v>42</v>
      </c>
      <c r="M2499" s="6" t="s">
        <v>34</v>
      </c>
    </row>
    <row r="2500" spans="1:13">
      <c r="A2500" s="6" t="s">
        <v>3995</v>
      </c>
      <c r="B2500" s="7">
        <v>46127</v>
      </c>
      <c r="C2500" s="6" t="s">
        <v>2770</v>
      </c>
      <c r="D2500" s="6" t="s">
        <v>45</v>
      </c>
      <c r="E2500" s="6" t="s">
        <v>28</v>
      </c>
      <c r="F2500" s="6" t="s">
        <v>94</v>
      </c>
      <c r="G2500" s="6" t="s">
        <v>95</v>
      </c>
      <c r="H2500" s="6">
        <v>1</v>
      </c>
      <c r="I2500" s="6" t="s">
        <v>265</v>
      </c>
      <c r="J2500" s="6" t="s">
        <v>3832</v>
      </c>
      <c r="K2500" s="6">
        <v>340</v>
      </c>
      <c r="L2500" s="6" t="s">
        <v>42</v>
      </c>
      <c r="M2500" s="6" t="s">
        <v>34</v>
      </c>
    </row>
    <row r="2501" spans="1:13">
      <c r="A2501" s="6" t="s">
        <v>3996</v>
      </c>
      <c r="B2501" s="7">
        <v>46044</v>
      </c>
      <c r="C2501" s="6" t="s">
        <v>550</v>
      </c>
      <c r="D2501" s="6" t="s">
        <v>77</v>
      </c>
      <c r="E2501" s="6" t="s">
        <v>28</v>
      </c>
      <c r="F2501" s="6" t="s">
        <v>53</v>
      </c>
      <c r="G2501" s="6" t="s">
        <v>54</v>
      </c>
      <c r="H2501" s="6">
        <v>1</v>
      </c>
      <c r="I2501" s="6" t="s">
        <v>265</v>
      </c>
      <c r="J2501" s="6" t="s">
        <v>265</v>
      </c>
      <c r="K2501" s="6">
        <v>190</v>
      </c>
      <c r="L2501" s="6" t="s">
        <v>42</v>
      </c>
      <c r="M2501" s="6" t="s">
        <v>34</v>
      </c>
    </row>
    <row r="2502" spans="1:13">
      <c r="A2502" s="6" t="s">
        <v>3997</v>
      </c>
      <c r="B2502" s="7">
        <v>46045</v>
      </c>
      <c r="C2502" s="6" t="s">
        <v>3998</v>
      </c>
      <c r="D2502" s="6" t="s">
        <v>72</v>
      </c>
      <c r="E2502" s="6" t="s">
        <v>78</v>
      </c>
      <c r="F2502" s="6" t="s">
        <v>53</v>
      </c>
      <c r="G2502" s="6" t="s">
        <v>54</v>
      </c>
      <c r="H2502" s="6">
        <v>1</v>
      </c>
      <c r="I2502" s="6" t="s">
        <v>90</v>
      </c>
      <c r="J2502" s="6" t="s">
        <v>90</v>
      </c>
      <c r="K2502" s="6">
        <v>190</v>
      </c>
      <c r="L2502" s="6" t="s">
        <v>42</v>
      </c>
      <c r="M2502" s="6" t="s">
        <v>34</v>
      </c>
    </row>
    <row r="2503" spans="1:13">
      <c r="A2503" s="6" t="s">
        <v>3999</v>
      </c>
      <c r="B2503" s="7">
        <v>46175</v>
      </c>
      <c r="C2503" s="6" t="s">
        <v>1929</v>
      </c>
      <c r="D2503" s="6" t="s">
        <v>45</v>
      </c>
      <c r="E2503" s="6" t="s">
        <v>46</v>
      </c>
      <c r="F2503" s="6" t="s">
        <v>53</v>
      </c>
      <c r="G2503" s="6" t="s">
        <v>54</v>
      </c>
      <c r="H2503" s="6">
        <v>1</v>
      </c>
      <c r="I2503" s="6" t="s">
        <v>60</v>
      </c>
      <c r="J2503" s="6" t="s">
        <v>1508</v>
      </c>
      <c r="K2503" s="6" t="s">
        <v>122</v>
      </c>
      <c r="L2503" s="6" t="s">
        <v>42</v>
      </c>
      <c r="M2503" s="6" t="s">
        <v>69</v>
      </c>
    </row>
    <row r="2504" spans="1:13">
      <c r="A2504" s="6" t="s">
        <v>4000</v>
      </c>
      <c r="B2504" s="7">
        <v>46180</v>
      </c>
      <c r="C2504" s="6" t="s">
        <v>1499</v>
      </c>
      <c r="D2504" s="6" t="s">
        <v>27</v>
      </c>
      <c r="E2504" s="6" t="s">
        <v>52</v>
      </c>
      <c r="F2504" s="6" t="s">
        <v>29</v>
      </c>
      <c r="G2504" s="6" t="s">
        <v>30</v>
      </c>
      <c r="H2504" s="6">
        <v>3</v>
      </c>
      <c r="I2504" s="6" t="s">
        <v>113</v>
      </c>
      <c r="J2504" s="6" t="s">
        <v>138</v>
      </c>
      <c r="K2504" s="6" t="s">
        <v>41</v>
      </c>
      <c r="L2504" s="6" t="s">
        <v>42</v>
      </c>
      <c r="M2504" s="6" t="s">
        <v>34</v>
      </c>
    </row>
    <row r="2505" spans="1:13">
      <c r="A2505" s="6" t="s">
        <v>4001</v>
      </c>
      <c r="B2505" s="7">
        <v>46040</v>
      </c>
      <c r="C2505" s="6" t="s">
        <v>1889</v>
      </c>
      <c r="D2505" s="6" t="s">
        <v>72</v>
      </c>
      <c r="E2505" s="6" t="s">
        <v>78</v>
      </c>
      <c r="F2505" s="6" t="s">
        <v>38</v>
      </c>
      <c r="G2505" s="6" t="s">
        <v>39</v>
      </c>
      <c r="H2505" s="6">
        <v>1</v>
      </c>
      <c r="I2505" s="6" t="s">
        <v>60</v>
      </c>
      <c r="J2505" s="6" t="s">
        <v>60</v>
      </c>
      <c r="K2505" s="6">
        <v>520</v>
      </c>
      <c r="L2505" s="6" t="s">
        <v>42</v>
      </c>
      <c r="M2505" s="6" t="s">
        <v>34</v>
      </c>
    </row>
    <row r="2506" spans="1:13">
      <c r="A2506" s="6" t="s">
        <v>4002</v>
      </c>
      <c r="B2506" s="7">
        <v>46062</v>
      </c>
      <c r="C2506" s="6" t="s">
        <v>3438</v>
      </c>
      <c r="D2506" s="6" t="s">
        <v>105</v>
      </c>
      <c r="E2506" s="6" t="s">
        <v>78</v>
      </c>
      <c r="F2506" s="6" t="s">
        <v>85</v>
      </c>
      <c r="G2506" s="6" t="s">
        <v>86</v>
      </c>
      <c r="H2506" s="6">
        <v>2</v>
      </c>
      <c r="I2506" s="6" t="s">
        <v>143</v>
      </c>
      <c r="J2506" s="6" t="s">
        <v>144</v>
      </c>
      <c r="K2506" s="6">
        <v>410</v>
      </c>
      <c r="L2506" s="6" t="s">
        <v>42</v>
      </c>
      <c r="M2506" s="6" t="s">
        <v>34</v>
      </c>
    </row>
    <row r="2507" spans="1:13">
      <c r="A2507" s="6" t="s">
        <v>4003</v>
      </c>
      <c r="B2507" s="7">
        <v>46100</v>
      </c>
      <c r="C2507" s="6" t="s">
        <v>2770</v>
      </c>
      <c r="D2507" s="6" t="s">
        <v>64</v>
      </c>
      <c r="E2507" s="6" t="s">
        <v>46</v>
      </c>
      <c r="F2507" s="6" t="s">
        <v>47</v>
      </c>
      <c r="G2507" s="6" t="s">
        <v>48</v>
      </c>
      <c r="H2507" s="6">
        <v>1</v>
      </c>
      <c r="I2507" s="6" t="s">
        <v>40</v>
      </c>
      <c r="J2507" s="6" t="s">
        <v>40</v>
      </c>
      <c r="K2507" s="6">
        <v>85</v>
      </c>
      <c r="L2507" s="6" t="s">
        <v>33</v>
      </c>
      <c r="M2507" s="6" t="s">
        <v>69</v>
      </c>
    </row>
    <row r="2508" spans="1:13">
      <c r="A2508" s="6" t="s">
        <v>4004</v>
      </c>
      <c r="B2508" s="7">
        <v>46079</v>
      </c>
      <c r="C2508" s="6" t="s">
        <v>1139</v>
      </c>
      <c r="D2508" s="6" t="s">
        <v>45</v>
      </c>
      <c r="E2508" s="6" t="s">
        <v>28</v>
      </c>
      <c r="F2508" s="6" t="s">
        <v>85</v>
      </c>
      <c r="G2508" s="6" t="s">
        <v>86</v>
      </c>
      <c r="H2508" s="6">
        <v>1</v>
      </c>
      <c r="I2508" s="6" t="s">
        <v>113</v>
      </c>
      <c r="J2508" s="6" t="s">
        <v>113</v>
      </c>
      <c r="K2508" s="6">
        <v>410</v>
      </c>
      <c r="L2508" s="6" t="s">
        <v>33</v>
      </c>
      <c r="M2508" s="6" t="s">
        <v>34</v>
      </c>
    </row>
    <row r="2509" spans="1:13">
      <c r="A2509" s="6" t="s">
        <v>4005</v>
      </c>
      <c r="B2509" s="7">
        <v>46056</v>
      </c>
      <c r="C2509" s="6" t="s">
        <v>2849</v>
      </c>
      <c r="D2509" s="6" t="s">
        <v>45</v>
      </c>
      <c r="E2509" s="6" t="s">
        <v>78</v>
      </c>
      <c r="F2509" s="6" t="s">
        <v>47</v>
      </c>
      <c r="G2509" s="6" t="s">
        <v>48</v>
      </c>
      <c r="H2509" s="6">
        <v>1</v>
      </c>
      <c r="I2509" s="6" t="s">
        <v>79</v>
      </c>
      <c r="J2509" s="6" t="s">
        <v>79</v>
      </c>
      <c r="K2509" s="6">
        <v>85</v>
      </c>
      <c r="L2509" s="6" t="s">
        <v>42</v>
      </c>
      <c r="M2509" s="6" t="s">
        <v>34</v>
      </c>
    </row>
    <row r="2510" spans="1:13">
      <c r="A2510" s="6" t="s">
        <v>4006</v>
      </c>
      <c r="B2510" s="7">
        <v>46181</v>
      </c>
      <c r="C2510" s="6" t="s">
        <v>36</v>
      </c>
      <c r="D2510" s="6" t="s">
        <v>105</v>
      </c>
      <c r="E2510" s="6" t="s">
        <v>78</v>
      </c>
      <c r="F2510" s="6" t="s">
        <v>58</v>
      </c>
      <c r="G2510" s="6" t="s">
        <v>59</v>
      </c>
      <c r="H2510" s="6">
        <v>2</v>
      </c>
      <c r="I2510" s="6" t="s">
        <v>73</v>
      </c>
      <c r="J2510" s="6" t="s">
        <v>74</v>
      </c>
      <c r="K2510" s="6" t="s">
        <v>61</v>
      </c>
      <c r="L2510" s="6" t="s">
        <v>42</v>
      </c>
      <c r="M2510" s="6" t="s">
        <v>34</v>
      </c>
    </row>
    <row r="2511" spans="1:13">
      <c r="A2511" s="6" t="s">
        <v>4007</v>
      </c>
      <c r="B2511" s="7">
        <v>46093</v>
      </c>
      <c r="C2511" s="6" t="s">
        <v>3960</v>
      </c>
      <c r="D2511" s="6" t="s">
        <v>77</v>
      </c>
      <c r="E2511" s="6" t="s">
        <v>37</v>
      </c>
      <c r="F2511" s="6" t="s">
        <v>94</v>
      </c>
      <c r="G2511" s="6" t="s">
        <v>95</v>
      </c>
      <c r="H2511" s="6">
        <v>2</v>
      </c>
      <c r="I2511" s="6" t="s">
        <v>143</v>
      </c>
      <c r="J2511" s="6" t="s">
        <v>144</v>
      </c>
      <c r="K2511" s="6">
        <v>340</v>
      </c>
      <c r="L2511" s="6" t="s">
        <v>42</v>
      </c>
      <c r="M2511" s="6" t="s">
        <v>34</v>
      </c>
    </row>
    <row r="2512" spans="1:13">
      <c r="A2512" s="6" t="s">
        <v>4008</v>
      </c>
      <c r="B2512" s="7">
        <v>46122</v>
      </c>
      <c r="C2512" s="6" t="s">
        <v>4009</v>
      </c>
      <c r="D2512" s="6" t="s">
        <v>127</v>
      </c>
      <c r="E2512" s="6" t="s">
        <v>28</v>
      </c>
      <c r="F2512" s="6" t="s">
        <v>47</v>
      </c>
      <c r="G2512" s="6" t="s">
        <v>48</v>
      </c>
      <c r="H2512" s="6">
        <v>3</v>
      </c>
      <c r="I2512" s="6" t="s">
        <v>143</v>
      </c>
      <c r="J2512" s="6" t="s">
        <v>243</v>
      </c>
      <c r="K2512" s="6">
        <v>85</v>
      </c>
      <c r="L2512" s="6" t="s">
        <v>42</v>
      </c>
      <c r="M2512" s="6" t="s">
        <v>34</v>
      </c>
    </row>
    <row r="2513" spans="1:13">
      <c r="A2513" s="6" t="s">
        <v>4010</v>
      </c>
      <c r="B2513" s="7">
        <v>46075</v>
      </c>
      <c r="C2513" s="6" t="s">
        <v>3218</v>
      </c>
      <c r="D2513" s="6" t="s">
        <v>105</v>
      </c>
      <c r="E2513" s="6" t="s">
        <v>37</v>
      </c>
      <c r="F2513" s="6" t="s">
        <v>29</v>
      </c>
      <c r="G2513" s="6" t="s">
        <v>30</v>
      </c>
      <c r="H2513" s="6">
        <v>-3</v>
      </c>
      <c r="I2513" s="6" t="s">
        <v>1004</v>
      </c>
      <c r="J2513" s="8" t="s">
        <v>3458</v>
      </c>
      <c r="K2513" s="6">
        <v>520</v>
      </c>
      <c r="L2513" s="6" t="s">
        <v>42</v>
      </c>
      <c r="M2513" s="6" t="s">
        <v>34</v>
      </c>
    </row>
    <row r="2514" spans="1:13">
      <c r="A2514" s="6" t="s">
        <v>4011</v>
      </c>
      <c r="B2514" s="7">
        <v>46186</v>
      </c>
      <c r="C2514" s="6" t="s">
        <v>1568</v>
      </c>
      <c r="D2514" s="6" t="s">
        <v>27</v>
      </c>
      <c r="E2514" s="6" t="s">
        <v>52</v>
      </c>
      <c r="F2514" s="6" t="s">
        <v>100</v>
      </c>
      <c r="G2514" s="6" t="s">
        <v>101</v>
      </c>
      <c r="H2514" s="6">
        <v>2</v>
      </c>
      <c r="I2514" s="6" t="s">
        <v>143</v>
      </c>
      <c r="J2514" s="6" t="s">
        <v>144</v>
      </c>
      <c r="K2514" s="6" t="s">
        <v>119</v>
      </c>
      <c r="L2514" s="6" t="s">
        <v>42</v>
      </c>
      <c r="M2514" s="6" t="s">
        <v>34</v>
      </c>
    </row>
    <row r="2515" spans="1:13">
      <c r="A2515" s="6" t="s">
        <v>4012</v>
      </c>
      <c r="B2515" s="7">
        <v>46044</v>
      </c>
      <c r="C2515" s="6" t="s">
        <v>1055</v>
      </c>
      <c r="D2515" s="6" t="s">
        <v>27</v>
      </c>
      <c r="E2515" s="6" t="s">
        <v>52</v>
      </c>
      <c r="F2515" s="6" t="s">
        <v>100</v>
      </c>
      <c r="G2515" s="6" t="s">
        <v>101</v>
      </c>
      <c r="H2515" s="6">
        <v>1</v>
      </c>
      <c r="I2515" s="6" t="s">
        <v>231</v>
      </c>
      <c r="J2515" s="6" t="s">
        <v>231</v>
      </c>
      <c r="K2515" s="6">
        <v>640</v>
      </c>
      <c r="L2515" s="6" t="s">
        <v>42</v>
      </c>
      <c r="M2515" s="6" t="s">
        <v>34</v>
      </c>
    </row>
    <row r="2516" spans="1:13">
      <c r="A2516" s="6" t="s">
        <v>4013</v>
      </c>
      <c r="B2516" s="7">
        <v>46031</v>
      </c>
      <c r="C2516" s="6" t="s">
        <v>4014</v>
      </c>
      <c r="D2516" s="6" t="s">
        <v>27</v>
      </c>
      <c r="E2516" s="6" t="s">
        <v>52</v>
      </c>
      <c r="F2516" s="6" t="s">
        <v>38</v>
      </c>
      <c r="G2516" s="6" t="s">
        <v>39</v>
      </c>
      <c r="H2516" s="6">
        <v>2</v>
      </c>
      <c r="I2516" s="6" t="s">
        <v>90</v>
      </c>
      <c r="J2516" s="6" t="s">
        <v>154</v>
      </c>
      <c r="K2516" s="6">
        <v>520</v>
      </c>
      <c r="L2516" s="6" t="s">
        <v>33</v>
      </c>
      <c r="M2516" s="6" t="s">
        <v>34</v>
      </c>
    </row>
    <row r="2517" spans="1:13">
      <c r="A2517" s="6" t="s">
        <v>4015</v>
      </c>
      <c r="B2517" s="7">
        <v>46120</v>
      </c>
      <c r="C2517" s="6" t="s">
        <v>2717</v>
      </c>
      <c r="D2517" s="6" t="s">
        <v>72</v>
      </c>
      <c r="E2517" s="6" t="s">
        <v>28</v>
      </c>
      <c r="F2517" s="6" t="s">
        <v>53</v>
      </c>
      <c r="G2517" s="6" t="s">
        <v>54</v>
      </c>
      <c r="H2517" s="6">
        <v>3</v>
      </c>
      <c r="I2517" s="6" t="s">
        <v>73</v>
      </c>
      <c r="J2517" s="6" t="s">
        <v>499</v>
      </c>
      <c r="K2517" s="6">
        <v>190</v>
      </c>
      <c r="L2517" s="6" t="s">
        <v>42</v>
      </c>
      <c r="M2517" s="6" t="s">
        <v>34</v>
      </c>
    </row>
    <row r="2518" spans="1:13">
      <c r="A2518" s="6" t="s">
        <v>4016</v>
      </c>
      <c r="B2518" s="7">
        <v>46066</v>
      </c>
      <c r="C2518" s="6" t="s">
        <v>4017</v>
      </c>
      <c r="D2518" s="6" t="s">
        <v>127</v>
      </c>
      <c r="E2518" s="6" t="s">
        <v>78</v>
      </c>
      <c r="F2518" s="6" t="s">
        <v>100</v>
      </c>
      <c r="G2518" s="6" t="s">
        <v>101</v>
      </c>
      <c r="H2518" s="6">
        <v>1</v>
      </c>
      <c r="I2518" s="6" t="s">
        <v>117</v>
      </c>
      <c r="J2518" s="6" t="s">
        <v>73</v>
      </c>
      <c r="K2518" s="6">
        <v>640</v>
      </c>
      <c r="L2518" s="6" t="s">
        <v>42</v>
      </c>
      <c r="M2518" s="6" t="s">
        <v>34</v>
      </c>
    </row>
    <row r="2519" spans="1:13">
      <c r="A2519" s="6" t="s">
        <v>4018</v>
      </c>
      <c r="B2519" s="7">
        <v>46119</v>
      </c>
      <c r="C2519" s="6" t="s">
        <v>174</v>
      </c>
      <c r="D2519" s="6" t="s">
        <v>72</v>
      </c>
      <c r="E2519" s="6" t="s">
        <v>52</v>
      </c>
      <c r="F2519" s="6" t="s">
        <v>100</v>
      </c>
      <c r="G2519" s="6" t="s">
        <v>101</v>
      </c>
      <c r="H2519" s="6">
        <v>1</v>
      </c>
      <c r="I2519" s="6" t="s">
        <v>265</v>
      </c>
      <c r="J2519" s="6" t="s">
        <v>265</v>
      </c>
      <c r="K2519" s="6" t="s">
        <v>119</v>
      </c>
      <c r="L2519" s="6" t="s">
        <v>42</v>
      </c>
      <c r="M2519" s="6" t="s">
        <v>34</v>
      </c>
    </row>
    <row r="2520" spans="1:13">
      <c r="A2520" s="6" t="s">
        <v>4019</v>
      </c>
      <c r="B2520" s="6" t="s">
        <v>481</v>
      </c>
      <c r="C2520" s="6" t="s">
        <v>1207</v>
      </c>
      <c r="D2520" s="6" t="s">
        <v>45</v>
      </c>
      <c r="E2520" s="6" t="s">
        <v>37</v>
      </c>
      <c r="F2520" s="6" t="s">
        <v>85</v>
      </c>
      <c r="G2520" s="6" t="s">
        <v>86</v>
      </c>
      <c r="H2520" s="6">
        <v>3</v>
      </c>
      <c r="I2520" s="6" t="s">
        <v>143</v>
      </c>
      <c r="J2520" s="6" t="s">
        <v>243</v>
      </c>
      <c r="K2520" s="6">
        <v>410</v>
      </c>
      <c r="L2520" s="6" t="s">
        <v>42</v>
      </c>
      <c r="M2520" s="6" t="s">
        <v>34</v>
      </c>
    </row>
    <row r="2521" spans="1:13">
      <c r="A2521" s="6" t="s">
        <v>4020</v>
      </c>
      <c r="B2521" s="7">
        <v>46090</v>
      </c>
      <c r="C2521" s="6" t="s">
        <v>2229</v>
      </c>
      <c r="D2521" s="6" t="s">
        <v>110</v>
      </c>
      <c r="E2521" s="6" t="s">
        <v>28</v>
      </c>
      <c r="F2521" s="6" t="s">
        <v>85</v>
      </c>
      <c r="G2521" s="6" t="s">
        <v>86</v>
      </c>
      <c r="H2521" s="6">
        <v>2</v>
      </c>
      <c r="I2521" s="6" t="s">
        <v>265</v>
      </c>
      <c r="J2521" s="6" t="s">
        <v>167</v>
      </c>
      <c r="K2521" s="6">
        <v>410</v>
      </c>
      <c r="L2521" s="6" t="s">
        <v>42</v>
      </c>
      <c r="M2521" s="6" t="s">
        <v>34</v>
      </c>
    </row>
    <row r="2522" spans="1:13">
      <c r="A2522" s="6" t="s">
        <v>4021</v>
      </c>
      <c r="B2522" s="7">
        <v>46152</v>
      </c>
      <c r="C2522" s="6" t="s">
        <v>4022</v>
      </c>
      <c r="D2522" s="6" t="s">
        <v>110</v>
      </c>
      <c r="E2522" s="6" t="s">
        <v>37</v>
      </c>
      <c r="F2522" s="6" t="s">
        <v>94</v>
      </c>
      <c r="G2522" s="6" t="s">
        <v>95</v>
      </c>
      <c r="H2522" s="6">
        <v>1</v>
      </c>
      <c r="I2522" s="6" t="s">
        <v>231</v>
      </c>
      <c r="J2522" s="6" t="s">
        <v>231</v>
      </c>
      <c r="K2522" s="6" t="s">
        <v>114</v>
      </c>
      <c r="L2522" s="6" t="s">
        <v>42</v>
      </c>
      <c r="M2522" s="6" t="s">
        <v>34</v>
      </c>
    </row>
    <row r="2523" spans="1:13">
      <c r="A2523" s="6" t="s">
        <v>4023</v>
      </c>
      <c r="B2523" s="7">
        <v>46086</v>
      </c>
      <c r="C2523" s="6" t="s">
        <v>1907</v>
      </c>
      <c r="D2523" s="6" t="s">
        <v>127</v>
      </c>
      <c r="E2523" s="6" t="s">
        <v>78</v>
      </c>
      <c r="F2523" s="6" t="s">
        <v>38</v>
      </c>
      <c r="G2523" s="6" t="s">
        <v>39</v>
      </c>
      <c r="H2523" s="6">
        <v>1</v>
      </c>
      <c r="I2523" s="6" t="s">
        <v>117</v>
      </c>
      <c r="J2523" s="6" t="s">
        <v>117</v>
      </c>
      <c r="K2523" s="6">
        <v>520</v>
      </c>
      <c r="L2523" s="6" t="s">
        <v>33</v>
      </c>
      <c r="M2523" s="6" t="s">
        <v>34</v>
      </c>
    </row>
    <row r="2524" spans="1:13">
      <c r="A2524" s="6" t="s">
        <v>4024</v>
      </c>
      <c r="B2524" s="7">
        <v>46055</v>
      </c>
      <c r="C2524" s="6" t="s">
        <v>3928</v>
      </c>
      <c r="D2524" s="6" t="s">
        <v>77</v>
      </c>
      <c r="E2524" s="6" t="s">
        <v>46</v>
      </c>
      <c r="F2524" s="6" t="s">
        <v>53</v>
      </c>
      <c r="G2524" s="6" t="s">
        <v>54</v>
      </c>
      <c r="H2524" s="6">
        <v>2</v>
      </c>
      <c r="I2524" s="6" t="s">
        <v>60</v>
      </c>
      <c r="J2524" s="6" t="s">
        <v>189</v>
      </c>
      <c r="K2524" s="6">
        <v>190</v>
      </c>
      <c r="L2524" s="6" t="s">
        <v>33</v>
      </c>
      <c r="M2524" s="6" t="s">
        <v>69</v>
      </c>
    </row>
    <row r="2525" spans="1:13">
      <c r="A2525" s="6" t="s">
        <v>4025</v>
      </c>
      <c r="B2525" s="7">
        <v>46036</v>
      </c>
      <c r="C2525" s="6" t="s">
        <v>4026</v>
      </c>
      <c r="D2525" s="6" t="s">
        <v>45</v>
      </c>
      <c r="E2525" s="6" t="s">
        <v>28</v>
      </c>
      <c r="F2525" s="6" t="s">
        <v>38</v>
      </c>
      <c r="G2525" s="6" t="s">
        <v>39</v>
      </c>
      <c r="H2525" s="6">
        <v>1</v>
      </c>
      <c r="I2525" s="6" t="s">
        <v>96</v>
      </c>
      <c r="J2525" s="6" t="s">
        <v>561</v>
      </c>
      <c r="K2525" s="6">
        <v>520</v>
      </c>
      <c r="L2525" s="6" t="s">
        <v>33</v>
      </c>
      <c r="M2525" s="6" t="s">
        <v>34</v>
      </c>
    </row>
    <row r="2526" spans="1:13">
      <c r="A2526" s="6" t="s">
        <v>4027</v>
      </c>
      <c r="B2526" s="7">
        <v>46167</v>
      </c>
      <c r="C2526" s="6" t="s">
        <v>1200</v>
      </c>
      <c r="D2526" s="6" t="s">
        <v>45</v>
      </c>
      <c r="E2526" s="6" t="s">
        <v>46</v>
      </c>
      <c r="F2526" s="6" t="s">
        <v>85</v>
      </c>
      <c r="G2526" s="6" t="s">
        <v>86</v>
      </c>
      <c r="H2526" s="6">
        <v>2</v>
      </c>
      <c r="I2526" s="6" t="s">
        <v>117</v>
      </c>
      <c r="J2526" s="6" t="s">
        <v>118</v>
      </c>
      <c r="K2526" s="6" t="s">
        <v>87</v>
      </c>
      <c r="L2526" s="6" t="s">
        <v>42</v>
      </c>
      <c r="M2526" s="6" t="s">
        <v>69</v>
      </c>
    </row>
    <row r="2527" spans="1:13">
      <c r="A2527" s="6" t="s">
        <v>4028</v>
      </c>
      <c r="B2527" s="7">
        <v>46157</v>
      </c>
      <c r="C2527" s="6" t="s">
        <v>4029</v>
      </c>
      <c r="D2527" s="6" t="s">
        <v>45</v>
      </c>
      <c r="E2527" s="6" t="s">
        <v>46</v>
      </c>
      <c r="F2527" s="6" t="s">
        <v>100</v>
      </c>
      <c r="G2527" s="6" t="s">
        <v>101</v>
      </c>
      <c r="H2527" s="6">
        <v>1</v>
      </c>
      <c r="I2527" s="6" t="s">
        <v>265</v>
      </c>
      <c r="J2527" s="6" t="s">
        <v>265</v>
      </c>
      <c r="K2527" s="6" t="s">
        <v>119</v>
      </c>
      <c r="L2527" s="6" t="s">
        <v>42</v>
      </c>
      <c r="M2527" s="6" t="s">
        <v>34</v>
      </c>
    </row>
    <row r="2528" spans="1:13">
      <c r="A2528" s="6" t="s">
        <v>4030</v>
      </c>
      <c r="B2528" s="7">
        <v>46208</v>
      </c>
      <c r="C2528" s="6" t="s">
        <v>1155</v>
      </c>
      <c r="D2528" s="6" t="s">
        <v>45</v>
      </c>
      <c r="E2528" s="6" t="s">
        <v>78</v>
      </c>
      <c r="F2528" s="6" t="s">
        <v>53</v>
      </c>
      <c r="G2528" s="6" t="s">
        <v>54</v>
      </c>
      <c r="H2528" s="6">
        <v>3</v>
      </c>
      <c r="I2528" s="6" t="s">
        <v>96</v>
      </c>
      <c r="J2528" s="6" t="s">
        <v>97</v>
      </c>
      <c r="K2528" s="6" t="s">
        <v>122</v>
      </c>
      <c r="L2528" s="6" t="s">
        <v>42</v>
      </c>
      <c r="M2528" s="6" t="s">
        <v>69</v>
      </c>
    </row>
    <row r="2529" spans="1:13">
      <c r="A2529" s="6" t="s">
        <v>4031</v>
      </c>
      <c r="B2529" s="7">
        <v>46190</v>
      </c>
      <c r="C2529" s="6" t="s">
        <v>280</v>
      </c>
      <c r="D2529" s="6" t="s">
        <v>72</v>
      </c>
      <c r="E2529" s="6" t="s">
        <v>52</v>
      </c>
      <c r="F2529" s="6" t="s">
        <v>53</v>
      </c>
      <c r="G2529" s="6" t="s">
        <v>54</v>
      </c>
      <c r="H2529" s="6">
        <v>1</v>
      </c>
      <c r="I2529" s="6" t="s">
        <v>117</v>
      </c>
      <c r="J2529" s="6" t="s">
        <v>117</v>
      </c>
      <c r="K2529" s="6" t="s">
        <v>122</v>
      </c>
      <c r="L2529" s="6" t="s">
        <v>42</v>
      </c>
      <c r="M2529" s="6" t="s">
        <v>34</v>
      </c>
    </row>
    <row r="2530" spans="1:13">
      <c r="A2530" s="6" t="s">
        <v>4032</v>
      </c>
      <c r="B2530" s="7">
        <v>46157</v>
      </c>
      <c r="C2530" s="6" t="s">
        <v>1713</v>
      </c>
      <c r="D2530" s="6" t="s">
        <v>110</v>
      </c>
      <c r="E2530" s="6" t="s">
        <v>52</v>
      </c>
      <c r="F2530" s="6" t="s">
        <v>53</v>
      </c>
      <c r="G2530" s="6" t="s">
        <v>54</v>
      </c>
      <c r="H2530" s="6">
        <v>1</v>
      </c>
      <c r="I2530" s="6" t="s">
        <v>31</v>
      </c>
      <c r="J2530" s="6" t="s">
        <v>32</v>
      </c>
      <c r="K2530" s="6" t="s">
        <v>122</v>
      </c>
      <c r="L2530" s="6" t="s">
        <v>33</v>
      </c>
      <c r="M2530" s="6" t="s">
        <v>34</v>
      </c>
    </row>
    <row r="2531" spans="1:13">
      <c r="A2531" s="6" t="s">
        <v>4033</v>
      </c>
      <c r="B2531" s="7">
        <v>46030</v>
      </c>
      <c r="C2531" s="6" t="s">
        <v>3868</v>
      </c>
      <c r="D2531" s="6" t="s">
        <v>45</v>
      </c>
      <c r="E2531" s="6" t="s">
        <v>78</v>
      </c>
      <c r="F2531" s="6" t="s">
        <v>100</v>
      </c>
      <c r="G2531" s="6" t="s">
        <v>101</v>
      </c>
      <c r="H2531" s="6">
        <v>1</v>
      </c>
      <c r="I2531" s="6" t="s">
        <v>143</v>
      </c>
      <c r="J2531" s="6" t="s">
        <v>143</v>
      </c>
      <c r="K2531" s="6">
        <v>640</v>
      </c>
      <c r="L2531" s="6" t="s">
        <v>42</v>
      </c>
      <c r="M2531" s="6" t="s">
        <v>34</v>
      </c>
    </row>
    <row r="2532" spans="1:13">
      <c r="A2532" s="6" t="s">
        <v>4034</v>
      </c>
      <c r="B2532" s="7">
        <v>46149</v>
      </c>
      <c r="C2532" s="6" t="s">
        <v>986</v>
      </c>
      <c r="D2532" s="6" t="s">
        <v>110</v>
      </c>
      <c r="E2532" s="6" t="s">
        <v>52</v>
      </c>
      <c r="F2532" s="6" t="s">
        <v>53</v>
      </c>
      <c r="G2532" s="6" t="s">
        <v>54</v>
      </c>
      <c r="H2532" s="6">
        <v>1</v>
      </c>
      <c r="I2532" s="6" t="s">
        <v>265</v>
      </c>
      <c r="J2532" s="6" t="s">
        <v>265</v>
      </c>
      <c r="K2532" s="6" t="s">
        <v>122</v>
      </c>
      <c r="L2532" s="6" t="s">
        <v>42</v>
      </c>
      <c r="M2532" s="6" t="s">
        <v>34</v>
      </c>
    </row>
    <row r="2533" spans="1:13">
      <c r="A2533" s="6" t="s">
        <v>4035</v>
      </c>
      <c r="B2533" s="7">
        <v>46208</v>
      </c>
      <c r="C2533" s="6" t="s">
        <v>3910</v>
      </c>
      <c r="D2533" s="6" t="s">
        <v>45</v>
      </c>
      <c r="E2533" s="6" t="s">
        <v>37</v>
      </c>
      <c r="F2533" s="6" t="s">
        <v>53</v>
      </c>
      <c r="G2533" s="6" t="s">
        <v>54</v>
      </c>
      <c r="H2533" s="6">
        <v>1</v>
      </c>
      <c r="I2533" s="6" t="s">
        <v>40</v>
      </c>
      <c r="J2533" s="6" t="s">
        <v>40</v>
      </c>
      <c r="K2533" s="6" t="s">
        <v>122</v>
      </c>
      <c r="L2533" s="6" t="s">
        <v>42</v>
      </c>
      <c r="M2533" s="6" t="s">
        <v>34</v>
      </c>
    </row>
    <row r="2534" spans="1:13">
      <c r="A2534" s="6" t="s">
        <v>4036</v>
      </c>
      <c r="B2534" s="7">
        <v>46163</v>
      </c>
      <c r="C2534" s="6" t="s">
        <v>1507</v>
      </c>
      <c r="D2534" s="6" t="s">
        <v>72</v>
      </c>
      <c r="E2534" s="6" t="s">
        <v>52</v>
      </c>
      <c r="F2534" s="6" t="s">
        <v>94</v>
      </c>
      <c r="G2534" s="6" t="s">
        <v>95</v>
      </c>
      <c r="H2534" s="6">
        <v>1</v>
      </c>
      <c r="I2534" s="6" t="s">
        <v>31</v>
      </c>
      <c r="J2534" s="6" t="s">
        <v>31</v>
      </c>
      <c r="K2534" s="6" t="s">
        <v>114</v>
      </c>
      <c r="L2534" s="6" t="s">
        <v>42</v>
      </c>
      <c r="M2534" s="6" t="s">
        <v>34</v>
      </c>
    </row>
    <row r="2535" spans="1:13">
      <c r="A2535" s="6" t="s">
        <v>4037</v>
      </c>
      <c r="B2535" s="7">
        <v>46074</v>
      </c>
      <c r="C2535" s="6" t="s">
        <v>4038</v>
      </c>
      <c r="D2535" s="6" t="s">
        <v>27</v>
      </c>
      <c r="E2535" s="6" t="s">
        <v>52</v>
      </c>
      <c r="F2535" s="6" t="s">
        <v>94</v>
      </c>
      <c r="G2535" s="6" t="s">
        <v>95</v>
      </c>
      <c r="H2535" s="6">
        <v>3</v>
      </c>
      <c r="I2535" s="6" t="s">
        <v>667</v>
      </c>
      <c r="J2535" s="6" t="s">
        <v>579</v>
      </c>
      <c r="K2535" s="6">
        <v>340</v>
      </c>
      <c r="L2535" s="6" t="s">
        <v>42</v>
      </c>
      <c r="M2535" s="6" t="s">
        <v>34</v>
      </c>
    </row>
    <row r="2536" spans="1:13">
      <c r="A2536" s="6" t="s">
        <v>4039</v>
      </c>
      <c r="B2536" s="7">
        <v>46047</v>
      </c>
      <c r="C2536" s="6" t="s">
        <v>161</v>
      </c>
      <c r="D2536" s="6" t="s">
        <v>45</v>
      </c>
      <c r="E2536" s="6" t="s">
        <v>52</v>
      </c>
      <c r="F2536" s="6" t="s">
        <v>47</v>
      </c>
      <c r="G2536" s="6" t="s">
        <v>48</v>
      </c>
      <c r="H2536" s="6">
        <v>2</v>
      </c>
      <c r="I2536" s="6" t="s">
        <v>90</v>
      </c>
      <c r="J2536" s="6" t="s">
        <v>154</v>
      </c>
      <c r="K2536" s="6">
        <v>85</v>
      </c>
      <c r="L2536" s="6" t="s">
        <v>33</v>
      </c>
      <c r="M2536" s="6" t="s">
        <v>34</v>
      </c>
    </row>
    <row r="2537" spans="1:13">
      <c r="A2537" s="6" t="s">
        <v>4040</v>
      </c>
      <c r="B2537" s="7">
        <v>46143</v>
      </c>
      <c r="C2537" s="6" t="s">
        <v>3675</v>
      </c>
      <c r="D2537" s="6" t="s">
        <v>45</v>
      </c>
      <c r="E2537" s="6" t="s">
        <v>37</v>
      </c>
      <c r="F2537" s="6" t="s">
        <v>47</v>
      </c>
      <c r="G2537" s="6" t="s">
        <v>48</v>
      </c>
      <c r="H2537" s="6">
        <v>3</v>
      </c>
      <c r="I2537" s="6" t="s">
        <v>67</v>
      </c>
      <c r="J2537" s="6" t="s">
        <v>68</v>
      </c>
      <c r="K2537" s="6" t="s">
        <v>49</v>
      </c>
      <c r="L2537" s="6" t="s">
        <v>42</v>
      </c>
      <c r="M2537" s="6" t="s">
        <v>69</v>
      </c>
    </row>
    <row r="2538" spans="1:13">
      <c r="A2538" s="6" t="s">
        <v>4041</v>
      </c>
      <c r="B2538" s="7">
        <v>46128</v>
      </c>
      <c r="C2538" s="6" t="s">
        <v>4042</v>
      </c>
      <c r="D2538" s="6" t="s">
        <v>64</v>
      </c>
      <c r="E2538" s="6" t="s">
        <v>28</v>
      </c>
      <c r="F2538" s="6" t="s">
        <v>47</v>
      </c>
      <c r="G2538" s="6" t="s">
        <v>48</v>
      </c>
      <c r="H2538" s="6">
        <v>2</v>
      </c>
      <c r="I2538" s="6" t="s">
        <v>31</v>
      </c>
      <c r="J2538" s="6" t="s">
        <v>249</v>
      </c>
      <c r="K2538" s="6">
        <v>85</v>
      </c>
      <c r="L2538" s="6" t="s">
        <v>42</v>
      </c>
      <c r="M2538" s="6" t="s">
        <v>34</v>
      </c>
    </row>
    <row r="2539" spans="1:13">
      <c r="A2539" s="6" t="s">
        <v>4043</v>
      </c>
      <c r="B2539" s="7">
        <v>46049</v>
      </c>
      <c r="C2539" s="6" t="s">
        <v>1877</v>
      </c>
      <c r="D2539" s="6" t="s">
        <v>45</v>
      </c>
      <c r="E2539" s="6" t="s">
        <v>46</v>
      </c>
      <c r="F2539" s="6" t="s">
        <v>53</v>
      </c>
      <c r="G2539" s="6" t="s">
        <v>54</v>
      </c>
      <c r="H2539" s="6">
        <v>1</v>
      </c>
      <c r="I2539" s="6" t="s">
        <v>113</v>
      </c>
      <c r="J2539" s="6" t="s">
        <v>113</v>
      </c>
      <c r="K2539" s="6">
        <v>190</v>
      </c>
      <c r="L2539" s="6" t="s">
        <v>33</v>
      </c>
      <c r="M2539" s="6" t="s">
        <v>34</v>
      </c>
    </row>
    <row r="2540" spans="1:13">
      <c r="A2540" s="6" t="s">
        <v>4044</v>
      </c>
      <c r="B2540" s="7">
        <v>46176</v>
      </c>
      <c r="C2540" s="6" t="s">
        <v>1968</v>
      </c>
      <c r="D2540" s="6" t="s">
        <v>45</v>
      </c>
      <c r="E2540" s="6" t="s">
        <v>46</v>
      </c>
      <c r="F2540" s="6" t="s">
        <v>47</v>
      </c>
      <c r="G2540" s="6" t="s">
        <v>48</v>
      </c>
      <c r="H2540" s="6">
        <v>3</v>
      </c>
      <c r="I2540" s="6" t="s">
        <v>265</v>
      </c>
      <c r="J2540" s="6" t="s">
        <v>401</v>
      </c>
      <c r="K2540" s="6" t="s">
        <v>49</v>
      </c>
      <c r="L2540" s="6" t="s">
        <v>42</v>
      </c>
      <c r="M2540" s="6" t="s">
        <v>34</v>
      </c>
    </row>
    <row r="2541" spans="1:13">
      <c r="A2541" s="6" t="s">
        <v>4045</v>
      </c>
      <c r="B2541" s="7">
        <v>46064</v>
      </c>
      <c r="C2541" s="6" t="s">
        <v>548</v>
      </c>
      <c r="D2541" s="6" t="s">
        <v>72</v>
      </c>
      <c r="E2541" s="6" t="s">
        <v>37</v>
      </c>
      <c r="F2541" s="6" t="s">
        <v>58</v>
      </c>
      <c r="G2541" s="6" t="s">
        <v>59</v>
      </c>
      <c r="H2541" s="6">
        <v>1</v>
      </c>
      <c r="I2541" s="6" t="s">
        <v>79</v>
      </c>
      <c r="J2541" s="6" t="s">
        <v>79</v>
      </c>
      <c r="K2541" s="6">
        <v>380</v>
      </c>
      <c r="L2541" s="6" t="s">
        <v>42</v>
      </c>
      <c r="M2541" s="6" t="s">
        <v>34</v>
      </c>
    </row>
    <row r="2542" spans="1:13">
      <c r="A2542" s="6" t="s">
        <v>4046</v>
      </c>
      <c r="B2542" s="7">
        <v>46149</v>
      </c>
      <c r="C2542" s="6" t="s">
        <v>2488</v>
      </c>
      <c r="D2542" s="6" t="s">
        <v>64</v>
      </c>
      <c r="E2542" s="6" t="s">
        <v>52</v>
      </c>
      <c r="F2542" s="6" t="s">
        <v>29</v>
      </c>
      <c r="G2542" s="6" t="s">
        <v>30</v>
      </c>
      <c r="H2542" s="6">
        <v>2</v>
      </c>
      <c r="I2542" s="6" t="s">
        <v>31</v>
      </c>
      <c r="J2542" s="6" t="s">
        <v>249</v>
      </c>
      <c r="K2542" s="6" t="s">
        <v>41</v>
      </c>
      <c r="L2542" s="6" t="s">
        <v>33</v>
      </c>
      <c r="M2542" s="6" t="s">
        <v>34</v>
      </c>
    </row>
    <row r="2543" spans="1:13">
      <c r="A2543" s="6" t="s">
        <v>4047</v>
      </c>
      <c r="B2543" s="7">
        <v>46129</v>
      </c>
      <c r="C2543" s="6" t="s">
        <v>3403</v>
      </c>
      <c r="D2543" s="6" t="s">
        <v>105</v>
      </c>
      <c r="E2543" s="6" t="s">
        <v>78</v>
      </c>
      <c r="F2543" s="6" t="s">
        <v>38</v>
      </c>
      <c r="G2543" s="6" t="s">
        <v>39</v>
      </c>
      <c r="H2543" s="6">
        <v>2</v>
      </c>
      <c r="I2543" s="6" t="s">
        <v>113</v>
      </c>
      <c r="J2543" s="6" t="s">
        <v>192</v>
      </c>
      <c r="K2543" s="6">
        <v>520</v>
      </c>
      <c r="L2543" s="6" t="s">
        <v>42</v>
      </c>
      <c r="M2543" s="6" t="s">
        <v>34</v>
      </c>
    </row>
    <row r="2544" spans="1:13">
      <c r="A2544" s="6" t="s">
        <v>4048</v>
      </c>
      <c r="B2544" s="6" t="s">
        <v>1677</v>
      </c>
      <c r="C2544" s="6" t="s">
        <v>994</v>
      </c>
      <c r="D2544" s="6" t="s">
        <v>105</v>
      </c>
      <c r="E2544" s="6" t="s">
        <v>78</v>
      </c>
      <c r="F2544" s="6" t="s">
        <v>85</v>
      </c>
      <c r="G2544" s="6" t="s">
        <v>86</v>
      </c>
      <c r="H2544" s="6">
        <v>1</v>
      </c>
      <c r="I2544" s="6" t="s">
        <v>265</v>
      </c>
      <c r="J2544" s="6" t="s">
        <v>265</v>
      </c>
      <c r="K2544" s="6" t="s">
        <v>87</v>
      </c>
      <c r="L2544" s="6" t="s">
        <v>33</v>
      </c>
      <c r="M2544" s="6" t="s">
        <v>69</v>
      </c>
    </row>
    <row r="2545" spans="1:13">
      <c r="A2545" s="6" t="s">
        <v>4049</v>
      </c>
      <c r="B2545" s="7">
        <v>46203</v>
      </c>
      <c r="C2545" s="6" t="s">
        <v>1139</v>
      </c>
      <c r="D2545" s="6" t="s">
        <v>72</v>
      </c>
      <c r="E2545" s="6" t="s">
        <v>52</v>
      </c>
      <c r="F2545" s="6" t="s">
        <v>100</v>
      </c>
      <c r="G2545" s="6" t="s">
        <v>101</v>
      </c>
      <c r="H2545" s="6">
        <v>3</v>
      </c>
      <c r="I2545" s="6" t="s">
        <v>31</v>
      </c>
      <c r="J2545" s="6" t="s">
        <v>337</v>
      </c>
      <c r="K2545" s="6" t="s">
        <v>119</v>
      </c>
      <c r="L2545" s="6" t="s">
        <v>42</v>
      </c>
      <c r="M2545" s="6" t="s">
        <v>34</v>
      </c>
    </row>
    <row r="2546" spans="1:13">
      <c r="A2546" s="6" t="s">
        <v>4050</v>
      </c>
      <c r="B2546" s="7">
        <v>46097</v>
      </c>
      <c r="C2546" s="6" t="s">
        <v>1007</v>
      </c>
      <c r="D2546" s="6" t="s">
        <v>105</v>
      </c>
      <c r="E2546" s="6" t="s">
        <v>37</v>
      </c>
      <c r="F2546" s="6" t="s">
        <v>53</v>
      </c>
      <c r="G2546" s="6" t="s">
        <v>54</v>
      </c>
      <c r="H2546" s="6">
        <v>2</v>
      </c>
      <c r="I2546" s="6" t="s">
        <v>60</v>
      </c>
      <c r="J2546" s="6" t="s">
        <v>189</v>
      </c>
      <c r="K2546" s="6">
        <v>190</v>
      </c>
      <c r="L2546" s="6" t="s">
        <v>42</v>
      </c>
      <c r="M2546" s="6" t="s">
        <v>34</v>
      </c>
    </row>
    <row r="2547" spans="1:13">
      <c r="A2547" s="6" t="s">
        <v>4051</v>
      </c>
      <c r="B2547" s="7">
        <v>46199</v>
      </c>
      <c r="C2547" s="6" t="s">
        <v>626</v>
      </c>
      <c r="D2547" s="6" t="s">
        <v>72</v>
      </c>
      <c r="E2547" s="6" t="s">
        <v>37</v>
      </c>
      <c r="F2547" s="6" t="s">
        <v>38</v>
      </c>
      <c r="G2547" s="6" t="s">
        <v>39</v>
      </c>
      <c r="H2547" s="6">
        <v>3</v>
      </c>
      <c r="I2547" s="6" t="s">
        <v>2954</v>
      </c>
      <c r="J2547" s="6" t="s">
        <v>337</v>
      </c>
      <c r="K2547" s="6" t="s">
        <v>41</v>
      </c>
      <c r="L2547" s="6" t="s">
        <v>42</v>
      </c>
      <c r="M2547" s="6" t="s">
        <v>34</v>
      </c>
    </row>
    <row r="2548" spans="1:13">
      <c r="A2548" s="6" t="s">
        <v>4052</v>
      </c>
      <c r="B2548" s="7">
        <v>46062</v>
      </c>
      <c r="C2548" s="6" t="s">
        <v>396</v>
      </c>
      <c r="D2548" s="6" t="s">
        <v>77</v>
      </c>
      <c r="E2548" s="6" t="s">
        <v>28</v>
      </c>
      <c r="F2548" s="6" t="s">
        <v>58</v>
      </c>
      <c r="G2548" s="6" t="s">
        <v>59</v>
      </c>
      <c r="H2548" s="6">
        <v>1</v>
      </c>
      <c r="I2548" s="6" t="s">
        <v>117</v>
      </c>
      <c r="J2548" s="6" t="s">
        <v>117</v>
      </c>
      <c r="K2548" s="6">
        <v>380</v>
      </c>
      <c r="L2548" s="6" t="s">
        <v>42</v>
      </c>
      <c r="M2548" s="6" t="s">
        <v>69</v>
      </c>
    </row>
    <row r="2549" spans="1:13">
      <c r="A2549" s="6" t="s">
        <v>3911</v>
      </c>
      <c r="B2549" s="7">
        <v>46297</v>
      </c>
      <c r="C2549" s="6" t="s">
        <v>470</v>
      </c>
      <c r="D2549" s="6" t="s">
        <v>57</v>
      </c>
      <c r="E2549" s="6" t="s">
        <v>52</v>
      </c>
      <c r="F2549" s="6" t="s">
        <v>85</v>
      </c>
      <c r="G2549" s="6" t="s">
        <v>86</v>
      </c>
      <c r="H2549" s="6">
        <v>2</v>
      </c>
      <c r="I2549" s="6" t="s">
        <v>117</v>
      </c>
      <c r="J2549" s="6" t="s">
        <v>118</v>
      </c>
      <c r="K2549" s="6">
        <v>410</v>
      </c>
      <c r="L2549" s="6" t="s">
        <v>42</v>
      </c>
      <c r="M2549" s="6" t="s">
        <v>69</v>
      </c>
    </row>
    <row r="2550" spans="1:13">
      <c r="A2550" s="6" t="s">
        <v>4053</v>
      </c>
      <c r="B2550" s="7">
        <v>46053</v>
      </c>
      <c r="C2550" s="6" t="s">
        <v>387</v>
      </c>
      <c r="D2550" s="6" t="s">
        <v>45</v>
      </c>
      <c r="E2550" s="6" t="s">
        <v>37</v>
      </c>
      <c r="F2550" s="6" t="s">
        <v>58</v>
      </c>
      <c r="G2550" s="6" t="s">
        <v>59</v>
      </c>
      <c r="H2550" s="6">
        <v>3</v>
      </c>
      <c r="I2550" s="6" t="s">
        <v>143</v>
      </c>
      <c r="J2550" s="6" t="s">
        <v>243</v>
      </c>
      <c r="K2550" s="6">
        <v>380</v>
      </c>
      <c r="L2550" s="6" t="s">
        <v>42</v>
      </c>
      <c r="M2550" s="6" t="s">
        <v>34</v>
      </c>
    </row>
    <row r="2551" spans="1:13">
      <c r="A2551" s="6" t="s">
        <v>4054</v>
      </c>
      <c r="B2551" s="7">
        <v>46161</v>
      </c>
      <c r="C2551" s="6" t="s">
        <v>245</v>
      </c>
      <c r="D2551" s="6" t="s">
        <v>45</v>
      </c>
      <c r="E2551" s="6" t="s">
        <v>52</v>
      </c>
      <c r="F2551" s="6" t="s">
        <v>47</v>
      </c>
      <c r="G2551" s="6" t="s">
        <v>48</v>
      </c>
      <c r="H2551" s="6">
        <v>2</v>
      </c>
      <c r="I2551" s="6" t="s">
        <v>40</v>
      </c>
      <c r="J2551" s="6" t="s">
        <v>327</v>
      </c>
      <c r="K2551" s="6" t="s">
        <v>49</v>
      </c>
      <c r="L2551" s="6" t="s">
        <v>33</v>
      </c>
      <c r="M2551" s="6" t="s">
        <v>69</v>
      </c>
    </row>
    <row r="2552" spans="1:13">
      <c r="A2552" s="6" t="s">
        <v>4055</v>
      </c>
      <c r="B2552" s="7">
        <v>46057</v>
      </c>
      <c r="C2552" s="6" t="s">
        <v>2439</v>
      </c>
      <c r="D2552" s="6" t="s">
        <v>127</v>
      </c>
      <c r="E2552" s="6" t="s">
        <v>52</v>
      </c>
      <c r="F2552" s="6" t="s">
        <v>85</v>
      </c>
      <c r="G2552" s="6" t="s">
        <v>86</v>
      </c>
      <c r="H2552" s="6">
        <v>2</v>
      </c>
      <c r="I2552" s="6" t="s">
        <v>166</v>
      </c>
      <c r="J2552" s="6" t="s">
        <v>167</v>
      </c>
      <c r="K2552" s="6">
        <v>410</v>
      </c>
      <c r="L2552" s="6" t="s">
        <v>42</v>
      </c>
      <c r="M2552" s="6" t="s">
        <v>34</v>
      </c>
    </row>
    <row r="2553" spans="1:13">
      <c r="A2553" s="6" t="s">
        <v>4056</v>
      </c>
      <c r="B2553" s="7">
        <v>46177</v>
      </c>
      <c r="C2553" s="6" t="s">
        <v>1298</v>
      </c>
      <c r="D2553" s="6" t="s">
        <v>64</v>
      </c>
      <c r="E2553" s="6" t="s">
        <v>46</v>
      </c>
      <c r="F2553" s="6" t="s">
        <v>58</v>
      </c>
      <c r="G2553" s="6" t="s">
        <v>59</v>
      </c>
      <c r="H2553" s="6">
        <v>2</v>
      </c>
      <c r="I2553" s="6" t="s">
        <v>90</v>
      </c>
      <c r="J2553" s="6" t="s">
        <v>154</v>
      </c>
      <c r="K2553" s="6" t="s">
        <v>61</v>
      </c>
      <c r="L2553" s="6" t="s">
        <v>42</v>
      </c>
      <c r="M2553" s="6" t="s">
        <v>34</v>
      </c>
    </row>
    <row r="2554" spans="1:13">
      <c r="A2554" s="6" t="s">
        <v>4057</v>
      </c>
      <c r="B2554" s="7">
        <v>46072</v>
      </c>
      <c r="C2554" s="6" t="s">
        <v>1666</v>
      </c>
      <c r="D2554" s="6" t="s">
        <v>57</v>
      </c>
      <c r="E2554" s="6" t="s">
        <v>28</v>
      </c>
      <c r="F2554" s="6" t="s">
        <v>94</v>
      </c>
      <c r="G2554" s="6" t="s">
        <v>95</v>
      </c>
      <c r="H2554" s="6">
        <v>1</v>
      </c>
      <c r="I2554" s="6" t="s">
        <v>79</v>
      </c>
      <c r="J2554" s="6" t="s">
        <v>79</v>
      </c>
      <c r="K2554" s="6">
        <v>340</v>
      </c>
      <c r="L2554" s="6" t="s">
        <v>42</v>
      </c>
      <c r="M2554" s="6" t="s">
        <v>69</v>
      </c>
    </row>
    <row r="2555" spans="1:13">
      <c r="A2555" s="6" t="s">
        <v>4058</v>
      </c>
      <c r="B2555" s="6" t="s">
        <v>2133</v>
      </c>
      <c r="C2555" s="6" t="s">
        <v>548</v>
      </c>
      <c r="D2555" s="6" t="s">
        <v>45</v>
      </c>
      <c r="E2555" s="6" t="s">
        <v>28</v>
      </c>
      <c r="F2555" s="6" t="s">
        <v>53</v>
      </c>
      <c r="G2555" s="6" t="s">
        <v>54</v>
      </c>
      <c r="H2555" s="6">
        <v>2</v>
      </c>
      <c r="I2555" s="6" t="s">
        <v>113</v>
      </c>
      <c r="J2555" s="6" t="s">
        <v>192</v>
      </c>
      <c r="K2555" s="6">
        <v>190</v>
      </c>
      <c r="L2555" s="6" t="s">
        <v>42</v>
      </c>
      <c r="M2555" s="6" t="s">
        <v>34</v>
      </c>
    </row>
    <row r="2556" spans="1:13">
      <c r="A2556" s="6" t="s">
        <v>4059</v>
      </c>
      <c r="B2556" s="7">
        <v>46144</v>
      </c>
      <c r="C2556" s="6" t="s">
        <v>530</v>
      </c>
      <c r="D2556" s="6" t="s">
        <v>127</v>
      </c>
      <c r="E2556" s="6" t="s">
        <v>28</v>
      </c>
      <c r="F2556" s="6" t="s">
        <v>29</v>
      </c>
      <c r="G2556" s="6" t="s">
        <v>30</v>
      </c>
      <c r="H2556" s="6">
        <v>2</v>
      </c>
      <c r="I2556" s="6" t="s">
        <v>143</v>
      </c>
      <c r="J2556" s="6" t="s">
        <v>144</v>
      </c>
      <c r="K2556" s="6">
        <v>520</v>
      </c>
      <c r="L2556" s="6" t="s">
        <v>42</v>
      </c>
      <c r="M2556" s="6" t="s">
        <v>69</v>
      </c>
    </row>
    <row r="2557" spans="1:13">
      <c r="A2557" s="6" t="s">
        <v>4060</v>
      </c>
      <c r="B2557" s="6" t="s">
        <v>1425</v>
      </c>
      <c r="C2557" s="6" t="s">
        <v>4061</v>
      </c>
      <c r="D2557" s="6" t="s">
        <v>110</v>
      </c>
      <c r="E2557" s="6" t="s">
        <v>37</v>
      </c>
      <c r="F2557" s="6" t="s">
        <v>58</v>
      </c>
      <c r="G2557" s="6" t="s">
        <v>59</v>
      </c>
      <c r="H2557" s="6">
        <v>3</v>
      </c>
      <c r="I2557" s="6" t="s">
        <v>73</v>
      </c>
      <c r="J2557" s="6" t="s">
        <v>499</v>
      </c>
      <c r="K2557" s="6" t="s">
        <v>61</v>
      </c>
      <c r="L2557" s="6" t="s">
        <v>33</v>
      </c>
      <c r="M2557" s="6" t="s">
        <v>34</v>
      </c>
    </row>
    <row r="2558" spans="1:13">
      <c r="A2558" s="6" t="s">
        <v>4062</v>
      </c>
      <c r="B2558" s="7">
        <v>46112</v>
      </c>
      <c r="C2558" s="6" t="s">
        <v>4063</v>
      </c>
      <c r="D2558" s="6" t="s">
        <v>45</v>
      </c>
      <c r="E2558" s="6" t="s">
        <v>52</v>
      </c>
      <c r="F2558" s="6" t="s">
        <v>94</v>
      </c>
      <c r="G2558" s="6" t="s">
        <v>95</v>
      </c>
      <c r="H2558" s="6">
        <v>3</v>
      </c>
      <c r="I2558" s="6" t="s">
        <v>96</v>
      </c>
      <c r="J2558" s="6" t="s">
        <v>97</v>
      </c>
      <c r="K2558" s="6">
        <v>340</v>
      </c>
      <c r="L2558" s="6" t="s">
        <v>33</v>
      </c>
      <c r="M2558" s="6" t="s">
        <v>69</v>
      </c>
    </row>
    <row r="2559" spans="1:13">
      <c r="A2559" s="6" t="s">
        <v>4064</v>
      </c>
      <c r="B2559" s="6" t="s">
        <v>789</v>
      </c>
      <c r="C2559" s="6" t="s">
        <v>2553</v>
      </c>
      <c r="D2559" s="6" t="s">
        <v>45</v>
      </c>
      <c r="E2559" s="6" t="s">
        <v>78</v>
      </c>
      <c r="F2559" s="6" t="s">
        <v>29</v>
      </c>
      <c r="G2559" s="6" t="s">
        <v>30</v>
      </c>
      <c r="H2559" s="6">
        <v>1</v>
      </c>
      <c r="I2559" s="6" t="s">
        <v>195</v>
      </c>
      <c r="J2559" s="6" t="s">
        <v>181</v>
      </c>
      <c r="K2559" s="6" t="s">
        <v>41</v>
      </c>
      <c r="L2559" s="6" t="s">
        <v>42</v>
      </c>
      <c r="M2559" s="6" t="s">
        <v>34</v>
      </c>
    </row>
    <row r="2560" spans="1:13">
      <c r="A2560" s="6" t="s">
        <v>4065</v>
      </c>
      <c r="B2560" s="6" t="s">
        <v>2597</v>
      </c>
      <c r="C2560" s="6" t="s">
        <v>4066</v>
      </c>
      <c r="D2560" s="6" t="s">
        <v>72</v>
      </c>
      <c r="E2560" s="6" t="s">
        <v>78</v>
      </c>
      <c r="F2560" s="6" t="s">
        <v>58</v>
      </c>
      <c r="G2560" s="6" t="s">
        <v>59</v>
      </c>
      <c r="H2560" s="6">
        <v>2</v>
      </c>
      <c r="I2560" s="6" t="s">
        <v>113</v>
      </c>
      <c r="J2560" s="6" t="s">
        <v>163</v>
      </c>
      <c r="K2560" s="6">
        <v>380</v>
      </c>
      <c r="L2560" s="6" t="s">
        <v>42</v>
      </c>
      <c r="M2560" s="6" t="s">
        <v>69</v>
      </c>
    </row>
    <row r="2561" spans="1:13">
      <c r="A2561" s="6" t="s">
        <v>4067</v>
      </c>
      <c r="B2561" s="7">
        <v>46064</v>
      </c>
      <c r="C2561" s="6" t="s">
        <v>2541</v>
      </c>
      <c r="D2561" s="6" t="s">
        <v>72</v>
      </c>
      <c r="E2561" s="6" t="s">
        <v>28</v>
      </c>
      <c r="F2561" s="6" t="s">
        <v>94</v>
      </c>
      <c r="G2561" s="6" t="s">
        <v>95</v>
      </c>
      <c r="H2561" s="6">
        <v>2</v>
      </c>
      <c r="I2561" s="6" t="s">
        <v>113</v>
      </c>
      <c r="J2561" s="6" t="s">
        <v>192</v>
      </c>
      <c r="K2561" s="6">
        <v>340</v>
      </c>
      <c r="L2561" s="6" t="s">
        <v>42</v>
      </c>
      <c r="M2561" s="6" t="s">
        <v>69</v>
      </c>
    </row>
    <row r="2562" spans="1:13">
      <c r="A2562" s="6" t="s">
        <v>4068</v>
      </c>
      <c r="B2562" s="7">
        <v>46175</v>
      </c>
      <c r="C2562" s="6" t="s">
        <v>3140</v>
      </c>
      <c r="D2562" s="6" t="s">
        <v>77</v>
      </c>
      <c r="E2562" s="6" t="s">
        <v>52</v>
      </c>
      <c r="F2562" s="6" t="s">
        <v>38</v>
      </c>
      <c r="G2562" s="6" t="s">
        <v>39</v>
      </c>
      <c r="H2562" s="6">
        <v>1</v>
      </c>
      <c r="I2562" s="6" t="s">
        <v>82</v>
      </c>
      <c r="J2562" s="6" t="s">
        <v>82</v>
      </c>
      <c r="K2562" s="6">
        <v>520</v>
      </c>
      <c r="L2562" s="6" t="s">
        <v>33</v>
      </c>
      <c r="M2562" s="6" t="s">
        <v>69</v>
      </c>
    </row>
    <row r="2563" spans="1:13">
      <c r="A2563" s="6" t="s">
        <v>4069</v>
      </c>
      <c r="B2563" s="7">
        <v>46116</v>
      </c>
      <c r="C2563" s="6" t="s">
        <v>679</v>
      </c>
      <c r="D2563" s="6" t="s">
        <v>45</v>
      </c>
      <c r="E2563" s="6" t="s">
        <v>52</v>
      </c>
      <c r="F2563" s="6" t="s">
        <v>85</v>
      </c>
      <c r="G2563" s="6" t="s">
        <v>86</v>
      </c>
      <c r="H2563" s="6">
        <v>2</v>
      </c>
      <c r="I2563" s="6" t="s">
        <v>67</v>
      </c>
      <c r="J2563" s="6" t="s">
        <v>204</v>
      </c>
      <c r="K2563" s="6">
        <v>410</v>
      </c>
      <c r="L2563" s="6" t="s">
        <v>42</v>
      </c>
      <c r="M2563" s="6" t="s">
        <v>34</v>
      </c>
    </row>
    <row r="2564" spans="1:13">
      <c r="A2564" s="6" t="s">
        <v>4070</v>
      </c>
      <c r="B2564" s="7">
        <v>46200</v>
      </c>
      <c r="C2564" s="6" t="s">
        <v>4071</v>
      </c>
      <c r="D2564" s="6" t="s">
        <v>45</v>
      </c>
      <c r="E2564" s="6" t="s">
        <v>78</v>
      </c>
      <c r="F2564" s="6" t="s">
        <v>85</v>
      </c>
      <c r="G2564" s="6" t="s">
        <v>86</v>
      </c>
      <c r="H2564" s="6">
        <v>2</v>
      </c>
      <c r="I2564" s="6" t="s">
        <v>96</v>
      </c>
      <c r="J2564" s="6" t="s">
        <v>278</v>
      </c>
      <c r="K2564" s="6" t="s">
        <v>87</v>
      </c>
      <c r="L2564" s="6" t="s">
        <v>42</v>
      </c>
      <c r="M2564" s="6" t="s">
        <v>34</v>
      </c>
    </row>
    <row r="2565" spans="1:13">
      <c r="A2565" s="6" t="s">
        <v>4072</v>
      </c>
      <c r="B2565" s="6" t="s">
        <v>3364</v>
      </c>
      <c r="C2565" s="6" t="s">
        <v>3455</v>
      </c>
      <c r="D2565" s="6" t="s">
        <v>127</v>
      </c>
      <c r="E2565" s="6" t="s">
        <v>46</v>
      </c>
      <c r="F2565" s="6" t="s">
        <v>38</v>
      </c>
      <c r="G2565" s="6" t="s">
        <v>39</v>
      </c>
      <c r="H2565" s="6">
        <v>1</v>
      </c>
      <c r="I2565" s="6" t="s">
        <v>82</v>
      </c>
      <c r="J2565" s="6" t="s">
        <v>82</v>
      </c>
      <c r="K2565" s="6">
        <v>520</v>
      </c>
      <c r="L2565" s="6" t="s">
        <v>42</v>
      </c>
      <c r="M2565" s="6" t="s">
        <v>34</v>
      </c>
    </row>
    <row r="2566" spans="1:13">
      <c r="A2566" s="6" t="s">
        <v>623</v>
      </c>
      <c r="B2566" s="7">
        <v>46070</v>
      </c>
      <c r="C2566" s="6" t="s">
        <v>624</v>
      </c>
      <c r="D2566" s="6" t="s">
        <v>45</v>
      </c>
      <c r="E2566" s="6" t="s">
        <v>78</v>
      </c>
      <c r="F2566" s="6" t="s">
        <v>29</v>
      </c>
      <c r="G2566" s="6" t="s">
        <v>30</v>
      </c>
      <c r="H2566" s="6">
        <v>1</v>
      </c>
      <c r="I2566" s="6" t="s">
        <v>96</v>
      </c>
      <c r="J2566" s="6" t="s">
        <v>96</v>
      </c>
      <c r="K2566" s="6">
        <v>520</v>
      </c>
      <c r="L2566" s="6" t="s">
        <v>42</v>
      </c>
      <c r="M2566" s="6" t="s">
        <v>34</v>
      </c>
    </row>
    <row r="2567" spans="1:13">
      <c r="A2567" s="6" t="s">
        <v>4073</v>
      </c>
      <c r="B2567" s="7">
        <v>46031</v>
      </c>
      <c r="C2567" s="6" t="s">
        <v>1448</v>
      </c>
      <c r="D2567" s="6" t="s">
        <v>27</v>
      </c>
      <c r="E2567" s="6" t="s">
        <v>37</v>
      </c>
      <c r="F2567" s="6" t="s">
        <v>53</v>
      </c>
      <c r="G2567" s="6" t="s">
        <v>54</v>
      </c>
      <c r="H2567" s="6">
        <v>2</v>
      </c>
      <c r="I2567" s="6" t="s">
        <v>147</v>
      </c>
      <c r="J2567" s="6" t="s">
        <v>175</v>
      </c>
      <c r="K2567" s="6">
        <v>190</v>
      </c>
      <c r="L2567" s="6" t="s">
        <v>42</v>
      </c>
      <c r="M2567" s="6" t="s">
        <v>34</v>
      </c>
    </row>
    <row r="2568" spans="1:13">
      <c r="A2568" s="6" t="s">
        <v>4074</v>
      </c>
      <c r="B2568" s="7">
        <v>46038</v>
      </c>
      <c r="C2568" s="6" t="s">
        <v>707</v>
      </c>
      <c r="D2568" s="6" t="s">
        <v>77</v>
      </c>
      <c r="E2568" s="6" t="s">
        <v>37</v>
      </c>
      <c r="F2568" s="6" t="s">
        <v>47</v>
      </c>
      <c r="G2568" s="6" t="s">
        <v>48</v>
      </c>
      <c r="H2568" s="6">
        <v>2</v>
      </c>
      <c r="I2568" s="6" t="s">
        <v>117</v>
      </c>
      <c r="J2568" s="6" t="s">
        <v>118</v>
      </c>
      <c r="K2568" s="6">
        <v>85</v>
      </c>
      <c r="L2568" s="6" t="s">
        <v>33</v>
      </c>
      <c r="M2568" s="6" t="s">
        <v>34</v>
      </c>
    </row>
    <row r="2569" spans="1:13">
      <c r="A2569" s="6" t="s">
        <v>4075</v>
      </c>
      <c r="B2569" s="7">
        <v>46161</v>
      </c>
      <c r="C2569" s="6" t="s">
        <v>1155</v>
      </c>
      <c r="D2569" s="6" t="s">
        <v>64</v>
      </c>
      <c r="E2569" s="6" t="s">
        <v>37</v>
      </c>
      <c r="F2569" s="6" t="s">
        <v>53</v>
      </c>
      <c r="G2569" s="6" t="s">
        <v>54</v>
      </c>
      <c r="H2569" s="6">
        <v>2</v>
      </c>
      <c r="I2569" s="6" t="s">
        <v>90</v>
      </c>
      <c r="J2569" s="6" t="s">
        <v>154</v>
      </c>
      <c r="K2569" s="6" t="s">
        <v>122</v>
      </c>
      <c r="L2569" s="6" t="s">
        <v>42</v>
      </c>
      <c r="M2569" s="6" t="s">
        <v>34</v>
      </c>
    </row>
    <row r="2570" spans="1:13">
      <c r="A2570" s="6" t="s">
        <v>4076</v>
      </c>
      <c r="B2570" s="6" t="s">
        <v>2029</v>
      </c>
      <c r="C2570" s="6" t="s">
        <v>847</v>
      </c>
      <c r="D2570" s="6" t="s">
        <v>64</v>
      </c>
      <c r="E2570" s="6" t="s">
        <v>37</v>
      </c>
      <c r="F2570" s="6" t="s">
        <v>53</v>
      </c>
      <c r="G2570" s="6" t="s">
        <v>54</v>
      </c>
      <c r="H2570" s="6">
        <v>2</v>
      </c>
      <c r="I2570" s="6" t="s">
        <v>117</v>
      </c>
      <c r="J2570" s="6" t="s">
        <v>118</v>
      </c>
      <c r="K2570" s="6">
        <v>190</v>
      </c>
      <c r="L2570" s="6" t="s">
        <v>42</v>
      </c>
      <c r="M2570" s="6" t="s">
        <v>34</v>
      </c>
    </row>
    <row r="2571" spans="1:13">
      <c r="A2571" s="6" t="s">
        <v>4077</v>
      </c>
      <c r="B2571" s="7">
        <v>46094</v>
      </c>
      <c r="C2571" s="6" t="s">
        <v>4078</v>
      </c>
      <c r="D2571" s="6" t="s">
        <v>110</v>
      </c>
      <c r="E2571" s="6" t="s">
        <v>28</v>
      </c>
      <c r="F2571" s="6" t="s">
        <v>100</v>
      </c>
      <c r="G2571" s="6" t="s">
        <v>101</v>
      </c>
      <c r="H2571" s="6">
        <v>1</v>
      </c>
      <c r="I2571" s="6" t="s">
        <v>265</v>
      </c>
      <c r="J2571" s="6" t="s">
        <v>265</v>
      </c>
      <c r="K2571" s="6">
        <v>640</v>
      </c>
      <c r="L2571" s="6" t="s">
        <v>33</v>
      </c>
      <c r="M2571" s="6" t="s">
        <v>69</v>
      </c>
    </row>
    <row r="2572" spans="1:13">
      <c r="A2572" s="6" t="s">
        <v>4079</v>
      </c>
      <c r="B2572" s="7">
        <v>46140</v>
      </c>
      <c r="C2572" s="6" t="s">
        <v>2081</v>
      </c>
      <c r="D2572" s="6" t="s">
        <v>27</v>
      </c>
      <c r="E2572" s="6" t="s">
        <v>52</v>
      </c>
      <c r="F2572" s="6" t="s">
        <v>53</v>
      </c>
      <c r="G2572" s="6" t="s">
        <v>54</v>
      </c>
      <c r="H2572" s="6">
        <v>2</v>
      </c>
      <c r="I2572" s="6" t="s">
        <v>143</v>
      </c>
      <c r="J2572" s="6" t="s">
        <v>144</v>
      </c>
      <c r="K2572" s="6" t="s">
        <v>122</v>
      </c>
      <c r="L2572" s="6" t="s">
        <v>42</v>
      </c>
      <c r="M2572" s="6" t="s">
        <v>34</v>
      </c>
    </row>
    <row r="2573" spans="1:13">
      <c r="A2573" s="6" t="s">
        <v>4080</v>
      </c>
      <c r="B2573" s="7">
        <v>46166</v>
      </c>
      <c r="C2573" s="6" t="s">
        <v>720</v>
      </c>
      <c r="D2573" s="6" t="s">
        <v>77</v>
      </c>
      <c r="E2573" s="6" t="s">
        <v>78</v>
      </c>
      <c r="F2573" s="6" t="s">
        <v>47</v>
      </c>
      <c r="G2573" s="6" t="s">
        <v>48</v>
      </c>
      <c r="H2573" s="6">
        <v>2</v>
      </c>
      <c r="I2573" s="6" t="s">
        <v>181</v>
      </c>
      <c r="J2573" s="6" t="s">
        <v>163</v>
      </c>
      <c r="K2573" s="6" t="s">
        <v>49</v>
      </c>
      <c r="L2573" s="6" t="s">
        <v>42</v>
      </c>
      <c r="M2573" s="6" t="s">
        <v>69</v>
      </c>
    </row>
    <row r="2574" spans="1:13">
      <c r="A2574" s="6" t="s">
        <v>4081</v>
      </c>
      <c r="B2574" s="7">
        <v>46202</v>
      </c>
      <c r="C2574" s="6" t="s">
        <v>1102</v>
      </c>
      <c r="D2574" s="6" t="s">
        <v>57</v>
      </c>
      <c r="E2574" s="6" t="s">
        <v>78</v>
      </c>
      <c r="F2574" s="6" t="s">
        <v>53</v>
      </c>
      <c r="G2574" s="6" t="s">
        <v>54</v>
      </c>
      <c r="H2574" s="6">
        <v>2</v>
      </c>
      <c r="I2574" s="6" t="s">
        <v>79</v>
      </c>
      <c r="J2574" s="6" t="s">
        <v>259</v>
      </c>
      <c r="K2574" s="6" t="s">
        <v>122</v>
      </c>
      <c r="L2574" s="6" t="s">
        <v>42</v>
      </c>
      <c r="M2574" s="6" t="s">
        <v>69</v>
      </c>
    </row>
    <row r="2575" spans="1:13">
      <c r="A2575" s="6" t="s">
        <v>4082</v>
      </c>
      <c r="B2575" s="7">
        <v>46034</v>
      </c>
      <c r="C2575" s="6" t="s">
        <v>2210</v>
      </c>
      <c r="D2575" s="6" t="s">
        <v>110</v>
      </c>
      <c r="E2575" s="6" t="s">
        <v>52</v>
      </c>
      <c r="F2575" s="6" t="s">
        <v>29</v>
      </c>
      <c r="G2575" s="6" t="s">
        <v>30</v>
      </c>
      <c r="H2575" s="6">
        <v>2</v>
      </c>
      <c r="I2575" s="6" t="s">
        <v>73</v>
      </c>
      <c r="J2575" s="6" t="s">
        <v>74</v>
      </c>
      <c r="K2575" s="6">
        <v>520</v>
      </c>
      <c r="L2575" s="6" t="s">
        <v>42</v>
      </c>
      <c r="M2575" s="6" t="s">
        <v>34</v>
      </c>
    </row>
    <row r="2576" spans="1:13">
      <c r="A2576" s="6" t="s">
        <v>2401</v>
      </c>
      <c r="B2576" s="6" t="s">
        <v>891</v>
      </c>
      <c r="C2576" s="6" t="s">
        <v>2402</v>
      </c>
      <c r="D2576" s="6" t="s">
        <v>72</v>
      </c>
      <c r="E2576" s="6" t="s">
        <v>28</v>
      </c>
      <c r="F2576" s="6" t="s">
        <v>94</v>
      </c>
      <c r="G2576" s="6" t="s">
        <v>95</v>
      </c>
      <c r="H2576" s="6">
        <v>1</v>
      </c>
      <c r="I2576" s="6" t="s">
        <v>181</v>
      </c>
      <c r="J2576" s="6" t="s">
        <v>181</v>
      </c>
      <c r="K2576" s="6">
        <v>340</v>
      </c>
      <c r="L2576" s="6" t="s">
        <v>33</v>
      </c>
      <c r="M2576" s="6" t="s">
        <v>34</v>
      </c>
    </row>
    <row r="2577" spans="1:13">
      <c r="A2577" s="6" t="s">
        <v>4083</v>
      </c>
      <c r="B2577" s="7">
        <v>46127</v>
      </c>
      <c r="C2577" s="6" t="s">
        <v>219</v>
      </c>
      <c r="D2577" s="6" t="s">
        <v>27</v>
      </c>
      <c r="E2577" s="6" t="s">
        <v>78</v>
      </c>
      <c r="F2577" s="6" t="s">
        <v>29</v>
      </c>
      <c r="G2577" s="6" t="s">
        <v>30</v>
      </c>
      <c r="H2577" s="6">
        <v>1</v>
      </c>
      <c r="I2577" s="6" t="s">
        <v>117</v>
      </c>
      <c r="J2577" s="6" t="s">
        <v>117</v>
      </c>
      <c r="K2577" s="6">
        <v>520</v>
      </c>
      <c r="L2577" s="6" t="s">
        <v>42</v>
      </c>
      <c r="M2577" s="6" t="s">
        <v>69</v>
      </c>
    </row>
    <row r="2578" spans="1:13">
      <c r="A2578" s="6" t="s">
        <v>4084</v>
      </c>
      <c r="B2578" s="7">
        <v>46144</v>
      </c>
      <c r="C2578" s="6" t="s">
        <v>768</v>
      </c>
      <c r="D2578" s="6" t="s">
        <v>110</v>
      </c>
      <c r="E2578" s="6" t="s">
        <v>52</v>
      </c>
      <c r="F2578" s="6" t="s">
        <v>100</v>
      </c>
      <c r="G2578" s="6" t="s">
        <v>101</v>
      </c>
      <c r="H2578" s="6">
        <v>3</v>
      </c>
      <c r="I2578" s="6" t="s">
        <v>31</v>
      </c>
      <c r="J2578" s="6" t="s">
        <v>337</v>
      </c>
      <c r="K2578" s="6" t="s">
        <v>119</v>
      </c>
      <c r="L2578" s="6" t="s">
        <v>42</v>
      </c>
      <c r="M2578" s="6" t="s">
        <v>34</v>
      </c>
    </row>
    <row r="2579" spans="1:13">
      <c r="A2579" s="6" t="s">
        <v>4085</v>
      </c>
      <c r="B2579" s="7">
        <v>46186</v>
      </c>
      <c r="C2579" s="6" t="s">
        <v>1280</v>
      </c>
      <c r="D2579" s="6" t="s">
        <v>57</v>
      </c>
      <c r="E2579" s="6" t="s">
        <v>37</v>
      </c>
      <c r="F2579" s="6" t="s">
        <v>94</v>
      </c>
      <c r="G2579" s="6" t="s">
        <v>95</v>
      </c>
      <c r="H2579" s="6">
        <v>2</v>
      </c>
      <c r="I2579" s="6" t="s">
        <v>656</v>
      </c>
      <c r="J2579" s="6" t="s">
        <v>192</v>
      </c>
      <c r="K2579" s="6" t="s">
        <v>114</v>
      </c>
      <c r="L2579" s="6" t="s">
        <v>42</v>
      </c>
      <c r="M2579" s="6" t="s">
        <v>34</v>
      </c>
    </row>
    <row r="2580" spans="1:13">
      <c r="A2580" s="6" t="s">
        <v>4086</v>
      </c>
      <c r="B2580" s="6" t="s">
        <v>1677</v>
      </c>
      <c r="C2580" s="6" t="s">
        <v>2909</v>
      </c>
      <c r="D2580" s="6" t="s">
        <v>110</v>
      </c>
      <c r="E2580" s="6" t="s">
        <v>28</v>
      </c>
      <c r="F2580" s="6" t="s">
        <v>58</v>
      </c>
      <c r="G2580" s="6" t="s">
        <v>59</v>
      </c>
      <c r="H2580" s="6">
        <v>1</v>
      </c>
      <c r="I2580" s="6" t="s">
        <v>265</v>
      </c>
      <c r="J2580" s="6" t="s">
        <v>265</v>
      </c>
      <c r="K2580" s="6" t="s">
        <v>61</v>
      </c>
      <c r="L2580" s="6" t="s">
        <v>42</v>
      </c>
      <c r="M2580" s="6" t="s">
        <v>34</v>
      </c>
    </row>
    <row r="2581" spans="1:13">
      <c r="A2581" s="6" t="s">
        <v>4087</v>
      </c>
      <c r="B2581" s="7">
        <v>46054</v>
      </c>
      <c r="C2581" s="6" t="s">
        <v>2109</v>
      </c>
      <c r="D2581" s="6" t="s">
        <v>45</v>
      </c>
      <c r="E2581" s="6" t="s">
        <v>46</v>
      </c>
      <c r="F2581" s="6" t="s">
        <v>85</v>
      </c>
      <c r="G2581" s="6" t="s">
        <v>86</v>
      </c>
      <c r="H2581" s="6">
        <v>2</v>
      </c>
      <c r="I2581" s="6" t="s">
        <v>82</v>
      </c>
      <c r="J2581" s="6" t="s">
        <v>297</v>
      </c>
      <c r="K2581" s="6">
        <v>410</v>
      </c>
      <c r="L2581" s="6" t="s">
        <v>42</v>
      </c>
      <c r="M2581" s="6" t="s">
        <v>69</v>
      </c>
    </row>
    <row r="2582" spans="1:13">
      <c r="A2582" s="6" t="s">
        <v>4088</v>
      </c>
      <c r="B2582" s="7">
        <v>46115</v>
      </c>
      <c r="C2582" s="6" t="s">
        <v>3110</v>
      </c>
      <c r="D2582" s="6" t="s">
        <v>77</v>
      </c>
      <c r="E2582" s="6" t="s">
        <v>78</v>
      </c>
      <c r="F2582" s="6" t="s">
        <v>29</v>
      </c>
      <c r="G2582" s="6" t="s">
        <v>30</v>
      </c>
      <c r="H2582" s="6">
        <v>3</v>
      </c>
      <c r="I2582" s="6" t="s">
        <v>79</v>
      </c>
      <c r="J2582" s="6" t="s">
        <v>216</v>
      </c>
      <c r="K2582" s="6">
        <v>520</v>
      </c>
      <c r="L2582" s="6" t="s">
        <v>42</v>
      </c>
      <c r="M2582" s="6" t="s">
        <v>69</v>
      </c>
    </row>
    <row r="2583" spans="1:13">
      <c r="A2583" s="6" t="s">
        <v>4089</v>
      </c>
      <c r="B2583" s="7">
        <v>46200</v>
      </c>
      <c r="C2583" s="6" t="s">
        <v>1089</v>
      </c>
      <c r="D2583" s="6" t="s">
        <v>57</v>
      </c>
      <c r="E2583" s="6" t="s">
        <v>52</v>
      </c>
      <c r="F2583" s="6" t="s">
        <v>38</v>
      </c>
      <c r="G2583" s="6" t="s">
        <v>39</v>
      </c>
      <c r="H2583" s="6">
        <v>1</v>
      </c>
      <c r="I2583" s="6" t="s">
        <v>143</v>
      </c>
      <c r="J2583" s="6" t="s">
        <v>3011</v>
      </c>
      <c r="K2583" s="6" t="s">
        <v>41</v>
      </c>
      <c r="L2583" s="6" t="s">
        <v>42</v>
      </c>
      <c r="M2583" s="6" t="s">
        <v>34</v>
      </c>
    </row>
    <row r="2584" spans="1:13">
      <c r="A2584" s="6" t="s">
        <v>4090</v>
      </c>
      <c r="B2584" s="7">
        <v>46088</v>
      </c>
      <c r="C2584" s="6" t="s">
        <v>2707</v>
      </c>
      <c r="D2584" s="6" t="s">
        <v>64</v>
      </c>
      <c r="E2584" s="6" t="s">
        <v>37</v>
      </c>
      <c r="F2584" s="6" t="s">
        <v>47</v>
      </c>
      <c r="G2584" s="6" t="s">
        <v>48</v>
      </c>
      <c r="H2584" s="6">
        <v>3</v>
      </c>
      <c r="I2584" s="6" t="s">
        <v>265</v>
      </c>
      <c r="J2584" s="6" t="s">
        <v>401</v>
      </c>
      <c r="K2584" s="6">
        <v>85</v>
      </c>
      <c r="L2584" s="6" t="s">
        <v>42</v>
      </c>
      <c r="M2584" s="6" t="s">
        <v>34</v>
      </c>
    </row>
    <row r="2585" spans="1:13">
      <c r="A2585" s="6" t="s">
        <v>4091</v>
      </c>
      <c r="B2585" s="7">
        <v>46090</v>
      </c>
      <c r="C2585" s="6" t="s">
        <v>3440</v>
      </c>
      <c r="D2585" s="6" t="s">
        <v>72</v>
      </c>
      <c r="E2585" s="6" t="s">
        <v>28</v>
      </c>
      <c r="F2585" s="6" t="s">
        <v>29</v>
      </c>
      <c r="G2585" s="6" t="s">
        <v>30</v>
      </c>
      <c r="H2585" s="6">
        <v>1</v>
      </c>
      <c r="I2585" s="6" t="s">
        <v>490</v>
      </c>
      <c r="J2585" s="6" t="s">
        <v>82</v>
      </c>
      <c r="K2585" s="6">
        <v>520</v>
      </c>
      <c r="L2585" s="6" t="s">
        <v>33</v>
      </c>
      <c r="M2585" s="6" t="s">
        <v>34</v>
      </c>
    </row>
    <row r="2586" spans="1:13">
      <c r="A2586" s="6" t="s">
        <v>4092</v>
      </c>
      <c r="B2586" s="7">
        <v>46163</v>
      </c>
      <c r="C2586" s="6" t="s">
        <v>1995</v>
      </c>
      <c r="D2586" s="6" t="s">
        <v>110</v>
      </c>
      <c r="E2586" s="6" t="s">
        <v>52</v>
      </c>
      <c r="F2586" s="6" t="s">
        <v>29</v>
      </c>
      <c r="G2586" s="6" t="s">
        <v>30</v>
      </c>
      <c r="H2586" s="6">
        <v>1</v>
      </c>
      <c r="I2586" s="6" t="s">
        <v>231</v>
      </c>
      <c r="J2586" s="6" t="s">
        <v>231</v>
      </c>
      <c r="K2586" s="6" t="s">
        <v>41</v>
      </c>
      <c r="L2586" s="6" t="s">
        <v>42</v>
      </c>
      <c r="M2586" s="6" t="s">
        <v>34</v>
      </c>
    </row>
    <row r="2587" spans="1:13">
      <c r="A2587" s="6" t="s">
        <v>4093</v>
      </c>
      <c r="B2587" s="7">
        <v>46107</v>
      </c>
      <c r="C2587" s="6" t="s">
        <v>4094</v>
      </c>
      <c r="D2587" s="6" t="s">
        <v>57</v>
      </c>
      <c r="E2587" s="6" t="s">
        <v>37</v>
      </c>
      <c r="F2587" s="6" t="s">
        <v>58</v>
      </c>
      <c r="G2587" s="6" t="s">
        <v>59</v>
      </c>
      <c r="H2587" s="6">
        <v>1</v>
      </c>
      <c r="I2587" s="6" t="s">
        <v>143</v>
      </c>
      <c r="J2587" s="6" t="s">
        <v>143</v>
      </c>
      <c r="K2587" s="6">
        <v>380</v>
      </c>
      <c r="L2587" s="6" t="s">
        <v>33</v>
      </c>
      <c r="M2587" s="6" t="s">
        <v>34</v>
      </c>
    </row>
    <row r="2588" spans="1:13">
      <c r="A2588" s="6" t="s">
        <v>4095</v>
      </c>
      <c r="B2588" s="7">
        <v>46200</v>
      </c>
      <c r="C2588" s="6" t="s">
        <v>540</v>
      </c>
      <c r="D2588" s="6" t="s">
        <v>72</v>
      </c>
      <c r="E2588" s="6" t="s">
        <v>37</v>
      </c>
      <c r="F2588" s="6" t="s">
        <v>58</v>
      </c>
      <c r="G2588" s="6" t="s">
        <v>59</v>
      </c>
      <c r="H2588" s="6">
        <v>2</v>
      </c>
      <c r="I2588" s="6" t="s">
        <v>79</v>
      </c>
      <c r="J2588" s="6" t="s">
        <v>259</v>
      </c>
      <c r="K2588" s="6" t="s">
        <v>61</v>
      </c>
      <c r="L2588" s="6" t="s">
        <v>42</v>
      </c>
      <c r="M2588" s="6" t="s">
        <v>69</v>
      </c>
    </row>
    <row r="2589" spans="1:13">
      <c r="A2589" s="6" t="s">
        <v>4096</v>
      </c>
      <c r="B2589" s="7">
        <v>46045</v>
      </c>
      <c r="C2589" s="6" t="s">
        <v>2193</v>
      </c>
      <c r="D2589" s="6" t="s">
        <v>77</v>
      </c>
      <c r="E2589" s="6" t="s">
        <v>78</v>
      </c>
      <c r="F2589" s="6" t="s">
        <v>29</v>
      </c>
      <c r="G2589" s="6" t="s">
        <v>30</v>
      </c>
      <c r="H2589" s="6">
        <v>3</v>
      </c>
      <c r="I2589" s="6" t="s">
        <v>113</v>
      </c>
      <c r="J2589" s="6" t="s">
        <v>138</v>
      </c>
      <c r="K2589" s="6">
        <v>520</v>
      </c>
      <c r="L2589" s="6" t="s">
        <v>33</v>
      </c>
      <c r="M2589" s="6" t="s">
        <v>34</v>
      </c>
    </row>
    <row r="2590" spans="1:13">
      <c r="A2590" s="6" t="s">
        <v>4097</v>
      </c>
      <c r="B2590" s="7">
        <v>46028</v>
      </c>
      <c r="C2590" s="6" t="s">
        <v>1883</v>
      </c>
      <c r="D2590" s="6" t="s">
        <v>77</v>
      </c>
      <c r="E2590" s="6" t="s">
        <v>46</v>
      </c>
      <c r="F2590" s="6" t="s">
        <v>38</v>
      </c>
      <c r="G2590" s="6" t="s">
        <v>39</v>
      </c>
      <c r="H2590" s="6">
        <v>3</v>
      </c>
      <c r="I2590" s="6" t="s">
        <v>40</v>
      </c>
      <c r="J2590" s="6" t="s">
        <v>579</v>
      </c>
      <c r="K2590" s="6">
        <v>520</v>
      </c>
      <c r="L2590" s="6" t="s">
        <v>33</v>
      </c>
      <c r="M2590" s="6" t="s">
        <v>34</v>
      </c>
    </row>
    <row r="2591" spans="1:13">
      <c r="A2591" s="6" t="s">
        <v>4098</v>
      </c>
      <c r="B2591" s="7">
        <v>46184</v>
      </c>
      <c r="C2591" s="6" t="s">
        <v>1321</v>
      </c>
      <c r="D2591" s="6" t="s">
        <v>77</v>
      </c>
      <c r="E2591" s="6" t="s">
        <v>78</v>
      </c>
      <c r="F2591" s="6" t="s">
        <v>85</v>
      </c>
      <c r="G2591" s="6" t="s">
        <v>86</v>
      </c>
      <c r="H2591" s="6">
        <v>1</v>
      </c>
      <c r="I2591" s="6" t="s">
        <v>113</v>
      </c>
      <c r="J2591" s="6" t="s">
        <v>113</v>
      </c>
      <c r="K2591" s="6" t="s">
        <v>87</v>
      </c>
      <c r="L2591" s="6" t="s">
        <v>42</v>
      </c>
      <c r="M2591" s="6" t="s">
        <v>34</v>
      </c>
    </row>
    <row r="2592" spans="1:13">
      <c r="A2592" s="6" t="s">
        <v>4099</v>
      </c>
      <c r="B2592" s="7">
        <v>46060</v>
      </c>
      <c r="C2592" s="6" t="s">
        <v>1736</v>
      </c>
      <c r="D2592" s="6" t="s">
        <v>45</v>
      </c>
      <c r="E2592" s="6" t="s">
        <v>37</v>
      </c>
      <c r="F2592" s="6" t="s">
        <v>53</v>
      </c>
      <c r="G2592" s="6" t="s">
        <v>54</v>
      </c>
      <c r="H2592" s="6">
        <v>1</v>
      </c>
      <c r="I2592" s="6" t="s">
        <v>96</v>
      </c>
      <c r="J2592" s="6" t="s">
        <v>96</v>
      </c>
      <c r="K2592" s="6">
        <v>190</v>
      </c>
      <c r="L2592" s="6" t="s">
        <v>42</v>
      </c>
      <c r="M2592" s="6" t="s">
        <v>34</v>
      </c>
    </row>
    <row r="2593" spans="1:13">
      <c r="A2593" s="6" t="s">
        <v>4100</v>
      </c>
      <c r="B2593" s="7">
        <v>46025</v>
      </c>
      <c r="C2593" s="6" t="s">
        <v>4101</v>
      </c>
      <c r="D2593" s="6" t="s">
        <v>57</v>
      </c>
      <c r="E2593" s="6" t="s">
        <v>78</v>
      </c>
      <c r="F2593" s="6" t="s">
        <v>58</v>
      </c>
      <c r="G2593" s="6" t="s">
        <v>59</v>
      </c>
      <c r="H2593" s="6">
        <v>2</v>
      </c>
      <c r="I2593" s="6" t="s">
        <v>113</v>
      </c>
      <c r="J2593" s="6" t="s">
        <v>192</v>
      </c>
      <c r="K2593" s="6">
        <v>380</v>
      </c>
      <c r="L2593" s="6" t="s">
        <v>42</v>
      </c>
      <c r="M2593" s="6" t="s">
        <v>34</v>
      </c>
    </row>
    <row r="2594" spans="1:13">
      <c r="A2594" s="6" t="s">
        <v>1524</v>
      </c>
      <c r="B2594" s="7">
        <v>46236</v>
      </c>
      <c r="C2594" s="6" t="s">
        <v>1525</v>
      </c>
      <c r="D2594" s="6" t="s">
        <v>45</v>
      </c>
      <c r="E2594" s="6" t="s">
        <v>37</v>
      </c>
      <c r="F2594" s="6" t="s">
        <v>58</v>
      </c>
      <c r="G2594" s="6" t="s">
        <v>59</v>
      </c>
      <c r="H2594" s="6">
        <v>1</v>
      </c>
      <c r="I2594" s="6" t="s">
        <v>265</v>
      </c>
      <c r="J2594" s="6" t="s">
        <v>265</v>
      </c>
      <c r="K2594" s="6">
        <v>380</v>
      </c>
      <c r="L2594" s="6" t="s">
        <v>33</v>
      </c>
      <c r="M2594" s="6" t="s">
        <v>34</v>
      </c>
    </row>
    <row r="2595" spans="1:13">
      <c r="A2595" s="6" t="s">
        <v>4102</v>
      </c>
      <c r="B2595" s="7">
        <v>46074</v>
      </c>
      <c r="C2595" s="6" t="s">
        <v>1323</v>
      </c>
      <c r="D2595" s="6" t="s">
        <v>127</v>
      </c>
      <c r="E2595" s="6" t="s">
        <v>46</v>
      </c>
      <c r="F2595" s="6" t="s">
        <v>94</v>
      </c>
      <c r="G2595" s="6" t="s">
        <v>95</v>
      </c>
      <c r="H2595" s="6">
        <v>2</v>
      </c>
      <c r="I2595" s="6" t="s">
        <v>90</v>
      </c>
      <c r="J2595" s="6" t="s">
        <v>154</v>
      </c>
      <c r="K2595" s="6">
        <v>340</v>
      </c>
      <c r="L2595" s="6" t="s">
        <v>42</v>
      </c>
      <c r="M2595" s="6" t="s">
        <v>69</v>
      </c>
    </row>
    <row r="2596" spans="1:13">
      <c r="A2596" s="6" t="s">
        <v>4103</v>
      </c>
      <c r="B2596" s="7">
        <v>46159</v>
      </c>
      <c r="C2596" s="6" t="s">
        <v>3288</v>
      </c>
      <c r="D2596" s="6" t="s">
        <v>64</v>
      </c>
      <c r="E2596" s="6" t="s">
        <v>37</v>
      </c>
      <c r="F2596" s="6" t="s">
        <v>29</v>
      </c>
      <c r="G2596" s="6" t="s">
        <v>30</v>
      </c>
      <c r="H2596" s="6">
        <v>1</v>
      </c>
      <c r="I2596" s="6" t="s">
        <v>265</v>
      </c>
      <c r="J2596" s="6" t="s">
        <v>3832</v>
      </c>
      <c r="K2596" s="6" t="s">
        <v>41</v>
      </c>
      <c r="L2596" s="6" t="s">
        <v>42</v>
      </c>
      <c r="M2596" s="6" t="s">
        <v>69</v>
      </c>
    </row>
    <row r="2597" spans="1:13">
      <c r="A2597" s="6" t="s">
        <v>4104</v>
      </c>
      <c r="B2597" s="7">
        <v>46124</v>
      </c>
      <c r="C2597" s="6" t="s">
        <v>3860</v>
      </c>
      <c r="D2597" s="6" t="s">
        <v>45</v>
      </c>
      <c r="E2597" s="6" t="s">
        <v>28</v>
      </c>
      <c r="F2597" s="6" t="s">
        <v>94</v>
      </c>
      <c r="G2597" s="6" t="s">
        <v>95</v>
      </c>
      <c r="H2597" s="6">
        <v>1</v>
      </c>
      <c r="I2597" s="6" t="s">
        <v>82</v>
      </c>
      <c r="J2597" s="6" t="s">
        <v>82</v>
      </c>
      <c r="K2597" s="6">
        <v>340</v>
      </c>
      <c r="L2597" s="6" t="s">
        <v>33</v>
      </c>
      <c r="M2597" s="6" t="s">
        <v>69</v>
      </c>
    </row>
    <row r="2598" spans="1:13">
      <c r="A2598" s="6" t="s">
        <v>4105</v>
      </c>
      <c r="B2598" s="6" t="s">
        <v>593</v>
      </c>
      <c r="C2598" s="6" t="s">
        <v>446</v>
      </c>
      <c r="D2598" s="6" t="s">
        <v>64</v>
      </c>
      <c r="E2598" s="6" t="s">
        <v>28</v>
      </c>
      <c r="F2598" s="6" t="s">
        <v>100</v>
      </c>
      <c r="G2598" s="6" t="s">
        <v>101</v>
      </c>
      <c r="H2598" s="6">
        <v>1</v>
      </c>
      <c r="I2598" s="6" t="s">
        <v>113</v>
      </c>
      <c r="J2598" s="6" t="s">
        <v>113</v>
      </c>
      <c r="K2598" s="6" t="s">
        <v>119</v>
      </c>
      <c r="L2598" s="6" t="s">
        <v>42</v>
      </c>
      <c r="M2598" s="6" t="s">
        <v>69</v>
      </c>
    </row>
    <row r="2599" spans="1:13">
      <c r="A2599" s="6" t="s">
        <v>4106</v>
      </c>
      <c r="B2599" s="7">
        <v>46114</v>
      </c>
      <c r="C2599" s="6" t="s">
        <v>436</v>
      </c>
      <c r="D2599" s="6" t="s">
        <v>64</v>
      </c>
      <c r="E2599" s="6" t="s">
        <v>37</v>
      </c>
      <c r="F2599" s="6" t="s">
        <v>100</v>
      </c>
      <c r="G2599" s="6" t="s">
        <v>101</v>
      </c>
      <c r="H2599" s="6">
        <v>3</v>
      </c>
      <c r="I2599" s="6" t="s">
        <v>90</v>
      </c>
      <c r="J2599" s="6" t="s">
        <v>102</v>
      </c>
      <c r="K2599" s="6">
        <v>640</v>
      </c>
      <c r="L2599" s="6" t="s">
        <v>42</v>
      </c>
      <c r="M2599" s="6" t="s">
        <v>69</v>
      </c>
    </row>
    <row r="2600" spans="1:13">
      <c r="A2600" s="6" t="s">
        <v>4107</v>
      </c>
      <c r="B2600" s="7">
        <v>46199</v>
      </c>
      <c r="C2600" s="6" t="s">
        <v>1207</v>
      </c>
      <c r="D2600" s="6" t="s">
        <v>57</v>
      </c>
      <c r="E2600" s="6" t="s">
        <v>37</v>
      </c>
      <c r="F2600" s="6" t="s">
        <v>53</v>
      </c>
      <c r="G2600" s="6" t="s">
        <v>54</v>
      </c>
      <c r="H2600" s="6">
        <v>1</v>
      </c>
      <c r="I2600" s="6" t="s">
        <v>73</v>
      </c>
      <c r="J2600" s="6" t="s">
        <v>73</v>
      </c>
      <c r="K2600" s="6" t="s">
        <v>122</v>
      </c>
      <c r="L2600" s="6" t="s">
        <v>42</v>
      </c>
      <c r="M2600" s="6" t="s">
        <v>34</v>
      </c>
    </row>
    <row r="2601" spans="1:13">
      <c r="A2601" s="6" t="s">
        <v>4108</v>
      </c>
      <c r="B2601" s="7">
        <v>46129</v>
      </c>
      <c r="C2601" s="6" t="s">
        <v>1300</v>
      </c>
      <c r="D2601" s="6" t="s">
        <v>64</v>
      </c>
      <c r="E2601" s="6" t="s">
        <v>78</v>
      </c>
      <c r="F2601" s="6" t="s">
        <v>38</v>
      </c>
      <c r="G2601" s="6" t="s">
        <v>39</v>
      </c>
      <c r="H2601" s="6">
        <v>1</v>
      </c>
      <c r="I2601" s="6" t="s">
        <v>90</v>
      </c>
      <c r="J2601" s="6" t="s">
        <v>90</v>
      </c>
      <c r="K2601" s="6">
        <v>520</v>
      </c>
      <c r="L2601" s="6" t="s">
        <v>42</v>
      </c>
      <c r="M2601" s="6" t="s">
        <v>34</v>
      </c>
    </row>
    <row r="2602" spans="1:13">
      <c r="A2602" s="6" t="s">
        <v>4109</v>
      </c>
      <c r="B2602" s="7">
        <v>46163</v>
      </c>
      <c r="C2602" s="6" t="s">
        <v>2097</v>
      </c>
      <c r="D2602" s="6" t="s">
        <v>110</v>
      </c>
      <c r="E2602" s="6" t="s">
        <v>28</v>
      </c>
      <c r="F2602" s="6" t="s">
        <v>58</v>
      </c>
      <c r="G2602" s="6" t="s">
        <v>59</v>
      </c>
      <c r="H2602" s="6">
        <v>1</v>
      </c>
      <c r="I2602" s="6" t="s">
        <v>90</v>
      </c>
      <c r="J2602" s="6" t="s">
        <v>90</v>
      </c>
      <c r="K2602" s="6" t="s">
        <v>61</v>
      </c>
      <c r="L2602" s="6" t="s">
        <v>42</v>
      </c>
      <c r="M2602" s="6" t="s">
        <v>34</v>
      </c>
    </row>
    <row r="2603" spans="1:13">
      <c r="A2603" s="6" t="s">
        <v>4110</v>
      </c>
      <c r="B2603" s="7">
        <v>46151</v>
      </c>
      <c r="C2603" s="6" t="s">
        <v>2726</v>
      </c>
      <c r="D2603" s="6" t="s">
        <v>105</v>
      </c>
      <c r="E2603" s="6" t="s">
        <v>52</v>
      </c>
      <c r="F2603" s="6" t="s">
        <v>53</v>
      </c>
      <c r="G2603" s="6" t="s">
        <v>54</v>
      </c>
      <c r="H2603" s="6">
        <v>2</v>
      </c>
      <c r="I2603" s="6" t="s">
        <v>113</v>
      </c>
      <c r="J2603" s="6" t="s">
        <v>192</v>
      </c>
      <c r="K2603" s="6" t="s">
        <v>122</v>
      </c>
      <c r="L2603" s="6" t="s">
        <v>42</v>
      </c>
      <c r="M2603" s="6" t="s">
        <v>34</v>
      </c>
    </row>
    <row r="2604" spans="1:13">
      <c r="A2604" s="6" t="s">
        <v>4111</v>
      </c>
      <c r="B2604" s="7">
        <v>46126</v>
      </c>
      <c r="C2604" s="6" t="s">
        <v>2545</v>
      </c>
      <c r="D2604" s="6" t="s">
        <v>127</v>
      </c>
      <c r="E2604" s="6" t="s">
        <v>78</v>
      </c>
      <c r="F2604" s="6" t="s">
        <v>47</v>
      </c>
      <c r="G2604" s="6" t="s">
        <v>48</v>
      </c>
      <c r="H2604" s="6">
        <v>2</v>
      </c>
      <c r="I2604" s="6" t="s">
        <v>96</v>
      </c>
      <c r="J2604" s="6" t="s">
        <v>278</v>
      </c>
      <c r="K2604" s="6">
        <v>85</v>
      </c>
      <c r="L2604" s="6" t="s">
        <v>42</v>
      </c>
      <c r="M2604" s="6" t="s">
        <v>34</v>
      </c>
    </row>
    <row r="2605" spans="1:13">
      <c r="A2605" s="6" t="s">
        <v>4112</v>
      </c>
      <c r="B2605" s="6" t="s">
        <v>1305</v>
      </c>
      <c r="C2605" s="6" t="s">
        <v>158</v>
      </c>
      <c r="D2605" s="6" t="s">
        <v>105</v>
      </c>
      <c r="E2605" s="6" t="s">
        <v>52</v>
      </c>
      <c r="F2605" s="6" t="s">
        <v>100</v>
      </c>
      <c r="G2605" s="6" t="s">
        <v>101</v>
      </c>
      <c r="H2605" s="6">
        <v>1</v>
      </c>
      <c r="I2605" s="6" t="s">
        <v>231</v>
      </c>
      <c r="J2605" s="6" t="s">
        <v>231</v>
      </c>
      <c r="K2605" s="6" t="s">
        <v>119</v>
      </c>
      <c r="L2605" s="6" t="s">
        <v>42</v>
      </c>
      <c r="M2605" s="6" t="s">
        <v>34</v>
      </c>
    </row>
    <row r="2606" spans="1:13">
      <c r="A2606" s="6" t="s">
        <v>4113</v>
      </c>
      <c r="B2606" s="7">
        <v>46141</v>
      </c>
      <c r="C2606" s="6" t="s">
        <v>1346</v>
      </c>
      <c r="D2606" s="6" t="s">
        <v>105</v>
      </c>
      <c r="E2606" s="6" t="s">
        <v>37</v>
      </c>
      <c r="F2606" s="6" t="s">
        <v>47</v>
      </c>
      <c r="G2606" s="6" t="s">
        <v>48</v>
      </c>
      <c r="H2606" s="6">
        <v>1</v>
      </c>
      <c r="I2606" s="6" t="s">
        <v>373</v>
      </c>
      <c r="J2606" s="6" t="s">
        <v>79</v>
      </c>
      <c r="K2606" s="6" t="s">
        <v>49</v>
      </c>
      <c r="L2606" s="6" t="s">
        <v>42</v>
      </c>
      <c r="M2606" s="6" t="s">
        <v>34</v>
      </c>
    </row>
    <row r="2607" spans="1:13">
      <c r="A2607" s="6" t="s">
        <v>4114</v>
      </c>
      <c r="B2607" s="7">
        <v>46126</v>
      </c>
      <c r="C2607" s="6" t="s">
        <v>1619</v>
      </c>
      <c r="D2607" s="6" t="s">
        <v>105</v>
      </c>
      <c r="E2607" s="6" t="s">
        <v>52</v>
      </c>
      <c r="F2607" s="6" t="s">
        <v>94</v>
      </c>
      <c r="G2607" s="6" t="s">
        <v>95</v>
      </c>
      <c r="H2607" s="6">
        <v>1</v>
      </c>
      <c r="I2607" s="6" t="s">
        <v>143</v>
      </c>
      <c r="J2607" s="6" t="s">
        <v>143</v>
      </c>
      <c r="K2607" s="6">
        <v>340</v>
      </c>
      <c r="L2607" s="6" t="s">
        <v>33</v>
      </c>
      <c r="M2607" s="6" t="s">
        <v>34</v>
      </c>
    </row>
    <row r="2608" spans="1:13">
      <c r="A2608" s="6" t="s">
        <v>4115</v>
      </c>
      <c r="B2608" s="7">
        <v>46084</v>
      </c>
      <c r="C2608" s="6" t="s">
        <v>951</v>
      </c>
      <c r="D2608" s="6" t="s">
        <v>110</v>
      </c>
      <c r="E2608" s="6" t="s">
        <v>78</v>
      </c>
      <c r="F2608" s="6" t="s">
        <v>94</v>
      </c>
      <c r="G2608" s="6" t="s">
        <v>95</v>
      </c>
      <c r="H2608" s="6">
        <v>1</v>
      </c>
      <c r="I2608" s="6" t="s">
        <v>79</v>
      </c>
      <c r="J2608" s="6" t="s">
        <v>79</v>
      </c>
      <c r="K2608" s="6">
        <v>340</v>
      </c>
      <c r="L2608" s="6" t="s">
        <v>42</v>
      </c>
      <c r="M2608" s="6" t="s">
        <v>34</v>
      </c>
    </row>
    <row r="2609" spans="1:13">
      <c r="A2609" s="6" t="s">
        <v>4116</v>
      </c>
      <c r="B2609" s="7">
        <v>46104</v>
      </c>
      <c r="C2609" s="6" t="s">
        <v>294</v>
      </c>
      <c r="D2609" s="6" t="s">
        <v>110</v>
      </c>
      <c r="E2609" s="6" t="s">
        <v>37</v>
      </c>
      <c r="F2609" s="6" t="s">
        <v>100</v>
      </c>
      <c r="G2609" s="6" t="s">
        <v>101</v>
      </c>
      <c r="H2609" s="6">
        <v>1</v>
      </c>
      <c r="I2609" s="6" t="s">
        <v>90</v>
      </c>
      <c r="J2609" s="6" t="s">
        <v>90</v>
      </c>
      <c r="K2609" s="6">
        <v>640</v>
      </c>
      <c r="L2609" s="6" t="s">
        <v>42</v>
      </c>
      <c r="M2609" s="6" t="s">
        <v>34</v>
      </c>
    </row>
    <row r="2610" spans="1:13">
      <c r="A2610" s="6" t="s">
        <v>4117</v>
      </c>
      <c r="B2610" s="7">
        <v>46156</v>
      </c>
      <c r="C2610" s="6" t="s">
        <v>4118</v>
      </c>
      <c r="D2610" s="6" t="s">
        <v>72</v>
      </c>
      <c r="E2610" s="6" t="s">
        <v>52</v>
      </c>
      <c r="F2610" s="6" t="s">
        <v>94</v>
      </c>
      <c r="G2610" s="6" t="s">
        <v>95</v>
      </c>
      <c r="H2610" s="6">
        <v>2</v>
      </c>
      <c r="I2610" s="6" t="s">
        <v>79</v>
      </c>
      <c r="J2610" s="6" t="s">
        <v>259</v>
      </c>
      <c r="K2610" s="6" t="s">
        <v>114</v>
      </c>
      <c r="L2610" s="6" t="s">
        <v>42</v>
      </c>
      <c r="M2610" s="6" t="s">
        <v>34</v>
      </c>
    </row>
    <row r="2611" spans="1:13">
      <c r="A2611" s="6" t="s">
        <v>4119</v>
      </c>
      <c r="B2611" s="6" t="s">
        <v>1285</v>
      </c>
      <c r="C2611" s="6" t="s">
        <v>4120</v>
      </c>
      <c r="D2611" s="6" t="s">
        <v>72</v>
      </c>
      <c r="E2611" s="6" t="s">
        <v>52</v>
      </c>
      <c r="F2611" s="6" t="s">
        <v>58</v>
      </c>
      <c r="G2611" s="6" t="s">
        <v>59</v>
      </c>
      <c r="H2611" s="6">
        <v>2</v>
      </c>
      <c r="I2611" s="6" t="s">
        <v>143</v>
      </c>
      <c r="J2611" s="6" t="s">
        <v>144</v>
      </c>
      <c r="K2611" s="6" t="s">
        <v>61</v>
      </c>
      <c r="L2611" s="6" t="s">
        <v>42</v>
      </c>
      <c r="M2611" s="6" t="s">
        <v>34</v>
      </c>
    </row>
    <row r="2612" spans="1:13">
      <c r="A2612" s="6" t="s">
        <v>4121</v>
      </c>
      <c r="B2612" s="7">
        <v>46121</v>
      </c>
      <c r="C2612" s="6" t="s">
        <v>1398</v>
      </c>
      <c r="D2612" s="6" t="s">
        <v>110</v>
      </c>
      <c r="E2612" s="6" t="s">
        <v>37</v>
      </c>
      <c r="F2612" s="6" t="s">
        <v>58</v>
      </c>
      <c r="G2612" s="6" t="s">
        <v>59</v>
      </c>
      <c r="H2612" s="6">
        <v>1</v>
      </c>
      <c r="I2612" s="6" t="s">
        <v>265</v>
      </c>
      <c r="J2612" s="6" t="s">
        <v>265</v>
      </c>
      <c r="K2612" s="6">
        <v>380</v>
      </c>
      <c r="L2612" s="6" t="s">
        <v>42</v>
      </c>
      <c r="M2612" s="6" t="s">
        <v>34</v>
      </c>
    </row>
    <row r="2613" spans="1:13">
      <c r="A2613" s="6" t="s">
        <v>4122</v>
      </c>
      <c r="B2613" s="7">
        <v>46153</v>
      </c>
      <c r="C2613" s="6" t="s">
        <v>2712</v>
      </c>
      <c r="D2613" s="6" t="s">
        <v>45</v>
      </c>
      <c r="E2613" s="6" t="s">
        <v>52</v>
      </c>
      <c r="F2613" s="6" t="s">
        <v>58</v>
      </c>
      <c r="G2613" s="6" t="s">
        <v>59</v>
      </c>
      <c r="H2613" s="6">
        <v>3</v>
      </c>
      <c r="I2613" s="6" t="s">
        <v>90</v>
      </c>
      <c r="J2613" s="6" t="s">
        <v>102</v>
      </c>
      <c r="K2613" s="6" t="s">
        <v>61</v>
      </c>
      <c r="L2613" s="6" t="s">
        <v>42</v>
      </c>
      <c r="M2613" s="6" t="s">
        <v>34</v>
      </c>
    </row>
    <row r="2614" spans="1:13">
      <c r="A2614" s="6" t="s">
        <v>4123</v>
      </c>
      <c r="B2614" s="7">
        <v>46206</v>
      </c>
      <c r="C2614" s="6" t="s">
        <v>2067</v>
      </c>
      <c r="D2614" s="6" t="s">
        <v>110</v>
      </c>
      <c r="E2614" s="6" t="s">
        <v>28</v>
      </c>
      <c r="F2614" s="6" t="s">
        <v>47</v>
      </c>
      <c r="G2614" s="6" t="s">
        <v>48</v>
      </c>
      <c r="H2614" s="6">
        <v>2</v>
      </c>
      <c r="I2614" s="6" t="s">
        <v>90</v>
      </c>
      <c r="J2614" s="6" t="s">
        <v>154</v>
      </c>
      <c r="K2614" s="6" t="s">
        <v>49</v>
      </c>
      <c r="L2614" s="6" t="s">
        <v>42</v>
      </c>
      <c r="M2614" s="6" t="s">
        <v>34</v>
      </c>
    </row>
    <row r="2615" spans="1:13">
      <c r="A2615" s="6" t="s">
        <v>4124</v>
      </c>
      <c r="B2615" s="7">
        <v>46181</v>
      </c>
      <c r="C2615" s="6" t="s">
        <v>3644</v>
      </c>
      <c r="D2615" s="6" t="s">
        <v>27</v>
      </c>
      <c r="E2615" s="6" t="s">
        <v>52</v>
      </c>
      <c r="F2615" s="6" t="s">
        <v>94</v>
      </c>
      <c r="G2615" s="6" t="s">
        <v>95</v>
      </c>
      <c r="H2615" s="6">
        <v>3</v>
      </c>
      <c r="I2615" s="6" t="s">
        <v>79</v>
      </c>
      <c r="J2615" s="6" t="s">
        <v>216</v>
      </c>
      <c r="K2615" s="6" t="s">
        <v>114</v>
      </c>
      <c r="L2615" s="6" t="s">
        <v>42</v>
      </c>
      <c r="M2615" s="6" t="s">
        <v>69</v>
      </c>
    </row>
    <row r="2616" spans="1:13">
      <c r="A2616" s="6" t="s">
        <v>4125</v>
      </c>
      <c r="B2616" s="7">
        <v>46086</v>
      </c>
      <c r="C2616" s="6" t="s">
        <v>2875</v>
      </c>
      <c r="D2616" s="6" t="s">
        <v>72</v>
      </c>
      <c r="E2616" s="6" t="s">
        <v>52</v>
      </c>
      <c r="F2616" s="6" t="s">
        <v>53</v>
      </c>
      <c r="G2616" s="6" t="s">
        <v>54</v>
      </c>
      <c r="H2616" s="6">
        <v>2</v>
      </c>
      <c r="I2616" s="6" t="s">
        <v>40</v>
      </c>
      <c r="J2616" s="6" t="s">
        <v>327</v>
      </c>
      <c r="K2616" s="6">
        <v>190</v>
      </c>
      <c r="L2616" s="6" t="s">
        <v>33</v>
      </c>
      <c r="M2616" s="6" t="s">
        <v>34</v>
      </c>
    </row>
    <row r="2617" spans="1:13">
      <c r="A2617" s="6" t="s">
        <v>4126</v>
      </c>
      <c r="B2617" s="7">
        <v>46161</v>
      </c>
      <c r="C2617" s="6" t="s">
        <v>1291</v>
      </c>
      <c r="D2617" s="6" t="s">
        <v>57</v>
      </c>
      <c r="E2617" s="6" t="s">
        <v>78</v>
      </c>
      <c r="F2617" s="6" t="s">
        <v>94</v>
      </c>
      <c r="G2617" s="6" t="s">
        <v>95</v>
      </c>
      <c r="H2617" s="6">
        <v>1</v>
      </c>
      <c r="I2617" s="6" t="s">
        <v>143</v>
      </c>
      <c r="J2617" s="6" t="s">
        <v>143</v>
      </c>
      <c r="K2617" s="6" t="s">
        <v>114</v>
      </c>
      <c r="L2617" s="6" t="s">
        <v>42</v>
      </c>
      <c r="M2617" s="6" t="s">
        <v>34</v>
      </c>
    </row>
    <row r="2618" spans="1:13">
      <c r="A2618" s="6" t="s">
        <v>4127</v>
      </c>
      <c r="B2618" s="7">
        <v>46057</v>
      </c>
      <c r="C2618" s="6" t="s">
        <v>1730</v>
      </c>
      <c r="D2618" s="6" t="s">
        <v>110</v>
      </c>
      <c r="E2618" s="6" t="s">
        <v>37</v>
      </c>
      <c r="F2618" s="6" t="s">
        <v>38</v>
      </c>
      <c r="G2618" s="6" t="s">
        <v>39</v>
      </c>
      <c r="H2618" s="6">
        <v>1</v>
      </c>
      <c r="I2618" s="6" t="s">
        <v>117</v>
      </c>
      <c r="J2618" s="6" t="s">
        <v>117</v>
      </c>
      <c r="K2618" s="6">
        <v>520</v>
      </c>
      <c r="L2618" s="6" t="s">
        <v>42</v>
      </c>
      <c r="M2618" s="6" t="s">
        <v>34</v>
      </c>
    </row>
    <row r="2619" spans="1:13">
      <c r="A2619" s="6" t="s">
        <v>4128</v>
      </c>
      <c r="B2619" s="7">
        <v>46102</v>
      </c>
      <c r="C2619" s="6" t="s">
        <v>4129</v>
      </c>
      <c r="D2619" s="6" t="s">
        <v>77</v>
      </c>
      <c r="E2619" s="6" t="s">
        <v>37</v>
      </c>
      <c r="F2619" s="6" t="s">
        <v>94</v>
      </c>
      <c r="G2619" s="6" t="s">
        <v>95</v>
      </c>
      <c r="H2619" s="6">
        <v>1</v>
      </c>
      <c r="I2619" s="6" t="s">
        <v>231</v>
      </c>
      <c r="J2619" s="6" t="s">
        <v>231</v>
      </c>
      <c r="K2619" s="6">
        <v>340</v>
      </c>
      <c r="L2619" s="6" t="s">
        <v>42</v>
      </c>
      <c r="M2619" s="6" t="s">
        <v>34</v>
      </c>
    </row>
    <row r="2620" spans="1:13">
      <c r="A2620" s="6" t="s">
        <v>4130</v>
      </c>
      <c r="B2620" s="7">
        <v>46046</v>
      </c>
      <c r="C2620" s="6" t="s">
        <v>1021</v>
      </c>
      <c r="D2620" s="6" t="s">
        <v>110</v>
      </c>
      <c r="E2620" s="6" t="s">
        <v>28</v>
      </c>
      <c r="F2620" s="6" t="s">
        <v>47</v>
      </c>
      <c r="G2620" s="6" t="s">
        <v>48</v>
      </c>
      <c r="H2620" s="6">
        <v>3</v>
      </c>
      <c r="I2620" s="6" t="s">
        <v>90</v>
      </c>
      <c r="J2620" s="6" t="s">
        <v>102</v>
      </c>
      <c r="K2620" s="6">
        <v>85</v>
      </c>
      <c r="L2620" s="6" t="s">
        <v>42</v>
      </c>
      <c r="M2620" s="6" t="s">
        <v>34</v>
      </c>
    </row>
    <row r="2621" spans="1:13">
      <c r="A2621" s="6" t="s">
        <v>4131</v>
      </c>
      <c r="B2621" s="7">
        <v>46192</v>
      </c>
      <c r="C2621" s="6" t="s">
        <v>398</v>
      </c>
      <c r="D2621" s="6" t="s">
        <v>64</v>
      </c>
      <c r="E2621" s="6" t="s">
        <v>46</v>
      </c>
      <c r="F2621" s="6" t="s">
        <v>94</v>
      </c>
      <c r="G2621" s="6" t="s">
        <v>95</v>
      </c>
      <c r="H2621" s="6">
        <v>2</v>
      </c>
      <c r="I2621" s="6" t="s">
        <v>82</v>
      </c>
      <c r="J2621" s="6" t="s">
        <v>297</v>
      </c>
      <c r="K2621" s="6" t="s">
        <v>114</v>
      </c>
      <c r="L2621" s="6" t="s">
        <v>42</v>
      </c>
      <c r="M2621" s="6" t="s">
        <v>34</v>
      </c>
    </row>
    <row r="2622" spans="1:13">
      <c r="A2622" s="6" t="s">
        <v>2539</v>
      </c>
      <c r="B2622" s="7">
        <v>46116</v>
      </c>
      <c r="C2622" s="6" t="s">
        <v>1126</v>
      </c>
      <c r="D2622" s="6" t="s">
        <v>110</v>
      </c>
      <c r="E2622" s="6" t="s">
        <v>28</v>
      </c>
      <c r="F2622" s="6" t="s">
        <v>38</v>
      </c>
      <c r="G2622" s="6" t="s">
        <v>39</v>
      </c>
      <c r="H2622" s="6">
        <v>2</v>
      </c>
      <c r="I2622" s="6" t="s">
        <v>96</v>
      </c>
      <c r="J2622" s="6" t="s">
        <v>278</v>
      </c>
      <c r="K2622" s="6">
        <v>520</v>
      </c>
      <c r="L2622" s="6" t="s">
        <v>33</v>
      </c>
      <c r="M2622" s="6" t="s">
        <v>34</v>
      </c>
    </row>
    <row r="2623" spans="1:13">
      <c r="A2623" s="6" t="s">
        <v>4132</v>
      </c>
      <c r="B2623" s="7">
        <v>46183</v>
      </c>
      <c r="C2623" s="6" t="s">
        <v>1335</v>
      </c>
      <c r="D2623" s="6" t="s">
        <v>77</v>
      </c>
      <c r="E2623" s="6" t="s">
        <v>46</v>
      </c>
      <c r="F2623" s="6" t="s">
        <v>53</v>
      </c>
      <c r="G2623" s="6" t="s">
        <v>54</v>
      </c>
      <c r="H2623" s="6">
        <v>1</v>
      </c>
      <c r="I2623" s="6" t="s">
        <v>90</v>
      </c>
      <c r="J2623" s="6" t="s">
        <v>90</v>
      </c>
      <c r="K2623" s="6" t="s">
        <v>122</v>
      </c>
      <c r="L2623" s="6" t="s">
        <v>42</v>
      </c>
      <c r="M2623" s="6" t="s">
        <v>69</v>
      </c>
    </row>
    <row r="2624" spans="1:13">
      <c r="A2624" s="6" t="s">
        <v>4133</v>
      </c>
      <c r="B2624" s="7">
        <v>46040</v>
      </c>
      <c r="C2624" s="6" t="s">
        <v>3471</v>
      </c>
      <c r="D2624" s="6" t="s">
        <v>110</v>
      </c>
      <c r="E2624" s="6" t="s">
        <v>52</v>
      </c>
      <c r="F2624" s="6" t="s">
        <v>47</v>
      </c>
      <c r="G2624" s="6" t="s">
        <v>48</v>
      </c>
      <c r="H2624" s="6">
        <v>1</v>
      </c>
      <c r="I2624" s="6" t="s">
        <v>113</v>
      </c>
      <c r="J2624" s="6" t="s">
        <v>113</v>
      </c>
      <c r="K2624" s="6">
        <v>85</v>
      </c>
      <c r="L2624" s="6" t="s">
        <v>42</v>
      </c>
      <c r="M2624" s="6" t="s">
        <v>69</v>
      </c>
    </row>
    <row r="2625" spans="1:13">
      <c r="A2625" s="6" t="s">
        <v>4134</v>
      </c>
      <c r="B2625" s="7">
        <v>46033</v>
      </c>
      <c r="C2625" s="6" t="s">
        <v>140</v>
      </c>
      <c r="D2625" s="6" t="s">
        <v>27</v>
      </c>
      <c r="E2625" s="6" t="s">
        <v>52</v>
      </c>
      <c r="F2625" s="6" t="s">
        <v>29</v>
      </c>
      <c r="G2625" s="6" t="s">
        <v>30</v>
      </c>
      <c r="H2625" s="6">
        <v>1</v>
      </c>
      <c r="I2625" s="6" t="s">
        <v>2666</v>
      </c>
      <c r="J2625" s="6" t="s">
        <v>67</v>
      </c>
      <c r="K2625" s="6">
        <v>520</v>
      </c>
      <c r="L2625" s="6" t="s">
        <v>33</v>
      </c>
      <c r="M2625" s="6" t="s">
        <v>34</v>
      </c>
    </row>
    <row r="2626" spans="1:13">
      <c r="A2626" s="6" t="s">
        <v>4135</v>
      </c>
      <c r="B2626" s="7">
        <v>46088</v>
      </c>
      <c r="C2626" s="6" t="s">
        <v>4136</v>
      </c>
      <c r="D2626" s="6" t="s">
        <v>27</v>
      </c>
      <c r="E2626" s="6" t="s">
        <v>37</v>
      </c>
      <c r="F2626" s="6" t="s">
        <v>29</v>
      </c>
      <c r="G2626" s="6" t="s">
        <v>30</v>
      </c>
      <c r="H2626" s="6">
        <v>1</v>
      </c>
      <c r="I2626" s="6" t="s">
        <v>79</v>
      </c>
      <c r="J2626" s="6" t="s">
        <v>79</v>
      </c>
      <c r="K2626" s="6" t="s">
        <v>41</v>
      </c>
      <c r="L2626" s="6" t="s">
        <v>42</v>
      </c>
      <c r="M2626" s="6" t="s">
        <v>34</v>
      </c>
    </row>
    <row r="2627" spans="1:13">
      <c r="A2627" s="6" t="s">
        <v>4137</v>
      </c>
      <c r="B2627" s="7">
        <v>46079</v>
      </c>
      <c r="C2627" s="6" t="s">
        <v>4138</v>
      </c>
      <c r="D2627" s="6" t="s">
        <v>77</v>
      </c>
      <c r="E2627" s="6" t="s">
        <v>37</v>
      </c>
      <c r="F2627" s="6" t="s">
        <v>47</v>
      </c>
      <c r="G2627" s="6" t="s">
        <v>48</v>
      </c>
      <c r="H2627" s="6">
        <v>2</v>
      </c>
      <c r="I2627" s="6" t="s">
        <v>90</v>
      </c>
      <c r="J2627" s="6" t="s">
        <v>154</v>
      </c>
      <c r="K2627" s="6">
        <v>85</v>
      </c>
      <c r="L2627" s="6" t="s">
        <v>42</v>
      </c>
      <c r="M2627" s="6" t="s">
        <v>69</v>
      </c>
    </row>
    <row r="2628" spans="1:13">
      <c r="A2628" s="6" t="s">
        <v>4139</v>
      </c>
      <c r="B2628" s="7">
        <v>46075</v>
      </c>
      <c r="C2628" s="6" t="s">
        <v>3223</v>
      </c>
      <c r="D2628" s="6" t="s">
        <v>127</v>
      </c>
      <c r="E2628" s="6" t="s">
        <v>46</v>
      </c>
      <c r="F2628" s="6" t="s">
        <v>47</v>
      </c>
      <c r="G2628" s="6" t="s">
        <v>48</v>
      </c>
      <c r="H2628" s="6">
        <v>1</v>
      </c>
      <c r="I2628" s="6" t="s">
        <v>31</v>
      </c>
      <c r="J2628" s="6" t="s">
        <v>31</v>
      </c>
      <c r="K2628" s="6">
        <v>85</v>
      </c>
      <c r="L2628" s="6" t="s">
        <v>42</v>
      </c>
      <c r="M2628" s="6" t="s">
        <v>34</v>
      </c>
    </row>
    <row r="2629" spans="1:13">
      <c r="A2629" s="6" t="s">
        <v>4140</v>
      </c>
      <c r="B2629" s="7">
        <v>46089</v>
      </c>
      <c r="C2629" s="6" t="s">
        <v>524</v>
      </c>
      <c r="D2629" s="6" t="s">
        <v>105</v>
      </c>
      <c r="E2629" s="6" t="s">
        <v>37</v>
      </c>
      <c r="F2629" s="6" t="s">
        <v>53</v>
      </c>
      <c r="G2629" s="6" t="s">
        <v>54</v>
      </c>
      <c r="H2629" s="6">
        <v>2</v>
      </c>
      <c r="I2629" s="6" t="s">
        <v>96</v>
      </c>
      <c r="J2629" s="6" t="s">
        <v>278</v>
      </c>
      <c r="K2629" s="6">
        <v>190</v>
      </c>
      <c r="L2629" s="6" t="s">
        <v>42</v>
      </c>
      <c r="M2629" s="6" t="s">
        <v>34</v>
      </c>
    </row>
    <row r="2630" spans="1:13">
      <c r="A2630" s="6" t="s">
        <v>4141</v>
      </c>
      <c r="B2630" s="7">
        <v>46108</v>
      </c>
      <c r="C2630" s="6" t="s">
        <v>1608</v>
      </c>
      <c r="D2630" s="6" t="s">
        <v>45</v>
      </c>
      <c r="E2630" s="6" t="s">
        <v>78</v>
      </c>
      <c r="F2630" s="6" t="s">
        <v>47</v>
      </c>
      <c r="G2630" s="6" t="s">
        <v>48</v>
      </c>
      <c r="H2630" s="6">
        <v>2</v>
      </c>
      <c r="I2630" s="6" t="s">
        <v>31</v>
      </c>
      <c r="J2630" s="6" t="s">
        <v>249</v>
      </c>
      <c r="K2630" s="6">
        <v>85</v>
      </c>
      <c r="L2630" s="6" t="s">
        <v>42</v>
      </c>
      <c r="M2630" s="6" t="s">
        <v>34</v>
      </c>
    </row>
    <row r="2631" spans="1:13">
      <c r="A2631" s="6" t="s">
        <v>4142</v>
      </c>
      <c r="B2631" s="7">
        <v>46084</v>
      </c>
      <c r="C2631" s="6" t="s">
        <v>4143</v>
      </c>
      <c r="D2631" s="6" t="s">
        <v>77</v>
      </c>
      <c r="E2631" s="6" t="s">
        <v>52</v>
      </c>
      <c r="F2631" s="6" t="s">
        <v>85</v>
      </c>
      <c r="G2631" s="6" t="s">
        <v>86</v>
      </c>
      <c r="H2631" s="6">
        <v>2</v>
      </c>
      <c r="I2631" s="6" t="s">
        <v>79</v>
      </c>
      <c r="J2631" s="6" t="s">
        <v>259</v>
      </c>
      <c r="K2631" s="6">
        <v>410</v>
      </c>
      <c r="L2631" s="6" t="s">
        <v>42</v>
      </c>
      <c r="M2631" s="6" t="s">
        <v>34</v>
      </c>
    </row>
    <row r="2632" spans="1:13">
      <c r="A2632" s="6" t="s">
        <v>4144</v>
      </c>
      <c r="B2632" s="7">
        <v>46190</v>
      </c>
      <c r="C2632" s="6" t="s">
        <v>398</v>
      </c>
      <c r="D2632" s="6" t="s">
        <v>127</v>
      </c>
      <c r="E2632" s="6" t="s">
        <v>28</v>
      </c>
      <c r="F2632" s="6" t="s">
        <v>29</v>
      </c>
      <c r="G2632" s="6" t="s">
        <v>30</v>
      </c>
      <c r="H2632" s="6">
        <v>3</v>
      </c>
      <c r="I2632" s="6" t="s">
        <v>143</v>
      </c>
      <c r="J2632" s="6" t="s">
        <v>243</v>
      </c>
      <c r="K2632" s="6" t="s">
        <v>41</v>
      </c>
      <c r="L2632" s="6" t="s">
        <v>42</v>
      </c>
      <c r="M2632" s="6" t="s">
        <v>69</v>
      </c>
    </row>
    <row r="2633" spans="1:13">
      <c r="A2633" s="6" t="s">
        <v>4145</v>
      </c>
      <c r="B2633" s="6" t="s">
        <v>4146</v>
      </c>
      <c r="C2633" s="6" t="s">
        <v>1630</v>
      </c>
      <c r="D2633" s="6" t="s">
        <v>64</v>
      </c>
      <c r="E2633" s="6" t="s">
        <v>37</v>
      </c>
      <c r="F2633" s="6" t="s">
        <v>100</v>
      </c>
      <c r="G2633" s="6" t="s">
        <v>101</v>
      </c>
      <c r="H2633" s="6">
        <v>1</v>
      </c>
      <c r="I2633" s="6" t="s">
        <v>265</v>
      </c>
      <c r="J2633" s="6" t="s">
        <v>265</v>
      </c>
      <c r="K2633" s="6" t="s">
        <v>119</v>
      </c>
      <c r="L2633" s="6" t="s">
        <v>42</v>
      </c>
      <c r="M2633" s="6" t="s">
        <v>69</v>
      </c>
    </row>
    <row r="2634" spans="1:13">
      <c r="A2634" s="6" t="s">
        <v>4147</v>
      </c>
      <c r="B2634" s="7">
        <v>46150</v>
      </c>
      <c r="C2634" s="6" t="s">
        <v>2380</v>
      </c>
      <c r="D2634" s="6" t="s">
        <v>45</v>
      </c>
      <c r="E2634" s="6" t="s">
        <v>37</v>
      </c>
      <c r="F2634" s="6" t="s">
        <v>29</v>
      </c>
      <c r="G2634" s="6" t="s">
        <v>30</v>
      </c>
      <c r="H2634" s="6">
        <v>2</v>
      </c>
      <c r="I2634" s="6" t="s">
        <v>31</v>
      </c>
      <c r="J2634" s="6" t="s">
        <v>249</v>
      </c>
      <c r="K2634" s="6" t="s">
        <v>41</v>
      </c>
      <c r="L2634" s="6" t="s">
        <v>42</v>
      </c>
      <c r="M2634" s="6" t="s">
        <v>34</v>
      </c>
    </row>
    <row r="2635" spans="1:13">
      <c r="A2635" s="6" t="s">
        <v>4148</v>
      </c>
      <c r="B2635" s="7">
        <v>46206</v>
      </c>
      <c r="C2635" s="6" t="s">
        <v>2087</v>
      </c>
      <c r="D2635" s="6" t="s">
        <v>105</v>
      </c>
      <c r="E2635" s="6" t="s">
        <v>78</v>
      </c>
      <c r="F2635" s="6" t="s">
        <v>38</v>
      </c>
      <c r="G2635" s="6" t="s">
        <v>39</v>
      </c>
      <c r="H2635" s="6">
        <v>2</v>
      </c>
      <c r="I2635" s="6" t="s">
        <v>113</v>
      </c>
      <c r="J2635" s="6" t="s">
        <v>192</v>
      </c>
      <c r="K2635" s="6" t="s">
        <v>41</v>
      </c>
      <c r="L2635" s="6" t="s">
        <v>42</v>
      </c>
      <c r="M2635" s="6" t="s">
        <v>34</v>
      </c>
    </row>
    <row r="2636" spans="1:13">
      <c r="A2636" s="6" t="s">
        <v>4149</v>
      </c>
      <c r="B2636" s="7">
        <v>46148</v>
      </c>
      <c r="C2636" s="6" t="s">
        <v>99</v>
      </c>
      <c r="D2636" s="6" t="s">
        <v>57</v>
      </c>
      <c r="E2636" s="6" t="s">
        <v>37</v>
      </c>
      <c r="F2636" s="6" t="s">
        <v>85</v>
      </c>
      <c r="G2636" s="6" t="s">
        <v>86</v>
      </c>
      <c r="H2636" s="6">
        <v>1</v>
      </c>
      <c r="I2636" s="6" t="s">
        <v>67</v>
      </c>
      <c r="J2636" s="6" t="s">
        <v>67</v>
      </c>
      <c r="K2636" s="6" t="s">
        <v>87</v>
      </c>
      <c r="L2636" s="6" t="s">
        <v>42</v>
      </c>
      <c r="M2636" s="6" t="s">
        <v>34</v>
      </c>
    </row>
    <row r="2637" spans="1:13">
      <c r="A2637" s="6" t="s">
        <v>4150</v>
      </c>
      <c r="B2637" s="7">
        <v>46073</v>
      </c>
      <c r="C2637" s="6" t="s">
        <v>450</v>
      </c>
      <c r="D2637" s="6" t="s">
        <v>77</v>
      </c>
      <c r="E2637" s="6" t="s">
        <v>78</v>
      </c>
      <c r="F2637" s="6" t="s">
        <v>47</v>
      </c>
      <c r="G2637" s="6" t="s">
        <v>48</v>
      </c>
      <c r="H2637" s="6">
        <v>2</v>
      </c>
      <c r="I2637" s="6" t="s">
        <v>113</v>
      </c>
      <c r="J2637" s="6" t="s">
        <v>192</v>
      </c>
      <c r="K2637" s="6">
        <v>85</v>
      </c>
      <c r="L2637" s="6" t="s">
        <v>33</v>
      </c>
      <c r="M2637" s="6" t="s">
        <v>34</v>
      </c>
    </row>
    <row r="2638" spans="1:13">
      <c r="A2638" s="6" t="s">
        <v>4151</v>
      </c>
      <c r="B2638" s="7">
        <v>46030</v>
      </c>
      <c r="C2638" s="6" t="s">
        <v>2944</v>
      </c>
      <c r="D2638" s="6" t="s">
        <v>77</v>
      </c>
      <c r="E2638" s="6" t="s">
        <v>37</v>
      </c>
      <c r="F2638" s="6" t="s">
        <v>94</v>
      </c>
      <c r="G2638" s="6" t="s">
        <v>95</v>
      </c>
      <c r="H2638" s="6">
        <v>3</v>
      </c>
      <c r="I2638" s="6" t="s">
        <v>60</v>
      </c>
      <c r="J2638" s="6" t="s">
        <v>268</v>
      </c>
      <c r="K2638" s="6">
        <v>340</v>
      </c>
      <c r="L2638" s="6" t="s">
        <v>42</v>
      </c>
      <c r="M2638" s="6" t="s">
        <v>34</v>
      </c>
    </row>
    <row r="2639" spans="1:13">
      <c r="A2639" s="6" t="s">
        <v>4152</v>
      </c>
      <c r="B2639" s="7">
        <v>46085</v>
      </c>
      <c r="C2639" s="6" t="s">
        <v>1100</v>
      </c>
      <c r="D2639" s="6" t="s">
        <v>105</v>
      </c>
      <c r="E2639" s="6" t="s">
        <v>78</v>
      </c>
      <c r="F2639" s="6" t="s">
        <v>53</v>
      </c>
      <c r="G2639" s="6" t="s">
        <v>54</v>
      </c>
      <c r="H2639" s="6">
        <v>3</v>
      </c>
      <c r="I2639" s="6" t="s">
        <v>31</v>
      </c>
      <c r="J2639" s="6" t="s">
        <v>337</v>
      </c>
      <c r="K2639" s="6">
        <v>190</v>
      </c>
      <c r="L2639" s="6" t="s">
        <v>42</v>
      </c>
      <c r="M2639" s="6" t="s">
        <v>34</v>
      </c>
    </row>
    <row r="2640" spans="1:13">
      <c r="A2640" s="6" t="s">
        <v>4153</v>
      </c>
      <c r="B2640" s="7">
        <v>46116</v>
      </c>
      <c r="C2640" s="6" t="s">
        <v>4071</v>
      </c>
      <c r="D2640" s="6" t="s">
        <v>127</v>
      </c>
      <c r="E2640" s="6" t="s">
        <v>28</v>
      </c>
      <c r="F2640" s="6" t="s">
        <v>94</v>
      </c>
      <c r="G2640" s="6" t="s">
        <v>95</v>
      </c>
      <c r="H2640" s="6">
        <v>1</v>
      </c>
      <c r="I2640" s="6" t="s">
        <v>769</v>
      </c>
      <c r="J2640" s="6" t="s">
        <v>60</v>
      </c>
      <c r="K2640" s="6">
        <v>340</v>
      </c>
      <c r="L2640" s="6" t="s">
        <v>42</v>
      </c>
      <c r="M2640" s="6" t="s">
        <v>34</v>
      </c>
    </row>
    <row r="2641" spans="1:13">
      <c r="A2641" s="6" t="s">
        <v>4154</v>
      </c>
      <c r="B2641" s="7">
        <v>46085</v>
      </c>
      <c r="C2641" s="6" t="s">
        <v>282</v>
      </c>
      <c r="D2641" s="6" t="s">
        <v>45</v>
      </c>
      <c r="E2641" s="6" t="s">
        <v>78</v>
      </c>
      <c r="F2641" s="6" t="s">
        <v>38</v>
      </c>
      <c r="G2641" s="6" t="s">
        <v>39</v>
      </c>
      <c r="H2641" s="6">
        <v>1</v>
      </c>
      <c r="I2641" s="6" t="s">
        <v>373</v>
      </c>
      <c r="J2641" s="6" t="s">
        <v>79</v>
      </c>
      <c r="K2641" s="6">
        <v>520</v>
      </c>
      <c r="L2641" s="6" t="s">
        <v>42</v>
      </c>
      <c r="M2641" s="6" t="s">
        <v>34</v>
      </c>
    </row>
    <row r="2642" spans="1:13">
      <c r="A2642" s="6" t="s">
        <v>4155</v>
      </c>
      <c r="B2642" s="7">
        <v>46031</v>
      </c>
      <c r="C2642" s="6" t="s">
        <v>2518</v>
      </c>
      <c r="D2642" s="6" t="s">
        <v>72</v>
      </c>
      <c r="E2642" s="6" t="s">
        <v>78</v>
      </c>
      <c r="F2642" s="6" t="s">
        <v>94</v>
      </c>
      <c r="G2642" s="6" t="s">
        <v>95</v>
      </c>
      <c r="H2642" s="6">
        <v>1</v>
      </c>
      <c r="I2642" s="6" t="s">
        <v>117</v>
      </c>
      <c r="J2642" s="6" t="s">
        <v>117</v>
      </c>
      <c r="K2642" s="6">
        <v>340</v>
      </c>
      <c r="L2642" s="6" t="s">
        <v>42</v>
      </c>
      <c r="M2642" s="6" t="s">
        <v>34</v>
      </c>
    </row>
    <row r="2643" spans="1:13">
      <c r="A2643" s="6" t="s">
        <v>4156</v>
      </c>
      <c r="B2643" s="7">
        <v>46047</v>
      </c>
      <c r="C2643" s="6" t="s">
        <v>4157</v>
      </c>
      <c r="D2643" s="6" t="s">
        <v>64</v>
      </c>
      <c r="E2643" s="6" t="s">
        <v>46</v>
      </c>
      <c r="F2643" s="6" t="s">
        <v>85</v>
      </c>
      <c r="G2643" s="6" t="s">
        <v>86</v>
      </c>
      <c r="H2643" s="6">
        <v>2</v>
      </c>
      <c r="I2643" s="6" t="s">
        <v>265</v>
      </c>
      <c r="J2643" s="6" t="s">
        <v>167</v>
      </c>
      <c r="K2643" s="6">
        <v>410</v>
      </c>
      <c r="L2643" s="6" t="s">
        <v>42</v>
      </c>
      <c r="M2643" s="6" t="s">
        <v>34</v>
      </c>
    </row>
    <row r="2644" spans="1:13">
      <c r="A2644" s="6" t="s">
        <v>4158</v>
      </c>
      <c r="B2644" s="7">
        <v>46177</v>
      </c>
      <c r="C2644" s="6" t="s">
        <v>4159</v>
      </c>
      <c r="D2644" s="6" t="s">
        <v>57</v>
      </c>
      <c r="E2644" s="6" t="s">
        <v>52</v>
      </c>
      <c r="F2644" s="6" t="s">
        <v>58</v>
      </c>
      <c r="G2644" s="6" t="s">
        <v>59</v>
      </c>
      <c r="H2644" s="6">
        <v>3</v>
      </c>
      <c r="I2644" s="6" t="s">
        <v>31</v>
      </c>
      <c r="J2644" s="6" t="s">
        <v>337</v>
      </c>
      <c r="K2644" s="6" t="s">
        <v>61</v>
      </c>
      <c r="L2644" s="6" t="s">
        <v>42</v>
      </c>
      <c r="M2644" s="6" t="s">
        <v>34</v>
      </c>
    </row>
    <row r="2645" spans="1:13">
      <c r="A2645" s="6" t="s">
        <v>4160</v>
      </c>
      <c r="B2645" s="7">
        <v>46170</v>
      </c>
      <c r="C2645" s="6" t="s">
        <v>575</v>
      </c>
      <c r="D2645" s="6" t="s">
        <v>72</v>
      </c>
      <c r="E2645" s="6" t="s">
        <v>46</v>
      </c>
      <c r="F2645" s="6" t="s">
        <v>47</v>
      </c>
      <c r="G2645" s="6" t="s">
        <v>48</v>
      </c>
      <c r="H2645" s="6">
        <v>1</v>
      </c>
      <c r="I2645" s="6" t="s">
        <v>90</v>
      </c>
      <c r="J2645" s="6" t="s">
        <v>90</v>
      </c>
      <c r="K2645" s="6" t="s">
        <v>49</v>
      </c>
      <c r="L2645" s="6" t="s">
        <v>42</v>
      </c>
      <c r="M2645" s="6" t="s">
        <v>69</v>
      </c>
    </row>
    <row r="2646" spans="1:13">
      <c r="A2646" s="6" t="s">
        <v>4161</v>
      </c>
      <c r="B2646" s="7">
        <v>46115</v>
      </c>
      <c r="C2646" s="6" t="s">
        <v>805</v>
      </c>
      <c r="D2646" s="6" t="s">
        <v>105</v>
      </c>
      <c r="E2646" s="6" t="s">
        <v>52</v>
      </c>
      <c r="F2646" s="6" t="s">
        <v>100</v>
      </c>
      <c r="G2646" s="6" t="s">
        <v>101</v>
      </c>
      <c r="H2646" s="6">
        <v>2</v>
      </c>
      <c r="I2646" s="6" t="s">
        <v>181</v>
      </c>
      <c r="J2646" s="6" t="s">
        <v>163</v>
      </c>
      <c r="K2646" s="6">
        <v>640</v>
      </c>
      <c r="L2646" s="6" t="s">
        <v>42</v>
      </c>
      <c r="M2646" s="6" t="s">
        <v>69</v>
      </c>
    </row>
    <row r="2647" spans="1:13">
      <c r="A2647" s="6" t="s">
        <v>4162</v>
      </c>
      <c r="B2647" s="7">
        <v>46109</v>
      </c>
      <c r="C2647" s="6" t="s">
        <v>1680</v>
      </c>
      <c r="D2647" s="6" t="s">
        <v>72</v>
      </c>
      <c r="E2647" s="6" t="s">
        <v>28</v>
      </c>
      <c r="F2647" s="6" t="s">
        <v>29</v>
      </c>
      <c r="G2647" s="6" t="s">
        <v>30</v>
      </c>
      <c r="H2647" s="6">
        <v>2</v>
      </c>
      <c r="I2647" s="6" t="s">
        <v>181</v>
      </c>
      <c r="J2647" s="6" t="s">
        <v>163</v>
      </c>
      <c r="K2647" s="6">
        <v>520</v>
      </c>
      <c r="L2647" s="6" t="s">
        <v>42</v>
      </c>
      <c r="M2647" s="6" t="s">
        <v>34</v>
      </c>
    </row>
    <row r="2648" spans="1:13">
      <c r="A2648" s="6" t="s">
        <v>4163</v>
      </c>
      <c r="B2648" s="7">
        <v>46045</v>
      </c>
      <c r="C2648" s="6" t="s">
        <v>3032</v>
      </c>
      <c r="D2648" s="6" t="s">
        <v>27</v>
      </c>
      <c r="E2648" s="6" t="s">
        <v>28</v>
      </c>
      <c r="F2648" s="6" t="s">
        <v>53</v>
      </c>
      <c r="G2648" s="6" t="s">
        <v>54</v>
      </c>
      <c r="H2648" s="6">
        <v>2</v>
      </c>
      <c r="I2648" s="6" t="s">
        <v>181</v>
      </c>
      <c r="J2648" s="6" t="s">
        <v>163</v>
      </c>
      <c r="K2648" s="6">
        <v>190</v>
      </c>
      <c r="L2648" s="6" t="s">
        <v>33</v>
      </c>
      <c r="M2648" s="6" t="s">
        <v>34</v>
      </c>
    </row>
    <row r="2649" spans="1:13">
      <c r="A2649" s="6" t="s">
        <v>4164</v>
      </c>
      <c r="B2649" s="7">
        <v>46177</v>
      </c>
      <c r="C2649" s="6" t="s">
        <v>339</v>
      </c>
      <c r="D2649" s="6" t="s">
        <v>77</v>
      </c>
      <c r="E2649" s="6" t="s">
        <v>46</v>
      </c>
      <c r="F2649" s="6" t="s">
        <v>94</v>
      </c>
      <c r="G2649" s="6" t="s">
        <v>95</v>
      </c>
      <c r="H2649" s="6">
        <v>3</v>
      </c>
      <c r="I2649" s="6" t="s">
        <v>117</v>
      </c>
      <c r="J2649" s="6" t="s">
        <v>171</v>
      </c>
      <c r="K2649" s="6" t="s">
        <v>114</v>
      </c>
      <c r="L2649" s="6" t="s">
        <v>42</v>
      </c>
      <c r="M2649" s="6" t="s">
        <v>34</v>
      </c>
    </row>
    <row r="2650" spans="1:13">
      <c r="A2650" s="6" t="s">
        <v>4165</v>
      </c>
      <c r="B2650" s="7">
        <v>46116</v>
      </c>
      <c r="C2650" s="6" t="s">
        <v>2425</v>
      </c>
      <c r="D2650" s="6" t="s">
        <v>127</v>
      </c>
      <c r="E2650" s="6" t="s">
        <v>78</v>
      </c>
      <c r="F2650" s="6" t="s">
        <v>58</v>
      </c>
      <c r="G2650" s="6" t="s">
        <v>59</v>
      </c>
      <c r="H2650" s="6">
        <v>2</v>
      </c>
      <c r="I2650" s="6" t="s">
        <v>113</v>
      </c>
      <c r="J2650" s="6" t="s">
        <v>192</v>
      </c>
      <c r="K2650" s="6">
        <v>380</v>
      </c>
      <c r="L2650" s="6" t="s">
        <v>42</v>
      </c>
      <c r="M2650" s="6" t="s">
        <v>34</v>
      </c>
    </row>
    <row r="2651" spans="1:13">
      <c r="A2651" s="6" t="s">
        <v>4166</v>
      </c>
      <c r="B2651" s="7">
        <v>46177</v>
      </c>
      <c r="C2651" s="6" t="s">
        <v>3016</v>
      </c>
      <c r="D2651" s="6" t="s">
        <v>77</v>
      </c>
      <c r="E2651" s="6" t="s">
        <v>37</v>
      </c>
      <c r="F2651" s="6" t="s">
        <v>58</v>
      </c>
      <c r="G2651" s="6" t="s">
        <v>59</v>
      </c>
      <c r="H2651" s="6">
        <v>1</v>
      </c>
      <c r="I2651" s="6" t="s">
        <v>113</v>
      </c>
      <c r="J2651" s="6" t="s">
        <v>113</v>
      </c>
      <c r="K2651" s="6" t="s">
        <v>61</v>
      </c>
      <c r="L2651" s="6" t="s">
        <v>42</v>
      </c>
      <c r="M2651" s="6" t="s">
        <v>69</v>
      </c>
    </row>
    <row r="2652" spans="1:13">
      <c r="A2652" s="6" t="s">
        <v>4167</v>
      </c>
      <c r="B2652" s="7">
        <v>46160</v>
      </c>
      <c r="C2652" s="6" t="s">
        <v>4168</v>
      </c>
      <c r="D2652" s="6" t="s">
        <v>110</v>
      </c>
      <c r="E2652" s="6" t="s">
        <v>52</v>
      </c>
      <c r="F2652" s="6" t="s">
        <v>47</v>
      </c>
      <c r="G2652" s="6" t="s">
        <v>48</v>
      </c>
      <c r="H2652" s="6">
        <v>2</v>
      </c>
      <c r="I2652" s="6" t="s">
        <v>265</v>
      </c>
      <c r="J2652" s="6" t="s">
        <v>167</v>
      </c>
      <c r="K2652" s="6" t="s">
        <v>49</v>
      </c>
      <c r="L2652" s="6" t="s">
        <v>33</v>
      </c>
      <c r="M2652" s="6" t="s">
        <v>34</v>
      </c>
    </row>
    <row r="2653" spans="1:13">
      <c r="A2653" s="6" t="s">
        <v>4169</v>
      </c>
      <c r="B2653" s="7">
        <v>46103</v>
      </c>
      <c r="C2653" s="6" t="s">
        <v>3382</v>
      </c>
      <c r="D2653" s="6" t="s">
        <v>72</v>
      </c>
      <c r="E2653" s="6" t="s">
        <v>37</v>
      </c>
      <c r="F2653" s="6" t="s">
        <v>100</v>
      </c>
      <c r="G2653" s="6" t="s">
        <v>101</v>
      </c>
      <c r="H2653" s="6">
        <v>1</v>
      </c>
      <c r="I2653" s="6" t="s">
        <v>79</v>
      </c>
      <c r="J2653" s="6" t="s">
        <v>79</v>
      </c>
      <c r="K2653" s="6">
        <v>640</v>
      </c>
      <c r="L2653" s="6" t="s">
        <v>42</v>
      </c>
      <c r="M2653" s="6" t="s">
        <v>34</v>
      </c>
    </row>
    <row r="2654" spans="1:13">
      <c r="A2654" s="6" t="s">
        <v>4170</v>
      </c>
      <c r="B2654" s="7">
        <v>46190</v>
      </c>
      <c r="C2654" s="6" t="s">
        <v>4171</v>
      </c>
      <c r="D2654" s="6" t="s">
        <v>45</v>
      </c>
      <c r="E2654" s="6" t="s">
        <v>46</v>
      </c>
      <c r="F2654" s="6" t="s">
        <v>38</v>
      </c>
      <c r="G2654" s="6" t="s">
        <v>39</v>
      </c>
      <c r="H2654" s="6">
        <v>1</v>
      </c>
      <c r="I2654" s="6" t="s">
        <v>181</v>
      </c>
      <c r="J2654" s="6" t="s">
        <v>181</v>
      </c>
      <c r="K2654" s="6" t="s">
        <v>41</v>
      </c>
      <c r="L2654" s="6" t="s">
        <v>42</v>
      </c>
      <c r="M2654" s="6" t="s">
        <v>34</v>
      </c>
    </row>
    <row r="2655" spans="1:13">
      <c r="A2655" s="6" t="s">
        <v>4172</v>
      </c>
      <c r="B2655" s="7">
        <v>46065</v>
      </c>
      <c r="C2655" s="6" t="s">
        <v>3820</v>
      </c>
      <c r="D2655" s="6" t="s">
        <v>57</v>
      </c>
      <c r="E2655" s="6" t="s">
        <v>37</v>
      </c>
      <c r="F2655" s="6" t="s">
        <v>58</v>
      </c>
      <c r="G2655" s="6" t="s">
        <v>59</v>
      </c>
      <c r="H2655" s="6">
        <v>1</v>
      </c>
      <c r="I2655" s="6" t="s">
        <v>31</v>
      </c>
      <c r="J2655" s="6" t="s">
        <v>31</v>
      </c>
      <c r="K2655" s="6">
        <v>380</v>
      </c>
      <c r="L2655" s="6" t="s">
        <v>42</v>
      </c>
      <c r="M2655" s="6" t="s">
        <v>34</v>
      </c>
    </row>
    <row r="2656" spans="1:13">
      <c r="A2656" s="6" t="s">
        <v>4173</v>
      </c>
      <c r="B2656" s="7">
        <v>46195</v>
      </c>
      <c r="C2656" s="6" t="s">
        <v>847</v>
      </c>
      <c r="D2656" s="6" t="s">
        <v>45</v>
      </c>
      <c r="E2656" s="6" t="s">
        <v>37</v>
      </c>
      <c r="F2656" s="6" t="s">
        <v>85</v>
      </c>
      <c r="G2656" s="6" t="s">
        <v>86</v>
      </c>
      <c r="H2656" s="6">
        <v>1</v>
      </c>
      <c r="I2656" s="6" t="s">
        <v>96</v>
      </c>
      <c r="J2656" s="6" t="s">
        <v>96</v>
      </c>
      <c r="K2656" s="6" t="s">
        <v>87</v>
      </c>
      <c r="L2656" s="6" t="s">
        <v>42</v>
      </c>
      <c r="M2656" s="6" t="s">
        <v>34</v>
      </c>
    </row>
    <row r="2657" spans="1:13">
      <c r="A2657" s="6" t="s">
        <v>4174</v>
      </c>
      <c r="B2657" s="7">
        <v>46126</v>
      </c>
      <c r="C2657" s="6" t="s">
        <v>165</v>
      </c>
      <c r="D2657" s="6" t="s">
        <v>105</v>
      </c>
      <c r="E2657" s="6" t="s">
        <v>46</v>
      </c>
      <c r="F2657" s="6" t="s">
        <v>53</v>
      </c>
      <c r="G2657" s="6" t="s">
        <v>54</v>
      </c>
      <c r="H2657" s="6">
        <v>2</v>
      </c>
      <c r="I2657" s="6" t="s">
        <v>147</v>
      </c>
      <c r="J2657" s="6" t="s">
        <v>175</v>
      </c>
      <c r="K2657" s="6">
        <v>190</v>
      </c>
      <c r="L2657" s="6" t="s">
        <v>42</v>
      </c>
      <c r="M2657" s="6" t="s">
        <v>69</v>
      </c>
    </row>
    <row r="2658" spans="1:13">
      <c r="A2658" s="6" t="s">
        <v>4175</v>
      </c>
      <c r="B2658" s="7">
        <v>46205</v>
      </c>
      <c r="C2658" s="6" t="s">
        <v>977</v>
      </c>
      <c r="D2658" s="6" t="s">
        <v>105</v>
      </c>
      <c r="E2658" s="6" t="s">
        <v>78</v>
      </c>
      <c r="F2658" s="6" t="s">
        <v>85</v>
      </c>
      <c r="G2658" s="6" t="s">
        <v>86</v>
      </c>
      <c r="H2658" s="6">
        <v>1</v>
      </c>
      <c r="I2658" s="6" t="s">
        <v>117</v>
      </c>
      <c r="J2658" s="6" t="s">
        <v>117</v>
      </c>
      <c r="K2658" s="6" t="s">
        <v>87</v>
      </c>
      <c r="L2658" s="6" t="s">
        <v>42</v>
      </c>
      <c r="M2658" s="6" t="s">
        <v>34</v>
      </c>
    </row>
    <row r="2659" spans="1:13">
      <c r="A2659" s="6" t="s">
        <v>4176</v>
      </c>
      <c r="B2659" s="7">
        <v>46036</v>
      </c>
      <c r="C2659" s="6" t="s">
        <v>988</v>
      </c>
      <c r="D2659" s="6" t="s">
        <v>110</v>
      </c>
      <c r="E2659" s="6" t="s">
        <v>28</v>
      </c>
      <c r="F2659" s="6" t="s">
        <v>47</v>
      </c>
      <c r="G2659" s="6" t="s">
        <v>48</v>
      </c>
      <c r="H2659" s="6">
        <v>1</v>
      </c>
      <c r="I2659" s="6" t="s">
        <v>113</v>
      </c>
      <c r="J2659" s="6" t="s">
        <v>113</v>
      </c>
      <c r="K2659" s="6">
        <v>85</v>
      </c>
      <c r="L2659" s="6" t="s">
        <v>42</v>
      </c>
      <c r="M2659" s="6" t="s">
        <v>69</v>
      </c>
    </row>
    <row r="2660" spans="1:13">
      <c r="A2660" s="6" t="s">
        <v>4177</v>
      </c>
      <c r="B2660" s="7">
        <v>46125</v>
      </c>
      <c r="C2660" s="6" t="s">
        <v>2111</v>
      </c>
      <c r="D2660" s="6" t="s">
        <v>57</v>
      </c>
      <c r="E2660" s="6" t="s">
        <v>28</v>
      </c>
      <c r="F2660" s="6" t="s">
        <v>85</v>
      </c>
      <c r="G2660" s="6" t="s">
        <v>86</v>
      </c>
      <c r="H2660" s="6">
        <v>1</v>
      </c>
      <c r="I2660" s="6" t="s">
        <v>31</v>
      </c>
      <c r="J2660" s="6" t="s">
        <v>31</v>
      </c>
      <c r="K2660" s="6">
        <v>410</v>
      </c>
      <c r="L2660" s="6" t="s">
        <v>42</v>
      </c>
      <c r="M2660" s="6" t="s">
        <v>34</v>
      </c>
    </row>
    <row r="2661" spans="1:13">
      <c r="A2661" s="6" t="s">
        <v>4178</v>
      </c>
      <c r="B2661" s="6" t="s">
        <v>1831</v>
      </c>
      <c r="C2661" s="6" t="s">
        <v>1639</v>
      </c>
      <c r="D2661" s="6" t="s">
        <v>45</v>
      </c>
      <c r="E2661" s="6" t="s">
        <v>37</v>
      </c>
      <c r="F2661" s="6" t="s">
        <v>85</v>
      </c>
      <c r="G2661" s="6" t="s">
        <v>86</v>
      </c>
      <c r="H2661" s="6">
        <v>3</v>
      </c>
      <c r="I2661" s="6" t="s">
        <v>181</v>
      </c>
      <c r="J2661" s="6" t="s">
        <v>867</v>
      </c>
      <c r="K2661" s="6">
        <v>410</v>
      </c>
      <c r="L2661" s="6" t="s">
        <v>33</v>
      </c>
      <c r="M2661" s="6" t="s">
        <v>34</v>
      </c>
    </row>
    <row r="2662" spans="1:13">
      <c r="A2662" s="6" t="s">
        <v>4179</v>
      </c>
      <c r="B2662" s="7">
        <v>46198</v>
      </c>
      <c r="C2662" s="6" t="s">
        <v>624</v>
      </c>
      <c r="D2662" s="6" t="s">
        <v>64</v>
      </c>
      <c r="E2662" s="6" t="s">
        <v>28</v>
      </c>
      <c r="F2662" s="6" t="s">
        <v>47</v>
      </c>
      <c r="G2662" s="6" t="s">
        <v>48</v>
      </c>
      <c r="H2662" s="6">
        <v>2</v>
      </c>
      <c r="I2662" s="6" t="s">
        <v>40</v>
      </c>
      <c r="J2662" s="6" t="s">
        <v>327</v>
      </c>
      <c r="K2662" s="6" t="s">
        <v>49</v>
      </c>
      <c r="L2662" s="6" t="s">
        <v>33</v>
      </c>
      <c r="M2662" s="6" t="s">
        <v>69</v>
      </c>
    </row>
    <row r="2663" spans="1:13">
      <c r="A2663" s="6" t="s">
        <v>4180</v>
      </c>
      <c r="B2663" s="7">
        <v>46056</v>
      </c>
      <c r="C2663" s="6" t="s">
        <v>3240</v>
      </c>
      <c r="D2663" s="6" t="s">
        <v>72</v>
      </c>
      <c r="E2663" s="6" t="s">
        <v>78</v>
      </c>
      <c r="F2663" s="6" t="s">
        <v>94</v>
      </c>
      <c r="G2663" s="6" t="s">
        <v>95</v>
      </c>
      <c r="H2663" s="6">
        <v>2</v>
      </c>
      <c r="I2663" s="6" t="s">
        <v>113</v>
      </c>
      <c r="J2663" s="6" t="s">
        <v>192</v>
      </c>
      <c r="K2663" s="6">
        <v>340</v>
      </c>
      <c r="L2663" s="6" t="s">
        <v>42</v>
      </c>
      <c r="M2663" s="6" t="s">
        <v>34</v>
      </c>
    </row>
    <row r="2664" spans="1:13">
      <c r="A2664" s="6" t="s">
        <v>4181</v>
      </c>
      <c r="B2664" s="6" t="s">
        <v>392</v>
      </c>
      <c r="C2664" s="6" t="s">
        <v>2751</v>
      </c>
      <c r="D2664" s="6" t="s">
        <v>110</v>
      </c>
      <c r="E2664" s="6" t="s">
        <v>78</v>
      </c>
      <c r="F2664" s="6" t="s">
        <v>38</v>
      </c>
      <c r="G2664" s="6" t="s">
        <v>39</v>
      </c>
      <c r="H2664" s="6">
        <v>2</v>
      </c>
      <c r="I2664" s="6" t="s">
        <v>31</v>
      </c>
      <c r="J2664" s="6" t="s">
        <v>249</v>
      </c>
      <c r="K2664" s="6">
        <v>520</v>
      </c>
      <c r="L2664" s="6" t="s">
        <v>42</v>
      </c>
      <c r="M2664" s="6" t="s">
        <v>69</v>
      </c>
    </row>
    <row r="2665" spans="1:13">
      <c r="A2665" s="6" t="s">
        <v>4182</v>
      </c>
      <c r="B2665" s="7">
        <v>46080</v>
      </c>
      <c r="C2665" s="6" t="s">
        <v>1223</v>
      </c>
      <c r="D2665" s="6" t="s">
        <v>27</v>
      </c>
      <c r="E2665" s="6" t="s">
        <v>52</v>
      </c>
      <c r="F2665" s="6" t="s">
        <v>38</v>
      </c>
      <c r="G2665" s="6" t="s">
        <v>39</v>
      </c>
      <c r="H2665" s="6">
        <v>1</v>
      </c>
      <c r="I2665" s="6" t="s">
        <v>67</v>
      </c>
      <c r="J2665" s="6" t="s">
        <v>67</v>
      </c>
      <c r="K2665" s="6">
        <v>520</v>
      </c>
      <c r="L2665" s="6" t="s">
        <v>42</v>
      </c>
      <c r="M2665" s="6" t="s">
        <v>69</v>
      </c>
    </row>
    <row r="2666" spans="1:13">
      <c r="A2666" s="6" t="s">
        <v>4183</v>
      </c>
      <c r="B2666" s="7">
        <v>46121</v>
      </c>
      <c r="C2666" s="6" t="s">
        <v>1240</v>
      </c>
      <c r="D2666" s="6" t="s">
        <v>77</v>
      </c>
      <c r="E2666" s="6" t="s">
        <v>37</v>
      </c>
      <c r="F2666" s="6" t="s">
        <v>38</v>
      </c>
      <c r="G2666" s="6" t="s">
        <v>39</v>
      </c>
      <c r="H2666" s="6">
        <v>3</v>
      </c>
      <c r="I2666" s="6" t="s">
        <v>79</v>
      </c>
      <c r="J2666" s="6" t="s">
        <v>216</v>
      </c>
      <c r="K2666" s="6">
        <v>520</v>
      </c>
      <c r="L2666" s="6" t="s">
        <v>33</v>
      </c>
      <c r="M2666" s="6" t="s">
        <v>69</v>
      </c>
    </row>
    <row r="2667" spans="1:13">
      <c r="A2667" s="6" t="s">
        <v>4184</v>
      </c>
      <c r="B2667" s="7">
        <v>46042</v>
      </c>
      <c r="C2667" s="6" t="s">
        <v>420</v>
      </c>
      <c r="D2667" s="6" t="s">
        <v>127</v>
      </c>
      <c r="E2667" s="6" t="s">
        <v>28</v>
      </c>
      <c r="F2667" s="6" t="s">
        <v>85</v>
      </c>
      <c r="G2667" s="6" t="s">
        <v>86</v>
      </c>
      <c r="H2667" s="6">
        <v>3</v>
      </c>
      <c r="I2667" s="6" t="s">
        <v>60</v>
      </c>
      <c r="J2667" s="6" t="s">
        <v>268</v>
      </c>
      <c r="K2667" s="6">
        <v>410</v>
      </c>
      <c r="L2667" s="6" t="s">
        <v>42</v>
      </c>
      <c r="M2667" s="6" t="s">
        <v>34</v>
      </c>
    </row>
    <row r="2668" spans="1:13">
      <c r="A2668" s="6" t="s">
        <v>4185</v>
      </c>
      <c r="B2668" s="7">
        <v>46148</v>
      </c>
      <c r="C2668" s="6" t="s">
        <v>4186</v>
      </c>
      <c r="D2668" s="6" t="s">
        <v>57</v>
      </c>
      <c r="E2668" s="6" t="s">
        <v>46</v>
      </c>
      <c r="F2668" s="6" t="s">
        <v>58</v>
      </c>
      <c r="G2668" s="6" t="s">
        <v>59</v>
      </c>
      <c r="H2668" s="6">
        <v>-1</v>
      </c>
      <c r="I2668" s="6" t="s">
        <v>231</v>
      </c>
      <c r="J2668" s="8" t="s">
        <v>2931</v>
      </c>
      <c r="K2668" s="6" t="s">
        <v>61</v>
      </c>
      <c r="L2668" s="6" t="s">
        <v>42</v>
      </c>
      <c r="M2668" s="6" t="s">
        <v>34</v>
      </c>
    </row>
    <row r="2669" spans="1:13">
      <c r="A2669" s="6" t="s">
        <v>4187</v>
      </c>
      <c r="B2669" s="7">
        <v>46139</v>
      </c>
      <c r="C2669" s="6" t="s">
        <v>458</v>
      </c>
      <c r="D2669" s="6" t="s">
        <v>127</v>
      </c>
      <c r="E2669" s="6" t="s">
        <v>78</v>
      </c>
      <c r="F2669" s="6" t="s">
        <v>47</v>
      </c>
      <c r="G2669" s="6" t="s">
        <v>48</v>
      </c>
      <c r="H2669" s="6">
        <v>1</v>
      </c>
      <c r="I2669" s="6" t="s">
        <v>60</v>
      </c>
      <c r="J2669" s="6" t="s">
        <v>60</v>
      </c>
      <c r="K2669" s="6" t="s">
        <v>49</v>
      </c>
      <c r="L2669" s="6" t="s">
        <v>33</v>
      </c>
      <c r="M2669" s="6" t="s">
        <v>34</v>
      </c>
    </row>
    <row r="2670" spans="1:13">
      <c r="A2670" s="6" t="s">
        <v>4188</v>
      </c>
      <c r="B2670" s="7">
        <v>46184</v>
      </c>
      <c r="C2670" s="6" t="s">
        <v>4189</v>
      </c>
      <c r="D2670" s="6" t="s">
        <v>105</v>
      </c>
      <c r="E2670" s="6" t="s">
        <v>78</v>
      </c>
      <c r="F2670" s="6" t="s">
        <v>94</v>
      </c>
      <c r="G2670" s="6" t="s">
        <v>95</v>
      </c>
      <c r="H2670" s="6">
        <v>1</v>
      </c>
      <c r="I2670" s="6" t="s">
        <v>599</v>
      </c>
      <c r="J2670" s="6" t="s">
        <v>73</v>
      </c>
      <c r="K2670" s="6" t="s">
        <v>114</v>
      </c>
      <c r="L2670" s="6" t="s">
        <v>42</v>
      </c>
      <c r="M2670" s="6" t="s">
        <v>34</v>
      </c>
    </row>
    <row r="2671" spans="1:13">
      <c r="A2671" s="6" t="s">
        <v>4190</v>
      </c>
      <c r="B2671" s="6" t="s">
        <v>1911</v>
      </c>
      <c r="C2671" s="6" t="s">
        <v>1596</v>
      </c>
      <c r="D2671" s="6" t="s">
        <v>127</v>
      </c>
      <c r="E2671" s="6" t="s">
        <v>37</v>
      </c>
      <c r="F2671" s="6" t="s">
        <v>94</v>
      </c>
      <c r="G2671" s="6" t="s">
        <v>95</v>
      </c>
      <c r="H2671" s="6">
        <v>3</v>
      </c>
      <c r="I2671" s="6" t="s">
        <v>79</v>
      </c>
      <c r="J2671" s="6" t="s">
        <v>216</v>
      </c>
      <c r="K2671" s="6" t="s">
        <v>114</v>
      </c>
      <c r="L2671" s="6" t="s">
        <v>42</v>
      </c>
      <c r="M2671" s="6" t="s">
        <v>34</v>
      </c>
    </row>
    <row r="2672" spans="1:13">
      <c r="A2672" s="6" t="s">
        <v>4191</v>
      </c>
      <c r="B2672" s="7">
        <v>46156</v>
      </c>
      <c r="C2672" s="6" t="s">
        <v>990</v>
      </c>
      <c r="D2672" s="6" t="s">
        <v>27</v>
      </c>
      <c r="E2672" s="6" t="s">
        <v>78</v>
      </c>
      <c r="F2672" s="6" t="s">
        <v>58</v>
      </c>
      <c r="G2672" s="6" t="s">
        <v>59</v>
      </c>
      <c r="H2672" s="6">
        <v>1</v>
      </c>
      <c r="I2672" s="6" t="s">
        <v>231</v>
      </c>
      <c r="J2672" s="6" t="s">
        <v>231</v>
      </c>
      <c r="K2672" s="6" t="s">
        <v>61</v>
      </c>
      <c r="L2672" s="6" t="s">
        <v>42</v>
      </c>
      <c r="M2672" s="6" t="s">
        <v>34</v>
      </c>
    </row>
    <row r="2673" spans="1:13">
      <c r="A2673" s="6" t="s">
        <v>4192</v>
      </c>
      <c r="B2673" s="7">
        <v>46144</v>
      </c>
      <c r="C2673" s="6" t="s">
        <v>44</v>
      </c>
      <c r="D2673" s="6" t="s">
        <v>105</v>
      </c>
      <c r="E2673" s="6" t="s">
        <v>78</v>
      </c>
      <c r="F2673" s="6" t="s">
        <v>85</v>
      </c>
      <c r="G2673" s="6" t="s">
        <v>86</v>
      </c>
      <c r="H2673" s="6">
        <v>2</v>
      </c>
      <c r="I2673" s="6" t="s">
        <v>117</v>
      </c>
      <c r="J2673" s="6" t="s">
        <v>118</v>
      </c>
      <c r="K2673" s="6" t="s">
        <v>87</v>
      </c>
      <c r="L2673" s="6" t="s">
        <v>33</v>
      </c>
      <c r="M2673" s="6" t="s">
        <v>34</v>
      </c>
    </row>
    <row r="2674" spans="1:13">
      <c r="A2674" s="6" t="s">
        <v>4193</v>
      </c>
      <c r="B2674" s="7">
        <v>46122</v>
      </c>
      <c r="C2674" s="6" t="s">
        <v>1001</v>
      </c>
      <c r="D2674" s="6" t="s">
        <v>72</v>
      </c>
      <c r="E2674" s="6" t="s">
        <v>37</v>
      </c>
      <c r="F2674" s="6" t="s">
        <v>58</v>
      </c>
      <c r="G2674" s="6" t="s">
        <v>59</v>
      </c>
      <c r="H2674" s="6">
        <v>1</v>
      </c>
      <c r="I2674" s="6" t="s">
        <v>143</v>
      </c>
      <c r="J2674" s="6" t="s">
        <v>143</v>
      </c>
      <c r="K2674" s="6">
        <v>380</v>
      </c>
      <c r="L2674" s="6" t="s">
        <v>42</v>
      </c>
      <c r="M2674" s="6" t="s">
        <v>69</v>
      </c>
    </row>
    <row r="2675" spans="1:13">
      <c r="A2675" s="6" t="s">
        <v>4194</v>
      </c>
      <c r="B2675" s="7">
        <v>46120</v>
      </c>
      <c r="C2675" s="6" t="s">
        <v>633</v>
      </c>
      <c r="D2675" s="6" t="s">
        <v>127</v>
      </c>
      <c r="E2675" s="6" t="s">
        <v>46</v>
      </c>
      <c r="F2675" s="6" t="s">
        <v>94</v>
      </c>
      <c r="G2675" s="6" t="s">
        <v>95</v>
      </c>
      <c r="H2675" s="6">
        <v>2</v>
      </c>
      <c r="I2675" s="6" t="s">
        <v>90</v>
      </c>
      <c r="J2675" s="6" t="s">
        <v>154</v>
      </c>
      <c r="K2675" s="6">
        <v>340</v>
      </c>
      <c r="L2675" s="6" t="s">
        <v>42</v>
      </c>
      <c r="M2675" s="6" t="s">
        <v>34</v>
      </c>
    </row>
    <row r="2676" spans="1:13">
      <c r="A2676" s="6" t="s">
        <v>4195</v>
      </c>
      <c r="B2676" s="7">
        <v>46155</v>
      </c>
      <c r="C2676" s="6" t="s">
        <v>4196</v>
      </c>
      <c r="D2676" s="6" t="s">
        <v>105</v>
      </c>
      <c r="E2676" s="6" t="s">
        <v>28</v>
      </c>
      <c r="F2676" s="6" t="s">
        <v>100</v>
      </c>
      <c r="G2676" s="6" t="s">
        <v>101</v>
      </c>
      <c r="H2676" s="6">
        <v>1</v>
      </c>
      <c r="I2676" s="6" t="s">
        <v>31</v>
      </c>
      <c r="J2676" s="6" t="s">
        <v>31</v>
      </c>
      <c r="K2676" s="6" t="s">
        <v>119</v>
      </c>
      <c r="L2676" s="6" t="s">
        <v>42</v>
      </c>
      <c r="M2676" s="6" t="s">
        <v>34</v>
      </c>
    </row>
    <row r="2677" spans="1:13">
      <c r="A2677" s="6" t="s">
        <v>4197</v>
      </c>
      <c r="B2677" s="7">
        <v>46199</v>
      </c>
      <c r="C2677" s="6" t="s">
        <v>1230</v>
      </c>
      <c r="D2677" s="6" t="s">
        <v>110</v>
      </c>
      <c r="E2677" s="6" t="s">
        <v>28</v>
      </c>
      <c r="F2677" s="6" t="s">
        <v>38</v>
      </c>
      <c r="G2677" s="6" t="s">
        <v>39</v>
      </c>
      <c r="H2677" s="6">
        <v>-1</v>
      </c>
      <c r="I2677" s="6" t="s">
        <v>31</v>
      </c>
      <c r="J2677" s="8" t="s">
        <v>404</v>
      </c>
      <c r="K2677" s="6" t="s">
        <v>41</v>
      </c>
      <c r="L2677" s="6" t="s">
        <v>33</v>
      </c>
      <c r="M2677" s="6" t="s">
        <v>69</v>
      </c>
    </row>
    <row r="2678" spans="1:13">
      <c r="A2678" s="6" t="s">
        <v>4198</v>
      </c>
      <c r="B2678" s="7">
        <v>46149</v>
      </c>
      <c r="C2678" s="6" t="s">
        <v>696</v>
      </c>
      <c r="D2678" s="6" t="s">
        <v>64</v>
      </c>
      <c r="E2678" s="6" t="s">
        <v>37</v>
      </c>
      <c r="F2678" s="6" t="s">
        <v>100</v>
      </c>
      <c r="G2678" s="6" t="s">
        <v>101</v>
      </c>
      <c r="H2678" s="6">
        <v>1</v>
      </c>
      <c r="I2678" s="6" t="s">
        <v>181</v>
      </c>
      <c r="J2678" s="6" t="s">
        <v>181</v>
      </c>
      <c r="K2678" s="6" t="s">
        <v>119</v>
      </c>
      <c r="L2678" s="6" t="s">
        <v>42</v>
      </c>
      <c r="M2678" s="6" t="s">
        <v>34</v>
      </c>
    </row>
    <row r="2679" spans="1:13">
      <c r="A2679" s="6" t="s">
        <v>4199</v>
      </c>
      <c r="B2679" s="7">
        <v>46124</v>
      </c>
      <c r="C2679" s="6" t="s">
        <v>4200</v>
      </c>
      <c r="D2679" s="6" t="s">
        <v>57</v>
      </c>
      <c r="E2679" s="6" t="s">
        <v>78</v>
      </c>
      <c r="F2679" s="6" t="s">
        <v>53</v>
      </c>
      <c r="G2679" s="6" t="s">
        <v>54</v>
      </c>
      <c r="H2679" s="6">
        <v>1</v>
      </c>
      <c r="I2679" s="6" t="s">
        <v>82</v>
      </c>
      <c r="J2679" s="6" t="s">
        <v>82</v>
      </c>
      <c r="K2679" s="6">
        <v>190</v>
      </c>
      <c r="L2679" s="6" t="s">
        <v>42</v>
      </c>
      <c r="M2679" s="6" t="s">
        <v>34</v>
      </c>
    </row>
    <row r="2680" spans="1:13">
      <c r="A2680" s="6" t="s">
        <v>4201</v>
      </c>
      <c r="B2680" s="7">
        <v>46078</v>
      </c>
      <c r="C2680" s="6" t="s">
        <v>3582</v>
      </c>
      <c r="D2680" s="6" t="s">
        <v>105</v>
      </c>
      <c r="E2680" s="6" t="s">
        <v>28</v>
      </c>
      <c r="F2680" s="6" t="s">
        <v>29</v>
      </c>
      <c r="G2680" s="6" t="s">
        <v>30</v>
      </c>
      <c r="H2680" s="6">
        <v>1</v>
      </c>
      <c r="I2680" s="6" t="s">
        <v>31</v>
      </c>
      <c r="J2680" s="6" t="s">
        <v>31</v>
      </c>
      <c r="K2680" s="6">
        <v>520</v>
      </c>
      <c r="L2680" s="6" t="s">
        <v>33</v>
      </c>
      <c r="M2680" s="6" t="s">
        <v>69</v>
      </c>
    </row>
    <row r="2681" spans="1:13">
      <c r="A2681" s="6" t="s">
        <v>4202</v>
      </c>
      <c r="B2681" s="7">
        <v>46183</v>
      </c>
      <c r="C2681" s="6" t="s">
        <v>1321</v>
      </c>
      <c r="D2681" s="6" t="s">
        <v>57</v>
      </c>
      <c r="E2681" s="6" t="s">
        <v>52</v>
      </c>
      <c r="F2681" s="6" t="s">
        <v>53</v>
      </c>
      <c r="G2681" s="6" t="s">
        <v>54</v>
      </c>
      <c r="H2681" s="6">
        <v>2</v>
      </c>
      <c r="I2681" s="6" t="s">
        <v>60</v>
      </c>
      <c r="J2681" s="6" t="s">
        <v>189</v>
      </c>
      <c r="K2681" s="6" t="s">
        <v>122</v>
      </c>
      <c r="L2681" s="6" t="s">
        <v>42</v>
      </c>
      <c r="M2681" s="6" t="s">
        <v>34</v>
      </c>
    </row>
    <row r="2682" spans="1:13">
      <c r="A2682" s="6" t="s">
        <v>4203</v>
      </c>
      <c r="B2682" s="7">
        <v>46204</v>
      </c>
      <c r="C2682" s="6" t="s">
        <v>4129</v>
      </c>
      <c r="D2682" s="6" t="s">
        <v>77</v>
      </c>
      <c r="E2682" s="6" t="s">
        <v>46</v>
      </c>
      <c r="F2682" s="6" t="s">
        <v>29</v>
      </c>
      <c r="G2682" s="6" t="s">
        <v>30</v>
      </c>
      <c r="H2682" s="6">
        <v>3</v>
      </c>
      <c r="I2682" s="6" t="s">
        <v>143</v>
      </c>
      <c r="J2682" s="6" t="s">
        <v>243</v>
      </c>
      <c r="K2682" s="6">
        <v>520</v>
      </c>
      <c r="L2682" s="6" t="s">
        <v>33</v>
      </c>
      <c r="M2682" s="6" t="s">
        <v>34</v>
      </c>
    </row>
    <row r="2683" spans="1:13">
      <c r="A2683" s="6" t="s">
        <v>4204</v>
      </c>
      <c r="B2683" s="7">
        <v>46028</v>
      </c>
      <c r="C2683" s="6" t="s">
        <v>4205</v>
      </c>
      <c r="D2683" s="6" t="s">
        <v>110</v>
      </c>
      <c r="E2683" s="6" t="s">
        <v>28</v>
      </c>
      <c r="F2683" s="6" t="s">
        <v>85</v>
      </c>
      <c r="G2683" s="6" t="s">
        <v>86</v>
      </c>
      <c r="H2683" s="6">
        <v>1</v>
      </c>
      <c r="I2683" s="6" t="s">
        <v>117</v>
      </c>
      <c r="J2683" s="6" t="s">
        <v>117</v>
      </c>
      <c r="K2683" s="6">
        <v>410</v>
      </c>
      <c r="L2683" s="6" t="s">
        <v>42</v>
      </c>
      <c r="M2683" s="6" t="s">
        <v>34</v>
      </c>
    </row>
    <row r="2684" spans="1:13">
      <c r="A2684" s="6" t="s">
        <v>4206</v>
      </c>
      <c r="B2684" s="7">
        <v>46099</v>
      </c>
      <c r="C2684" s="6" t="s">
        <v>784</v>
      </c>
      <c r="D2684" s="6" t="s">
        <v>45</v>
      </c>
      <c r="E2684" s="6" t="s">
        <v>52</v>
      </c>
      <c r="F2684" s="6" t="s">
        <v>94</v>
      </c>
      <c r="G2684" s="6" t="s">
        <v>95</v>
      </c>
      <c r="H2684" s="6">
        <v>1</v>
      </c>
      <c r="I2684" s="6" t="s">
        <v>67</v>
      </c>
      <c r="J2684" s="6" t="s">
        <v>67</v>
      </c>
      <c r="K2684" s="6">
        <v>340</v>
      </c>
      <c r="L2684" s="6" t="s">
        <v>42</v>
      </c>
      <c r="M2684" s="6" t="s">
        <v>34</v>
      </c>
    </row>
    <row r="2685" spans="1:13">
      <c r="A2685" s="6" t="s">
        <v>4207</v>
      </c>
      <c r="B2685" s="7">
        <v>46167</v>
      </c>
      <c r="C2685" s="6" t="s">
        <v>4208</v>
      </c>
      <c r="D2685" s="6" t="s">
        <v>57</v>
      </c>
      <c r="E2685" s="6" t="s">
        <v>28</v>
      </c>
      <c r="F2685" s="6" t="s">
        <v>47</v>
      </c>
      <c r="G2685" s="6" t="s">
        <v>48</v>
      </c>
      <c r="H2685" s="6">
        <v>1</v>
      </c>
      <c r="I2685" s="6" t="s">
        <v>82</v>
      </c>
      <c r="J2685" s="6" t="s">
        <v>82</v>
      </c>
      <c r="K2685" s="6" t="s">
        <v>49</v>
      </c>
      <c r="L2685" s="6" t="s">
        <v>42</v>
      </c>
      <c r="M2685" s="6" t="s">
        <v>34</v>
      </c>
    </row>
    <row r="2686" spans="1:13">
      <c r="A2686" s="6" t="s">
        <v>4209</v>
      </c>
      <c r="B2686" s="7">
        <v>46207</v>
      </c>
      <c r="C2686" s="6" t="s">
        <v>4210</v>
      </c>
      <c r="D2686" s="6" t="s">
        <v>57</v>
      </c>
      <c r="E2686" s="6" t="s">
        <v>46</v>
      </c>
      <c r="F2686" s="6" t="s">
        <v>38</v>
      </c>
      <c r="G2686" s="6" t="s">
        <v>39</v>
      </c>
      <c r="H2686" s="6">
        <v>3</v>
      </c>
      <c r="I2686" s="6" t="s">
        <v>82</v>
      </c>
      <c r="J2686" s="6" t="s">
        <v>390</v>
      </c>
      <c r="K2686" s="6" t="s">
        <v>41</v>
      </c>
      <c r="L2686" s="6" t="s">
        <v>42</v>
      </c>
      <c r="M2686" s="6" t="s">
        <v>69</v>
      </c>
    </row>
    <row r="2687" spans="1:13">
      <c r="A2687" s="6" t="s">
        <v>4211</v>
      </c>
      <c r="B2687" s="7">
        <v>46300</v>
      </c>
      <c r="C2687" s="6" t="s">
        <v>528</v>
      </c>
      <c r="D2687" s="6" t="s">
        <v>27</v>
      </c>
      <c r="E2687" s="6" t="s">
        <v>37</v>
      </c>
      <c r="F2687" s="6" t="s">
        <v>58</v>
      </c>
      <c r="G2687" s="6" t="s">
        <v>59</v>
      </c>
      <c r="H2687" s="6">
        <v>1</v>
      </c>
      <c r="I2687" s="6" t="s">
        <v>447</v>
      </c>
      <c r="J2687" s="6" t="s">
        <v>90</v>
      </c>
      <c r="K2687" s="6" t="s">
        <v>61</v>
      </c>
      <c r="L2687" s="6" t="s">
        <v>42</v>
      </c>
      <c r="M2687" s="6" t="s">
        <v>34</v>
      </c>
    </row>
    <row r="2688" spans="1:13">
      <c r="A2688" s="6" t="s">
        <v>4212</v>
      </c>
      <c r="B2688" s="7">
        <v>46172</v>
      </c>
      <c r="C2688" s="6" t="s">
        <v>1499</v>
      </c>
      <c r="D2688" s="6" t="s">
        <v>45</v>
      </c>
      <c r="E2688" s="6" t="s">
        <v>37</v>
      </c>
      <c r="F2688" s="6" t="s">
        <v>29</v>
      </c>
      <c r="G2688" s="6" t="s">
        <v>30</v>
      </c>
      <c r="H2688" s="6">
        <v>1</v>
      </c>
      <c r="I2688" s="6" t="s">
        <v>166</v>
      </c>
      <c r="J2688" s="6" t="s">
        <v>265</v>
      </c>
      <c r="K2688" s="6" t="s">
        <v>41</v>
      </c>
      <c r="L2688" s="6" t="s">
        <v>33</v>
      </c>
      <c r="M2688" s="6" t="s">
        <v>34</v>
      </c>
    </row>
    <row r="2689" spans="1:13">
      <c r="A2689" s="6" t="s">
        <v>4213</v>
      </c>
      <c r="B2689" s="7">
        <v>46155</v>
      </c>
      <c r="C2689" s="6" t="s">
        <v>1800</v>
      </c>
      <c r="D2689" s="6" t="s">
        <v>45</v>
      </c>
      <c r="E2689" s="6" t="s">
        <v>37</v>
      </c>
      <c r="F2689" s="6" t="s">
        <v>47</v>
      </c>
      <c r="G2689" s="6" t="s">
        <v>48</v>
      </c>
      <c r="H2689" s="6">
        <v>2</v>
      </c>
      <c r="I2689" s="6" t="s">
        <v>40</v>
      </c>
      <c r="J2689" s="6" t="s">
        <v>327</v>
      </c>
      <c r="K2689" s="6" t="s">
        <v>49</v>
      </c>
      <c r="L2689" s="6" t="s">
        <v>42</v>
      </c>
      <c r="M2689" s="6" t="s">
        <v>34</v>
      </c>
    </row>
    <row r="2690" spans="1:13">
      <c r="A2690" s="6" t="s">
        <v>4214</v>
      </c>
      <c r="B2690" s="7">
        <v>46120</v>
      </c>
      <c r="C2690" s="6" t="s">
        <v>2532</v>
      </c>
      <c r="D2690" s="6" t="s">
        <v>45</v>
      </c>
      <c r="E2690" s="6" t="s">
        <v>78</v>
      </c>
      <c r="F2690" s="6" t="s">
        <v>47</v>
      </c>
      <c r="G2690" s="6" t="s">
        <v>48</v>
      </c>
      <c r="H2690" s="6">
        <v>1</v>
      </c>
      <c r="I2690" s="6" t="s">
        <v>231</v>
      </c>
      <c r="J2690" s="6" t="s">
        <v>231</v>
      </c>
      <c r="K2690" s="6">
        <v>85</v>
      </c>
      <c r="L2690" s="6" t="s">
        <v>33</v>
      </c>
      <c r="M2690" s="6" t="s">
        <v>69</v>
      </c>
    </row>
    <row r="2691" spans="1:13">
      <c r="A2691" s="6" t="s">
        <v>4215</v>
      </c>
      <c r="B2691" s="7">
        <v>46129</v>
      </c>
      <c r="C2691" s="6" t="s">
        <v>3418</v>
      </c>
      <c r="D2691" s="6" t="s">
        <v>77</v>
      </c>
      <c r="E2691" s="6" t="s">
        <v>46</v>
      </c>
      <c r="F2691" s="6" t="s">
        <v>58</v>
      </c>
      <c r="G2691" s="6" t="s">
        <v>59</v>
      </c>
      <c r="H2691" s="6">
        <v>2</v>
      </c>
      <c r="I2691" s="6" t="s">
        <v>231</v>
      </c>
      <c r="J2691" s="6" t="s">
        <v>268</v>
      </c>
      <c r="K2691" s="6">
        <v>380</v>
      </c>
      <c r="L2691" s="6" t="s">
        <v>42</v>
      </c>
      <c r="M2691" s="6" t="s">
        <v>34</v>
      </c>
    </row>
    <row r="2692" spans="1:13">
      <c r="A2692" s="6" t="s">
        <v>4216</v>
      </c>
      <c r="B2692" s="7">
        <v>46143</v>
      </c>
      <c r="C2692" s="6" t="s">
        <v>206</v>
      </c>
      <c r="D2692" s="6" t="s">
        <v>105</v>
      </c>
      <c r="E2692" s="6" t="s">
        <v>52</v>
      </c>
      <c r="F2692" s="6" t="s">
        <v>38</v>
      </c>
      <c r="G2692" s="6" t="s">
        <v>39</v>
      </c>
      <c r="H2692" s="6">
        <v>1</v>
      </c>
      <c r="I2692" s="6" t="s">
        <v>147</v>
      </c>
      <c r="J2692" s="6" t="s">
        <v>147</v>
      </c>
      <c r="K2692" s="6" t="s">
        <v>41</v>
      </c>
      <c r="L2692" s="6" t="s">
        <v>33</v>
      </c>
      <c r="M2692" s="6" t="s">
        <v>34</v>
      </c>
    </row>
    <row r="2693" spans="1:13">
      <c r="A2693" s="6" t="s">
        <v>4217</v>
      </c>
      <c r="B2693" s="7">
        <v>46159</v>
      </c>
      <c r="C2693" s="6" t="s">
        <v>818</v>
      </c>
      <c r="D2693" s="6" t="s">
        <v>45</v>
      </c>
      <c r="E2693" s="6" t="s">
        <v>46</v>
      </c>
      <c r="F2693" s="6" t="s">
        <v>85</v>
      </c>
      <c r="G2693" s="6" t="s">
        <v>86</v>
      </c>
      <c r="H2693" s="6">
        <v>1</v>
      </c>
      <c r="I2693" s="6" t="s">
        <v>96</v>
      </c>
      <c r="J2693" s="6" t="s">
        <v>4218</v>
      </c>
      <c r="K2693" s="6" t="s">
        <v>87</v>
      </c>
      <c r="L2693" s="6" t="s">
        <v>42</v>
      </c>
      <c r="M2693" s="6" t="s">
        <v>69</v>
      </c>
    </row>
    <row r="2694" spans="1:13">
      <c r="A2694" s="6" t="s">
        <v>4219</v>
      </c>
      <c r="B2694" s="6" t="s">
        <v>179</v>
      </c>
      <c r="C2694" s="6" t="s">
        <v>791</v>
      </c>
      <c r="D2694" s="6" t="s">
        <v>57</v>
      </c>
      <c r="E2694" s="6" t="s">
        <v>28</v>
      </c>
      <c r="F2694" s="6" t="s">
        <v>29</v>
      </c>
      <c r="G2694" s="6" t="s">
        <v>30</v>
      </c>
      <c r="H2694" s="6">
        <v>1</v>
      </c>
      <c r="I2694" s="6" t="s">
        <v>31</v>
      </c>
      <c r="J2694" s="6" t="s">
        <v>31</v>
      </c>
      <c r="K2694" s="6">
        <v>520</v>
      </c>
      <c r="L2694" s="6" t="s">
        <v>33</v>
      </c>
      <c r="M2694" s="6" t="s">
        <v>34</v>
      </c>
    </row>
    <row r="2695" spans="1:13">
      <c r="A2695" s="6" t="s">
        <v>4220</v>
      </c>
      <c r="B2695" s="7">
        <v>46197</v>
      </c>
      <c r="C2695" s="6" t="s">
        <v>2630</v>
      </c>
      <c r="D2695" s="6" t="s">
        <v>27</v>
      </c>
      <c r="E2695" s="6" t="s">
        <v>78</v>
      </c>
      <c r="F2695" s="6" t="s">
        <v>38</v>
      </c>
      <c r="G2695" s="6" t="s">
        <v>39</v>
      </c>
      <c r="H2695" s="6">
        <v>2</v>
      </c>
      <c r="I2695" s="6" t="s">
        <v>117</v>
      </c>
      <c r="J2695" s="6" t="s">
        <v>118</v>
      </c>
      <c r="K2695" s="6" t="s">
        <v>41</v>
      </c>
      <c r="L2695" s="6" t="s">
        <v>42</v>
      </c>
      <c r="M2695" s="6" t="s">
        <v>34</v>
      </c>
    </row>
    <row r="2696" spans="1:13">
      <c r="A2696" s="6" t="s">
        <v>4221</v>
      </c>
      <c r="B2696" s="7">
        <v>46155</v>
      </c>
      <c r="C2696" s="6" t="s">
        <v>2972</v>
      </c>
      <c r="D2696" s="6" t="s">
        <v>27</v>
      </c>
      <c r="E2696" s="6" t="s">
        <v>52</v>
      </c>
      <c r="F2696" s="6" t="s">
        <v>38</v>
      </c>
      <c r="G2696" s="6" t="s">
        <v>39</v>
      </c>
      <c r="H2696" s="6">
        <v>-1</v>
      </c>
      <c r="I2696" s="6" t="s">
        <v>82</v>
      </c>
      <c r="J2696" s="8" t="s">
        <v>1415</v>
      </c>
      <c r="K2696" s="6" t="s">
        <v>41</v>
      </c>
      <c r="L2696" s="6" t="s">
        <v>42</v>
      </c>
      <c r="M2696" s="6" t="s">
        <v>34</v>
      </c>
    </row>
    <row r="2697" spans="1:13">
      <c r="A2697" s="6" t="s">
        <v>4222</v>
      </c>
      <c r="B2697" s="7">
        <v>46148</v>
      </c>
      <c r="C2697" s="6" t="s">
        <v>3751</v>
      </c>
      <c r="D2697" s="6" t="s">
        <v>72</v>
      </c>
      <c r="E2697" s="6" t="s">
        <v>37</v>
      </c>
      <c r="F2697" s="6" t="s">
        <v>94</v>
      </c>
      <c r="G2697" s="6" t="s">
        <v>95</v>
      </c>
      <c r="H2697" s="6">
        <v>1</v>
      </c>
      <c r="I2697" s="6" t="s">
        <v>265</v>
      </c>
      <c r="J2697" s="6" t="s">
        <v>265</v>
      </c>
      <c r="K2697" s="6" t="s">
        <v>114</v>
      </c>
      <c r="L2697" s="6" t="s">
        <v>42</v>
      </c>
      <c r="M2697" s="6" t="s">
        <v>34</v>
      </c>
    </row>
    <row r="2698" spans="1:13">
      <c r="A2698" s="6" t="s">
        <v>4223</v>
      </c>
      <c r="B2698" s="7">
        <v>46039</v>
      </c>
      <c r="C2698" s="6" t="s">
        <v>1742</v>
      </c>
      <c r="D2698" s="6" t="s">
        <v>105</v>
      </c>
      <c r="E2698" s="6" t="s">
        <v>52</v>
      </c>
      <c r="F2698" s="6" t="s">
        <v>58</v>
      </c>
      <c r="G2698" s="6" t="s">
        <v>59</v>
      </c>
      <c r="H2698" s="6">
        <v>1</v>
      </c>
      <c r="I2698" s="6" t="s">
        <v>181</v>
      </c>
      <c r="J2698" s="6" t="s">
        <v>181</v>
      </c>
      <c r="K2698" s="6">
        <v>380</v>
      </c>
      <c r="L2698" s="6" t="s">
        <v>42</v>
      </c>
      <c r="M2698" s="6" t="s">
        <v>34</v>
      </c>
    </row>
    <row r="2699" spans="1:13">
      <c r="A2699" s="6" t="s">
        <v>4224</v>
      </c>
      <c r="B2699" s="7">
        <v>46118</v>
      </c>
      <c r="C2699" s="6" t="s">
        <v>3144</v>
      </c>
      <c r="D2699" s="6" t="s">
        <v>110</v>
      </c>
      <c r="E2699" s="6" t="s">
        <v>28</v>
      </c>
      <c r="F2699" s="6" t="s">
        <v>94</v>
      </c>
      <c r="G2699" s="6" t="s">
        <v>95</v>
      </c>
      <c r="H2699" s="6">
        <v>1</v>
      </c>
      <c r="I2699" s="6" t="s">
        <v>82</v>
      </c>
      <c r="J2699" s="6" t="s">
        <v>82</v>
      </c>
      <c r="K2699" s="6">
        <v>340</v>
      </c>
      <c r="L2699" s="6" t="s">
        <v>33</v>
      </c>
      <c r="M2699" s="6" t="s">
        <v>34</v>
      </c>
    </row>
    <row r="2700" spans="1:13">
      <c r="A2700" s="6" t="s">
        <v>4225</v>
      </c>
      <c r="B2700" s="7">
        <v>46038</v>
      </c>
      <c r="C2700" s="6" t="s">
        <v>2838</v>
      </c>
      <c r="D2700" s="6" t="s">
        <v>45</v>
      </c>
      <c r="E2700" s="6" t="s">
        <v>52</v>
      </c>
      <c r="F2700" s="6" t="s">
        <v>58</v>
      </c>
      <c r="G2700" s="6" t="s">
        <v>59</v>
      </c>
      <c r="H2700" s="6">
        <v>1</v>
      </c>
      <c r="I2700" s="6" t="s">
        <v>113</v>
      </c>
      <c r="J2700" s="6" t="s">
        <v>181</v>
      </c>
      <c r="K2700" s="6">
        <v>380</v>
      </c>
      <c r="L2700" s="6" t="s">
        <v>42</v>
      </c>
      <c r="M2700" s="6" t="s">
        <v>69</v>
      </c>
    </row>
    <row r="2701" spans="1:13">
      <c r="A2701" s="6" t="s">
        <v>4226</v>
      </c>
      <c r="B2701" s="7">
        <v>46196</v>
      </c>
      <c r="C2701" s="6" t="s">
        <v>436</v>
      </c>
      <c r="D2701" s="6" t="s">
        <v>110</v>
      </c>
      <c r="E2701" s="6" t="s">
        <v>28</v>
      </c>
      <c r="F2701" s="6" t="s">
        <v>58</v>
      </c>
      <c r="G2701" s="6" t="s">
        <v>59</v>
      </c>
      <c r="H2701" s="6">
        <v>2</v>
      </c>
      <c r="I2701" s="6" t="s">
        <v>90</v>
      </c>
      <c r="J2701" s="6" t="s">
        <v>154</v>
      </c>
      <c r="K2701" s="6" t="s">
        <v>61</v>
      </c>
      <c r="L2701" s="6" t="s">
        <v>42</v>
      </c>
      <c r="M2701" s="6" t="s">
        <v>34</v>
      </c>
    </row>
    <row r="2702" spans="1:13">
      <c r="A2702" s="6" t="s">
        <v>4227</v>
      </c>
      <c r="B2702" s="7">
        <v>46137</v>
      </c>
      <c r="C2702" s="6" t="s">
        <v>1172</v>
      </c>
      <c r="D2702" s="6" t="s">
        <v>45</v>
      </c>
      <c r="E2702" s="6" t="s">
        <v>78</v>
      </c>
      <c r="F2702" s="6" t="s">
        <v>29</v>
      </c>
      <c r="G2702" s="6" t="s">
        <v>30</v>
      </c>
      <c r="H2702" s="6">
        <v>3</v>
      </c>
      <c r="I2702" s="6" t="s">
        <v>1519</v>
      </c>
      <c r="J2702" s="6" t="s">
        <v>2839</v>
      </c>
      <c r="K2702" s="6" t="s">
        <v>41</v>
      </c>
      <c r="L2702" s="6" t="s">
        <v>33</v>
      </c>
      <c r="M2702" s="6" t="s">
        <v>34</v>
      </c>
    </row>
    <row r="2703" spans="1:13">
      <c r="A2703" s="6" t="s">
        <v>4228</v>
      </c>
      <c r="B2703" s="6" t="s">
        <v>4229</v>
      </c>
      <c r="C2703" s="6" t="s">
        <v>3223</v>
      </c>
      <c r="D2703" s="6" t="s">
        <v>110</v>
      </c>
      <c r="E2703" s="6" t="s">
        <v>46</v>
      </c>
      <c r="F2703" s="6" t="s">
        <v>58</v>
      </c>
      <c r="G2703" s="6" t="s">
        <v>59</v>
      </c>
      <c r="H2703" s="6">
        <v>1</v>
      </c>
      <c r="I2703" s="6" t="s">
        <v>82</v>
      </c>
      <c r="J2703" s="6" t="s">
        <v>82</v>
      </c>
      <c r="K2703" s="6">
        <v>380</v>
      </c>
      <c r="L2703" s="6" t="s">
        <v>42</v>
      </c>
      <c r="M2703" s="6" t="s">
        <v>34</v>
      </c>
    </row>
    <row r="2704" spans="1:13">
      <c r="A2704" s="6" t="s">
        <v>4230</v>
      </c>
      <c r="B2704" s="7">
        <v>46051</v>
      </c>
      <c r="C2704" s="6" t="s">
        <v>345</v>
      </c>
      <c r="D2704" s="6" t="s">
        <v>127</v>
      </c>
      <c r="E2704" s="6" t="s">
        <v>52</v>
      </c>
      <c r="F2704" s="6" t="s">
        <v>38</v>
      </c>
      <c r="G2704" s="6" t="s">
        <v>39</v>
      </c>
      <c r="H2704" s="6">
        <v>2</v>
      </c>
      <c r="I2704" s="6" t="s">
        <v>96</v>
      </c>
      <c r="J2704" s="6" t="s">
        <v>278</v>
      </c>
      <c r="K2704" s="6">
        <v>520</v>
      </c>
      <c r="L2704" s="6" t="s">
        <v>42</v>
      </c>
      <c r="M2704" s="6" t="s">
        <v>34</v>
      </c>
    </row>
    <row r="2705" spans="1:13">
      <c r="A2705" s="6" t="s">
        <v>4231</v>
      </c>
      <c r="B2705" s="7">
        <v>46098</v>
      </c>
      <c r="C2705" s="6" t="s">
        <v>3075</v>
      </c>
      <c r="D2705" s="6" t="s">
        <v>105</v>
      </c>
      <c r="E2705" s="6" t="s">
        <v>78</v>
      </c>
      <c r="F2705" s="6" t="s">
        <v>53</v>
      </c>
      <c r="G2705" s="6" t="s">
        <v>54</v>
      </c>
      <c r="H2705" s="6">
        <v>3</v>
      </c>
      <c r="I2705" s="6" t="s">
        <v>143</v>
      </c>
      <c r="J2705" s="6" t="s">
        <v>243</v>
      </c>
      <c r="K2705" s="6">
        <v>190</v>
      </c>
      <c r="L2705" s="6" t="s">
        <v>42</v>
      </c>
      <c r="M2705" s="6" t="s">
        <v>34</v>
      </c>
    </row>
    <row r="2706" spans="1:13">
      <c r="A2706" s="6" t="s">
        <v>4232</v>
      </c>
      <c r="B2706" s="7">
        <v>46128</v>
      </c>
      <c r="C2706" s="6" t="s">
        <v>1001</v>
      </c>
      <c r="D2706" s="6" t="s">
        <v>64</v>
      </c>
      <c r="E2706" s="6" t="s">
        <v>37</v>
      </c>
      <c r="F2706" s="6" t="s">
        <v>53</v>
      </c>
      <c r="G2706" s="6" t="s">
        <v>54</v>
      </c>
      <c r="H2706" s="6">
        <v>1</v>
      </c>
      <c r="I2706" s="6" t="s">
        <v>143</v>
      </c>
      <c r="J2706" s="6" t="s">
        <v>143</v>
      </c>
      <c r="K2706" s="6">
        <v>190</v>
      </c>
      <c r="L2706" s="6" t="s">
        <v>42</v>
      </c>
      <c r="M2706" s="6" t="s">
        <v>34</v>
      </c>
    </row>
    <row r="2707" spans="1:13">
      <c r="A2707" s="6" t="s">
        <v>4233</v>
      </c>
      <c r="B2707" s="7">
        <v>46115</v>
      </c>
      <c r="C2707" s="6" t="s">
        <v>3175</v>
      </c>
      <c r="D2707" s="6" t="s">
        <v>27</v>
      </c>
      <c r="E2707" s="6" t="s">
        <v>37</v>
      </c>
      <c r="F2707" s="6" t="s">
        <v>29</v>
      </c>
      <c r="G2707" s="6" t="s">
        <v>30</v>
      </c>
      <c r="H2707" s="6">
        <v>1</v>
      </c>
      <c r="I2707" s="6" t="s">
        <v>96</v>
      </c>
      <c r="J2707" s="6" t="s">
        <v>96</v>
      </c>
      <c r="K2707" s="6">
        <v>520</v>
      </c>
      <c r="L2707" s="6" t="s">
        <v>42</v>
      </c>
      <c r="M2707" s="6" t="s">
        <v>69</v>
      </c>
    </row>
    <row r="2708" spans="1:13">
      <c r="A2708" s="6" t="s">
        <v>4234</v>
      </c>
      <c r="B2708" s="7">
        <v>46143</v>
      </c>
      <c r="C2708" s="6" t="s">
        <v>3211</v>
      </c>
      <c r="D2708" s="6" t="s">
        <v>127</v>
      </c>
      <c r="E2708" s="6" t="s">
        <v>28</v>
      </c>
      <c r="F2708" s="6" t="s">
        <v>85</v>
      </c>
      <c r="G2708" s="6" t="s">
        <v>86</v>
      </c>
      <c r="H2708" s="6">
        <v>2</v>
      </c>
      <c r="I2708" s="6" t="s">
        <v>147</v>
      </c>
      <c r="J2708" s="6" t="s">
        <v>175</v>
      </c>
      <c r="K2708" s="6" t="s">
        <v>87</v>
      </c>
      <c r="L2708" s="6" t="s">
        <v>42</v>
      </c>
      <c r="M2708" s="6" t="s">
        <v>69</v>
      </c>
    </row>
    <row r="2709" spans="1:13">
      <c r="A2709" s="6" t="s">
        <v>4235</v>
      </c>
      <c r="B2709" s="7">
        <v>46051</v>
      </c>
      <c r="C2709" s="6" t="s">
        <v>4236</v>
      </c>
      <c r="D2709" s="6" t="s">
        <v>45</v>
      </c>
      <c r="E2709" s="6" t="s">
        <v>28</v>
      </c>
      <c r="F2709" s="6" t="s">
        <v>94</v>
      </c>
      <c r="G2709" s="6" t="s">
        <v>95</v>
      </c>
      <c r="H2709" s="6">
        <v>3</v>
      </c>
      <c r="I2709" s="6" t="s">
        <v>1013</v>
      </c>
      <c r="J2709" s="6" t="s">
        <v>102</v>
      </c>
      <c r="K2709" s="6">
        <v>340</v>
      </c>
      <c r="L2709" s="6" t="s">
        <v>42</v>
      </c>
      <c r="M2709" s="6" t="s">
        <v>34</v>
      </c>
    </row>
    <row r="2710" spans="1:13">
      <c r="A2710" s="6" t="s">
        <v>4237</v>
      </c>
      <c r="B2710" s="7">
        <v>46112</v>
      </c>
      <c r="C2710" s="6" t="s">
        <v>1323</v>
      </c>
      <c r="D2710" s="6" t="s">
        <v>127</v>
      </c>
      <c r="E2710" s="6" t="s">
        <v>52</v>
      </c>
      <c r="F2710" s="6" t="s">
        <v>47</v>
      </c>
      <c r="G2710" s="6" t="s">
        <v>48</v>
      </c>
      <c r="H2710" s="6">
        <v>3</v>
      </c>
      <c r="I2710" s="6" t="s">
        <v>40</v>
      </c>
      <c r="J2710" s="6" t="s">
        <v>579</v>
      </c>
      <c r="K2710" s="6">
        <v>85</v>
      </c>
      <c r="L2710" s="6" t="s">
        <v>42</v>
      </c>
      <c r="M2710" s="6" t="s">
        <v>34</v>
      </c>
    </row>
    <row r="2711" spans="1:13">
      <c r="A2711" s="6" t="s">
        <v>4238</v>
      </c>
      <c r="B2711" s="7">
        <v>46203</v>
      </c>
      <c r="C2711" s="6" t="s">
        <v>858</v>
      </c>
      <c r="D2711" s="6" t="s">
        <v>27</v>
      </c>
      <c r="E2711" s="6" t="s">
        <v>37</v>
      </c>
      <c r="F2711" s="6" t="s">
        <v>100</v>
      </c>
      <c r="G2711" s="6" t="s">
        <v>101</v>
      </c>
      <c r="H2711" s="6">
        <v>1</v>
      </c>
      <c r="I2711" s="6" t="s">
        <v>117</v>
      </c>
      <c r="J2711" s="6" t="s">
        <v>117</v>
      </c>
      <c r="K2711" s="6" t="s">
        <v>119</v>
      </c>
      <c r="L2711" s="6" t="s">
        <v>42</v>
      </c>
      <c r="M2711" s="6" t="s">
        <v>34</v>
      </c>
    </row>
    <row r="2712" spans="1:13">
      <c r="A2712" s="6" t="s">
        <v>4239</v>
      </c>
      <c r="B2712" s="7">
        <v>46144</v>
      </c>
      <c r="C2712" s="6" t="s">
        <v>26</v>
      </c>
      <c r="D2712" s="6" t="s">
        <v>45</v>
      </c>
      <c r="E2712" s="6" t="s">
        <v>46</v>
      </c>
      <c r="F2712" s="6" t="s">
        <v>53</v>
      </c>
      <c r="G2712" s="6" t="s">
        <v>54</v>
      </c>
      <c r="H2712" s="6">
        <v>2</v>
      </c>
      <c r="I2712" s="6" t="s">
        <v>40</v>
      </c>
      <c r="J2712" s="6" t="s">
        <v>327</v>
      </c>
      <c r="K2712" s="6" t="s">
        <v>122</v>
      </c>
      <c r="L2712" s="6" t="s">
        <v>42</v>
      </c>
      <c r="M2712" s="6" t="s">
        <v>34</v>
      </c>
    </row>
    <row r="2713" spans="1:13">
      <c r="A2713" s="6" t="s">
        <v>4240</v>
      </c>
      <c r="B2713" s="7">
        <v>46327</v>
      </c>
      <c r="C2713" s="6" t="s">
        <v>2646</v>
      </c>
      <c r="D2713" s="6" t="s">
        <v>105</v>
      </c>
      <c r="E2713" s="6" t="s">
        <v>37</v>
      </c>
      <c r="F2713" s="6" t="s">
        <v>38</v>
      </c>
      <c r="G2713" s="6" t="s">
        <v>39</v>
      </c>
      <c r="H2713" s="6">
        <v>-2</v>
      </c>
      <c r="I2713" s="6" t="s">
        <v>1224</v>
      </c>
      <c r="J2713" s="8" t="s">
        <v>2190</v>
      </c>
      <c r="K2713" s="6">
        <v>520</v>
      </c>
      <c r="L2713" s="6" t="s">
        <v>42</v>
      </c>
      <c r="M2713" s="6" t="s">
        <v>34</v>
      </c>
    </row>
    <row r="2714" spans="1:13">
      <c r="A2714" s="6" t="s">
        <v>4241</v>
      </c>
      <c r="B2714" s="7">
        <v>46038</v>
      </c>
      <c r="C2714" s="6" t="s">
        <v>3025</v>
      </c>
      <c r="D2714" s="6" t="s">
        <v>64</v>
      </c>
      <c r="E2714" s="6" t="s">
        <v>28</v>
      </c>
      <c r="F2714" s="6" t="s">
        <v>53</v>
      </c>
      <c r="G2714" s="6" t="s">
        <v>54</v>
      </c>
      <c r="H2714" s="6">
        <v>1</v>
      </c>
      <c r="I2714" s="6" t="s">
        <v>1355</v>
      </c>
      <c r="J2714" s="6" t="s">
        <v>4242</v>
      </c>
      <c r="K2714" s="6">
        <v>190</v>
      </c>
      <c r="L2714" s="6" t="s">
        <v>42</v>
      </c>
      <c r="M2714" s="6" t="s">
        <v>34</v>
      </c>
    </row>
    <row r="2715" spans="1:13">
      <c r="A2715" s="6" t="s">
        <v>4243</v>
      </c>
      <c r="B2715" s="7">
        <v>46358</v>
      </c>
      <c r="C2715" s="6" t="s">
        <v>2879</v>
      </c>
      <c r="D2715" s="6" t="s">
        <v>72</v>
      </c>
      <c r="E2715" s="6" t="s">
        <v>78</v>
      </c>
      <c r="F2715" s="6" t="s">
        <v>53</v>
      </c>
      <c r="G2715" s="6" t="s">
        <v>54</v>
      </c>
      <c r="H2715" s="6">
        <v>1</v>
      </c>
      <c r="I2715" s="6" t="s">
        <v>90</v>
      </c>
      <c r="J2715" s="6" t="s">
        <v>90</v>
      </c>
      <c r="K2715" s="6">
        <v>190</v>
      </c>
      <c r="L2715" s="6" t="s">
        <v>33</v>
      </c>
      <c r="M2715" s="6" t="s">
        <v>69</v>
      </c>
    </row>
    <row r="2716" spans="1:13">
      <c r="A2716" s="6" t="s">
        <v>4244</v>
      </c>
      <c r="B2716" s="6" t="s">
        <v>4245</v>
      </c>
      <c r="C2716" s="6" t="s">
        <v>2879</v>
      </c>
      <c r="D2716" s="6" t="s">
        <v>64</v>
      </c>
      <c r="E2716" s="6" t="s">
        <v>28</v>
      </c>
      <c r="F2716" s="6" t="s">
        <v>58</v>
      </c>
      <c r="G2716" s="6" t="s">
        <v>59</v>
      </c>
      <c r="H2716" s="6">
        <v>1</v>
      </c>
      <c r="I2716" s="6" t="s">
        <v>79</v>
      </c>
      <c r="J2716" s="6" t="s">
        <v>370</v>
      </c>
      <c r="K2716" s="6">
        <v>380</v>
      </c>
      <c r="L2716" s="6" t="s">
        <v>42</v>
      </c>
      <c r="M2716" s="6" t="s">
        <v>34</v>
      </c>
    </row>
    <row r="2717" spans="1:13">
      <c r="A2717" s="6" t="s">
        <v>4246</v>
      </c>
      <c r="B2717" s="7">
        <v>46080</v>
      </c>
      <c r="C2717" s="6" t="s">
        <v>4247</v>
      </c>
      <c r="D2717" s="6" t="s">
        <v>105</v>
      </c>
      <c r="E2717" s="6" t="s">
        <v>28</v>
      </c>
      <c r="F2717" s="6" t="s">
        <v>38</v>
      </c>
      <c r="G2717" s="6" t="s">
        <v>39</v>
      </c>
      <c r="H2717" s="6">
        <v>2</v>
      </c>
      <c r="I2717" s="6" t="s">
        <v>1224</v>
      </c>
      <c r="J2717" s="6" t="s">
        <v>118</v>
      </c>
      <c r="K2717" s="6">
        <v>520</v>
      </c>
      <c r="L2717" s="6" t="s">
        <v>42</v>
      </c>
      <c r="M2717" s="6" t="s">
        <v>69</v>
      </c>
    </row>
    <row r="2718" spans="1:13">
      <c r="A2718" s="6" t="s">
        <v>4248</v>
      </c>
      <c r="B2718" s="7">
        <v>46155</v>
      </c>
      <c r="C2718" s="6" t="s">
        <v>2553</v>
      </c>
      <c r="D2718" s="6" t="s">
        <v>27</v>
      </c>
      <c r="E2718" s="6" t="s">
        <v>78</v>
      </c>
      <c r="F2718" s="6" t="s">
        <v>53</v>
      </c>
      <c r="G2718" s="6" t="s">
        <v>54</v>
      </c>
      <c r="H2718" s="6">
        <v>1</v>
      </c>
      <c r="I2718" s="6" t="s">
        <v>181</v>
      </c>
      <c r="J2718" s="6" t="s">
        <v>181</v>
      </c>
      <c r="K2718" s="6" t="s">
        <v>122</v>
      </c>
      <c r="L2718" s="6" t="s">
        <v>33</v>
      </c>
      <c r="M2718" s="6" t="s">
        <v>69</v>
      </c>
    </row>
    <row r="2719" spans="1:13">
      <c r="A2719" s="6" t="s">
        <v>4249</v>
      </c>
      <c r="B2719" s="7">
        <v>46160</v>
      </c>
      <c r="C2719" s="6" t="s">
        <v>1120</v>
      </c>
      <c r="D2719" s="6" t="s">
        <v>45</v>
      </c>
      <c r="E2719" s="6" t="s">
        <v>37</v>
      </c>
      <c r="F2719" s="6" t="s">
        <v>94</v>
      </c>
      <c r="G2719" s="6" t="s">
        <v>95</v>
      </c>
      <c r="H2719" s="6">
        <v>1</v>
      </c>
      <c r="I2719" s="6" t="s">
        <v>67</v>
      </c>
      <c r="J2719" s="6" t="s">
        <v>67</v>
      </c>
      <c r="K2719" s="6" t="s">
        <v>114</v>
      </c>
      <c r="L2719" s="6" t="s">
        <v>42</v>
      </c>
      <c r="M2719" s="6" t="s">
        <v>69</v>
      </c>
    </row>
    <row r="2720" spans="1:13">
      <c r="A2720" s="6" t="s">
        <v>4250</v>
      </c>
      <c r="B2720" s="6" t="s">
        <v>1759</v>
      </c>
      <c r="C2720" s="6" t="s">
        <v>901</v>
      </c>
      <c r="D2720" s="6" t="s">
        <v>64</v>
      </c>
      <c r="E2720" s="6" t="s">
        <v>52</v>
      </c>
      <c r="F2720" s="6" t="s">
        <v>94</v>
      </c>
      <c r="G2720" s="6" t="s">
        <v>95</v>
      </c>
      <c r="H2720" s="6">
        <v>1</v>
      </c>
      <c r="I2720" s="6" t="s">
        <v>143</v>
      </c>
      <c r="J2720" s="6" t="s">
        <v>143</v>
      </c>
      <c r="K2720" s="6" t="s">
        <v>114</v>
      </c>
      <c r="L2720" s="6" t="s">
        <v>33</v>
      </c>
      <c r="M2720" s="6" t="s">
        <v>69</v>
      </c>
    </row>
    <row r="2721" spans="1:13">
      <c r="A2721" s="6" t="s">
        <v>4251</v>
      </c>
      <c r="B2721" s="6" t="s">
        <v>909</v>
      </c>
      <c r="C2721" s="6" t="s">
        <v>2308</v>
      </c>
      <c r="D2721" s="6" t="s">
        <v>72</v>
      </c>
      <c r="E2721" s="6" t="s">
        <v>28</v>
      </c>
      <c r="F2721" s="6" t="s">
        <v>94</v>
      </c>
      <c r="G2721" s="6" t="s">
        <v>95</v>
      </c>
      <c r="H2721" s="6">
        <v>1</v>
      </c>
      <c r="I2721" s="6" t="s">
        <v>73</v>
      </c>
      <c r="J2721" s="6" t="s">
        <v>73</v>
      </c>
      <c r="K2721" s="6" t="s">
        <v>114</v>
      </c>
      <c r="L2721" s="6" t="s">
        <v>33</v>
      </c>
      <c r="M2721" s="6" t="s">
        <v>34</v>
      </c>
    </row>
    <row r="2722" spans="1:13">
      <c r="A2722" s="6" t="s">
        <v>4252</v>
      </c>
      <c r="B2722" s="7">
        <v>46039</v>
      </c>
      <c r="C2722" s="6" t="s">
        <v>3582</v>
      </c>
      <c r="D2722" s="6" t="s">
        <v>27</v>
      </c>
      <c r="E2722" s="6" t="s">
        <v>37</v>
      </c>
      <c r="F2722" s="6" t="s">
        <v>29</v>
      </c>
      <c r="G2722" s="6" t="s">
        <v>30</v>
      </c>
      <c r="H2722" s="6">
        <v>1</v>
      </c>
      <c r="I2722" s="6" t="s">
        <v>40</v>
      </c>
      <c r="J2722" s="6" t="s">
        <v>40</v>
      </c>
      <c r="K2722" s="6">
        <v>520</v>
      </c>
      <c r="L2722" s="6" t="s">
        <v>42</v>
      </c>
      <c r="M2722" s="6" t="s">
        <v>34</v>
      </c>
    </row>
    <row r="2723" spans="1:13">
      <c r="A2723" s="6" t="s">
        <v>4253</v>
      </c>
      <c r="B2723" s="7">
        <v>46068</v>
      </c>
      <c r="C2723" s="6" t="s">
        <v>4118</v>
      </c>
      <c r="D2723" s="6" t="s">
        <v>110</v>
      </c>
      <c r="E2723" s="6" t="s">
        <v>37</v>
      </c>
      <c r="F2723" s="6" t="s">
        <v>100</v>
      </c>
      <c r="G2723" s="6" t="s">
        <v>101</v>
      </c>
      <c r="H2723" s="6">
        <v>2</v>
      </c>
      <c r="I2723" s="6" t="s">
        <v>96</v>
      </c>
      <c r="J2723" s="6" t="s">
        <v>278</v>
      </c>
      <c r="K2723" s="6">
        <v>640</v>
      </c>
      <c r="L2723" s="6" t="s">
        <v>42</v>
      </c>
      <c r="M2723" s="6" t="s">
        <v>34</v>
      </c>
    </row>
    <row r="2724" spans="1:13">
      <c r="A2724" s="6" t="s">
        <v>4254</v>
      </c>
      <c r="B2724" s="7">
        <v>46360</v>
      </c>
      <c r="C2724" s="6" t="s">
        <v>2185</v>
      </c>
      <c r="D2724" s="6" t="s">
        <v>77</v>
      </c>
      <c r="E2724" s="6" t="s">
        <v>52</v>
      </c>
      <c r="F2724" s="6" t="s">
        <v>47</v>
      </c>
      <c r="G2724" s="6" t="s">
        <v>48</v>
      </c>
      <c r="H2724" s="6">
        <v>1</v>
      </c>
      <c r="I2724" s="6" t="s">
        <v>31</v>
      </c>
      <c r="J2724" s="6" t="s">
        <v>31</v>
      </c>
      <c r="K2724" s="6">
        <v>85</v>
      </c>
      <c r="L2724" s="6" t="s">
        <v>42</v>
      </c>
      <c r="M2724" s="6" t="s">
        <v>34</v>
      </c>
    </row>
    <row r="2725" spans="1:13">
      <c r="A2725" s="6" t="s">
        <v>4255</v>
      </c>
      <c r="B2725" s="7">
        <v>46107</v>
      </c>
      <c r="C2725" s="6" t="s">
        <v>914</v>
      </c>
      <c r="D2725" s="6" t="s">
        <v>127</v>
      </c>
      <c r="E2725" s="6" t="s">
        <v>52</v>
      </c>
      <c r="F2725" s="6" t="s">
        <v>38</v>
      </c>
      <c r="G2725" s="6" t="s">
        <v>39</v>
      </c>
      <c r="H2725" s="6">
        <v>3</v>
      </c>
      <c r="I2725" s="6" t="s">
        <v>143</v>
      </c>
      <c r="J2725" s="6" t="s">
        <v>243</v>
      </c>
      <c r="K2725" s="6">
        <v>520</v>
      </c>
      <c r="L2725" s="6" t="s">
        <v>42</v>
      </c>
      <c r="M2725" s="6" t="s">
        <v>69</v>
      </c>
    </row>
    <row r="2726" spans="1:13">
      <c r="A2726" s="6" t="s">
        <v>4256</v>
      </c>
      <c r="B2726" s="7">
        <v>46167</v>
      </c>
      <c r="C2726" s="6" t="s">
        <v>1075</v>
      </c>
      <c r="D2726" s="6" t="s">
        <v>105</v>
      </c>
      <c r="E2726" s="6" t="s">
        <v>52</v>
      </c>
      <c r="F2726" s="6" t="s">
        <v>85</v>
      </c>
      <c r="G2726" s="6" t="s">
        <v>86</v>
      </c>
      <c r="H2726" s="6">
        <v>2</v>
      </c>
      <c r="I2726" s="6" t="s">
        <v>31</v>
      </c>
      <c r="J2726" s="6" t="s">
        <v>249</v>
      </c>
      <c r="K2726" s="6" t="s">
        <v>87</v>
      </c>
      <c r="L2726" s="6" t="s">
        <v>33</v>
      </c>
      <c r="M2726" s="6" t="s">
        <v>34</v>
      </c>
    </row>
    <row r="2727" spans="1:13">
      <c r="A2727" s="6" t="s">
        <v>3767</v>
      </c>
      <c r="B2727" s="7">
        <v>46032</v>
      </c>
      <c r="C2727" s="6" t="s">
        <v>433</v>
      </c>
      <c r="D2727" s="6" t="s">
        <v>110</v>
      </c>
      <c r="E2727" s="6" t="s">
        <v>37</v>
      </c>
      <c r="F2727" s="6" t="s">
        <v>38</v>
      </c>
      <c r="G2727" s="6" t="s">
        <v>39</v>
      </c>
      <c r="H2727" s="6">
        <v>3</v>
      </c>
      <c r="I2727" s="6" t="s">
        <v>67</v>
      </c>
      <c r="J2727" s="6" t="s">
        <v>68</v>
      </c>
      <c r="K2727" s="6">
        <v>520</v>
      </c>
      <c r="L2727" s="6" t="s">
        <v>33</v>
      </c>
      <c r="M2727" s="6" t="s">
        <v>69</v>
      </c>
    </row>
    <row r="2728" spans="1:13">
      <c r="A2728" s="6" t="s">
        <v>4257</v>
      </c>
      <c r="B2728" s="7">
        <v>46204</v>
      </c>
      <c r="C2728" s="6" t="s">
        <v>4258</v>
      </c>
      <c r="D2728" s="6" t="s">
        <v>72</v>
      </c>
      <c r="E2728" s="6" t="s">
        <v>28</v>
      </c>
      <c r="F2728" s="6" t="s">
        <v>94</v>
      </c>
      <c r="G2728" s="6" t="s">
        <v>95</v>
      </c>
      <c r="H2728" s="6">
        <v>1</v>
      </c>
      <c r="I2728" s="6" t="s">
        <v>79</v>
      </c>
      <c r="J2728" s="6" t="s">
        <v>79</v>
      </c>
      <c r="K2728" s="6">
        <v>340</v>
      </c>
      <c r="L2728" s="6" t="s">
        <v>42</v>
      </c>
      <c r="M2728" s="6" t="s">
        <v>34</v>
      </c>
    </row>
    <row r="2729" spans="1:13">
      <c r="A2729" s="6" t="s">
        <v>4259</v>
      </c>
      <c r="B2729" s="7">
        <v>46119</v>
      </c>
      <c r="C2729" s="6" t="s">
        <v>1218</v>
      </c>
      <c r="D2729" s="6" t="s">
        <v>57</v>
      </c>
      <c r="E2729" s="6" t="s">
        <v>52</v>
      </c>
      <c r="F2729" s="6" t="s">
        <v>29</v>
      </c>
      <c r="G2729" s="6" t="s">
        <v>30</v>
      </c>
      <c r="H2729" s="6">
        <v>2</v>
      </c>
      <c r="I2729" s="6" t="s">
        <v>117</v>
      </c>
      <c r="J2729" s="6" t="s">
        <v>118</v>
      </c>
      <c r="K2729" s="6">
        <v>520</v>
      </c>
      <c r="L2729" s="6" t="s">
        <v>42</v>
      </c>
      <c r="M2729" s="6" t="s">
        <v>34</v>
      </c>
    </row>
    <row r="2730" spans="1:13">
      <c r="A2730" s="6" t="s">
        <v>4260</v>
      </c>
      <c r="B2730" s="6" t="s">
        <v>2578</v>
      </c>
      <c r="C2730" s="6" t="s">
        <v>1157</v>
      </c>
      <c r="D2730" s="6" t="s">
        <v>57</v>
      </c>
      <c r="E2730" s="6" t="s">
        <v>37</v>
      </c>
      <c r="F2730" s="6" t="s">
        <v>47</v>
      </c>
      <c r="G2730" s="6" t="s">
        <v>48</v>
      </c>
      <c r="H2730" s="6">
        <v>2</v>
      </c>
      <c r="I2730" s="6" t="s">
        <v>143</v>
      </c>
      <c r="J2730" s="6" t="s">
        <v>144</v>
      </c>
      <c r="K2730" s="6">
        <v>85</v>
      </c>
      <c r="L2730" s="6" t="s">
        <v>33</v>
      </c>
      <c r="M2730" s="6" t="s">
        <v>34</v>
      </c>
    </row>
    <row r="2731" spans="1:13">
      <c r="A2731" s="6" t="s">
        <v>4261</v>
      </c>
      <c r="B2731" s="7">
        <v>46185</v>
      </c>
      <c r="C2731" s="6" t="s">
        <v>1528</v>
      </c>
      <c r="D2731" s="6" t="s">
        <v>27</v>
      </c>
      <c r="E2731" s="6" t="s">
        <v>28</v>
      </c>
      <c r="F2731" s="6" t="s">
        <v>47</v>
      </c>
      <c r="G2731" s="6" t="s">
        <v>48</v>
      </c>
      <c r="H2731" s="6">
        <v>1</v>
      </c>
      <c r="I2731" s="6" t="s">
        <v>181</v>
      </c>
      <c r="J2731" s="6" t="s">
        <v>181</v>
      </c>
      <c r="K2731" s="6" t="s">
        <v>49</v>
      </c>
      <c r="L2731" s="6" t="s">
        <v>42</v>
      </c>
      <c r="M2731" s="6" t="s">
        <v>69</v>
      </c>
    </row>
    <row r="2732" spans="1:13">
      <c r="A2732" s="6" t="s">
        <v>4262</v>
      </c>
      <c r="B2732" s="7">
        <v>46044</v>
      </c>
      <c r="C2732" s="6" t="s">
        <v>2774</v>
      </c>
      <c r="D2732" s="6" t="s">
        <v>45</v>
      </c>
      <c r="E2732" s="6" t="s">
        <v>78</v>
      </c>
      <c r="F2732" s="6" t="s">
        <v>47</v>
      </c>
      <c r="G2732" s="6" t="s">
        <v>48</v>
      </c>
      <c r="H2732" s="6">
        <v>3</v>
      </c>
      <c r="I2732" s="6" t="s">
        <v>113</v>
      </c>
      <c r="J2732" s="6" t="s">
        <v>138</v>
      </c>
      <c r="K2732" s="6">
        <v>85</v>
      </c>
      <c r="L2732" s="6" t="s">
        <v>42</v>
      </c>
      <c r="M2732" s="6" t="s">
        <v>34</v>
      </c>
    </row>
    <row r="2733" spans="1:13">
      <c r="A2733" s="6" t="s">
        <v>4263</v>
      </c>
      <c r="B2733" s="7">
        <v>46098</v>
      </c>
      <c r="C2733" s="6" t="s">
        <v>1581</v>
      </c>
      <c r="D2733" s="6" t="s">
        <v>77</v>
      </c>
      <c r="E2733" s="6" t="s">
        <v>46</v>
      </c>
      <c r="F2733" s="6" t="s">
        <v>47</v>
      </c>
      <c r="G2733" s="6" t="s">
        <v>48</v>
      </c>
      <c r="H2733" s="6">
        <v>2</v>
      </c>
      <c r="I2733" s="6" t="s">
        <v>82</v>
      </c>
      <c r="J2733" s="6" t="s">
        <v>297</v>
      </c>
      <c r="K2733" s="6">
        <v>85</v>
      </c>
      <c r="L2733" s="6" t="s">
        <v>42</v>
      </c>
      <c r="M2733" s="6" t="s">
        <v>34</v>
      </c>
    </row>
    <row r="2734" spans="1:13">
      <c r="A2734" s="6" t="s">
        <v>4264</v>
      </c>
      <c r="B2734" s="7">
        <v>46177</v>
      </c>
      <c r="C2734" s="6" t="s">
        <v>4265</v>
      </c>
      <c r="D2734" s="6" t="s">
        <v>57</v>
      </c>
      <c r="E2734" s="6" t="s">
        <v>46</v>
      </c>
      <c r="F2734" s="6" t="s">
        <v>94</v>
      </c>
      <c r="G2734" s="6" t="s">
        <v>95</v>
      </c>
      <c r="H2734" s="6">
        <v>3</v>
      </c>
      <c r="I2734" s="6" t="s">
        <v>143</v>
      </c>
      <c r="J2734" s="6" t="s">
        <v>243</v>
      </c>
      <c r="K2734" s="6" t="s">
        <v>114</v>
      </c>
      <c r="L2734" s="6" t="s">
        <v>42</v>
      </c>
      <c r="M2734" s="6" t="s">
        <v>34</v>
      </c>
    </row>
    <row r="2735" spans="1:13">
      <c r="A2735" s="6" t="s">
        <v>4266</v>
      </c>
      <c r="B2735" s="7">
        <v>46142</v>
      </c>
      <c r="C2735" s="6" t="s">
        <v>683</v>
      </c>
      <c r="D2735" s="6" t="s">
        <v>72</v>
      </c>
      <c r="E2735" s="6" t="s">
        <v>46</v>
      </c>
      <c r="F2735" s="6" t="s">
        <v>47</v>
      </c>
      <c r="G2735" s="6" t="s">
        <v>48</v>
      </c>
      <c r="H2735" s="6">
        <v>3</v>
      </c>
      <c r="I2735" s="6" t="s">
        <v>79</v>
      </c>
      <c r="J2735" s="6" t="s">
        <v>216</v>
      </c>
      <c r="K2735" s="6" t="s">
        <v>49</v>
      </c>
      <c r="L2735" s="6" t="s">
        <v>42</v>
      </c>
      <c r="M2735" s="6" t="s">
        <v>34</v>
      </c>
    </row>
    <row r="2736" spans="1:13">
      <c r="A2736" s="6" t="s">
        <v>4267</v>
      </c>
      <c r="B2736" s="7">
        <v>46154</v>
      </c>
      <c r="C2736" s="6" t="s">
        <v>2331</v>
      </c>
      <c r="D2736" s="6" t="s">
        <v>64</v>
      </c>
      <c r="E2736" s="6" t="s">
        <v>78</v>
      </c>
      <c r="F2736" s="6" t="s">
        <v>85</v>
      </c>
      <c r="G2736" s="6" t="s">
        <v>86</v>
      </c>
      <c r="H2736" s="6">
        <v>2</v>
      </c>
      <c r="I2736" s="6" t="s">
        <v>90</v>
      </c>
      <c r="J2736" s="6" t="s">
        <v>154</v>
      </c>
      <c r="K2736" s="6" t="s">
        <v>87</v>
      </c>
      <c r="L2736" s="6" t="s">
        <v>42</v>
      </c>
      <c r="M2736" s="6" t="s">
        <v>69</v>
      </c>
    </row>
    <row r="2737" spans="1:13">
      <c r="A2737" s="6" t="s">
        <v>4268</v>
      </c>
      <c r="B2737" s="7">
        <v>46103</v>
      </c>
      <c r="C2737" s="6" t="s">
        <v>1894</v>
      </c>
      <c r="D2737" s="6" t="s">
        <v>127</v>
      </c>
      <c r="E2737" s="6" t="s">
        <v>78</v>
      </c>
      <c r="F2737" s="6" t="s">
        <v>100</v>
      </c>
      <c r="G2737" s="6" t="s">
        <v>101</v>
      </c>
      <c r="H2737" s="6">
        <v>3</v>
      </c>
      <c r="I2737" s="6" t="s">
        <v>117</v>
      </c>
      <c r="J2737" s="6" t="s">
        <v>171</v>
      </c>
      <c r="K2737" s="6">
        <v>640</v>
      </c>
      <c r="L2737" s="6" t="s">
        <v>42</v>
      </c>
      <c r="M2737" s="6" t="s">
        <v>34</v>
      </c>
    </row>
    <row r="2738" spans="1:13">
      <c r="A2738" s="6" t="s">
        <v>4269</v>
      </c>
      <c r="B2738" s="7">
        <v>46085</v>
      </c>
      <c r="C2738" s="6" t="s">
        <v>2504</v>
      </c>
      <c r="D2738" s="6" t="s">
        <v>110</v>
      </c>
      <c r="E2738" s="6" t="s">
        <v>37</v>
      </c>
      <c r="F2738" s="6" t="s">
        <v>85</v>
      </c>
      <c r="G2738" s="6" t="s">
        <v>86</v>
      </c>
      <c r="H2738" s="6">
        <v>3</v>
      </c>
      <c r="I2738" s="6" t="s">
        <v>90</v>
      </c>
      <c r="J2738" s="6" t="s">
        <v>102</v>
      </c>
      <c r="K2738" s="6">
        <v>410</v>
      </c>
      <c r="L2738" s="6" t="s">
        <v>42</v>
      </c>
      <c r="M2738" s="6" t="s">
        <v>69</v>
      </c>
    </row>
    <row r="2739" spans="1:13">
      <c r="A2739" s="6" t="s">
        <v>4270</v>
      </c>
      <c r="B2739" s="7">
        <v>46145</v>
      </c>
      <c r="C2739" s="6" t="s">
        <v>1050</v>
      </c>
      <c r="D2739" s="6" t="s">
        <v>64</v>
      </c>
      <c r="E2739" s="6" t="s">
        <v>46</v>
      </c>
      <c r="F2739" s="6" t="s">
        <v>38</v>
      </c>
      <c r="G2739" s="6" t="s">
        <v>39</v>
      </c>
      <c r="H2739" s="6">
        <v>1</v>
      </c>
      <c r="I2739" s="6" t="s">
        <v>117</v>
      </c>
      <c r="J2739" s="6" t="s">
        <v>117</v>
      </c>
      <c r="K2739" s="6">
        <v>520</v>
      </c>
      <c r="L2739" s="6" t="s">
        <v>33</v>
      </c>
      <c r="M2739" s="6" t="s">
        <v>34</v>
      </c>
    </row>
    <row r="2740" spans="1:13">
      <c r="A2740" s="6" t="s">
        <v>4271</v>
      </c>
      <c r="B2740" s="7">
        <v>46080</v>
      </c>
      <c r="C2740" s="6" t="s">
        <v>1184</v>
      </c>
      <c r="D2740" s="6" t="s">
        <v>45</v>
      </c>
      <c r="E2740" s="6" t="s">
        <v>37</v>
      </c>
      <c r="F2740" s="6" t="s">
        <v>38</v>
      </c>
      <c r="G2740" s="6" t="s">
        <v>39</v>
      </c>
      <c r="H2740" s="6">
        <v>2</v>
      </c>
      <c r="I2740" s="6" t="s">
        <v>82</v>
      </c>
      <c r="J2740" s="6" t="s">
        <v>297</v>
      </c>
      <c r="K2740" s="6">
        <v>520</v>
      </c>
      <c r="L2740" s="6" t="s">
        <v>42</v>
      </c>
      <c r="M2740" s="6" t="s">
        <v>34</v>
      </c>
    </row>
    <row r="2741" spans="1:13">
      <c r="A2741" s="6" t="s">
        <v>4272</v>
      </c>
      <c r="B2741" s="7">
        <v>46060</v>
      </c>
      <c r="C2741" s="6" t="s">
        <v>520</v>
      </c>
      <c r="D2741" s="6" t="s">
        <v>45</v>
      </c>
      <c r="E2741" s="6" t="s">
        <v>28</v>
      </c>
      <c r="F2741" s="6" t="s">
        <v>29</v>
      </c>
      <c r="G2741" s="6" t="s">
        <v>30</v>
      </c>
      <c r="H2741" s="6">
        <v>2</v>
      </c>
      <c r="I2741" s="6" t="s">
        <v>143</v>
      </c>
      <c r="J2741" s="6" t="s">
        <v>144</v>
      </c>
      <c r="K2741" s="6">
        <v>520</v>
      </c>
      <c r="L2741" s="6" t="s">
        <v>42</v>
      </c>
      <c r="M2741" s="6" t="s">
        <v>34</v>
      </c>
    </row>
    <row r="2742" spans="1:13">
      <c r="A2742" s="6" t="s">
        <v>4273</v>
      </c>
      <c r="B2742" s="7">
        <v>46205</v>
      </c>
      <c r="C2742" s="6" t="s">
        <v>1987</v>
      </c>
      <c r="D2742" s="6" t="s">
        <v>27</v>
      </c>
      <c r="E2742" s="6" t="s">
        <v>28</v>
      </c>
      <c r="F2742" s="6" t="s">
        <v>47</v>
      </c>
      <c r="G2742" s="6" t="s">
        <v>48</v>
      </c>
      <c r="H2742" s="6">
        <v>1</v>
      </c>
      <c r="I2742" s="6" t="s">
        <v>265</v>
      </c>
      <c r="J2742" s="6" t="s">
        <v>265</v>
      </c>
      <c r="K2742" s="6" t="s">
        <v>49</v>
      </c>
      <c r="L2742" s="6" t="s">
        <v>42</v>
      </c>
      <c r="M2742" s="6" t="s">
        <v>34</v>
      </c>
    </row>
    <row r="2743" spans="1:13">
      <c r="A2743" s="6" t="s">
        <v>4274</v>
      </c>
      <c r="B2743" s="7">
        <v>46076</v>
      </c>
      <c r="C2743" s="6" t="s">
        <v>3708</v>
      </c>
      <c r="D2743" s="6" t="s">
        <v>45</v>
      </c>
      <c r="E2743" s="6" t="s">
        <v>78</v>
      </c>
      <c r="F2743" s="6" t="s">
        <v>47</v>
      </c>
      <c r="G2743" s="6" t="s">
        <v>48</v>
      </c>
      <c r="H2743" s="6">
        <v>3</v>
      </c>
      <c r="I2743" s="6" t="s">
        <v>73</v>
      </c>
      <c r="J2743" s="6" t="s">
        <v>499</v>
      </c>
      <c r="K2743" s="6">
        <v>85</v>
      </c>
      <c r="L2743" s="6" t="s">
        <v>42</v>
      </c>
      <c r="M2743" s="6" t="s">
        <v>34</v>
      </c>
    </row>
    <row r="2744" spans="1:13">
      <c r="A2744" s="6" t="s">
        <v>4275</v>
      </c>
      <c r="B2744" s="7">
        <v>46186</v>
      </c>
      <c r="C2744" s="6" t="s">
        <v>3770</v>
      </c>
      <c r="D2744" s="6" t="s">
        <v>105</v>
      </c>
      <c r="E2744" s="6" t="s">
        <v>46</v>
      </c>
      <c r="F2744" s="6" t="s">
        <v>29</v>
      </c>
      <c r="G2744" s="6" t="s">
        <v>30</v>
      </c>
      <c r="H2744" s="6">
        <v>1</v>
      </c>
      <c r="I2744" s="6" t="s">
        <v>113</v>
      </c>
      <c r="J2744" s="6" t="s">
        <v>113</v>
      </c>
      <c r="K2744" s="6" t="s">
        <v>41</v>
      </c>
      <c r="L2744" s="6" t="s">
        <v>42</v>
      </c>
      <c r="M2744" s="6" t="s">
        <v>34</v>
      </c>
    </row>
    <row r="2745" spans="1:13">
      <c r="A2745" s="6" t="s">
        <v>4276</v>
      </c>
      <c r="B2745" s="7">
        <v>46184</v>
      </c>
      <c r="C2745" s="6" t="s">
        <v>3169</v>
      </c>
      <c r="D2745" s="6" t="s">
        <v>72</v>
      </c>
      <c r="E2745" s="6" t="s">
        <v>46</v>
      </c>
      <c r="F2745" s="6" t="s">
        <v>94</v>
      </c>
      <c r="G2745" s="6" t="s">
        <v>95</v>
      </c>
      <c r="H2745" s="6">
        <v>1</v>
      </c>
      <c r="I2745" s="6" t="s">
        <v>60</v>
      </c>
      <c r="J2745" s="6" t="s">
        <v>60</v>
      </c>
      <c r="K2745" s="6" t="s">
        <v>114</v>
      </c>
      <c r="L2745" s="6" t="s">
        <v>42</v>
      </c>
      <c r="M2745" s="6" t="s">
        <v>34</v>
      </c>
    </row>
    <row r="2746" spans="1:13">
      <c r="A2746" s="6" t="s">
        <v>4277</v>
      </c>
      <c r="B2746" s="7">
        <v>46198</v>
      </c>
      <c r="C2746" s="6" t="s">
        <v>884</v>
      </c>
      <c r="D2746" s="6" t="s">
        <v>72</v>
      </c>
      <c r="E2746" s="6" t="s">
        <v>28</v>
      </c>
      <c r="F2746" s="6" t="s">
        <v>47</v>
      </c>
      <c r="G2746" s="6" t="s">
        <v>48</v>
      </c>
      <c r="H2746" s="6">
        <v>1</v>
      </c>
      <c r="I2746" s="6" t="s">
        <v>181</v>
      </c>
      <c r="J2746" s="6" t="s">
        <v>181</v>
      </c>
      <c r="K2746" s="6" t="s">
        <v>49</v>
      </c>
      <c r="L2746" s="6" t="s">
        <v>42</v>
      </c>
      <c r="M2746" s="6" t="s">
        <v>34</v>
      </c>
    </row>
    <row r="2747" spans="1:13">
      <c r="A2747" s="6" t="s">
        <v>4278</v>
      </c>
      <c r="B2747" s="7">
        <v>46184</v>
      </c>
      <c r="C2747" s="6" t="s">
        <v>4279</v>
      </c>
      <c r="D2747" s="6" t="s">
        <v>45</v>
      </c>
      <c r="E2747" s="6" t="s">
        <v>78</v>
      </c>
      <c r="F2747" s="6" t="s">
        <v>85</v>
      </c>
      <c r="G2747" s="6" t="s">
        <v>86</v>
      </c>
      <c r="H2747" s="6">
        <v>1</v>
      </c>
      <c r="I2747" s="6" t="s">
        <v>90</v>
      </c>
      <c r="J2747" s="6" t="s">
        <v>90</v>
      </c>
      <c r="K2747" s="6" t="s">
        <v>87</v>
      </c>
      <c r="L2747" s="6" t="s">
        <v>42</v>
      </c>
      <c r="M2747" s="6" t="s">
        <v>34</v>
      </c>
    </row>
    <row r="2748" spans="1:13">
      <c r="A2748" s="6" t="s">
        <v>4280</v>
      </c>
      <c r="B2748" s="7">
        <v>46187</v>
      </c>
      <c r="C2748" s="6" t="s">
        <v>1899</v>
      </c>
      <c r="D2748" s="6" t="s">
        <v>77</v>
      </c>
      <c r="E2748" s="6" t="s">
        <v>78</v>
      </c>
      <c r="F2748" s="6" t="s">
        <v>53</v>
      </c>
      <c r="G2748" s="6" t="s">
        <v>54</v>
      </c>
      <c r="H2748" s="6">
        <v>1</v>
      </c>
      <c r="I2748" s="6" t="s">
        <v>90</v>
      </c>
      <c r="J2748" s="6" t="s">
        <v>90</v>
      </c>
      <c r="K2748" s="6" t="s">
        <v>122</v>
      </c>
      <c r="L2748" s="6" t="s">
        <v>33</v>
      </c>
      <c r="M2748" s="6" t="s">
        <v>34</v>
      </c>
    </row>
    <row r="2749" spans="1:13">
      <c r="A2749" s="6" t="s">
        <v>4281</v>
      </c>
      <c r="B2749" s="7">
        <v>46085</v>
      </c>
      <c r="C2749" s="6" t="s">
        <v>4282</v>
      </c>
      <c r="D2749" s="6" t="s">
        <v>64</v>
      </c>
      <c r="E2749" s="6" t="s">
        <v>37</v>
      </c>
      <c r="F2749" s="6" t="s">
        <v>58</v>
      </c>
      <c r="G2749" s="6" t="s">
        <v>59</v>
      </c>
      <c r="H2749" s="6">
        <v>1</v>
      </c>
      <c r="I2749" s="6" t="s">
        <v>113</v>
      </c>
      <c r="J2749" s="6" t="s">
        <v>113</v>
      </c>
      <c r="K2749" s="6">
        <v>380</v>
      </c>
      <c r="L2749" s="6" t="s">
        <v>42</v>
      </c>
      <c r="M2749" s="6" t="s">
        <v>69</v>
      </c>
    </row>
    <row r="2750" spans="1:13">
      <c r="A2750" s="6" t="s">
        <v>4283</v>
      </c>
      <c r="B2750" s="7">
        <v>46115</v>
      </c>
      <c r="C2750" s="6" t="s">
        <v>1077</v>
      </c>
      <c r="D2750" s="6" t="s">
        <v>77</v>
      </c>
      <c r="E2750" s="6" t="s">
        <v>52</v>
      </c>
      <c r="F2750" s="6" t="s">
        <v>53</v>
      </c>
      <c r="G2750" s="6" t="s">
        <v>54</v>
      </c>
      <c r="H2750" s="6">
        <v>1</v>
      </c>
      <c r="I2750" s="6" t="s">
        <v>113</v>
      </c>
      <c r="J2750" s="6" t="s">
        <v>113</v>
      </c>
      <c r="K2750" s="6">
        <v>190</v>
      </c>
      <c r="L2750" s="6" t="s">
        <v>42</v>
      </c>
      <c r="M2750" s="6" t="s">
        <v>34</v>
      </c>
    </row>
    <row r="2751" spans="1:13">
      <c r="A2751" s="6" t="s">
        <v>4284</v>
      </c>
      <c r="B2751" s="7">
        <v>46141</v>
      </c>
      <c r="C2751" s="6" t="s">
        <v>2185</v>
      </c>
      <c r="D2751" s="6" t="s">
        <v>45</v>
      </c>
      <c r="E2751" s="6" t="s">
        <v>28</v>
      </c>
      <c r="F2751" s="6" t="s">
        <v>100</v>
      </c>
      <c r="G2751" s="6" t="s">
        <v>101</v>
      </c>
      <c r="H2751" s="6">
        <v>-1</v>
      </c>
      <c r="I2751" s="6" t="s">
        <v>31</v>
      </c>
      <c r="J2751" s="8" t="s">
        <v>404</v>
      </c>
      <c r="K2751" s="6" t="s">
        <v>119</v>
      </c>
      <c r="L2751" s="6" t="s">
        <v>33</v>
      </c>
      <c r="M2751" s="6" t="s">
        <v>34</v>
      </c>
    </row>
    <row r="2752" spans="1:13">
      <c r="A2752" s="6" t="s">
        <v>4285</v>
      </c>
      <c r="B2752" s="7">
        <v>46208</v>
      </c>
      <c r="C2752" s="6" t="s">
        <v>4286</v>
      </c>
      <c r="D2752" s="6" t="s">
        <v>45</v>
      </c>
      <c r="E2752" s="6" t="s">
        <v>78</v>
      </c>
      <c r="F2752" s="6" t="s">
        <v>29</v>
      </c>
      <c r="G2752" s="6" t="s">
        <v>30</v>
      </c>
      <c r="H2752" s="6">
        <v>2</v>
      </c>
      <c r="I2752" s="6" t="s">
        <v>143</v>
      </c>
      <c r="J2752" s="6" t="s">
        <v>144</v>
      </c>
      <c r="K2752" s="6" t="s">
        <v>41</v>
      </c>
      <c r="L2752" s="6" t="s">
        <v>42</v>
      </c>
      <c r="M2752" s="6" t="s">
        <v>34</v>
      </c>
    </row>
    <row r="2753" spans="1:13">
      <c r="A2753" s="6" t="s">
        <v>4287</v>
      </c>
      <c r="B2753" s="7">
        <v>46167</v>
      </c>
      <c r="C2753" s="6" t="s">
        <v>912</v>
      </c>
      <c r="D2753" s="6" t="s">
        <v>127</v>
      </c>
      <c r="E2753" s="6" t="s">
        <v>52</v>
      </c>
      <c r="F2753" s="6" t="s">
        <v>58</v>
      </c>
      <c r="G2753" s="6" t="s">
        <v>59</v>
      </c>
      <c r="H2753" s="6">
        <v>1</v>
      </c>
      <c r="I2753" s="6" t="s">
        <v>151</v>
      </c>
      <c r="J2753" s="6" t="s">
        <v>31</v>
      </c>
      <c r="K2753" s="6" t="s">
        <v>61</v>
      </c>
      <c r="L2753" s="6" t="s">
        <v>42</v>
      </c>
      <c r="M2753" s="6" t="s">
        <v>34</v>
      </c>
    </row>
    <row r="2754" spans="1:13">
      <c r="A2754" s="6" t="s">
        <v>4288</v>
      </c>
      <c r="B2754" s="7">
        <v>46052</v>
      </c>
      <c r="C2754" s="6" t="s">
        <v>4289</v>
      </c>
      <c r="D2754" s="6" t="s">
        <v>110</v>
      </c>
      <c r="E2754" s="6" t="s">
        <v>78</v>
      </c>
      <c r="F2754" s="6" t="s">
        <v>47</v>
      </c>
      <c r="G2754" s="6" t="s">
        <v>48</v>
      </c>
      <c r="H2754" s="6">
        <v>1</v>
      </c>
      <c r="I2754" s="6" t="s">
        <v>73</v>
      </c>
      <c r="J2754" s="6" t="s">
        <v>73</v>
      </c>
      <c r="K2754" s="6">
        <v>85</v>
      </c>
      <c r="L2754" s="6" t="s">
        <v>42</v>
      </c>
      <c r="M2754" s="6" t="s">
        <v>34</v>
      </c>
    </row>
    <row r="2755" spans="1:13">
      <c r="A2755" s="6" t="s">
        <v>4290</v>
      </c>
      <c r="B2755" s="7">
        <v>46155</v>
      </c>
      <c r="C2755" s="6" t="s">
        <v>3792</v>
      </c>
      <c r="D2755" s="6" t="s">
        <v>72</v>
      </c>
      <c r="E2755" s="6" t="s">
        <v>78</v>
      </c>
      <c r="F2755" s="6" t="s">
        <v>100</v>
      </c>
      <c r="G2755" s="6" t="s">
        <v>101</v>
      </c>
      <c r="H2755" s="6">
        <v>1</v>
      </c>
      <c r="I2755" s="6" t="s">
        <v>181</v>
      </c>
      <c r="J2755" s="6" t="s">
        <v>181</v>
      </c>
      <c r="K2755" s="6" t="s">
        <v>119</v>
      </c>
      <c r="L2755" s="6" t="s">
        <v>42</v>
      </c>
      <c r="M2755" s="6" t="s">
        <v>69</v>
      </c>
    </row>
    <row r="2756" spans="1:13">
      <c r="A2756" s="6" t="s">
        <v>4291</v>
      </c>
      <c r="B2756" s="7">
        <v>46040</v>
      </c>
      <c r="C2756" s="6" t="s">
        <v>4168</v>
      </c>
      <c r="D2756" s="6" t="s">
        <v>45</v>
      </c>
      <c r="E2756" s="6" t="s">
        <v>37</v>
      </c>
      <c r="F2756" s="6" t="s">
        <v>85</v>
      </c>
      <c r="G2756" s="6" t="s">
        <v>86</v>
      </c>
      <c r="H2756" s="6">
        <v>2</v>
      </c>
      <c r="I2756" s="6" t="s">
        <v>113</v>
      </c>
      <c r="J2756" s="6" t="s">
        <v>192</v>
      </c>
      <c r="K2756" s="6">
        <v>410</v>
      </c>
      <c r="L2756" s="6" t="s">
        <v>42</v>
      </c>
      <c r="M2756" s="6" t="s">
        <v>69</v>
      </c>
    </row>
    <row r="2757" spans="1:13">
      <c r="A2757" s="6" t="s">
        <v>4292</v>
      </c>
      <c r="B2757" s="6" t="s">
        <v>270</v>
      </c>
      <c r="C2757" s="6" t="s">
        <v>1059</v>
      </c>
      <c r="D2757" s="6" t="s">
        <v>45</v>
      </c>
      <c r="E2757" s="6" t="s">
        <v>28</v>
      </c>
      <c r="F2757" s="6" t="s">
        <v>38</v>
      </c>
      <c r="G2757" s="6" t="s">
        <v>39</v>
      </c>
      <c r="H2757" s="6">
        <v>-1</v>
      </c>
      <c r="I2757" s="6" t="s">
        <v>113</v>
      </c>
      <c r="J2757" s="8" t="s">
        <v>1147</v>
      </c>
      <c r="K2757" s="6" t="s">
        <v>41</v>
      </c>
      <c r="L2757" s="6" t="s">
        <v>42</v>
      </c>
      <c r="M2757" s="6" t="s">
        <v>34</v>
      </c>
    </row>
    <row r="2758" spans="1:13">
      <c r="A2758" s="6" t="s">
        <v>4293</v>
      </c>
      <c r="B2758" s="7">
        <v>46044</v>
      </c>
      <c r="C2758" s="6" t="s">
        <v>4294</v>
      </c>
      <c r="D2758" s="6" t="s">
        <v>27</v>
      </c>
      <c r="E2758" s="6" t="s">
        <v>46</v>
      </c>
      <c r="F2758" s="6" t="s">
        <v>58</v>
      </c>
      <c r="G2758" s="6" t="s">
        <v>59</v>
      </c>
      <c r="H2758" s="6">
        <v>2</v>
      </c>
      <c r="I2758" s="6" t="s">
        <v>90</v>
      </c>
      <c r="J2758" s="6" t="s">
        <v>154</v>
      </c>
      <c r="K2758" s="6">
        <v>380</v>
      </c>
      <c r="L2758" s="6" t="s">
        <v>42</v>
      </c>
      <c r="M2758" s="6" t="s">
        <v>69</v>
      </c>
    </row>
    <row r="2759" spans="1:13">
      <c r="A2759" s="6" t="s">
        <v>2737</v>
      </c>
      <c r="B2759" s="7">
        <v>46156</v>
      </c>
      <c r="C2759" s="6" t="s">
        <v>2377</v>
      </c>
      <c r="D2759" s="6" t="s">
        <v>110</v>
      </c>
      <c r="E2759" s="6" t="s">
        <v>37</v>
      </c>
      <c r="F2759" s="6" t="s">
        <v>47</v>
      </c>
      <c r="G2759" s="6" t="s">
        <v>48</v>
      </c>
      <c r="H2759" s="6">
        <v>1</v>
      </c>
      <c r="I2759" s="6" t="s">
        <v>40</v>
      </c>
      <c r="J2759" s="6" t="s">
        <v>40</v>
      </c>
      <c r="K2759" s="6" t="s">
        <v>49</v>
      </c>
      <c r="L2759" s="6" t="s">
        <v>42</v>
      </c>
      <c r="M2759" s="6" t="s">
        <v>34</v>
      </c>
    </row>
    <row r="2760" spans="1:13">
      <c r="A2760" s="6" t="s">
        <v>4295</v>
      </c>
      <c r="B2760" s="6" t="s">
        <v>4296</v>
      </c>
      <c r="C2760" s="6" t="s">
        <v>4297</v>
      </c>
      <c r="D2760" s="6" t="s">
        <v>110</v>
      </c>
      <c r="E2760" s="6" t="s">
        <v>78</v>
      </c>
      <c r="F2760" s="6" t="s">
        <v>38</v>
      </c>
      <c r="G2760" s="6" t="s">
        <v>39</v>
      </c>
      <c r="H2760" s="6">
        <v>1</v>
      </c>
      <c r="I2760" s="6" t="s">
        <v>31</v>
      </c>
      <c r="J2760" s="6" t="s">
        <v>31</v>
      </c>
      <c r="K2760" s="6">
        <v>520</v>
      </c>
      <c r="L2760" s="6" t="s">
        <v>42</v>
      </c>
      <c r="M2760" s="6" t="s">
        <v>69</v>
      </c>
    </row>
    <row r="2761" spans="1:13">
      <c r="A2761" s="6" t="s">
        <v>4298</v>
      </c>
      <c r="B2761" s="7">
        <v>46129</v>
      </c>
      <c r="C2761" s="6" t="s">
        <v>1896</v>
      </c>
      <c r="D2761" s="6" t="s">
        <v>45</v>
      </c>
      <c r="E2761" s="6" t="s">
        <v>52</v>
      </c>
      <c r="F2761" s="6" t="s">
        <v>85</v>
      </c>
      <c r="G2761" s="6" t="s">
        <v>86</v>
      </c>
      <c r="H2761" s="6">
        <v>1</v>
      </c>
      <c r="I2761" s="6" t="s">
        <v>79</v>
      </c>
      <c r="J2761" s="6" t="s">
        <v>79</v>
      </c>
      <c r="K2761" s="6">
        <v>410</v>
      </c>
      <c r="L2761" s="6" t="s">
        <v>33</v>
      </c>
      <c r="M2761" s="6" t="s">
        <v>34</v>
      </c>
    </row>
    <row r="2762" spans="1:13">
      <c r="A2762" s="6" t="s">
        <v>4299</v>
      </c>
      <c r="B2762" s="7">
        <v>46054</v>
      </c>
      <c r="C2762" s="6" t="s">
        <v>2425</v>
      </c>
      <c r="D2762" s="6" t="s">
        <v>77</v>
      </c>
      <c r="E2762" s="6" t="s">
        <v>46</v>
      </c>
      <c r="F2762" s="6" t="s">
        <v>53</v>
      </c>
      <c r="G2762" s="6" t="s">
        <v>54</v>
      </c>
      <c r="H2762" s="6">
        <v>2</v>
      </c>
      <c r="I2762" s="6" t="s">
        <v>40</v>
      </c>
      <c r="J2762" s="6" t="s">
        <v>327</v>
      </c>
      <c r="K2762" s="6">
        <v>190</v>
      </c>
      <c r="L2762" s="6" t="s">
        <v>42</v>
      </c>
      <c r="M2762" s="6" t="s">
        <v>34</v>
      </c>
    </row>
    <row r="2763" spans="1:13">
      <c r="A2763" s="6" t="s">
        <v>4300</v>
      </c>
      <c r="B2763" s="7">
        <v>46117</v>
      </c>
      <c r="C2763" s="6" t="s">
        <v>4042</v>
      </c>
      <c r="D2763" s="6" t="s">
        <v>127</v>
      </c>
      <c r="E2763" s="6" t="s">
        <v>52</v>
      </c>
      <c r="F2763" s="6" t="s">
        <v>85</v>
      </c>
      <c r="G2763" s="6" t="s">
        <v>86</v>
      </c>
      <c r="H2763" s="6">
        <v>1</v>
      </c>
      <c r="I2763" s="6" t="s">
        <v>40</v>
      </c>
      <c r="J2763" s="6" t="s">
        <v>40</v>
      </c>
      <c r="K2763" s="6" t="s">
        <v>87</v>
      </c>
      <c r="L2763" s="6" t="s">
        <v>42</v>
      </c>
      <c r="M2763" s="6" t="s">
        <v>34</v>
      </c>
    </row>
    <row r="2764" spans="1:13">
      <c r="A2764" s="6" t="s">
        <v>4301</v>
      </c>
      <c r="B2764" s="7">
        <v>46089</v>
      </c>
      <c r="C2764" s="6" t="s">
        <v>200</v>
      </c>
      <c r="D2764" s="6" t="s">
        <v>77</v>
      </c>
      <c r="E2764" s="6" t="s">
        <v>78</v>
      </c>
      <c r="F2764" s="6" t="s">
        <v>38</v>
      </c>
      <c r="G2764" s="6" t="s">
        <v>39</v>
      </c>
      <c r="H2764" s="6">
        <v>3</v>
      </c>
      <c r="I2764" s="6" t="s">
        <v>96</v>
      </c>
      <c r="J2764" s="6" t="s">
        <v>97</v>
      </c>
      <c r="K2764" s="6">
        <v>520</v>
      </c>
      <c r="L2764" s="6" t="s">
        <v>33</v>
      </c>
      <c r="M2764" s="6" t="s">
        <v>69</v>
      </c>
    </row>
    <row r="2765" spans="1:13">
      <c r="A2765" s="6" t="s">
        <v>4302</v>
      </c>
      <c r="B2765" s="7">
        <v>46143</v>
      </c>
      <c r="C2765" s="6" t="s">
        <v>4303</v>
      </c>
      <c r="D2765" s="6" t="s">
        <v>127</v>
      </c>
      <c r="E2765" s="6" t="s">
        <v>52</v>
      </c>
      <c r="F2765" s="6" t="s">
        <v>38</v>
      </c>
      <c r="G2765" s="6" t="s">
        <v>39</v>
      </c>
      <c r="H2765" s="6">
        <v>1</v>
      </c>
      <c r="I2765" s="6" t="s">
        <v>147</v>
      </c>
      <c r="J2765" s="6" t="s">
        <v>147</v>
      </c>
      <c r="K2765" s="6" t="s">
        <v>41</v>
      </c>
      <c r="L2765" s="6" t="s">
        <v>42</v>
      </c>
      <c r="M2765" s="6" t="s">
        <v>34</v>
      </c>
    </row>
    <row r="2766" spans="1:13">
      <c r="A2766" s="6" t="s">
        <v>4304</v>
      </c>
      <c r="B2766" s="6" t="s">
        <v>4305</v>
      </c>
      <c r="C2766" s="6" t="s">
        <v>146</v>
      </c>
      <c r="D2766" s="6" t="s">
        <v>77</v>
      </c>
      <c r="E2766" s="6" t="s">
        <v>78</v>
      </c>
      <c r="F2766" s="6" t="s">
        <v>100</v>
      </c>
      <c r="G2766" s="6" t="s">
        <v>101</v>
      </c>
      <c r="H2766" s="6">
        <v>2</v>
      </c>
      <c r="I2766" s="6" t="s">
        <v>82</v>
      </c>
      <c r="J2766" s="6" t="s">
        <v>297</v>
      </c>
      <c r="K2766" s="6" t="s">
        <v>119</v>
      </c>
      <c r="L2766" s="6" t="s">
        <v>33</v>
      </c>
      <c r="M2766" s="6" t="s">
        <v>69</v>
      </c>
    </row>
    <row r="2767" spans="1:13">
      <c r="A2767" s="6" t="s">
        <v>4306</v>
      </c>
      <c r="B2767" s="7">
        <v>46167</v>
      </c>
      <c r="C2767" s="6" t="s">
        <v>1465</v>
      </c>
      <c r="D2767" s="6" t="s">
        <v>64</v>
      </c>
      <c r="E2767" s="6" t="s">
        <v>46</v>
      </c>
      <c r="F2767" s="6" t="s">
        <v>85</v>
      </c>
      <c r="G2767" s="6" t="s">
        <v>86</v>
      </c>
      <c r="H2767" s="6">
        <v>1</v>
      </c>
      <c r="I2767" s="6" t="s">
        <v>82</v>
      </c>
      <c r="J2767" s="6" t="s">
        <v>82</v>
      </c>
      <c r="K2767" s="6" t="s">
        <v>87</v>
      </c>
      <c r="L2767" s="6" t="s">
        <v>42</v>
      </c>
      <c r="M2767" s="6" t="s">
        <v>69</v>
      </c>
    </row>
    <row r="2768" spans="1:13">
      <c r="A2768" s="6" t="s">
        <v>4307</v>
      </c>
      <c r="B2768" s="7">
        <v>46034</v>
      </c>
      <c r="C2768" s="6" t="s">
        <v>126</v>
      </c>
      <c r="D2768" s="6" t="s">
        <v>77</v>
      </c>
      <c r="E2768" s="6" t="s">
        <v>37</v>
      </c>
      <c r="F2768" s="6" t="s">
        <v>29</v>
      </c>
      <c r="G2768" s="6" t="s">
        <v>30</v>
      </c>
      <c r="H2768" s="6">
        <v>1</v>
      </c>
      <c r="I2768" s="6" t="s">
        <v>90</v>
      </c>
      <c r="J2768" s="6" t="s">
        <v>90</v>
      </c>
      <c r="K2768" s="6">
        <v>520</v>
      </c>
      <c r="L2768" s="6" t="s">
        <v>42</v>
      </c>
      <c r="M2768" s="6" t="s">
        <v>34</v>
      </c>
    </row>
    <row r="2769" spans="1:13">
      <c r="A2769" s="6" t="s">
        <v>4308</v>
      </c>
      <c r="B2769" s="7">
        <v>46049</v>
      </c>
      <c r="C2769" s="6" t="s">
        <v>1343</v>
      </c>
      <c r="D2769" s="6" t="s">
        <v>105</v>
      </c>
      <c r="E2769" s="6" t="s">
        <v>37</v>
      </c>
      <c r="F2769" s="6" t="s">
        <v>94</v>
      </c>
      <c r="G2769" s="6" t="s">
        <v>95</v>
      </c>
      <c r="H2769" s="6">
        <v>2</v>
      </c>
      <c r="I2769" s="6" t="s">
        <v>90</v>
      </c>
      <c r="J2769" s="6" t="s">
        <v>154</v>
      </c>
      <c r="K2769" s="6">
        <v>340</v>
      </c>
      <c r="L2769" s="6" t="s">
        <v>33</v>
      </c>
      <c r="M2769" s="6" t="s">
        <v>34</v>
      </c>
    </row>
    <row r="2770" spans="1:13">
      <c r="A2770" s="6" t="s">
        <v>4309</v>
      </c>
      <c r="B2770" s="7">
        <v>46268</v>
      </c>
      <c r="C2770" s="6" t="s">
        <v>2988</v>
      </c>
      <c r="D2770" s="6" t="s">
        <v>27</v>
      </c>
      <c r="E2770" s="6" t="s">
        <v>28</v>
      </c>
      <c r="F2770" s="6" t="s">
        <v>47</v>
      </c>
      <c r="G2770" s="6" t="s">
        <v>48</v>
      </c>
      <c r="H2770" s="6">
        <v>3</v>
      </c>
      <c r="I2770" s="6" t="s">
        <v>40</v>
      </c>
      <c r="J2770" s="6" t="s">
        <v>579</v>
      </c>
      <c r="K2770" s="6">
        <v>85</v>
      </c>
      <c r="L2770" s="6" t="s">
        <v>42</v>
      </c>
      <c r="M2770" s="6" t="s">
        <v>34</v>
      </c>
    </row>
    <row r="2771" spans="1:13">
      <c r="A2771" s="6" t="s">
        <v>4310</v>
      </c>
      <c r="B2771" s="6" t="s">
        <v>1818</v>
      </c>
      <c r="C2771" s="6" t="s">
        <v>1549</v>
      </c>
      <c r="D2771" s="6" t="s">
        <v>105</v>
      </c>
      <c r="E2771" s="6" t="s">
        <v>46</v>
      </c>
      <c r="F2771" s="6" t="s">
        <v>53</v>
      </c>
      <c r="G2771" s="6" t="s">
        <v>54</v>
      </c>
      <c r="H2771" s="6">
        <v>3</v>
      </c>
      <c r="I2771" s="6" t="s">
        <v>373</v>
      </c>
      <c r="J2771" s="6" t="s">
        <v>216</v>
      </c>
      <c r="K2771" s="6" t="s">
        <v>122</v>
      </c>
      <c r="L2771" s="6" t="s">
        <v>42</v>
      </c>
      <c r="M2771" s="6" t="s">
        <v>69</v>
      </c>
    </row>
    <row r="2772" spans="1:13">
      <c r="A2772" s="6" t="s">
        <v>4311</v>
      </c>
      <c r="B2772" s="7">
        <v>46027</v>
      </c>
      <c r="C2772" s="6" t="s">
        <v>1662</v>
      </c>
      <c r="D2772" s="6" t="s">
        <v>45</v>
      </c>
      <c r="E2772" s="6" t="s">
        <v>52</v>
      </c>
      <c r="F2772" s="6" t="s">
        <v>53</v>
      </c>
      <c r="G2772" s="6" t="s">
        <v>54</v>
      </c>
      <c r="H2772" s="6">
        <v>1</v>
      </c>
      <c r="I2772" s="6" t="s">
        <v>143</v>
      </c>
      <c r="J2772" s="6" t="s">
        <v>143</v>
      </c>
      <c r="K2772" s="6" t="s">
        <v>122</v>
      </c>
      <c r="L2772" s="6" t="s">
        <v>42</v>
      </c>
      <c r="M2772" s="6" t="s">
        <v>34</v>
      </c>
    </row>
    <row r="2773" spans="1:13">
      <c r="A2773" s="6" t="s">
        <v>4312</v>
      </c>
      <c r="B2773" s="6" t="s">
        <v>1559</v>
      </c>
      <c r="C2773" s="6" t="s">
        <v>4313</v>
      </c>
      <c r="D2773" s="6" t="s">
        <v>127</v>
      </c>
      <c r="E2773" s="6" t="s">
        <v>46</v>
      </c>
      <c r="F2773" s="6" t="s">
        <v>100</v>
      </c>
      <c r="G2773" s="6" t="s">
        <v>101</v>
      </c>
      <c r="H2773" s="6">
        <v>1</v>
      </c>
      <c r="I2773" s="6" t="s">
        <v>231</v>
      </c>
      <c r="J2773" s="6" t="s">
        <v>231</v>
      </c>
      <c r="K2773" s="6">
        <v>640</v>
      </c>
      <c r="L2773" s="6" t="s">
        <v>42</v>
      </c>
      <c r="M2773" s="6" t="s">
        <v>69</v>
      </c>
    </row>
    <row r="2774" spans="1:13">
      <c r="A2774" s="6" t="s">
        <v>4314</v>
      </c>
      <c r="B2774" s="7">
        <v>46121</v>
      </c>
      <c r="C2774" s="6" t="s">
        <v>4315</v>
      </c>
      <c r="D2774" s="6" t="s">
        <v>127</v>
      </c>
      <c r="E2774" s="6" t="s">
        <v>78</v>
      </c>
      <c r="F2774" s="6" t="s">
        <v>29</v>
      </c>
      <c r="G2774" s="6" t="s">
        <v>30</v>
      </c>
      <c r="H2774" s="6">
        <v>2</v>
      </c>
      <c r="I2774" s="6" t="s">
        <v>73</v>
      </c>
      <c r="J2774" s="6" t="s">
        <v>837</v>
      </c>
      <c r="K2774" s="6">
        <v>520</v>
      </c>
      <c r="L2774" s="6" t="s">
        <v>42</v>
      </c>
      <c r="M2774" s="6" t="s">
        <v>34</v>
      </c>
    </row>
    <row r="2775" spans="1:13">
      <c r="A2775" s="6" t="s">
        <v>4316</v>
      </c>
      <c r="B2775" s="7">
        <v>46094</v>
      </c>
      <c r="C2775" s="6" t="s">
        <v>1141</v>
      </c>
      <c r="D2775" s="6" t="s">
        <v>77</v>
      </c>
      <c r="E2775" s="6" t="s">
        <v>46</v>
      </c>
      <c r="F2775" s="6" t="s">
        <v>38</v>
      </c>
      <c r="G2775" s="6" t="s">
        <v>39</v>
      </c>
      <c r="H2775" s="6">
        <v>3</v>
      </c>
      <c r="I2775" s="6" t="s">
        <v>90</v>
      </c>
      <c r="J2775" s="6" t="s">
        <v>102</v>
      </c>
      <c r="K2775" s="6">
        <v>520</v>
      </c>
      <c r="L2775" s="6" t="s">
        <v>42</v>
      </c>
      <c r="M2775" s="6" t="s">
        <v>34</v>
      </c>
    </row>
    <row r="2776" spans="1:13">
      <c r="A2776" s="6" t="s">
        <v>4317</v>
      </c>
      <c r="B2776" s="7">
        <v>46163</v>
      </c>
      <c r="C2776" s="6" t="s">
        <v>2352</v>
      </c>
      <c r="D2776" s="6" t="s">
        <v>57</v>
      </c>
      <c r="E2776" s="6" t="s">
        <v>52</v>
      </c>
      <c r="F2776" s="6" t="s">
        <v>100</v>
      </c>
      <c r="G2776" s="6" t="s">
        <v>101</v>
      </c>
      <c r="H2776" s="6">
        <v>1</v>
      </c>
      <c r="I2776" s="6" t="s">
        <v>79</v>
      </c>
      <c r="J2776" s="6" t="s">
        <v>79</v>
      </c>
      <c r="K2776" s="6" t="s">
        <v>119</v>
      </c>
      <c r="L2776" s="6" t="s">
        <v>42</v>
      </c>
      <c r="M2776" s="6" t="s">
        <v>69</v>
      </c>
    </row>
    <row r="2777" spans="1:13">
      <c r="A2777" s="6" t="s">
        <v>4318</v>
      </c>
      <c r="B2777" s="7">
        <v>46163</v>
      </c>
      <c r="C2777" s="6" t="s">
        <v>2528</v>
      </c>
      <c r="D2777" s="6" t="s">
        <v>57</v>
      </c>
      <c r="E2777" s="6" t="s">
        <v>28</v>
      </c>
      <c r="F2777" s="6" t="s">
        <v>29</v>
      </c>
      <c r="G2777" s="6" t="s">
        <v>30</v>
      </c>
      <c r="H2777" s="6">
        <v>1</v>
      </c>
      <c r="I2777" s="6" t="s">
        <v>143</v>
      </c>
      <c r="J2777" s="6" t="s">
        <v>143</v>
      </c>
      <c r="K2777" s="6" t="s">
        <v>41</v>
      </c>
      <c r="L2777" s="6" t="s">
        <v>33</v>
      </c>
      <c r="M2777" s="6" t="s">
        <v>69</v>
      </c>
    </row>
    <row r="2778" spans="1:13">
      <c r="A2778" s="6" t="s">
        <v>4319</v>
      </c>
      <c r="B2778" s="7">
        <v>46051</v>
      </c>
      <c r="C2778" s="6" t="s">
        <v>1024</v>
      </c>
      <c r="D2778" s="6" t="s">
        <v>64</v>
      </c>
      <c r="E2778" s="6" t="s">
        <v>78</v>
      </c>
      <c r="F2778" s="6" t="s">
        <v>29</v>
      </c>
      <c r="G2778" s="6" t="s">
        <v>30</v>
      </c>
      <c r="H2778" s="6">
        <v>2</v>
      </c>
      <c r="I2778" s="6" t="s">
        <v>166</v>
      </c>
      <c r="J2778" s="6" t="s">
        <v>167</v>
      </c>
      <c r="K2778" s="6">
        <v>520</v>
      </c>
      <c r="L2778" s="6" t="s">
        <v>42</v>
      </c>
      <c r="M2778" s="6" t="s">
        <v>34</v>
      </c>
    </row>
    <row r="2779" spans="1:13">
      <c r="A2779" s="6" t="s">
        <v>4320</v>
      </c>
      <c r="B2779" s="7">
        <v>46064</v>
      </c>
      <c r="C2779" s="6" t="s">
        <v>3668</v>
      </c>
      <c r="D2779" s="6" t="s">
        <v>57</v>
      </c>
      <c r="E2779" s="6" t="s">
        <v>46</v>
      </c>
      <c r="F2779" s="6" t="s">
        <v>100</v>
      </c>
      <c r="G2779" s="6" t="s">
        <v>101</v>
      </c>
      <c r="H2779" s="6">
        <v>2</v>
      </c>
      <c r="I2779" s="6" t="s">
        <v>147</v>
      </c>
      <c r="J2779" s="6" t="s">
        <v>175</v>
      </c>
      <c r="K2779" s="6">
        <v>640</v>
      </c>
      <c r="L2779" s="6" t="s">
        <v>42</v>
      </c>
      <c r="M2779" s="6" t="s">
        <v>34</v>
      </c>
    </row>
    <row r="2780" spans="1:13">
      <c r="A2780" s="6" t="s">
        <v>4321</v>
      </c>
      <c r="B2780" s="7">
        <v>46131</v>
      </c>
      <c r="C2780" s="6" t="s">
        <v>938</v>
      </c>
      <c r="D2780" s="6" t="s">
        <v>57</v>
      </c>
      <c r="E2780" s="6" t="s">
        <v>46</v>
      </c>
      <c r="F2780" s="6" t="s">
        <v>94</v>
      </c>
      <c r="G2780" s="6" t="s">
        <v>95</v>
      </c>
      <c r="H2780" s="6">
        <v>1</v>
      </c>
      <c r="I2780" s="6" t="s">
        <v>147</v>
      </c>
      <c r="J2780" s="6" t="s">
        <v>147</v>
      </c>
      <c r="K2780" s="6">
        <v>340</v>
      </c>
      <c r="L2780" s="6" t="s">
        <v>33</v>
      </c>
      <c r="M2780" s="6" t="s">
        <v>34</v>
      </c>
    </row>
    <row r="2781" spans="1:13">
      <c r="A2781" s="6" t="s">
        <v>4322</v>
      </c>
      <c r="B2781" s="7">
        <v>46079</v>
      </c>
      <c r="C2781" s="6" t="s">
        <v>3029</v>
      </c>
      <c r="D2781" s="6" t="s">
        <v>105</v>
      </c>
      <c r="E2781" s="6" t="s">
        <v>78</v>
      </c>
      <c r="F2781" s="6" t="s">
        <v>47</v>
      </c>
      <c r="G2781" s="6" t="s">
        <v>48</v>
      </c>
      <c r="H2781" s="6">
        <v>1</v>
      </c>
      <c r="I2781" s="6" t="s">
        <v>265</v>
      </c>
      <c r="J2781" s="6" t="s">
        <v>265</v>
      </c>
      <c r="K2781" s="6">
        <v>85</v>
      </c>
      <c r="L2781" s="6" t="s">
        <v>42</v>
      </c>
      <c r="M2781" s="6" t="s">
        <v>69</v>
      </c>
    </row>
    <row r="2782" spans="1:13">
      <c r="A2782" s="6" t="s">
        <v>4323</v>
      </c>
      <c r="B2782" s="7">
        <v>46106</v>
      </c>
      <c r="C2782" s="6" t="s">
        <v>2042</v>
      </c>
      <c r="D2782" s="6" t="s">
        <v>45</v>
      </c>
      <c r="E2782" s="6" t="s">
        <v>46</v>
      </c>
      <c r="F2782" s="6" t="s">
        <v>29</v>
      </c>
      <c r="G2782" s="6" t="s">
        <v>30</v>
      </c>
      <c r="H2782" s="6">
        <v>1</v>
      </c>
      <c r="I2782" s="6" t="s">
        <v>73</v>
      </c>
      <c r="J2782" s="6" t="s">
        <v>73</v>
      </c>
      <c r="K2782" s="6">
        <v>520</v>
      </c>
      <c r="L2782" s="6" t="s">
        <v>42</v>
      </c>
      <c r="M2782" s="6" t="s">
        <v>34</v>
      </c>
    </row>
    <row r="2783" spans="1:13">
      <c r="A2783" s="6" t="s">
        <v>4324</v>
      </c>
      <c r="B2783" s="7">
        <v>46157</v>
      </c>
      <c r="C2783" s="6" t="s">
        <v>1034</v>
      </c>
      <c r="D2783" s="6" t="s">
        <v>45</v>
      </c>
      <c r="E2783" s="6" t="s">
        <v>78</v>
      </c>
      <c r="F2783" s="6" t="s">
        <v>53</v>
      </c>
      <c r="G2783" s="6" t="s">
        <v>54</v>
      </c>
      <c r="H2783" s="6">
        <v>3</v>
      </c>
      <c r="I2783" s="6" t="s">
        <v>147</v>
      </c>
      <c r="J2783" s="6" t="s">
        <v>148</v>
      </c>
      <c r="K2783" s="6" t="s">
        <v>122</v>
      </c>
      <c r="L2783" s="6" t="s">
        <v>42</v>
      </c>
      <c r="M2783" s="6" t="s">
        <v>34</v>
      </c>
    </row>
    <row r="2784" spans="1:13">
      <c r="A2784" s="6" t="s">
        <v>4325</v>
      </c>
      <c r="B2784" s="6" t="s">
        <v>4296</v>
      </c>
      <c r="C2784" s="6" t="s">
        <v>3585</v>
      </c>
      <c r="D2784" s="6" t="s">
        <v>57</v>
      </c>
      <c r="E2784" s="6" t="s">
        <v>78</v>
      </c>
      <c r="F2784" s="6" t="s">
        <v>100</v>
      </c>
      <c r="G2784" s="6" t="s">
        <v>101</v>
      </c>
      <c r="H2784" s="6">
        <v>2</v>
      </c>
      <c r="I2784" s="6" t="s">
        <v>60</v>
      </c>
      <c r="J2784" s="6" t="s">
        <v>189</v>
      </c>
      <c r="K2784" s="6">
        <v>640</v>
      </c>
      <c r="L2784" s="6" t="s">
        <v>42</v>
      </c>
      <c r="M2784" s="6" t="s">
        <v>34</v>
      </c>
    </row>
    <row r="2785" spans="1:13">
      <c r="A2785" s="6" t="s">
        <v>4326</v>
      </c>
      <c r="B2785" s="7">
        <v>46151</v>
      </c>
      <c r="C2785" s="6" t="s">
        <v>4327</v>
      </c>
      <c r="D2785" s="6" t="s">
        <v>45</v>
      </c>
      <c r="E2785" s="6" t="s">
        <v>46</v>
      </c>
      <c r="F2785" s="6" t="s">
        <v>94</v>
      </c>
      <c r="G2785" s="6" t="s">
        <v>95</v>
      </c>
      <c r="H2785" s="6">
        <v>2</v>
      </c>
      <c r="I2785" s="6" t="s">
        <v>117</v>
      </c>
      <c r="J2785" s="6" t="s">
        <v>118</v>
      </c>
      <c r="K2785" s="6" t="s">
        <v>114</v>
      </c>
      <c r="L2785" s="6" t="s">
        <v>42</v>
      </c>
      <c r="M2785" s="6" t="s">
        <v>34</v>
      </c>
    </row>
    <row r="2786" spans="1:13">
      <c r="A2786" s="6" t="s">
        <v>4328</v>
      </c>
      <c r="B2786" s="7">
        <v>46153</v>
      </c>
      <c r="C2786" s="6" t="s">
        <v>1881</v>
      </c>
      <c r="D2786" s="6" t="s">
        <v>27</v>
      </c>
      <c r="E2786" s="6" t="s">
        <v>46</v>
      </c>
      <c r="F2786" s="6" t="s">
        <v>100</v>
      </c>
      <c r="G2786" s="6" t="s">
        <v>101</v>
      </c>
      <c r="H2786" s="6">
        <v>1</v>
      </c>
      <c r="I2786" s="6" t="s">
        <v>60</v>
      </c>
      <c r="J2786" s="6" t="s">
        <v>60</v>
      </c>
      <c r="K2786" s="6" t="s">
        <v>119</v>
      </c>
      <c r="L2786" s="6" t="s">
        <v>42</v>
      </c>
      <c r="M2786" s="6" t="s">
        <v>69</v>
      </c>
    </row>
    <row r="2787" spans="1:13">
      <c r="A2787" s="6" t="s">
        <v>4329</v>
      </c>
      <c r="B2787" s="7">
        <v>46078</v>
      </c>
      <c r="C2787" s="6" t="s">
        <v>1269</v>
      </c>
      <c r="D2787" s="6" t="s">
        <v>57</v>
      </c>
      <c r="E2787" s="6" t="s">
        <v>46</v>
      </c>
      <c r="F2787" s="6" t="s">
        <v>85</v>
      </c>
      <c r="G2787" s="6" t="s">
        <v>86</v>
      </c>
      <c r="H2787" s="6">
        <v>3</v>
      </c>
      <c r="I2787" s="6" t="s">
        <v>265</v>
      </c>
      <c r="J2787" s="6" t="s">
        <v>401</v>
      </c>
      <c r="K2787" s="6">
        <v>410</v>
      </c>
      <c r="L2787" s="6" t="s">
        <v>42</v>
      </c>
      <c r="M2787" s="6" t="s">
        <v>69</v>
      </c>
    </row>
    <row r="2788" spans="1:13">
      <c r="A2788" s="6" t="s">
        <v>4330</v>
      </c>
      <c r="B2788" s="7">
        <v>46118</v>
      </c>
      <c r="C2788" s="6" t="s">
        <v>1141</v>
      </c>
      <c r="D2788" s="6" t="s">
        <v>27</v>
      </c>
      <c r="E2788" s="6" t="s">
        <v>78</v>
      </c>
      <c r="F2788" s="6" t="s">
        <v>100</v>
      </c>
      <c r="G2788" s="6" t="s">
        <v>101</v>
      </c>
      <c r="H2788" s="6">
        <v>1</v>
      </c>
      <c r="I2788" s="6" t="s">
        <v>143</v>
      </c>
      <c r="J2788" s="6" t="s">
        <v>143</v>
      </c>
      <c r="K2788" s="6">
        <v>640</v>
      </c>
      <c r="L2788" s="6" t="s">
        <v>42</v>
      </c>
      <c r="M2788" s="6" t="s">
        <v>34</v>
      </c>
    </row>
    <row r="2789" spans="1:13">
      <c r="A2789" s="6" t="s">
        <v>4331</v>
      </c>
      <c r="B2789" s="7">
        <v>46038</v>
      </c>
      <c r="C2789" s="6" t="s">
        <v>2817</v>
      </c>
      <c r="D2789" s="6" t="s">
        <v>105</v>
      </c>
      <c r="E2789" s="6" t="s">
        <v>52</v>
      </c>
      <c r="F2789" s="6" t="s">
        <v>47</v>
      </c>
      <c r="G2789" s="6" t="s">
        <v>48</v>
      </c>
      <c r="H2789" s="6">
        <v>1</v>
      </c>
      <c r="I2789" s="6" t="s">
        <v>265</v>
      </c>
      <c r="J2789" s="6" t="s">
        <v>265</v>
      </c>
      <c r="K2789" s="6">
        <v>85</v>
      </c>
      <c r="L2789" s="6" t="s">
        <v>33</v>
      </c>
      <c r="M2789" s="6" t="s">
        <v>34</v>
      </c>
    </row>
    <row r="2790" spans="1:13">
      <c r="A2790" s="6" t="s">
        <v>4332</v>
      </c>
      <c r="B2790" s="7">
        <v>46098</v>
      </c>
      <c r="C2790" s="6" t="s">
        <v>1502</v>
      </c>
      <c r="D2790" s="6" t="s">
        <v>45</v>
      </c>
      <c r="E2790" s="6" t="s">
        <v>28</v>
      </c>
      <c r="F2790" s="6" t="s">
        <v>58</v>
      </c>
      <c r="G2790" s="6" t="s">
        <v>59</v>
      </c>
      <c r="H2790" s="6">
        <v>3</v>
      </c>
      <c r="I2790" s="6" t="s">
        <v>90</v>
      </c>
      <c r="J2790" s="6" t="s">
        <v>102</v>
      </c>
      <c r="K2790" s="6">
        <v>380</v>
      </c>
      <c r="L2790" s="6" t="s">
        <v>33</v>
      </c>
      <c r="M2790" s="6" t="s">
        <v>34</v>
      </c>
    </row>
    <row r="2791" spans="1:13">
      <c r="A2791" s="6" t="s">
        <v>4333</v>
      </c>
      <c r="B2791" s="7">
        <v>46078</v>
      </c>
      <c r="C2791" s="6" t="s">
        <v>863</v>
      </c>
      <c r="D2791" s="6" t="s">
        <v>77</v>
      </c>
      <c r="E2791" s="6" t="s">
        <v>52</v>
      </c>
      <c r="F2791" s="6" t="s">
        <v>85</v>
      </c>
      <c r="G2791" s="6" t="s">
        <v>86</v>
      </c>
      <c r="H2791" s="6">
        <v>1</v>
      </c>
      <c r="I2791" s="6" t="s">
        <v>117</v>
      </c>
      <c r="J2791" s="6" t="s">
        <v>117</v>
      </c>
      <c r="K2791" s="6">
        <v>410</v>
      </c>
      <c r="L2791" s="6" t="s">
        <v>42</v>
      </c>
      <c r="M2791" s="6" t="s">
        <v>34</v>
      </c>
    </row>
    <row r="2792" spans="1:13">
      <c r="A2792" s="6" t="s">
        <v>4334</v>
      </c>
      <c r="B2792" s="7">
        <v>46121</v>
      </c>
      <c r="C2792" s="6" t="s">
        <v>2493</v>
      </c>
      <c r="D2792" s="6" t="s">
        <v>127</v>
      </c>
      <c r="E2792" s="6" t="s">
        <v>28</v>
      </c>
      <c r="F2792" s="6" t="s">
        <v>58</v>
      </c>
      <c r="G2792" s="6" t="s">
        <v>59</v>
      </c>
      <c r="H2792" s="6">
        <v>2</v>
      </c>
      <c r="I2792" s="6" t="s">
        <v>113</v>
      </c>
      <c r="J2792" s="6" t="s">
        <v>192</v>
      </c>
      <c r="K2792" s="6">
        <v>380</v>
      </c>
      <c r="L2792" s="6" t="s">
        <v>42</v>
      </c>
      <c r="M2792" s="6" t="s">
        <v>34</v>
      </c>
    </row>
    <row r="2793" spans="1:13">
      <c r="A2793" s="6" t="s">
        <v>4335</v>
      </c>
      <c r="B2793" s="7">
        <v>46104</v>
      </c>
      <c r="C2793" s="6" t="s">
        <v>3433</v>
      </c>
      <c r="D2793" s="6" t="s">
        <v>110</v>
      </c>
      <c r="E2793" s="6" t="s">
        <v>52</v>
      </c>
      <c r="F2793" s="6" t="s">
        <v>29</v>
      </c>
      <c r="G2793" s="6" t="s">
        <v>30</v>
      </c>
      <c r="H2793" s="6">
        <v>2</v>
      </c>
      <c r="I2793" s="6" t="s">
        <v>113</v>
      </c>
      <c r="J2793" s="6" t="s">
        <v>192</v>
      </c>
      <c r="K2793" s="6">
        <v>520</v>
      </c>
      <c r="L2793" s="6" t="s">
        <v>42</v>
      </c>
      <c r="M2793" s="6" t="s">
        <v>34</v>
      </c>
    </row>
    <row r="2794" spans="1:13">
      <c r="A2794" s="6" t="s">
        <v>4336</v>
      </c>
      <c r="B2794" s="6" t="s">
        <v>4146</v>
      </c>
      <c r="C2794" s="6" t="s">
        <v>881</v>
      </c>
      <c r="D2794" s="6" t="s">
        <v>127</v>
      </c>
      <c r="E2794" s="6" t="s">
        <v>46</v>
      </c>
      <c r="F2794" s="6" t="s">
        <v>29</v>
      </c>
      <c r="G2794" s="6" t="s">
        <v>30</v>
      </c>
      <c r="H2794" s="6">
        <v>2</v>
      </c>
      <c r="I2794" s="6" t="s">
        <v>113</v>
      </c>
      <c r="J2794" s="6" t="s">
        <v>192</v>
      </c>
      <c r="K2794" s="6" t="s">
        <v>41</v>
      </c>
      <c r="L2794" s="6" t="s">
        <v>42</v>
      </c>
      <c r="M2794" s="6" t="s">
        <v>69</v>
      </c>
    </row>
    <row r="2795" spans="1:13">
      <c r="A2795" s="6" t="s">
        <v>4337</v>
      </c>
      <c r="B2795" s="7">
        <v>46060</v>
      </c>
      <c r="C2795" s="6" t="s">
        <v>208</v>
      </c>
      <c r="D2795" s="6" t="s">
        <v>27</v>
      </c>
      <c r="E2795" s="6" t="s">
        <v>37</v>
      </c>
      <c r="F2795" s="6" t="s">
        <v>53</v>
      </c>
      <c r="G2795" s="6" t="s">
        <v>54</v>
      </c>
      <c r="H2795" s="6">
        <v>1</v>
      </c>
      <c r="I2795" s="6" t="s">
        <v>181</v>
      </c>
      <c r="J2795" s="6" t="s">
        <v>181</v>
      </c>
      <c r="K2795" s="6" t="s">
        <v>122</v>
      </c>
      <c r="L2795" s="6" t="s">
        <v>42</v>
      </c>
      <c r="M2795" s="6" t="s">
        <v>69</v>
      </c>
    </row>
    <row r="2796" spans="1:13">
      <c r="A2796" s="6" t="s">
        <v>4338</v>
      </c>
      <c r="B2796" s="7">
        <v>46161</v>
      </c>
      <c r="C2796" s="6" t="s">
        <v>1596</v>
      </c>
      <c r="D2796" s="6" t="s">
        <v>45</v>
      </c>
      <c r="E2796" s="6" t="s">
        <v>46</v>
      </c>
      <c r="F2796" s="6" t="s">
        <v>58</v>
      </c>
      <c r="G2796" s="6" t="s">
        <v>59</v>
      </c>
      <c r="H2796" s="6">
        <v>3</v>
      </c>
      <c r="I2796" s="6" t="s">
        <v>265</v>
      </c>
      <c r="J2796" s="6" t="s">
        <v>401</v>
      </c>
      <c r="K2796" s="6" t="s">
        <v>61</v>
      </c>
      <c r="L2796" s="6" t="s">
        <v>42</v>
      </c>
      <c r="M2796" s="6" t="s">
        <v>34</v>
      </c>
    </row>
    <row r="2797" spans="1:13">
      <c r="A2797" s="6" t="s">
        <v>4339</v>
      </c>
      <c r="B2797" s="7">
        <v>46166</v>
      </c>
      <c r="C2797" s="6" t="s">
        <v>2001</v>
      </c>
      <c r="D2797" s="6" t="s">
        <v>127</v>
      </c>
      <c r="E2797" s="6" t="s">
        <v>37</v>
      </c>
      <c r="F2797" s="6" t="s">
        <v>38</v>
      </c>
      <c r="G2797" s="6" t="s">
        <v>39</v>
      </c>
      <c r="H2797" s="6">
        <v>1</v>
      </c>
      <c r="I2797" s="6" t="s">
        <v>31</v>
      </c>
      <c r="J2797" s="6" t="s">
        <v>31</v>
      </c>
      <c r="K2797" s="6" t="s">
        <v>41</v>
      </c>
      <c r="L2797" s="6" t="s">
        <v>33</v>
      </c>
      <c r="M2797" s="6" t="s">
        <v>34</v>
      </c>
    </row>
    <row r="2798" spans="1:13">
      <c r="A2798" s="6" t="s">
        <v>4340</v>
      </c>
      <c r="B2798" s="7">
        <v>46059</v>
      </c>
      <c r="C2798" s="6" t="s">
        <v>1744</v>
      </c>
      <c r="D2798" s="6" t="s">
        <v>77</v>
      </c>
      <c r="E2798" s="6" t="s">
        <v>78</v>
      </c>
      <c r="F2798" s="6" t="s">
        <v>53</v>
      </c>
      <c r="G2798" s="6" t="s">
        <v>54</v>
      </c>
      <c r="H2798" s="6">
        <v>2</v>
      </c>
      <c r="I2798" s="6" t="s">
        <v>60</v>
      </c>
      <c r="J2798" s="6" t="s">
        <v>189</v>
      </c>
      <c r="K2798" s="6">
        <v>190</v>
      </c>
      <c r="L2798" s="6" t="s">
        <v>33</v>
      </c>
      <c r="M2798" s="6" t="s">
        <v>34</v>
      </c>
    </row>
    <row r="2799" spans="1:13">
      <c r="A2799" s="6" t="s">
        <v>4341</v>
      </c>
      <c r="B2799" s="6" t="s">
        <v>1450</v>
      </c>
      <c r="C2799" s="6" t="s">
        <v>1369</v>
      </c>
      <c r="D2799" s="6" t="s">
        <v>72</v>
      </c>
      <c r="E2799" s="6" t="s">
        <v>52</v>
      </c>
      <c r="F2799" s="6" t="s">
        <v>58</v>
      </c>
      <c r="G2799" s="6" t="s">
        <v>59</v>
      </c>
      <c r="H2799" s="6">
        <v>3</v>
      </c>
      <c r="I2799" s="6" t="s">
        <v>2666</v>
      </c>
      <c r="J2799" s="6" t="s">
        <v>68</v>
      </c>
      <c r="K2799" s="6">
        <v>380</v>
      </c>
      <c r="L2799" s="6" t="s">
        <v>33</v>
      </c>
      <c r="M2799" s="6" t="s">
        <v>34</v>
      </c>
    </row>
    <row r="2800" spans="1:13">
      <c r="A2800" s="6" t="s">
        <v>4342</v>
      </c>
      <c r="B2800" s="7">
        <v>46141</v>
      </c>
      <c r="C2800" s="6" t="s">
        <v>1114</v>
      </c>
      <c r="D2800" s="6" t="s">
        <v>45</v>
      </c>
      <c r="E2800" s="6" t="s">
        <v>78</v>
      </c>
      <c r="F2800" s="6" t="s">
        <v>38</v>
      </c>
      <c r="G2800" s="6" t="s">
        <v>39</v>
      </c>
      <c r="H2800" s="6">
        <v>1</v>
      </c>
      <c r="I2800" s="6" t="s">
        <v>82</v>
      </c>
      <c r="J2800" s="6" t="s">
        <v>82</v>
      </c>
      <c r="K2800" s="6" t="s">
        <v>41</v>
      </c>
      <c r="L2800" s="6" t="s">
        <v>42</v>
      </c>
      <c r="M2800" s="6" t="s">
        <v>34</v>
      </c>
    </row>
    <row r="2801" spans="1:13">
      <c r="A2801" s="6" t="s">
        <v>4343</v>
      </c>
      <c r="B2801" s="7">
        <v>46165</v>
      </c>
      <c r="C2801" s="6" t="s">
        <v>3690</v>
      </c>
      <c r="D2801" s="6" t="s">
        <v>77</v>
      </c>
      <c r="E2801" s="6" t="s">
        <v>46</v>
      </c>
      <c r="F2801" s="6" t="s">
        <v>53</v>
      </c>
      <c r="G2801" s="6" t="s">
        <v>54</v>
      </c>
      <c r="H2801" s="6">
        <v>1</v>
      </c>
      <c r="I2801" s="6" t="s">
        <v>40</v>
      </c>
      <c r="J2801" s="6" t="s">
        <v>40</v>
      </c>
      <c r="K2801" s="6" t="s">
        <v>122</v>
      </c>
      <c r="L2801" s="6" t="s">
        <v>42</v>
      </c>
      <c r="M2801" s="6" t="s">
        <v>34</v>
      </c>
    </row>
    <row r="2802" spans="1:13">
      <c r="A2802" s="6" t="s">
        <v>4344</v>
      </c>
      <c r="B2802" s="7">
        <v>46147</v>
      </c>
      <c r="C2802" s="6" t="s">
        <v>729</v>
      </c>
      <c r="D2802" s="6" t="s">
        <v>64</v>
      </c>
      <c r="E2802" s="6" t="s">
        <v>78</v>
      </c>
      <c r="F2802" s="6" t="s">
        <v>100</v>
      </c>
      <c r="G2802" s="6" t="s">
        <v>101</v>
      </c>
      <c r="H2802" s="6">
        <v>1</v>
      </c>
      <c r="I2802" s="6" t="s">
        <v>40</v>
      </c>
      <c r="J2802" s="6" t="s">
        <v>40</v>
      </c>
      <c r="K2802" s="6" t="s">
        <v>119</v>
      </c>
      <c r="L2802" s="6" t="s">
        <v>33</v>
      </c>
      <c r="M2802" s="6" t="s">
        <v>34</v>
      </c>
    </row>
    <row r="2803" spans="1:13">
      <c r="A2803" s="6" t="s">
        <v>4345</v>
      </c>
      <c r="B2803" s="7">
        <v>46184</v>
      </c>
      <c r="C2803" s="6" t="s">
        <v>2169</v>
      </c>
      <c r="D2803" s="6" t="s">
        <v>45</v>
      </c>
      <c r="E2803" s="6" t="s">
        <v>28</v>
      </c>
      <c r="F2803" s="6" t="s">
        <v>29</v>
      </c>
      <c r="G2803" s="6" t="s">
        <v>30</v>
      </c>
      <c r="H2803" s="6">
        <v>2</v>
      </c>
      <c r="I2803" s="6" t="s">
        <v>96</v>
      </c>
      <c r="J2803" s="6" t="s">
        <v>278</v>
      </c>
      <c r="K2803" s="6" t="s">
        <v>41</v>
      </c>
      <c r="L2803" s="6" t="s">
        <v>33</v>
      </c>
      <c r="M2803" s="6" t="s">
        <v>34</v>
      </c>
    </row>
    <row r="2804" spans="1:13">
      <c r="A2804" s="6" t="s">
        <v>4346</v>
      </c>
      <c r="B2804" s="7">
        <v>46032</v>
      </c>
      <c r="C2804" s="6" t="s">
        <v>1879</v>
      </c>
      <c r="D2804" s="6" t="s">
        <v>64</v>
      </c>
      <c r="E2804" s="6" t="s">
        <v>52</v>
      </c>
      <c r="F2804" s="6" t="s">
        <v>85</v>
      </c>
      <c r="G2804" s="6" t="s">
        <v>86</v>
      </c>
      <c r="H2804" s="6">
        <v>2</v>
      </c>
      <c r="I2804" s="6" t="s">
        <v>90</v>
      </c>
      <c r="J2804" s="6" t="s">
        <v>154</v>
      </c>
      <c r="K2804" s="6">
        <v>410</v>
      </c>
      <c r="L2804" s="6" t="s">
        <v>42</v>
      </c>
      <c r="M2804" s="6" t="s">
        <v>34</v>
      </c>
    </row>
    <row r="2805" spans="1:13">
      <c r="A2805" s="6" t="s">
        <v>4347</v>
      </c>
      <c r="B2805" s="6" t="s">
        <v>1425</v>
      </c>
      <c r="C2805" s="6" t="s">
        <v>2942</v>
      </c>
      <c r="D2805" s="6" t="s">
        <v>57</v>
      </c>
      <c r="E2805" s="6" t="s">
        <v>37</v>
      </c>
      <c r="F2805" s="6" t="s">
        <v>85</v>
      </c>
      <c r="G2805" s="6" t="s">
        <v>86</v>
      </c>
      <c r="H2805" s="6">
        <v>3</v>
      </c>
      <c r="I2805" s="6" t="s">
        <v>113</v>
      </c>
      <c r="J2805" s="6" t="s">
        <v>138</v>
      </c>
      <c r="K2805" s="6" t="s">
        <v>87</v>
      </c>
      <c r="L2805" s="6" t="s">
        <v>42</v>
      </c>
      <c r="M2805" s="6" t="s">
        <v>34</v>
      </c>
    </row>
    <row r="2806" spans="1:13">
      <c r="A2806" s="6" t="s">
        <v>4348</v>
      </c>
      <c r="B2806" s="7">
        <v>46159</v>
      </c>
      <c r="C2806" s="6" t="s">
        <v>3549</v>
      </c>
      <c r="D2806" s="6" t="s">
        <v>27</v>
      </c>
      <c r="E2806" s="6" t="s">
        <v>28</v>
      </c>
      <c r="F2806" s="6" t="s">
        <v>94</v>
      </c>
      <c r="G2806" s="6" t="s">
        <v>95</v>
      </c>
      <c r="H2806" s="6">
        <v>1</v>
      </c>
      <c r="I2806" s="6" t="s">
        <v>113</v>
      </c>
      <c r="J2806" s="6" t="s">
        <v>113</v>
      </c>
      <c r="K2806" s="6" t="s">
        <v>114</v>
      </c>
      <c r="L2806" s="6" t="s">
        <v>42</v>
      </c>
      <c r="M2806" s="6" t="s">
        <v>34</v>
      </c>
    </row>
    <row r="2807" spans="1:13">
      <c r="A2807" s="6" t="s">
        <v>4349</v>
      </c>
      <c r="B2807" s="7">
        <v>46114</v>
      </c>
      <c r="C2807" s="6" t="s">
        <v>1478</v>
      </c>
      <c r="D2807" s="6" t="s">
        <v>127</v>
      </c>
      <c r="E2807" s="6" t="s">
        <v>78</v>
      </c>
      <c r="F2807" s="6" t="s">
        <v>58</v>
      </c>
      <c r="G2807" s="6" t="s">
        <v>59</v>
      </c>
      <c r="H2807" s="6">
        <v>1</v>
      </c>
      <c r="I2807" s="6" t="s">
        <v>40</v>
      </c>
      <c r="J2807" s="6" t="s">
        <v>40</v>
      </c>
      <c r="K2807" s="6">
        <v>380</v>
      </c>
      <c r="L2807" s="6" t="s">
        <v>33</v>
      </c>
      <c r="M2807" s="6" t="s">
        <v>34</v>
      </c>
    </row>
    <row r="2808" spans="1:13">
      <c r="A2808" s="6" t="s">
        <v>4350</v>
      </c>
      <c r="B2808" s="7">
        <v>46043</v>
      </c>
      <c r="C2808" s="6" t="s">
        <v>2437</v>
      </c>
      <c r="D2808" s="6" t="s">
        <v>57</v>
      </c>
      <c r="E2808" s="6" t="s">
        <v>28</v>
      </c>
      <c r="F2808" s="6" t="s">
        <v>29</v>
      </c>
      <c r="G2808" s="6" t="s">
        <v>30</v>
      </c>
      <c r="H2808" s="6">
        <v>2</v>
      </c>
      <c r="I2808" s="6" t="s">
        <v>60</v>
      </c>
      <c r="J2808" s="6" t="s">
        <v>189</v>
      </c>
      <c r="K2808" s="6">
        <v>520</v>
      </c>
      <c r="L2808" s="6" t="s">
        <v>42</v>
      </c>
      <c r="M2808" s="6" t="s">
        <v>69</v>
      </c>
    </row>
    <row r="2809" spans="1:13">
      <c r="A2809" s="6" t="s">
        <v>4351</v>
      </c>
      <c r="B2809" s="7">
        <v>46154</v>
      </c>
      <c r="C2809" s="6" t="s">
        <v>299</v>
      </c>
      <c r="D2809" s="6" t="s">
        <v>45</v>
      </c>
      <c r="E2809" s="6" t="s">
        <v>78</v>
      </c>
      <c r="F2809" s="6" t="s">
        <v>100</v>
      </c>
      <c r="G2809" s="6" t="s">
        <v>101</v>
      </c>
      <c r="H2809" s="6">
        <v>3</v>
      </c>
      <c r="I2809" s="6" t="s">
        <v>231</v>
      </c>
      <c r="J2809" s="6" t="s">
        <v>505</v>
      </c>
      <c r="K2809" s="6" t="s">
        <v>119</v>
      </c>
      <c r="L2809" s="6" t="s">
        <v>33</v>
      </c>
      <c r="M2809" s="6" t="s">
        <v>34</v>
      </c>
    </row>
    <row r="2810" spans="1:13">
      <c r="A2810" s="6" t="s">
        <v>4352</v>
      </c>
      <c r="B2810" s="7">
        <v>46198</v>
      </c>
      <c r="C2810" s="6" t="s">
        <v>3189</v>
      </c>
      <c r="D2810" s="6" t="s">
        <v>105</v>
      </c>
      <c r="E2810" s="6" t="s">
        <v>52</v>
      </c>
      <c r="F2810" s="6" t="s">
        <v>100</v>
      </c>
      <c r="G2810" s="6" t="s">
        <v>101</v>
      </c>
      <c r="H2810" s="6">
        <v>3</v>
      </c>
      <c r="I2810" s="6" t="s">
        <v>60</v>
      </c>
      <c r="J2810" s="6" t="s">
        <v>268</v>
      </c>
      <c r="K2810" s="6" t="s">
        <v>119</v>
      </c>
      <c r="L2810" s="6" t="s">
        <v>42</v>
      </c>
      <c r="M2810" s="6" t="s">
        <v>69</v>
      </c>
    </row>
    <row r="2811" spans="1:13">
      <c r="A2811" s="6" t="s">
        <v>4353</v>
      </c>
      <c r="B2811" s="7">
        <v>46184</v>
      </c>
      <c r="C2811" s="6" t="s">
        <v>2249</v>
      </c>
      <c r="D2811" s="6" t="s">
        <v>127</v>
      </c>
      <c r="E2811" s="6" t="s">
        <v>78</v>
      </c>
      <c r="F2811" s="6" t="s">
        <v>47</v>
      </c>
      <c r="G2811" s="6" t="s">
        <v>48</v>
      </c>
      <c r="H2811" s="6">
        <v>2</v>
      </c>
      <c r="I2811" s="6" t="s">
        <v>40</v>
      </c>
      <c r="J2811" s="6" t="s">
        <v>327</v>
      </c>
      <c r="K2811" s="6" t="s">
        <v>49</v>
      </c>
      <c r="L2811" s="6" t="s">
        <v>42</v>
      </c>
      <c r="M2811" s="6" t="s">
        <v>34</v>
      </c>
    </row>
    <row r="2812" spans="1:13">
      <c r="A2812" s="6" t="s">
        <v>4354</v>
      </c>
      <c r="B2812" s="7">
        <v>46071</v>
      </c>
      <c r="C2812" s="6" t="s">
        <v>2149</v>
      </c>
      <c r="D2812" s="6" t="s">
        <v>45</v>
      </c>
      <c r="E2812" s="6" t="s">
        <v>37</v>
      </c>
      <c r="F2812" s="6" t="s">
        <v>94</v>
      </c>
      <c r="G2812" s="6" t="s">
        <v>95</v>
      </c>
      <c r="H2812" s="6">
        <v>1</v>
      </c>
      <c r="I2812" s="6" t="s">
        <v>181</v>
      </c>
      <c r="J2812" s="6" t="s">
        <v>181</v>
      </c>
      <c r="K2812" s="6">
        <v>340</v>
      </c>
      <c r="L2812" s="6" t="s">
        <v>42</v>
      </c>
      <c r="M2812" s="6" t="s">
        <v>34</v>
      </c>
    </row>
    <row r="2813" spans="1:13">
      <c r="A2813" s="6" t="s">
        <v>4355</v>
      </c>
      <c r="B2813" s="7">
        <v>46134</v>
      </c>
      <c r="C2813" s="6" t="s">
        <v>2712</v>
      </c>
      <c r="D2813" s="6" t="s">
        <v>45</v>
      </c>
      <c r="E2813" s="6" t="s">
        <v>52</v>
      </c>
      <c r="F2813" s="6" t="s">
        <v>53</v>
      </c>
      <c r="G2813" s="6" t="s">
        <v>54</v>
      </c>
      <c r="H2813" s="6">
        <v>2</v>
      </c>
      <c r="I2813" s="6" t="s">
        <v>82</v>
      </c>
      <c r="J2813" s="6" t="s">
        <v>297</v>
      </c>
      <c r="K2813" s="6" t="s">
        <v>122</v>
      </c>
      <c r="L2813" s="6" t="s">
        <v>42</v>
      </c>
      <c r="M2813" s="6" t="s">
        <v>34</v>
      </c>
    </row>
    <row r="2814" spans="1:13">
      <c r="A2814" s="6" t="s">
        <v>4356</v>
      </c>
      <c r="B2814" s="7">
        <v>46097</v>
      </c>
      <c r="C2814" s="6" t="s">
        <v>4357</v>
      </c>
      <c r="D2814" s="6" t="s">
        <v>27</v>
      </c>
      <c r="E2814" s="6" t="s">
        <v>46</v>
      </c>
      <c r="F2814" s="6" t="s">
        <v>85</v>
      </c>
      <c r="G2814" s="6" t="s">
        <v>86</v>
      </c>
      <c r="H2814" s="6">
        <v>1</v>
      </c>
      <c r="I2814" s="6" t="s">
        <v>40</v>
      </c>
      <c r="J2814" s="6" t="s">
        <v>40</v>
      </c>
      <c r="K2814" s="6">
        <v>410</v>
      </c>
      <c r="L2814" s="6" t="s">
        <v>42</v>
      </c>
      <c r="M2814" s="6" t="s">
        <v>69</v>
      </c>
    </row>
    <row r="2815" spans="1:13">
      <c r="A2815" s="6" t="s">
        <v>4358</v>
      </c>
      <c r="B2815" s="7">
        <v>46111</v>
      </c>
      <c r="C2815" s="6" t="s">
        <v>3004</v>
      </c>
      <c r="D2815" s="6" t="s">
        <v>45</v>
      </c>
      <c r="E2815" s="6" t="s">
        <v>78</v>
      </c>
      <c r="F2815" s="6" t="s">
        <v>47</v>
      </c>
      <c r="G2815" s="6" t="s">
        <v>48</v>
      </c>
      <c r="H2815" s="6">
        <v>2</v>
      </c>
      <c r="I2815" s="6" t="s">
        <v>147</v>
      </c>
      <c r="J2815" s="6" t="s">
        <v>175</v>
      </c>
      <c r="K2815" s="6">
        <v>85</v>
      </c>
      <c r="L2815" s="6" t="s">
        <v>33</v>
      </c>
      <c r="M2815" s="6" t="s">
        <v>34</v>
      </c>
    </row>
    <row r="2816" spans="1:13">
      <c r="A2816" s="6" t="s">
        <v>4359</v>
      </c>
      <c r="B2816" s="7">
        <v>46055</v>
      </c>
      <c r="C2816" s="6" t="s">
        <v>4360</v>
      </c>
      <c r="D2816" s="6" t="s">
        <v>77</v>
      </c>
      <c r="E2816" s="6" t="s">
        <v>28</v>
      </c>
      <c r="F2816" s="6" t="s">
        <v>29</v>
      </c>
      <c r="G2816" s="6" t="s">
        <v>30</v>
      </c>
      <c r="H2816" s="6">
        <v>3</v>
      </c>
      <c r="I2816" s="6" t="s">
        <v>82</v>
      </c>
      <c r="J2816" s="6" t="s">
        <v>390</v>
      </c>
      <c r="K2816" s="6">
        <v>520</v>
      </c>
      <c r="L2816" s="6" t="s">
        <v>42</v>
      </c>
      <c r="M2816" s="6" t="s">
        <v>34</v>
      </c>
    </row>
    <row r="2817" spans="1:13">
      <c r="A2817" s="6" t="s">
        <v>4361</v>
      </c>
      <c r="B2817" s="7">
        <v>46057</v>
      </c>
      <c r="C2817" s="6" t="s">
        <v>2359</v>
      </c>
      <c r="D2817" s="6" t="s">
        <v>110</v>
      </c>
      <c r="E2817" s="6" t="s">
        <v>52</v>
      </c>
      <c r="F2817" s="6" t="s">
        <v>94</v>
      </c>
      <c r="G2817" s="6" t="s">
        <v>95</v>
      </c>
      <c r="H2817" s="6">
        <v>-2</v>
      </c>
      <c r="I2817" s="6" t="s">
        <v>96</v>
      </c>
      <c r="J2817" s="8" t="s">
        <v>1628</v>
      </c>
      <c r="K2817" s="6">
        <v>340</v>
      </c>
      <c r="L2817" s="6" t="s">
        <v>42</v>
      </c>
      <c r="M2817" s="6" t="s">
        <v>34</v>
      </c>
    </row>
    <row r="2818" spans="1:13">
      <c r="A2818" s="6" t="s">
        <v>4362</v>
      </c>
      <c r="B2818" s="7">
        <v>46121</v>
      </c>
      <c r="C2818" s="6" t="s">
        <v>912</v>
      </c>
      <c r="D2818" s="6" t="s">
        <v>105</v>
      </c>
      <c r="E2818" s="6" t="s">
        <v>28</v>
      </c>
      <c r="F2818" s="6" t="s">
        <v>85</v>
      </c>
      <c r="G2818" s="6" t="s">
        <v>86</v>
      </c>
      <c r="H2818" s="6">
        <v>1</v>
      </c>
      <c r="I2818" s="6" t="s">
        <v>143</v>
      </c>
      <c r="J2818" s="6" t="s">
        <v>143</v>
      </c>
      <c r="K2818" s="6">
        <v>410</v>
      </c>
      <c r="L2818" s="6" t="s">
        <v>33</v>
      </c>
      <c r="M2818" s="6" t="s">
        <v>34</v>
      </c>
    </row>
    <row r="2819" spans="1:13">
      <c r="A2819" s="6" t="s">
        <v>4363</v>
      </c>
      <c r="B2819" s="7">
        <v>46207</v>
      </c>
      <c r="C2819" s="6" t="s">
        <v>3438</v>
      </c>
      <c r="D2819" s="6" t="s">
        <v>45</v>
      </c>
      <c r="E2819" s="6" t="s">
        <v>52</v>
      </c>
      <c r="F2819" s="6" t="s">
        <v>94</v>
      </c>
      <c r="G2819" s="6" t="s">
        <v>95</v>
      </c>
      <c r="H2819" s="6">
        <v>1</v>
      </c>
      <c r="I2819" s="6" t="s">
        <v>113</v>
      </c>
      <c r="J2819" s="6" t="s">
        <v>113</v>
      </c>
      <c r="K2819" s="6" t="s">
        <v>114</v>
      </c>
      <c r="L2819" s="6" t="s">
        <v>33</v>
      </c>
      <c r="M2819" s="6" t="s">
        <v>69</v>
      </c>
    </row>
    <row r="2820" spans="1:13">
      <c r="A2820" s="6" t="s">
        <v>4364</v>
      </c>
      <c r="B2820" s="7">
        <v>46098</v>
      </c>
      <c r="C2820" s="6" t="s">
        <v>1357</v>
      </c>
      <c r="D2820" s="6" t="s">
        <v>64</v>
      </c>
      <c r="E2820" s="6" t="s">
        <v>46</v>
      </c>
      <c r="F2820" s="6" t="s">
        <v>94</v>
      </c>
      <c r="G2820" s="6" t="s">
        <v>95</v>
      </c>
      <c r="H2820" s="6">
        <v>1</v>
      </c>
      <c r="I2820" s="6" t="s">
        <v>2626</v>
      </c>
      <c r="J2820" s="6" t="s">
        <v>82</v>
      </c>
      <c r="K2820" s="6">
        <v>340</v>
      </c>
      <c r="L2820" s="6" t="s">
        <v>42</v>
      </c>
      <c r="M2820" s="6" t="s">
        <v>34</v>
      </c>
    </row>
    <row r="2821" spans="1:13">
      <c r="A2821" s="6" t="s">
        <v>4365</v>
      </c>
      <c r="B2821" s="7">
        <v>46134</v>
      </c>
      <c r="C2821" s="6" t="s">
        <v>4366</v>
      </c>
      <c r="D2821" s="6" t="s">
        <v>110</v>
      </c>
      <c r="E2821" s="6" t="s">
        <v>37</v>
      </c>
      <c r="F2821" s="6" t="s">
        <v>38</v>
      </c>
      <c r="G2821" s="6" t="s">
        <v>39</v>
      </c>
      <c r="H2821" s="6">
        <v>1</v>
      </c>
      <c r="I2821" s="6" t="s">
        <v>231</v>
      </c>
      <c r="J2821" s="6" t="s">
        <v>231</v>
      </c>
      <c r="K2821" s="6" t="s">
        <v>41</v>
      </c>
      <c r="L2821" s="6" t="s">
        <v>33</v>
      </c>
      <c r="M2821" s="6" t="s">
        <v>34</v>
      </c>
    </row>
    <row r="2822" spans="1:13">
      <c r="A2822" s="6" t="s">
        <v>4367</v>
      </c>
      <c r="B2822" s="7">
        <v>46159</v>
      </c>
      <c r="C2822" s="6" t="s">
        <v>556</v>
      </c>
      <c r="D2822" s="6" t="s">
        <v>45</v>
      </c>
      <c r="E2822" s="6" t="s">
        <v>37</v>
      </c>
      <c r="F2822" s="6" t="s">
        <v>100</v>
      </c>
      <c r="G2822" s="6" t="s">
        <v>101</v>
      </c>
      <c r="H2822" s="6">
        <v>2</v>
      </c>
      <c r="I2822" s="6" t="s">
        <v>67</v>
      </c>
      <c r="J2822" s="6" t="s">
        <v>204</v>
      </c>
      <c r="K2822" s="6" t="s">
        <v>119</v>
      </c>
      <c r="L2822" s="6" t="s">
        <v>42</v>
      </c>
      <c r="M2822" s="6" t="s">
        <v>69</v>
      </c>
    </row>
    <row r="2823" spans="1:13">
      <c r="A2823" s="6" t="s">
        <v>4368</v>
      </c>
      <c r="B2823" s="7">
        <v>46145</v>
      </c>
      <c r="C2823" s="6" t="s">
        <v>1478</v>
      </c>
      <c r="D2823" s="6" t="s">
        <v>45</v>
      </c>
      <c r="E2823" s="6" t="s">
        <v>78</v>
      </c>
      <c r="F2823" s="6" t="s">
        <v>100</v>
      </c>
      <c r="G2823" s="6" t="s">
        <v>101</v>
      </c>
      <c r="H2823" s="6">
        <v>3</v>
      </c>
      <c r="I2823" s="6" t="s">
        <v>31</v>
      </c>
      <c r="J2823" s="6" t="s">
        <v>4369</v>
      </c>
      <c r="K2823" s="6" t="s">
        <v>119</v>
      </c>
      <c r="L2823" s="6" t="s">
        <v>42</v>
      </c>
      <c r="M2823" s="6" t="s">
        <v>69</v>
      </c>
    </row>
    <row r="2824" spans="1:13">
      <c r="A2824" s="6" t="s">
        <v>4370</v>
      </c>
      <c r="B2824" s="7">
        <v>46074</v>
      </c>
      <c r="C2824" s="6" t="s">
        <v>1207</v>
      </c>
      <c r="D2824" s="6" t="s">
        <v>45</v>
      </c>
      <c r="E2824" s="6" t="s">
        <v>52</v>
      </c>
      <c r="F2824" s="6" t="s">
        <v>58</v>
      </c>
      <c r="G2824" s="6" t="s">
        <v>59</v>
      </c>
      <c r="H2824" s="6">
        <v>1</v>
      </c>
      <c r="I2824" s="6" t="s">
        <v>231</v>
      </c>
      <c r="J2824" s="6" t="s">
        <v>231</v>
      </c>
      <c r="K2824" s="6">
        <v>380</v>
      </c>
      <c r="L2824" s="6" t="s">
        <v>42</v>
      </c>
      <c r="M2824" s="6" t="s">
        <v>34</v>
      </c>
    </row>
    <row r="2825" spans="1:13">
      <c r="A2825" s="6" t="s">
        <v>4371</v>
      </c>
      <c r="B2825" s="7">
        <v>46104</v>
      </c>
      <c r="C2825" s="6" t="s">
        <v>2042</v>
      </c>
      <c r="D2825" s="6" t="s">
        <v>72</v>
      </c>
      <c r="E2825" s="6" t="s">
        <v>37</v>
      </c>
      <c r="F2825" s="6" t="s">
        <v>38</v>
      </c>
      <c r="G2825" s="6" t="s">
        <v>39</v>
      </c>
      <c r="H2825" s="6">
        <v>1</v>
      </c>
      <c r="I2825" s="6" t="s">
        <v>90</v>
      </c>
      <c r="J2825" s="6" t="s">
        <v>90</v>
      </c>
      <c r="K2825" s="6">
        <v>520</v>
      </c>
      <c r="L2825" s="6" t="s">
        <v>42</v>
      </c>
      <c r="M2825" s="6" t="s">
        <v>34</v>
      </c>
    </row>
    <row r="2826" spans="1:13">
      <c r="A2826" s="6" t="s">
        <v>4372</v>
      </c>
      <c r="B2826" s="6" t="s">
        <v>1937</v>
      </c>
      <c r="C2826" s="6" t="s">
        <v>2200</v>
      </c>
      <c r="D2826" s="6" t="s">
        <v>105</v>
      </c>
      <c r="E2826" s="6" t="s">
        <v>52</v>
      </c>
      <c r="F2826" s="6" t="s">
        <v>85</v>
      </c>
      <c r="G2826" s="6" t="s">
        <v>86</v>
      </c>
      <c r="H2826" s="6">
        <v>1</v>
      </c>
      <c r="I2826" s="6" t="s">
        <v>143</v>
      </c>
      <c r="J2826" s="6" t="s">
        <v>3170</v>
      </c>
      <c r="K2826" s="6" t="s">
        <v>87</v>
      </c>
      <c r="L2826" s="6" t="s">
        <v>42</v>
      </c>
      <c r="M2826" s="6" t="s">
        <v>69</v>
      </c>
    </row>
    <row r="2827" spans="1:13">
      <c r="A2827" s="6" t="s">
        <v>4373</v>
      </c>
      <c r="B2827" s="7">
        <v>46203</v>
      </c>
      <c r="C2827" s="6" t="s">
        <v>1929</v>
      </c>
      <c r="D2827" s="6" t="s">
        <v>57</v>
      </c>
      <c r="E2827" s="6" t="s">
        <v>78</v>
      </c>
      <c r="F2827" s="6" t="s">
        <v>38</v>
      </c>
      <c r="G2827" s="6" t="s">
        <v>39</v>
      </c>
      <c r="H2827" s="6">
        <v>1</v>
      </c>
      <c r="I2827" s="6" t="s">
        <v>31</v>
      </c>
      <c r="J2827" s="6" t="s">
        <v>31</v>
      </c>
      <c r="K2827" s="6" t="s">
        <v>41</v>
      </c>
      <c r="L2827" s="6" t="s">
        <v>33</v>
      </c>
      <c r="M2827" s="6" t="s">
        <v>34</v>
      </c>
    </row>
    <row r="2828" spans="1:13">
      <c r="A2828" s="6" t="s">
        <v>4374</v>
      </c>
      <c r="B2828" s="7">
        <v>46196</v>
      </c>
      <c r="C2828" s="6" t="s">
        <v>4375</v>
      </c>
      <c r="D2828" s="6" t="s">
        <v>64</v>
      </c>
      <c r="E2828" s="6" t="s">
        <v>78</v>
      </c>
      <c r="F2828" s="6" t="s">
        <v>53</v>
      </c>
      <c r="G2828" s="6" t="s">
        <v>54</v>
      </c>
      <c r="H2828" s="6">
        <v>1</v>
      </c>
      <c r="I2828" s="6" t="s">
        <v>67</v>
      </c>
      <c r="J2828" s="6" t="s">
        <v>67</v>
      </c>
      <c r="K2828" s="6" t="s">
        <v>122</v>
      </c>
      <c r="L2828" s="6" t="s">
        <v>42</v>
      </c>
      <c r="M2828" s="6" t="s">
        <v>69</v>
      </c>
    </row>
    <row r="2829" spans="1:13">
      <c r="A2829" s="6" t="s">
        <v>4376</v>
      </c>
      <c r="B2829" s="7">
        <v>46135</v>
      </c>
      <c r="C2829" s="6" t="s">
        <v>306</v>
      </c>
      <c r="D2829" s="6" t="s">
        <v>127</v>
      </c>
      <c r="E2829" s="6" t="s">
        <v>46</v>
      </c>
      <c r="F2829" s="6" t="s">
        <v>94</v>
      </c>
      <c r="G2829" s="6" t="s">
        <v>95</v>
      </c>
      <c r="H2829" s="6">
        <v>1</v>
      </c>
      <c r="I2829" s="6" t="s">
        <v>117</v>
      </c>
      <c r="J2829" s="6" t="s">
        <v>117</v>
      </c>
      <c r="K2829" s="6" t="s">
        <v>114</v>
      </c>
      <c r="L2829" s="6" t="s">
        <v>42</v>
      </c>
      <c r="M2829" s="6" t="s">
        <v>69</v>
      </c>
    </row>
    <row r="2830" spans="1:13">
      <c r="A2830" s="6" t="s">
        <v>4377</v>
      </c>
      <c r="B2830" s="7">
        <v>46052</v>
      </c>
      <c r="C2830" s="6" t="s">
        <v>2763</v>
      </c>
      <c r="D2830" s="6" t="s">
        <v>127</v>
      </c>
      <c r="E2830" s="6" t="s">
        <v>37</v>
      </c>
      <c r="F2830" s="6" t="s">
        <v>100</v>
      </c>
      <c r="G2830" s="6" t="s">
        <v>101</v>
      </c>
      <c r="H2830" s="6">
        <v>1</v>
      </c>
      <c r="I2830" s="6" t="s">
        <v>113</v>
      </c>
      <c r="J2830" s="6" t="s">
        <v>113</v>
      </c>
      <c r="K2830" s="6">
        <v>640</v>
      </c>
      <c r="L2830" s="6" t="s">
        <v>42</v>
      </c>
      <c r="M2830" s="6" t="s">
        <v>34</v>
      </c>
    </row>
    <row r="2831" spans="1:13">
      <c r="A2831" s="6" t="s">
        <v>4378</v>
      </c>
      <c r="B2831" s="7">
        <v>46038</v>
      </c>
      <c r="C2831" s="6" t="s">
        <v>570</v>
      </c>
      <c r="D2831" s="6" t="s">
        <v>110</v>
      </c>
      <c r="E2831" s="6" t="s">
        <v>28</v>
      </c>
      <c r="F2831" s="6" t="s">
        <v>53</v>
      </c>
      <c r="G2831" s="6" t="s">
        <v>54</v>
      </c>
      <c r="H2831" s="6">
        <v>2</v>
      </c>
      <c r="I2831" s="6" t="s">
        <v>60</v>
      </c>
      <c r="J2831" s="6" t="s">
        <v>189</v>
      </c>
      <c r="K2831" s="6">
        <v>190</v>
      </c>
      <c r="L2831" s="6" t="s">
        <v>42</v>
      </c>
      <c r="M2831" s="6" t="s">
        <v>69</v>
      </c>
    </row>
    <row r="2832" spans="1:13">
      <c r="A2832" s="6" t="s">
        <v>4379</v>
      </c>
      <c r="B2832" s="7">
        <v>46091</v>
      </c>
      <c r="C2832" s="6" t="s">
        <v>1987</v>
      </c>
      <c r="D2832" s="6" t="s">
        <v>110</v>
      </c>
      <c r="E2832" s="6" t="s">
        <v>28</v>
      </c>
      <c r="F2832" s="6" t="s">
        <v>47</v>
      </c>
      <c r="G2832" s="6" t="s">
        <v>48</v>
      </c>
      <c r="H2832" s="6">
        <v>2</v>
      </c>
      <c r="I2832" s="6" t="s">
        <v>181</v>
      </c>
      <c r="J2832" s="6" t="s">
        <v>163</v>
      </c>
      <c r="K2832" s="6">
        <v>85</v>
      </c>
      <c r="L2832" s="6" t="s">
        <v>42</v>
      </c>
      <c r="M2832" s="6" t="s">
        <v>69</v>
      </c>
    </row>
    <row r="2833" spans="1:13">
      <c r="A2833" s="6" t="s">
        <v>4380</v>
      </c>
      <c r="B2833" s="7">
        <v>46079</v>
      </c>
      <c r="C2833" s="6" t="s">
        <v>2391</v>
      </c>
      <c r="D2833" s="6" t="s">
        <v>64</v>
      </c>
      <c r="E2833" s="6" t="s">
        <v>46</v>
      </c>
      <c r="F2833" s="6" t="s">
        <v>53</v>
      </c>
      <c r="G2833" s="6" t="s">
        <v>54</v>
      </c>
      <c r="H2833" s="6">
        <v>2</v>
      </c>
      <c r="I2833" s="6" t="s">
        <v>96</v>
      </c>
      <c r="J2833" s="6" t="s">
        <v>278</v>
      </c>
      <c r="K2833" s="6">
        <v>190</v>
      </c>
      <c r="L2833" s="6" t="s">
        <v>42</v>
      </c>
      <c r="M2833" s="6" t="s">
        <v>34</v>
      </c>
    </row>
    <row r="2834" spans="1:13">
      <c r="A2834" s="6" t="s">
        <v>4381</v>
      </c>
      <c r="B2834" s="7">
        <v>46140</v>
      </c>
      <c r="C2834" s="6" t="s">
        <v>1186</v>
      </c>
      <c r="D2834" s="6" t="s">
        <v>105</v>
      </c>
      <c r="E2834" s="6" t="s">
        <v>28</v>
      </c>
      <c r="F2834" s="6" t="s">
        <v>58</v>
      </c>
      <c r="G2834" s="6" t="s">
        <v>59</v>
      </c>
      <c r="H2834" s="6">
        <v>2</v>
      </c>
      <c r="I2834" s="6" t="s">
        <v>90</v>
      </c>
      <c r="J2834" s="6" t="s">
        <v>1752</v>
      </c>
      <c r="K2834" s="6" t="s">
        <v>61</v>
      </c>
      <c r="L2834" s="6" t="s">
        <v>33</v>
      </c>
      <c r="M2834" s="6" t="s">
        <v>34</v>
      </c>
    </row>
    <row r="2835" spans="1:13">
      <c r="A2835" s="6" t="s">
        <v>4382</v>
      </c>
      <c r="B2835" s="7">
        <v>46056</v>
      </c>
      <c r="C2835" s="6" t="s">
        <v>955</v>
      </c>
      <c r="D2835" s="6" t="s">
        <v>127</v>
      </c>
      <c r="E2835" s="6" t="s">
        <v>37</v>
      </c>
      <c r="F2835" s="6" t="s">
        <v>53</v>
      </c>
      <c r="G2835" s="6" t="s">
        <v>54</v>
      </c>
      <c r="H2835" s="6">
        <v>2</v>
      </c>
      <c r="I2835" s="6" t="s">
        <v>79</v>
      </c>
      <c r="J2835" s="6" t="s">
        <v>259</v>
      </c>
      <c r="K2835" s="6">
        <v>190</v>
      </c>
      <c r="L2835" s="6" t="s">
        <v>42</v>
      </c>
      <c r="M2835" s="6" t="s">
        <v>34</v>
      </c>
    </row>
    <row r="2836" spans="1:13">
      <c r="A2836" s="6" t="s">
        <v>4383</v>
      </c>
      <c r="B2836" s="7">
        <v>46101</v>
      </c>
      <c r="C2836" s="6" t="s">
        <v>339</v>
      </c>
      <c r="D2836" s="6" t="s">
        <v>57</v>
      </c>
      <c r="E2836" s="6" t="s">
        <v>28</v>
      </c>
      <c r="F2836" s="6" t="s">
        <v>58</v>
      </c>
      <c r="G2836" s="6" t="s">
        <v>59</v>
      </c>
      <c r="H2836" s="6">
        <v>3</v>
      </c>
      <c r="I2836" s="6" t="s">
        <v>181</v>
      </c>
      <c r="J2836" s="6" t="s">
        <v>4384</v>
      </c>
      <c r="K2836" s="6">
        <v>380</v>
      </c>
      <c r="L2836" s="6" t="s">
        <v>33</v>
      </c>
      <c r="M2836" s="6" t="s">
        <v>34</v>
      </c>
    </row>
    <row r="2837" spans="1:13">
      <c r="A2837" s="6" t="s">
        <v>4385</v>
      </c>
      <c r="B2837" s="7">
        <v>46093</v>
      </c>
      <c r="C2837" s="6" t="s">
        <v>3897</v>
      </c>
      <c r="D2837" s="6" t="s">
        <v>64</v>
      </c>
      <c r="E2837" s="6" t="s">
        <v>52</v>
      </c>
      <c r="F2837" s="6" t="s">
        <v>38</v>
      </c>
      <c r="G2837" s="6" t="s">
        <v>39</v>
      </c>
      <c r="H2837" s="6">
        <v>1</v>
      </c>
      <c r="I2837" s="6" t="s">
        <v>113</v>
      </c>
      <c r="J2837" s="6" t="s">
        <v>113</v>
      </c>
      <c r="K2837" s="6">
        <v>520</v>
      </c>
      <c r="L2837" s="6" t="s">
        <v>33</v>
      </c>
      <c r="M2837" s="6" t="s">
        <v>69</v>
      </c>
    </row>
    <row r="2838" spans="1:13">
      <c r="A2838" s="6" t="s">
        <v>4386</v>
      </c>
      <c r="B2838" s="7">
        <v>46135</v>
      </c>
      <c r="C2838" s="6" t="s">
        <v>4387</v>
      </c>
      <c r="D2838" s="6" t="s">
        <v>45</v>
      </c>
      <c r="E2838" s="6" t="s">
        <v>78</v>
      </c>
      <c r="F2838" s="6" t="s">
        <v>85</v>
      </c>
      <c r="G2838" s="6" t="s">
        <v>86</v>
      </c>
      <c r="H2838" s="6">
        <v>2</v>
      </c>
      <c r="I2838" s="6" t="s">
        <v>60</v>
      </c>
      <c r="J2838" s="6" t="s">
        <v>189</v>
      </c>
      <c r="K2838" s="6" t="s">
        <v>87</v>
      </c>
      <c r="L2838" s="6" t="s">
        <v>42</v>
      </c>
      <c r="M2838" s="6" t="s">
        <v>34</v>
      </c>
    </row>
    <row r="2839" spans="1:13">
      <c r="A2839" s="6" t="s">
        <v>4388</v>
      </c>
      <c r="B2839" s="7">
        <v>46167</v>
      </c>
      <c r="C2839" s="6" t="s">
        <v>1649</v>
      </c>
      <c r="D2839" s="6" t="s">
        <v>27</v>
      </c>
      <c r="E2839" s="6" t="s">
        <v>52</v>
      </c>
      <c r="F2839" s="6" t="s">
        <v>85</v>
      </c>
      <c r="G2839" s="6" t="s">
        <v>86</v>
      </c>
      <c r="H2839" s="6">
        <v>1</v>
      </c>
      <c r="I2839" s="6" t="s">
        <v>90</v>
      </c>
      <c r="J2839" s="6" t="s">
        <v>90</v>
      </c>
      <c r="K2839" s="6" t="s">
        <v>87</v>
      </c>
      <c r="L2839" s="6" t="s">
        <v>42</v>
      </c>
      <c r="M2839" s="6" t="s">
        <v>34</v>
      </c>
    </row>
    <row r="2840" spans="1:13">
      <c r="A2840" s="6" t="s">
        <v>4389</v>
      </c>
      <c r="B2840" s="7">
        <v>46111</v>
      </c>
      <c r="C2840" s="6" t="s">
        <v>4390</v>
      </c>
      <c r="D2840" s="6" t="s">
        <v>127</v>
      </c>
      <c r="E2840" s="6" t="s">
        <v>28</v>
      </c>
      <c r="F2840" s="6" t="s">
        <v>29</v>
      </c>
      <c r="G2840" s="6" t="s">
        <v>30</v>
      </c>
      <c r="H2840" s="6">
        <v>-1</v>
      </c>
      <c r="I2840" s="6" t="s">
        <v>113</v>
      </c>
      <c r="J2840" s="8" t="s">
        <v>1147</v>
      </c>
      <c r="K2840" s="6">
        <v>520</v>
      </c>
      <c r="L2840" s="6" t="s">
        <v>33</v>
      </c>
      <c r="M2840" s="6" t="s">
        <v>34</v>
      </c>
    </row>
    <row r="2841" spans="1:13">
      <c r="A2841" s="6" t="s">
        <v>4391</v>
      </c>
      <c r="B2841" s="6" t="s">
        <v>4392</v>
      </c>
      <c r="C2841" s="6" t="s">
        <v>3140</v>
      </c>
      <c r="D2841" s="6" t="s">
        <v>72</v>
      </c>
      <c r="E2841" s="6" t="s">
        <v>37</v>
      </c>
      <c r="F2841" s="6" t="s">
        <v>47</v>
      </c>
      <c r="G2841" s="6" t="s">
        <v>48</v>
      </c>
      <c r="H2841" s="6">
        <v>2</v>
      </c>
      <c r="I2841" s="6" t="s">
        <v>31</v>
      </c>
      <c r="J2841" s="6" t="s">
        <v>216</v>
      </c>
      <c r="K2841" s="6">
        <v>85</v>
      </c>
      <c r="L2841" s="6" t="s">
        <v>42</v>
      </c>
      <c r="M2841" s="6" t="s">
        <v>34</v>
      </c>
    </row>
    <row r="2842" spans="1:13">
      <c r="A2842" s="6" t="s">
        <v>4393</v>
      </c>
      <c r="B2842" s="7">
        <v>46107</v>
      </c>
      <c r="C2842" s="6" t="s">
        <v>4394</v>
      </c>
      <c r="D2842" s="6" t="s">
        <v>45</v>
      </c>
      <c r="E2842" s="6" t="s">
        <v>78</v>
      </c>
      <c r="F2842" s="6" t="s">
        <v>94</v>
      </c>
      <c r="G2842" s="6" t="s">
        <v>95</v>
      </c>
      <c r="H2842" s="6">
        <v>1</v>
      </c>
      <c r="I2842" s="6" t="s">
        <v>113</v>
      </c>
      <c r="J2842" s="6" t="s">
        <v>113</v>
      </c>
      <c r="K2842" s="6">
        <v>340</v>
      </c>
      <c r="L2842" s="6" t="s">
        <v>42</v>
      </c>
      <c r="M2842" s="6" t="s">
        <v>34</v>
      </c>
    </row>
    <row r="2843" spans="1:13">
      <c r="A2843" s="6" t="s">
        <v>4395</v>
      </c>
      <c r="B2843" s="7">
        <v>46332</v>
      </c>
      <c r="C2843" s="6" t="s">
        <v>747</v>
      </c>
      <c r="D2843" s="6" t="s">
        <v>45</v>
      </c>
      <c r="E2843" s="6" t="s">
        <v>52</v>
      </c>
      <c r="F2843" s="6" t="s">
        <v>85</v>
      </c>
      <c r="G2843" s="6" t="s">
        <v>86</v>
      </c>
      <c r="H2843" s="6">
        <v>1</v>
      </c>
      <c r="I2843" s="6" t="s">
        <v>117</v>
      </c>
      <c r="J2843" s="6" t="s">
        <v>117</v>
      </c>
      <c r="K2843" s="6" t="s">
        <v>87</v>
      </c>
      <c r="L2843" s="6" t="s">
        <v>33</v>
      </c>
      <c r="M2843" s="6" t="s">
        <v>69</v>
      </c>
    </row>
    <row r="2844" spans="1:13">
      <c r="A2844" s="6" t="s">
        <v>4396</v>
      </c>
      <c r="B2844" s="7">
        <v>46172</v>
      </c>
      <c r="C2844" s="6" t="s">
        <v>1420</v>
      </c>
      <c r="D2844" s="6" t="s">
        <v>72</v>
      </c>
      <c r="E2844" s="6" t="s">
        <v>37</v>
      </c>
      <c r="F2844" s="6" t="s">
        <v>85</v>
      </c>
      <c r="G2844" s="6" t="s">
        <v>86</v>
      </c>
      <c r="H2844" s="6">
        <v>1</v>
      </c>
      <c r="I2844" s="6" t="s">
        <v>143</v>
      </c>
      <c r="J2844" s="6" t="s">
        <v>143</v>
      </c>
      <c r="K2844" s="6" t="s">
        <v>87</v>
      </c>
      <c r="L2844" s="6" t="s">
        <v>33</v>
      </c>
      <c r="M2844" s="6" t="s">
        <v>34</v>
      </c>
    </row>
    <row r="2845" spans="1:13">
      <c r="A2845" s="6" t="s">
        <v>4397</v>
      </c>
      <c r="B2845" s="7">
        <v>46204</v>
      </c>
      <c r="C2845" s="6" t="s">
        <v>1689</v>
      </c>
      <c r="D2845" s="6" t="s">
        <v>45</v>
      </c>
      <c r="E2845" s="6" t="s">
        <v>78</v>
      </c>
      <c r="F2845" s="6" t="s">
        <v>29</v>
      </c>
      <c r="G2845" s="6" t="s">
        <v>30</v>
      </c>
      <c r="H2845" s="6">
        <v>3</v>
      </c>
      <c r="I2845" s="6" t="s">
        <v>117</v>
      </c>
      <c r="J2845" s="6" t="s">
        <v>171</v>
      </c>
      <c r="K2845" s="6" t="s">
        <v>41</v>
      </c>
      <c r="L2845" s="6" t="s">
        <v>42</v>
      </c>
      <c r="M2845" s="6" t="s">
        <v>69</v>
      </c>
    </row>
    <row r="2846" spans="1:13">
      <c r="A2846" s="6" t="s">
        <v>4398</v>
      </c>
      <c r="B2846" s="7">
        <v>46176</v>
      </c>
      <c r="C2846" s="6" t="s">
        <v>4399</v>
      </c>
      <c r="D2846" s="6" t="s">
        <v>64</v>
      </c>
      <c r="E2846" s="6" t="s">
        <v>28</v>
      </c>
      <c r="F2846" s="6" t="s">
        <v>47</v>
      </c>
      <c r="G2846" s="6" t="s">
        <v>48</v>
      </c>
      <c r="H2846" s="6">
        <v>1</v>
      </c>
      <c r="I2846" s="6" t="s">
        <v>117</v>
      </c>
      <c r="J2846" s="6" t="s">
        <v>117</v>
      </c>
      <c r="K2846" s="6">
        <v>85</v>
      </c>
      <c r="L2846" s="6" t="s">
        <v>42</v>
      </c>
      <c r="M2846" s="6" t="s">
        <v>69</v>
      </c>
    </row>
    <row r="2847" spans="1:13">
      <c r="A2847" s="6" t="s">
        <v>4400</v>
      </c>
      <c r="B2847" s="6" t="s">
        <v>2940</v>
      </c>
      <c r="C2847" s="6" t="s">
        <v>2031</v>
      </c>
      <c r="D2847" s="6" t="s">
        <v>45</v>
      </c>
      <c r="E2847" s="6" t="s">
        <v>37</v>
      </c>
      <c r="F2847" s="6" t="s">
        <v>94</v>
      </c>
      <c r="G2847" s="6" t="s">
        <v>95</v>
      </c>
      <c r="H2847" s="6">
        <v>3</v>
      </c>
      <c r="I2847" s="6" t="s">
        <v>265</v>
      </c>
      <c r="J2847" s="6" t="s">
        <v>401</v>
      </c>
      <c r="K2847" s="6">
        <v>340</v>
      </c>
      <c r="L2847" s="6" t="s">
        <v>42</v>
      </c>
      <c r="M2847" s="6" t="s">
        <v>69</v>
      </c>
    </row>
    <row r="2848" spans="1:13">
      <c r="A2848" s="6" t="s">
        <v>4401</v>
      </c>
      <c r="B2848" s="7">
        <v>46063</v>
      </c>
      <c r="C2848" s="6" t="s">
        <v>431</v>
      </c>
      <c r="D2848" s="6" t="s">
        <v>105</v>
      </c>
      <c r="E2848" s="6" t="s">
        <v>46</v>
      </c>
      <c r="F2848" s="6" t="s">
        <v>47</v>
      </c>
      <c r="G2848" s="6" t="s">
        <v>48</v>
      </c>
      <c r="H2848" s="6">
        <v>1</v>
      </c>
      <c r="I2848" s="6" t="s">
        <v>40</v>
      </c>
      <c r="J2848" s="6" t="s">
        <v>40</v>
      </c>
      <c r="K2848" s="6">
        <v>85</v>
      </c>
      <c r="L2848" s="6" t="s">
        <v>42</v>
      </c>
      <c r="M2848" s="6" t="s">
        <v>69</v>
      </c>
    </row>
    <row r="2849" spans="1:13">
      <c r="A2849" s="6" t="s">
        <v>4402</v>
      </c>
      <c r="B2849" s="7">
        <v>46153</v>
      </c>
      <c r="C2849" s="6" t="s">
        <v>1824</v>
      </c>
      <c r="D2849" s="6" t="s">
        <v>127</v>
      </c>
      <c r="E2849" s="6" t="s">
        <v>52</v>
      </c>
      <c r="F2849" s="6" t="s">
        <v>38</v>
      </c>
      <c r="G2849" s="6" t="s">
        <v>39</v>
      </c>
      <c r="H2849" s="6">
        <v>1</v>
      </c>
      <c r="I2849" s="6" t="s">
        <v>79</v>
      </c>
      <c r="J2849" s="6" t="s">
        <v>79</v>
      </c>
      <c r="K2849" s="6" t="s">
        <v>41</v>
      </c>
      <c r="L2849" s="6" t="s">
        <v>42</v>
      </c>
      <c r="M2849" s="6" t="s">
        <v>34</v>
      </c>
    </row>
    <row r="2850" spans="1:13">
      <c r="A2850" s="6" t="s">
        <v>4403</v>
      </c>
      <c r="B2850" s="7">
        <v>46080</v>
      </c>
      <c r="C2850" s="6" t="s">
        <v>4196</v>
      </c>
      <c r="D2850" s="6" t="s">
        <v>45</v>
      </c>
      <c r="E2850" s="6" t="s">
        <v>28</v>
      </c>
      <c r="F2850" s="6" t="s">
        <v>94</v>
      </c>
      <c r="G2850" s="6" t="s">
        <v>95</v>
      </c>
      <c r="H2850" s="6">
        <v>2</v>
      </c>
      <c r="I2850" s="6" t="s">
        <v>31</v>
      </c>
      <c r="J2850" s="6" t="s">
        <v>249</v>
      </c>
      <c r="K2850" s="6">
        <v>340</v>
      </c>
      <c r="L2850" s="6" t="s">
        <v>33</v>
      </c>
      <c r="M2850" s="6" t="s">
        <v>34</v>
      </c>
    </row>
    <row r="2851" spans="1:13">
      <c r="A2851" s="6" t="s">
        <v>4404</v>
      </c>
      <c r="B2851" s="7">
        <v>46169</v>
      </c>
      <c r="C2851" s="6" t="s">
        <v>1453</v>
      </c>
      <c r="D2851" s="6" t="s">
        <v>105</v>
      </c>
      <c r="E2851" s="6" t="s">
        <v>37</v>
      </c>
      <c r="F2851" s="6" t="s">
        <v>29</v>
      </c>
      <c r="G2851" s="6" t="s">
        <v>30</v>
      </c>
      <c r="H2851" s="6">
        <v>2</v>
      </c>
      <c r="I2851" s="6" t="s">
        <v>181</v>
      </c>
      <c r="J2851" s="6" t="s">
        <v>163</v>
      </c>
      <c r="K2851" s="6" t="s">
        <v>41</v>
      </c>
      <c r="L2851" s="6" t="s">
        <v>42</v>
      </c>
      <c r="M2851" s="6" t="s">
        <v>34</v>
      </c>
    </row>
    <row r="2852" spans="1:13">
      <c r="A2852" s="6" t="s">
        <v>4405</v>
      </c>
      <c r="B2852" s="7">
        <v>46072</v>
      </c>
      <c r="C2852" s="6" t="s">
        <v>1658</v>
      </c>
      <c r="D2852" s="6" t="s">
        <v>45</v>
      </c>
      <c r="E2852" s="6" t="s">
        <v>28</v>
      </c>
      <c r="F2852" s="6" t="s">
        <v>47</v>
      </c>
      <c r="G2852" s="6" t="s">
        <v>48</v>
      </c>
      <c r="H2852" s="6">
        <v>1</v>
      </c>
      <c r="I2852" s="6" t="s">
        <v>90</v>
      </c>
      <c r="J2852" s="6" t="s">
        <v>90</v>
      </c>
      <c r="K2852" s="6">
        <v>85</v>
      </c>
      <c r="L2852" s="6" t="s">
        <v>33</v>
      </c>
      <c r="M2852" s="6" t="s">
        <v>34</v>
      </c>
    </row>
    <row r="2853" spans="1:13">
      <c r="A2853" s="6" t="s">
        <v>4406</v>
      </c>
      <c r="B2853" s="7">
        <v>46151</v>
      </c>
      <c r="C2853" s="6" t="s">
        <v>1221</v>
      </c>
      <c r="D2853" s="6" t="s">
        <v>110</v>
      </c>
      <c r="E2853" s="6" t="s">
        <v>52</v>
      </c>
      <c r="F2853" s="6" t="s">
        <v>100</v>
      </c>
      <c r="G2853" s="6" t="s">
        <v>101</v>
      </c>
      <c r="H2853" s="6">
        <v>2</v>
      </c>
      <c r="I2853" s="6" t="s">
        <v>79</v>
      </c>
      <c r="J2853" s="6" t="s">
        <v>259</v>
      </c>
      <c r="K2853" s="6" t="s">
        <v>119</v>
      </c>
      <c r="L2853" s="6" t="s">
        <v>42</v>
      </c>
      <c r="M2853" s="6" t="s">
        <v>34</v>
      </c>
    </row>
    <row r="2854" spans="1:13">
      <c r="A2854" s="6" t="s">
        <v>4407</v>
      </c>
      <c r="B2854" s="7">
        <v>46118</v>
      </c>
      <c r="C2854" s="6" t="s">
        <v>1325</v>
      </c>
      <c r="D2854" s="6" t="s">
        <v>105</v>
      </c>
      <c r="E2854" s="6" t="s">
        <v>78</v>
      </c>
      <c r="F2854" s="6" t="s">
        <v>100</v>
      </c>
      <c r="G2854" s="6" t="s">
        <v>101</v>
      </c>
      <c r="H2854" s="6">
        <v>1</v>
      </c>
      <c r="I2854" s="6" t="s">
        <v>181</v>
      </c>
      <c r="J2854" s="6" t="s">
        <v>181</v>
      </c>
      <c r="K2854" s="6">
        <v>640</v>
      </c>
      <c r="L2854" s="6" t="s">
        <v>42</v>
      </c>
      <c r="M2854" s="6" t="s">
        <v>34</v>
      </c>
    </row>
    <row r="2855" spans="1:13">
      <c r="A2855" s="6" t="s">
        <v>4408</v>
      </c>
      <c r="B2855" s="7">
        <v>46174</v>
      </c>
      <c r="C2855" s="6" t="s">
        <v>1057</v>
      </c>
      <c r="D2855" s="6" t="s">
        <v>57</v>
      </c>
      <c r="E2855" s="6" t="s">
        <v>46</v>
      </c>
      <c r="F2855" s="6" t="s">
        <v>100</v>
      </c>
      <c r="G2855" s="6" t="s">
        <v>101</v>
      </c>
      <c r="H2855" s="6">
        <v>3</v>
      </c>
      <c r="I2855" s="6" t="s">
        <v>231</v>
      </c>
      <c r="J2855" s="6" t="s">
        <v>505</v>
      </c>
      <c r="K2855" s="6">
        <v>640</v>
      </c>
      <c r="L2855" s="6" t="s">
        <v>42</v>
      </c>
      <c r="M2855" s="6" t="s">
        <v>34</v>
      </c>
    </row>
    <row r="2856" spans="1:13">
      <c r="A2856" s="6" t="s">
        <v>4409</v>
      </c>
      <c r="B2856" s="7">
        <v>46199</v>
      </c>
      <c r="C2856" s="6" t="s">
        <v>503</v>
      </c>
      <c r="D2856" s="6" t="s">
        <v>45</v>
      </c>
      <c r="E2856" s="6" t="s">
        <v>52</v>
      </c>
      <c r="F2856" s="6" t="s">
        <v>100</v>
      </c>
      <c r="G2856" s="6" t="s">
        <v>101</v>
      </c>
      <c r="H2856" s="6">
        <v>2</v>
      </c>
      <c r="I2856" s="6" t="s">
        <v>31</v>
      </c>
      <c r="J2856" s="6" t="s">
        <v>249</v>
      </c>
      <c r="K2856" s="6" t="s">
        <v>119</v>
      </c>
      <c r="L2856" s="6" t="s">
        <v>42</v>
      </c>
      <c r="M2856" s="6" t="s">
        <v>34</v>
      </c>
    </row>
    <row r="2857" spans="1:13">
      <c r="A2857" s="6" t="s">
        <v>4410</v>
      </c>
      <c r="B2857" s="7">
        <v>46051</v>
      </c>
      <c r="C2857" s="6" t="s">
        <v>2292</v>
      </c>
      <c r="D2857" s="6" t="s">
        <v>105</v>
      </c>
      <c r="E2857" s="6" t="s">
        <v>52</v>
      </c>
      <c r="F2857" s="6" t="s">
        <v>47</v>
      </c>
      <c r="G2857" s="6" t="s">
        <v>48</v>
      </c>
      <c r="H2857" s="6">
        <v>1</v>
      </c>
      <c r="I2857" s="6" t="s">
        <v>96</v>
      </c>
      <c r="J2857" s="6" t="s">
        <v>96</v>
      </c>
      <c r="K2857" s="6">
        <v>85</v>
      </c>
      <c r="L2857" s="6" t="s">
        <v>33</v>
      </c>
      <c r="M2857" s="6" t="s">
        <v>34</v>
      </c>
    </row>
    <row r="2858" spans="1:13">
      <c r="A2858" s="6" t="s">
        <v>4411</v>
      </c>
      <c r="B2858" s="7">
        <v>46131</v>
      </c>
      <c r="C2858" s="6" t="s">
        <v>396</v>
      </c>
      <c r="D2858" s="6" t="s">
        <v>45</v>
      </c>
      <c r="E2858" s="6" t="s">
        <v>28</v>
      </c>
      <c r="F2858" s="6" t="s">
        <v>85</v>
      </c>
      <c r="G2858" s="6" t="s">
        <v>86</v>
      </c>
      <c r="H2858" s="6">
        <v>1</v>
      </c>
      <c r="I2858" s="6" t="s">
        <v>90</v>
      </c>
      <c r="J2858" s="6" t="s">
        <v>90</v>
      </c>
      <c r="K2858" s="6">
        <v>410</v>
      </c>
      <c r="L2858" s="6" t="s">
        <v>42</v>
      </c>
      <c r="M2858" s="6" t="s">
        <v>34</v>
      </c>
    </row>
    <row r="2859" spans="1:13">
      <c r="A2859" s="6" t="s">
        <v>4412</v>
      </c>
      <c r="B2859" s="7">
        <v>46050</v>
      </c>
      <c r="C2859" s="6" t="s">
        <v>707</v>
      </c>
      <c r="D2859" s="6" t="s">
        <v>110</v>
      </c>
      <c r="E2859" s="6" t="s">
        <v>46</v>
      </c>
      <c r="F2859" s="6" t="s">
        <v>94</v>
      </c>
      <c r="G2859" s="6" t="s">
        <v>95</v>
      </c>
      <c r="H2859" s="6">
        <v>2</v>
      </c>
      <c r="I2859" s="6" t="s">
        <v>113</v>
      </c>
      <c r="J2859" s="6" t="s">
        <v>192</v>
      </c>
      <c r="K2859" s="6">
        <v>340</v>
      </c>
      <c r="L2859" s="6" t="s">
        <v>42</v>
      </c>
      <c r="M2859" s="6" t="s">
        <v>34</v>
      </c>
    </row>
    <row r="2860" spans="1:13">
      <c r="A2860" s="6" t="s">
        <v>4413</v>
      </c>
      <c r="B2860" s="7">
        <v>46043</v>
      </c>
      <c r="C2860" s="6" t="s">
        <v>1369</v>
      </c>
      <c r="D2860" s="6" t="s">
        <v>57</v>
      </c>
      <c r="E2860" s="6" t="s">
        <v>78</v>
      </c>
      <c r="F2860" s="6" t="s">
        <v>29</v>
      </c>
      <c r="G2860" s="6" t="s">
        <v>30</v>
      </c>
      <c r="H2860" s="6">
        <v>1</v>
      </c>
      <c r="I2860" s="6" t="s">
        <v>73</v>
      </c>
      <c r="J2860" s="6" t="s">
        <v>73</v>
      </c>
      <c r="K2860" s="6">
        <v>520</v>
      </c>
      <c r="L2860" s="6" t="s">
        <v>42</v>
      </c>
      <c r="M2860" s="6" t="s">
        <v>34</v>
      </c>
    </row>
    <row r="2861" spans="1:13">
      <c r="A2861" s="6" t="s">
        <v>4414</v>
      </c>
      <c r="B2861" s="6" t="s">
        <v>4415</v>
      </c>
      <c r="C2861" s="6" t="s">
        <v>4416</v>
      </c>
      <c r="D2861" s="6" t="s">
        <v>45</v>
      </c>
      <c r="E2861" s="6" t="s">
        <v>37</v>
      </c>
      <c r="F2861" s="6" t="s">
        <v>85</v>
      </c>
      <c r="G2861" s="6" t="s">
        <v>86</v>
      </c>
      <c r="H2861" s="6">
        <v>3</v>
      </c>
      <c r="I2861" s="6" t="s">
        <v>113</v>
      </c>
      <c r="J2861" s="6" t="s">
        <v>138</v>
      </c>
      <c r="K2861" s="6">
        <v>410</v>
      </c>
      <c r="L2861" s="6" t="s">
        <v>33</v>
      </c>
      <c r="M2861" s="6" t="s">
        <v>34</v>
      </c>
    </row>
    <row r="2862" spans="1:13">
      <c r="A2862" s="6" t="s">
        <v>4417</v>
      </c>
      <c r="B2862" s="7">
        <v>46116</v>
      </c>
      <c r="C2862" s="6" t="s">
        <v>4418</v>
      </c>
      <c r="D2862" s="6" t="s">
        <v>64</v>
      </c>
      <c r="E2862" s="6" t="s">
        <v>52</v>
      </c>
      <c r="F2862" s="6" t="s">
        <v>53</v>
      </c>
      <c r="G2862" s="6" t="s">
        <v>54</v>
      </c>
      <c r="H2862" s="6">
        <v>2</v>
      </c>
      <c r="I2862" s="6" t="s">
        <v>79</v>
      </c>
      <c r="J2862" s="6" t="s">
        <v>259</v>
      </c>
      <c r="K2862" s="6">
        <v>190</v>
      </c>
      <c r="L2862" s="6" t="s">
        <v>33</v>
      </c>
      <c r="M2862" s="6" t="s">
        <v>34</v>
      </c>
    </row>
    <row r="2863" spans="1:13">
      <c r="A2863" s="6" t="s">
        <v>4419</v>
      </c>
      <c r="B2863" s="7">
        <v>46195</v>
      </c>
      <c r="C2863" s="6" t="s">
        <v>513</v>
      </c>
      <c r="D2863" s="6" t="s">
        <v>57</v>
      </c>
      <c r="E2863" s="6" t="s">
        <v>46</v>
      </c>
      <c r="F2863" s="6" t="s">
        <v>47</v>
      </c>
      <c r="G2863" s="6" t="s">
        <v>48</v>
      </c>
      <c r="H2863" s="6">
        <v>2</v>
      </c>
      <c r="I2863" s="6" t="s">
        <v>82</v>
      </c>
      <c r="J2863" s="6" t="s">
        <v>297</v>
      </c>
      <c r="K2863" s="6" t="s">
        <v>49</v>
      </c>
      <c r="L2863" s="6" t="s">
        <v>42</v>
      </c>
      <c r="M2863" s="6" t="s">
        <v>69</v>
      </c>
    </row>
    <row r="2864" spans="1:13">
      <c r="A2864" s="6" t="s">
        <v>4420</v>
      </c>
      <c r="B2864" s="6" t="s">
        <v>2133</v>
      </c>
      <c r="C2864" s="6" t="s">
        <v>2275</v>
      </c>
      <c r="D2864" s="6" t="s">
        <v>105</v>
      </c>
      <c r="E2864" s="6" t="s">
        <v>37</v>
      </c>
      <c r="F2864" s="6" t="s">
        <v>29</v>
      </c>
      <c r="G2864" s="6" t="s">
        <v>30</v>
      </c>
      <c r="H2864" s="6">
        <v>1</v>
      </c>
      <c r="I2864" s="6" t="s">
        <v>67</v>
      </c>
      <c r="J2864" s="6" t="s">
        <v>67</v>
      </c>
      <c r="K2864" s="6">
        <v>520</v>
      </c>
      <c r="L2864" s="6" t="s">
        <v>42</v>
      </c>
      <c r="M2864" s="6" t="s">
        <v>34</v>
      </c>
    </row>
    <row r="2865" spans="1:13">
      <c r="A2865" s="6" t="s">
        <v>4421</v>
      </c>
      <c r="B2865" s="7">
        <v>46203</v>
      </c>
      <c r="C2865" s="6" t="s">
        <v>4422</v>
      </c>
      <c r="D2865" s="6" t="s">
        <v>45</v>
      </c>
      <c r="E2865" s="6" t="s">
        <v>78</v>
      </c>
      <c r="F2865" s="6" t="s">
        <v>85</v>
      </c>
      <c r="G2865" s="6" t="s">
        <v>86</v>
      </c>
      <c r="H2865" s="6">
        <v>2</v>
      </c>
      <c r="I2865" s="6" t="s">
        <v>181</v>
      </c>
      <c r="J2865" s="6" t="s">
        <v>163</v>
      </c>
      <c r="K2865" s="6" t="s">
        <v>87</v>
      </c>
      <c r="L2865" s="6" t="s">
        <v>33</v>
      </c>
      <c r="M2865" s="6" t="s">
        <v>34</v>
      </c>
    </row>
    <row r="2866" spans="1:13">
      <c r="A2866" s="6" t="s">
        <v>4423</v>
      </c>
      <c r="B2866" s="7">
        <v>46108</v>
      </c>
      <c r="C2866" s="6" t="s">
        <v>780</v>
      </c>
      <c r="D2866" s="6" t="s">
        <v>110</v>
      </c>
      <c r="E2866" s="6" t="s">
        <v>37</v>
      </c>
      <c r="F2866" s="6" t="s">
        <v>100</v>
      </c>
      <c r="G2866" s="6" t="s">
        <v>101</v>
      </c>
      <c r="H2866" s="6">
        <v>1</v>
      </c>
      <c r="I2866" s="6" t="s">
        <v>31</v>
      </c>
      <c r="J2866" s="6" t="s">
        <v>31</v>
      </c>
      <c r="K2866" s="6">
        <v>640</v>
      </c>
      <c r="L2866" s="6" t="s">
        <v>42</v>
      </c>
      <c r="M2866" s="6" t="s">
        <v>34</v>
      </c>
    </row>
    <row r="2867" spans="1:13">
      <c r="A2867" s="6" t="s">
        <v>4424</v>
      </c>
      <c r="B2867" s="7">
        <v>46098</v>
      </c>
      <c r="C2867" s="6" t="s">
        <v>408</v>
      </c>
      <c r="D2867" s="6" t="s">
        <v>64</v>
      </c>
      <c r="E2867" s="6" t="s">
        <v>78</v>
      </c>
      <c r="F2867" s="6" t="s">
        <v>53</v>
      </c>
      <c r="G2867" s="6" t="s">
        <v>54</v>
      </c>
      <c r="H2867" s="6">
        <v>2</v>
      </c>
      <c r="I2867" s="6" t="s">
        <v>143</v>
      </c>
      <c r="J2867" s="6" t="s">
        <v>144</v>
      </c>
      <c r="K2867" s="6">
        <v>190</v>
      </c>
      <c r="L2867" s="6" t="s">
        <v>42</v>
      </c>
      <c r="M2867" s="6" t="s">
        <v>34</v>
      </c>
    </row>
    <row r="2868" spans="1:13">
      <c r="A2868" s="6" t="s">
        <v>4425</v>
      </c>
      <c r="B2868" s="7">
        <v>46169</v>
      </c>
      <c r="C2868" s="6" t="s">
        <v>4426</v>
      </c>
      <c r="D2868" s="6" t="s">
        <v>105</v>
      </c>
      <c r="E2868" s="6" t="s">
        <v>46</v>
      </c>
      <c r="F2868" s="6" t="s">
        <v>100</v>
      </c>
      <c r="G2868" s="6" t="s">
        <v>101</v>
      </c>
      <c r="H2868" s="6">
        <v>1</v>
      </c>
      <c r="I2868" s="6" t="s">
        <v>90</v>
      </c>
      <c r="J2868" s="6" t="s">
        <v>1182</v>
      </c>
      <c r="K2868" s="6" t="s">
        <v>119</v>
      </c>
      <c r="L2868" s="6" t="s">
        <v>42</v>
      </c>
      <c r="M2868" s="6" t="s">
        <v>34</v>
      </c>
    </row>
    <row r="2869" spans="1:13">
      <c r="A2869" s="6" t="s">
        <v>4427</v>
      </c>
      <c r="B2869" s="7">
        <v>46155</v>
      </c>
      <c r="C2869" s="6" t="s">
        <v>1380</v>
      </c>
      <c r="D2869" s="6" t="s">
        <v>110</v>
      </c>
      <c r="E2869" s="6" t="s">
        <v>52</v>
      </c>
      <c r="F2869" s="6" t="s">
        <v>58</v>
      </c>
      <c r="G2869" s="6" t="s">
        <v>59</v>
      </c>
      <c r="H2869" s="6">
        <v>3</v>
      </c>
      <c r="I2869" s="6" t="s">
        <v>113</v>
      </c>
      <c r="J2869" s="6" t="s">
        <v>138</v>
      </c>
      <c r="K2869" s="6" t="s">
        <v>61</v>
      </c>
      <c r="L2869" s="6" t="s">
        <v>42</v>
      </c>
      <c r="M2869" s="6" t="s">
        <v>34</v>
      </c>
    </row>
    <row r="2870" spans="1:13">
      <c r="A2870" s="6" t="s">
        <v>4428</v>
      </c>
      <c r="B2870" s="6" t="s">
        <v>247</v>
      </c>
      <c r="C2870" s="6" t="s">
        <v>1007</v>
      </c>
      <c r="D2870" s="6" t="s">
        <v>110</v>
      </c>
      <c r="E2870" s="6" t="s">
        <v>78</v>
      </c>
      <c r="F2870" s="6" t="s">
        <v>38</v>
      </c>
      <c r="G2870" s="6" t="s">
        <v>39</v>
      </c>
      <c r="H2870" s="6">
        <v>1</v>
      </c>
      <c r="I2870" s="6" t="s">
        <v>113</v>
      </c>
      <c r="J2870" s="6" t="s">
        <v>113</v>
      </c>
      <c r="K2870" s="6">
        <v>520</v>
      </c>
      <c r="L2870" s="6" t="s">
        <v>42</v>
      </c>
      <c r="M2870" s="6" t="s">
        <v>34</v>
      </c>
    </row>
    <row r="2871" spans="1:13">
      <c r="A2871" s="6" t="s">
        <v>4429</v>
      </c>
      <c r="B2871" s="7">
        <v>46029</v>
      </c>
      <c r="C2871" s="6" t="s">
        <v>4360</v>
      </c>
      <c r="D2871" s="6" t="s">
        <v>110</v>
      </c>
      <c r="E2871" s="6" t="s">
        <v>28</v>
      </c>
      <c r="F2871" s="6" t="s">
        <v>47</v>
      </c>
      <c r="G2871" s="6" t="s">
        <v>48</v>
      </c>
      <c r="H2871" s="6">
        <v>2</v>
      </c>
      <c r="I2871" s="6" t="s">
        <v>73</v>
      </c>
      <c r="J2871" s="6" t="s">
        <v>74</v>
      </c>
      <c r="K2871" s="6">
        <v>85</v>
      </c>
      <c r="L2871" s="6" t="s">
        <v>42</v>
      </c>
      <c r="M2871" s="6" t="s">
        <v>69</v>
      </c>
    </row>
    <row r="2872" spans="1:13">
      <c r="A2872" s="6" t="s">
        <v>4430</v>
      </c>
      <c r="B2872" s="6" t="s">
        <v>1074</v>
      </c>
      <c r="C2872" s="6" t="s">
        <v>731</v>
      </c>
      <c r="D2872" s="6" t="s">
        <v>45</v>
      </c>
      <c r="E2872" s="6" t="s">
        <v>46</v>
      </c>
      <c r="F2872" s="6" t="s">
        <v>58</v>
      </c>
      <c r="G2872" s="6" t="s">
        <v>59</v>
      </c>
      <c r="H2872" s="6">
        <v>2</v>
      </c>
      <c r="I2872" s="6" t="s">
        <v>265</v>
      </c>
      <c r="J2872" s="6" t="s">
        <v>167</v>
      </c>
      <c r="K2872" s="6">
        <v>380</v>
      </c>
      <c r="L2872" s="6" t="s">
        <v>33</v>
      </c>
      <c r="M2872" s="6" t="s">
        <v>34</v>
      </c>
    </row>
    <row r="2873" spans="1:13">
      <c r="A2873" s="6" t="s">
        <v>4431</v>
      </c>
      <c r="B2873" s="7">
        <v>46088</v>
      </c>
      <c r="C2873" s="6" t="s">
        <v>4432</v>
      </c>
      <c r="D2873" s="6" t="s">
        <v>45</v>
      </c>
      <c r="E2873" s="6" t="s">
        <v>37</v>
      </c>
      <c r="F2873" s="6" t="s">
        <v>100</v>
      </c>
      <c r="G2873" s="6" t="s">
        <v>101</v>
      </c>
      <c r="H2873" s="6">
        <v>2</v>
      </c>
      <c r="I2873" s="6" t="s">
        <v>265</v>
      </c>
      <c r="J2873" s="6" t="s">
        <v>167</v>
      </c>
      <c r="K2873" s="6">
        <v>640</v>
      </c>
      <c r="L2873" s="6" t="s">
        <v>33</v>
      </c>
      <c r="M2873" s="6" t="s">
        <v>34</v>
      </c>
    </row>
    <row r="2874" spans="1:13">
      <c r="A2874" s="6" t="s">
        <v>4433</v>
      </c>
      <c r="B2874" s="7">
        <v>46091</v>
      </c>
      <c r="C2874" s="6" t="s">
        <v>1470</v>
      </c>
      <c r="D2874" s="6" t="s">
        <v>105</v>
      </c>
      <c r="E2874" s="6" t="s">
        <v>46</v>
      </c>
      <c r="F2874" s="6" t="s">
        <v>29</v>
      </c>
      <c r="G2874" s="6" t="s">
        <v>30</v>
      </c>
      <c r="H2874" s="6">
        <v>1</v>
      </c>
      <c r="I2874" s="6" t="s">
        <v>90</v>
      </c>
      <c r="J2874" s="6" t="s">
        <v>90</v>
      </c>
      <c r="K2874" s="6">
        <v>520</v>
      </c>
      <c r="L2874" s="6" t="s">
        <v>42</v>
      </c>
      <c r="M2874" s="6" t="s">
        <v>34</v>
      </c>
    </row>
    <row r="2875" spans="1:13">
      <c r="A2875" s="6" t="s">
        <v>4434</v>
      </c>
      <c r="B2875" s="6" t="s">
        <v>1450</v>
      </c>
      <c r="C2875" s="6" t="s">
        <v>1662</v>
      </c>
      <c r="D2875" s="6" t="s">
        <v>57</v>
      </c>
      <c r="E2875" s="6" t="s">
        <v>37</v>
      </c>
      <c r="F2875" s="6" t="s">
        <v>94</v>
      </c>
      <c r="G2875" s="6" t="s">
        <v>95</v>
      </c>
      <c r="H2875" s="6">
        <v>1</v>
      </c>
      <c r="I2875" s="6" t="s">
        <v>231</v>
      </c>
      <c r="J2875" s="6" t="s">
        <v>231</v>
      </c>
      <c r="K2875" s="6">
        <v>340</v>
      </c>
      <c r="L2875" s="6" t="s">
        <v>42</v>
      </c>
      <c r="M2875" s="6" t="s">
        <v>34</v>
      </c>
    </row>
    <row r="2876" spans="1:13">
      <c r="A2876" s="6" t="s">
        <v>4435</v>
      </c>
      <c r="B2876" s="7">
        <v>46147</v>
      </c>
      <c r="C2876" s="6" t="s">
        <v>3006</v>
      </c>
      <c r="D2876" s="6" t="s">
        <v>45</v>
      </c>
      <c r="E2876" s="6" t="s">
        <v>52</v>
      </c>
      <c r="F2876" s="6" t="s">
        <v>58</v>
      </c>
      <c r="G2876" s="6" t="s">
        <v>59</v>
      </c>
      <c r="H2876" s="6">
        <v>1</v>
      </c>
      <c r="I2876" s="6" t="s">
        <v>265</v>
      </c>
      <c r="J2876" s="6" t="s">
        <v>265</v>
      </c>
      <c r="K2876" s="6" t="s">
        <v>61</v>
      </c>
      <c r="L2876" s="6" t="s">
        <v>42</v>
      </c>
      <c r="M2876" s="6" t="s">
        <v>34</v>
      </c>
    </row>
    <row r="2877" spans="1:13">
      <c r="A2877" s="6" t="s">
        <v>4436</v>
      </c>
      <c r="B2877" s="7">
        <v>46153</v>
      </c>
      <c r="C2877" s="6" t="s">
        <v>1128</v>
      </c>
      <c r="D2877" s="6" t="s">
        <v>77</v>
      </c>
      <c r="E2877" s="6" t="s">
        <v>46</v>
      </c>
      <c r="F2877" s="6" t="s">
        <v>85</v>
      </c>
      <c r="G2877" s="6" t="s">
        <v>86</v>
      </c>
      <c r="H2877" s="6">
        <v>1</v>
      </c>
      <c r="I2877" s="6" t="s">
        <v>181</v>
      </c>
      <c r="J2877" s="6" t="s">
        <v>181</v>
      </c>
      <c r="K2877" s="6" t="s">
        <v>87</v>
      </c>
      <c r="L2877" s="6" t="s">
        <v>33</v>
      </c>
      <c r="M2877" s="6" t="s">
        <v>34</v>
      </c>
    </row>
    <row r="2878" spans="1:13">
      <c r="A2878" s="6" t="s">
        <v>4437</v>
      </c>
      <c r="B2878" s="7">
        <v>46190</v>
      </c>
      <c r="C2878" s="6" t="s">
        <v>3806</v>
      </c>
      <c r="D2878" s="6" t="s">
        <v>127</v>
      </c>
      <c r="E2878" s="6" t="s">
        <v>37</v>
      </c>
      <c r="F2878" s="6" t="s">
        <v>94</v>
      </c>
      <c r="G2878" s="6" t="s">
        <v>95</v>
      </c>
      <c r="H2878" s="6">
        <v>3</v>
      </c>
      <c r="I2878" s="6" t="s">
        <v>181</v>
      </c>
      <c r="J2878" s="6" t="s">
        <v>867</v>
      </c>
      <c r="K2878" s="6" t="s">
        <v>114</v>
      </c>
      <c r="L2878" s="6" t="s">
        <v>42</v>
      </c>
      <c r="M2878" s="6" t="s">
        <v>34</v>
      </c>
    </row>
    <row r="2879" spans="1:13">
      <c r="A2879" s="6" t="s">
        <v>4438</v>
      </c>
      <c r="B2879" s="7">
        <v>46065</v>
      </c>
      <c r="C2879" s="6" t="s">
        <v>1343</v>
      </c>
      <c r="D2879" s="6" t="s">
        <v>64</v>
      </c>
      <c r="E2879" s="6" t="s">
        <v>52</v>
      </c>
      <c r="F2879" s="6" t="s">
        <v>47</v>
      </c>
      <c r="G2879" s="6" t="s">
        <v>48</v>
      </c>
      <c r="H2879" s="6">
        <v>1</v>
      </c>
      <c r="I2879" s="6" t="s">
        <v>373</v>
      </c>
      <c r="J2879" s="6" t="s">
        <v>79</v>
      </c>
      <c r="K2879" s="6">
        <v>85</v>
      </c>
      <c r="L2879" s="6" t="s">
        <v>42</v>
      </c>
      <c r="M2879" s="6" t="s">
        <v>69</v>
      </c>
    </row>
    <row r="2880" spans="1:13">
      <c r="A2880" s="6" t="s">
        <v>4439</v>
      </c>
      <c r="B2880" s="7">
        <v>46156</v>
      </c>
      <c r="C2880" s="6" t="s">
        <v>326</v>
      </c>
      <c r="D2880" s="6" t="s">
        <v>45</v>
      </c>
      <c r="E2880" s="6" t="s">
        <v>28</v>
      </c>
      <c r="F2880" s="6" t="s">
        <v>53</v>
      </c>
      <c r="G2880" s="6" t="s">
        <v>54</v>
      </c>
      <c r="H2880" s="6">
        <v>2</v>
      </c>
      <c r="I2880" s="6" t="s">
        <v>265</v>
      </c>
      <c r="J2880" s="6" t="s">
        <v>167</v>
      </c>
      <c r="K2880" s="6" t="s">
        <v>122</v>
      </c>
      <c r="L2880" s="6" t="s">
        <v>42</v>
      </c>
      <c r="M2880" s="6" t="s">
        <v>34</v>
      </c>
    </row>
    <row r="2881" spans="1:13">
      <c r="A2881" s="6" t="s">
        <v>4440</v>
      </c>
      <c r="B2881" s="7">
        <v>46029</v>
      </c>
      <c r="C2881" s="6" t="s">
        <v>949</v>
      </c>
      <c r="D2881" s="6" t="s">
        <v>27</v>
      </c>
      <c r="E2881" s="6" t="s">
        <v>46</v>
      </c>
      <c r="F2881" s="6" t="s">
        <v>58</v>
      </c>
      <c r="G2881" s="6" t="s">
        <v>59</v>
      </c>
      <c r="H2881" s="6">
        <v>2</v>
      </c>
      <c r="I2881" s="6" t="s">
        <v>181</v>
      </c>
      <c r="J2881" s="6" t="s">
        <v>1584</v>
      </c>
      <c r="K2881" s="6">
        <v>380</v>
      </c>
      <c r="L2881" s="6" t="s">
        <v>42</v>
      </c>
      <c r="M2881" s="6" t="s">
        <v>34</v>
      </c>
    </row>
    <row r="2882" spans="1:13">
      <c r="A2882" s="6" t="s">
        <v>4441</v>
      </c>
      <c r="B2882" s="7">
        <v>46183</v>
      </c>
      <c r="C2882" s="6" t="s">
        <v>520</v>
      </c>
      <c r="D2882" s="6" t="s">
        <v>72</v>
      </c>
      <c r="E2882" s="6" t="s">
        <v>37</v>
      </c>
      <c r="F2882" s="6" t="s">
        <v>38</v>
      </c>
      <c r="G2882" s="6" t="s">
        <v>39</v>
      </c>
      <c r="H2882" s="6">
        <v>1</v>
      </c>
      <c r="I2882" s="6" t="s">
        <v>82</v>
      </c>
      <c r="J2882" s="6" t="s">
        <v>82</v>
      </c>
      <c r="K2882" s="6" t="s">
        <v>41</v>
      </c>
      <c r="L2882" s="6" t="s">
        <v>33</v>
      </c>
      <c r="M2882" s="6" t="s">
        <v>34</v>
      </c>
    </row>
    <row r="2883" spans="1:13">
      <c r="A2883" s="6" t="s">
        <v>4442</v>
      </c>
      <c r="B2883" s="7">
        <v>46064</v>
      </c>
      <c r="C2883" s="6" t="s">
        <v>339</v>
      </c>
      <c r="D2883" s="6" t="s">
        <v>110</v>
      </c>
      <c r="E2883" s="6" t="s">
        <v>52</v>
      </c>
      <c r="F2883" s="6" t="s">
        <v>29</v>
      </c>
      <c r="G2883" s="6" t="s">
        <v>30</v>
      </c>
      <c r="H2883" s="6">
        <v>1</v>
      </c>
      <c r="I2883" s="6" t="s">
        <v>90</v>
      </c>
      <c r="J2883" s="6" t="s">
        <v>90</v>
      </c>
      <c r="K2883" s="6">
        <v>520</v>
      </c>
      <c r="L2883" s="6" t="s">
        <v>33</v>
      </c>
      <c r="M2883" s="6" t="s">
        <v>34</v>
      </c>
    </row>
    <row r="2884" spans="1:13">
      <c r="A2884" s="6" t="s">
        <v>4443</v>
      </c>
      <c r="B2884" s="6" t="s">
        <v>1409</v>
      </c>
      <c r="C2884" s="6" t="s">
        <v>1551</v>
      </c>
      <c r="D2884" s="6" t="s">
        <v>77</v>
      </c>
      <c r="E2884" s="6" t="s">
        <v>37</v>
      </c>
      <c r="F2884" s="6" t="s">
        <v>94</v>
      </c>
      <c r="G2884" s="6" t="s">
        <v>95</v>
      </c>
      <c r="H2884" s="6">
        <v>1</v>
      </c>
      <c r="I2884" s="6" t="s">
        <v>265</v>
      </c>
      <c r="J2884" s="6" t="s">
        <v>265</v>
      </c>
      <c r="K2884" s="6">
        <v>340</v>
      </c>
      <c r="L2884" s="6" t="s">
        <v>42</v>
      </c>
      <c r="M2884" s="6" t="s">
        <v>34</v>
      </c>
    </row>
    <row r="2885" spans="1:13">
      <c r="A2885" s="6" t="s">
        <v>4444</v>
      </c>
      <c r="B2885" s="7">
        <v>46130</v>
      </c>
      <c r="C2885" s="6" t="s">
        <v>951</v>
      </c>
      <c r="D2885" s="6" t="s">
        <v>45</v>
      </c>
      <c r="E2885" s="6" t="s">
        <v>78</v>
      </c>
      <c r="F2885" s="6" t="s">
        <v>29</v>
      </c>
      <c r="G2885" s="6" t="s">
        <v>30</v>
      </c>
      <c r="H2885" s="6">
        <v>3</v>
      </c>
      <c r="I2885" s="6" t="s">
        <v>40</v>
      </c>
      <c r="J2885" s="6" t="s">
        <v>579</v>
      </c>
      <c r="K2885" s="6">
        <v>520</v>
      </c>
      <c r="L2885" s="6" t="s">
        <v>42</v>
      </c>
      <c r="M2885" s="6" t="s">
        <v>69</v>
      </c>
    </row>
    <row r="2886" spans="1:13">
      <c r="A2886" s="6" t="s">
        <v>4445</v>
      </c>
      <c r="B2886" s="7">
        <v>46134</v>
      </c>
      <c r="C2886" s="6" t="s">
        <v>3490</v>
      </c>
      <c r="D2886" s="6" t="s">
        <v>127</v>
      </c>
      <c r="E2886" s="6" t="s">
        <v>28</v>
      </c>
      <c r="F2886" s="6" t="s">
        <v>38</v>
      </c>
      <c r="G2886" s="6" t="s">
        <v>39</v>
      </c>
      <c r="H2886" s="6">
        <v>1</v>
      </c>
      <c r="I2886" s="6" t="s">
        <v>1224</v>
      </c>
      <c r="J2886" s="6" t="s">
        <v>1060</v>
      </c>
      <c r="K2886" s="6" t="s">
        <v>41</v>
      </c>
      <c r="L2886" s="6" t="s">
        <v>33</v>
      </c>
      <c r="M2886" s="6" t="s">
        <v>34</v>
      </c>
    </row>
    <row r="2887" spans="1:13">
      <c r="A2887" s="6" t="s">
        <v>4446</v>
      </c>
      <c r="B2887" s="7">
        <v>46181</v>
      </c>
      <c r="C2887" s="6" t="s">
        <v>4447</v>
      </c>
      <c r="D2887" s="6" t="s">
        <v>64</v>
      </c>
      <c r="E2887" s="6" t="s">
        <v>52</v>
      </c>
      <c r="F2887" s="6" t="s">
        <v>94</v>
      </c>
      <c r="G2887" s="6" t="s">
        <v>95</v>
      </c>
      <c r="H2887" s="6">
        <v>2</v>
      </c>
      <c r="I2887" s="6" t="s">
        <v>231</v>
      </c>
      <c r="J2887" s="6" t="s">
        <v>4448</v>
      </c>
      <c r="K2887" s="6" t="s">
        <v>114</v>
      </c>
      <c r="L2887" s="6" t="s">
        <v>42</v>
      </c>
      <c r="M2887" s="6" t="s">
        <v>34</v>
      </c>
    </row>
    <row r="2888" spans="1:13">
      <c r="A2888" s="6" t="s">
        <v>4449</v>
      </c>
      <c r="B2888" s="7">
        <v>46157</v>
      </c>
      <c r="C2888" s="6" t="s">
        <v>591</v>
      </c>
      <c r="D2888" s="6" t="s">
        <v>72</v>
      </c>
      <c r="E2888" s="6" t="s">
        <v>28</v>
      </c>
      <c r="F2888" s="6" t="s">
        <v>53</v>
      </c>
      <c r="G2888" s="6" t="s">
        <v>54</v>
      </c>
      <c r="H2888" s="6">
        <v>1</v>
      </c>
      <c r="I2888" s="6" t="s">
        <v>79</v>
      </c>
      <c r="J2888" s="6" t="s">
        <v>79</v>
      </c>
      <c r="K2888" s="6" t="s">
        <v>122</v>
      </c>
      <c r="L2888" s="6" t="s">
        <v>33</v>
      </c>
      <c r="M2888" s="6" t="s">
        <v>34</v>
      </c>
    </row>
    <row r="2889" spans="1:13">
      <c r="A2889" s="6" t="s">
        <v>4450</v>
      </c>
      <c r="B2889" s="7">
        <v>46029</v>
      </c>
      <c r="C2889" s="6" t="s">
        <v>2123</v>
      </c>
      <c r="D2889" s="6" t="s">
        <v>45</v>
      </c>
      <c r="E2889" s="6" t="s">
        <v>37</v>
      </c>
      <c r="F2889" s="6" t="s">
        <v>85</v>
      </c>
      <c r="G2889" s="6" t="s">
        <v>86</v>
      </c>
      <c r="H2889" s="6">
        <v>1</v>
      </c>
      <c r="I2889" s="6" t="s">
        <v>73</v>
      </c>
      <c r="J2889" s="6" t="s">
        <v>73</v>
      </c>
      <c r="K2889" s="6">
        <v>410</v>
      </c>
      <c r="L2889" s="6" t="s">
        <v>42</v>
      </c>
      <c r="M2889" s="6" t="s">
        <v>34</v>
      </c>
    </row>
    <row r="2890" spans="1:13">
      <c r="A2890" s="6" t="s">
        <v>4451</v>
      </c>
      <c r="B2890" s="7">
        <v>46159</v>
      </c>
      <c r="C2890" s="6" t="s">
        <v>4452</v>
      </c>
      <c r="D2890" s="6" t="s">
        <v>77</v>
      </c>
      <c r="E2890" s="6" t="s">
        <v>46</v>
      </c>
      <c r="F2890" s="6" t="s">
        <v>58</v>
      </c>
      <c r="G2890" s="6" t="s">
        <v>59</v>
      </c>
      <c r="H2890" s="6">
        <v>1</v>
      </c>
      <c r="I2890" s="6" t="s">
        <v>143</v>
      </c>
      <c r="J2890" s="6" t="s">
        <v>143</v>
      </c>
      <c r="K2890" s="6" t="s">
        <v>61</v>
      </c>
      <c r="L2890" s="6" t="s">
        <v>33</v>
      </c>
      <c r="M2890" s="6" t="s">
        <v>34</v>
      </c>
    </row>
    <row r="2891" spans="1:13">
      <c r="A2891" s="6" t="s">
        <v>4453</v>
      </c>
      <c r="B2891" s="7">
        <v>46102</v>
      </c>
      <c r="C2891" s="6" t="s">
        <v>4118</v>
      </c>
      <c r="D2891" s="6" t="s">
        <v>110</v>
      </c>
      <c r="E2891" s="6" t="s">
        <v>78</v>
      </c>
      <c r="F2891" s="6" t="s">
        <v>38</v>
      </c>
      <c r="G2891" s="6" t="s">
        <v>39</v>
      </c>
      <c r="H2891" s="6">
        <v>3</v>
      </c>
      <c r="I2891" s="6" t="s">
        <v>490</v>
      </c>
      <c r="J2891" s="6" t="s">
        <v>390</v>
      </c>
      <c r="K2891" s="6">
        <v>520</v>
      </c>
      <c r="L2891" s="6" t="s">
        <v>33</v>
      </c>
      <c r="M2891" s="6" t="s">
        <v>34</v>
      </c>
    </row>
    <row r="2892" spans="1:13">
      <c r="A2892" s="6" t="s">
        <v>4454</v>
      </c>
      <c r="B2892" s="7">
        <v>46095</v>
      </c>
      <c r="C2892" s="6" t="s">
        <v>575</v>
      </c>
      <c r="D2892" s="6" t="s">
        <v>45</v>
      </c>
      <c r="E2892" s="6" t="s">
        <v>37</v>
      </c>
      <c r="F2892" s="6" t="s">
        <v>85</v>
      </c>
      <c r="G2892" s="6" t="s">
        <v>86</v>
      </c>
      <c r="H2892" s="6">
        <v>2</v>
      </c>
      <c r="I2892" s="6" t="s">
        <v>117</v>
      </c>
      <c r="J2892" s="6" t="s">
        <v>118</v>
      </c>
      <c r="K2892" s="6">
        <v>410</v>
      </c>
      <c r="L2892" s="6" t="s">
        <v>42</v>
      </c>
      <c r="M2892" s="6" t="s">
        <v>34</v>
      </c>
    </row>
    <row r="2893" spans="1:13">
      <c r="A2893" s="6" t="s">
        <v>4455</v>
      </c>
      <c r="B2893" s="7">
        <v>46085</v>
      </c>
      <c r="C2893" s="6" t="s">
        <v>4456</v>
      </c>
      <c r="D2893" s="6" t="s">
        <v>72</v>
      </c>
      <c r="E2893" s="6" t="s">
        <v>37</v>
      </c>
      <c r="F2893" s="6" t="s">
        <v>47</v>
      </c>
      <c r="G2893" s="6" t="s">
        <v>48</v>
      </c>
      <c r="H2893" s="6">
        <v>3</v>
      </c>
      <c r="I2893" s="6" t="s">
        <v>82</v>
      </c>
      <c r="J2893" s="6" t="s">
        <v>390</v>
      </c>
      <c r="K2893" s="6">
        <v>85</v>
      </c>
      <c r="L2893" s="6" t="s">
        <v>42</v>
      </c>
      <c r="M2893" s="6" t="s">
        <v>69</v>
      </c>
    </row>
    <row r="2894" spans="1:13">
      <c r="A2894" s="6" t="s">
        <v>4457</v>
      </c>
      <c r="B2894" s="7">
        <v>46196</v>
      </c>
      <c r="C2894" s="6" t="s">
        <v>1135</v>
      </c>
      <c r="D2894" s="6" t="s">
        <v>127</v>
      </c>
      <c r="E2894" s="6" t="s">
        <v>37</v>
      </c>
      <c r="F2894" s="6" t="s">
        <v>85</v>
      </c>
      <c r="G2894" s="6" t="s">
        <v>86</v>
      </c>
      <c r="H2894" s="6">
        <v>1</v>
      </c>
      <c r="I2894" s="6" t="s">
        <v>1224</v>
      </c>
      <c r="J2894" s="6" t="s">
        <v>117</v>
      </c>
      <c r="K2894" s="6" t="s">
        <v>87</v>
      </c>
      <c r="L2894" s="6" t="s">
        <v>42</v>
      </c>
      <c r="M2894" s="6" t="s">
        <v>34</v>
      </c>
    </row>
    <row r="2895" spans="1:13">
      <c r="A2895" s="6" t="s">
        <v>4458</v>
      </c>
      <c r="B2895" s="7">
        <v>46066</v>
      </c>
      <c r="C2895" s="6" t="s">
        <v>624</v>
      </c>
      <c r="D2895" s="6" t="s">
        <v>77</v>
      </c>
      <c r="E2895" s="6" t="s">
        <v>28</v>
      </c>
      <c r="F2895" s="6" t="s">
        <v>58</v>
      </c>
      <c r="G2895" s="6" t="s">
        <v>59</v>
      </c>
      <c r="H2895" s="6">
        <v>2</v>
      </c>
      <c r="I2895" s="6" t="s">
        <v>31</v>
      </c>
      <c r="J2895" s="6" t="s">
        <v>249</v>
      </c>
      <c r="K2895" s="6">
        <v>380</v>
      </c>
      <c r="L2895" s="6" t="s">
        <v>33</v>
      </c>
      <c r="M2895" s="6" t="s">
        <v>34</v>
      </c>
    </row>
    <row r="2896" spans="1:13">
      <c r="A2896" s="6" t="s">
        <v>4459</v>
      </c>
      <c r="B2896" s="7">
        <v>46098</v>
      </c>
      <c r="C2896" s="6" t="s">
        <v>2284</v>
      </c>
      <c r="D2896" s="6" t="s">
        <v>45</v>
      </c>
      <c r="E2896" s="6" t="s">
        <v>52</v>
      </c>
      <c r="F2896" s="6" t="s">
        <v>47</v>
      </c>
      <c r="G2896" s="6" t="s">
        <v>48</v>
      </c>
      <c r="H2896" s="6">
        <v>1</v>
      </c>
      <c r="I2896" s="6" t="s">
        <v>265</v>
      </c>
      <c r="J2896" s="6" t="s">
        <v>265</v>
      </c>
      <c r="K2896" s="6">
        <v>85</v>
      </c>
      <c r="L2896" s="6" t="s">
        <v>33</v>
      </c>
      <c r="M2896" s="6" t="s">
        <v>69</v>
      </c>
    </row>
    <row r="2897" spans="1:13">
      <c r="A2897" s="6" t="s">
        <v>4460</v>
      </c>
      <c r="B2897" s="7">
        <v>46199</v>
      </c>
      <c r="C2897" s="6" t="s">
        <v>3858</v>
      </c>
      <c r="D2897" s="6" t="s">
        <v>45</v>
      </c>
      <c r="E2897" s="6" t="s">
        <v>28</v>
      </c>
      <c r="F2897" s="6" t="s">
        <v>100</v>
      </c>
      <c r="G2897" s="6" t="s">
        <v>101</v>
      </c>
      <c r="H2897" s="6">
        <v>1</v>
      </c>
      <c r="I2897" s="6" t="s">
        <v>147</v>
      </c>
      <c r="J2897" s="6" t="s">
        <v>147</v>
      </c>
      <c r="K2897" s="6" t="s">
        <v>119</v>
      </c>
      <c r="L2897" s="6" t="s">
        <v>42</v>
      </c>
      <c r="M2897" s="6" t="s">
        <v>34</v>
      </c>
    </row>
    <row r="2898" spans="1:13">
      <c r="A2898" s="6" t="s">
        <v>4461</v>
      </c>
      <c r="B2898" s="7">
        <v>46121</v>
      </c>
      <c r="C2898" s="6" t="s">
        <v>2644</v>
      </c>
      <c r="D2898" s="6" t="s">
        <v>57</v>
      </c>
      <c r="E2898" s="6" t="s">
        <v>78</v>
      </c>
      <c r="F2898" s="6" t="s">
        <v>47</v>
      </c>
      <c r="G2898" s="6" t="s">
        <v>48</v>
      </c>
      <c r="H2898" s="6">
        <v>1</v>
      </c>
      <c r="I2898" s="6" t="s">
        <v>60</v>
      </c>
      <c r="J2898" s="6" t="s">
        <v>60</v>
      </c>
      <c r="K2898" s="6">
        <v>85</v>
      </c>
      <c r="L2898" s="6" t="s">
        <v>42</v>
      </c>
      <c r="M2898" s="6" t="s">
        <v>34</v>
      </c>
    </row>
    <row r="2899" spans="1:13">
      <c r="A2899" s="6" t="s">
        <v>4462</v>
      </c>
      <c r="B2899" s="7">
        <v>46083</v>
      </c>
      <c r="C2899" s="6" t="s">
        <v>2198</v>
      </c>
      <c r="D2899" s="6" t="s">
        <v>77</v>
      </c>
      <c r="E2899" s="6" t="s">
        <v>37</v>
      </c>
      <c r="F2899" s="6" t="s">
        <v>85</v>
      </c>
      <c r="G2899" s="6" t="s">
        <v>86</v>
      </c>
      <c r="H2899" s="6">
        <v>2</v>
      </c>
      <c r="I2899" s="6" t="s">
        <v>147</v>
      </c>
      <c r="J2899" s="6" t="s">
        <v>175</v>
      </c>
      <c r="K2899" s="6">
        <v>410</v>
      </c>
      <c r="L2899" s="6" t="s">
        <v>42</v>
      </c>
      <c r="M2899" s="6" t="s">
        <v>34</v>
      </c>
    </row>
    <row r="2900" spans="1:13">
      <c r="A2900" s="6" t="s">
        <v>4463</v>
      </c>
      <c r="B2900" s="7">
        <v>46182</v>
      </c>
      <c r="C2900" s="6" t="s">
        <v>4464</v>
      </c>
      <c r="D2900" s="6" t="s">
        <v>110</v>
      </c>
      <c r="E2900" s="6" t="s">
        <v>37</v>
      </c>
      <c r="F2900" s="6" t="s">
        <v>85</v>
      </c>
      <c r="G2900" s="6" t="s">
        <v>86</v>
      </c>
      <c r="H2900" s="6">
        <v>3</v>
      </c>
      <c r="I2900" s="6" t="s">
        <v>117</v>
      </c>
      <c r="J2900" s="6" t="s">
        <v>171</v>
      </c>
      <c r="K2900" s="6" t="s">
        <v>87</v>
      </c>
      <c r="L2900" s="6" t="s">
        <v>42</v>
      </c>
      <c r="M2900" s="6" t="s">
        <v>34</v>
      </c>
    </row>
    <row r="2901" spans="1:13">
      <c r="A2901" s="6" t="s">
        <v>4465</v>
      </c>
      <c r="B2901" s="7">
        <v>46181</v>
      </c>
      <c r="C2901" s="6" t="s">
        <v>3262</v>
      </c>
      <c r="D2901" s="6" t="s">
        <v>27</v>
      </c>
      <c r="E2901" s="6" t="s">
        <v>46</v>
      </c>
      <c r="F2901" s="6" t="s">
        <v>58</v>
      </c>
      <c r="G2901" s="6" t="s">
        <v>59</v>
      </c>
      <c r="H2901" s="6">
        <v>2</v>
      </c>
      <c r="I2901" s="6" t="s">
        <v>113</v>
      </c>
      <c r="J2901" s="6" t="s">
        <v>192</v>
      </c>
      <c r="K2901" s="6" t="s">
        <v>61</v>
      </c>
      <c r="L2901" s="6" t="s">
        <v>42</v>
      </c>
      <c r="M2901" s="6" t="s">
        <v>34</v>
      </c>
    </row>
    <row r="2902" spans="1:13">
      <c r="A2902" s="6" t="s">
        <v>4466</v>
      </c>
      <c r="B2902" s="7">
        <v>46172</v>
      </c>
      <c r="C2902" s="6" t="s">
        <v>2661</v>
      </c>
      <c r="D2902" s="6" t="s">
        <v>127</v>
      </c>
      <c r="E2902" s="6" t="s">
        <v>46</v>
      </c>
      <c r="F2902" s="6" t="s">
        <v>100</v>
      </c>
      <c r="G2902" s="6" t="s">
        <v>101</v>
      </c>
      <c r="H2902" s="6">
        <v>2</v>
      </c>
      <c r="I2902" s="6" t="s">
        <v>31</v>
      </c>
      <c r="J2902" s="6" t="s">
        <v>249</v>
      </c>
      <c r="K2902" s="6" t="s">
        <v>119</v>
      </c>
      <c r="L2902" s="6" t="s">
        <v>42</v>
      </c>
      <c r="M2902" s="6" t="s">
        <v>34</v>
      </c>
    </row>
    <row r="2903" spans="1:13">
      <c r="A2903" s="6" t="s">
        <v>4467</v>
      </c>
      <c r="B2903" s="7">
        <v>46162</v>
      </c>
      <c r="C2903" s="6" t="s">
        <v>1254</v>
      </c>
      <c r="D2903" s="6" t="s">
        <v>77</v>
      </c>
      <c r="E2903" s="6" t="s">
        <v>52</v>
      </c>
      <c r="F2903" s="6" t="s">
        <v>38</v>
      </c>
      <c r="G2903" s="6" t="s">
        <v>39</v>
      </c>
      <c r="H2903" s="6">
        <v>2</v>
      </c>
      <c r="I2903" s="6" t="s">
        <v>181</v>
      </c>
      <c r="J2903" s="6" t="s">
        <v>163</v>
      </c>
      <c r="K2903" s="6" t="s">
        <v>41</v>
      </c>
      <c r="L2903" s="6" t="s">
        <v>42</v>
      </c>
      <c r="M2903" s="6" t="s">
        <v>34</v>
      </c>
    </row>
    <row r="2904" spans="1:13">
      <c r="A2904" s="6" t="s">
        <v>4468</v>
      </c>
      <c r="B2904" s="6" t="s">
        <v>4469</v>
      </c>
      <c r="C2904" s="6" t="s">
        <v>3255</v>
      </c>
      <c r="D2904" s="6" t="s">
        <v>27</v>
      </c>
      <c r="E2904" s="6" t="s">
        <v>46</v>
      </c>
      <c r="F2904" s="6" t="s">
        <v>94</v>
      </c>
      <c r="G2904" s="6" t="s">
        <v>95</v>
      </c>
      <c r="H2904" s="6">
        <v>1</v>
      </c>
      <c r="I2904" s="6" t="s">
        <v>231</v>
      </c>
      <c r="J2904" s="6" t="s">
        <v>2217</v>
      </c>
      <c r="K2904" s="6" t="s">
        <v>114</v>
      </c>
      <c r="L2904" s="6" t="s">
        <v>42</v>
      </c>
      <c r="M2904" s="6" t="s">
        <v>34</v>
      </c>
    </row>
    <row r="2905" spans="1:13">
      <c r="A2905" s="6" t="s">
        <v>4470</v>
      </c>
      <c r="B2905" s="7">
        <v>46119</v>
      </c>
      <c r="C2905" s="6" t="s">
        <v>596</v>
      </c>
      <c r="D2905" s="6" t="s">
        <v>127</v>
      </c>
      <c r="E2905" s="6" t="s">
        <v>37</v>
      </c>
      <c r="F2905" s="6" t="s">
        <v>53</v>
      </c>
      <c r="G2905" s="6" t="s">
        <v>54</v>
      </c>
      <c r="H2905" s="6">
        <v>1</v>
      </c>
      <c r="I2905" s="6" t="s">
        <v>656</v>
      </c>
      <c r="J2905" s="6" t="s">
        <v>113</v>
      </c>
      <c r="K2905" s="6">
        <v>190</v>
      </c>
      <c r="L2905" s="6" t="s">
        <v>42</v>
      </c>
      <c r="M2905" s="6" t="s">
        <v>34</v>
      </c>
    </row>
    <row r="2906" spans="1:13">
      <c r="A2906" s="6" t="s">
        <v>4471</v>
      </c>
      <c r="B2906" s="7">
        <v>46188</v>
      </c>
      <c r="C2906" s="6" t="s">
        <v>4236</v>
      </c>
      <c r="D2906" s="6" t="s">
        <v>105</v>
      </c>
      <c r="E2906" s="6" t="s">
        <v>28</v>
      </c>
      <c r="F2906" s="6" t="s">
        <v>47</v>
      </c>
      <c r="G2906" s="6" t="s">
        <v>48</v>
      </c>
      <c r="H2906" s="6">
        <v>2</v>
      </c>
      <c r="I2906" s="6" t="s">
        <v>117</v>
      </c>
      <c r="J2906" s="6" t="s">
        <v>118</v>
      </c>
      <c r="K2906" s="6" t="s">
        <v>49</v>
      </c>
      <c r="L2906" s="6" t="s">
        <v>42</v>
      </c>
      <c r="M2906" s="6" t="s">
        <v>34</v>
      </c>
    </row>
    <row r="2907" spans="1:13">
      <c r="A2907" s="6" t="s">
        <v>4472</v>
      </c>
      <c r="B2907" s="6" t="s">
        <v>601</v>
      </c>
      <c r="C2907" s="6" t="s">
        <v>1448</v>
      </c>
      <c r="D2907" s="6" t="s">
        <v>72</v>
      </c>
      <c r="E2907" s="6" t="s">
        <v>78</v>
      </c>
      <c r="F2907" s="6" t="s">
        <v>94</v>
      </c>
      <c r="G2907" s="6" t="s">
        <v>95</v>
      </c>
      <c r="H2907" s="6">
        <v>2</v>
      </c>
      <c r="I2907" s="6" t="s">
        <v>2626</v>
      </c>
      <c r="J2907" s="6" t="s">
        <v>297</v>
      </c>
      <c r="K2907" s="6">
        <v>340</v>
      </c>
      <c r="L2907" s="6" t="s">
        <v>42</v>
      </c>
      <c r="M2907" s="6" t="s">
        <v>34</v>
      </c>
    </row>
    <row r="2908" spans="1:13">
      <c r="A2908" s="6" t="s">
        <v>4473</v>
      </c>
      <c r="B2908" s="7">
        <v>46082</v>
      </c>
      <c r="C2908" s="6" t="s">
        <v>267</v>
      </c>
      <c r="D2908" s="6" t="s">
        <v>127</v>
      </c>
      <c r="E2908" s="6" t="s">
        <v>78</v>
      </c>
      <c r="F2908" s="6" t="s">
        <v>100</v>
      </c>
      <c r="G2908" s="6" t="s">
        <v>101</v>
      </c>
      <c r="H2908" s="6">
        <v>1</v>
      </c>
      <c r="I2908" s="6" t="s">
        <v>117</v>
      </c>
      <c r="J2908" s="6" t="s">
        <v>117</v>
      </c>
      <c r="K2908" s="6">
        <v>640</v>
      </c>
      <c r="L2908" s="6" t="s">
        <v>42</v>
      </c>
      <c r="M2908" s="6" t="s">
        <v>34</v>
      </c>
    </row>
    <row r="2909" spans="1:13">
      <c r="A2909" s="6" t="s">
        <v>4474</v>
      </c>
      <c r="B2909" s="7">
        <v>46194</v>
      </c>
      <c r="C2909" s="6" t="s">
        <v>3044</v>
      </c>
      <c r="D2909" s="6" t="s">
        <v>64</v>
      </c>
      <c r="E2909" s="6" t="s">
        <v>28</v>
      </c>
      <c r="F2909" s="6" t="s">
        <v>85</v>
      </c>
      <c r="G2909" s="6" t="s">
        <v>86</v>
      </c>
      <c r="H2909" s="6">
        <v>2</v>
      </c>
      <c r="I2909" s="6" t="s">
        <v>181</v>
      </c>
      <c r="J2909" s="6" t="s">
        <v>163</v>
      </c>
      <c r="K2909" s="6" t="s">
        <v>87</v>
      </c>
      <c r="L2909" s="6" t="s">
        <v>42</v>
      </c>
      <c r="M2909" s="6" t="s">
        <v>34</v>
      </c>
    </row>
    <row r="2910" spans="1:13">
      <c r="A2910" s="6" t="s">
        <v>4475</v>
      </c>
      <c r="B2910" s="7">
        <v>46148</v>
      </c>
      <c r="C2910" s="6" t="s">
        <v>714</v>
      </c>
      <c r="D2910" s="6" t="s">
        <v>64</v>
      </c>
      <c r="E2910" s="6" t="s">
        <v>52</v>
      </c>
      <c r="F2910" s="6" t="s">
        <v>85</v>
      </c>
      <c r="G2910" s="6" t="s">
        <v>86</v>
      </c>
      <c r="H2910" s="6">
        <v>1</v>
      </c>
      <c r="I2910" s="6" t="s">
        <v>90</v>
      </c>
      <c r="J2910" s="6" t="s">
        <v>90</v>
      </c>
      <c r="K2910" s="6" t="s">
        <v>87</v>
      </c>
      <c r="L2910" s="6" t="s">
        <v>42</v>
      </c>
      <c r="M2910" s="6" t="s">
        <v>34</v>
      </c>
    </row>
    <row r="2911" spans="1:13">
      <c r="A2911" s="6" t="s">
        <v>4476</v>
      </c>
      <c r="B2911" s="7">
        <v>46049</v>
      </c>
      <c r="C2911" s="6" t="s">
        <v>4477</v>
      </c>
      <c r="D2911" s="6" t="s">
        <v>45</v>
      </c>
      <c r="E2911" s="6" t="s">
        <v>28</v>
      </c>
      <c r="F2911" s="6" t="s">
        <v>47</v>
      </c>
      <c r="G2911" s="6" t="s">
        <v>48</v>
      </c>
      <c r="H2911" s="6">
        <v>1</v>
      </c>
      <c r="I2911" s="6" t="s">
        <v>90</v>
      </c>
      <c r="J2911" s="6" t="s">
        <v>90</v>
      </c>
      <c r="K2911" s="6">
        <v>85</v>
      </c>
      <c r="L2911" s="6" t="s">
        <v>42</v>
      </c>
      <c r="M2911" s="6" t="s">
        <v>34</v>
      </c>
    </row>
    <row r="2912" spans="1:13">
      <c r="A2912" s="6" t="s">
        <v>4478</v>
      </c>
      <c r="B2912" s="7">
        <v>46136</v>
      </c>
      <c r="C2912" s="6" t="s">
        <v>369</v>
      </c>
      <c r="D2912" s="6" t="s">
        <v>45</v>
      </c>
      <c r="E2912" s="6" t="s">
        <v>46</v>
      </c>
      <c r="F2912" s="6" t="s">
        <v>58</v>
      </c>
      <c r="G2912" s="6" t="s">
        <v>59</v>
      </c>
      <c r="H2912" s="6">
        <v>1</v>
      </c>
      <c r="I2912" s="6" t="s">
        <v>40</v>
      </c>
      <c r="J2912" s="6" t="s">
        <v>40</v>
      </c>
      <c r="K2912" s="6" t="s">
        <v>61</v>
      </c>
      <c r="L2912" s="6" t="s">
        <v>42</v>
      </c>
      <c r="M2912" s="6" t="s">
        <v>69</v>
      </c>
    </row>
    <row r="2913" spans="1:13">
      <c r="A2913" s="6" t="s">
        <v>4479</v>
      </c>
      <c r="B2913" s="7">
        <v>46207</v>
      </c>
      <c r="C2913" s="6" t="s">
        <v>3004</v>
      </c>
      <c r="D2913" s="6" t="s">
        <v>45</v>
      </c>
      <c r="E2913" s="6" t="s">
        <v>37</v>
      </c>
      <c r="F2913" s="6" t="s">
        <v>38</v>
      </c>
      <c r="G2913" s="6" t="s">
        <v>39</v>
      </c>
      <c r="H2913" s="6">
        <v>1</v>
      </c>
      <c r="I2913" s="6" t="s">
        <v>619</v>
      </c>
      <c r="J2913" s="6" t="s">
        <v>143</v>
      </c>
      <c r="K2913" s="6" t="s">
        <v>41</v>
      </c>
      <c r="L2913" s="6" t="s">
        <v>42</v>
      </c>
      <c r="M2913" s="6" t="s">
        <v>69</v>
      </c>
    </row>
    <row r="2914" spans="1:13">
      <c r="A2914" s="6" t="s">
        <v>4480</v>
      </c>
      <c r="B2914" s="7">
        <v>46204</v>
      </c>
      <c r="C2914" s="6" t="s">
        <v>1653</v>
      </c>
      <c r="D2914" s="6" t="s">
        <v>64</v>
      </c>
      <c r="E2914" s="6" t="s">
        <v>78</v>
      </c>
      <c r="F2914" s="6" t="s">
        <v>53</v>
      </c>
      <c r="G2914" s="6" t="s">
        <v>54</v>
      </c>
      <c r="H2914" s="6">
        <v>2</v>
      </c>
      <c r="I2914" s="6" t="s">
        <v>40</v>
      </c>
      <c r="J2914" s="6" t="s">
        <v>3472</v>
      </c>
      <c r="K2914" s="6" t="s">
        <v>122</v>
      </c>
      <c r="L2914" s="6" t="s">
        <v>42</v>
      </c>
      <c r="M2914" s="6" t="s">
        <v>34</v>
      </c>
    </row>
    <row r="2915" spans="1:13">
      <c r="A2915" s="6" t="s">
        <v>4481</v>
      </c>
      <c r="B2915" s="7">
        <v>46163</v>
      </c>
      <c r="C2915" s="6" t="s">
        <v>1639</v>
      </c>
      <c r="D2915" s="6" t="s">
        <v>77</v>
      </c>
      <c r="E2915" s="6" t="s">
        <v>46</v>
      </c>
      <c r="F2915" s="6" t="s">
        <v>47</v>
      </c>
      <c r="G2915" s="6" t="s">
        <v>48</v>
      </c>
      <c r="H2915" s="6">
        <v>1</v>
      </c>
      <c r="I2915" s="6" t="s">
        <v>90</v>
      </c>
      <c r="J2915" s="6" t="s">
        <v>90</v>
      </c>
      <c r="K2915" s="6" t="s">
        <v>49</v>
      </c>
      <c r="L2915" s="6" t="s">
        <v>42</v>
      </c>
      <c r="M2915" s="6" t="s">
        <v>34</v>
      </c>
    </row>
    <row r="2916" spans="1:13">
      <c r="A2916" s="6" t="s">
        <v>4482</v>
      </c>
      <c r="B2916" s="7">
        <v>46031</v>
      </c>
      <c r="C2916" s="6" t="s">
        <v>3183</v>
      </c>
      <c r="D2916" s="6" t="s">
        <v>77</v>
      </c>
      <c r="E2916" s="6" t="s">
        <v>28</v>
      </c>
      <c r="F2916" s="6" t="s">
        <v>85</v>
      </c>
      <c r="G2916" s="6" t="s">
        <v>86</v>
      </c>
      <c r="H2916" s="6">
        <v>3</v>
      </c>
      <c r="I2916" s="6" t="s">
        <v>31</v>
      </c>
      <c r="J2916" s="6" t="s">
        <v>337</v>
      </c>
      <c r="K2916" s="6">
        <v>410</v>
      </c>
      <c r="L2916" s="6" t="s">
        <v>42</v>
      </c>
      <c r="M2916" s="6" t="s">
        <v>34</v>
      </c>
    </row>
    <row r="2917" spans="1:13">
      <c r="A2917" s="6" t="s">
        <v>4483</v>
      </c>
      <c r="B2917" s="7">
        <v>46140</v>
      </c>
      <c r="C2917" s="6" t="s">
        <v>299</v>
      </c>
      <c r="D2917" s="6" t="s">
        <v>127</v>
      </c>
      <c r="E2917" s="6" t="s">
        <v>46</v>
      </c>
      <c r="F2917" s="6" t="s">
        <v>38</v>
      </c>
      <c r="G2917" s="6" t="s">
        <v>39</v>
      </c>
      <c r="H2917" s="6">
        <v>-1</v>
      </c>
      <c r="I2917" s="6" t="s">
        <v>113</v>
      </c>
      <c r="J2917" s="8" t="s">
        <v>1147</v>
      </c>
      <c r="K2917" s="6" t="s">
        <v>41</v>
      </c>
      <c r="L2917" s="6" t="s">
        <v>42</v>
      </c>
      <c r="M2917" s="6" t="s">
        <v>34</v>
      </c>
    </row>
    <row r="2918" spans="1:13">
      <c r="A2918" s="6" t="s">
        <v>4484</v>
      </c>
      <c r="B2918" s="6" t="s">
        <v>4485</v>
      </c>
      <c r="C2918" s="6" t="s">
        <v>1899</v>
      </c>
      <c r="D2918" s="6" t="s">
        <v>72</v>
      </c>
      <c r="E2918" s="6" t="s">
        <v>28</v>
      </c>
      <c r="F2918" s="6" t="s">
        <v>29</v>
      </c>
      <c r="G2918" s="6" t="s">
        <v>30</v>
      </c>
      <c r="H2918" s="6">
        <v>2</v>
      </c>
      <c r="I2918" s="6" t="s">
        <v>79</v>
      </c>
      <c r="J2918" s="6" t="s">
        <v>259</v>
      </c>
      <c r="K2918" s="6" t="s">
        <v>41</v>
      </c>
      <c r="L2918" s="6" t="s">
        <v>42</v>
      </c>
      <c r="M2918" s="6" t="s">
        <v>34</v>
      </c>
    </row>
    <row r="2919" spans="1:13">
      <c r="A2919" s="6" t="s">
        <v>4486</v>
      </c>
      <c r="B2919" s="7">
        <v>46093</v>
      </c>
      <c r="C2919" s="6" t="s">
        <v>705</v>
      </c>
      <c r="D2919" s="6" t="s">
        <v>105</v>
      </c>
      <c r="E2919" s="6" t="s">
        <v>78</v>
      </c>
      <c r="F2919" s="6" t="s">
        <v>85</v>
      </c>
      <c r="G2919" s="6" t="s">
        <v>86</v>
      </c>
      <c r="H2919" s="6">
        <v>1</v>
      </c>
      <c r="I2919" s="6" t="s">
        <v>748</v>
      </c>
      <c r="J2919" s="6" t="s">
        <v>113</v>
      </c>
      <c r="K2919" s="6">
        <v>410</v>
      </c>
      <c r="L2919" s="6" t="s">
        <v>33</v>
      </c>
      <c r="M2919" s="6" t="s">
        <v>34</v>
      </c>
    </row>
    <row r="2920" spans="1:13">
      <c r="A2920" s="6" t="s">
        <v>4487</v>
      </c>
      <c r="B2920" s="7">
        <v>46137</v>
      </c>
      <c r="C2920" s="6" t="s">
        <v>2790</v>
      </c>
      <c r="D2920" s="6" t="s">
        <v>27</v>
      </c>
      <c r="E2920" s="6" t="s">
        <v>37</v>
      </c>
      <c r="F2920" s="6" t="s">
        <v>53</v>
      </c>
      <c r="G2920" s="6" t="s">
        <v>54</v>
      </c>
      <c r="H2920" s="6">
        <v>1</v>
      </c>
      <c r="I2920" s="6" t="s">
        <v>143</v>
      </c>
      <c r="J2920" s="6" t="s">
        <v>143</v>
      </c>
      <c r="K2920" s="6" t="s">
        <v>122</v>
      </c>
      <c r="L2920" s="6" t="s">
        <v>42</v>
      </c>
      <c r="M2920" s="6" t="s">
        <v>34</v>
      </c>
    </row>
    <row r="2921" spans="1:13">
      <c r="A2921" s="6" t="s">
        <v>4488</v>
      </c>
      <c r="B2921" s="7">
        <v>46076</v>
      </c>
      <c r="C2921" s="6" t="s">
        <v>843</v>
      </c>
      <c r="D2921" s="6" t="s">
        <v>45</v>
      </c>
      <c r="E2921" s="6" t="s">
        <v>46</v>
      </c>
      <c r="F2921" s="6" t="s">
        <v>85</v>
      </c>
      <c r="G2921" s="6" t="s">
        <v>86</v>
      </c>
      <c r="H2921" s="6">
        <v>1</v>
      </c>
      <c r="I2921" s="6" t="s">
        <v>113</v>
      </c>
      <c r="J2921" s="6" t="s">
        <v>113</v>
      </c>
      <c r="K2921" s="6">
        <v>410</v>
      </c>
      <c r="L2921" s="6" t="s">
        <v>42</v>
      </c>
      <c r="M2921" s="6" t="s">
        <v>34</v>
      </c>
    </row>
    <row r="2922" spans="1:13">
      <c r="A2922" s="6" t="s">
        <v>4489</v>
      </c>
      <c r="B2922" s="7">
        <v>46038</v>
      </c>
      <c r="C2922" s="6" t="s">
        <v>1418</v>
      </c>
      <c r="D2922" s="6" t="s">
        <v>64</v>
      </c>
      <c r="E2922" s="6" t="s">
        <v>28</v>
      </c>
      <c r="F2922" s="6" t="s">
        <v>29</v>
      </c>
      <c r="G2922" s="6" t="s">
        <v>30</v>
      </c>
      <c r="H2922" s="6">
        <v>1</v>
      </c>
      <c r="I2922" s="6" t="s">
        <v>40</v>
      </c>
      <c r="J2922" s="6" t="s">
        <v>40</v>
      </c>
      <c r="K2922" s="6">
        <v>520</v>
      </c>
      <c r="L2922" s="6" t="s">
        <v>42</v>
      </c>
      <c r="M2922" s="6" t="s">
        <v>34</v>
      </c>
    </row>
    <row r="2923" spans="1:13">
      <c r="A2923" s="6" t="s">
        <v>4490</v>
      </c>
      <c r="B2923" s="7">
        <v>46298</v>
      </c>
      <c r="C2923" s="6" t="s">
        <v>1083</v>
      </c>
      <c r="D2923" s="6" t="s">
        <v>110</v>
      </c>
      <c r="E2923" s="6" t="s">
        <v>28</v>
      </c>
      <c r="F2923" s="6" t="s">
        <v>94</v>
      </c>
      <c r="G2923" s="6" t="s">
        <v>95</v>
      </c>
      <c r="H2923" s="6">
        <v>2</v>
      </c>
      <c r="I2923" s="6" t="s">
        <v>79</v>
      </c>
      <c r="J2923" s="6" t="s">
        <v>259</v>
      </c>
      <c r="K2923" s="6">
        <v>340</v>
      </c>
      <c r="L2923" s="6" t="s">
        <v>42</v>
      </c>
      <c r="M2923" s="6" t="s">
        <v>34</v>
      </c>
    </row>
    <row r="2924" spans="1:13">
      <c r="A2924" s="6" t="s">
        <v>4491</v>
      </c>
      <c r="B2924" s="7">
        <v>46058</v>
      </c>
      <c r="C2924" s="6" t="s">
        <v>3600</v>
      </c>
      <c r="D2924" s="6" t="s">
        <v>72</v>
      </c>
      <c r="E2924" s="6" t="s">
        <v>28</v>
      </c>
      <c r="F2924" s="6" t="s">
        <v>100</v>
      </c>
      <c r="G2924" s="6" t="s">
        <v>101</v>
      </c>
      <c r="H2924" s="6">
        <v>2</v>
      </c>
      <c r="I2924" s="6" t="s">
        <v>265</v>
      </c>
      <c r="J2924" s="6" t="s">
        <v>167</v>
      </c>
      <c r="K2924" s="6" t="s">
        <v>119</v>
      </c>
      <c r="L2924" s="6" t="s">
        <v>42</v>
      </c>
      <c r="M2924" s="6" t="s">
        <v>69</v>
      </c>
    </row>
    <row r="2925" spans="1:13">
      <c r="A2925" s="6" t="s">
        <v>4492</v>
      </c>
      <c r="B2925" s="7">
        <v>46045</v>
      </c>
      <c r="C2925" s="6" t="s">
        <v>150</v>
      </c>
      <c r="D2925" s="6" t="s">
        <v>57</v>
      </c>
      <c r="E2925" s="6" t="s">
        <v>46</v>
      </c>
      <c r="F2925" s="6" t="s">
        <v>47</v>
      </c>
      <c r="G2925" s="6" t="s">
        <v>48</v>
      </c>
      <c r="H2925" s="6">
        <v>2</v>
      </c>
      <c r="I2925" s="6" t="s">
        <v>82</v>
      </c>
      <c r="J2925" s="6" t="s">
        <v>297</v>
      </c>
      <c r="K2925" s="6">
        <v>85</v>
      </c>
      <c r="L2925" s="6" t="s">
        <v>42</v>
      </c>
      <c r="M2925" s="6" t="s">
        <v>34</v>
      </c>
    </row>
    <row r="2926" spans="1:13">
      <c r="A2926" s="6" t="s">
        <v>4493</v>
      </c>
      <c r="B2926" s="7">
        <v>46029</v>
      </c>
      <c r="C2926" s="6" t="s">
        <v>2210</v>
      </c>
      <c r="D2926" s="6" t="s">
        <v>45</v>
      </c>
      <c r="E2926" s="6" t="s">
        <v>46</v>
      </c>
      <c r="F2926" s="6" t="s">
        <v>47</v>
      </c>
      <c r="G2926" s="6" t="s">
        <v>48</v>
      </c>
      <c r="H2926" s="6">
        <v>-2</v>
      </c>
      <c r="I2926" s="6" t="s">
        <v>79</v>
      </c>
      <c r="J2926" s="8" t="s">
        <v>1095</v>
      </c>
      <c r="K2926" s="6">
        <v>85</v>
      </c>
      <c r="L2926" s="6" t="s">
        <v>33</v>
      </c>
      <c r="M2926" s="6" t="s">
        <v>34</v>
      </c>
    </row>
    <row r="2927" spans="1:13">
      <c r="A2927" s="6" t="s">
        <v>4494</v>
      </c>
      <c r="B2927" s="7">
        <v>46092</v>
      </c>
      <c r="C2927" s="6" t="s">
        <v>3149</v>
      </c>
      <c r="D2927" s="6" t="s">
        <v>45</v>
      </c>
      <c r="E2927" s="6" t="s">
        <v>78</v>
      </c>
      <c r="F2927" s="6" t="s">
        <v>47</v>
      </c>
      <c r="G2927" s="6" t="s">
        <v>48</v>
      </c>
      <c r="H2927" s="6">
        <v>1</v>
      </c>
      <c r="I2927" s="6" t="s">
        <v>79</v>
      </c>
      <c r="J2927" s="6" t="s">
        <v>79</v>
      </c>
      <c r="K2927" s="6">
        <v>85</v>
      </c>
      <c r="L2927" s="6" t="s">
        <v>42</v>
      </c>
      <c r="M2927" s="6" t="s">
        <v>69</v>
      </c>
    </row>
    <row r="2928" spans="1:13">
      <c r="A2928" s="6" t="s">
        <v>4495</v>
      </c>
      <c r="B2928" s="7">
        <v>46049</v>
      </c>
      <c r="C2928" s="6" t="s">
        <v>3160</v>
      </c>
      <c r="D2928" s="6" t="s">
        <v>45</v>
      </c>
      <c r="E2928" s="6" t="s">
        <v>78</v>
      </c>
      <c r="F2928" s="6" t="s">
        <v>85</v>
      </c>
      <c r="G2928" s="6" t="s">
        <v>86</v>
      </c>
      <c r="H2928" s="6">
        <v>3</v>
      </c>
      <c r="I2928" s="6" t="s">
        <v>143</v>
      </c>
      <c r="J2928" s="6" t="s">
        <v>243</v>
      </c>
      <c r="K2928" s="6">
        <v>410</v>
      </c>
      <c r="L2928" s="6" t="s">
        <v>33</v>
      </c>
      <c r="M2928" s="6" t="s">
        <v>69</v>
      </c>
    </row>
    <row r="2929" spans="1:13">
      <c r="A2929" s="6" t="s">
        <v>4496</v>
      </c>
      <c r="B2929" s="7">
        <v>46035</v>
      </c>
      <c r="C2929" s="6" t="s">
        <v>2359</v>
      </c>
      <c r="D2929" s="6" t="s">
        <v>72</v>
      </c>
      <c r="E2929" s="6" t="s">
        <v>52</v>
      </c>
      <c r="F2929" s="6" t="s">
        <v>53</v>
      </c>
      <c r="G2929" s="6" t="s">
        <v>54</v>
      </c>
      <c r="H2929" s="6">
        <v>1</v>
      </c>
      <c r="I2929" s="6" t="s">
        <v>265</v>
      </c>
      <c r="J2929" s="6" t="s">
        <v>265</v>
      </c>
      <c r="K2929" s="6">
        <v>190</v>
      </c>
      <c r="L2929" s="6" t="s">
        <v>33</v>
      </c>
      <c r="M2929" s="6" t="s">
        <v>34</v>
      </c>
    </row>
    <row r="2930" spans="1:13">
      <c r="A2930" s="6" t="s">
        <v>4497</v>
      </c>
      <c r="B2930" s="7">
        <v>46130</v>
      </c>
      <c r="C2930" s="6" t="s">
        <v>400</v>
      </c>
      <c r="D2930" s="6" t="s">
        <v>110</v>
      </c>
      <c r="E2930" s="6" t="s">
        <v>28</v>
      </c>
      <c r="F2930" s="6" t="s">
        <v>85</v>
      </c>
      <c r="G2930" s="6" t="s">
        <v>86</v>
      </c>
      <c r="H2930" s="6">
        <v>3</v>
      </c>
      <c r="I2930" s="6" t="s">
        <v>60</v>
      </c>
      <c r="J2930" s="6" t="s">
        <v>268</v>
      </c>
      <c r="K2930" s="6">
        <v>410</v>
      </c>
      <c r="L2930" s="6" t="s">
        <v>42</v>
      </c>
      <c r="M2930" s="6" t="s">
        <v>69</v>
      </c>
    </row>
    <row r="2931" spans="1:13">
      <c r="A2931" s="6" t="s">
        <v>4498</v>
      </c>
      <c r="B2931" s="7">
        <v>46117</v>
      </c>
      <c r="C2931" s="6" t="s">
        <v>548</v>
      </c>
      <c r="D2931" s="6" t="s">
        <v>77</v>
      </c>
      <c r="E2931" s="6" t="s">
        <v>28</v>
      </c>
      <c r="F2931" s="6" t="s">
        <v>100</v>
      </c>
      <c r="G2931" s="6" t="s">
        <v>101</v>
      </c>
      <c r="H2931" s="6">
        <v>1</v>
      </c>
      <c r="I2931" s="6" t="s">
        <v>96</v>
      </c>
      <c r="J2931" s="6" t="s">
        <v>96</v>
      </c>
      <c r="K2931" s="6">
        <v>640</v>
      </c>
      <c r="L2931" s="6" t="s">
        <v>42</v>
      </c>
      <c r="M2931" s="6" t="s">
        <v>34</v>
      </c>
    </row>
    <row r="2932" spans="1:13">
      <c r="A2932" s="6" t="s">
        <v>4499</v>
      </c>
      <c r="B2932" s="7">
        <v>46207</v>
      </c>
      <c r="C2932" s="6" t="s">
        <v>2561</v>
      </c>
      <c r="D2932" s="6" t="s">
        <v>110</v>
      </c>
      <c r="E2932" s="6" t="s">
        <v>78</v>
      </c>
      <c r="F2932" s="6" t="s">
        <v>58</v>
      </c>
      <c r="G2932" s="6" t="s">
        <v>59</v>
      </c>
      <c r="H2932" s="6">
        <v>2</v>
      </c>
      <c r="I2932" s="6" t="s">
        <v>113</v>
      </c>
      <c r="J2932" s="6" t="s">
        <v>1576</v>
      </c>
      <c r="K2932" s="6" t="s">
        <v>61</v>
      </c>
      <c r="L2932" s="6" t="s">
        <v>42</v>
      </c>
      <c r="M2932" s="6" t="s">
        <v>34</v>
      </c>
    </row>
    <row r="2933" spans="1:13">
      <c r="A2933" s="6" t="s">
        <v>4500</v>
      </c>
      <c r="B2933" s="7">
        <v>46087</v>
      </c>
      <c r="C2933" s="6" t="s">
        <v>170</v>
      </c>
      <c r="D2933" s="6" t="s">
        <v>45</v>
      </c>
      <c r="E2933" s="6" t="s">
        <v>78</v>
      </c>
      <c r="F2933" s="6" t="s">
        <v>100</v>
      </c>
      <c r="G2933" s="6" t="s">
        <v>101</v>
      </c>
      <c r="H2933" s="6">
        <v>-2</v>
      </c>
      <c r="I2933" s="6" t="s">
        <v>67</v>
      </c>
      <c r="J2933" s="8" t="s">
        <v>4501</v>
      </c>
      <c r="K2933" s="6">
        <v>640</v>
      </c>
      <c r="L2933" s="6" t="s">
        <v>33</v>
      </c>
      <c r="M2933" s="6" t="s">
        <v>34</v>
      </c>
    </row>
    <row r="2934" spans="1:13">
      <c r="A2934" s="6" t="s">
        <v>4502</v>
      </c>
      <c r="B2934" s="7">
        <v>46186</v>
      </c>
      <c r="C2934" s="6" t="s">
        <v>916</v>
      </c>
      <c r="D2934" s="6" t="s">
        <v>27</v>
      </c>
      <c r="E2934" s="6" t="s">
        <v>78</v>
      </c>
      <c r="F2934" s="6" t="s">
        <v>85</v>
      </c>
      <c r="G2934" s="6" t="s">
        <v>86</v>
      </c>
      <c r="H2934" s="6">
        <v>3</v>
      </c>
      <c r="I2934" s="6" t="s">
        <v>143</v>
      </c>
      <c r="J2934" s="6" t="s">
        <v>4503</v>
      </c>
      <c r="K2934" s="6" t="s">
        <v>87</v>
      </c>
      <c r="L2934" s="6" t="s">
        <v>42</v>
      </c>
      <c r="M2934" s="6" t="s">
        <v>34</v>
      </c>
    </row>
    <row r="2935" spans="1:13">
      <c r="A2935" s="6" t="s">
        <v>4504</v>
      </c>
      <c r="B2935" s="7">
        <v>46044</v>
      </c>
      <c r="C2935" s="6" t="s">
        <v>4366</v>
      </c>
      <c r="D2935" s="6" t="s">
        <v>27</v>
      </c>
      <c r="E2935" s="6" t="s">
        <v>78</v>
      </c>
      <c r="F2935" s="6" t="s">
        <v>53</v>
      </c>
      <c r="G2935" s="6" t="s">
        <v>54</v>
      </c>
      <c r="H2935" s="6">
        <v>2</v>
      </c>
      <c r="I2935" s="6" t="s">
        <v>31</v>
      </c>
      <c r="J2935" s="6" t="s">
        <v>249</v>
      </c>
      <c r="K2935" s="6">
        <v>190</v>
      </c>
      <c r="L2935" s="6" t="s">
        <v>42</v>
      </c>
      <c r="M2935" s="6" t="s">
        <v>34</v>
      </c>
    </row>
    <row r="2936" spans="1:13">
      <c r="A2936" s="6" t="s">
        <v>4505</v>
      </c>
      <c r="B2936" s="7">
        <v>46151</v>
      </c>
      <c r="C2936" s="6" t="s">
        <v>4506</v>
      </c>
      <c r="D2936" s="6" t="s">
        <v>27</v>
      </c>
      <c r="E2936" s="6" t="s">
        <v>28</v>
      </c>
      <c r="F2936" s="6" t="s">
        <v>85</v>
      </c>
      <c r="G2936" s="6" t="s">
        <v>86</v>
      </c>
      <c r="H2936" s="6">
        <v>1</v>
      </c>
      <c r="I2936" s="6" t="s">
        <v>96</v>
      </c>
      <c r="J2936" s="6" t="s">
        <v>561</v>
      </c>
      <c r="K2936" s="6" t="s">
        <v>87</v>
      </c>
      <c r="L2936" s="6" t="s">
        <v>33</v>
      </c>
      <c r="M2936" s="6" t="s">
        <v>34</v>
      </c>
    </row>
    <row r="2937" spans="1:13">
      <c r="A2937" s="6" t="s">
        <v>4507</v>
      </c>
      <c r="B2937" s="7">
        <v>46149</v>
      </c>
      <c r="C2937" s="6" t="s">
        <v>1232</v>
      </c>
      <c r="D2937" s="6" t="s">
        <v>45</v>
      </c>
      <c r="E2937" s="6" t="s">
        <v>52</v>
      </c>
      <c r="F2937" s="6" t="s">
        <v>85</v>
      </c>
      <c r="G2937" s="6" t="s">
        <v>86</v>
      </c>
      <c r="H2937" s="6">
        <v>2</v>
      </c>
      <c r="I2937" s="6" t="s">
        <v>147</v>
      </c>
      <c r="J2937" s="6" t="s">
        <v>175</v>
      </c>
      <c r="K2937" s="6" t="s">
        <v>87</v>
      </c>
      <c r="L2937" s="6" t="s">
        <v>42</v>
      </c>
      <c r="M2937" s="6" t="s">
        <v>34</v>
      </c>
    </row>
    <row r="2938" spans="1:13">
      <c r="A2938" s="6" t="s">
        <v>4508</v>
      </c>
      <c r="B2938" s="7">
        <v>46097</v>
      </c>
      <c r="C2938" s="6" t="s">
        <v>2284</v>
      </c>
      <c r="D2938" s="6" t="s">
        <v>57</v>
      </c>
      <c r="E2938" s="6" t="s">
        <v>46</v>
      </c>
      <c r="F2938" s="6" t="s">
        <v>53</v>
      </c>
      <c r="G2938" s="6" t="s">
        <v>54</v>
      </c>
      <c r="H2938" s="6">
        <v>1</v>
      </c>
      <c r="I2938" s="6" t="s">
        <v>73</v>
      </c>
      <c r="J2938" s="6" t="s">
        <v>73</v>
      </c>
      <c r="K2938" s="6">
        <v>190</v>
      </c>
      <c r="L2938" s="6" t="s">
        <v>42</v>
      </c>
      <c r="M2938" s="6" t="s">
        <v>34</v>
      </c>
    </row>
    <row r="2939" spans="1:13">
      <c r="A2939" s="6" t="s">
        <v>4509</v>
      </c>
      <c r="B2939" s="7">
        <v>46048</v>
      </c>
      <c r="C2939" s="6" t="s">
        <v>2500</v>
      </c>
      <c r="D2939" s="6" t="s">
        <v>127</v>
      </c>
      <c r="E2939" s="6" t="s">
        <v>78</v>
      </c>
      <c r="F2939" s="6" t="s">
        <v>47</v>
      </c>
      <c r="G2939" s="6" t="s">
        <v>48</v>
      </c>
      <c r="H2939" s="6">
        <v>2</v>
      </c>
      <c r="I2939" s="6" t="s">
        <v>265</v>
      </c>
      <c r="J2939" s="6" t="s">
        <v>167</v>
      </c>
      <c r="K2939" s="6">
        <v>85</v>
      </c>
      <c r="L2939" s="6" t="s">
        <v>42</v>
      </c>
      <c r="M2939" s="6" t="s">
        <v>69</v>
      </c>
    </row>
    <row r="2940" spans="1:13">
      <c r="A2940" s="6" t="s">
        <v>4510</v>
      </c>
      <c r="B2940" s="7">
        <v>46153</v>
      </c>
      <c r="C2940" s="6" t="s">
        <v>1997</v>
      </c>
      <c r="D2940" s="6" t="s">
        <v>64</v>
      </c>
      <c r="E2940" s="6" t="s">
        <v>46</v>
      </c>
      <c r="F2940" s="6" t="s">
        <v>85</v>
      </c>
      <c r="G2940" s="6" t="s">
        <v>86</v>
      </c>
      <c r="H2940" s="6">
        <v>1</v>
      </c>
      <c r="I2940" s="6" t="s">
        <v>40</v>
      </c>
      <c r="J2940" s="6" t="s">
        <v>40</v>
      </c>
      <c r="K2940" s="6" t="s">
        <v>87</v>
      </c>
      <c r="L2940" s="6" t="s">
        <v>42</v>
      </c>
      <c r="M2940" s="6" t="s">
        <v>34</v>
      </c>
    </row>
    <row r="2941" spans="1:13">
      <c r="A2941" s="6" t="s">
        <v>4511</v>
      </c>
      <c r="B2941" s="7">
        <v>46116</v>
      </c>
      <c r="C2941" s="6" t="s">
        <v>1942</v>
      </c>
      <c r="D2941" s="6" t="s">
        <v>72</v>
      </c>
      <c r="E2941" s="6" t="s">
        <v>78</v>
      </c>
      <c r="F2941" s="6" t="s">
        <v>85</v>
      </c>
      <c r="G2941" s="6" t="s">
        <v>86</v>
      </c>
      <c r="H2941" s="6">
        <v>2</v>
      </c>
      <c r="I2941" s="6" t="s">
        <v>67</v>
      </c>
      <c r="J2941" s="6" t="s">
        <v>204</v>
      </c>
      <c r="K2941" s="6">
        <v>410</v>
      </c>
      <c r="L2941" s="6" t="s">
        <v>42</v>
      </c>
      <c r="M2941" s="6" t="s">
        <v>34</v>
      </c>
    </row>
    <row r="2942" spans="1:13">
      <c r="A2942" s="6" t="s">
        <v>4512</v>
      </c>
      <c r="B2942" s="7">
        <v>46173</v>
      </c>
      <c r="C2942" s="6" t="s">
        <v>548</v>
      </c>
      <c r="D2942" s="6" t="s">
        <v>77</v>
      </c>
      <c r="E2942" s="6" t="s">
        <v>37</v>
      </c>
      <c r="F2942" s="6" t="s">
        <v>38</v>
      </c>
      <c r="G2942" s="6" t="s">
        <v>39</v>
      </c>
      <c r="H2942" s="6">
        <v>1</v>
      </c>
      <c r="I2942" s="6" t="s">
        <v>117</v>
      </c>
      <c r="J2942" s="6" t="s">
        <v>117</v>
      </c>
      <c r="K2942" s="6" t="s">
        <v>41</v>
      </c>
      <c r="L2942" s="6" t="s">
        <v>33</v>
      </c>
      <c r="M2942" s="6" t="s">
        <v>34</v>
      </c>
    </row>
    <row r="2943" spans="1:13">
      <c r="A2943" s="6" t="s">
        <v>4513</v>
      </c>
      <c r="B2943" s="7">
        <v>46092</v>
      </c>
      <c r="C2943" s="6" t="s">
        <v>4514</v>
      </c>
      <c r="D2943" s="6" t="s">
        <v>110</v>
      </c>
      <c r="E2943" s="6" t="s">
        <v>78</v>
      </c>
      <c r="F2943" s="6" t="s">
        <v>58</v>
      </c>
      <c r="G2943" s="6" t="s">
        <v>59</v>
      </c>
      <c r="H2943" s="6">
        <v>3</v>
      </c>
      <c r="I2943" s="6" t="s">
        <v>265</v>
      </c>
      <c r="J2943" s="6" t="s">
        <v>401</v>
      </c>
      <c r="K2943" s="6">
        <v>380</v>
      </c>
      <c r="L2943" s="6" t="s">
        <v>42</v>
      </c>
      <c r="M2943" s="6" t="s">
        <v>34</v>
      </c>
    </row>
    <row r="2944" spans="1:13">
      <c r="A2944" s="6" t="s">
        <v>4515</v>
      </c>
      <c r="B2944" s="7">
        <v>46043</v>
      </c>
      <c r="C2944" s="6" t="s">
        <v>1699</v>
      </c>
      <c r="D2944" s="6" t="s">
        <v>27</v>
      </c>
      <c r="E2944" s="6" t="s">
        <v>52</v>
      </c>
      <c r="F2944" s="6" t="s">
        <v>47</v>
      </c>
      <c r="G2944" s="6" t="s">
        <v>48</v>
      </c>
      <c r="H2944" s="6">
        <v>1</v>
      </c>
      <c r="I2944" s="6" t="s">
        <v>60</v>
      </c>
      <c r="J2944" s="6" t="s">
        <v>60</v>
      </c>
      <c r="K2944" s="6">
        <v>85</v>
      </c>
      <c r="L2944" s="6" t="s">
        <v>42</v>
      </c>
      <c r="M2944" s="6" t="s">
        <v>34</v>
      </c>
    </row>
    <row r="2945" spans="1:13">
      <c r="A2945" s="6" t="s">
        <v>4516</v>
      </c>
      <c r="B2945" s="7">
        <v>46329</v>
      </c>
      <c r="C2945" s="6" t="s">
        <v>1619</v>
      </c>
      <c r="D2945" s="6" t="s">
        <v>72</v>
      </c>
      <c r="E2945" s="6" t="s">
        <v>52</v>
      </c>
      <c r="F2945" s="6" t="s">
        <v>94</v>
      </c>
      <c r="G2945" s="6" t="s">
        <v>95</v>
      </c>
      <c r="H2945" s="6">
        <v>2</v>
      </c>
      <c r="I2945" s="6" t="s">
        <v>82</v>
      </c>
      <c r="J2945" s="6" t="s">
        <v>297</v>
      </c>
      <c r="K2945" s="6">
        <v>340</v>
      </c>
      <c r="L2945" s="6" t="s">
        <v>42</v>
      </c>
      <c r="M2945" s="6" t="s">
        <v>34</v>
      </c>
    </row>
    <row r="2946" spans="1:13">
      <c r="A2946" s="6" t="s">
        <v>4349</v>
      </c>
      <c r="B2946" s="7">
        <v>46114</v>
      </c>
      <c r="C2946" s="6" t="s">
        <v>1478</v>
      </c>
      <c r="D2946" s="6" t="s">
        <v>127</v>
      </c>
      <c r="E2946" s="6" t="s">
        <v>78</v>
      </c>
      <c r="F2946" s="6" t="s">
        <v>58</v>
      </c>
      <c r="G2946" s="6" t="s">
        <v>59</v>
      </c>
      <c r="H2946" s="6">
        <v>1</v>
      </c>
      <c r="I2946" s="6" t="s">
        <v>40</v>
      </c>
      <c r="J2946" s="6" t="s">
        <v>40</v>
      </c>
      <c r="K2946" s="6">
        <v>380</v>
      </c>
      <c r="L2946" s="6" t="s">
        <v>33</v>
      </c>
      <c r="M2946" s="6" t="s">
        <v>34</v>
      </c>
    </row>
    <row r="2947" spans="1:13">
      <c r="A2947" s="6" t="s">
        <v>4517</v>
      </c>
      <c r="B2947" s="7">
        <v>46114</v>
      </c>
      <c r="C2947" s="6" t="s">
        <v>1047</v>
      </c>
      <c r="D2947" s="6" t="s">
        <v>110</v>
      </c>
      <c r="E2947" s="6" t="s">
        <v>52</v>
      </c>
      <c r="F2947" s="6" t="s">
        <v>47</v>
      </c>
      <c r="G2947" s="6" t="s">
        <v>48</v>
      </c>
      <c r="H2947" s="6">
        <v>1</v>
      </c>
      <c r="I2947" s="6" t="s">
        <v>67</v>
      </c>
      <c r="J2947" s="6" t="s">
        <v>67</v>
      </c>
      <c r="K2947" s="6">
        <v>85</v>
      </c>
      <c r="L2947" s="6" t="s">
        <v>42</v>
      </c>
      <c r="M2947" s="6" t="s">
        <v>69</v>
      </c>
    </row>
    <row r="2948" spans="1:13">
      <c r="A2948" s="6" t="s">
        <v>4518</v>
      </c>
      <c r="B2948" s="6" t="s">
        <v>601</v>
      </c>
      <c r="C2948" s="6" t="s">
        <v>1153</v>
      </c>
      <c r="D2948" s="6" t="s">
        <v>105</v>
      </c>
      <c r="E2948" s="6" t="s">
        <v>78</v>
      </c>
      <c r="F2948" s="6" t="s">
        <v>94</v>
      </c>
      <c r="G2948" s="6" t="s">
        <v>95</v>
      </c>
      <c r="H2948" s="6">
        <v>2</v>
      </c>
      <c r="I2948" s="6" t="s">
        <v>181</v>
      </c>
      <c r="J2948" s="6" t="s">
        <v>163</v>
      </c>
      <c r="K2948" s="6">
        <v>340</v>
      </c>
      <c r="L2948" s="6" t="s">
        <v>42</v>
      </c>
      <c r="M2948" s="6" t="s">
        <v>34</v>
      </c>
    </row>
    <row r="2949" spans="1:13">
      <c r="A2949" s="6" t="s">
        <v>4519</v>
      </c>
      <c r="B2949" s="7">
        <v>46156</v>
      </c>
      <c r="C2949" s="6" t="s">
        <v>1087</v>
      </c>
      <c r="D2949" s="6" t="s">
        <v>127</v>
      </c>
      <c r="E2949" s="6" t="s">
        <v>37</v>
      </c>
      <c r="F2949" s="6" t="s">
        <v>85</v>
      </c>
      <c r="G2949" s="6" t="s">
        <v>86</v>
      </c>
      <c r="H2949" s="6">
        <v>3</v>
      </c>
      <c r="I2949" s="6" t="s">
        <v>73</v>
      </c>
      <c r="J2949" s="6" t="s">
        <v>499</v>
      </c>
      <c r="K2949" s="6" t="s">
        <v>87</v>
      </c>
      <c r="L2949" s="6" t="s">
        <v>42</v>
      </c>
      <c r="M2949" s="6" t="s">
        <v>34</v>
      </c>
    </row>
    <row r="2950" spans="1:13">
      <c r="A2950" s="6" t="s">
        <v>4520</v>
      </c>
      <c r="B2950" s="7">
        <v>46038</v>
      </c>
      <c r="C2950" s="6" t="s">
        <v>2479</v>
      </c>
      <c r="D2950" s="6" t="s">
        <v>77</v>
      </c>
      <c r="E2950" s="6" t="s">
        <v>46</v>
      </c>
      <c r="F2950" s="6" t="s">
        <v>29</v>
      </c>
      <c r="G2950" s="6" t="s">
        <v>30</v>
      </c>
      <c r="H2950" s="6">
        <v>3</v>
      </c>
      <c r="I2950" s="6" t="s">
        <v>231</v>
      </c>
      <c r="J2950" s="6" t="s">
        <v>505</v>
      </c>
      <c r="K2950" s="6">
        <v>520</v>
      </c>
      <c r="L2950" s="6" t="s">
        <v>33</v>
      </c>
      <c r="M2950" s="6" t="s">
        <v>34</v>
      </c>
    </row>
    <row r="2951" spans="1:13">
      <c r="A2951" s="6" t="s">
        <v>4521</v>
      </c>
      <c r="B2951" s="7">
        <v>46164</v>
      </c>
      <c r="C2951" s="6" t="s">
        <v>484</v>
      </c>
      <c r="D2951" s="6" t="s">
        <v>77</v>
      </c>
      <c r="E2951" s="6" t="s">
        <v>37</v>
      </c>
      <c r="F2951" s="6" t="s">
        <v>47</v>
      </c>
      <c r="G2951" s="6" t="s">
        <v>48</v>
      </c>
      <c r="H2951" s="6">
        <v>1</v>
      </c>
      <c r="I2951" s="6" t="s">
        <v>82</v>
      </c>
      <c r="J2951" s="6" t="s">
        <v>82</v>
      </c>
      <c r="K2951" s="6" t="s">
        <v>49</v>
      </c>
      <c r="L2951" s="6" t="s">
        <v>33</v>
      </c>
      <c r="M2951" s="6" t="s">
        <v>34</v>
      </c>
    </row>
    <row r="2952" spans="1:13">
      <c r="A2952" s="6" t="s">
        <v>2832</v>
      </c>
      <c r="B2952" s="7">
        <v>46060</v>
      </c>
      <c r="C2952" s="6" t="s">
        <v>2833</v>
      </c>
      <c r="D2952" s="6" t="s">
        <v>27</v>
      </c>
      <c r="E2952" s="6" t="s">
        <v>78</v>
      </c>
      <c r="F2952" s="6" t="s">
        <v>29</v>
      </c>
      <c r="G2952" s="6" t="s">
        <v>30</v>
      </c>
      <c r="H2952" s="6">
        <v>1</v>
      </c>
      <c r="I2952" s="6" t="s">
        <v>40</v>
      </c>
      <c r="J2952" s="6" t="s">
        <v>40</v>
      </c>
      <c r="K2952" s="6">
        <v>520</v>
      </c>
      <c r="L2952" s="6" t="s">
        <v>42</v>
      </c>
      <c r="M2952" s="6" t="s">
        <v>69</v>
      </c>
    </row>
    <row r="2953" spans="1:13">
      <c r="A2953" s="6" t="s">
        <v>4522</v>
      </c>
      <c r="B2953" s="7">
        <v>46162</v>
      </c>
      <c r="C2953" s="6" t="s">
        <v>958</v>
      </c>
      <c r="D2953" s="6" t="s">
        <v>27</v>
      </c>
      <c r="E2953" s="6" t="s">
        <v>46</v>
      </c>
      <c r="F2953" s="6" t="s">
        <v>100</v>
      </c>
      <c r="G2953" s="6" t="s">
        <v>101</v>
      </c>
      <c r="H2953" s="6">
        <v>2</v>
      </c>
      <c r="I2953" s="6" t="s">
        <v>40</v>
      </c>
      <c r="J2953" s="6" t="s">
        <v>327</v>
      </c>
      <c r="K2953" s="6" t="s">
        <v>119</v>
      </c>
      <c r="L2953" s="6" t="s">
        <v>42</v>
      </c>
      <c r="M2953" s="6" t="s">
        <v>69</v>
      </c>
    </row>
    <row r="2954" spans="1:13">
      <c r="A2954" s="6" t="s">
        <v>4523</v>
      </c>
      <c r="B2954" s="7">
        <v>46155</v>
      </c>
      <c r="C2954" s="6" t="s">
        <v>3680</v>
      </c>
      <c r="D2954" s="6" t="s">
        <v>105</v>
      </c>
      <c r="E2954" s="6" t="s">
        <v>46</v>
      </c>
      <c r="F2954" s="6" t="s">
        <v>38</v>
      </c>
      <c r="G2954" s="6" t="s">
        <v>39</v>
      </c>
      <c r="H2954" s="6">
        <v>1</v>
      </c>
      <c r="I2954" s="6" t="s">
        <v>31</v>
      </c>
      <c r="J2954" s="6" t="s">
        <v>31</v>
      </c>
      <c r="K2954" s="6" t="s">
        <v>41</v>
      </c>
      <c r="L2954" s="6" t="s">
        <v>42</v>
      </c>
      <c r="M2954" s="6" t="s">
        <v>34</v>
      </c>
    </row>
    <row r="2955" spans="1:13">
      <c r="A2955" s="6" t="s">
        <v>4524</v>
      </c>
      <c r="B2955" s="7">
        <v>46196</v>
      </c>
      <c r="C2955" s="6" t="s">
        <v>2671</v>
      </c>
      <c r="D2955" s="6" t="s">
        <v>57</v>
      </c>
      <c r="E2955" s="6" t="s">
        <v>52</v>
      </c>
      <c r="F2955" s="6" t="s">
        <v>58</v>
      </c>
      <c r="G2955" s="6" t="s">
        <v>59</v>
      </c>
      <c r="H2955" s="6">
        <v>1</v>
      </c>
      <c r="I2955" s="6" t="s">
        <v>117</v>
      </c>
      <c r="J2955" s="6" t="s">
        <v>117</v>
      </c>
      <c r="K2955" s="6" t="s">
        <v>61</v>
      </c>
      <c r="L2955" s="6" t="s">
        <v>33</v>
      </c>
      <c r="M2955" s="6" t="s">
        <v>34</v>
      </c>
    </row>
    <row r="2956" spans="1:13">
      <c r="A2956" s="6" t="s">
        <v>4525</v>
      </c>
      <c r="B2956" s="6" t="s">
        <v>1541</v>
      </c>
      <c r="C2956" s="6" t="s">
        <v>2326</v>
      </c>
      <c r="D2956" s="6" t="s">
        <v>127</v>
      </c>
      <c r="E2956" s="6" t="s">
        <v>37</v>
      </c>
      <c r="F2956" s="6" t="s">
        <v>58</v>
      </c>
      <c r="G2956" s="6" t="s">
        <v>59</v>
      </c>
      <c r="H2956" s="6">
        <v>1</v>
      </c>
      <c r="I2956" s="6" t="s">
        <v>40</v>
      </c>
      <c r="J2956" s="6" t="s">
        <v>40</v>
      </c>
      <c r="K2956" s="6">
        <v>380</v>
      </c>
      <c r="L2956" s="6" t="s">
        <v>42</v>
      </c>
      <c r="M2956" s="6" t="s">
        <v>69</v>
      </c>
    </row>
    <row r="2957" spans="1:13">
      <c r="A2957" s="6" t="s">
        <v>4526</v>
      </c>
      <c r="B2957" s="7">
        <v>46028</v>
      </c>
      <c r="C2957" s="6" t="s">
        <v>1788</v>
      </c>
      <c r="D2957" s="6" t="s">
        <v>45</v>
      </c>
      <c r="E2957" s="6" t="s">
        <v>28</v>
      </c>
      <c r="F2957" s="6" t="s">
        <v>100</v>
      </c>
      <c r="G2957" s="6" t="s">
        <v>101</v>
      </c>
      <c r="H2957" s="6">
        <v>-1</v>
      </c>
      <c r="I2957" s="6" t="s">
        <v>96</v>
      </c>
      <c r="J2957" s="8" t="s">
        <v>3407</v>
      </c>
      <c r="K2957" s="6">
        <v>640</v>
      </c>
      <c r="L2957" s="6" t="s">
        <v>33</v>
      </c>
      <c r="M2957" s="6" t="s">
        <v>34</v>
      </c>
    </row>
    <row r="2958" spans="1:13">
      <c r="A2958" s="6" t="s">
        <v>4527</v>
      </c>
      <c r="B2958" s="7">
        <v>46029</v>
      </c>
      <c r="C2958" s="6" t="s">
        <v>379</v>
      </c>
      <c r="D2958" s="6" t="s">
        <v>45</v>
      </c>
      <c r="E2958" s="6" t="s">
        <v>52</v>
      </c>
      <c r="F2958" s="6" t="s">
        <v>47</v>
      </c>
      <c r="G2958" s="6" t="s">
        <v>48</v>
      </c>
      <c r="H2958" s="6">
        <v>1</v>
      </c>
      <c r="I2958" s="6" t="s">
        <v>79</v>
      </c>
      <c r="J2958" s="6" t="s">
        <v>79</v>
      </c>
      <c r="K2958" s="6" t="s">
        <v>49</v>
      </c>
      <c r="L2958" s="6" t="s">
        <v>33</v>
      </c>
      <c r="M2958" s="6" t="s">
        <v>34</v>
      </c>
    </row>
    <row r="2959" spans="1:13">
      <c r="A2959" s="6" t="s">
        <v>4528</v>
      </c>
      <c r="B2959" s="7">
        <v>46090</v>
      </c>
      <c r="C2959" s="6" t="s">
        <v>4061</v>
      </c>
      <c r="D2959" s="6" t="s">
        <v>27</v>
      </c>
      <c r="E2959" s="6" t="s">
        <v>37</v>
      </c>
      <c r="F2959" s="6" t="s">
        <v>100</v>
      </c>
      <c r="G2959" s="6" t="s">
        <v>101</v>
      </c>
      <c r="H2959" s="6">
        <v>2</v>
      </c>
      <c r="I2959" s="6" t="s">
        <v>79</v>
      </c>
      <c r="J2959" s="6" t="s">
        <v>259</v>
      </c>
      <c r="K2959" s="6">
        <v>640</v>
      </c>
      <c r="L2959" s="6" t="s">
        <v>33</v>
      </c>
      <c r="M2959" s="6" t="s">
        <v>34</v>
      </c>
    </row>
    <row r="2960" spans="1:13">
      <c r="A2960" s="6" t="s">
        <v>4529</v>
      </c>
      <c r="B2960" s="7">
        <v>46110</v>
      </c>
      <c r="C2960" s="6" t="s">
        <v>3095</v>
      </c>
      <c r="D2960" s="6" t="s">
        <v>110</v>
      </c>
      <c r="E2960" s="6" t="s">
        <v>28</v>
      </c>
      <c r="F2960" s="6" t="s">
        <v>58</v>
      </c>
      <c r="G2960" s="6" t="s">
        <v>59</v>
      </c>
      <c r="H2960" s="6">
        <v>2</v>
      </c>
      <c r="I2960" s="6" t="s">
        <v>82</v>
      </c>
      <c r="J2960" s="6" t="s">
        <v>297</v>
      </c>
      <c r="K2960" s="6">
        <v>380</v>
      </c>
      <c r="L2960" s="6" t="s">
        <v>42</v>
      </c>
      <c r="M2960" s="6" t="s">
        <v>69</v>
      </c>
    </row>
    <row r="2961" spans="1:13">
      <c r="A2961" s="6" t="s">
        <v>4530</v>
      </c>
      <c r="B2961" s="7">
        <v>46117</v>
      </c>
      <c r="C2961" s="6" t="s">
        <v>3268</v>
      </c>
      <c r="D2961" s="6" t="s">
        <v>45</v>
      </c>
      <c r="E2961" s="6" t="s">
        <v>46</v>
      </c>
      <c r="F2961" s="6" t="s">
        <v>47</v>
      </c>
      <c r="G2961" s="6" t="s">
        <v>48</v>
      </c>
      <c r="H2961" s="6">
        <v>1</v>
      </c>
      <c r="I2961" s="6" t="s">
        <v>82</v>
      </c>
      <c r="J2961" s="6" t="s">
        <v>82</v>
      </c>
      <c r="K2961" s="6">
        <v>85</v>
      </c>
      <c r="L2961" s="6" t="s">
        <v>42</v>
      </c>
      <c r="M2961" s="6" t="s">
        <v>34</v>
      </c>
    </row>
    <row r="2962" spans="1:13">
      <c r="A2962" s="6" t="s">
        <v>4531</v>
      </c>
      <c r="B2962" s="7">
        <v>46042</v>
      </c>
      <c r="C2962" s="6" t="s">
        <v>4532</v>
      </c>
      <c r="D2962" s="6" t="s">
        <v>45</v>
      </c>
      <c r="E2962" s="6" t="s">
        <v>52</v>
      </c>
      <c r="F2962" s="6" t="s">
        <v>29</v>
      </c>
      <c r="G2962" s="6" t="s">
        <v>30</v>
      </c>
      <c r="H2962" s="6">
        <v>2</v>
      </c>
      <c r="I2962" s="6" t="s">
        <v>265</v>
      </c>
      <c r="J2962" s="6" t="s">
        <v>167</v>
      </c>
      <c r="K2962" s="6">
        <v>520</v>
      </c>
      <c r="L2962" s="6" t="s">
        <v>42</v>
      </c>
      <c r="M2962" s="6" t="s">
        <v>69</v>
      </c>
    </row>
    <row r="2963" spans="1:13">
      <c r="A2963" s="6" t="s">
        <v>4533</v>
      </c>
      <c r="B2963" s="7">
        <v>46190</v>
      </c>
      <c r="C2963" s="6" t="s">
        <v>2919</v>
      </c>
      <c r="D2963" s="6" t="s">
        <v>77</v>
      </c>
      <c r="E2963" s="6" t="s">
        <v>46</v>
      </c>
      <c r="F2963" s="6" t="s">
        <v>58</v>
      </c>
      <c r="G2963" s="6" t="s">
        <v>59</v>
      </c>
      <c r="H2963" s="6">
        <v>2</v>
      </c>
      <c r="I2963" s="6" t="s">
        <v>82</v>
      </c>
      <c r="J2963" s="6" t="s">
        <v>297</v>
      </c>
      <c r="K2963" s="6" t="s">
        <v>61</v>
      </c>
      <c r="L2963" s="6" t="s">
        <v>42</v>
      </c>
      <c r="M2963" s="6" t="s">
        <v>34</v>
      </c>
    </row>
    <row r="2964" spans="1:13">
      <c r="A2964" s="6" t="s">
        <v>4534</v>
      </c>
      <c r="B2964" s="7">
        <v>46144</v>
      </c>
      <c r="C2964" s="6" t="s">
        <v>1861</v>
      </c>
      <c r="D2964" s="6" t="s">
        <v>127</v>
      </c>
      <c r="E2964" s="6" t="s">
        <v>46</v>
      </c>
      <c r="F2964" s="6" t="s">
        <v>47</v>
      </c>
      <c r="G2964" s="6" t="s">
        <v>48</v>
      </c>
      <c r="H2964" s="6">
        <v>3</v>
      </c>
      <c r="I2964" s="6" t="s">
        <v>619</v>
      </c>
      <c r="J2964" s="6" t="s">
        <v>243</v>
      </c>
      <c r="K2964" s="6" t="s">
        <v>49</v>
      </c>
      <c r="L2964" s="6" t="s">
        <v>42</v>
      </c>
      <c r="M2964" s="6" t="s">
        <v>69</v>
      </c>
    </row>
    <row r="2965" spans="1:13">
      <c r="A2965" s="6" t="s">
        <v>4535</v>
      </c>
      <c r="B2965" s="7">
        <v>46121</v>
      </c>
      <c r="C2965" s="6" t="s">
        <v>1141</v>
      </c>
      <c r="D2965" s="6" t="s">
        <v>45</v>
      </c>
      <c r="E2965" s="6" t="s">
        <v>52</v>
      </c>
      <c r="F2965" s="6" t="s">
        <v>29</v>
      </c>
      <c r="G2965" s="6" t="s">
        <v>30</v>
      </c>
      <c r="H2965" s="6">
        <v>3</v>
      </c>
      <c r="I2965" s="6" t="s">
        <v>117</v>
      </c>
      <c r="J2965" s="6" t="s">
        <v>171</v>
      </c>
      <c r="K2965" s="6">
        <v>520</v>
      </c>
      <c r="L2965" s="6" t="s">
        <v>33</v>
      </c>
      <c r="M2965" s="6" t="s">
        <v>69</v>
      </c>
    </row>
    <row r="2966" spans="1:13">
      <c r="A2966" s="6" t="s">
        <v>199</v>
      </c>
      <c r="B2966" s="7">
        <v>46163</v>
      </c>
      <c r="C2966" s="6" t="s">
        <v>200</v>
      </c>
      <c r="D2966" s="6" t="s">
        <v>72</v>
      </c>
      <c r="E2966" s="6" t="s">
        <v>78</v>
      </c>
      <c r="F2966" s="6" t="s">
        <v>85</v>
      </c>
      <c r="G2966" s="6" t="s">
        <v>86</v>
      </c>
      <c r="H2966" s="6">
        <v>2</v>
      </c>
      <c r="I2966" s="6" t="s">
        <v>90</v>
      </c>
      <c r="J2966" s="6" t="s">
        <v>154</v>
      </c>
      <c r="K2966" s="6" t="s">
        <v>87</v>
      </c>
      <c r="L2966" s="6" t="s">
        <v>42</v>
      </c>
      <c r="M2966" s="6" t="s">
        <v>34</v>
      </c>
    </row>
    <row r="2967" spans="1:13">
      <c r="A2967" s="6" t="s">
        <v>1101</v>
      </c>
      <c r="B2967" s="6" t="s">
        <v>301</v>
      </c>
      <c r="C2967" s="6" t="s">
        <v>1102</v>
      </c>
      <c r="D2967" s="6" t="s">
        <v>77</v>
      </c>
      <c r="E2967" s="6" t="s">
        <v>78</v>
      </c>
      <c r="F2967" s="6" t="s">
        <v>100</v>
      </c>
      <c r="G2967" s="6" t="s">
        <v>101</v>
      </c>
      <c r="H2967" s="6">
        <v>3</v>
      </c>
      <c r="I2967" s="6" t="s">
        <v>117</v>
      </c>
      <c r="J2967" s="6" t="s">
        <v>171</v>
      </c>
      <c r="K2967" s="6">
        <v>640</v>
      </c>
      <c r="L2967" s="6" t="s">
        <v>33</v>
      </c>
      <c r="M2967" s="6" t="s">
        <v>34</v>
      </c>
    </row>
    <row r="2968" spans="1:13">
      <c r="A2968" s="6" t="s">
        <v>4536</v>
      </c>
      <c r="B2968" s="6" t="s">
        <v>350</v>
      </c>
      <c r="C2968" s="6" t="s">
        <v>1608</v>
      </c>
      <c r="D2968" s="6" t="s">
        <v>57</v>
      </c>
      <c r="E2968" s="6" t="s">
        <v>52</v>
      </c>
      <c r="F2968" s="6" t="s">
        <v>85</v>
      </c>
      <c r="G2968" s="6" t="s">
        <v>86</v>
      </c>
      <c r="H2968" s="6">
        <v>3</v>
      </c>
      <c r="I2968" s="6" t="s">
        <v>73</v>
      </c>
      <c r="J2968" s="6" t="s">
        <v>499</v>
      </c>
      <c r="K2968" s="6">
        <v>410</v>
      </c>
      <c r="L2968" s="6" t="s">
        <v>42</v>
      </c>
      <c r="M2968" s="6" t="s">
        <v>34</v>
      </c>
    </row>
    <row r="2969" spans="1:13">
      <c r="A2969" s="6" t="s">
        <v>4537</v>
      </c>
      <c r="B2969" s="7">
        <v>46205</v>
      </c>
      <c r="C2969" s="6" t="s">
        <v>2014</v>
      </c>
      <c r="D2969" s="6" t="s">
        <v>72</v>
      </c>
      <c r="E2969" s="6" t="s">
        <v>28</v>
      </c>
      <c r="F2969" s="6" t="s">
        <v>85</v>
      </c>
      <c r="G2969" s="6" t="s">
        <v>86</v>
      </c>
      <c r="H2969" s="6">
        <v>1</v>
      </c>
      <c r="I2969" s="6" t="s">
        <v>79</v>
      </c>
      <c r="J2969" s="6" t="s">
        <v>79</v>
      </c>
      <c r="K2969" s="6">
        <v>410</v>
      </c>
      <c r="L2969" s="6" t="s">
        <v>33</v>
      </c>
      <c r="M2969" s="6" t="s">
        <v>69</v>
      </c>
    </row>
    <row r="2970" spans="1:13">
      <c r="A2970" s="6" t="s">
        <v>4538</v>
      </c>
      <c r="B2970" s="7">
        <v>46117</v>
      </c>
      <c r="C2970" s="6" t="s">
        <v>4539</v>
      </c>
      <c r="D2970" s="6" t="s">
        <v>77</v>
      </c>
      <c r="E2970" s="6" t="s">
        <v>52</v>
      </c>
      <c r="F2970" s="6" t="s">
        <v>29</v>
      </c>
      <c r="G2970" s="6" t="s">
        <v>30</v>
      </c>
      <c r="H2970" s="6">
        <v>3</v>
      </c>
      <c r="I2970" s="6" t="s">
        <v>82</v>
      </c>
      <c r="J2970" s="6" t="s">
        <v>390</v>
      </c>
      <c r="K2970" s="6" t="s">
        <v>41</v>
      </c>
      <c r="L2970" s="6" t="s">
        <v>42</v>
      </c>
      <c r="M2970" s="6" t="s">
        <v>69</v>
      </c>
    </row>
    <row r="2971" spans="1:13">
      <c r="A2971" s="6" t="s">
        <v>4540</v>
      </c>
      <c r="B2971" s="7">
        <v>46052</v>
      </c>
      <c r="C2971" s="6" t="s">
        <v>855</v>
      </c>
      <c r="D2971" s="6" t="s">
        <v>77</v>
      </c>
      <c r="E2971" s="6" t="s">
        <v>52</v>
      </c>
      <c r="F2971" s="6" t="s">
        <v>29</v>
      </c>
      <c r="G2971" s="6" t="s">
        <v>30</v>
      </c>
      <c r="H2971" s="6">
        <v>3</v>
      </c>
      <c r="I2971" s="6" t="s">
        <v>231</v>
      </c>
      <c r="J2971" s="6" t="s">
        <v>505</v>
      </c>
      <c r="K2971" s="6">
        <v>520</v>
      </c>
      <c r="L2971" s="6" t="s">
        <v>42</v>
      </c>
      <c r="M2971" s="6" t="s">
        <v>34</v>
      </c>
    </row>
    <row r="2972" spans="1:13">
      <c r="A2972" s="6" t="s">
        <v>4541</v>
      </c>
      <c r="B2972" s="7">
        <v>46142</v>
      </c>
      <c r="C2972" s="6" t="s">
        <v>4063</v>
      </c>
      <c r="D2972" s="6" t="s">
        <v>72</v>
      </c>
      <c r="E2972" s="6" t="s">
        <v>28</v>
      </c>
      <c r="F2972" s="6" t="s">
        <v>85</v>
      </c>
      <c r="G2972" s="6" t="s">
        <v>86</v>
      </c>
      <c r="H2972" s="6">
        <v>2</v>
      </c>
      <c r="I2972" s="6" t="s">
        <v>228</v>
      </c>
      <c r="J2972" s="6" t="s">
        <v>278</v>
      </c>
      <c r="K2972" s="6" t="s">
        <v>87</v>
      </c>
      <c r="L2972" s="6" t="s">
        <v>42</v>
      </c>
      <c r="M2972" s="6" t="s">
        <v>34</v>
      </c>
    </row>
    <row r="2973" spans="1:13">
      <c r="A2973" s="6" t="s">
        <v>4542</v>
      </c>
      <c r="B2973" s="7">
        <v>46052</v>
      </c>
      <c r="C2973" s="6" t="s">
        <v>1474</v>
      </c>
      <c r="D2973" s="6" t="s">
        <v>45</v>
      </c>
      <c r="E2973" s="6" t="s">
        <v>78</v>
      </c>
      <c r="F2973" s="6" t="s">
        <v>85</v>
      </c>
      <c r="G2973" s="6" t="s">
        <v>86</v>
      </c>
      <c r="H2973" s="6">
        <v>3</v>
      </c>
      <c r="I2973" s="6" t="s">
        <v>90</v>
      </c>
      <c r="J2973" s="6" t="s">
        <v>102</v>
      </c>
      <c r="K2973" s="6">
        <v>410</v>
      </c>
      <c r="L2973" s="6" t="s">
        <v>33</v>
      </c>
      <c r="M2973" s="6" t="s">
        <v>34</v>
      </c>
    </row>
    <row r="2974" spans="1:13">
      <c r="A2974" s="6" t="s">
        <v>4543</v>
      </c>
      <c r="B2974" s="6" t="s">
        <v>2078</v>
      </c>
      <c r="C2974" s="6" t="s">
        <v>1263</v>
      </c>
      <c r="D2974" s="6" t="s">
        <v>64</v>
      </c>
      <c r="E2974" s="6" t="s">
        <v>28</v>
      </c>
      <c r="F2974" s="6" t="s">
        <v>29</v>
      </c>
      <c r="G2974" s="6" t="s">
        <v>30</v>
      </c>
      <c r="H2974" s="6">
        <v>1</v>
      </c>
      <c r="I2974" s="6" t="s">
        <v>67</v>
      </c>
      <c r="J2974" s="6" t="s">
        <v>67</v>
      </c>
      <c r="K2974" s="6" t="s">
        <v>41</v>
      </c>
      <c r="L2974" s="6" t="s">
        <v>42</v>
      </c>
      <c r="M2974" s="6" t="s">
        <v>69</v>
      </c>
    </row>
    <row r="2975" spans="1:13">
      <c r="A2975" s="6" t="s">
        <v>4544</v>
      </c>
      <c r="B2975" s="7">
        <v>46167</v>
      </c>
      <c r="C2975" s="6" t="s">
        <v>306</v>
      </c>
      <c r="D2975" s="6" t="s">
        <v>127</v>
      </c>
      <c r="E2975" s="6" t="s">
        <v>28</v>
      </c>
      <c r="F2975" s="6" t="s">
        <v>47</v>
      </c>
      <c r="G2975" s="6" t="s">
        <v>48</v>
      </c>
      <c r="H2975" s="6">
        <v>1</v>
      </c>
      <c r="I2975" s="6" t="s">
        <v>73</v>
      </c>
      <c r="J2975" s="6" t="s">
        <v>73</v>
      </c>
      <c r="K2975" s="6" t="s">
        <v>49</v>
      </c>
      <c r="L2975" s="6" t="s">
        <v>42</v>
      </c>
      <c r="M2975" s="6" t="s">
        <v>69</v>
      </c>
    </row>
    <row r="2976" spans="1:13">
      <c r="A2976" s="6" t="s">
        <v>4545</v>
      </c>
      <c r="B2976" s="7">
        <v>46118</v>
      </c>
      <c r="C2976" s="6" t="s">
        <v>3514</v>
      </c>
      <c r="D2976" s="6" t="s">
        <v>72</v>
      </c>
      <c r="E2976" s="6" t="s">
        <v>52</v>
      </c>
      <c r="F2976" s="6" t="s">
        <v>29</v>
      </c>
      <c r="G2976" s="6" t="s">
        <v>30</v>
      </c>
      <c r="H2976" s="6">
        <v>2</v>
      </c>
      <c r="I2976" s="6" t="s">
        <v>748</v>
      </c>
      <c r="J2976" s="6" t="s">
        <v>192</v>
      </c>
      <c r="K2976" s="6" t="s">
        <v>41</v>
      </c>
      <c r="L2976" s="6" t="s">
        <v>42</v>
      </c>
      <c r="M2976" s="6" t="s">
        <v>69</v>
      </c>
    </row>
    <row r="2977" spans="1:13">
      <c r="A2977" s="6" t="s">
        <v>4546</v>
      </c>
      <c r="B2977" s="7">
        <v>46189</v>
      </c>
      <c r="C2977" s="6" t="s">
        <v>4547</v>
      </c>
      <c r="D2977" s="6" t="s">
        <v>105</v>
      </c>
      <c r="E2977" s="6" t="s">
        <v>52</v>
      </c>
      <c r="F2977" s="6" t="s">
        <v>94</v>
      </c>
      <c r="G2977" s="6" t="s">
        <v>95</v>
      </c>
      <c r="H2977" s="6">
        <v>2</v>
      </c>
      <c r="I2977" s="6" t="s">
        <v>90</v>
      </c>
      <c r="J2977" s="6" t="s">
        <v>4548</v>
      </c>
      <c r="K2977" s="6" t="s">
        <v>114</v>
      </c>
      <c r="L2977" s="6" t="s">
        <v>42</v>
      </c>
      <c r="M2977" s="6" t="s">
        <v>69</v>
      </c>
    </row>
    <row r="2978" spans="1:13">
      <c r="A2978" s="6" t="s">
        <v>4549</v>
      </c>
      <c r="B2978" s="6" t="s">
        <v>131</v>
      </c>
      <c r="C2978" s="6" t="s">
        <v>1608</v>
      </c>
      <c r="D2978" s="6" t="s">
        <v>27</v>
      </c>
      <c r="E2978" s="6" t="s">
        <v>46</v>
      </c>
      <c r="F2978" s="6" t="s">
        <v>58</v>
      </c>
      <c r="G2978" s="6" t="s">
        <v>59</v>
      </c>
      <c r="H2978" s="6">
        <v>2</v>
      </c>
      <c r="I2978" s="6" t="s">
        <v>117</v>
      </c>
      <c r="J2978" s="6" t="s">
        <v>118</v>
      </c>
      <c r="K2978" s="6">
        <v>380</v>
      </c>
      <c r="L2978" s="6" t="s">
        <v>33</v>
      </c>
      <c r="M2978" s="6" t="s">
        <v>34</v>
      </c>
    </row>
    <row r="2979" spans="1:13">
      <c r="A2979" s="6" t="s">
        <v>4550</v>
      </c>
      <c r="B2979" s="7">
        <v>46054</v>
      </c>
      <c r="C2979" s="6" t="s">
        <v>1839</v>
      </c>
      <c r="D2979" s="6" t="s">
        <v>110</v>
      </c>
      <c r="E2979" s="6" t="s">
        <v>52</v>
      </c>
      <c r="F2979" s="6" t="s">
        <v>38</v>
      </c>
      <c r="G2979" s="6" t="s">
        <v>39</v>
      </c>
      <c r="H2979" s="6">
        <v>1</v>
      </c>
      <c r="I2979" s="6" t="s">
        <v>195</v>
      </c>
      <c r="J2979" s="6" t="s">
        <v>181</v>
      </c>
      <c r="K2979" s="6">
        <v>520</v>
      </c>
      <c r="L2979" s="6" t="s">
        <v>42</v>
      </c>
      <c r="M2979" s="6" t="s">
        <v>34</v>
      </c>
    </row>
    <row r="2980" spans="1:13">
      <c r="A2980" s="6" t="s">
        <v>4551</v>
      </c>
      <c r="B2980" s="7">
        <v>46196</v>
      </c>
      <c r="C2980" s="6" t="s">
        <v>4552</v>
      </c>
      <c r="D2980" s="6" t="s">
        <v>110</v>
      </c>
      <c r="E2980" s="6" t="s">
        <v>78</v>
      </c>
      <c r="F2980" s="6" t="s">
        <v>47</v>
      </c>
      <c r="G2980" s="6" t="s">
        <v>48</v>
      </c>
      <c r="H2980" s="6">
        <v>2</v>
      </c>
      <c r="I2980" s="6" t="s">
        <v>143</v>
      </c>
      <c r="J2980" s="6" t="s">
        <v>144</v>
      </c>
      <c r="K2980" s="6" t="s">
        <v>49</v>
      </c>
      <c r="L2980" s="6" t="s">
        <v>42</v>
      </c>
      <c r="M2980" s="6" t="s">
        <v>69</v>
      </c>
    </row>
    <row r="2981" spans="1:13">
      <c r="A2981" s="6" t="s">
        <v>4553</v>
      </c>
      <c r="B2981" s="7">
        <v>46070</v>
      </c>
      <c r="C2981" s="6" t="s">
        <v>2249</v>
      </c>
      <c r="D2981" s="6" t="s">
        <v>77</v>
      </c>
      <c r="E2981" s="6" t="s">
        <v>37</v>
      </c>
      <c r="F2981" s="6" t="s">
        <v>58</v>
      </c>
      <c r="G2981" s="6" t="s">
        <v>59</v>
      </c>
      <c r="H2981" s="6">
        <v>1</v>
      </c>
      <c r="I2981" s="6" t="s">
        <v>181</v>
      </c>
      <c r="J2981" s="6" t="s">
        <v>181</v>
      </c>
      <c r="K2981" s="6">
        <v>380</v>
      </c>
      <c r="L2981" s="6" t="s">
        <v>42</v>
      </c>
      <c r="M2981" s="6" t="s">
        <v>69</v>
      </c>
    </row>
    <row r="2982" spans="1:13">
      <c r="A2982" s="6" t="s">
        <v>4554</v>
      </c>
      <c r="B2982" s="7">
        <v>46101</v>
      </c>
      <c r="C2982" s="6" t="s">
        <v>1161</v>
      </c>
      <c r="D2982" s="6" t="s">
        <v>77</v>
      </c>
      <c r="E2982" s="6" t="s">
        <v>28</v>
      </c>
      <c r="F2982" s="6" t="s">
        <v>85</v>
      </c>
      <c r="G2982" s="6" t="s">
        <v>86</v>
      </c>
      <c r="H2982" s="6">
        <v>1</v>
      </c>
      <c r="I2982" s="6" t="s">
        <v>265</v>
      </c>
      <c r="J2982" s="6" t="s">
        <v>265</v>
      </c>
      <c r="K2982" s="6">
        <v>410</v>
      </c>
      <c r="L2982" s="6" t="s">
        <v>33</v>
      </c>
      <c r="M2982" s="6" t="s">
        <v>34</v>
      </c>
    </row>
    <row r="2983" spans="1:13">
      <c r="A2983" s="6" t="s">
        <v>4555</v>
      </c>
      <c r="B2983" s="7">
        <v>46148</v>
      </c>
      <c r="C2983" s="6" t="s">
        <v>1502</v>
      </c>
      <c r="D2983" s="6" t="s">
        <v>27</v>
      </c>
      <c r="E2983" s="6" t="s">
        <v>28</v>
      </c>
      <c r="F2983" s="6" t="s">
        <v>100</v>
      </c>
      <c r="G2983" s="6" t="s">
        <v>101</v>
      </c>
      <c r="H2983" s="6">
        <v>2</v>
      </c>
      <c r="I2983" s="6" t="s">
        <v>231</v>
      </c>
      <c r="J2983" s="6" t="s">
        <v>232</v>
      </c>
      <c r="K2983" s="6" t="s">
        <v>119</v>
      </c>
      <c r="L2983" s="6" t="s">
        <v>33</v>
      </c>
      <c r="M2983" s="6" t="s">
        <v>34</v>
      </c>
    </row>
    <row r="2984" spans="1:13">
      <c r="A2984" s="6" t="s">
        <v>4556</v>
      </c>
      <c r="B2984" s="6" t="s">
        <v>607</v>
      </c>
      <c r="C2984" s="6" t="s">
        <v>4557</v>
      </c>
      <c r="D2984" s="6" t="s">
        <v>110</v>
      </c>
      <c r="E2984" s="6" t="s">
        <v>78</v>
      </c>
      <c r="F2984" s="6" t="s">
        <v>94</v>
      </c>
      <c r="G2984" s="6" t="s">
        <v>95</v>
      </c>
      <c r="H2984" s="6">
        <v>1</v>
      </c>
      <c r="I2984" s="6" t="s">
        <v>265</v>
      </c>
      <c r="J2984" s="6" t="s">
        <v>265</v>
      </c>
      <c r="K2984" s="6">
        <v>340</v>
      </c>
      <c r="L2984" s="6" t="s">
        <v>33</v>
      </c>
      <c r="M2984" s="6" t="s">
        <v>34</v>
      </c>
    </row>
    <row r="2985" spans="1:13">
      <c r="A2985" s="6" t="s">
        <v>4558</v>
      </c>
      <c r="B2985" s="7">
        <v>46192</v>
      </c>
      <c r="C2985" s="6" t="s">
        <v>1766</v>
      </c>
      <c r="D2985" s="6" t="s">
        <v>72</v>
      </c>
      <c r="E2985" s="6" t="s">
        <v>52</v>
      </c>
      <c r="F2985" s="6" t="s">
        <v>47</v>
      </c>
      <c r="G2985" s="6" t="s">
        <v>48</v>
      </c>
      <c r="H2985" s="6">
        <v>1</v>
      </c>
      <c r="I2985" s="6" t="s">
        <v>31</v>
      </c>
      <c r="J2985" s="6" t="s">
        <v>31</v>
      </c>
      <c r="K2985" s="6" t="s">
        <v>49</v>
      </c>
      <c r="L2985" s="6" t="s">
        <v>42</v>
      </c>
      <c r="M2985" s="6" t="s">
        <v>34</v>
      </c>
    </row>
    <row r="2986" spans="1:13">
      <c r="A2986" s="6" t="s">
        <v>4559</v>
      </c>
      <c r="B2986" s="7">
        <v>46028</v>
      </c>
      <c r="C2986" s="6" t="s">
        <v>1130</v>
      </c>
      <c r="D2986" s="6" t="s">
        <v>45</v>
      </c>
      <c r="E2986" s="6" t="s">
        <v>46</v>
      </c>
      <c r="F2986" s="6" t="s">
        <v>94</v>
      </c>
      <c r="G2986" s="6" t="s">
        <v>95</v>
      </c>
      <c r="H2986" s="6">
        <v>1</v>
      </c>
      <c r="I2986" s="6" t="s">
        <v>40</v>
      </c>
      <c r="J2986" s="6" t="s">
        <v>40</v>
      </c>
      <c r="K2986" s="6" t="s">
        <v>114</v>
      </c>
      <c r="L2986" s="6" t="s">
        <v>42</v>
      </c>
      <c r="M2986" s="6" t="s">
        <v>34</v>
      </c>
    </row>
    <row r="2987" spans="1:13">
      <c r="A2987" s="6" t="s">
        <v>4560</v>
      </c>
      <c r="B2987" s="7">
        <v>46156</v>
      </c>
      <c r="C2987" s="6" t="s">
        <v>768</v>
      </c>
      <c r="D2987" s="6" t="s">
        <v>64</v>
      </c>
      <c r="E2987" s="6" t="s">
        <v>52</v>
      </c>
      <c r="F2987" s="6" t="s">
        <v>100</v>
      </c>
      <c r="G2987" s="6" t="s">
        <v>101</v>
      </c>
      <c r="H2987" s="6">
        <v>-3</v>
      </c>
      <c r="I2987" s="6" t="s">
        <v>143</v>
      </c>
      <c r="J2987" s="8" t="s">
        <v>1916</v>
      </c>
      <c r="K2987" s="6" t="s">
        <v>119</v>
      </c>
      <c r="L2987" s="6" t="s">
        <v>42</v>
      </c>
      <c r="M2987" s="6" t="s">
        <v>34</v>
      </c>
    </row>
    <row r="2988" spans="1:13">
      <c r="A2988" s="6" t="s">
        <v>4561</v>
      </c>
      <c r="B2988" s="7">
        <v>46031</v>
      </c>
      <c r="C2988" s="6" t="s">
        <v>1530</v>
      </c>
      <c r="D2988" s="6" t="s">
        <v>57</v>
      </c>
      <c r="E2988" s="6" t="s">
        <v>28</v>
      </c>
      <c r="F2988" s="6" t="s">
        <v>29</v>
      </c>
      <c r="G2988" s="6" t="s">
        <v>30</v>
      </c>
      <c r="H2988" s="6">
        <v>3</v>
      </c>
      <c r="I2988" s="6" t="s">
        <v>231</v>
      </c>
      <c r="J2988" s="6" t="s">
        <v>505</v>
      </c>
      <c r="K2988" s="6">
        <v>520</v>
      </c>
      <c r="L2988" s="6" t="s">
        <v>42</v>
      </c>
      <c r="M2988" s="6" t="s">
        <v>34</v>
      </c>
    </row>
    <row r="2989" spans="1:13">
      <c r="A2989" s="6" t="s">
        <v>4562</v>
      </c>
      <c r="B2989" s="7">
        <v>46135</v>
      </c>
      <c r="C2989" s="6" t="s">
        <v>2463</v>
      </c>
      <c r="D2989" s="6" t="s">
        <v>45</v>
      </c>
      <c r="E2989" s="6" t="s">
        <v>28</v>
      </c>
      <c r="F2989" s="6" t="s">
        <v>53</v>
      </c>
      <c r="G2989" s="6" t="s">
        <v>54</v>
      </c>
      <c r="H2989" s="6">
        <v>1</v>
      </c>
      <c r="I2989" s="6" t="s">
        <v>90</v>
      </c>
      <c r="J2989" s="6" t="s">
        <v>90</v>
      </c>
      <c r="K2989" s="6" t="s">
        <v>122</v>
      </c>
      <c r="L2989" s="6" t="s">
        <v>33</v>
      </c>
      <c r="M2989" s="6" t="s">
        <v>34</v>
      </c>
    </row>
    <row r="2990" spans="1:13">
      <c r="A2990" s="6" t="s">
        <v>4563</v>
      </c>
      <c r="B2990" s="7">
        <v>46121</v>
      </c>
      <c r="C2990" s="6" t="s">
        <v>3880</v>
      </c>
      <c r="D2990" s="6" t="s">
        <v>57</v>
      </c>
      <c r="E2990" s="6" t="s">
        <v>78</v>
      </c>
      <c r="F2990" s="6" t="s">
        <v>47</v>
      </c>
      <c r="G2990" s="6" t="s">
        <v>48</v>
      </c>
      <c r="H2990" s="6">
        <v>3</v>
      </c>
      <c r="I2990" s="6" t="s">
        <v>96</v>
      </c>
      <c r="J2990" s="6" t="s">
        <v>97</v>
      </c>
      <c r="K2990" s="6">
        <v>85</v>
      </c>
      <c r="L2990" s="6" t="s">
        <v>42</v>
      </c>
      <c r="M2990" s="6" t="s">
        <v>34</v>
      </c>
    </row>
    <row r="2991" spans="1:13">
      <c r="A2991" s="6" t="s">
        <v>4564</v>
      </c>
      <c r="B2991" s="7">
        <v>46205</v>
      </c>
      <c r="C2991" s="6" t="s">
        <v>731</v>
      </c>
      <c r="D2991" s="6" t="s">
        <v>77</v>
      </c>
      <c r="E2991" s="6" t="s">
        <v>28</v>
      </c>
      <c r="F2991" s="6" t="s">
        <v>29</v>
      </c>
      <c r="G2991" s="6" t="s">
        <v>30</v>
      </c>
      <c r="H2991" s="6">
        <v>2</v>
      </c>
      <c r="I2991" s="6" t="s">
        <v>82</v>
      </c>
      <c r="J2991" s="6" t="s">
        <v>297</v>
      </c>
      <c r="K2991" s="6">
        <v>520</v>
      </c>
      <c r="L2991" s="6" t="s">
        <v>33</v>
      </c>
      <c r="M2991" s="6" t="s">
        <v>69</v>
      </c>
    </row>
    <row r="2992" spans="1:13">
      <c r="A2992" s="6" t="s">
        <v>3640</v>
      </c>
      <c r="B2992" s="7">
        <v>46111</v>
      </c>
      <c r="C2992" s="6" t="s">
        <v>2400</v>
      </c>
      <c r="D2992" s="6" t="s">
        <v>127</v>
      </c>
      <c r="E2992" s="6" t="s">
        <v>28</v>
      </c>
      <c r="F2992" s="6" t="s">
        <v>53</v>
      </c>
      <c r="G2992" s="6" t="s">
        <v>54</v>
      </c>
      <c r="H2992" s="6">
        <v>1</v>
      </c>
      <c r="I2992" s="6" t="s">
        <v>31</v>
      </c>
      <c r="J2992" s="6" t="s">
        <v>31</v>
      </c>
      <c r="K2992" s="6">
        <v>190</v>
      </c>
      <c r="L2992" s="6" t="s">
        <v>42</v>
      </c>
      <c r="M2992" s="6" t="s">
        <v>34</v>
      </c>
    </row>
    <row r="2993" spans="1:13">
      <c r="A2993" s="6" t="s">
        <v>4565</v>
      </c>
      <c r="B2993" s="6" t="s">
        <v>131</v>
      </c>
      <c r="C2993" s="6" t="s">
        <v>735</v>
      </c>
      <c r="D2993" s="6" t="s">
        <v>27</v>
      </c>
      <c r="E2993" s="6" t="s">
        <v>46</v>
      </c>
      <c r="F2993" s="6" t="s">
        <v>29</v>
      </c>
      <c r="G2993" s="6" t="s">
        <v>30</v>
      </c>
      <c r="H2993" s="6">
        <v>1</v>
      </c>
      <c r="I2993" s="6" t="s">
        <v>73</v>
      </c>
      <c r="J2993" s="6" t="s">
        <v>73</v>
      </c>
      <c r="K2993" s="6">
        <v>520</v>
      </c>
      <c r="L2993" s="6" t="s">
        <v>42</v>
      </c>
      <c r="M2993" s="6" t="s">
        <v>34</v>
      </c>
    </row>
    <row r="2994" spans="1:13">
      <c r="A2994" s="6" t="s">
        <v>4566</v>
      </c>
      <c r="B2994" s="7">
        <v>46061</v>
      </c>
      <c r="C2994" s="6" t="s">
        <v>1122</v>
      </c>
      <c r="D2994" s="6" t="s">
        <v>72</v>
      </c>
      <c r="E2994" s="6" t="s">
        <v>52</v>
      </c>
      <c r="F2994" s="6" t="s">
        <v>58</v>
      </c>
      <c r="G2994" s="6" t="s">
        <v>59</v>
      </c>
      <c r="H2994" s="6">
        <v>1</v>
      </c>
      <c r="I2994" s="6" t="s">
        <v>147</v>
      </c>
      <c r="J2994" s="6" t="s">
        <v>147</v>
      </c>
      <c r="K2994" s="6">
        <v>380</v>
      </c>
      <c r="L2994" s="6" t="s">
        <v>42</v>
      </c>
      <c r="M2994" s="6" t="s">
        <v>69</v>
      </c>
    </row>
    <row r="2995" spans="1:13">
      <c r="A2995" s="6" t="s">
        <v>4567</v>
      </c>
      <c r="B2995" s="7">
        <v>46073</v>
      </c>
      <c r="C2995" s="6" t="s">
        <v>1248</v>
      </c>
      <c r="D2995" s="6" t="s">
        <v>57</v>
      </c>
      <c r="E2995" s="6" t="s">
        <v>46</v>
      </c>
      <c r="F2995" s="6" t="s">
        <v>94</v>
      </c>
      <c r="G2995" s="6" t="s">
        <v>95</v>
      </c>
      <c r="H2995" s="6">
        <v>1</v>
      </c>
      <c r="I2995" s="6" t="s">
        <v>231</v>
      </c>
      <c r="J2995" s="6" t="s">
        <v>231</v>
      </c>
      <c r="K2995" s="6">
        <v>340</v>
      </c>
      <c r="L2995" s="6" t="s">
        <v>42</v>
      </c>
      <c r="M2995" s="6" t="s">
        <v>34</v>
      </c>
    </row>
    <row r="2996" spans="1:13">
      <c r="A2996" s="6" t="s">
        <v>4568</v>
      </c>
      <c r="B2996" s="7">
        <v>46155</v>
      </c>
      <c r="C2996" s="6" t="s">
        <v>2671</v>
      </c>
      <c r="D2996" s="6" t="s">
        <v>72</v>
      </c>
      <c r="E2996" s="6" t="s">
        <v>46</v>
      </c>
      <c r="F2996" s="6" t="s">
        <v>94</v>
      </c>
      <c r="G2996" s="6" t="s">
        <v>95</v>
      </c>
      <c r="H2996" s="6">
        <v>1</v>
      </c>
      <c r="I2996" s="6" t="s">
        <v>181</v>
      </c>
      <c r="J2996" s="6" t="s">
        <v>181</v>
      </c>
      <c r="K2996" s="6" t="s">
        <v>114</v>
      </c>
      <c r="L2996" s="6" t="s">
        <v>42</v>
      </c>
      <c r="M2996" s="6" t="s">
        <v>34</v>
      </c>
    </row>
    <row r="2997" spans="1:13">
      <c r="A2997" s="6" t="s">
        <v>4569</v>
      </c>
      <c r="B2997" s="7">
        <v>46203</v>
      </c>
      <c r="C2997" s="6" t="s">
        <v>520</v>
      </c>
      <c r="D2997" s="6" t="s">
        <v>77</v>
      </c>
      <c r="E2997" s="6" t="s">
        <v>52</v>
      </c>
      <c r="F2997" s="6" t="s">
        <v>38</v>
      </c>
      <c r="G2997" s="6" t="s">
        <v>39</v>
      </c>
      <c r="H2997" s="6">
        <v>2</v>
      </c>
      <c r="I2997" s="6" t="s">
        <v>265</v>
      </c>
      <c r="J2997" s="6" t="s">
        <v>167</v>
      </c>
      <c r="K2997" s="6" t="s">
        <v>41</v>
      </c>
      <c r="L2997" s="6" t="s">
        <v>42</v>
      </c>
      <c r="M2997" s="6" t="s">
        <v>69</v>
      </c>
    </row>
    <row r="2998" spans="1:13">
      <c r="A2998" s="6" t="s">
        <v>4570</v>
      </c>
      <c r="B2998" s="7">
        <v>46080</v>
      </c>
      <c r="C2998" s="6" t="s">
        <v>3177</v>
      </c>
      <c r="D2998" s="6" t="s">
        <v>27</v>
      </c>
      <c r="E2998" s="6" t="s">
        <v>37</v>
      </c>
      <c r="F2998" s="6" t="s">
        <v>94</v>
      </c>
      <c r="G2998" s="6" t="s">
        <v>95</v>
      </c>
      <c r="H2998" s="6">
        <v>3</v>
      </c>
      <c r="I2998" s="6" t="s">
        <v>67</v>
      </c>
      <c r="J2998" s="6" t="s">
        <v>68</v>
      </c>
      <c r="K2998" s="6">
        <v>340</v>
      </c>
      <c r="L2998" s="6" t="s">
        <v>42</v>
      </c>
      <c r="M2998" s="6" t="s">
        <v>34</v>
      </c>
    </row>
    <row r="2999" spans="1:13">
      <c r="A2999" s="6" t="s">
        <v>3475</v>
      </c>
      <c r="B2999" s="7">
        <v>46198</v>
      </c>
      <c r="C2999" s="6" t="s">
        <v>2001</v>
      </c>
      <c r="D2999" s="6" t="s">
        <v>110</v>
      </c>
      <c r="E2999" s="6" t="s">
        <v>37</v>
      </c>
      <c r="F2999" s="6" t="s">
        <v>38</v>
      </c>
      <c r="G2999" s="6" t="s">
        <v>39</v>
      </c>
      <c r="H2999" s="6">
        <v>1</v>
      </c>
      <c r="I2999" s="6" t="s">
        <v>90</v>
      </c>
      <c r="J2999" s="6" t="s">
        <v>90</v>
      </c>
      <c r="K2999" s="6" t="s">
        <v>41</v>
      </c>
      <c r="L2999" s="6" t="s">
        <v>42</v>
      </c>
      <c r="M2999" s="6" t="s">
        <v>34</v>
      </c>
    </row>
    <row r="3000" spans="1:13">
      <c r="A3000" s="6" t="s">
        <v>4571</v>
      </c>
      <c r="B3000" s="7">
        <v>46154</v>
      </c>
      <c r="C3000" s="6" t="s">
        <v>729</v>
      </c>
      <c r="D3000" s="6" t="s">
        <v>72</v>
      </c>
      <c r="E3000" s="6" t="s">
        <v>28</v>
      </c>
      <c r="F3000" s="6" t="s">
        <v>85</v>
      </c>
      <c r="G3000" s="6" t="s">
        <v>86</v>
      </c>
      <c r="H3000" s="6">
        <v>1</v>
      </c>
      <c r="I3000" s="6" t="s">
        <v>113</v>
      </c>
      <c r="J3000" s="6" t="s">
        <v>113</v>
      </c>
      <c r="K3000" s="6" t="s">
        <v>87</v>
      </c>
      <c r="L3000" s="6" t="s">
        <v>42</v>
      </c>
      <c r="M3000" s="6" t="s">
        <v>69</v>
      </c>
    </row>
    <row r="3001" spans="1:13">
      <c r="A3001" s="6" t="s">
        <v>4572</v>
      </c>
      <c r="B3001" s="7">
        <v>46135</v>
      </c>
      <c r="C3001" s="6" t="s">
        <v>1050</v>
      </c>
      <c r="D3001" s="6" t="s">
        <v>72</v>
      </c>
      <c r="E3001" s="6" t="s">
        <v>28</v>
      </c>
      <c r="F3001" s="6" t="s">
        <v>38</v>
      </c>
      <c r="G3001" s="6" t="s">
        <v>39</v>
      </c>
      <c r="H3001" s="6">
        <v>1</v>
      </c>
      <c r="I3001" s="6" t="s">
        <v>60</v>
      </c>
      <c r="J3001" s="6" t="s">
        <v>60</v>
      </c>
      <c r="K3001" s="6" t="s">
        <v>41</v>
      </c>
      <c r="L3001" s="6" t="s">
        <v>42</v>
      </c>
      <c r="M3001" s="6" t="s">
        <v>69</v>
      </c>
    </row>
    <row r="3002" spans="1:13">
      <c r="A3002" s="6" t="s">
        <v>4573</v>
      </c>
      <c r="B3002" s="7">
        <v>46033</v>
      </c>
      <c r="C3002" s="6" t="s">
        <v>4186</v>
      </c>
      <c r="D3002" s="6" t="s">
        <v>127</v>
      </c>
      <c r="E3002" s="6" t="s">
        <v>28</v>
      </c>
      <c r="F3002" s="6" t="s">
        <v>38</v>
      </c>
      <c r="G3002" s="6" t="s">
        <v>39</v>
      </c>
      <c r="H3002" s="6">
        <v>2</v>
      </c>
      <c r="I3002" s="6" t="s">
        <v>117</v>
      </c>
      <c r="J3002" s="6" t="s">
        <v>118</v>
      </c>
      <c r="K3002" s="6">
        <v>520</v>
      </c>
      <c r="L3002" s="6" t="s">
        <v>42</v>
      </c>
      <c r="M3002" s="6" t="s">
        <v>69</v>
      </c>
    </row>
    <row r="3003" spans="1:13">
      <c r="A3003" s="6" t="s">
        <v>4574</v>
      </c>
      <c r="B3003" s="7">
        <v>46151</v>
      </c>
      <c r="C3003" s="6" t="s">
        <v>2035</v>
      </c>
      <c r="D3003" s="6" t="s">
        <v>105</v>
      </c>
      <c r="E3003" s="6" t="s">
        <v>37</v>
      </c>
      <c r="F3003" s="6" t="s">
        <v>38</v>
      </c>
      <c r="G3003" s="6" t="s">
        <v>39</v>
      </c>
      <c r="H3003" s="6">
        <v>3</v>
      </c>
      <c r="I3003" s="6" t="s">
        <v>31</v>
      </c>
      <c r="J3003" s="6" t="s">
        <v>337</v>
      </c>
      <c r="K3003" s="6" t="s">
        <v>41</v>
      </c>
      <c r="L3003" s="6" t="s">
        <v>33</v>
      </c>
      <c r="M3003" s="6" t="s">
        <v>34</v>
      </c>
    </row>
    <row r="3004" spans="1:13">
      <c r="A3004" s="6" t="s">
        <v>4575</v>
      </c>
      <c r="B3004" s="7">
        <v>46161</v>
      </c>
      <c r="C3004" s="6" t="s">
        <v>596</v>
      </c>
      <c r="D3004" s="6" t="s">
        <v>57</v>
      </c>
      <c r="E3004" s="6" t="s">
        <v>52</v>
      </c>
      <c r="F3004" s="6" t="s">
        <v>85</v>
      </c>
      <c r="G3004" s="6" t="s">
        <v>86</v>
      </c>
      <c r="H3004" s="6">
        <v>2</v>
      </c>
      <c r="I3004" s="6" t="s">
        <v>181</v>
      </c>
      <c r="J3004" s="6" t="s">
        <v>163</v>
      </c>
      <c r="K3004" s="6" t="s">
        <v>87</v>
      </c>
      <c r="L3004" s="6" t="s">
        <v>42</v>
      </c>
      <c r="M3004" s="6" t="s">
        <v>34</v>
      </c>
    </row>
    <row r="3005" spans="1:13">
      <c r="A3005" s="6" t="s">
        <v>4576</v>
      </c>
      <c r="B3005" s="7">
        <v>46048</v>
      </c>
      <c r="C3005" s="6" t="s">
        <v>1964</v>
      </c>
      <c r="D3005" s="6" t="s">
        <v>57</v>
      </c>
      <c r="E3005" s="6" t="s">
        <v>46</v>
      </c>
      <c r="F3005" s="6" t="s">
        <v>85</v>
      </c>
      <c r="G3005" s="6" t="s">
        <v>86</v>
      </c>
      <c r="H3005" s="6">
        <v>1</v>
      </c>
      <c r="I3005" s="6" t="s">
        <v>231</v>
      </c>
      <c r="J3005" s="6" t="s">
        <v>231</v>
      </c>
      <c r="K3005" s="6">
        <v>410</v>
      </c>
      <c r="L3005" s="6" t="s">
        <v>33</v>
      </c>
      <c r="M3005" s="6" t="s">
        <v>34</v>
      </c>
    </row>
    <row r="3006" spans="1:13">
      <c r="A3006" s="6" t="s">
        <v>4577</v>
      </c>
      <c r="B3006" s="7">
        <v>46040</v>
      </c>
      <c r="C3006" s="6" t="s">
        <v>2861</v>
      </c>
      <c r="D3006" s="6" t="s">
        <v>27</v>
      </c>
      <c r="E3006" s="6" t="s">
        <v>78</v>
      </c>
      <c r="F3006" s="6" t="s">
        <v>29</v>
      </c>
      <c r="G3006" s="6" t="s">
        <v>30</v>
      </c>
      <c r="H3006" s="6">
        <v>-3</v>
      </c>
      <c r="I3006" s="6" t="s">
        <v>113</v>
      </c>
      <c r="J3006" s="8" t="s">
        <v>1913</v>
      </c>
      <c r="K3006" s="6">
        <v>520</v>
      </c>
      <c r="L3006" s="6" t="s">
        <v>42</v>
      </c>
      <c r="M3006" s="6" t="s">
        <v>34</v>
      </c>
    </row>
    <row r="3007" spans="1:13">
      <c r="A3007" s="6" t="s">
        <v>4578</v>
      </c>
      <c r="B3007" s="7">
        <v>46063</v>
      </c>
      <c r="C3007" s="6" t="s">
        <v>3910</v>
      </c>
      <c r="D3007" s="6" t="s">
        <v>72</v>
      </c>
      <c r="E3007" s="6" t="s">
        <v>78</v>
      </c>
      <c r="F3007" s="6" t="s">
        <v>38</v>
      </c>
      <c r="G3007" s="6" t="s">
        <v>39</v>
      </c>
      <c r="H3007" s="6">
        <v>3</v>
      </c>
      <c r="I3007" s="6" t="s">
        <v>656</v>
      </c>
      <c r="J3007" s="6" t="s">
        <v>138</v>
      </c>
      <c r="K3007" s="6">
        <v>520</v>
      </c>
      <c r="L3007" s="6" t="s">
        <v>33</v>
      </c>
      <c r="M3007" s="6" t="s">
        <v>34</v>
      </c>
    </row>
    <row r="3008" spans="1:13">
      <c r="A3008" s="6" t="s">
        <v>4579</v>
      </c>
      <c r="B3008" s="7">
        <v>46122</v>
      </c>
      <c r="C3008" s="6" t="s">
        <v>3090</v>
      </c>
      <c r="D3008" s="6" t="s">
        <v>64</v>
      </c>
      <c r="E3008" s="6" t="s">
        <v>52</v>
      </c>
      <c r="F3008" s="6" t="s">
        <v>47</v>
      </c>
      <c r="G3008" s="6" t="s">
        <v>48</v>
      </c>
      <c r="H3008" s="6">
        <v>1</v>
      </c>
      <c r="I3008" s="6" t="s">
        <v>265</v>
      </c>
      <c r="J3008" s="6" t="s">
        <v>265</v>
      </c>
      <c r="K3008" s="6">
        <v>85</v>
      </c>
      <c r="L3008" s="6" t="s">
        <v>33</v>
      </c>
      <c r="M3008" s="6" t="s">
        <v>34</v>
      </c>
    </row>
    <row r="3009" spans="1:13">
      <c r="A3009" s="6" t="s">
        <v>4580</v>
      </c>
      <c r="B3009" s="6" t="s">
        <v>899</v>
      </c>
      <c r="C3009" s="6" t="s">
        <v>3960</v>
      </c>
      <c r="D3009" s="6" t="s">
        <v>72</v>
      </c>
      <c r="E3009" s="6" t="s">
        <v>28</v>
      </c>
      <c r="F3009" s="6" t="s">
        <v>38</v>
      </c>
      <c r="G3009" s="6" t="s">
        <v>39</v>
      </c>
      <c r="H3009" s="6">
        <v>3</v>
      </c>
      <c r="I3009" s="6" t="s">
        <v>82</v>
      </c>
      <c r="J3009" s="6" t="s">
        <v>390</v>
      </c>
      <c r="K3009" s="6">
        <v>520</v>
      </c>
      <c r="L3009" s="6" t="s">
        <v>42</v>
      </c>
      <c r="M3009" s="6" t="s">
        <v>34</v>
      </c>
    </row>
    <row r="3010" spans="1:13">
      <c r="A3010" s="6" t="s">
        <v>4581</v>
      </c>
      <c r="B3010" s="7">
        <v>46176</v>
      </c>
      <c r="C3010" s="6" t="s">
        <v>3490</v>
      </c>
      <c r="D3010" s="6" t="s">
        <v>110</v>
      </c>
      <c r="E3010" s="6" t="s">
        <v>37</v>
      </c>
      <c r="F3010" s="6" t="s">
        <v>85</v>
      </c>
      <c r="G3010" s="6" t="s">
        <v>86</v>
      </c>
      <c r="H3010" s="6">
        <v>1</v>
      </c>
      <c r="I3010" s="6" t="s">
        <v>143</v>
      </c>
      <c r="J3010" s="6" t="s">
        <v>143</v>
      </c>
      <c r="K3010" s="6" t="s">
        <v>87</v>
      </c>
      <c r="L3010" s="6" t="s">
        <v>42</v>
      </c>
      <c r="M3010" s="6" t="s">
        <v>34</v>
      </c>
    </row>
    <row r="3011" spans="1:13">
      <c r="A3011" s="6" t="s">
        <v>4582</v>
      </c>
      <c r="B3011" s="7">
        <v>46039</v>
      </c>
      <c r="C3011" s="6" t="s">
        <v>240</v>
      </c>
      <c r="D3011" s="6" t="s">
        <v>64</v>
      </c>
      <c r="E3011" s="6" t="s">
        <v>46</v>
      </c>
      <c r="F3011" s="6" t="s">
        <v>85</v>
      </c>
      <c r="G3011" s="6" t="s">
        <v>86</v>
      </c>
      <c r="H3011" s="6">
        <v>2</v>
      </c>
      <c r="I3011" s="6" t="s">
        <v>265</v>
      </c>
      <c r="J3011" s="6" t="s">
        <v>167</v>
      </c>
      <c r="K3011" s="6">
        <v>410</v>
      </c>
      <c r="L3011" s="6" t="s">
        <v>42</v>
      </c>
      <c r="M3011" s="6" t="s">
        <v>69</v>
      </c>
    </row>
    <row r="3012" spans="1:13">
      <c r="A3012" s="6" t="s">
        <v>4583</v>
      </c>
      <c r="B3012" s="7">
        <v>46160</v>
      </c>
      <c r="C3012" s="6" t="s">
        <v>1190</v>
      </c>
      <c r="D3012" s="6" t="s">
        <v>110</v>
      </c>
      <c r="E3012" s="6" t="s">
        <v>46</v>
      </c>
      <c r="F3012" s="6" t="s">
        <v>85</v>
      </c>
      <c r="G3012" s="6" t="s">
        <v>86</v>
      </c>
      <c r="H3012" s="6">
        <v>-2</v>
      </c>
      <c r="I3012" s="6" t="s">
        <v>231</v>
      </c>
      <c r="J3012" s="8" t="s">
        <v>2429</v>
      </c>
      <c r="K3012" s="6" t="s">
        <v>87</v>
      </c>
      <c r="L3012" s="6" t="s">
        <v>42</v>
      </c>
      <c r="M3012" s="6" t="s">
        <v>34</v>
      </c>
    </row>
    <row r="3013" spans="1:13">
      <c r="A3013" s="6" t="s">
        <v>4584</v>
      </c>
      <c r="B3013" s="7">
        <v>46054</v>
      </c>
      <c r="C3013" s="6" t="s">
        <v>454</v>
      </c>
      <c r="D3013" s="6" t="s">
        <v>45</v>
      </c>
      <c r="E3013" s="6" t="s">
        <v>37</v>
      </c>
      <c r="F3013" s="6" t="s">
        <v>53</v>
      </c>
      <c r="G3013" s="6" t="s">
        <v>54</v>
      </c>
      <c r="H3013" s="6">
        <v>2</v>
      </c>
      <c r="I3013" s="6" t="s">
        <v>90</v>
      </c>
      <c r="J3013" s="6" t="s">
        <v>154</v>
      </c>
      <c r="K3013" s="6">
        <v>190</v>
      </c>
      <c r="L3013" s="6" t="s">
        <v>33</v>
      </c>
      <c r="M3013" s="6" t="s">
        <v>69</v>
      </c>
    </row>
    <row r="3014" spans="1:13">
      <c r="A3014" s="6" t="s">
        <v>4585</v>
      </c>
      <c r="B3014" s="7">
        <v>46176</v>
      </c>
      <c r="C3014" s="6" t="s">
        <v>3820</v>
      </c>
      <c r="D3014" s="6" t="s">
        <v>64</v>
      </c>
      <c r="E3014" s="6" t="s">
        <v>37</v>
      </c>
      <c r="F3014" s="6" t="s">
        <v>100</v>
      </c>
      <c r="G3014" s="6" t="s">
        <v>101</v>
      </c>
      <c r="H3014" s="6">
        <v>1</v>
      </c>
      <c r="I3014" s="6" t="s">
        <v>181</v>
      </c>
      <c r="J3014" s="6" t="s">
        <v>181</v>
      </c>
      <c r="K3014" s="6">
        <v>640</v>
      </c>
      <c r="L3014" s="6" t="s">
        <v>33</v>
      </c>
      <c r="M3014" s="6" t="s">
        <v>34</v>
      </c>
    </row>
    <row r="3015" spans="1:13">
      <c r="A3015" s="6" t="s">
        <v>4586</v>
      </c>
      <c r="B3015" s="7">
        <v>46197</v>
      </c>
      <c r="C3015" s="6" t="s">
        <v>4587</v>
      </c>
      <c r="D3015" s="6" t="s">
        <v>127</v>
      </c>
      <c r="E3015" s="6" t="s">
        <v>52</v>
      </c>
      <c r="F3015" s="6" t="s">
        <v>47</v>
      </c>
      <c r="G3015" s="6" t="s">
        <v>48</v>
      </c>
      <c r="H3015" s="6">
        <v>3</v>
      </c>
      <c r="I3015" s="6" t="s">
        <v>117</v>
      </c>
      <c r="J3015" s="6" t="s">
        <v>171</v>
      </c>
      <c r="K3015" s="6" t="s">
        <v>49</v>
      </c>
      <c r="L3015" s="6" t="s">
        <v>42</v>
      </c>
      <c r="M3015" s="6" t="s">
        <v>34</v>
      </c>
    </row>
    <row r="3016" spans="1:13">
      <c r="A3016" s="6" t="s">
        <v>4588</v>
      </c>
      <c r="B3016" s="7">
        <v>46062</v>
      </c>
      <c r="C3016" s="6" t="s">
        <v>2668</v>
      </c>
      <c r="D3016" s="6" t="s">
        <v>64</v>
      </c>
      <c r="E3016" s="6" t="s">
        <v>46</v>
      </c>
      <c r="F3016" s="6" t="s">
        <v>85</v>
      </c>
      <c r="G3016" s="6" t="s">
        <v>86</v>
      </c>
      <c r="H3016" s="6">
        <v>2</v>
      </c>
      <c r="I3016" s="6" t="s">
        <v>117</v>
      </c>
      <c r="J3016" s="6" t="s">
        <v>118</v>
      </c>
      <c r="K3016" s="6">
        <v>410</v>
      </c>
      <c r="L3016" s="6" t="s">
        <v>33</v>
      </c>
      <c r="M3016" s="6" t="s">
        <v>34</v>
      </c>
    </row>
    <row r="3017" spans="1:13">
      <c r="A3017" s="6" t="s">
        <v>4589</v>
      </c>
      <c r="B3017" s="7">
        <v>46051</v>
      </c>
      <c r="C3017" s="6" t="s">
        <v>4590</v>
      </c>
      <c r="D3017" s="6" t="s">
        <v>127</v>
      </c>
      <c r="E3017" s="6" t="s">
        <v>78</v>
      </c>
      <c r="F3017" s="6" t="s">
        <v>29</v>
      </c>
      <c r="G3017" s="6" t="s">
        <v>30</v>
      </c>
      <c r="H3017" s="6">
        <v>3</v>
      </c>
      <c r="I3017" s="6" t="s">
        <v>117</v>
      </c>
      <c r="J3017" s="6" t="s">
        <v>171</v>
      </c>
      <c r="K3017" s="6">
        <v>520</v>
      </c>
      <c r="L3017" s="6" t="s">
        <v>42</v>
      </c>
      <c r="M3017" s="6" t="s">
        <v>69</v>
      </c>
    </row>
    <row r="3018" spans="1:13">
      <c r="A3018" s="6" t="s">
        <v>4591</v>
      </c>
      <c r="B3018" s="7">
        <v>46067</v>
      </c>
      <c r="C3018" s="6" t="s">
        <v>4592</v>
      </c>
      <c r="D3018" s="6" t="s">
        <v>127</v>
      </c>
      <c r="E3018" s="6" t="s">
        <v>37</v>
      </c>
      <c r="F3018" s="6" t="s">
        <v>58</v>
      </c>
      <c r="G3018" s="6" t="s">
        <v>59</v>
      </c>
      <c r="H3018" s="6">
        <v>1</v>
      </c>
      <c r="I3018" s="6" t="s">
        <v>90</v>
      </c>
      <c r="J3018" s="6" t="s">
        <v>90</v>
      </c>
      <c r="K3018" s="6">
        <v>380</v>
      </c>
      <c r="L3018" s="6" t="s">
        <v>42</v>
      </c>
      <c r="M3018" s="6" t="s">
        <v>34</v>
      </c>
    </row>
    <row r="3019" spans="1:13">
      <c r="A3019" s="6" t="s">
        <v>4593</v>
      </c>
      <c r="B3019" s="7">
        <v>46028</v>
      </c>
      <c r="C3019" s="6" t="s">
        <v>1335</v>
      </c>
      <c r="D3019" s="6" t="s">
        <v>105</v>
      </c>
      <c r="E3019" s="6" t="s">
        <v>78</v>
      </c>
      <c r="F3019" s="6" t="s">
        <v>29</v>
      </c>
      <c r="G3019" s="6" t="s">
        <v>30</v>
      </c>
      <c r="H3019" s="6">
        <v>2</v>
      </c>
      <c r="I3019" s="6" t="s">
        <v>31</v>
      </c>
      <c r="J3019" s="6" t="s">
        <v>249</v>
      </c>
      <c r="K3019" s="6">
        <v>520</v>
      </c>
      <c r="L3019" s="6" t="s">
        <v>42</v>
      </c>
      <c r="M3019" s="6" t="s">
        <v>34</v>
      </c>
    </row>
    <row r="3020" spans="1:13">
      <c r="A3020" s="6" t="s">
        <v>4594</v>
      </c>
      <c r="B3020" s="7">
        <v>46204</v>
      </c>
      <c r="C3020" s="6" t="s">
        <v>1283</v>
      </c>
      <c r="D3020" s="6" t="s">
        <v>64</v>
      </c>
      <c r="E3020" s="6" t="s">
        <v>28</v>
      </c>
      <c r="F3020" s="6" t="s">
        <v>94</v>
      </c>
      <c r="G3020" s="6" t="s">
        <v>95</v>
      </c>
      <c r="H3020" s="6">
        <v>1</v>
      </c>
      <c r="I3020" s="6" t="s">
        <v>113</v>
      </c>
      <c r="J3020" s="6" t="s">
        <v>113</v>
      </c>
      <c r="K3020" s="6" t="s">
        <v>114</v>
      </c>
      <c r="L3020" s="6" t="s">
        <v>42</v>
      </c>
      <c r="M3020" s="6" t="s">
        <v>34</v>
      </c>
    </row>
    <row r="3021" spans="1:13">
      <c r="A3021" s="6" t="s">
        <v>4595</v>
      </c>
      <c r="B3021" s="7">
        <v>46154</v>
      </c>
      <c r="C3021" s="6" t="s">
        <v>316</v>
      </c>
      <c r="D3021" s="6" t="s">
        <v>27</v>
      </c>
      <c r="E3021" s="6" t="s">
        <v>46</v>
      </c>
      <c r="F3021" s="6" t="s">
        <v>38</v>
      </c>
      <c r="G3021" s="6" t="s">
        <v>39</v>
      </c>
      <c r="H3021" s="6">
        <v>2</v>
      </c>
      <c r="I3021" s="6" t="s">
        <v>31</v>
      </c>
      <c r="J3021" s="6" t="s">
        <v>249</v>
      </c>
      <c r="K3021" s="6" t="s">
        <v>41</v>
      </c>
      <c r="L3021" s="6" t="s">
        <v>42</v>
      </c>
      <c r="M3021" s="6" t="s">
        <v>69</v>
      </c>
    </row>
    <row r="3022" spans="1:13">
      <c r="A3022" s="6" t="s">
        <v>4596</v>
      </c>
      <c r="B3022" s="7">
        <v>46143</v>
      </c>
      <c r="C3022" s="6" t="s">
        <v>4477</v>
      </c>
      <c r="D3022" s="6" t="s">
        <v>64</v>
      </c>
      <c r="E3022" s="6" t="s">
        <v>52</v>
      </c>
      <c r="F3022" s="6" t="s">
        <v>58</v>
      </c>
      <c r="G3022" s="6" t="s">
        <v>59</v>
      </c>
      <c r="H3022" s="6">
        <v>1</v>
      </c>
      <c r="I3022" s="6" t="s">
        <v>143</v>
      </c>
      <c r="J3022" s="6" t="s">
        <v>143</v>
      </c>
      <c r="K3022" s="6" t="s">
        <v>61</v>
      </c>
      <c r="L3022" s="6" t="s">
        <v>42</v>
      </c>
      <c r="M3022" s="6" t="s">
        <v>34</v>
      </c>
    </row>
    <row r="3023" spans="1:13">
      <c r="A3023" s="6" t="s">
        <v>4597</v>
      </c>
      <c r="B3023" s="7">
        <v>46168</v>
      </c>
      <c r="C3023" s="6" t="s">
        <v>2681</v>
      </c>
      <c r="D3023" s="6" t="s">
        <v>110</v>
      </c>
      <c r="E3023" s="6" t="s">
        <v>46</v>
      </c>
      <c r="F3023" s="6" t="s">
        <v>94</v>
      </c>
      <c r="G3023" s="6" t="s">
        <v>95</v>
      </c>
      <c r="H3023" s="6">
        <v>2</v>
      </c>
      <c r="I3023" s="6" t="s">
        <v>79</v>
      </c>
      <c r="J3023" s="6" t="s">
        <v>259</v>
      </c>
      <c r="K3023" s="6" t="s">
        <v>114</v>
      </c>
      <c r="L3023" s="6" t="s">
        <v>42</v>
      </c>
      <c r="M3023" s="6" t="s">
        <v>34</v>
      </c>
    </row>
    <row r="3024" spans="1:13">
      <c r="A3024" s="6" t="s">
        <v>4598</v>
      </c>
      <c r="B3024" s="7">
        <v>46035</v>
      </c>
      <c r="C3024" s="6" t="s">
        <v>473</v>
      </c>
      <c r="D3024" s="6" t="s">
        <v>110</v>
      </c>
      <c r="E3024" s="6" t="s">
        <v>78</v>
      </c>
      <c r="F3024" s="6" t="s">
        <v>58</v>
      </c>
      <c r="G3024" s="6" t="s">
        <v>59</v>
      </c>
      <c r="H3024" s="6">
        <v>2</v>
      </c>
      <c r="I3024" s="6" t="s">
        <v>265</v>
      </c>
      <c r="J3024" s="6" t="s">
        <v>167</v>
      </c>
      <c r="K3024" s="6">
        <v>380</v>
      </c>
      <c r="L3024" s="6" t="s">
        <v>42</v>
      </c>
      <c r="M3024" s="6" t="s">
        <v>34</v>
      </c>
    </row>
    <row r="3025" spans="1:13">
      <c r="A3025" s="6" t="s">
        <v>3328</v>
      </c>
      <c r="B3025" s="7">
        <v>46147</v>
      </c>
      <c r="C3025" s="6" t="s">
        <v>1859</v>
      </c>
      <c r="D3025" s="6" t="s">
        <v>45</v>
      </c>
      <c r="E3025" s="6" t="s">
        <v>37</v>
      </c>
      <c r="F3025" s="6" t="s">
        <v>85</v>
      </c>
      <c r="G3025" s="6" t="s">
        <v>86</v>
      </c>
      <c r="H3025" s="6">
        <v>1</v>
      </c>
      <c r="I3025" s="6" t="s">
        <v>79</v>
      </c>
      <c r="J3025" s="6" t="s">
        <v>79</v>
      </c>
      <c r="K3025" s="6" t="s">
        <v>87</v>
      </c>
      <c r="L3025" s="6" t="s">
        <v>42</v>
      </c>
      <c r="M3025" s="6" t="s">
        <v>34</v>
      </c>
    </row>
    <row r="3026" spans="1:13">
      <c r="A3026" s="6" t="s">
        <v>4599</v>
      </c>
      <c r="B3026" s="7">
        <v>46050</v>
      </c>
      <c r="C3026" s="6" t="s">
        <v>3964</v>
      </c>
      <c r="D3026" s="6" t="s">
        <v>72</v>
      </c>
      <c r="E3026" s="6" t="s">
        <v>78</v>
      </c>
      <c r="F3026" s="6" t="s">
        <v>47</v>
      </c>
      <c r="G3026" s="6" t="s">
        <v>48</v>
      </c>
      <c r="H3026" s="6">
        <v>-2</v>
      </c>
      <c r="I3026" s="6" t="s">
        <v>73</v>
      </c>
      <c r="J3026" s="8" t="s">
        <v>2684</v>
      </c>
      <c r="K3026" s="6">
        <v>85</v>
      </c>
      <c r="L3026" s="6" t="s">
        <v>42</v>
      </c>
      <c r="M3026" s="6" t="s">
        <v>34</v>
      </c>
    </row>
    <row r="3027" spans="1:13">
      <c r="A3027" s="6" t="s">
        <v>4600</v>
      </c>
      <c r="B3027" s="7">
        <v>46053</v>
      </c>
      <c r="C3027" s="6" t="s">
        <v>2398</v>
      </c>
      <c r="D3027" s="6" t="s">
        <v>45</v>
      </c>
      <c r="E3027" s="6" t="s">
        <v>78</v>
      </c>
      <c r="F3027" s="6" t="s">
        <v>47</v>
      </c>
      <c r="G3027" s="6" t="s">
        <v>48</v>
      </c>
      <c r="H3027" s="6">
        <v>2</v>
      </c>
      <c r="I3027" s="6" t="s">
        <v>67</v>
      </c>
      <c r="J3027" s="6" t="s">
        <v>204</v>
      </c>
      <c r="K3027" s="6">
        <v>85</v>
      </c>
      <c r="L3027" s="6" t="s">
        <v>42</v>
      </c>
      <c r="M3027" s="6" t="s">
        <v>34</v>
      </c>
    </row>
    <row r="3028" spans="1:13">
      <c r="A3028" s="6" t="s">
        <v>4601</v>
      </c>
      <c r="B3028" s="7">
        <v>46101</v>
      </c>
      <c r="C3028" s="6" t="s">
        <v>550</v>
      </c>
      <c r="D3028" s="6" t="s">
        <v>57</v>
      </c>
      <c r="E3028" s="6" t="s">
        <v>52</v>
      </c>
      <c r="F3028" s="6" t="s">
        <v>85</v>
      </c>
      <c r="G3028" s="6" t="s">
        <v>86</v>
      </c>
      <c r="H3028" s="6">
        <v>2</v>
      </c>
      <c r="I3028" s="6" t="s">
        <v>117</v>
      </c>
      <c r="J3028" s="6" t="s">
        <v>118</v>
      </c>
      <c r="K3028" s="6">
        <v>410</v>
      </c>
      <c r="L3028" s="6" t="s">
        <v>42</v>
      </c>
      <c r="M3028" s="6" t="s">
        <v>34</v>
      </c>
    </row>
    <row r="3029" spans="1:13">
      <c r="A3029" s="6" t="s">
        <v>4602</v>
      </c>
      <c r="B3029" s="7">
        <v>46082</v>
      </c>
      <c r="C3029" s="6" t="s">
        <v>1623</v>
      </c>
      <c r="D3029" s="6" t="s">
        <v>27</v>
      </c>
      <c r="E3029" s="6" t="s">
        <v>28</v>
      </c>
      <c r="F3029" s="6" t="s">
        <v>38</v>
      </c>
      <c r="G3029" s="6" t="s">
        <v>39</v>
      </c>
      <c r="H3029" s="6">
        <v>3</v>
      </c>
      <c r="I3029" s="6" t="s">
        <v>67</v>
      </c>
      <c r="J3029" s="6" t="s">
        <v>68</v>
      </c>
      <c r="K3029" s="6">
        <v>520</v>
      </c>
      <c r="L3029" s="6" t="s">
        <v>42</v>
      </c>
      <c r="M3029" s="6" t="s">
        <v>34</v>
      </c>
    </row>
    <row r="3030" spans="1:13">
      <c r="A3030" s="6" t="s">
        <v>4603</v>
      </c>
      <c r="B3030" s="7">
        <v>46055</v>
      </c>
      <c r="C3030" s="6" t="s">
        <v>4129</v>
      </c>
      <c r="D3030" s="6" t="s">
        <v>127</v>
      </c>
      <c r="E3030" s="6" t="s">
        <v>52</v>
      </c>
      <c r="F3030" s="6" t="s">
        <v>100</v>
      </c>
      <c r="G3030" s="6" t="s">
        <v>101</v>
      </c>
      <c r="H3030" s="6">
        <v>1</v>
      </c>
      <c r="I3030" s="6" t="s">
        <v>113</v>
      </c>
      <c r="J3030" s="6" t="s">
        <v>113</v>
      </c>
      <c r="K3030" s="6">
        <v>640</v>
      </c>
      <c r="L3030" s="6" t="s">
        <v>33</v>
      </c>
      <c r="M3030" s="6" t="s">
        <v>34</v>
      </c>
    </row>
    <row r="3031" spans="1:13">
      <c r="A3031" s="6" t="s">
        <v>4604</v>
      </c>
      <c r="B3031" s="7">
        <v>46085</v>
      </c>
      <c r="C3031" s="6" t="s">
        <v>3355</v>
      </c>
      <c r="D3031" s="6" t="s">
        <v>57</v>
      </c>
      <c r="E3031" s="6" t="s">
        <v>28</v>
      </c>
      <c r="F3031" s="6" t="s">
        <v>29</v>
      </c>
      <c r="G3031" s="6" t="s">
        <v>30</v>
      </c>
      <c r="H3031" s="6">
        <v>2</v>
      </c>
      <c r="I3031" s="6" t="s">
        <v>82</v>
      </c>
      <c r="J3031" s="6" t="s">
        <v>4605</v>
      </c>
      <c r="K3031" s="6">
        <v>520</v>
      </c>
      <c r="L3031" s="6" t="s">
        <v>42</v>
      </c>
      <c r="M3031" s="6" t="s">
        <v>34</v>
      </c>
    </row>
    <row r="3032" spans="1:13">
      <c r="A3032" s="6" t="s">
        <v>4606</v>
      </c>
      <c r="B3032" s="7">
        <v>46039</v>
      </c>
      <c r="C3032" s="6" t="s">
        <v>316</v>
      </c>
      <c r="D3032" s="6" t="s">
        <v>72</v>
      </c>
      <c r="E3032" s="6" t="s">
        <v>78</v>
      </c>
      <c r="F3032" s="6" t="s">
        <v>58</v>
      </c>
      <c r="G3032" s="6" t="s">
        <v>59</v>
      </c>
      <c r="H3032" s="6">
        <v>3</v>
      </c>
      <c r="I3032" s="6" t="s">
        <v>147</v>
      </c>
      <c r="J3032" s="6" t="s">
        <v>148</v>
      </c>
      <c r="K3032" s="6">
        <v>380</v>
      </c>
      <c r="L3032" s="6" t="s">
        <v>42</v>
      </c>
      <c r="M3032" s="6" t="s">
        <v>69</v>
      </c>
    </row>
    <row r="3033" spans="1:13">
      <c r="A3033" s="6" t="s">
        <v>1924</v>
      </c>
      <c r="B3033" s="7">
        <v>46099</v>
      </c>
      <c r="C3033" s="6" t="s">
        <v>1925</v>
      </c>
      <c r="D3033" s="6" t="s">
        <v>45</v>
      </c>
      <c r="E3033" s="6" t="s">
        <v>28</v>
      </c>
      <c r="F3033" s="6" t="s">
        <v>58</v>
      </c>
      <c r="G3033" s="6" t="s">
        <v>59</v>
      </c>
      <c r="H3033" s="6">
        <v>1</v>
      </c>
      <c r="I3033" s="6" t="s">
        <v>31</v>
      </c>
      <c r="J3033" s="6" t="s">
        <v>31</v>
      </c>
      <c r="K3033" s="6">
        <v>380</v>
      </c>
      <c r="L3033" s="6" t="s">
        <v>42</v>
      </c>
      <c r="M3033" s="6" t="s">
        <v>34</v>
      </c>
    </row>
    <row r="3034" spans="1:13">
      <c r="A3034" s="6" t="s">
        <v>4607</v>
      </c>
      <c r="B3034" s="7">
        <v>46204</v>
      </c>
      <c r="C3034" s="6" t="s">
        <v>2661</v>
      </c>
      <c r="D3034" s="6" t="s">
        <v>45</v>
      </c>
      <c r="E3034" s="6" t="s">
        <v>78</v>
      </c>
      <c r="F3034" s="6" t="s">
        <v>29</v>
      </c>
      <c r="G3034" s="6" t="s">
        <v>30</v>
      </c>
      <c r="H3034" s="6">
        <v>1</v>
      </c>
      <c r="I3034" s="6" t="s">
        <v>67</v>
      </c>
      <c r="J3034" s="6" t="s">
        <v>67</v>
      </c>
      <c r="K3034" s="6" t="s">
        <v>41</v>
      </c>
      <c r="L3034" s="6" t="s">
        <v>42</v>
      </c>
      <c r="M3034" s="6" t="s">
        <v>34</v>
      </c>
    </row>
    <row r="3035" spans="1:13">
      <c r="A3035" s="6" t="s">
        <v>4608</v>
      </c>
      <c r="B3035" s="7">
        <v>46161</v>
      </c>
      <c r="C3035" s="6" t="s">
        <v>2256</v>
      </c>
      <c r="D3035" s="6" t="s">
        <v>127</v>
      </c>
      <c r="E3035" s="6" t="s">
        <v>52</v>
      </c>
      <c r="F3035" s="6" t="s">
        <v>58</v>
      </c>
      <c r="G3035" s="6" t="s">
        <v>59</v>
      </c>
      <c r="H3035" s="6">
        <v>3</v>
      </c>
      <c r="I3035" s="6" t="s">
        <v>82</v>
      </c>
      <c r="J3035" s="6" t="s">
        <v>390</v>
      </c>
      <c r="K3035" s="6" t="s">
        <v>61</v>
      </c>
      <c r="L3035" s="6" t="s">
        <v>42</v>
      </c>
      <c r="M3035" s="6" t="s">
        <v>69</v>
      </c>
    </row>
    <row r="3036" spans="1:13">
      <c r="A3036" s="6" t="s">
        <v>4609</v>
      </c>
      <c r="B3036" s="6" t="s">
        <v>1106</v>
      </c>
      <c r="C3036" s="6" t="s">
        <v>1850</v>
      </c>
      <c r="D3036" s="6" t="s">
        <v>64</v>
      </c>
      <c r="E3036" s="6" t="s">
        <v>46</v>
      </c>
      <c r="F3036" s="6" t="s">
        <v>29</v>
      </c>
      <c r="G3036" s="6" t="s">
        <v>30</v>
      </c>
      <c r="H3036" s="6">
        <v>1</v>
      </c>
      <c r="I3036" s="6" t="s">
        <v>181</v>
      </c>
      <c r="J3036" s="6" t="s">
        <v>181</v>
      </c>
      <c r="K3036" s="6">
        <v>520</v>
      </c>
      <c r="L3036" s="6" t="s">
        <v>42</v>
      </c>
      <c r="M3036" s="6" t="s">
        <v>69</v>
      </c>
    </row>
    <row r="3037" spans="1:13">
      <c r="A3037" s="6" t="s">
        <v>4610</v>
      </c>
      <c r="B3037" s="7">
        <v>46096</v>
      </c>
      <c r="C3037" s="6" t="s">
        <v>2822</v>
      </c>
      <c r="D3037" s="6" t="s">
        <v>105</v>
      </c>
      <c r="E3037" s="6" t="s">
        <v>52</v>
      </c>
      <c r="F3037" s="6" t="s">
        <v>100</v>
      </c>
      <c r="G3037" s="6" t="s">
        <v>101</v>
      </c>
      <c r="H3037" s="6">
        <v>1</v>
      </c>
      <c r="I3037" s="6" t="s">
        <v>31</v>
      </c>
      <c r="J3037" s="6" t="s">
        <v>31</v>
      </c>
      <c r="K3037" s="6">
        <v>640</v>
      </c>
      <c r="L3037" s="6" t="s">
        <v>33</v>
      </c>
      <c r="M3037" s="6" t="s">
        <v>34</v>
      </c>
    </row>
    <row r="3038" spans="1:13">
      <c r="A3038" s="6" t="s">
        <v>4611</v>
      </c>
      <c r="B3038" s="7">
        <v>46158</v>
      </c>
      <c r="C3038" s="6" t="s">
        <v>666</v>
      </c>
      <c r="D3038" s="6" t="s">
        <v>105</v>
      </c>
      <c r="E3038" s="6" t="s">
        <v>28</v>
      </c>
      <c r="F3038" s="6" t="s">
        <v>85</v>
      </c>
      <c r="G3038" s="6" t="s">
        <v>86</v>
      </c>
      <c r="H3038" s="6">
        <v>1</v>
      </c>
      <c r="I3038" s="6" t="s">
        <v>490</v>
      </c>
      <c r="J3038" s="6" t="s">
        <v>82</v>
      </c>
      <c r="K3038" s="6" t="s">
        <v>87</v>
      </c>
      <c r="L3038" s="6" t="s">
        <v>42</v>
      </c>
      <c r="M3038" s="6" t="s">
        <v>34</v>
      </c>
    </row>
    <row r="3039" spans="1:13">
      <c r="A3039" s="6" t="s">
        <v>4612</v>
      </c>
      <c r="B3039" s="6" t="s">
        <v>669</v>
      </c>
      <c r="C3039" s="6" t="s">
        <v>1962</v>
      </c>
      <c r="D3039" s="6" t="s">
        <v>110</v>
      </c>
      <c r="E3039" s="6" t="s">
        <v>46</v>
      </c>
      <c r="F3039" s="6" t="s">
        <v>94</v>
      </c>
      <c r="G3039" s="6" t="s">
        <v>95</v>
      </c>
      <c r="H3039" s="6">
        <v>2</v>
      </c>
      <c r="I3039" s="6" t="s">
        <v>31</v>
      </c>
      <c r="J3039" s="6" t="s">
        <v>249</v>
      </c>
      <c r="K3039" s="6">
        <v>340</v>
      </c>
      <c r="L3039" s="6" t="s">
        <v>42</v>
      </c>
      <c r="M3039" s="6" t="s">
        <v>69</v>
      </c>
    </row>
    <row r="3040" spans="1:13">
      <c r="A3040" s="6" t="s">
        <v>4613</v>
      </c>
      <c r="B3040" s="7">
        <v>46049</v>
      </c>
      <c r="C3040" s="6" t="s">
        <v>1644</v>
      </c>
      <c r="D3040" s="6" t="s">
        <v>57</v>
      </c>
      <c r="E3040" s="6" t="s">
        <v>78</v>
      </c>
      <c r="F3040" s="6" t="s">
        <v>85</v>
      </c>
      <c r="G3040" s="6" t="s">
        <v>86</v>
      </c>
      <c r="H3040" s="6">
        <v>1</v>
      </c>
      <c r="I3040" s="6" t="s">
        <v>231</v>
      </c>
      <c r="J3040" s="6" t="s">
        <v>231</v>
      </c>
      <c r="K3040" s="6">
        <v>410</v>
      </c>
      <c r="L3040" s="6" t="s">
        <v>42</v>
      </c>
      <c r="M3040" s="6" t="s">
        <v>34</v>
      </c>
    </row>
    <row r="3041" spans="1:13">
      <c r="A3041" s="6" t="s">
        <v>4614</v>
      </c>
      <c r="B3041" s="7">
        <v>46204</v>
      </c>
      <c r="C3041" s="6" t="s">
        <v>2121</v>
      </c>
      <c r="D3041" s="6" t="s">
        <v>77</v>
      </c>
      <c r="E3041" s="6" t="s">
        <v>52</v>
      </c>
      <c r="F3041" s="6" t="s">
        <v>47</v>
      </c>
      <c r="G3041" s="6" t="s">
        <v>48</v>
      </c>
      <c r="H3041" s="6">
        <v>1</v>
      </c>
      <c r="I3041" s="6" t="s">
        <v>31</v>
      </c>
      <c r="J3041" s="6" t="s">
        <v>31</v>
      </c>
      <c r="K3041" s="6" t="s">
        <v>49</v>
      </c>
      <c r="L3041" s="6" t="s">
        <v>33</v>
      </c>
      <c r="M3041" s="6" t="s">
        <v>34</v>
      </c>
    </row>
    <row r="3042" spans="1:13">
      <c r="A3042" s="6" t="s">
        <v>4615</v>
      </c>
      <c r="B3042" s="7">
        <v>46034</v>
      </c>
      <c r="C3042" s="6" t="s">
        <v>3787</v>
      </c>
      <c r="D3042" s="6" t="s">
        <v>110</v>
      </c>
      <c r="E3042" s="6" t="s">
        <v>78</v>
      </c>
      <c r="F3042" s="6" t="s">
        <v>94</v>
      </c>
      <c r="G3042" s="6" t="s">
        <v>95</v>
      </c>
      <c r="H3042" s="6">
        <v>1</v>
      </c>
      <c r="I3042" s="6" t="s">
        <v>265</v>
      </c>
      <c r="J3042" s="6" t="s">
        <v>265</v>
      </c>
      <c r="K3042" s="6">
        <v>340</v>
      </c>
      <c r="L3042" s="6" t="s">
        <v>33</v>
      </c>
      <c r="M3042" s="6" t="s">
        <v>69</v>
      </c>
    </row>
    <row r="3043" spans="1:13">
      <c r="A3043" s="6" t="s">
        <v>4616</v>
      </c>
      <c r="B3043" s="7">
        <v>46037</v>
      </c>
      <c r="C3043" s="6" t="s">
        <v>4617</v>
      </c>
      <c r="D3043" s="6" t="s">
        <v>105</v>
      </c>
      <c r="E3043" s="6" t="s">
        <v>78</v>
      </c>
      <c r="F3043" s="6" t="s">
        <v>58</v>
      </c>
      <c r="G3043" s="6" t="s">
        <v>59</v>
      </c>
      <c r="H3043" s="6">
        <v>3</v>
      </c>
      <c r="I3043" s="6" t="s">
        <v>231</v>
      </c>
      <c r="J3043" s="6" t="s">
        <v>505</v>
      </c>
      <c r="K3043" s="6">
        <v>380</v>
      </c>
      <c r="L3043" s="6" t="s">
        <v>42</v>
      </c>
      <c r="M3043" s="6" t="s">
        <v>34</v>
      </c>
    </row>
    <row r="3044" spans="1:13">
      <c r="A3044" s="6" t="s">
        <v>4618</v>
      </c>
      <c r="B3044" s="7">
        <v>46095</v>
      </c>
      <c r="C3044" s="6" t="s">
        <v>2130</v>
      </c>
      <c r="D3044" s="6" t="s">
        <v>77</v>
      </c>
      <c r="E3044" s="6" t="s">
        <v>78</v>
      </c>
      <c r="F3044" s="6" t="s">
        <v>94</v>
      </c>
      <c r="G3044" s="6" t="s">
        <v>95</v>
      </c>
      <c r="H3044" s="6">
        <v>2</v>
      </c>
      <c r="I3044" s="6" t="s">
        <v>73</v>
      </c>
      <c r="J3044" s="6" t="s">
        <v>74</v>
      </c>
      <c r="K3044" s="6">
        <v>340</v>
      </c>
      <c r="L3044" s="6" t="s">
        <v>42</v>
      </c>
      <c r="M3044" s="6" t="s">
        <v>34</v>
      </c>
    </row>
    <row r="3045" spans="1:13">
      <c r="A3045" s="6" t="s">
        <v>4619</v>
      </c>
      <c r="B3045" s="7">
        <v>46130</v>
      </c>
      <c r="C3045" s="6" t="s">
        <v>2625</v>
      </c>
      <c r="D3045" s="6" t="s">
        <v>110</v>
      </c>
      <c r="E3045" s="6" t="s">
        <v>37</v>
      </c>
      <c r="F3045" s="6" t="s">
        <v>29</v>
      </c>
      <c r="G3045" s="6" t="s">
        <v>30</v>
      </c>
      <c r="H3045" s="6">
        <v>3</v>
      </c>
      <c r="I3045" s="6" t="s">
        <v>31</v>
      </c>
      <c r="J3045" s="6" t="s">
        <v>4369</v>
      </c>
      <c r="K3045" s="6">
        <v>520</v>
      </c>
      <c r="L3045" s="6" t="s">
        <v>42</v>
      </c>
      <c r="M3045" s="6" t="s">
        <v>34</v>
      </c>
    </row>
    <row r="3046" spans="1:13">
      <c r="A3046" s="6" t="s">
        <v>4620</v>
      </c>
      <c r="B3046" s="7">
        <v>46131</v>
      </c>
      <c r="C3046" s="6" t="s">
        <v>739</v>
      </c>
      <c r="D3046" s="6" t="s">
        <v>45</v>
      </c>
      <c r="E3046" s="6" t="s">
        <v>78</v>
      </c>
      <c r="F3046" s="6" t="s">
        <v>58</v>
      </c>
      <c r="G3046" s="6" t="s">
        <v>59</v>
      </c>
      <c r="H3046" s="6">
        <v>2</v>
      </c>
      <c r="I3046" s="6" t="s">
        <v>31</v>
      </c>
      <c r="J3046" s="6" t="s">
        <v>2514</v>
      </c>
      <c r="K3046" s="6">
        <v>380</v>
      </c>
      <c r="L3046" s="6" t="s">
        <v>33</v>
      </c>
      <c r="M3046" s="6" t="s">
        <v>34</v>
      </c>
    </row>
    <row r="3047" spans="1:13">
      <c r="A3047" s="6" t="s">
        <v>4621</v>
      </c>
      <c r="B3047" s="7">
        <v>46087</v>
      </c>
      <c r="C3047" s="6" t="s">
        <v>3394</v>
      </c>
      <c r="D3047" s="6" t="s">
        <v>127</v>
      </c>
      <c r="E3047" s="6" t="s">
        <v>52</v>
      </c>
      <c r="F3047" s="6" t="s">
        <v>85</v>
      </c>
      <c r="G3047" s="6" t="s">
        <v>86</v>
      </c>
      <c r="H3047" s="6">
        <v>1</v>
      </c>
      <c r="I3047" s="6" t="s">
        <v>79</v>
      </c>
      <c r="J3047" s="6" t="s">
        <v>370</v>
      </c>
      <c r="K3047" s="6" t="s">
        <v>87</v>
      </c>
      <c r="L3047" s="6" t="s">
        <v>33</v>
      </c>
      <c r="M3047" s="6" t="s">
        <v>69</v>
      </c>
    </row>
    <row r="3048" spans="1:13">
      <c r="A3048" s="6" t="s">
        <v>4622</v>
      </c>
      <c r="B3048" s="7">
        <v>46073</v>
      </c>
      <c r="C3048" s="6" t="s">
        <v>2233</v>
      </c>
      <c r="D3048" s="6" t="s">
        <v>77</v>
      </c>
      <c r="E3048" s="6" t="s">
        <v>28</v>
      </c>
      <c r="F3048" s="6" t="s">
        <v>29</v>
      </c>
      <c r="G3048" s="6" t="s">
        <v>30</v>
      </c>
      <c r="H3048" s="6">
        <v>2</v>
      </c>
      <c r="I3048" s="6" t="s">
        <v>90</v>
      </c>
      <c r="J3048" s="6" t="s">
        <v>154</v>
      </c>
      <c r="K3048" s="6">
        <v>520</v>
      </c>
      <c r="L3048" s="6" t="s">
        <v>42</v>
      </c>
      <c r="M3048" s="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F6CF-0B2D-4E38-873F-2AC486F945E9}">
  <dimension ref="A1:O5937"/>
  <sheetViews>
    <sheetView tabSelected="1" zoomScale="55" zoomScaleNormal="70" workbookViewId="0">
      <selection activeCell="O11" sqref="O11"/>
    </sheetView>
  </sheetViews>
  <sheetFormatPr defaultColWidth="8.7109375" defaultRowHeight="15" customHeight="1"/>
  <cols>
    <col min="1" max="1" width="16.42578125" customWidth="1"/>
    <col min="2" max="2" width="18.7109375" style="12" customWidth="1"/>
    <col min="3" max="3" width="27.7109375" customWidth="1"/>
    <col min="4" max="4" width="17.140625" customWidth="1"/>
    <col min="5" max="5" width="13.140625" customWidth="1"/>
    <col min="6" max="6" width="14.5703125" customWidth="1"/>
    <col min="7" max="7" width="17.28515625" customWidth="1"/>
    <col min="8" max="8" width="10.28515625" customWidth="1"/>
    <col min="9" max="9" width="12.140625" customWidth="1"/>
    <col min="10" max="10" width="13.140625" customWidth="1"/>
    <col min="11" max="11" width="17.5703125" customWidth="1"/>
    <col min="12" max="14" width="11.140625" customWidth="1"/>
    <col min="15" max="15" width="22.5703125" customWidth="1"/>
    <col min="16" max="16" width="12.5703125" customWidth="1"/>
  </cols>
  <sheetData>
    <row r="1" spans="1:15">
      <c r="A1" s="6" t="s">
        <v>12</v>
      </c>
      <c r="B1" s="7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/>
      <c r="O1" s="10"/>
    </row>
    <row r="2" spans="1:15">
      <c r="A2" s="6" t="s">
        <v>25</v>
      </c>
      <c r="B2" s="7">
        <v>46100</v>
      </c>
      <c r="C2" s="6" t="s">
        <v>26</v>
      </c>
      <c r="D2" s="6" t="str">
        <f>IF(OR(PROPER(TRIM(Raw_Data!D2))="Uk",PROPER(TRIM(Raw_Data!D2))="Gb",PROPER(TRIM(Raw_Data!D2))="United kingdom"),"United Kingdom",PROPER(TRIM(Raw_Data!D2)))</f>
        <v>France</v>
      </c>
      <c r="E2" s="6" t="s">
        <v>28</v>
      </c>
      <c r="F2" s="6" t="s">
        <v>29</v>
      </c>
      <c r="G2" s="6" t="str">
        <f>SUBSTITUTE(Raw_Data!G2,"Ã©","é")</f>
        <v>Trekking Poles</v>
      </c>
      <c r="H2" s="6">
        <v>1</v>
      </c>
      <c r="I2" s="6" t="s">
        <v>31</v>
      </c>
      <c r="J2" s="6" t="s">
        <v>32</v>
      </c>
      <c r="K2" s="6">
        <v>0.52</v>
      </c>
      <c r="L2" s="6" t="s">
        <v>33</v>
      </c>
      <c r="M2" s="6" t="s">
        <v>34</v>
      </c>
      <c r="N2" s="6"/>
    </row>
    <row r="3" spans="1:15">
      <c r="A3" s="6" t="s">
        <v>35</v>
      </c>
      <c r="B3" s="7">
        <v>46161</v>
      </c>
      <c r="C3" s="6" t="s">
        <v>36</v>
      </c>
      <c r="D3" s="6" t="str">
        <f>IF(OR(PROPER(TRIM(Raw_Data!D3))="Uk",PROPER(TRIM(Raw_Data!D3))="Gb",PROPER(TRIM(Raw_Data!D3))="United kingdom"),"United Kingdom",PROPER(TRIM(Raw_Data!D3)))</f>
        <v>France</v>
      </c>
      <c r="E3" s="6" t="s">
        <v>37</v>
      </c>
      <c r="F3" s="6" t="s">
        <v>38</v>
      </c>
      <c r="G3" s="6" t="str">
        <f>SUBSTITUTE(Raw_Data!G3,"Ã©","é")</f>
        <v>Trail Softshell</v>
      </c>
      <c r="H3" s="6">
        <v>1</v>
      </c>
      <c r="I3" s="6" t="s">
        <v>40</v>
      </c>
      <c r="J3" s="6" t="s">
        <v>40</v>
      </c>
      <c r="K3" s="6">
        <v>0.52</v>
      </c>
      <c r="L3" s="6" t="s">
        <v>42</v>
      </c>
      <c r="M3" s="6" t="s">
        <v>34</v>
      </c>
      <c r="N3" s="6"/>
      <c r="O3" s="9"/>
    </row>
    <row r="4" spans="1:15">
      <c r="A4" s="6" t="s">
        <v>43</v>
      </c>
      <c r="B4" s="7">
        <v>46187</v>
      </c>
      <c r="C4" s="6" t="s">
        <v>44</v>
      </c>
      <c r="D4" s="6" t="str">
        <f>IF(OR(PROPER(TRIM(Raw_Data!D4))="Uk",PROPER(TRIM(Raw_Data!D4))="Gb",PROPER(TRIM(Raw_Data!D4))="United kingdom"),"United Kingdom",PROPER(TRIM(Raw_Data!D4)))</f>
        <v>United Kingdom</v>
      </c>
      <c r="E4" s="6" t="s">
        <v>46</v>
      </c>
      <c r="F4" s="6" t="s">
        <v>47</v>
      </c>
      <c r="G4" s="6" t="str">
        <f>SUBSTITUTE(Raw_Data!G4,"Ã©","é")</f>
        <v>Fell Runner Cap</v>
      </c>
      <c r="H4" s="6">
        <v>1</v>
      </c>
      <c r="I4" s="6" t="s">
        <v>31</v>
      </c>
      <c r="J4" s="6" t="s">
        <v>31</v>
      </c>
      <c r="K4" s="6">
        <v>8.5000000000000006E-2</v>
      </c>
      <c r="L4" s="6" t="s">
        <v>42</v>
      </c>
      <c r="M4" s="6" t="s">
        <v>34</v>
      </c>
      <c r="N4" s="6"/>
    </row>
    <row r="5" spans="1:15">
      <c r="A5" s="6" t="s">
        <v>50</v>
      </c>
      <c r="B5" s="7">
        <v>46235</v>
      </c>
      <c r="C5" s="6" t="s">
        <v>51</v>
      </c>
      <c r="D5" s="6" t="str">
        <f>IF(OR(PROPER(TRIM(Raw_Data!D5))="Uk",PROPER(TRIM(Raw_Data!D5))="Gb",PROPER(TRIM(Raw_Data!D5))="United kingdom"),"United Kingdom",PROPER(TRIM(Raw_Data!D5)))</f>
        <v>United Kingdom</v>
      </c>
      <c r="E5" s="6" t="s">
        <v>52</v>
      </c>
      <c r="F5" s="6" t="s">
        <v>53</v>
      </c>
      <c r="G5" s="6" t="str">
        <f>SUBSTITUTE(Raw_Data!G5,"Ã©","é")</f>
        <v>Merino Base Layer</v>
      </c>
      <c r="H5" s="6">
        <v>1</v>
      </c>
      <c r="I5" s="6" t="s">
        <v>40</v>
      </c>
      <c r="J5" s="6" t="s">
        <v>40</v>
      </c>
      <c r="K5" s="6">
        <v>0.19</v>
      </c>
      <c r="L5" s="6" t="s">
        <v>33</v>
      </c>
      <c r="M5" s="6" t="s">
        <v>34</v>
      </c>
      <c r="N5" s="6"/>
      <c r="O5" s="9"/>
    </row>
    <row r="6" spans="1:15">
      <c r="A6" s="6" t="s">
        <v>55</v>
      </c>
      <c r="B6" s="7">
        <v>46162</v>
      </c>
      <c r="C6" s="6" t="s">
        <v>56</v>
      </c>
      <c r="D6" s="6" t="str">
        <f>IF(OR(PROPER(TRIM(Raw_Data!D6))="Uk",PROPER(TRIM(Raw_Data!D6))="Gb",PROPER(TRIM(Raw_Data!D6))="United kingdom"),"United Kingdom",PROPER(TRIM(Raw_Data!D6)))</f>
        <v>Ireland</v>
      </c>
      <c r="E6" s="6" t="s">
        <v>46</v>
      </c>
      <c r="F6" s="6" t="s">
        <v>58</v>
      </c>
      <c r="G6" s="6" t="str">
        <f>SUBSTITUTE(Raw_Data!G6,"Ã©","é")</f>
        <v>Summit Down Gilet</v>
      </c>
      <c r="H6" s="6">
        <v>1</v>
      </c>
      <c r="I6" s="6" t="s">
        <v>60</v>
      </c>
      <c r="J6" s="6" t="s">
        <v>60</v>
      </c>
      <c r="K6" s="6">
        <v>0.38</v>
      </c>
      <c r="L6" s="6" t="s">
        <v>42</v>
      </c>
      <c r="M6" s="6" t="s">
        <v>34</v>
      </c>
      <c r="N6" s="6"/>
      <c r="O6" s="11"/>
    </row>
    <row r="7" spans="1:15">
      <c r="A7" s="6" t="s">
        <v>62</v>
      </c>
      <c r="B7" s="7">
        <v>46095</v>
      </c>
      <c r="C7" s="6" t="s">
        <v>63</v>
      </c>
      <c r="D7" s="6" t="str">
        <f>IF(OR(PROPER(TRIM(Raw_Data!D7))="Uk",PROPER(TRIM(Raw_Data!D7))="Gb",PROPER(TRIM(Raw_Data!D7))="United kingdom"),"United Kingdom",PROPER(TRIM(Raw_Data!D7)))</f>
        <v>United Kingdom</v>
      </c>
      <c r="E7" s="6" t="s">
        <v>52</v>
      </c>
      <c r="F7" s="6" t="s">
        <v>47</v>
      </c>
      <c r="G7" s="6" t="str">
        <f>SUBSTITUTE(Raw_Data!G7,"Ã©","é")</f>
        <v>Fell Runner Cap</v>
      </c>
      <c r="H7" s="6">
        <v>1</v>
      </c>
      <c r="I7" s="6" t="s">
        <v>31</v>
      </c>
      <c r="J7" s="6" t="s">
        <v>31</v>
      </c>
      <c r="K7" s="6">
        <v>8.5000000000000006E-2</v>
      </c>
      <c r="L7" s="6" t="s">
        <v>42</v>
      </c>
      <c r="M7" s="6" t="s">
        <v>34</v>
      </c>
      <c r="N7" s="6"/>
      <c r="O7" s="11"/>
    </row>
    <row r="8" spans="1:15">
      <c r="A8" s="6" t="s">
        <v>65</v>
      </c>
      <c r="B8" s="7">
        <v>46137</v>
      </c>
      <c r="C8" s="6" t="s">
        <v>66</v>
      </c>
      <c r="D8" s="6" t="str">
        <f>IF(OR(PROPER(TRIM(Raw_Data!D8))="Uk",PROPER(TRIM(Raw_Data!D8))="Gb",PROPER(TRIM(Raw_Data!D8))="United kingdom"),"United Kingdom",PROPER(TRIM(Raw_Data!D8)))</f>
        <v>United Kingdom</v>
      </c>
      <c r="E8" s="6" t="s">
        <v>37</v>
      </c>
      <c r="F8" s="6" t="s">
        <v>47</v>
      </c>
      <c r="G8" s="6" t="str">
        <f>SUBSTITUTE(Raw_Data!G8,"Ã©","é")</f>
        <v>Fell Runner Cap</v>
      </c>
      <c r="H8" s="6">
        <v>3</v>
      </c>
      <c r="I8" s="6" t="s">
        <v>67</v>
      </c>
      <c r="J8" s="6" t="s">
        <v>68</v>
      </c>
      <c r="K8" s="6">
        <v>8.5000000000000006E-2</v>
      </c>
      <c r="L8" s="6" t="s">
        <v>42</v>
      </c>
      <c r="M8" s="6" t="s">
        <v>69</v>
      </c>
      <c r="N8" s="6"/>
      <c r="O8" s="11"/>
    </row>
    <row r="9" spans="1:15">
      <c r="A9" s="6" t="s">
        <v>70</v>
      </c>
      <c r="B9" s="7">
        <v>46162</v>
      </c>
      <c r="C9" s="6" t="s">
        <v>71</v>
      </c>
      <c r="D9" s="6" t="str">
        <f>IF(OR(PROPER(TRIM(Raw_Data!D9))="Uk",PROPER(TRIM(Raw_Data!D9))="Gb",PROPER(TRIM(Raw_Data!D9))="United kingdom"),"United Kingdom",PROPER(TRIM(Raw_Data!D9)))</f>
        <v>Ireland</v>
      </c>
      <c r="E9" s="6" t="s">
        <v>52</v>
      </c>
      <c r="F9" s="6" t="s">
        <v>47</v>
      </c>
      <c r="G9" s="6" t="str">
        <f>SUBSTITUTE(Raw_Data!G9,"Ã©","é")</f>
        <v>Fell Runner Cap</v>
      </c>
      <c r="H9" s="6">
        <v>2</v>
      </c>
      <c r="I9" s="6" t="s">
        <v>73</v>
      </c>
      <c r="J9" s="6" t="s">
        <v>74</v>
      </c>
      <c r="K9" s="6">
        <v>8.5000000000000006E-2</v>
      </c>
      <c r="L9" s="6" t="s">
        <v>33</v>
      </c>
      <c r="M9" s="6" t="s">
        <v>69</v>
      </c>
      <c r="N9" s="6"/>
      <c r="O9" s="11"/>
    </row>
    <row r="10" spans="1:15">
      <c r="A10" s="6" t="s">
        <v>75</v>
      </c>
      <c r="B10" s="7">
        <v>46057</v>
      </c>
      <c r="C10" s="6" t="s">
        <v>76</v>
      </c>
      <c r="D10" s="6" t="str">
        <f>IF(OR(PROPER(TRIM(Raw_Data!D10))="Uk",PROPER(TRIM(Raw_Data!D10))="Gb",PROPER(TRIM(Raw_Data!D10))="United kingdom"),"United Kingdom",PROPER(TRIM(Raw_Data!D10)))</f>
        <v>United Kingdom</v>
      </c>
      <c r="E10" s="6" t="s">
        <v>78</v>
      </c>
      <c r="F10" s="6" t="s">
        <v>53</v>
      </c>
      <c r="G10" s="6" t="str">
        <f>SUBSTITUTE(Raw_Data!G10,"Ã©","é")</f>
        <v>Merino Base Layer</v>
      </c>
      <c r="H10" s="6">
        <v>1</v>
      </c>
      <c r="I10" s="6" t="s">
        <v>79</v>
      </c>
      <c r="J10" s="6" t="s">
        <v>79</v>
      </c>
      <c r="K10" s="6">
        <v>0.19</v>
      </c>
      <c r="L10" s="6" t="s">
        <v>42</v>
      </c>
      <c r="M10" s="6" t="s">
        <v>34</v>
      </c>
      <c r="N10" s="6"/>
    </row>
    <row r="11" spans="1:15">
      <c r="A11" s="6" t="s">
        <v>80</v>
      </c>
      <c r="B11" s="7">
        <v>46069</v>
      </c>
      <c r="C11" s="6" t="s">
        <v>81</v>
      </c>
      <c r="D11" s="6" t="str">
        <f>IF(OR(PROPER(TRIM(Raw_Data!D11))="Uk",PROPER(TRIM(Raw_Data!D11))="Gb",PROPER(TRIM(Raw_Data!D11))="United kingdom"),"United Kingdom",PROPER(TRIM(Raw_Data!D11)))</f>
        <v>United Kingdom</v>
      </c>
      <c r="E11" s="6" t="s">
        <v>78</v>
      </c>
      <c r="F11" s="6" t="s">
        <v>53</v>
      </c>
      <c r="G11" s="6" t="str">
        <f>SUBSTITUTE(Raw_Data!G11,"Ã©","é")</f>
        <v>Merino Base Layer</v>
      </c>
      <c r="H11" s="6">
        <v>1</v>
      </c>
      <c r="I11" s="6" t="s">
        <v>82</v>
      </c>
      <c r="J11" s="6" t="s">
        <v>82</v>
      </c>
      <c r="K11" s="6">
        <v>0.19</v>
      </c>
      <c r="L11" s="6" t="s">
        <v>33</v>
      </c>
      <c r="M11" s="6" t="s">
        <v>69</v>
      </c>
      <c r="N11" s="6"/>
    </row>
    <row r="12" spans="1:15">
      <c r="A12" s="6" t="s">
        <v>83</v>
      </c>
      <c r="B12" s="7">
        <v>46133</v>
      </c>
      <c r="C12" s="13" t="s">
        <v>84</v>
      </c>
      <c r="D12" s="6" t="str">
        <f>IF(OR(PROPER(TRIM(Raw_Data!D12))="Uk",PROPER(TRIM(Raw_Data!D12))="Gb",PROPER(TRIM(Raw_Data!D12))="United kingdom"),"United Kingdom",PROPER(TRIM(Raw_Data!D12)))</f>
        <v>United Kingdom</v>
      </c>
      <c r="E12" s="6" t="s">
        <v>46</v>
      </c>
      <c r="F12" s="6" t="s">
        <v>85</v>
      </c>
      <c r="G12" s="6" t="str">
        <f>SUBSTITUTE(Raw_Data!G12,"Ã©","é")</f>
        <v>Storm Overtrousers</v>
      </c>
      <c r="H12" s="6">
        <v>1</v>
      </c>
      <c r="I12" s="6" t="s">
        <v>31</v>
      </c>
      <c r="J12" s="6" t="s">
        <v>31</v>
      </c>
      <c r="K12" s="6">
        <v>0.41</v>
      </c>
      <c r="L12" s="6" t="s">
        <v>42</v>
      </c>
      <c r="M12" s="6" t="s">
        <v>34</v>
      </c>
      <c r="N12" s="6"/>
    </row>
    <row r="13" spans="1:15">
      <c r="A13" s="6" t="s">
        <v>88</v>
      </c>
      <c r="B13" s="7">
        <v>46029</v>
      </c>
      <c r="C13" s="6" t="s">
        <v>89</v>
      </c>
      <c r="D13" s="6" t="str">
        <f>IF(OR(PROPER(TRIM(Raw_Data!D13))="Uk",PROPER(TRIM(Raw_Data!D13))="Gb",PROPER(TRIM(Raw_Data!D13))="United kingdom"),"United Kingdom",PROPER(TRIM(Raw_Data!D13)))</f>
        <v>Ireland</v>
      </c>
      <c r="E13" s="6" t="s">
        <v>46</v>
      </c>
      <c r="F13" s="6" t="s">
        <v>85</v>
      </c>
      <c r="G13" s="6" t="str">
        <f>SUBSTITUTE(Raw_Data!G13,"Ã©","é")</f>
        <v>Storm Overtrousers</v>
      </c>
      <c r="H13" s="6">
        <v>1</v>
      </c>
      <c r="I13" s="6" t="s">
        <v>90</v>
      </c>
      <c r="J13" s="6" t="s">
        <v>90</v>
      </c>
      <c r="K13" s="6">
        <v>0.41</v>
      </c>
      <c r="L13" s="6" t="s">
        <v>42</v>
      </c>
      <c r="M13" s="6" t="s">
        <v>34</v>
      </c>
      <c r="N13" s="6"/>
    </row>
    <row r="14" spans="1:15">
      <c r="A14" s="6" t="s">
        <v>91</v>
      </c>
      <c r="B14" s="7">
        <v>46080</v>
      </c>
      <c r="C14" s="6" t="s">
        <v>93</v>
      </c>
      <c r="D14" s="6" t="str">
        <f>IF(OR(PROPER(TRIM(Raw_Data!D14))="Uk",PROPER(TRIM(Raw_Data!D14))="Gb",PROPER(TRIM(Raw_Data!D14))="United kingdom"),"United Kingdom",PROPER(TRIM(Raw_Data!D14)))</f>
        <v>United Kingdom</v>
      </c>
      <c r="E14" s="6" t="s">
        <v>52</v>
      </c>
      <c r="F14" s="6" t="s">
        <v>94</v>
      </c>
      <c r="G14" s="6" t="str">
        <f>SUBSTITUTE(Raw_Data!G14,"Ã©","é")</f>
        <v>Café Latte Mug</v>
      </c>
      <c r="H14" s="6">
        <v>3</v>
      </c>
      <c r="I14" s="6" t="s">
        <v>96</v>
      </c>
      <c r="J14" s="6" t="s">
        <v>97</v>
      </c>
      <c r="K14" s="6">
        <v>0.34</v>
      </c>
      <c r="L14" s="6" t="s">
        <v>42</v>
      </c>
      <c r="M14" s="6" t="s">
        <v>69</v>
      </c>
      <c r="N14" s="6"/>
    </row>
    <row r="15" spans="1:15">
      <c r="A15" s="6" t="s">
        <v>98</v>
      </c>
      <c r="B15" s="7">
        <v>46074</v>
      </c>
      <c r="C15" s="6" t="s">
        <v>99</v>
      </c>
      <c r="D15" s="6" t="str">
        <f>IF(OR(PROPER(TRIM(Raw_Data!D15))="Uk",PROPER(TRIM(Raw_Data!D15))="Gb",PROPER(TRIM(Raw_Data!D15))="United kingdom"),"United Kingdom",PROPER(TRIM(Raw_Data!D15)))</f>
        <v>United Kingdom</v>
      </c>
      <c r="E15" s="6" t="s">
        <v>28</v>
      </c>
      <c r="F15" s="6" t="s">
        <v>100</v>
      </c>
      <c r="G15" s="6" t="str">
        <f>SUBSTITUTE(Raw_Data!G15,"Ã©","é")</f>
        <v>Alpine Jacket</v>
      </c>
      <c r="H15" s="6">
        <v>3</v>
      </c>
      <c r="I15" s="6" t="s">
        <v>90</v>
      </c>
      <c r="J15" s="6" t="s">
        <v>102</v>
      </c>
      <c r="K15" s="6">
        <v>0.64</v>
      </c>
      <c r="L15" s="6" t="s">
        <v>42</v>
      </c>
      <c r="M15" s="6" t="s">
        <v>34</v>
      </c>
      <c r="N15" s="6"/>
    </row>
    <row r="16" spans="1:15">
      <c r="A16" s="6" t="s">
        <v>103</v>
      </c>
      <c r="B16" s="7">
        <v>46149</v>
      </c>
      <c r="C16" s="6" t="s">
        <v>104</v>
      </c>
      <c r="D16" s="6" t="str">
        <f>IF(OR(PROPER(TRIM(Raw_Data!D16))="Uk",PROPER(TRIM(Raw_Data!D16))="Gb",PROPER(TRIM(Raw_Data!D16))="United kingdom"),"United Kingdom",PROPER(TRIM(Raw_Data!D16)))</f>
        <v>United Kingdom</v>
      </c>
      <c r="E16" s="6" t="s">
        <v>46</v>
      </c>
      <c r="F16" s="6" t="s">
        <v>38</v>
      </c>
      <c r="G16" s="6" t="str">
        <f>SUBSTITUTE(Raw_Data!G16,"Ã©","é")</f>
        <v>Trail Softshell</v>
      </c>
      <c r="H16" s="6">
        <v>1</v>
      </c>
      <c r="I16" s="6" t="s">
        <v>31</v>
      </c>
      <c r="J16" s="6" t="s">
        <v>31</v>
      </c>
      <c r="K16" s="6">
        <v>0.52</v>
      </c>
      <c r="L16" s="6" t="s">
        <v>33</v>
      </c>
      <c r="M16" s="6" t="s">
        <v>34</v>
      </c>
      <c r="N16" s="6"/>
    </row>
    <row r="17" spans="1:14">
      <c r="A17" s="6" t="s">
        <v>106</v>
      </c>
      <c r="B17" s="7">
        <v>46327</v>
      </c>
      <c r="C17" s="6" t="s">
        <v>107</v>
      </c>
      <c r="D17" s="6" t="str">
        <f>IF(OR(PROPER(TRIM(Raw_Data!D17))="Uk",PROPER(TRIM(Raw_Data!D17))="Gb",PROPER(TRIM(Raw_Data!D17))="United kingdom"),"United Kingdom",PROPER(TRIM(Raw_Data!D17)))</f>
        <v>Ireland</v>
      </c>
      <c r="E17" s="6" t="s">
        <v>78</v>
      </c>
      <c r="F17" s="6" t="s">
        <v>47</v>
      </c>
      <c r="G17" s="6" t="str">
        <f>SUBSTITUTE(Raw_Data!G17,"Ã©","é")</f>
        <v>Fell Runner Cap</v>
      </c>
      <c r="H17" s="6">
        <v>1</v>
      </c>
      <c r="I17" s="6" t="s">
        <v>40</v>
      </c>
      <c r="J17" s="6" t="s">
        <v>40</v>
      </c>
      <c r="K17" s="6">
        <v>8.5000000000000006E-2</v>
      </c>
      <c r="L17" s="6" t="s">
        <v>42</v>
      </c>
      <c r="M17" s="6" t="s">
        <v>34</v>
      </c>
      <c r="N17" s="6"/>
    </row>
    <row r="18" spans="1:14">
      <c r="A18" s="6" t="s">
        <v>108</v>
      </c>
      <c r="B18" s="7">
        <v>46192</v>
      </c>
      <c r="C18" s="6" t="s">
        <v>109</v>
      </c>
      <c r="D18" s="6" t="str">
        <f>IF(OR(PROPER(TRIM(Raw_Data!D18))="Uk",PROPER(TRIM(Raw_Data!D18))="Gb",PROPER(TRIM(Raw_Data!D18))="United kingdom"),"United Kingdom",PROPER(TRIM(Raw_Data!D18)))</f>
        <v>United Kingdom</v>
      </c>
      <c r="E18" s="6" t="s">
        <v>52</v>
      </c>
      <c r="F18" s="6" t="s">
        <v>85</v>
      </c>
      <c r="G18" s="6" t="str">
        <f>SUBSTITUTE(Raw_Data!G18,"Ã©","é")</f>
        <v>Storm Overtrousers</v>
      </c>
      <c r="H18" s="6">
        <v>1</v>
      </c>
      <c r="I18" s="6" t="s">
        <v>96</v>
      </c>
      <c r="J18" s="6" t="s">
        <v>96</v>
      </c>
      <c r="K18" s="6">
        <v>0.41</v>
      </c>
      <c r="L18" s="6" t="s">
        <v>42</v>
      </c>
      <c r="M18" s="6" t="s">
        <v>34</v>
      </c>
      <c r="N18" s="6"/>
    </row>
    <row r="19" spans="1:14">
      <c r="A19" s="6" t="s">
        <v>111</v>
      </c>
      <c r="B19" s="7">
        <v>46209</v>
      </c>
      <c r="C19" s="6" t="s">
        <v>112</v>
      </c>
      <c r="D19" s="6" t="str">
        <f>IF(OR(PROPER(TRIM(Raw_Data!D19))="Uk",PROPER(TRIM(Raw_Data!D19))="Gb",PROPER(TRIM(Raw_Data!D19))="United kingdom"),"United Kingdom",PROPER(TRIM(Raw_Data!D19)))</f>
        <v>United Kingdom</v>
      </c>
      <c r="E19" s="6" t="s">
        <v>78</v>
      </c>
      <c r="F19" s="6" t="s">
        <v>94</v>
      </c>
      <c r="G19" s="6" t="str">
        <f>SUBSTITUTE(Raw_Data!G19,"Ã©","é")</f>
        <v>Café Latte Mug</v>
      </c>
      <c r="H19" s="6">
        <v>1</v>
      </c>
      <c r="I19" s="6" t="s">
        <v>113</v>
      </c>
      <c r="J19" s="6" t="s">
        <v>113</v>
      </c>
      <c r="K19" s="6">
        <v>0.34</v>
      </c>
      <c r="L19" s="6" t="s">
        <v>42</v>
      </c>
      <c r="M19" s="6" t="s">
        <v>69</v>
      </c>
      <c r="N19" s="6"/>
    </row>
    <row r="20" spans="1:14">
      <c r="A20" s="6" t="s">
        <v>115</v>
      </c>
      <c r="B20" s="7">
        <v>46135</v>
      </c>
      <c r="C20" s="6" t="s">
        <v>116</v>
      </c>
      <c r="D20" s="6" t="str">
        <f>IF(OR(PROPER(TRIM(Raw_Data!D20))="Uk",PROPER(TRIM(Raw_Data!D20))="Gb",PROPER(TRIM(Raw_Data!D20))="United kingdom"),"United Kingdom",PROPER(TRIM(Raw_Data!D20)))</f>
        <v>United Kingdom</v>
      </c>
      <c r="E20" s="6" t="s">
        <v>52</v>
      </c>
      <c r="F20" s="6" t="s">
        <v>100</v>
      </c>
      <c r="G20" s="6" t="str">
        <f>SUBSTITUTE(Raw_Data!G20,"Ã©","é")</f>
        <v>Alpine Jacket</v>
      </c>
      <c r="H20" s="6">
        <v>2</v>
      </c>
      <c r="I20" s="6" t="s">
        <v>117</v>
      </c>
      <c r="J20" s="6" t="s">
        <v>118</v>
      </c>
      <c r="K20" s="6">
        <v>0.64</v>
      </c>
      <c r="L20" s="6" t="s">
        <v>42</v>
      </c>
      <c r="M20" s="6" t="s">
        <v>34</v>
      </c>
      <c r="N20" s="6"/>
    </row>
    <row r="21" spans="1:14">
      <c r="A21" s="6" t="s">
        <v>120</v>
      </c>
      <c r="B21" s="7">
        <v>46187</v>
      </c>
      <c r="C21" s="6" t="s">
        <v>121</v>
      </c>
      <c r="D21" s="6" t="str">
        <f>IF(OR(PROPER(TRIM(Raw_Data!D21))="Uk",PROPER(TRIM(Raw_Data!D21))="Gb",PROPER(TRIM(Raw_Data!D21))="United kingdom"),"United Kingdom",PROPER(TRIM(Raw_Data!D21)))</f>
        <v>United Kingdom</v>
      </c>
      <c r="E21" s="6" t="s">
        <v>46</v>
      </c>
      <c r="F21" s="6" t="s">
        <v>53</v>
      </c>
      <c r="G21" s="6" t="str">
        <f>SUBSTITUTE(Raw_Data!G21,"Ã©","é")</f>
        <v>Merino Base Layer</v>
      </c>
      <c r="H21" s="6">
        <v>1</v>
      </c>
      <c r="I21" s="6" t="s">
        <v>31</v>
      </c>
      <c r="J21" s="6" t="s">
        <v>31</v>
      </c>
      <c r="K21" s="6">
        <v>0.19</v>
      </c>
      <c r="L21" s="6" t="s">
        <v>42</v>
      </c>
      <c r="M21" s="6" t="s">
        <v>34</v>
      </c>
      <c r="N21" s="6"/>
    </row>
    <row r="22" spans="1:14">
      <c r="A22" s="6" t="s">
        <v>123</v>
      </c>
      <c r="B22" s="7">
        <v>46109</v>
      </c>
      <c r="C22" s="6" t="s">
        <v>124</v>
      </c>
      <c r="D22" s="6" t="str">
        <f>IF(OR(PROPER(TRIM(Raw_Data!D22))="Uk",PROPER(TRIM(Raw_Data!D22))="Gb",PROPER(TRIM(Raw_Data!D22))="United kingdom"),"United Kingdom",PROPER(TRIM(Raw_Data!D22)))</f>
        <v>France</v>
      </c>
      <c r="E22" s="6" t="s">
        <v>28</v>
      </c>
      <c r="F22" s="6" t="s">
        <v>53</v>
      </c>
      <c r="G22" s="6" t="str">
        <f>SUBSTITUTE(Raw_Data!G22,"Ã©","é")</f>
        <v>Merino Base Layer</v>
      </c>
      <c r="H22" s="6">
        <v>1</v>
      </c>
      <c r="I22" s="6" t="s">
        <v>67</v>
      </c>
      <c r="J22" s="6" t="s">
        <v>67</v>
      </c>
      <c r="K22" s="6">
        <v>0.19</v>
      </c>
      <c r="L22" s="6" t="s">
        <v>42</v>
      </c>
      <c r="M22" s="6" t="s">
        <v>34</v>
      </c>
      <c r="N22" s="6"/>
    </row>
    <row r="23" spans="1:14">
      <c r="A23" s="6" t="s">
        <v>125</v>
      </c>
      <c r="B23" s="7">
        <v>46081</v>
      </c>
      <c r="C23" s="6" t="s">
        <v>126</v>
      </c>
      <c r="D23" s="6" t="str">
        <f>IF(OR(PROPER(TRIM(Raw_Data!D23))="Uk",PROPER(TRIM(Raw_Data!D23))="Gb",PROPER(TRIM(Raw_Data!D23))="United kingdom"),"United Kingdom",PROPER(TRIM(Raw_Data!D23)))</f>
        <v>Germany</v>
      </c>
      <c r="E23" s="6" t="s">
        <v>46</v>
      </c>
      <c r="F23" s="6" t="s">
        <v>58</v>
      </c>
      <c r="G23" s="6" t="str">
        <f>SUBSTITUTE(Raw_Data!G23,"Ã©","é")</f>
        <v>Summit Down Gilet</v>
      </c>
      <c r="H23" s="6">
        <v>2</v>
      </c>
      <c r="I23" s="6" t="s">
        <v>117</v>
      </c>
      <c r="J23" s="6" t="s">
        <v>118</v>
      </c>
      <c r="K23" s="6">
        <v>0.38</v>
      </c>
      <c r="L23" s="6" t="s">
        <v>42</v>
      </c>
      <c r="M23" s="6" t="s">
        <v>34</v>
      </c>
      <c r="N23" s="6"/>
    </row>
    <row r="24" spans="1:14">
      <c r="A24" s="6" t="s">
        <v>128</v>
      </c>
      <c r="B24" s="7">
        <v>46069</v>
      </c>
      <c r="C24" s="6" t="s">
        <v>129</v>
      </c>
      <c r="D24" s="6" t="str">
        <f>IF(OR(PROPER(TRIM(Raw_Data!D24))="Uk",PROPER(TRIM(Raw_Data!D24))="Gb",PROPER(TRIM(Raw_Data!D24))="United kingdom"),"United Kingdom",PROPER(TRIM(Raw_Data!D24)))</f>
        <v>United Kingdom</v>
      </c>
      <c r="E24" s="6" t="s">
        <v>37</v>
      </c>
      <c r="F24" s="6" t="s">
        <v>47</v>
      </c>
      <c r="G24" s="6" t="str">
        <f>SUBSTITUTE(Raw_Data!G24,"Ã©","é")</f>
        <v>Fell Runner Cap</v>
      </c>
      <c r="H24" s="6">
        <v>1</v>
      </c>
      <c r="I24" s="6" t="s">
        <v>60</v>
      </c>
      <c r="J24" s="6" t="s">
        <v>60</v>
      </c>
      <c r="K24" s="6">
        <v>8.5000000000000006E-2</v>
      </c>
      <c r="L24" s="6" t="s">
        <v>42</v>
      </c>
      <c r="M24" s="6" t="s">
        <v>34</v>
      </c>
      <c r="N24" s="6"/>
    </row>
    <row r="25" spans="1:14">
      <c r="A25" s="6" t="s">
        <v>130</v>
      </c>
      <c r="B25" s="7">
        <v>46102</v>
      </c>
      <c r="C25" s="6" t="s">
        <v>132</v>
      </c>
      <c r="D25" s="6" t="str">
        <f>IF(OR(PROPER(TRIM(Raw_Data!D25))="Uk",PROPER(TRIM(Raw_Data!D25))="Gb",PROPER(TRIM(Raw_Data!D25))="United kingdom"),"United Kingdom",PROPER(TRIM(Raw_Data!D25)))</f>
        <v>Ireland</v>
      </c>
      <c r="E25" s="6" t="s">
        <v>52</v>
      </c>
      <c r="F25" s="6" t="s">
        <v>94</v>
      </c>
      <c r="G25" s="6" t="str">
        <f>SUBSTITUTE(Raw_Data!G25,"Ã©","é")</f>
        <v>Café Latte Mug</v>
      </c>
      <c r="H25" s="6">
        <v>1</v>
      </c>
      <c r="I25" s="6" t="s">
        <v>60</v>
      </c>
      <c r="J25" s="6" t="s">
        <v>60</v>
      </c>
      <c r="K25" s="6">
        <v>0.34</v>
      </c>
      <c r="L25" s="6" t="s">
        <v>42</v>
      </c>
      <c r="M25" s="6" t="s">
        <v>34</v>
      </c>
      <c r="N25" s="6"/>
    </row>
    <row r="26" spans="1:14">
      <c r="A26" s="6" t="s">
        <v>133</v>
      </c>
      <c r="B26" s="7">
        <v>46026</v>
      </c>
      <c r="C26" s="6" t="s">
        <v>134</v>
      </c>
      <c r="D26" s="6" t="str">
        <f>IF(OR(PROPER(TRIM(Raw_Data!D26))="Uk",PROPER(TRIM(Raw_Data!D26))="Gb",PROPER(TRIM(Raw_Data!D26))="United kingdom"),"United Kingdom",PROPER(TRIM(Raw_Data!D26)))</f>
        <v>United Kingdom</v>
      </c>
      <c r="E26" s="6" t="s">
        <v>46</v>
      </c>
      <c r="F26" s="6" t="s">
        <v>85</v>
      </c>
      <c r="G26" s="6" t="str">
        <f>SUBSTITUTE(Raw_Data!G26,"Ã©","é")</f>
        <v>Storm Overtrousers</v>
      </c>
      <c r="H26" s="6">
        <v>-1</v>
      </c>
      <c r="I26" s="6" t="s">
        <v>90</v>
      </c>
      <c r="J26" s="8" t="s">
        <v>135</v>
      </c>
      <c r="K26" s="6">
        <v>0.41</v>
      </c>
      <c r="L26" s="6" t="s">
        <v>42</v>
      </c>
      <c r="M26" s="6" t="s">
        <v>34</v>
      </c>
      <c r="N26" s="6"/>
    </row>
    <row r="27" spans="1:14">
      <c r="A27" s="6" t="s">
        <v>136</v>
      </c>
      <c r="B27" s="7">
        <v>46135</v>
      </c>
      <c r="C27" s="6" t="s">
        <v>137</v>
      </c>
      <c r="D27" s="6" t="str">
        <f>IF(OR(PROPER(TRIM(Raw_Data!D27))="Uk",PROPER(TRIM(Raw_Data!D27))="Gb",PROPER(TRIM(Raw_Data!D27))="United kingdom"),"United Kingdom",PROPER(TRIM(Raw_Data!D27)))</f>
        <v>Germany</v>
      </c>
      <c r="E27" s="6" t="s">
        <v>52</v>
      </c>
      <c r="F27" s="6" t="s">
        <v>53</v>
      </c>
      <c r="G27" s="6" t="str">
        <f>SUBSTITUTE(Raw_Data!G27,"Ã©","é")</f>
        <v>Merino Base Layer</v>
      </c>
      <c r="H27" s="6">
        <v>3</v>
      </c>
      <c r="I27" s="6" t="s">
        <v>113</v>
      </c>
      <c r="J27" s="6" t="s">
        <v>138</v>
      </c>
      <c r="K27" s="6">
        <v>0.19</v>
      </c>
      <c r="L27" s="6" t="s">
        <v>33</v>
      </c>
      <c r="M27" s="6" t="s">
        <v>34</v>
      </c>
      <c r="N27" s="6"/>
    </row>
    <row r="28" spans="1:14">
      <c r="A28" s="6" t="s">
        <v>139</v>
      </c>
      <c r="B28" s="7">
        <v>46266</v>
      </c>
      <c r="C28" s="6" t="s">
        <v>140</v>
      </c>
      <c r="D28" s="6" t="str">
        <f>IF(OR(PROPER(TRIM(Raw_Data!D28))="Uk",PROPER(TRIM(Raw_Data!D28))="Gb",PROPER(TRIM(Raw_Data!D28))="United kingdom"),"United Kingdom",PROPER(TRIM(Raw_Data!D28)))</f>
        <v>United Kingdom</v>
      </c>
      <c r="E28" s="6" t="s">
        <v>28</v>
      </c>
      <c r="F28" s="6" t="s">
        <v>94</v>
      </c>
      <c r="G28" s="6" t="str">
        <f>SUBSTITUTE(Raw_Data!G28,"Ã©","é")</f>
        <v>Café Latte Mug</v>
      </c>
      <c r="H28" s="6">
        <v>1</v>
      </c>
      <c r="I28" s="6" t="s">
        <v>60</v>
      </c>
      <c r="J28" s="6" t="s">
        <v>60</v>
      </c>
      <c r="K28" s="6">
        <v>0.34</v>
      </c>
      <c r="L28" s="6" t="s">
        <v>42</v>
      </c>
      <c r="M28" s="6" t="s">
        <v>69</v>
      </c>
      <c r="N28" s="6"/>
    </row>
    <row r="29" spans="1:14">
      <c r="A29" s="6" t="s">
        <v>141</v>
      </c>
      <c r="B29" s="7">
        <v>46173</v>
      </c>
      <c r="C29" s="6" t="s">
        <v>142</v>
      </c>
      <c r="D29" s="6" t="str">
        <f>IF(OR(PROPER(TRIM(Raw_Data!D29))="Uk",PROPER(TRIM(Raw_Data!D29))="Gb",PROPER(TRIM(Raw_Data!D29))="United kingdom"),"United Kingdom",PROPER(TRIM(Raw_Data!D29)))</f>
        <v>United Kingdom</v>
      </c>
      <c r="E29" s="6" t="s">
        <v>37</v>
      </c>
      <c r="F29" s="6" t="s">
        <v>58</v>
      </c>
      <c r="G29" s="6" t="str">
        <f>SUBSTITUTE(Raw_Data!G29,"Ã©","é")</f>
        <v>Summit Down Gilet</v>
      </c>
      <c r="H29" s="6">
        <v>2</v>
      </c>
      <c r="I29" s="6" t="s">
        <v>143</v>
      </c>
      <c r="J29" s="6" t="s">
        <v>144</v>
      </c>
      <c r="K29" s="6">
        <v>0.38</v>
      </c>
      <c r="L29" s="6" t="s">
        <v>42</v>
      </c>
      <c r="M29" s="6" t="s">
        <v>34</v>
      </c>
      <c r="N29" s="6"/>
    </row>
    <row r="30" spans="1:14">
      <c r="A30" s="6" t="s">
        <v>145</v>
      </c>
      <c r="B30" s="7">
        <v>46203</v>
      </c>
      <c r="C30" s="6" t="s">
        <v>146</v>
      </c>
      <c r="D30" s="6" t="str">
        <f>IF(OR(PROPER(TRIM(Raw_Data!D30))="Uk",PROPER(TRIM(Raw_Data!D30))="Gb",PROPER(TRIM(Raw_Data!D30))="United kingdom"),"United Kingdom",PROPER(TRIM(Raw_Data!D30)))</f>
        <v>United Kingdom</v>
      </c>
      <c r="E30" s="6" t="s">
        <v>28</v>
      </c>
      <c r="F30" s="6" t="s">
        <v>58</v>
      </c>
      <c r="G30" s="6" t="str">
        <f>SUBSTITUTE(Raw_Data!G30,"Ã©","é")</f>
        <v>Summit Down Gilet</v>
      </c>
      <c r="H30" s="6">
        <v>3</v>
      </c>
      <c r="I30" s="6" t="s">
        <v>147</v>
      </c>
      <c r="J30" s="6" t="s">
        <v>148</v>
      </c>
      <c r="K30" s="6">
        <v>0.38</v>
      </c>
      <c r="L30" s="6" t="s">
        <v>42</v>
      </c>
      <c r="M30" s="6" t="s">
        <v>34</v>
      </c>
      <c r="N30" s="6"/>
    </row>
    <row r="31" spans="1:14">
      <c r="A31" s="6" t="s">
        <v>149</v>
      </c>
      <c r="B31" s="7">
        <v>46116</v>
      </c>
      <c r="C31" s="6" t="s">
        <v>150</v>
      </c>
      <c r="D31" s="6" t="str">
        <f>IF(OR(PROPER(TRIM(Raw_Data!D31))="Uk",PROPER(TRIM(Raw_Data!D31))="Gb",PROPER(TRIM(Raw_Data!D31))="United kingdom"),"United Kingdom",PROPER(TRIM(Raw_Data!D31)))</f>
        <v>United Kingdom</v>
      </c>
      <c r="E31" s="6" t="s">
        <v>37</v>
      </c>
      <c r="F31" s="6" t="s">
        <v>38</v>
      </c>
      <c r="G31" s="6" t="str">
        <f>SUBSTITUTE(Raw_Data!G31,"Ã©","é")</f>
        <v>Trail Softshell</v>
      </c>
      <c r="H31" s="6">
        <v>1</v>
      </c>
      <c r="I31" s="6" t="s">
        <v>151</v>
      </c>
      <c r="J31" s="6" t="s">
        <v>32</v>
      </c>
      <c r="K31" s="6">
        <v>0.52</v>
      </c>
      <c r="L31" s="6" t="s">
        <v>42</v>
      </c>
      <c r="M31" s="6" t="s">
        <v>34</v>
      </c>
      <c r="N31" s="6"/>
    </row>
    <row r="32" spans="1:14">
      <c r="A32" s="6" t="s">
        <v>152</v>
      </c>
      <c r="B32" s="7">
        <v>46094</v>
      </c>
      <c r="C32" s="6" t="s">
        <v>153</v>
      </c>
      <c r="D32" s="6" t="str">
        <f>IF(OR(PROPER(TRIM(Raw_Data!D32))="Uk",PROPER(TRIM(Raw_Data!D32))="Gb",PROPER(TRIM(Raw_Data!D32))="United kingdom"),"United Kingdom",PROPER(TRIM(Raw_Data!D32)))</f>
        <v>Germany</v>
      </c>
      <c r="E32" s="6" t="s">
        <v>78</v>
      </c>
      <c r="F32" s="6" t="s">
        <v>53</v>
      </c>
      <c r="G32" s="6" t="str">
        <f>SUBSTITUTE(Raw_Data!G32,"Ã©","é")</f>
        <v>Merino Base Layer</v>
      </c>
      <c r="H32" s="6">
        <v>2</v>
      </c>
      <c r="I32" s="6" t="s">
        <v>90</v>
      </c>
      <c r="J32" s="6" t="s">
        <v>154</v>
      </c>
      <c r="K32" s="6">
        <v>0.19</v>
      </c>
      <c r="L32" s="6" t="s">
        <v>42</v>
      </c>
      <c r="M32" s="6" t="s">
        <v>34</v>
      </c>
      <c r="N32" s="6"/>
    </row>
    <row r="33" spans="1:14">
      <c r="A33" s="6" t="s">
        <v>155</v>
      </c>
      <c r="B33" s="7">
        <v>46039</v>
      </c>
      <c r="C33" s="6" t="s">
        <v>156</v>
      </c>
      <c r="D33" s="6" t="str">
        <f>IF(OR(PROPER(TRIM(Raw_Data!D33))="Uk",PROPER(TRIM(Raw_Data!D33))="Gb",PROPER(TRIM(Raw_Data!D33))="United kingdom"),"United Kingdom",PROPER(TRIM(Raw_Data!D33)))</f>
        <v>United Kingdom</v>
      </c>
      <c r="E33" s="6" t="s">
        <v>37</v>
      </c>
      <c r="F33" s="6" t="s">
        <v>100</v>
      </c>
      <c r="G33" s="6" t="str">
        <f>SUBSTITUTE(Raw_Data!G33,"Ã©","é")</f>
        <v>Alpine Jacket</v>
      </c>
      <c r="H33" s="6">
        <v>1</v>
      </c>
      <c r="I33" s="6" t="s">
        <v>40</v>
      </c>
      <c r="J33" s="6" t="s">
        <v>40</v>
      </c>
      <c r="K33" s="6">
        <v>0.64</v>
      </c>
      <c r="L33" s="6" t="s">
        <v>42</v>
      </c>
      <c r="M33" s="6" t="s">
        <v>34</v>
      </c>
      <c r="N33" s="6"/>
    </row>
    <row r="34" spans="1:14">
      <c r="A34" s="6" t="s">
        <v>157</v>
      </c>
      <c r="B34" s="7">
        <v>46026</v>
      </c>
      <c r="C34" s="6" t="s">
        <v>158</v>
      </c>
      <c r="D34" s="6" t="str">
        <f>IF(OR(PROPER(TRIM(Raw_Data!D34))="Uk",PROPER(TRIM(Raw_Data!D34))="Gb",PROPER(TRIM(Raw_Data!D34))="United kingdom"),"United Kingdom",PROPER(TRIM(Raw_Data!D34)))</f>
        <v>United Kingdom</v>
      </c>
      <c r="E34" s="6" t="s">
        <v>52</v>
      </c>
      <c r="F34" s="6" t="s">
        <v>94</v>
      </c>
      <c r="G34" s="6" t="str">
        <f>SUBSTITUTE(Raw_Data!G34,"Ã©","é")</f>
        <v>Café Latte Mug</v>
      </c>
      <c r="H34" s="6">
        <v>-2</v>
      </c>
      <c r="I34" s="6" t="s">
        <v>31</v>
      </c>
      <c r="J34" s="8" t="s">
        <v>159</v>
      </c>
      <c r="K34" s="6">
        <v>0.34</v>
      </c>
      <c r="L34" s="6" t="s">
        <v>42</v>
      </c>
      <c r="M34" s="6" t="s">
        <v>34</v>
      </c>
      <c r="N34" s="6"/>
    </row>
    <row r="35" spans="1:14">
      <c r="A35" s="6" t="s">
        <v>160</v>
      </c>
      <c r="B35" s="7">
        <v>46068</v>
      </c>
      <c r="C35" s="6" t="s">
        <v>161</v>
      </c>
      <c r="D35" s="6" t="str">
        <f>IF(OR(PROPER(TRIM(Raw_Data!D35))="Uk",PROPER(TRIM(Raw_Data!D35))="Gb",PROPER(TRIM(Raw_Data!D35))="United kingdom"),"United Kingdom",PROPER(TRIM(Raw_Data!D35)))</f>
        <v>United Kingdom</v>
      </c>
      <c r="E35" s="6" t="s">
        <v>46</v>
      </c>
      <c r="F35" s="6" t="s">
        <v>100</v>
      </c>
      <c r="G35" s="6" t="str">
        <f>SUBSTITUTE(Raw_Data!G35,"Ã©","é")</f>
        <v>Alpine Jacket</v>
      </c>
      <c r="H35" s="6">
        <v>2</v>
      </c>
      <c r="I35" s="6" t="s">
        <v>162</v>
      </c>
      <c r="J35" s="6" t="s">
        <v>163</v>
      </c>
      <c r="K35" s="6">
        <v>0.64</v>
      </c>
      <c r="L35" s="6" t="s">
        <v>33</v>
      </c>
      <c r="M35" s="6" t="s">
        <v>34</v>
      </c>
      <c r="N35" s="6"/>
    </row>
    <row r="36" spans="1:14">
      <c r="A36" s="6" t="s">
        <v>164</v>
      </c>
      <c r="B36" s="7">
        <v>46300</v>
      </c>
      <c r="C36" s="6" t="s">
        <v>165</v>
      </c>
      <c r="D36" s="6" t="str">
        <f>IF(OR(PROPER(TRIM(Raw_Data!D36))="Uk",PROPER(TRIM(Raw_Data!D36))="Gb",PROPER(TRIM(Raw_Data!D36))="United kingdom"),"United Kingdom",PROPER(TRIM(Raw_Data!D36)))</f>
        <v>United Kingdom</v>
      </c>
      <c r="E36" s="6" t="s">
        <v>52</v>
      </c>
      <c r="F36" s="6" t="s">
        <v>100</v>
      </c>
      <c r="G36" s="6" t="str">
        <f>SUBSTITUTE(Raw_Data!G36,"Ã©","é")</f>
        <v>Alpine Jacket</v>
      </c>
      <c r="H36" s="6">
        <v>2</v>
      </c>
      <c r="I36" s="6" t="s">
        <v>166</v>
      </c>
      <c r="J36" s="6" t="s">
        <v>167</v>
      </c>
      <c r="K36" s="6">
        <v>0.64</v>
      </c>
      <c r="L36" s="6" t="s">
        <v>42</v>
      </c>
      <c r="M36" s="6" t="s">
        <v>34</v>
      </c>
      <c r="N36" s="6"/>
    </row>
    <row r="37" spans="1:14">
      <c r="A37" s="6" t="s">
        <v>168</v>
      </c>
      <c r="B37" s="7">
        <v>46100</v>
      </c>
      <c r="C37" s="6" t="s">
        <v>170</v>
      </c>
      <c r="D37" s="6" t="str">
        <f>IF(OR(PROPER(TRIM(Raw_Data!D37))="Uk",PROPER(TRIM(Raw_Data!D37))="Gb",PROPER(TRIM(Raw_Data!D37))="United kingdom"),"United Kingdom",PROPER(TRIM(Raw_Data!D37)))</f>
        <v>United Kingdom</v>
      </c>
      <c r="E37" s="6" t="s">
        <v>52</v>
      </c>
      <c r="F37" s="6" t="s">
        <v>85</v>
      </c>
      <c r="G37" s="6" t="str">
        <f>SUBSTITUTE(Raw_Data!G37,"Ã©","é")</f>
        <v>Storm Overtrousers</v>
      </c>
      <c r="H37" s="6">
        <v>3</v>
      </c>
      <c r="I37" s="6" t="s">
        <v>117</v>
      </c>
      <c r="J37" s="6" t="s">
        <v>171</v>
      </c>
      <c r="K37" s="6">
        <v>0.41</v>
      </c>
      <c r="L37" s="6" t="s">
        <v>42</v>
      </c>
      <c r="M37" s="6" t="s">
        <v>34</v>
      </c>
      <c r="N37" s="6"/>
    </row>
    <row r="38" spans="1:14">
      <c r="A38" s="6" t="s">
        <v>172</v>
      </c>
      <c r="B38" s="7">
        <v>46136</v>
      </c>
      <c r="C38" s="6" t="s">
        <v>174</v>
      </c>
      <c r="D38" s="6" t="str">
        <f>IF(OR(PROPER(TRIM(Raw_Data!D38))="Uk",PROPER(TRIM(Raw_Data!D38))="Gb",PROPER(TRIM(Raw_Data!D38))="United kingdom"),"United Kingdom",PROPER(TRIM(Raw_Data!D38)))</f>
        <v>United Kingdom</v>
      </c>
      <c r="E38" s="6" t="s">
        <v>28</v>
      </c>
      <c r="F38" s="6" t="s">
        <v>85</v>
      </c>
      <c r="G38" s="6" t="str">
        <f>SUBSTITUTE(Raw_Data!G38,"Ã©","é")</f>
        <v>Storm Overtrousers</v>
      </c>
      <c r="H38" s="6">
        <v>2</v>
      </c>
      <c r="I38" s="6" t="s">
        <v>147</v>
      </c>
      <c r="J38" s="6" t="s">
        <v>175</v>
      </c>
      <c r="K38" s="6">
        <v>0.41</v>
      </c>
      <c r="L38" s="6" t="s">
        <v>42</v>
      </c>
      <c r="M38" s="6" t="s">
        <v>69</v>
      </c>
      <c r="N38" s="6"/>
    </row>
    <row r="39" spans="1:14">
      <c r="A39" s="6" t="s">
        <v>176</v>
      </c>
      <c r="B39" s="7">
        <v>46111</v>
      </c>
      <c r="C39" s="6" t="s">
        <v>177</v>
      </c>
      <c r="D39" s="6" t="str">
        <f>IF(OR(PROPER(TRIM(Raw_Data!D39))="Uk",PROPER(TRIM(Raw_Data!D39))="Gb",PROPER(TRIM(Raw_Data!D39))="United kingdom"),"United Kingdom",PROPER(TRIM(Raw_Data!D39)))</f>
        <v>Ireland</v>
      </c>
      <c r="E39" s="6" t="s">
        <v>78</v>
      </c>
      <c r="F39" s="6" t="s">
        <v>85</v>
      </c>
      <c r="G39" s="6" t="str">
        <f>SUBSTITUTE(Raw_Data!G39,"Ã©","é")</f>
        <v>Storm Overtrousers</v>
      </c>
      <c r="H39" s="6">
        <v>1</v>
      </c>
      <c r="I39" s="6" t="s">
        <v>117</v>
      </c>
      <c r="J39" s="6" t="s">
        <v>117</v>
      </c>
      <c r="K39" s="6">
        <v>0.41</v>
      </c>
      <c r="L39" s="6" t="s">
        <v>42</v>
      </c>
      <c r="M39" s="6" t="s">
        <v>69</v>
      </c>
      <c r="N39" s="6"/>
    </row>
    <row r="40" spans="1:14">
      <c r="A40" s="6" t="s">
        <v>178</v>
      </c>
      <c r="B40" s="7">
        <v>46067</v>
      </c>
      <c r="C40" s="6" t="s">
        <v>180</v>
      </c>
      <c r="D40" s="6" t="str">
        <f>IF(OR(PROPER(TRIM(Raw_Data!D40))="Uk",PROPER(TRIM(Raw_Data!D40))="Gb",PROPER(TRIM(Raw_Data!D40))="United kingdom"),"United Kingdom",PROPER(TRIM(Raw_Data!D40)))</f>
        <v>United Kingdom</v>
      </c>
      <c r="E40" s="6" t="s">
        <v>78</v>
      </c>
      <c r="F40" s="6" t="s">
        <v>47</v>
      </c>
      <c r="G40" s="6" t="str">
        <f>SUBSTITUTE(Raw_Data!G40,"Ã©","é")</f>
        <v>Fell Runner Cap</v>
      </c>
      <c r="H40" s="6">
        <v>1</v>
      </c>
      <c r="I40" s="6" t="s">
        <v>181</v>
      </c>
      <c r="J40" s="6" t="s">
        <v>181</v>
      </c>
      <c r="K40" s="6">
        <v>8.5000000000000006E-2</v>
      </c>
      <c r="L40" s="6" t="s">
        <v>42</v>
      </c>
      <c r="M40" s="6" t="s">
        <v>34</v>
      </c>
      <c r="N40" s="6"/>
    </row>
    <row r="41" spans="1:14">
      <c r="A41" s="6" t="s">
        <v>182</v>
      </c>
      <c r="B41" s="7">
        <v>46193</v>
      </c>
      <c r="C41" s="6" t="s">
        <v>184</v>
      </c>
      <c r="D41" s="6" t="str">
        <f>IF(OR(PROPER(TRIM(Raw_Data!D41))="Uk",PROPER(TRIM(Raw_Data!D41))="Gb",PROPER(TRIM(Raw_Data!D41))="United kingdom"),"United Kingdom",PROPER(TRIM(Raw_Data!D41)))</f>
        <v>United Kingdom</v>
      </c>
      <c r="E41" s="6" t="s">
        <v>52</v>
      </c>
      <c r="F41" s="6" t="s">
        <v>53</v>
      </c>
      <c r="G41" s="6" t="str">
        <f>SUBSTITUTE(Raw_Data!G41,"Ã©","é")</f>
        <v>Merino Base Layer</v>
      </c>
      <c r="H41" s="6">
        <v>1</v>
      </c>
      <c r="I41" s="6" t="s">
        <v>82</v>
      </c>
      <c r="J41" s="6" t="s">
        <v>82</v>
      </c>
      <c r="K41" s="6">
        <v>0.19</v>
      </c>
      <c r="L41" s="6" t="s">
        <v>42</v>
      </c>
      <c r="M41" s="6" t="s">
        <v>34</v>
      </c>
      <c r="N41" s="6"/>
    </row>
    <row r="42" spans="1:14">
      <c r="A42" s="6" t="s">
        <v>185</v>
      </c>
      <c r="B42" s="7">
        <v>46193</v>
      </c>
      <c r="C42" s="6" t="s">
        <v>186</v>
      </c>
      <c r="D42" s="6" t="str">
        <f>IF(OR(PROPER(TRIM(Raw_Data!D42))="Uk",PROPER(TRIM(Raw_Data!D42))="Gb",PROPER(TRIM(Raw_Data!D42))="United kingdom"),"United Kingdom",PROPER(TRIM(Raw_Data!D42)))</f>
        <v>United Kingdom</v>
      </c>
      <c r="E42" s="6" t="s">
        <v>52</v>
      </c>
      <c r="F42" s="6" t="s">
        <v>85</v>
      </c>
      <c r="G42" s="6" t="str">
        <f>SUBSTITUTE(Raw_Data!G42,"Ã©","é")</f>
        <v>Storm Overtrousers</v>
      </c>
      <c r="H42" s="6">
        <v>3</v>
      </c>
      <c r="I42" s="6" t="s">
        <v>147</v>
      </c>
      <c r="J42" s="6" t="s">
        <v>148</v>
      </c>
      <c r="K42" s="6">
        <v>0.41</v>
      </c>
      <c r="L42" s="6" t="s">
        <v>42</v>
      </c>
      <c r="M42" s="6" t="s">
        <v>34</v>
      </c>
      <c r="N42" s="6"/>
    </row>
    <row r="43" spans="1:14">
      <c r="A43" s="6" t="s">
        <v>187</v>
      </c>
      <c r="B43" s="7">
        <v>46169</v>
      </c>
      <c r="C43" s="6" t="s">
        <v>188</v>
      </c>
      <c r="D43" s="6" t="str">
        <f>IF(OR(PROPER(TRIM(Raw_Data!D43))="Uk",PROPER(TRIM(Raw_Data!D43))="Gb",PROPER(TRIM(Raw_Data!D43))="United kingdom"),"United Kingdom",PROPER(TRIM(Raw_Data!D43)))</f>
        <v>United Kingdom</v>
      </c>
      <c r="E43" s="6" t="s">
        <v>37</v>
      </c>
      <c r="F43" s="6" t="s">
        <v>100</v>
      </c>
      <c r="G43" s="6" t="str">
        <f>SUBSTITUTE(Raw_Data!G43,"Ã©","é")</f>
        <v>Alpine Jacket</v>
      </c>
      <c r="H43" s="6">
        <v>2</v>
      </c>
      <c r="I43" s="6" t="s">
        <v>60</v>
      </c>
      <c r="J43" s="6" t="s">
        <v>189</v>
      </c>
      <c r="K43" s="6">
        <v>0.64</v>
      </c>
      <c r="L43" s="6" t="s">
        <v>33</v>
      </c>
      <c r="M43" s="6" t="s">
        <v>69</v>
      </c>
      <c r="N43" s="6"/>
    </row>
    <row r="44" spans="1:14">
      <c r="A44" s="6" t="s">
        <v>190</v>
      </c>
      <c r="B44" s="7">
        <v>46083</v>
      </c>
      <c r="C44" s="6" t="s">
        <v>191</v>
      </c>
      <c r="D44" s="6" t="str">
        <f>IF(OR(PROPER(TRIM(Raw_Data!D44))="Uk",PROPER(TRIM(Raw_Data!D44))="Gb",PROPER(TRIM(Raw_Data!D44))="United kingdom"),"United Kingdom",PROPER(TRIM(Raw_Data!D44)))</f>
        <v>United Kingdom</v>
      </c>
      <c r="E44" s="6" t="s">
        <v>46</v>
      </c>
      <c r="F44" s="6" t="s">
        <v>58</v>
      </c>
      <c r="G44" s="6" t="str">
        <f>SUBSTITUTE(Raw_Data!G44,"Ã©","é")</f>
        <v>Summit Down Gilet</v>
      </c>
      <c r="H44" s="6">
        <v>2</v>
      </c>
      <c r="I44" s="6" t="s">
        <v>113</v>
      </c>
      <c r="J44" s="6" t="s">
        <v>192</v>
      </c>
      <c r="K44" s="6">
        <v>0.38</v>
      </c>
      <c r="L44" s="6" t="s">
        <v>42</v>
      </c>
      <c r="M44" s="6" t="s">
        <v>34</v>
      </c>
      <c r="N44" s="6"/>
    </row>
    <row r="45" spans="1:14">
      <c r="A45" s="6" t="s">
        <v>193</v>
      </c>
      <c r="B45" s="7">
        <v>46041</v>
      </c>
      <c r="C45" s="6" t="s">
        <v>194</v>
      </c>
      <c r="D45" s="6" t="str">
        <f>IF(OR(PROPER(TRIM(Raw_Data!D45))="Uk",PROPER(TRIM(Raw_Data!D45))="Gb",PROPER(TRIM(Raw_Data!D45))="United kingdom"),"United Kingdom",PROPER(TRIM(Raw_Data!D45)))</f>
        <v>United Kingdom</v>
      </c>
      <c r="E45" s="6" t="s">
        <v>46</v>
      </c>
      <c r="F45" s="6" t="s">
        <v>94</v>
      </c>
      <c r="G45" s="6" t="str">
        <f>SUBSTITUTE(Raw_Data!G45,"Ã©","é")</f>
        <v>Café Latte Mug</v>
      </c>
      <c r="H45" s="6">
        <v>1</v>
      </c>
      <c r="I45" s="6" t="s">
        <v>195</v>
      </c>
      <c r="J45" s="6" t="s">
        <v>181</v>
      </c>
      <c r="K45" s="6">
        <v>0.34</v>
      </c>
      <c r="L45" s="6" t="s">
        <v>42</v>
      </c>
      <c r="M45" s="6" t="s">
        <v>34</v>
      </c>
      <c r="N45" s="6"/>
    </row>
    <row r="46" spans="1:14">
      <c r="A46" s="6" t="s">
        <v>196</v>
      </c>
      <c r="B46" s="12">
        <v>46197</v>
      </c>
      <c r="C46" s="6" t="s">
        <v>198</v>
      </c>
      <c r="D46" s="6" t="str">
        <f>IF(OR(PROPER(TRIM(Raw_Data!D46))="Uk",PROPER(TRIM(Raw_Data!D46))="Gb",PROPER(TRIM(Raw_Data!D46))="United kingdom"),"United Kingdom",PROPER(TRIM(Raw_Data!D46)))</f>
        <v>United Kingdom</v>
      </c>
      <c r="E46" s="6" t="s">
        <v>28</v>
      </c>
      <c r="F46" s="6" t="s">
        <v>94</v>
      </c>
      <c r="G46" s="6" t="str">
        <f>SUBSTITUTE(Raw_Data!G46,"Ã©","é")</f>
        <v>Café Latte Mug</v>
      </c>
      <c r="H46" s="6">
        <v>3</v>
      </c>
      <c r="I46" s="6" t="s">
        <v>90</v>
      </c>
      <c r="J46" s="6" t="s">
        <v>102</v>
      </c>
      <c r="K46" s="6">
        <v>0.34</v>
      </c>
      <c r="L46" s="6" t="s">
        <v>42</v>
      </c>
      <c r="M46" s="6" t="s">
        <v>34</v>
      </c>
      <c r="N46" s="6"/>
    </row>
    <row r="47" spans="1:14">
      <c r="A47" s="6" t="s">
        <v>199</v>
      </c>
      <c r="B47" s="7">
        <v>46163</v>
      </c>
      <c r="C47" s="6" t="s">
        <v>200</v>
      </c>
      <c r="D47" s="6" t="str">
        <f>IF(OR(PROPER(TRIM(Raw_Data!D47))="Uk",PROPER(TRIM(Raw_Data!D47))="Gb",PROPER(TRIM(Raw_Data!D47))="United kingdom"),"United Kingdom",PROPER(TRIM(Raw_Data!D47)))</f>
        <v>Ireland</v>
      </c>
      <c r="E47" s="6" t="s">
        <v>78</v>
      </c>
      <c r="F47" s="6" t="s">
        <v>85</v>
      </c>
      <c r="G47" s="6" t="str">
        <f>SUBSTITUTE(Raw_Data!G47,"Ã©","é")</f>
        <v>Storm Overtrousers</v>
      </c>
      <c r="H47" s="6">
        <v>2</v>
      </c>
      <c r="I47" s="6" t="s">
        <v>90</v>
      </c>
      <c r="J47" s="6" t="s">
        <v>154</v>
      </c>
      <c r="K47" s="6">
        <v>0.41</v>
      </c>
      <c r="L47" s="6" t="s">
        <v>42</v>
      </c>
      <c r="M47" s="6" t="s">
        <v>34</v>
      </c>
      <c r="N47" s="6"/>
    </row>
    <row r="48" spans="1:14">
      <c r="A48" s="6" t="s">
        <v>201</v>
      </c>
      <c r="B48" s="7">
        <v>46105</v>
      </c>
      <c r="C48" s="6" t="s">
        <v>202</v>
      </c>
      <c r="D48" s="6" t="str">
        <f>IF(OR(PROPER(TRIM(Raw_Data!D48))="Uk",PROPER(TRIM(Raw_Data!D48))="Gb",PROPER(TRIM(Raw_Data!D48))="United kingdom"),"United Kingdom",PROPER(TRIM(Raw_Data!D48)))</f>
        <v>United Kingdom</v>
      </c>
      <c r="E48" s="6" t="s">
        <v>28</v>
      </c>
      <c r="F48" s="6" t="s">
        <v>100</v>
      </c>
      <c r="G48" s="6" t="str">
        <f>SUBSTITUTE(Raw_Data!G48,"Ã©","é")</f>
        <v>Alpine Jacket</v>
      </c>
      <c r="H48" s="6">
        <v>2</v>
      </c>
      <c r="I48" s="6" t="s">
        <v>203</v>
      </c>
      <c r="J48" s="6" t="s">
        <v>204</v>
      </c>
      <c r="K48" s="6">
        <v>0.64</v>
      </c>
      <c r="L48" s="6" t="s">
        <v>42</v>
      </c>
      <c r="M48" s="6" t="s">
        <v>69</v>
      </c>
      <c r="N48" s="6"/>
    </row>
    <row r="49" spans="1:14">
      <c r="A49" s="6" t="s">
        <v>205</v>
      </c>
      <c r="B49" s="7">
        <v>46101</v>
      </c>
      <c r="C49" s="6" t="s">
        <v>206</v>
      </c>
      <c r="D49" s="6" t="str">
        <f>IF(OR(PROPER(TRIM(Raw_Data!D49))="Uk",PROPER(TRIM(Raw_Data!D49))="Gb",PROPER(TRIM(Raw_Data!D49))="United kingdom"),"United Kingdom",PROPER(TRIM(Raw_Data!D49)))</f>
        <v>Ireland</v>
      </c>
      <c r="E49" s="6" t="s">
        <v>78</v>
      </c>
      <c r="F49" s="6" t="s">
        <v>85</v>
      </c>
      <c r="G49" s="6" t="str">
        <f>SUBSTITUTE(Raw_Data!G49,"Ã©","é")</f>
        <v>Storm Overtrousers</v>
      </c>
      <c r="H49" s="6">
        <v>1</v>
      </c>
      <c r="I49" s="6" t="s">
        <v>113</v>
      </c>
      <c r="J49" s="6" t="s">
        <v>113</v>
      </c>
      <c r="K49" s="6">
        <v>0.41</v>
      </c>
      <c r="L49" s="6" t="s">
        <v>42</v>
      </c>
      <c r="M49" s="6" t="s">
        <v>34</v>
      </c>
      <c r="N49" s="6"/>
    </row>
    <row r="50" spans="1:14">
      <c r="A50" s="6" t="s">
        <v>207</v>
      </c>
      <c r="B50" s="7">
        <v>46036</v>
      </c>
      <c r="C50" s="6" t="s">
        <v>208</v>
      </c>
      <c r="D50" s="6" t="str">
        <f>IF(OR(PROPER(TRIM(Raw_Data!D50))="Uk",PROPER(TRIM(Raw_Data!D50))="Gb",PROPER(TRIM(Raw_Data!D50))="United kingdom"),"United Kingdom",PROPER(TRIM(Raw_Data!D50)))</f>
        <v>Germany</v>
      </c>
      <c r="E50" s="6" t="s">
        <v>46</v>
      </c>
      <c r="F50" s="6" t="s">
        <v>94</v>
      </c>
      <c r="G50" s="6" t="str">
        <f>SUBSTITUTE(Raw_Data!G50,"Ã©","é")</f>
        <v>Café Latte Mug</v>
      </c>
      <c r="H50" s="6">
        <v>1</v>
      </c>
      <c r="I50" s="6" t="s">
        <v>82</v>
      </c>
      <c r="J50" s="6" t="s">
        <v>82</v>
      </c>
      <c r="K50" s="6">
        <v>0.34</v>
      </c>
      <c r="L50" s="6" t="s">
        <v>33</v>
      </c>
      <c r="M50" s="6" t="s">
        <v>34</v>
      </c>
      <c r="N50" s="6"/>
    </row>
    <row r="51" spans="1:14">
      <c r="A51" s="6" t="s">
        <v>209</v>
      </c>
      <c r="B51" s="7">
        <v>46037</v>
      </c>
      <c r="C51" s="6" t="s">
        <v>210</v>
      </c>
      <c r="D51" s="6" t="str">
        <f>IF(OR(PROPER(TRIM(Raw_Data!D51))="Uk",PROPER(TRIM(Raw_Data!D51))="Gb",PROPER(TRIM(Raw_Data!D51))="United kingdom"),"United Kingdom",PROPER(TRIM(Raw_Data!D51)))</f>
        <v>Ireland</v>
      </c>
      <c r="E51" s="6" t="s">
        <v>28</v>
      </c>
      <c r="F51" s="6" t="s">
        <v>94</v>
      </c>
      <c r="G51" s="6" t="str">
        <f>SUBSTITUTE(Raw_Data!G51,"Ã©","é")</f>
        <v>Café Latte Mug</v>
      </c>
      <c r="H51" s="6">
        <v>2</v>
      </c>
      <c r="I51" s="6" t="s">
        <v>113</v>
      </c>
      <c r="J51" s="6" t="s">
        <v>192</v>
      </c>
      <c r="K51" s="6">
        <v>0.34</v>
      </c>
      <c r="L51" s="6" t="s">
        <v>42</v>
      </c>
      <c r="M51" s="6" t="s">
        <v>34</v>
      </c>
      <c r="N51" s="6"/>
    </row>
    <row r="52" spans="1:14">
      <c r="A52" s="6" t="s">
        <v>211</v>
      </c>
      <c r="B52" s="7">
        <v>46155</v>
      </c>
      <c r="C52" s="6" t="s">
        <v>212</v>
      </c>
      <c r="D52" s="6" t="str">
        <f>IF(OR(PROPER(TRIM(Raw_Data!D52))="Uk",PROPER(TRIM(Raw_Data!D52))="Gb",PROPER(TRIM(Raw_Data!D52))="United kingdom"),"United Kingdom",PROPER(TRIM(Raw_Data!D52)))</f>
        <v>United Kingdom</v>
      </c>
      <c r="E52" s="6" t="s">
        <v>52</v>
      </c>
      <c r="F52" s="6" t="s">
        <v>53</v>
      </c>
      <c r="G52" s="6" t="str">
        <f>SUBSTITUTE(Raw_Data!G52,"Ã©","é")</f>
        <v>Merino Base Layer</v>
      </c>
      <c r="H52" s="6">
        <v>-1</v>
      </c>
      <c r="I52" s="6" t="s">
        <v>117</v>
      </c>
      <c r="J52" s="8" t="s">
        <v>213</v>
      </c>
      <c r="K52" s="6">
        <v>0.19</v>
      </c>
      <c r="L52" s="6" t="s">
        <v>42</v>
      </c>
      <c r="M52" s="6" t="s">
        <v>34</v>
      </c>
      <c r="N52" s="6"/>
    </row>
    <row r="53" spans="1:14">
      <c r="A53" s="6" t="s">
        <v>214</v>
      </c>
      <c r="B53" s="7">
        <v>46192</v>
      </c>
      <c r="C53" s="6" t="s">
        <v>215</v>
      </c>
      <c r="D53" s="6" t="str">
        <f>IF(OR(PROPER(TRIM(Raw_Data!D53))="Uk",PROPER(TRIM(Raw_Data!D53))="Gb",PROPER(TRIM(Raw_Data!D53))="United kingdom"),"United Kingdom",PROPER(TRIM(Raw_Data!D53)))</f>
        <v>Ireland</v>
      </c>
      <c r="E53" s="6" t="s">
        <v>37</v>
      </c>
      <c r="F53" s="6" t="s">
        <v>47</v>
      </c>
      <c r="G53" s="6" t="str">
        <f>SUBSTITUTE(Raw_Data!G53,"Ã©","é")</f>
        <v>Fell Runner Cap</v>
      </c>
      <c r="H53" s="6">
        <v>3</v>
      </c>
      <c r="I53" s="6" t="s">
        <v>79</v>
      </c>
      <c r="J53" s="6" t="s">
        <v>216</v>
      </c>
      <c r="K53" s="6">
        <v>8.5000000000000006E-2</v>
      </c>
      <c r="L53" s="6" t="s">
        <v>42</v>
      </c>
      <c r="M53" s="6" t="s">
        <v>34</v>
      </c>
      <c r="N53" s="6"/>
    </row>
    <row r="54" spans="1:14">
      <c r="A54" s="6" t="s">
        <v>217</v>
      </c>
      <c r="B54" s="7">
        <v>46331</v>
      </c>
      <c r="C54" s="6" t="s">
        <v>36</v>
      </c>
      <c r="D54" s="6" t="str">
        <f>IF(OR(PROPER(TRIM(Raw_Data!D54))="Uk",PROPER(TRIM(Raw_Data!D54))="Gb",PROPER(TRIM(Raw_Data!D54))="United kingdom"),"United Kingdom",PROPER(TRIM(Raw_Data!D54)))</f>
        <v>United Kingdom</v>
      </c>
      <c r="E54" s="6" t="s">
        <v>46</v>
      </c>
      <c r="F54" s="6" t="s">
        <v>94</v>
      </c>
      <c r="G54" s="6" t="str">
        <f>SUBSTITUTE(Raw_Data!G54,"Ã©","é")</f>
        <v>Café Latte Mug</v>
      </c>
      <c r="H54" s="6">
        <v>2</v>
      </c>
      <c r="I54" s="6" t="s">
        <v>67</v>
      </c>
      <c r="J54" s="6" t="s">
        <v>204</v>
      </c>
      <c r="K54" s="6">
        <v>0.34</v>
      </c>
      <c r="L54" s="6" t="s">
        <v>33</v>
      </c>
      <c r="M54" s="6" t="s">
        <v>34</v>
      </c>
      <c r="N54" s="6"/>
    </row>
    <row r="55" spans="1:14">
      <c r="A55" s="6" t="s">
        <v>218</v>
      </c>
      <c r="B55" s="7">
        <v>46168</v>
      </c>
      <c r="C55" s="6" t="s">
        <v>219</v>
      </c>
      <c r="D55" s="6" t="str">
        <f>IF(OR(PROPER(TRIM(Raw_Data!D55))="Uk",PROPER(TRIM(Raw_Data!D55))="Gb",PROPER(TRIM(Raw_Data!D55))="United kingdom"),"United Kingdom",PROPER(TRIM(Raw_Data!D55)))</f>
        <v>United Kingdom</v>
      </c>
      <c r="E55" s="6" t="s">
        <v>52</v>
      </c>
      <c r="F55" s="6" t="s">
        <v>85</v>
      </c>
      <c r="G55" s="6" t="str">
        <f>SUBSTITUTE(Raw_Data!G55,"Ã©","é")</f>
        <v>Storm Overtrousers</v>
      </c>
      <c r="H55" s="6">
        <v>3</v>
      </c>
      <c r="I55" s="6" t="s">
        <v>79</v>
      </c>
      <c r="J55" s="6" t="s">
        <v>216</v>
      </c>
      <c r="K55" s="6">
        <v>0.41</v>
      </c>
      <c r="L55" s="6" t="s">
        <v>42</v>
      </c>
      <c r="M55" s="6" t="s">
        <v>69</v>
      </c>
      <c r="N55" s="6"/>
    </row>
    <row r="56" spans="1:14">
      <c r="A56" s="6" t="s">
        <v>220</v>
      </c>
      <c r="B56" s="7">
        <v>46038</v>
      </c>
      <c r="C56" s="6" t="s">
        <v>221</v>
      </c>
      <c r="D56" s="6" t="str">
        <f>IF(OR(PROPER(TRIM(Raw_Data!D56))="Uk",PROPER(TRIM(Raw_Data!D56))="Gb",PROPER(TRIM(Raw_Data!D56))="United kingdom"),"United Kingdom",PROPER(TRIM(Raw_Data!D56)))</f>
        <v>United Kingdom</v>
      </c>
      <c r="E56" s="6" t="s">
        <v>28</v>
      </c>
      <c r="F56" s="6" t="s">
        <v>58</v>
      </c>
      <c r="G56" s="6" t="str">
        <f>SUBSTITUTE(Raw_Data!G56,"Ã©","é")</f>
        <v>Summit Down Gilet</v>
      </c>
      <c r="H56" s="6">
        <v>1</v>
      </c>
      <c r="I56" s="6" t="s">
        <v>147</v>
      </c>
      <c r="J56" s="6" t="s">
        <v>147</v>
      </c>
      <c r="K56" s="6">
        <v>0.38</v>
      </c>
      <c r="L56" s="6" t="s">
        <v>42</v>
      </c>
      <c r="M56" s="6" t="s">
        <v>34</v>
      </c>
      <c r="N56" s="6"/>
    </row>
    <row r="57" spans="1:14">
      <c r="A57" s="6" t="s">
        <v>222</v>
      </c>
      <c r="B57" s="7">
        <v>46207</v>
      </c>
      <c r="C57" s="6" t="s">
        <v>223</v>
      </c>
      <c r="D57" s="6" t="str">
        <f>IF(OR(PROPER(TRIM(Raw_Data!D57))="Uk",PROPER(TRIM(Raw_Data!D57))="Gb",PROPER(TRIM(Raw_Data!D57))="United kingdom"),"United Kingdom",PROPER(TRIM(Raw_Data!D57)))</f>
        <v>United Kingdom</v>
      </c>
      <c r="E57" s="6" t="s">
        <v>78</v>
      </c>
      <c r="F57" s="6" t="s">
        <v>38</v>
      </c>
      <c r="G57" s="6" t="str">
        <f>SUBSTITUTE(Raw_Data!G57,"Ã©","é")</f>
        <v>Trail Softshell</v>
      </c>
      <c r="H57" s="6">
        <v>2</v>
      </c>
      <c r="I57" s="6" t="s">
        <v>147</v>
      </c>
      <c r="J57" s="6" t="s">
        <v>175</v>
      </c>
      <c r="K57" s="6">
        <v>0.52</v>
      </c>
      <c r="L57" s="6" t="s">
        <v>42</v>
      </c>
      <c r="M57" s="6" t="s">
        <v>34</v>
      </c>
      <c r="N57" s="6"/>
    </row>
    <row r="58" spans="1:14">
      <c r="A58" s="6" t="s">
        <v>224</v>
      </c>
      <c r="B58" s="7">
        <v>46136</v>
      </c>
      <c r="C58" s="6" t="s">
        <v>225</v>
      </c>
      <c r="D58" s="6" t="str">
        <f>IF(OR(PROPER(TRIM(Raw_Data!D58))="Uk",PROPER(TRIM(Raw_Data!D58))="Gb",PROPER(TRIM(Raw_Data!D58))="United kingdom"),"United Kingdom",PROPER(TRIM(Raw_Data!D58)))</f>
        <v>United Kingdom</v>
      </c>
      <c r="E58" s="6" t="s">
        <v>52</v>
      </c>
      <c r="F58" s="6" t="s">
        <v>29</v>
      </c>
      <c r="G58" s="6" t="str">
        <f>SUBSTITUTE(Raw_Data!G58,"Ã©","é")</f>
        <v>Trekking Poles</v>
      </c>
      <c r="H58" s="6">
        <v>2</v>
      </c>
      <c r="I58" s="6" t="s">
        <v>82</v>
      </c>
      <c r="J58" s="6" t="s">
        <v>204</v>
      </c>
      <c r="K58" s="6">
        <v>0.52</v>
      </c>
      <c r="L58" s="6" t="s">
        <v>42</v>
      </c>
      <c r="M58" s="6" t="s">
        <v>34</v>
      </c>
      <c r="N58" s="6"/>
    </row>
    <row r="59" spans="1:14">
      <c r="A59" s="6" t="s">
        <v>226</v>
      </c>
      <c r="B59" s="7">
        <v>46176</v>
      </c>
      <c r="C59" s="6" t="s">
        <v>227</v>
      </c>
      <c r="D59" s="6" t="str">
        <f>IF(OR(PROPER(TRIM(Raw_Data!D59))="Uk",PROPER(TRIM(Raw_Data!D59))="Gb",PROPER(TRIM(Raw_Data!D59))="United kingdom"),"United Kingdom",PROPER(TRIM(Raw_Data!D59)))</f>
        <v>Ireland</v>
      </c>
      <c r="E59" s="6" t="s">
        <v>28</v>
      </c>
      <c r="F59" s="6" t="s">
        <v>38</v>
      </c>
      <c r="G59" s="6" t="str">
        <f>SUBSTITUTE(Raw_Data!G59,"Ã©","é")</f>
        <v>Trail Softshell</v>
      </c>
      <c r="H59" s="6">
        <v>1</v>
      </c>
      <c r="I59" s="6" t="s">
        <v>228</v>
      </c>
      <c r="J59" s="6" t="s">
        <v>96</v>
      </c>
      <c r="K59" s="6">
        <v>0.52</v>
      </c>
      <c r="L59" s="6" t="s">
        <v>33</v>
      </c>
      <c r="M59" s="6" t="s">
        <v>34</v>
      </c>
      <c r="N59" s="6"/>
    </row>
    <row r="60" spans="1:14">
      <c r="A60" s="6" t="s">
        <v>229</v>
      </c>
      <c r="B60" s="7">
        <v>46239</v>
      </c>
      <c r="C60" s="6" t="s">
        <v>230</v>
      </c>
      <c r="D60" s="6" t="str">
        <f>IF(OR(PROPER(TRIM(Raw_Data!D60))="Uk",PROPER(TRIM(Raw_Data!D60))="Gb",PROPER(TRIM(Raw_Data!D60))="United kingdom"),"United Kingdom",PROPER(TRIM(Raw_Data!D60)))</f>
        <v>Ireland</v>
      </c>
      <c r="E60" s="6" t="s">
        <v>28</v>
      </c>
      <c r="F60" s="6" t="s">
        <v>100</v>
      </c>
      <c r="G60" s="6" t="str">
        <f>SUBSTITUTE(Raw_Data!G60,"Ã©","é")</f>
        <v>Alpine Jacket</v>
      </c>
      <c r="H60" s="6">
        <v>2</v>
      </c>
      <c r="I60" s="6" t="s">
        <v>231</v>
      </c>
      <c r="J60" s="6" t="s">
        <v>232</v>
      </c>
      <c r="K60" s="6">
        <v>0.64</v>
      </c>
      <c r="L60" s="6" t="s">
        <v>42</v>
      </c>
      <c r="M60" s="6" t="s">
        <v>34</v>
      </c>
      <c r="N60" s="6"/>
    </row>
    <row r="61" spans="1:14">
      <c r="A61" s="6" t="s">
        <v>233</v>
      </c>
      <c r="B61" s="7">
        <v>46201</v>
      </c>
      <c r="C61" s="6" t="s">
        <v>234</v>
      </c>
      <c r="D61" s="6" t="str">
        <f>IF(OR(PROPER(TRIM(Raw_Data!D61))="Uk",PROPER(TRIM(Raw_Data!D61))="Gb",PROPER(TRIM(Raw_Data!D61))="United kingdom"),"United Kingdom",PROPER(TRIM(Raw_Data!D61)))</f>
        <v>United Kingdom</v>
      </c>
      <c r="E61" s="6" t="s">
        <v>52</v>
      </c>
      <c r="F61" s="6" t="s">
        <v>38</v>
      </c>
      <c r="G61" s="6" t="str">
        <f>SUBSTITUTE(Raw_Data!G61,"Ã©","é")</f>
        <v>Trail Softshell</v>
      </c>
      <c r="H61" s="6">
        <v>1</v>
      </c>
      <c r="I61" s="6" t="s">
        <v>67</v>
      </c>
      <c r="J61" s="6" t="s">
        <v>67</v>
      </c>
      <c r="K61" s="6">
        <v>0.52</v>
      </c>
      <c r="L61" s="6" t="s">
        <v>33</v>
      </c>
      <c r="M61" s="6" t="s">
        <v>34</v>
      </c>
      <c r="N61" s="6"/>
    </row>
    <row r="62" spans="1:14">
      <c r="A62" s="6" t="s">
        <v>235</v>
      </c>
      <c r="B62" s="7">
        <v>46060</v>
      </c>
      <c r="C62" s="6" t="s">
        <v>236</v>
      </c>
      <c r="D62" s="6" t="str">
        <f>IF(OR(PROPER(TRIM(Raw_Data!D62))="Uk",PROPER(TRIM(Raw_Data!D62))="Gb",PROPER(TRIM(Raw_Data!D62))="United kingdom"),"United Kingdom",PROPER(TRIM(Raw_Data!D62)))</f>
        <v>United Kingdom</v>
      </c>
      <c r="E62" s="6" t="s">
        <v>28</v>
      </c>
      <c r="F62" s="6" t="s">
        <v>47</v>
      </c>
      <c r="G62" s="6" t="str">
        <f>SUBSTITUTE(Raw_Data!G62,"Ã©","é")</f>
        <v>Fell Runner Cap</v>
      </c>
      <c r="H62" s="6">
        <v>2</v>
      </c>
      <c r="I62" s="6" t="s">
        <v>231</v>
      </c>
      <c r="J62" s="6" t="s">
        <v>232</v>
      </c>
      <c r="K62" s="6">
        <v>8.5000000000000006E-2</v>
      </c>
      <c r="L62" s="6" t="s">
        <v>42</v>
      </c>
      <c r="M62" s="6" t="s">
        <v>69</v>
      </c>
      <c r="N62" s="6"/>
    </row>
    <row r="63" spans="1:14">
      <c r="A63" s="6" t="s">
        <v>237</v>
      </c>
      <c r="B63" s="7">
        <v>46027</v>
      </c>
      <c r="C63" s="6" t="s">
        <v>238</v>
      </c>
      <c r="D63" s="6" t="str">
        <f>IF(OR(PROPER(TRIM(Raw_Data!D63))="Uk",PROPER(TRIM(Raw_Data!D63))="Gb",PROPER(TRIM(Raw_Data!D63))="United kingdom"),"United Kingdom",PROPER(TRIM(Raw_Data!D63)))</f>
        <v>United Kingdom</v>
      </c>
      <c r="E63" s="6" t="s">
        <v>52</v>
      </c>
      <c r="F63" s="6" t="s">
        <v>29</v>
      </c>
      <c r="G63" s="6" t="str">
        <f>SUBSTITUTE(Raw_Data!G63,"Ã©","é")</f>
        <v>Trekking Poles</v>
      </c>
      <c r="H63" s="6">
        <v>2</v>
      </c>
      <c r="I63" s="6" t="s">
        <v>67</v>
      </c>
      <c r="J63" s="6" t="s">
        <v>204</v>
      </c>
      <c r="K63" s="6">
        <v>0.52</v>
      </c>
      <c r="L63" s="6" t="s">
        <v>42</v>
      </c>
      <c r="M63" s="6" t="s">
        <v>34</v>
      </c>
      <c r="N63" s="6"/>
    </row>
    <row r="64" spans="1:14">
      <c r="A64" s="6" t="s">
        <v>239</v>
      </c>
      <c r="B64" s="7">
        <v>46042</v>
      </c>
      <c r="C64" s="6" t="s">
        <v>240</v>
      </c>
      <c r="D64" s="6" t="str">
        <f>IF(OR(PROPER(TRIM(Raw_Data!D64))="Uk",PROPER(TRIM(Raw_Data!D64))="Gb",PROPER(TRIM(Raw_Data!D64))="United kingdom"),"United Kingdom",PROPER(TRIM(Raw_Data!D64)))</f>
        <v>Germany</v>
      </c>
      <c r="E64" s="6" t="s">
        <v>52</v>
      </c>
      <c r="F64" s="6" t="s">
        <v>94</v>
      </c>
      <c r="G64" s="6" t="str">
        <f>SUBSTITUTE(Raw_Data!G64,"Ã©","é")</f>
        <v>Café Latte Mug</v>
      </c>
      <c r="H64" s="6">
        <v>3</v>
      </c>
      <c r="I64" s="6" t="s">
        <v>147</v>
      </c>
      <c r="J64" s="6" t="s">
        <v>148</v>
      </c>
      <c r="K64" s="6">
        <v>0.34</v>
      </c>
      <c r="L64" s="6" t="s">
        <v>42</v>
      </c>
      <c r="M64" s="6" t="s">
        <v>34</v>
      </c>
      <c r="N64" s="6"/>
    </row>
    <row r="65" spans="1:14">
      <c r="A65" s="6" t="s">
        <v>241</v>
      </c>
      <c r="B65" s="7">
        <v>46297</v>
      </c>
      <c r="C65" s="6" t="s">
        <v>242</v>
      </c>
      <c r="D65" s="6" t="str">
        <f>IF(OR(PROPER(TRIM(Raw_Data!D65))="Uk",PROPER(TRIM(Raw_Data!D65))="Gb",PROPER(TRIM(Raw_Data!D65))="United kingdom"),"United Kingdom",PROPER(TRIM(Raw_Data!D65)))</f>
        <v>United Kingdom</v>
      </c>
      <c r="E65" s="6" t="s">
        <v>28</v>
      </c>
      <c r="F65" s="6" t="s">
        <v>29</v>
      </c>
      <c r="G65" s="6" t="str">
        <f>SUBSTITUTE(Raw_Data!G65,"Ã©","é")</f>
        <v>Trekking Poles</v>
      </c>
      <c r="H65" s="6">
        <v>3</v>
      </c>
      <c r="I65" s="6" t="s">
        <v>143</v>
      </c>
      <c r="J65" s="6" t="s">
        <v>243</v>
      </c>
      <c r="K65" s="6">
        <v>0.52</v>
      </c>
      <c r="L65" s="6" t="s">
        <v>42</v>
      </c>
      <c r="M65" s="6" t="s">
        <v>34</v>
      </c>
      <c r="N65" s="6"/>
    </row>
    <row r="66" spans="1:14">
      <c r="A66" s="6" t="s">
        <v>244</v>
      </c>
      <c r="B66" s="7">
        <v>46151</v>
      </c>
      <c r="C66" s="6" t="s">
        <v>245</v>
      </c>
      <c r="D66" s="6" t="str">
        <f>IF(OR(PROPER(TRIM(Raw_Data!D66))="Uk",PROPER(TRIM(Raw_Data!D66))="Gb",PROPER(TRIM(Raw_Data!D66))="United kingdom"),"United Kingdom",PROPER(TRIM(Raw_Data!D66)))</f>
        <v>France</v>
      </c>
      <c r="E66" s="6" t="s">
        <v>78</v>
      </c>
      <c r="F66" s="6" t="s">
        <v>94</v>
      </c>
      <c r="G66" s="6" t="str">
        <f>SUBSTITUTE(Raw_Data!G66,"Ã©","é")</f>
        <v>Café Latte Mug</v>
      </c>
      <c r="H66" s="6">
        <v>3</v>
      </c>
      <c r="I66" s="6" t="s">
        <v>113</v>
      </c>
      <c r="J66" s="6" t="s">
        <v>138</v>
      </c>
      <c r="K66" s="6">
        <v>0.34</v>
      </c>
      <c r="L66" s="6" t="s">
        <v>42</v>
      </c>
      <c r="M66" s="6" t="s">
        <v>34</v>
      </c>
      <c r="N66" s="6"/>
    </row>
    <row r="67" spans="1:14">
      <c r="A67" s="6" t="s">
        <v>246</v>
      </c>
      <c r="B67" s="7">
        <v>46095</v>
      </c>
      <c r="C67" s="6" t="s">
        <v>248</v>
      </c>
      <c r="D67" s="6" t="str">
        <f>IF(OR(PROPER(TRIM(Raw_Data!D67))="Uk",PROPER(TRIM(Raw_Data!D67))="Gb",PROPER(TRIM(Raw_Data!D67))="United kingdom"),"United Kingdom",PROPER(TRIM(Raw_Data!D67)))</f>
        <v>France</v>
      </c>
      <c r="E67" s="6" t="s">
        <v>28</v>
      </c>
      <c r="F67" s="6" t="s">
        <v>85</v>
      </c>
      <c r="G67" s="6" t="str">
        <f>SUBSTITUTE(Raw_Data!G67,"Ã©","é")</f>
        <v>Storm Overtrousers</v>
      </c>
      <c r="H67" s="6">
        <v>2</v>
      </c>
      <c r="I67" s="6" t="s">
        <v>31</v>
      </c>
      <c r="J67" s="6" t="s">
        <v>249</v>
      </c>
      <c r="K67" s="6">
        <v>0.41</v>
      </c>
      <c r="L67" s="6" t="s">
        <v>42</v>
      </c>
      <c r="M67" s="6" t="s">
        <v>34</v>
      </c>
      <c r="N67" s="6"/>
    </row>
    <row r="68" spans="1:14">
      <c r="A68" s="6" t="s">
        <v>250</v>
      </c>
      <c r="B68" s="7">
        <v>46161</v>
      </c>
      <c r="C68" s="6" t="s">
        <v>251</v>
      </c>
      <c r="D68" s="6" t="str">
        <f>IF(OR(PROPER(TRIM(Raw_Data!D68))="Uk",PROPER(TRIM(Raw_Data!D68))="Gb",PROPER(TRIM(Raw_Data!D68))="United kingdom"),"United Kingdom",PROPER(TRIM(Raw_Data!D68)))</f>
        <v>United Kingdom</v>
      </c>
      <c r="E68" s="6" t="s">
        <v>52</v>
      </c>
      <c r="F68" s="6" t="s">
        <v>85</v>
      </c>
      <c r="G68" s="6" t="str">
        <f>SUBSTITUTE(Raw_Data!G68,"Ã©","é")</f>
        <v>Storm Overtrousers</v>
      </c>
      <c r="H68" s="6">
        <v>3</v>
      </c>
      <c r="I68" s="6" t="s">
        <v>90</v>
      </c>
      <c r="J68" s="6" t="s">
        <v>102</v>
      </c>
      <c r="K68" s="6">
        <v>0.41</v>
      </c>
      <c r="L68" s="6" t="s">
        <v>42</v>
      </c>
      <c r="M68" s="6" t="s">
        <v>34</v>
      </c>
      <c r="N68" s="6"/>
    </row>
    <row r="69" spans="1:14">
      <c r="A69" s="6" t="s">
        <v>252</v>
      </c>
      <c r="B69" s="7">
        <v>46159</v>
      </c>
      <c r="C69" s="6" t="s">
        <v>254</v>
      </c>
      <c r="D69" s="6" t="str">
        <f>IF(OR(PROPER(TRIM(Raw_Data!D69))="Uk",PROPER(TRIM(Raw_Data!D69))="Gb",PROPER(TRIM(Raw_Data!D69))="United kingdom"),"United Kingdom",PROPER(TRIM(Raw_Data!D69)))</f>
        <v>France</v>
      </c>
      <c r="E69" s="6" t="s">
        <v>78</v>
      </c>
      <c r="F69" s="6" t="s">
        <v>58</v>
      </c>
      <c r="G69" s="6" t="str">
        <f>SUBSTITUTE(Raw_Data!G69,"Ã©","é")</f>
        <v>Summit Down Gilet</v>
      </c>
      <c r="H69" s="6">
        <v>2</v>
      </c>
      <c r="I69" s="6" t="s">
        <v>90</v>
      </c>
      <c r="J69" s="6" t="s">
        <v>154</v>
      </c>
      <c r="K69" s="6">
        <v>0.38</v>
      </c>
      <c r="L69" s="6" t="s">
        <v>42</v>
      </c>
      <c r="M69" s="6" t="s">
        <v>69</v>
      </c>
      <c r="N69" s="6"/>
    </row>
    <row r="70" spans="1:14">
      <c r="A70" s="6" t="s">
        <v>255</v>
      </c>
      <c r="B70" s="7">
        <v>46168</v>
      </c>
      <c r="C70" s="6" t="s">
        <v>256</v>
      </c>
      <c r="D70" s="6" t="str">
        <f>IF(OR(PROPER(TRIM(Raw_Data!D70))="Uk",PROPER(TRIM(Raw_Data!D70))="Gb",PROPER(TRIM(Raw_Data!D70))="United kingdom"),"United Kingdom",PROPER(TRIM(Raw_Data!D70)))</f>
        <v>Ireland</v>
      </c>
      <c r="E70" s="6" t="s">
        <v>78</v>
      </c>
      <c r="F70" s="6" t="s">
        <v>47</v>
      </c>
      <c r="G70" s="6" t="str">
        <f>SUBSTITUTE(Raw_Data!G70,"Ã©","é")</f>
        <v>Fell Runner Cap</v>
      </c>
      <c r="H70" s="6">
        <v>1</v>
      </c>
      <c r="I70" s="6" t="s">
        <v>96</v>
      </c>
      <c r="J70" s="6" t="s">
        <v>96</v>
      </c>
      <c r="K70" s="6">
        <v>8.5000000000000006E-2</v>
      </c>
      <c r="L70" s="6" t="s">
        <v>42</v>
      </c>
      <c r="M70" s="6" t="s">
        <v>34</v>
      </c>
      <c r="N70" s="6"/>
    </row>
    <row r="71" spans="1:14">
      <c r="A71" s="6" t="s">
        <v>257</v>
      </c>
      <c r="B71" s="7">
        <v>46100</v>
      </c>
      <c r="C71" s="6" t="s">
        <v>258</v>
      </c>
      <c r="D71" s="6" t="str">
        <f>IF(OR(PROPER(TRIM(Raw_Data!D71))="Uk",PROPER(TRIM(Raw_Data!D71))="Gb",PROPER(TRIM(Raw_Data!D71))="United kingdom"),"United Kingdom",PROPER(TRIM(Raw_Data!D71)))</f>
        <v>United Kingdom</v>
      </c>
      <c r="E71" s="6" t="s">
        <v>28</v>
      </c>
      <c r="F71" s="6" t="s">
        <v>58</v>
      </c>
      <c r="G71" s="6" t="str">
        <f>SUBSTITUTE(Raw_Data!G71,"Ã©","é")</f>
        <v>Summit Down Gilet</v>
      </c>
      <c r="H71" s="6">
        <v>2</v>
      </c>
      <c r="I71" s="6" t="s">
        <v>79</v>
      </c>
      <c r="J71" s="6" t="s">
        <v>259</v>
      </c>
      <c r="K71" s="6">
        <v>0.38</v>
      </c>
      <c r="L71" s="6" t="s">
        <v>33</v>
      </c>
      <c r="M71" s="6" t="s">
        <v>34</v>
      </c>
      <c r="N71" s="6"/>
    </row>
    <row r="72" spans="1:14">
      <c r="A72" s="6" t="s">
        <v>260</v>
      </c>
      <c r="B72" s="7">
        <v>46112</v>
      </c>
      <c r="C72" s="6" t="s">
        <v>261</v>
      </c>
      <c r="D72" s="6" t="str">
        <f>IF(OR(PROPER(TRIM(Raw_Data!D72))="Uk",PROPER(TRIM(Raw_Data!D72))="Gb",PROPER(TRIM(Raw_Data!D72))="United kingdom"),"United Kingdom",PROPER(TRIM(Raw_Data!D72)))</f>
        <v>United Kingdom</v>
      </c>
      <c r="E72" s="6" t="s">
        <v>37</v>
      </c>
      <c r="F72" s="6" t="s">
        <v>53</v>
      </c>
      <c r="G72" s="6" t="str">
        <f>SUBSTITUTE(Raw_Data!G72,"Ã©","é")</f>
        <v>Merino Base Layer</v>
      </c>
      <c r="H72" s="6">
        <v>1</v>
      </c>
      <c r="I72" s="6" t="s">
        <v>90</v>
      </c>
      <c r="J72" s="6" t="s">
        <v>262</v>
      </c>
      <c r="K72" s="6">
        <v>0.19</v>
      </c>
      <c r="L72" s="6" t="s">
        <v>42</v>
      </c>
      <c r="M72" s="6" t="s">
        <v>69</v>
      </c>
      <c r="N72" s="6"/>
    </row>
    <row r="73" spans="1:14">
      <c r="A73" s="6" t="s">
        <v>263</v>
      </c>
      <c r="B73" s="7">
        <v>46158</v>
      </c>
      <c r="C73" s="6" t="s">
        <v>264</v>
      </c>
      <c r="D73" s="6" t="str">
        <f>IF(OR(PROPER(TRIM(Raw_Data!D73))="Uk",PROPER(TRIM(Raw_Data!D73))="Gb",PROPER(TRIM(Raw_Data!D73))="United kingdom"),"United Kingdom",PROPER(TRIM(Raw_Data!D73)))</f>
        <v>Ireland</v>
      </c>
      <c r="E73" s="6" t="s">
        <v>37</v>
      </c>
      <c r="F73" s="6" t="s">
        <v>85</v>
      </c>
      <c r="G73" s="6" t="str">
        <f>SUBSTITUTE(Raw_Data!G73,"Ã©","é")</f>
        <v>Storm Overtrousers</v>
      </c>
      <c r="H73" s="6">
        <v>1</v>
      </c>
      <c r="I73" s="6" t="s">
        <v>265</v>
      </c>
      <c r="J73" s="6" t="s">
        <v>265</v>
      </c>
      <c r="K73" s="6">
        <v>0.41</v>
      </c>
      <c r="L73" s="6" t="s">
        <v>42</v>
      </c>
      <c r="M73" s="6" t="s">
        <v>34</v>
      </c>
      <c r="N73" s="6"/>
    </row>
    <row r="74" spans="1:14">
      <c r="A74" s="6" t="s">
        <v>266</v>
      </c>
      <c r="B74" s="7">
        <v>46161</v>
      </c>
      <c r="C74" s="6" t="s">
        <v>267</v>
      </c>
      <c r="D74" s="6" t="str">
        <f>IF(OR(PROPER(TRIM(Raw_Data!D74))="Uk",PROPER(TRIM(Raw_Data!D74))="Gb",PROPER(TRIM(Raw_Data!D74))="United kingdom"),"United Kingdom",PROPER(TRIM(Raw_Data!D74)))</f>
        <v>United Kingdom</v>
      </c>
      <c r="E74" s="6" t="s">
        <v>37</v>
      </c>
      <c r="F74" s="6" t="s">
        <v>94</v>
      </c>
      <c r="G74" s="6" t="str">
        <f>SUBSTITUTE(Raw_Data!G74,"Ã©","é")</f>
        <v>Café Latte Mug</v>
      </c>
      <c r="H74" s="6">
        <v>3</v>
      </c>
      <c r="I74" s="6" t="s">
        <v>60</v>
      </c>
      <c r="J74" s="6" t="s">
        <v>268</v>
      </c>
      <c r="K74" s="6">
        <v>0.34</v>
      </c>
      <c r="L74" s="6" t="s">
        <v>42</v>
      </c>
      <c r="M74" s="6" t="s">
        <v>34</v>
      </c>
      <c r="N74" s="6"/>
    </row>
    <row r="75" spans="1:14">
      <c r="A75" s="6" t="s">
        <v>269</v>
      </c>
      <c r="B75" s="7">
        <v>46162</v>
      </c>
      <c r="C75" s="6" t="s">
        <v>271</v>
      </c>
      <c r="D75" s="6" t="str">
        <f>IF(OR(PROPER(TRIM(Raw_Data!D75))="Uk",PROPER(TRIM(Raw_Data!D75))="Gb",PROPER(TRIM(Raw_Data!D75))="United kingdom"),"United Kingdom",PROPER(TRIM(Raw_Data!D75)))</f>
        <v>Ireland</v>
      </c>
      <c r="E75" s="6" t="s">
        <v>52</v>
      </c>
      <c r="F75" s="6" t="s">
        <v>53</v>
      </c>
      <c r="G75" s="6" t="str">
        <f>SUBSTITUTE(Raw_Data!G75,"Ã©","é")</f>
        <v>Merino Base Layer</v>
      </c>
      <c r="H75" s="6">
        <v>1</v>
      </c>
      <c r="I75" s="6" t="s">
        <v>117</v>
      </c>
      <c r="J75" s="6" t="s">
        <v>117</v>
      </c>
      <c r="K75" s="6">
        <v>0.19</v>
      </c>
      <c r="L75" s="6" t="s">
        <v>42</v>
      </c>
      <c r="M75" s="6" t="s">
        <v>34</v>
      </c>
      <c r="N75" s="6"/>
    </row>
    <row r="76" spans="1:14">
      <c r="A76" s="6" t="s">
        <v>272</v>
      </c>
      <c r="B76" s="7">
        <v>46072</v>
      </c>
      <c r="C76" s="6" t="s">
        <v>238</v>
      </c>
      <c r="D76" s="6" t="str">
        <f>IF(OR(PROPER(TRIM(Raw_Data!D76))="Uk",PROPER(TRIM(Raw_Data!D76))="Gb",PROPER(TRIM(Raw_Data!D76))="United kingdom"),"United Kingdom",PROPER(TRIM(Raw_Data!D76)))</f>
        <v>United Kingdom</v>
      </c>
      <c r="E76" s="6" t="s">
        <v>37</v>
      </c>
      <c r="F76" s="6" t="s">
        <v>47</v>
      </c>
      <c r="G76" s="6" t="str">
        <f>SUBSTITUTE(Raw_Data!G76,"Ã©","é")</f>
        <v>Fell Runner Cap</v>
      </c>
      <c r="H76" s="6">
        <v>1</v>
      </c>
      <c r="I76" s="6" t="s">
        <v>143</v>
      </c>
      <c r="J76" s="6" t="s">
        <v>143</v>
      </c>
      <c r="K76" s="6">
        <v>8.5000000000000006E-2</v>
      </c>
      <c r="L76" s="6" t="s">
        <v>42</v>
      </c>
      <c r="M76" s="6" t="s">
        <v>34</v>
      </c>
      <c r="N76" s="6"/>
    </row>
    <row r="77" spans="1:14">
      <c r="A77" s="6" t="s">
        <v>273</v>
      </c>
      <c r="B77" s="7">
        <v>46025</v>
      </c>
      <c r="C77" s="6" t="s">
        <v>274</v>
      </c>
      <c r="D77" s="6" t="str">
        <f>IF(OR(PROPER(TRIM(Raw_Data!D77))="Uk",PROPER(TRIM(Raw_Data!D77))="Gb",PROPER(TRIM(Raw_Data!D77))="United kingdom"),"United Kingdom",PROPER(TRIM(Raw_Data!D77)))</f>
        <v>France</v>
      </c>
      <c r="E77" s="6" t="s">
        <v>52</v>
      </c>
      <c r="F77" s="6" t="s">
        <v>100</v>
      </c>
      <c r="G77" s="6" t="str">
        <f>SUBSTITUTE(Raw_Data!G77,"Ã©","é")</f>
        <v>Alpine Jacket</v>
      </c>
      <c r="H77" s="6">
        <v>1</v>
      </c>
      <c r="I77" s="6" t="s">
        <v>79</v>
      </c>
      <c r="J77" s="6" t="s">
        <v>79</v>
      </c>
      <c r="K77" s="6">
        <v>0.64</v>
      </c>
      <c r="L77" s="6" t="s">
        <v>42</v>
      </c>
      <c r="M77" s="6" t="s">
        <v>34</v>
      </c>
      <c r="N77" s="6"/>
    </row>
    <row r="78" spans="1:14">
      <c r="A78" s="6" t="s">
        <v>275</v>
      </c>
      <c r="B78" s="7">
        <v>46036</v>
      </c>
      <c r="C78" s="6" t="s">
        <v>276</v>
      </c>
      <c r="D78" s="6" t="str">
        <f>IF(OR(PROPER(TRIM(Raw_Data!D78))="Uk",PROPER(TRIM(Raw_Data!D78))="Gb",PROPER(TRIM(Raw_Data!D78))="United kingdom"),"United Kingdom",PROPER(TRIM(Raw_Data!D78)))</f>
        <v>United Kingdom</v>
      </c>
      <c r="E78" s="6" t="s">
        <v>52</v>
      </c>
      <c r="F78" s="6" t="s">
        <v>29</v>
      </c>
      <c r="G78" s="6" t="str">
        <f>SUBSTITUTE(Raw_Data!G78,"Ã©","é")</f>
        <v>Trekking Poles</v>
      </c>
      <c r="H78" s="6">
        <v>2</v>
      </c>
      <c r="I78" s="6" t="s">
        <v>277</v>
      </c>
      <c r="J78" s="6" t="s">
        <v>278</v>
      </c>
      <c r="K78" s="6">
        <v>0.52</v>
      </c>
      <c r="L78" s="6" t="s">
        <v>42</v>
      </c>
      <c r="M78" s="6" t="s">
        <v>69</v>
      </c>
      <c r="N78" s="6"/>
    </row>
    <row r="79" spans="1:14">
      <c r="A79" s="6" t="s">
        <v>279</v>
      </c>
      <c r="B79" s="7">
        <v>46208</v>
      </c>
      <c r="C79" s="6" t="s">
        <v>280</v>
      </c>
      <c r="D79" s="6" t="str">
        <f>IF(OR(PROPER(TRIM(Raw_Data!D79))="Uk",PROPER(TRIM(Raw_Data!D79))="Gb",PROPER(TRIM(Raw_Data!D79))="United kingdom"),"United Kingdom",PROPER(TRIM(Raw_Data!D79)))</f>
        <v>United Kingdom</v>
      </c>
      <c r="E79" s="6" t="s">
        <v>46</v>
      </c>
      <c r="F79" s="6" t="s">
        <v>53</v>
      </c>
      <c r="G79" s="6" t="str">
        <f>SUBSTITUTE(Raw_Data!G79,"Ã©","é")</f>
        <v>Merino Base Layer</v>
      </c>
      <c r="H79" s="6">
        <v>1</v>
      </c>
      <c r="I79" s="6" t="s">
        <v>67</v>
      </c>
      <c r="J79" s="6" t="s">
        <v>67</v>
      </c>
      <c r="K79" s="6">
        <v>0.19</v>
      </c>
      <c r="L79" s="6" t="s">
        <v>42</v>
      </c>
      <c r="M79" s="6" t="s">
        <v>34</v>
      </c>
      <c r="N79" s="6"/>
    </row>
    <row r="80" spans="1:14">
      <c r="A80" s="6" t="s">
        <v>281</v>
      </c>
      <c r="B80" s="7">
        <v>46076</v>
      </c>
      <c r="C80" s="6" t="s">
        <v>282</v>
      </c>
      <c r="D80" s="6" t="str">
        <f>IF(OR(PROPER(TRIM(Raw_Data!D80))="Uk",PROPER(TRIM(Raw_Data!D80))="Gb",PROPER(TRIM(Raw_Data!D80))="United kingdom"),"United Kingdom",PROPER(TRIM(Raw_Data!D80)))</f>
        <v>Germany</v>
      </c>
      <c r="E80" s="6" t="s">
        <v>37</v>
      </c>
      <c r="F80" s="6" t="s">
        <v>100</v>
      </c>
      <c r="G80" s="6" t="str">
        <f>SUBSTITUTE(Raw_Data!G80,"Ã©","é")</f>
        <v>Alpine Jacket</v>
      </c>
      <c r="H80" s="6">
        <v>2</v>
      </c>
      <c r="I80" s="6" t="s">
        <v>231</v>
      </c>
      <c r="J80" s="6" t="s">
        <v>232</v>
      </c>
      <c r="K80" s="6">
        <v>0.64</v>
      </c>
      <c r="L80" s="6" t="s">
        <v>42</v>
      </c>
      <c r="M80" s="6" t="s">
        <v>34</v>
      </c>
      <c r="N80" s="6"/>
    </row>
    <row r="81" spans="1:14">
      <c r="A81" s="6" t="s">
        <v>283</v>
      </c>
      <c r="B81" s="7">
        <v>46100</v>
      </c>
      <c r="C81" s="6" t="s">
        <v>284</v>
      </c>
      <c r="D81" s="6" t="str">
        <f>IF(OR(PROPER(TRIM(Raw_Data!D81))="Uk",PROPER(TRIM(Raw_Data!D81))="Gb",PROPER(TRIM(Raw_Data!D81))="United kingdom"),"United Kingdom",PROPER(TRIM(Raw_Data!D81)))</f>
        <v>United Kingdom</v>
      </c>
      <c r="E81" s="6" t="s">
        <v>78</v>
      </c>
      <c r="F81" s="6" t="s">
        <v>47</v>
      </c>
      <c r="G81" s="6" t="str">
        <f>SUBSTITUTE(Raw_Data!G81,"Ã©","é")</f>
        <v>Fell Runner Cap</v>
      </c>
      <c r="H81" s="6">
        <v>1</v>
      </c>
      <c r="I81" s="6" t="s">
        <v>143</v>
      </c>
      <c r="J81" s="6" t="s">
        <v>143</v>
      </c>
      <c r="K81" s="6">
        <v>8.5000000000000006E-2</v>
      </c>
      <c r="L81" s="6" t="s">
        <v>33</v>
      </c>
      <c r="M81" s="6" t="s">
        <v>34</v>
      </c>
      <c r="N81" s="6"/>
    </row>
    <row r="82" spans="1:14">
      <c r="A82" s="6" t="s">
        <v>285</v>
      </c>
      <c r="B82" s="7">
        <v>46117</v>
      </c>
      <c r="C82" s="6" t="s">
        <v>286</v>
      </c>
      <c r="D82" s="6" t="str">
        <f>IF(OR(PROPER(TRIM(Raw_Data!D82))="Uk",PROPER(TRIM(Raw_Data!D82))="Gb",PROPER(TRIM(Raw_Data!D82))="United kingdom"),"United Kingdom",PROPER(TRIM(Raw_Data!D82)))</f>
        <v>United Kingdom</v>
      </c>
      <c r="E82" s="6" t="s">
        <v>52</v>
      </c>
      <c r="F82" s="6" t="s">
        <v>29</v>
      </c>
      <c r="G82" s="6" t="str">
        <f>SUBSTITUTE(Raw_Data!G82,"Ã©","é")</f>
        <v>Trekking Poles</v>
      </c>
      <c r="H82" s="6">
        <v>1</v>
      </c>
      <c r="I82" s="6" t="s">
        <v>181</v>
      </c>
      <c r="J82" s="6" t="s">
        <v>181</v>
      </c>
      <c r="K82" s="6">
        <v>0.52</v>
      </c>
      <c r="L82" s="6" t="s">
        <v>42</v>
      </c>
      <c r="M82" s="6" t="s">
        <v>34</v>
      </c>
      <c r="N82" s="6"/>
    </row>
    <row r="83" spans="1:14">
      <c r="A83" s="6" t="s">
        <v>287</v>
      </c>
      <c r="B83" s="7">
        <v>46076</v>
      </c>
      <c r="C83" s="6" t="s">
        <v>288</v>
      </c>
      <c r="D83" s="6" t="str">
        <f>IF(OR(PROPER(TRIM(Raw_Data!D83))="Uk",PROPER(TRIM(Raw_Data!D83))="Gb",PROPER(TRIM(Raw_Data!D83))="United kingdom"),"United Kingdom",PROPER(TRIM(Raw_Data!D83)))</f>
        <v>France</v>
      </c>
      <c r="E83" s="6" t="s">
        <v>52</v>
      </c>
      <c r="F83" s="6" t="s">
        <v>53</v>
      </c>
      <c r="G83" s="6" t="str">
        <f>SUBSTITUTE(Raw_Data!G83,"Ã©","é")</f>
        <v>Merino Base Layer</v>
      </c>
      <c r="H83" s="6">
        <v>1</v>
      </c>
      <c r="I83" s="6" t="s">
        <v>40</v>
      </c>
      <c r="J83" s="6" t="s">
        <v>40</v>
      </c>
      <c r="K83" s="6">
        <v>0.19</v>
      </c>
      <c r="L83" s="6" t="s">
        <v>42</v>
      </c>
      <c r="M83" s="6" t="s">
        <v>34</v>
      </c>
      <c r="N83" s="6"/>
    </row>
    <row r="84" spans="1:14">
      <c r="A84" s="6" t="s">
        <v>289</v>
      </c>
      <c r="B84" s="7">
        <v>46203</v>
      </c>
      <c r="C84" s="6" t="s">
        <v>291</v>
      </c>
      <c r="D84" s="6" t="str">
        <f>IF(OR(PROPER(TRIM(Raw_Data!D84))="Uk",PROPER(TRIM(Raw_Data!D84))="Gb",PROPER(TRIM(Raw_Data!D84))="United kingdom"),"United Kingdom",PROPER(TRIM(Raw_Data!D84)))</f>
        <v>Ireland</v>
      </c>
      <c r="E84" s="6" t="s">
        <v>52</v>
      </c>
      <c r="F84" s="6" t="s">
        <v>58</v>
      </c>
      <c r="G84" s="6" t="str">
        <f>SUBSTITUTE(Raw_Data!G84,"Ã©","é")</f>
        <v>Summit Down Gilet</v>
      </c>
      <c r="H84" s="6">
        <v>-2</v>
      </c>
      <c r="I84" s="6" t="s">
        <v>90</v>
      </c>
      <c r="J84" s="8" t="s">
        <v>292</v>
      </c>
      <c r="K84" s="6">
        <v>0.38</v>
      </c>
      <c r="L84" s="6" t="s">
        <v>42</v>
      </c>
      <c r="M84" s="6" t="s">
        <v>34</v>
      </c>
      <c r="N84" s="6"/>
    </row>
    <row r="85" spans="1:14">
      <c r="A85" s="6" t="s">
        <v>293</v>
      </c>
      <c r="B85" s="7">
        <v>46073</v>
      </c>
      <c r="C85" s="6" t="s">
        <v>294</v>
      </c>
      <c r="D85" s="6" t="str">
        <f>IF(OR(PROPER(TRIM(Raw_Data!D85))="Uk",PROPER(TRIM(Raw_Data!D85))="Gb",PROPER(TRIM(Raw_Data!D85))="United kingdom"),"United Kingdom",PROPER(TRIM(Raw_Data!D85)))</f>
        <v>France</v>
      </c>
      <c r="E85" s="6" t="s">
        <v>37</v>
      </c>
      <c r="F85" s="6" t="s">
        <v>53</v>
      </c>
      <c r="G85" s="6" t="str">
        <f>SUBSTITUTE(Raw_Data!G85,"Ã©","é")</f>
        <v>Merino Base Layer</v>
      </c>
      <c r="H85" s="6">
        <v>1</v>
      </c>
      <c r="I85" s="6" t="s">
        <v>143</v>
      </c>
      <c r="J85" s="6" t="s">
        <v>143</v>
      </c>
      <c r="K85" s="6">
        <v>0.19</v>
      </c>
      <c r="L85" s="6" t="s">
        <v>42</v>
      </c>
      <c r="M85" s="6" t="s">
        <v>34</v>
      </c>
      <c r="N85" s="6"/>
    </row>
    <row r="86" spans="1:14">
      <c r="A86" s="6" t="s">
        <v>295</v>
      </c>
      <c r="B86" s="7">
        <v>46167</v>
      </c>
      <c r="C86" s="6" t="s">
        <v>296</v>
      </c>
      <c r="D86" s="6" t="str">
        <f>IF(OR(PROPER(TRIM(Raw_Data!D86))="Uk",PROPER(TRIM(Raw_Data!D86))="Gb",PROPER(TRIM(Raw_Data!D86))="United kingdom"),"United Kingdom",PROPER(TRIM(Raw_Data!D86)))</f>
        <v>United Kingdom</v>
      </c>
      <c r="E86" s="6" t="s">
        <v>78</v>
      </c>
      <c r="F86" s="6" t="s">
        <v>85</v>
      </c>
      <c r="G86" s="6" t="str">
        <f>SUBSTITUTE(Raw_Data!G86,"Ã©","é")</f>
        <v>Storm Overtrousers</v>
      </c>
      <c r="H86" s="6">
        <v>2</v>
      </c>
      <c r="I86" s="6" t="s">
        <v>82</v>
      </c>
      <c r="J86" s="6" t="s">
        <v>297</v>
      </c>
      <c r="K86" s="6">
        <v>0.41</v>
      </c>
      <c r="L86" s="6" t="s">
        <v>42</v>
      </c>
      <c r="M86" s="6" t="s">
        <v>34</v>
      </c>
      <c r="N86" s="6"/>
    </row>
    <row r="87" spans="1:14">
      <c r="A87" s="6" t="s">
        <v>298</v>
      </c>
      <c r="B87" s="7">
        <v>46044</v>
      </c>
      <c r="C87" s="6" t="s">
        <v>299</v>
      </c>
      <c r="D87" s="6" t="str">
        <f>IF(OR(PROPER(TRIM(Raw_Data!D87))="Uk",PROPER(TRIM(Raw_Data!D87))="Gb",PROPER(TRIM(Raw_Data!D87))="United kingdom"),"United Kingdom",PROPER(TRIM(Raw_Data!D87)))</f>
        <v>Germany</v>
      </c>
      <c r="E87" s="6" t="s">
        <v>52</v>
      </c>
      <c r="F87" s="6" t="s">
        <v>100</v>
      </c>
      <c r="G87" s="6" t="str">
        <f>SUBSTITUTE(Raw_Data!G87,"Ã©","é")</f>
        <v>Alpine Jacket</v>
      </c>
      <c r="H87" s="6">
        <v>3</v>
      </c>
      <c r="I87" s="6" t="s">
        <v>117</v>
      </c>
      <c r="J87" s="6" t="s">
        <v>171</v>
      </c>
      <c r="K87" s="6">
        <v>0.64</v>
      </c>
      <c r="L87" s="6" t="s">
        <v>42</v>
      </c>
      <c r="M87" s="6" t="s">
        <v>69</v>
      </c>
      <c r="N87" s="6"/>
    </row>
    <row r="88" spans="1:14">
      <c r="A88" s="6" t="s">
        <v>300</v>
      </c>
      <c r="B88" s="7">
        <v>46096</v>
      </c>
      <c r="C88" s="6" t="s">
        <v>302</v>
      </c>
      <c r="D88" s="6" t="str">
        <f>IF(OR(PROPER(TRIM(Raw_Data!D88))="Uk",PROPER(TRIM(Raw_Data!D88))="Gb",PROPER(TRIM(Raw_Data!D88))="United kingdom"),"United Kingdom",PROPER(TRIM(Raw_Data!D88)))</f>
        <v>United Kingdom</v>
      </c>
      <c r="E88" s="6" t="s">
        <v>46</v>
      </c>
      <c r="F88" s="6" t="s">
        <v>94</v>
      </c>
      <c r="G88" s="6" t="str">
        <f>SUBSTITUTE(Raw_Data!G88,"Ã©","é")</f>
        <v>Café Latte Mug</v>
      </c>
      <c r="H88" s="6">
        <v>3</v>
      </c>
      <c r="I88" s="6" t="s">
        <v>143</v>
      </c>
      <c r="J88" s="6" t="s">
        <v>243</v>
      </c>
      <c r="K88" s="6">
        <v>0.34</v>
      </c>
      <c r="L88" s="6" t="s">
        <v>42</v>
      </c>
      <c r="M88" s="6" t="s">
        <v>69</v>
      </c>
      <c r="N88" s="6"/>
    </row>
    <row r="89" spans="1:14">
      <c r="A89" s="6" t="s">
        <v>303</v>
      </c>
      <c r="B89" s="7">
        <v>46039</v>
      </c>
      <c r="C89" s="6" t="s">
        <v>304</v>
      </c>
      <c r="D89" s="6" t="str">
        <f>IF(OR(PROPER(TRIM(Raw_Data!D89))="Uk",PROPER(TRIM(Raw_Data!D89))="Gb",PROPER(TRIM(Raw_Data!D89))="United kingdom"),"United Kingdom",PROPER(TRIM(Raw_Data!D89)))</f>
        <v>United Kingdom</v>
      </c>
      <c r="E89" s="6" t="s">
        <v>52</v>
      </c>
      <c r="F89" s="6" t="s">
        <v>100</v>
      </c>
      <c r="G89" s="6" t="str">
        <f>SUBSTITUTE(Raw_Data!G89,"Ã©","é")</f>
        <v>Alpine Jacket</v>
      </c>
      <c r="H89" s="6">
        <v>1</v>
      </c>
      <c r="I89" s="6" t="s">
        <v>265</v>
      </c>
      <c r="J89" s="6" t="s">
        <v>265</v>
      </c>
      <c r="K89" s="6">
        <v>0.64</v>
      </c>
      <c r="L89" s="6" t="s">
        <v>33</v>
      </c>
      <c r="M89" s="6" t="s">
        <v>34</v>
      </c>
      <c r="N89" s="6"/>
    </row>
    <row r="90" spans="1:14">
      <c r="A90" s="6" t="s">
        <v>305</v>
      </c>
      <c r="B90" s="7">
        <v>46206</v>
      </c>
      <c r="C90" s="6" t="s">
        <v>306</v>
      </c>
      <c r="D90" s="6" t="str">
        <f>IF(OR(PROPER(TRIM(Raw_Data!D90))="Uk",PROPER(TRIM(Raw_Data!D90))="Gb",PROPER(TRIM(Raw_Data!D90))="United kingdom"),"United Kingdom",PROPER(TRIM(Raw_Data!D90)))</f>
        <v>Ireland</v>
      </c>
      <c r="E90" s="6" t="s">
        <v>37</v>
      </c>
      <c r="F90" s="6" t="s">
        <v>47</v>
      </c>
      <c r="G90" s="6" t="str">
        <f>SUBSTITUTE(Raw_Data!G90,"Ã©","é")</f>
        <v>Fell Runner Cap</v>
      </c>
      <c r="H90" s="6">
        <v>1</v>
      </c>
      <c r="I90" s="6" t="s">
        <v>31</v>
      </c>
      <c r="J90" s="6" t="s">
        <v>31</v>
      </c>
      <c r="K90" s="6">
        <v>8.5000000000000006E-2</v>
      </c>
      <c r="L90" s="6" t="s">
        <v>42</v>
      </c>
      <c r="M90" s="6" t="s">
        <v>34</v>
      </c>
      <c r="N90" s="6"/>
    </row>
    <row r="91" spans="1:14">
      <c r="A91" s="6" t="s">
        <v>307</v>
      </c>
      <c r="B91" s="7">
        <v>46107</v>
      </c>
      <c r="C91" s="6" t="s">
        <v>308</v>
      </c>
      <c r="D91" s="6" t="str">
        <f>IF(OR(PROPER(TRIM(Raw_Data!D91))="Uk",PROPER(TRIM(Raw_Data!D91))="Gb",PROPER(TRIM(Raw_Data!D91))="United kingdom"),"United Kingdom",PROPER(TRIM(Raw_Data!D91)))</f>
        <v>United Kingdom</v>
      </c>
      <c r="E91" s="6" t="s">
        <v>46</v>
      </c>
      <c r="F91" s="6" t="s">
        <v>29</v>
      </c>
      <c r="G91" s="6" t="str">
        <f>SUBSTITUTE(Raw_Data!G91,"Ã©","é")</f>
        <v>Trekking Poles</v>
      </c>
      <c r="H91" s="6">
        <v>1</v>
      </c>
      <c r="I91" s="6" t="s">
        <v>113</v>
      </c>
      <c r="J91" s="6" t="s">
        <v>113</v>
      </c>
      <c r="K91" s="6">
        <v>0.52</v>
      </c>
      <c r="L91" s="6" t="s">
        <v>42</v>
      </c>
      <c r="M91" s="6" t="s">
        <v>34</v>
      </c>
      <c r="N91" s="6"/>
    </row>
    <row r="92" spans="1:14">
      <c r="A92" s="6" t="s">
        <v>309</v>
      </c>
      <c r="B92" s="7">
        <v>46114</v>
      </c>
      <c r="C92" s="6" t="s">
        <v>310</v>
      </c>
      <c r="D92" s="6" t="str">
        <f>IF(OR(PROPER(TRIM(Raw_Data!D92))="Uk",PROPER(TRIM(Raw_Data!D92))="Gb",PROPER(TRIM(Raw_Data!D92))="United kingdom"),"United Kingdom",PROPER(TRIM(Raw_Data!D92)))</f>
        <v>France</v>
      </c>
      <c r="E92" s="6" t="s">
        <v>52</v>
      </c>
      <c r="F92" s="6" t="s">
        <v>100</v>
      </c>
      <c r="G92" s="6" t="str">
        <f>SUBSTITUTE(Raw_Data!G92,"Ã©","é")</f>
        <v>Alpine Jacket</v>
      </c>
      <c r="H92" s="6">
        <v>-1</v>
      </c>
      <c r="I92" s="6" t="s">
        <v>265</v>
      </c>
      <c r="J92" s="8" t="s">
        <v>311</v>
      </c>
      <c r="K92" s="6">
        <v>0.64</v>
      </c>
      <c r="L92" s="6" t="s">
        <v>42</v>
      </c>
      <c r="M92" s="6" t="s">
        <v>34</v>
      </c>
      <c r="N92" s="6"/>
    </row>
    <row r="93" spans="1:14">
      <c r="A93" s="6" t="s">
        <v>312</v>
      </c>
      <c r="B93" s="7">
        <v>46025</v>
      </c>
      <c r="C93" s="6" t="s">
        <v>313</v>
      </c>
      <c r="D93" s="6" t="str">
        <f>IF(OR(PROPER(TRIM(Raw_Data!D93))="Uk",PROPER(TRIM(Raw_Data!D93))="Gb",PROPER(TRIM(Raw_Data!D93))="United kingdom"),"United Kingdom",PROPER(TRIM(Raw_Data!D93)))</f>
        <v>United Kingdom</v>
      </c>
      <c r="E93" s="6" t="s">
        <v>28</v>
      </c>
      <c r="F93" s="6" t="s">
        <v>100</v>
      </c>
      <c r="G93" s="6" t="str">
        <f>SUBSTITUTE(Raw_Data!G93,"Ã©","é")</f>
        <v>Alpine Jacket</v>
      </c>
      <c r="H93" s="6">
        <v>-1</v>
      </c>
      <c r="I93" s="6" t="s">
        <v>181</v>
      </c>
      <c r="J93" s="8" t="s">
        <v>314</v>
      </c>
      <c r="K93" s="6">
        <v>0.64</v>
      </c>
      <c r="L93" s="6" t="s">
        <v>42</v>
      </c>
      <c r="M93" s="6" t="s">
        <v>34</v>
      </c>
      <c r="N93" s="6"/>
    </row>
    <row r="94" spans="1:14">
      <c r="A94" s="6" t="s">
        <v>315</v>
      </c>
      <c r="B94" s="7">
        <v>46332</v>
      </c>
      <c r="C94" s="6" t="s">
        <v>316</v>
      </c>
      <c r="D94" s="6" t="str">
        <f>IF(OR(PROPER(TRIM(Raw_Data!D94))="Uk",PROPER(TRIM(Raw_Data!D94))="Gb",PROPER(TRIM(Raw_Data!D94))="United kingdom"),"United Kingdom",PROPER(TRIM(Raw_Data!D94)))</f>
        <v>France</v>
      </c>
      <c r="E94" s="6" t="s">
        <v>78</v>
      </c>
      <c r="F94" s="6" t="s">
        <v>85</v>
      </c>
      <c r="G94" s="6" t="str">
        <f>SUBSTITUTE(Raw_Data!G94,"Ã©","é")</f>
        <v>Storm Overtrousers</v>
      </c>
      <c r="H94" s="6">
        <v>1</v>
      </c>
      <c r="I94" s="6" t="s">
        <v>147</v>
      </c>
      <c r="J94" s="6" t="s">
        <v>147</v>
      </c>
      <c r="K94" s="6">
        <v>0.41</v>
      </c>
      <c r="L94" s="6" t="s">
        <v>33</v>
      </c>
      <c r="M94" s="6" t="s">
        <v>34</v>
      </c>
      <c r="N94" s="6"/>
    </row>
    <row r="95" spans="1:14">
      <c r="A95" s="6" t="s">
        <v>317</v>
      </c>
      <c r="B95" s="7">
        <v>46206</v>
      </c>
      <c r="C95" s="6" t="s">
        <v>318</v>
      </c>
      <c r="D95" s="6" t="str">
        <f>IF(OR(PROPER(TRIM(Raw_Data!D95))="Uk",PROPER(TRIM(Raw_Data!D95))="Gb",PROPER(TRIM(Raw_Data!D95))="United kingdom"),"United Kingdom",PROPER(TRIM(Raw_Data!D95)))</f>
        <v>Germany</v>
      </c>
      <c r="E95" s="6" t="s">
        <v>37</v>
      </c>
      <c r="F95" s="6" t="s">
        <v>58</v>
      </c>
      <c r="G95" s="6" t="str">
        <f>SUBSTITUTE(Raw_Data!G95,"Ã©","é")</f>
        <v>Summit Down Gilet</v>
      </c>
      <c r="H95" s="6">
        <v>2</v>
      </c>
      <c r="I95" s="6" t="s">
        <v>82</v>
      </c>
      <c r="J95" s="6" t="s">
        <v>297</v>
      </c>
      <c r="K95" s="6">
        <v>0.38</v>
      </c>
      <c r="L95" s="6" t="s">
        <v>33</v>
      </c>
      <c r="M95" s="6" t="s">
        <v>69</v>
      </c>
      <c r="N95" s="6"/>
    </row>
    <row r="96" spans="1:14">
      <c r="A96" s="6" t="s">
        <v>319</v>
      </c>
      <c r="B96" s="7">
        <v>46176</v>
      </c>
      <c r="C96" s="6" t="s">
        <v>320</v>
      </c>
      <c r="D96" s="6" t="str">
        <f>IF(OR(PROPER(TRIM(Raw_Data!D96))="Uk",PROPER(TRIM(Raw_Data!D96))="Gb",PROPER(TRIM(Raw_Data!D96))="United kingdom"),"United Kingdom",PROPER(TRIM(Raw_Data!D96)))</f>
        <v>United Kingdom</v>
      </c>
      <c r="E96" s="6" t="s">
        <v>52</v>
      </c>
      <c r="F96" s="6" t="s">
        <v>85</v>
      </c>
      <c r="G96" s="6" t="str">
        <f>SUBSTITUTE(Raw_Data!G96,"Ã©","é")</f>
        <v>Storm Overtrousers</v>
      </c>
      <c r="H96" s="6">
        <v>2</v>
      </c>
      <c r="I96" s="6" t="s">
        <v>82</v>
      </c>
      <c r="J96" s="6" t="s">
        <v>297</v>
      </c>
      <c r="K96" s="6">
        <v>0.41</v>
      </c>
      <c r="L96" s="6" t="s">
        <v>42</v>
      </c>
      <c r="M96" s="6" t="s">
        <v>34</v>
      </c>
      <c r="N96" s="6"/>
    </row>
    <row r="97" spans="1:14">
      <c r="A97" s="6" t="s">
        <v>321</v>
      </c>
      <c r="B97" s="7">
        <v>46141</v>
      </c>
      <c r="C97" s="6" t="s">
        <v>322</v>
      </c>
      <c r="D97" s="6" t="str">
        <f>IF(OR(PROPER(TRIM(Raw_Data!D97))="Uk",PROPER(TRIM(Raw_Data!D97))="Gb",PROPER(TRIM(Raw_Data!D97))="United kingdom"),"United Kingdom",PROPER(TRIM(Raw_Data!D97)))</f>
        <v>United Kingdom</v>
      </c>
      <c r="E97" s="6" t="s">
        <v>28</v>
      </c>
      <c r="F97" s="6" t="s">
        <v>38</v>
      </c>
      <c r="G97" s="6" t="str">
        <f>SUBSTITUTE(Raw_Data!G97,"Ã©","é")</f>
        <v>Merino Base Layer</v>
      </c>
      <c r="H97" s="6">
        <v>2</v>
      </c>
      <c r="I97" s="6" t="s">
        <v>147</v>
      </c>
      <c r="J97" s="6" t="s">
        <v>175</v>
      </c>
      <c r="K97" s="6">
        <v>0.52</v>
      </c>
      <c r="L97" s="6" t="s">
        <v>42</v>
      </c>
      <c r="M97" s="6" t="s">
        <v>34</v>
      </c>
      <c r="N97" s="6"/>
    </row>
    <row r="98" spans="1:14">
      <c r="A98" s="6" t="s">
        <v>323</v>
      </c>
      <c r="B98" s="7">
        <v>46362</v>
      </c>
      <c r="C98" s="6" t="s">
        <v>324</v>
      </c>
      <c r="D98" s="6" t="str">
        <f>IF(OR(PROPER(TRIM(Raw_Data!D98))="Uk",PROPER(TRIM(Raw_Data!D98))="Gb",PROPER(TRIM(Raw_Data!D98))="United kingdom"),"United Kingdom",PROPER(TRIM(Raw_Data!D98)))</f>
        <v>United Kingdom</v>
      </c>
      <c r="E98" s="6" t="s">
        <v>78</v>
      </c>
      <c r="F98" s="6" t="s">
        <v>58</v>
      </c>
      <c r="G98" s="6" t="str">
        <f>SUBSTITUTE(Raw_Data!G98,"Ã©","é")</f>
        <v>Trail Softshell</v>
      </c>
      <c r="H98" s="6">
        <v>1</v>
      </c>
      <c r="I98" s="6" t="s">
        <v>60</v>
      </c>
      <c r="J98" s="6" t="s">
        <v>60</v>
      </c>
      <c r="K98" s="6">
        <v>0.38</v>
      </c>
      <c r="L98" s="6" t="s">
        <v>42</v>
      </c>
      <c r="M98" s="6" t="s">
        <v>34</v>
      </c>
      <c r="N98" s="6"/>
    </row>
    <row r="99" spans="1:14">
      <c r="A99" s="6" t="s">
        <v>325</v>
      </c>
      <c r="B99" s="7">
        <v>46078</v>
      </c>
      <c r="C99" s="6" t="s">
        <v>326</v>
      </c>
      <c r="D99" s="6" t="str">
        <f>IF(OR(PROPER(TRIM(Raw_Data!D99))="Uk",PROPER(TRIM(Raw_Data!D99))="Gb",PROPER(TRIM(Raw_Data!D99))="United kingdom"),"United Kingdom",PROPER(TRIM(Raw_Data!D99)))</f>
        <v>France</v>
      </c>
      <c r="E99" s="6" t="s">
        <v>52</v>
      </c>
      <c r="F99" s="6" t="s">
        <v>94</v>
      </c>
      <c r="G99" s="6" t="str">
        <f>SUBSTITUTE(Raw_Data!G99,"Ã©","é")</f>
        <v>Summit Down Gilet</v>
      </c>
      <c r="H99" s="6">
        <v>2</v>
      </c>
      <c r="I99" s="6" t="s">
        <v>40</v>
      </c>
      <c r="J99" s="6" t="s">
        <v>327</v>
      </c>
      <c r="K99" s="6">
        <v>0.34</v>
      </c>
      <c r="L99" s="6" t="s">
        <v>42</v>
      </c>
      <c r="M99" s="6" t="s">
        <v>34</v>
      </c>
      <c r="N99" s="6"/>
    </row>
    <row r="100" spans="1:14">
      <c r="A100" s="6" t="s">
        <v>328</v>
      </c>
      <c r="B100" s="7">
        <v>46168</v>
      </c>
      <c r="C100" s="6" t="s">
        <v>329</v>
      </c>
      <c r="D100" s="6" t="str">
        <f>IF(OR(PROPER(TRIM(Raw_Data!D100))="Uk",PROPER(TRIM(Raw_Data!D100))="Gb",PROPER(TRIM(Raw_Data!D100))="United kingdom"),"United Kingdom",PROPER(TRIM(Raw_Data!D100)))</f>
        <v>United Kingdom</v>
      </c>
      <c r="E100" s="6" t="s">
        <v>78</v>
      </c>
      <c r="F100" s="6" t="s">
        <v>58</v>
      </c>
      <c r="G100" s="6" t="str">
        <f>SUBSTITUTE(Raw_Data!G100,"Ã©","é")</f>
        <v>Café Latte Mug</v>
      </c>
      <c r="H100" s="6">
        <v>1</v>
      </c>
      <c r="I100" s="6" t="s">
        <v>113</v>
      </c>
      <c r="J100" s="6" t="s">
        <v>113</v>
      </c>
      <c r="K100" s="6">
        <v>0.38</v>
      </c>
      <c r="L100" s="6" t="s">
        <v>42</v>
      </c>
      <c r="M100" s="6" t="s">
        <v>34</v>
      </c>
      <c r="N100" s="6"/>
    </row>
    <row r="101" spans="1:14">
      <c r="A101" s="6" t="s">
        <v>330</v>
      </c>
      <c r="B101" s="7">
        <v>46148</v>
      </c>
      <c r="C101" s="6" t="s">
        <v>331</v>
      </c>
      <c r="D101" s="6" t="str">
        <f>IF(OR(PROPER(TRIM(Raw_Data!D101))="Uk",PROPER(TRIM(Raw_Data!D101))="Gb",PROPER(TRIM(Raw_Data!D101))="United kingdom"),"United Kingdom",PROPER(TRIM(Raw_Data!D101)))</f>
        <v>France</v>
      </c>
      <c r="E101" s="6" t="s">
        <v>28</v>
      </c>
      <c r="F101" s="6" t="s">
        <v>29</v>
      </c>
      <c r="G101" s="6" t="str">
        <f>SUBSTITUTE(Raw_Data!G101,"Ã©","é")</f>
        <v>Summit Down Gilet</v>
      </c>
      <c r="H101" s="6">
        <v>2</v>
      </c>
      <c r="I101" s="6" t="s">
        <v>181</v>
      </c>
      <c r="J101" s="6" t="s">
        <v>163</v>
      </c>
      <c r="K101" s="6">
        <v>0.52</v>
      </c>
      <c r="L101" s="6" t="s">
        <v>42</v>
      </c>
      <c r="M101" s="6" t="s">
        <v>34</v>
      </c>
      <c r="N101" s="6"/>
    </row>
    <row r="102" spans="1:14">
      <c r="A102" s="6" t="s">
        <v>332</v>
      </c>
      <c r="B102" s="7">
        <v>46110</v>
      </c>
      <c r="C102" s="6" t="s">
        <v>334</v>
      </c>
      <c r="D102" s="6" t="str">
        <f>IF(OR(PROPER(TRIM(Raw_Data!D102))="Uk",PROPER(TRIM(Raw_Data!D102))="Gb",PROPER(TRIM(Raw_Data!D102))="United kingdom"),"United Kingdom",PROPER(TRIM(Raw_Data!D102)))</f>
        <v>United Kingdom</v>
      </c>
      <c r="E102" s="6" t="s">
        <v>37</v>
      </c>
      <c r="F102" s="6" t="s">
        <v>58</v>
      </c>
      <c r="G102" s="6" t="str">
        <f>SUBSTITUTE(Raw_Data!G102,"Ã©","é")</f>
        <v>Trekking Poles</v>
      </c>
      <c r="H102" s="6">
        <v>3</v>
      </c>
      <c r="I102" s="6" t="s">
        <v>79</v>
      </c>
      <c r="J102" s="6" t="s">
        <v>216</v>
      </c>
      <c r="K102" s="6">
        <v>0.38</v>
      </c>
      <c r="L102" s="6" t="s">
        <v>42</v>
      </c>
      <c r="M102" s="6" t="s">
        <v>34</v>
      </c>
      <c r="N102" s="6"/>
    </row>
    <row r="103" spans="1:14">
      <c r="A103" s="6" t="s">
        <v>335</v>
      </c>
      <c r="B103" s="7">
        <v>46198</v>
      </c>
      <c r="C103" s="6" t="s">
        <v>336</v>
      </c>
      <c r="D103" s="6" t="str">
        <f>IF(OR(PROPER(TRIM(Raw_Data!D103))="Uk",PROPER(TRIM(Raw_Data!D103))="Gb",PROPER(TRIM(Raw_Data!D103))="United kingdom"),"United Kingdom",PROPER(TRIM(Raw_Data!D103)))</f>
        <v>United Kingdom</v>
      </c>
      <c r="E103" s="6" t="s">
        <v>46</v>
      </c>
      <c r="F103" s="6" t="s">
        <v>94</v>
      </c>
      <c r="G103" s="6" t="str">
        <f>SUBSTITUTE(Raw_Data!G103,"Ã©","é")</f>
        <v>Summit Down Gilet</v>
      </c>
      <c r="H103" s="6">
        <v>3</v>
      </c>
      <c r="I103" s="6" t="s">
        <v>31</v>
      </c>
      <c r="J103" s="6" t="s">
        <v>337</v>
      </c>
      <c r="K103" s="6">
        <v>0.34</v>
      </c>
      <c r="L103" s="6" t="s">
        <v>42</v>
      </c>
      <c r="M103" s="6" t="s">
        <v>34</v>
      </c>
      <c r="N103" s="6"/>
    </row>
    <row r="104" spans="1:14">
      <c r="A104" s="6" t="s">
        <v>338</v>
      </c>
      <c r="B104" s="7">
        <v>46119</v>
      </c>
      <c r="C104" s="6" t="s">
        <v>339</v>
      </c>
      <c r="D104" s="6" t="str">
        <f>IF(OR(PROPER(TRIM(Raw_Data!D104))="Uk",PROPER(TRIM(Raw_Data!D104))="Gb",PROPER(TRIM(Raw_Data!D104))="United kingdom"),"United Kingdom",PROPER(TRIM(Raw_Data!D104)))</f>
        <v>United Kingdom</v>
      </c>
      <c r="E104" s="6" t="s">
        <v>37</v>
      </c>
      <c r="F104" s="6" t="s">
        <v>58</v>
      </c>
      <c r="G104" s="6" t="str">
        <f>SUBSTITUTE(Raw_Data!G104,"Ã©","é")</f>
        <v>Café Latte Mug</v>
      </c>
      <c r="H104" s="6">
        <v>2</v>
      </c>
      <c r="I104" s="6" t="s">
        <v>31</v>
      </c>
      <c r="J104" s="6" t="s">
        <v>249</v>
      </c>
      <c r="K104" s="6">
        <v>0.38</v>
      </c>
      <c r="L104" s="6" t="s">
        <v>33</v>
      </c>
      <c r="M104" s="6" t="s">
        <v>69</v>
      </c>
      <c r="N104" s="6"/>
    </row>
    <row r="105" spans="1:14">
      <c r="A105" s="6" t="s">
        <v>340</v>
      </c>
      <c r="B105" s="7">
        <v>46086</v>
      </c>
      <c r="C105" s="6" t="s">
        <v>341</v>
      </c>
      <c r="D105" s="6" t="str">
        <f>IF(OR(PROPER(TRIM(Raw_Data!D105))="Uk",PROPER(TRIM(Raw_Data!D105))="Gb",PROPER(TRIM(Raw_Data!D105))="United kingdom"),"United Kingdom",PROPER(TRIM(Raw_Data!D105)))</f>
        <v>Germany</v>
      </c>
      <c r="E105" s="6" t="s">
        <v>46</v>
      </c>
      <c r="F105" s="6" t="s">
        <v>58</v>
      </c>
      <c r="G105" s="6" t="str">
        <f>SUBSTITUTE(Raw_Data!G105,"Ã©","é")</f>
        <v>Summit Down Gilet</v>
      </c>
      <c r="H105" s="6">
        <v>2</v>
      </c>
      <c r="I105" s="6" t="s">
        <v>143</v>
      </c>
      <c r="J105" s="6" t="s">
        <v>144</v>
      </c>
      <c r="K105" s="6">
        <v>0.38</v>
      </c>
      <c r="L105" s="6" t="s">
        <v>42</v>
      </c>
      <c r="M105" s="6" t="s">
        <v>34</v>
      </c>
      <c r="N105" s="6"/>
    </row>
    <row r="106" spans="1:14">
      <c r="A106" s="6" t="s">
        <v>342</v>
      </c>
      <c r="B106" s="7">
        <v>46134</v>
      </c>
      <c r="C106" s="6" t="s">
        <v>343</v>
      </c>
      <c r="D106" s="6" t="str">
        <f>IF(OR(PROPER(TRIM(Raw_Data!D106))="Uk",PROPER(TRIM(Raw_Data!D106))="Gb",PROPER(TRIM(Raw_Data!D106))="United kingdom"),"United Kingdom",PROPER(TRIM(Raw_Data!D106)))</f>
        <v>United Kingdom</v>
      </c>
      <c r="E106" s="6" t="s">
        <v>37</v>
      </c>
      <c r="F106" s="6" t="s">
        <v>53</v>
      </c>
      <c r="G106" s="6" t="str">
        <f>SUBSTITUTE(Raw_Data!G106,"Ã©","é")</f>
        <v>Summit Down Gilet</v>
      </c>
      <c r="H106" s="6">
        <v>2</v>
      </c>
      <c r="I106" s="6" t="s">
        <v>113</v>
      </c>
      <c r="J106" s="6" t="s">
        <v>192</v>
      </c>
      <c r="K106" s="6">
        <v>0.19</v>
      </c>
      <c r="L106" s="6" t="s">
        <v>42</v>
      </c>
      <c r="M106" s="6" t="s">
        <v>34</v>
      </c>
      <c r="N106" s="6"/>
    </row>
    <row r="107" spans="1:14">
      <c r="A107" s="6" t="s">
        <v>344</v>
      </c>
      <c r="B107" s="7">
        <v>46165</v>
      </c>
      <c r="C107" s="6" t="s">
        <v>345</v>
      </c>
      <c r="D107" s="6" t="str">
        <f>IF(OR(PROPER(TRIM(Raw_Data!D107))="Uk",PROPER(TRIM(Raw_Data!D107))="Gb",PROPER(TRIM(Raw_Data!D107))="United kingdom"),"United Kingdom",PROPER(TRIM(Raw_Data!D107)))</f>
        <v>United Kingdom</v>
      </c>
      <c r="E107" s="6" t="s">
        <v>37</v>
      </c>
      <c r="F107" s="6" t="s">
        <v>29</v>
      </c>
      <c r="G107" s="6" t="str">
        <f>SUBSTITUTE(Raw_Data!G107,"Ã©","é")</f>
        <v>Merino Base Layer</v>
      </c>
      <c r="H107" s="6">
        <v>2</v>
      </c>
      <c r="I107" s="6" t="s">
        <v>82</v>
      </c>
      <c r="J107" s="6" t="s">
        <v>297</v>
      </c>
      <c r="K107" s="6">
        <v>0.52</v>
      </c>
      <c r="L107" s="6" t="s">
        <v>42</v>
      </c>
      <c r="M107" s="6" t="s">
        <v>34</v>
      </c>
      <c r="N107" s="6"/>
    </row>
    <row r="108" spans="1:14">
      <c r="A108" s="6" t="s">
        <v>346</v>
      </c>
      <c r="B108" s="7">
        <v>46035</v>
      </c>
      <c r="C108" s="6" t="s">
        <v>348</v>
      </c>
      <c r="D108" s="6" t="str">
        <f>IF(OR(PROPER(TRIM(Raw_Data!D108))="Uk",PROPER(TRIM(Raw_Data!D108))="Gb",PROPER(TRIM(Raw_Data!D108))="United kingdom"),"United Kingdom",PROPER(TRIM(Raw_Data!D108)))</f>
        <v>France</v>
      </c>
      <c r="E108" s="6" t="s">
        <v>37</v>
      </c>
      <c r="F108" s="6" t="s">
        <v>38</v>
      </c>
      <c r="G108" s="6" t="str">
        <f>SUBSTITUTE(Raw_Data!G108,"Ã©","é")</f>
        <v>Trekking Poles</v>
      </c>
      <c r="H108" s="6">
        <v>3</v>
      </c>
      <c r="I108" s="6" t="s">
        <v>90</v>
      </c>
      <c r="J108" s="6" t="s">
        <v>102</v>
      </c>
      <c r="K108" s="6">
        <v>0.52</v>
      </c>
      <c r="L108" s="6" t="s">
        <v>33</v>
      </c>
      <c r="M108" s="6" t="s">
        <v>69</v>
      </c>
      <c r="N108" s="6"/>
    </row>
    <row r="109" spans="1:14">
      <c r="A109" s="6" t="s">
        <v>349</v>
      </c>
      <c r="B109" s="7">
        <v>46125</v>
      </c>
      <c r="C109" s="6" t="s">
        <v>351</v>
      </c>
      <c r="D109" s="6" t="str">
        <f>IF(OR(PROPER(TRIM(Raw_Data!D109))="Uk",PROPER(TRIM(Raw_Data!D109))="Gb",PROPER(TRIM(Raw_Data!D109))="United kingdom"),"United Kingdom",PROPER(TRIM(Raw_Data!D109)))</f>
        <v>United Kingdom</v>
      </c>
      <c r="E109" s="6" t="s">
        <v>78</v>
      </c>
      <c r="F109" s="6" t="s">
        <v>29</v>
      </c>
      <c r="G109" s="6" t="str">
        <f>SUBSTITUTE(Raw_Data!G109,"Ã©","é")</f>
        <v>Trail Softshell</v>
      </c>
      <c r="H109" s="6">
        <v>2</v>
      </c>
      <c r="I109" s="6" t="s">
        <v>73</v>
      </c>
      <c r="J109" s="6" t="s">
        <v>74</v>
      </c>
      <c r="K109" s="6">
        <v>0.52</v>
      </c>
      <c r="L109" s="6" t="s">
        <v>42</v>
      </c>
      <c r="M109" s="6" t="s">
        <v>69</v>
      </c>
      <c r="N109" s="6"/>
    </row>
    <row r="110" spans="1:14">
      <c r="A110" s="6" t="s">
        <v>352</v>
      </c>
      <c r="B110" s="7">
        <v>46164</v>
      </c>
      <c r="C110" s="6" t="s">
        <v>353</v>
      </c>
      <c r="D110" s="6" t="str">
        <f>IF(OR(PROPER(TRIM(Raw_Data!D110))="Uk",PROPER(TRIM(Raw_Data!D110))="Gb",PROPER(TRIM(Raw_Data!D110))="United kingdom"),"United Kingdom",PROPER(TRIM(Raw_Data!D110)))</f>
        <v>United Kingdom</v>
      </c>
      <c r="E110" s="6" t="s">
        <v>52</v>
      </c>
      <c r="F110" s="6" t="s">
        <v>100</v>
      </c>
      <c r="G110" s="6" t="str">
        <f>SUBSTITUTE(Raw_Data!G110,"Ã©","é")</f>
        <v>Trekking Poles</v>
      </c>
      <c r="H110" s="6">
        <v>2</v>
      </c>
      <c r="I110" s="6" t="s">
        <v>162</v>
      </c>
      <c r="J110" s="6" t="s">
        <v>163</v>
      </c>
      <c r="K110" s="6">
        <v>0.64</v>
      </c>
      <c r="L110" s="6" t="s">
        <v>42</v>
      </c>
      <c r="M110" s="6" t="s">
        <v>34</v>
      </c>
      <c r="N110" s="6"/>
    </row>
    <row r="111" spans="1:14">
      <c r="A111" s="6" t="s">
        <v>354</v>
      </c>
      <c r="B111" s="7">
        <v>46102</v>
      </c>
      <c r="C111" s="6" t="s">
        <v>355</v>
      </c>
      <c r="D111" s="6" t="str">
        <f>IF(OR(PROPER(TRIM(Raw_Data!D111))="Uk",PROPER(TRIM(Raw_Data!D111))="Gb",PROPER(TRIM(Raw_Data!D111))="United kingdom"),"United Kingdom",PROPER(TRIM(Raw_Data!D111)))</f>
        <v>United Kingdom</v>
      </c>
      <c r="E111" s="6" t="s">
        <v>78</v>
      </c>
      <c r="F111" s="6" t="s">
        <v>100</v>
      </c>
      <c r="G111" s="6" t="str">
        <f>SUBSTITUTE(Raw_Data!G111,"Ã©","é")</f>
        <v>Alpine Jacket</v>
      </c>
      <c r="H111" s="6">
        <v>1</v>
      </c>
      <c r="I111" s="6" t="s">
        <v>147</v>
      </c>
      <c r="J111" s="6" t="s">
        <v>147</v>
      </c>
      <c r="K111" s="6">
        <v>0.64</v>
      </c>
      <c r="L111" s="6" t="s">
        <v>33</v>
      </c>
      <c r="M111" s="6" t="s">
        <v>34</v>
      </c>
      <c r="N111" s="6"/>
    </row>
    <row r="112" spans="1:14">
      <c r="A112" s="6" t="s">
        <v>356</v>
      </c>
      <c r="B112" s="7">
        <v>46190</v>
      </c>
      <c r="C112" s="6" t="s">
        <v>357</v>
      </c>
      <c r="D112" s="6" t="str">
        <f>IF(OR(PROPER(TRIM(Raw_Data!D112))="Uk",PROPER(TRIM(Raw_Data!D112))="Gb",PROPER(TRIM(Raw_Data!D112))="United kingdom"),"United Kingdom",PROPER(TRIM(Raw_Data!D112)))</f>
        <v>Germany</v>
      </c>
      <c r="E112" s="6" t="s">
        <v>37</v>
      </c>
      <c r="F112" s="6" t="s">
        <v>100</v>
      </c>
      <c r="G112" s="6" t="str">
        <f>SUBSTITUTE(Raw_Data!G112,"Ã©","é")</f>
        <v>Alpine Jacket</v>
      </c>
      <c r="H112" s="6">
        <v>1</v>
      </c>
      <c r="I112" s="6" t="s">
        <v>31</v>
      </c>
      <c r="J112" s="6" t="s">
        <v>31</v>
      </c>
      <c r="K112" s="6">
        <v>0.64</v>
      </c>
      <c r="L112" s="6" t="s">
        <v>42</v>
      </c>
      <c r="M112" s="6" t="s">
        <v>34</v>
      </c>
      <c r="N112" s="6"/>
    </row>
    <row r="113" spans="1:14">
      <c r="A113" s="6" t="s">
        <v>358</v>
      </c>
      <c r="B113" s="7">
        <v>46050</v>
      </c>
      <c r="C113" s="6" t="s">
        <v>359</v>
      </c>
      <c r="D113" s="6" t="str">
        <f>IF(OR(PROPER(TRIM(Raw_Data!D113))="Uk",PROPER(TRIM(Raw_Data!D113))="Gb",PROPER(TRIM(Raw_Data!D113))="United kingdom"),"United Kingdom",PROPER(TRIM(Raw_Data!D113)))</f>
        <v>United Kingdom</v>
      </c>
      <c r="E113" s="6" t="s">
        <v>78</v>
      </c>
      <c r="F113" s="6" t="s">
        <v>47</v>
      </c>
      <c r="G113" s="6" t="str">
        <f>SUBSTITUTE(Raw_Data!G113,"Ã©","é")</f>
        <v>Alpine Jacket</v>
      </c>
      <c r="H113" s="6">
        <v>3</v>
      </c>
      <c r="I113" s="6" t="s">
        <v>90</v>
      </c>
      <c r="J113" s="6" t="s">
        <v>102</v>
      </c>
      <c r="K113" s="6">
        <v>8.5000000000000006E-2</v>
      </c>
      <c r="L113" s="6" t="s">
        <v>42</v>
      </c>
      <c r="M113" s="6" t="s">
        <v>34</v>
      </c>
      <c r="N113" s="6"/>
    </row>
    <row r="114" spans="1:14">
      <c r="A114" s="6" t="s">
        <v>360</v>
      </c>
      <c r="B114" s="7">
        <v>46159</v>
      </c>
      <c r="C114" s="6" t="s">
        <v>361</v>
      </c>
      <c r="D114" s="6" t="str">
        <f>IF(OR(PROPER(TRIM(Raw_Data!D114))="Uk",PROPER(TRIM(Raw_Data!D114))="Gb",PROPER(TRIM(Raw_Data!D114))="United kingdom"),"United Kingdom",PROPER(TRIM(Raw_Data!D114)))</f>
        <v>Ireland</v>
      </c>
      <c r="E114" s="6" t="s">
        <v>78</v>
      </c>
      <c r="F114" s="6" t="s">
        <v>29</v>
      </c>
      <c r="G114" s="6" t="str">
        <f>SUBSTITUTE(Raw_Data!G114,"Ã©","é")</f>
        <v>Fell Runner Cap</v>
      </c>
      <c r="H114" s="6">
        <v>1</v>
      </c>
      <c r="I114" s="6" t="s">
        <v>31</v>
      </c>
      <c r="J114" s="6" t="s">
        <v>31</v>
      </c>
      <c r="K114" s="6">
        <v>0.52</v>
      </c>
      <c r="L114" s="6" t="s">
        <v>42</v>
      </c>
      <c r="M114" s="6" t="s">
        <v>69</v>
      </c>
      <c r="N114" s="6"/>
    </row>
    <row r="115" spans="1:14">
      <c r="A115" s="6" t="s">
        <v>362</v>
      </c>
      <c r="B115" s="7">
        <v>46204</v>
      </c>
      <c r="C115" s="6" t="s">
        <v>363</v>
      </c>
      <c r="D115" s="6" t="str">
        <f>IF(OR(PROPER(TRIM(Raw_Data!D115))="Uk",PROPER(TRIM(Raw_Data!D115))="Gb",PROPER(TRIM(Raw_Data!D115))="United kingdom"),"United Kingdom",PROPER(TRIM(Raw_Data!D115)))</f>
        <v>Ireland</v>
      </c>
      <c r="E115" s="6" t="s">
        <v>28</v>
      </c>
      <c r="F115" s="6" t="s">
        <v>47</v>
      </c>
      <c r="G115" s="6" t="str">
        <f>SUBSTITUTE(Raw_Data!G115,"Ã©","é")</f>
        <v>Trekking Poles</v>
      </c>
      <c r="H115" s="6">
        <v>3</v>
      </c>
      <c r="I115" s="6" t="s">
        <v>96</v>
      </c>
      <c r="J115" s="6" t="s">
        <v>97</v>
      </c>
      <c r="K115" s="6">
        <v>8.5000000000000006E-2</v>
      </c>
      <c r="L115" s="6" t="s">
        <v>33</v>
      </c>
      <c r="M115" s="6" t="s">
        <v>69</v>
      </c>
      <c r="N115" s="6"/>
    </row>
    <row r="116" spans="1:14">
      <c r="A116" s="6" t="s">
        <v>364</v>
      </c>
      <c r="B116" s="7">
        <v>46134</v>
      </c>
      <c r="C116" s="6" t="s">
        <v>365</v>
      </c>
      <c r="D116" s="6" t="str">
        <f>IF(OR(PROPER(TRIM(Raw_Data!D116))="Uk",PROPER(TRIM(Raw_Data!D116))="Gb",PROPER(TRIM(Raw_Data!D116))="United kingdom"),"United Kingdom",PROPER(TRIM(Raw_Data!D116)))</f>
        <v>United Kingdom</v>
      </c>
      <c r="E116" s="6" t="s">
        <v>78</v>
      </c>
      <c r="F116" s="6" t="s">
        <v>53</v>
      </c>
      <c r="G116" s="6" t="str">
        <f>SUBSTITUTE(Raw_Data!G116,"Ã©","é")</f>
        <v>Fell Runner Cap</v>
      </c>
      <c r="H116" s="6">
        <v>1</v>
      </c>
      <c r="I116" s="6" t="s">
        <v>90</v>
      </c>
      <c r="J116" s="6" t="s">
        <v>90</v>
      </c>
      <c r="K116" s="6">
        <v>0.19</v>
      </c>
      <c r="L116" s="6" t="s">
        <v>42</v>
      </c>
      <c r="M116" s="6" t="s">
        <v>34</v>
      </c>
      <c r="N116" s="6"/>
    </row>
    <row r="117" spans="1:14">
      <c r="A117" s="6" t="s">
        <v>366</v>
      </c>
      <c r="B117" s="7">
        <v>46198</v>
      </c>
      <c r="C117" s="6" t="s">
        <v>367</v>
      </c>
      <c r="D117" s="6" t="str">
        <f>IF(OR(PROPER(TRIM(Raw_Data!D117))="Uk",PROPER(TRIM(Raw_Data!D117))="Gb",PROPER(TRIM(Raw_Data!D117))="United kingdom"),"United Kingdom",PROPER(TRIM(Raw_Data!D117)))</f>
        <v>United Kingdom</v>
      </c>
      <c r="E117" s="6" t="s">
        <v>28</v>
      </c>
      <c r="F117" s="6" t="s">
        <v>29</v>
      </c>
      <c r="G117" s="6" t="str">
        <f>SUBSTITUTE(Raw_Data!G117,"Ã©","é")</f>
        <v>Merino Base Layer</v>
      </c>
      <c r="H117" s="6">
        <v>1</v>
      </c>
      <c r="I117" s="6" t="s">
        <v>79</v>
      </c>
      <c r="J117" s="6" t="s">
        <v>79</v>
      </c>
      <c r="K117" s="6">
        <v>0.52</v>
      </c>
      <c r="L117" s="6" t="s">
        <v>42</v>
      </c>
      <c r="M117" s="6" t="s">
        <v>34</v>
      </c>
      <c r="N117" s="6"/>
    </row>
    <row r="118" spans="1:14">
      <c r="A118" s="6" t="s">
        <v>368</v>
      </c>
      <c r="B118" s="7">
        <v>46271</v>
      </c>
      <c r="C118" s="6" t="s">
        <v>369</v>
      </c>
      <c r="D118" s="6" t="str">
        <f>IF(OR(PROPER(TRIM(Raw_Data!D118))="Uk",PROPER(TRIM(Raw_Data!D118))="Gb",PROPER(TRIM(Raw_Data!D118))="United kingdom"),"United Kingdom",PROPER(TRIM(Raw_Data!D118)))</f>
        <v>United Kingdom</v>
      </c>
      <c r="E118" s="6" t="s">
        <v>28</v>
      </c>
      <c r="F118" s="6" t="s">
        <v>100</v>
      </c>
      <c r="G118" s="6" t="str">
        <f>SUBSTITUTE(Raw_Data!G118,"Ã©","é")</f>
        <v>Trekking Poles</v>
      </c>
      <c r="H118" s="6">
        <v>1</v>
      </c>
      <c r="I118" s="6" t="s">
        <v>79</v>
      </c>
      <c r="J118" s="6" t="s">
        <v>370</v>
      </c>
      <c r="K118" s="6">
        <v>0.64</v>
      </c>
      <c r="L118" s="6" t="s">
        <v>42</v>
      </c>
      <c r="M118" s="6" t="s">
        <v>34</v>
      </c>
      <c r="N118" s="6"/>
    </row>
    <row r="119" spans="1:14">
      <c r="A119" s="6" t="s">
        <v>371</v>
      </c>
      <c r="B119" s="7">
        <v>46069</v>
      </c>
      <c r="C119" s="6" t="s">
        <v>372</v>
      </c>
      <c r="D119" s="6" t="str">
        <f>IF(OR(PROPER(TRIM(Raw_Data!D119))="Uk",PROPER(TRIM(Raw_Data!D119))="Gb",PROPER(TRIM(Raw_Data!D119))="United kingdom"),"United Kingdom",PROPER(TRIM(Raw_Data!D119)))</f>
        <v>United Kingdom</v>
      </c>
      <c r="E119" s="6" t="s">
        <v>46</v>
      </c>
      <c r="F119" s="6" t="s">
        <v>85</v>
      </c>
      <c r="G119" s="6" t="str">
        <f>SUBSTITUTE(Raw_Data!G119,"Ã©","é")</f>
        <v>Alpine Jacket</v>
      </c>
      <c r="H119" s="6">
        <v>1</v>
      </c>
      <c r="I119" s="6" t="s">
        <v>373</v>
      </c>
      <c r="J119" s="6" t="s">
        <v>79</v>
      </c>
      <c r="K119" s="6">
        <v>0.41</v>
      </c>
      <c r="L119" s="6" t="s">
        <v>42</v>
      </c>
      <c r="M119" s="6" t="s">
        <v>34</v>
      </c>
      <c r="N119" s="6"/>
    </row>
    <row r="120" spans="1:14">
      <c r="A120" s="6" t="s">
        <v>374</v>
      </c>
      <c r="B120" s="7">
        <v>46361</v>
      </c>
      <c r="C120" s="6" t="s">
        <v>375</v>
      </c>
      <c r="D120" s="6" t="str">
        <f>IF(OR(PROPER(TRIM(Raw_Data!D120))="Uk",PROPER(TRIM(Raw_Data!D120))="Gb",PROPER(TRIM(Raw_Data!D120))="United kingdom"),"United Kingdom",PROPER(TRIM(Raw_Data!D120)))</f>
        <v>United Kingdom</v>
      </c>
      <c r="E120" s="6" t="s">
        <v>78</v>
      </c>
      <c r="F120" s="6" t="s">
        <v>53</v>
      </c>
      <c r="G120" s="6" t="str">
        <f>SUBSTITUTE(Raw_Data!G120,"Ã©","é")</f>
        <v>Storm Overtrousers</v>
      </c>
      <c r="H120" s="6">
        <v>3</v>
      </c>
      <c r="I120" s="6" t="s">
        <v>113</v>
      </c>
      <c r="J120" s="6" t="s">
        <v>138</v>
      </c>
      <c r="K120" s="6">
        <v>0.19</v>
      </c>
      <c r="L120" s="6" t="s">
        <v>42</v>
      </c>
      <c r="M120" s="6" t="s">
        <v>69</v>
      </c>
      <c r="N120" s="6"/>
    </row>
    <row r="121" spans="1:14">
      <c r="A121" s="6" t="s">
        <v>376</v>
      </c>
      <c r="B121" s="7">
        <v>46327</v>
      </c>
      <c r="C121" s="6" t="s">
        <v>377</v>
      </c>
      <c r="D121" s="6" t="str">
        <f>IF(OR(PROPER(TRIM(Raw_Data!D121))="Uk",PROPER(TRIM(Raw_Data!D121))="Gb",PROPER(TRIM(Raw_Data!D121))="United kingdom"),"United Kingdom",PROPER(TRIM(Raw_Data!D121)))</f>
        <v>Ireland</v>
      </c>
      <c r="E121" s="6" t="s">
        <v>52</v>
      </c>
      <c r="F121" s="6" t="s">
        <v>100</v>
      </c>
      <c r="G121" s="6" t="str">
        <f>SUBSTITUTE(Raw_Data!G121,"Ã©","é")</f>
        <v>Merino Base Layer</v>
      </c>
      <c r="H121" s="6">
        <v>1</v>
      </c>
      <c r="I121" s="6" t="s">
        <v>231</v>
      </c>
      <c r="J121" s="6" t="s">
        <v>231</v>
      </c>
      <c r="K121" s="6">
        <v>0.64</v>
      </c>
      <c r="L121" s="6" t="s">
        <v>42</v>
      </c>
      <c r="M121" s="6" t="s">
        <v>34</v>
      </c>
      <c r="N121" s="6"/>
    </row>
    <row r="122" spans="1:14">
      <c r="A122" s="6" t="s">
        <v>378</v>
      </c>
      <c r="B122" s="7">
        <v>46175</v>
      </c>
      <c r="C122" s="6" t="s">
        <v>379</v>
      </c>
      <c r="D122" s="6" t="str">
        <f>IF(OR(PROPER(TRIM(Raw_Data!D122))="Uk",PROPER(TRIM(Raw_Data!D122))="Gb",PROPER(TRIM(Raw_Data!D122))="United kingdom"),"United Kingdom",PROPER(TRIM(Raw_Data!D122)))</f>
        <v>France</v>
      </c>
      <c r="E122" s="6" t="s">
        <v>46</v>
      </c>
      <c r="F122" s="6" t="s">
        <v>47</v>
      </c>
      <c r="G122" s="6" t="str">
        <f>SUBSTITUTE(Raw_Data!G122,"Ã©","é")</f>
        <v>Alpine Jacket</v>
      </c>
      <c r="H122" s="6">
        <v>1</v>
      </c>
      <c r="I122" s="6" t="s">
        <v>73</v>
      </c>
      <c r="J122" s="6" t="s">
        <v>73</v>
      </c>
      <c r="K122" s="6">
        <v>8.5000000000000006E-2</v>
      </c>
      <c r="L122" s="6" t="s">
        <v>42</v>
      </c>
      <c r="M122" s="6" t="s">
        <v>69</v>
      </c>
      <c r="N122" s="6"/>
    </row>
    <row r="123" spans="1:14">
      <c r="A123" s="6" t="s">
        <v>380</v>
      </c>
      <c r="B123" s="7">
        <v>46043</v>
      </c>
      <c r="C123" s="6" t="s">
        <v>381</v>
      </c>
      <c r="D123" s="6" t="str">
        <f>IF(OR(PROPER(TRIM(Raw_Data!D123))="Uk",PROPER(TRIM(Raw_Data!D123))="Gb",PROPER(TRIM(Raw_Data!D123))="United kingdom"),"United Kingdom",PROPER(TRIM(Raw_Data!D123)))</f>
        <v>United Kingdom</v>
      </c>
      <c r="E123" s="6" t="s">
        <v>37</v>
      </c>
      <c r="F123" s="6" t="s">
        <v>29</v>
      </c>
      <c r="G123" s="6" t="str">
        <f>SUBSTITUTE(Raw_Data!G123,"Ã©","é")</f>
        <v>Fell Runner Cap</v>
      </c>
      <c r="H123" s="6">
        <v>3</v>
      </c>
      <c r="I123" s="6" t="s">
        <v>90</v>
      </c>
      <c r="J123" s="6" t="s">
        <v>102</v>
      </c>
      <c r="K123" s="6">
        <v>0.52</v>
      </c>
      <c r="L123" s="6" t="s">
        <v>42</v>
      </c>
      <c r="M123" s="6" t="s">
        <v>69</v>
      </c>
      <c r="N123" s="6"/>
    </row>
    <row r="124" spans="1:14">
      <c r="A124" s="6" t="s">
        <v>382</v>
      </c>
      <c r="B124" s="7">
        <v>46068</v>
      </c>
      <c r="C124" s="6" t="s">
        <v>383</v>
      </c>
      <c r="D124" s="6" t="str">
        <f>IF(OR(PROPER(TRIM(Raw_Data!D124))="Uk",PROPER(TRIM(Raw_Data!D124))="Gb",PROPER(TRIM(Raw_Data!D124))="United kingdom"),"United Kingdom",PROPER(TRIM(Raw_Data!D124)))</f>
        <v>United Kingdom</v>
      </c>
      <c r="E124" s="6" t="s">
        <v>46</v>
      </c>
      <c r="F124" s="6" t="s">
        <v>94</v>
      </c>
      <c r="G124" s="6" t="str">
        <f>SUBSTITUTE(Raw_Data!G124,"Ã©","é")</f>
        <v>Trekking Poles</v>
      </c>
      <c r="H124" s="6">
        <v>2</v>
      </c>
      <c r="I124" s="6" t="s">
        <v>90</v>
      </c>
      <c r="J124" s="6" t="s">
        <v>154</v>
      </c>
      <c r="K124" s="6">
        <v>0.34</v>
      </c>
      <c r="L124" s="6" t="s">
        <v>42</v>
      </c>
      <c r="M124" s="6" t="s">
        <v>34</v>
      </c>
      <c r="N124" s="6"/>
    </row>
    <row r="125" spans="1:14">
      <c r="A125" s="6" t="s">
        <v>384</v>
      </c>
      <c r="B125" s="7">
        <v>46237</v>
      </c>
      <c r="C125" s="6" t="s">
        <v>385</v>
      </c>
      <c r="D125" s="6" t="str">
        <f>IF(OR(PROPER(TRIM(Raw_Data!D125))="Uk",PROPER(TRIM(Raw_Data!D125))="Gb",PROPER(TRIM(Raw_Data!D125))="United kingdom"),"United Kingdom",PROPER(TRIM(Raw_Data!D125)))</f>
        <v>Ireland</v>
      </c>
      <c r="E125" s="6" t="s">
        <v>28</v>
      </c>
      <c r="F125" s="6" t="s">
        <v>100</v>
      </c>
      <c r="G125" s="6" t="str">
        <f>SUBSTITUTE(Raw_Data!G125,"Ã©","é")</f>
        <v>Café Latte Mug</v>
      </c>
      <c r="H125" s="6">
        <v>3</v>
      </c>
      <c r="I125" s="6" t="s">
        <v>90</v>
      </c>
      <c r="J125" s="6" t="s">
        <v>97</v>
      </c>
      <c r="K125" s="6">
        <v>0.64</v>
      </c>
      <c r="L125" s="6" t="s">
        <v>42</v>
      </c>
      <c r="M125" s="6" t="s">
        <v>34</v>
      </c>
      <c r="N125" s="6"/>
    </row>
    <row r="126" spans="1:14">
      <c r="A126" s="6" t="s">
        <v>386</v>
      </c>
      <c r="B126" s="7">
        <v>46299</v>
      </c>
      <c r="C126" s="6" t="s">
        <v>387</v>
      </c>
      <c r="D126" s="6" t="str">
        <f>IF(OR(PROPER(TRIM(Raw_Data!D126))="Uk",PROPER(TRIM(Raw_Data!D126))="Gb",PROPER(TRIM(Raw_Data!D126))="United kingdom"),"United Kingdom",PROPER(TRIM(Raw_Data!D126)))</f>
        <v>United Kingdom</v>
      </c>
      <c r="E126" s="6" t="s">
        <v>37</v>
      </c>
      <c r="F126" s="6" t="s">
        <v>53</v>
      </c>
      <c r="G126" s="6" t="str">
        <f>SUBSTITUTE(Raw_Data!G126,"Ã©","é")</f>
        <v>Alpine Jacket</v>
      </c>
      <c r="H126" s="6">
        <v>1</v>
      </c>
      <c r="I126" s="6" t="s">
        <v>73</v>
      </c>
      <c r="J126" s="6" t="s">
        <v>73</v>
      </c>
      <c r="K126" s="6">
        <v>0.19</v>
      </c>
      <c r="L126" s="6" t="s">
        <v>33</v>
      </c>
      <c r="M126" s="6" t="s">
        <v>34</v>
      </c>
      <c r="N126" s="6"/>
    </row>
    <row r="127" spans="1:14">
      <c r="A127" s="6" t="s">
        <v>388</v>
      </c>
      <c r="B127" s="7">
        <v>46101</v>
      </c>
      <c r="C127" s="6" t="s">
        <v>389</v>
      </c>
      <c r="D127" s="6" t="str">
        <f>IF(OR(PROPER(TRIM(Raw_Data!D127))="Uk",PROPER(TRIM(Raw_Data!D127))="Gb",PROPER(TRIM(Raw_Data!D127))="United kingdom"),"United Kingdom",PROPER(TRIM(Raw_Data!D127)))</f>
        <v>United Kingdom</v>
      </c>
      <c r="E127" s="6" t="s">
        <v>78</v>
      </c>
      <c r="F127" s="6" t="s">
        <v>29</v>
      </c>
      <c r="G127" s="6" t="str">
        <f>SUBSTITUTE(Raw_Data!G127,"Ã©","é")</f>
        <v>Merino Base Layer</v>
      </c>
      <c r="H127" s="6">
        <v>3</v>
      </c>
      <c r="I127" s="6" t="s">
        <v>82</v>
      </c>
      <c r="J127" s="6" t="s">
        <v>390</v>
      </c>
      <c r="K127" s="6">
        <v>0.52</v>
      </c>
      <c r="L127" s="6" t="s">
        <v>42</v>
      </c>
      <c r="M127" s="6" t="s">
        <v>69</v>
      </c>
      <c r="N127" s="6"/>
    </row>
    <row r="128" spans="1:14">
      <c r="A128" s="6" t="s">
        <v>391</v>
      </c>
      <c r="B128" s="7">
        <v>46072</v>
      </c>
      <c r="C128" s="6" t="s">
        <v>381</v>
      </c>
      <c r="D128" s="6" t="str">
        <f>IF(OR(PROPER(TRIM(Raw_Data!D128))="Uk",PROPER(TRIM(Raw_Data!D128))="Gb",PROPER(TRIM(Raw_Data!D128))="United kingdom"),"United Kingdom",PROPER(TRIM(Raw_Data!D128)))</f>
        <v>Germany</v>
      </c>
      <c r="E128" s="6" t="s">
        <v>46</v>
      </c>
      <c r="F128" s="6" t="s">
        <v>53</v>
      </c>
      <c r="G128" s="6" t="str">
        <f>SUBSTITUTE(Raw_Data!G128,"Ã©","é")</f>
        <v>Trekking Poles</v>
      </c>
      <c r="H128" s="6">
        <v>1</v>
      </c>
      <c r="I128" s="6" t="s">
        <v>143</v>
      </c>
      <c r="J128" s="6" t="s">
        <v>143</v>
      </c>
      <c r="K128" s="6">
        <v>0.19</v>
      </c>
      <c r="L128" s="6" t="s">
        <v>42</v>
      </c>
      <c r="M128" s="6" t="s">
        <v>34</v>
      </c>
      <c r="N128" s="6"/>
    </row>
    <row r="129" spans="1:14">
      <c r="A129" s="6" t="s">
        <v>393</v>
      </c>
      <c r="B129" s="7">
        <v>46055</v>
      </c>
      <c r="C129" s="6" t="s">
        <v>394</v>
      </c>
      <c r="D129" s="6" t="str">
        <f>IF(OR(PROPER(TRIM(Raw_Data!D129))="Uk",PROPER(TRIM(Raw_Data!D129))="Gb",PROPER(TRIM(Raw_Data!D129))="United kingdom"),"United Kingdom",PROPER(TRIM(Raw_Data!D129)))</f>
        <v>Ireland</v>
      </c>
      <c r="E129" s="6" t="s">
        <v>78</v>
      </c>
      <c r="F129" s="6" t="s">
        <v>29</v>
      </c>
      <c r="G129" s="6" t="str">
        <f>SUBSTITUTE(Raw_Data!G129,"Ã©","é")</f>
        <v>Merino Base Layer</v>
      </c>
      <c r="H129" s="6">
        <v>1</v>
      </c>
      <c r="I129" s="6" t="s">
        <v>181</v>
      </c>
      <c r="J129" s="6" t="s">
        <v>181</v>
      </c>
      <c r="K129" s="6">
        <v>0.52</v>
      </c>
      <c r="L129" s="6" t="s">
        <v>42</v>
      </c>
      <c r="M129" s="6" t="s">
        <v>34</v>
      </c>
      <c r="N129" s="6"/>
    </row>
    <row r="130" spans="1:14">
      <c r="A130" s="6" t="s">
        <v>395</v>
      </c>
      <c r="B130" s="7">
        <v>46109</v>
      </c>
      <c r="C130" s="6" t="s">
        <v>396</v>
      </c>
      <c r="D130" s="6" t="str">
        <f>IF(OR(PROPER(TRIM(Raw_Data!D130))="Uk",PROPER(TRIM(Raw_Data!D130))="Gb",PROPER(TRIM(Raw_Data!D130))="United kingdom"),"United Kingdom",PROPER(TRIM(Raw_Data!D130)))</f>
        <v>United Kingdom</v>
      </c>
      <c r="E130" s="6" t="s">
        <v>37</v>
      </c>
      <c r="F130" s="6" t="s">
        <v>85</v>
      </c>
      <c r="G130" s="6" t="str">
        <f>SUBSTITUTE(Raw_Data!G130,"Ã©","é")</f>
        <v>Trekking Poles</v>
      </c>
      <c r="H130" s="6">
        <v>3</v>
      </c>
      <c r="I130" s="6" t="s">
        <v>147</v>
      </c>
      <c r="J130" s="6" t="s">
        <v>148</v>
      </c>
      <c r="K130" s="6">
        <v>0.41</v>
      </c>
      <c r="L130" s="6" t="s">
        <v>42</v>
      </c>
      <c r="M130" s="6" t="s">
        <v>34</v>
      </c>
      <c r="N130" s="6"/>
    </row>
    <row r="131" spans="1:14">
      <c r="A131" s="6" t="s">
        <v>397</v>
      </c>
      <c r="B131" s="7">
        <v>46135</v>
      </c>
      <c r="C131" s="6" t="s">
        <v>398</v>
      </c>
      <c r="D131" s="6" t="str">
        <f>IF(OR(PROPER(TRIM(Raw_Data!D131))="Uk",PROPER(TRIM(Raw_Data!D131))="Gb",PROPER(TRIM(Raw_Data!D131))="United kingdom"),"United Kingdom",PROPER(TRIM(Raw_Data!D131)))</f>
        <v>United Kingdom</v>
      </c>
      <c r="E131" s="6" t="s">
        <v>52</v>
      </c>
      <c r="F131" s="6" t="s">
        <v>53</v>
      </c>
      <c r="G131" s="6" t="str">
        <f>SUBSTITUTE(Raw_Data!G131,"Ã©","é")</f>
        <v>Storm Overtrousers</v>
      </c>
      <c r="H131" s="6">
        <v>2</v>
      </c>
      <c r="I131" s="6" t="s">
        <v>117</v>
      </c>
      <c r="J131" s="6" t="s">
        <v>118</v>
      </c>
      <c r="K131" s="6">
        <v>0.19</v>
      </c>
      <c r="L131" s="6" t="s">
        <v>42</v>
      </c>
      <c r="M131" s="6" t="s">
        <v>34</v>
      </c>
      <c r="N131" s="6"/>
    </row>
    <row r="132" spans="1:14">
      <c r="A132" s="6" t="s">
        <v>399</v>
      </c>
      <c r="B132" s="7">
        <v>46038</v>
      </c>
      <c r="C132" s="6" t="s">
        <v>400</v>
      </c>
      <c r="D132" s="6" t="str">
        <f>IF(OR(PROPER(TRIM(Raw_Data!D132))="Uk",PROPER(TRIM(Raw_Data!D132))="Gb",PROPER(TRIM(Raw_Data!D132))="United kingdom"),"United Kingdom",PROPER(TRIM(Raw_Data!D132)))</f>
        <v>Germany</v>
      </c>
      <c r="E132" s="6" t="s">
        <v>78</v>
      </c>
      <c r="F132" s="6" t="s">
        <v>94</v>
      </c>
      <c r="G132" s="6" t="str">
        <f>SUBSTITUTE(Raw_Data!G132,"Ã©","é")</f>
        <v>Merino Base Layer</v>
      </c>
      <c r="H132" s="6">
        <v>3</v>
      </c>
      <c r="I132" s="6" t="s">
        <v>265</v>
      </c>
      <c r="J132" s="6" t="s">
        <v>401</v>
      </c>
      <c r="K132" s="6">
        <v>0.34</v>
      </c>
      <c r="L132" s="6" t="s">
        <v>42</v>
      </c>
      <c r="M132" s="6" t="s">
        <v>34</v>
      </c>
      <c r="N132" s="6"/>
    </row>
    <row r="133" spans="1:14">
      <c r="A133" s="6" t="s">
        <v>402</v>
      </c>
      <c r="B133" s="7">
        <v>46329</v>
      </c>
      <c r="C133" s="6" t="s">
        <v>345</v>
      </c>
      <c r="D133" s="6" t="str">
        <f>IF(OR(PROPER(TRIM(Raw_Data!D133))="Uk",PROPER(TRIM(Raw_Data!D133))="Gb",PROPER(TRIM(Raw_Data!D133))="United kingdom"),"United Kingdom",PROPER(TRIM(Raw_Data!D133)))</f>
        <v>France</v>
      </c>
      <c r="E133" s="6" t="s">
        <v>52</v>
      </c>
      <c r="F133" s="6" t="s">
        <v>94</v>
      </c>
      <c r="G133" s="6" t="str">
        <f>SUBSTITUTE(Raw_Data!G133,"Ã©","é")</f>
        <v>Café Latte Mug</v>
      </c>
      <c r="H133" s="6">
        <v>1</v>
      </c>
      <c r="I133" s="6" t="s">
        <v>82</v>
      </c>
      <c r="J133" s="6" t="s">
        <v>82</v>
      </c>
      <c r="K133" s="6">
        <v>0.34</v>
      </c>
      <c r="L133" s="6" t="s">
        <v>42</v>
      </c>
      <c r="M133" s="6" t="s">
        <v>69</v>
      </c>
      <c r="N133" s="6"/>
    </row>
    <row r="134" spans="1:14">
      <c r="A134" s="6" t="s">
        <v>403</v>
      </c>
      <c r="B134" s="7">
        <v>46111</v>
      </c>
      <c r="C134" s="6" t="s">
        <v>202</v>
      </c>
      <c r="D134" s="6" t="str">
        <f>IF(OR(PROPER(TRIM(Raw_Data!D134))="Uk",PROPER(TRIM(Raw_Data!D134))="Gb",PROPER(TRIM(Raw_Data!D134))="United kingdom"),"United Kingdom",PROPER(TRIM(Raw_Data!D134)))</f>
        <v>United Kingdom</v>
      </c>
      <c r="E134" s="6" t="s">
        <v>28</v>
      </c>
      <c r="F134" s="6" t="s">
        <v>100</v>
      </c>
      <c r="G134" s="6" t="str">
        <f>SUBSTITUTE(Raw_Data!G134,"Ã©","é")</f>
        <v>Café Latte Mug</v>
      </c>
      <c r="H134" s="6">
        <v>-1</v>
      </c>
      <c r="I134" s="6" t="s">
        <v>31</v>
      </c>
      <c r="J134" s="8" t="s">
        <v>404</v>
      </c>
      <c r="K134" s="6">
        <v>0.64</v>
      </c>
      <c r="L134" s="6" t="s">
        <v>42</v>
      </c>
      <c r="M134" s="6" t="s">
        <v>34</v>
      </c>
      <c r="N134" s="6"/>
    </row>
    <row r="135" spans="1:14">
      <c r="A135" s="6" t="s">
        <v>405</v>
      </c>
      <c r="B135" s="7">
        <v>46142</v>
      </c>
      <c r="C135" s="6" t="s">
        <v>406</v>
      </c>
      <c r="D135" s="6" t="str">
        <f>IF(OR(PROPER(TRIM(Raw_Data!D135))="Uk",PROPER(TRIM(Raw_Data!D135))="Gb",PROPER(TRIM(Raw_Data!D135))="United kingdom"),"United Kingdom",PROPER(TRIM(Raw_Data!D135)))</f>
        <v>Ireland</v>
      </c>
      <c r="E135" s="6" t="s">
        <v>46</v>
      </c>
      <c r="F135" s="6" t="s">
        <v>53</v>
      </c>
      <c r="G135" s="6" t="str">
        <f>SUBSTITUTE(Raw_Data!G135,"Ã©","é")</f>
        <v>Alpine Jacket</v>
      </c>
      <c r="H135" s="6">
        <v>3</v>
      </c>
      <c r="I135" s="6" t="s">
        <v>96</v>
      </c>
      <c r="J135" s="6" t="s">
        <v>97</v>
      </c>
      <c r="K135" s="6">
        <v>0.19</v>
      </c>
      <c r="L135" s="6" t="s">
        <v>42</v>
      </c>
      <c r="M135" s="6" t="s">
        <v>34</v>
      </c>
      <c r="N135" s="6"/>
    </row>
    <row r="136" spans="1:14">
      <c r="A136" s="6" t="s">
        <v>407</v>
      </c>
      <c r="B136" s="7">
        <v>46142</v>
      </c>
      <c r="C136" s="6" t="s">
        <v>408</v>
      </c>
      <c r="D136" s="6" t="str">
        <f>IF(OR(PROPER(TRIM(Raw_Data!D136))="Uk",PROPER(TRIM(Raw_Data!D136))="Gb",PROPER(TRIM(Raw_Data!D136))="United kingdom"),"United Kingdom",PROPER(TRIM(Raw_Data!D136)))</f>
        <v>United Kingdom</v>
      </c>
      <c r="E136" s="6" t="s">
        <v>28</v>
      </c>
      <c r="F136" s="6" t="s">
        <v>29</v>
      </c>
      <c r="G136" s="6" t="str">
        <f>SUBSTITUTE(Raw_Data!G136,"Ã©","é")</f>
        <v>Merino Base Layer</v>
      </c>
      <c r="H136" s="6">
        <v>2</v>
      </c>
      <c r="I136" s="6" t="s">
        <v>181</v>
      </c>
      <c r="J136" s="6" t="s">
        <v>163</v>
      </c>
      <c r="K136" s="6">
        <v>0.52</v>
      </c>
      <c r="L136" s="6" t="s">
        <v>33</v>
      </c>
      <c r="M136" s="6" t="s">
        <v>34</v>
      </c>
      <c r="N136" s="6"/>
    </row>
    <row r="137" spans="1:14">
      <c r="A137" s="6" t="s">
        <v>409</v>
      </c>
      <c r="B137" s="7">
        <v>46088</v>
      </c>
      <c r="C137" s="6" t="s">
        <v>410</v>
      </c>
      <c r="D137" s="6" t="str">
        <f>IF(OR(PROPER(TRIM(Raw_Data!D137))="Uk",PROPER(TRIM(Raw_Data!D137))="Gb",PROPER(TRIM(Raw_Data!D137))="United kingdom"),"United Kingdom",PROPER(TRIM(Raw_Data!D137)))</f>
        <v>Ireland</v>
      </c>
      <c r="E137" s="6" t="s">
        <v>37</v>
      </c>
      <c r="F137" s="6" t="s">
        <v>29</v>
      </c>
      <c r="G137" s="6" t="str">
        <f>SUBSTITUTE(Raw_Data!G137,"Ã©","é")</f>
        <v>Trekking Poles</v>
      </c>
      <c r="H137" s="6">
        <v>2</v>
      </c>
      <c r="I137" s="6" t="s">
        <v>231</v>
      </c>
      <c r="J137" s="6" t="s">
        <v>232</v>
      </c>
      <c r="K137" s="6">
        <v>0.52</v>
      </c>
      <c r="L137" s="6" t="s">
        <v>42</v>
      </c>
      <c r="M137" s="6" t="s">
        <v>34</v>
      </c>
      <c r="N137" s="6"/>
    </row>
    <row r="138" spans="1:14">
      <c r="A138" s="6" t="s">
        <v>411</v>
      </c>
      <c r="B138" s="7">
        <v>46271</v>
      </c>
      <c r="C138" s="6" t="s">
        <v>412</v>
      </c>
      <c r="D138" s="6" t="str">
        <f>IF(OR(PROPER(TRIM(Raw_Data!D138))="Uk",PROPER(TRIM(Raw_Data!D138))="Gb",PROPER(TRIM(Raw_Data!D138))="United kingdom"),"United Kingdom",PROPER(TRIM(Raw_Data!D138)))</f>
        <v>United Kingdom</v>
      </c>
      <c r="E138" s="6" t="s">
        <v>78</v>
      </c>
      <c r="F138" s="6" t="s">
        <v>100</v>
      </c>
      <c r="G138" s="6" t="str">
        <f>SUBSTITUTE(Raw_Data!G138,"Ã©","é")</f>
        <v>Trekking Poles</v>
      </c>
      <c r="H138" s="6">
        <v>2</v>
      </c>
      <c r="I138" s="6" t="s">
        <v>73</v>
      </c>
      <c r="J138" s="6" t="s">
        <v>74</v>
      </c>
      <c r="K138" s="6">
        <v>0.64</v>
      </c>
      <c r="L138" s="6" t="s">
        <v>42</v>
      </c>
      <c r="M138" s="6" t="s">
        <v>34</v>
      </c>
      <c r="N138" s="6"/>
    </row>
    <row r="139" spans="1:14">
      <c r="A139" s="6" t="s">
        <v>413</v>
      </c>
      <c r="B139" s="7">
        <v>46171</v>
      </c>
      <c r="C139" s="6" t="s">
        <v>414</v>
      </c>
      <c r="D139" s="6" t="str">
        <f>IF(OR(PROPER(TRIM(Raw_Data!D139))="Uk",PROPER(TRIM(Raw_Data!D139))="Gb",PROPER(TRIM(Raw_Data!D139))="United kingdom"),"United Kingdom",PROPER(TRIM(Raw_Data!D139)))</f>
        <v>United Kingdom</v>
      </c>
      <c r="E139" s="6" t="s">
        <v>37</v>
      </c>
      <c r="F139" s="6" t="s">
        <v>100</v>
      </c>
      <c r="G139" s="6" t="str">
        <f>SUBSTITUTE(Raw_Data!G139,"Ã©","é")</f>
        <v>Alpine Jacket</v>
      </c>
      <c r="H139" s="6">
        <v>2</v>
      </c>
      <c r="I139" s="6" t="s">
        <v>67</v>
      </c>
      <c r="J139" s="6" t="s">
        <v>204</v>
      </c>
      <c r="K139" s="6">
        <v>0.64</v>
      </c>
      <c r="L139" s="6" t="s">
        <v>42</v>
      </c>
      <c r="M139" s="6" t="s">
        <v>34</v>
      </c>
      <c r="N139" s="6"/>
    </row>
    <row r="140" spans="1:14">
      <c r="A140" s="6" t="s">
        <v>415</v>
      </c>
      <c r="B140" s="7">
        <v>46174</v>
      </c>
      <c r="C140" s="6" t="s">
        <v>416</v>
      </c>
      <c r="D140" s="6" t="str">
        <f>IF(OR(PROPER(TRIM(Raw_Data!D140))="Uk",PROPER(TRIM(Raw_Data!D140))="Gb",PROPER(TRIM(Raw_Data!D140))="United kingdom"),"United Kingdom",PROPER(TRIM(Raw_Data!D140)))</f>
        <v>United Kingdom</v>
      </c>
      <c r="E140" s="6" t="s">
        <v>28</v>
      </c>
      <c r="F140" s="6" t="s">
        <v>47</v>
      </c>
      <c r="G140" s="6" t="str">
        <f>SUBSTITUTE(Raw_Data!G140,"Ã©","é")</f>
        <v>Alpine Jacket</v>
      </c>
      <c r="H140" s="6">
        <v>1</v>
      </c>
      <c r="I140" s="6" t="s">
        <v>40</v>
      </c>
      <c r="J140" s="6" t="s">
        <v>40</v>
      </c>
      <c r="K140" s="6">
        <v>8.5000000000000006E-2</v>
      </c>
      <c r="L140" s="6" t="s">
        <v>42</v>
      </c>
      <c r="M140" s="6" t="s">
        <v>69</v>
      </c>
      <c r="N140" s="6"/>
    </row>
    <row r="141" spans="1:14">
      <c r="A141" s="6" t="s">
        <v>417</v>
      </c>
      <c r="B141" s="7">
        <v>46161</v>
      </c>
      <c r="C141" s="6" t="s">
        <v>225</v>
      </c>
      <c r="D141" s="6" t="str">
        <f>IF(OR(PROPER(TRIM(Raw_Data!D141))="Uk",PROPER(TRIM(Raw_Data!D141))="Gb",PROPER(TRIM(Raw_Data!D141))="United kingdom"),"United Kingdom",PROPER(TRIM(Raw_Data!D141)))</f>
        <v>United Kingdom</v>
      </c>
      <c r="E141" s="6" t="s">
        <v>28</v>
      </c>
      <c r="F141" s="6" t="s">
        <v>85</v>
      </c>
      <c r="G141" s="6" t="str">
        <f>SUBSTITUTE(Raw_Data!G141,"Ã©","é")</f>
        <v>Fell Runner Cap</v>
      </c>
      <c r="H141" s="6">
        <v>1</v>
      </c>
      <c r="I141" s="6" t="s">
        <v>31</v>
      </c>
      <c r="J141" s="6" t="s">
        <v>31</v>
      </c>
      <c r="K141" s="6">
        <v>0.41</v>
      </c>
      <c r="L141" s="6" t="s">
        <v>42</v>
      </c>
      <c r="M141" s="6" t="s">
        <v>34</v>
      </c>
      <c r="N141" s="6"/>
    </row>
    <row r="142" spans="1:14">
      <c r="A142" s="6" t="s">
        <v>418</v>
      </c>
      <c r="B142" s="7">
        <v>46068</v>
      </c>
      <c r="C142" s="6" t="s">
        <v>353</v>
      </c>
      <c r="D142" s="6" t="str">
        <f>IF(OR(PROPER(TRIM(Raw_Data!D142))="Uk",PROPER(TRIM(Raw_Data!D142))="Gb",PROPER(TRIM(Raw_Data!D142))="United kingdom"),"United Kingdom",PROPER(TRIM(Raw_Data!D142)))</f>
        <v>Ireland</v>
      </c>
      <c r="E142" s="6" t="s">
        <v>78</v>
      </c>
      <c r="F142" s="6" t="s">
        <v>94</v>
      </c>
      <c r="G142" s="6" t="str">
        <f>SUBSTITUTE(Raw_Data!G142,"Ã©","é")</f>
        <v>Storm Overtrousers</v>
      </c>
      <c r="H142" s="6">
        <v>2</v>
      </c>
      <c r="I142" s="6" t="s">
        <v>90</v>
      </c>
      <c r="J142" s="6" t="s">
        <v>154</v>
      </c>
      <c r="K142" s="6">
        <v>0.34</v>
      </c>
      <c r="L142" s="6" t="s">
        <v>33</v>
      </c>
      <c r="M142" s="6" t="s">
        <v>34</v>
      </c>
      <c r="N142" s="6"/>
    </row>
    <row r="143" spans="1:14">
      <c r="A143" s="6" t="s">
        <v>419</v>
      </c>
      <c r="B143" s="7">
        <v>46132</v>
      </c>
      <c r="C143" s="6" t="s">
        <v>420</v>
      </c>
      <c r="D143" s="6" t="str">
        <f>IF(OR(PROPER(TRIM(Raw_Data!D143))="Uk",PROPER(TRIM(Raw_Data!D143))="Gb",PROPER(TRIM(Raw_Data!D143))="United kingdom"),"United Kingdom",PROPER(TRIM(Raw_Data!D143)))</f>
        <v>United Kingdom</v>
      </c>
      <c r="E143" s="6" t="s">
        <v>28</v>
      </c>
      <c r="F143" s="6" t="s">
        <v>29</v>
      </c>
      <c r="G143" s="6" t="str">
        <f>SUBSTITUTE(Raw_Data!G143,"Ã©","é")</f>
        <v>Café Latte Mug</v>
      </c>
      <c r="H143" s="6">
        <v>3</v>
      </c>
      <c r="I143" s="6" t="s">
        <v>82</v>
      </c>
      <c r="J143" s="6" t="s">
        <v>390</v>
      </c>
      <c r="K143" s="6">
        <v>0.52</v>
      </c>
      <c r="L143" s="6" t="s">
        <v>42</v>
      </c>
      <c r="M143" s="6" t="s">
        <v>69</v>
      </c>
      <c r="N143" s="6"/>
    </row>
    <row r="144" spans="1:14">
      <c r="A144" s="6" t="s">
        <v>421</v>
      </c>
      <c r="B144" s="7">
        <v>46155</v>
      </c>
      <c r="C144" s="6" t="s">
        <v>256</v>
      </c>
      <c r="D144" s="6" t="str">
        <f>IF(OR(PROPER(TRIM(Raw_Data!D144))="Uk",PROPER(TRIM(Raw_Data!D144))="Gb",PROPER(TRIM(Raw_Data!D144))="United kingdom"),"United Kingdom",PROPER(TRIM(Raw_Data!D144)))</f>
        <v>Ireland</v>
      </c>
      <c r="E144" s="6" t="s">
        <v>52</v>
      </c>
      <c r="F144" s="6" t="s">
        <v>94</v>
      </c>
      <c r="G144" s="6" t="str">
        <f>SUBSTITUTE(Raw_Data!G144,"Ã©","é")</f>
        <v>Trekking Poles</v>
      </c>
      <c r="H144" s="6">
        <v>1</v>
      </c>
      <c r="I144" s="6" t="s">
        <v>79</v>
      </c>
      <c r="J144" s="6" t="s">
        <v>79</v>
      </c>
      <c r="K144" s="6">
        <v>0.34</v>
      </c>
      <c r="L144" s="6" t="s">
        <v>42</v>
      </c>
      <c r="M144" s="6" t="s">
        <v>34</v>
      </c>
      <c r="N144" s="6"/>
    </row>
    <row r="145" spans="1:14">
      <c r="A145" s="6" t="s">
        <v>422</v>
      </c>
      <c r="B145" s="7">
        <v>46209</v>
      </c>
      <c r="C145" s="6" t="s">
        <v>423</v>
      </c>
      <c r="D145" s="6" t="str">
        <f>IF(OR(PROPER(TRIM(Raw_Data!D145))="Uk",PROPER(TRIM(Raw_Data!D145))="Gb",PROPER(TRIM(Raw_Data!D145))="United kingdom"),"United Kingdom",PROPER(TRIM(Raw_Data!D145)))</f>
        <v>France</v>
      </c>
      <c r="E145" s="6" t="s">
        <v>28</v>
      </c>
      <c r="F145" s="6" t="s">
        <v>38</v>
      </c>
      <c r="G145" s="6" t="str">
        <f>SUBSTITUTE(Raw_Data!G145,"Ã©","é")</f>
        <v>Café Latte Mug</v>
      </c>
      <c r="H145" s="6">
        <v>1</v>
      </c>
      <c r="I145" s="6" t="s">
        <v>40</v>
      </c>
      <c r="J145" s="6" t="s">
        <v>40</v>
      </c>
      <c r="K145" s="6">
        <v>0.52</v>
      </c>
      <c r="L145" s="6" t="s">
        <v>42</v>
      </c>
      <c r="M145" s="6" t="s">
        <v>34</v>
      </c>
      <c r="N145" s="6"/>
    </row>
    <row r="146" spans="1:14">
      <c r="A146" s="6" t="s">
        <v>424</v>
      </c>
      <c r="B146" s="7">
        <v>46058</v>
      </c>
      <c r="C146" s="6" t="s">
        <v>425</v>
      </c>
      <c r="D146" s="6" t="str">
        <f>IF(OR(PROPER(TRIM(Raw_Data!D146))="Uk",PROPER(TRIM(Raw_Data!D146))="Gb",PROPER(TRIM(Raw_Data!D146))="United kingdom"),"United Kingdom",PROPER(TRIM(Raw_Data!D146)))</f>
        <v>Ireland</v>
      </c>
      <c r="E146" s="6" t="s">
        <v>52</v>
      </c>
      <c r="F146" s="6" t="s">
        <v>53</v>
      </c>
      <c r="G146" s="6" t="str">
        <f>SUBSTITUTE(Raw_Data!G146,"Ã©","é")</f>
        <v>Trail Softshell</v>
      </c>
      <c r="H146" s="6">
        <v>2</v>
      </c>
      <c r="I146" s="6" t="s">
        <v>96</v>
      </c>
      <c r="J146" s="6" t="s">
        <v>278</v>
      </c>
      <c r="K146" s="6">
        <v>0.19</v>
      </c>
      <c r="L146" s="6" t="s">
        <v>42</v>
      </c>
      <c r="M146" s="6" t="s">
        <v>34</v>
      </c>
      <c r="N146" s="6"/>
    </row>
    <row r="147" spans="1:14">
      <c r="A147" s="6" t="s">
        <v>426</v>
      </c>
      <c r="B147" s="7">
        <v>46077</v>
      </c>
      <c r="C147" s="6" t="s">
        <v>427</v>
      </c>
      <c r="D147" s="6" t="str">
        <f>IF(OR(PROPER(TRIM(Raw_Data!D147))="Uk",PROPER(TRIM(Raw_Data!D147))="Gb",PROPER(TRIM(Raw_Data!D147))="United kingdom"),"United Kingdom",PROPER(TRIM(Raw_Data!D147)))</f>
        <v>United Kingdom</v>
      </c>
      <c r="E147" s="6" t="s">
        <v>37</v>
      </c>
      <c r="F147" s="6" t="s">
        <v>38</v>
      </c>
      <c r="G147" s="6" t="str">
        <f>SUBSTITUTE(Raw_Data!G147,"Ã©","é")</f>
        <v>Merino Base Layer</v>
      </c>
      <c r="H147" s="6">
        <v>1</v>
      </c>
      <c r="I147" s="6" t="s">
        <v>31</v>
      </c>
      <c r="J147" s="6" t="s">
        <v>31</v>
      </c>
      <c r="K147" s="6">
        <v>0.52</v>
      </c>
      <c r="L147" s="6" t="s">
        <v>42</v>
      </c>
      <c r="M147" s="6" t="s">
        <v>34</v>
      </c>
      <c r="N147" s="6"/>
    </row>
    <row r="148" spans="1:14">
      <c r="A148" s="6" t="s">
        <v>428</v>
      </c>
      <c r="B148" s="7">
        <v>46237</v>
      </c>
      <c r="C148" s="6" t="s">
        <v>429</v>
      </c>
      <c r="D148" s="6" t="str">
        <f>IF(OR(PROPER(TRIM(Raw_Data!D148))="Uk",PROPER(TRIM(Raw_Data!D148))="Gb",PROPER(TRIM(Raw_Data!D148))="United kingdom"),"United Kingdom",PROPER(TRIM(Raw_Data!D148)))</f>
        <v>Ireland</v>
      </c>
      <c r="E148" s="6" t="s">
        <v>78</v>
      </c>
      <c r="F148" s="6" t="s">
        <v>29</v>
      </c>
      <c r="G148" s="6" t="str">
        <f>SUBSTITUTE(Raw_Data!G148,"Ã©","é")</f>
        <v>Trail Softshell</v>
      </c>
      <c r="H148" s="6">
        <v>1</v>
      </c>
      <c r="I148" s="6" t="s">
        <v>117</v>
      </c>
      <c r="J148" s="6" t="s">
        <v>117</v>
      </c>
      <c r="K148" s="6">
        <v>0.52</v>
      </c>
      <c r="L148" s="6" t="s">
        <v>42</v>
      </c>
      <c r="M148" s="6" t="s">
        <v>34</v>
      </c>
      <c r="N148" s="6"/>
    </row>
    <row r="149" spans="1:14">
      <c r="A149" s="6" t="s">
        <v>430</v>
      </c>
      <c r="B149" s="7">
        <v>46145</v>
      </c>
      <c r="C149" s="6" t="s">
        <v>431</v>
      </c>
      <c r="D149" s="6" t="str">
        <f>IF(OR(PROPER(TRIM(Raw_Data!D149))="Uk",PROPER(TRIM(Raw_Data!D149))="Gb",PROPER(TRIM(Raw_Data!D149))="United kingdom"),"United Kingdom",PROPER(TRIM(Raw_Data!D149)))</f>
        <v>United Kingdom</v>
      </c>
      <c r="E149" s="6" t="s">
        <v>37</v>
      </c>
      <c r="F149" s="6" t="s">
        <v>53</v>
      </c>
      <c r="G149" s="6" t="str">
        <f>SUBSTITUTE(Raw_Data!G149,"Ã©","é")</f>
        <v>Trekking Poles</v>
      </c>
      <c r="H149" s="6">
        <v>-2</v>
      </c>
      <c r="I149" s="6" t="s">
        <v>90</v>
      </c>
      <c r="J149" s="8" t="s">
        <v>292</v>
      </c>
      <c r="K149" s="6">
        <v>0.19</v>
      </c>
      <c r="L149" s="6" t="s">
        <v>42</v>
      </c>
      <c r="M149" s="6" t="s">
        <v>34</v>
      </c>
      <c r="N149" s="6"/>
    </row>
    <row r="150" spans="1:14">
      <c r="A150" s="6" t="s">
        <v>432</v>
      </c>
      <c r="B150" s="7">
        <v>46137</v>
      </c>
      <c r="C150" s="6" t="s">
        <v>433</v>
      </c>
      <c r="D150" s="6" t="str">
        <f>IF(OR(PROPER(TRIM(Raw_Data!D150))="Uk",PROPER(TRIM(Raw_Data!D150))="Gb",PROPER(TRIM(Raw_Data!D150))="United kingdom"),"United Kingdom",PROPER(TRIM(Raw_Data!D150)))</f>
        <v>United Kingdom</v>
      </c>
      <c r="E150" s="6" t="s">
        <v>52</v>
      </c>
      <c r="F150" s="6" t="s">
        <v>85</v>
      </c>
      <c r="G150" s="6" t="str">
        <f>SUBSTITUTE(Raw_Data!G150,"Ã©","é")</f>
        <v>Merino Base Layer</v>
      </c>
      <c r="H150" s="6">
        <v>1</v>
      </c>
      <c r="I150" s="6" t="s">
        <v>31</v>
      </c>
      <c r="J150" s="6" t="s">
        <v>31</v>
      </c>
      <c r="K150" s="6">
        <v>0.41</v>
      </c>
      <c r="L150" s="6" t="s">
        <v>42</v>
      </c>
      <c r="M150" s="6" t="s">
        <v>69</v>
      </c>
      <c r="N150" s="6"/>
    </row>
    <row r="151" spans="1:14">
      <c r="A151" s="6" t="s">
        <v>434</v>
      </c>
      <c r="B151" s="7">
        <v>46109</v>
      </c>
      <c r="C151" s="6" t="s">
        <v>436</v>
      </c>
      <c r="D151" s="6" t="str">
        <f>IF(OR(PROPER(TRIM(Raw_Data!D151))="Uk",PROPER(TRIM(Raw_Data!D151))="Gb",PROPER(TRIM(Raw_Data!D151))="United kingdom"),"United Kingdom",PROPER(TRIM(Raw_Data!D151)))</f>
        <v>United Kingdom</v>
      </c>
      <c r="E151" s="6" t="s">
        <v>78</v>
      </c>
      <c r="F151" s="6" t="s">
        <v>100</v>
      </c>
      <c r="G151" s="6" t="str">
        <f>SUBSTITUTE(Raw_Data!G151,"Ã©","é")</f>
        <v>Storm Overtrousers</v>
      </c>
      <c r="H151" s="6">
        <v>2</v>
      </c>
      <c r="I151" s="6" t="s">
        <v>437</v>
      </c>
      <c r="J151" s="6" t="s">
        <v>327</v>
      </c>
      <c r="K151" s="6">
        <v>0.64</v>
      </c>
      <c r="L151" s="6" t="s">
        <v>42</v>
      </c>
      <c r="M151" s="6" t="s">
        <v>34</v>
      </c>
      <c r="N151" s="6"/>
    </row>
    <row r="152" spans="1:14">
      <c r="A152" s="6" t="s">
        <v>438</v>
      </c>
      <c r="B152" s="7">
        <v>46155</v>
      </c>
      <c r="C152" s="6" t="s">
        <v>439</v>
      </c>
      <c r="D152" s="6" t="str">
        <f>IF(OR(PROPER(TRIM(Raw_Data!D152))="Uk",PROPER(TRIM(Raw_Data!D152))="Gb",PROPER(TRIM(Raw_Data!D152))="United kingdom"),"United Kingdom",PROPER(TRIM(Raw_Data!D152)))</f>
        <v>United Kingdom</v>
      </c>
      <c r="E152" s="6" t="s">
        <v>78</v>
      </c>
      <c r="F152" s="6" t="s">
        <v>85</v>
      </c>
      <c r="G152" s="6" t="str">
        <f>SUBSTITUTE(Raw_Data!G152,"Ã©","é")</f>
        <v>Alpine Jacket</v>
      </c>
      <c r="H152" s="6">
        <v>3</v>
      </c>
      <c r="I152" s="6" t="s">
        <v>96</v>
      </c>
      <c r="J152" s="6" t="s">
        <v>97</v>
      </c>
      <c r="K152" s="6">
        <v>0.41</v>
      </c>
      <c r="L152" s="6" t="s">
        <v>42</v>
      </c>
      <c r="M152" s="6" t="s">
        <v>34</v>
      </c>
      <c r="N152" s="6"/>
    </row>
    <row r="153" spans="1:14">
      <c r="A153" s="6" t="s">
        <v>440</v>
      </c>
      <c r="B153" s="7">
        <v>46266</v>
      </c>
      <c r="C153" s="6" t="s">
        <v>441</v>
      </c>
      <c r="D153" s="6" t="str">
        <f>IF(OR(PROPER(TRIM(Raw_Data!D153))="Uk",PROPER(TRIM(Raw_Data!D153))="Gb",PROPER(TRIM(Raw_Data!D153))="United kingdom"),"United Kingdom",PROPER(TRIM(Raw_Data!D153)))</f>
        <v>United Kingdom</v>
      </c>
      <c r="E153" s="6" t="s">
        <v>28</v>
      </c>
      <c r="F153" s="6" t="s">
        <v>53</v>
      </c>
      <c r="G153" s="6" t="str">
        <f>SUBSTITUTE(Raw_Data!G153,"Ã©","é")</f>
        <v>Storm Overtrousers</v>
      </c>
      <c r="H153" s="6">
        <v>1</v>
      </c>
      <c r="I153" s="6" t="s">
        <v>143</v>
      </c>
      <c r="J153" s="6" t="s">
        <v>143</v>
      </c>
      <c r="K153" s="6">
        <v>0.19</v>
      </c>
      <c r="L153" s="6" t="s">
        <v>42</v>
      </c>
      <c r="M153" s="6" t="s">
        <v>69</v>
      </c>
      <c r="N153" s="6"/>
    </row>
    <row r="154" spans="1:14">
      <c r="A154" s="6" t="s">
        <v>442</v>
      </c>
      <c r="B154" s="7">
        <v>46164</v>
      </c>
      <c r="C154" s="6" t="s">
        <v>227</v>
      </c>
      <c r="D154" s="6" t="str">
        <f>IF(OR(PROPER(TRIM(Raw_Data!D154))="Uk",PROPER(TRIM(Raw_Data!D154))="Gb",PROPER(TRIM(Raw_Data!D154))="United kingdom"),"United Kingdom",PROPER(TRIM(Raw_Data!D154)))</f>
        <v>Ireland</v>
      </c>
      <c r="E154" s="6" t="s">
        <v>28</v>
      </c>
      <c r="F154" s="6" t="s">
        <v>58</v>
      </c>
      <c r="G154" s="6" t="str">
        <f>SUBSTITUTE(Raw_Data!G154,"Ã©","é")</f>
        <v>Merino Base Layer</v>
      </c>
      <c r="H154" s="6">
        <v>3</v>
      </c>
      <c r="I154" s="6" t="s">
        <v>143</v>
      </c>
      <c r="J154" s="6" t="s">
        <v>243</v>
      </c>
      <c r="K154" s="6">
        <v>0.38</v>
      </c>
      <c r="L154" s="6" t="s">
        <v>33</v>
      </c>
      <c r="M154" s="6" t="s">
        <v>34</v>
      </c>
      <c r="N154" s="6"/>
    </row>
    <row r="155" spans="1:14">
      <c r="A155" s="6" t="s">
        <v>443</v>
      </c>
      <c r="B155" s="7">
        <v>46199</v>
      </c>
      <c r="C155" s="6" t="s">
        <v>444</v>
      </c>
      <c r="D155" s="6" t="str">
        <f>IF(OR(PROPER(TRIM(Raw_Data!D155))="Uk",PROPER(TRIM(Raw_Data!D155))="Gb",PROPER(TRIM(Raw_Data!D155))="United kingdom"),"United Kingdom",PROPER(TRIM(Raw_Data!D155)))</f>
        <v>Ireland</v>
      </c>
      <c r="E155" s="6" t="s">
        <v>37</v>
      </c>
      <c r="F155" s="6" t="s">
        <v>47</v>
      </c>
      <c r="G155" s="6" t="str">
        <f>SUBSTITUTE(Raw_Data!G155,"Ã©","é")</f>
        <v>Summit Down Gilet</v>
      </c>
      <c r="H155" s="6">
        <v>1</v>
      </c>
      <c r="I155" s="6" t="s">
        <v>90</v>
      </c>
      <c r="J155" s="6" t="s">
        <v>90</v>
      </c>
      <c r="K155" s="6">
        <v>8.5000000000000006E-2</v>
      </c>
      <c r="L155" s="6" t="s">
        <v>42</v>
      </c>
      <c r="M155" s="6" t="s">
        <v>69</v>
      </c>
      <c r="N155" s="6"/>
    </row>
    <row r="156" spans="1:14">
      <c r="A156" s="6" t="s">
        <v>445</v>
      </c>
      <c r="B156" s="7">
        <v>46204</v>
      </c>
      <c r="C156" s="6" t="s">
        <v>446</v>
      </c>
      <c r="D156" s="6" t="str">
        <f>IF(OR(PROPER(TRIM(Raw_Data!D156))="Uk",PROPER(TRIM(Raw_Data!D156))="Gb",PROPER(TRIM(Raw_Data!D156))="United kingdom"),"United Kingdom",PROPER(TRIM(Raw_Data!D156)))</f>
        <v>United Kingdom</v>
      </c>
      <c r="E156" s="6" t="s">
        <v>37</v>
      </c>
      <c r="F156" s="6" t="s">
        <v>58</v>
      </c>
      <c r="G156" s="6" t="str">
        <f>SUBSTITUTE(Raw_Data!G156,"Ã©","é")</f>
        <v>Fell Runner Cap</v>
      </c>
      <c r="H156" s="6">
        <v>3</v>
      </c>
      <c r="I156" s="6" t="s">
        <v>447</v>
      </c>
      <c r="J156" s="6" t="s">
        <v>448</v>
      </c>
      <c r="K156" s="6">
        <v>0.38</v>
      </c>
      <c r="L156" s="6" t="s">
        <v>42</v>
      </c>
      <c r="M156" s="6" t="s">
        <v>34</v>
      </c>
      <c r="N156" s="6"/>
    </row>
    <row r="157" spans="1:14">
      <c r="A157" s="6" t="s">
        <v>449</v>
      </c>
      <c r="B157" s="7">
        <v>46025</v>
      </c>
      <c r="C157" s="6" t="s">
        <v>450</v>
      </c>
      <c r="D157" s="6" t="str">
        <f>IF(OR(PROPER(TRIM(Raw_Data!D157))="Uk",PROPER(TRIM(Raw_Data!D157))="Gb",PROPER(TRIM(Raw_Data!D157))="United kingdom"),"United Kingdom",PROPER(TRIM(Raw_Data!D157)))</f>
        <v>Germany</v>
      </c>
      <c r="E157" s="6" t="s">
        <v>46</v>
      </c>
      <c r="F157" s="6" t="s">
        <v>85</v>
      </c>
      <c r="G157" s="6" t="str">
        <f>SUBSTITUTE(Raw_Data!G157,"Ã©","é")</f>
        <v>Summit Down Gilet</v>
      </c>
      <c r="H157" s="6">
        <v>3</v>
      </c>
      <c r="I157" s="6" t="s">
        <v>147</v>
      </c>
      <c r="J157" s="6" t="s">
        <v>148</v>
      </c>
      <c r="K157" s="6">
        <v>0.41</v>
      </c>
      <c r="L157" s="6" t="s">
        <v>42</v>
      </c>
      <c r="M157" s="6" t="s">
        <v>34</v>
      </c>
      <c r="N157" s="6"/>
    </row>
    <row r="158" spans="1:14">
      <c r="A158" s="6" t="s">
        <v>451</v>
      </c>
      <c r="B158" s="7">
        <v>46144</v>
      </c>
      <c r="C158" s="6" t="s">
        <v>452</v>
      </c>
      <c r="D158" s="6" t="str">
        <f>IF(OR(PROPER(TRIM(Raw_Data!D158))="Uk",PROPER(TRIM(Raw_Data!D158))="Gb",PROPER(TRIM(Raw_Data!D158))="United kingdom"),"United Kingdom",PROPER(TRIM(Raw_Data!D158)))</f>
        <v>Germany</v>
      </c>
      <c r="E158" s="6" t="s">
        <v>28</v>
      </c>
      <c r="F158" s="6" t="s">
        <v>85</v>
      </c>
      <c r="G158" s="6" t="str">
        <f>SUBSTITUTE(Raw_Data!G158,"Ã©","é")</f>
        <v>Storm Overtrousers</v>
      </c>
      <c r="H158" s="6">
        <v>1</v>
      </c>
      <c r="I158" s="6" t="s">
        <v>147</v>
      </c>
      <c r="J158" s="6" t="s">
        <v>147</v>
      </c>
      <c r="K158" s="6">
        <v>0.41</v>
      </c>
      <c r="L158" s="6" t="s">
        <v>42</v>
      </c>
      <c r="M158" s="6" t="s">
        <v>69</v>
      </c>
      <c r="N158" s="6"/>
    </row>
    <row r="159" spans="1:14">
      <c r="A159" s="6" t="s">
        <v>453</v>
      </c>
      <c r="B159" s="7">
        <v>46039</v>
      </c>
      <c r="C159" s="6" t="s">
        <v>454</v>
      </c>
      <c r="D159" s="6" t="str">
        <f>IF(OR(PROPER(TRIM(Raw_Data!D159))="Uk",PROPER(TRIM(Raw_Data!D159))="Gb",PROPER(TRIM(Raw_Data!D159))="United kingdom"),"United Kingdom",PROPER(TRIM(Raw_Data!D159)))</f>
        <v>Germany</v>
      </c>
      <c r="E159" s="6" t="s">
        <v>28</v>
      </c>
      <c r="F159" s="6" t="s">
        <v>53</v>
      </c>
      <c r="G159" s="6" t="str">
        <f>SUBSTITUTE(Raw_Data!G159,"Ã©","é")</f>
        <v>Storm Overtrousers</v>
      </c>
      <c r="H159" s="6">
        <v>1</v>
      </c>
      <c r="I159" s="6" t="s">
        <v>117</v>
      </c>
      <c r="J159" s="6" t="s">
        <v>117</v>
      </c>
      <c r="K159" s="6">
        <v>0.19</v>
      </c>
      <c r="L159" s="6" t="s">
        <v>42</v>
      </c>
      <c r="M159" s="6" t="s">
        <v>69</v>
      </c>
      <c r="N159" s="6"/>
    </row>
    <row r="160" spans="1:14">
      <c r="A160" s="6" t="s">
        <v>455</v>
      </c>
      <c r="B160" s="7">
        <v>46092</v>
      </c>
      <c r="C160" s="6" t="s">
        <v>456</v>
      </c>
      <c r="D160" s="6" t="str">
        <f>IF(OR(PROPER(TRIM(Raw_Data!D160))="Uk",PROPER(TRIM(Raw_Data!D160))="Gb",PROPER(TRIM(Raw_Data!D160))="United kingdom"),"United Kingdom",PROPER(TRIM(Raw_Data!D160)))</f>
        <v>United Kingdom</v>
      </c>
      <c r="E160" s="6" t="s">
        <v>46</v>
      </c>
      <c r="F160" s="6" t="s">
        <v>85</v>
      </c>
      <c r="G160" s="6" t="str">
        <f>SUBSTITUTE(Raw_Data!G160,"Ã©","é")</f>
        <v>Merino Base Layer</v>
      </c>
      <c r="H160" s="6">
        <v>1</v>
      </c>
      <c r="I160" s="6" t="s">
        <v>143</v>
      </c>
      <c r="J160" s="6" t="s">
        <v>143</v>
      </c>
      <c r="K160" s="6">
        <v>0.41</v>
      </c>
      <c r="L160" s="6" t="s">
        <v>42</v>
      </c>
      <c r="M160" s="6" t="s">
        <v>69</v>
      </c>
      <c r="N160" s="6"/>
    </row>
    <row r="161" spans="1:14">
      <c r="A161" s="6" t="s">
        <v>457</v>
      </c>
      <c r="B161" s="7">
        <v>46114</v>
      </c>
      <c r="C161" s="6" t="s">
        <v>458</v>
      </c>
      <c r="D161" s="6" t="str">
        <f>IF(OR(PROPER(TRIM(Raw_Data!D161))="Uk",PROPER(TRIM(Raw_Data!D161))="Gb",PROPER(TRIM(Raw_Data!D161))="United kingdom"),"United Kingdom",PROPER(TRIM(Raw_Data!D161)))</f>
        <v>United Kingdom</v>
      </c>
      <c r="E161" s="6" t="s">
        <v>37</v>
      </c>
      <c r="F161" s="6" t="s">
        <v>85</v>
      </c>
      <c r="G161" s="6" t="str">
        <f>SUBSTITUTE(Raw_Data!G161,"Ã©","é")</f>
        <v>Storm Overtrousers</v>
      </c>
      <c r="H161" s="6">
        <v>2</v>
      </c>
      <c r="I161" s="6" t="s">
        <v>147</v>
      </c>
      <c r="J161" s="6" t="s">
        <v>459</v>
      </c>
      <c r="K161" s="6">
        <v>0.41</v>
      </c>
      <c r="L161" s="6" t="s">
        <v>42</v>
      </c>
      <c r="M161" s="6" t="s">
        <v>34</v>
      </c>
      <c r="N161" s="6"/>
    </row>
    <row r="162" spans="1:14">
      <c r="A162" s="6" t="s">
        <v>460</v>
      </c>
      <c r="B162" s="7">
        <v>46299</v>
      </c>
      <c r="C162" s="6" t="s">
        <v>291</v>
      </c>
      <c r="D162" s="6" t="str">
        <f>IF(OR(PROPER(TRIM(Raw_Data!D162))="Uk",PROPER(TRIM(Raw_Data!D162))="Gb",PROPER(TRIM(Raw_Data!D162))="United kingdom"),"United Kingdom",PROPER(TRIM(Raw_Data!D162)))</f>
        <v>Ireland</v>
      </c>
      <c r="E162" s="6" t="s">
        <v>52</v>
      </c>
      <c r="F162" s="6" t="s">
        <v>53</v>
      </c>
      <c r="G162" s="6" t="str">
        <f>SUBSTITUTE(Raw_Data!G162,"Ã©","é")</f>
        <v>Storm Overtrousers</v>
      </c>
      <c r="H162" s="6">
        <v>1</v>
      </c>
      <c r="I162" s="6" t="s">
        <v>31</v>
      </c>
      <c r="J162" s="6" t="s">
        <v>231</v>
      </c>
      <c r="K162" s="6">
        <v>0.19</v>
      </c>
      <c r="L162" s="6" t="s">
        <v>42</v>
      </c>
      <c r="M162" s="6" t="s">
        <v>34</v>
      </c>
      <c r="N162" s="6"/>
    </row>
    <row r="163" spans="1:14">
      <c r="A163" s="6" t="s">
        <v>461</v>
      </c>
      <c r="B163" s="7">
        <v>46086</v>
      </c>
      <c r="C163" s="6" t="s">
        <v>462</v>
      </c>
      <c r="D163" s="6" t="str">
        <f>IF(OR(PROPER(TRIM(Raw_Data!D163))="Uk",PROPER(TRIM(Raw_Data!D163))="Gb",PROPER(TRIM(Raw_Data!D163))="United kingdom"),"United Kingdom",PROPER(TRIM(Raw_Data!D163)))</f>
        <v>Ireland</v>
      </c>
      <c r="E163" s="6" t="s">
        <v>46</v>
      </c>
      <c r="F163" s="6" t="s">
        <v>100</v>
      </c>
      <c r="G163" s="6" t="str">
        <f>SUBSTITUTE(Raw_Data!G163,"Ã©","é")</f>
        <v>Merino Base Layer</v>
      </c>
      <c r="H163" s="6">
        <v>3</v>
      </c>
      <c r="I163" s="6" t="s">
        <v>96</v>
      </c>
      <c r="J163" s="6" t="s">
        <v>97</v>
      </c>
      <c r="K163" s="6">
        <v>0.64</v>
      </c>
      <c r="L163" s="6" t="s">
        <v>42</v>
      </c>
      <c r="M163" s="6" t="s">
        <v>34</v>
      </c>
      <c r="N163" s="6"/>
    </row>
    <row r="164" spans="1:14">
      <c r="A164" s="6" t="s">
        <v>463</v>
      </c>
      <c r="B164" s="7">
        <v>46199</v>
      </c>
      <c r="C164" s="6" t="s">
        <v>464</v>
      </c>
      <c r="D164" s="6" t="str">
        <f>IF(OR(PROPER(TRIM(Raw_Data!D164))="Uk",PROPER(TRIM(Raw_Data!D164))="Gb",PROPER(TRIM(Raw_Data!D164))="United kingdom"),"United Kingdom",PROPER(TRIM(Raw_Data!D164)))</f>
        <v>United Kingdom</v>
      </c>
      <c r="E164" s="6" t="s">
        <v>37</v>
      </c>
      <c r="F164" s="6" t="s">
        <v>47</v>
      </c>
      <c r="G164" s="6" t="str">
        <f>SUBSTITUTE(Raw_Data!G164,"Ã©","é")</f>
        <v>Alpine Jacket</v>
      </c>
      <c r="H164" s="6">
        <v>2</v>
      </c>
      <c r="I164" s="6" t="s">
        <v>40</v>
      </c>
      <c r="J164" s="6" t="s">
        <v>327</v>
      </c>
      <c r="K164" s="6">
        <v>8.5000000000000006E-2</v>
      </c>
      <c r="L164" s="6" t="s">
        <v>42</v>
      </c>
      <c r="M164" s="6" t="s">
        <v>69</v>
      </c>
      <c r="N164" s="6"/>
    </row>
    <row r="165" spans="1:14">
      <c r="A165" s="6" t="s">
        <v>465</v>
      </c>
      <c r="B165" s="7">
        <v>46267</v>
      </c>
      <c r="C165" s="6" t="s">
        <v>466</v>
      </c>
      <c r="D165" s="6" t="str">
        <f>IF(OR(PROPER(TRIM(Raw_Data!D165))="Uk",PROPER(TRIM(Raw_Data!D165))="Gb",PROPER(TRIM(Raw_Data!D165))="United kingdom"),"United Kingdom",PROPER(TRIM(Raw_Data!D165)))</f>
        <v>Ireland</v>
      </c>
      <c r="E165" s="6" t="s">
        <v>78</v>
      </c>
      <c r="F165" s="6" t="s">
        <v>100</v>
      </c>
      <c r="G165" s="6" t="str">
        <f>SUBSTITUTE(Raw_Data!G165,"Ã©","é")</f>
        <v>Fell Runner Cap</v>
      </c>
      <c r="H165" s="6">
        <v>1</v>
      </c>
      <c r="I165" s="6" t="s">
        <v>31</v>
      </c>
      <c r="J165" s="6" t="s">
        <v>31</v>
      </c>
      <c r="K165" s="6">
        <v>0.64</v>
      </c>
      <c r="L165" s="6" t="s">
        <v>42</v>
      </c>
      <c r="M165" s="6" t="s">
        <v>34</v>
      </c>
      <c r="N165" s="6"/>
    </row>
    <row r="166" spans="1:14">
      <c r="A166" s="6" t="s">
        <v>467</v>
      </c>
      <c r="B166" s="7">
        <v>46071</v>
      </c>
      <c r="C166" s="6" t="s">
        <v>468</v>
      </c>
      <c r="D166" s="6" t="str">
        <f>IF(OR(PROPER(TRIM(Raw_Data!D166))="Uk",PROPER(TRIM(Raw_Data!D166))="Gb",PROPER(TRIM(Raw_Data!D166))="United kingdom"),"United Kingdom",PROPER(TRIM(Raw_Data!D166)))</f>
        <v>Ireland</v>
      </c>
      <c r="E166" s="6" t="s">
        <v>78</v>
      </c>
      <c r="F166" s="6" t="s">
        <v>58</v>
      </c>
      <c r="G166" s="6" t="str">
        <f>SUBSTITUTE(Raw_Data!G166,"Ã©","é")</f>
        <v>Alpine Jacket</v>
      </c>
      <c r="H166" s="6">
        <v>1</v>
      </c>
      <c r="I166" s="6" t="s">
        <v>31</v>
      </c>
      <c r="J166" s="6" t="s">
        <v>31</v>
      </c>
      <c r="K166" s="6">
        <v>0.38</v>
      </c>
      <c r="L166" s="6" t="s">
        <v>42</v>
      </c>
      <c r="M166" s="6" t="s">
        <v>34</v>
      </c>
      <c r="N166" s="6"/>
    </row>
    <row r="167" spans="1:14">
      <c r="A167" s="6" t="s">
        <v>469</v>
      </c>
      <c r="B167" s="7">
        <v>46166</v>
      </c>
      <c r="C167" s="6" t="s">
        <v>470</v>
      </c>
      <c r="D167" s="6" t="str">
        <f>IF(OR(PROPER(TRIM(Raw_Data!D167))="Uk",PROPER(TRIM(Raw_Data!D167))="Gb",PROPER(TRIM(Raw_Data!D167))="United kingdom"),"United Kingdom",PROPER(TRIM(Raw_Data!D167)))</f>
        <v>United Kingdom</v>
      </c>
      <c r="E167" s="6" t="s">
        <v>52</v>
      </c>
      <c r="F167" s="6" t="s">
        <v>100</v>
      </c>
      <c r="G167" s="6" t="str">
        <f>SUBSTITUTE(Raw_Data!G167,"Ã©","é")</f>
        <v>Summit Down Gilet</v>
      </c>
      <c r="H167" s="6">
        <v>1</v>
      </c>
      <c r="I167" s="6" t="s">
        <v>82</v>
      </c>
      <c r="J167" s="6" t="s">
        <v>471</v>
      </c>
      <c r="K167" s="6">
        <v>0.64</v>
      </c>
      <c r="L167" s="6" t="s">
        <v>42</v>
      </c>
      <c r="M167" s="6" t="s">
        <v>69</v>
      </c>
      <c r="N167" s="6"/>
    </row>
    <row r="168" spans="1:14">
      <c r="A168" s="6" t="s">
        <v>472</v>
      </c>
      <c r="B168" s="7">
        <v>46199</v>
      </c>
      <c r="C168" s="6" t="s">
        <v>473</v>
      </c>
      <c r="D168" s="6" t="str">
        <f>IF(OR(PROPER(TRIM(Raw_Data!D168))="Uk",PROPER(TRIM(Raw_Data!D168))="Gb",PROPER(TRIM(Raw_Data!D168))="United kingdom"),"United Kingdom",PROPER(TRIM(Raw_Data!D168)))</f>
        <v>United Kingdom</v>
      </c>
      <c r="E168" s="6" t="s">
        <v>37</v>
      </c>
      <c r="F168" s="6" t="s">
        <v>47</v>
      </c>
      <c r="G168" s="6" t="str">
        <f>SUBSTITUTE(Raw_Data!G168,"Ã©","é")</f>
        <v>Alpine Jacket</v>
      </c>
      <c r="H168" s="6">
        <v>1</v>
      </c>
      <c r="I168" s="6" t="s">
        <v>143</v>
      </c>
      <c r="J168" s="6" t="s">
        <v>143</v>
      </c>
      <c r="K168" s="6">
        <v>8.5000000000000006E-2</v>
      </c>
      <c r="L168" s="6" t="s">
        <v>42</v>
      </c>
      <c r="M168" s="6" t="s">
        <v>34</v>
      </c>
      <c r="N168" s="6"/>
    </row>
    <row r="169" spans="1:14">
      <c r="A169" s="6" t="s">
        <v>474</v>
      </c>
      <c r="B169" s="7">
        <v>46327</v>
      </c>
      <c r="C169" s="6" t="s">
        <v>475</v>
      </c>
      <c r="D169" s="6" t="str">
        <f>IF(OR(PROPER(TRIM(Raw_Data!D169))="Uk",PROPER(TRIM(Raw_Data!D169))="Gb",PROPER(TRIM(Raw_Data!D169))="United kingdom"),"United Kingdom",PROPER(TRIM(Raw_Data!D169)))</f>
        <v>United Kingdom</v>
      </c>
      <c r="E169" s="6" t="s">
        <v>52</v>
      </c>
      <c r="F169" s="6" t="s">
        <v>29</v>
      </c>
      <c r="G169" s="6" t="str">
        <f>SUBSTITUTE(Raw_Data!G169,"Ã©","é")</f>
        <v>Fell Runner Cap</v>
      </c>
      <c r="H169" s="6">
        <v>2</v>
      </c>
      <c r="I169" s="6" t="s">
        <v>181</v>
      </c>
      <c r="J169" s="6" t="s">
        <v>163</v>
      </c>
      <c r="K169" s="6">
        <v>0.52</v>
      </c>
      <c r="L169" s="6" t="s">
        <v>42</v>
      </c>
      <c r="M169" s="6" t="s">
        <v>34</v>
      </c>
      <c r="N169" s="6"/>
    </row>
    <row r="170" spans="1:14">
      <c r="A170" s="6" t="s">
        <v>476</v>
      </c>
      <c r="B170" s="7">
        <v>46239</v>
      </c>
      <c r="C170" s="6" t="s">
        <v>477</v>
      </c>
      <c r="D170" s="6" t="str">
        <f>IF(OR(PROPER(TRIM(Raw_Data!D170))="Uk",PROPER(TRIM(Raw_Data!D170))="Gb",PROPER(TRIM(Raw_Data!D170))="United kingdom"),"United Kingdom",PROPER(TRIM(Raw_Data!D170)))</f>
        <v>Ireland</v>
      </c>
      <c r="E170" s="6" t="s">
        <v>78</v>
      </c>
      <c r="F170" s="6" t="s">
        <v>38</v>
      </c>
      <c r="G170" s="6" t="str">
        <f>SUBSTITUTE(Raw_Data!G170,"Ã©","é")</f>
        <v>Trekking Poles</v>
      </c>
      <c r="H170" s="6">
        <v>2</v>
      </c>
      <c r="I170" s="6" t="s">
        <v>143</v>
      </c>
      <c r="J170" s="6" t="s">
        <v>144</v>
      </c>
      <c r="K170" s="6">
        <v>0.52</v>
      </c>
      <c r="L170" s="6" t="s">
        <v>42</v>
      </c>
      <c r="M170" s="6" t="s">
        <v>69</v>
      </c>
      <c r="N170" s="6"/>
    </row>
    <row r="171" spans="1:14">
      <c r="A171" s="6" t="s">
        <v>478</v>
      </c>
      <c r="B171" s="7">
        <v>46024</v>
      </c>
      <c r="C171" s="6" t="s">
        <v>479</v>
      </c>
      <c r="D171" s="6" t="str">
        <f>IF(OR(PROPER(TRIM(Raw_Data!D171))="Uk",PROPER(TRIM(Raw_Data!D171))="Gb",PROPER(TRIM(Raw_Data!D171))="United kingdom"),"United Kingdom",PROPER(TRIM(Raw_Data!D171)))</f>
        <v>United Kingdom</v>
      </c>
      <c r="E171" s="6" t="s">
        <v>78</v>
      </c>
      <c r="F171" s="6" t="s">
        <v>47</v>
      </c>
      <c r="G171" s="6" t="str">
        <f>SUBSTITUTE(Raw_Data!G171,"Ã©","é")</f>
        <v>Trail Softshell</v>
      </c>
      <c r="H171" s="6">
        <v>3</v>
      </c>
      <c r="I171" s="6" t="s">
        <v>117</v>
      </c>
      <c r="J171" s="6" t="s">
        <v>171</v>
      </c>
      <c r="K171" s="6">
        <v>8.5000000000000006E-2</v>
      </c>
      <c r="L171" s="6" t="s">
        <v>42</v>
      </c>
      <c r="M171" s="6" t="s">
        <v>34</v>
      </c>
      <c r="N171" s="6"/>
    </row>
    <row r="172" spans="1:14">
      <c r="A172" s="6" t="s">
        <v>480</v>
      </c>
      <c r="B172" s="7">
        <v>46106</v>
      </c>
      <c r="C172" s="6" t="s">
        <v>482</v>
      </c>
      <c r="D172" s="6" t="str">
        <f>IF(OR(PROPER(TRIM(Raw_Data!D172))="Uk",PROPER(TRIM(Raw_Data!D172))="Gb",PROPER(TRIM(Raw_Data!D172))="United kingdom"),"United Kingdom",PROPER(TRIM(Raw_Data!D172)))</f>
        <v>United Kingdom</v>
      </c>
      <c r="E172" s="6" t="s">
        <v>46</v>
      </c>
      <c r="F172" s="6" t="s">
        <v>38</v>
      </c>
      <c r="G172" s="6" t="str">
        <f>SUBSTITUTE(Raw_Data!G172,"Ã©","é")</f>
        <v>Fell Runner Cap</v>
      </c>
      <c r="H172" s="6">
        <v>2</v>
      </c>
      <c r="I172" s="6" t="s">
        <v>82</v>
      </c>
      <c r="J172" s="6" t="s">
        <v>297</v>
      </c>
      <c r="K172" s="6">
        <v>0.52</v>
      </c>
      <c r="L172" s="6" t="s">
        <v>33</v>
      </c>
      <c r="M172" s="6" t="s">
        <v>69</v>
      </c>
      <c r="N172" s="6"/>
    </row>
    <row r="173" spans="1:14">
      <c r="A173" s="6" t="s">
        <v>483</v>
      </c>
      <c r="B173" s="7">
        <v>46140</v>
      </c>
      <c r="C173" s="6" t="s">
        <v>484</v>
      </c>
      <c r="D173" s="6" t="str">
        <f>IF(OR(PROPER(TRIM(Raw_Data!D173))="Uk",PROPER(TRIM(Raw_Data!D173))="Gb",PROPER(TRIM(Raw_Data!D173))="United kingdom"),"United Kingdom",PROPER(TRIM(Raw_Data!D173)))</f>
        <v>United Kingdom</v>
      </c>
      <c r="E173" s="6" t="s">
        <v>37</v>
      </c>
      <c r="F173" s="6" t="s">
        <v>100</v>
      </c>
      <c r="G173" s="6" t="str">
        <f>SUBSTITUTE(Raw_Data!G173,"Ã©","é")</f>
        <v>Trail Softshell</v>
      </c>
      <c r="H173" s="6">
        <v>1</v>
      </c>
      <c r="I173" s="6" t="s">
        <v>79</v>
      </c>
      <c r="J173" s="6" t="s">
        <v>79</v>
      </c>
      <c r="K173" s="6">
        <v>0.64</v>
      </c>
      <c r="L173" s="6" t="s">
        <v>42</v>
      </c>
      <c r="M173" s="6" t="s">
        <v>69</v>
      </c>
      <c r="N173" s="6"/>
    </row>
    <row r="174" spans="1:14">
      <c r="A174" s="6" t="s">
        <v>485</v>
      </c>
      <c r="B174" s="7">
        <v>46358</v>
      </c>
      <c r="C174" s="6" t="s">
        <v>486</v>
      </c>
      <c r="D174" s="6" t="str">
        <f>IF(OR(PROPER(TRIM(Raw_Data!D174))="Uk",PROPER(TRIM(Raw_Data!D174))="Gb",PROPER(TRIM(Raw_Data!D174))="United kingdom"),"United Kingdom",PROPER(TRIM(Raw_Data!D174)))</f>
        <v>United Kingdom</v>
      </c>
      <c r="E174" s="6" t="s">
        <v>52</v>
      </c>
      <c r="F174" s="6" t="s">
        <v>29</v>
      </c>
      <c r="G174" s="6" t="str">
        <f>SUBSTITUTE(Raw_Data!G174,"Ã©","é")</f>
        <v>Alpine Jacket</v>
      </c>
      <c r="H174" s="6">
        <v>3</v>
      </c>
      <c r="I174" s="6" t="s">
        <v>117</v>
      </c>
      <c r="J174" s="6" t="s">
        <v>171</v>
      </c>
      <c r="K174" s="6">
        <v>0.52</v>
      </c>
      <c r="L174" s="6" t="s">
        <v>42</v>
      </c>
      <c r="M174" s="6" t="s">
        <v>34</v>
      </c>
      <c r="N174" s="6"/>
    </row>
    <row r="175" spans="1:14">
      <c r="A175" s="6" t="s">
        <v>487</v>
      </c>
      <c r="B175" s="7">
        <v>46199</v>
      </c>
      <c r="C175" s="6" t="s">
        <v>488</v>
      </c>
      <c r="D175" s="6" t="str">
        <f>IF(OR(PROPER(TRIM(Raw_Data!D175))="Uk",PROPER(TRIM(Raw_Data!D175))="Gb",PROPER(TRIM(Raw_Data!D175))="United kingdom"),"United Kingdom",PROPER(TRIM(Raw_Data!D175)))</f>
        <v>United Kingdom</v>
      </c>
      <c r="E175" s="6" t="s">
        <v>52</v>
      </c>
      <c r="F175" s="6" t="s">
        <v>58</v>
      </c>
      <c r="G175" s="6" t="str">
        <f>SUBSTITUTE(Raw_Data!G175,"Ã©","é")</f>
        <v>Trekking Poles</v>
      </c>
      <c r="H175" s="6">
        <v>1</v>
      </c>
      <c r="I175" s="6" t="s">
        <v>73</v>
      </c>
      <c r="J175" s="6" t="s">
        <v>73</v>
      </c>
      <c r="K175" s="6">
        <v>0.38</v>
      </c>
      <c r="L175" s="6" t="s">
        <v>42</v>
      </c>
      <c r="M175" s="6" t="s">
        <v>34</v>
      </c>
      <c r="N175" s="6"/>
    </row>
    <row r="176" spans="1:14">
      <c r="A176" s="6" t="s">
        <v>489</v>
      </c>
      <c r="B176" s="7">
        <v>46075</v>
      </c>
      <c r="C176" s="6" t="s">
        <v>406</v>
      </c>
      <c r="D176" s="6" t="str">
        <f>IF(OR(PROPER(TRIM(Raw_Data!D176))="Uk",PROPER(TRIM(Raw_Data!D176))="Gb",PROPER(TRIM(Raw_Data!D176))="United kingdom"),"United Kingdom",PROPER(TRIM(Raw_Data!D176)))</f>
        <v>United Kingdom</v>
      </c>
      <c r="E176" s="6" t="s">
        <v>46</v>
      </c>
      <c r="F176" s="6" t="s">
        <v>58</v>
      </c>
      <c r="G176" s="6" t="str">
        <f>SUBSTITUTE(Raw_Data!G176,"Ã©","é")</f>
        <v>Summit Down Gilet</v>
      </c>
      <c r="H176" s="6">
        <v>2</v>
      </c>
      <c r="I176" s="6" t="s">
        <v>490</v>
      </c>
      <c r="J176" s="6" t="s">
        <v>297</v>
      </c>
      <c r="K176" s="6">
        <v>0.38</v>
      </c>
      <c r="L176" s="6" t="s">
        <v>42</v>
      </c>
      <c r="M176" s="6" t="s">
        <v>69</v>
      </c>
      <c r="N176" s="6"/>
    </row>
    <row r="177" spans="1:14">
      <c r="A177" s="6" t="s">
        <v>491</v>
      </c>
      <c r="B177" s="7">
        <v>46087</v>
      </c>
      <c r="C177" s="6" t="s">
        <v>492</v>
      </c>
      <c r="D177" s="6" t="str">
        <f>IF(OR(PROPER(TRIM(Raw_Data!D177))="Uk",PROPER(TRIM(Raw_Data!D177))="Gb",PROPER(TRIM(Raw_Data!D177))="United kingdom"),"United Kingdom",PROPER(TRIM(Raw_Data!D177)))</f>
        <v>United Kingdom</v>
      </c>
      <c r="E177" s="6" t="s">
        <v>46</v>
      </c>
      <c r="F177" s="6" t="s">
        <v>38</v>
      </c>
      <c r="G177" s="6" t="str">
        <f>SUBSTITUTE(Raw_Data!G177,"Ã©","é")</f>
        <v>Summit Down Gilet</v>
      </c>
      <c r="H177" s="6">
        <v>3</v>
      </c>
      <c r="I177" s="6" t="s">
        <v>143</v>
      </c>
      <c r="J177" s="6" t="s">
        <v>243</v>
      </c>
      <c r="K177" s="6">
        <v>0.52</v>
      </c>
      <c r="L177" s="6" t="s">
        <v>33</v>
      </c>
      <c r="M177" s="6" t="s">
        <v>34</v>
      </c>
      <c r="N177" s="6"/>
    </row>
    <row r="178" spans="1:14">
      <c r="A178" s="6" t="s">
        <v>493</v>
      </c>
      <c r="B178" s="7">
        <v>46057</v>
      </c>
      <c r="C178" s="6" t="s">
        <v>494</v>
      </c>
      <c r="D178" s="6" t="str">
        <f>IF(OR(PROPER(TRIM(Raw_Data!D178))="Uk",PROPER(TRIM(Raw_Data!D178))="Gb",PROPER(TRIM(Raw_Data!D178))="United kingdom"),"United Kingdom",PROPER(TRIM(Raw_Data!D178)))</f>
        <v>France</v>
      </c>
      <c r="E178" s="6" t="s">
        <v>78</v>
      </c>
      <c r="F178" s="6" t="s">
        <v>58</v>
      </c>
      <c r="G178" s="6" t="str">
        <f>SUBSTITUTE(Raw_Data!G178,"Ã©","é")</f>
        <v>Trail Softshell</v>
      </c>
      <c r="H178" s="6">
        <v>2</v>
      </c>
      <c r="I178" s="6" t="s">
        <v>147</v>
      </c>
      <c r="J178" s="6" t="s">
        <v>175</v>
      </c>
      <c r="K178" s="6">
        <v>0.38</v>
      </c>
      <c r="L178" s="6" t="s">
        <v>42</v>
      </c>
      <c r="M178" s="6" t="s">
        <v>34</v>
      </c>
      <c r="N178" s="6"/>
    </row>
    <row r="179" spans="1:14">
      <c r="A179" s="6" t="s">
        <v>495</v>
      </c>
      <c r="B179" s="7">
        <v>46266</v>
      </c>
      <c r="C179" s="6" t="s">
        <v>496</v>
      </c>
      <c r="D179" s="6" t="str">
        <f>IF(OR(PROPER(TRIM(Raw_Data!D179))="Uk",PROPER(TRIM(Raw_Data!D179))="Gb",PROPER(TRIM(Raw_Data!D179))="United kingdom"),"United Kingdom",PROPER(TRIM(Raw_Data!D179)))</f>
        <v>United Kingdom</v>
      </c>
      <c r="E179" s="6" t="s">
        <v>28</v>
      </c>
      <c r="F179" s="6" t="s">
        <v>85</v>
      </c>
      <c r="G179" s="6" t="str">
        <f>SUBSTITUTE(Raw_Data!G179,"Ã©","é")</f>
        <v>Summit Down Gilet</v>
      </c>
      <c r="H179" s="6">
        <v>1</v>
      </c>
      <c r="I179" s="6" t="s">
        <v>96</v>
      </c>
      <c r="J179" s="6" t="s">
        <v>96</v>
      </c>
      <c r="K179" s="6">
        <v>0.41</v>
      </c>
      <c r="L179" s="6" t="s">
        <v>42</v>
      </c>
      <c r="M179" s="6" t="s">
        <v>34</v>
      </c>
      <c r="N179" s="6"/>
    </row>
    <row r="180" spans="1:14">
      <c r="A180" s="6" t="s">
        <v>497</v>
      </c>
      <c r="B180" s="7">
        <v>46192</v>
      </c>
      <c r="C180" s="6" t="s">
        <v>498</v>
      </c>
      <c r="D180" s="6" t="str">
        <f>IF(OR(PROPER(TRIM(Raw_Data!D180))="Uk",PROPER(TRIM(Raw_Data!D180))="Gb",PROPER(TRIM(Raw_Data!D180))="United kingdom"),"United Kingdom",PROPER(TRIM(Raw_Data!D180)))</f>
        <v>Ireland</v>
      </c>
      <c r="E180" s="6" t="s">
        <v>78</v>
      </c>
      <c r="F180" s="6" t="s">
        <v>53</v>
      </c>
      <c r="G180" s="6" t="str">
        <f>SUBSTITUTE(Raw_Data!G180,"Ã©","é")</f>
        <v>Storm Overtrousers</v>
      </c>
      <c r="H180" s="6">
        <v>3</v>
      </c>
      <c r="I180" s="6" t="s">
        <v>73</v>
      </c>
      <c r="J180" s="6" t="s">
        <v>499</v>
      </c>
      <c r="K180" s="6">
        <v>0.19</v>
      </c>
      <c r="L180" s="6" t="s">
        <v>33</v>
      </c>
      <c r="M180" s="6" t="s">
        <v>34</v>
      </c>
      <c r="N180" s="6"/>
    </row>
    <row r="181" spans="1:14">
      <c r="A181" s="6" t="s">
        <v>500</v>
      </c>
      <c r="B181" s="7">
        <v>46235</v>
      </c>
      <c r="C181" s="6" t="s">
        <v>501</v>
      </c>
      <c r="D181" s="6" t="str">
        <f>IF(OR(PROPER(TRIM(Raw_Data!D181))="Uk",PROPER(TRIM(Raw_Data!D181))="Gb",PROPER(TRIM(Raw_Data!D181))="United kingdom"),"United Kingdom",PROPER(TRIM(Raw_Data!D181)))</f>
        <v>United Kingdom</v>
      </c>
      <c r="E181" s="6" t="s">
        <v>78</v>
      </c>
      <c r="F181" s="6" t="s">
        <v>38</v>
      </c>
      <c r="G181" s="6" t="str">
        <f>SUBSTITUTE(Raw_Data!G181,"Ã©","é")</f>
        <v>Merino Base Layer</v>
      </c>
      <c r="H181" s="6">
        <v>1</v>
      </c>
      <c r="I181" s="6" t="s">
        <v>79</v>
      </c>
      <c r="J181" s="6" t="s">
        <v>79</v>
      </c>
      <c r="K181" s="6">
        <v>0.52</v>
      </c>
      <c r="L181" s="6" t="s">
        <v>42</v>
      </c>
      <c r="M181" s="6" t="s">
        <v>34</v>
      </c>
      <c r="N181" s="6"/>
    </row>
    <row r="182" spans="1:14">
      <c r="A182" s="6" t="s">
        <v>502</v>
      </c>
      <c r="B182" s="7">
        <v>46155</v>
      </c>
      <c r="C182" s="6" t="s">
        <v>503</v>
      </c>
      <c r="D182" s="6" t="str">
        <f>IF(OR(PROPER(TRIM(Raw_Data!D182))="Uk",PROPER(TRIM(Raw_Data!D182))="Gb",PROPER(TRIM(Raw_Data!D182))="United kingdom"),"United Kingdom",PROPER(TRIM(Raw_Data!D182)))</f>
        <v>United Kingdom</v>
      </c>
      <c r="E182" s="6" t="s">
        <v>78</v>
      </c>
      <c r="F182" s="6" t="s">
        <v>38</v>
      </c>
      <c r="G182" s="6" t="str">
        <f>SUBSTITUTE(Raw_Data!G182,"Ã©","é")</f>
        <v>Trail Softshell</v>
      </c>
      <c r="H182" s="6">
        <v>1</v>
      </c>
      <c r="I182" s="6" t="s">
        <v>31</v>
      </c>
      <c r="J182" s="6" t="s">
        <v>31</v>
      </c>
      <c r="K182" s="6">
        <v>0.52</v>
      </c>
      <c r="L182" s="6" t="s">
        <v>42</v>
      </c>
      <c r="M182" s="6" t="s">
        <v>34</v>
      </c>
      <c r="N182" s="6"/>
    </row>
    <row r="183" spans="1:14">
      <c r="A183" s="6" t="s">
        <v>504</v>
      </c>
      <c r="B183" s="7">
        <v>46197</v>
      </c>
      <c r="C183" s="6" t="s">
        <v>450</v>
      </c>
      <c r="D183" s="6" t="str">
        <f>IF(OR(PROPER(TRIM(Raw_Data!D183))="Uk",PROPER(TRIM(Raw_Data!D183))="Gb",PROPER(TRIM(Raw_Data!D183))="United kingdom"),"United Kingdom",PROPER(TRIM(Raw_Data!D183)))</f>
        <v>United Kingdom</v>
      </c>
      <c r="E183" s="6" t="s">
        <v>28</v>
      </c>
      <c r="F183" s="6" t="s">
        <v>47</v>
      </c>
      <c r="G183" s="6" t="str">
        <f>SUBSTITUTE(Raw_Data!G183,"Ã©","é")</f>
        <v>Trail Softshell</v>
      </c>
      <c r="H183" s="6">
        <v>3</v>
      </c>
      <c r="I183" s="6" t="s">
        <v>231</v>
      </c>
      <c r="J183" s="6" t="s">
        <v>505</v>
      </c>
      <c r="K183" s="6">
        <v>8.5000000000000006E-2</v>
      </c>
      <c r="L183" s="6" t="s">
        <v>33</v>
      </c>
      <c r="M183" s="6" t="s">
        <v>34</v>
      </c>
      <c r="N183" s="6"/>
    </row>
    <row r="184" spans="1:14">
      <c r="A184" s="6" t="s">
        <v>506</v>
      </c>
      <c r="B184" s="7">
        <v>46144</v>
      </c>
      <c r="C184" s="6" t="s">
        <v>507</v>
      </c>
      <c r="D184" s="6" t="str">
        <f>IF(OR(PROPER(TRIM(Raw_Data!D184))="Uk",PROPER(TRIM(Raw_Data!D184))="Gb",PROPER(TRIM(Raw_Data!D184))="United kingdom"),"United Kingdom",PROPER(TRIM(Raw_Data!D184)))</f>
        <v>United Kingdom</v>
      </c>
      <c r="E184" s="6" t="s">
        <v>46</v>
      </c>
      <c r="F184" s="6" t="s">
        <v>100</v>
      </c>
      <c r="G184" s="6" t="str">
        <f>SUBSTITUTE(Raw_Data!G184,"Ã©","é")</f>
        <v>Fell Runner Cap</v>
      </c>
      <c r="H184" s="6">
        <v>1</v>
      </c>
      <c r="I184" s="6" t="s">
        <v>82</v>
      </c>
      <c r="J184" s="6" t="s">
        <v>82</v>
      </c>
      <c r="K184" s="6">
        <v>0.64</v>
      </c>
      <c r="L184" s="6" t="s">
        <v>42</v>
      </c>
      <c r="M184" s="6" t="s">
        <v>34</v>
      </c>
      <c r="N184" s="6"/>
    </row>
    <row r="185" spans="1:14">
      <c r="A185" s="6" t="s">
        <v>508</v>
      </c>
      <c r="B185" s="7">
        <v>46102</v>
      </c>
      <c r="C185" s="6" t="s">
        <v>509</v>
      </c>
      <c r="D185" s="6" t="str">
        <f>IF(OR(PROPER(TRIM(Raw_Data!D185))="Uk",PROPER(TRIM(Raw_Data!D185))="Gb",PROPER(TRIM(Raw_Data!D185))="United kingdom"),"United Kingdom",PROPER(TRIM(Raw_Data!D185)))</f>
        <v>United Kingdom</v>
      </c>
      <c r="E185" s="6" t="s">
        <v>37</v>
      </c>
      <c r="F185" s="6" t="s">
        <v>94</v>
      </c>
      <c r="G185" s="6" t="str">
        <f>SUBSTITUTE(Raw_Data!G185,"Ã©","é")</f>
        <v>Alpine Jacket</v>
      </c>
      <c r="H185" s="6">
        <v>2</v>
      </c>
      <c r="I185" s="6" t="s">
        <v>31</v>
      </c>
      <c r="J185" s="6" t="s">
        <v>249</v>
      </c>
      <c r="K185" s="6">
        <v>0.34</v>
      </c>
      <c r="L185" s="6" t="s">
        <v>33</v>
      </c>
      <c r="M185" s="6" t="s">
        <v>69</v>
      </c>
      <c r="N185" s="6"/>
    </row>
    <row r="186" spans="1:14">
      <c r="A186" s="6" t="s">
        <v>510</v>
      </c>
      <c r="B186" s="7">
        <v>46170</v>
      </c>
      <c r="C186" s="6" t="s">
        <v>291</v>
      </c>
      <c r="D186" s="6" t="str">
        <f>IF(OR(PROPER(TRIM(Raw_Data!D186))="Uk",PROPER(TRIM(Raw_Data!D186))="Gb",PROPER(TRIM(Raw_Data!D186))="United kingdom"),"United Kingdom",PROPER(TRIM(Raw_Data!D186)))</f>
        <v>France</v>
      </c>
      <c r="E186" s="6" t="s">
        <v>52</v>
      </c>
      <c r="F186" s="6" t="s">
        <v>58</v>
      </c>
      <c r="G186" s="6" t="str">
        <f>SUBSTITUTE(Raw_Data!G186,"Ã©","é")</f>
        <v>Café Latte Mug</v>
      </c>
      <c r="H186" s="6">
        <v>1</v>
      </c>
      <c r="I186" s="6" t="s">
        <v>511</v>
      </c>
      <c r="J186" s="6" t="s">
        <v>231</v>
      </c>
      <c r="K186" s="6">
        <v>0.38</v>
      </c>
      <c r="L186" s="6" t="s">
        <v>42</v>
      </c>
      <c r="M186" s="6" t="s">
        <v>34</v>
      </c>
      <c r="N186" s="6"/>
    </row>
    <row r="187" spans="1:14">
      <c r="A187" s="6" t="s">
        <v>512</v>
      </c>
      <c r="B187" s="7">
        <v>46078</v>
      </c>
      <c r="C187" s="6" t="s">
        <v>513</v>
      </c>
      <c r="D187" s="6" t="str">
        <f>IF(OR(PROPER(TRIM(Raw_Data!D187))="Uk",PROPER(TRIM(Raw_Data!D187))="Gb",PROPER(TRIM(Raw_Data!D187))="United kingdom"),"United Kingdom",PROPER(TRIM(Raw_Data!D187)))</f>
        <v>United Kingdom</v>
      </c>
      <c r="E187" s="6" t="s">
        <v>52</v>
      </c>
      <c r="F187" s="6" t="s">
        <v>85</v>
      </c>
      <c r="G187" s="6" t="str">
        <f>SUBSTITUTE(Raw_Data!G187,"Ã©","é")</f>
        <v>Summit Down Gilet</v>
      </c>
      <c r="H187" s="6">
        <v>1</v>
      </c>
      <c r="I187" s="6" t="s">
        <v>31</v>
      </c>
      <c r="J187" s="6" t="s">
        <v>31</v>
      </c>
      <c r="K187" s="6">
        <v>0.41</v>
      </c>
      <c r="L187" s="6" t="s">
        <v>42</v>
      </c>
      <c r="M187" s="6" t="s">
        <v>69</v>
      </c>
      <c r="N187" s="6"/>
    </row>
    <row r="188" spans="1:14">
      <c r="A188" s="6" t="s">
        <v>514</v>
      </c>
      <c r="B188" s="7">
        <v>46103</v>
      </c>
      <c r="C188" s="6" t="s">
        <v>515</v>
      </c>
      <c r="D188" s="6" t="str">
        <f>IF(OR(PROPER(TRIM(Raw_Data!D188))="Uk",PROPER(TRIM(Raw_Data!D188))="Gb",PROPER(TRIM(Raw_Data!D188))="United kingdom"),"United Kingdom",PROPER(TRIM(Raw_Data!D188)))</f>
        <v>Ireland</v>
      </c>
      <c r="E188" s="6" t="s">
        <v>52</v>
      </c>
      <c r="F188" s="6" t="s">
        <v>100</v>
      </c>
      <c r="G188" s="6" t="str">
        <f>SUBSTITUTE(Raw_Data!G188,"Ã©","é")</f>
        <v>Storm Overtrousers</v>
      </c>
      <c r="H188" s="6">
        <v>3</v>
      </c>
      <c r="I188" s="6" t="s">
        <v>117</v>
      </c>
      <c r="J188" s="6" t="s">
        <v>171</v>
      </c>
      <c r="K188" s="6">
        <v>0.64</v>
      </c>
      <c r="L188" s="6" t="s">
        <v>42</v>
      </c>
      <c r="M188" s="6" t="s">
        <v>69</v>
      </c>
      <c r="N188" s="6"/>
    </row>
    <row r="189" spans="1:14">
      <c r="A189" s="6" t="s">
        <v>516</v>
      </c>
      <c r="B189" s="7">
        <v>46110</v>
      </c>
      <c r="C189" s="6" t="s">
        <v>517</v>
      </c>
      <c r="D189" s="6" t="str">
        <f>IF(OR(PROPER(TRIM(Raw_Data!D189))="Uk",PROPER(TRIM(Raw_Data!D189))="Gb",PROPER(TRIM(Raw_Data!D189))="United kingdom"),"United Kingdom",PROPER(TRIM(Raw_Data!D189)))</f>
        <v>Ireland</v>
      </c>
      <c r="E189" s="6" t="s">
        <v>78</v>
      </c>
      <c r="F189" s="6" t="s">
        <v>85</v>
      </c>
      <c r="G189" s="6" t="str">
        <f>SUBSTITUTE(Raw_Data!G189,"Ã©","é")</f>
        <v>Alpine Jacket</v>
      </c>
      <c r="H189" s="6">
        <v>3</v>
      </c>
      <c r="I189" s="6" t="s">
        <v>82</v>
      </c>
      <c r="J189" s="6" t="s">
        <v>390</v>
      </c>
      <c r="K189" s="6">
        <v>0.41</v>
      </c>
      <c r="L189" s="6" t="s">
        <v>42</v>
      </c>
      <c r="M189" s="6" t="s">
        <v>34</v>
      </c>
      <c r="N189" s="6"/>
    </row>
    <row r="190" spans="1:14">
      <c r="A190" s="6" t="s">
        <v>518</v>
      </c>
      <c r="B190" s="7">
        <v>46094</v>
      </c>
      <c r="C190" s="6" t="s">
        <v>446</v>
      </c>
      <c r="D190" s="6" t="str">
        <f>IF(OR(PROPER(TRIM(Raw_Data!D190))="Uk",PROPER(TRIM(Raw_Data!D190))="Gb",PROPER(TRIM(Raw_Data!D190))="United kingdom"),"United Kingdom",PROPER(TRIM(Raw_Data!D190)))</f>
        <v>France</v>
      </c>
      <c r="E190" s="6" t="s">
        <v>37</v>
      </c>
      <c r="F190" s="6" t="s">
        <v>58</v>
      </c>
      <c r="G190" s="6" t="str">
        <f>SUBSTITUTE(Raw_Data!G190,"Ã©","é")</f>
        <v>Storm Overtrousers</v>
      </c>
      <c r="H190" s="6">
        <v>2</v>
      </c>
      <c r="I190" s="6" t="s">
        <v>60</v>
      </c>
      <c r="J190" s="6" t="s">
        <v>189</v>
      </c>
      <c r="K190" s="6">
        <v>0.38</v>
      </c>
      <c r="L190" s="6" t="s">
        <v>42</v>
      </c>
      <c r="M190" s="6" t="s">
        <v>34</v>
      </c>
      <c r="N190" s="6"/>
    </row>
    <row r="191" spans="1:14">
      <c r="A191" s="6" t="s">
        <v>519</v>
      </c>
      <c r="B191" s="7">
        <v>46095</v>
      </c>
      <c r="C191" s="6" t="s">
        <v>520</v>
      </c>
      <c r="D191" s="6" t="str">
        <f>IF(OR(PROPER(TRIM(Raw_Data!D191))="Uk",PROPER(TRIM(Raw_Data!D191))="Gb",PROPER(TRIM(Raw_Data!D191))="United kingdom"),"United Kingdom",PROPER(TRIM(Raw_Data!D191)))</f>
        <v>Ireland</v>
      </c>
      <c r="E191" s="6" t="s">
        <v>78</v>
      </c>
      <c r="F191" s="6" t="s">
        <v>85</v>
      </c>
      <c r="G191" s="6" t="str">
        <f>SUBSTITUTE(Raw_Data!G191,"Ã©","é")</f>
        <v>Summit Down Gilet</v>
      </c>
      <c r="H191" s="6">
        <v>1</v>
      </c>
      <c r="I191" s="6" t="s">
        <v>79</v>
      </c>
      <c r="J191" s="6" t="s">
        <v>79</v>
      </c>
      <c r="K191" s="6">
        <v>0.41</v>
      </c>
      <c r="L191" s="6" t="s">
        <v>33</v>
      </c>
      <c r="M191" s="6" t="s">
        <v>34</v>
      </c>
      <c r="N191" s="6"/>
    </row>
    <row r="192" spans="1:14">
      <c r="A192" s="6" t="s">
        <v>521</v>
      </c>
      <c r="B192" s="7">
        <v>46207</v>
      </c>
      <c r="C192" s="6" t="s">
        <v>522</v>
      </c>
      <c r="D192" s="6" t="str">
        <f>IF(OR(PROPER(TRIM(Raw_Data!D192))="Uk",PROPER(TRIM(Raw_Data!D192))="Gb",PROPER(TRIM(Raw_Data!D192))="United kingdom"),"United Kingdom",PROPER(TRIM(Raw_Data!D192)))</f>
        <v>United Kingdom</v>
      </c>
      <c r="E192" s="6" t="s">
        <v>46</v>
      </c>
      <c r="F192" s="6" t="s">
        <v>94</v>
      </c>
      <c r="G192" s="6" t="str">
        <f>SUBSTITUTE(Raw_Data!G192,"Ã©","é")</f>
        <v>Storm Overtrousers</v>
      </c>
      <c r="H192" s="6">
        <v>2</v>
      </c>
      <c r="I192" s="6" t="s">
        <v>96</v>
      </c>
      <c r="J192" s="6" t="s">
        <v>278</v>
      </c>
      <c r="K192" s="6">
        <v>0.34</v>
      </c>
      <c r="L192" s="6" t="s">
        <v>33</v>
      </c>
      <c r="M192" s="6" t="s">
        <v>34</v>
      </c>
      <c r="N192" s="6"/>
    </row>
    <row r="193" spans="1:14">
      <c r="A193" s="6" t="s">
        <v>523</v>
      </c>
      <c r="B193" s="7">
        <v>46057</v>
      </c>
      <c r="C193" s="6" t="s">
        <v>524</v>
      </c>
      <c r="D193" s="6" t="str">
        <f>IF(OR(PROPER(TRIM(Raw_Data!D193))="Uk",PROPER(TRIM(Raw_Data!D193))="Gb",PROPER(TRIM(Raw_Data!D193))="United kingdom"),"United Kingdom",PROPER(TRIM(Raw_Data!D193)))</f>
        <v>United Kingdom</v>
      </c>
      <c r="E193" s="6" t="s">
        <v>37</v>
      </c>
      <c r="F193" s="6" t="s">
        <v>94</v>
      </c>
      <c r="G193" s="6" t="str">
        <f>SUBSTITUTE(Raw_Data!G193,"Ã©","é")</f>
        <v>Café Latte Mug</v>
      </c>
      <c r="H193" s="6">
        <v>1</v>
      </c>
      <c r="I193" s="6" t="s">
        <v>113</v>
      </c>
      <c r="J193" s="6" t="s">
        <v>113</v>
      </c>
      <c r="K193" s="6">
        <v>0.34</v>
      </c>
      <c r="L193" s="6" t="s">
        <v>42</v>
      </c>
      <c r="M193" s="6" t="s">
        <v>34</v>
      </c>
      <c r="N193" s="6"/>
    </row>
    <row r="194" spans="1:14">
      <c r="A194" s="6" t="s">
        <v>525</v>
      </c>
      <c r="B194" s="7">
        <v>46331</v>
      </c>
      <c r="C194" s="6" t="s">
        <v>526</v>
      </c>
      <c r="D194" s="6" t="str">
        <f>IF(OR(PROPER(TRIM(Raw_Data!D194))="Uk",PROPER(TRIM(Raw_Data!D194))="Gb",PROPER(TRIM(Raw_Data!D194))="United kingdom"),"United Kingdom",PROPER(TRIM(Raw_Data!D194)))</f>
        <v>Ireland</v>
      </c>
      <c r="E194" s="6" t="s">
        <v>78</v>
      </c>
      <c r="F194" s="6" t="s">
        <v>29</v>
      </c>
      <c r="G194" s="6" t="str">
        <f>SUBSTITUTE(Raw_Data!G194,"Ã©","é")</f>
        <v>Café Latte Mug</v>
      </c>
      <c r="H194" s="6">
        <v>3</v>
      </c>
      <c r="I194" s="6" t="s">
        <v>31</v>
      </c>
      <c r="J194" s="6" t="s">
        <v>337</v>
      </c>
      <c r="K194" s="6">
        <v>0.52</v>
      </c>
      <c r="L194" s="6" t="s">
        <v>42</v>
      </c>
      <c r="M194" s="6" t="s">
        <v>34</v>
      </c>
      <c r="N194" s="6"/>
    </row>
    <row r="195" spans="1:14">
      <c r="A195" s="6" t="s">
        <v>527</v>
      </c>
      <c r="B195" s="7">
        <v>46060</v>
      </c>
      <c r="C195" s="6" t="s">
        <v>528</v>
      </c>
      <c r="D195" s="6" t="str">
        <f>IF(OR(PROPER(TRIM(Raw_Data!D195))="Uk",PROPER(TRIM(Raw_Data!D195))="Gb",PROPER(TRIM(Raw_Data!D195))="United kingdom"),"United Kingdom",PROPER(TRIM(Raw_Data!D195)))</f>
        <v>France</v>
      </c>
      <c r="E195" s="6" t="s">
        <v>78</v>
      </c>
      <c r="F195" s="6" t="s">
        <v>58</v>
      </c>
      <c r="G195" s="6" t="str">
        <f>SUBSTITUTE(Raw_Data!G195,"Ã©","é")</f>
        <v>Trekking Poles</v>
      </c>
      <c r="H195" s="6">
        <v>1</v>
      </c>
      <c r="I195" s="6" t="s">
        <v>117</v>
      </c>
      <c r="J195" s="6" t="s">
        <v>117</v>
      </c>
      <c r="K195" s="6">
        <v>0.38</v>
      </c>
      <c r="L195" s="6" t="s">
        <v>42</v>
      </c>
      <c r="M195" s="6" t="s">
        <v>34</v>
      </c>
      <c r="N195" s="6"/>
    </row>
    <row r="196" spans="1:14">
      <c r="A196" s="6" t="s">
        <v>529</v>
      </c>
      <c r="B196" s="7">
        <v>46168</v>
      </c>
      <c r="C196" s="6" t="s">
        <v>530</v>
      </c>
      <c r="D196" s="6" t="str">
        <f>IF(OR(PROPER(TRIM(Raw_Data!D196))="Uk",PROPER(TRIM(Raw_Data!D196))="Gb",PROPER(TRIM(Raw_Data!D196))="United kingdom"),"United Kingdom",PROPER(TRIM(Raw_Data!D196)))</f>
        <v>United Kingdom</v>
      </c>
      <c r="E196" s="6" t="s">
        <v>46</v>
      </c>
      <c r="F196" s="6" t="s">
        <v>100</v>
      </c>
      <c r="G196" s="6" t="str">
        <f>SUBSTITUTE(Raw_Data!G196,"Ã©","é")</f>
        <v>Summit Down Gilet</v>
      </c>
      <c r="H196" s="6">
        <v>1</v>
      </c>
      <c r="I196" s="6" t="s">
        <v>67</v>
      </c>
      <c r="J196" s="6" t="s">
        <v>67</v>
      </c>
      <c r="K196" s="6">
        <v>0.64</v>
      </c>
      <c r="L196" s="6" t="s">
        <v>42</v>
      </c>
      <c r="M196" s="6" t="s">
        <v>34</v>
      </c>
      <c r="N196" s="6"/>
    </row>
    <row r="197" spans="1:14">
      <c r="A197" s="6" t="s">
        <v>531</v>
      </c>
      <c r="B197" s="7">
        <v>46134</v>
      </c>
      <c r="C197" s="6" t="s">
        <v>532</v>
      </c>
      <c r="D197" s="6" t="str">
        <f>IF(OR(PROPER(TRIM(Raw_Data!D197))="Uk",PROPER(TRIM(Raw_Data!D197))="Gb",PROPER(TRIM(Raw_Data!D197))="United kingdom"),"United Kingdom",PROPER(TRIM(Raw_Data!D197)))</f>
        <v>Ireland</v>
      </c>
      <c r="E197" s="6" t="s">
        <v>46</v>
      </c>
      <c r="F197" s="6" t="s">
        <v>53</v>
      </c>
      <c r="G197" s="6" t="str">
        <f>SUBSTITUTE(Raw_Data!G197,"Ã©","é")</f>
        <v>Alpine Jacket</v>
      </c>
      <c r="H197" s="6">
        <v>1</v>
      </c>
      <c r="I197" s="6" t="s">
        <v>113</v>
      </c>
      <c r="J197" s="6" t="s">
        <v>113</v>
      </c>
      <c r="K197" s="6">
        <v>0.19</v>
      </c>
      <c r="L197" s="6" t="s">
        <v>33</v>
      </c>
      <c r="M197" s="6" t="s">
        <v>34</v>
      </c>
      <c r="N197" s="6"/>
    </row>
    <row r="198" spans="1:14">
      <c r="A198" s="6" t="s">
        <v>533</v>
      </c>
      <c r="B198" s="7">
        <v>46115</v>
      </c>
      <c r="C198" s="6" t="s">
        <v>534</v>
      </c>
      <c r="D198" s="6" t="str">
        <f>IF(OR(PROPER(TRIM(Raw_Data!D198))="Uk",PROPER(TRIM(Raw_Data!D198))="Gb",PROPER(TRIM(Raw_Data!D198))="United kingdom"),"United Kingdom",PROPER(TRIM(Raw_Data!D198)))</f>
        <v>France</v>
      </c>
      <c r="E198" s="6" t="s">
        <v>37</v>
      </c>
      <c r="F198" s="6" t="s">
        <v>100</v>
      </c>
      <c r="G198" s="6" t="str">
        <f>SUBSTITUTE(Raw_Data!G198,"Ã©","é")</f>
        <v>Merino Base Layer</v>
      </c>
      <c r="H198" s="6">
        <v>2</v>
      </c>
      <c r="I198" s="6" t="s">
        <v>40</v>
      </c>
      <c r="J198" s="6" t="s">
        <v>327</v>
      </c>
      <c r="K198" s="6">
        <v>0.64</v>
      </c>
      <c r="L198" s="6" t="s">
        <v>42</v>
      </c>
      <c r="M198" s="6" t="s">
        <v>34</v>
      </c>
      <c r="N198" s="6"/>
    </row>
    <row r="199" spans="1:14">
      <c r="A199" s="6" t="s">
        <v>535</v>
      </c>
      <c r="B199" s="7">
        <v>46166</v>
      </c>
      <c r="C199" s="6" t="s">
        <v>536</v>
      </c>
      <c r="D199" s="6" t="str">
        <f>IF(OR(PROPER(TRIM(Raw_Data!D199))="Uk",PROPER(TRIM(Raw_Data!D199))="Gb",PROPER(TRIM(Raw_Data!D199))="United kingdom"),"United Kingdom",PROPER(TRIM(Raw_Data!D199)))</f>
        <v>United Kingdom</v>
      </c>
      <c r="E199" s="6" t="s">
        <v>46</v>
      </c>
      <c r="F199" s="6" t="s">
        <v>38</v>
      </c>
      <c r="G199" s="6" t="str">
        <f>SUBSTITUTE(Raw_Data!G199,"Ã©","é")</f>
        <v>Alpine Jacket</v>
      </c>
      <c r="H199" s="6">
        <v>2</v>
      </c>
      <c r="I199" s="6" t="s">
        <v>117</v>
      </c>
      <c r="J199" s="6" t="s">
        <v>118</v>
      </c>
      <c r="K199" s="6">
        <v>0.52</v>
      </c>
      <c r="L199" s="6" t="s">
        <v>42</v>
      </c>
      <c r="M199" s="6" t="s">
        <v>69</v>
      </c>
      <c r="N199" s="6"/>
    </row>
    <row r="200" spans="1:14">
      <c r="A200" s="6" t="s">
        <v>537</v>
      </c>
      <c r="B200" s="7">
        <v>46040</v>
      </c>
      <c r="C200" s="6" t="s">
        <v>538</v>
      </c>
      <c r="D200" s="6" t="str">
        <f>IF(OR(PROPER(TRIM(Raw_Data!D200))="Uk",PROPER(TRIM(Raw_Data!D200))="Gb",PROPER(TRIM(Raw_Data!D200))="United kingdom"),"United Kingdom",PROPER(TRIM(Raw_Data!D200)))</f>
        <v>United Kingdom</v>
      </c>
      <c r="E200" s="6" t="s">
        <v>52</v>
      </c>
      <c r="F200" s="6" t="s">
        <v>29</v>
      </c>
      <c r="G200" s="6" t="str">
        <f>SUBSTITUTE(Raw_Data!G200,"Ã©","é")</f>
        <v>Trail Softshell</v>
      </c>
      <c r="H200" s="6">
        <v>3</v>
      </c>
      <c r="I200" s="6" t="s">
        <v>82</v>
      </c>
      <c r="J200" s="6" t="s">
        <v>390</v>
      </c>
      <c r="K200" s="6">
        <v>0.52</v>
      </c>
      <c r="L200" s="6" t="s">
        <v>42</v>
      </c>
      <c r="M200" s="6" t="s">
        <v>34</v>
      </c>
      <c r="N200" s="6"/>
    </row>
    <row r="201" spans="1:14">
      <c r="A201" s="6" t="s">
        <v>539</v>
      </c>
      <c r="B201" s="7">
        <v>46057</v>
      </c>
      <c r="C201" s="6" t="s">
        <v>540</v>
      </c>
      <c r="D201" s="6" t="str">
        <f>IF(OR(PROPER(TRIM(Raw_Data!D201))="Uk",PROPER(TRIM(Raw_Data!D201))="Gb",PROPER(TRIM(Raw_Data!D201))="United kingdom"),"United Kingdom",PROPER(TRIM(Raw_Data!D201)))</f>
        <v>United Kingdom</v>
      </c>
      <c r="E201" s="6" t="s">
        <v>37</v>
      </c>
      <c r="F201" s="6" t="s">
        <v>47</v>
      </c>
      <c r="G201" s="6" t="str">
        <f>SUBSTITUTE(Raw_Data!G201,"Ã©","é")</f>
        <v>Trekking Poles</v>
      </c>
      <c r="H201" s="6">
        <v>2</v>
      </c>
      <c r="I201" s="6" t="s">
        <v>90</v>
      </c>
      <c r="J201" s="6" t="s">
        <v>154</v>
      </c>
      <c r="K201" s="6">
        <v>8.5000000000000006E-2</v>
      </c>
      <c r="L201" s="6" t="s">
        <v>42</v>
      </c>
      <c r="M201" s="6" t="s">
        <v>34</v>
      </c>
      <c r="N201" s="6"/>
    </row>
    <row r="202" spans="1:14">
      <c r="A202" s="6" t="s">
        <v>541</v>
      </c>
      <c r="B202" s="7">
        <v>46125</v>
      </c>
      <c r="C202" s="6" t="s">
        <v>542</v>
      </c>
      <c r="D202" s="6" t="str">
        <f>IF(OR(PROPER(TRIM(Raw_Data!D202))="Uk",PROPER(TRIM(Raw_Data!D202))="Gb",PROPER(TRIM(Raw_Data!D202))="United kingdom"),"United Kingdom",PROPER(TRIM(Raw_Data!D202)))</f>
        <v>Ireland</v>
      </c>
      <c r="E202" s="6" t="s">
        <v>52</v>
      </c>
      <c r="F202" s="6" t="s">
        <v>47</v>
      </c>
      <c r="G202" s="6" t="str">
        <f>SUBSTITUTE(Raw_Data!G202,"Ã©","é")</f>
        <v>Fell Runner Cap</v>
      </c>
      <c r="H202" s="6">
        <v>3</v>
      </c>
      <c r="I202" s="6" t="s">
        <v>490</v>
      </c>
      <c r="J202" s="6" t="s">
        <v>390</v>
      </c>
      <c r="K202" s="6">
        <v>8.5000000000000006E-2</v>
      </c>
      <c r="L202" s="6" t="s">
        <v>42</v>
      </c>
      <c r="M202" s="6" t="s">
        <v>69</v>
      </c>
      <c r="N202" s="6"/>
    </row>
    <row r="203" spans="1:14">
      <c r="A203" s="6" t="s">
        <v>543</v>
      </c>
      <c r="B203" s="7">
        <v>46147</v>
      </c>
      <c r="C203" s="6" t="s">
        <v>544</v>
      </c>
      <c r="D203" s="6" t="str">
        <f>IF(OR(PROPER(TRIM(Raw_Data!D203))="Uk",PROPER(TRIM(Raw_Data!D203))="Gb",PROPER(TRIM(Raw_Data!D203))="United kingdom"),"United Kingdom",PROPER(TRIM(Raw_Data!D203)))</f>
        <v>United Kingdom</v>
      </c>
      <c r="E203" s="6" t="s">
        <v>28</v>
      </c>
      <c r="F203" s="6" t="s">
        <v>94</v>
      </c>
      <c r="G203" s="6" t="str">
        <f>SUBSTITUTE(Raw_Data!G203,"Ã©","é")</f>
        <v>Fell Runner Cap</v>
      </c>
      <c r="H203" s="6">
        <v>1</v>
      </c>
      <c r="I203" s="6" t="s">
        <v>96</v>
      </c>
      <c r="J203" s="6" t="s">
        <v>96</v>
      </c>
      <c r="K203" s="6">
        <v>0.34</v>
      </c>
      <c r="L203" s="6" t="s">
        <v>42</v>
      </c>
      <c r="M203" s="6" t="s">
        <v>34</v>
      </c>
      <c r="N203" s="6"/>
    </row>
    <row r="204" spans="1:14">
      <c r="A204" s="6" t="s">
        <v>545</v>
      </c>
      <c r="B204" s="7">
        <v>46201</v>
      </c>
      <c r="C204" s="6" t="s">
        <v>546</v>
      </c>
      <c r="D204" s="6" t="str">
        <f>IF(OR(PROPER(TRIM(Raw_Data!D204))="Uk",PROPER(TRIM(Raw_Data!D204))="Gb",PROPER(TRIM(Raw_Data!D204))="United kingdom"),"United Kingdom",PROPER(TRIM(Raw_Data!D204)))</f>
        <v>United Kingdom</v>
      </c>
      <c r="E204" s="6" t="s">
        <v>78</v>
      </c>
      <c r="F204" s="6" t="s">
        <v>94</v>
      </c>
      <c r="G204" s="6" t="str">
        <f>SUBSTITUTE(Raw_Data!G204,"Ã©","é")</f>
        <v>Café Latte Mug</v>
      </c>
      <c r="H204" s="6">
        <v>2</v>
      </c>
      <c r="I204" s="6" t="s">
        <v>60</v>
      </c>
      <c r="J204" s="6" t="s">
        <v>189</v>
      </c>
      <c r="K204" s="6">
        <v>0.34</v>
      </c>
      <c r="L204" s="6" t="s">
        <v>33</v>
      </c>
      <c r="M204" s="6" t="s">
        <v>34</v>
      </c>
      <c r="N204" s="6"/>
    </row>
    <row r="205" spans="1:14">
      <c r="A205" s="6" t="s">
        <v>547</v>
      </c>
      <c r="B205" s="7">
        <v>46048</v>
      </c>
      <c r="C205" s="6" t="s">
        <v>548</v>
      </c>
      <c r="D205" s="6" t="str">
        <f>IF(OR(PROPER(TRIM(Raw_Data!D205))="Uk",PROPER(TRIM(Raw_Data!D205))="Gb",PROPER(TRIM(Raw_Data!D205))="United kingdom"),"United Kingdom",PROPER(TRIM(Raw_Data!D205)))</f>
        <v>Germany</v>
      </c>
      <c r="E205" s="6" t="s">
        <v>37</v>
      </c>
      <c r="F205" s="6" t="s">
        <v>58</v>
      </c>
      <c r="G205" s="6" t="str">
        <f>SUBSTITUTE(Raw_Data!G205,"Ã©","é")</f>
        <v>Café Latte Mug</v>
      </c>
      <c r="H205" s="6">
        <v>1</v>
      </c>
      <c r="I205" s="6" t="s">
        <v>67</v>
      </c>
      <c r="J205" s="6" t="s">
        <v>67</v>
      </c>
      <c r="K205" s="6">
        <v>0.38</v>
      </c>
      <c r="L205" s="6" t="s">
        <v>42</v>
      </c>
      <c r="M205" s="6" t="s">
        <v>69</v>
      </c>
      <c r="N205" s="6"/>
    </row>
    <row r="206" spans="1:14">
      <c r="A206" s="6" t="s">
        <v>549</v>
      </c>
      <c r="B206" s="7">
        <v>46024</v>
      </c>
      <c r="C206" s="6" t="s">
        <v>550</v>
      </c>
      <c r="D206" s="6" t="str">
        <f>IF(OR(PROPER(TRIM(Raw_Data!D206))="Uk",PROPER(TRIM(Raw_Data!D206))="Gb",PROPER(TRIM(Raw_Data!D206))="United kingdom"),"United Kingdom",PROPER(TRIM(Raw_Data!D206)))</f>
        <v>France</v>
      </c>
      <c r="E206" s="6" t="s">
        <v>28</v>
      </c>
      <c r="F206" s="6" t="s">
        <v>29</v>
      </c>
      <c r="G206" s="6" t="str">
        <f>SUBSTITUTE(Raw_Data!G206,"Ã©","é")</f>
        <v>Summit Down Gilet</v>
      </c>
      <c r="H206" s="6">
        <v>1</v>
      </c>
      <c r="I206" s="6" t="s">
        <v>40</v>
      </c>
      <c r="J206" s="6" t="s">
        <v>40</v>
      </c>
      <c r="K206" s="6">
        <v>0.52</v>
      </c>
      <c r="L206" s="6" t="s">
        <v>42</v>
      </c>
      <c r="M206" s="6" t="s">
        <v>34</v>
      </c>
      <c r="N206" s="6"/>
    </row>
    <row r="207" spans="1:14">
      <c r="A207" s="6" t="s">
        <v>551</v>
      </c>
      <c r="B207" s="7">
        <v>46077</v>
      </c>
      <c r="C207" s="6" t="s">
        <v>552</v>
      </c>
      <c r="D207" s="6" t="str">
        <f>IF(OR(PROPER(TRIM(Raw_Data!D207))="Uk",PROPER(TRIM(Raw_Data!D207))="Gb",PROPER(TRIM(Raw_Data!D207))="United kingdom"),"United Kingdom",PROPER(TRIM(Raw_Data!D207)))</f>
        <v>United Kingdom</v>
      </c>
      <c r="E207" s="6" t="s">
        <v>78</v>
      </c>
      <c r="F207" s="6" t="s">
        <v>85</v>
      </c>
      <c r="G207" s="6" t="str">
        <f>SUBSTITUTE(Raw_Data!G207,"Ã©","é")</f>
        <v>Trekking Poles</v>
      </c>
      <c r="H207" s="6">
        <v>2</v>
      </c>
      <c r="I207" s="6" t="s">
        <v>79</v>
      </c>
      <c r="J207" s="6" t="s">
        <v>259</v>
      </c>
      <c r="K207" s="6">
        <v>0.41</v>
      </c>
      <c r="L207" s="6" t="s">
        <v>42</v>
      </c>
      <c r="M207" s="6" t="s">
        <v>34</v>
      </c>
      <c r="N207" s="6"/>
    </row>
    <row r="208" spans="1:14">
      <c r="A208" s="6" t="s">
        <v>553</v>
      </c>
      <c r="B208" s="7">
        <v>46176</v>
      </c>
      <c r="C208" s="6" t="s">
        <v>554</v>
      </c>
      <c r="D208" s="6" t="str">
        <f>IF(OR(PROPER(TRIM(Raw_Data!D208))="Uk",PROPER(TRIM(Raw_Data!D208))="Gb",PROPER(TRIM(Raw_Data!D208))="United kingdom"),"United Kingdom",PROPER(TRIM(Raw_Data!D208)))</f>
        <v>United Kingdom</v>
      </c>
      <c r="E208" s="6" t="s">
        <v>46</v>
      </c>
      <c r="F208" s="6" t="s">
        <v>85</v>
      </c>
      <c r="G208" s="6" t="str">
        <f>SUBSTITUTE(Raw_Data!G208,"Ã©","é")</f>
        <v>Storm Overtrousers</v>
      </c>
      <c r="H208" s="6">
        <v>1</v>
      </c>
      <c r="I208" s="6" t="s">
        <v>31</v>
      </c>
      <c r="J208" s="6" t="s">
        <v>31</v>
      </c>
      <c r="K208" s="6">
        <v>0.41</v>
      </c>
      <c r="L208" s="6" t="s">
        <v>42</v>
      </c>
      <c r="M208" s="6" t="s">
        <v>69</v>
      </c>
      <c r="N208" s="6"/>
    </row>
    <row r="209" spans="1:14">
      <c r="A209" s="6" t="s">
        <v>555</v>
      </c>
      <c r="B209" s="7">
        <v>46266</v>
      </c>
      <c r="C209" s="6" t="s">
        <v>556</v>
      </c>
      <c r="D209" s="6" t="str">
        <f>IF(OR(PROPER(TRIM(Raw_Data!D209))="Uk",PROPER(TRIM(Raw_Data!D209))="Gb",PROPER(TRIM(Raw_Data!D209))="United kingdom"),"United Kingdom",PROPER(TRIM(Raw_Data!D209)))</f>
        <v>United Kingdom</v>
      </c>
      <c r="E209" s="6" t="s">
        <v>28</v>
      </c>
      <c r="F209" s="6" t="s">
        <v>100</v>
      </c>
      <c r="G209" s="6" t="str">
        <f>SUBSTITUTE(Raw_Data!G209,"Ã©","é")</f>
        <v>Storm Overtrousers</v>
      </c>
      <c r="H209" s="6">
        <v>1</v>
      </c>
      <c r="I209" s="6" t="s">
        <v>265</v>
      </c>
      <c r="J209" s="6" t="s">
        <v>265</v>
      </c>
      <c r="K209" s="6">
        <v>0.64</v>
      </c>
      <c r="L209" s="6" t="s">
        <v>42</v>
      </c>
      <c r="M209" s="6" t="s">
        <v>34</v>
      </c>
      <c r="N209" s="6"/>
    </row>
    <row r="210" spans="1:14">
      <c r="A210" s="6" t="s">
        <v>557</v>
      </c>
      <c r="B210" s="7">
        <v>46178</v>
      </c>
      <c r="C210" s="6" t="s">
        <v>558</v>
      </c>
      <c r="D210" s="6" t="str">
        <f>IF(OR(PROPER(TRIM(Raw_Data!D210))="Uk",PROPER(TRIM(Raw_Data!D210))="Gb",PROPER(TRIM(Raw_Data!D210))="United kingdom"),"United Kingdom",PROPER(TRIM(Raw_Data!D210)))</f>
        <v>Ireland</v>
      </c>
      <c r="E210" s="6" t="s">
        <v>37</v>
      </c>
      <c r="F210" s="6" t="s">
        <v>58</v>
      </c>
      <c r="G210" s="6" t="str">
        <f>SUBSTITUTE(Raw_Data!G210,"Ã©","é")</f>
        <v>Alpine Jacket</v>
      </c>
      <c r="H210" s="6">
        <v>2</v>
      </c>
      <c r="I210" s="6" t="s">
        <v>40</v>
      </c>
      <c r="J210" s="6" t="s">
        <v>327</v>
      </c>
      <c r="K210" s="6">
        <v>0.38</v>
      </c>
      <c r="L210" s="6" t="s">
        <v>42</v>
      </c>
      <c r="M210" s="6" t="s">
        <v>34</v>
      </c>
      <c r="N210" s="6"/>
    </row>
    <row r="211" spans="1:14">
      <c r="A211" s="6" t="s">
        <v>559</v>
      </c>
      <c r="B211" s="7">
        <v>46070</v>
      </c>
      <c r="C211" s="6" t="s">
        <v>560</v>
      </c>
      <c r="D211" s="6" t="str">
        <f>IF(OR(PROPER(TRIM(Raw_Data!D211))="Uk",PROPER(TRIM(Raw_Data!D211))="Gb",PROPER(TRIM(Raw_Data!D211))="United kingdom"),"United Kingdom",PROPER(TRIM(Raw_Data!D211)))</f>
        <v>United Kingdom</v>
      </c>
      <c r="E211" s="6" t="s">
        <v>52</v>
      </c>
      <c r="F211" s="6" t="s">
        <v>85</v>
      </c>
      <c r="G211" s="6" t="str">
        <f>SUBSTITUTE(Raw_Data!G211,"Ã©","é")</f>
        <v>Summit Down Gilet</v>
      </c>
      <c r="H211" s="6">
        <v>1</v>
      </c>
      <c r="I211" s="6" t="s">
        <v>96</v>
      </c>
      <c r="J211" s="6" t="s">
        <v>561</v>
      </c>
      <c r="K211" s="6">
        <v>0.41</v>
      </c>
      <c r="L211" s="6" t="s">
        <v>42</v>
      </c>
      <c r="M211" s="6" t="s">
        <v>69</v>
      </c>
      <c r="N211" s="6"/>
    </row>
    <row r="212" spans="1:14">
      <c r="A212" s="6" t="s">
        <v>562</v>
      </c>
      <c r="B212" s="7">
        <v>46051</v>
      </c>
      <c r="C212" s="6" t="s">
        <v>564</v>
      </c>
      <c r="D212" s="6" t="str">
        <f>IF(OR(PROPER(TRIM(Raw_Data!D212))="Uk",PROPER(TRIM(Raw_Data!D212))="Gb",PROPER(TRIM(Raw_Data!D212))="United kingdom"),"United Kingdom",PROPER(TRIM(Raw_Data!D212)))</f>
        <v>United Kingdom</v>
      </c>
      <c r="E212" s="6" t="s">
        <v>46</v>
      </c>
      <c r="F212" s="6" t="s">
        <v>29</v>
      </c>
      <c r="G212" s="6" t="str">
        <f>SUBSTITUTE(Raw_Data!G212,"Ã©","é")</f>
        <v>Storm Overtrousers</v>
      </c>
      <c r="H212" s="6">
        <v>2</v>
      </c>
      <c r="I212" s="6" t="s">
        <v>31</v>
      </c>
      <c r="J212" s="6" t="s">
        <v>249</v>
      </c>
      <c r="K212" s="6">
        <v>0.52</v>
      </c>
      <c r="L212" s="6" t="s">
        <v>42</v>
      </c>
      <c r="M212" s="6" t="s">
        <v>34</v>
      </c>
      <c r="N212" s="6"/>
    </row>
    <row r="213" spans="1:14">
      <c r="A213" s="6" t="s">
        <v>565</v>
      </c>
      <c r="B213" s="7">
        <v>46024</v>
      </c>
      <c r="C213" s="6" t="s">
        <v>566</v>
      </c>
      <c r="D213" s="6" t="str">
        <f>IF(OR(PROPER(TRIM(Raw_Data!D213))="Uk",PROPER(TRIM(Raw_Data!D213))="Gb",PROPER(TRIM(Raw_Data!D213))="United kingdom"),"United Kingdom",PROPER(TRIM(Raw_Data!D213)))</f>
        <v>United Kingdom</v>
      </c>
      <c r="E213" s="6" t="s">
        <v>78</v>
      </c>
      <c r="F213" s="6" t="s">
        <v>94</v>
      </c>
      <c r="G213" s="6" t="str">
        <f>SUBSTITUTE(Raw_Data!G213,"Ã©","é")</f>
        <v>Trekking Poles</v>
      </c>
      <c r="H213" s="6">
        <v>3</v>
      </c>
      <c r="I213" s="6" t="s">
        <v>82</v>
      </c>
      <c r="J213" s="6" t="s">
        <v>390</v>
      </c>
      <c r="K213" s="6">
        <v>0.34</v>
      </c>
      <c r="L213" s="6" t="s">
        <v>42</v>
      </c>
      <c r="M213" s="6" t="s">
        <v>34</v>
      </c>
      <c r="N213" s="6"/>
    </row>
    <row r="214" spans="1:14">
      <c r="A214" s="6" t="s">
        <v>567</v>
      </c>
      <c r="B214" s="7">
        <v>46193</v>
      </c>
      <c r="C214" s="6" t="s">
        <v>568</v>
      </c>
      <c r="D214" s="6" t="str">
        <f>IF(OR(PROPER(TRIM(Raw_Data!D214))="Uk",PROPER(TRIM(Raw_Data!D214))="Gb",PROPER(TRIM(Raw_Data!D214))="United kingdom"),"United Kingdom",PROPER(TRIM(Raw_Data!D214)))</f>
        <v>United Kingdom</v>
      </c>
      <c r="E214" s="6" t="s">
        <v>37</v>
      </c>
      <c r="F214" s="6" t="s">
        <v>47</v>
      </c>
      <c r="G214" s="6" t="str">
        <f>SUBSTITUTE(Raw_Data!G214,"Ã©","é")</f>
        <v>Café Latte Mug</v>
      </c>
      <c r="H214" s="6">
        <v>1</v>
      </c>
      <c r="I214" s="6" t="s">
        <v>60</v>
      </c>
      <c r="J214" s="6" t="s">
        <v>60</v>
      </c>
      <c r="K214" s="6">
        <v>8.5000000000000006E-2</v>
      </c>
      <c r="L214" s="6" t="s">
        <v>33</v>
      </c>
      <c r="M214" s="6" t="s">
        <v>34</v>
      </c>
      <c r="N214" s="6"/>
    </row>
    <row r="215" spans="1:14">
      <c r="A215" s="6" t="s">
        <v>569</v>
      </c>
      <c r="B215" s="7">
        <v>46330</v>
      </c>
      <c r="C215" s="6" t="s">
        <v>570</v>
      </c>
      <c r="D215" s="6" t="str">
        <f>IF(OR(PROPER(TRIM(Raw_Data!D215))="Uk",PROPER(TRIM(Raw_Data!D215))="Gb",PROPER(TRIM(Raw_Data!D215))="United kingdom"),"United Kingdom",PROPER(TRIM(Raw_Data!D215)))</f>
        <v>France</v>
      </c>
      <c r="E215" s="6" t="s">
        <v>37</v>
      </c>
      <c r="F215" s="6" t="s">
        <v>85</v>
      </c>
      <c r="G215" s="6" t="str">
        <f>SUBSTITUTE(Raw_Data!G215,"Ã©","é")</f>
        <v>Fell Runner Cap</v>
      </c>
      <c r="H215" s="6">
        <v>2</v>
      </c>
      <c r="I215" s="6" t="s">
        <v>117</v>
      </c>
      <c r="J215" s="6" t="s">
        <v>118</v>
      </c>
      <c r="K215" s="6">
        <v>0.41</v>
      </c>
      <c r="L215" s="6" t="s">
        <v>42</v>
      </c>
      <c r="M215" s="6" t="s">
        <v>34</v>
      </c>
      <c r="N215" s="6"/>
    </row>
    <row r="216" spans="1:14">
      <c r="A216" s="6" t="s">
        <v>571</v>
      </c>
      <c r="B216" s="7">
        <v>46099</v>
      </c>
      <c r="C216" s="6" t="s">
        <v>573</v>
      </c>
      <c r="D216" s="6" t="str">
        <f>IF(OR(PROPER(TRIM(Raw_Data!D216))="Uk",PROPER(TRIM(Raw_Data!D216))="Gb",PROPER(TRIM(Raw_Data!D216))="United kingdom"),"United Kingdom",PROPER(TRIM(Raw_Data!D216)))</f>
        <v>United Kingdom</v>
      </c>
      <c r="E216" s="6" t="s">
        <v>52</v>
      </c>
      <c r="F216" s="6" t="s">
        <v>100</v>
      </c>
      <c r="G216" s="6" t="str">
        <f>SUBSTITUTE(Raw_Data!G216,"Ã©","é")</f>
        <v>Storm Overtrousers</v>
      </c>
      <c r="H216" s="6">
        <v>3</v>
      </c>
      <c r="I216" s="6" t="s">
        <v>73</v>
      </c>
      <c r="J216" s="6" t="s">
        <v>499</v>
      </c>
      <c r="K216" s="6">
        <v>0.64</v>
      </c>
      <c r="L216" s="6" t="s">
        <v>42</v>
      </c>
      <c r="M216" s="6" t="s">
        <v>34</v>
      </c>
      <c r="N216" s="6"/>
    </row>
    <row r="217" spans="1:14">
      <c r="A217" s="6" t="s">
        <v>574</v>
      </c>
      <c r="B217" s="7">
        <v>46071</v>
      </c>
      <c r="C217" s="6" t="s">
        <v>575</v>
      </c>
      <c r="D217" s="6" t="str">
        <f>IF(OR(PROPER(TRIM(Raw_Data!D217))="Uk",PROPER(TRIM(Raw_Data!D217))="Gb",PROPER(TRIM(Raw_Data!D217))="United kingdom"),"United Kingdom",PROPER(TRIM(Raw_Data!D217)))</f>
        <v>United Kingdom</v>
      </c>
      <c r="E217" s="6" t="s">
        <v>37</v>
      </c>
      <c r="F217" s="6" t="s">
        <v>29</v>
      </c>
      <c r="G217" s="6" t="str">
        <f>SUBSTITUTE(Raw_Data!G217,"Ã©","é")</f>
        <v>Alpine Jacket</v>
      </c>
      <c r="H217" s="6">
        <v>1</v>
      </c>
      <c r="I217" s="6" t="s">
        <v>31</v>
      </c>
      <c r="J217" s="6" t="s">
        <v>31</v>
      </c>
      <c r="K217" s="6">
        <v>0.52</v>
      </c>
      <c r="L217" s="6" t="s">
        <v>33</v>
      </c>
      <c r="M217" s="6" t="s">
        <v>34</v>
      </c>
      <c r="N217" s="6"/>
    </row>
    <row r="218" spans="1:14">
      <c r="A218" s="6" t="s">
        <v>576</v>
      </c>
      <c r="B218" s="7">
        <v>46047</v>
      </c>
      <c r="C218" s="6" t="s">
        <v>578</v>
      </c>
      <c r="D218" s="6" t="str">
        <f>IF(OR(PROPER(TRIM(Raw_Data!D218))="Uk",PROPER(TRIM(Raw_Data!D218))="Gb",PROPER(TRIM(Raw_Data!D218))="United kingdom"),"United Kingdom",PROPER(TRIM(Raw_Data!D218)))</f>
        <v>United Kingdom</v>
      </c>
      <c r="E218" s="6" t="s">
        <v>28</v>
      </c>
      <c r="F218" s="6" t="s">
        <v>47</v>
      </c>
      <c r="G218" s="6" t="str">
        <f>SUBSTITUTE(Raw_Data!G218,"Ã©","é")</f>
        <v>Trekking Poles</v>
      </c>
      <c r="H218" s="6">
        <v>3</v>
      </c>
      <c r="I218" s="6" t="s">
        <v>40</v>
      </c>
      <c r="J218" s="6" t="s">
        <v>579</v>
      </c>
      <c r="K218" s="6">
        <v>8.5000000000000006E-2</v>
      </c>
      <c r="L218" s="6" t="s">
        <v>42</v>
      </c>
      <c r="M218" s="6" t="s">
        <v>34</v>
      </c>
      <c r="N218" s="6"/>
    </row>
    <row r="219" spans="1:14">
      <c r="A219" s="6" t="s">
        <v>580</v>
      </c>
      <c r="B219" s="7">
        <v>46068</v>
      </c>
      <c r="C219" s="6" t="s">
        <v>581</v>
      </c>
      <c r="D219" s="6" t="str">
        <f>IF(OR(PROPER(TRIM(Raw_Data!D219))="Uk",PROPER(TRIM(Raw_Data!D219))="Gb",PROPER(TRIM(Raw_Data!D219))="United kingdom"),"United Kingdom",PROPER(TRIM(Raw_Data!D219)))</f>
        <v>United Kingdom</v>
      </c>
      <c r="E219" s="6" t="s">
        <v>37</v>
      </c>
      <c r="F219" s="6" t="s">
        <v>47</v>
      </c>
      <c r="G219" s="6" t="str">
        <f>SUBSTITUTE(Raw_Data!G219,"Ã©","é")</f>
        <v>Fell Runner Cap</v>
      </c>
      <c r="H219" s="6">
        <v>2</v>
      </c>
      <c r="I219" s="6" t="s">
        <v>31</v>
      </c>
      <c r="J219" s="6" t="s">
        <v>249</v>
      </c>
      <c r="K219" s="6">
        <v>8.5000000000000006E-2</v>
      </c>
      <c r="L219" s="6" t="s">
        <v>33</v>
      </c>
      <c r="M219" s="6" t="s">
        <v>34</v>
      </c>
      <c r="N219" s="6"/>
    </row>
    <row r="220" spans="1:14">
      <c r="A220" s="6" t="s">
        <v>582</v>
      </c>
      <c r="B220" s="7">
        <v>46199</v>
      </c>
      <c r="C220" s="6" t="s">
        <v>583</v>
      </c>
      <c r="D220" s="6" t="str">
        <f>IF(OR(PROPER(TRIM(Raw_Data!D220))="Uk",PROPER(TRIM(Raw_Data!D220))="Gb",PROPER(TRIM(Raw_Data!D220))="United kingdom"),"United Kingdom",PROPER(TRIM(Raw_Data!D220)))</f>
        <v>Germany</v>
      </c>
      <c r="E220" s="6" t="s">
        <v>28</v>
      </c>
      <c r="F220" s="6" t="s">
        <v>47</v>
      </c>
      <c r="G220" s="6" t="str">
        <f>SUBSTITUTE(Raw_Data!G220,"Ã©","é")</f>
        <v>Fell Runner Cap</v>
      </c>
      <c r="H220" s="6">
        <v>1</v>
      </c>
      <c r="I220" s="6" t="s">
        <v>82</v>
      </c>
      <c r="J220" s="6" t="s">
        <v>82</v>
      </c>
      <c r="K220" s="6">
        <v>8.5000000000000006E-2</v>
      </c>
      <c r="L220" s="6" t="s">
        <v>42</v>
      </c>
      <c r="M220" s="6" t="s">
        <v>34</v>
      </c>
      <c r="N220" s="6"/>
    </row>
    <row r="221" spans="1:14">
      <c r="A221" s="6" t="s">
        <v>584</v>
      </c>
      <c r="B221" s="7">
        <v>46169</v>
      </c>
      <c r="C221" s="6" t="s">
        <v>585</v>
      </c>
      <c r="D221" s="6" t="str">
        <f>IF(OR(PROPER(TRIM(Raw_Data!D221))="Uk",PROPER(TRIM(Raw_Data!D221))="Gb",PROPER(TRIM(Raw_Data!D221))="United kingdom"),"United Kingdom",PROPER(TRIM(Raw_Data!D221)))</f>
        <v>United Kingdom</v>
      </c>
      <c r="E221" s="6" t="s">
        <v>37</v>
      </c>
      <c r="F221" s="6" t="s">
        <v>94</v>
      </c>
      <c r="G221" s="6" t="str">
        <f>SUBSTITUTE(Raw_Data!G221,"Ã©","é")</f>
        <v>Fell Runner Cap</v>
      </c>
      <c r="H221" s="6">
        <v>1</v>
      </c>
      <c r="I221" s="6" t="s">
        <v>147</v>
      </c>
      <c r="J221" s="6" t="s">
        <v>147</v>
      </c>
      <c r="K221" s="6">
        <v>0.34</v>
      </c>
      <c r="L221" s="6" t="s">
        <v>42</v>
      </c>
      <c r="M221" s="6" t="s">
        <v>69</v>
      </c>
      <c r="N221" s="6"/>
    </row>
    <row r="222" spans="1:14">
      <c r="A222" s="6" t="s">
        <v>586</v>
      </c>
      <c r="B222" s="7">
        <v>46086</v>
      </c>
      <c r="C222" s="6" t="s">
        <v>587</v>
      </c>
      <c r="D222" s="6" t="str">
        <f>IF(OR(PROPER(TRIM(Raw_Data!D222))="Uk",PROPER(TRIM(Raw_Data!D222))="Gb",PROPER(TRIM(Raw_Data!D222))="United kingdom"),"United Kingdom",PROPER(TRIM(Raw_Data!D222)))</f>
        <v>United Kingdom</v>
      </c>
      <c r="E222" s="6" t="s">
        <v>28</v>
      </c>
      <c r="F222" s="6" t="s">
        <v>29</v>
      </c>
      <c r="G222" s="6" t="str">
        <f>SUBSTITUTE(Raw_Data!G222,"Ã©","é")</f>
        <v>Café Latte Mug</v>
      </c>
      <c r="H222" s="6">
        <v>1</v>
      </c>
      <c r="I222" s="6" t="s">
        <v>166</v>
      </c>
      <c r="J222" s="6" t="s">
        <v>265</v>
      </c>
      <c r="K222" s="6">
        <v>0.52</v>
      </c>
      <c r="L222" s="6" t="s">
        <v>42</v>
      </c>
      <c r="M222" s="6" t="s">
        <v>34</v>
      </c>
      <c r="N222" s="6"/>
    </row>
    <row r="223" spans="1:14">
      <c r="A223" s="6" t="s">
        <v>588</v>
      </c>
      <c r="B223" s="7">
        <v>46096</v>
      </c>
      <c r="C223" s="6" t="s">
        <v>589</v>
      </c>
      <c r="D223" s="6" t="str">
        <f>IF(OR(PROPER(TRIM(Raw_Data!D223))="Uk",PROPER(TRIM(Raw_Data!D223))="Gb",PROPER(TRIM(Raw_Data!D223))="United kingdom"),"United Kingdom",PROPER(TRIM(Raw_Data!D223)))</f>
        <v>United Kingdom</v>
      </c>
      <c r="E223" s="6" t="s">
        <v>37</v>
      </c>
      <c r="F223" s="6" t="s">
        <v>94</v>
      </c>
      <c r="G223" s="6" t="str">
        <f>SUBSTITUTE(Raw_Data!G223,"Ã©","é")</f>
        <v>Trekking Poles</v>
      </c>
      <c r="H223" s="6">
        <v>1</v>
      </c>
      <c r="I223" s="6" t="s">
        <v>67</v>
      </c>
      <c r="J223" s="6" t="s">
        <v>67</v>
      </c>
      <c r="K223" s="6">
        <v>0.34</v>
      </c>
      <c r="L223" s="6" t="s">
        <v>42</v>
      </c>
      <c r="M223" s="6" t="s">
        <v>69</v>
      </c>
      <c r="N223" s="6"/>
    </row>
    <row r="224" spans="1:14">
      <c r="A224" s="6" t="s">
        <v>590</v>
      </c>
      <c r="B224" s="7">
        <v>46163</v>
      </c>
      <c r="C224" s="6" t="s">
        <v>591</v>
      </c>
      <c r="D224" s="6" t="str">
        <f>IF(OR(PROPER(TRIM(Raw_Data!D224))="Uk",PROPER(TRIM(Raw_Data!D224))="Gb",PROPER(TRIM(Raw_Data!D224))="United kingdom"),"United Kingdom",PROPER(TRIM(Raw_Data!D224)))</f>
        <v>United Kingdom</v>
      </c>
      <c r="E224" s="6" t="s">
        <v>78</v>
      </c>
      <c r="F224" s="6" t="s">
        <v>94</v>
      </c>
      <c r="G224" s="6" t="str">
        <f>SUBSTITUTE(Raw_Data!G224,"Ã©","é")</f>
        <v>Café Latte Mug</v>
      </c>
      <c r="H224" s="6">
        <v>2</v>
      </c>
      <c r="I224" s="6" t="s">
        <v>117</v>
      </c>
      <c r="J224" s="6" t="s">
        <v>118</v>
      </c>
      <c r="K224" s="6">
        <v>0.34</v>
      </c>
      <c r="L224" s="6" t="s">
        <v>42</v>
      </c>
      <c r="M224" s="6" t="s">
        <v>34</v>
      </c>
      <c r="N224" s="6"/>
    </row>
    <row r="225" spans="1:14">
      <c r="A225" s="6" t="s">
        <v>592</v>
      </c>
      <c r="B225" s="7">
        <v>46170</v>
      </c>
      <c r="C225" s="6" t="s">
        <v>594</v>
      </c>
      <c r="D225" s="6" t="str">
        <f>IF(OR(PROPER(TRIM(Raw_Data!D225))="Uk",PROPER(TRIM(Raw_Data!D225))="Gb",PROPER(TRIM(Raw_Data!D225))="United kingdom"),"United Kingdom",PROPER(TRIM(Raw_Data!D225)))</f>
        <v>United Kingdom</v>
      </c>
      <c r="E225" s="6" t="s">
        <v>52</v>
      </c>
      <c r="F225" s="6" t="s">
        <v>53</v>
      </c>
      <c r="G225" s="6" t="str">
        <f>SUBSTITUTE(Raw_Data!G225,"Ã©","é")</f>
        <v>Café Latte Mug</v>
      </c>
      <c r="H225" s="6">
        <v>2</v>
      </c>
      <c r="I225" s="6" t="s">
        <v>90</v>
      </c>
      <c r="J225" s="6" t="s">
        <v>154</v>
      </c>
      <c r="K225" s="6">
        <v>0.19</v>
      </c>
      <c r="L225" s="6" t="s">
        <v>42</v>
      </c>
      <c r="M225" s="6" t="s">
        <v>34</v>
      </c>
      <c r="N225" s="6"/>
    </row>
    <row r="226" spans="1:14">
      <c r="A226" s="6" t="s">
        <v>595</v>
      </c>
      <c r="B226" s="7">
        <v>46074</v>
      </c>
      <c r="C226" s="6" t="s">
        <v>596</v>
      </c>
      <c r="D226" s="6" t="str">
        <f>IF(OR(PROPER(TRIM(Raw_Data!D226))="Uk",PROPER(TRIM(Raw_Data!D226))="Gb",PROPER(TRIM(Raw_Data!D226))="United kingdom"),"United Kingdom",PROPER(TRIM(Raw_Data!D226)))</f>
        <v>United Kingdom</v>
      </c>
      <c r="E226" s="6" t="s">
        <v>28</v>
      </c>
      <c r="F226" s="6" t="s">
        <v>38</v>
      </c>
      <c r="G226" s="6" t="str">
        <f>SUBSTITUTE(Raw_Data!G226,"Ã©","é")</f>
        <v>Merino Base Layer</v>
      </c>
      <c r="H226" s="6">
        <v>2</v>
      </c>
      <c r="I226" s="6" t="s">
        <v>82</v>
      </c>
      <c r="J226" s="6" t="s">
        <v>297</v>
      </c>
      <c r="K226" s="6">
        <v>0.52</v>
      </c>
      <c r="L226" s="6" t="s">
        <v>42</v>
      </c>
      <c r="M226" s="6" t="s">
        <v>34</v>
      </c>
      <c r="N226" s="6"/>
    </row>
    <row r="227" spans="1:14">
      <c r="A227" s="6" t="s">
        <v>597</v>
      </c>
      <c r="B227" s="7">
        <v>46327</v>
      </c>
      <c r="C227" s="6" t="s">
        <v>598</v>
      </c>
      <c r="D227" s="6" t="str">
        <f>IF(OR(PROPER(TRIM(Raw_Data!D227))="Uk",PROPER(TRIM(Raw_Data!D227))="Gb",PROPER(TRIM(Raw_Data!D227))="United kingdom"),"United Kingdom",PROPER(TRIM(Raw_Data!D227)))</f>
        <v>France</v>
      </c>
      <c r="E227" s="6" t="s">
        <v>37</v>
      </c>
      <c r="F227" s="6" t="s">
        <v>53</v>
      </c>
      <c r="G227" s="6" t="str">
        <f>SUBSTITUTE(Raw_Data!G227,"Ã©","é")</f>
        <v>Trail Softshell</v>
      </c>
      <c r="H227" s="6">
        <v>2</v>
      </c>
      <c r="I227" s="6" t="s">
        <v>599</v>
      </c>
      <c r="J227" s="6" t="s">
        <v>74</v>
      </c>
      <c r="K227" s="6">
        <v>0.19</v>
      </c>
      <c r="L227" s="6" t="s">
        <v>42</v>
      </c>
      <c r="M227" s="6" t="s">
        <v>34</v>
      </c>
      <c r="N227" s="6"/>
    </row>
    <row r="228" spans="1:14">
      <c r="A228" s="6" t="s">
        <v>600</v>
      </c>
      <c r="B228" s="7">
        <v>46044</v>
      </c>
      <c r="C228" s="6" t="s">
        <v>602</v>
      </c>
      <c r="D228" s="6" t="str">
        <f>IF(OR(PROPER(TRIM(Raw_Data!D228))="Uk",PROPER(TRIM(Raw_Data!D228))="Gb",PROPER(TRIM(Raw_Data!D228))="United kingdom"),"United Kingdom",PROPER(TRIM(Raw_Data!D228)))</f>
        <v>France</v>
      </c>
      <c r="E228" s="6" t="s">
        <v>78</v>
      </c>
      <c r="F228" s="6" t="s">
        <v>85</v>
      </c>
      <c r="G228" s="6" t="str">
        <f>SUBSTITUTE(Raw_Data!G228,"Ã©","é")</f>
        <v>Merino Base Layer</v>
      </c>
      <c r="H228" s="6">
        <v>1</v>
      </c>
      <c r="I228" s="6" t="s">
        <v>603</v>
      </c>
      <c r="J228" s="6" t="s">
        <v>147</v>
      </c>
      <c r="K228" s="6">
        <v>0.41</v>
      </c>
      <c r="L228" s="6" t="s">
        <v>33</v>
      </c>
      <c r="M228" s="6" t="s">
        <v>69</v>
      </c>
      <c r="N228" s="6"/>
    </row>
    <row r="229" spans="1:14">
      <c r="A229" s="6" t="s">
        <v>604</v>
      </c>
      <c r="B229" s="7">
        <v>46097</v>
      </c>
      <c r="C229" s="6" t="s">
        <v>605</v>
      </c>
      <c r="D229" s="6" t="str">
        <f>IF(OR(PROPER(TRIM(Raw_Data!D229))="Uk",PROPER(TRIM(Raw_Data!D229))="Gb",PROPER(TRIM(Raw_Data!D229))="United kingdom"),"United Kingdom",PROPER(TRIM(Raw_Data!D229)))</f>
        <v>United Kingdom</v>
      </c>
      <c r="E229" s="6" t="s">
        <v>78</v>
      </c>
      <c r="F229" s="6" t="s">
        <v>100</v>
      </c>
      <c r="G229" s="6" t="str">
        <f>SUBSTITUTE(Raw_Data!G229,"Ã©","é")</f>
        <v>Storm Overtrousers</v>
      </c>
      <c r="H229" s="6">
        <v>-1</v>
      </c>
      <c r="I229" s="6" t="s">
        <v>31</v>
      </c>
      <c r="J229" s="8" t="s">
        <v>404</v>
      </c>
      <c r="K229" s="6">
        <v>0.64</v>
      </c>
      <c r="L229" s="6" t="s">
        <v>42</v>
      </c>
      <c r="M229" s="6" t="s">
        <v>34</v>
      </c>
      <c r="N229" s="6"/>
    </row>
    <row r="230" spans="1:14">
      <c r="A230" s="6" t="s">
        <v>606</v>
      </c>
      <c r="B230" s="7">
        <v>46112</v>
      </c>
      <c r="C230" s="6" t="s">
        <v>608</v>
      </c>
      <c r="D230" s="6" t="str">
        <f>IF(OR(PROPER(TRIM(Raw_Data!D230))="Uk",PROPER(TRIM(Raw_Data!D230))="Gb",PROPER(TRIM(Raw_Data!D230))="United kingdom"),"United Kingdom",PROPER(TRIM(Raw_Data!D230)))</f>
        <v>United Kingdom</v>
      </c>
      <c r="E230" s="6" t="s">
        <v>28</v>
      </c>
      <c r="F230" s="6" t="s">
        <v>100</v>
      </c>
      <c r="G230" s="6" t="str">
        <f>SUBSTITUTE(Raw_Data!G230,"Ã©","é")</f>
        <v>Alpine Jacket</v>
      </c>
      <c r="H230" s="6">
        <v>2</v>
      </c>
      <c r="I230" s="6" t="s">
        <v>31</v>
      </c>
      <c r="J230" s="6" t="s">
        <v>249</v>
      </c>
      <c r="K230" s="6">
        <v>0.64</v>
      </c>
      <c r="L230" s="6" t="s">
        <v>42</v>
      </c>
      <c r="M230" s="6" t="s">
        <v>69</v>
      </c>
      <c r="N230" s="6"/>
    </row>
    <row r="231" spans="1:14">
      <c r="A231" s="6" t="s">
        <v>609</v>
      </c>
      <c r="B231" s="7">
        <v>46088</v>
      </c>
      <c r="C231" s="6" t="s">
        <v>610</v>
      </c>
      <c r="D231" s="6" t="str">
        <f>IF(OR(PROPER(TRIM(Raw_Data!D231))="Uk",PROPER(TRIM(Raw_Data!D231))="Gb",PROPER(TRIM(Raw_Data!D231))="United kingdom"),"United Kingdom",PROPER(TRIM(Raw_Data!D231)))</f>
        <v>United Kingdom</v>
      </c>
      <c r="E231" s="6" t="s">
        <v>46</v>
      </c>
      <c r="F231" s="6" t="s">
        <v>58</v>
      </c>
      <c r="G231" s="6" t="str">
        <f>SUBSTITUTE(Raw_Data!G231,"Ã©","é")</f>
        <v>Alpine Jacket</v>
      </c>
      <c r="H231" s="6">
        <v>3</v>
      </c>
      <c r="I231" s="6" t="s">
        <v>147</v>
      </c>
      <c r="J231" s="6" t="s">
        <v>148</v>
      </c>
      <c r="K231" s="6">
        <v>0.38</v>
      </c>
      <c r="L231" s="6" t="s">
        <v>33</v>
      </c>
      <c r="M231" s="6" t="s">
        <v>34</v>
      </c>
      <c r="N231" s="6"/>
    </row>
    <row r="232" spans="1:14">
      <c r="A232" s="6" t="s">
        <v>611</v>
      </c>
      <c r="B232" s="7">
        <v>46045</v>
      </c>
      <c r="C232" s="6" t="s">
        <v>509</v>
      </c>
      <c r="D232" s="6" t="str">
        <f>IF(OR(PROPER(TRIM(Raw_Data!D232))="Uk",PROPER(TRIM(Raw_Data!D232))="Gb",PROPER(TRIM(Raw_Data!D232))="United kingdom"),"United Kingdom",PROPER(TRIM(Raw_Data!D232)))</f>
        <v>Ireland</v>
      </c>
      <c r="E232" s="6" t="s">
        <v>37</v>
      </c>
      <c r="F232" s="6" t="s">
        <v>47</v>
      </c>
      <c r="G232" s="6" t="str">
        <f>SUBSTITUTE(Raw_Data!G232,"Ã©","é")</f>
        <v>Summit Down Gilet</v>
      </c>
      <c r="H232" s="6">
        <v>3</v>
      </c>
      <c r="I232" s="6" t="s">
        <v>113</v>
      </c>
      <c r="J232" s="6" t="s">
        <v>138</v>
      </c>
      <c r="K232" s="6">
        <v>8.5000000000000006E-2</v>
      </c>
      <c r="L232" s="6" t="s">
        <v>42</v>
      </c>
      <c r="M232" s="6" t="s">
        <v>34</v>
      </c>
      <c r="N232" s="6"/>
    </row>
    <row r="233" spans="1:14">
      <c r="A233" s="6" t="s">
        <v>612</v>
      </c>
      <c r="B233" s="7">
        <v>46327</v>
      </c>
      <c r="C233" s="6" t="s">
        <v>613</v>
      </c>
      <c r="D233" s="6" t="str">
        <f>IF(OR(PROPER(TRIM(Raw_Data!D233))="Uk",PROPER(TRIM(Raw_Data!D233))="Gb",PROPER(TRIM(Raw_Data!D233))="United kingdom"),"United Kingdom",PROPER(TRIM(Raw_Data!D233)))</f>
        <v>France</v>
      </c>
      <c r="E233" s="6" t="s">
        <v>52</v>
      </c>
      <c r="F233" s="6" t="s">
        <v>38</v>
      </c>
      <c r="G233" s="6" t="str">
        <f>SUBSTITUTE(Raw_Data!G233,"Ã©","é")</f>
        <v>Fell Runner Cap</v>
      </c>
      <c r="H233" s="6">
        <v>3</v>
      </c>
      <c r="I233" s="6" t="s">
        <v>143</v>
      </c>
      <c r="J233" s="6" t="s">
        <v>243</v>
      </c>
      <c r="K233" s="6">
        <v>0.52</v>
      </c>
      <c r="L233" s="6" t="s">
        <v>42</v>
      </c>
      <c r="M233" s="6" t="s">
        <v>34</v>
      </c>
      <c r="N233" s="6"/>
    </row>
    <row r="234" spans="1:14">
      <c r="A234" s="6" t="s">
        <v>614</v>
      </c>
      <c r="B234" s="7">
        <v>46075</v>
      </c>
      <c r="C234" s="6" t="s">
        <v>615</v>
      </c>
      <c r="D234" s="6" t="str">
        <f>IF(OR(PROPER(TRIM(Raw_Data!D234))="Uk",PROPER(TRIM(Raw_Data!D234))="Gb",PROPER(TRIM(Raw_Data!D234))="United kingdom"),"United Kingdom",PROPER(TRIM(Raw_Data!D234)))</f>
        <v>United Kingdom</v>
      </c>
      <c r="E234" s="6" t="s">
        <v>37</v>
      </c>
      <c r="F234" s="6" t="s">
        <v>100</v>
      </c>
      <c r="G234" s="6" t="str">
        <f>SUBSTITUTE(Raw_Data!G234,"Ã©","é")</f>
        <v>Trail Softshell</v>
      </c>
      <c r="H234" s="6">
        <v>-2</v>
      </c>
      <c r="I234" s="6" t="s">
        <v>82</v>
      </c>
      <c r="J234" s="8" t="s">
        <v>616</v>
      </c>
      <c r="K234" s="6">
        <v>0.64</v>
      </c>
      <c r="L234" s="6" t="s">
        <v>42</v>
      </c>
      <c r="M234" s="6" t="s">
        <v>69</v>
      </c>
      <c r="N234" s="6"/>
    </row>
    <row r="235" spans="1:14">
      <c r="A235" s="6" t="s">
        <v>617</v>
      </c>
      <c r="B235" s="7">
        <v>46039</v>
      </c>
      <c r="C235" s="6" t="s">
        <v>618</v>
      </c>
      <c r="D235" s="6" t="str">
        <f>IF(OR(PROPER(TRIM(Raw_Data!D235))="Uk",PROPER(TRIM(Raw_Data!D235))="Gb",PROPER(TRIM(Raw_Data!D235))="United kingdom"),"United Kingdom",PROPER(TRIM(Raw_Data!D235)))</f>
        <v>Ireland</v>
      </c>
      <c r="E235" s="6" t="s">
        <v>37</v>
      </c>
      <c r="F235" s="6" t="s">
        <v>85</v>
      </c>
      <c r="G235" s="6" t="str">
        <f>SUBSTITUTE(Raw_Data!G235,"Ã©","é")</f>
        <v>Alpine Jacket</v>
      </c>
      <c r="H235" s="6">
        <v>2</v>
      </c>
      <c r="I235" s="6" t="s">
        <v>619</v>
      </c>
      <c r="J235" s="6" t="s">
        <v>144</v>
      </c>
      <c r="K235" s="6">
        <v>0.41</v>
      </c>
      <c r="L235" s="6" t="s">
        <v>42</v>
      </c>
      <c r="M235" s="6" t="s">
        <v>34</v>
      </c>
      <c r="N235" s="6"/>
    </row>
    <row r="236" spans="1:14">
      <c r="A236" s="6" t="s">
        <v>620</v>
      </c>
      <c r="B236" s="7">
        <v>46139</v>
      </c>
      <c r="C236" s="6" t="s">
        <v>622</v>
      </c>
      <c r="D236" s="6" t="str">
        <f>IF(OR(PROPER(TRIM(Raw_Data!D236))="Uk",PROPER(TRIM(Raw_Data!D236))="Gb",PROPER(TRIM(Raw_Data!D236))="United kingdom"),"United Kingdom",PROPER(TRIM(Raw_Data!D236)))</f>
        <v>Ireland</v>
      </c>
      <c r="E236" s="6" t="s">
        <v>28</v>
      </c>
      <c r="F236" s="6" t="s">
        <v>38</v>
      </c>
      <c r="G236" s="6" t="str">
        <f>SUBSTITUTE(Raw_Data!G236,"Ã©","é")</f>
        <v>Storm Overtrousers</v>
      </c>
      <c r="H236" s="6">
        <v>3</v>
      </c>
      <c r="I236" s="6" t="s">
        <v>265</v>
      </c>
      <c r="J236" s="6" t="s">
        <v>401</v>
      </c>
      <c r="K236" s="6">
        <v>0.52</v>
      </c>
      <c r="L236" s="6" t="s">
        <v>33</v>
      </c>
      <c r="M236" s="6" t="s">
        <v>69</v>
      </c>
      <c r="N236" s="6"/>
    </row>
    <row r="237" spans="1:14">
      <c r="A237" s="6" t="s">
        <v>623</v>
      </c>
      <c r="B237" s="7">
        <v>46070</v>
      </c>
      <c r="C237" s="6" t="s">
        <v>624</v>
      </c>
      <c r="D237" s="6" t="str">
        <f>IF(OR(PROPER(TRIM(Raw_Data!D237))="Uk",PROPER(TRIM(Raw_Data!D237))="Gb",PROPER(TRIM(Raw_Data!D237))="United kingdom"),"United Kingdom",PROPER(TRIM(Raw_Data!D237)))</f>
        <v>France</v>
      </c>
      <c r="E237" s="6" t="s">
        <v>78</v>
      </c>
      <c r="F237" s="6" t="s">
        <v>29</v>
      </c>
      <c r="G237" s="6" t="str">
        <f>SUBSTITUTE(Raw_Data!G237,"Ã©","é")</f>
        <v>Trail Softshell</v>
      </c>
      <c r="H237" s="6">
        <v>1</v>
      </c>
      <c r="I237" s="6" t="s">
        <v>96</v>
      </c>
      <c r="J237" s="6" t="s">
        <v>96</v>
      </c>
      <c r="K237" s="6">
        <v>0.52</v>
      </c>
      <c r="L237" s="6" t="s">
        <v>42</v>
      </c>
      <c r="M237" s="6" t="s">
        <v>34</v>
      </c>
      <c r="N237" s="6"/>
    </row>
    <row r="238" spans="1:14">
      <c r="A238" s="6" t="s">
        <v>625</v>
      </c>
      <c r="B238" s="7">
        <v>46087</v>
      </c>
      <c r="C238" s="6" t="s">
        <v>626</v>
      </c>
      <c r="D238" s="6" t="str">
        <f>IF(OR(PROPER(TRIM(Raw_Data!D238))="Uk",PROPER(TRIM(Raw_Data!D238))="Gb",PROPER(TRIM(Raw_Data!D238))="United kingdom"),"United Kingdom",PROPER(TRIM(Raw_Data!D238)))</f>
        <v>United Kingdom</v>
      </c>
      <c r="E238" s="6" t="s">
        <v>37</v>
      </c>
      <c r="F238" s="6" t="s">
        <v>100</v>
      </c>
      <c r="G238" s="6" t="str">
        <f>SUBSTITUTE(Raw_Data!G238,"Ã©","é")</f>
        <v>Trekking Poles</v>
      </c>
      <c r="H238" s="6">
        <v>-3</v>
      </c>
      <c r="I238" s="6" t="s">
        <v>31</v>
      </c>
      <c r="J238" s="8" t="s">
        <v>627</v>
      </c>
      <c r="K238" s="6">
        <v>0.64</v>
      </c>
      <c r="L238" s="6" t="s">
        <v>42</v>
      </c>
      <c r="M238" s="6" t="s">
        <v>34</v>
      </c>
      <c r="N238" s="6"/>
    </row>
    <row r="239" spans="1:14">
      <c r="A239" s="6" t="s">
        <v>628</v>
      </c>
      <c r="B239" s="7">
        <v>46046</v>
      </c>
      <c r="C239" s="6" t="s">
        <v>629</v>
      </c>
      <c r="D239" s="6" t="str">
        <f>IF(OR(PROPER(TRIM(Raw_Data!D239))="Uk",PROPER(TRIM(Raw_Data!D239))="Gb",PROPER(TRIM(Raw_Data!D239))="United kingdom"),"United Kingdom",PROPER(TRIM(Raw_Data!D239)))</f>
        <v>United Kingdom</v>
      </c>
      <c r="E239" s="6" t="s">
        <v>46</v>
      </c>
      <c r="F239" s="6" t="s">
        <v>38</v>
      </c>
      <c r="G239" s="6" t="str">
        <f>SUBSTITUTE(Raw_Data!G239,"Ã©","é")</f>
        <v>Alpine Jacket</v>
      </c>
      <c r="H239" s="6">
        <v>1</v>
      </c>
      <c r="I239" s="6" t="s">
        <v>31</v>
      </c>
      <c r="J239" s="6" t="s">
        <v>31</v>
      </c>
      <c r="K239" s="6">
        <v>0.52</v>
      </c>
      <c r="L239" s="6" t="s">
        <v>42</v>
      </c>
      <c r="M239" s="6" t="s">
        <v>34</v>
      </c>
      <c r="N239" s="6"/>
    </row>
    <row r="240" spans="1:14">
      <c r="A240" s="6" t="s">
        <v>630</v>
      </c>
      <c r="B240" s="7">
        <v>46040</v>
      </c>
      <c r="C240" s="6" t="s">
        <v>631</v>
      </c>
      <c r="D240" s="6" t="str">
        <f>IF(OR(PROPER(TRIM(Raw_Data!D240))="Uk",PROPER(TRIM(Raw_Data!D240))="Gb",PROPER(TRIM(Raw_Data!D240))="United kingdom"),"United Kingdom",PROPER(TRIM(Raw_Data!D240)))</f>
        <v>United Kingdom</v>
      </c>
      <c r="E240" s="6" t="s">
        <v>52</v>
      </c>
      <c r="F240" s="6" t="s">
        <v>100</v>
      </c>
      <c r="G240" s="6" t="str">
        <f>SUBSTITUTE(Raw_Data!G240,"Ã©","é")</f>
        <v>Trail Softshell</v>
      </c>
      <c r="H240" s="6">
        <v>2</v>
      </c>
      <c r="I240" s="6" t="s">
        <v>181</v>
      </c>
      <c r="J240" s="6" t="s">
        <v>163</v>
      </c>
      <c r="K240" s="6">
        <v>0.64</v>
      </c>
      <c r="L240" s="6" t="s">
        <v>42</v>
      </c>
      <c r="M240" s="6" t="s">
        <v>34</v>
      </c>
      <c r="N240" s="6"/>
    </row>
    <row r="241" spans="1:14">
      <c r="A241" s="6" t="s">
        <v>632</v>
      </c>
      <c r="B241" s="7">
        <v>46194</v>
      </c>
      <c r="C241" s="6" t="s">
        <v>633</v>
      </c>
      <c r="D241" s="6" t="str">
        <f>IF(OR(PROPER(TRIM(Raw_Data!D241))="Uk",PROPER(TRIM(Raw_Data!D241))="Gb",PROPER(TRIM(Raw_Data!D241))="United kingdom"),"United Kingdom",PROPER(TRIM(Raw_Data!D241)))</f>
        <v>United Kingdom</v>
      </c>
      <c r="E241" s="6" t="s">
        <v>37</v>
      </c>
      <c r="F241" s="6" t="s">
        <v>85</v>
      </c>
      <c r="G241" s="6" t="str">
        <f>SUBSTITUTE(Raw_Data!G241,"Ã©","é")</f>
        <v>Alpine Jacket</v>
      </c>
      <c r="H241" s="6">
        <v>2</v>
      </c>
      <c r="I241" s="6" t="s">
        <v>113</v>
      </c>
      <c r="J241" s="6" t="s">
        <v>192</v>
      </c>
      <c r="K241" s="6">
        <v>0.41</v>
      </c>
      <c r="L241" s="6" t="s">
        <v>42</v>
      </c>
      <c r="M241" s="6" t="s">
        <v>34</v>
      </c>
      <c r="N241" s="6"/>
    </row>
    <row r="242" spans="1:14">
      <c r="A242" s="6" t="s">
        <v>634</v>
      </c>
      <c r="B242" s="7">
        <v>46194</v>
      </c>
      <c r="C242" s="6" t="s">
        <v>635</v>
      </c>
      <c r="D242" s="6" t="str">
        <f>IF(OR(PROPER(TRIM(Raw_Data!D242))="Uk",PROPER(TRIM(Raw_Data!D242))="Gb",PROPER(TRIM(Raw_Data!D242))="United kingdom"),"United Kingdom",PROPER(TRIM(Raw_Data!D242)))</f>
        <v>United Kingdom</v>
      </c>
      <c r="E242" s="6" t="s">
        <v>78</v>
      </c>
      <c r="F242" s="6" t="s">
        <v>38</v>
      </c>
      <c r="G242" s="6" t="str">
        <f>SUBSTITUTE(Raw_Data!G242,"Ã©","é")</f>
        <v>Storm Overtrousers</v>
      </c>
      <c r="H242" s="6">
        <v>2</v>
      </c>
      <c r="I242" s="6" t="s">
        <v>265</v>
      </c>
      <c r="J242" s="6" t="s">
        <v>636</v>
      </c>
      <c r="K242" s="6">
        <v>0.52</v>
      </c>
      <c r="L242" s="6" t="s">
        <v>42</v>
      </c>
      <c r="M242" s="6" t="s">
        <v>34</v>
      </c>
      <c r="N242" s="6"/>
    </row>
    <row r="243" spans="1:14">
      <c r="A243" s="6" t="s">
        <v>637</v>
      </c>
      <c r="B243" s="7">
        <v>46048</v>
      </c>
      <c r="C243" s="6" t="s">
        <v>381</v>
      </c>
      <c r="D243" s="6" t="str">
        <f>IF(OR(PROPER(TRIM(Raw_Data!D243))="Uk",PROPER(TRIM(Raw_Data!D243))="Gb",PROPER(TRIM(Raw_Data!D243))="United kingdom"),"United Kingdom",PROPER(TRIM(Raw_Data!D243)))</f>
        <v>United Kingdom</v>
      </c>
      <c r="E243" s="6" t="s">
        <v>78</v>
      </c>
      <c r="F243" s="6" t="s">
        <v>38</v>
      </c>
      <c r="G243" s="6" t="str">
        <f>SUBSTITUTE(Raw_Data!G243,"Ã©","é")</f>
        <v>Trail Softshell</v>
      </c>
      <c r="H243" s="6">
        <v>1</v>
      </c>
      <c r="I243" s="6" t="s">
        <v>79</v>
      </c>
      <c r="J243" s="6" t="s">
        <v>79</v>
      </c>
      <c r="K243" s="6">
        <v>0.52</v>
      </c>
      <c r="L243" s="6" t="s">
        <v>42</v>
      </c>
      <c r="M243" s="6" t="s">
        <v>34</v>
      </c>
      <c r="N243" s="6"/>
    </row>
    <row r="244" spans="1:14">
      <c r="A244" s="6" t="s">
        <v>638</v>
      </c>
      <c r="B244" s="7">
        <v>46235</v>
      </c>
      <c r="C244" s="6" t="s">
        <v>381</v>
      </c>
      <c r="D244" s="6" t="str">
        <f>IF(OR(PROPER(TRIM(Raw_Data!D244))="Uk",PROPER(TRIM(Raw_Data!D244))="Gb",PROPER(TRIM(Raw_Data!D244))="United kingdom"),"United Kingdom",PROPER(TRIM(Raw_Data!D244)))</f>
        <v>United Kingdom</v>
      </c>
      <c r="E244" s="6" t="s">
        <v>46</v>
      </c>
      <c r="F244" s="6" t="s">
        <v>100</v>
      </c>
      <c r="G244" s="6" t="str">
        <f>SUBSTITUTE(Raw_Data!G244,"Ã©","é")</f>
        <v>Trail Softshell</v>
      </c>
      <c r="H244" s="6">
        <v>2</v>
      </c>
      <c r="I244" s="6" t="s">
        <v>147</v>
      </c>
      <c r="J244" s="6" t="s">
        <v>175</v>
      </c>
      <c r="K244" s="6">
        <v>0.64</v>
      </c>
      <c r="L244" s="6" t="s">
        <v>42</v>
      </c>
      <c r="M244" s="6" t="s">
        <v>34</v>
      </c>
      <c r="N244" s="6"/>
    </row>
    <row r="245" spans="1:14">
      <c r="A245" s="6" t="s">
        <v>639</v>
      </c>
      <c r="B245" s="7">
        <v>46126</v>
      </c>
      <c r="C245" s="6" t="s">
        <v>339</v>
      </c>
      <c r="D245" s="6" t="str">
        <f>IF(OR(PROPER(TRIM(Raw_Data!D245))="Uk",PROPER(TRIM(Raw_Data!D245))="Gb",PROPER(TRIM(Raw_Data!D245))="United kingdom"),"United Kingdom",PROPER(TRIM(Raw_Data!D245)))</f>
        <v>United Kingdom</v>
      </c>
      <c r="E245" s="6" t="s">
        <v>78</v>
      </c>
      <c r="F245" s="6" t="s">
        <v>53</v>
      </c>
      <c r="G245" s="6" t="str">
        <f>SUBSTITUTE(Raw_Data!G245,"Ã©","é")</f>
        <v>Alpine Jacket</v>
      </c>
      <c r="H245" s="6">
        <v>1</v>
      </c>
      <c r="I245" s="6" t="s">
        <v>113</v>
      </c>
      <c r="J245" s="6" t="s">
        <v>113</v>
      </c>
      <c r="K245" s="6">
        <v>0.19</v>
      </c>
      <c r="L245" s="6" t="s">
        <v>42</v>
      </c>
      <c r="M245" s="6" t="s">
        <v>69</v>
      </c>
      <c r="N245" s="6"/>
    </row>
    <row r="246" spans="1:14">
      <c r="A246" s="6" t="s">
        <v>641</v>
      </c>
      <c r="B246" s="7">
        <v>46267</v>
      </c>
      <c r="C246" s="6" t="s">
        <v>642</v>
      </c>
      <c r="D246" s="6" t="str">
        <f>IF(OR(PROPER(TRIM(Raw_Data!D246))="Uk",PROPER(TRIM(Raw_Data!D246))="Gb",PROPER(TRIM(Raw_Data!D246))="United kingdom"),"United Kingdom",PROPER(TRIM(Raw_Data!D246)))</f>
        <v>Ireland</v>
      </c>
      <c r="E246" s="6" t="s">
        <v>46</v>
      </c>
      <c r="F246" s="6" t="s">
        <v>29</v>
      </c>
      <c r="G246" s="6" t="str">
        <f>SUBSTITUTE(Raw_Data!G246,"Ã©","é")</f>
        <v>Merino Base Layer</v>
      </c>
      <c r="H246" s="6">
        <v>3</v>
      </c>
      <c r="I246" s="6" t="s">
        <v>117</v>
      </c>
      <c r="J246" s="6" t="s">
        <v>171</v>
      </c>
      <c r="K246" s="6">
        <v>0.52</v>
      </c>
      <c r="L246" s="6" t="s">
        <v>42</v>
      </c>
      <c r="M246" s="6" t="s">
        <v>69</v>
      </c>
      <c r="N246" s="6"/>
    </row>
    <row r="247" spans="1:14">
      <c r="A247" s="6" t="s">
        <v>643</v>
      </c>
      <c r="B247" s="7">
        <v>46053</v>
      </c>
      <c r="C247" s="6" t="s">
        <v>644</v>
      </c>
      <c r="D247" s="6" t="str">
        <f>IF(OR(PROPER(TRIM(Raw_Data!D247))="Uk",PROPER(TRIM(Raw_Data!D247))="Gb",PROPER(TRIM(Raw_Data!D247))="United kingdom"),"United Kingdom",PROPER(TRIM(Raw_Data!D247)))</f>
        <v>United Kingdom</v>
      </c>
      <c r="E247" s="6" t="s">
        <v>46</v>
      </c>
      <c r="F247" s="6" t="s">
        <v>53</v>
      </c>
      <c r="G247" s="6" t="str">
        <f>SUBSTITUTE(Raw_Data!G247,"Ã©","é")</f>
        <v>Trekking Poles</v>
      </c>
      <c r="H247" s="6">
        <v>1</v>
      </c>
      <c r="I247" s="6" t="s">
        <v>82</v>
      </c>
      <c r="J247" s="6" t="s">
        <v>82</v>
      </c>
      <c r="K247" s="6">
        <v>0.19</v>
      </c>
      <c r="L247" s="6" t="s">
        <v>42</v>
      </c>
      <c r="M247" s="6" t="s">
        <v>69</v>
      </c>
      <c r="N247" s="6"/>
    </row>
    <row r="248" spans="1:14">
      <c r="A248" s="6" t="s">
        <v>645</v>
      </c>
      <c r="B248" s="7">
        <v>46205</v>
      </c>
      <c r="C248" s="6" t="s">
        <v>646</v>
      </c>
      <c r="D248" s="6" t="str">
        <f>IF(OR(PROPER(TRIM(Raw_Data!D248))="Uk",PROPER(TRIM(Raw_Data!D248))="Gb",PROPER(TRIM(Raw_Data!D248))="United kingdom"),"United Kingdom",PROPER(TRIM(Raw_Data!D248)))</f>
        <v>United Kingdom</v>
      </c>
      <c r="E248" s="6" t="s">
        <v>78</v>
      </c>
      <c r="F248" s="6" t="s">
        <v>29</v>
      </c>
      <c r="G248" s="6" t="str">
        <f>SUBSTITUTE(Raw_Data!G248,"Ã©","é")</f>
        <v>Merino Base Layer</v>
      </c>
      <c r="H248" s="6">
        <v>1</v>
      </c>
      <c r="I248" s="6" t="s">
        <v>117</v>
      </c>
      <c r="J248" s="6" t="s">
        <v>117</v>
      </c>
      <c r="K248" s="6">
        <v>0.52</v>
      </c>
      <c r="L248" s="6" t="s">
        <v>42</v>
      </c>
      <c r="M248" s="6" t="s">
        <v>34</v>
      </c>
      <c r="N248" s="6"/>
    </row>
    <row r="249" spans="1:14">
      <c r="A249" s="6" t="s">
        <v>647</v>
      </c>
      <c r="B249" s="7">
        <v>46094</v>
      </c>
      <c r="C249" s="6" t="s">
        <v>648</v>
      </c>
      <c r="D249" s="6" t="str">
        <f>IF(OR(PROPER(TRIM(Raw_Data!D249))="Uk",PROPER(TRIM(Raw_Data!D249))="Gb",PROPER(TRIM(Raw_Data!D249))="United kingdom"),"United Kingdom",PROPER(TRIM(Raw_Data!D249)))</f>
        <v>United Kingdom</v>
      </c>
      <c r="E249" s="6" t="s">
        <v>37</v>
      </c>
      <c r="F249" s="6" t="s">
        <v>100</v>
      </c>
      <c r="G249" s="6" t="str">
        <f>SUBSTITUTE(Raw_Data!G249,"Ã©","é")</f>
        <v>Trekking Poles</v>
      </c>
      <c r="H249" s="6">
        <v>3</v>
      </c>
      <c r="I249" s="6" t="s">
        <v>147</v>
      </c>
      <c r="J249" s="6" t="s">
        <v>148</v>
      </c>
      <c r="K249" s="6">
        <v>0.64</v>
      </c>
      <c r="L249" s="6" t="s">
        <v>42</v>
      </c>
      <c r="M249" s="6" t="s">
        <v>34</v>
      </c>
      <c r="N249" s="6"/>
    </row>
    <row r="250" spans="1:14">
      <c r="A250" s="6" t="s">
        <v>649</v>
      </c>
      <c r="B250" s="7">
        <v>46072</v>
      </c>
      <c r="C250" s="6" t="s">
        <v>650</v>
      </c>
      <c r="D250" s="6" t="str">
        <f>IF(OR(PROPER(TRIM(Raw_Data!D250))="Uk",PROPER(TRIM(Raw_Data!D250))="Gb",PROPER(TRIM(Raw_Data!D250))="United kingdom"),"United Kingdom",PROPER(TRIM(Raw_Data!D250)))</f>
        <v>United Kingdom</v>
      </c>
      <c r="E250" s="6" t="s">
        <v>78</v>
      </c>
      <c r="F250" s="6" t="s">
        <v>29</v>
      </c>
      <c r="G250" s="6" t="str">
        <f>SUBSTITUTE(Raw_Data!G250,"Ã©","é")</f>
        <v>Alpine Jacket</v>
      </c>
      <c r="H250" s="6">
        <v>1</v>
      </c>
      <c r="I250" s="6" t="s">
        <v>40</v>
      </c>
      <c r="J250" s="6" t="s">
        <v>40</v>
      </c>
      <c r="K250" s="6">
        <v>0.52</v>
      </c>
      <c r="L250" s="6" t="s">
        <v>42</v>
      </c>
      <c r="M250" s="6" t="s">
        <v>34</v>
      </c>
      <c r="N250" s="6"/>
    </row>
    <row r="251" spans="1:14">
      <c r="A251" s="6" t="s">
        <v>651</v>
      </c>
      <c r="B251" s="7">
        <v>46329</v>
      </c>
      <c r="C251" s="6" t="s">
        <v>652</v>
      </c>
      <c r="D251" s="6" t="str">
        <f>IF(OR(PROPER(TRIM(Raw_Data!D251))="Uk",PROPER(TRIM(Raw_Data!D251))="Gb",PROPER(TRIM(Raw_Data!D251))="United kingdom"),"United Kingdom",PROPER(TRIM(Raw_Data!D251)))</f>
        <v>United Kingdom</v>
      </c>
      <c r="E251" s="6" t="s">
        <v>52</v>
      </c>
      <c r="F251" s="6" t="s">
        <v>47</v>
      </c>
      <c r="G251" s="6" t="str">
        <f>SUBSTITUTE(Raw_Data!G251,"Ã©","é")</f>
        <v>Trekking Poles</v>
      </c>
      <c r="H251" s="6">
        <v>3</v>
      </c>
      <c r="I251" s="6" t="s">
        <v>40</v>
      </c>
      <c r="J251" s="6" t="s">
        <v>653</v>
      </c>
      <c r="K251" s="6">
        <v>8.5000000000000006E-2</v>
      </c>
      <c r="L251" s="6" t="s">
        <v>42</v>
      </c>
      <c r="M251" s="6" t="s">
        <v>34</v>
      </c>
      <c r="N251" s="6"/>
    </row>
    <row r="252" spans="1:14">
      <c r="A252" s="6" t="s">
        <v>654</v>
      </c>
      <c r="B252" s="7">
        <v>46087</v>
      </c>
      <c r="C252" s="6" t="s">
        <v>655</v>
      </c>
      <c r="D252" s="6" t="str">
        <f>IF(OR(PROPER(TRIM(Raw_Data!D252))="Uk",PROPER(TRIM(Raw_Data!D252))="Gb",PROPER(TRIM(Raw_Data!D252))="United kingdom"),"United Kingdom",PROPER(TRIM(Raw_Data!D252)))</f>
        <v>United Kingdom</v>
      </c>
      <c r="E252" s="6" t="s">
        <v>28</v>
      </c>
      <c r="F252" s="6" t="s">
        <v>47</v>
      </c>
      <c r="G252" s="6" t="str">
        <f>SUBSTITUTE(Raw_Data!G252,"Ã©","é")</f>
        <v>Fell Runner Cap</v>
      </c>
      <c r="H252" s="6">
        <v>2</v>
      </c>
      <c r="I252" s="6" t="s">
        <v>656</v>
      </c>
      <c r="J252" s="6" t="s">
        <v>192</v>
      </c>
      <c r="K252" s="6">
        <v>8.5000000000000006E-2</v>
      </c>
      <c r="L252" s="6" t="s">
        <v>33</v>
      </c>
      <c r="M252" s="6" t="s">
        <v>34</v>
      </c>
      <c r="N252" s="6"/>
    </row>
    <row r="253" spans="1:14">
      <c r="A253" s="6" t="s">
        <v>657</v>
      </c>
      <c r="B253" s="7">
        <v>46058</v>
      </c>
      <c r="C253" s="6" t="s">
        <v>436</v>
      </c>
      <c r="D253" s="6" t="str">
        <f>IF(OR(PROPER(TRIM(Raw_Data!D253))="Uk",PROPER(TRIM(Raw_Data!D253))="Gb",PROPER(TRIM(Raw_Data!D253))="United kingdom"),"United Kingdom",PROPER(TRIM(Raw_Data!D253)))</f>
        <v>United Kingdom</v>
      </c>
      <c r="E253" s="6" t="s">
        <v>52</v>
      </c>
      <c r="F253" s="6" t="s">
        <v>94</v>
      </c>
      <c r="G253" s="6" t="str">
        <f>SUBSTITUTE(Raw_Data!G253,"Ã©","é")</f>
        <v>Fell Runner Cap</v>
      </c>
      <c r="H253" s="6">
        <v>2</v>
      </c>
      <c r="I253" s="6" t="s">
        <v>143</v>
      </c>
      <c r="J253" s="6" t="s">
        <v>144</v>
      </c>
      <c r="K253" s="6">
        <v>0.34</v>
      </c>
      <c r="L253" s="6" t="s">
        <v>42</v>
      </c>
      <c r="M253" s="6" t="s">
        <v>34</v>
      </c>
      <c r="N253" s="6"/>
    </row>
    <row r="254" spans="1:14">
      <c r="A254" s="6" t="s">
        <v>658</v>
      </c>
      <c r="B254" s="7">
        <v>46050</v>
      </c>
      <c r="C254" s="6" t="s">
        <v>659</v>
      </c>
      <c r="D254" s="6" t="str">
        <f>IF(OR(PROPER(TRIM(Raw_Data!D254))="Uk",PROPER(TRIM(Raw_Data!D254))="Gb",PROPER(TRIM(Raw_Data!D254))="United kingdom"),"United Kingdom",PROPER(TRIM(Raw_Data!D254)))</f>
        <v>United Kingdom</v>
      </c>
      <c r="E254" s="6" t="s">
        <v>78</v>
      </c>
      <c r="F254" s="6" t="s">
        <v>100</v>
      </c>
      <c r="G254" s="6" t="str">
        <f>SUBSTITUTE(Raw_Data!G254,"Ã©","é")</f>
        <v>Café Latte Mug</v>
      </c>
      <c r="H254" s="6">
        <v>1</v>
      </c>
      <c r="I254" s="6" t="s">
        <v>660</v>
      </c>
      <c r="J254" s="6" t="s">
        <v>79</v>
      </c>
      <c r="K254" s="6">
        <v>0.64</v>
      </c>
      <c r="L254" s="6" t="s">
        <v>42</v>
      </c>
      <c r="M254" s="6" t="s">
        <v>34</v>
      </c>
      <c r="N254" s="6"/>
    </row>
    <row r="255" spans="1:14">
      <c r="A255" s="6" t="s">
        <v>661</v>
      </c>
      <c r="B255" s="7">
        <v>46081</v>
      </c>
      <c r="C255" s="6" t="s">
        <v>662</v>
      </c>
      <c r="D255" s="6" t="str">
        <f>IF(OR(PROPER(TRIM(Raw_Data!D255))="Uk",PROPER(TRIM(Raw_Data!D255))="Gb",PROPER(TRIM(Raw_Data!D255))="United kingdom"),"United Kingdom",PROPER(TRIM(Raw_Data!D255)))</f>
        <v>United Kingdom</v>
      </c>
      <c r="E255" s="6" t="s">
        <v>78</v>
      </c>
      <c r="F255" s="6" t="s">
        <v>47</v>
      </c>
      <c r="G255" s="6" t="str">
        <f>SUBSTITUTE(Raw_Data!G255,"Ã©","é")</f>
        <v>Alpine Jacket</v>
      </c>
      <c r="H255" s="6">
        <v>1</v>
      </c>
      <c r="I255" s="6" t="s">
        <v>147</v>
      </c>
      <c r="J255" s="6" t="s">
        <v>147</v>
      </c>
      <c r="K255" s="6">
        <v>8.5000000000000006E-2</v>
      </c>
      <c r="L255" s="6" t="s">
        <v>42</v>
      </c>
      <c r="M255" s="6" t="s">
        <v>69</v>
      </c>
      <c r="N255" s="6"/>
    </row>
    <row r="256" spans="1:14">
      <c r="A256" s="6" t="s">
        <v>663</v>
      </c>
      <c r="B256" s="7">
        <v>46138</v>
      </c>
      <c r="C256" s="6" t="s">
        <v>664</v>
      </c>
      <c r="D256" s="6" t="str">
        <f>IF(OR(PROPER(TRIM(Raw_Data!D256))="Uk",PROPER(TRIM(Raw_Data!D256))="Gb",PROPER(TRIM(Raw_Data!D256))="United kingdom"),"United Kingdom",PROPER(TRIM(Raw_Data!D256)))</f>
        <v>United Kingdom</v>
      </c>
      <c r="E256" s="6" t="s">
        <v>78</v>
      </c>
      <c r="F256" s="6" t="s">
        <v>38</v>
      </c>
      <c r="G256" s="6" t="str">
        <f>SUBSTITUTE(Raw_Data!G256,"Ã©","é")</f>
        <v>Fell Runner Cap</v>
      </c>
      <c r="H256" s="6">
        <v>1</v>
      </c>
      <c r="I256" s="6" t="s">
        <v>40</v>
      </c>
      <c r="J256" s="6" t="s">
        <v>40</v>
      </c>
      <c r="K256" s="6">
        <v>0.52</v>
      </c>
      <c r="L256" s="6" t="s">
        <v>42</v>
      </c>
      <c r="M256" s="6" t="s">
        <v>34</v>
      </c>
      <c r="N256" s="6"/>
    </row>
    <row r="257" spans="1:14">
      <c r="A257" s="6" t="s">
        <v>665</v>
      </c>
      <c r="B257" s="7">
        <v>46177</v>
      </c>
      <c r="C257" s="6" t="s">
        <v>666</v>
      </c>
      <c r="D257" s="6" t="str">
        <f>IF(OR(PROPER(TRIM(Raw_Data!D257))="Uk",PROPER(TRIM(Raw_Data!D257))="Gb",PROPER(TRIM(Raw_Data!D257))="United kingdom"),"United Kingdom",PROPER(TRIM(Raw_Data!D257)))</f>
        <v>United Kingdom</v>
      </c>
      <c r="E257" s="6" t="s">
        <v>37</v>
      </c>
      <c r="F257" s="6" t="s">
        <v>58</v>
      </c>
      <c r="G257" s="6" t="str">
        <f>SUBSTITUTE(Raw_Data!G257,"Ã©","é")</f>
        <v>Trail Softshell</v>
      </c>
      <c r="H257" s="6">
        <v>2</v>
      </c>
      <c r="I257" s="6" t="s">
        <v>667</v>
      </c>
      <c r="J257" s="6" t="s">
        <v>327</v>
      </c>
      <c r="K257" s="6">
        <v>0.38</v>
      </c>
      <c r="L257" s="6" t="s">
        <v>42</v>
      </c>
      <c r="M257" s="6" t="s">
        <v>34</v>
      </c>
      <c r="N257" s="6"/>
    </row>
    <row r="258" spans="1:14">
      <c r="A258" s="6" t="s">
        <v>668</v>
      </c>
      <c r="B258" s="7">
        <v>46037</v>
      </c>
      <c r="C258" s="6" t="s">
        <v>670</v>
      </c>
      <c r="D258" s="6" t="str">
        <f>IF(OR(PROPER(TRIM(Raw_Data!D258))="Uk",PROPER(TRIM(Raw_Data!D258))="Gb",PROPER(TRIM(Raw_Data!D258))="United kingdom"),"United Kingdom",PROPER(TRIM(Raw_Data!D258)))</f>
        <v>United Kingdom</v>
      </c>
      <c r="E258" s="6" t="s">
        <v>46</v>
      </c>
      <c r="F258" s="6" t="s">
        <v>29</v>
      </c>
      <c r="G258" s="6" t="str">
        <f>SUBSTITUTE(Raw_Data!G258,"Ã©","é")</f>
        <v>Summit Down Gilet</v>
      </c>
      <c r="H258" s="6">
        <v>1</v>
      </c>
      <c r="I258" s="6" t="s">
        <v>67</v>
      </c>
      <c r="J258" s="6" t="s">
        <v>67</v>
      </c>
      <c r="K258" s="6">
        <v>0.52</v>
      </c>
      <c r="L258" s="6" t="s">
        <v>42</v>
      </c>
      <c r="M258" s="6" t="s">
        <v>34</v>
      </c>
      <c r="N258" s="6"/>
    </row>
    <row r="259" spans="1:14">
      <c r="A259" s="6" t="s">
        <v>671</v>
      </c>
      <c r="B259" s="7">
        <v>46301</v>
      </c>
      <c r="C259" s="6" t="s">
        <v>672</v>
      </c>
      <c r="D259" s="6" t="str">
        <f>IF(OR(PROPER(TRIM(Raw_Data!D259))="Uk",PROPER(TRIM(Raw_Data!D259))="Gb",PROPER(TRIM(Raw_Data!D259))="United kingdom"),"United Kingdom",PROPER(TRIM(Raw_Data!D259)))</f>
        <v>United Kingdom</v>
      </c>
      <c r="E259" s="6" t="s">
        <v>46</v>
      </c>
      <c r="F259" s="6" t="s">
        <v>94</v>
      </c>
      <c r="G259" s="6" t="str">
        <f>SUBSTITUTE(Raw_Data!G259,"Ã©","é")</f>
        <v>Trekking Poles</v>
      </c>
      <c r="H259" s="6">
        <v>1</v>
      </c>
      <c r="I259" s="6" t="s">
        <v>82</v>
      </c>
      <c r="J259" s="6" t="s">
        <v>82</v>
      </c>
      <c r="K259" s="6">
        <v>0.34</v>
      </c>
      <c r="L259" s="6" t="s">
        <v>42</v>
      </c>
      <c r="M259" s="6" t="s">
        <v>34</v>
      </c>
      <c r="N259" s="6"/>
    </row>
    <row r="260" spans="1:14">
      <c r="A260" s="6" t="s">
        <v>673</v>
      </c>
      <c r="B260" s="7">
        <v>46188</v>
      </c>
      <c r="C260" s="6" t="s">
        <v>674</v>
      </c>
      <c r="D260" s="6" t="str">
        <f>IF(OR(PROPER(TRIM(Raw_Data!D260))="Uk",PROPER(TRIM(Raw_Data!D260))="Gb",PROPER(TRIM(Raw_Data!D260))="United kingdom"),"United Kingdom",PROPER(TRIM(Raw_Data!D260)))</f>
        <v>United Kingdom</v>
      </c>
      <c r="E260" s="6" t="s">
        <v>28</v>
      </c>
      <c r="F260" s="6" t="s">
        <v>53</v>
      </c>
      <c r="G260" s="6" t="str">
        <f>SUBSTITUTE(Raw_Data!G260,"Ã©","é")</f>
        <v>Café Latte Mug</v>
      </c>
      <c r="H260" s="6">
        <v>1</v>
      </c>
      <c r="I260" s="6" t="s">
        <v>67</v>
      </c>
      <c r="J260" s="6" t="s">
        <v>67</v>
      </c>
      <c r="K260" s="6">
        <v>0.19</v>
      </c>
      <c r="L260" s="6" t="s">
        <v>42</v>
      </c>
      <c r="M260" s="6" t="s">
        <v>69</v>
      </c>
      <c r="N260" s="6"/>
    </row>
    <row r="261" spans="1:14">
      <c r="A261" s="6" t="s">
        <v>675</v>
      </c>
      <c r="B261" s="7">
        <v>46024</v>
      </c>
      <c r="C261" s="6" t="s">
        <v>676</v>
      </c>
      <c r="D261" s="6" t="str">
        <f>IF(OR(PROPER(TRIM(Raw_Data!D261))="Uk",PROPER(TRIM(Raw_Data!D261))="Gb",PROPER(TRIM(Raw_Data!D261))="United kingdom"),"United Kingdom",PROPER(TRIM(Raw_Data!D261)))</f>
        <v>Ireland</v>
      </c>
      <c r="E261" s="6" t="s">
        <v>78</v>
      </c>
      <c r="F261" s="6" t="s">
        <v>58</v>
      </c>
      <c r="G261" s="6" t="str">
        <f>SUBSTITUTE(Raw_Data!G261,"Ã©","é")</f>
        <v>Merino Base Layer</v>
      </c>
      <c r="H261" s="6">
        <v>1</v>
      </c>
      <c r="I261" s="6" t="s">
        <v>265</v>
      </c>
      <c r="J261" s="6" t="s">
        <v>265</v>
      </c>
      <c r="K261" s="6">
        <v>0.38</v>
      </c>
      <c r="L261" s="6" t="s">
        <v>42</v>
      </c>
      <c r="M261" s="6" t="s">
        <v>34</v>
      </c>
      <c r="N261" s="6"/>
    </row>
    <row r="262" spans="1:14">
      <c r="A262" s="6" t="s">
        <v>677</v>
      </c>
      <c r="B262" s="7">
        <v>46069</v>
      </c>
      <c r="C262" s="6" t="s">
        <v>306</v>
      </c>
      <c r="D262" s="6" t="str">
        <f>IF(OR(PROPER(TRIM(Raw_Data!D262))="Uk",PROPER(TRIM(Raw_Data!D262))="Gb",PROPER(TRIM(Raw_Data!D262))="United kingdom"),"United Kingdom",PROPER(TRIM(Raw_Data!D262)))</f>
        <v>United Kingdom</v>
      </c>
      <c r="E262" s="6" t="s">
        <v>28</v>
      </c>
      <c r="F262" s="6" t="s">
        <v>94</v>
      </c>
      <c r="G262" s="6" t="str">
        <f>SUBSTITUTE(Raw_Data!G262,"Ã©","é")</f>
        <v>Summit Down Gilet</v>
      </c>
      <c r="H262" s="6">
        <v>1</v>
      </c>
      <c r="I262" s="6" t="s">
        <v>67</v>
      </c>
      <c r="J262" s="6" t="s">
        <v>67</v>
      </c>
      <c r="K262" s="6">
        <v>0.34</v>
      </c>
      <c r="L262" s="6" t="s">
        <v>42</v>
      </c>
      <c r="M262" s="6" t="s">
        <v>34</v>
      </c>
      <c r="N262" s="6"/>
    </row>
    <row r="263" spans="1:14">
      <c r="A263" s="6" t="s">
        <v>678</v>
      </c>
      <c r="B263" s="7">
        <v>46100</v>
      </c>
      <c r="C263" s="6" t="s">
        <v>679</v>
      </c>
      <c r="D263" s="6" t="str">
        <f>IF(OR(PROPER(TRIM(Raw_Data!D263))="Uk",PROPER(TRIM(Raw_Data!D263))="Gb",PROPER(TRIM(Raw_Data!D263))="United kingdom"),"United Kingdom",PROPER(TRIM(Raw_Data!D263)))</f>
        <v>United Kingdom</v>
      </c>
      <c r="E263" s="6" t="s">
        <v>46</v>
      </c>
      <c r="F263" s="6" t="s">
        <v>100</v>
      </c>
      <c r="G263" s="6" t="str">
        <f>SUBSTITUTE(Raw_Data!G263,"Ã©","é")</f>
        <v>Café Latte Mug</v>
      </c>
      <c r="H263" s="6">
        <v>2</v>
      </c>
      <c r="I263" s="6" t="s">
        <v>231</v>
      </c>
      <c r="J263" s="6" t="s">
        <v>232</v>
      </c>
      <c r="K263" s="6">
        <v>0.64</v>
      </c>
      <c r="L263" s="6" t="s">
        <v>42</v>
      </c>
      <c r="M263" s="6" t="s">
        <v>34</v>
      </c>
      <c r="N263" s="6"/>
    </row>
    <row r="264" spans="1:14">
      <c r="A264" s="6" t="s">
        <v>680</v>
      </c>
      <c r="B264" s="7">
        <v>46080</v>
      </c>
      <c r="C264" s="6" t="s">
        <v>681</v>
      </c>
      <c r="D264" s="6" t="str">
        <f>IF(OR(PROPER(TRIM(Raw_Data!D264))="Uk",PROPER(TRIM(Raw_Data!D264))="Gb",PROPER(TRIM(Raw_Data!D264))="United kingdom"),"United Kingdom",PROPER(TRIM(Raw_Data!D264)))</f>
        <v>United Kingdom</v>
      </c>
      <c r="E264" s="6" t="s">
        <v>28</v>
      </c>
      <c r="F264" s="6" t="s">
        <v>58</v>
      </c>
      <c r="G264" s="6" t="str">
        <f>SUBSTITUTE(Raw_Data!G264,"Ã©","é")</f>
        <v>Alpine Jacket</v>
      </c>
      <c r="H264" s="6">
        <v>2</v>
      </c>
      <c r="I264" s="6" t="s">
        <v>96</v>
      </c>
      <c r="J264" s="6" t="s">
        <v>278</v>
      </c>
      <c r="K264" s="6">
        <v>0.38</v>
      </c>
      <c r="L264" s="6" t="s">
        <v>42</v>
      </c>
      <c r="M264" s="6" t="s">
        <v>69</v>
      </c>
      <c r="N264" s="6"/>
    </row>
    <row r="265" spans="1:14">
      <c r="A265" s="6" t="s">
        <v>682</v>
      </c>
      <c r="B265" s="7">
        <v>46063</v>
      </c>
      <c r="C265" s="6" t="s">
        <v>683</v>
      </c>
      <c r="D265" s="6" t="str">
        <f>IF(OR(PROPER(TRIM(Raw_Data!D265))="Uk",PROPER(TRIM(Raw_Data!D265))="Gb",PROPER(TRIM(Raw_Data!D265))="United kingdom"),"United Kingdom",PROPER(TRIM(Raw_Data!D265)))</f>
        <v>Ireland</v>
      </c>
      <c r="E265" s="6" t="s">
        <v>78</v>
      </c>
      <c r="F265" s="6" t="s">
        <v>100</v>
      </c>
      <c r="G265" s="6" t="str">
        <f>SUBSTITUTE(Raw_Data!G265,"Ã©","é")</f>
        <v>Summit Down Gilet</v>
      </c>
      <c r="H265" s="6">
        <v>1</v>
      </c>
      <c r="I265" s="6" t="s">
        <v>684</v>
      </c>
      <c r="J265" s="6" t="s">
        <v>685</v>
      </c>
      <c r="K265" s="6">
        <v>0.64</v>
      </c>
      <c r="L265" s="6" t="s">
        <v>42</v>
      </c>
      <c r="M265" s="6" t="s">
        <v>69</v>
      </c>
      <c r="N265" s="6"/>
    </row>
    <row r="266" spans="1:14">
      <c r="A266" s="6" t="s">
        <v>686</v>
      </c>
      <c r="B266" s="7">
        <v>46359</v>
      </c>
      <c r="C266" s="6" t="s">
        <v>251</v>
      </c>
      <c r="D266" s="6" t="str">
        <f>IF(OR(PROPER(TRIM(Raw_Data!D266))="Uk",PROPER(TRIM(Raw_Data!D266))="Gb",PROPER(TRIM(Raw_Data!D266))="United kingdom"),"United Kingdom",PROPER(TRIM(Raw_Data!D266)))</f>
        <v>Germany</v>
      </c>
      <c r="E266" s="6" t="s">
        <v>46</v>
      </c>
      <c r="F266" s="6" t="s">
        <v>100</v>
      </c>
      <c r="G266" s="6" t="str">
        <f>SUBSTITUTE(Raw_Data!G266,"Ã©","é")</f>
        <v>Alpine Jacket</v>
      </c>
      <c r="H266" s="6">
        <v>3</v>
      </c>
      <c r="I266" s="6" t="s">
        <v>113</v>
      </c>
      <c r="J266" s="6" t="s">
        <v>138</v>
      </c>
      <c r="K266" s="6">
        <v>0.64</v>
      </c>
      <c r="L266" s="6" t="s">
        <v>33</v>
      </c>
      <c r="M266" s="6" t="s">
        <v>69</v>
      </c>
      <c r="N266" s="6"/>
    </row>
    <row r="267" spans="1:14">
      <c r="A267" s="6" t="s">
        <v>687</v>
      </c>
      <c r="B267" s="7">
        <v>46200</v>
      </c>
      <c r="C267" s="6" t="s">
        <v>688</v>
      </c>
      <c r="D267" s="6" t="str">
        <f>IF(OR(PROPER(TRIM(Raw_Data!D267))="Uk",PROPER(TRIM(Raw_Data!D267))="Gb",PROPER(TRIM(Raw_Data!D267))="United kingdom"),"United Kingdom",PROPER(TRIM(Raw_Data!D267)))</f>
        <v>United Kingdom</v>
      </c>
      <c r="E267" s="6" t="s">
        <v>46</v>
      </c>
      <c r="F267" s="6" t="s">
        <v>94</v>
      </c>
      <c r="G267" s="6" t="str">
        <f>SUBSTITUTE(Raw_Data!G267,"Ã©","é")</f>
        <v>Alpine Jacket</v>
      </c>
      <c r="H267" s="6">
        <v>3</v>
      </c>
      <c r="I267" s="6" t="s">
        <v>79</v>
      </c>
      <c r="J267" s="6" t="s">
        <v>216</v>
      </c>
      <c r="K267" s="6">
        <v>0.34</v>
      </c>
      <c r="L267" s="6" t="s">
        <v>42</v>
      </c>
      <c r="M267" s="6" t="s">
        <v>34</v>
      </c>
      <c r="N267" s="6"/>
    </row>
    <row r="268" spans="1:14">
      <c r="A268" s="6" t="s">
        <v>689</v>
      </c>
      <c r="B268" s="7">
        <v>46097</v>
      </c>
      <c r="C268" s="6" t="s">
        <v>690</v>
      </c>
      <c r="D268" s="6" t="str">
        <f>IF(OR(PROPER(TRIM(Raw_Data!D268))="Uk",PROPER(TRIM(Raw_Data!D268))="Gb",PROPER(TRIM(Raw_Data!D268))="United kingdom"),"United Kingdom",PROPER(TRIM(Raw_Data!D268)))</f>
        <v>Germany</v>
      </c>
      <c r="E268" s="6" t="s">
        <v>37</v>
      </c>
      <c r="F268" s="6" t="s">
        <v>53</v>
      </c>
      <c r="G268" s="6" t="str">
        <f>SUBSTITUTE(Raw_Data!G268,"Ã©","é")</f>
        <v>Café Latte Mug</v>
      </c>
      <c r="H268" s="6">
        <v>1</v>
      </c>
      <c r="I268" s="6" t="s">
        <v>265</v>
      </c>
      <c r="J268" s="6" t="s">
        <v>265</v>
      </c>
      <c r="K268" s="6">
        <v>0.19</v>
      </c>
      <c r="L268" s="6" t="s">
        <v>42</v>
      </c>
      <c r="M268" s="6" t="s">
        <v>34</v>
      </c>
      <c r="N268" s="6"/>
    </row>
    <row r="269" spans="1:14">
      <c r="A269" s="6" t="s">
        <v>691</v>
      </c>
      <c r="B269" s="7">
        <v>46109</v>
      </c>
      <c r="C269" s="6" t="s">
        <v>310</v>
      </c>
      <c r="D269" s="6" t="str">
        <f>IF(OR(PROPER(TRIM(Raw_Data!D269))="Uk",PROPER(TRIM(Raw_Data!D269))="Gb",PROPER(TRIM(Raw_Data!D269))="United kingdom"),"United Kingdom",PROPER(TRIM(Raw_Data!D269)))</f>
        <v>Ireland</v>
      </c>
      <c r="E269" s="6" t="s">
        <v>52</v>
      </c>
      <c r="F269" s="6" t="s">
        <v>47</v>
      </c>
      <c r="G269" s="6" t="str">
        <f>SUBSTITUTE(Raw_Data!G269,"Ã©","é")</f>
        <v>Merino Base Layer</v>
      </c>
      <c r="H269" s="6">
        <v>1</v>
      </c>
      <c r="I269" s="6" t="s">
        <v>67</v>
      </c>
      <c r="J269" s="6" t="s">
        <v>67</v>
      </c>
      <c r="K269" s="6">
        <v>8.5000000000000006E-2</v>
      </c>
      <c r="L269" s="6" t="s">
        <v>42</v>
      </c>
      <c r="M269" s="6" t="s">
        <v>69</v>
      </c>
      <c r="N269" s="6"/>
    </row>
    <row r="270" spans="1:14">
      <c r="A270" s="6" t="s">
        <v>692</v>
      </c>
      <c r="B270" s="7">
        <v>46173</v>
      </c>
      <c r="C270" s="6" t="s">
        <v>693</v>
      </c>
      <c r="D270" s="6" t="str">
        <f>IF(OR(PROPER(TRIM(Raw_Data!D270))="Uk",PROPER(TRIM(Raw_Data!D270))="Gb",PROPER(TRIM(Raw_Data!D270))="United kingdom"),"United Kingdom",PROPER(TRIM(Raw_Data!D270)))</f>
        <v>Germany</v>
      </c>
      <c r="E270" s="6" t="s">
        <v>37</v>
      </c>
      <c r="F270" s="6" t="s">
        <v>47</v>
      </c>
      <c r="G270" s="6" t="str">
        <f>SUBSTITUTE(Raw_Data!G270,"Ã©","é")</f>
        <v>Fell Runner Cap</v>
      </c>
      <c r="H270" s="6">
        <v>2</v>
      </c>
      <c r="I270" s="6" t="s">
        <v>147</v>
      </c>
      <c r="J270" s="6" t="s">
        <v>175</v>
      </c>
      <c r="K270" s="6">
        <v>8.5000000000000006E-2</v>
      </c>
      <c r="L270" s="6" t="s">
        <v>42</v>
      </c>
      <c r="M270" s="6" t="s">
        <v>69</v>
      </c>
      <c r="N270" s="6"/>
    </row>
    <row r="271" spans="1:14">
      <c r="A271" s="6" t="s">
        <v>694</v>
      </c>
      <c r="B271" s="7">
        <v>46102</v>
      </c>
      <c r="C271" s="6" t="s">
        <v>261</v>
      </c>
      <c r="D271" s="6" t="str">
        <f>IF(OR(PROPER(TRIM(Raw_Data!D271))="Uk",PROPER(TRIM(Raw_Data!D271))="Gb",PROPER(TRIM(Raw_Data!D271))="United kingdom"),"United Kingdom",PROPER(TRIM(Raw_Data!D271)))</f>
        <v>Ireland</v>
      </c>
      <c r="E271" s="6" t="s">
        <v>37</v>
      </c>
      <c r="F271" s="6" t="s">
        <v>85</v>
      </c>
      <c r="G271" s="6" t="str">
        <f>SUBSTITUTE(Raw_Data!G271,"Ã©","é")</f>
        <v>Fell Runner Cap</v>
      </c>
      <c r="H271" s="6">
        <v>2</v>
      </c>
      <c r="I271" s="6" t="s">
        <v>181</v>
      </c>
      <c r="J271" s="6" t="s">
        <v>163</v>
      </c>
      <c r="K271" s="6">
        <v>0.41</v>
      </c>
      <c r="L271" s="6" t="s">
        <v>42</v>
      </c>
      <c r="M271" s="6" t="s">
        <v>34</v>
      </c>
      <c r="N271" s="6"/>
    </row>
    <row r="272" spans="1:14">
      <c r="A272" s="6" t="s">
        <v>695</v>
      </c>
      <c r="B272" s="7">
        <v>46193</v>
      </c>
      <c r="C272" s="6" t="s">
        <v>696</v>
      </c>
      <c r="D272" s="6" t="str">
        <f>IF(OR(PROPER(TRIM(Raw_Data!D272))="Uk",PROPER(TRIM(Raw_Data!D272))="Gb",PROPER(TRIM(Raw_Data!D272))="United kingdom"),"United Kingdom",PROPER(TRIM(Raw_Data!D272)))</f>
        <v>United Kingdom</v>
      </c>
      <c r="E272" s="6" t="s">
        <v>52</v>
      </c>
      <c r="F272" s="6" t="s">
        <v>53</v>
      </c>
      <c r="G272" s="6" t="str">
        <f>SUBSTITUTE(Raw_Data!G272,"Ã©","é")</f>
        <v>Storm Overtrousers</v>
      </c>
      <c r="H272" s="6">
        <v>2</v>
      </c>
      <c r="I272" s="6" t="s">
        <v>113</v>
      </c>
      <c r="J272" s="6" t="s">
        <v>192</v>
      </c>
      <c r="K272" s="6">
        <v>0.19</v>
      </c>
      <c r="L272" s="6" t="s">
        <v>33</v>
      </c>
      <c r="M272" s="6" t="s">
        <v>34</v>
      </c>
      <c r="N272" s="6"/>
    </row>
    <row r="273" spans="1:14">
      <c r="A273" s="6" t="s">
        <v>697</v>
      </c>
      <c r="B273" s="7">
        <v>46094</v>
      </c>
      <c r="C273" s="6" t="s">
        <v>699</v>
      </c>
      <c r="D273" s="6" t="str">
        <f>IF(OR(PROPER(TRIM(Raw_Data!D273))="Uk",PROPER(TRIM(Raw_Data!D273))="Gb",PROPER(TRIM(Raw_Data!D273))="United kingdom"),"United Kingdom",PROPER(TRIM(Raw_Data!D273)))</f>
        <v>United Kingdom</v>
      </c>
      <c r="E273" s="6" t="s">
        <v>37</v>
      </c>
      <c r="F273" s="6" t="s">
        <v>85</v>
      </c>
      <c r="G273" s="6" t="str">
        <f>SUBSTITUTE(Raw_Data!G273,"Ã©","é")</f>
        <v>Merino Base Layer</v>
      </c>
      <c r="H273" s="6">
        <v>1</v>
      </c>
      <c r="I273" s="6" t="s">
        <v>117</v>
      </c>
      <c r="J273" s="6" t="s">
        <v>117</v>
      </c>
      <c r="K273" s="6">
        <v>0.41</v>
      </c>
      <c r="L273" s="6" t="s">
        <v>42</v>
      </c>
      <c r="M273" s="6" t="s">
        <v>69</v>
      </c>
      <c r="N273" s="6"/>
    </row>
    <row r="274" spans="1:14">
      <c r="A274" s="6" t="s">
        <v>700</v>
      </c>
      <c r="B274" s="7">
        <v>46203</v>
      </c>
      <c r="C274" s="6" t="s">
        <v>701</v>
      </c>
      <c r="D274" s="6" t="str">
        <f>IF(OR(PROPER(TRIM(Raw_Data!D274))="Uk",PROPER(TRIM(Raw_Data!D274))="Gb",PROPER(TRIM(Raw_Data!D274))="United kingdom"),"United Kingdom",PROPER(TRIM(Raw_Data!D274)))</f>
        <v>Ireland</v>
      </c>
      <c r="E274" s="6" t="s">
        <v>52</v>
      </c>
      <c r="F274" s="6" t="s">
        <v>58</v>
      </c>
      <c r="G274" s="6" t="str">
        <f>SUBSTITUTE(Raw_Data!G274,"Ã©","é")</f>
        <v>Storm Overtrousers</v>
      </c>
      <c r="H274" s="6">
        <v>1</v>
      </c>
      <c r="I274" s="6" t="s">
        <v>231</v>
      </c>
      <c r="J274" s="6" t="s">
        <v>231</v>
      </c>
      <c r="K274" s="6">
        <v>0.38</v>
      </c>
      <c r="L274" s="6" t="s">
        <v>42</v>
      </c>
      <c r="M274" s="6" t="s">
        <v>34</v>
      </c>
      <c r="N274" s="6"/>
    </row>
    <row r="275" spans="1:14">
      <c r="A275" s="6" t="s">
        <v>702</v>
      </c>
      <c r="B275" s="7">
        <v>46177</v>
      </c>
      <c r="C275" s="6" t="s">
        <v>703</v>
      </c>
      <c r="D275" s="6" t="str">
        <f>IF(OR(PROPER(TRIM(Raw_Data!D275))="Uk",PROPER(TRIM(Raw_Data!D275))="Gb",PROPER(TRIM(Raw_Data!D275))="United kingdom"),"United Kingdom",PROPER(TRIM(Raw_Data!D275)))</f>
        <v>Germany</v>
      </c>
      <c r="E275" s="6" t="s">
        <v>78</v>
      </c>
      <c r="F275" s="6" t="s">
        <v>94</v>
      </c>
      <c r="G275" s="6" t="str">
        <f>SUBSTITUTE(Raw_Data!G275,"Ã©","é")</f>
        <v>Summit Down Gilet</v>
      </c>
      <c r="H275" s="6">
        <v>1</v>
      </c>
      <c r="I275" s="6" t="s">
        <v>73</v>
      </c>
      <c r="J275" s="6" t="s">
        <v>73</v>
      </c>
      <c r="K275" s="6">
        <v>0.34</v>
      </c>
      <c r="L275" s="6" t="s">
        <v>42</v>
      </c>
      <c r="M275" s="6" t="s">
        <v>34</v>
      </c>
      <c r="N275" s="6"/>
    </row>
    <row r="276" spans="1:14">
      <c r="A276" s="6" t="s">
        <v>704</v>
      </c>
      <c r="B276" s="7">
        <v>46027</v>
      </c>
      <c r="C276" s="6" t="s">
        <v>705</v>
      </c>
      <c r="D276" s="6" t="str">
        <f>IF(OR(PROPER(TRIM(Raw_Data!D276))="Uk",PROPER(TRIM(Raw_Data!D276))="Gb",PROPER(TRIM(Raw_Data!D276))="United kingdom"),"United Kingdom",PROPER(TRIM(Raw_Data!D276)))</f>
        <v>United Kingdom</v>
      </c>
      <c r="E276" s="6" t="s">
        <v>28</v>
      </c>
      <c r="F276" s="6" t="s">
        <v>38</v>
      </c>
      <c r="G276" s="6" t="str">
        <f>SUBSTITUTE(Raw_Data!G276,"Ã©","é")</f>
        <v>Café Latte Mug</v>
      </c>
      <c r="H276" s="6">
        <v>1</v>
      </c>
      <c r="I276" s="6" t="s">
        <v>147</v>
      </c>
      <c r="J276" s="6" t="s">
        <v>147</v>
      </c>
      <c r="K276" s="6">
        <v>0.52</v>
      </c>
      <c r="L276" s="6" t="s">
        <v>42</v>
      </c>
      <c r="M276" s="6" t="s">
        <v>34</v>
      </c>
      <c r="N276" s="6"/>
    </row>
    <row r="277" spans="1:14">
      <c r="A277" s="6" t="s">
        <v>706</v>
      </c>
      <c r="B277" s="7">
        <v>46331</v>
      </c>
      <c r="C277" s="6" t="s">
        <v>707</v>
      </c>
      <c r="D277" s="6" t="str">
        <f>IF(OR(PROPER(TRIM(Raw_Data!D277))="Uk",PROPER(TRIM(Raw_Data!D277))="Gb",PROPER(TRIM(Raw_Data!D277))="United kingdom"),"United Kingdom",PROPER(TRIM(Raw_Data!D277)))</f>
        <v>United Kingdom</v>
      </c>
      <c r="E277" s="6" t="s">
        <v>46</v>
      </c>
      <c r="F277" s="6" t="s">
        <v>38</v>
      </c>
      <c r="G277" s="6" t="str">
        <f>SUBSTITUTE(Raw_Data!G277,"Ã©","é")</f>
        <v>Trail Softshell</v>
      </c>
      <c r="H277" s="6">
        <v>2</v>
      </c>
      <c r="I277" s="6" t="s">
        <v>67</v>
      </c>
      <c r="J277" s="6" t="s">
        <v>708</v>
      </c>
      <c r="K277" s="6">
        <v>0.52</v>
      </c>
      <c r="L277" s="6" t="s">
        <v>42</v>
      </c>
      <c r="M277" s="6" t="s">
        <v>34</v>
      </c>
      <c r="N277" s="6"/>
    </row>
    <row r="278" spans="1:14">
      <c r="A278" s="6" t="s">
        <v>709</v>
      </c>
      <c r="B278" s="7">
        <v>46153</v>
      </c>
      <c r="C278" s="6" t="s">
        <v>121</v>
      </c>
      <c r="D278" s="6" t="str">
        <f>IF(OR(PROPER(TRIM(Raw_Data!D278))="Uk",PROPER(TRIM(Raw_Data!D278))="Gb",PROPER(TRIM(Raw_Data!D278))="United kingdom"),"United Kingdom",PROPER(TRIM(Raw_Data!D278)))</f>
        <v>United Kingdom</v>
      </c>
      <c r="E278" s="6" t="s">
        <v>78</v>
      </c>
      <c r="F278" s="6" t="s">
        <v>38</v>
      </c>
      <c r="G278" s="6" t="str">
        <f>SUBSTITUTE(Raw_Data!G278,"Ã©","é")</f>
        <v>Trail Softshell</v>
      </c>
      <c r="H278" s="6">
        <v>2</v>
      </c>
      <c r="I278" s="6" t="s">
        <v>265</v>
      </c>
      <c r="J278" s="6" t="s">
        <v>167</v>
      </c>
      <c r="K278" s="6">
        <v>0.52</v>
      </c>
      <c r="L278" s="6" t="s">
        <v>42</v>
      </c>
      <c r="M278" s="6" t="s">
        <v>34</v>
      </c>
      <c r="N278" s="6"/>
    </row>
    <row r="279" spans="1:14">
      <c r="A279" s="6" t="s">
        <v>710</v>
      </c>
      <c r="B279" s="7">
        <v>46268</v>
      </c>
      <c r="C279" s="6" t="s">
        <v>711</v>
      </c>
      <c r="D279" s="6" t="str">
        <f>IF(OR(PROPER(TRIM(Raw_Data!D279))="Uk",PROPER(TRIM(Raw_Data!D279))="Gb",PROPER(TRIM(Raw_Data!D279))="United kingdom"),"United Kingdom",PROPER(TRIM(Raw_Data!D279)))</f>
        <v>United Kingdom</v>
      </c>
      <c r="E279" s="6" t="s">
        <v>78</v>
      </c>
      <c r="F279" s="6" t="s">
        <v>100</v>
      </c>
      <c r="G279" s="6" t="str">
        <f>SUBSTITUTE(Raw_Data!G279,"Ã©","é")</f>
        <v>Trail Softshell</v>
      </c>
      <c r="H279" s="6">
        <v>1</v>
      </c>
      <c r="I279" s="6" t="s">
        <v>113</v>
      </c>
      <c r="J279" s="6" t="s">
        <v>712</v>
      </c>
      <c r="K279" s="6">
        <v>0.64</v>
      </c>
      <c r="L279" s="6" t="s">
        <v>42</v>
      </c>
      <c r="M279" s="6" t="s">
        <v>34</v>
      </c>
      <c r="N279" s="6"/>
    </row>
    <row r="280" spans="1:14">
      <c r="A280" s="6" t="s">
        <v>713</v>
      </c>
      <c r="B280" s="7">
        <v>46189</v>
      </c>
      <c r="C280" s="6" t="s">
        <v>714</v>
      </c>
      <c r="D280" s="6" t="str">
        <f>IF(OR(PROPER(TRIM(Raw_Data!D280))="Uk",PROPER(TRIM(Raw_Data!D280))="Gb",PROPER(TRIM(Raw_Data!D280))="United kingdom"),"United Kingdom",PROPER(TRIM(Raw_Data!D280)))</f>
        <v>Ireland</v>
      </c>
      <c r="E280" s="6" t="s">
        <v>78</v>
      </c>
      <c r="F280" s="6" t="s">
        <v>100</v>
      </c>
      <c r="G280" s="6" t="str">
        <f>SUBSTITUTE(Raw_Data!G280,"Ã©","é")</f>
        <v>Alpine Jacket</v>
      </c>
      <c r="H280" s="6">
        <v>1</v>
      </c>
      <c r="I280" s="6" t="s">
        <v>113</v>
      </c>
      <c r="J280" s="6" t="s">
        <v>113</v>
      </c>
      <c r="K280" s="6">
        <v>0.64</v>
      </c>
      <c r="L280" s="6" t="s">
        <v>42</v>
      </c>
      <c r="M280" s="6" t="s">
        <v>34</v>
      </c>
      <c r="N280" s="6"/>
    </row>
    <row r="281" spans="1:14">
      <c r="A281" s="6" t="s">
        <v>715</v>
      </c>
      <c r="B281" s="7">
        <v>46357</v>
      </c>
      <c r="C281" s="6" t="s">
        <v>503</v>
      </c>
      <c r="D281" s="6" t="str">
        <f>IF(OR(PROPER(TRIM(Raw_Data!D281))="Uk",PROPER(TRIM(Raw_Data!D281))="Gb",PROPER(TRIM(Raw_Data!D281))="United kingdom"),"United Kingdom",PROPER(TRIM(Raw_Data!D281)))</f>
        <v>United Kingdom</v>
      </c>
      <c r="E281" s="6" t="s">
        <v>78</v>
      </c>
      <c r="F281" s="6" t="s">
        <v>58</v>
      </c>
      <c r="G281" s="6" t="str">
        <f>SUBSTITUTE(Raw_Data!G281,"Ã©","é")</f>
        <v>Alpine Jacket</v>
      </c>
      <c r="H281" s="6">
        <v>1</v>
      </c>
      <c r="I281" s="6" t="s">
        <v>60</v>
      </c>
      <c r="J281" s="6" t="s">
        <v>60</v>
      </c>
      <c r="K281" s="6">
        <v>0.38</v>
      </c>
      <c r="L281" s="6" t="s">
        <v>42</v>
      </c>
      <c r="M281" s="6" t="s">
        <v>34</v>
      </c>
      <c r="N281" s="6"/>
    </row>
    <row r="282" spans="1:14">
      <c r="A282" s="6" t="s">
        <v>716</v>
      </c>
      <c r="B282" s="7">
        <v>46105</v>
      </c>
      <c r="C282" s="6" t="s">
        <v>431</v>
      </c>
      <c r="D282" s="6" t="str">
        <f>IF(OR(PROPER(TRIM(Raw_Data!D282))="Uk",PROPER(TRIM(Raw_Data!D282))="Gb",PROPER(TRIM(Raw_Data!D282))="United kingdom"),"United Kingdom",PROPER(TRIM(Raw_Data!D282)))</f>
        <v>United Kingdom</v>
      </c>
      <c r="E282" s="6" t="s">
        <v>37</v>
      </c>
      <c r="F282" s="6" t="s">
        <v>47</v>
      </c>
      <c r="G282" s="6" t="str">
        <f>SUBSTITUTE(Raw_Data!G282,"Ã©","é")</f>
        <v>Summit Down Gilet</v>
      </c>
      <c r="H282" s="6">
        <v>1</v>
      </c>
      <c r="I282" s="6" t="s">
        <v>40</v>
      </c>
      <c r="J282" s="6" t="s">
        <v>40</v>
      </c>
      <c r="K282" s="6">
        <v>8.5000000000000006E-2</v>
      </c>
      <c r="L282" s="6" t="s">
        <v>42</v>
      </c>
      <c r="M282" s="6" t="s">
        <v>34</v>
      </c>
      <c r="N282" s="6"/>
    </row>
    <row r="283" spans="1:14">
      <c r="A283" s="6" t="s">
        <v>717</v>
      </c>
      <c r="B283" s="7">
        <v>46104</v>
      </c>
      <c r="C283" s="6" t="s">
        <v>520</v>
      </c>
      <c r="D283" s="6" t="str">
        <f>IF(OR(PROPER(TRIM(Raw_Data!D283))="Uk",PROPER(TRIM(Raw_Data!D283))="Gb",PROPER(TRIM(Raw_Data!D283))="United kingdom"),"United Kingdom",PROPER(TRIM(Raw_Data!D283)))</f>
        <v>United Kingdom</v>
      </c>
      <c r="E283" s="6" t="s">
        <v>37</v>
      </c>
      <c r="F283" s="6" t="s">
        <v>38</v>
      </c>
      <c r="G283" s="6" t="str">
        <f>SUBSTITUTE(Raw_Data!G283,"Ã©","é")</f>
        <v>Fell Runner Cap</v>
      </c>
      <c r="H283" s="6">
        <v>2</v>
      </c>
      <c r="I283" s="6" t="s">
        <v>147</v>
      </c>
      <c r="J283" s="6" t="s">
        <v>175</v>
      </c>
      <c r="K283" s="6">
        <v>0.52</v>
      </c>
      <c r="L283" s="6" t="s">
        <v>42</v>
      </c>
      <c r="M283" s="6" t="s">
        <v>34</v>
      </c>
      <c r="N283" s="6"/>
    </row>
    <row r="284" spans="1:14">
      <c r="A284" s="6" t="s">
        <v>718</v>
      </c>
      <c r="B284" s="7">
        <v>46197</v>
      </c>
      <c r="C284" s="6" t="s">
        <v>308</v>
      </c>
      <c r="D284" s="6" t="str">
        <f>IF(OR(PROPER(TRIM(Raw_Data!D284))="Uk",PROPER(TRIM(Raw_Data!D284))="Gb",PROPER(TRIM(Raw_Data!D284))="United kingdom"),"United Kingdom",PROPER(TRIM(Raw_Data!D284)))</f>
        <v>United Kingdom</v>
      </c>
      <c r="E284" s="6" t="s">
        <v>52</v>
      </c>
      <c r="F284" s="6" t="s">
        <v>58</v>
      </c>
      <c r="G284" s="6" t="str">
        <f>SUBSTITUTE(Raw_Data!G284,"Ã©","é")</f>
        <v>Trail Softshell</v>
      </c>
      <c r="H284" s="6">
        <v>3</v>
      </c>
      <c r="I284" s="6" t="s">
        <v>73</v>
      </c>
      <c r="J284" s="6" t="s">
        <v>499</v>
      </c>
      <c r="K284" s="6">
        <v>0.38</v>
      </c>
      <c r="L284" s="6" t="s">
        <v>42</v>
      </c>
      <c r="M284" s="6" t="s">
        <v>69</v>
      </c>
      <c r="N284" s="6"/>
    </row>
    <row r="285" spans="1:14">
      <c r="A285" s="6" t="s">
        <v>719</v>
      </c>
      <c r="B285" s="7">
        <v>46036</v>
      </c>
      <c r="C285" s="6" t="s">
        <v>720</v>
      </c>
      <c r="D285" s="6" t="str">
        <f>IF(OR(PROPER(TRIM(Raw_Data!D285))="Uk",PROPER(TRIM(Raw_Data!D285))="Gb",PROPER(TRIM(Raw_Data!D285))="United kingdom"),"United Kingdom",PROPER(TRIM(Raw_Data!D285)))</f>
        <v>United Kingdom</v>
      </c>
      <c r="E285" s="6" t="s">
        <v>28</v>
      </c>
      <c r="F285" s="6" t="s">
        <v>29</v>
      </c>
      <c r="G285" s="6" t="str">
        <f>SUBSTITUTE(Raw_Data!G285,"Ã©","é")</f>
        <v>Summit Down Gilet</v>
      </c>
      <c r="H285" s="6">
        <v>2</v>
      </c>
      <c r="I285" s="6" t="s">
        <v>265</v>
      </c>
      <c r="J285" s="6" t="s">
        <v>167</v>
      </c>
      <c r="K285" s="6">
        <v>0.52</v>
      </c>
      <c r="L285" s="6" t="s">
        <v>33</v>
      </c>
      <c r="M285" s="6" t="s">
        <v>69</v>
      </c>
      <c r="N285" s="6"/>
    </row>
    <row r="286" spans="1:14">
      <c r="A286" s="6" t="s">
        <v>721</v>
      </c>
      <c r="B286" s="7">
        <v>46199</v>
      </c>
      <c r="C286" s="6" t="s">
        <v>464</v>
      </c>
      <c r="D286" s="6" t="str">
        <f>IF(OR(PROPER(TRIM(Raw_Data!D286))="Uk",PROPER(TRIM(Raw_Data!D286))="Gb",PROPER(TRIM(Raw_Data!D286))="United kingdom"),"United Kingdom",PROPER(TRIM(Raw_Data!D286)))</f>
        <v>Ireland</v>
      </c>
      <c r="E286" s="6" t="s">
        <v>28</v>
      </c>
      <c r="F286" s="6" t="s">
        <v>53</v>
      </c>
      <c r="G286" s="6" t="str">
        <f>SUBSTITUTE(Raw_Data!G286,"Ã©","é")</f>
        <v>Trekking Poles</v>
      </c>
      <c r="H286" s="6">
        <v>3</v>
      </c>
      <c r="I286" s="6" t="s">
        <v>147</v>
      </c>
      <c r="J286" s="6" t="s">
        <v>148</v>
      </c>
      <c r="K286" s="6">
        <v>0.19</v>
      </c>
      <c r="L286" s="6" t="s">
        <v>33</v>
      </c>
      <c r="M286" s="6" t="s">
        <v>34</v>
      </c>
      <c r="N286" s="6"/>
    </row>
    <row r="287" spans="1:14">
      <c r="A287" s="6" t="s">
        <v>722</v>
      </c>
      <c r="B287" s="7">
        <v>46029</v>
      </c>
      <c r="C287" s="6" t="s">
        <v>723</v>
      </c>
      <c r="D287" s="6" t="str">
        <f>IF(OR(PROPER(TRIM(Raw_Data!D287))="Uk",PROPER(TRIM(Raw_Data!D287))="Gb",PROPER(TRIM(Raw_Data!D287))="United kingdom"),"United Kingdom",PROPER(TRIM(Raw_Data!D287)))</f>
        <v>France</v>
      </c>
      <c r="E287" s="6" t="s">
        <v>52</v>
      </c>
      <c r="F287" s="6" t="s">
        <v>94</v>
      </c>
      <c r="G287" s="6" t="str">
        <f>SUBSTITUTE(Raw_Data!G287,"Ã©","é")</f>
        <v>Merino Base Layer</v>
      </c>
      <c r="H287" s="6">
        <v>3</v>
      </c>
      <c r="I287" s="6" t="s">
        <v>143</v>
      </c>
      <c r="J287" s="6" t="s">
        <v>243</v>
      </c>
      <c r="K287" s="6">
        <v>0.34</v>
      </c>
      <c r="L287" s="6" t="s">
        <v>42</v>
      </c>
      <c r="M287" s="6" t="s">
        <v>69</v>
      </c>
      <c r="N287" s="6"/>
    </row>
    <row r="288" spans="1:14">
      <c r="A288" s="6" t="s">
        <v>724</v>
      </c>
      <c r="B288" s="7">
        <v>46030</v>
      </c>
      <c r="C288" s="6" t="s">
        <v>725</v>
      </c>
      <c r="D288" s="6" t="str">
        <f>IF(OR(PROPER(TRIM(Raw_Data!D288))="Uk",PROPER(TRIM(Raw_Data!D288))="Gb",PROPER(TRIM(Raw_Data!D288))="United kingdom"),"United Kingdom",PROPER(TRIM(Raw_Data!D288)))</f>
        <v>Ireland</v>
      </c>
      <c r="E288" s="6" t="s">
        <v>52</v>
      </c>
      <c r="F288" s="6" t="s">
        <v>85</v>
      </c>
      <c r="G288" s="6" t="str">
        <f>SUBSTITUTE(Raw_Data!G288,"Ã©","é")</f>
        <v>Café Latte Mug</v>
      </c>
      <c r="H288" s="6">
        <v>1</v>
      </c>
      <c r="I288" s="6" t="s">
        <v>113</v>
      </c>
      <c r="J288" s="6" t="s">
        <v>113</v>
      </c>
      <c r="K288" s="6">
        <v>0.41</v>
      </c>
      <c r="L288" s="6" t="s">
        <v>42</v>
      </c>
      <c r="M288" s="6" t="s">
        <v>34</v>
      </c>
      <c r="N288" s="6"/>
    </row>
    <row r="289" spans="1:14">
      <c r="A289" s="6" t="s">
        <v>726</v>
      </c>
      <c r="B289" s="7">
        <v>46358</v>
      </c>
      <c r="C289" s="6" t="s">
        <v>727</v>
      </c>
      <c r="D289" s="6" t="str">
        <f>IF(OR(PROPER(TRIM(Raw_Data!D289))="Uk",PROPER(TRIM(Raw_Data!D289))="Gb",PROPER(TRIM(Raw_Data!D289))="United kingdom"),"United Kingdom",PROPER(TRIM(Raw_Data!D289)))</f>
        <v>Ireland</v>
      </c>
      <c r="E289" s="6" t="s">
        <v>78</v>
      </c>
      <c r="F289" s="6" t="s">
        <v>85</v>
      </c>
      <c r="G289" s="6" t="str">
        <f>SUBSTITUTE(Raw_Data!G289,"Ã©","é")</f>
        <v>Storm Overtrousers</v>
      </c>
      <c r="H289" s="6">
        <v>1</v>
      </c>
      <c r="I289" s="6" t="s">
        <v>31</v>
      </c>
      <c r="J289" s="6" t="s">
        <v>31</v>
      </c>
      <c r="K289" s="6">
        <v>0.41</v>
      </c>
      <c r="L289" s="6" t="s">
        <v>42</v>
      </c>
      <c r="M289" s="6" t="s">
        <v>34</v>
      </c>
      <c r="N289" s="6"/>
    </row>
    <row r="290" spans="1:14">
      <c r="A290" s="6" t="s">
        <v>728</v>
      </c>
      <c r="B290" s="7">
        <v>46059</v>
      </c>
      <c r="C290" s="6" t="s">
        <v>729</v>
      </c>
      <c r="D290" s="6" t="str">
        <f>IF(OR(PROPER(TRIM(Raw_Data!D290))="Uk",PROPER(TRIM(Raw_Data!D290))="Gb",PROPER(TRIM(Raw_Data!D290))="United kingdom"),"United Kingdom",PROPER(TRIM(Raw_Data!D290)))</f>
        <v>United Kingdom</v>
      </c>
      <c r="E290" s="6" t="s">
        <v>37</v>
      </c>
      <c r="F290" s="6" t="s">
        <v>94</v>
      </c>
      <c r="G290" s="6" t="str">
        <f>SUBSTITUTE(Raw_Data!G290,"Ã©","é")</f>
        <v>Storm Overtrousers</v>
      </c>
      <c r="H290" s="6">
        <v>1</v>
      </c>
      <c r="I290" s="6" t="s">
        <v>67</v>
      </c>
      <c r="J290" s="6" t="s">
        <v>67</v>
      </c>
      <c r="K290" s="6">
        <v>0.34</v>
      </c>
      <c r="L290" s="6" t="s">
        <v>33</v>
      </c>
      <c r="M290" s="6" t="s">
        <v>34</v>
      </c>
      <c r="N290" s="6"/>
    </row>
    <row r="291" spans="1:14">
      <c r="A291" s="6" t="s">
        <v>730</v>
      </c>
      <c r="B291" s="7">
        <v>46271</v>
      </c>
      <c r="C291" s="6" t="s">
        <v>731</v>
      </c>
      <c r="D291" s="6" t="str">
        <f>IF(OR(PROPER(TRIM(Raw_Data!D291))="Uk",PROPER(TRIM(Raw_Data!D291))="Gb",PROPER(TRIM(Raw_Data!D291))="United kingdom"),"United Kingdom",PROPER(TRIM(Raw_Data!D291)))</f>
        <v>Ireland</v>
      </c>
      <c r="E291" s="6" t="s">
        <v>78</v>
      </c>
      <c r="F291" s="6" t="s">
        <v>58</v>
      </c>
      <c r="G291" s="6" t="str">
        <f>SUBSTITUTE(Raw_Data!G291,"Ã©","é")</f>
        <v>Café Latte Mug</v>
      </c>
      <c r="H291" s="6">
        <v>2</v>
      </c>
      <c r="I291" s="6" t="s">
        <v>79</v>
      </c>
      <c r="J291" s="6" t="s">
        <v>732</v>
      </c>
      <c r="K291" s="6">
        <v>0.38</v>
      </c>
      <c r="L291" s="6" t="s">
        <v>42</v>
      </c>
      <c r="M291" s="6" t="s">
        <v>34</v>
      </c>
      <c r="N291" s="6"/>
    </row>
    <row r="292" spans="1:14">
      <c r="A292" s="6" t="s">
        <v>733</v>
      </c>
      <c r="B292" s="7">
        <v>46111</v>
      </c>
      <c r="C292" s="6" t="s">
        <v>339</v>
      </c>
      <c r="D292" s="6" t="str">
        <f>IF(OR(PROPER(TRIM(Raw_Data!D292))="Uk",PROPER(TRIM(Raw_Data!D292))="Gb",PROPER(TRIM(Raw_Data!D292))="United kingdom"),"United Kingdom",PROPER(TRIM(Raw_Data!D292)))</f>
        <v>United Kingdom</v>
      </c>
      <c r="E292" s="6" t="s">
        <v>28</v>
      </c>
      <c r="F292" s="6" t="s">
        <v>47</v>
      </c>
      <c r="G292" s="6" t="str">
        <f>SUBSTITUTE(Raw_Data!G292,"Ã©","é")</f>
        <v>Summit Down Gilet</v>
      </c>
      <c r="H292" s="6">
        <v>1</v>
      </c>
      <c r="I292" s="6" t="s">
        <v>79</v>
      </c>
      <c r="J292" s="6" t="s">
        <v>79</v>
      </c>
      <c r="K292" s="6">
        <v>8.5000000000000006E-2</v>
      </c>
      <c r="L292" s="6" t="s">
        <v>42</v>
      </c>
      <c r="M292" s="6" t="s">
        <v>34</v>
      </c>
      <c r="N292" s="6"/>
    </row>
    <row r="293" spans="1:14">
      <c r="A293" s="6" t="s">
        <v>734</v>
      </c>
      <c r="B293" s="7">
        <v>46106</v>
      </c>
      <c r="C293" s="6" t="s">
        <v>735</v>
      </c>
      <c r="D293" s="6" t="str">
        <f>IF(OR(PROPER(TRIM(Raw_Data!D293))="Uk",PROPER(TRIM(Raw_Data!D293))="Gb",PROPER(TRIM(Raw_Data!D293))="United kingdom"),"United Kingdom",PROPER(TRIM(Raw_Data!D293)))</f>
        <v>Germany</v>
      </c>
      <c r="E293" s="6" t="s">
        <v>78</v>
      </c>
      <c r="F293" s="6" t="s">
        <v>85</v>
      </c>
      <c r="G293" s="6" t="str">
        <f>SUBSTITUTE(Raw_Data!G293,"Ã©","é")</f>
        <v>Fell Runner Cap</v>
      </c>
      <c r="H293" s="6">
        <v>1</v>
      </c>
      <c r="I293" s="6" t="s">
        <v>79</v>
      </c>
      <c r="J293" s="6" t="s">
        <v>79</v>
      </c>
      <c r="K293" s="6">
        <v>0.41</v>
      </c>
      <c r="L293" s="6" t="s">
        <v>33</v>
      </c>
      <c r="M293" s="6" t="s">
        <v>34</v>
      </c>
      <c r="N293" s="6"/>
    </row>
    <row r="294" spans="1:14">
      <c r="A294" s="6" t="s">
        <v>736</v>
      </c>
      <c r="B294" s="7">
        <v>46132</v>
      </c>
      <c r="C294" s="6" t="s">
        <v>737</v>
      </c>
      <c r="D294" s="6" t="str">
        <f>IF(OR(PROPER(TRIM(Raw_Data!D294))="Uk",PROPER(TRIM(Raw_Data!D294))="Gb",PROPER(TRIM(Raw_Data!D294))="United kingdom"),"United Kingdom",PROPER(TRIM(Raw_Data!D294)))</f>
        <v>Ireland</v>
      </c>
      <c r="E294" s="6" t="s">
        <v>37</v>
      </c>
      <c r="F294" s="6" t="s">
        <v>85</v>
      </c>
      <c r="G294" s="6" t="str">
        <f>SUBSTITUTE(Raw_Data!G294,"Ã©","é")</f>
        <v>Storm Overtrousers</v>
      </c>
      <c r="H294" s="6">
        <v>1</v>
      </c>
      <c r="I294" s="6" t="s">
        <v>73</v>
      </c>
      <c r="J294" s="6" t="s">
        <v>73</v>
      </c>
      <c r="K294" s="6">
        <v>0.41</v>
      </c>
      <c r="L294" s="6" t="s">
        <v>42</v>
      </c>
      <c r="M294" s="6" t="s">
        <v>34</v>
      </c>
      <c r="N294" s="6"/>
    </row>
    <row r="295" spans="1:14">
      <c r="A295" s="6" t="s">
        <v>738</v>
      </c>
      <c r="B295" s="7">
        <v>46171</v>
      </c>
      <c r="C295" s="6" t="s">
        <v>739</v>
      </c>
      <c r="D295" s="6" t="str">
        <f>IF(OR(PROPER(TRIM(Raw_Data!D295))="Uk",PROPER(TRIM(Raw_Data!D295))="Gb",PROPER(TRIM(Raw_Data!D295))="United kingdom"),"United Kingdom",PROPER(TRIM(Raw_Data!D295)))</f>
        <v>United Kingdom</v>
      </c>
      <c r="E295" s="6" t="s">
        <v>37</v>
      </c>
      <c r="F295" s="6" t="s">
        <v>85</v>
      </c>
      <c r="G295" s="6" t="str">
        <f>SUBSTITUTE(Raw_Data!G295,"Ã©","é")</f>
        <v>Storm Overtrousers</v>
      </c>
      <c r="H295" s="6">
        <v>2</v>
      </c>
      <c r="I295" s="6" t="s">
        <v>181</v>
      </c>
      <c r="J295" s="6" t="s">
        <v>163</v>
      </c>
      <c r="K295" s="6">
        <v>0.41</v>
      </c>
      <c r="L295" s="6" t="s">
        <v>33</v>
      </c>
      <c r="M295" s="6" t="s">
        <v>34</v>
      </c>
      <c r="N295" s="6"/>
    </row>
    <row r="296" spans="1:14">
      <c r="A296" s="6" t="s">
        <v>740</v>
      </c>
      <c r="B296" s="7">
        <v>46048</v>
      </c>
      <c r="C296" s="6" t="s">
        <v>741</v>
      </c>
      <c r="D296" s="6" t="str">
        <f>IF(OR(PROPER(TRIM(Raw_Data!D296))="Uk",PROPER(TRIM(Raw_Data!D296))="Gb",PROPER(TRIM(Raw_Data!D296))="United kingdom"),"United Kingdom",PROPER(TRIM(Raw_Data!D296)))</f>
        <v>United Kingdom</v>
      </c>
      <c r="E296" s="6" t="s">
        <v>28</v>
      </c>
      <c r="F296" s="6" t="s">
        <v>85</v>
      </c>
      <c r="G296" s="6" t="str">
        <f>SUBSTITUTE(Raw_Data!G296,"Ã©","é")</f>
        <v>Storm Overtrousers</v>
      </c>
      <c r="H296" s="6">
        <v>1</v>
      </c>
      <c r="I296" s="6" t="s">
        <v>60</v>
      </c>
      <c r="J296" s="6" t="s">
        <v>60</v>
      </c>
      <c r="K296" s="6">
        <v>0.41</v>
      </c>
      <c r="L296" s="6" t="s">
        <v>42</v>
      </c>
      <c r="M296" s="6" t="s">
        <v>69</v>
      </c>
      <c r="N296" s="6"/>
    </row>
    <row r="297" spans="1:14">
      <c r="A297" s="6" t="s">
        <v>742</v>
      </c>
      <c r="B297" s="7">
        <v>46069</v>
      </c>
      <c r="C297" s="6" t="s">
        <v>743</v>
      </c>
      <c r="D297" s="6" t="str">
        <f>IF(OR(PROPER(TRIM(Raw_Data!D297))="Uk",PROPER(TRIM(Raw_Data!D297))="Gb",PROPER(TRIM(Raw_Data!D297))="United kingdom"),"United Kingdom",PROPER(TRIM(Raw_Data!D297)))</f>
        <v>United Kingdom</v>
      </c>
      <c r="E297" s="6" t="s">
        <v>28</v>
      </c>
      <c r="F297" s="6" t="s">
        <v>94</v>
      </c>
      <c r="G297" s="6" t="str">
        <f>SUBSTITUTE(Raw_Data!G297,"Ã©","é")</f>
        <v>Storm Overtrousers</v>
      </c>
      <c r="H297" s="6">
        <v>2</v>
      </c>
      <c r="I297" s="6" t="s">
        <v>265</v>
      </c>
      <c r="J297" s="6" t="s">
        <v>167</v>
      </c>
      <c r="K297" s="6">
        <v>0.34</v>
      </c>
      <c r="L297" s="6" t="s">
        <v>42</v>
      </c>
      <c r="M297" s="6" t="s">
        <v>69</v>
      </c>
      <c r="N297" s="6"/>
    </row>
    <row r="298" spans="1:14">
      <c r="A298" s="6" t="s">
        <v>744</v>
      </c>
      <c r="B298" s="7">
        <v>46168</v>
      </c>
      <c r="C298" s="6" t="s">
        <v>745</v>
      </c>
      <c r="D298" s="6" t="str">
        <f>IF(OR(PROPER(TRIM(Raw_Data!D298))="Uk",PROPER(TRIM(Raw_Data!D298))="Gb",PROPER(TRIM(Raw_Data!D298))="United kingdom"),"United Kingdom",PROPER(TRIM(Raw_Data!D298)))</f>
        <v>United Kingdom</v>
      </c>
      <c r="E298" s="6" t="s">
        <v>28</v>
      </c>
      <c r="F298" s="6" t="s">
        <v>53</v>
      </c>
      <c r="G298" s="6" t="str">
        <f>SUBSTITUTE(Raw_Data!G298,"Ã©","é")</f>
        <v>Café Latte Mug</v>
      </c>
      <c r="H298" s="6">
        <v>1</v>
      </c>
      <c r="I298" s="6" t="s">
        <v>113</v>
      </c>
      <c r="J298" s="6" t="s">
        <v>113</v>
      </c>
      <c r="K298" s="6">
        <v>0.19</v>
      </c>
      <c r="L298" s="6" t="s">
        <v>33</v>
      </c>
      <c r="M298" s="6" t="s">
        <v>34</v>
      </c>
      <c r="N298" s="6"/>
    </row>
    <row r="299" spans="1:14">
      <c r="A299" s="6" t="s">
        <v>746</v>
      </c>
      <c r="B299" s="7">
        <v>46301</v>
      </c>
      <c r="C299" s="6" t="s">
        <v>747</v>
      </c>
      <c r="D299" s="6" t="str">
        <f>IF(OR(PROPER(TRIM(Raw_Data!D299))="Uk",PROPER(TRIM(Raw_Data!D299))="Gb",PROPER(TRIM(Raw_Data!D299))="United kingdom"),"United Kingdom",PROPER(TRIM(Raw_Data!D299)))</f>
        <v>United Kingdom</v>
      </c>
      <c r="E299" s="6" t="s">
        <v>28</v>
      </c>
      <c r="F299" s="6" t="s">
        <v>94</v>
      </c>
      <c r="G299" s="6" t="str">
        <f>SUBSTITUTE(Raw_Data!G299,"Ã©","é")</f>
        <v>Merino Base Layer</v>
      </c>
      <c r="H299" s="6">
        <v>2</v>
      </c>
      <c r="I299" s="6" t="s">
        <v>748</v>
      </c>
      <c r="J299" s="6" t="s">
        <v>192</v>
      </c>
      <c r="K299" s="6">
        <v>0.34</v>
      </c>
      <c r="L299" s="6" t="s">
        <v>42</v>
      </c>
      <c r="M299" s="6" t="s">
        <v>34</v>
      </c>
      <c r="N299" s="6"/>
    </row>
    <row r="300" spans="1:14">
      <c r="A300" s="6" t="s">
        <v>749</v>
      </c>
      <c r="B300" s="7">
        <v>46085</v>
      </c>
      <c r="C300" s="6" t="s">
        <v>750</v>
      </c>
      <c r="D300" s="6" t="str">
        <f>IF(OR(PROPER(TRIM(Raw_Data!D300))="Uk",PROPER(TRIM(Raw_Data!D300))="Gb",PROPER(TRIM(Raw_Data!D300))="United kingdom"),"United Kingdom",PROPER(TRIM(Raw_Data!D300)))</f>
        <v>France</v>
      </c>
      <c r="E300" s="6" t="s">
        <v>46</v>
      </c>
      <c r="F300" s="6" t="s">
        <v>47</v>
      </c>
      <c r="G300" s="6" t="str">
        <f>SUBSTITUTE(Raw_Data!G300,"Ã©","é")</f>
        <v>Café Latte Mug</v>
      </c>
      <c r="H300" s="6">
        <v>1</v>
      </c>
      <c r="I300" s="6" t="s">
        <v>82</v>
      </c>
      <c r="J300" s="6" t="s">
        <v>82</v>
      </c>
      <c r="K300" s="6">
        <v>8.5000000000000006E-2</v>
      </c>
      <c r="L300" s="6" t="s">
        <v>33</v>
      </c>
      <c r="M300" s="6" t="s">
        <v>69</v>
      </c>
      <c r="N300" s="6"/>
    </row>
    <row r="301" spans="1:14">
      <c r="A301" s="6" t="s">
        <v>751</v>
      </c>
      <c r="B301" s="7">
        <v>46155</v>
      </c>
      <c r="C301" s="6" t="s">
        <v>752</v>
      </c>
      <c r="D301" s="6" t="str">
        <f>IF(OR(PROPER(TRIM(Raw_Data!D301))="Uk",PROPER(TRIM(Raw_Data!D301))="Gb",PROPER(TRIM(Raw_Data!D301))="United kingdom"),"United Kingdom",PROPER(TRIM(Raw_Data!D301)))</f>
        <v>Germany</v>
      </c>
      <c r="E301" s="6" t="s">
        <v>28</v>
      </c>
      <c r="F301" s="6" t="s">
        <v>94</v>
      </c>
      <c r="G301" s="6" t="str">
        <f>SUBSTITUTE(Raw_Data!G301,"Ã©","é")</f>
        <v>Fell Runner Cap</v>
      </c>
      <c r="H301" s="6">
        <v>2</v>
      </c>
      <c r="I301" s="6" t="s">
        <v>181</v>
      </c>
      <c r="J301" s="6" t="s">
        <v>163</v>
      </c>
      <c r="K301" s="6">
        <v>0.34</v>
      </c>
      <c r="L301" s="6" t="s">
        <v>42</v>
      </c>
      <c r="M301" s="6" t="s">
        <v>34</v>
      </c>
      <c r="N301" s="6"/>
    </row>
    <row r="302" spans="1:14">
      <c r="A302" s="6" t="s">
        <v>753</v>
      </c>
      <c r="B302" s="7">
        <v>46098</v>
      </c>
      <c r="C302" s="6" t="s">
        <v>754</v>
      </c>
      <c r="D302" s="6" t="str">
        <f>IF(OR(PROPER(TRIM(Raw_Data!D302))="Uk",PROPER(TRIM(Raw_Data!D302))="Gb",PROPER(TRIM(Raw_Data!D302))="United kingdom"),"United Kingdom",PROPER(TRIM(Raw_Data!D302)))</f>
        <v>United Kingdom</v>
      </c>
      <c r="E302" s="6" t="s">
        <v>37</v>
      </c>
      <c r="F302" s="6" t="s">
        <v>29</v>
      </c>
      <c r="G302" s="6" t="str">
        <f>SUBSTITUTE(Raw_Data!G302,"Ã©","é")</f>
        <v>Café Latte Mug</v>
      </c>
      <c r="H302" s="6">
        <v>2</v>
      </c>
      <c r="I302" s="6" t="s">
        <v>755</v>
      </c>
      <c r="J302" s="6" t="s">
        <v>118</v>
      </c>
      <c r="K302" s="6">
        <v>0.52</v>
      </c>
      <c r="L302" s="6" t="s">
        <v>42</v>
      </c>
      <c r="M302" s="6" t="s">
        <v>34</v>
      </c>
      <c r="N302" s="6"/>
    </row>
    <row r="303" spans="1:14">
      <c r="A303" s="6" t="s">
        <v>756</v>
      </c>
      <c r="B303" s="7">
        <v>46172</v>
      </c>
      <c r="C303" s="6" t="s">
        <v>757</v>
      </c>
      <c r="D303" s="6" t="str">
        <f>IF(OR(PROPER(TRIM(Raw_Data!D303))="Uk",PROPER(TRIM(Raw_Data!D303))="Gb",PROPER(TRIM(Raw_Data!D303))="United kingdom"),"United Kingdom",PROPER(TRIM(Raw_Data!D303)))</f>
        <v>France</v>
      </c>
      <c r="E303" s="6" t="s">
        <v>52</v>
      </c>
      <c r="F303" s="6" t="s">
        <v>53</v>
      </c>
      <c r="G303" s="6" t="str">
        <f>SUBSTITUTE(Raw_Data!G303,"Ã©","é")</f>
        <v>Trekking Poles</v>
      </c>
      <c r="H303" s="6">
        <v>1</v>
      </c>
      <c r="I303" s="6" t="s">
        <v>73</v>
      </c>
      <c r="J303" s="6" t="s">
        <v>73</v>
      </c>
      <c r="K303" s="6">
        <v>0.19</v>
      </c>
      <c r="L303" s="6" t="s">
        <v>42</v>
      </c>
      <c r="M303" s="6" t="s">
        <v>34</v>
      </c>
      <c r="N303" s="6"/>
    </row>
    <row r="304" spans="1:14">
      <c r="A304" s="6" t="s">
        <v>758</v>
      </c>
      <c r="B304" s="7">
        <v>46048</v>
      </c>
      <c r="C304" s="6" t="s">
        <v>759</v>
      </c>
      <c r="D304" s="6" t="str">
        <f>IF(OR(PROPER(TRIM(Raw_Data!D304))="Uk",PROPER(TRIM(Raw_Data!D304))="Gb",PROPER(TRIM(Raw_Data!D304))="United kingdom"),"United Kingdom",PROPER(TRIM(Raw_Data!D304)))</f>
        <v>France</v>
      </c>
      <c r="E304" s="6" t="s">
        <v>37</v>
      </c>
      <c r="F304" s="6" t="s">
        <v>85</v>
      </c>
      <c r="G304" s="6" t="str">
        <f>SUBSTITUTE(Raw_Data!G304,"Ã©","é")</f>
        <v>Merino Base Layer</v>
      </c>
      <c r="H304" s="6">
        <v>1</v>
      </c>
      <c r="I304" s="6" t="s">
        <v>73</v>
      </c>
      <c r="J304" s="6" t="s">
        <v>73</v>
      </c>
      <c r="K304" s="6">
        <v>0.41</v>
      </c>
      <c r="L304" s="6" t="s">
        <v>33</v>
      </c>
      <c r="M304" s="6" t="s">
        <v>34</v>
      </c>
      <c r="N304" s="6"/>
    </row>
    <row r="305" spans="1:14">
      <c r="A305" s="6" t="s">
        <v>760</v>
      </c>
      <c r="B305" s="7">
        <v>46297</v>
      </c>
      <c r="C305" s="6" t="s">
        <v>761</v>
      </c>
      <c r="D305" s="6" t="str">
        <f>IF(OR(PROPER(TRIM(Raw_Data!D305))="Uk",PROPER(TRIM(Raw_Data!D305))="Gb",PROPER(TRIM(Raw_Data!D305))="United kingdom"),"United Kingdom",PROPER(TRIM(Raw_Data!D305)))</f>
        <v>Ireland</v>
      </c>
      <c r="E305" s="6" t="s">
        <v>46</v>
      </c>
      <c r="F305" s="6" t="s">
        <v>38</v>
      </c>
      <c r="G305" s="6" t="str">
        <f>SUBSTITUTE(Raw_Data!G305,"Ã©","é")</f>
        <v>Storm Overtrousers</v>
      </c>
      <c r="H305" s="6">
        <v>1</v>
      </c>
      <c r="I305" s="6" t="s">
        <v>143</v>
      </c>
      <c r="J305" s="6" t="s">
        <v>143</v>
      </c>
      <c r="K305" s="6">
        <v>0.52</v>
      </c>
      <c r="L305" s="6" t="s">
        <v>42</v>
      </c>
      <c r="M305" s="6" t="s">
        <v>34</v>
      </c>
      <c r="N305" s="6"/>
    </row>
    <row r="306" spans="1:14">
      <c r="A306" s="6" t="s">
        <v>762</v>
      </c>
      <c r="B306" s="7">
        <v>46077</v>
      </c>
      <c r="C306" s="6" t="s">
        <v>763</v>
      </c>
      <c r="D306" s="6" t="str">
        <f>IF(OR(PROPER(TRIM(Raw_Data!D306))="Uk",PROPER(TRIM(Raw_Data!D306))="Gb",PROPER(TRIM(Raw_Data!D306))="United kingdom"),"United Kingdom",PROPER(TRIM(Raw_Data!D306)))</f>
        <v>United Kingdom</v>
      </c>
      <c r="E306" s="6" t="s">
        <v>78</v>
      </c>
      <c r="F306" s="6" t="s">
        <v>29</v>
      </c>
      <c r="G306" s="6" t="str">
        <f>SUBSTITUTE(Raw_Data!G306,"Ã©","é")</f>
        <v>Trail Softshell</v>
      </c>
      <c r="H306" s="6">
        <v>1</v>
      </c>
      <c r="I306" s="6" t="s">
        <v>31</v>
      </c>
      <c r="J306" s="6" t="s">
        <v>31</v>
      </c>
      <c r="K306" s="6">
        <v>0.52</v>
      </c>
      <c r="L306" s="6" t="s">
        <v>42</v>
      </c>
      <c r="M306" s="6" t="s">
        <v>34</v>
      </c>
      <c r="N306" s="6"/>
    </row>
    <row r="307" spans="1:14">
      <c r="A307" s="6" t="s">
        <v>764</v>
      </c>
      <c r="B307" s="7">
        <v>46070</v>
      </c>
      <c r="C307" s="6" t="s">
        <v>766</v>
      </c>
      <c r="D307" s="6" t="str">
        <f>IF(OR(PROPER(TRIM(Raw_Data!D307))="Uk",PROPER(TRIM(Raw_Data!D307))="Gb",PROPER(TRIM(Raw_Data!D307))="United kingdom"),"United Kingdom",PROPER(TRIM(Raw_Data!D307)))</f>
        <v>United Kingdom</v>
      </c>
      <c r="E307" s="6" t="s">
        <v>52</v>
      </c>
      <c r="F307" s="6" t="s">
        <v>53</v>
      </c>
      <c r="G307" s="6" t="str">
        <f>SUBSTITUTE(Raw_Data!G307,"Ã©","é")</f>
        <v>Trekking Poles</v>
      </c>
      <c r="H307" s="6">
        <v>3</v>
      </c>
      <c r="I307" s="6" t="s">
        <v>79</v>
      </c>
      <c r="J307" s="6" t="s">
        <v>216</v>
      </c>
      <c r="K307" s="6">
        <v>0.19</v>
      </c>
      <c r="L307" s="6" t="s">
        <v>42</v>
      </c>
      <c r="M307" s="6" t="s">
        <v>34</v>
      </c>
      <c r="N307" s="6"/>
    </row>
    <row r="308" spans="1:14">
      <c r="A308" s="6" t="s">
        <v>767</v>
      </c>
      <c r="B308" s="7">
        <v>46176</v>
      </c>
      <c r="C308" s="6" t="s">
        <v>768</v>
      </c>
      <c r="D308" s="6" t="str">
        <f>IF(OR(PROPER(TRIM(Raw_Data!D308))="Uk",PROPER(TRIM(Raw_Data!D308))="Gb",PROPER(TRIM(Raw_Data!D308))="United kingdom"),"United Kingdom",PROPER(TRIM(Raw_Data!D308)))</f>
        <v>United Kingdom</v>
      </c>
      <c r="E308" s="6" t="s">
        <v>28</v>
      </c>
      <c r="F308" s="6" t="s">
        <v>58</v>
      </c>
      <c r="G308" s="6" t="str">
        <f>SUBSTITUTE(Raw_Data!G308,"Ã©","é")</f>
        <v>Merino Base Layer</v>
      </c>
      <c r="H308" s="6">
        <v>1</v>
      </c>
      <c r="I308" s="6" t="s">
        <v>769</v>
      </c>
      <c r="J308" s="6" t="s">
        <v>60</v>
      </c>
      <c r="K308" s="6">
        <v>0.38</v>
      </c>
      <c r="L308" s="6" t="s">
        <v>42</v>
      </c>
      <c r="M308" s="6" t="s">
        <v>69</v>
      </c>
      <c r="N308" s="6"/>
    </row>
    <row r="309" spans="1:14">
      <c r="A309" s="6" t="s">
        <v>770</v>
      </c>
      <c r="B309" s="7">
        <v>46044</v>
      </c>
      <c r="C309" s="6" t="s">
        <v>771</v>
      </c>
      <c r="D309" s="6" t="str">
        <f>IF(OR(PROPER(TRIM(Raw_Data!D309))="Uk",PROPER(TRIM(Raw_Data!D309))="Gb",PROPER(TRIM(Raw_Data!D309))="United kingdom"),"United Kingdom",PROPER(TRIM(Raw_Data!D309)))</f>
        <v>Ireland</v>
      </c>
      <c r="E309" s="6" t="s">
        <v>78</v>
      </c>
      <c r="F309" s="6" t="s">
        <v>53</v>
      </c>
      <c r="G309" s="6" t="str">
        <f>SUBSTITUTE(Raw_Data!G309,"Ã©","é")</f>
        <v>Summit Down Gilet</v>
      </c>
      <c r="H309" s="6">
        <v>1</v>
      </c>
      <c r="I309" s="6" t="s">
        <v>117</v>
      </c>
      <c r="J309" s="6" t="s">
        <v>117</v>
      </c>
      <c r="K309" s="6">
        <v>0.19</v>
      </c>
      <c r="L309" s="6" t="s">
        <v>42</v>
      </c>
      <c r="M309" s="6" t="s">
        <v>34</v>
      </c>
      <c r="N309" s="6"/>
    </row>
    <row r="310" spans="1:14">
      <c r="A310" s="6" t="s">
        <v>772</v>
      </c>
      <c r="B310" s="7">
        <v>46202</v>
      </c>
      <c r="C310" s="6" t="s">
        <v>470</v>
      </c>
      <c r="D310" s="6" t="str">
        <f>IF(OR(PROPER(TRIM(Raw_Data!D310))="Uk",PROPER(TRIM(Raw_Data!D310))="Gb",PROPER(TRIM(Raw_Data!D310))="United kingdom"),"United Kingdom",PROPER(TRIM(Raw_Data!D310)))</f>
        <v>United Kingdom</v>
      </c>
      <c r="E310" s="6" t="s">
        <v>37</v>
      </c>
      <c r="F310" s="6" t="s">
        <v>94</v>
      </c>
      <c r="G310" s="6" t="str">
        <f>SUBSTITUTE(Raw_Data!G310,"Ã©","é")</f>
        <v>Merino Base Layer</v>
      </c>
      <c r="H310" s="6">
        <v>2</v>
      </c>
      <c r="I310" s="6" t="s">
        <v>265</v>
      </c>
      <c r="J310" s="6" t="s">
        <v>167</v>
      </c>
      <c r="K310" s="6">
        <v>0.34</v>
      </c>
      <c r="L310" s="6" t="s">
        <v>33</v>
      </c>
      <c r="M310" s="6" t="s">
        <v>34</v>
      </c>
      <c r="N310" s="6"/>
    </row>
    <row r="311" spans="1:14">
      <c r="A311" s="6" t="s">
        <v>773</v>
      </c>
      <c r="B311" s="7">
        <v>46179</v>
      </c>
      <c r="C311" s="6" t="s">
        <v>774</v>
      </c>
      <c r="D311" s="6" t="str">
        <f>IF(OR(PROPER(TRIM(Raw_Data!D311))="Uk",PROPER(TRIM(Raw_Data!D311))="Gb",PROPER(TRIM(Raw_Data!D311))="United kingdom"),"United Kingdom",PROPER(TRIM(Raw_Data!D311)))</f>
        <v>Ireland</v>
      </c>
      <c r="E311" s="6" t="s">
        <v>52</v>
      </c>
      <c r="F311" s="6" t="s">
        <v>100</v>
      </c>
      <c r="G311" s="6" t="str">
        <f>SUBSTITUTE(Raw_Data!G311,"Ã©","é")</f>
        <v>Café Latte Mug</v>
      </c>
      <c r="H311" s="6">
        <v>1</v>
      </c>
      <c r="I311" s="6" t="s">
        <v>96</v>
      </c>
      <c r="J311" s="6" t="s">
        <v>96</v>
      </c>
      <c r="K311" s="6">
        <v>0.64</v>
      </c>
      <c r="L311" s="6" t="s">
        <v>42</v>
      </c>
      <c r="M311" s="6" t="s">
        <v>34</v>
      </c>
      <c r="N311" s="6"/>
    </row>
    <row r="312" spans="1:14">
      <c r="A312" s="6" t="s">
        <v>775</v>
      </c>
      <c r="B312" s="7">
        <v>46076</v>
      </c>
      <c r="C312" s="6" t="s">
        <v>777</v>
      </c>
      <c r="D312" s="6" t="str">
        <f>IF(OR(PROPER(TRIM(Raw_Data!D312))="Uk",PROPER(TRIM(Raw_Data!D312))="Gb",PROPER(TRIM(Raw_Data!D312))="United kingdom"),"United Kingdom",PROPER(TRIM(Raw_Data!D312)))</f>
        <v>United Kingdom</v>
      </c>
      <c r="E312" s="6" t="s">
        <v>28</v>
      </c>
      <c r="F312" s="6" t="s">
        <v>100</v>
      </c>
      <c r="G312" s="6" t="str">
        <f>SUBSTITUTE(Raw_Data!G312,"Ã©","é")</f>
        <v>Alpine Jacket</v>
      </c>
      <c r="H312" s="6">
        <v>-2</v>
      </c>
      <c r="I312" s="6" t="s">
        <v>265</v>
      </c>
      <c r="J312" s="8" t="s">
        <v>778</v>
      </c>
      <c r="K312" s="6">
        <v>0.64</v>
      </c>
      <c r="L312" s="6" t="s">
        <v>42</v>
      </c>
      <c r="M312" s="6" t="s">
        <v>34</v>
      </c>
      <c r="N312" s="6"/>
    </row>
    <row r="313" spans="1:14">
      <c r="A313" s="6" t="s">
        <v>779</v>
      </c>
      <c r="B313" s="7">
        <v>46162</v>
      </c>
      <c r="C313" s="6" t="s">
        <v>780</v>
      </c>
      <c r="D313" s="6" t="str">
        <f>IF(OR(PROPER(TRIM(Raw_Data!D313))="Uk",PROPER(TRIM(Raw_Data!D313))="Gb",PROPER(TRIM(Raw_Data!D313))="United kingdom"),"United Kingdom",PROPER(TRIM(Raw_Data!D313)))</f>
        <v>United Kingdom</v>
      </c>
      <c r="E313" s="6" t="s">
        <v>46</v>
      </c>
      <c r="F313" s="6" t="s">
        <v>47</v>
      </c>
      <c r="G313" s="6" t="str">
        <f>SUBSTITUTE(Raw_Data!G313,"Ã©","é")</f>
        <v>Alpine Jacket</v>
      </c>
      <c r="H313" s="6">
        <v>1</v>
      </c>
      <c r="I313" s="6" t="s">
        <v>231</v>
      </c>
      <c r="J313" s="6" t="s">
        <v>231</v>
      </c>
      <c r="K313" s="6">
        <v>8.5000000000000006E-2</v>
      </c>
      <c r="L313" s="6" t="s">
        <v>42</v>
      </c>
      <c r="M313" s="6" t="s">
        <v>34</v>
      </c>
      <c r="N313" s="6"/>
    </row>
    <row r="314" spans="1:14">
      <c r="A314" s="6" t="s">
        <v>781</v>
      </c>
      <c r="B314" s="7">
        <v>46044</v>
      </c>
      <c r="C314" s="6" t="s">
        <v>782</v>
      </c>
      <c r="D314" s="6" t="str">
        <f>IF(OR(PROPER(TRIM(Raw_Data!D314))="Uk",PROPER(TRIM(Raw_Data!D314))="Gb",PROPER(TRIM(Raw_Data!D314))="United kingdom"),"United Kingdom",PROPER(TRIM(Raw_Data!D314)))</f>
        <v>Germany</v>
      </c>
      <c r="E314" s="6" t="s">
        <v>28</v>
      </c>
      <c r="F314" s="6" t="s">
        <v>53</v>
      </c>
      <c r="G314" s="6" t="str">
        <f>SUBSTITUTE(Raw_Data!G314,"Ã©","é")</f>
        <v>Fell Runner Cap</v>
      </c>
      <c r="H314" s="6">
        <v>1</v>
      </c>
      <c r="I314" s="6" t="s">
        <v>90</v>
      </c>
      <c r="J314" s="6" t="s">
        <v>90</v>
      </c>
      <c r="K314" s="6">
        <v>0.19</v>
      </c>
      <c r="L314" s="6" t="s">
        <v>42</v>
      </c>
      <c r="M314" s="6" t="s">
        <v>69</v>
      </c>
      <c r="N314" s="6"/>
    </row>
    <row r="315" spans="1:14">
      <c r="A315" s="6" t="s">
        <v>783</v>
      </c>
      <c r="B315" s="7">
        <v>46162</v>
      </c>
      <c r="C315" s="6" t="s">
        <v>784</v>
      </c>
      <c r="D315" s="6" t="str">
        <f>IF(OR(PROPER(TRIM(Raw_Data!D315))="Uk",PROPER(TRIM(Raw_Data!D315))="Gb",PROPER(TRIM(Raw_Data!D315))="United kingdom"),"United Kingdom",PROPER(TRIM(Raw_Data!D315)))</f>
        <v>Ireland</v>
      </c>
      <c r="E315" s="6" t="s">
        <v>78</v>
      </c>
      <c r="F315" s="6" t="s">
        <v>58</v>
      </c>
      <c r="G315" s="6" t="str">
        <f>SUBSTITUTE(Raw_Data!G315,"Ã©","é")</f>
        <v>Merino Base Layer</v>
      </c>
      <c r="H315" s="6">
        <v>1</v>
      </c>
      <c r="I315" s="6" t="s">
        <v>82</v>
      </c>
      <c r="J315" s="6" t="s">
        <v>82</v>
      </c>
      <c r="K315" s="6">
        <v>0.38</v>
      </c>
      <c r="L315" s="6" t="s">
        <v>42</v>
      </c>
      <c r="M315" s="6" t="s">
        <v>34</v>
      </c>
      <c r="N315" s="6"/>
    </row>
    <row r="316" spans="1:14">
      <c r="A316" s="6" t="s">
        <v>785</v>
      </c>
      <c r="B316" s="7">
        <v>46073</v>
      </c>
      <c r="C316" s="6" t="s">
        <v>787</v>
      </c>
      <c r="D316" s="6" t="str">
        <f>IF(OR(PROPER(TRIM(Raw_Data!D316))="Uk",PROPER(TRIM(Raw_Data!D316))="Gb",PROPER(TRIM(Raw_Data!D316))="United kingdom"),"United Kingdom",PROPER(TRIM(Raw_Data!D316)))</f>
        <v>United Kingdom</v>
      </c>
      <c r="E316" s="6" t="s">
        <v>37</v>
      </c>
      <c r="F316" s="6" t="s">
        <v>47</v>
      </c>
      <c r="G316" s="6" t="str">
        <f>SUBSTITUTE(Raw_Data!G316,"Ã©","é")</f>
        <v>Summit Down Gilet</v>
      </c>
      <c r="H316" s="6">
        <v>2</v>
      </c>
      <c r="I316" s="6" t="s">
        <v>147</v>
      </c>
      <c r="J316" s="6" t="s">
        <v>175</v>
      </c>
      <c r="K316" s="6">
        <v>8.5000000000000006E-2</v>
      </c>
      <c r="L316" s="6" t="s">
        <v>42</v>
      </c>
      <c r="M316" s="6" t="s">
        <v>34</v>
      </c>
      <c r="N316" s="6"/>
    </row>
    <row r="317" spans="1:14">
      <c r="A317" s="6" t="s">
        <v>788</v>
      </c>
      <c r="B317" s="7">
        <v>46192</v>
      </c>
      <c r="C317" s="6" t="s">
        <v>466</v>
      </c>
      <c r="D317" s="6" t="str">
        <f>IF(OR(PROPER(TRIM(Raw_Data!D317))="Uk",PROPER(TRIM(Raw_Data!D317))="Gb",PROPER(TRIM(Raw_Data!D317))="United kingdom"),"United Kingdom",PROPER(TRIM(Raw_Data!D317)))</f>
        <v>Ireland</v>
      </c>
      <c r="E317" s="6" t="s">
        <v>52</v>
      </c>
      <c r="F317" s="6" t="s">
        <v>85</v>
      </c>
      <c r="G317" s="6" t="str">
        <f>SUBSTITUTE(Raw_Data!G317,"Ã©","é")</f>
        <v>Fell Runner Cap</v>
      </c>
      <c r="H317" s="6">
        <v>1</v>
      </c>
      <c r="I317" s="6" t="s">
        <v>96</v>
      </c>
      <c r="J317" s="6" t="s">
        <v>96</v>
      </c>
      <c r="K317" s="6">
        <v>0.41</v>
      </c>
      <c r="L317" s="6" t="s">
        <v>42</v>
      </c>
      <c r="M317" s="6" t="s">
        <v>69</v>
      </c>
      <c r="N317" s="6"/>
    </row>
    <row r="318" spans="1:14">
      <c r="A318" s="6" t="s">
        <v>790</v>
      </c>
      <c r="B318" s="7">
        <v>46042</v>
      </c>
      <c r="C318" s="6" t="s">
        <v>791</v>
      </c>
      <c r="D318" s="6" t="str">
        <f>IF(OR(PROPER(TRIM(Raw_Data!D318))="Uk",PROPER(TRIM(Raw_Data!D318))="Gb",PROPER(TRIM(Raw_Data!D318))="United kingdom"),"United Kingdom",PROPER(TRIM(Raw_Data!D318)))</f>
        <v>United Kingdom</v>
      </c>
      <c r="E318" s="6" t="s">
        <v>28</v>
      </c>
      <c r="F318" s="6" t="s">
        <v>47</v>
      </c>
      <c r="G318" s="6" t="str">
        <f>SUBSTITUTE(Raw_Data!G318,"Ã©","é")</f>
        <v>Storm Overtrousers</v>
      </c>
      <c r="H318" s="6">
        <v>-2</v>
      </c>
      <c r="I318" s="6" t="s">
        <v>603</v>
      </c>
      <c r="J318" s="8" t="s">
        <v>792</v>
      </c>
      <c r="K318" s="6">
        <v>8.5000000000000006E-2</v>
      </c>
      <c r="L318" s="6" t="s">
        <v>33</v>
      </c>
      <c r="M318" s="6" t="s">
        <v>34</v>
      </c>
      <c r="N318" s="6"/>
    </row>
    <row r="319" spans="1:14">
      <c r="A319" s="6" t="s">
        <v>793</v>
      </c>
      <c r="B319" s="7">
        <v>46100</v>
      </c>
      <c r="C319" s="6" t="s">
        <v>794</v>
      </c>
      <c r="D319" s="6" t="str">
        <f>IF(OR(PROPER(TRIM(Raw_Data!D319))="Uk",PROPER(TRIM(Raw_Data!D319))="Gb",PROPER(TRIM(Raw_Data!D319))="United kingdom"),"United Kingdom",PROPER(TRIM(Raw_Data!D319)))</f>
        <v>United Kingdom</v>
      </c>
      <c r="E319" s="6" t="s">
        <v>46</v>
      </c>
      <c r="F319" s="6" t="s">
        <v>47</v>
      </c>
      <c r="G319" s="6" t="str">
        <f>SUBSTITUTE(Raw_Data!G319,"Ã©","é")</f>
        <v>Fell Runner Cap</v>
      </c>
      <c r="H319" s="6">
        <v>2</v>
      </c>
      <c r="I319" s="6" t="s">
        <v>82</v>
      </c>
      <c r="J319" s="6" t="s">
        <v>297</v>
      </c>
      <c r="K319" s="6">
        <v>8.5000000000000006E-2</v>
      </c>
      <c r="L319" s="6" t="s">
        <v>33</v>
      </c>
      <c r="M319" s="6" t="s">
        <v>34</v>
      </c>
      <c r="N319" s="6"/>
    </row>
    <row r="320" spans="1:14">
      <c r="A320" s="6" t="s">
        <v>795</v>
      </c>
      <c r="B320" s="7">
        <v>46048</v>
      </c>
      <c r="C320" s="6" t="s">
        <v>796</v>
      </c>
      <c r="D320" s="6" t="str">
        <f>IF(OR(PROPER(TRIM(Raw_Data!D320))="Uk",PROPER(TRIM(Raw_Data!D320))="Gb",PROPER(TRIM(Raw_Data!D320))="United kingdom"),"United Kingdom",PROPER(TRIM(Raw_Data!D320)))</f>
        <v>France</v>
      </c>
      <c r="E320" s="6" t="s">
        <v>28</v>
      </c>
      <c r="F320" s="6" t="s">
        <v>100</v>
      </c>
      <c r="G320" s="6" t="str">
        <f>SUBSTITUTE(Raw_Data!G320,"Ã©","é")</f>
        <v>Fell Runner Cap</v>
      </c>
      <c r="H320" s="6">
        <v>2</v>
      </c>
      <c r="I320" s="6" t="s">
        <v>277</v>
      </c>
      <c r="J320" s="6" t="s">
        <v>797</v>
      </c>
      <c r="K320" s="6">
        <v>0.64</v>
      </c>
      <c r="L320" s="6" t="s">
        <v>33</v>
      </c>
      <c r="M320" s="6" t="s">
        <v>69</v>
      </c>
      <c r="N320" s="6"/>
    </row>
    <row r="321" spans="1:14">
      <c r="A321" s="6" t="s">
        <v>798</v>
      </c>
      <c r="B321" s="7">
        <v>46037</v>
      </c>
      <c r="C321" s="6" t="s">
        <v>799</v>
      </c>
      <c r="D321" s="6" t="str">
        <f>IF(OR(PROPER(TRIM(Raw_Data!D321))="Uk",PROPER(TRIM(Raw_Data!D321))="Gb",PROPER(TRIM(Raw_Data!D321))="United kingdom"),"United Kingdom",PROPER(TRIM(Raw_Data!D321)))</f>
        <v>United Kingdom</v>
      </c>
      <c r="E321" s="6" t="s">
        <v>28</v>
      </c>
      <c r="F321" s="6" t="s">
        <v>85</v>
      </c>
      <c r="G321" s="6" t="str">
        <f>SUBSTITUTE(Raw_Data!G321,"Ã©","é")</f>
        <v>Alpine Jacket</v>
      </c>
      <c r="H321" s="6">
        <v>1</v>
      </c>
      <c r="I321" s="6" t="s">
        <v>67</v>
      </c>
      <c r="J321" s="6" t="s">
        <v>67</v>
      </c>
      <c r="K321" s="6">
        <v>0.41</v>
      </c>
      <c r="L321" s="6" t="s">
        <v>33</v>
      </c>
      <c r="M321" s="6" t="s">
        <v>34</v>
      </c>
      <c r="N321" s="6"/>
    </row>
    <row r="322" spans="1:14">
      <c r="A322" s="6" t="s">
        <v>800</v>
      </c>
      <c r="B322" s="7">
        <v>46118</v>
      </c>
      <c r="C322" s="6" t="s">
        <v>801</v>
      </c>
      <c r="D322" s="6" t="str">
        <f>IF(OR(PROPER(TRIM(Raw_Data!D322))="Uk",PROPER(TRIM(Raw_Data!D322))="Gb",PROPER(TRIM(Raw_Data!D322))="United kingdom"),"United Kingdom",PROPER(TRIM(Raw_Data!D322)))</f>
        <v>United Kingdom</v>
      </c>
      <c r="E322" s="6" t="s">
        <v>52</v>
      </c>
      <c r="F322" s="6" t="s">
        <v>38</v>
      </c>
      <c r="G322" s="6" t="str">
        <f>SUBSTITUTE(Raw_Data!G322,"Ã©","é")</f>
        <v>Storm Overtrousers</v>
      </c>
      <c r="H322" s="6">
        <v>3</v>
      </c>
      <c r="I322" s="6" t="s">
        <v>82</v>
      </c>
      <c r="J322" s="6" t="s">
        <v>390</v>
      </c>
      <c r="K322" s="6">
        <v>0.52</v>
      </c>
      <c r="L322" s="6" t="s">
        <v>42</v>
      </c>
      <c r="M322" s="6" t="s">
        <v>34</v>
      </c>
      <c r="N322" s="6"/>
    </row>
    <row r="323" spans="1:14">
      <c r="A323" s="6" t="s">
        <v>802</v>
      </c>
      <c r="B323" s="7">
        <v>46131</v>
      </c>
      <c r="C323" s="6" t="s">
        <v>803</v>
      </c>
      <c r="D323" s="6" t="str">
        <f>IF(OR(PROPER(TRIM(Raw_Data!D323))="Uk",PROPER(TRIM(Raw_Data!D323))="Gb",PROPER(TRIM(Raw_Data!D323))="United kingdom"),"United Kingdom",PROPER(TRIM(Raw_Data!D323)))</f>
        <v>France</v>
      </c>
      <c r="E323" s="6" t="s">
        <v>28</v>
      </c>
      <c r="F323" s="6" t="s">
        <v>94</v>
      </c>
      <c r="G323" s="6" t="str">
        <f>SUBSTITUTE(Raw_Data!G323,"Ã©","é")</f>
        <v>Trail Softshell</v>
      </c>
      <c r="H323" s="6">
        <v>2</v>
      </c>
      <c r="I323" s="6" t="s">
        <v>67</v>
      </c>
      <c r="J323" s="6" t="s">
        <v>204</v>
      </c>
      <c r="K323" s="6">
        <v>0.34</v>
      </c>
      <c r="L323" s="6" t="s">
        <v>42</v>
      </c>
      <c r="M323" s="6" t="s">
        <v>69</v>
      </c>
      <c r="N323" s="6"/>
    </row>
    <row r="324" spans="1:14">
      <c r="A324" s="6" t="s">
        <v>804</v>
      </c>
      <c r="B324" s="7">
        <v>46111</v>
      </c>
      <c r="C324" s="6" t="s">
        <v>805</v>
      </c>
      <c r="D324" s="6" t="str">
        <f>IF(OR(PROPER(TRIM(Raw_Data!D324))="Uk",PROPER(TRIM(Raw_Data!D324))="Gb",PROPER(TRIM(Raw_Data!D324))="United kingdom"),"United Kingdom",PROPER(TRIM(Raw_Data!D324)))</f>
        <v>United Kingdom</v>
      </c>
      <c r="E324" s="6" t="s">
        <v>37</v>
      </c>
      <c r="F324" s="6" t="s">
        <v>85</v>
      </c>
      <c r="G324" s="6" t="str">
        <f>SUBSTITUTE(Raw_Data!G324,"Ã©","é")</f>
        <v>Café Latte Mug</v>
      </c>
      <c r="H324" s="6">
        <v>1</v>
      </c>
      <c r="I324" s="6" t="s">
        <v>40</v>
      </c>
      <c r="J324" s="6" t="s">
        <v>40</v>
      </c>
      <c r="K324" s="6">
        <v>0.41</v>
      </c>
      <c r="L324" s="6" t="s">
        <v>42</v>
      </c>
      <c r="M324" s="6" t="s">
        <v>34</v>
      </c>
      <c r="N324" s="6"/>
    </row>
    <row r="325" spans="1:14">
      <c r="A325" s="6" t="s">
        <v>806</v>
      </c>
      <c r="B325" s="7">
        <v>46050</v>
      </c>
      <c r="C325" s="6" t="s">
        <v>219</v>
      </c>
      <c r="D325" s="6" t="str">
        <f>IF(OR(PROPER(TRIM(Raw_Data!D325))="Uk",PROPER(TRIM(Raw_Data!D325))="Gb",PROPER(TRIM(Raw_Data!D325))="United kingdom"),"United Kingdom",PROPER(TRIM(Raw_Data!D325)))</f>
        <v>France</v>
      </c>
      <c r="E325" s="6" t="s">
        <v>37</v>
      </c>
      <c r="F325" s="6" t="s">
        <v>94</v>
      </c>
      <c r="G325" s="6" t="str">
        <f>SUBSTITUTE(Raw_Data!G325,"Ã©","é")</f>
        <v>Storm Overtrousers</v>
      </c>
      <c r="H325" s="6">
        <v>3</v>
      </c>
      <c r="I325" s="6" t="s">
        <v>31</v>
      </c>
      <c r="J325" s="6" t="s">
        <v>337</v>
      </c>
      <c r="K325" s="6">
        <v>0.34</v>
      </c>
      <c r="L325" s="6" t="s">
        <v>42</v>
      </c>
      <c r="M325" s="6" t="s">
        <v>69</v>
      </c>
      <c r="N325" s="6"/>
    </row>
    <row r="326" spans="1:14">
      <c r="A326" s="6" t="s">
        <v>808</v>
      </c>
      <c r="B326" s="7">
        <v>46114</v>
      </c>
      <c r="C326" s="6" t="s">
        <v>184</v>
      </c>
      <c r="D326" s="6" t="str">
        <f>IF(OR(PROPER(TRIM(Raw_Data!D326))="Uk",PROPER(TRIM(Raw_Data!D326))="Gb",PROPER(TRIM(Raw_Data!D326))="United kingdom"),"United Kingdom",PROPER(TRIM(Raw_Data!D326)))</f>
        <v>Ireland</v>
      </c>
      <c r="E326" s="6" t="s">
        <v>78</v>
      </c>
      <c r="F326" s="6" t="s">
        <v>38</v>
      </c>
      <c r="G326" s="6" t="str">
        <f>SUBSTITUTE(Raw_Data!G326,"Ã©","é")</f>
        <v>Café Latte Mug</v>
      </c>
      <c r="H326" s="6">
        <v>2</v>
      </c>
      <c r="I326" s="6" t="s">
        <v>619</v>
      </c>
      <c r="J326" s="6" t="s">
        <v>144</v>
      </c>
      <c r="K326" s="6">
        <v>0.52</v>
      </c>
      <c r="L326" s="6" t="s">
        <v>42</v>
      </c>
      <c r="M326" s="6" t="s">
        <v>34</v>
      </c>
      <c r="N326" s="6"/>
    </row>
    <row r="327" spans="1:14">
      <c r="A327" s="6" t="s">
        <v>809</v>
      </c>
      <c r="B327" s="7">
        <v>46198</v>
      </c>
      <c r="C327" s="6" t="s">
        <v>396</v>
      </c>
      <c r="D327" s="6" t="str">
        <f>IF(OR(PROPER(TRIM(Raw_Data!D327))="Uk",PROPER(TRIM(Raw_Data!D327))="Gb",PROPER(TRIM(Raw_Data!D327))="United kingdom"),"United Kingdom",PROPER(TRIM(Raw_Data!D327)))</f>
        <v>France</v>
      </c>
      <c r="E327" s="6" t="s">
        <v>37</v>
      </c>
      <c r="F327" s="6" t="s">
        <v>85</v>
      </c>
      <c r="G327" s="6" t="str">
        <f>SUBSTITUTE(Raw_Data!G327,"Ã©","é")</f>
        <v>Trail Softshell</v>
      </c>
      <c r="H327" s="6">
        <v>2</v>
      </c>
      <c r="I327" s="6" t="s">
        <v>117</v>
      </c>
      <c r="J327" s="6" t="s">
        <v>118</v>
      </c>
      <c r="K327" s="6">
        <v>0.41</v>
      </c>
      <c r="L327" s="6" t="s">
        <v>33</v>
      </c>
      <c r="M327" s="6" t="s">
        <v>34</v>
      </c>
      <c r="N327" s="6"/>
    </row>
    <row r="328" spans="1:14">
      <c r="A328" s="6" t="s">
        <v>810</v>
      </c>
      <c r="B328" s="7">
        <v>46080</v>
      </c>
      <c r="C328" s="6" t="s">
        <v>811</v>
      </c>
      <c r="D328" s="6" t="str">
        <f>IF(OR(PROPER(TRIM(Raw_Data!D328))="Uk",PROPER(TRIM(Raw_Data!D328))="Gb",PROPER(TRIM(Raw_Data!D328))="United kingdom"),"United Kingdom",PROPER(TRIM(Raw_Data!D328)))</f>
        <v>United Kingdom</v>
      </c>
      <c r="E328" s="6" t="s">
        <v>78</v>
      </c>
      <c r="F328" s="6" t="s">
        <v>29</v>
      </c>
      <c r="G328" s="6" t="str">
        <f>SUBSTITUTE(Raw_Data!G328,"Ã©","é")</f>
        <v>Storm Overtrousers</v>
      </c>
      <c r="H328" s="6">
        <v>2</v>
      </c>
      <c r="I328" s="6" t="s">
        <v>79</v>
      </c>
      <c r="J328" s="6" t="s">
        <v>259</v>
      </c>
      <c r="K328" s="6">
        <v>0.52</v>
      </c>
      <c r="L328" s="6" t="s">
        <v>33</v>
      </c>
      <c r="M328" s="6" t="s">
        <v>69</v>
      </c>
      <c r="N328" s="6"/>
    </row>
    <row r="329" spans="1:14">
      <c r="A329" s="6" t="s">
        <v>812</v>
      </c>
      <c r="B329" s="7">
        <v>46189</v>
      </c>
      <c r="C329" s="6" t="s">
        <v>271</v>
      </c>
      <c r="D329" s="6" t="str">
        <f>IF(OR(PROPER(TRIM(Raw_Data!D329))="Uk",PROPER(TRIM(Raw_Data!D329))="Gb",PROPER(TRIM(Raw_Data!D329))="United kingdom"),"United Kingdom",PROPER(TRIM(Raw_Data!D329)))</f>
        <v>United Kingdom</v>
      </c>
      <c r="E329" s="6" t="s">
        <v>52</v>
      </c>
      <c r="F329" s="6" t="s">
        <v>38</v>
      </c>
      <c r="G329" s="6" t="str">
        <f>SUBSTITUTE(Raw_Data!G329,"Ã©","é")</f>
        <v>Trekking Poles</v>
      </c>
      <c r="H329" s="6">
        <v>1</v>
      </c>
      <c r="I329" s="6" t="s">
        <v>31</v>
      </c>
      <c r="J329" s="6" t="s">
        <v>31</v>
      </c>
      <c r="K329" s="6">
        <v>0.52</v>
      </c>
      <c r="L329" s="6" t="s">
        <v>33</v>
      </c>
      <c r="M329" s="6" t="s">
        <v>34</v>
      </c>
      <c r="N329" s="6"/>
    </row>
    <row r="330" spans="1:14">
      <c r="A330" s="6" t="s">
        <v>813</v>
      </c>
      <c r="B330" s="7">
        <v>46240</v>
      </c>
      <c r="C330" s="6" t="s">
        <v>212</v>
      </c>
      <c r="D330" s="6" t="str">
        <f>IF(OR(PROPER(TRIM(Raw_Data!D330))="Uk",PROPER(TRIM(Raw_Data!D330))="Gb",PROPER(TRIM(Raw_Data!D330))="United kingdom"),"United Kingdom",PROPER(TRIM(Raw_Data!D330)))</f>
        <v>Ireland</v>
      </c>
      <c r="E330" s="6" t="s">
        <v>78</v>
      </c>
      <c r="F330" s="6" t="s">
        <v>29</v>
      </c>
      <c r="G330" s="6" t="str">
        <f>SUBSTITUTE(Raw_Data!G330,"Ã©","é")</f>
        <v>Trail Softshell</v>
      </c>
      <c r="H330" s="6">
        <v>2</v>
      </c>
      <c r="I330" s="6" t="s">
        <v>73</v>
      </c>
      <c r="J330" s="6" t="s">
        <v>74</v>
      </c>
      <c r="K330" s="6">
        <v>0.52</v>
      </c>
      <c r="L330" s="6" t="s">
        <v>42</v>
      </c>
      <c r="M330" s="6" t="s">
        <v>69</v>
      </c>
      <c r="N330" s="6"/>
    </row>
    <row r="331" spans="1:14">
      <c r="A331" s="6" t="s">
        <v>814</v>
      </c>
      <c r="B331" s="7">
        <v>46296</v>
      </c>
      <c r="C331" s="6" t="s">
        <v>815</v>
      </c>
      <c r="D331" s="6" t="str">
        <f>IF(OR(PROPER(TRIM(Raw_Data!D331))="Uk",PROPER(TRIM(Raw_Data!D331))="Gb",PROPER(TRIM(Raw_Data!D331))="United kingdom"),"United Kingdom",PROPER(TRIM(Raw_Data!D331)))</f>
        <v>United Kingdom</v>
      </c>
      <c r="E331" s="6" t="s">
        <v>37</v>
      </c>
      <c r="F331" s="6" t="s">
        <v>85</v>
      </c>
      <c r="G331" s="6" t="str">
        <f>SUBSTITUTE(Raw_Data!G331,"Ã©","é")</f>
        <v>Trekking Poles</v>
      </c>
      <c r="H331" s="6">
        <v>1</v>
      </c>
      <c r="I331" s="6" t="s">
        <v>113</v>
      </c>
      <c r="J331" s="6" t="s">
        <v>113</v>
      </c>
      <c r="K331" s="6">
        <v>0.41</v>
      </c>
      <c r="L331" s="6" t="s">
        <v>42</v>
      </c>
      <c r="M331" s="6" t="s">
        <v>34</v>
      </c>
      <c r="N331" s="6"/>
    </row>
    <row r="332" spans="1:14">
      <c r="A332" s="6" t="s">
        <v>816</v>
      </c>
      <c r="B332" s="7">
        <v>46103</v>
      </c>
      <c r="C332" s="6" t="s">
        <v>56</v>
      </c>
      <c r="D332" s="6" t="str">
        <f>IF(OR(PROPER(TRIM(Raw_Data!D332))="Uk",PROPER(TRIM(Raw_Data!D332))="Gb",PROPER(TRIM(Raw_Data!D332))="United kingdom"),"United Kingdom",PROPER(TRIM(Raw_Data!D332)))</f>
        <v>United Kingdom</v>
      </c>
      <c r="E332" s="6" t="s">
        <v>78</v>
      </c>
      <c r="F332" s="6" t="s">
        <v>29</v>
      </c>
      <c r="G332" s="6" t="str">
        <f>SUBSTITUTE(Raw_Data!G332,"Ã©","é")</f>
        <v>Storm Overtrousers</v>
      </c>
      <c r="H332" s="6">
        <v>1</v>
      </c>
      <c r="I332" s="6" t="s">
        <v>181</v>
      </c>
      <c r="J332" s="6" t="s">
        <v>181</v>
      </c>
      <c r="K332" s="6">
        <v>0.52</v>
      </c>
      <c r="L332" s="6" t="s">
        <v>42</v>
      </c>
      <c r="M332" s="6" t="s">
        <v>34</v>
      </c>
      <c r="N332" s="6"/>
    </row>
    <row r="333" spans="1:14">
      <c r="A333" s="6" t="s">
        <v>817</v>
      </c>
      <c r="B333" s="7">
        <v>46132</v>
      </c>
      <c r="C333" s="6" t="s">
        <v>818</v>
      </c>
      <c r="D333" s="6" t="str">
        <f>IF(OR(PROPER(TRIM(Raw_Data!D333))="Uk",PROPER(TRIM(Raw_Data!D333))="Gb",PROPER(TRIM(Raw_Data!D333))="United kingdom"),"United Kingdom",PROPER(TRIM(Raw_Data!D333)))</f>
        <v>France</v>
      </c>
      <c r="E333" s="6" t="s">
        <v>52</v>
      </c>
      <c r="F333" s="6" t="s">
        <v>100</v>
      </c>
      <c r="G333" s="6" t="str">
        <f>SUBSTITUTE(Raw_Data!G333,"Ã©","é")</f>
        <v>Trekking Poles</v>
      </c>
      <c r="H333" s="6">
        <v>3</v>
      </c>
      <c r="I333" s="6" t="s">
        <v>143</v>
      </c>
      <c r="J333" s="6" t="s">
        <v>243</v>
      </c>
      <c r="K333" s="6">
        <v>0.64</v>
      </c>
      <c r="L333" s="6" t="s">
        <v>42</v>
      </c>
      <c r="M333" s="6" t="s">
        <v>69</v>
      </c>
      <c r="N333" s="6"/>
    </row>
    <row r="334" spans="1:14">
      <c r="A334" s="6" t="s">
        <v>819</v>
      </c>
      <c r="B334" s="7">
        <v>46026</v>
      </c>
      <c r="C334" s="6" t="s">
        <v>820</v>
      </c>
      <c r="D334" s="6" t="str">
        <f>IF(OR(PROPER(TRIM(Raw_Data!D334))="Uk",PROPER(TRIM(Raw_Data!D334))="Gb",PROPER(TRIM(Raw_Data!D334))="United kingdom"),"United Kingdom",PROPER(TRIM(Raw_Data!D334)))</f>
        <v>France</v>
      </c>
      <c r="E334" s="6" t="s">
        <v>28</v>
      </c>
      <c r="F334" s="6" t="s">
        <v>58</v>
      </c>
      <c r="G334" s="6" t="str">
        <f>SUBSTITUTE(Raw_Data!G334,"Ã©","é")</f>
        <v>Alpine Jacket</v>
      </c>
      <c r="H334" s="6">
        <v>1</v>
      </c>
      <c r="I334" s="6" t="s">
        <v>73</v>
      </c>
      <c r="J334" s="6" t="s">
        <v>73</v>
      </c>
      <c r="K334" s="6">
        <v>0.38</v>
      </c>
      <c r="L334" s="6" t="s">
        <v>42</v>
      </c>
      <c r="M334" s="6" t="s">
        <v>34</v>
      </c>
      <c r="N334" s="6"/>
    </row>
    <row r="335" spans="1:14">
      <c r="A335" s="6" t="s">
        <v>821</v>
      </c>
      <c r="B335" s="7">
        <v>46128</v>
      </c>
      <c r="C335" s="6" t="s">
        <v>720</v>
      </c>
      <c r="D335" s="6" t="str">
        <f>IF(OR(PROPER(TRIM(Raw_Data!D335))="Uk",PROPER(TRIM(Raw_Data!D335))="Gb",PROPER(TRIM(Raw_Data!D335))="United kingdom"),"United Kingdom",PROPER(TRIM(Raw_Data!D335)))</f>
        <v>United Kingdom</v>
      </c>
      <c r="E335" s="6" t="s">
        <v>78</v>
      </c>
      <c r="F335" s="6" t="s">
        <v>85</v>
      </c>
      <c r="G335" s="6" t="str">
        <f>SUBSTITUTE(Raw_Data!G335,"Ã©","é")</f>
        <v>Summit Down Gilet</v>
      </c>
      <c r="H335" s="6">
        <v>2</v>
      </c>
      <c r="I335" s="6" t="s">
        <v>31</v>
      </c>
      <c r="J335" s="6" t="s">
        <v>249</v>
      </c>
      <c r="K335" s="6">
        <v>0.41</v>
      </c>
      <c r="L335" s="6" t="s">
        <v>42</v>
      </c>
      <c r="M335" s="6" t="s">
        <v>34</v>
      </c>
      <c r="N335" s="6"/>
    </row>
    <row r="336" spans="1:14">
      <c r="A336" s="6" t="s">
        <v>822</v>
      </c>
      <c r="B336" s="7">
        <v>46140</v>
      </c>
      <c r="C336" s="6" t="s">
        <v>824</v>
      </c>
      <c r="D336" s="6" t="str">
        <f>IF(OR(PROPER(TRIM(Raw_Data!D336))="Uk",PROPER(TRIM(Raw_Data!D336))="Gb",PROPER(TRIM(Raw_Data!D336))="United kingdom"),"United Kingdom",PROPER(TRIM(Raw_Data!D336)))</f>
        <v>United Kingdom</v>
      </c>
      <c r="E336" s="6" t="s">
        <v>52</v>
      </c>
      <c r="F336" s="6" t="s">
        <v>47</v>
      </c>
      <c r="G336" s="6" t="str">
        <f>SUBSTITUTE(Raw_Data!G336,"Ã©","é")</f>
        <v>Storm Overtrousers</v>
      </c>
      <c r="H336" s="6">
        <v>1</v>
      </c>
      <c r="I336" s="6" t="s">
        <v>231</v>
      </c>
      <c r="J336" s="6" t="s">
        <v>231</v>
      </c>
      <c r="K336" s="6">
        <v>8.5000000000000006E-2</v>
      </c>
      <c r="L336" s="6" t="s">
        <v>42</v>
      </c>
      <c r="M336" s="6" t="s">
        <v>34</v>
      </c>
      <c r="N336" s="6"/>
    </row>
    <row r="337" spans="1:14">
      <c r="A337" s="6" t="s">
        <v>825</v>
      </c>
      <c r="B337" s="7">
        <v>46139</v>
      </c>
      <c r="C337" s="6" t="s">
        <v>826</v>
      </c>
      <c r="D337" s="6" t="str">
        <f>IF(OR(PROPER(TRIM(Raw_Data!D337))="Uk",PROPER(TRIM(Raw_Data!D337))="Gb",PROPER(TRIM(Raw_Data!D337))="United kingdom"),"United Kingdom",PROPER(TRIM(Raw_Data!D337)))</f>
        <v>Germany</v>
      </c>
      <c r="E337" s="6" t="s">
        <v>37</v>
      </c>
      <c r="F337" s="6" t="s">
        <v>47</v>
      </c>
      <c r="G337" s="6" t="str">
        <f>SUBSTITUTE(Raw_Data!G337,"Ã©","é")</f>
        <v>Fell Runner Cap</v>
      </c>
      <c r="H337" s="6">
        <v>1</v>
      </c>
      <c r="I337" s="6" t="s">
        <v>143</v>
      </c>
      <c r="J337" s="6" t="s">
        <v>143</v>
      </c>
      <c r="K337" s="6">
        <v>8.5000000000000006E-2</v>
      </c>
      <c r="L337" s="6" t="s">
        <v>42</v>
      </c>
      <c r="M337" s="6" t="s">
        <v>34</v>
      </c>
      <c r="N337" s="6"/>
    </row>
    <row r="338" spans="1:14">
      <c r="A338" s="6" t="s">
        <v>827</v>
      </c>
      <c r="B338" s="7">
        <v>46269</v>
      </c>
      <c r="C338" s="6" t="s">
        <v>828</v>
      </c>
      <c r="D338" s="6" t="str">
        <f>IF(OR(PROPER(TRIM(Raw_Data!D338))="Uk",PROPER(TRIM(Raw_Data!D338))="Gb",PROPER(TRIM(Raw_Data!D338))="United kingdom"),"United Kingdom",PROPER(TRIM(Raw_Data!D338)))</f>
        <v>Germany</v>
      </c>
      <c r="E338" s="6" t="s">
        <v>37</v>
      </c>
      <c r="F338" s="6" t="s">
        <v>94</v>
      </c>
      <c r="G338" s="6" t="str">
        <f>SUBSTITUTE(Raw_Data!G338,"Ã©","é")</f>
        <v>Fell Runner Cap</v>
      </c>
      <c r="H338" s="6">
        <v>1</v>
      </c>
      <c r="I338" s="6" t="s">
        <v>599</v>
      </c>
      <c r="J338" s="6" t="s">
        <v>73</v>
      </c>
      <c r="K338" s="6">
        <v>0.34</v>
      </c>
      <c r="L338" s="6" t="s">
        <v>33</v>
      </c>
      <c r="M338" s="6" t="s">
        <v>34</v>
      </c>
      <c r="N338" s="6"/>
    </row>
    <row r="339" spans="1:14">
      <c r="A339" s="6" t="s">
        <v>829</v>
      </c>
      <c r="B339" s="7">
        <v>46056</v>
      </c>
      <c r="C339" s="6" t="s">
        <v>558</v>
      </c>
      <c r="D339" s="6" t="str">
        <f>IF(OR(PROPER(TRIM(Raw_Data!D339))="Uk",PROPER(TRIM(Raw_Data!D339))="Gb",PROPER(TRIM(Raw_Data!D339))="United kingdom"),"United Kingdom",PROPER(TRIM(Raw_Data!D339)))</f>
        <v>Germany</v>
      </c>
      <c r="E339" s="6" t="s">
        <v>78</v>
      </c>
      <c r="F339" s="6" t="s">
        <v>94</v>
      </c>
      <c r="G339" s="6" t="str">
        <f>SUBSTITUTE(Raw_Data!G339,"Ã©","é")</f>
        <v>Café Latte Mug</v>
      </c>
      <c r="H339" s="6">
        <v>3</v>
      </c>
      <c r="I339" s="6" t="s">
        <v>90</v>
      </c>
      <c r="J339" s="6" t="s">
        <v>102</v>
      </c>
      <c r="K339" s="6">
        <v>0.34</v>
      </c>
      <c r="L339" s="6" t="s">
        <v>42</v>
      </c>
      <c r="M339" s="6" t="s">
        <v>34</v>
      </c>
      <c r="N339" s="6"/>
    </row>
    <row r="340" spans="1:14">
      <c r="A340" s="6" t="s">
        <v>830</v>
      </c>
      <c r="B340" s="7">
        <v>46041</v>
      </c>
      <c r="C340" s="6" t="s">
        <v>831</v>
      </c>
      <c r="D340" s="6" t="str">
        <f>IF(OR(PROPER(TRIM(Raw_Data!D340))="Uk",PROPER(TRIM(Raw_Data!D340))="Gb",PROPER(TRIM(Raw_Data!D340))="United kingdom"),"United Kingdom",PROPER(TRIM(Raw_Data!D340)))</f>
        <v>Ireland</v>
      </c>
      <c r="E340" s="6" t="s">
        <v>78</v>
      </c>
      <c r="F340" s="6" t="s">
        <v>47</v>
      </c>
      <c r="G340" s="6" t="str">
        <f>SUBSTITUTE(Raw_Data!G340,"Ã©","é")</f>
        <v>Café Latte Mug</v>
      </c>
      <c r="H340" s="6">
        <v>2</v>
      </c>
      <c r="I340" s="6" t="s">
        <v>265</v>
      </c>
      <c r="J340" s="6" t="s">
        <v>167</v>
      </c>
      <c r="K340" s="6">
        <v>8.5000000000000006E-2</v>
      </c>
      <c r="L340" s="6" t="s">
        <v>42</v>
      </c>
      <c r="M340" s="6" t="s">
        <v>69</v>
      </c>
      <c r="N340" s="6"/>
    </row>
    <row r="341" spans="1:14">
      <c r="A341" s="6" t="s">
        <v>832</v>
      </c>
      <c r="B341" s="7">
        <v>46027</v>
      </c>
      <c r="C341" s="6" t="s">
        <v>833</v>
      </c>
      <c r="D341" s="6" t="str">
        <f>IF(OR(PROPER(TRIM(Raw_Data!D341))="Uk",PROPER(TRIM(Raw_Data!D341))="Gb",PROPER(TRIM(Raw_Data!D341))="United kingdom"),"United Kingdom",PROPER(TRIM(Raw_Data!D341)))</f>
        <v>United Kingdom</v>
      </c>
      <c r="E341" s="6" t="s">
        <v>28</v>
      </c>
      <c r="F341" s="6" t="s">
        <v>47</v>
      </c>
      <c r="G341" s="6" t="str">
        <f>SUBSTITUTE(Raw_Data!G341,"Ã©","é")</f>
        <v>Fell Runner Cap</v>
      </c>
      <c r="H341" s="6">
        <v>2</v>
      </c>
      <c r="I341" s="6" t="s">
        <v>90</v>
      </c>
      <c r="J341" s="6" t="s">
        <v>154</v>
      </c>
      <c r="K341" s="6">
        <v>8.5000000000000006E-2</v>
      </c>
      <c r="L341" s="6" t="s">
        <v>42</v>
      </c>
      <c r="M341" s="6" t="s">
        <v>34</v>
      </c>
      <c r="N341" s="6"/>
    </row>
    <row r="342" spans="1:14">
      <c r="A342" s="6" t="s">
        <v>834</v>
      </c>
      <c r="B342" s="7">
        <v>46161</v>
      </c>
      <c r="C342" s="6" t="s">
        <v>336</v>
      </c>
      <c r="D342" s="6" t="str">
        <f>IF(OR(PROPER(TRIM(Raw_Data!D342))="Uk",PROPER(TRIM(Raw_Data!D342))="Gb",PROPER(TRIM(Raw_Data!D342))="United kingdom"),"United Kingdom",PROPER(TRIM(Raw_Data!D342)))</f>
        <v>United Kingdom</v>
      </c>
      <c r="E342" s="6" t="s">
        <v>78</v>
      </c>
      <c r="F342" s="6" t="s">
        <v>38</v>
      </c>
      <c r="G342" s="6" t="str">
        <f>SUBSTITUTE(Raw_Data!G342,"Ã©","é")</f>
        <v>Fell Runner Cap</v>
      </c>
      <c r="H342" s="6">
        <v>1</v>
      </c>
      <c r="I342" s="6" t="s">
        <v>79</v>
      </c>
      <c r="J342" s="6" t="s">
        <v>79</v>
      </c>
      <c r="K342" s="6">
        <v>0.52</v>
      </c>
      <c r="L342" s="6" t="s">
        <v>42</v>
      </c>
      <c r="M342" s="6" t="s">
        <v>34</v>
      </c>
      <c r="N342" s="6"/>
    </row>
    <row r="343" spans="1:14">
      <c r="A343" s="6" t="s">
        <v>835</v>
      </c>
      <c r="B343" s="7">
        <v>46164</v>
      </c>
      <c r="C343" s="6" t="s">
        <v>836</v>
      </c>
      <c r="D343" s="6" t="str">
        <f>IF(OR(PROPER(TRIM(Raw_Data!D343))="Uk",PROPER(TRIM(Raw_Data!D343))="Gb",PROPER(TRIM(Raw_Data!D343))="United kingdom"),"United Kingdom",PROPER(TRIM(Raw_Data!D343)))</f>
        <v>United Kingdom</v>
      </c>
      <c r="E343" s="6" t="s">
        <v>28</v>
      </c>
      <c r="F343" s="6" t="s">
        <v>29</v>
      </c>
      <c r="G343" s="6" t="str">
        <f>SUBSTITUTE(Raw_Data!G343,"Ã©","é")</f>
        <v>Trail Softshell</v>
      </c>
      <c r="H343" s="6">
        <v>2</v>
      </c>
      <c r="I343" s="6" t="s">
        <v>73</v>
      </c>
      <c r="J343" s="6" t="s">
        <v>837</v>
      </c>
      <c r="K343" s="6">
        <v>0.52</v>
      </c>
      <c r="L343" s="6" t="s">
        <v>33</v>
      </c>
      <c r="M343" s="6" t="s">
        <v>34</v>
      </c>
      <c r="N343" s="6"/>
    </row>
    <row r="344" spans="1:14">
      <c r="A344" s="6" t="s">
        <v>838</v>
      </c>
      <c r="B344" s="7">
        <v>46050</v>
      </c>
      <c r="C344" s="6" t="s">
        <v>839</v>
      </c>
      <c r="D344" s="6" t="str">
        <f>IF(OR(PROPER(TRIM(Raw_Data!D344))="Uk",PROPER(TRIM(Raw_Data!D344))="Gb",PROPER(TRIM(Raw_Data!D344))="United kingdom"),"United Kingdom",PROPER(TRIM(Raw_Data!D344)))</f>
        <v>United Kingdom</v>
      </c>
      <c r="E344" s="6" t="s">
        <v>28</v>
      </c>
      <c r="F344" s="6" t="s">
        <v>94</v>
      </c>
      <c r="G344" s="6" t="str">
        <f>SUBSTITUTE(Raw_Data!G344,"Ã©","é")</f>
        <v>Trekking Poles</v>
      </c>
      <c r="H344" s="6">
        <v>2</v>
      </c>
      <c r="I344" s="6" t="s">
        <v>90</v>
      </c>
      <c r="J344" s="6" t="s">
        <v>154</v>
      </c>
      <c r="K344" s="6">
        <v>0.34</v>
      </c>
      <c r="L344" s="6" t="s">
        <v>42</v>
      </c>
      <c r="M344" s="6" t="s">
        <v>34</v>
      </c>
      <c r="N344" s="6"/>
    </row>
    <row r="345" spans="1:14">
      <c r="A345" s="6" t="s">
        <v>840</v>
      </c>
      <c r="B345" s="7">
        <v>46178</v>
      </c>
      <c r="C345" s="6" t="s">
        <v>841</v>
      </c>
      <c r="D345" s="6" t="str">
        <f>IF(OR(PROPER(TRIM(Raw_Data!D345))="Uk",PROPER(TRIM(Raw_Data!D345))="Gb",PROPER(TRIM(Raw_Data!D345))="United kingdom"),"United Kingdom",PROPER(TRIM(Raw_Data!D345)))</f>
        <v>Ireland</v>
      </c>
      <c r="E345" s="6" t="s">
        <v>46</v>
      </c>
      <c r="F345" s="6" t="s">
        <v>100</v>
      </c>
      <c r="G345" s="6" t="str">
        <f>SUBSTITUTE(Raw_Data!G345,"Ã©","é")</f>
        <v>Café Latte Mug</v>
      </c>
      <c r="H345" s="6">
        <v>1</v>
      </c>
      <c r="I345" s="6" t="s">
        <v>73</v>
      </c>
      <c r="J345" s="6" t="s">
        <v>73</v>
      </c>
      <c r="K345" s="6">
        <v>0.64</v>
      </c>
      <c r="L345" s="6" t="s">
        <v>33</v>
      </c>
      <c r="M345" s="6" t="s">
        <v>34</v>
      </c>
      <c r="N345" s="6"/>
    </row>
    <row r="346" spans="1:14">
      <c r="A346" s="6" t="s">
        <v>842</v>
      </c>
      <c r="B346" s="7">
        <v>46080</v>
      </c>
      <c r="C346" s="6" t="s">
        <v>843</v>
      </c>
      <c r="D346" s="6" t="str">
        <f>IF(OR(PROPER(TRIM(Raw_Data!D346))="Uk",PROPER(TRIM(Raw_Data!D346))="Gb",PROPER(TRIM(Raw_Data!D346))="United kingdom"),"United Kingdom",PROPER(TRIM(Raw_Data!D346)))</f>
        <v>United Kingdom</v>
      </c>
      <c r="E346" s="6" t="s">
        <v>46</v>
      </c>
      <c r="F346" s="6" t="s">
        <v>58</v>
      </c>
      <c r="G346" s="6" t="str">
        <f>SUBSTITUTE(Raw_Data!G346,"Ã©","é")</f>
        <v>Alpine Jacket</v>
      </c>
      <c r="H346" s="6">
        <v>2</v>
      </c>
      <c r="I346" s="6" t="s">
        <v>769</v>
      </c>
      <c r="J346" s="6" t="s">
        <v>189</v>
      </c>
      <c r="K346" s="6">
        <v>0.38</v>
      </c>
      <c r="L346" s="6" t="s">
        <v>42</v>
      </c>
      <c r="M346" s="6" t="s">
        <v>34</v>
      </c>
      <c r="N346" s="6"/>
    </row>
    <row r="347" spans="1:14">
      <c r="A347" s="6" t="s">
        <v>844</v>
      </c>
      <c r="B347" s="7">
        <v>46042</v>
      </c>
      <c r="C347" s="6" t="s">
        <v>845</v>
      </c>
      <c r="D347" s="6" t="str">
        <f>IF(OR(PROPER(TRIM(Raw_Data!D347))="Uk",PROPER(TRIM(Raw_Data!D347))="Gb",PROPER(TRIM(Raw_Data!D347))="United kingdom"),"United Kingdom",PROPER(TRIM(Raw_Data!D347)))</f>
        <v>United Kingdom</v>
      </c>
      <c r="E347" s="6" t="s">
        <v>28</v>
      </c>
      <c r="F347" s="6" t="s">
        <v>38</v>
      </c>
      <c r="G347" s="6" t="str">
        <f>SUBSTITUTE(Raw_Data!G347,"Ã©","é")</f>
        <v>Summit Down Gilet</v>
      </c>
      <c r="H347" s="6">
        <v>2</v>
      </c>
      <c r="I347" s="6" t="s">
        <v>82</v>
      </c>
      <c r="J347" s="6" t="s">
        <v>297</v>
      </c>
      <c r="K347" s="6">
        <v>0.52</v>
      </c>
      <c r="L347" s="6" t="s">
        <v>42</v>
      </c>
      <c r="M347" s="6" t="s">
        <v>34</v>
      </c>
      <c r="N347" s="6"/>
    </row>
    <row r="348" spans="1:14">
      <c r="A348" s="6" t="s">
        <v>846</v>
      </c>
      <c r="B348" s="7">
        <v>46206</v>
      </c>
      <c r="C348" s="6" t="s">
        <v>847</v>
      </c>
      <c r="D348" s="6" t="str">
        <f>IF(OR(PROPER(TRIM(Raw_Data!D348))="Uk",PROPER(TRIM(Raw_Data!D348))="Gb",PROPER(TRIM(Raw_Data!D348))="United kingdom"),"United Kingdom",PROPER(TRIM(Raw_Data!D348)))</f>
        <v>Germany</v>
      </c>
      <c r="E348" s="6" t="s">
        <v>78</v>
      </c>
      <c r="F348" s="6" t="s">
        <v>53</v>
      </c>
      <c r="G348" s="6" t="str">
        <f>SUBSTITUTE(Raw_Data!G348,"Ã©","é")</f>
        <v>Trail Softshell</v>
      </c>
      <c r="H348" s="6">
        <v>3</v>
      </c>
      <c r="I348" s="6" t="s">
        <v>79</v>
      </c>
      <c r="J348" s="6" t="s">
        <v>216</v>
      </c>
      <c r="K348" s="6">
        <v>0.19</v>
      </c>
      <c r="L348" s="6" t="s">
        <v>42</v>
      </c>
      <c r="M348" s="6" t="s">
        <v>34</v>
      </c>
      <c r="N348" s="6"/>
    </row>
    <row r="349" spans="1:14">
      <c r="A349" s="6" t="s">
        <v>848</v>
      </c>
      <c r="B349" s="7">
        <v>46077</v>
      </c>
      <c r="C349" s="6" t="s">
        <v>849</v>
      </c>
      <c r="D349" s="6" t="str">
        <f>IF(OR(PROPER(TRIM(Raw_Data!D349))="Uk",PROPER(TRIM(Raw_Data!D349))="Gb",PROPER(TRIM(Raw_Data!D349))="United kingdom"),"United Kingdom",PROPER(TRIM(Raw_Data!D349)))</f>
        <v>United Kingdom</v>
      </c>
      <c r="E349" s="6" t="s">
        <v>52</v>
      </c>
      <c r="F349" s="6" t="s">
        <v>29</v>
      </c>
      <c r="G349" s="6" t="str">
        <f>SUBSTITUTE(Raw_Data!G349,"Ã©","é")</f>
        <v>Merino Base Layer</v>
      </c>
      <c r="H349" s="6">
        <v>1</v>
      </c>
      <c r="I349" s="6" t="s">
        <v>90</v>
      </c>
      <c r="J349" s="6" t="s">
        <v>90</v>
      </c>
      <c r="K349" s="6">
        <v>0.52</v>
      </c>
      <c r="L349" s="6" t="s">
        <v>42</v>
      </c>
      <c r="M349" s="6" t="s">
        <v>34</v>
      </c>
      <c r="N349" s="6"/>
    </row>
    <row r="350" spans="1:14">
      <c r="A350" s="6" t="s">
        <v>850</v>
      </c>
      <c r="B350" s="7">
        <v>46165</v>
      </c>
      <c r="C350" s="6" t="s">
        <v>851</v>
      </c>
      <c r="D350" s="6" t="str">
        <f>IF(OR(PROPER(TRIM(Raw_Data!D350))="Uk",PROPER(TRIM(Raw_Data!D350))="Gb",PROPER(TRIM(Raw_Data!D350))="United kingdom"),"United Kingdom",PROPER(TRIM(Raw_Data!D350)))</f>
        <v>United Kingdom</v>
      </c>
      <c r="E350" s="6" t="s">
        <v>46</v>
      </c>
      <c r="F350" s="6" t="s">
        <v>85</v>
      </c>
      <c r="G350" s="6" t="str">
        <f>SUBSTITUTE(Raw_Data!G350,"Ã©","é")</f>
        <v>Trekking Poles</v>
      </c>
      <c r="H350" s="6">
        <v>1</v>
      </c>
      <c r="I350" s="6" t="s">
        <v>96</v>
      </c>
      <c r="J350" s="6" t="s">
        <v>96</v>
      </c>
      <c r="K350" s="6">
        <v>0.41</v>
      </c>
      <c r="L350" s="6" t="s">
        <v>42</v>
      </c>
      <c r="M350" s="6" t="s">
        <v>34</v>
      </c>
      <c r="N350" s="6"/>
    </row>
    <row r="351" spans="1:14">
      <c r="A351" s="6" t="s">
        <v>852</v>
      </c>
      <c r="B351" s="7">
        <v>46105</v>
      </c>
      <c r="C351" s="6" t="s">
        <v>853</v>
      </c>
      <c r="D351" s="6" t="str">
        <f>IF(OR(PROPER(TRIM(Raw_Data!D351))="Uk",PROPER(TRIM(Raw_Data!D351))="Gb",PROPER(TRIM(Raw_Data!D351))="United kingdom"),"United Kingdom",PROPER(TRIM(Raw_Data!D351)))</f>
        <v>France</v>
      </c>
      <c r="E351" s="6" t="s">
        <v>52</v>
      </c>
      <c r="F351" s="6" t="s">
        <v>53</v>
      </c>
      <c r="G351" s="6" t="str">
        <f>SUBSTITUTE(Raw_Data!G351,"Ã©","é")</f>
        <v>Storm Overtrousers</v>
      </c>
      <c r="H351" s="6">
        <v>3</v>
      </c>
      <c r="I351" s="6" t="s">
        <v>265</v>
      </c>
      <c r="J351" s="6" t="s">
        <v>401</v>
      </c>
      <c r="K351" s="6">
        <v>0.19</v>
      </c>
      <c r="L351" s="6" t="s">
        <v>42</v>
      </c>
      <c r="M351" s="6" t="s">
        <v>34</v>
      </c>
      <c r="N351" s="6"/>
    </row>
    <row r="352" spans="1:14">
      <c r="A352" s="6" t="s">
        <v>854</v>
      </c>
      <c r="B352" s="7">
        <v>46238</v>
      </c>
      <c r="C352" s="6" t="s">
        <v>855</v>
      </c>
      <c r="D352" s="6" t="str">
        <f>IF(OR(PROPER(TRIM(Raw_Data!D352))="Uk",PROPER(TRIM(Raw_Data!D352))="Gb",PROPER(TRIM(Raw_Data!D352))="United kingdom"),"United Kingdom",PROPER(TRIM(Raw_Data!D352)))</f>
        <v>United Kingdom</v>
      </c>
      <c r="E352" s="6" t="s">
        <v>52</v>
      </c>
      <c r="F352" s="6" t="s">
        <v>47</v>
      </c>
      <c r="G352" s="6" t="str">
        <f>SUBSTITUTE(Raw_Data!G352,"Ã©","é")</f>
        <v>Merino Base Layer</v>
      </c>
      <c r="H352" s="6">
        <v>2</v>
      </c>
      <c r="I352" s="6" t="s">
        <v>90</v>
      </c>
      <c r="J352" s="6" t="s">
        <v>278</v>
      </c>
      <c r="K352" s="6">
        <v>8.5000000000000006E-2</v>
      </c>
      <c r="L352" s="6" t="s">
        <v>42</v>
      </c>
      <c r="M352" s="6" t="s">
        <v>34</v>
      </c>
      <c r="N352" s="6"/>
    </row>
    <row r="353" spans="1:14">
      <c r="A353" s="6" t="s">
        <v>856</v>
      </c>
      <c r="B353" s="7">
        <v>46080</v>
      </c>
      <c r="C353" s="6" t="s">
        <v>365</v>
      </c>
      <c r="D353" s="6" t="str">
        <f>IF(OR(PROPER(TRIM(Raw_Data!D353))="Uk",PROPER(TRIM(Raw_Data!D353))="Gb",PROPER(TRIM(Raw_Data!D353))="United kingdom"),"United Kingdom",PROPER(TRIM(Raw_Data!D353)))</f>
        <v>United Kingdom</v>
      </c>
      <c r="E353" s="6" t="s">
        <v>46</v>
      </c>
      <c r="F353" s="6" t="s">
        <v>58</v>
      </c>
      <c r="G353" s="6" t="str">
        <f>SUBSTITUTE(Raw_Data!G353,"Ã©","é")</f>
        <v>Fell Runner Cap</v>
      </c>
      <c r="H353" s="6">
        <v>2</v>
      </c>
      <c r="I353" s="6" t="s">
        <v>60</v>
      </c>
      <c r="J353" s="6" t="s">
        <v>189</v>
      </c>
      <c r="K353" s="6">
        <v>0.38</v>
      </c>
      <c r="L353" s="6" t="s">
        <v>42</v>
      </c>
      <c r="M353" s="6" t="s">
        <v>69</v>
      </c>
      <c r="N353" s="6"/>
    </row>
    <row r="354" spans="1:14">
      <c r="A354" s="6" t="s">
        <v>857</v>
      </c>
      <c r="B354" s="7">
        <v>46138</v>
      </c>
      <c r="C354" s="6" t="s">
        <v>858</v>
      </c>
      <c r="D354" s="6" t="str">
        <f>IF(OR(PROPER(TRIM(Raw_Data!D354))="Uk",PROPER(TRIM(Raw_Data!D354))="Gb",PROPER(TRIM(Raw_Data!D354))="United kingdom"),"United Kingdom",PROPER(TRIM(Raw_Data!D354)))</f>
        <v>United Kingdom</v>
      </c>
      <c r="E354" s="6" t="s">
        <v>52</v>
      </c>
      <c r="F354" s="6" t="s">
        <v>100</v>
      </c>
      <c r="G354" s="6" t="str">
        <f>SUBSTITUTE(Raw_Data!G354,"Ã©","é")</f>
        <v>Summit Down Gilet</v>
      </c>
      <c r="H354" s="6">
        <v>-2</v>
      </c>
      <c r="I354" s="6" t="s">
        <v>143</v>
      </c>
      <c r="J354" s="8" t="s">
        <v>859</v>
      </c>
      <c r="K354" s="6">
        <v>0.64</v>
      </c>
      <c r="L354" s="6" t="s">
        <v>42</v>
      </c>
      <c r="M354" s="6" t="s">
        <v>34</v>
      </c>
      <c r="N354" s="6"/>
    </row>
    <row r="355" spans="1:14">
      <c r="A355" s="6" t="s">
        <v>860</v>
      </c>
      <c r="B355" s="7">
        <v>46049</v>
      </c>
      <c r="C355" s="6" t="s">
        <v>861</v>
      </c>
      <c r="D355" s="6" t="str">
        <f>IF(OR(PROPER(TRIM(Raw_Data!D355))="Uk",PROPER(TRIM(Raw_Data!D355))="Gb",PROPER(TRIM(Raw_Data!D355))="United kingdom"),"United Kingdom",PROPER(TRIM(Raw_Data!D355)))</f>
        <v>Germany</v>
      </c>
      <c r="E355" s="6" t="s">
        <v>28</v>
      </c>
      <c r="F355" s="6" t="s">
        <v>38</v>
      </c>
      <c r="G355" s="6" t="str">
        <f>SUBSTITUTE(Raw_Data!G355,"Ã©","é")</f>
        <v>Alpine Jacket</v>
      </c>
      <c r="H355" s="6">
        <v>2</v>
      </c>
      <c r="I355" s="6" t="s">
        <v>31</v>
      </c>
      <c r="J355" s="6" t="s">
        <v>249</v>
      </c>
      <c r="K355" s="6">
        <v>0.52</v>
      </c>
      <c r="L355" s="6" t="s">
        <v>42</v>
      </c>
      <c r="M355" s="6" t="s">
        <v>34</v>
      </c>
      <c r="N355" s="6"/>
    </row>
    <row r="356" spans="1:14">
      <c r="A356" s="6" t="s">
        <v>862</v>
      </c>
      <c r="B356" s="7">
        <v>46098</v>
      </c>
      <c r="C356" s="6" t="s">
        <v>863</v>
      </c>
      <c r="D356" s="6" t="str">
        <f>IF(OR(PROPER(TRIM(Raw_Data!D356))="Uk",PROPER(TRIM(Raw_Data!D356))="Gb",PROPER(TRIM(Raw_Data!D356))="United kingdom"),"United Kingdom",PROPER(TRIM(Raw_Data!D356)))</f>
        <v>Germany</v>
      </c>
      <c r="E356" s="6" t="s">
        <v>78</v>
      </c>
      <c r="F356" s="6" t="s">
        <v>29</v>
      </c>
      <c r="G356" s="6" t="str">
        <f>SUBSTITUTE(Raw_Data!G356,"Ã©","é")</f>
        <v>Trail Softshell</v>
      </c>
      <c r="H356" s="6">
        <v>2</v>
      </c>
      <c r="I356" s="6" t="s">
        <v>79</v>
      </c>
      <c r="J356" s="6" t="s">
        <v>259</v>
      </c>
      <c r="K356" s="6">
        <v>0.52</v>
      </c>
      <c r="L356" s="6" t="s">
        <v>42</v>
      </c>
      <c r="M356" s="6" t="s">
        <v>34</v>
      </c>
      <c r="N356" s="6"/>
    </row>
    <row r="357" spans="1:14">
      <c r="A357" s="6" t="s">
        <v>864</v>
      </c>
      <c r="B357" s="7">
        <v>46036</v>
      </c>
      <c r="C357" s="6" t="s">
        <v>865</v>
      </c>
      <c r="D357" s="6" t="str">
        <f>IF(OR(PROPER(TRIM(Raw_Data!D357))="Uk",PROPER(TRIM(Raw_Data!D357))="Gb",PROPER(TRIM(Raw_Data!D357))="United kingdom"),"United Kingdom",PROPER(TRIM(Raw_Data!D357)))</f>
        <v>United Kingdom</v>
      </c>
      <c r="E357" s="6" t="s">
        <v>52</v>
      </c>
      <c r="F357" s="6" t="s">
        <v>85</v>
      </c>
      <c r="G357" s="6" t="str">
        <f>SUBSTITUTE(Raw_Data!G357,"Ã©","é")</f>
        <v>Trekking Poles</v>
      </c>
      <c r="H357" s="6">
        <v>2</v>
      </c>
      <c r="I357" s="6" t="s">
        <v>265</v>
      </c>
      <c r="J357" s="6" t="s">
        <v>167</v>
      </c>
      <c r="K357" s="6">
        <v>0.41</v>
      </c>
      <c r="L357" s="6" t="s">
        <v>42</v>
      </c>
      <c r="M357" s="6" t="s">
        <v>34</v>
      </c>
      <c r="N357" s="6"/>
    </row>
    <row r="358" spans="1:14">
      <c r="A358" s="6" t="s">
        <v>866</v>
      </c>
      <c r="B358" s="7">
        <v>46236</v>
      </c>
      <c r="C358" s="6" t="s">
        <v>635</v>
      </c>
      <c r="D358" s="6" t="str">
        <f>IF(OR(PROPER(TRIM(Raw_Data!D358))="Uk",PROPER(TRIM(Raw_Data!D358))="Gb",PROPER(TRIM(Raw_Data!D358))="United kingdom"),"United Kingdom",PROPER(TRIM(Raw_Data!D358)))</f>
        <v>France</v>
      </c>
      <c r="E358" s="6" t="s">
        <v>28</v>
      </c>
      <c r="F358" s="6" t="s">
        <v>94</v>
      </c>
      <c r="G358" s="6" t="str">
        <f>SUBSTITUTE(Raw_Data!G358,"Ã©","é")</f>
        <v>Storm Overtrousers</v>
      </c>
      <c r="H358" s="6">
        <v>3</v>
      </c>
      <c r="I358" s="6" t="s">
        <v>181</v>
      </c>
      <c r="J358" s="6" t="s">
        <v>867</v>
      </c>
      <c r="K358" s="6">
        <v>0.34</v>
      </c>
      <c r="L358" s="6" t="s">
        <v>42</v>
      </c>
      <c r="M358" s="6" t="s">
        <v>69</v>
      </c>
      <c r="N358" s="6"/>
    </row>
    <row r="359" spans="1:14">
      <c r="A359" s="6" t="s">
        <v>868</v>
      </c>
      <c r="B359" s="7">
        <v>46048</v>
      </c>
      <c r="C359" s="6" t="s">
        <v>869</v>
      </c>
      <c r="D359" s="6" t="str">
        <f>IF(OR(PROPER(TRIM(Raw_Data!D359))="Uk",PROPER(TRIM(Raw_Data!D359))="Gb",PROPER(TRIM(Raw_Data!D359))="United kingdom"),"United Kingdom",PROPER(TRIM(Raw_Data!D359)))</f>
        <v>Ireland</v>
      </c>
      <c r="E359" s="6" t="s">
        <v>46</v>
      </c>
      <c r="F359" s="6" t="s">
        <v>94</v>
      </c>
      <c r="G359" s="6" t="str">
        <f>SUBSTITUTE(Raw_Data!G359,"Ã©","é")</f>
        <v>Café Latte Mug</v>
      </c>
      <c r="H359" s="6">
        <v>1</v>
      </c>
      <c r="I359" s="6" t="s">
        <v>90</v>
      </c>
      <c r="J359" s="6" t="s">
        <v>90</v>
      </c>
      <c r="K359" s="6">
        <v>0.34</v>
      </c>
      <c r="L359" s="6" t="s">
        <v>42</v>
      </c>
      <c r="M359" s="6" t="s">
        <v>34</v>
      </c>
      <c r="N359" s="6"/>
    </row>
    <row r="360" spans="1:14">
      <c r="A360" s="6" t="s">
        <v>870</v>
      </c>
      <c r="B360" s="7">
        <v>46070</v>
      </c>
      <c r="C360" s="6" t="s">
        <v>871</v>
      </c>
      <c r="D360" s="6" t="str">
        <f>IF(OR(PROPER(TRIM(Raw_Data!D360))="Uk",PROPER(TRIM(Raw_Data!D360))="Gb",PROPER(TRIM(Raw_Data!D360))="United kingdom"),"United Kingdom",PROPER(TRIM(Raw_Data!D360)))</f>
        <v>United Kingdom</v>
      </c>
      <c r="E360" s="6" t="s">
        <v>37</v>
      </c>
      <c r="F360" s="6" t="s">
        <v>53</v>
      </c>
      <c r="G360" s="6" t="str">
        <f>SUBSTITUTE(Raw_Data!G360,"Ã©","é")</f>
        <v>Café Latte Mug</v>
      </c>
      <c r="H360" s="6">
        <v>3</v>
      </c>
      <c r="I360" s="6" t="s">
        <v>265</v>
      </c>
      <c r="J360" s="6" t="s">
        <v>401</v>
      </c>
      <c r="K360" s="6">
        <v>0.19</v>
      </c>
      <c r="L360" s="6" t="s">
        <v>33</v>
      </c>
      <c r="M360" s="6" t="s">
        <v>34</v>
      </c>
      <c r="N360" s="6"/>
    </row>
    <row r="361" spans="1:14">
      <c r="A361" s="6" t="s">
        <v>872</v>
      </c>
      <c r="B361" s="7">
        <v>46330</v>
      </c>
      <c r="C361" s="6" t="s">
        <v>873</v>
      </c>
      <c r="D361" s="6" t="str">
        <f>IF(OR(PROPER(TRIM(Raw_Data!D361))="Uk",PROPER(TRIM(Raw_Data!D361))="Gb",PROPER(TRIM(Raw_Data!D361))="United kingdom"),"United Kingdom",PROPER(TRIM(Raw_Data!D361)))</f>
        <v>United Kingdom</v>
      </c>
      <c r="E361" s="6" t="s">
        <v>78</v>
      </c>
      <c r="F361" s="6" t="s">
        <v>53</v>
      </c>
      <c r="G361" s="6" t="str">
        <f>SUBSTITUTE(Raw_Data!G361,"Ã©","é")</f>
        <v>Merino Base Layer</v>
      </c>
      <c r="H361" s="6">
        <v>2</v>
      </c>
      <c r="I361" s="6" t="s">
        <v>90</v>
      </c>
      <c r="J361" s="6" t="s">
        <v>154</v>
      </c>
      <c r="K361" s="6">
        <v>0.19</v>
      </c>
      <c r="L361" s="6" t="s">
        <v>42</v>
      </c>
      <c r="M361" s="6" t="s">
        <v>34</v>
      </c>
      <c r="N361" s="6"/>
    </row>
    <row r="362" spans="1:14">
      <c r="A362" s="6" t="s">
        <v>874</v>
      </c>
      <c r="B362" s="7">
        <v>46095</v>
      </c>
      <c r="C362" s="6" t="s">
        <v>875</v>
      </c>
      <c r="D362" s="6" t="str">
        <f>IF(OR(PROPER(TRIM(Raw_Data!D362))="Uk",PROPER(TRIM(Raw_Data!D362))="Gb",PROPER(TRIM(Raw_Data!D362))="United kingdom"),"United Kingdom",PROPER(TRIM(Raw_Data!D362)))</f>
        <v>United Kingdom</v>
      </c>
      <c r="E362" s="6" t="s">
        <v>28</v>
      </c>
      <c r="F362" s="6" t="s">
        <v>85</v>
      </c>
      <c r="G362" s="6" t="str">
        <f>SUBSTITUTE(Raw_Data!G362,"Ã©","é")</f>
        <v>Merino Base Layer</v>
      </c>
      <c r="H362" s="6">
        <v>3</v>
      </c>
      <c r="I362" s="6" t="s">
        <v>90</v>
      </c>
      <c r="J362" s="6" t="s">
        <v>102</v>
      </c>
      <c r="K362" s="6">
        <v>0.41</v>
      </c>
      <c r="L362" s="6" t="s">
        <v>33</v>
      </c>
      <c r="M362" s="6" t="s">
        <v>34</v>
      </c>
      <c r="N362" s="6"/>
    </row>
    <row r="363" spans="1:14">
      <c r="A363" s="6" t="s">
        <v>876</v>
      </c>
      <c r="B363" s="7">
        <v>46127</v>
      </c>
      <c r="C363" s="6" t="s">
        <v>877</v>
      </c>
      <c r="D363" s="6" t="str">
        <f>IF(OR(PROPER(TRIM(Raw_Data!D363))="Uk",PROPER(TRIM(Raw_Data!D363))="Gb",PROPER(TRIM(Raw_Data!D363))="United kingdom"),"United Kingdom",PROPER(TRIM(Raw_Data!D363)))</f>
        <v>Germany</v>
      </c>
      <c r="E363" s="6" t="s">
        <v>78</v>
      </c>
      <c r="F363" s="6" t="s">
        <v>53</v>
      </c>
      <c r="G363" s="6" t="str">
        <f>SUBSTITUTE(Raw_Data!G363,"Ã©","é")</f>
        <v>Storm Overtrousers</v>
      </c>
      <c r="H363" s="6">
        <v>2</v>
      </c>
      <c r="I363" s="6" t="s">
        <v>117</v>
      </c>
      <c r="J363" s="6" t="s">
        <v>118</v>
      </c>
      <c r="K363" s="6">
        <v>0.19</v>
      </c>
      <c r="L363" s="6" t="s">
        <v>42</v>
      </c>
      <c r="M363" s="6" t="s">
        <v>34</v>
      </c>
      <c r="N363" s="6"/>
    </row>
    <row r="364" spans="1:14">
      <c r="A364" s="6" t="s">
        <v>878</v>
      </c>
      <c r="B364" s="7">
        <v>46236</v>
      </c>
      <c r="C364" s="6" t="s">
        <v>879</v>
      </c>
      <c r="D364" s="6" t="str">
        <f>IF(OR(PROPER(TRIM(Raw_Data!D364))="Uk",PROPER(TRIM(Raw_Data!D364))="Gb",PROPER(TRIM(Raw_Data!D364))="United kingdom"),"United Kingdom",PROPER(TRIM(Raw_Data!D364)))</f>
        <v>United Kingdom</v>
      </c>
      <c r="E364" s="6" t="s">
        <v>78</v>
      </c>
      <c r="F364" s="6" t="s">
        <v>53</v>
      </c>
      <c r="G364" s="6" t="str">
        <f>SUBSTITUTE(Raw_Data!G364,"Ã©","é")</f>
        <v>Merino Base Layer</v>
      </c>
      <c r="H364" s="6">
        <v>1</v>
      </c>
      <c r="I364" s="6" t="s">
        <v>181</v>
      </c>
      <c r="J364" s="6" t="s">
        <v>181</v>
      </c>
      <c r="K364" s="6">
        <v>0.19</v>
      </c>
      <c r="L364" s="6" t="s">
        <v>42</v>
      </c>
      <c r="M364" s="6" t="s">
        <v>69</v>
      </c>
      <c r="N364" s="6"/>
    </row>
    <row r="365" spans="1:14">
      <c r="A365" s="6" t="s">
        <v>880</v>
      </c>
      <c r="B365" s="7">
        <v>46270</v>
      </c>
      <c r="C365" s="6" t="s">
        <v>881</v>
      </c>
      <c r="D365" s="6" t="str">
        <f>IF(OR(PROPER(TRIM(Raw_Data!D365))="Uk",PROPER(TRIM(Raw_Data!D365))="Gb",PROPER(TRIM(Raw_Data!D365))="United kingdom"),"United Kingdom",PROPER(TRIM(Raw_Data!D365)))</f>
        <v>United Kingdom</v>
      </c>
      <c r="E365" s="6" t="s">
        <v>28</v>
      </c>
      <c r="F365" s="6" t="s">
        <v>29</v>
      </c>
      <c r="G365" s="6" t="str">
        <f>SUBSTITUTE(Raw_Data!G365,"Ã©","é")</f>
        <v>Merino Base Layer</v>
      </c>
      <c r="H365" s="6">
        <v>3</v>
      </c>
      <c r="I365" s="6" t="s">
        <v>73</v>
      </c>
      <c r="J365" s="6" t="s">
        <v>882</v>
      </c>
      <c r="K365" s="6">
        <v>0.52</v>
      </c>
      <c r="L365" s="6" t="s">
        <v>33</v>
      </c>
      <c r="M365" s="6" t="s">
        <v>34</v>
      </c>
      <c r="N365" s="6"/>
    </row>
    <row r="366" spans="1:14">
      <c r="A366" s="6" t="s">
        <v>883</v>
      </c>
      <c r="B366" s="7">
        <v>46050</v>
      </c>
      <c r="C366" s="6" t="s">
        <v>884</v>
      </c>
      <c r="D366" s="6" t="str">
        <f>IF(OR(PROPER(TRIM(Raw_Data!D366))="Uk",PROPER(TRIM(Raw_Data!D366))="Gb",PROPER(TRIM(Raw_Data!D366))="United kingdom"),"United Kingdom",PROPER(TRIM(Raw_Data!D366)))</f>
        <v>Germany</v>
      </c>
      <c r="E366" s="6" t="s">
        <v>37</v>
      </c>
      <c r="F366" s="6" t="s">
        <v>85</v>
      </c>
      <c r="G366" s="6" t="str">
        <f>SUBSTITUTE(Raw_Data!G366,"Ã©","é")</f>
        <v>Trekking Poles</v>
      </c>
      <c r="H366" s="6">
        <v>2</v>
      </c>
      <c r="I366" s="6" t="s">
        <v>113</v>
      </c>
      <c r="J366" s="6" t="s">
        <v>192</v>
      </c>
      <c r="K366" s="6">
        <v>0.41</v>
      </c>
      <c r="L366" s="6" t="s">
        <v>42</v>
      </c>
      <c r="M366" s="6" t="s">
        <v>34</v>
      </c>
      <c r="N366" s="6"/>
    </row>
    <row r="367" spans="1:14">
      <c r="A367" s="6" t="s">
        <v>885</v>
      </c>
      <c r="B367" s="7">
        <v>46039</v>
      </c>
      <c r="C367" s="6" t="s">
        <v>886</v>
      </c>
      <c r="D367" s="6" t="str">
        <f>IF(OR(PROPER(TRIM(Raw_Data!D367))="Uk",PROPER(TRIM(Raw_Data!D367))="Gb",PROPER(TRIM(Raw_Data!D367))="United kingdom"),"United Kingdom",PROPER(TRIM(Raw_Data!D367)))</f>
        <v>United Kingdom</v>
      </c>
      <c r="E367" s="6" t="s">
        <v>52</v>
      </c>
      <c r="F367" s="6" t="s">
        <v>47</v>
      </c>
      <c r="G367" s="6" t="str">
        <f>SUBSTITUTE(Raw_Data!G367,"Ã©","é")</f>
        <v>Storm Overtrousers</v>
      </c>
      <c r="H367" s="6">
        <v>1</v>
      </c>
      <c r="I367" s="6" t="s">
        <v>31</v>
      </c>
      <c r="J367" s="6" t="s">
        <v>31</v>
      </c>
      <c r="K367" s="6">
        <v>8.5000000000000006E-2</v>
      </c>
      <c r="L367" s="6" t="s">
        <v>42</v>
      </c>
      <c r="M367" s="6" t="s">
        <v>34</v>
      </c>
      <c r="N367" s="6"/>
    </row>
    <row r="368" spans="1:14">
      <c r="A368" s="6" t="s">
        <v>887</v>
      </c>
      <c r="B368" s="7">
        <v>46087</v>
      </c>
      <c r="C368" s="6" t="s">
        <v>888</v>
      </c>
      <c r="D368" s="6" t="str">
        <f>IF(OR(PROPER(TRIM(Raw_Data!D368))="Uk",PROPER(TRIM(Raw_Data!D368))="Gb",PROPER(TRIM(Raw_Data!D368))="United kingdom"),"United Kingdom",PROPER(TRIM(Raw_Data!D368)))</f>
        <v>United Kingdom</v>
      </c>
      <c r="E368" s="6" t="s">
        <v>52</v>
      </c>
      <c r="F368" s="6" t="s">
        <v>85</v>
      </c>
      <c r="G368" s="6" t="str">
        <f>SUBSTITUTE(Raw_Data!G368,"Ã©","é")</f>
        <v>Fell Runner Cap</v>
      </c>
      <c r="H368" s="6">
        <v>1</v>
      </c>
      <c r="I368" s="6" t="s">
        <v>143</v>
      </c>
      <c r="J368" s="6" t="s">
        <v>143</v>
      </c>
      <c r="K368" s="6">
        <v>0.41</v>
      </c>
      <c r="L368" s="6" t="s">
        <v>33</v>
      </c>
      <c r="M368" s="6" t="s">
        <v>34</v>
      </c>
      <c r="N368" s="6"/>
    </row>
    <row r="369" spans="1:14">
      <c r="A369" s="6" t="s">
        <v>889</v>
      </c>
      <c r="B369" s="7">
        <v>46197</v>
      </c>
      <c r="C369" s="6" t="s">
        <v>381</v>
      </c>
      <c r="D369" s="6" t="str">
        <f>IF(OR(PROPER(TRIM(Raw_Data!D369))="Uk",PROPER(TRIM(Raw_Data!D369))="Gb",PROPER(TRIM(Raw_Data!D369))="United kingdom"),"United Kingdom",PROPER(TRIM(Raw_Data!D369)))</f>
        <v>France</v>
      </c>
      <c r="E369" s="6" t="s">
        <v>46</v>
      </c>
      <c r="F369" s="6" t="s">
        <v>53</v>
      </c>
      <c r="G369" s="6" t="str">
        <f>SUBSTITUTE(Raw_Data!G369,"Ã©","é")</f>
        <v>Storm Overtrousers</v>
      </c>
      <c r="H369" s="6">
        <v>2</v>
      </c>
      <c r="I369" s="6" t="s">
        <v>90</v>
      </c>
      <c r="J369" s="6" t="s">
        <v>154</v>
      </c>
      <c r="K369" s="6">
        <v>0.19</v>
      </c>
      <c r="L369" s="6" t="s">
        <v>33</v>
      </c>
      <c r="M369" s="6" t="s">
        <v>34</v>
      </c>
      <c r="N369" s="6"/>
    </row>
    <row r="370" spans="1:14">
      <c r="A370" s="6" t="s">
        <v>890</v>
      </c>
      <c r="B370" s="7">
        <v>46097</v>
      </c>
      <c r="C370" s="6" t="s">
        <v>892</v>
      </c>
      <c r="D370" s="6" t="str">
        <f>IF(OR(PROPER(TRIM(Raw_Data!D370))="Uk",PROPER(TRIM(Raw_Data!D370))="Gb",PROPER(TRIM(Raw_Data!D370))="United kingdom"),"United Kingdom",PROPER(TRIM(Raw_Data!D370)))</f>
        <v>Ireland</v>
      </c>
      <c r="E370" s="6" t="s">
        <v>52</v>
      </c>
      <c r="F370" s="6" t="s">
        <v>29</v>
      </c>
      <c r="G370" s="6" t="str">
        <f>SUBSTITUTE(Raw_Data!G370,"Ã©","é")</f>
        <v>Merino Base Layer</v>
      </c>
      <c r="H370" s="6">
        <v>1</v>
      </c>
      <c r="I370" s="6" t="s">
        <v>90</v>
      </c>
      <c r="J370" s="6" t="s">
        <v>90</v>
      </c>
      <c r="K370" s="6">
        <v>0.52</v>
      </c>
      <c r="L370" s="6" t="s">
        <v>42</v>
      </c>
      <c r="M370" s="6" t="s">
        <v>34</v>
      </c>
      <c r="N370" s="6"/>
    </row>
    <row r="371" spans="1:14">
      <c r="A371" s="6" t="s">
        <v>893</v>
      </c>
      <c r="B371" s="7">
        <v>46189</v>
      </c>
      <c r="C371" s="6" t="s">
        <v>894</v>
      </c>
      <c r="D371" s="6" t="str">
        <f>IF(OR(PROPER(TRIM(Raw_Data!D371))="Uk",PROPER(TRIM(Raw_Data!D371))="Gb",PROPER(TRIM(Raw_Data!D371))="United kingdom"),"United Kingdom",PROPER(TRIM(Raw_Data!D371)))</f>
        <v>United Kingdom</v>
      </c>
      <c r="E371" s="6" t="s">
        <v>78</v>
      </c>
      <c r="F371" s="6" t="s">
        <v>38</v>
      </c>
      <c r="G371" s="6" t="str">
        <f>SUBSTITUTE(Raw_Data!G371,"Ã©","é")</f>
        <v>Trekking Poles</v>
      </c>
      <c r="H371" s="6">
        <v>2</v>
      </c>
      <c r="I371" s="6" t="s">
        <v>151</v>
      </c>
      <c r="J371" s="6" t="s">
        <v>249</v>
      </c>
      <c r="K371" s="6">
        <v>0.52</v>
      </c>
      <c r="L371" s="6" t="s">
        <v>33</v>
      </c>
      <c r="M371" s="6" t="s">
        <v>34</v>
      </c>
      <c r="N371" s="6"/>
    </row>
    <row r="372" spans="1:14">
      <c r="A372" s="6" t="s">
        <v>895</v>
      </c>
      <c r="B372" s="7">
        <v>46038</v>
      </c>
      <c r="C372" s="6" t="s">
        <v>896</v>
      </c>
      <c r="D372" s="6" t="str">
        <f>IF(OR(PROPER(TRIM(Raw_Data!D372))="Uk",PROPER(TRIM(Raw_Data!D372))="Gb",PROPER(TRIM(Raw_Data!D372))="United kingdom"),"United Kingdom",PROPER(TRIM(Raw_Data!D372)))</f>
        <v>United Kingdom</v>
      </c>
      <c r="E372" s="6" t="s">
        <v>52</v>
      </c>
      <c r="F372" s="6" t="s">
        <v>58</v>
      </c>
      <c r="G372" s="6" t="str">
        <f>SUBSTITUTE(Raw_Data!G372,"Ã©","é")</f>
        <v>Trail Softshell</v>
      </c>
      <c r="H372" s="6">
        <v>2</v>
      </c>
      <c r="I372" s="6" t="s">
        <v>96</v>
      </c>
      <c r="J372" s="6" t="s">
        <v>897</v>
      </c>
      <c r="K372" s="6">
        <v>0.38</v>
      </c>
      <c r="L372" s="6" t="s">
        <v>33</v>
      </c>
      <c r="M372" s="6" t="s">
        <v>34</v>
      </c>
      <c r="N372" s="6"/>
    </row>
    <row r="373" spans="1:14">
      <c r="A373" s="6" t="s">
        <v>898</v>
      </c>
      <c r="B373" s="7">
        <v>46107</v>
      </c>
      <c r="C373" s="6" t="s">
        <v>165</v>
      </c>
      <c r="D373" s="6" t="str">
        <f>IF(OR(PROPER(TRIM(Raw_Data!D373))="Uk",PROPER(TRIM(Raw_Data!D373))="Gb",PROPER(TRIM(Raw_Data!D373))="United kingdom"),"United Kingdom",PROPER(TRIM(Raw_Data!D373)))</f>
        <v>United Kingdom</v>
      </c>
      <c r="E373" s="6" t="s">
        <v>37</v>
      </c>
      <c r="F373" s="6" t="s">
        <v>29</v>
      </c>
      <c r="G373" s="6" t="str">
        <f>SUBSTITUTE(Raw_Data!G373,"Ã©","é")</f>
        <v>Summit Down Gilet</v>
      </c>
      <c r="H373" s="6">
        <v>3</v>
      </c>
      <c r="I373" s="6" t="s">
        <v>113</v>
      </c>
      <c r="J373" s="6" t="s">
        <v>138</v>
      </c>
      <c r="K373" s="6">
        <v>0.52</v>
      </c>
      <c r="L373" s="6" t="s">
        <v>42</v>
      </c>
      <c r="M373" s="6" t="s">
        <v>34</v>
      </c>
      <c r="N373" s="6"/>
    </row>
    <row r="374" spans="1:14">
      <c r="A374" s="6" t="s">
        <v>900</v>
      </c>
      <c r="B374" s="7">
        <v>46100</v>
      </c>
      <c r="C374" s="6" t="s">
        <v>901</v>
      </c>
      <c r="D374" s="6" t="str">
        <f>IF(OR(PROPER(TRIM(Raw_Data!D374))="Uk",PROPER(TRIM(Raw_Data!D374))="Gb",PROPER(TRIM(Raw_Data!D374))="United kingdom"),"United Kingdom",PROPER(TRIM(Raw_Data!D374)))</f>
        <v>Ireland</v>
      </c>
      <c r="E374" s="6" t="s">
        <v>37</v>
      </c>
      <c r="F374" s="6" t="s">
        <v>94</v>
      </c>
      <c r="G374" s="6" t="str">
        <f>SUBSTITUTE(Raw_Data!G374,"Ã©","é")</f>
        <v>Trekking Poles</v>
      </c>
      <c r="H374" s="6">
        <v>2</v>
      </c>
      <c r="I374" s="6" t="s">
        <v>181</v>
      </c>
      <c r="J374" s="6" t="s">
        <v>163</v>
      </c>
      <c r="K374" s="6">
        <v>0.34</v>
      </c>
      <c r="L374" s="6" t="s">
        <v>42</v>
      </c>
      <c r="M374" s="6" t="s">
        <v>34</v>
      </c>
      <c r="N374" s="6"/>
    </row>
    <row r="375" spans="1:14">
      <c r="A375" s="6" t="s">
        <v>902</v>
      </c>
      <c r="B375" s="7">
        <v>46153</v>
      </c>
      <c r="C375" s="6" t="s">
        <v>903</v>
      </c>
      <c r="D375" s="6" t="str">
        <f>IF(OR(PROPER(TRIM(Raw_Data!D375))="Uk",PROPER(TRIM(Raw_Data!D375))="Gb",PROPER(TRIM(Raw_Data!D375))="United kingdom"),"United Kingdom",PROPER(TRIM(Raw_Data!D375)))</f>
        <v>Germany</v>
      </c>
      <c r="E375" s="6" t="s">
        <v>37</v>
      </c>
      <c r="F375" s="6" t="s">
        <v>38</v>
      </c>
      <c r="G375" s="6" t="str">
        <f>SUBSTITUTE(Raw_Data!G375,"Ã©","é")</f>
        <v>Café Latte Mug</v>
      </c>
      <c r="H375" s="6">
        <v>1</v>
      </c>
      <c r="I375" s="6" t="s">
        <v>82</v>
      </c>
      <c r="J375" s="6" t="s">
        <v>82</v>
      </c>
      <c r="K375" s="6">
        <v>0.52</v>
      </c>
      <c r="L375" s="6" t="s">
        <v>42</v>
      </c>
      <c r="M375" s="6" t="s">
        <v>34</v>
      </c>
      <c r="N375" s="6"/>
    </row>
    <row r="376" spans="1:14">
      <c r="A376" s="6" t="s">
        <v>904</v>
      </c>
      <c r="B376" s="7">
        <v>46097</v>
      </c>
      <c r="C376" s="6" t="s">
        <v>905</v>
      </c>
      <c r="D376" s="6" t="str">
        <f>IF(OR(PROPER(TRIM(Raw_Data!D376))="Uk",PROPER(TRIM(Raw_Data!D376))="Gb",PROPER(TRIM(Raw_Data!D376))="United kingdom"),"United Kingdom",PROPER(TRIM(Raw_Data!D376)))</f>
        <v>France</v>
      </c>
      <c r="E376" s="6" t="s">
        <v>52</v>
      </c>
      <c r="F376" s="6" t="s">
        <v>47</v>
      </c>
      <c r="G376" s="6" t="str">
        <f>SUBSTITUTE(Raw_Data!G376,"Ã©","é")</f>
        <v>Trail Softshell</v>
      </c>
      <c r="H376" s="6">
        <v>1</v>
      </c>
      <c r="I376" s="6" t="s">
        <v>755</v>
      </c>
      <c r="J376" s="6" t="s">
        <v>117</v>
      </c>
      <c r="K376" s="6">
        <v>8.5000000000000006E-2</v>
      </c>
      <c r="L376" s="6" t="s">
        <v>42</v>
      </c>
      <c r="M376" s="6" t="s">
        <v>34</v>
      </c>
      <c r="N376" s="6"/>
    </row>
    <row r="377" spans="1:14">
      <c r="A377" s="6" t="s">
        <v>906</v>
      </c>
      <c r="B377" s="7">
        <v>46116</v>
      </c>
      <c r="C377" s="6" t="s">
        <v>618</v>
      </c>
      <c r="D377" s="6" t="str">
        <f>IF(OR(PROPER(TRIM(Raw_Data!D377))="Uk",PROPER(TRIM(Raw_Data!D377))="Gb",PROPER(TRIM(Raw_Data!D377))="United kingdom"),"United Kingdom",PROPER(TRIM(Raw_Data!D377)))</f>
        <v>United Kingdom</v>
      </c>
      <c r="E377" s="6" t="s">
        <v>46</v>
      </c>
      <c r="F377" s="6" t="s">
        <v>29</v>
      </c>
      <c r="G377" s="6" t="str">
        <f>SUBSTITUTE(Raw_Data!G377,"Ã©","é")</f>
        <v>Fell Runner Cap</v>
      </c>
      <c r="H377" s="6">
        <v>1</v>
      </c>
      <c r="I377" s="6" t="s">
        <v>31</v>
      </c>
      <c r="J377" s="6" t="s">
        <v>31</v>
      </c>
      <c r="K377" s="6">
        <v>0.52</v>
      </c>
      <c r="L377" s="6" t="s">
        <v>33</v>
      </c>
      <c r="M377" s="6" t="s">
        <v>34</v>
      </c>
      <c r="N377" s="6"/>
    </row>
    <row r="378" spans="1:14">
      <c r="A378" s="6" t="s">
        <v>907</v>
      </c>
      <c r="B378" s="7">
        <v>46202</v>
      </c>
      <c r="C378" s="6" t="s">
        <v>540</v>
      </c>
      <c r="D378" s="6" t="str">
        <f>IF(OR(PROPER(TRIM(Raw_Data!D378))="Uk",PROPER(TRIM(Raw_Data!D378))="Gb",PROPER(TRIM(Raw_Data!D378))="United kingdom"),"United Kingdom",PROPER(TRIM(Raw_Data!D378)))</f>
        <v>Ireland</v>
      </c>
      <c r="E378" s="6" t="s">
        <v>28</v>
      </c>
      <c r="F378" s="6" t="s">
        <v>58</v>
      </c>
      <c r="G378" s="6" t="str">
        <f>SUBSTITUTE(Raw_Data!G378,"Ã©","é")</f>
        <v>Trekking Poles</v>
      </c>
      <c r="H378" s="6">
        <v>1</v>
      </c>
      <c r="I378" s="6" t="s">
        <v>73</v>
      </c>
      <c r="J378" s="6" t="s">
        <v>73</v>
      </c>
      <c r="K378" s="6">
        <v>0.38</v>
      </c>
      <c r="L378" s="6" t="s">
        <v>42</v>
      </c>
      <c r="M378" s="6" t="s">
        <v>34</v>
      </c>
      <c r="N378" s="6"/>
    </row>
    <row r="379" spans="1:14">
      <c r="A379" s="6" t="s">
        <v>908</v>
      </c>
      <c r="B379" s="7">
        <v>46173</v>
      </c>
      <c r="C379" s="6" t="s">
        <v>910</v>
      </c>
      <c r="D379" s="6" t="str">
        <f>IF(OR(PROPER(TRIM(Raw_Data!D379))="Uk",PROPER(TRIM(Raw_Data!D379))="Gb",PROPER(TRIM(Raw_Data!D379))="United kingdom"),"United Kingdom",PROPER(TRIM(Raw_Data!D379)))</f>
        <v>United Kingdom</v>
      </c>
      <c r="E379" s="6" t="s">
        <v>46</v>
      </c>
      <c r="F379" s="6" t="s">
        <v>38</v>
      </c>
      <c r="G379" s="6" t="str">
        <f>SUBSTITUTE(Raw_Data!G379,"Ã©","é")</f>
        <v>Summit Down Gilet</v>
      </c>
      <c r="H379" s="6">
        <v>2</v>
      </c>
      <c r="I379" s="6" t="s">
        <v>265</v>
      </c>
      <c r="J379" s="6" t="s">
        <v>167</v>
      </c>
      <c r="K379" s="6">
        <v>0.52</v>
      </c>
      <c r="L379" s="6" t="s">
        <v>42</v>
      </c>
      <c r="M379" s="6" t="s">
        <v>34</v>
      </c>
      <c r="N379" s="6"/>
    </row>
    <row r="380" spans="1:14">
      <c r="A380" s="6" t="s">
        <v>911</v>
      </c>
      <c r="B380" s="7">
        <v>46098</v>
      </c>
      <c r="C380" s="6" t="s">
        <v>912</v>
      </c>
      <c r="D380" s="6" t="str">
        <f>IF(OR(PROPER(TRIM(Raw_Data!D380))="Uk",PROPER(TRIM(Raw_Data!D380))="Gb",PROPER(TRIM(Raw_Data!D380))="United kingdom"),"United Kingdom",PROPER(TRIM(Raw_Data!D380)))</f>
        <v>United Kingdom</v>
      </c>
      <c r="E380" s="6" t="s">
        <v>28</v>
      </c>
      <c r="F380" s="6" t="s">
        <v>100</v>
      </c>
      <c r="G380" s="6" t="str">
        <f>SUBSTITUTE(Raw_Data!G380,"Ã©","é")</f>
        <v>Trail Softshell</v>
      </c>
      <c r="H380" s="6">
        <v>1</v>
      </c>
      <c r="I380" s="6" t="s">
        <v>40</v>
      </c>
      <c r="J380" s="6" t="s">
        <v>40</v>
      </c>
      <c r="K380" s="6">
        <v>0.64</v>
      </c>
      <c r="L380" s="6" t="s">
        <v>42</v>
      </c>
      <c r="M380" s="6" t="s">
        <v>34</v>
      </c>
      <c r="N380" s="6"/>
    </row>
    <row r="381" spans="1:14">
      <c r="A381" s="6" t="s">
        <v>913</v>
      </c>
      <c r="B381" s="7">
        <v>46045</v>
      </c>
      <c r="C381" s="6" t="s">
        <v>914</v>
      </c>
      <c r="D381" s="6" t="str">
        <f>IF(OR(PROPER(TRIM(Raw_Data!D381))="Uk",PROPER(TRIM(Raw_Data!D381))="Gb",PROPER(TRIM(Raw_Data!D381))="United kingdom"),"United Kingdom",PROPER(TRIM(Raw_Data!D381)))</f>
        <v>Ireland</v>
      </c>
      <c r="E381" s="6" t="s">
        <v>78</v>
      </c>
      <c r="F381" s="6" t="s">
        <v>58</v>
      </c>
      <c r="G381" s="6" t="str">
        <f>SUBSTITUTE(Raw_Data!G381,"Ã©","é")</f>
        <v>Alpine Jacket</v>
      </c>
      <c r="H381" s="6">
        <v>1</v>
      </c>
      <c r="I381" s="6" t="s">
        <v>181</v>
      </c>
      <c r="J381" s="6" t="s">
        <v>181</v>
      </c>
      <c r="K381" s="6">
        <v>0.38</v>
      </c>
      <c r="L381" s="6" t="s">
        <v>42</v>
      </c>
      <c r="M381" s="6" t="s">
        <v>34</v>
      </c>
      <c r="N381" s="6"/>
    </row>
    <row r="382" spans="1:14">
      <c r="A382" s="6" t="s">
        <v>915</v>
      </c>
      <c r="B382" s="7">
        <v>46205</v>
      </c>
      <c r="C382" s="6" t="s">
        <v>916</v>
      </c>
      <c r="D382" s="6" t="str">
        <f>IF(OR(PROPER(TRIM(Raw_Data!D382))="Uk",PROPER(TRIM(Raw_Data!D382))="Gb",PROPER(TRIM(Raw_Data!D382))="United kingdom"),"United Kingdom",PROPER(TRIM(Raw_Data!D382)))</f>
        <v>United Kingdom</v>
      </c>
      <c r="E382" s="6" t="s">
        <v>28</v>
      </c>
      <c r="F382" s="6" t="s">
        <v>47</v>
      </c>
      <c r="G382" s="6" t="str">
        <f>SUBSTITUTE(Raw_Data!G382,"Ã©","é")</f>
        <v>Summit Down Gilet</v>
      </c>
      <c r="H382" s="6">
        <v>-2</v>
      </c>
      <c r="I382" s="6" t="s">
        <v>73</v>
      </c>
      <c r="J382" s="8" t="s">
        <v>917</v>
      </c>
      <c r="K382" s="6">
        <v>8.5000000000000006E-2</v>
      </c>
      <c r="L382" s="6" t="s">
        <v>42</v>
      </c>
      <c r="M382" s="6" t="s">
        <v>34</v>
      </c>
      <c r="N382" s="6"/>
    </row>
    <row r="383" spans="1:14">
      <c r="A383" s="6" t="s">
        <v>918</v>
      </c>
      <c r="B383" s="7">
        <v>46038</v>
      </c>
      <c r="C383" s="6" t="s">
        <v>302</v>
      </c>
      <c r="D383" s="6" t="str">
        <f>IF(OR(PROPER(TRIM(Raw_Data!D383))="Uk",PROPER(TRIM(Raw_Data!D383))="Gb",PROPER(TRIM(Raw_Data!D383))="United kingdom"),"United Kingdom",PROPER(TRIM(Raw_Data!D383)))</f>
        <v>Ireland</v>
      </c>
      <c r="E383" s="6" t="s">
        <v>52</v>
      </c>
      <c r="F383" s="6" t="s">
        <v>47</v>
      </c>
      <c r="G383" s="6" t="str">
        <f>SUBSTITUTE(Raw_Data!G383,"Ã©","é")</f>
        <v>Trail Softshell</v>
      </c>
      <c r="H383" s="6">
        <v>1</v>
      </c>
      <c r="I383" s="6" t="s">
        <v>231</v>
      </c>
      <c r="J383" s="6" t="s">
        <v>231</v>
      </c>
      <c r="K383" s="6">
        <v>8.5000000000000006E-2</v>
      </c>
      <c r="L383" s="6" t="s">
        <v>42</v>
      </c>
      <c r="M383" s="6" t="s">
        <v>34</v>
      </c>
      <c r="N383" s="6"/>
    </row>
    <row r="384" spans="1:14">
      <c r="A384" s="6" t="s">
        <v>919</v>
      </c>
      <c r="B384" s="7">
        <v>46097</v>
      </c>
      <c r="C384" s="6" t="s">
        <v>920</v>
      </c>
      <c r="D384" s="6" t="str">
        <f>IF(OR(PROPER(TRIM(Raw_Data!D384))="Uk",PROPER(TRIM(Raw_Data!D384))="Gb",PROPER(TRIM(Raw_Data!D384))="United kingdom"),"United Kingdom",PROPER(TRIM(Raw_Data!D384)))</f>
        <v>Germany</v>
      </c>
      <c r="E384" s="6" t="s">
        <v>46</v>
      </c>
      <c r="F384" s="6" t="s">
        <v>29</v>
      </c>
      <c r="G384" s="6" t="str">
        <f>SUBSTITUTE(Raw_Data!G384,"Ã©","é")</f>
        <v>Fell Runner Cap</v>
      </c>
      <c r="H384" s="6">
        <v>2</v>
      </c>
      <c r="I384" s="6" t="s">
        <v>147</v>
      </c>
      <c r="J384" s="6" t="s">
        <v>175</v>
      </c>
      <c r="K384" s="6">
        <v>0.52</v>
      </c>
      <c r="L384" s="6" t="s">
        <v>42</v>
      </c>
      <c r="M384" s="6" t="s">
        <v>34</v>
      </c>
      <c r="N384" s="6"/>
    </row>
    <row r="385" spans="1:14">
      <c r="A385" s="6" t="s">
        <v>921</v>
      </c>
      <c r="B385" s="7">
        <v>46134</v>
      </c>
      <c r="C385" s="6" t="s">
        <v>922</v>
      </c>
      <c r="D385" s="6" t="str">
        <f>IF(OR(PROPER(TRIM(Raw_Data!D385))="Uk",PROPER(TRIM(Raw_Data!D385))="Gb",PROPER(TRIM(Raw_Data!D385))="United kingdom"),"United Kingdom",PROPER(TRIM(Raw_Data!D385)))</f>
        <v>United Kingdom</v>
      </c>
      <c r="E385" s="6" t="s">
        <v>28</v>
      </c>
      <c r="F385" s="6" t="s">
        <v>85</v>
      </c>
      <c r="G385" s="6" t="str">
        <f>SUBSTITUTE(Raw_Data!G385,"Ã©","é")</f>
        <v>Fell Runner Cap</v>
      </c>
      <c r="H385" s="6">
        <v>1</v>
      </c>
      <c r="I385" s="6" t="s">
        <v>143</v>
      </c>
      <c r="J385" s="6" t="s">
        <v>143</v>
      </c>
      <c r="K385" s="6">
        <v>0.41</v>
      </c>
      <c r="L385" s="6" t="s">
        <v>42</v>
      </c>
      <c r="M385" s="6" t="s">
        <v>34</v>
      </c>
      <c r="N385" s="6"/>
    </row>
    <row r="386" spans="1:14">
      <c r="A386" s="6" t="s">
        <v>923</v>
      </c>
      <c r="B386" s="7">
        <v>46296</v>
      </c>
      <c r="C386" s="6" t="s">
        <v>365</v>
      </c>
      <c r="D386" s="6" t="str">
        <f>IF(OR(PROPER(TRIM(Raw_Data!D386))="Uk",PROPER(TRIM(Raw_Data!D386))="Gb",PROPER(TRIM(Raw_Data!D386))="United kingdom"),"United Kingdom",PROPER(TRIM(Raw_Data!D386)))</f>
        <v>France</v>
      </c>
      <c r="E386" s="6" t="s">
        <v>28</v>
      </c>
      <c r="F386" s="6" t="s">
        <v>85</v>
      </c>
      <c r="G386" s="6" t="str">
        <f>SUBSTITUTE(Raw_Data!G386,"Ã©","é")</f>
        <v>Trekking Poles</v>
      </c>
      <c r="H386" s="6">
        <v>1</v>
      </c>
      <c r="I386" s="6" t="s">
        <v>96</v>
      </c>
      <c r="J386" s="6" t="s">
        <v>96</v>
      </c>
      <c r="K386" s="6">
        <v>0.41</v>
      </c>
      <c r="L386" s="6" t="s">
        <v>42</v>
      </c>
      <c r="M386" s="6" t="s">
        <v>34</v>
      </c>
      <c r="N386" s="6"/>
    </row>
    <row r="387" spans="1:14">
      <c r="A387" s="6" t="s">
        <v>924</v>
      </c>
      <c r="B387" s="7">
        <v>46132</v>
      </c>
      <c r="C387" s="6" t="s">
        <v>926</v>
      </c>
      <c r="D387" s="6" t="str">
        <f>IF(OR(PROPER(TRIM(Raw_Data!D387))="Uk",PROPER(TRIM(Raw_Data!D387))="Gb",PROPER(TRIM(Raw_Data!D387))="United kingdom"),"United Kingdom",PROPER(TRIM(Raw_Data!D387)))</f>
        <v>Ireland</v>
      </c>
      <c r="E387" s="6" t="s">
        <v>28</v>
      </c>
      <c r="F387" s="6" t="s">
        <v>94</v>
      </c>
      <c r="G387" s="6" t="str">
        <f>SUBSTITUTE(Raw_Data!G387,"Ã©","é")</f>
        <v>Storm Overtrousers</v>
      </c>
      <c r="H387" s="6">
        <v>1</v>
      </c>
      <c r="I387" s="6" t="s">
        <v>60</v>
      </c>
      <c r="J387" s="6" t="s">
        <v>60</v>
      </c>
      <c r="K387" s="6">
        <v>0.34</v>
      </c>
      <c r="L387" s="6" t="s">
        <v>42</v>
      </c>
      <c r="M387" s="6" t="s">
        <v>34</v>
      </c>
      <c r="N387" s="6"/>
    </row>
    <row r="388" spans="1:14">
      <c r="A388" s="6" t="s">
        <v>927</v>
      </c>
      <c r="B388" s="7">
        <v>46082</v>
      </c>
      <c r="C388" s="6" t="s">
        <v>763</v>
      </c>
      <c r="D388" s="6" t="str">
        <f>IF(OR(PROPER(TRIM(Raw_Data!D388))="Uk",PROPER(TRIM(Raw_Data!D388))="Gb",PROPER(TRIM(Raw_Data!D388))="United kingdom"),"United Kingdom",PROPER(TRIM(Raw_Data!D388)))</f>
        <v>United Kingdom</v>
      </c>
      <c r="E388" s="6" t="s">
        <v>46</v>
      </c>
      <c r="F388" s="6" t="s">
        <v>85</v>
      </c>
      <c r="G388" s="6" t="str">
        <f>SUBSTITUTE(Raw_Data!G388,"Ã©","é")</f>
        <v>Storm Overtrousers</v>
      </c>
      <c r="H388" s="6">
        <v>1</v>
      </c>
      <c r="I388" s="6" t="s">
        <v>143</v>
      </c>
      <c r="J388" s="6" t="s">
        <v>143</v>
      </c>
      <c r="K388" s="6">
        <v>0.41</v>
      </c>
      <c r="L388" s="6" t="s">
        <v>42</v>
      </c>
      <c r="M388" s="6" t="s">
        <v>34</v>
      </c>
      <c r="N388" s="6"/>
    </row>
    <row r="389" spans="1:14">
      <c r="A389" s="6" t="s">
        <v>928</v>
      </c>
      <c r="B389" s="7">
        <v>46173</v>
      </c>
      <c r="C389" s="6" t="s">
        <v>174</v>
      </c>
      <c r="D389" s="6" t="str">
        <f>IF(OR(PROPER(TRIM(Raw_Data!D389))="Uk",PROPER(TRIM(Raw_Data!D389))="Gb",PROPER(TRIM(Raw_Data!D389))="United kingdom"),"United Kingdom",PROPER(TRIM(Raw_Data!D389)))</f>
        <v>United Kingdom</v>
      </c>
      <c r="E389" s="6" t="s">
        <v>37</v>
      </c>
      <c r="F389" s="6" t="s">
        <v>85</v>
      </c>
      <c r="G389" s="6" t="str">
        <f>SUBSTITUTE(Raw_Data!G389,"Ã©","é")</f>
        <v>Café Latte Mug</v>
      </c>
      <c r="H389" s="6">
        <v>1</v>
      </c>
      <c r="I389" s="6" t="s">
        <v>265</v>
      </c>
      <c r="J389" s="6" t="s">
        <v>265</v>
      </c>
      <c r="K389" s="6">
        <v>0.41</v>
      </c>
      <c r="L389" s="6" t="s">
        <v>42</v>
      </c>
      <c r="M389" s="6" t="s">
        <v>34</v>
      </c>
      <c r="N389" s="6"/>
    </row>
    <row r="390" spans="1:14">
      <c r="A390" s="6" t="s">
        <v>929</v>
      </c>
      <c r="B390" s="7">
        <v>46138</v>
      </c>
      <c r="C390" s="6" t="s">
        <v>930</v>
      </c>
      <c r="D390" s="6" t="str">
        <f>IF(OR(PROPER(TRIM(Raw_Data!D390))="Uk",PROPER(TRIM(Raw_Data!D390))="Gb",PROPER(TRIM(Raw_Data!D390))="United kingdom"),"United Kingdom",PROPER(TRIM(Raw_Data!D390)))</f>
        <v>United Kingdom</v>
      </c>
      <c r="E390" s="6" t="s">
        <v>46</v>
      </c>
      <c r="F390" s="6" t="s">
        <v>53</v>
      </c>
      <c r="G390" s="6" t="str">
        <f>SUBSTITUTE(Raw_Data!G390,"Ã©","é")</f>
        <v>Storm Overtrousers</v>
      </c>
      <c r="H390" s="6">
        <v>1</v>
      </c>
      <c r="I390" s="6" t="s">
        <v>769</v>
      </c>
      <c r="J390" s="6" t="s">
        <v>60</v>
      </c>
      <c r="K390" s="6">
        <v>0.19</v>
      </c>
      <c r="L390" s="6" t="s">
        <v>42</v>
      </c>
      <c r="M390" s="6" t="s">
        <v>34</v>
      </c>
      <c r="N390" s="6"/>
    </row>
    <row r="391" spans="1:14">
      <c r="A391" s="6" t="s">
        <v>931</v>
      </c>
      <c r="B391" s="7">
        <v>46266</v>
      </c>
      <c r="C391" s="6" t="s">
        <v>932</v>
      </c>
      <c r="D391" s="6" t="str">
        <f>IF(OR(PROPER(TRIM(Raw_Data!D391))="Uk",PROPER(TRIM(Raw_Data!D391))="Gb",PROPER(TRIM(Raw_Data!D391))="United kingdom"),"United Kingdom",PROPER(TRIM(Raw_Data!D391)))</f>
        <v>United Kingdom</v>
      </c>
      <c r="E391" s="6" t="s">
        <v>78</v>
      </c>
      <c r="F391" s="6" t="s">
        <v>100</v>
      </c>
      <c r="G391" s="6" t="str">
        <f>SUBSTITUTE(Raw_Data!G391,"Ã©","é")</f>
        <v>Storm Overtrousers</v>
      </c>
      <c r="H391" s="6">
        <v>1</v>
      </c>
      <c r="I391" s="6" t="s">
        <v>113</v>
      </c>
      <c r="J391" s="6" t="s">
        <v>113</v>
      </c>
      <c r="K391" s="6">
        <v>0.64</v>
      </c>
      <c r="L391" s="6" t="s">
        <v>42</v>
      </c>
      <c r="M391" s="6" t="s">
        <v>34</v>
      </c>
      <c r="N391" s="6"/>
    </row>
    <row r="392" spans="1:14">
      <c r="A392" s="6" t="s">
        <v>933</v>
      </c>
      <c r="B392" s="7">
        <v>46204</v>
      </c>
      <c r="C392" s="6" t="s">
        <v>934</v>
      </c>
      <c r="D392" s="6" t="str">
        <f>IF(OR(PROPER(TRIM(Raw_Data!D392))="Uk",PROPER(TRIM(Raw_Data!D392))="Gb",PROPER(TRIM(Raw_Data!D392))="United kingdom"),"United Kingdom",PROPER(TRIM(Raw_Data!D392)))</f>
        <v>United Kingdom</v>
      </c>
      <c r="E392" s="6" t="s">
        <v>37</v>
      </c>
      <c r="F392" s="6" t="s">
        <v>100</v>
      </c>
      <c r="G392" s="6" t="str">
        <f>SUBSTITUTE(Raw_Data!G392,"Ã©","é")</f>
        <v>Merino Base Layer</v>
      </c>
      <c r="H392" s="6">
        <v>3</v>
      </c>
      <c r="I392" s="6" t="s">
        <v>96</v>
      </c>
      <c r="J392" s="6" t="s">
        <v>97</v>
      </c>
      <c r="K392" s="6">
        <v>0.64</v>
      </c>
      <c r="L392" s="6" t="s">
        <v>42</v>
      </c>
      <c r="M392" s="6" t="s">
        <v>34</v>
      </c>
      <c r="N392" s="6"/>
    </row>
    <row r="393" spans="1:14">
      <c r="A393" s="6" t="s">
        <v>935</v>
      </c>
      <c r="B393" s="7">
        <v>46024</v>
      </c>
      <c r="C393" s="6" t="s">
        <v>245</v>
      </c>
      <c r="D393" s="6" t="str">
        <f>IF(OR(PROPER(TRIM(Raw_Data!D393))="Uk",PROPER(TRIM(Raw_Data!D393))="Gb",PROPER(TRIM(Raw_Data!D393))="United kingdom"),"United Kingdom",PROPER(TRIM(Raw_Data!D393)))</f>
        <v>Ireland</v>
      </c>
      <c r="E393" s="6" t="s">
        <v>46</v>
      </c>
      <c r="F393" s="6" t="s">
        <v>38</v>
      </c>
      <c r="G393" s="6" t="str">
        <f>SUBSTITUTE(Raw_Data!G393,"Ã©","é")</f>
        <v>Alpine Jacket</v>
      </c>
      <c r="H393" s="6">
        <v>2</v>
      </c>
      <c r="I393" s="6" t="s">
        <v>31</v>
      </c>
      <c r="J393" s="6" t="s">
        <v>249</v>
      </c>
      <c r="K393" s="6">
        <v>0.52</v>
      </c>
      <c r="L393" s="6" t="s">
        <v>42</v>
      </c>
      <c r="M393" s="6" t="s">
        <v>34</v>
      </c>
      <c r="N393" s="6"/>
    </row>
    <row r="394" spans="1:14">
      <c r="A394" s="6" t="s">
        <v>936</v>
      </c>
      <c r="B394" s="7">
        <v>46024</v>
      </c>
      <c r="C394" s="6" t="s">
        <v>556</v>
      </c>
      <c r="D394" s="6" t="str">
        <f>IF(OR(PROPER(TRIM(Raw_Data!D394))="Uk",PROPER(TRIM(Raw_Data!D394))="Gb",PROPER(TRIM(Raw_Data!D394))="United kingdom"),"United Kingdom",PROPER(TRIM(Raw_Data!D394)))</f>
        <v>Ireland</v>
      </c>
      <c r="E394" s="6" t="s">
        <v>28</v>
      </c>
      <c r="F394" s="6" t="s">
        <v>47</v>
      </c>
      <c r="G394" s="6" t="str">
        <f>SUBSTITUTE(Raw_Data!G394,"Ã©","é")</f>
        <v>Alpine Jacket</v>
      </c>
      <c r="H394" s="6">
        <v>1</v>
      </c>
      <c r="I394" s="6" t="s">
        <v>40</v>
      </c>
      <c r="J394" s="6" t="s">
        <v>40</v>
      </c>
      <c r="K394" s="6">
        <v>8.5000000000000006E-2</v>
      </c>
      <c r="L394" s="6" t="s">
        <v>42</v>
      </c>
      <c r="M394" s="6" t="s">
        <v>69</v>
      </c>
      <c r="N394" s="6"/>
    </row>
    <row r="395" spans="1:14">
      <c r="A395" s="6" t="s">
        <v>937</v>
      </c>
      <c r="B395" s="7">
        <v>46170</v>
      </c>
      <c r="C395" s="6" t="s">
        <v>938</v>
      </c>
      <c r="D395" s="6" t="str">
        <f>IF(OR(PROPER(TRIM(Raw_Data!D395))="Uk",PROPER(TRIM(Raw_Data!D395))="Gb",PROPER(TRIM(Raw_Data!D395))="United kingdom"),"United Kingdom",PROPER(TRIM(Raw_Data!D395)))</f>
        <v>United Kingdom</v>
      </c>
      <c r="E395" s="6" t="s">
        <v>78</v>
      </c>
      <c r="F395" s="6" t="s">
        <v>100</v>
      </c>
      <c r="G395" s="6" t="str">
        <f>SUBSTITUTE(Raw_Data!G395,"Ã©","é")</f>
        <v>Trail Softshell</v>
      </c>
      <c r="H395" s="6">
        <v>1</v>
      </c>
      <c r="I395" s="6" t="s">
        <v>31</v>
      </c>
      <c r="J395" s="6" t="s">
        <v>31</v>
      </c>
      <c r="K395" s="6">
        <v>0.64</v>
      </c>
      <c r="L395" s="6" t="s">
        <v>42</v>
      </c>
      <c r="M395" s="6" t="s">
        <v>34</v>
      </c>
      <c r="N395" s="6"/>
    </row>
    <row r="396" spans="1:14">
      <c r="A396" s="6" t="s">
        <v>939</v>
      </c>
      <c r="B396" s="7">
        <v>46239</v>
      </c>
      <c r="C396" s="6" t="s">
        <v>940</v>
      </c>
      <c r="D396" s="6" t="str">
        <f>IF(OR(PROPER(TRIM(Raw_Data!D396))="Uk",PROPER(TRIM(Raw_Data!D396))="Gb",PROPER(TRIM(Raw_Data!D396))="United kingdom"),"United Kingdom",PROPER(TRIM(Raw_Data!D396)))</f>
        <v>Germany</v>
      </c>
      <c r="E396" s="6" t="s">
        <v>28</v>
      </c>
      <c r="F396" s="6" t="s">
        <v>53</v>
      </c>
      <c r="G396" s="6" t="str">
        <f>SUBSTITUTE(Raw_Data!G396,"Ã©","é")</f>
        <v>Fell Runner Cap</v>
      </c>
      <c r="H396" s="6">
        <v>1</v>
      </c>
      <c r="I396" s="6" t="s">
        <v>79</v>
      </c>
      <c r="J396" s="6" t="s">
        <v>79</v>
      </c>
      <c r="K396" s="6">
        <v>0.19</v>
      </c>
      <c r="L396" s="6" t="s">
        <v>42</v>
      </c>
      <c r="M396" s="6" t="s">
        <v>34</v>
      </c>
      <c r="N396" s="6"/>
    </row>
    <row r="397" spans="1:14">
      <c r="A397" s="6" t="s">
        <v>941</v>
      </c>
      <c r="B397" s="7">
        <v>46266</v>
      </c>
      <c r="C397" s="6" t="s">
        <v>351</v>
      </c>
      <c r="D397" s="6" t="str">
        <f>IF(OR(PROPER(TRIM(Raw_Data!D397))="Uk",PROPER(TRIM(Raw_Data!D397))="Gb",PROPER(TRIM(Raw_Data!D397))="United kingdom"),"United Kingdom",PROPER(TRIM(Raw_Data!D397)))</f>
        <v>United Kingdom</v>
      </c>
      <c r="E397" s="6" t="s">
        <v>52</v>
      </c>
      <c r="F397" s="6" t="s">
        <v>29</v>
      </c>
      <c r="G397" s="6" t="str">
        <f>SUBSTITUTE(Raw_Data!G397,"Ã©","é")</f>
        <v>Alpine Jacket</v>
      </c>
      <c r="H397" s="6">
        <v>1</v>
      </c>
      <c r="I397" s="6" t="s">
        <v>113</v>
      </c>
      <c r="J397" s="6" t="s">
        <v>113</v>
      </c>
      <c r="K397" s="6">
        <v>0.52</v>
      </c>
      <c r="L397" s="6" t="s">
        <v>42</v>
      </c>
      <c r="M397" s="6" t="s">
        <v>34</v>
      </c>
      <c r="N397" s="6"/>
    </row>
    <row r="398" spans="1:14">
      <c r="A398" s="6" t="s">
        <v>942</v>
      </c>
      <c r="B398" s="7">
        <v>46155</v>
      </c>
      <c r="C398" s="6" t="s">
        <v>291</v>
      </c>
      <c r="D398" s="6" t="str">
        <f>IF(OR(PROPER(TRIM(Raw_Data!D398))="Uk",PROPER(TRIM(Raw_Data!D398))="Gb",PROPER(TRIM(Raw_Data!D398))="United kingdom"),"United Kingdom",PROPER(TRIM(Raw_Data!D398)))</f>
        <v>United Kingdom</v>
      </c>
      <c r="E398" s="6" t="s">
        <v>37</v>
      </c>
      <c r="F398" s="6" t="s">
        <v>85</v>
      </c>
      <c r="G398" s="6" t="str">
        <f>SUBSTITUTE(Raw_Data!G398,"Ã©","é")</f>
        <v>Merino Base Layer</v>
      </c>
      <c r="H398" s="6">
        <v>3</v>
      </c>
      <c r="I398" s="6" t="s">
        <v>90</v>
      </c>
      <c r="J398" s="6" t="s">
        <v>102</v>
      </c>
      <c r="K398" s="6">
        <v>0.41</v>
      </c>
      <c r="L398" s="6" t="s">
        <v>33</v>
      </c>
      <c r="M398" s="6" t="s">
        <v>34</v>
      </c>
      <c r="N398" s="6"/>
    </row>
    <row r="399" spans="1:14">
      <c r="A399" s="6" t="s">
        <v>943</v>
      </c>
      <c r="B399" s="7">
        <v>46069</v>
      </c>
      <c r="C399" s="6" t="s">
        <v>944</v>
      </c>
      <c r="D399" s="6" t="str">
        <f>IF(OR(PROPER(TRIM(Raw_Data!D399))="Uk",PROPER(TRIM(Raw_Data!D399))="Gb",PROPER(TRIM(Raw_Data!D399))="United kingdom"),"United Kingdom",PROPER(TRIM(Raw_Data!D399)))</f>
        <v>United Kingdom</v>
      </c>
      <c r="E399" s="6" t="s">
        <v>52</v>
      </c>
      <c r="F399" s="6" t="s">
        <v>94</v>
      </c>
      <c r="G399" s="6" t="str">
        <f>SUBSTITUTE(Raw_Data!G399,"Ã©","é")</f>
        <v>Trekking Poles</v>
      </c>
      <c r="H399" s="6">
        <v>1</v>
      </c>
      <c r="I399" s="6" t="s">
        <v>79</v>
      </c>
      <c r="J399" s="6" t="s">
        <v>79</v>
      </c>
      <c r="K399" s="6">
        <v>0.34</v>
      </c>
      <c r="L399" s="6" t="s">
        <v>42</v>
      </c>
      <c r="M399" s="6" t="s">
        <v>34</v>
      </c>
      <c r="N399" s="6"/>
    </row>
    <row r="400" spans="1:14">
      <c r="A400" s="6" t="s">
        <v>945</v>
      </c>
      <c r="B400" s="7">
        <v>46043</v>
      </c>
      <c r="C400" s="6" t="s">
        <v>910</v>
      </c>
      <c r="D400" s="6" t="str">
        <f>IF(OR(PROPER(TRIM(Raw_Data!D400))="Uk",PROPER(TRIM(Raw_Data!D400))="Gb",PROPER(TRIM(Raw_Data!D400))="United kingdom"),"United Kingdom",PROPER(TRIM(Raw_Data!D400)))</f>
        <v>United Kingdom</v>
      </c>
      <c r="E400" s="6" t="s">
        <v>52</v>
      </c>
      <c r="F400" s="6" t="s">
        <v>58</v>
      </c>
      <c r="G400" s="6" t="str">
        <f>SUBSTITUTE(Raw_Data!G400,"Ã©","é")</f>
        <v>Storm Overtrousers</v>
      </c>
      <c r="H400" s="6">
        <v>2</v>
      </c>
      <c r="I400" s="6" t="s">
        <v>143</v>
      </c>
      <c r="J400" s="6" t="s">
        <v>144</v>
      </c>
      <c r="K400" s="6">
        <v>0.38</v>
      </c>
      <c r="L400" s="6" t="s">
        <v>42</v>
      </c>
      <c r="M400" s="6" t="s">
        <v>34</v>
      </c>
      <c r="N400" s="6"/>
    </row>
    <row r="401" spans="1:14">
      <c r="A401" s="6" t="s">
        <v>947</v>
      </c>
      <c r="B401" s="7">
        <v>46189</v>
      </c>
      <c r="C401" s="6" t="s">
        <v>949</v>
      </c>
      <c r="D401" s="6" t="str">
        <f>IF(OR(PROPER(TRIM(Raw_Data!D401))="Uk",PROPER(TRIM(Raw_Data!D401))="Gb",PROPER(TRIM(Raw_Data!D401))="United kingdom"),"United Kingdom",PROPER(TRIM(Raw_Data!D401)))</f>
        <v>United Kingdom</v>
      </c>
      <c r="E401" s="6" t="s">
        <v>46</v>
      </c>
      <c r="F401" s="6" t="s">
        <v>100</v>
      </c>
      <c r="G401" s="6" t="str">
        <f>SUBSTITUTE(Raw_Data!G401,"Ã©","é")</f>
        <v>Café Latte Mug</v>
      </c>
      <c r="H401" s="6">
        <v>2</v>
      </c>
      <c r="I401" s="6" t="s">
        <v>31</v>
      </c>
      <c r="J401" s="6" t="s">
        <v>249</v>
      </c>
      <c r="K401" s="6">
        <v>0.64</v>
      </c>
      <c r="L401" s="6" t="s">
        <v>42</v>
      </c>
      <c r="M401" s="6" t="s">
        <v>34</v>
      </c>
      <c r="N401" s="6"/>
    </row>
    <row r="402" spans="1:14">
      <c r="A402" s="6" t="s">
        <v>950</v>
      </c>
      <c r="B402" s="7">
        <v>46206</v>
      </c>
      <c r="C402" s="6" t="s">
        <v>951</v>
      </c>
      <c r="D402" s="6" t="str">
        <f>IF(OR(PROPER(TRIM(Raw_Data!D402))="Uk",PROPER(TRIM(Raw_Data!D402))="Gb",PROPER(TRIM(Raw_Data!D402))="United kingdom"),"United Kingdom",PROPER(TRIM(Raw_Data!D402)))</f>
        <v>United Kingdom</v>
      </c>
      <c r="E402" s="6" t="s">
        <v>46</v>
      </c>
      <c r="F402" s="6" t="s">
        <v>53</v>
      </c>
      <c r="G402" s="6" t="str">
        <f>SUBSTITUTE(Raw_Data!G402,"Ã©","é")</f>
        <v>Summit Down Gilet</v>
      </c>
      <c r="H402" s="6">
        <v>1</v>
      </c>
      <c r="I402" s="6" t="s">
        <v>40</v>
      </c>
      <c r="J402" s="6" t="s">
        <v>40</v>
      </c>
      <c r="K402" s="6">
        <v>0.19</v>
      </c>
      <c r="L402" s="6" t="s">
        <v>33</v>
      </c>
      <c r="M402" s="6" t="s">
        <v>34</v>
      </c>
      <c r="N402" s="6"/>
    </row>
    <row r="403" spans="1:14">
      <c r="A403" s="6" t="s">
        <v>952</v>
      </c>
      <c r="B403" s="7">
        <v>46165</v>
      </c>
      <c r="C403" s="6" t="s">
        <v>953</v>
      </c>
      <c r="D403" s="6" t="str">
        <f>IF(OR(PROPER(TRIM(Raw_Data!D403))="Uk",PROPER(TRIM(Raw_Data!D403))="Gb",PROPER(TRIM(Raw_Data!D403))="United kingdom"),"United Kingdom",PROPER(TRIM(Raw_Data!D403)))</f>
        <v>France</v>
      </c>
      <c r="E403" s="6" t="s">
        <v>52</v>
      </c>
      <c r="F403" s="6" t="s">
        <v>47</v>
      </c>
      <c r="G403" s="6" t="str">
        <f>SUBSTITUTE(Raw_Data!G403,"Ã©","é")</f>
        <v>Alpine Jacket</v>
      </c>
      <c r="H403" s="6">
        <v>1</v>
      </c>
      <c r="I403" s="6" t="s">
        <v>117</v>
      </c>
      <c r="J403" s="6" t="s">
        <v>117</v>
      </c>
      <c r="K403" s="6">
        <v>8.5000000000000006E-2</v>
      </c>
      <c r="L403" s="6" t="s">
        <v>42</v>
      </c>
      <c r="M403" s="6" t="s">
        <v>69</v>
      </c>
      <c r="N403" s="6"/>
    </row>
    <row r="404" spans="1:14">
      <c r="A404" s="6" t="s">
        <v>954</v>
      </c>
      <c r="B404" s="7">
        <v>46360</v>
      </c>
      <c r="C404" s="6" t="s">
        <v>955</v>
      </c>
      <c r="D404" s="6" t="str">
        <f>IF(OR(PROPER(TRIM(Raw_Data!D404))="Uk",PROPER(TRIM(Raw_Data!D404))="Gb",PROPER(TRIM(Raw_Data!D404))="United kingdom"),"United Kingdom",PROPER(TRIM(Raw_Data!D404)))</f>
        <v>United Kingdom</v>
      </c>
      <c r="E404" s="6" t="s">
        <v>78</v>
      </c>
      <c r="F404" s="6" t="s">
        <v>38</v>
      </c>
      <c r="G404" s="6" t="str">
        <f>SUBSTITUTE(Raw_Data!G404,"Ã©","é")</f>
        <v>Merino Base Layer</v>
      </c>
      <c r="H404" s="6">
        <v>2</v>
      </c>
      <c r="I404" s="6" t="s">
        <v>67</v>
      </c>
      <c r="J404" s="6" t="s">
        <v>956</v>
      </c>
      <c r="K404" s="6">
        <v>0.52</v>
      </c>
      <c r="L404" s="6" t="s">
        <v>42</v>
      </c>
      <c r="M404" s="6" t="s">
        <v>34</v>
      </c>
      <c r="N404" s="6"/>
    </row>
    <row r="405" spans="1:14">
      <c r="A405" s="6" t="s">
        <v>957</v>
      </c>
      <c r="B405" s="7">
        <v>46053</v>
      </c>
      <c r="C405" s="6" t="s">
        <v>958</v>
      </c>
      <c r="D405" s="6" t="str">
        <f>IF(OR(PROPER(TRIM(Raw_Data!D405))="Uk",PROPER(TRIM(Raw_Data!D405))="Gb",PROPER(TRIM(Raw_Data!D405))="United kingdom"),"United Kingdom",PROPER(TRIM(Raw_Data!D405)))</f>
        <v>United Kingdom</v>
      </c>
      <c r="E405" s="6" t="s">
        <v>28</v>
      </c>
      <c r="F405" s="6" t="s">
        <v>53</v>
      </c>
      <c r="G405" s="6" t="str">
        <f>SUBSTITUTE(Raw_Data!G405,"Ã©","é")</f>
        <v>Fell Runner Cap</v>
      </c>
      <c r="H405" s="6">
        <v>2</v>
      </c>
      <c r="I405" s="6" t="s">
        <v>143</v>
      </c>
      <c r="J405" s="6" t="s">
        <v>144</v>
      </c>
      <c r="K405" s="6">
        <v>0.19</v>
      </c>
      <c r="L405" s="6" t="s">
        <v>33</v>
      </c>
      <c r="M405" s="6" t="s">
        <v>34</v>
      </c>
      <c r="N405" s="6"/>
    </row>
    <row r="406" spans="1:14">
      <c r="A406" s="6" t="s">
        <v>959</v>
      </c>
      <c r="B406" s="7">
        <v>46156</v>
      </c>
      <c r="C406" s="6" t="s">
        <v>961</v>
      </c>
      <c r="D406" s="6" t="str">
        <f>IF(OR(PROPER(TRIM(Raw_Data!D406))="Uk",PROPER(TRIM(Raw_Data!D406))="Gb",PROPER(TRIM(Raw_Data!D406))="United kingdom"),"United Kingdom",PROPER(TRIM(Raw_Data!D406)))</f>
        <v>United Kingdom</v>
      </c>
      <c r="E406" s="6" t="s">
        <v>78</v>
      </c>
      <c r="F406" s="6" t="s">
        <v>94</v>
      </c>
      <c r="G406" s="6" t="str">
        <f>SUBSTITUTE(Raw_Data!G406,"Ã©","é")</f>
        <v>Trail Softshell</v>
      </c>
      <c r="H406" s="6">
        <v>1</v>
      </c>
      <c r="I406" s="6" t="s">
        <v>79</v>
      </c>
      <c r="J406" s="6" t="s">
        <v>79</v>
      </c>
      <c r="K406" s="6">
        <v>0.34</v>
      </c>
      <c r="L406" s="6" t="s">
        <v>33</v>
      </c>
      <c r="M406" s="6" t="s">
        <v>69</v>
      </c>
      <c r="N406" s="6"/>
    </row>
    <row r="407" spans="1:14">
      <c r="A407" s="6" t="s">
        <v>962</v>
      </c>
      <c r="B407" s="7">
        <v>46175</v>
      </c>
      <c r="C407" s="6" t="s">
        <v>963</v>
      </c>
      <c r="D407" s="6" t="str">
        <f>IF(OR(PROPER(TRIM(Raw_Data!D407))="Uk",PROPER(TRIM(Raw_Data!D407))="Gb",PROPER(TRIM(Raw_Data!D407))="United kingdom"),"United Kingdom",PROPER(TRIM(Raw_Data!D407)))</f>
        <v>United Kingdom</v>
      </c>
      <c r="E407" s="6" t="s">
        <v>46</v>
      </c>
      <c r="F407" s="6" t="s">
        <v>94</v>
      </c>
      <c r="G407" s="6" t="str">
        <f>SUBSTITUTE(Raw_Data!G407,"Ã©","é")</f>
        <v>Merino Base Layer</v>
      </c>
      <c r="H407" s="6">
        <v>1</v>
      </c>
      <c r="I407" s="6" t="s">
        <v>31</v>
      </c>
      <c r="J407" s="6" t="s">
        <v>31</v>
      </c>
      <c r="K407" s="6">
        <v>0.34</v>
      </c>
      <c r="L407" s="6" t="s">
        <v>33</v>
      </c>
      <c r="M407" s="6" t="s">
        <v>34</v>
      </c>
      <c r="N407" s="6"/>
    </row>
    <row r="408" spans="1:14">
      <c r="A408" s="6" t="s">
        <v>964</v>
      </c>
      <c r="B408" s="7">
        <v>46167</v>
      </c>
      <c r="C408" s="6" t="s">
        <v>839</v>
      </c>
      <c r="D408" s="6" t="str">
        <f>IF(OR(PROPER(TRIM(Raw_Data!D408))="Uk",PROPER(TRIM(Raw_Data!D408))="Gb",PROPER(TRIM(Raw_Data!D408))="United kingdom"),"United Kingdom",PROPER(TRIM(Raw_Data!D408)))</f>
        <v>United Kingdom</v>
      </c>
      <c r="E408" s="6" t="s">
        <v>52</v>
      </c>
      <c r="F408" s="6" t="s">
        <v>38</v>
      </c>
      <c r="G408" s="6" t="str">
        <f>SUBSTITUTE(Raw_Data!G408,"Ã©","é")</f>
        <v>Café Latte Mug</v>
      </c>
      <c r="H408" s="6">
        <v>2</v>
      </c>
      <c r="I408" s="6" t="s">
        <v>143</v>
      </c>
      <c r="J408" s="6" t="s">
        <v>144</v>
      </c>
      <c r="K408" s="6">
        <v>0.52</v>
      </c>
      <c r="L408" s="6" t="s">
        <v>42</v>
      </c>
      <c r="M408" s="6" t="s">
        <v>34</v>
      </c>
      <c r="N408" s="6"/>
    </row>
    <row r="409" spans="1:14">
      <c r="A409" s="6" t="s">
        <v>965</v>
      </c>
      <c r="B409" s="7">
        <v>46238</v>
      </c>
      <c r="C409" s="6" t="s">
        <v>124</v>
      </c>
      <c r="D409" s="6" t="str">
        <f>IF(OR(PROPER(TRIM(Raw_Data!D409))="Uk",PROPER(TRIM(Raw_Data!D409))="Gb",PROPER(TRIM(Raw_Data!D409))="United kingdom"),"United Kingdom",PROPER(TRIM(Raw_Data!D409)))</f>
        <v>United Kingdom</v>
      </c>
      <c r="E409" s="6" t="s">
        <v>46</v>
      </c>
      <c r="F409" s="6" t="s">
        <v>38</v>
      </c>
      <c r="G409" s="6" t="str">
        <f>SUBSTITUTE(Raw_Data!G409,"Ã©","é")</f>
        <v>Café Latte Mug</v>
      </c>
      <c r="H409" s="6">
        <v>1</v>
      </c>
      <c r="I409" s="6" t="s">
        <v>143</v>
      </c>
      <c r="J409" s="6" t="s">
        <v>143</v>
      </c>
      <c r="K409" s="6">
        <v>0.52</v>
      </c>
      <c r="L409" s="6" t="s">
        <v>42</v>
      </c>
      <c r="M409" s="6" t="s">
        <v>34</v>
      </c>
      <c r="N409" s="6"/>
    </row>
    <row r="410" spans="1:14">
      <c r="A410" s="6" t="s">
        <v>966</v>
      </c>
      <c r="B410" s="7">
        <v>46156</v>
      </c>
      <c r="C410" s="6" t="s">
        <v>967</v>
      </c>
      <c r="D410" s="6" t="str">
        <f>IF(OR(PROPER(TRIM(Raw_Data!D410))="Uk",PROPER(TRIM(Raw_Data!D410))="Gb",PROPER(TRIM(Raw_Data!D410))="United kingdom"),"United Kingdom",PROPER(TRIM(Raw_Data!D410)))</f>
        <v>Ireland</v>
      </c>
      <c r="E410" s="6" t="s">
        <v>52</v>
      </c>
      <c r="F410" s="6" t="s">
        <v>53</v>
      </c>
      <c r="G410" s="6" t="str">
        <f>SUBSTITUTE(Raw_Data!G410,"Ã©","é")</f>
        <v>Trail Softshell</v>
      </c>
      <c r="H410" s="6">
        <v>2</v>
      </c>
      <c r="I410" s="6" t="s">
        <v>60</v>
      </c>
      <c r="J410" s="6" t="s">
        <v>189</v>
      </c>
      <c r="K410" s="6">
        <v>0.19</v>
      </c>
      <c r="L410" s="6" t="s">
        <v>42</v>
      </c>
      <c r="M410" s="6" t="s">
        <v>34</v>
      </c>
      <c r="N410" s="6"/>
    </row>
    <row r="411" spans="1:14">
      <c r="A411" s="6" t="s">
        <v>968</v>
      </c>
      <c r="B411" s="7">
        <v>46142</v>
      </c>
      <c r="C411" s="6" t="s">
        <v>66</v>
      </c>
      <c r="D411" s="6" t="str">
        <f>IF(OR(PROPER(TRIM(Raw_Data!D411))="Uk",PROPER(TRIM(Raw_Data!D411))="Gb",PROPER(TRIM(Raw_Data!D411))="United kingdom"),"United Kingdom",PROPER(TRIM(Raw_Data!D411)))</f>
        <v>United Kingdom</v>
      </c>
      <c r="E411" s="6" t="s">
        <v>37</v>
      </c>
      <c r="F411" s="6" t="s">
        <v>85</v>
      </c>
      <c r="G411" s="6" t="str">
        <f>SUBSTITUTE(Raw_Data!G411,"Ã©","é")</f>
        <v>Trail Softshell</v>
      </c>
      <c r="H411" s="6">
        <v>2</v>
      </c>
      <c r="I411" s="6" t="s">
        <v>82</v>
      </c>
      <c r="J411" s="6" t="s">
        <v>297</v>
      </c>
      <c r="K411" s="6">
        <v>0.41</v>
      </c>
      <c r="L411" s="6" t="s">
        <v>42</v>
      </c>
      <c r="M411" s="6" t="s">
        <v>34</v>
      </c>
      <c r="N411" s="6"/>
    </row>
    <row r="412" spans="1:14">
      <c r="A412" s="6" t="s">
        <v>969</v>
      </c>
      <c r="B412" s="7">
        <v>46298</v>
      </c>
      <c r="C412" s="6" t="s">
        <v>970</v>
      </c>
      <c r="D412" s="6" t="str">
        <f>IF(OR(PROPER(TRIM(Raw_Data!D412))="Uk",PROPER(TRIM(Raw_Data!D412))="Gb",PROPER(TRIM(Raw_Data!D412))="United kingdom"),"United Kingdom",PROPER(TRIM(Raw_Data!D412)))</f>
        <v>United Kingdom</v>
      </c>
      <c r="E412" s="6" t="s">
        <v>52</v>
      </c>
      <c r="F412" s="6" t="s">
        <v>94</v>
      </c>
      <c r="G412" s="6" t="str">
        <f>SUBSTITUTE(Raw_Data!G412,"Ã©","é")</f>
        <v>Merino Base Layer</v>
      </c>
      <c r="H412" s="6">
        <v>1</v>
      </c>
      <c r="I412" s="6" t="s">
        <v>181</v>
      </c>
      <c r="J412" s="6" t="s">
        <v>181</v>
      </c>
      <c r="K412" s="6">
        <v>0.34</v>
      </c>
      <c r="L412" s="6" t="s">
        <v>33</v>
      </c>
      <c r="M412" s="6" t="s">
        <v>34</v>
      </c>
      <c r="N412" s="6"/>
    </row>
    <row r="413" spans="1:14">
      <c r="A413" s="6" t="s">
        <v>971</v>
      </c>
      <c r="B413" s="7">
        <v>46196</v>
      </c>
      <c r="C413" s="6" t="s">
        <v>972</v>
      </c>
      <c r="D413" s="6" t="str">
        <f>IF(OR(PROPER(TRIM(Raw_Data!D413))="Uk",PROPER(TRIM(Raw_Data!D413))="Gb",PROPER(TRIM(Raw_Data!D413))="United kingdom"),"United Kingdom",PROPER(TRIM(Raw_Data!D413)))</f>
        <v>United Kingdom</v>
      </c>
      <c r="E413" s="6" t="s">
        <v>78</v>
      </c>
      <c r="F413" s="6" t="s">
        <v>100</v>
      </c>
      <c r="G413" s="6" t="str">
        <f>SUBSTITUTE(Raw_Data!G413,"Ã©","é")</f>
        <v>Storm Overtrousers</v>
      </c>
      <c r="H413" s="6">
        <v>1</v>
      </c>
      <c r="I413" s="6" t="s">
        <v>73</v>
      </c>
      <c r="J413" s="6" t="s">
        <v>73</v>
      </c>
      <c r="K413" s="6">
        <v>0.64</v>
      </c>
      <c r="L413" s="6" t="s">
        <v>42</v>
      </c>
      <c r="M413" s="6" t="s">
        <v>34</v>
      </c>
      <c r="N413" s="6"/>
    </row>
    <row r="414" spans="1:14">
      <c r="A414" s="6" t="s">
        <v>973</v>
      </c>
      <c r="B414" s="7">
        <v>46081</v>
      </c>
      <c r="C414" s="6" t="s">
        <v>548</v>
      </c>
      <c r="D414" s="6" t="str">
        <f>IF(OR(PROPER(TRIM(Raw_Data!D414))="Uk",PROPER(TRIM(Raw_Data!D414))="Gb",PROPER(TRIM(Raw_Data!D414))="United kingdom"),"United Kingdom",PROPER(TRIM(Raw_Data!D414)))</f>
        <v>Ireland</v>
      </c>
      <c r="E414" s="6" t="s">
        <v>52</v>
      </c>
      <c r="F414" s="6" t="s">
        <v>94</v>
      </c>
      <c r="G414" s="6" t="str">
        <f>SUBSTITUTE(Raw_Data!G414,"Ã©","é")</f>
        <v>Café Latte Mug</v>
      </c>
      <c r="H414" s="6">
        <v>1</v>
      </c>
      <c r="I414" s="6" t="s">
        <v>667</v>
      </c>
      <c r="J414" s="6" t="s">
        <v>40</v>
      </c>
      <c r="K414" s="6">
        <v>0.34</v>
      </c>
      <c r="L414" s="6" t="s">
        <v>42</v>
      </c>
      <c r="M414" s="6" t="s">
        <v>34</v>
      </c>
      <c r="N414" s="6"/>
    </row>
    <row r="415" spans="1:14">
      <c r="A415" s="6" t="s">
        <v>974</v>
      </c>
      <c r="B415" s="7">
        <v>46191</v>
      </c>
      <c r="C415" s="6" t="s">
        <v>975</v>
      </c>
      <c r="D415" s="6" t="str">
        <f>IF(OR(PROPER(TRIM(Raw_Data!D415))="Uk",PROPER(TRIM(Raw_Data!D415))="Gb",PROPER(TRIM(Raw_Data!D415))="United kingdom"),"United Kingdom",PROPER(TRIM(Raw_Data!D415)))</f>
        <v>Germany</v>
      </c>
      <c r="E415" s="6" t="s">
        <v>28</v>
      </c>
      <c r="F415" s="6" t="s">
        <v>47</v>
      </c>
      <c r="G415" s="6" t="str">
        <f>SUBSTITUTE(Raw_Data!G415,"Ã©","é")</f>
        <v>Alpine Jacket</v>
      </c>
      <c r="H415" s="6">
        <v>-2</v>
      </c>
      <c r="I415" s="6" t="s">
        <v>82</v>
      </c>
      <c r="J415" s="8" t="s">
        <v>616</v>
      </c>
      <c r="K415" s="6">
        <v>8.5000000000000006E-2</v>
      </c>
      <c r="L415" s="6" t="s">
        <v>42</v>
      </c>
      <c r="M415" s="6" t="s">
        <v>34</v>
      </c>
      <c r="N415" s="6"/>
    </row>
    <row r="416" spans="1:14">
      <c r="A416" s="6" t="s">
        <v>976</v>
      </c>
      <c r="B416" s="7">
        <v>46116</v>
      </c>
      <c r="C416" s="6" t="s">
        <v>977</v>
      </c>
      <c r="D416" s="6" t="str">
        <f>IF(OR(PROPER(TRIM(Raw_Data!D416))="Uk",PROPER(TRIM(Raw_Data!D416))="Gb",PROPER(TRIM(Raw_Data!D416))="United kingdom"),"United Kingdom",PROPER(TRIM(Raw_Data!D416)))</f>
        <v>France</v>
      </c>
      <c r="E416" s="6" t="s">
        <v>37</v>
      </c>
      <c r="F416" s="6" t="s">
        <v>100</v>
      </c>
      <c r="G416" s="6" t="str">
        <f>SUBSTITUTE(Raw_Data!G416,"Ã©","é")</f>
        <v>Café Latte Mug</v>
      </c>
      <c r="H416" s="6">
        <v>1</v>
      </c>
      <c r="I416" s="6" t="s">
        <v>113</v>
      </c>
      <c r="J416" s="6" t="s">
        <v>113</v>
      </c>
      <c r="K416" s="6">
        <v>0.64</v>
      </c>
      <c r="L416" s="6" t="s">
        <v>42</v>
      </c>
      <c r="M416" s="6" t="s">
        <v>34</v>
      </c>
      <c r="N416" s="6"/>
    </row>
    <row r="417" spans="1:14">
      <c r="A417" s="6" t="s">
        <v>978</v>
      </c>
      <c r="B417" s="7">
        <v>46136</v>
      </c>
      <c r="C417" s="6" t="s">
        <v>979</v>
      </c>
      <c r="D417" s="6" t="str">
        <f>IF(OR(PROPER(TRIM(Raw_Data!D417))="Uk",PROPER(TRIM(Raw_Data!D417))="Gb",PROPER(TRIM(Raw_Data!D417))="United kingdom"),"United Kingdom",PROPER(TRIM(Raw_Data!D417)))</f>
        <v>Ireland</v>
      </c>
      <c r="E417" s="6" t="s">
        <v>78</v>
      </c>
      <c r="F417" s="6" t="s">
        <v>58</v>
      </c>
      <c r="G417" s="6" t="str">
        <f>SUBSTITUTE(Raw_Data!G417,"Ã©","é")</f>
        <v>Fell Runner Cap</v>
      </c>
      <c r="H417" s="6">
        <v>2</v>
      </c>
      <c r="I417" s="6" t="s">
        <v>31</v>
      </c>
      <c r="J417" s="6" t="s">
        <v>249</v>
      </c>
      <c r="K417" s="6">
        <v>0.38</v>
      </c>
      <c r="L417" s="6" t="s">
        <v>42</v>
      </c>
      <c r="M417" s="6" t="s">
        <v>34</v>
      </c>
      <c r="N417" s="6"/>
    </row>
    <row r="418" spans="1:14">
      <c r="A418" s="6" t="s">
        <v>980</v>
      </c>
      <c r="B418" s="7">
        <v>46147</v>
      </c>
      <c r="C418" s="6" t="s">
        <v>230</v>
      </c>
      <c r="D418" s="6" t="str">
        <f>IF(OR(PROPER(TRIM(Raw_Data!D418))="Uk",PROPER(TRIM(Raw_Data!D418))="Gb",PROPER(TRIM(Raw_Data!D418))="United kingdom"),"United Kingdom",PROPER(TRIM(Raw_Data!D418)))</f>
        <v>United Kingdom</v>
      </c>
      <c r="E418" s="6" t="s">
        <v>37</v>
      </c>
      <c r="F418" s="6" t="s">
        <v>38</v>
      </c>
      <c r="G418" s="6" t="str">
        <f>SUBSTITUTE(Raw_Data!G418,"Ã©","é")</f>
        <v>Alpine Jacket</v>
      </c>
      <c r="H418" s="6">
        <v>1</v>
      </c>
      <c r="I418" s="6" t="s">
        <v>31</v>
      </c>
      <c r="J418" s="6" t="s">
        <v>31</v>
      </c>
      <c r="K418" s="6">
        <v>0.52</v>
      </c>
      <c r="L418" s="6" t="s">
        <v>42</v>
      </c>
      <c r="M418" s="6" t="s">
        <v>34</v>
      </c>
      <c r="N418" s="6"/>
    </row>
    <row r="419" spans="1:14">
      <c r="A419" s="6" t="s">
        <v>981</v>
      </c>
      <c r="B419" s="7">
        <v>46298</v>
      </c>
      <c r="C419" s="6" t="s">
        <v>982</v>
      </c>
      <c r="D419" s="6" t="str">
        <f>IF(OR(PROPER(TRIM(Raw_Data!D419))="Uk",PROPER(TRIM(Raw_Data!D419))="Gb",PROPER(TRIM(Raw_Data!D419))="United kingdom"),"United Kingdom",PROPER(TRIM(Raw_Data!D419)))</f>
        <v>United Kingdom</v>
      </c>
      <c r="E419" s="6" t="s">
        <v>52</v>
      </c>
      <c r="F419" s="6" t="s">
        <v>100</v>
      </c>
      <c r="G419" s="6" t="str">
        <f>SUBSTITUTE(Raw_Data!G419,"Ã©","é")</f>
        <v>Summit Down Gilet</v>
      </c>
      <c r="H419" s="6">
        <v>1</v>
      </c>
      <c r="I419" s="6" t="s">
        <v>31</v>
      </c>
      <c r="J419" s="6" t="s">
        <v>31</v>
      </c>
      <c r="K419" s="6">
        <v>0.64</v>
      </c>
      <c r="L419" s="6" t="s">
        <v>42</v>
      </c>
      <c r="M419" s="6" t="s">
        <v>34</v>
      </c>
      <c r="N419" s="6"/>
    </row>
    <row r="420" spans="1:14">
      <c r="A420" s="6" t="s">
        <v>983</v>
      </c>
      <c r="B420" s="7">
        <v>46067</v>
      </c>
      <c r="C420" s="6" t="s">
        <v>351</v>
      </c>
      <c r="D420" s="6" t="str">
        <f>IF(OR(PROPER(TRIM(Raw_Data!D420))="Uk",PROPER(TRIM(Raw_Data!D420))="Gb",PROPER(TRIM(Raw_Data!D420))="United kingdom"),"United Kingdom",PROPER(TRIM(Raw_Data!D420)))</f>
        <v>United Kingdom</v>
      </c>
      <c r="E420" s="6" t="s">
        <v>78</v>
      </c>
      <c r="F420" s="6" t="s">
        <v>47</v>
      </c>
      <c r="G420" s="6" t="str">
        <f>SUBSTITUTE(Raw_Data!G420,"Ã©","é")</f>
        <v>Trail Softshell</v>
      </c>
      <c r="H420" s="6">
        <v>3</v>
      </c>
      <c r="I420" s="6" t="s">
        <v>67</v>
      </c>
      <c r="J420" s="6" t="s">
        <v>68</v>
      </c>
      <c r="K420" s="6">
        <v>8.5000000000000006E-2</v>
      </c>
      <c r="L420" s="6" t="s">
        <v>33</v>
      </c>
      <c r="M420" s="6" t="s">
        <v>34</v>
      </c>
      <c r="N420" s="6"/>
    </row>
    <row r="421" spans="1:14">
      <c r="A421" s="6" t="s">
        <v>984</v>
      </c>
      <c r="B421" s="7">
        <v>46168</v>
      </c>
      <c r="C421" s="6" t="s">
        <v>452</v>
      </c>
      <c r="D421" s="6" t="str">
        <f>IF(OR(PROPER(TRIM(Raw_Data!D421))="Uk",PROPER(TRIM(Raw_Data!D421))="Gb",PROPER(TRIM(Raw_Data!D421))="United kingdom"),"United Kingdom",PROPER(TRIM(Raw_Data!D421)))</f>
        <v>Germany</v>
      </c>
      <c r="E421" s="6" t="s">
        <v>37</v>
      </c>
      <c r="F421" s="6" t="s">
        <v>58</v>
      </c>
      <c r="G421" s="6" t="str">
        <f>SUBSTITUTE(Raw_Data!G421,"Ã©","é")</f>
        <v>Alpine Jacket</v>
      </c>
      <c r="H421" s="6">
        <v>1</v>
      </c>
      <c r="I421" s="6" t="s">
        <v>82</v>
      </c>
      <c r="J421" s="6" t="s">
        <v>82</v>
      </c>
      <c r="K421" s="6">
        <v>0.38</v>
      </c>
      <c r="L421" s="6" t="s">
        <v>42</v>
      </c>
      <c r="M421" s="6" t="s">
        <v>34</v>
      </c>
      <c r="N421" s="6"/>
    </row>
    <row r="422" spans="1:14">
      <c r="A422" s="6" t="s">
        <v>985</v>
      </c>
      <c r="B422" s="7">
        <v>46074</v>
      </c>
      <c r="C422" s="6" t="s">
        <v>986</v>
      </c>
      <c r="D422" s="6" t="str">
        <f>IF(OR(PROPER(TRIM(Raw_Data!D422))="Uk",PROPER(TRIM(Raw_Data!D422))="Gb",PROPER(TRIM(Raw_Data!D422))="United kingdom"),"United Kingdom",PROPER(TRIM(Raw_Data!D422)))</f>
        <v>United Kingdom</v>
      </c>
      <c r="E422" s="6" t="s">
        <v>78</v>
      </c>
      <c r="F422" s="6" t="s">
        <v>53</v>
      </c>
      <c r="G422" s="6" t="str">
        <f>SUBSTITUTE(Raw_Data!G422,"Ã©","é")</f>
        <v>Fell Runner Cap</v>
      </c>
      <c r="H422" s="6">
        <v>2</v>
      </c>
      <c r="I422" s="6" t="s">
        <v>147</v>
      </c>
      <c r="J422" s="6" t="s">
        <v>175</v>
      </c>
      <c r="K422" s="6">
        <v>0.19</v>
      </c>
      <c r="L422" s="6" t="s">
        <v>42</v>
      </c>
      <c r="M422" s="6" t="s">
        <v>34</v>
      </c>
      <c r="N422" s="6"/>
    </row>
    <row r="423" spans="1:14">
      <c r="A423" s="6" t="s">
        <v>987</v>
      </c>
      <c r="B423" s="7">
        <v>46179</v>
      </c>
      <c r="C423" s="6" t="s">
        <v>988</v>
      </c>
      <c r="D423" s="6" t="str">
        <f>IF(OR(PROPER(TRIM(Raw_Data!D423))="Uk",PROPER(TRIM(Raw_Data!D423))="Gb",PROPER(TRIM(Raw_Data!D423))="United kingdom"),"United Kingdom",PROPER(TRIM(Raw_Data!D423)))</f>
        <v>United Kingdom</v>
      </c>
      <c r="E423" s="6" t="s">
        <v>46</v>
      </c>
      <c r="F423" s="6" t="s">
        <v>85</v>
      </c>
      <c r="G423" s="6" t="str">
        <f>SUBSTITUTE(Raw_Data!G423,"Ã©","é")</f>
        <v>Summit Down Gilet</v>
      </c>
      <c r="H423" s="6">
        <v>1</v>
      </c>
      <c r="I423" s="6" t="s">
        <v>265</v>
      </c>
      <c r="J423" s="6" t="s">
        <v>265</v>
      </c>
      <c r="K423" s="6">
        <v>0.41</v>
      </c>
      <c r="L423" s="6" t="s">
        <v>42</v>
      </c>
      <c r="M423" s="6" t="s">
        <v>69</v>
      </c>
      <c r="N423" s="6"/>
    </row>
    <row r="424" spans="1:14">
      <c r="A424" s="6" t="s">
        <v>989</v>
      </c>
      <c r="B424" s="7">
        <v>46090</v>
      </c>
      <c r="C424" s="6" t="s">
        <v>990</v>
      </c>
      <c r="D424" s="6" t="str">
        <f>IF(OR(PROPER(TRIM(Raw_Data!D424))="Uk",PROPER(TRIM(Raw_Data!D424))="Gb",PROPER(TRIM(Raw_Data!D424))="United kingdom"),"United Kingdom",PROPER(TRIM(Raw_Data!D424)))</f>
        <v>United Kingdom</v>
      </c>
      <c r="E424" s="6" t="s">
        <v>37</v>
      </c>
      <c r="F424" s="6" t="s">
        <v>38</v>
      </c>
      <c r="G424" s="6" t="str">
        <f>SUBSTITUTE(Raw_Data!G424,"Ã©","é")</f>
        <v>Merino Base Layer</v>
      </c>
      <c r="H424" s="6">
        <v>2</v>
      </c>
      <c r="I424" s="6" t="s">
        <v>90</v>
      </c>
      <c r="J424" s="6" t="s">
        <v>154</v>
      </c>
      <c r="K424" s="6">
        <v>0.52</v>
      </c>
      <c r="L424" s="6" t="s">
        <v>33</v>
      </c>
      <c r="M424" s="6" t="s">
        <v>34</v>
      </c>
      <c r="N424" s="6"/>
    </row>
    <row r="425" spans="1:14">
      <c r="A425" s="6" t="s">
        <v>991</v>
      </c>
      <c r="B425" s="7">
        <v>46134</v>
      </c>
      <c r="C425" s="6" t="s">
        <v>992</v>
      </c>
      <c r="D425" s="6" t="str">
        <f>IF(OR(PROPER(TRIM(Raw_Data!D425))="Uk",PROPER(TRIM(Raw_Data!D425))="Gb",PROPER(TRIM(Raw_Data!D425))="United kingdom"),"United Kingdom",PROPER(TRIM(Raw_Data!D425)))</f>
        <v>United Kingdom</v>
      </c>
      <c r="E425" s="6" t="s">
        <v>46</v>
      </c>
      <c r="F425" s="6" t="s">
        <v>29</v>
      </c>
      <c r="G425" s="6" t="str">
        <f>SUBSTITUTE(Raw_Data!G425,"Ã©","é")</f>
        <v>Storm Overtrousers</v>
      </c>
      <c r="H425" s="6">
        <v>1</v>
      </c>
      <c r="I425" s="6" t="s">
        <v>117</v>
      </c>
      <c r="J425" s="6" t="s">
        <v>117</v>
      </c>
      <c r="K425" s="6">
        <v>0.52</v>
      </c>
      <c r="L425" s="6" t="s">
        <v>33</v>
      </c>
      <c r="M425" s="6" t="s">
        <v>34</v>
      </c>
      <c r="N425" s="6"/>
    </row>
    <row r="426" spans="1:14">
      <c r="A426" s="6" t="s">
        <v>993</v>
      </c>
      <c r="B426" s="7">
        <v>46101</v>
      </c>
      <c r="C426" s="6" t="s">
        <v>994</v>
      </c>
      <c r="D426" s="6" t="str">
        <f>IF(OR(PROPER(TRIM(Raw_Data!D426))="Uk",PROPER(TRIM(Raw_Data!D426))="Gb",PROPER(TRIM(Raw_Data!D426))="United kingdom"),"United Kingdom",PROPER(TRIM(Raw_Data!D426)))</f>
        <v>Germany</v>
      </c>
      <c r="E426" s="6" t="s">
        <v>46</v>
      </c>
      <c r="F426" s="6" t="s">
        <v>94</v>
      </c>
      <c r="G426" s="6" t="str">
        <f>SUBSTITUTE(Raw_Data!G426,"Ã©","é")</f>
        <v>Trail Softshell</v>
      </c>
      <c r="H426" s="6">
        <v>2</v>
      </c>
      <c r="I426" s="6" t="s">
        <v>265</v>
      </c>
      <c r="J426" s="6" t="s">
        <v>167</v>
      </c>
      <c r="K426" s="6">
        <v>0.34</v>
      </c>
      <c r="L426" s="6" t="s">
        <v>42</v>
      </c>
      <c r="M426" s="6" t="s">
        <v>34</v>
      </c>
      <c r="N426" s="6"/>
    </row>
    <row r="427" spans="1:14">
      <c r="A427" s="6" t="s">
        <v>995</v>
      </c>
      <c r="B427" s="7">
        <v>46271</v>
      </c>
      <c r="C427" s="6" t="s">
        <v>996</v>
      </c>
      <c r="D427" s="6" t="str">
        <f>IF(OR(PROPER(TRIM(Raw_Data!D427))="Uk",PROPER(TRIM(Raw_Data!D427))="Gb",PROPER(TRIM(Raw_Data!D427))="United kingdom"),"United Kingdom",PROPER(TRIM(Raw_Data!D427)))</f>
        <v>United Kingdom</v>
      </c>
      <c r="E427" s="6" t="s">
        <v>37</v>
      </c>
      <c r="F427" s="6" t="s">
        <v>94</v>
      </c>
      <c r="G427" s="6" t="str">
        <f>SUBSTITUTE(Raw_Data!G427,"Ã©","é")</f>
        <v>Trekking Poles</v>
      </c>
      <c r="H427" s="6">
        <v>2</v>
      </c>
      <c r="I427" s="6" t="s">
        <v>67</v>
      </c>
      <c r="J427" s="6" t="s">
        <v>204</v>
      </c>
      <c r="K427" s="6">
        <v>0.34</v>
      </c>
      <c r="L427" s="6" t="s">
        <v>42</v>
      </c>
      <c r="M427" s="6" t="s">
        <v>69</v>
      </c>
      <c r="N427" s="6"/>
    </row>
    <row r="428" spans="1:14">
      <c r="A428" s="6" t="s">
        <v>997</v>
      </c>
      <c r="B428" s="7">
        <v>46158</v>
      </c>
      <c r="C428" s="6" t="s">
        <v>998</v>
      </c>
      <c r="D428" s="6" t="str">
        <f>IF(OR(PROPER(TRIM(Raw_Data!D428))="Uk",PROPER(TRIM(Raw_Data!D428))="Gb",PROPER(TRIM(Raw_Data!D428))="United kingdom"),"United Kingdom",PROPER(TRIM(Raw_Data!D428)))</f>
        <v>United Kingdom</v>
      </c>
      <c r="E428" s="6" t="s">
        <v>28</v>
      </c>
      <c r="F428" s="6" t="s">
        <v>94</v>
      </c>
      <c r="G428" s="6" t="str">
        <f>SUBSTITUTE(Raw_Data!G428,"Ã©","é")</f>
        <v>Café Latte Mug</v>
      </c>
      <c r="H428" s="6">
        <v>1</v>
      </c>
      <c r="I428" s="6" t="s">
        <v>265</v>
      </c>
      <c r="J428" s="6" t="s">
        <v>265</v>
      </c>
      <c r="K428" s="6">
        <v>0.34</v>
      </c>
      <c r="L428" s="6" t="s">
        <v>42</v>
      </c>
      <c r="M428" s="6" t="s">
        <v>34</v>
      </c>
      <c r="N428" s="6"/>
    </row>
    <row r="429" spans="1:14">
      <c r="A429" s="6" t="s">
        <v>999</v>
      </c>
      <c r="B429" s="7">
        <v>46194</v>
      </c>
      <c r="C429" s="6" t="s">
        <v>1001</v>
      </c>
      <c r="D429" s="6" t="str">
        <f>IF(OR(PROPER(TRIM(Raw_Data!D429))="Uk",PROPER(TRIM(Raw_Data!D429))="Gb",PROPER(TRIM(Raw_Data!D429))="United kingdom"),"United Kingdom",PROPER(TRIM(Raw_Data!D429)))</f>
        <v>United Kingdom</v>
      </c>
      <c r="E429" s="6" t="s">
        <v>28</v>
      </c>
      <c r="F429" s="6" t="s">
        <v>100</v>
      </c>
      <c r="G429" s="6" t="str">
        <f>SUBSTITUTE(Raw_Data!G429,"Ã©","é")</f>
        <v>Café Latte Mug</v>
      </c>
      <c r="H429" s="6">
        <v>1</v>
      </c>
      <c r="I429" s="6" t="s">
        <v>143</v>
      </c>
      <c r="J429" s="6" t="s">
        <v>143</v>
      </c>
      <c r="K429" s="6">
        <v>0.64</v>
      </c>
      <c r="L429" s="6" t="s">
        <v>42</v>
      </c>
      <c r="M429" s="6" t="s">
        <v>34</v>
      </c>
      <c r="N429" s="6"/>
    </row>
    <row r="430" spans="1:14">
      <c r="A430" s="6" t="s">
        <v>1002</v>
      </c>
      <c r="B430" s="7">
        <v>46206</v>
      </c>
      <c r="C430" s="6" t="s">
        <v>1003</v>
      </c>
      <c r="D430" s="6" t="str">
        <f>IF(OR(PROPER(TRIM(Raw_Data!D430))="Uk",PROPER(TRIM(Raw_Data!D430))="Gb",PROPER(TRIM(Raw_Data!D430))="United kingdom"),"United Kingdom",PROPER(TRIM(Raw_Data!D430)))</f>
        <v>United Kingdom</v>
      </c>
      <c r="E430" s="6" t="s">
        <v>52</v>
      </c>
      <c r="F430" s="6" t="s">
        <v>29</v>
      </c>
      <c r="G430" s="6" t="str">
        <f>SUBSTITUTE(Raw_Data!G430,"Ã©","é")</f>
        <v>Café Latte Mug</v>
      </c>
      <c r="H430" s="6">
        <v>3</v>
      </c>
      <c r="I430" s="6" t="s">
        <v>1004</v>
      </c>
      <c r="J430" s="6" t="s">
        <v>401</v>
      </c>
      <c r="K430" s="6">
        <v>0.52</v>
      </c>
      <c r="L430" s="6" t="s">
        <v>42</v>
      </c>
      <c r="M430" s="6" t="s">
        <v>34</v>
      </c>
      <c r="N430" s="6"/>
    </row>
    <row r="431" spans="1:14">
      <c r="A431" s="6" t="s">
        <v>1005</v>
      </c>
      <c r="B431" s="7">
        <v>46146</v>
      </c>
      <c r="C431" s="6" t="s">
        <v>794</v>
      </c>
      <c r="D431" s="6" t="str">
        <f>IF(OR(PROPER(TRIM(Raw_Data!D431))="Uk",PROPER(TRIM(Raw_Data!D431))="Gb",PROPER(TRIM(Raw_Data!D431))="United kingdom"),"United Kingdom",PROPER(TRIM(Raw_Data!D431)))</f>
        <v>United Kingdom</v>
      </c>
      <c r="E431" s="6" t="s">
        <v>37</v>
      </c>
      <c r="F431" s="6" t="s">
        <v>38</v>
      </c>
      <c r="G431" s="6" t="str">
        <f>SUBSTITUTE(Raw_Data!G431,"Ã©","é")</f>
        <v>Alpine Jacket</v>
      </c>
      <c r="H431" s="6">
        <v>1</v>
      </c>
      <c r="I431" s="6" t="s">
        <v>73</v>
      </c>
      <c r="J431" s="6" t="s">
        <v>73</v>
      </c>
      <c r="K431" s="6">
        <v>0.52</v>
      </c>
      <c r="L431" s="6" t="s">
        <v>42</v>
      </c>
      <c r="M431" s="6" t="s">
        <v>69</v>
      </c>
      <c r="N431" s="6"/>
    </row>
    <row r="432" spans="1:14">
      <c r="A432" s="6" t="s">
        <v>1006</v>
      </c>
      <c r="B432" s="7">
        <v>46130</v>
      </c>
      <c r="C432" s="6" t="s">
        <v>1007</v>
      </c>
      <c r="D432" s="6" t="str">
        <f>IF(OR(PROPER(TRIM(Raw_Data!D432))="Uk",PROPER(TRIM(Raw_Data!D432))="Gb",PROPER(TRIM(Raw_Data!D432))="United kingdom"),"United Kingdom",PROPER(TRIM(Raw_Data!D432)))</f>
        <v>Ireland</v>
      </c>
      <c r="E432" s="6" t="s">
        <v>37</v>
      </c>
      <c r="F432" s="6" t="s">
        <v>58</v>
      </c>
      <c r="G432" s="6" t="str">
        <f>SUBSTITUTE(Raw_Data!G432,"Ã©","é")</f>
        <v>Trekking Poles</v>
      </c>
      <c r="H432" s="6">
        <v>2</v>
      </c>
      <c r="I432" s="6" t="s">
        <v>90</v>
      </c>
      <c r="J432" s="6" t="s">
        <v>154</v>
      </c>
      <c r="K432" s="6">
        <v>0.38</v>
      </c>
      <c r="L432" s="6" t="s">
        <v>33</v>
      </c>
      <c r="M432" s="6" t="s">
        <v>34</v>
      </c>
      <c r="N432" s="6"/>
    </row>
    <row r="433" spans="1:14">
      <c r="A433" s="6" t="s">
        <v>1008</v>
      </c>
      <c r="B433" s="7">
        <v>46104</v>
      </c>
      <c r="C433" s="6" t="s">
        <v>707</v>
      </c>
      <c r="D433" s="6" t="str">
        <f>IF(OR(PROPER(TRIM(Raw_Data!D433))="Uk",PROPER(TRIM(Raw_Data!D433))="Gb",PROPER(TRIM(Raw_Data!D433))="United kingdom"),"United Kingdom",PROPER(TRIM(Raw_Data!D433)))</f>
        <v>United Kingdom</v>
      </c>
      <c r="E433" s="6" t="s">
        <v>78</v>
      </c>
      <c r="F433" s="6" t="s">
        <v>100</v>
      </c>
      <c r="G433" s="6" t="str">
        <f>SUBSTITUTE(Raw_Data!G433,"Ã©","é")</f>
        <v>Trail Softshell</v>
      </c>
      <c r="H433" s="6">
        <v>1</v>
      </c>
      <c r="I433" s="6" t="s">
        <v>511</v>
      </c>
      <c r="J433" s="6" t="s">
        <v>231</v>
      </c>
      <c r="K433" s="6">
        <v>0.64</v>
      </c>
      <c r="L433" s="6" t="s">
        <v>42</v>
      </c>
      <c r="M433" s="6" t="s">
        <v>34</v>
      </c>
      <c r="N433" s="6"/>
    </row>
    <row r="434" spans="1:14">
      <c r="A434" s="6" t="s">
        <v>1010</v>
      </c>
      <c r="B434" s="7">
        <v>46096</v>
      </c>
      <c r="C434" s="6" t="s">
        <v>1011</v>
      </c>
      <c r="D434" s="6" t="str">
        <f>IF(OR(PROPER(TRIM(Raw_Data!D434))="Uk",PROPER(TRIM(Raw_Data!D434))="Gb",PROPER(TRIM(Raw_Data!D434))="United kingdom"),"United Kingdom",PROPER(TRIM(Raw_Data!D434)))</f>
        <v>France</v>
      </c>
      <c r="E434" s="6" t="s">
        <v>46</v>
      </c>
      <c r="F434" s="6" t="s">
        <v>29</v>
      </c>
      <c r="G434" s="6" t="str">
        <f>SUBSTITUTE(Raw_Data!G434,"Ã©","é")</f>
        <v>Summit Down Gilet</v>
      </c>
      <c r="H434" s="6">
        <v>3</v>
      </c>
      <c r="I434" s="6" t="s">
        <v>619</v>
      </c>
      <c r="J434" s="6" t="s">
        <v>243</v>
      </c>
      <c r="K434" s="6">
        <v>0.52</v>
      </c>
      <c r="L434" s="6" t="s">
        <v>42</v>
      </c>
      <c r="M434" s="6" t="s">
        <v>34</v>
      </c>
      <c r="N434" s="6"/>
    </row>
    <row r="435" spans="1:14">
      <c r="A435" s="6" t="s">
        <v>1012</v>
      </c>
      <c r="B435" s="7">
        <v>46200</v>
      </c>
      <c r="C435" s="6" t="s">
        <v>225</v>
      </c>
      <c r="D435" s="6" t="str">
        <f>IF(OR(PROPER(TRIM(Raw_Data!D435))="Uk",PROPER(TRIM(Raw_Data!D435))="Gb",PROPER(TRIM(Raw_Data!D435))="United kingdom"),"United Kingdom",PROPER(TRIM(Raw_Data!D435)))</f>
        <v>France</v>
      </c>
      <c r="E435" s="6" t="s">
        <v>46</v>
      </c>
      <c r="F435" s="6" t="s">
        <v>100</v>
      </c>
      <c r="G435" s="6" t="str">
        <f>SUBSTITUTE(Raw_Data!G435,"Ã©","é")</f>
        <v>Alpine Jacket</v>
      </c>
      <c r="H435" s="6">
        <v>3</v>
      </c>
      <c r="I435" s="6" t="s">
        <v>1013</v>
      </c>
      <c r="J435" s="6" t="s">
        <v>102</v>
      </c>
      <c r="K435" s="6">
        <v>0.64</v>
      </c>
      <c r="L435" s="6" t="s">
        <v>42</v>
      </c>
      <c r="M435" s="6" t="s">
        <v>34</v>
      </c>
      <c r="N435" s="6"/>
    </row>
    <row r="436" spans="1:14">
      <c r="A436" s="6" t="s">
        <v>1014</v>
      </c>
      <c r="B436" s="7">
        <v>46083</v>
      </c>
      <c r="C436" s="6" t="s">
        <v>1015</v>
      </c>
      <c r="D436" s="6" t="str">
        <f>IF(OR(PROPER(TRIM(Raw_Data!D436))="Uk",PROPER(TRIM(Raw_Data!D436))="Gb",PROPER(TRIM(Raw_Data!D436))="United kingdom"),"United Kingdom",PROPER(TRIM(Raw_Data!D436)))</f>
        <v>United Kingdom</v>
      </c>
      <c r="E436" s="6" t="s">
        <v>78</v>
      </c>
      <c r="F436" s="6" t="s">
        <v>29</v>
      </c>
      <c r="G436" s="6" t="str">
        <f>SUBSTITUTE(Raw_Data!G436,"Ã©","é")</f>
        <v>Trekking Poles</v>
      </c>
      <c r="H436" s="6">
        <v>3</v>
      </c>
      <c r="I436" s="6" t="s">
        <v>73</v>
      </c>
      <c r="J436" s="6" t="s">
        <v>499</v>
      </c>
      <c r="K436" s="6">
        <v>0.52</v>
      </c>
      <c r="L436" s="6" t="s">
        <v>42</v>
      </c>
      <c r="M436" s="6" t="s">
        <v>69</v>
      </c>
      <c r="N436" s="6"/>
    </row>
    <row r="437" spans="1:14">
      <c r="A437" s="6" t="s">
        <v>1016</v>
      </c>
      <c r="B437" s="7">
        <v>46116</v>
      </c>
      <c r="C437" s="6" t="s">
        <v>1017</v>
      </c>
      <c r="D437" s="6" t="str">
        <f>IF(OR(PROPER(TRIM(Raw_Data!D437))="Uk",PROPER(TRIM(Raw_Data!D437))="Gb",PROPER(TRIM(Raw_Data!D437))="United kingdom"),"United Kingdom",PROPER(TRIM(Raw_Data!D437)))</f>
        <v>United Kingdom</v>
      </c>
      <c r="E437" s="6" t="s">
        <v>52</v>
      </c>
      <c r="F437" s="6" t="s">
        <v>58</v>
      </c>
      <c r="G437" s="6" t="str">
        <f>SUBSTITUTE(Raw_Data!G437,"Ã©","é")</f>
        <v>Alpine Jacket</v>
      </c>
      <c r="H437" s="6">
        <v>1</v>
      </c>
      <c r="I437" s="6" t="s">
        <v>82</v>
      </c>
      <c r="J437" s="6" t="s">
        <v>82</v>
      </c>
      <c r="K437" s="6">
        <v>0.38</v>
      </c>
      <c r="L437" s="6" t="s">
        <v>33</v>
      </c>
      <c r="M437" s="6" t="s">
        <v>34</v>
      </c>
      <c r="N437" s="6"/>
    </row>
    <row r="438" spans="1:14">
      <c r="A438" s="6" t="s">
        <v>1018</v>
      </c>
      <c r="B438" s="7">
        <v>46072</v>
      </c>
      <c r="C438" s="6" t="s">
        <v>1019</v>
      </c>
      <c r="D438" s="6" t="str">
        <f>IF(OR(PROPER(TRIM(Raw_Data!D438))="Uk",PROPER(TRIM(Raw_Data!D438))="Gb",PROPER(TRIM(Raw_Data!D438))="United kingdom"),"United Kingdom",PROPER(TRIM(Raw_Data!D438)))</f>
        <v>France</v>
      </c>
      <c r="E438" s="6" t="s">
        <v>78</v>
      </c>
      <c r="F438" s="6" t="s">
        <v>29</v>
      </c>
      <c r="G438" s="6" t="str">
        <f>SUBSTITUTE(Raw_Data!G438,"Ã©","é")</f>
        <v>Trekking Poles</v>
      </c>
      <c r="H438" s="6">
        <v>2</v>
      </c>
      <c r="I438" s="6" t="s">
        <v>31</v>
      </c>
      <c r="J438" s="6" t="s">
        <v>249</v>
      </c>
      <c r="K438" s="6">
        <v>0.52</v>
      </c>
      <c r="L438" s="6" t="s">
        <v>42</v>
      </c>
      <c r="M438" s="6" t="s">
        <v>69</v>
      </c>
      <c r="N438" s="6"/>
    </row>
    <row r="439" spans="1:14">
      <c r="A439" s="6" t="s">
        <v>1020</v>
      </c>
      <c r="B439" s="7">
        <v>46059</v>
      </c>
      <c r="C439" s="6" t="s">
        <v>1021</v>
      </c>
      <c r="D439" s="6" t="str">
        <f>IF(OR(PROPER(TRIM(Raw_Data!D439))="Uk",PROPER(TRIM(Raw_Data!D439))="Gb",PROPER(TRIM(Raw_Data!D439))="United kingdom"),"United Kingdom",PROPER(TRIM(Raw_Data!D439)))</f>
        <v>United Kingdom</v>
      </c>
      <c r="E439" s="6" t="s">
        <v>52</v>
      </c>
      <c r="F439" s="6" t="s">
        <v>100</v>
      </c>
      <c r="G439" s="6" t="str">
        <f>SUBSTITUTE(Raw_Data!G439,"Ã©","é")</f>
        <v>Summit Down Gilet</v>
      </c>
      <c r="H439" s="6">
        <v>3</v>
      </c>
      <c r="I439" s="6" t="s">
        <v>143</v>
      </c>
      <c r="J439" s="6" t="s">
        <v>243</v>
      </c>
      <c r="K439" s="6">
        <v>0.64</v>
      </c>
      <c r="L439" s="6" t="s">
        <v>42</v>
      </c>
      <c r="M439" s="6" t="s">
        <v>34</v>
      </c>
      <c r="N439" s="6"/>
    </row>
    <row r="440" spans="1:14">
      <c r="A440" s="6" t="s">
        <v>1022</v>
      </c>
      <c r="B440" s="7">
        <v>46299</v>
      </c>
      <c r="C440" s="6" t="s">
        <v>556</v>
      </c>
      <c r="D440" s="6" t="str">
        <f>IF(OR(PROPER(TRIM(Raw_Data!D440))="Uk",PROPER(TRIM(Raw_Data!D440))="Gb",PROPER(TRIM(Raw_Data!D440))="United kingdom"),"United Kingdom",PROPER(TRIM(Raw_Data!D440)))</f>
        <v>France</v>
      </c>
      <c r="E440" s="6" t="s">
        <v>78</v>
      </c>
      <c r="F440" s="6" t="s">
        <v>29</v>
      </c>
      <c r="G440" s="6" t="str">
        <f>SUBSTITUTE(Raw_Data!G440,"Ã©","é")</f>
        <v>Trekking Poles</v>
      </c>
      <c r="H440" s="6">
        <v>3</v>
      </c>
      <c r="I440" s="6" t="s">
        <v>73</v>
      </c>
      <c r="J440" s="6" t="s">
        <v>499</v>
      </c>
      <c r="K440" s="6">
        <v>0.52</v>
      </c>
      <c r="L440" s="6" t="s">
        <v>42</v>
      </c>
      <c r="M440" s="6" t="s">
        <v>69</v>
      </c>
      <c r="N440" s="6"/>
    </row>
    <row r="441" spans="1:14">
      <c r="A441" s="6" t="s">
        <v>1023</v>
      </c>
      <c r="B441" s="7">
        <v>46119</v>
      </c>
      <c r="C441" s="6" t="s">
        <v>1024</v>
      </c>
      <c r="D441" s="6" t="str">
        <f>IF(OR(PROPER(TRIM(Raw_Data!D441))="Uk",PROPER(TRIM(Raw_Data!D441))="Gb",PROPER(TRIM(Raw_Data!D441))="United kingdom"),"United Kingdom",PROPER(TRIM(Raw_Data!D441)))</f>
        <v>United Kingdom</v>
      </c>
      <c r="E441" s="6" t="s">
        <v>52</v>
      </c>
      <c r="F441" s="6" t="s">
        <v>47</v>
      </c>
      <c r="G441" s="6" t="str">
        <f>SUBSTITUTE(Raw_Data!G441,"Ã©","é")</f>
        <v>Alpine Jacket</v>
      </c>
      <c r="H441" s="6">
        <v>1</v>
      </c>
      <c r="I441" s="6" t="s">
        <v>79</v>
      </c>
      <c r="J441" s="6" t="s">
        <v>79</v>
      </c>
      <c r="K441" s="6">
        <v>8.5000000000000006E-2</v>
      </c>
      <c r="L441" s="6" t="s">
        <v>42</v>
      </c>
      <c r="M441" s="6" t="s">
        <v>69</v>
      </c>
      <c r="N441" s="6"/>
    </row>
    <row r="442" spans="1:14">
      <c r="A442" s="6" t="s">
        <v>1025</v>
      </c>
      <c r="B442" s="7">
        <v>46236</v>
      </c>
      <c r="C442" s="6" t="s">
        <v>219</v>
      </c>
      <c r="D442" s="6" t="str">
        <f>IF(OR(PROPER(TRIM(Raw_Data!D442))="Uk",PROPER(TRIM(Raw_Data!D442))="Gb",PROPER(TRIM(Raw_Data!D442))="United kingdom"),"United Kingdom",PROPER(TRIM(Raw_Data!D442)))</f>
        <v>Germany</v>
      </c>
      <c r="E442" s="6" t="s">
        <v>37</v>
      </c>
      <c r="F442" s="6" t="s">
        <v>100</v>
      </c>
      <c r="G442" s="6" t="str">
        <f>SUBSTITUTE(Raw_Data!G442,"Ã©","é")</f>
        <v>Trekking Poles</v>
      </c>
      <c r="H442" s="6">
        <v>1</v>
      </c>
      <c r="I442" s="6" t="s">
        <v>231</v>
      </c>
      <c r="J442" s="6" t="s">
        <v>231</v>
      </c>
      <c r="K442" s="6">
        <v>0.64</v>
      </c>
      <c r="L442" s="6" t="s">
        <v>42</v>
      </c>
      <c r="M442" s="6" t="s">
        <v>34</v>
      </c>
      <c r="N442" s="6"/>
    </row>
    <row r="443" spans="1:14">
      <c r="A443" s="6" t="s">
        <v>1026</v>
      </c>
      <c r="B443" s="7">
        <v>46119</v>
      </c>
      <c r="C443" s="6" t="s">
        <v>1027</v>
      </c>
      <c r="D443" s="6" t="str">
        <f>IF(OR(PROPER(TRIM(Raw_Data!D443))="Uk",PROPER(TRIM(Raw_Data!D443))="Gb",PROPER(TRIM(Raw_Data!D443))="United kingdom"),"United Kingdom",PROPER(TRIM(Raw_Data!D443)))</f>
        <v>United Kingdom</v>
      </c>
      <c r="E443" s="6" t="s">
        <v>52</v>
      </c>
      <c r="F443" s="6" t="s">
        <v>94</v>
      </c>
      <c r="G443" s="6" t="str">
        <f>SUBSTITUTE(Raw_Data!G443,"Ã©","é")</f>
        <v>Fell Runner Cap</v>
      </c>
      <c r="H443" s="6">
        <v>2</v>
      </c>
      <c r="I443" s="6" t="s">
        <v>231</v>
      </c>
      <c r="J443" s="6" t="s">
        <v>232</v>
      </c>
      <c r="K443" s="6">
        <v>0.34</v>
      </c>
      <c r="L443" s="6" t="s">
        <v>42</v>
      </c>
      <c r="M443" s="6" t="s">
        <v>34</v>
      </c>
      <c r="N443" s="6"/>
    </row>
    <row r="444" spans="1:14">
      <c r="A444" s="6" t="s">
        <v>1028</v>
      </c>
      <c r="B444" s="7">
        <v>46075</v>
      </c>
      <c r="C444" s="6" t="s">
        <v>761</v>
      </c>
      <c r="D444" s="6" t="str">
        <f>IF(OR(PROPER(TRIM(Raw_Data!D444))="Uk",PROPER(TRIM(Raw_Data!D444))="Gb",PROPER(TRIM(Raw_Data!D444))="United kingdom"),"United Kingdom",PROPER(TRIM(Raw_Data!D444)))</f>
        <v>Germany</v>
      </c>
      <c r="E444" s="6" t="s">
        <v>52</v>
      </c>
      <c r="F444" s="6" t="s">
        <v>58</v>
      </c>
      <c r="G444" s="6" t="str">
        <f>SUBSTITUTE(Raw_Data!G444,"Ã©","é")</f>
        <v>Alpine Jacket</v>
      </c>
      <c r="H444" s="6">
        <v>3</v>
      </c>
      <c r="I444" s="6" t="s">
        <v>73</v>
      </c>
      <c r="J444" s="6" t="s">
        <v>499</v>
      </c>
      <c r="K444" s="6">
        <v>0.38</v>
      </c>
      <c r="L444" s="6" t="s">
        <v>42</v>
      </c>
      <c r="M444" s="6" t="s">
        <v>69</v>
      </c>
      <c r="N444" s="6"/>
    </row>
    <row r="445" spans="1:14">
      <c r="A445" s="6" t="s">
        <v>1029</v>
      </c>
      <c r="B445" s="7">
        <v>46127</v>
      </c>
      <c r="C445" s="6" t="s">
        <v>1030</v>
      </c>
      <c r="D445" s="6" t="str">
        <f>IF(OR(PROPER(TRIM(Raw_Data!D445))="Uk",PROPER(TRIM(Raw_Data!D445))="Gb",PROPER(TRIM(Raw_Data!D445))="United kingdom"),"United Kingdom",PROPER(TRIM(Raw_Data!D445)))</f>
        <v>United Kingdom</v>
      </c>
      <c r="E445" s="6" t="s">
        <v>46</v>
      </c>
      <c r="F445" s="6" t="s">
        <v>29</v>
      </c>
      <c r="G445" s="6" t="str">
        <f>SUBSTITUTE(Raw_Data!G445,"Ã©","é")</f>
        <v>Café Latte Mug</v>
      </c>
      <c r="H445" s="6">
        <v>1</v>
      </c>
      <c r="I445" s="6" t="s">
        <v>40</v>
      </c>
      <c r="J445" s="6" t="s">
        <v>40</v>
      </c>
      <c r="K445" s="6">
        <v>0.52</v>
      </c>
      <c r="L445" s="6" t="s">
        <v>42</v>
      </c>
      <c r="M445" s="6" t="s">
        <v>69</v>
      </c>
      <c r="N445" s="6"/>
    </row>
    <row r="446" spans="1:14">
      <c r="A446" s="6" t="s">
        <v>1031</v>
      </c>
      <c r="B446" s="7">
        <v>46299</v>
      </c>
      <c r="C446" s="6" t="s">
        <v>1032</v>
      </c>
      <c r="D446" s="6" t="str">
        <f>IF(OR(PROPER(TRIM(Raw_Data!D446))="Uk",PROPER(TRIM(Raw_Data!D446))="Gb",PROPER(TRIM(Raw_Data!D446))="United kingdom"),"United Kingdom",PROPER(TRIM(Raw_Data!D446)))</f>
        <v>France</v>
      </c>
      <c r="E446" s="6" t="s">
        <v>28</v>
      </c>
      <c r="F446" s="6" t="s">
        <v>29</v>
      </c>
      <c r="G446" s="6" t="str">
        <f>SUBSTITUTE(Raw_Data!G446,"Ã©","é")</f>
        <v>Summit Down Gilet</v>
      </c>
      <c r="H446" s="6">
        <v>2</v>
      </c>
      <c r="I446" s="6" t="s">
        <v>96</v>
      </c>
      <c r="J446" s="6" t="s">
        <v>278</v>
      </c>
      <c r="K446" s="6">
        <v>0.52</v>
      </c>
      <c r="L446" s="6" t="s">
        <v>42</v>
      </c>
      <c r="M446" s="6" t="s">
        <v>34</v>
      </c>
      <c r="N446" s="6"/>
    </row>
    <row r="447" spans="1:14">
      <c r="A447" s="6" t="s">
        <v>1033</v>
      </c>
      <c r="B447" s="7">
        <v>46192</v>
      </c>
      <c r="C447" s="6" t="s">
        <v>1034</v>
      </c>
      <c r="D447" s="6" t="str">
        <f>IF(OR(PROPER(TRIM(Raw_Data!D447))="Uk",PROPER(TRIM(Raw_Data!D447))="Gb",PROPER(TRIM(Raw_Data!D447))="United kingdom"),"United Kingdom",PROPER(TRIM(Raw_Data!D447)))</f>
        <v>France</v>
      </c>
      <c r="E447" s="6" t="s">
        <v>46</v>
      </c>
      <c r="F447" s="6" t="s">
        <v>38</v>
      </c>
      <c r="G447" s="6" t="str">
        <f>SUBSTITUTE(Raw_Data!G447,"Ã©","é")</f>
        <v>Trekking Poles</v>
      </c>
      <c r="H447" s="6">
        <v>1</v>
      </c>
      <c r="I447" s="6" t="s">
        <v>40</v>
      </c>
      <c r="J447" s="6" t="s">
        <v>40</v>
      </c>
      <c r="K447" s="6">
        <v>0.52</v>
      </c>
      <c r="L447" s="6" t="s">
        <v>42</v>
      </c>
      <c r="M447" s="6" t="s">
        <v>34</v>
      </c>
      <c r="N447" s="6"/>
    </row>
    <row r="448" spans="1:14">
      <c r="A448" s="6" t="s">
        <v>1035</v>
      </c>
      <c r="B448" s="7">
        <v>46137</v>
      </c>
      <c r="C448" s="6" t="s">
        <v>191</v>
      </c>
      <c r="D448" s="6" t="str">
        <f>IF(OR(PROPER(TRIM(Raw_Data!D448))="Uk",PROPER(TRIM(Raw_Data!D448))="Gb",PROPER(TRIM(Raw_Data!D448))="United kingdom"),"United Kingdom",PROPER(TRIM(Raw_Data!D448)))</f>
        <v>United Kingdom</v>
      </c>
      <c r="E448" s="6" t="s">
        <v>28</v>
      </c>
      <c r="F448" s="6" t="s">
        <v>94</v>
      </c>
      <c r="G448" s="6" t="str">
        <f>SUBSTITUTE(Raw_Data!G448,"Ã©","é")</f>
        <v>Trekking Poles</v>
      </c>
      <c r="H448" s="6">
        <v>1</v>
      </c>
      <c r="I448" s="6" t="s">
        <v>143</v>
      </c>
      <c r="J448" s="6" t="s">
        <v>143</v>
      </c>
      <c r="K448" s="6">
        <v>0.34</v>
      </c>
      <c r="L448" s="6" t="s">
        <v>42</v>
      </c>
      <c r="M448" s="6" t="s">
        <v>34</v>
      </c>
      <c r="N448" s="6"/>
    </row>
    <row r="449" spans="1:14">
      <c r="A449" s="6" t="s">
        <v>1037</v>
      </c>
      <c r="B449" s="7">
        <v>46133</v>
      </c>
      <c r="C449" s="6" t="s">
        <v>853</v>
      </c>
      <c r="D449" s="6" t="str">
        <f>IF(OR(PROPER(TRIM(Raw_Data!D449))="Uk",PROPER(TRIM(Raw_Data!D449))="Gb",PROPER(TRIM(Raw_Data!D449))="United kingdom"),"United Kingdom",PROPER(TRIM(Raw_Data!D449)))</f>
        <v>United Kingdom</v>
      </c>
      <c r="E449" s="6" t="s">
        <v>28</v>
      </c>
      <c r="F449" s="6" t="s">
        <v>29</v>
      </c>
      <c r="G449" s="6" t="str">
        <f>SUBSTITUTE(Raw_Data!G449,"Ã©","é")</f>
        <v>Trail Softshell</v>
      </c>
      <c r="H449" s="6">
        <v>3</v>
      </c>
      <c r="I449" s="6" t="s">
        <v>143</v>
      </c>
      <c r="J449" s="6" t="s">
        <v>243</v>
      </c>
      <c r="K449" s="6">
        <v>0.52</v>
      </c>
      <c r="L449" s="6" t="s">
        <v>42</v>
      </c>
      <c r="M449" s="6" t="s">
        <v>34</v>
      </c>
      <c r="N449" s="6"/>
    </row>
    <row r="450" spans="1:14">
      <c r="A450" s="6" t="s">
        <v>1038</v>
      </c>
      <c r="B450" s="7">
        <v>46080</v>
      </c>
      <c r="C450" s="6" t="s">
        <v>1039</v>
      </c>
      <c r="D450" s="6" t="str">
        <f>IF(OR(PROPER(TRIM(Raw_Data!D450))="Uk",PROPER(TRIM(Raw_Data!D450))="Gb",PROPER(TRIM(Raw_Data!D450))="United kingdom"),"United Kingdom",PROPER(TRIM(Raw_Data!D450)))</f>
        <v>Ireland</v>
      </c>
      <c r="E450" s="6" t="s">
        <v>78</v>
      </c>
      <c r="F450" s="6" t="s">
        <v>85</v>
      </c>
      <c r="G450" s="6" t="str">
        <f>SUBSTITUTE(Raw_Data!G450,"Ã©","é")</f>
        <v>Café Latte Mug</v>
      </c>
      <c r="H450" s="6">
        <v>1</v>
      </c>
      <c r="I450" s="6" t="s">
        <v>67</v>
      </c>
      <c r="J450" s="6" t="s">
        <v>67</v>
      </c>
      <c r="K450" s="6">
        <v>0.41</v>
      </c>
      <c r="L450" s="6" t="s">
        <v>33</v>
      </c>
      <c r="M450" s="6" t="s">
        <v>34</v>
      </c>
      <c r="N450" s="6"/>
    </row>
    <row r="451" spans="1:14">
      <c r="A451" s="6" t="s">
        <v>1040</v>
      </c>
      <c r="B451" s="7">
        <v>46202</v>
      </c>
      <c r="C451" s="6" t="s">
        <v>475</v>
      </c>
      <c r="D451" s="6" t="str">
        <f>IF(OR(PROPER(TRIM(Raw_Data!D451))="Uk",PROPER(TRIM(Raw_Data!D451))="Gb",PROPER(TRIM(Raw_Data!D451))="United kingdom"),"United Kingdom",PROPER(TRIM(Raw_Data!D451)))</f>
        <v>France</v>
      </c>
      <c r="E451" s="6" t="s">
        <v>37</v>
      </c>
      <c r="F451" s="6" t="s">
        <v>94</v>
      </c>
      <c r="G451" s="6" t="str">
        <f>SUBSTITUTE(Raw_Data!G451,"Ã©","é")</f>
        <v>Trekking Poles</v>
      </c>
      <c r="H451" s="6">
        <v>1</v>
      </c>
      <c r="I451" s="6" t="s">
        <v>60</v>
      </c>
      <c r="J451" s="6" t="s">
        <v>60</v>
      </c>
      <c r="K451" s="6">
        <v>0.34</v>
      </c>
      <c r="L451" s="6" t="s">
        <v>42</v>
      </c>
      <c r="M451" s="6" t="s">
        <v>34</v>
      </c>
      <c r="N451" s="6"/>
    </row>
    <row r="452" spans="1:14">
      <c r="A452" s="6" t="s">
        <v>1041</v>
      </c>
      <c r="B452" s="7">
        <v>46060</v>
      </c>
      <c r="C452" s="6" t="s">
        <v>341</v>
      </c>
      <c r="D452" s="6" t="str">
        <f>IF(OR(PROPER(TRIM(Raw_Data!D452))="Uk",PROPER(TRIM(Raw_Data!D452))="Gb",PROPER(TRIM(Raw_Data!D452))="United kingdom"),"United Kingdom",PROPER(TRIM(Raw_Data!D452)))</f>
        <v>United Kingdom</v>
      </c>
      <c r="E452" s="6" t="s">
        <v>37</v>
      </c>
      <c r="F452" s="6" t="s">
        <v>53</v>
      </c>
      <c r="G452" s="6" t="str">
        <f>SUBSTITUTE(Raw_Data!G452,"Ã©","é")</f>
        <v>Storm Overtrousers</v>
      </c>
      <c r="H452" s="6">
        <v>2</v>
      </c>
      <c r="I452" s="6" t="s">
        <v>143</v>
      </c>
      <c r="J452" s="6" t="s">
        <v>144</v>
      </c>
      <c r="K452" s="6">
        <v>0.19</v>
      </c>
      <c r="L452" s="6" t="s">
        <v>42</v>
      </c>
      <c r="M452" s="6" t="s">
        <v>69</v>
      </c>
      <c r="N452" s="6"/>
    </row>
    <row r="453" spans="1:14">
      <c r="A453" s="6" t="s">
        <v>1042</v>
      </c>
      <c r="B453" s="7">
        <v>46041</v>
      </c>
      <c r="C453" s="6" t="s">
        <v>1043</v>
      </c>
      <c r="D453" s="6" t="str">
        <f>IF(OR(PROPER(TRIM(Raw_Data!D453))="Uk",PROPER(TRIM(Raw_Data!D453))="Gb",PROPER(TRIM(Raw_Data!D453))="United kingdom"),"United Kingdom",PROPER(TRIM(Raw_Data!D453)))</f>
        <v>France</v>
      </c>
      <c r="E453" s="6" t="s">
        <v>37</v>
      </c>
      <c r="F453" s="6" t="s">
        <v>38</v>
      </c>
      <c r="G453" s="6" t="str">
        <f>SUBSTITUTE(Raw_Data!G453,"Ã©","é")</f>
        <v>Café Latte Mug</v>
      </c>
      <c r="H453" s="6">
        <v>2</v>
      </c>
      <c r="I453" s="6" t="s">
        <v>96</v>
      </c>
      <c r="J453" s="6" t="s">
        <v>1044</v>
      </c>
      <c r="K453" s="6">
        <v>0.52</v>
      </c>
      <c r="L453" s="6" t="s">
        <v>42</v>
      </c>
      <c r="M453" s="6" t="s">
        <v>34</v>
      </c>
      <c r="N453" s="6"/>
    </row>
    <row r="454" spans="1:14">
      <c r="A454" s="6" t="s">
        <v>1045</v>
      </c>
      <c r="B454" s="7">
        <v>46201</v>
      </c>
      <c r="C454" s="6" t="s">
        <v>81</v>
      </c>
      <c r="D454" s="6" t="str">
        <f>IF(OR(PROPER(TRIM(Raw_Data!D454))="Uk",PROPER(TRIM(Raw_Data!D454))="Gb",PROPER(TRIM(Raw_Data!D454))="United kingdom"),"United Kingdom",PROPER(TRIM(Raw_Data!D454)))</f>
        <v>United Kingdom</v>
      </c>
      <c r="E454" s="6" t="s">
        <v>78</v>
      </c>
      <c r="F454" s="6" t="s">
        <v>38</v>
      </c>
      <c r="G454" s="6" t="str">
        <f>SUBSTITUTE(Raw_Data!G454,"Ã©","é")</f>
        <v>Merino Base Layer</v>
      </c>
      <c r="H454" s="6">
        <v>1</v>
      </c>
      <c r="I454" s="6" t="s">
        <v>373</v>
      </c>
      <c r="J454" s="6" t="s">
        <v>370</v>
      </c>
      <c r="K454" s="6">
        <v>0.52</v>
      </c>
      <c r="L454" s="6" t="s">
        <v>42</v>
      </c>
      <c r="M454" s="6" t="s">
        <v>34</v>
      </c>
      <c r="N454" s="6"/>
    </row>
    <row r="455" spans="1:14">
      <c r="A455" s="6" t="s">
        <v>1046</v>
      </c>
      <c r="B455" s="7">
        <v>46175</v>
      </c>
      <c r="C455" s="6" t="s">
        <v>1047</v>
      </c>
      <c r="D455" s="6" t="str">
        <f>IF(OR(PROPER(TRIM(Raw_Data!D455))="Uk",PROPER(TRIM(Raw_Data!D455))="Gb",PROPER(TRIM(Raw_Data!D455))="United kingdom"),"United Kingdom",PROPER(TRIM(Raw_Data!D455)))</f>
        <v>United Kingdom</v>
      </c>
      <c r="E455" s="6" t="s">
        <v>46</v>
      </c>
      <c r="F455" s="6" t="s">
        <v>53</v>
      </c>
      <c r="G455" s="6" t="str">
        <f>SUBSTITUTE(Raw_Data!G455,"Ã©","é")</f>
        <v>Trail Softshell</v>
      </c>
      <c r="H455" s="6">
        <v>1</v>
      </c>
      <c r="I455" s="6" t="s">
        <v>265</v>
      </c>
      <c r="J455" s="6" t="s">
        <v>265</v>
      </c>
      <c r="K455" s="6">
        <v>0.19</v>
      </c>
      <c r="L455" s="6" t="s">
        <v>33</v>
      </c>
      <c r="M455" s="6" t="s">
        <v>34</v>
      </c>
      <c r="N455" s="6"/>
    </row>
    <row r="456" spans="1:14">
      <c r="A456" s="6" t="s">
        <v>1048</v>
      </c>
      <c r="B456" s="7">
        <v>46069</v>
      </c>
      <c r="C456" s="6" t="s">
        <v>274</v>
      </c>
      <c r="D456" s="6" t="str">
        <f>IF(OR(PROPER(TRIM(Raw_Data!D456))="Uk",PROPER(TRIM(Raw_Data!D456))="Gb",PROPER(TRIM(Raw_Data!D456))="United kingdom"),"United Kingdom",PROPER(TRIM(Raw_Data!D456)))</f>
        <v>United Kingdom</v>
      </c>
      <c r="E456" s="6" t="s">
        <v>28</v>
      </c>
      <c r="F456" s="6" t="s">
        <v>100</v>
      </c>
      <c r="G456" s="6" t="str">
        <f>SUBSTITUTE(Raw_Data!G456,"Ã©","é")</f>
        <v>Trail Softshell</v>
      </c>
      <c r="H456" s="6">
        <v>1</v>
      </c>
      <c r="I456" s="6" t="s">
        <v>143</v>
      </c>
      <c r="J456" s="6" t="s">
        <v>143</v>
      </c>
      <c r="K456" s="6">
        <v>0.64</v>
      </c>
      <c r="L456" s="6" t="s">
        <v>33</v>
      </c>
      <c r="M456" s="6" t="s">
        <v>34</v>
      </c>
      <c r="N456" s="6"/>
    </row>
    <row r="457" spans="1:14">
      <c r="A457" s="6" t="s">
        <v>1049</v>
      </c>
      <c r="B457" s="7">
        <v>46268</v>
      </c>
      <c r="C457" s="6" t="s">
        <v>1050</v>
      </c>
      <c r="D457" s="6" t="str">
        <f>IF(OR(PROPER(TRIM(Raw_Data!D457))="Uk",PROPER(TRIM(Raw_Data!D457))="Gb",PROPER(TRIM(Raw_Data!D457))="United kingdom"),"United Kingdom",PROPER(TRIM(Raw_Data!D457)))</f>
        <v>Ireland</v>
      </c>
      <c r="E457" s="6" t="s">
        <v>78</v>
      </c>
      <c r="F457" s="6" t="s">
        <v>94</v>
      </c>
      <c r="G457" s="6" t="str">
        <f>SUBSTITUTE(Raw_Data!G457,"Ã©","é")</f>
        <v>Merino Base Layer</v>
      </c>
      <c r="H457" s="6">
        <v>1</v>
      </c>
      <c r="I457" s="6" t="s">
        <v>82</v>
      </c>
      <c r="J457" s="6" t="s">
        <v>82</v>
      </c>
      <c r="K457" s="6">
        <v>0.34</v>
      </c>
      <c r="L457" s="6" t="s">
        <v>42</v>
      </c>
      <c r="M457" s="6" t="s">
        <v>34</v>
      </c>
      <c r="N457" s="6"/>
    </row>
    <row r="458" spans="1:14">
      <c r="A458" s="6" t="s">
        <v>1051</v>
      </c>
      <c r="B458" s="7">
        <v>46056</v>
      </c>
      <c r="C458" s="6" t="s">
        <v>670</v>
      </c>
      <c r="D458" s="6" t="str">
        <f>IF(OR(PROPER(TRIM(Raw_Data!D458))="Uk",PROPER(TRIM(Raw_Data!D458))="Gb",PROPER(TRIM(Raw_Data!D458))="United kingdom"),"United Kingdom",PROPER(TRIM(Raw_Data!D458)))</f>
        <v>United Kingdom</v>
      </c>
      <c r="E458" s="6" t="s">
        <v>28</v>
      </c>
      <c r="F458" s="6" t="s">
        <v>47</v>
      </c>
      <c r="G458" s="6" t="str">
        <f>SUBSTITUTE(Raw_Data!G458,"Ã©","é")</f>
        <v>Alpine Jacket</v>
      </c>
      <c r="H458" s="6">
        <v>1</v>
      </c>
      <c r="I458" s="6" t="s">
        <v>147</v>
      </c>
      <c r="J458" s="6" t="s">
        <v>147</v>
      </c>
      <c r="K458" s="6">
        <v>8.5000000000000006E-2</v>
      </c>
      <c r="L458" s="6" t="s">
        <v>42</v>
      </c>
      <c r="M458" s="6" t="s">
        <v>69</v>
      </c>
      <c r="N458" s="6"/>
    </row>
    <row r="459" spans="1:14">
      <c r="A459" s="6" t="s">
        <v>1052</v>
      </c>
      <c r="B459" s="7">
        <v>46128</v>
      </c>
      <c r="C459" s="6" t="s">
        <v>1053</v>
      </c>
      <c r="D459" s="6" t="str">
        <f>IF(OR(PROPER(TRIM(Raw_Data!D459))="Uk",PROPER(TRIM(Raw_Data!D459))="Gb",PROPER(TRIM(Raw_Data!D459))="United kingdom"),"United Kingdom",PROPER(TRIM(Raw_Data!D459)))</f>
        <v>Ireland</v>
      </c>
      <c r="E459" s="6" t="s">
        <v>52</v>
      </c>
      <c r="F459" s="6" t="s">
        <v>85</v>
      </c>
      <c r="G459" s="6" t="str">
        <f>SUBSTITUTE(Raw_Data!G459,"Ã©","é")</f>
        <v>Café Latte Mug</v>
      </c>
      <c r="H459" s="6">
        <v>2</v>
      </c>
      <c r="I459" s="6" t="s">
        <v>60</v>
      </c>
      <c r="J459" s="6" t="s">
        <v>189</v>
      </c>
      <c r="K459" s="6">
        <v>0.41</v>
      </c>
      <c r="L459" s="6" t="s">
        <v>42</v>
      </c>
      <c r="M459" s="6" t="s">
        <v>69</v>
      </c>
      <c r="N459" s="6"/>
    </row>
    <row r="460" spans="1:14">
      <c r="A460" s="6" t="s">
        <v>1054</v>
      </c>
      <c r="B460" s="7">
        <v>46201</v>
      </c>
      <c r="C460" s="6" t="s">
        <v>1055</v>
      </c>
      <c r="D460" s="6" t="str">
        <f>IF(OR(PROPER(TRIM(Raw_Data!D460))="Uk",PROPER(TRIM(Raw_Data!D460))="Gb",PROPER(TRIM(Raw_Data!D460))="United kingdom"),"United Kingdom",PROPER(TRIM(Raw_Data!D460)))</f>
        <v>United Kingdom</v>
      </c>
      <c r="E460" s="6" t="s">
        <v>37</v>
      </c>
      <c r="F460" s="6" t="s">
        <v>100</v>
      </c>
      <c r="G460" s="6" t="str">
        <f>SUBSTITUTE(Raw_Data!G460,"Ã©","é")</f>
        <v>Fell Runner Cap</v>
      </c>
      <c r="H460" s="6">
        <v>1</v>
      </c>
      <c r="I460" s="6" t="s">
        <v>143</v>
      </c>
      <c r="J460" s="6" t="s">
        <v>143</v>
      </c>
      <c r="K460" s="6">
        <v>0.64</v>
      </c>
      <c r="L460" s="6" t="s">
        <v>42</v>
      </c>
      <c r="M460" s="6" t="s">
        <v>34</v>
      </c>
      <c r="N460" s="6"/>
    </row>
    <row r="461" spans="1:14">
      <c r="A461" s="6" t="s">
        <v>1056</v>
      </c>
      <c r="B461" s="7">
        <v>46149</v>
      </c>
      <c r="C461" s="6" t="s">
        <v>1057</v>
      </c>
      <c r="D461" s="6" t="str">
        <f>IF(OR(PROPER(TRIM(Raw_Data!D461))="Uk",PROPER(TRIM(Raw_Data!D461))="Gb",PROPER(TRIM(Raw_Data!D461))="United kingdom"),"United Kingdom",PROPER(TRIM(Raw_Data!D461)))</f>
        <v>United Kingdom</v>
      </c>
      <c r="E461" s="6" t="s">
        <v>37</v>
      </c>
      <c r="F461" s="6" t="s">
        <v>100</v>
      </c>
      <c r="G461" s="6" t="str">
        <f>SUBSTITUTE(Raw_Data!G461,"Ã©","é")</f>
        <v>Storm Overtrousers</v>
      </c>
      <c r="H461" s="6">
        <v>1</v>
      </c>
      <c r="I461" s="6" t="s">
        <v>79</v>
      </c>
      <c r="J461" s="6" t="s">
        <v>79</v>
      </c>
      <c r="K461" s="6">
        <v>0.64</v>
      </c>
      <c r="L461" s="6" t="s">
        <v>42</v>
      </c>
      <c r="M461" s="6" t="s">
        <v>69</v>
      </c>
      <c r="N461" s="6"/>
    </row>
    <row r="462" spans="1:14">
      <c r="A462" s="6" t="s">
        <v>1058</v>
      </c>
      <c r="B462" s="7">
        <v>46144</v>
      </c>
      <c r="C462" s="6" t="s">
        <v>1059</v>
      </c>
      <c r="D462" s="6" t="str">
        <f>IF(OR(PROPER(TRIM(Raw_Data!D462))="Uk",PROPER(TRIM(Raw_Data!D462))="Gb",PROPER(TRIM(Raw_Data!D462))="United kingdom"),"United Kingdom",PROPER(TRIM(Raw_Data!D462)))</f>
        <v>United Kingdom</v>
      </c>
      <c r="E462" s="6" t="s">
        <v>46</v>
      </c>
      <c r="F462" s="6" t="s">
        <v>85</v>
      </c>
      <c r="G462" s="6" t="str">
        <f>SUBSTITUTE(Raw_Data!G462,"Ã©","é")</f>
        <v>Alpine Jacket</v>
      </c>
      <c r="H462" s="6">
        <v>1</v>
      </c>
      <c r="I462" s="6" t="s">
        <v>117</v>
      </c>
      <c r="J462" s="6" t="s">
        <v>1060</v>
      </c>
      <c r="K462" s="6">
        <v>0.41</v>
      </c>
      <c r="L462" s="6" t="s">
        <v>42</v>
      </c>
      <c r="M462" s="6" t="s">
        <v>69</v>
      </c>
      <c r="N462" s="6"/>
    </row>
    <row r="463" spans="1:14">
      <c r="A463" s="6" t="s">
        <v>1061</v>
      </c>
      <c r="B463" s="7">
        <v>46238</v>
      </c>
      <c r="C463" s="6" t="s">
        <v>910</v>
      </c>
      <c r="D463" s="6" t="str">
        <f>IF(OR(PROPER(TRIM(Raw_Data!D463))="Uk",PROPER(TRIM(Raw_Data!D463))="Gb",PROPER(TRIM(Raw_Data!D463))="United kingdom"),"United Kingdom",PROPER(TRIM(Raw_Data!D463)))</f>
        <v>United Kingdom</v>
      </c>
      <c r="E463" s="6" t="s">
        <v>78</v>
      </c>
      <c r="F463" s="6" t="s">
        <v>94</v>
      </c>
      <c r="G463" s="6" t="str">
        <f>SUBSTITUTE(Raw_Data!G463,"Ã©","é")</f>
        <v>Alpine Jacket</v>
      </c>
      <c r="H463" s="6">
        <v>1</v>
      </c>
      <c r="I463" s="6" t="s">
        <v>79</v>
      </c>
      <c r="J463" s="6" t="s">
        <v>79</v>
      </c>
      <c r="K463" s="6">
        <v>0.34</v>
      </c>
      <c r="L463" s="6" t="s">
        <v>42</v>
      </c>
      <c r="M463" s="6" t="s">
        <v>34</v>
      </c>
      <c r="N463" s="6"/>
    </row>
    <row r="464" spans="1:14">
      <c r="A464" s="6" t="s">
        <v>1062</v>
      </c>
      <c r="B464" s="7">
        <v>46070</v>
      </c>
      <c r="C464" s="6" t="s">
        <v>1063</v>
      </c>
      <c r="D464" s="6" t="str">
        <f>IF(OR(PROPER(TRIM(Raw_Data!D464))="Uk",PROPER(TRIM(Raw_Data!D464))="Gb",PROPER(TRIM(Raw_Data!D464))="United kingdom"),"United Kingdom",PROPER(TRIM(Raw_Data!D464)))</f>
        <v>United Kingdom</v>
      </c>
      <c r="E464" s="6" t="s">
        <v>52</v>
      </c>
      <c r="F464" s="6" t="s">
        <v>38</v>
      </c>
      <c r="G464" s="6" t="str">
        <f>SUBSTITUTE(Raw_Data!G464,"Ã©","é")</f>
        <v>Storm Overtrousers</v>
      </c>
      <c r="H464" s="6">
        <v>2</v>
      </c>
      <c r="I464" s="6" t="s">
        <v>79</v>
      </c>
      <c r="J464" s="6" t="s">
        <v>259</v>
      </c>
      <c r="K464" s="6">
        <v>0.52</v>
      </c>
      <c r="L464" s="6" t="s">
        <v>33</v>
      </c>
      <c r="M464" s="6" t="s">
        <v>34</v>
      </c>
      <c r="N464" s="6"/>
    </row>
    <row r="465" spans="1:14">
      <c r="A465" s="6" t="s">
        <v>1064</v>
      </c>
      <c r="B465" s="7">
        <v>46049</v>
      </c>
      <c r="C465" s="6" t="s">
        <v>1065</v>
      </c>
      <c r="D465" s="6" t="str">
        <f>IF(OR(PROPER(TRIM(Raw_Data!D465))="Uk",PROPER(TRIM(Raw_Data!D465))="Gb",PROPER(TRIM(Raw_Data!D465))="United kingdom"),"United Kingdom",PROPER(TRIM(Raw_Data!D465)))</f>
        <v>Ireland</v>
      </c>
      <c r="E465" s="6" t="s">
        <v>52</v>
      </c>
      <c r="F465" s="6" t="s">
        <v>29</v>
      </c>
      <c r="G465" s="6" t="str">
        <f>SUBSTITUTE(Raw_Data!G465,"Ã©","é")</f>
        <v>Café Latte Mug</v>
      </c>
      <c r="H465" s="6">
        <v>2</v>
      </c>
      <c r="I465" s="6" t="s">
        <v>143</v>
      </c>
      <c r="J465" s="6" t="s">
        <v>144</v>
      </c>
      <c r="K465" s="6">
        <v>0.52</v>
      </c>
      <c r="L465" s="6" t="s">
        <v>42</v>
      </c>
      <c r="M465" s="6" t="s">
        <v>34</v>
      </c>
      <c r="N465" s="6"/>
    </row>
    <row r="466" spans="1:14">
      <c r="A466" s="6" t="s">
        <v>1066</v>
      </c>
      <c r="B466" s="7">
        <v>46050</v>
      </c>
      <c r="C466" s="6" t="s">
        <v>267</v>
      </c>
      <c r="D466" s="6" t="str">
        <f>IF(OR(PROPER(TRIM(Raw_Data!D466))="Uk",PROPER(TRIM(Raw_Data!D466))="Gb",PROPER(TRIM(Raw_Data!D466))="United kingdom"),"United Kingdom",PROPER(TRIM(Raw_Data!D466)))</f>
        <v>France</v>
      </c>
      <c r="E466" s="6" t="s">
        <v>46</v>
      </c>
      <c r="F466" s="6" t="s">
        <v>53</v>
      </c>
      <c r="G466" s="6" t="str">
        <f>SUBSTITUTE(Raw_Data!G466,"Ã©","é")</f>
        <v>Trail Softshell</v>
      </c>
      <c r="H466" s="6">
        <v>2</v>
      </c>
      <c r="I466" s="6" t="s">
        <v>67</v>
      </c>
      <c r="J466" s="6" t="s">
        <v>204</v>
      </c>
      <c r="K466" s="6">
        <v>0.19</v>
      </c>
      <c r="L466" s="6" t="s">
        <v>42</v>
      </c>
      <c r="M466" s="6" t="s">
        <v>69</v>
      </c>
      <c r="N466" s="6"/>
    </row>
    <row r="467" spans="1:14">
      <c r="A467" s="6" t="s">
        <v>1067</v>
      </c>
      <c r="B467" s="7">
        <v>46075</v>
      </c>
      <c r="C467" s="6" t="s">
        <v>1068</v>
      </c>
      <c r="D467" s="6" t="str">
        <f>IF(OR(PROPER(TRIM(Raw_Data!D467))="Uk",PROPER(TRIM(Raw_Data!D467))="Gb",PROPER(TRIM(Raw_Data!D467))="United kingdom"),"United Kingdom",PROPER(TRIM(Raw_Data!D467)))</f>
        <v>United Kingdom</v>
      </c>
      <c r="E467" s="6" t="s">
        <v>46</v>
      </c>
      <c r="F467" s="6" t="s">
        <v>47</v>
      </c>
      <c r="G467" s="6" t="str">
        <f>SUBSTITUTE(Raw_Data!G467,"Ã©","é")</f>
        <v>Trekking Poles</v>
      </c>
      <c r="H467" s="6">
        <v>1</v>
      </c>
      <c r="I467" s="6" t="s">
        <v>147</v>
      </c>
      <c r="J467" s="6" t="s">
        <v>147</v>
      </c>
      <c r="K467" s="6">
        <v>8.5000000000000006E-2</v>
      </c>
      <c r="L467" s="6" t="s">
        <v>42</v>
      </c>
      <c r="M467" s="6" t="s">
        <v>34</v>
      </c>
      <c r="N467" s="6"/>
    </row>
    <row r="468" spans="1:14">
      <c r="A468" s="6" t="s">
        <v>1069</v>
      </c>
      <c r="B468" s="7">
        <v>46178</v>
      </c>
      <c r="C468" s="6" t="s">
        <v>1070</v>
      </c>
      <c r="D468" s="6" t="str">
        <f>IF(OR(PROPER(TRIM(Raw_Data!D468))="Uk",PROPER(TRIM(Raw_Data!D468))="Gb",PROPER(TRIM(Raw_Data!D468))="United kingdom"),"United Kingdom",PROPER(TRIM(Raw_Data!D468)))</f>
        <v>United Kingdom</v>
      </c>
      <c r="E468" s="6" t="s">
        <v>78</v>
      </c>
      <c r="F468" s="6" t="s">
        <v>53</v>
      </c>
      <c r="G468" s="6" t="str">
        <f>SUBSTITUTE(Raw_Data!G468,"Ã©","é")</f>
        <v>Merino Base Layer</v>
      </c>
      <c r="H468" s="6">
        <v>1</v>
      </c>
      <c r="I468" s="6" t="s">
        <v>147</v>
      </c>
      <c r="J468" s="6" t="s">
        <v>147</v>
      </c>
      <c r="K468" s="6">
        <v>0.19</v>
      </c>
      <c r="L468" s="6" t="s">
        <v>42</v>
      </c>
      <c r="M468" s="6" t="s">
        <v>34</v>
      </c>
      <c r="N468" s="6"/>
    </row>
    <row r="469" spans="1:14">
      <c r="A469" s="6" t="s">
        <v>1071</v>
      </c>
      <c r="B469" s="7">
        <v>46301</v>
      </c>
      <c r="C469" s="6" t="s">
        <v>1072</v>
      </c>
      <c r="D469" s="6" t="str">
        <f>IF(OR(PROPER(TRIM(Raw_Data!D469))="Uk",PROPER(TRIM(Raw_Data!D469))="Gb",PROPER(TRIM(Raw_Data!D469))="United kingdom"),"United Kingdom",PROPER(TRIM(Raw_Data!D469)))</f>
        <v>United Kingdom</v>
      </c>
      <c r="E469" s="6" t="s">
        <v>46</v>
      </c>
      <c r="F469" s="6" t="s">
        <v>85</v>
      </c>
      <c r="G469" s="6" t="str">
        <f>SUBSTITUTE(Raw_Data!G469,"Ã©","é")</f>
        <v>Fell Runner Cap</v>
      </c>
      <c r="H469" s="6">
        <v>2</v>
      </c>
      <c r="I469" s="6" t="s">
        <v>40</v>
      </c>
      <c r="J469" s="6" t="s">
        <v>327</v>
      </c>
      <c r="K469" s="6">
        <v>0.41</v>
      </c>
      <c r="L469" s="6" t="s">
        <v>42</v>
      </c>
      <c r="M469" s="6" t="s">
        <v>69</v>
      </c>
      <c r="N469" s="6"/>
    </row>
    <row r="470" spans="1:14">
      <c r="A470" s="6" t="s">
        <v>1073</v>
      </c>
      <c r="B470" s="7">
        <v>46074</v>
      </c>
      <c r="C470" s="6" t="s">
        <v>1075</v>
      </c>
      <c r="D470" s="6" t="str">
        <f>IF(OR(PROPER(TRIM(Raw_Data!D470))="Uk",PROPER(TRIM(Raw_Data!D470))="Gb",PROPER(TRIM(Raw_Data!D470))="United kingdom"),"United Kingdom",PROPER(TRIM(Raw_Data!D470)))</f>
        <v>United Kingdom</v>
      </c>
      <c r="E470" s="6" t="s">
        <v>28</v>
      </c>
      <c r="F470" s="6" t="s">
        <v>47</v>
      </c>
      <c r="G470" s="6" t="str">
        <f>SUBSTITUTE(Raw_Data!G470,"Ã©","é")</f>
        <v>Merino Base Layer</v>
      </c>
      <c r="H470" s="6">
        <v>2</v>
      </c>
      <c r="I470" s="6" t="s">
        <v>117</v>
      </c>
      <c r="J470" s="6" t="s">
        <v>118</v>
      </c>
      <c r="K470" s="6">
        <v>8.5000000000000006E-2</v>
      </c>
      <c r="L470" s="6" t="s">
        <v>33</v>
      </c>
      <c r="M470" s="6" t="s">
        <v>34</v>
      </c>
      <c r="N470" s="6"/>
    </row>
    <row r="471" spans="1:14">
      <c r="A471" s="6" t="s">
        <v>1076</v>
      </c>
      <c r="B471" s="7">
        <v>46103</v>
      </c>
      <c r="C471" s="6" t="s">
        <v>1077</v>
      </c>
      <c r="D471" s="6" t="str">
        <f>IF(OR(PROPER(TRIM(Raw_Data!D471))="Uk",PROPER(TRIM(Raw_Data!D471))="Gb",PROPER(TRIM(Raw_Data!D471))="United kingdom"),"United Kingdom",PROPER(TRIM(Raw_Data!D471)))</f>
        <v>United Kingdom</v>
      </c>
      <c r="E471" s="6" t="s">
        <v>28</v>
      </c>
      <c r="F471" s="6" t="s">
        <v>29</v>
      </c>
      <c r="G471" s="6" t="str">
        <f>SUBSTITUTE(Raw_Data!G471,"Ã©","é")</f>
        <v>Storm Overtrousers</v>
      </c>
      <c r="H471" s="6">
        <v>2</v>
      </c>
      <c r="I471" s="6" t="s">
        <v>90</v>
      </c>
      <c r="J471" s="6" t="s">
        <v>154</v>
      </c>
      <c r="K471" s="6">
        <v>0.52</v>
      </c>
      <c r="L471" s="6" t="s">
        <v>33</v>
      </c>
      <c r="M471" s="6" t="s">
        <v>34</v>
      </c>
      <c r="N471" s="6"/>
    </row>
    <row r="472" spans="1:14">
      <c r="A472" s="6" t="s">
        <v>1078</v>
      </c>
      <c r="B472" s="7">
        <v>46134</v>
      </c>
      <c r="C472" s="6" t="s">
        <v>1079</v>
      </c>
      <c r="D472" s="6" t="str">
        <f>IF(OR(PROPER(TRIM(Raw_Data!D472))="Uk",PROPER(TRIM(Raw_Data!D472))="Gb",PROPER(TRIM(Raw_Data!D472))="United kingdom"),"United Kingdom",PROPER(TRIM(Raw_Data!D472)))</f>
        <v>United Kingdom</v>
      </c>
      <c r="E472" s="6" t="s">
        <v>52</v>
      </c>
      <c r="F472" s="6" t="s">
        <v>100</v>
      </c>
      <c r="G472" s="6" t="str">
        <f>SUBSTITUTE(Raw_Data!G472,"Ã©","é")</f>
        <v>Fell Runner Cap</v>
      </c>
      <c r="H472" s="6">
        <v>1</v>
      </c>
      <c r="I472" s="6" t="s">
        <v>82</v>
      </c>
      <c r="J472" s="6" t="s">
        <v>82</v>
      </c>
      <c r="K472" s="6">
        <v>0.64</v>
      </c>
      <c r="L472" s="6" t="s">
        <v>42</v>
      </c>
      <c r="M472" s="6" t="s">
        <v>34</v>
      </c>
      <c r="N472" s="6"/>
    </row>
    <row r="473" spans="1:14">
      <c r="A473" s="6" t="s">
        <v>1080</v>
      </c>
      <c r="B473" s="7">
        <v>46156</v>
      </c>
      <c r="C473" s="6" t="s">
        <v>1081</v>
      </c>
      <c r="D473" s="6" t="str">
        <f>IF(OR(PROPER(TRIM(Raw_Data!D473))="Uk",PROPER(TRIM(Raw_Data!D473))="Gb",PROPER(TRIM(Raw_Data!D473))="United kingdom"),"United Kingdom",PROPER(TRIM(Raw_Data!D473)))</f>
        <v>France</v>
      </c>
      <c r="E473" s="6" t="s">
        <v>46</v>
      </c>
      <c r="F473" s="6" t="s">
        <v>38</v>
      </c>
      <c r="G473" s="6" t="str">
        <f>SUBSTITUTE(Raw_Data!G473,"Ã©","é")</f>
        <v>Trekking Poles</v>
      </c>
      <c r="H473" s="6">
        <v>3</v>
      </c>
      <c r="I473" s="6" t="s">
        <v>231</v>
      </c>
      <c r="J473" s="6" t="s">
        <v>505</v>
      </c>
      <c r="K473" s="6">
        <v>0.52</v>
      </c>
      <c r="L473" s="6" t="s">
        <v>42</v>
      </c>
      <c r="M473" s="6" t="s">
        <v>69</v>
      </c>
      <c r="N473" s="6"/>
    </row>
    <row r="474" spans="1:14">
      <c r="A474" s="6" t="s">
        <v>1082</v>
      </c>
      <c r="B474" s="7">
        <v>46176</v>
      </c>
      <c r="C474" s="6" t="s">
        <v>1083</v>
      </c>
      <c r="D474" s="6" t="str">
        <f>IF(OR(PROPER(TRIM(Raw_Data!D474))="Uk",PROPER(TRIM(Raw_Data!D474))="Gb",PROPER(TRIM(Raw_Data!D474))="United kingdom"),"United Kingdom",PROPER(TRIM(Raw_Data!D474)))</f>
        <v>United Kingdom</v>
      </c>
      <c r="E474" s="6" t="s">
        <v>37</v>
      </c>
      <c r="F474" s="6" t="s">
        <v>100</v>
      </c>
      <c r="G474" s="6" t="str">
        <f>SUBSTITUTE(Raw_Data!G474,"Ã©","é")</f>
        <v>Alpine Jacket</v>
      </c>
      <c r="H474" s="6">
        <v>2</v>
      </c>
      <c r="I474" s="6" t="s">
        <v>40</v>
      </c>
      <c r="J474" s="6" t="s">
        <v>327</v>
      </c>
      <c r="K474" s="6">
        <v>0.64</v>
      </c>
      <c r="L474" s="6" t="s">
        <v>42</v>
      </c>
      <c r="M474" s="6" t="s">
        <v>34</v>
      </c>
      <c r="N474" s="6"/>
    </row>
    <row r="475" spans="1:14">
      <c r="A475" s="6" t="s">
        <v>1084</v>
      </c>
      <c r="B475" s="7">
        <v>46080</v>
      </c>
      <c r="C475" s="6" t="s">
        <v>1085</v>
      </c>
      <c r="D475" s="6" t="str">
        <f>IF(OR(PROPER(TRIM(Raw_Data!D475))="Uk",PROPER(TRIM(Raw_Data!D475))="Gb",PROPER(TRIM(Raw_Data!D475))="United kingdom"),"United Kingdom",PROPER(TRIM(Raw_Data!D475)))</f>
        <v>United Kingdom</v>
      </c>
      <c r="E475" s="6" t="s">
        <v>28</v>
      </c>
      <c r="F475" s="6" t="s">
        <v>94</v>
      </c>
      <c r="G475" s="6" t="str">
        <f>SUBSTITUTE(Raw_Data!G475,"Ã©","é")</f>
        <v>Trail Softshell</v>
      </c>
      <c r="H475" s="6">
        <v>2</v>
      </c>
      <c r="I475" s="6" t="s">
        <v>656</v>
      </c>
      <c r="J475" s="6" t="s">
        <v>192</v>
      </c>
      <c r="K475" s="6">
        <v>0.34</v>
      </c>
      <c r="L475" s="6" t="s">
        <v>42</v>
      </c>
      <c r="M475" s="6" t="s">
        <v>34</v>
      </c>
      <c r="N475" s="6"/>
    </row>
    <row r="476" spans="1:14">
      <c r="A476" s="6" t="s">
        <v>1086</v>
      </c>
      <c r="B476" s="7">
        <v>46094</v>
      </c>
      <c r="C476" s="6" t="s">
        <v>1087</v>
      </c>
      <c r="D476" s="6" t="str">
        <f>IF(OR(PROPER(TRIM(Raw_Data!D476))="Uk",PROPER(TRIM(Raw_Data!D476))="Gb",PROPER(TRIM(Raw_Data!D476))="United kingdom"),"United Kingdom",PROPER(TRIM(Raw_Data!D476)))</f>
        <v>United Kingdom</v>
      </c>
      <c r="E476" s="6" t="s">
        <v>28</v>
      </c>
      <c r="F476" s="6" t="s">
        <v>85</v>
      </c>
      <c r="G476" s="6" t="str">
        <f>SUBSTITUTE(Raw_Data!G476,"Ã©","é")</f>
        <v>Alpine Jacket</v>
      </c>
      <c r="H476" s="6">
        <v>1</v>
      </c>
      <c r="I476" s="6" t="s">
        <v>82</v>
      </c>
      <c r="J476" s="6" t="s">
        <v>67</v>
      </c>
      <c r="K476" s="6">
        <v>0.41</v>
      </c>
      <c r="L476" s="6" t="s">
        <v>42</v>
      </c>
      <c r="M476" s="6" t="s">
        <v>34</v>
      </c>
      <c r="N476" s="6"/>
    </row>
    <row r="477" spans="1:14">
      <c r="A477" s="6" t="s">
        <v>1088</v>
      </c>
      <c r="B477" s="7">
        <v>46235</v>
      </c>
      <c r="C477" s="6" t="s">
        <v>1089</v>
      </c>
      <c r="D477" s="6" t="str">
        <f>IF(OR(PROPER(TRIM(Raw_Data!D477))="Uk",PROPER(TRIM(Raw_Data!D477))="Gb",PROPER(TRIM(Raw_Data!D477))="United kingdom"),"United Kingdom",PROPER(TRIM(Raw_Data!D477)))</f>
        <v>France</v>
      </c>
      <c r="E477" s="6" t="s">
        <v>28</v>
      </c>
      <c r="F477" s="6" t="s">
        <v>94</v>
      </c>
      <c r="G477" s="6" t="str">
        <f>SUBSTITUTE(Raw_Data!G477,"Ã©","é")</f>
        <v>Café Latte Mug</v>
      </c>
      <c r="H477" s="6">
        <v>1</v>
      </c>
      <c r="I477" s="6" t="s">
        <v>755</v>
      </c>
      <c r="J477" s="6" t="s">
        <v>1060</v>
      </c>
      <c r="K477" s="6">
        <v>0.34</v>
      </c>
      <c r="L477" s="6" t="s">
        <v>42</v>
      </c>
      <c r="M477" s="6" t="s">
        <v>34</v>
      </c>
      <c r="N477" s="6"/>
    </row>
    <row r="478" spans="1:14">
      <c r="A478" s="6" t="s">
        <v>1090</v>
      </c>
      <c r="B478" s="7">
        <v>46158</v>
      </c>
      <c r="C478" s="6" t="s">
        <v>1092</v>
      </c>
      <c r="D478" s="6" t="str">
        <f>IF(OR(PROPER(TRIM(Raw_Data!D478))="Uk",PROPER(TRIM(Raw_Data!D478))="Gb",PROPER(TRIM(Raw_Data!D478))="United kingdom"),"United Kingdom",PROPER(TRIM(Raw_Data!D478)))</f>
        <v>United Kingdom</v>
      </c>
      <c r="E478" s="6" t="s">
        <v>46</v>
      </c>
      <c r="F478" s="6" t="s">
        <v>85</v>
      </c>
      <c r="G478" s="6" t="str">
        <f>SUBSTITUTE(Raw_Data!G478,"Ã©","é")</f>
        <v>Storm Overtrousers</v>
      </c>
      <c r="H478" s="6">
        <v>2</v>
      </c>
      <c r="I478" s="6" t="s">
        <v>79</v>
      </c>
      <c r="J478" s="6" t="s">
        <v>259</v>
      </c>
      <c r="K478" s="6">
        <v>0.41</v>
      </c>
      <c r="L478" s="6" t="s">
        <v>42</v>
      </c>
      <c r="M478" s="6" t="s">
        <v>34</v>
      </c>
      <c r="N478" s="6"/>
    </row>
    <row r="479" spans="1:14">
      <c r="A479" s="6" t="s">
        <v>1093</v>
      </c>
      <c r="B479" s="7">
        <v>46099</v>
      </c>
      <c r="C479" s="6" t="s">
        <v>1094</v>
      </c>
      <c r="D479" s="6" t="str">
        <f>IF(OR(PROPER(TRIM(Raw_Data!D479))="Uk",PROPER(TRIM(Raw_Data!D479))="Gb",PROPER(TRIM(Raw_Data!D479))="United kingdom"),"United Kingdom",PROPER(TRIM(Raw_Data!D479)))</f>
        <v>United Kingdom</v>
      </c>
      <c r="E479" s="6" t="s">
        <v>78</v>
      </c>
      <c r="F479" s="6" t="s">
        <v>38</v>
      </c>
      <c r="G479" s="6" t="str">
        <f>SUBSTITUTE(Raw_Data!G479,"Ã©","é")</f>
        <v>Café Latte Mug</v>
      </c>
      <c r="H479" s="6">
        <v>-2</v>
      </c>
      <c r="I479" s="6" t="s">
        <v>79</v>
      </c>
      <c r="J479" s="8" t="s">
        <v>1095</v>
      </c>
      <c r="K479" s="6">
        <v>0.52</v>
      </c>
      <c r="L479" s="6" t="s">
        <v>42</v>
      </c>
      <c r="M479" s="6" t="s">
        <v>34</v>
      </c>
      <c r="N479" s="6"/>
    </row>
    <row r="480" spans="1:14">
      <c r="A480" s="6" t="s">
        <v>1096</v>
      </c>
      <c r="B480" s="7">
        <v>46060</v>
      </c>
      <c r="C480" s="6" t="s">
        <v>381</v>
      </c>
      <c r="D480" s="6" t="str">
        <f>IF(OR(PROPER(TRIM(Raw_Data!D480))="Uk",PROPER(TRIM(Raw_Data!D480))="Gb",PROPER(TRIM(Raw_Data!D480))="United kingdom"),"United Kingdom",PROPER(TRIM(Raw_Data!D480)))</f>
        <v>United Kingdom</v>
      </c>
      <c r="E480" s="6" t="s">
        <v>78</v>
      </c>
      <c r="F480" s="6" t="s">
        <v>100</v>
      </c>
      <c r="G480" s="6" t="str">
        <f>SUBSTITUTE(Raw_Data!G480,"Ã©","é")</f>
        <v>Storm Overtrousers</v>
      </c>
      <c r="H480" s="6">
        <v>1</v>
      </c>
      <c r="I480" s="6" t="s">
        <v>82</v>
      </c>
      <c r="J480" s="6" t="s">
        <v>82</v>
      </c>
      <c r="K480" s="6">
        <v>0.64</v>
      </c>
      <c r="L480" s="6" t="s">
        <v>42</v>
      </c>
      <c r="M480" s="6" t="s">
        <v>69</v>
      </c>
      <c r="N480" s="6"/>
    </row>
    <row r="481" spans="1:14">
      <c r="A481" s="6" t="s">
        <v>1097</v>
      </c>
      <c r="B481" s="7">
        <v>46201</v>
      </c>
      <c r="C481" s="6" t="s">
        <v>1098</v>
      </c>
      <c r="D481" s="6" t="str">
        <f>IF(OR(PROPER(TRIM(Raw_Data!D481))="Uk",PROPER(TRIM(Raw_Data!D481))="Gb",PROPER(TRIM(Raw_Data!D481))="United kingdom"),"United Kingdom",PROPER(TRIM(Raw_Data!D481)))</f>
        <v>Germany</v>
      </c>
      <c r="E481" s="6" t="s">
        <v>28</v>
      </c>
      <c r="F481" s="6" t="s">
        <v>29</v>
      </c>
      <c r="G481" s="6" t="str">
        <f>SUBSTITUTE(Raw_Data!G481,"Ã©","é")</f>
        <v>Trail Softshell</v>
      </c>
      <c r="H481" s="6">
        <v>1</v>
      </c>
      <c r="I481" s="6" t="s">
        <v>82</v>
      </c>
      <c r="J481" s="6" t="s">
        <v>82</v>
      </c>
      <c r="K481" s="6">
        <v>0.52</v>
      </c>
      <c r="L481" s="6" t="s">
        <v>42</v>
      </c>
      <c r="M481" s="6" t="s">
        <v>34</v>
      </c>
      <c r="N481" s="6"/>
    </row>
    <row r="482" spans="1:14">
      <c r="A482" s="6" t="s">
        <v>1099</v>
      </c>
      <c r="B482" s="7">
        <v>46148</v>
      </c>
      <c r="C482" s="6" t="s">
        <v>1100</v>
      </c>
      <c r="D482" s="6" t="str">
        <f>IF(OR(PROPER(TRIM(Raw_Data!D482))="Uk",PROPER(TRIM(Raw_Data!D482))="Gb",PROPER(TRIM(Raw_Data!D482))="United kingdom"),"United Kingdom",PROPER(TRIM(Raw_Data!D482)))</f>
        <v>United Kingdom</v>
      </c>
      <c r="E482" s="6" t="s">
        <v>78</v>
      </c>
      <c r="F482" s="6" t="s">
        <v>100</v>
      </c>
      <c r="G482" s="6" t="str">
        <f>SUBSTITUTE(Raw_Data!G482,"Ã©","é")</f>
        <v>Alpine Jacket</v>
      </c>
      <c r="H482" s="6">
        <v>3</v>
      </c>
      <c r="I482" s="6" t="s">
        <v>265</v>
      </c>
      <c r="J482" s="6" t="s">
        <v>401</v>
      </c>
      <c r="K482" s="6">
        <v>0.64</v>
      </c>
      <c r="L482" s="6" t="s">
        <v>42</v>
      </c>
      <c r="M482" s="6" t="s">
        <v>34</v>
      </c>
      <c r="N482" s="6"/>
    </row>
    <row r="483" spans="1:14">
      <c r="A483" s="6" t="s">
        <v>1101</v>
      </c>
      <c r="B483" s="7">
        <v>46096</v>
      </c>
      <c r="C483" s="6" t="s">
        <v>1102</v>
      </c>
      <c r="D483" s="6" t="str">
        <f>IF(OR(PROPER(TRIM(Raw_Data!D483))="Uk",PROPER(TRIM(Raw_Data!D483))="Gb",PROPER(TRIM(Raw_Data!D483))="United kingdom"),"United Kingdom",PROPER(TRIM(Raw_Data!D483)))</f>
        <v>United Kingdom</v>
      </c>
      <c r="E483" s="6" t="s">
        <v>78</v>
      </c>
      <c r="F483" s="6" t="s">
        <v>100</v>
      </c>
      <c r="G483" s="6" t="str">
        <f>SUBSTITUTE(Raw_Data!G483,"Ã©","é")</f>
        <v>Trekking Poles</v>
      </c>
      <c r="H483" s="6">
        <v>3</v>
      </c>
      <c r="I483" s="6" t="s">
        <v>117</v>
      </c>
      <c r="J483" s="6" t="s">
        <v>171</v>
      </c>
      <c r="K483" s="6">
        <v>0.64</v>
      </c>
      <c r="L483" s="6" t="s">
        <v>33</v>
      </c>
      <c r="M483" s="6" t="s">
        <v>34</v>
      </c>
      <c r="N483" s="6"/>
    </row>
    <row r="484" spans="1:14">
      <c r="A484" s="6" t="s">
        <v>1103</v>
      </c>
      <c r="B484" s="7">
        <v>46129</v>
      </c>
      <c r="C484" s="6" t="s">
        <v>1104</v>
      </c>
      <c r="D484" s="6" t="str">
        <f>IF(OR(PROPER(TRIM(Raw_Data!D484))="Uk",PROPER(TRIM(Raw_Data!D484))="Gb",PROPER(TRIM(Raw_Data!D484))="United kingdom"),"United Kingdom",PROPER(TRIM(Raw_Data!D484)))</f>
        <v>Germany</v>
      </c>
      <c r="E484" s="6" t="s">
        <v>28</v>
      </c>
      <c r="F484" s="6" t="s">
        <v>47</v>
      </c>
      <c r="G484" s="6" t="str">
        <f>SUBSTITUTE(Raw_Data!G484,"Ã©","é")</f>
        <v>Alpine Jacket</v>
      </c>
      <c r="H484" s="6">
        <v>1</v>
      </c>
      <c r="I484" s="6" t="s">
        <v>143</v>
      </c>
      <c r="J484" s="6" t="s">
        <v>143</v>
      </c>
      <c r="K484" s="6">
        <v>8.5000000000000006E-2</v>
      </c>
      <c r="L484" s="6" t="s">
        <v>42</v>
      </c>
      <c r="M484" s="6" t="s">
        <v>34</v>
      </c>
      <c r="N484" s="6"/>
    </row>
    <row r="485" spans="1:14">
      <c r="A485" s="6" t="s">
        <v>1105</v>
      </c>
      <c r="B485" s="7">
        <v>46128</v>
      </c>
      <c r="C485" s="6" t="s">
        <v>503</v>
      </c>
      <c r="D485" s="6" t="str">
        <f>IF(OR(PROPER(TRIM(Raw_Data!D485))="Uk",PROPER(TRIM(Raw_Data!D485))="Gb",PROPER(TRIM(Raw_Data!D485))="United kingdom"),"United Kingdom",PROPER(TRIM(Raw_Data!D485)))</f>
        <v>United Kingdom</v>
      </c>
      <c r="E485" s="6" t="s">
        <v>28</v>
      </c>
      <c r="F485" s="6" t="s">
        <v>29</v>
      </c>
      <c r="G485" s="6" t="str">
        <f>SUBSTITUTE(Raw_Data!G485,"Ã©","é")</f>
        <v>Alpine Jacket</v>
      </c>
      <c r="H485" s="6">
        <v>3</v>
      </c>
      <c r="I485" s="6" t="s">
        <v>203</v>
      </c>
      <c r="J485" s="6" t="s">
        <v>68</v>
      </c>
      <c r="K485" s="6">
        <v>0.52</v>
      </c>
      <c r="L485" s="6" t="s">
        <v>33</v>
      </c>
      <c r="M485" s="6" t="s">
        <v>34</v>
      </c>
      <c r="N485" s="6"/>
    </row>
    <row r="486" spans="1:14">
      <c r="A486" s="6" t="s">
        <v>1107</v>
      </c>
      <c r="B486" s="7">
        <v>46119</v>
      </c>
      <c r="C486" s="6" t="s">
        <v>1108</v>
      </c>
      <c r="D486" s="6" t="str">
        <f>IF(OR(PROPER(TRIM(Raw_Data!D486))="Uk",PROPER(TRIM(Raw_Data!D486))="Gb",PROPER(TRIM(Raw_Data!D486))="United kingdom"),"United Kingdom",PROPER(TRIM(Raw_Data!D486)))</f>
        <v>United Kingdom</v>
      </c>
      <c r="E486" s="6" t="s">
        <v>37</v>
      </c>
      <c r="F486" s="6" t="s">
        <v>53</v>
      </c>
      <c r="G486" s="6" t="str">
        <f>SUBSTITUTE(Raw_Data!G486,"Ã©","é")</f>
        <v>Fell Runner Cap</v>
      </c>
      <c r="H486" s="6">
        <v>2</v>
      </c>
      <c r="I486" s="6" t="s">
        <v>265</v>
      </c>
      <c r="J486" s="6" t="s">
        <v>167</v>
      </c>
      <c r="K486" s="6">
        <v>0.19</v>
      </c>
      <c r="L486" s="6" t="s">
        <v>42</v>
      </c>
      <c r="M486" s="6" t="s">
        <v>69</v>
      </c>
      <c r="N486" s="6"/>
    </row>
    <row r="487" spans="1:14">
      <c r="A487" s="6" t="s">
        <v>1109</v>
      </c>
      <c r="B487" s="7">
        <v>46047</v>
      </c>
      <c r="C487" s="6" t="s">
        <v>542</v>
      </c>
      <c r="D487" s="6" t="str">
        <f>IF(OR(PROPER(TRIM(Raw_Data!D487))="Uk",PROPER(TRIM(Raw_Data!D487))="Gb",PROPER(TRIM(Raw_Data!D487))="United kingdom"),"United Kingdom",PROPER(TRIM(Raw_Data!D487)))</f>
        <v>Germany</v>
      </c>
      <c r="E487" s="6" t="s">
        <v>78</v>
      </c>
      <c r="F487" s="6" t="s">
        <v>58</v>
      </c>
      <c r="G487" s="6" t="str">
        <f>SUBSTITUTE(Raw_Data!G487,"Ã©","é")</f>
        <v>Trekking Poles</v>
      </c>
      <c r="H487" s="6">
        <v>3</v>
      </c>
      <c r="I487" s="6" t="s">
        <v>40</v>
      </c>
      <c r="J487" s="6" t="s">
        <v>579</v>
      </c>
      <c r="K487" s="6">
        <v>0.38</v>
      </c>
      <c r="L487" s="6" t="s">
        <v>42</v>
      </c>
      <c r="M487" s="6" t="s">
        <v>34</v>
      </c>
      <c r="N487" s="6"/>
    </row>
    <row r="488" spans="1:14">
      <c r="A488" s="6" t="s">
        <v>1110</v>
      </c>
      <c r="B488" s="7">
        <v>46128</v>
      </c>
      <c r="C488" s="6" t="s">
        <v>1059</v>
      </c>
      <c r="D488" s="6" t="str">
        <f>IF(OR(PROPER(TRIM(Raw_Data!D488))="Uk",PROPER(TRIM(Raw_Data!D488))="Gb",PROPER(TRIM(Raw_Data!D488))="United kingdom"),"United Kingdom",PROPER(TRIM(Raw_Data!D488)))</f>
        <v>Germany</v>
      </c>
      <c r="E488" s="6" t="s">
        <v>52</v>
      </c>
      <c r="F488" s="6" t="s">
        <v>47</v>
      </c>
      <c r="G488" s="6" t="str">
        <f>SUBSTITUTE(Raw_Data!G488,"Ã©","é")</f>
        <v>Merino Base Layer</v>
      </c>
      <c r="H488" s="6">
        <v>2</v>
      </c>
      <c r="I488" s="6" t="s">
        <v>82</v>
      </c>
      <c r="J488" s="6" t="s">
        <v>297</v>
      </c>
      <c r="K488" s="6">
        <v>8.5000000000000006E-2</v>
      </c>
      <c r="L488" s="6" t="s">
        <v>42</v>
      </c>
      <c r="M488" s="6" t="s">
        <v>34</v>
      </c>
      <c r="N488" s="6"/>
    </row>
    <row r="489" spans="1:14">
      <c r="A489" s="6" t="s">
        <v>1111</v>
      </c>
      <c r="B489" s="7">
        <v>46167</v>
      </c>
      <c r="C489" s="6" t="s">
        <v>1112</v>
      </c>
      <c r="D489" s="6" t="str">
        <f>IF(OR(PROPER(TRIM(Raw_Data!D489))="Uk",PROPER(TRIM(Raw_Data!D489))="Gb",PROPER(TRIM(Raw_Data!D489))="United kingdom"),"United Kingdom",PROPER(TRIM(Raw_Data!D489)))</f>
        <v>Ireland</v>
      </c>
      <c r="E489" s="6" t="s">
        <v>46</v>
      </c>
      <c r="F489" s="6" t="s">
        <v>100</v>
      </c>
      <c r="G489" s="6" t="str">
        <f>SUBSTITUTE(Raw_Data!G489,"Ã©","é")</f>
        <v>Summit Down Gilet</v>
      </c>
      <c r="H489" s="6">
        <v>1</v>
      </c>
      <c r="I489" s="6" t="s">
        <v>113</v>
      </c>
      <c r="J489" s="6" t="s">
        <v>113</v>
      </c>
      <c r="K489" s="6">
        <v>0.64</v>
      </c>
      <c r="L489" s="6" t="s">
        <v>42</v>
      </c>
      <c r="M489" s="6" t="s">
        <v>34</v>
      </c>
      <c r="N489" s="6"/>
    </row>
    <row r="490" spans="1:14">
      <c r="A490" s="6" t="s">
        <v>1113</v>
      </c>
      <c r="B490" s="7">
        <v>46070</v>
      </c>
      <c r="C490" s="6" t="s">
        <v>1114</v>
      </c>
      <c r="D490" s="6" t="str">
        <f>IF(OR(PROPER(TRIM(Raw_Data!D490))="Uk",PROPER(TRIM(Raw_Data!D490))="Gb",PROPER(TRIM(Raw_Data!D490))="United kingdom"),"United Kingdom",PROPER(TRIM(Raw_Data!D490)))</f>
        <v>Ireland</v>
      </c>
      <c r="E490" s="6" t="s">
        <v>52</v>
      </c>
      <c r="F490" s="6" t="s">
        <v>47</v>
      </c>
      <c r="G490" s="6" t="str">
        <f>SUBSTITUTE(Raw_Data!G490,"Ã©","é")</f>
        <v>Fell Runner Cap</v>
      </c>
      <c r="H490" s="6">
        <v>1</v>
      </c>
      <c r="I490" s="6" t="s">
        <v>265</v>
      </c>
      <c r="J490" s="6" t="s">
        <v>265</v>
      </c>
      <c r="K490" s="6">
        <v>8.5000000000000006E-2</v>
      </c>
      <c r="L490" s="6" t="s">
        <v>33</v>
      </c>
      <c r="M490" s="6" t="s">
        <v>34</v>
      </c>
      <c r="N490" s="6"/>
    </row>
    <row r="491" spans="1:14">
      <c r="A491" s="6" t="s">
        <v>1115</v>
      </c>
      <c r="B491" s="7">
        <v>46103</v>
      </c>
      <c r="C491" s="6" t="s">
        <v>1116</v>
      </c>
      <c r="D491" s="6" t="str">
        <f>IF(OR(PROPER(TRIM(Raw_Data!D491))="Uk",PROPER(TRIM(Raw_Data!D491))="Gb",PROPER(TRIM(Raw_Data!D491))="United kingdom"),"United Kingdom",PROPER(TRIM(Raw_Data!D491)))</f>
        <v>United Kingdom</v>
      </c>
      <c r="E491" s="6" t="s">
        <v>28</v>
      </c>
      <c r="F491" s="6" t="s">
        <v>53</v>
      </c>
      <c r="G491" s="6" t="str">
        <f>SUBSTITUTE(Raw_Data!G491,"Ã©","é")</f>
        <v>Alpine Jacket</v>
      </c>
      <c r="H491" s="6">
        <v>1</v>
      </c>
      <c r="I491" s="6" t="s">
        <v>67</v>
      </c>
      <c r="J491" s="6" t="s">
        <v>67</v>
      </c>
      <c r="K491" s="6">
        <v>0.19</v>
      </c>
      <c r="L491" s="6" t="s">
        <v>42</v>
      </c>
      <c r="M491" s="6" t="s">
        <v>34</v>
      </c>
      <c r="N491" s="6"/>
    </row>
    <row r="492" spans="1:14">
      <c r="A492" s="6" t="s">
        <v>1117</v>
      </c>
      <c r="B492" s="7">
        <v>46027</v>
      </c>
      <c r="C492" s="6" t="s">
        <v>1118</v>
      </c>
      <c r="D492" s="6" t="str">
        <f>IF(OR(PROPER(TRIM(Raw_Data!D492))="Uk",PROPER(TRIM(Raw_Data!D492))="Gb",PROPER(TRIM(Raw_Data!D492))="United kingdom"),"United Kingdom",PROPER(TRIM(Raw_Data!D492)))</f>
        <v>United Kingdom</v>
      </c>
      <c r="E492" s="6" t="s">
        <v>46</v>
      </c>
      <c r="F492" s="6" t="s">
        <v>47</v>
      </c>
      <c r="G492" s="6" t="str">
        <f>SUBSTITUTE(Raw_Data!G492,"Ã©","é")</f>
        <v>Fell Runner Cap</v>
      </c>
      <c r="H492" s="6">
        <v>2</v>
      </c>
      <c r="I492" s="6" t="s">
        <v>31</v>
      </c>
      <c r="J492" s="6" t="s">
        <v>232</v>
      </c>
      <c r="K492" s="6">
        <v>8.5000000000000006E-2</v>
      </c>
      <c r="L492" s="6" t="s">
        <v>42</v>
      </c>
      <c r="M492" s="6" t="s">
        <v>34</v>
      </c>
      <c r="N492" s="6"/>
    </row>
    <row r="493" spans="1:14">
      <c r="A493" s="6" t="s">
        <v>1119</v>
      </c>
      <c r="B493" s="7">
        <v>46078</v>
      </c>
      <c r="C493" s="6" t="s">
        <v>1120</v>
      </c>
      <c r="D493" s="6" t="str">
        <f>IF(OR(PROPER(TRIM(Raw_Data!D493))="Uk",PROPER(TRIM(Raw_Data!D493))="Gb",PROPER(TRIM(Raw_Data!D493))="United kingdom"),"United Kingdom",PROPER(TRIM(Raw_Data!D493)))</f>
        <v>United Kingdom</v>
      </c>
      <c r="E493" s="6" t="s">
        <v>37</v>
      </c>
      <c r="F493" s="6" t="s">
        <v>47</v>
      </c>
      <c r="G493" s="6" t="str">
        <f>SUBSTITUTE(Raw_Data!G493,"Ã©","é")</f>
        <v>Merino Base Layer</v>
      </c>
      <c r="H493" s="6">
        <v>2</v>
      </c>
      <c r="I493" s="6" t="s">
        <v>113</v>
      </c>
      <c r="J493" s="6" t="s">
        <v>192</v>
      </c>
      <c r="K493" s="6">
        <v>8.5000000000000006E-2</v>
      </c>
      <c r="L493" s="6" t="s">
        <v>42</v>
      </c>
      <c r="M493" s="6" t="s">
        <v>34</v>
      </c>
      <c r="N493" s="6"/>
    </row>
    <row r="494" spans="1:14">
      <c r="A494" s="6" t="s">
        <v>1121</v>
      </c>
      <c r="B494" s="7">
        <v>46102</v>
      </c>
      <c r="C494" s="6" t="s">
        <v>1122</v>
      </c>
      <c r="D494" s="6" t="str">
        <f>IF(OR(PROPER(TRIM(Raw_Data!D494))="Uk",PROPER(TRIM(Raw_Data!D494))="Gb",PROPER(TRIM(Raw_Data!D494))="United kingdom"),"United Kingdom",PROPER(TRIM(Raw_Data!D494)))</f>
        <v>Ireland</v>
      </c>
      <c r="E494" s="6" t="s">
        <v>78</v>
      </c>
      <c r="F494" s="6" t="s">
        <v>58</v>
      </c>
      <c r="G494" s="6" t="str">
        <f>SUBSTITUTE(Raw_Data!G494,"Ã©","é")</f>
        <v>Fell Runner Cap</v>
      </c>
      <c r="H494" s="6">
        <v>2</v>
      </c>
      <c r="I494" s="6" t="s">
        <v>73</v>
      </c>
      <c r="J494" s="6" t="s">
        <v>74</v>
      </c>
      <c r="K494" s="6">
        <v>0.38</v>
      </c>
      <c r="L494" s="6" t="s">
        <v>42</v>
      </c>
      <c r="M494" s="6" t="s">
        <v>34</v>
      </c>
      <c r="N494" s="6"/>
    </row>
    <row r="495" spans="1:14">
      <c r="A495" s="6" t="s">
        <v>1123</v>
      </c>
      <c r="B495" s="7">
        <v>46099</v>
      </c>
      <c r="C495" s="6" t="s">
        <v>1124</v>
      </c>
      <c r="D495" s="6" t="str">
        <f>IF(OR(PROPER(TRIM(Raw_Data!D495))="Uk",PROPER(TRIM(Raw_Data!D495))="Gb",PROPER(TRIM(Raw_Data!D495))="United kingdom"),"United Kingdom",PROPER(TRIM(Raw_Data!D495)))</f>
        <v>United Kingdom</v>
      </c>
      <c r="E495" s="6" t="s">
        <v>52</v>
      </c>
      <c r="F495" s="6" t="s">
        <v>100</v>
      </c>
      <c r="G495" s="6" t="str">
        <f>SUBSTITUTE(Raw_Data!G495,"Ã©","é")</f>
        <v>Fell Runner Cap</v>
      </c>
      <c r="H495" s="6">
        <v>1</v>
      </c>
      <c r="I495" s="6" t="s">
        <v>82</v>
      </c>
      <c r="J495" s="6" t="s">
        <v>82</v>
      </c>
      <c r="K495" s="6">
        <v>0.64</v>
      </c>
      <c r="L495" s="6" t="s">
        <v>42</v>
      </c>
      <c r="M495" s="6" t="s">
        <v>34</v>
      </c>
      <c r="N495" s="6"/>
    </row>
    <row r="496" spans="1:14">
      <c r="A496" s="6" t="s">
        <v>1125</v>
      </c>
      <c r="B496" s="7">
        <v>46128</v>
      </c>
      <c r="C496" s="6" t="s">
        <v>1126</v>
      </c>
      <c r="D496" s="6" t="str">
        <f>IF(OR(PROPER(TRIM(Raw_Data!D496))="Uk",PROPER(TRIM(Raw_Data!D496))="Gb",PROPER(TRIM(Raw_Data!D496))="United kingdom"),"United Kingdom",PROPER(TRIM(Raw_Data!D496)))</f>
        <v>Ireland</v>
      </c>
      <c r="E496" s="6" t="s">
        <v>46</v>
      </c>
      <c r="F496" s="6" t="s">
        <v>47</v>
      </c>
      <c r="G496" s="6" t="str">
        <f>SUBSTITUTE(Raw_Data!G496,"Ã©","é")</f>
        <v>Summit Down Gilet</v>
      </c>
      <c r="H496" s="6">
        <v>1</v>
      </c>
      <c r="I496" s="6" t="s">
        <v>31</v>
      </c>
      <c r="J496" s="6" t="s">
        <v>31</v>
      </c>
      <c r="K496" s="6">
        <v>8.5000000000000006E-2</v>
      </c>
      <c r="L496" s="6" t="s">
        <v>42</v>
      </c>
      <c r="M496" s="6" t="s">
        <v>34</v>
      </c>
      <c r="N496" s="6"/>
    </row>
    <row r="497" spans="1:14">
      <c r="A497" s="6" t="s">
        <v>1127</v>
      </c>
      <c r="B497" s="7">
        <v>46158</v>
      </c>
      <c r="C497" s="6" t="s">
        <v>1128</v>
      </c>
      <c r="D497" s="6" t="str">
        <f>IF(OR(PROPER(TRIM(Raw_Data!D497))="Uk",PROPER(TRIM(Raw_Data!D497))="Gb",PROPER(TRIM(Raw_Data!D497))="United kingdom"),"United Kingdom",PROPER(TRIM(Raw_Data!D497)))</f>
        <v>Ireland</v>
      </c>
      <c r="E497" s="6" t="s">
        <v>28</v>
      </c>
      <c r="F497" s="6" t="s">
        <v>94</v>
      </c>
      <c r="G497" s="6" t="str">
        <f>SUBSTITUTE(Raw_Data!G497,"Ã©","é")</f>
        <v>Alpine Jacket</v>
      </c>
      <c r="H497" s="6">
        <v>2</v>
      </c>
      <c r="I497" s="6" t="s">
        <v>265</v>
      </c>
      <c r="J497" s="6" t="s">
        <v>167</v>
      </c>
      <c r="K497" s="6">
        <v>0.34</v>
      </c>
      <c r="L497" s="6" t="s">
        <v>42</v>
      </c>
      <c r="M497" s="6" t="s">
        <v>34</v>
      </c>
      <c r="N497" s="6"/>
    </row>
    <row r="498" spans="1:14">
      <c r="A498" s="6" t="s">
        <v>1129</v>
      </c>
      <c r="B498" s="7">
        <v>46036</v>
      </c>
      <c r="C498" s="6" t="s">
        <v>1130</v>
      </c>
      <c r="D498" s="6" t="str">
        <f>IF(OR(PROPER(TRIM(Raw_Data!D498))="Uk",PROPER(TRIM(Raw_Data!D498))="Gb",PROPER(TRIM(Raw_Data!D498))="United kingdom"),"United Kingdom",PROPER(TRIM(Raw_Data!D498)))</f>
        <v>United Kingdom</v>
      </c>
      <c r="E498" s="6" t="s">
        <v>78</v>
      </c>
      <c r="F498" s="6" t="s">
        <v>85</v>
      </c>
      <c r="G498" s="6" t="str">
        <f>SUBSTITUTE(Raw_Data!G498,"Ã©","é")</f>
        <v>Fell Runner Cap</v>
      </c>
      <c r="H498" s="6">
        <v>1</v>
      </c>
      <c r="I498" s="6" t="s">
        <v>143</v>
      </c>
      <c r="J498" s="6" t="s">
        <v>143</v>
      </c>
      <c r="K498" s="6">
        <v>0.41</v>
      </c>
      <c r="L498" s="6" t="s">
        <v>42</v>
      </c>
      <c r="M498" s="6" t="s">
        <v>34</v>
      </c>
      <c r="N498" s="6"/>
    </row>
    <row r="499" spans="1:14">
      <c r="A499" s="6" t="s">
        <v>1131</v>
      </c>
      <c r="B499" s="7">
        <v>46358</v>
      </c>
      <c r="C499" s="6" t="s">
        <v>1001</v>
      </c>
      <c r="D499" s="6" t="str">
        <f>IF(OR(PROPER(TRIM(Raw_Data!D499))="Uk",PROPER(TRIM(Raw_Data!D499))="Gb",PROPER(TRIM(Raw_Data!D499))="United kingdom"),"United Kingdom",PROPER(TRIM(Raw_Data!D499)))</f>
        <v>United Kingdom</v>
      </c>
      <c r="E499" s="6" t="s">
        <v>78</v>
      </c>
      <c r="F499" s="6" t="s">
        <v>47</v>
      </c>
      <c r="G499" s="6" t="str">
        <f>SUBSTITUTE(Raw_Data!G499,"Ã©","é")</f>
        <v>Café Latte Mug</v>
      </c>
      <c r="H499" s="6">
        <v>2</v>
      </c>
      <c r="I499" s="6" t="s">
        <v>231</v>
      </c>
      <c r="J499" s="6" t="s">
        <v>232</v>
      </c>
      <c r="K499" s="6">
        <v>8.5000000000000006E-2</v>
      </c>
      <c r="L499" s="6" t="s">
        <v>42</v>
      </c>
      <c r="M499" s="6" t="s">
        <v>34</v>
      </c>
      <c r="N499" s="6"/>
    </row>
    <row r="500" spans="1:14">
      <c r="A500" s="6" t="s">
        <v>1132</v>
      </c>
      <c r="B500" s="7">
        <v>46327</v>
      </c>
      <c r="C500" s="6" t="s">
        <v>1133</v>
      </c>
      <c r="D500" s="6" t="str">
        <f>IF(OR(PROPER(TRIM(Raw_Data!D500))="Uk",PROPER(TRIM(Raw_Data!D500))="Gb",PROPER(TRIM(Raw_Data!D500))="United kingdom"),"United Kingdom",PROPER(TRIM(Raw_Data!D500)))</f>
        <v>United Kingdom</v>
      </c>
      <c r="E500" s="6" t="s">
        <v>28</v>
      </c>
      <c r="F500" s="6" t="s">
        <v>38</v>
      </c>
      <c r="G500" s="6" t="str">
        <f>SUBSTITUTE(Raw_Data!G500,"Ã©","é")</f>
        <v>Storm Overtrousers</v>
      </c>
      <c r="H500" s="6">
        <v>1</v>
      </c>
      <c r="I500" s="6" t="s">
        <v>265</v>
      </c>
      <c r="J500" s="6" t="s">
        <v>265</v>
      </c>
      <c r="K500" s="6">
        <v>0.52</v>
      </c>
      <c r="L500" s="6" t="s">
        <v>42</v>
      </c>
      <c r="M500" s="6" t="s">
        <v>34</v>
      </c>
      <c r="N500" s="6"/>
    </row>
    <row r="501" spans="1:14">
      <c r="A501" s="6" t="s">
        <v>1134</v>
      </c>
      <c r="B501" s="7">
        <v>46109</v>
      </c>
      <c r="C501" s="6" t="s">
        <v>1135</v>
      </c>
      <c r="D501" s="6" t="str">
        <f>IF(OR(PROPER(TRIM(Raw_Data!D501))="Uk",PROPER(TRIM(Raw_Data!D501))="Gb",PROPER(TRIM(Raw_Data!D501))="United kingdom"),"United Kingdom",PROPER(TRIM(Raw_Data!D501)))</f>
        <v>United Kingdom</v>
      </c>
      <c r="E501" s="6" t="s">
        <v>28</v>
      </c>
      <c r="F501" s="6" t="s">
        <v>85</v>
      </c>
      <c r="G501" s="6" t="str">
        <f>SUBSTITUTE(Raw_Data!G501,"Ã©","é")</f>
        <v>Fell Runner Cap</v>
      </c>
      <c r="H501" s="6">
        <v>1</v>
      </c>
      <c r="I501" s="6" t="s">
        <v>31</v>
      </c>
      <c r="J501" s="6" t="s">
        <v>31</v>
      </c>
      <c r="K501" s="6">
        <v>0.41</v>
      </c>
      <c r="L501" s="6" t="s">
        <v>42</v>
      </c>
      <c r="M501" s="6" t="s">
        <v>34</v>
      </c>
      <c r="N501" s="6"/>
    </row>
    <row r="502" spans="1:14">
      <c r="A502" s="6" t="s">
        <v>1136</v>
      </c>
      <c r="B502" s="7">
        <v>46137</v>
      </c>
      <c r="C502" s="6" t="s">
        <v>1137</v>
      </c>
      <c r="D502" s="6" t="str">
        <f>IF(OR(PROPER(TRIM(Raw_Data!D502))="Uk",PROPER(TRIM(Raw_Data!D502))="Gb",PROPER(TRIM(Raw_Data!D502))="United kingdom"),"United Kingdom",PROPER(TRIM(Raw_Data!D502)))</f>
        <v>United Kingdom</v>
      </c>
      <c r="E502" s="6" t="s">
        <v>28</v>
      </c>
      <c r="F502" s="6" t="s">
        <v>85</v>
      </c>
      <c r="G502" s="6" t="str">
        <f>SUBSTITUTE(Raw_Data!G502,"Ã©","é")</f>
        <v>Trail Softshell</v>
      </c>
      <c r="H502" s="6">
        <v>3</v>
      </c>
      <c r="I502" s="6" t="s">
        <v>60</v>
      </c>
      <c r="J502" s="6" t="s">
        <v>268</v>
      </c>
      <c r="K502" s="6">
        <v>0.41</v>
      </c>
      <c r="L502" s="6" t="s">
        <v>42</v>
      </c>
      <c r="M502" s="6" t="s">
        <v>34</v>
      </c>
      <c r="N502" s="6"/>
    </row>
    <row r="503" spans="1:14">
      <c r="A503" s="6" t="s">
        <v>1138</v>
      </c>
      <c r="B503" s="7">
        <v>46157</v>
      </c>
      <c r="C503" s="6" t="s">
        <v>1139</v>
      </c>
      <c r="D503" s="6" t="str">
        <f>IF(OR(PROPER(TRIM(Raw_Data!D503))="Uk",PROPER(TRIM(Raw_Data!D503))="Gb",PROPER(TRIM(Raw_Data!D503))="United kingdom"),"United Kingdom",PROPER(TRIM(Raw_Data!D503)))</f>
        <v>Germany</v>
      </c>
      <c r="E503" s="6" t="s">
        <v>28</v>
      </c>
      <c r="F503" s="6" t="s">
        <v>100</v>
      </c>
      <c r="G503" s="6" t="str">
        <f>SUBSTITUTE(Raw_Data!G503,"Ã©","é")</f>
        <v>Storm Overtrousers</v>
      </c>
      <c r="H503" s="6">
        <v>1</v>
      </c>
      <c r="I503" s="6" t="s">
        <v>755</v>
      </c>
      <c r="J503" s="6" t="s">
        <v>117</v>
      </c>
      <c r="K503" s="6">
        <v>0.64</v>
      </c>
      <c r="L503" s="6" t="s">
        <v>33</v>
      </c>
      <c r="M503" s="6" t="s">
        <v>34</v>
      </c>
      <c r="N503" s="6"/>
    </row>
    <row r="504" spans="1:14">
      <c r="A504" s="6" t="s">
        <v>1140</v>
      </c>
      <c r="B504" s="7">
        <v>46058</v>
      </c>
      <c r="C504" s="6" t="s">
        <v>1141</v>
      </c>
      <c r="D504" s="6" t="str">
        <f>IF(OR(PROPER(TRIM(Raw_Data!D504))="Uk",PROPER(TRIM(Raw_Data!D504))="Gb",PROPER(TRIM(Raw_Data!D504))="United kingdom"),"United Kingdom",PROPER(TRIM(Raw_Data!D504)))</f>
        <v>United Kingdom</v>
      </c>
      <c r="E504" s="6" t="s">
        <v>78</v>
      </c>
      <c r="F504" s="6" t="s">
        <v>38</v>
      </c>
      <c r="G504" s="6" t="str">
        <f>SUBSTITUTE(Raw_Data!G504,"Ã©","é")</f>
        <v>Storm Overtrousers</v>
      </c>
      <c r="H504" s="6">
        <v>2</v>
      </c>
      <c r="I504" s="6" t="s">
        <v>90</v>
      </c>
      <c r="J504" s="6" t="s">
        <v>154</v>
      </c>
      <c r="K504" s="6">
        <v>0.52</v>
      </c>
      <c r="L504" s="6" t="s">
        <v>42</v>
      </c>
      <c r="M504" s="6" t="s">
        <v>34</v>
      </c>
      <c r="N504" s="6"/>
    </row>
    <row r="505" spans="1:14">
      <c r="A505" s="6" t="s">
        <v>1142</v>
      </c>
      <c r="B505" s="7">
        <v>46266</v>
      </c>
      <c r="C505" s="6" t="s">
        <v>820</v>
      </c>
      <c r="D505" s="6" t="str">
        <f>IF(OR(PROPER(TRIM(Raw_Data!D505))="Uk",PROPER(TRIM(Raw_Data!D505))="Gb",PROPER(TRIM(Raw_Data!D505))="United kingdom"),"United Kingdom",PROPER(TRIM(Raw_Data!D505)))</f>
        <v>United Kingdom</v>
      </c>
      <c r="E505" s="6" t="s">
        <v>78</v>
      </c>
      <c r="F505" s="6" t="s">
        <v>38</v>
      </c>
      <c r="G505" s="6" t="str">
        <f>SUBSTITUTE(Raw_Data!G505,"Ã©","é")</f>
        <v>Alpine Jacket</v>
      </c>
      <c r="H505" s="6">
        <v>1</v>
      </c>
      <c r="I505" s="6" t="s">
        <v>113</v>
      </c>
      <c r="J505" s="6" t="s">
        <v>113</v>
      </c>
      <c r="K505" s="6">
        <v>0.52</v>
      </c>
      <c r="L505" s="6" t="s">
        <v>42</v>
      </c>
      <c r="M505" s="6" t="s">
        <v>34</v>
      </c>
      <c r="N505" s="6"/>
    </row>
    <row r="506" spans="1:14">
      <c r="A506" s="6" t="s">
        <v>1143</v>
      </c>
      <c r="B506" s="7">
        <v>46145</v>
      </c>
      <c r="C506" s="6" t="s">
        <v>1144</v>
      </c>
      <c r="D506" s="6" t="str">
        <f>IF(OR(PROPER(TRIM(Raw_Data!D506))="Uk",PROPER(TRIM(Raw_Data!D506))="Gb",PROPER(TRIM(Raw_Data!D506))="United kingdom"),"United Kingdom",PROPER(TRIM(Raw_Data!D506)))</f>
        <v>United Kingdom</v>
      </c>
      <c r="E506" s="6" t="s">
        <v>37</v>
      </c>
      <c r="F506" s="6" t="s">
        <v>38</v>
      </c>
      <c r="G506" s="6" t="str">
        <f>SUBSTITUTE(Raw_Data!G506,"Ã©","é")</f>
        <v>Trail Softshell</v>
      </c>
      <c r="H506" s="6">
        <v>1</v>
      </c>
      <c r="I506" s="6" t="s">
        <v>40</v>
      </c>
      <c r="J506" s="6" t="s">
        <v>40</v>
      </c>
      <c r="K506" s="6">
        <v>0.52</v>
      </c>
      <c r="L506" s="6" t="s">
        <v>33</v>
      </c>
      <c r="M506" s="6" t="s">
        <v>34</v>
      </c>
      <c r="N506" s="6"/>
    </row>
    <row r="507" spans="1:14">
      <c r="A507" s="6" t="s">
        <v>1145</v>
      </c>
      <c r="B507" s="7">
        <v>46270</v>
      </c>
      <c r="C507" s="6" t="s">
        <v>1146</v>
      </c>
      <c r="D507" s="6" t="str">
        <f>IF(OR(PROPER(TRIM(Raw_Data!D507))="Uk",PROPER(TRIM(Raw_Data!D507))="Gb",PROPER(TRIM(Raw_Data!D507))="United kingdom"),"United Kingdom",PROPER(TRIM(Raw_Data!D507)))</f>
        <v>United Kingdom</v>
      </c>
      <c r="E507" s="6" t="s">
        <v>52</v>
      </c>
      <c r="F507" s="6" t="s">
        <v>85</v>
      </c>
      <c r="G507" s="6" t="str">
        <f>SUBSTITUTE(Raw_Data!G507,"Ã©","é")</f>
        <v>Trail Softshell</v>
      </c>
      <c r="H507" s="6">
        <v>-1</v>
      </c>
      <c r="I507" s="6" t="s">
        <v>113</v>
      </c>
      <c r="J507" s="8" t="s">
        <v>1147</v>
      </c>
      <c r="K507" s="6">
        <v>0.41</v>
      </c>
      <c r="L507" s="6" t="s">
        <v>33</v>
      </c>
      <c r="M507" s="6" t="s">
        <v>34</v>
      </c>
      <c r="N507" s="6"/>
    </row>
    <row r="508" spans="1:14">
      <c r="A508" s="6" t="s">
        <v>1148</v>
      </c>
      <c r="B508" s="7">
        <v>46208</v>
      </c>
      <c r="C508" s="6" t="s">
        <v>1149</v>
      </c>
      <c r="D508" s="6" t="str">
        <f>IF(OR(PROPER(TRIM(Raw_Data!D508))="Uk",PROPER(TRIM(Raw_Data!D508))="Gb",PROPER(TRIM(Raw_Data!D508))="United kingdom"),"United Kingdom",PROPER(TRIM(Raw_Data!D508)))</f>
        <v>United Kingdom</v>
      </c>
      <c r="E508" s="6" t="s">
        <v>46</v>
      </c>
      <c r="F508" s="6" t="s">
        <v>85</v>
      </c>
      <c r="G508" s="6" t="str">
        <f>SUBSTITUTE(Raw_Data!G508,"Ã©","é")</f>
        <v>Trail Softshell</v>
      </c>
      <c r="H508" s="6">
        <v>3</v>
      </c>
      <c r="I508" s="6" t="s">
        <v>96</v>
      </c>
      <c r="J508" s="6" t="s">
        <v>97</v>
      </c>
      <c r="K508" s="6">
        <v>0.41</v>
      </c>
      <c r="L508" s="6" t="s">
        <v>42</v>
      </c>
      <c r="M508" s="6" t="s">
        <v>34</v>
      </c>
      <c r="N508" s="6"/>
    </row>
    <row r="509" spans="1:14">
      <c r="A509" s="6" t="s">
        <v>1150</v>
      </c>
      <c r="B509" s="7">
        <v>46115</v>
      </c>
      <c r="C509" s="6" t="s">
        <v>1151</v>
      </c>
      <c r="D509" s="6" t="str">
        <f>IF(OR(PROPER(TRIM(Raw_Data!D509))="Uk",PROPER(TRIM(Raw_Data!D509))="Gb",PROPER(TRIM(Raw_Data!D509))="United kingdom"),"United Kingdom",PROPER(TRIM(Raw_Data!D509)))</f>
        <v>United Kingdom</v>
      </c>
      <c r="E509" s="6" t="s">
        <v>78</v>
      </c>
      <c r="F509" s="6" t="s">
        <v>85</v>
      </c>
      <c r="G509" s="6" t="str">
        <f>SUBSTITUTE(Raw_Data!G509,"Ã©","é")</f>
        <v>Storm Overtrousers</v>
      </c>
      <c r="H509" s="6">
        <v>2</v>
      </c>
      <c r="I509" s="6" t="s">
        <v>181</v>
      </c>
      <c r="J509" s="6" t="s">
        <v>163</v>
      </c>
      <c r="K509" s="6">
        <v>0.41</v>
      </c>
      <c r="L509" s="6" t="s">
        <v>33</v>
      </c>
      <c r="M509" s="6" t="s">
        <v>69</v>
      </c>
      <c r="N509" s="6"/>
    </row>
    <row r="510" spans="1:14">
      <c r="A510" s="6" t="s">
        <v>1152</v>
      </c>
      <c r="B510" s="7">
        <v>46055</v>
      </c>
      <c r="C510" s="6" t="s">
        <v>1153</v>
      </c>
      <c r="D510" s="6" t="str">
        <f>IF(OR(PROPER(TRIM(Raw_Data!D510))="Uk",PROPER(TRIM(Raw_Data!D510))="Gb",PROPER(TRIM(Raw_Data!D510))="United kingdom"),"United Kingdom",PROPER(TRIM(Raw_Data!D510)))</f>
        <v>United Kingdom</v>
      </c>
      <c r="E510" s="6" t="s">
        <v>52</v>
      </c>
      <c r="F510" s="6" t="s">
        <v>100</v>
      </c>
      <c r="G510" s="6" t="str">
        <f>SUBSTITUTE(Raw_Data!G510,"Ã©","é")</f>
        <v>Storm Overtrousers</v>
      </c>
      <c r="H510" s="6">
        <v>2</v>
      </c>
      <c r="I510" s="6" t="s">
        <v>181</v>
      </c>
      <c r="J510" s="6" t="s">
        <v>163</v>
      </c>
      <c r="K510" s="6">
        <v>0.64</v>
      </c>
      <c r="L510" s="6" t="s">
        <v>42</v>
      </c>
      <c r="M510" s="6" t="s">
        <v>69</v>
      </c>
      <c r="N510" s="6"/>
    </row>
    <row r="511" spans="1:14">
      <c r="A511" s="6" t="s">
        <v>1154</v>
      </c>
      <c r="B511" s="7">
        <v>46104</v>
      </c>
      <c r="C511" s="6" t="s">
        <v>1155</v>
      </c>
      <c r="D511" s="6" t="str">
        <f>IF(OR(PROPER(TRIM(Raw_Data!D511))="Uk",PROPER(TRIM(Raw_Data!D511))="Gb",PROPER(TRIM(Raw_Data!D511))="United kingdom"),"United Kingdom",PROPER(TRIM(Raw_Data!D511)))</f>
        <v>United Kingdom</v>
      </c>
      <c r="E511" s="6" t="s">
        <v>46</v>
      </c>
      <c r="F511" s="6" t="s">
        <v>94</v>
      </c>
      <c r="G511" s="6" t="str">
        <f>SUBSTITUTE(Raw_Data!G511,"Ã©","é")</f>
        <v>Storm Overtrousers</v>
      </c>
      <c r="H511" s="6">
        <v>2</v>
      </c>
      <c r="I511" s="6" t="s">
        <v>60</v>
      </c>
      <c r="J511" s="6" t="s">
        <v>189</v>
      </c>
      <c r="K511" s="6">
        <v>0.34</v>
      </c>
      <c r="L511" s="6" t="s">
        <v>33</v>
      </c>
      <c r="M511" s="6" t="s">
        <v>34</v>
      </c>
      <c r="N511" s="6"/>
    </row>
    <row r="512" spans="1:14">
      <c r="A512" s="6" t="s">
        <v>1156</v>
      </c>
      <c r="B512" s="7">
        <v>46125</v>
      </c>
      <c r="C512" s="6" t="s">
        <v>1157</v>
      </c>
      <c r="D512" s="6" t="str">
        <f>IF(OR(PROPER(TRIM(Raw_Data!D512))="Uk",PROPER(TRIM(Raw_Data!D512))="Gb",PROPER(TRIM(Raw_Data!D512))="United kingdom"),"United Kingdom",PROPER(TRIM(Raw_Data!D512)))</f>
        <v>Ireland</v>
      </c>
      <c r="E512" s="6" t="s">
        <v>37</v>
      </c>
      <c r="F512" s="6" t="s">
        <v>47</v>
      </c>
      <c r="G512" s="6" t="str">
        <f>SUBSTITUTE(Raw_Data!G512,"Ã©","é")</f>
        <v>Alpine Jacket</v>
      </c>
      <c r="H512" s="6">
        <v>2</v>
      </c>
      <c r="I512" s="6" t="s">
        <v>82</v>
      </c>
      <c r="J512" s="6" t="s">
        <v>297</v>
      </c>
      <c r="K512" s="6">
        <v>8.5000000000000006E-2</v>
      </c>
      <c r="L512" s="6" t="s">
        <v>33</v>
      </c>
      <c r="M512" s="6" t="s">
        <v>69</v>
      </c>
      <c r="N512" s="6"/>
    </row>
    <row r="513" spans="1:14">
      <c r="A513" s="6" t="s">
        <v>1158</v>
      </c>
      <c r="B513" s="7">
        <v>46048</v>
      </c>
      <c r="C513" s="6" t="s">
        <v>137</v>
      </c>
      <c r="D513" s="6" t="str">
        <f>IF(OR(PROPER(TRIM(Raw_Data!D513))="Uk",PROPER(TRIM(Raw_Data!D513))="Gb",PROPER(TRIM(Raw_Data!D513))="United kingdom"),"United Kingdom",PROPER(TRIM(Raw_Data!D513)))</f>
        <v>United Kingdom</v>
      </c>
      <c r="E513" s="6" t="s">
        <v>78</v>
      </c>
      <c r="F513" s="6" t="s">
        <v>29</v>
      </c>
      <c r="G513" s="6" t="str">
        <f>SUBSTITUTE(Raw_Data!G513,"Ã©","é")</f>
        <v>Café Latte Mug</v>
      </c>
      <c r="H513" s="6">
        <v>3</v>
      </c>
      <c r="I513" s="6" t="s">
        <v>67</v>
      </c>
      <c r="J513" s="6" t="s">
        <v>68</v>
      </c>
      <c r="K513" s="6">
        <v>0.52</v>
      </c>
      <c r="L513" s="6" t="s">
        <v>42</v>
      </c>
      <c r="M513" s="6" t="s">
        <v>34</v>
      </c>
      <c r="N513" s="6"/>
    </row>
    <row r="514" spans="1:14">
      <c r="A514" s="6" t="s">
        <v>1159</v>
      </c>
      <c r="B514" s="7">
        <v>46268</v>
      </c>
      <c r="C514" s="6" t="s">
        <v>367</v>
      </c>
      <c r="D514" s="6" t="str">
        <f>IF(OR(PROPER(TRIM(Raw_Data!D514))="Uk",PROPER(TRIM(Raw_Data!D514))="Gb",PROPER(TRIM(Raw_Data!D514))="United kingdom"),"United Kingdom",PROPER(TRIM(Raw_Data!D514)))</f>
        <v>United Kingdom</v>
      </c>
      <c r="E514" s="6" t="s">
        <v>46</v>
      </c>
      <c r="F514" s="6" t="s">
        <v>100</v>
      </c>
      <c r="G514" s="6" t="str">
        <f>SUBSTITUTE(Raw_Data!G514,"Ã©","é")</f>
        <v>Fell Runner Cap</v>
      </c>
      <c r="H514" s="6">
        <v>1</v>
      </c>
      <c r="I514" s="6" t="s">
        <v>113</v>
      </c>
      <c r="J514" s="6" t="s">
        <v>113</v>
      </c>
      <c r="K514" s="6">
        <v>0.64</v>
      </c>
      <c r="L514" s="6" t="s">
        <v>42</v>
      </c>
      <c r="M514" s="6" t="s">
        <v>34</v>
      </c>
      <c r="N514" s="6"/>
    </row>
    <row r="515" spans="1:14">
      <c r="A515" s="6" t="s">
        <v>1160</v>
      </c>
      <c r="B515" s="7">
        <v>46357</v>
      </c>
      <c r="C515" s="6" t="s">
        <v>1161</v>
      </c>
      <c r="D515" s="6" t="str">
        <f>IF(OR(PROPER(TRIM(Raw_Data!D515))="Uk",PROPER(TRIM(Raw_Data!D515))="Gb",PROPER(TRIM(Raw_Data!D515))="United kingdom"),"United Kingdom",PROPER(TRIM(Raw_Data!D515)))</f>
        <v>United Kingdom</v>
      </c>
      <c r="E515" s="6" t="s">
        <v>46</v>
      </c>
      <c r="F515" s="6" t="s">
        <v>38</v>
      </c>
      <c r="G515" s="6" t="str">
        <f>SUBSTITUTE(Raw_Data!G515,"Ã©","é")</f>
        <v>Trekking Poles</v>
      </c>
      <c r="H515" s="6">
        <v>2</v>
      </c>
      <c r="I515" s="6" t="s">
        <v>151</v>
      </c>
      <c r="J515" s="6" t="s">
        <v>249</v>
      </c>
      <c r="K515" s="6">
        <v>0.52</v>
      </c>
      <c r="L515" s="6" t="s">
        <v>42</v>
      </c>
      <c r="M515" s="6" t="s">
        <v>34</v>
      </c>
      <c r="N515" s="6"/>
    </row>
    <row r="516" spans="1:14">
      <c r="A516" s="6" t="s">
        <v>1162</v>
      </c>
      <c r="B516" s="7">
        <v>46115</v>
      </c>
      <c r="C516" s="6" t="s">
        <v>1163</v>
      </c>
      <c r="D516" s="6" t="str">
        <f>IF(OR(PROPER(TRIM(Raw_Data!D516))="Uk",PROPER(TRIM(Raw_Data!D516))="Gb",PROPER(TRIM(Raw_Data!D516))="United kingdom"),"United Kingdom",PROPER(TRIM(Raw_Data!D516)))</f>
        <v>Germany</v>
      </c>
      <c r="E516" s="6" t="s">
        <v>37</v>
      </c>
      <c r="F516" s="6" t="s">
        <v>85</v>
      </c>
      <c r="G516" s="6" t="str">
        <f>SUBSTITUTE(Raw_Data!G516,"Ã©","é")</f>
        <v>Alpine Jacket</v>
      </c>
      <c r="H516" s="6">
        <v>2</v>
      </c>
      <c r="I516" s="6" t="s">
        <v>117</v>
      </c>
      <c r="J516" s="6" t="s">
        <v>118</v>
      </c>
      <c r="K516" s="6">
        <v>0.41</v>
      </c>
      <c r="L516" s="6" t="s">
        <v>42</v>
      </c>
      <c r="M516" s="6" t="s">
        <v>34</v>
      </c>
      <c r="N516" s="6"/>
    </row>
    <row r="517" spans="1:14">
      <c r="A517" s="6" t="s">
        <v>1164</v>
      </c>
      <c r="B517" s="7">
        <v>46184</v>
      </c>
      <c r="C517" s="6" t="s">
        <v>230</v>
      </c>
      <c r="D517" s="6" t="str">
        <f>IF(OR(PROPER(TRIM(Raw_Data!D517))="Uk",PROPER(TRIM(Raw_Data!D517))="Gb",PROPER(TRIM(Raw_Data!D517))="United kingdom"),"United Kingdom",PROPER(TRIM(Raw_Data!D517)))</f>
        <v>United Kingdom</v>
      </c>
      <c r="E517" s="6" t="s">
        <v>28</v>
      </c>
      <c r="F517" s="6" t="s">
        <v>94</v>
      </c>
      <c r="G517" s="6" t="str">
        <f>SUBSTITUTE(Raw_Data!G517,"Ã©","é")</f>
        <v>Trail Softshell</v>
      </c>
      <c r="H517" s="6">
        <v>1</v>
      </c>
      <c r="I517" s="6" t="s">
        <v>231</v>
      </c>
      <c r="J517" s="6" t="s">
        <v>231</v>
      </c>
      <c r="K517" s="6">
        <v>0.34</v>
      </c>
      <c r="L517" s="6" t="s">
        <v>42</v>
      </c>
      <c r="M517" s="6" t="s">
        <v>69</v>
      </c>
      <c r="N517" s="6"/>
    </row>
    <row r="518" spans="1:14">
      <c r="A518" s="6" t="s">
        <v>1165</v>
      </c>
      <c r="B518" s="7">
        <v>46148</v>
      </c>
      <c r="C518" s="6" t="s">
        <v>1166</v>
      </c>
      <c r="D518" s="6" t="str">
        <f>IF(OR(PROPER(TRIM(Raw_Data!D518))="Uk",PROPER(TRIM(Raw_Data!D518))="Gb",PROPER(TRIM(Raw_Data!D518))="United kingdom"),"United Kingdom",PROPER(TRIM(Raw_Data!D518)))</f>
        <v>Germany</v>
      </c>
      <c r="E518" s="6" t="s">
        <v>37</v>
      </c>
      <c r="F518" s="6" t="s">
        <v>58</v>
      </c>
      <c r="G518" s="6" t="str">
        <f>SUBSTITUTE(Raw_Data!G518,"Ã©","é")</f>
        <v>Storm Overtrousers</v>
      </c>
      <c r="H518" s="6">
        <v>3</v>
      </c>
      <c r="I518" s="6" t="s">
        <v>82</v>
      </c>
      <c r="J518" s="6" t="s">
        <v>390</v>
      </c>
      <c r="K518" s="6">
        <v>0.38</v>
      </c>
      <c r="L518" s="6" t="s">
        <v>42</v>
      </c>
      <c r="M518" s="6" t="s">
        <v>34</v>
      </c>
      <c r="N518" s="6"/>
    </row>
    <row r="519" spans="1:14">
      <c r="A519" s="6" t="s">
        <v>1167</v>
      </c>
      <c r="B519" s="7">
        <v>46047</v>
      </c>
      <c r="C519" s="6" t="s">
        <v>1168</v>
      </c>
      <c r="D519" s="6" t="str">
        <f>IF(OR(PROPER(TRIM(Raw_Data!D519))="Uk",PROPER(TRIM(Raw_Data!D519))="Gb",PROPER(TRIM(Raw_Data!D519))="United kingdom"),"United Kingdom",PROPER(TRIM(Raw_Data!D519)))</f>
        <v>United Kingdom</v>
      </c>
      <c r="E519" s="6" t="s">
        <v>28</v>
      </c>
      <c r="F519" s="6" t="s">
        <v>29</v>
      </c>
      <c r="G519" s="6" t="str">
        <f>SUBSTITUTE(Raw_Data!G519,"Ã©","é")</f>
        <v>Café Latte Mug</v>
      </c>
      <c r="H519" s="6">
        <v>1</v>
      </c>
      <c r="I519" s="6" t="s">
        <v>79</v>
      </c>
      <c r="J519" s="6" t="s">
        <v>79</v>
      </c>
      <c r="K519" s="6">
        <v>0.52</v>
      </c>
      <c r="L519" s="6" t="s">
        <v>42</v>
      </c>
      <c r="M519" s="6" t="s">
        <v>69</v>
      </c>
      <c r="N519" s="6"/>
    </row>
    <row r="520" spans="1:14">
      <c r="A520" s="6" t="s">
        <v>1169</v>
      </c>
      <c r="B520" s="7">
        <v>46028</v>
      </c>
      <c r="C520" s="6" t="s">
        <v>1170</v>
      </c>
      <c r="D520" s="6" t="str">
        <f>IF(OR(PROPER(TRIM(Raw_Data!D520))="Uk",PROPER(TRIM(Raw_Data!D520))="Gb",PROPER(TRIM(Raw_Data!D520))="United kingdom"),"United Kingdom",PROPER(TRIM(Raw_Data!D520)))</f>
        <v>United Kingdom</v>
      </c>
      <c r="E520" s="6" t="s">
        <v>46</v>
      </c>
      <c r="F520" s="6" t="s">
        <v>29</v>
      </c>
      <c r="G520" s="6" t="str">
        <f>SUBSTITUTE(Raw_Data!G520,"Ã©","é")</f>
        <v>Summit Down Gilet</v>
      </c>
      <c r="H520" s="6">
        <v>1</v>
      </c>
      <c r="I520" s="6" t="s">
        <v>231</v>
      </c>
      <c r="J520" s="6" t="s">
        <v>231</v>
      </c>
      <c r="K520" s="6">
        <v>0.52</v>
      </c>
      <c r="L520" s="6" t="s">
        <v>42</v>
      </c>
      <c r="M520" s="6" t="s">
        <v>34</v>
      </c>
      <c r="N520" s="6"/>
    </row>
    <row r="521" spans="1:14">
      <c r="A521" s="6" t="s">
        <v>1171</v>
      </c>
      <c r="B521" s="7">
        <v>46137</v>
      </c>
      <c r="C521" s="6" t="s">
        <v>1172</v>
      </c>
      <c r="D521" s="6" t="str">
        <f>IF(OR(PROPER(TRIM(Raw_Data!D521))="Uk",PROPER(TRIM(Raw_Data!D521))="Gb",PROPER(TRIM(Raw_Data!D521))="United kingdom"),"United Kingdom",PROPER(TRIM(Raw_Data!D521)))</f>
        <v>United Kingdom</v>
      </c>
      <c r="E521" s="6" t="s">
        <v>78</v>
      </c>
      <c r="F521" s="6" t="s">
        <v>94</v>
      </c>
      <c r="G521" s="6" t="str">
        <f>SUBSTITUTE(Raw_Data!G521,"Ã©","é")</f>
        <v>Trekking Poles</v>
      </c>
      <c r="H521" s="6">
        <v>1</v>
      </c>
      <c r="I521" s="6" t="s">
        <v>60</v>
      </c>
      <c r="J521" s="6" t="s">
        <v>60</v>
      </c>
      <c r="K521" s="6">
        <v>0.34</v>
      </c>
      <c r="L521" s="6" t="s">
        <v>42</v>
      </c>
      <c r="M521" s="6" t="s">
        <v>69</v>
      </c>
      <c r="N521" s="6"/>
    </row>
    <row r="522" spans="1:14">
      <c r="A522" s="6" t="s">
        <v>1173</v>
      </c>
      <c r="B522" s="7">
        <v>46107</v>
      </c>
      <c r="C522" s="6" t="s">
        <v>1174</v>
      </c>
      <c r="D522" s="6" t="str">
        <f>IF(OR(PROPER(TRIM(Raw_Data!D522))="Uk",PROPER(TRIM(Raw_Data!D522))="Gb",PROPER(TRIM(Raw_Data!D522))="United kingdom"),"United Kingdom",PROPER(TRIM(Raw_Data!D522)))</f>
        <v>Germany</v>
      </c>
      <c r="E522" s="6" t="s">
        <v>28</v>
      </c>
      <c r="F522" s="6" t="s">
        <v>58</v>
      </c>
      <c r="G522" s="6" t="str">
        <f>SUBSTITUTE(Raw_Data!G522,"Ã©","é")</f>
        <v>Trekking Poles</v>
      </c>
      <c r="H522" s="6">
        <v>1</v>
      </c>
      <c r="I522" s="6" t="s">
        <v>31</v>
      </c>
      <c r="J522" s="6" t="s">
        <v>31</v>
      </c>
      <c r="K522" s="6">
        <v>0.38</v>
      </c>
      <c r="L522" s="6" t="s">
        <v>42</v>
      </c>
      <c r="M522" s="6" t="s">
        <v>34</v>
      </c>
      <c r="N522" s="6"/>
    </row>
    <row r="523" spans="1:14">
      <c r="A523" s="6" t="s">
        <v>1175</v>
      </c>
      <c r="B523" s="7">
        <v>46128</v>
      </c>
      <c r="C523" s="6" t="s">
        <v>1176</v>
      </c>
      <c r="D523" s="6" t="str">
        <f>IF(OR(PROPER(TRIM(Raw_Data!D523))="Uk",PROPER(TRIM(Raw_Data!D523))="Gb",PROPER(TRIM(Raw_Data!D523))="United kingdom"),"United Kingdom",PROPER(TRIM(Raw_Data!D523)))</f>
        <v>Germany</v>
      </c>
      <c r="E523" s="6" t="s">
        <v>78</v>
      </c>
      <c r="F523" s="6" t="s">
        <v>38</v>
      </c>
      <c r="G523" s="6" t="str">
        <f>SUBSTITUTE(Raw_Data!G523,"Ã©","é")</f>
        <v>Café Latte Mug</v>
      </c>
      <c r="H523" s="6">
        <v>2</v>
      </c>
      <c r="I523" s="6" t="s">
        <v>748</v>
      </c>
      <c r="J523" s="6" t="s">
        <v>192</v>
      </c>
      <c r="K523" s="6">
        <v>0.52</v>
      </c>
      <c r="L523" s="6" t="s">
        <v>42</v>
      </c>
      <c r="M523" s="6" t="s">
        <v>69</v>
      </c>
      <c r="N523" s="6"/>
    </row>
    <row r="524" spans="1:14">
      <c r="A524" s="6" t="s">
        <v>1177</v>
      </c>
      <c r="B524" s="7">
        <v>46188</v>
      </c>
      <c r="C524" s="6" t="s">
        <v>1112</v>
      </c>
      <c r="D524" s="6" t="str">
        <f>IF(OR(PROPER(TRIM(Raw_Data!D524))="Uk",PROPER(TRIM(Raw_Data!D524))="Gb",PROPER(TRIM(Raw_Data!D524))="United kingdom"),"United Kingdom",PROPER(TRIM(Raw_Data!D524)))</f>
        <v>United Kingdom</v>
      </c>
      <c r="E524" s="6" t="s">
        <v>52</v>
      </c>
      <c r="F524" s="6" t="s">
        <v>58</v>
      </c>
      <c r="G524" s="6" t="str">
        <f>SUBSTITUTE(Raw_Data!G524,"Ã©","é")</f>
        <v>Summit Down Gilet</v>
      </c>
      <c r="H524" s="6">
        <v>3</v>
      </c>
      <c r="I524" s="6" t="s">
        <v>143</v>
      </c>
      <c r="J524" s="6" t="s">
        <v>243</v>
      </c>
      <c r="K524" s="6">
        <v>0.38</v>
      </c>
      <c r="L524" s="6" t="s">
        <v>42</v>
      </c>
      <c r="M524" s="6" t="s">
        <v>34</v>
      </c>
      <c r="N524" s="6"/>
    </row>
    <row r="525" spans="1:14">
      <c r="A525" s="6" t="s">
        <v>1178</v>
      </c>
      <c r="B525" s="7">
        <v>46332</v>
      </c>
      <c r="C525" s="6" t="s">
        <v>1179</v>
      </c>
      <c r="D525" s="6" t="str">
        <f>IF(OR(PROPER(TRIM(Raw_Data!D525))="Uk",PROPER(TRIM(Raw_Data!D525))="Gb",PROPER(TRIM(Raw_Data!D525))="United kingdom"),"United Kingdom",PROPER(TRIM(Raw_Data!D525)))</f>
        <v>United Kingdom</v>
      </c>
      <c r="E525" s="6" t="s">
        <v>28</v>
      </c>
      <c r="F525" s="6" t="s">
        <v>100</v>
      </c>
      <c r="G525" s="6" t="str">
        <f>SUBSTITUTE(Raw_Data!G525,"Ã©","é")</f>
        <v>Trail Softshell</v>
      </c>
      <c r="H525" s="6">
        <v>1</v>
      </c>
      <c r="I525" s="6" t="s">
        <v>265</v>
      </c>
      <c r="J525" s="6" t="s">
        <v>265</v>
      </c>
      <c r="K525" s="6">
        <v>0.64</v>
      </c>
      <c r="L525" s="6" t="s">
        <v>33</v>
      </c>
      <c r="M525" s="6" t="s">
        <v>34</v>
      </c>
      <c r="N525" s="6"/>
    </row>
    <row r="526" spans="1:14">
      <c r="A526" s="6" t="s">
        <v>1180</v>
      </c>
      <c r="B526" s="7">
        <v>46163</v>
      </c>
      <c r="C526" s="6" t="s">
        <v>1181</v>
      </c>
      <c r="D526" s="6" t="str">
        <f>IF(OR(PROPER(TRIM(Raw_Data!D526))="Uk",PROPER(TRIM(Raw_Data!D526))="Gb",PROPER(TRIM(Raw_Data!D526))="United kingdom"),"United Kingdom",PROPER(TRIM(Raw_Data!D526)))</f>
        <v>United Kingdom</v>
      </c>
      <c r="E526" s="6" t="s">
        <v>37</v>
      </c>
      <c r="F526" s="6" t="s">
        <v>58</v>
      </c>
      <c r="G526" s="6" t="str">
        <f>SUBSTITUTE(Raw_Data!G526,"Ã©","é")</f>
        <v>Summit Down Gilet</v>
      </c>
      <c r="H526" s="6">
        <v>1</v>
      </c>
      <c r="I526" s="6" t="s">
        <v>90</v>
      </c>
      <c r="J526" s="6" t="s">
        <v>1182</v>
      </c>
      <c r="K526" s="6">
        <v>0.38</v>
      </c>
      <c r="L526" s="6" t="s">
        <v>33</v>
      </c>
      <c r="M526" s="6" t="s">
        <v>69</v>
      </c>
      <c r="N526" s="6"/>
    </row>
    <row r="527" spans="1:14">
      <c r="A527" s="6" t="s">
        <v>1183</v>
      </c>
      <c r="B527" s="7">
        <v>46038</v>
      </c>
      <c r="C527" s="6" t="s">
        <v>1184</v>
      </c>
      <c r="D527" s="6" t="str">
        <f>IF(OR(PROPER(TRIM(Raw_Data!D527))="Uk",PROPER(TRIM(Raw_Data!D527))="Gb",PROPER(TRIM(Raw_Data!D527))="United kingdom"),"United Kingdom",PROPER(TRIM(Raw_Data!D527)))</f>
        <v>United Kingdom</v>
      </c>
      <c r="E527" s="6" t="s">
        <v>28</v>
      </c>
      <c r="F527" s="6" t="s">
        <v>53</v>
      </c>
      <c r="G527" s="6" t="str">
        <f>SUBSTITUTE(Raw_Data!G527,"Ã©","é")</f>
        <v>Alpine Jacket</v>
      </c>
      <c r="H527" s="6">
        <v>1</v>
      </c>
      <c r="I527" s="6" t="s">
        <v>660</v>
      </c>
      <c r="J527" s="6" t="s">
        <v>79</v>
      </c>
      <c r="K527" s="6">
        <v>0.19</v>
      </c>
      <c r="L527" s="6" t="s">
        <v>42</v>
      </c>
      <c r="M527" s="6" t="s">
        <v>34</v>
      </c>
      <c r="N527" s="6"/>
    </row>
    <row r="528" spans="1:14">
      <c r="A528" s="6" t="s">
        <v>1185</v>
      </c>
      <c r="B528" s="7">
        <v>46148</v>
      </c>
      <c r="C528" s="6" t="s">
        <v>1186</v>
      </c>
      <c r="D528" s="6" t="str">
        <f>IF(OR(PROPER(TRIM(Raw_Data!D528))="Uk",PROPER(TRIM(Raw_Data!D528))="Gb",PROPER(TRIM(Raw_Data!D528))="United kingdom"),"United Kingdom",PROPER(TRIM(Raw_Data!D528)))</f>
        <v>United Kingdom</v>
      </c>
      <c r="E528" s="6" t="s">
        <v>78</v>
      </c>
      <c r="F528" s="6" t="s">
        <v>85</v>
      </c>
      <c r="G528" s="6" t="str">
        <f>SUBSTITUTE(Raw_Data!G528,"Ã©","é")</f>
        <v>Summit Down Gilet</v>
      </c>
      <c r="H528" s="6">
        <v>2</v>
      </c>
      <c r="I528" s="6" t="s">
        <v>40</v>
      </c>
      <c r="J528" s="6" t="s">
        <v>327</v>
      </c>
      <c r="K528" s="6">
        <v>0.41</v>
      </c>
      <c r="L528" s="6" t="s">
        <v>33</v>
      </c>
      <c r="M528" s="6" t="s">
        <v>34</v>
      </c>
      <c r="N528" s="6"/>
    </row>
    <row r="529" spans="1:14">
      <c r="A529" s="6" t="s">
        <v>1187</v>
      </c>
      <c r="B529" s="7">
        <v>46190</v>
      </c>
      <c r="C529" s="6" t="s">
        <v>1188</v>
      </c>
      <c r="D529" s="6" t="str">
        <f>IF(OR(PROPER(TRIM(Raw_Data!D529))="Uk",PROPER(TRIM(Raw_Data!D529))="Gb",PROPER(TRIM(Raw_Data!D529))="United kingdom"),"United Kingdom",PROPER(TRIM(Raw_Data!D529)))</f>
        <v>France</v>
      </c>
      <c r="E529" s="6" t="s">
        <v>78</v>
      </c>
      <c r="F529" s="6" t="s">
        <v>38</v>
      </c>
      <c r="G529" s="6" t="str">
        <f>SUBSTITUTE(Raw_Data!G529,"Ã©","é")</f>
        <v>Merino Base Layer</v>
      </c>
      <c r="H529" s="6">
        <v>3</v>
      </c>
      <c r="I529" s="6" t="s">
        <v>79</v>
      </c>
      <c r="J529" s="6" t="s">
        <v>216</v>
      </c>
      <c r="K529" s="6">
        <v>0.52</v>
      </c>
      <c r="L529" s="6" t="s">
        <v>42</v>
      </c>
      <c r="M529" s="6" t="s">
        <v>34</v>
      </c>
      <c r="N529" s="6"/>
    </row>
    <row r="530" spans="1:14">
      <c r="A530" s="6" t="s">
        <v>1189</v>
      </c>
      <c r="B530" s="7">
        <v>46026</v>
      </c>
      <c r="C530" s="6" t="s">
        <v>1190</v>
      </c>
      <c r="D530" s="6" t="str">
        <f>IF(OR(PROPER(TRIM(Raw_Data!D530))="Uk",PROPER(TRIM(Raw_Data!D530))="Gb",PROPER(TRIM(Raw_Data!D530))="United kingdom"),"United Kingdom",PROPER(TRIM(Raw_Data!D530)))</f>
        <v>France</v>
      </c>
      <c r="E530" s="6" t="s">
        <v>46</v>
      </c>
      <c r="F530" s="6" t="s">
        <v>94</v>
      </c>
      <c r="G530" s="6" t="str">
        <f>SUBSTITUTE(Raw_Data!G530,"Ã©","é")</f>
        <v>Storm Overtrousers</v>
      </c>
      <c r="H530" s="6">
        <v>3</v>
      </c>
      <c r="I530" s="6" t="s">
        <v>79</v>
      </c>
      <c r="J530" s="6" t="s">
        <v>216</v>
      </c>
      <c r="K530" s="6">
        <v>0.34</v>
      </c>
      <c r="L530" s="6" t="s">
        <v>42</v>
      </c>
      <c r="M530" s="6" t="s">
        <v>69</v>
      </c>
      <c r="N530" s="6"/>
    </row>
    <row r="531" spans="1:14">
      <c r="A531" s="6" t="s">
        <v>1191</v>
      </c>
      <c r="B531" s="7">
        <v>46032</v>
      </c>
      <c r="C531" s="6" t="s">
        <v>1192</v>
      </c>
      <c r="D531" s="6" t="str">
        <f>IF(OR(PROPER(TRIM(Raw_Data!D531))="Uk",PROPER(TRIM(Raw_Data!D531))="Gb",PROPER(TRIM(Raw_Data!D531))="United kingdom"),"United Kingdom",PROPER(TRIM(Raw_Data!D531)))</f>
        <v>Germany</v>
      </c>
      <c r="E531" s="6" t="s">
        <v>28</v>
      </c>
      <c r="F531" s="6" t="s">
        <v>58</v>
      </c>
      <c r="G531" s="6" t="str">
        <f>SUBSTITUTE(Raw_Data!G531,"Ã©","é")</f>
        <v>Trail Softshell</v>
      </c>
      <c r="H531" s="6">
        <v>1</v>
      </c>
      <c r="I531" s="6" t="s">
        <v>31</v>
      </c>
      <c r="J531" s="6" t="s">
        <v>31</v>
      </c>
      <c r="K531" s="6">
        <v>0.38</v>
      </c>
      <c r="L531" s="6" t="s">
        <v>42</v>
      </c>
      <c r="M531" s="6" t="s">
        <v>69</v>
      </c>
      <c r="N531" s="6"/>
    </row>
    <row r="532" spans="1:14">
      <c r="A532" s="6" t="s">
        <v>1193</v>
      </c>
      <c r="B532" s="7">
        <v>46104</v>
      </c>
      <c r="C532" s="6" t="s">
        <v>1194</v>
      </c>
      <c r="D532" s="6" t="str">
        <f>IF(OR(PROPER(TRIM(Raw_Data!D532))="Uk",PROPER(TRIM(Raw_Data!D532))="Gb",PROPER(TRIM(Raw_Data!D532))="United kingdom"),"United Kingdom",PROPER(TRIM(Raw_Data!D532)))</f>
        <v>United Kingdom</v>
      </c>
      <c r="E532" s="6" t="s">
        <v>46</v>
      </c>
      <c r="F532" s="6" t="s">
        <v>100</v>
      </c>
      <c r="G532" s="6" t="str">
        <f>SUBSTITUTE(Raw_Data!G532,"Ã©","é")</f>
        <v>Café Latte Mug</v>
      </c>
      <c r="H532" s="6">
        <v>1</v>
      </c>
      <c r="I532" s="6" t="s">
        <v>31</v>
      </c>
      <c r="J532" s="6" t="s">
        <v>231</v>
      </c>
      <c r="K532" s="6">
        <v>0.64</v>
      </c>
      <c r="L532" s="6" t="s">
        <v>42</v>
      </c>
      <c r="M532" s="6" t="s">
        <v>34</v>
      </c>
      <c r="N532" s="6"/>
    </row>
    <row r="533" spans="1:14">
      <c r="A533" s="6" t="s">
        <v>1195</v>
      </c>
      <c r="B533" s="7">
        <v>46044</v>
      </c>
      <c r="C533" s="6" t="s">
        <v>1196</v>
      </c>
      <c r="D533" s="6" t="str">
        <f>IF(OR(PROPER(TRIM(Raw_Data!D533))="Uk",PROPER(TRIM(Raw_Data!D533))="Gb",PROPER(TRIM(Raw_Data!D533))="United kingdom"),"United Kingdom",PROPER(TRIM(Raw_Data!D533)))</f>
        <v>Ireland</v>
      </c>
      <c r="E533" s="6" t="s">
        <v>46</v>
      </c>
      <c r="F533" s="6" t="s">
        <v>94</v>
      </c>
      <c r="G533" s="6" t="str">
        <f>SUBSTITUTE(Raw_Data!G533,"Ã©","é")</f>
        <v>Summit Down Gilet</v>
      </c>
      <c r="H533" s="6">
        <v>2</v>
      </c>
      <c r="I533" s="6" t="s">
        <v>265</v>
      </c>
      <c r="J533" s="6" t="s">
        <v>167</v>
      </c>
      <c r="K533" s="6">
        <v>0.34</v>
      </c>
      <c r="L533" s="6" t="s">
        <v>42</v>
      </c>
      <c r="M533" s="6" t="s">
        <v>34</v>
      </c>
      <c r="N533" s="6"/>
    </row>
    <row r="534" spans="1:14">
      <c r="A534" s="6" t="s">
        <v>1197</v>
      </c>
      <c r="B534" s="7">
        <v>46024</v>
      </c>
      <c r="C534" s="6" t="s">
        <v>1032</v>
      </c>
      <c r="D534" s="6" t="str">
        <f>IF(OR(PROPER(TRIM(Raw_Data!D534))="Uk",PROPER(TRIM(Raw_Data!D534))="Gb",PROPER(TRIM(Raw_Data!D534))="United kingdom"),"United Kingdom",PROPER(TRIM(Raw_Data!D534)))</f>
        <v>United Kingdom</v>
      </c>
      <c r="E534" s="6" t="s">
        <v>52</v>
      </c>
      <c r="F534" s="6" t="s">
        <v>100</v>
      </c>
      <c r="G534" s="6" t="str">
        <f>SUBSTITUTE(Raw_Data!G534,"Ã©","é")</f>
        <v>Alpine Jacket</v>
      </c>
      <c r="H534" s="6">
        <v>3</v>
      </c>
      <c r="I534" s="6" t="s">
        <v>82</v>
      </c>
      <c r="J534" s="6" t="s">
        <v>1198</v>
      </c>
      <c r="K534" s="6">
        <v>0.64</v>
      </c>
      <c r="L534" s="6" t="s">
        <v>42</v>
      </c>
      <c r="M534" s="6" t="s">
        <v>69</v>
      </c>
      <c r="N534" s="6"/>
    </row>
    <row r="535" spans="1:14">
      <c r="A535" s="6" t="s">
        <v>1199</v>
      </c>
      <c r="B535" s="7">
        <v>46047</v>
      </c>
      <c r="C535" s="6" t="s">
        <v>1200</v>
      </c>
      <c r="D535" s="6" t="str">
        <f>IF(OR(PROPER(TRIM(Raw_Data!D535))="Uk",PROPER(TRIM(Raw_Data!D535))="Gb",PROPER(TRIM(Raw_Data!D535))="United kingdom"),"United Kingdom",PROPER(TRIM(Raw_Data!D535)))</f>
        <v>Ireland</v>
      </c>
      <c r="E535" s="6" t="s">
        <v>46</v>
      </c>
      <c r="F535" s="6" t="s">
        <v>85</v>
      </c>
      <c r="G535" s="6" t="str">
        <f>SUBSTITUTE(Raw_Data!G535,"Ã©","é")</f>
        <v>Café Latte Mug</v>
      </c>
      <c r="H535" s="6">
        <v>1</v>
      </c>
      <c r="I535" s="6" t="s">
        <v>79</v>
      </c>
      <c r="J535" s="6" t="s">
        <v>79</v>
      </c>
      <c r="K535" s="6">
        <v>0.41</v>
      </c>
      <c r="L535" s="6" t="s">
        <v>42</v>
      </c>
      <c r="M535" s="6" t="s">
        <v>34</v>
      </c>
      <c r="N535" s="6"/>
    </row>
    <row r="536" spans="1:14">
      <c r="A536" s="6" t="s">
        <v>1201</v>
      </c>
      <c r="B536" s="7">
        <v>46206</v>
      </c>
      <c r="C536" s="6" t="s">
        <v>1202</v>
      </c>
      <c r="D536" s="6" t="str">
        <f>IF(OR(PROPER(TRIM(Raw_Data!D536))="Uk",PROPER(TRIM(Raw_Data!D536))="Gb",PROPER(TRIM(Raw_Data!D536))="United kingdom"),"United Kingdom",PROPER(TRIM(Raw_Data!D536)))</f>
        <v>United Kingdom</v>
      </c>
      <c r="E536" s="6" t="s">
        <v>78</v>
      </c>
      <c r="F536" s="6" t="s">
        <v>100</v>
      </c>
      <c r="G536" s="6" t="str">
        <f>SUBSTITUTE(Raw_Data!G536,"Ã©","é")</f>
        <v>Alpine Jacket</v>
      </c>
      <c r="H536" s="6">
        <v>1</v>
      </c>
      <c r="I536" s="6" t="s">
        <v>117</v>
      </c>
      <c r="J536" s="6" t="s">
        <v>117</v>
      </c>
      <c r="K536" s="6">
        <v>0.64</v>
      </c>
      <c r="L536" s="6" t="s">
        <v>42</v>
      </c>
      <c r="M536" s="6" t="s">
        <v>69</v>
      </c>
      <c r="N536" s="6"/>
    </row>
    <row r="537" spans="1:14">
      <c r="A537" s="6" t="s">
        <v>1203</v>
      </c>
      <c r="B537" s="7">
        <v>46080</v>
      </c>
      <c r="C537" s="6" t="s">
        <v>1077</v>
      </c>
      <c r="D537" s="6" t="str">
        <f>IF(OR(PROPER(TRIM(Raw_Data!D537))="Uk",PROPER(TRIM(Raw_Data!D537))="Gb",PROPER(TRIM(Raw_Data!D537))="United kingdom"),"United Kingdom",PROPER(TRIM(Raw_Data!D537)))</f>
        <v>United Kingdom</v>
      </c>
      <c r="E537" s="6" t="s">
        <v>37</v>
      </c>
      <c r="F537" s="6" t="s">
        <v>47</v>
      </c>
      <c r="G537" s="6" t="str">
        <f>SUBSTITUTE(Raw_Data!G537,"Ã©","é")</f>
        <v>Storm Overtrousers</v>
      </c>
      <c r="H537" s="6">
        <v>1</v>
      </c>
      <c r="I537" s="6" t="s">
        <v>147</v>
      </c>
      <c r="J537" s="6" t="s">
        <v>147</v>
      </c>
      <c r="K537" s="6">
        <v>8.5000000000000006E-2</v>
      </c>
      <c r="L537" s="6" t="s">
        <v>42</v>
      </c>
      <c r="M537" s="6" t="s">
        <v>34</v>
      </c>
      <c r="N537" s="6"/>
    </row>
    <row r="538" spans="1:14">
      <c r="A538" s="6" t="s">
        <v>1204</v>
      </c>
      <c r="B538" s="7">
        <v>46075</v>
      </c>
      <c r="C538" s="6" t="s">
        <v>1205</v>
      </c>
      <c r="D538" s="6" t="str">
        <f>IF(OR(PROPER(TRIM(Raw_Data!D538))="Uk",PROPER(TRIM(Raw_Data!D538))="Gb",PROPER(TRIM(Raw_Data!D538))="United kingdom"),"United Kingdom",PROPER(TRIM(Raw_Data!D538)))</f>
        <v>Germany</v>
      </c>
      <c r="E538" s="6" t="s">
        <v>28</v>
      </c>
      <c r="F538" s="6" t="s">
        <v>100</v>
      </c>
      <c r="G538" s="6" t="str">
        <f>SUBSTITUTE(Raw_Data!G538,"Ã©","é")</f>
        <v>Alpine Jacket</v>
      </c>
      <c r="H538" s="6">
        <v>2</v>
      </c>
      <c r="I538" s="6" t="s">
        <v>31</v>
      </c>
      <c r="J538" s="6" t="s">
        <v>249</v>
      </c>
      <c r="K538" s="6">
        <v>0.64</v>
      </c>
      <c r="L538" s="6" t="s">
        <v>42</v>
      </c>
      <c r="M538" s="6" t="s">
        <v>34</v>
      </c>
      <c r="N538" s="6"/>
    </row>
    <row r="539" spans="1:14">
      <c r="A539" s="6" t="s">
        <v>1206</v>
      </c>
      <c r="B539" s="7">
        <v>46164</v>
      </c>
      <c r="C539" s="6" t="s">
        <v>1207</v>
      </c>
      <c r="D539" s="6" t="str">
        <f>IF(OR(PROPER(TRIM(Raw_Data!D539))="Uk",PROPER(TRIM(Raw_Data!D539))="Gb",PROPER(TRIM(Raw_Data!D539))="United kingdom"),"United Kingdom",PROPER(TRIM(Raw_Data!D539)))</f>
        <v>United Kingdom</v>
      </c>
      <c r="E539" s="6" t="s">
        <v>37</v>
      </c>
      <c r="F539" s="6" t="s">
        <v>47</v>
      </c>
      <c r="G539" s="6" t="str">
        <f>SUBSTITUTE(Raw_Data!G539,"Ã©","é")</f>
        <v>Fell Runner Cap</v>
      </c>
      <c r="H539" s="6">
        <v>1</v>
      </c>
      <c r="I539" s="6" t="s">
        <v>265</v>
      </c>
      <c r="J539" s="6" t="s">
        <v>265</v>
      </c>
      <c r="K539" s="6">
        <v>8.5000000000000006E-2</v>
      </c>
      <c r="L539" s="6" t="s">
        <v>42</v>
      </c>
      <c r="M539" s="6" t="s">
        <v>34</v>
      </c>
      <c r="N539" s="6"/>
    </row>
    <row r="540" spans="1:14">
      <c r="A540" s="6" t="s">
        <v>1208</v>
      </c>
      <c r="B540" s="7">
        <v>46078</v>
      </c>
      <c r="C540" s="6" t="s">
        <v>389</v>
      </c>
      <c r="D540" s="6" t="str">
        <f>IF(OR(PROPER(TRIM(Raw_Data!D540))="Uk",PROPER(TRIM(Raw_Data!D540))="Gb",PROPER(TRIM(Raw_Data!D540))="United kingdom"),"United Kingdom",PROPER(TRIM(Raw_Data!D540)))</f>
        <v>Ireland</v>
      </c>
      <c r="E540" s="6" t="s">
        <v>78</v>
      </c>
      <c r="F540" s="6" t="s">
        <v>85</v>
      </c>
      <c r="G540" s="6" t="str">
        <f>SUBSTITUTE(Raw_Data!G540,"Ã©","é")</f>
        <v>Alpine Jacket</v>
      </c>
      <c r="H540" s="6">
        <v>2</v>
      </c>
      <c r="I540" s="6" t="s">
        <v>147</v>
      </c>
      <c r="J540" s="6" t="s">
        <v>175</v>
      </c>
      <c r="K540" s="6">
        <v>0.41</v>
      </c>
      <c r="L540" s="6" t="s">
        <v>33</v>
      </c>
      <c r="M540" s="6" t="s">
        <v>69</v>
      </c>
      <c r="N540" s="6"/>
    </row>
    <row r="541" spans="1:14">
      <c r="A541" s="6" t="s">
        <v>1209</v>
      </c>
      <c r="B541" s="7">
        <v>46071</v>
      </c>
      <c r="C541" s="6" t="s">
        <v>1210</v>
      </c>
      <c r="D541" s="6" t="str">
        <f>IF(OR(PROPER(TRIM(Raw_Data!D541))="Uk",PROPER(TRIM(Raw_Data!D541))="Gb",PROPER(TRIM(Raw_Data!D541))="United kingdom"),"United Kingdom",PROPER(TRIM(Raw_Data!D541)))</f>
        <v>United Kingdom</v>
      </c>
      <c r="E541" s="6" t="s">
        <v>28</v>
      </c>
      <c r="F541" s="6" t="s">
        <v>85</v>
      </c>
      <c r="G541" s="6" t="str">
        <f>SUBSTITUTE(Raw_Data!G541,"Ã©","é")</f>
        <v>Fell Runner Cap</v>
      </c>
      <c r="H541" s="6">
        <v>2</v>
      </c>
      <c r="I541" s="6" t="s">
        <v>113</v>
      </c>
      <c r="J541" s="6" t="s">
        <v>192</v>
      </c>
      <c r="K541" s="6">
        <v>0.41</v>
      </c>
      <c r="L541" s="6" t="s">
        <v>42</v>
      </c>
      <c r="M541" s="6" t="s">
        <v>34</v>
      </c>
      <c r="N541" s="6"/>
    </row>
    <row r="542" spans="1:14">
      <c r="A542" s="6" t="s">
        <v>1211</v>
      </c>
      <c r="B542" s="7">
        <v>46029</v>
      </c>
      <c r="C542" s="6" t="s">
        <v>324</v>
      </c>
      <c r="D542" s="6" t="str">
        <f>IF(OR(PROPER(TRIM(Raw_Data!D542))="Uk",PROPER(TRIM(Raw_Data!D542))="Gb",PROPER(TRIM(Raw_Data!D542))="United kingdom"),"United Kingdom",PROPER(TRIM(Raw_Data!D542)))</f>
        <v>United Kingdom</v>
      </c>
      <c r="E542" s="6" t="s">
        <v>52</v>
      </c>
      <c r="F542" s="6" t="s">
        <v>47</v>
      </c>
      <c r="G542" s="6" t="str">
        <f>SUBSTITUTE(Raw_Data!G542,"Ã©","é")</f>
        <v>Storm Overtrousers</v>
      </c>
      <c r="H542" s="6">
        <v>1</v>
      </c>
      <c r="I542" s="6" t="s">
        <v>90</v>
      </c>
      <c r="J542" s="6" t="s">
        <v>90</v>
      </c>
      <c r="K542" s="6">
        <v>8.5000000000000006E-2</v>
      </c>
      <c r="L542" s="6" t="s">
        <v>42</v>
      </c>
      <c r="M542" s="6" t="s">
        <v>34</v>
      </c>
      <c r="N542" s="6"/>
    </row>
    <row r="543" spans="1:14">
      <c r="A543" s="6" t="s">
        <v>1212</v>
      </c>
      <c r="B543" s="7">
        <v>46271</v>
      </c>
      <c r="C543" s="6" t="s">
        <v>1213</v>
      </c>
      <c r="D543" s="6" t="str">
        <f>IF(OR(PROPER(TRIM(Raw_Data!D543))="Uk",PROPER(TRIM(Raw_Data!D543))="Gb",PROPER(TRIM(Raw_Data!D543))="United kingdom"),"United Kingdom",PROPER(TRIM(Raw_Data!D543)))</f>
        <v>Ireland</v>
      </c>
      <c r="E543" s="6" t="s">
        <v>37</v>
      </c>
      <c r="F543" s="6" t="s">
        <v>47</v>
      </c>
      <c r="G543" s="6" t="str">
        <f>SUBSTITUTE(Raw_Data!G543,"Ã©","é")</f>
        <v>Storm Overtrousers</v>
      </c>
      <c r="H543" s="6">
        <v>2</v>
      </c>
      <c r="I543" s="6" t="s">
        <v>113</v>
      </c>
      <c r="J543" s="6" t="s">
        <v>192</v>
      </c>
      <c r="K543" s="6">
        <v>8.5000000000000006E-2</v>
      </c>
      <c r="L543" s="6" t="s">
        <v>42</v>
      </c>
      <c r="M543" s="6" t="s">
        <v>34</v>
      </c>
      <c r="N543" s="6"/>
    </row>
    <row r="544" spans="1:14">
      <c r="A544" s="6" t="s">
        <v>1214</v>
      </c>
      <c r="B544" s="7">
        <v>46359</v>
      </c>
      <c r="C544" s="6" t="s">
        <v>1215</v>
      </c>
      <c r="D544" s="6" t="str">
        <f>IF(OR(PROPER(TRIM(Raw_Data!D544))="Uk",PROPER(TRIM(Raw_Data!D544))="Gb",PROPER(TRIM(Raw_Data!D544))="United kingdom"),"United Kingdom",PROPER(TRIM(Raw_Data!D544)))</f>
        <v>United Kingdom</v>
      </c>
      <c r="E544" s="6" t="s">
        <v>52</v>
      </c>
      <c r="F544" s="6" t="s">
        <v>58</v>
      </c>
      <c r="G544" s="6" t="str">
        <f>SUBSTITUTE(Raw_Data!G544,"Ã©","é")</f>
        <v>Fell Runner Cap</v>
      </c>
      <c r="H544" s="6">
        <v>2</v>
      </c>
      <c r="I544" s="6" t="s">
        <v>147</v>
      </c>
      <c r="J544" s="6" t="s">
        <v>175</v>
      </c>
      <c r="K544" s="6">
        <v>0.38</v>
      </c>
      <c r="L544" s="6" t="s">
        <v>42</v>
      </c>
      <c r="M544" s="6" t="s">
        <v>69</v>
      </c>
      <c r="N544" s="6"/>
    </row>
    <row r="545" spans="1:14">
      <c r="A545" s="6" t="s">
        <v>1216</v>
      </c>
      <c r="B545" s="7">
        <v>46070</v>
      </c>
      <c r="C545" s="6" t="s">
        <v>236</v>
      </c>
      <c r="D545" s="6" t="str">
        <f>IF(OR(PROPER(TRIM(Raw_Data!D545))="Uk",PROPER(TRIM(Raw_Data!D545))="Gb",PROPER(TRIM(Raw_Data!D545))="United kingdom"),"United Kingdom",PROPER(TRIM(Raw_Data!D545)))</f>
        <v>United Kingdom</v>
      </c>
      <c r="E545" s="6" t="s">
        <v>46</v>
      </c>
      <c r="F545" s="6" t="s">
        <v>58</v>
      </c>
      <c r="G545" s="6" t="str">
        <f>SUBSTITUTE(Raw_Data!G545,"Ã©","é")</f>
        <v>Fell Runner Cap</v>
      </c>
      <c r="H545" s="6">
        <v>1</v>
      </c>
      <c r="I545" s="6" t="s">
        <v>181</v>
      </c>
      <c r="J545" s="6" t="s">
        <v>181</v>
      </c>
      <c r="K545" s="6">
        <v>0.38</v>
      </c>
      <c r="L545" s="6" t="s">
        <v>42</v>
      </c>
      <c r="M545" s="6" t="s">
        <v>34</v>
      </c>
      <c r="N545" s="6"/>
    </row>
    <row r="546" spans="1:14">
      <c r="A546" s="6" t="s">
        <v>1217</v>
      </c>
      <c r="B546" s="7">
        <v>46080</v>
      </c>
      <c r="C546" s="6" t="s">
        <v>1218</v>
      </c>
      <c r="D546" s="6" t="str">
        <f>IF(OR(PROPER(TRIM(Raw_Data!D546))="Uk",PROPER(TRIM(Raw_Data!D546))="Gb",PROPER(TRIM(Raw_Data!D546))="United kingdom"),"United Kingdom",PROPER(TRIM(Raw_Data!D546)))</f>
        <v>United Kingdom</v>
      </c>
      <c r="E546" s="6" t="s">
        <v>37</v>
      </c>
      <c r="F546" s="6" t="s">
        <v>100</v>
      </c>
      <c r="G546" s="6" t="str">
        <f>SUBSTITUTE(Raw_Data!G546,"Ã©","é")</f>
        <v>Summit Down Gilet</v>
      </c>
      <c r="H546" s="6">
        <v>1</v>
      </c>
      <c r="I546" s="6" t="s">
        <v>79</v>
      </c>
      <c r="J546" s="6" t="s">
        <v>79</v>
      </c>
      <c r="K546" s="6">
        <v>0.64</v>
      </c>
      <c r="L546" s="6" t="s">
        <v>42</v>
      </c>
      <c r="M546" s="6" t="s">
        <v>34</v>
      </c>
      <c r="N546" s="6"/>
    </row>
    <row r="547" spans="1:14">
      <c r="A547" s="6" t="s">
        <v>1219</v>
      </c>
      <c r="B547" s="7">
        <v>46239</v>
      </c>
      <c r="C547" s="6" t="s">
        <v>863</v>
      </c>
      <c r="D547" s="6" t="str">
        <f>IF(OR(PROPER(TRIM(Raw_Data!D547))="Uk",PROPER(TRIM(Raw_Data!D547))="Gb",PROPER(TRIM(Raw_Data!D547))="United kingdom"),"United Kingdom",PROPER(TRIM(Raw_Data!D547)))</f>
        <v>United Kingdom</v>
      </c>
      <c r="E547" s="6" t="s">
        <v>28</v>
      </c>
      <c r="F547" s="6" t="s">
        <v>53</v>
      </c>
      <c r="G547" s="6" t="str">
        <f>SUBSTITUTE(Raw_Data!G547,"Ã©","é")</f>
        <v>Summit Down Gilet</v>
      </c>
      <c r="H547" s="6">
        <v>2</v>
      </c>
      <c r="I547" s="6" t="s">
        <v>113</v>
      </c>
      <c r="J547" s="6" t="s">
        <v>192</v>
      </c>
      <c r="K547" s="6">
        <v>0.19</v>
      </c>
      <c r="L547" s="6" t="s">
        <v>33</v>
      </c>
      <c r="M547" s="6" t="s">
        <v>69</v>
      </c>
      <c r="N547" s="6"/>
    </row>
    <row r="548" spans="1:14">
      <c r="A548" s="6" t="s">
        <v>1220</v>
      </c>
      <c r="B548" s="7">
        <v>46301</v>
      </c>
      <c r="C548" s="6" t="s">
        <v>1221</v>
      </c>
      <c r="D548" s="6" t="str">
        <f>IF(OR(PROPER(TRIM(Raw_Data!D548))="Uk",PROPER(TRIM(Raw_Data!D548))="Gb",PROPER(TRIM(Raw_Data!D548))="United kingdom"),"United Kingdom",PROPER(TRIM(Raw_Data!D548)))</f>
        <v>Ireland</v>
      </c>
      <c r="E548" s="6" t="s">
        <v>78</v>
      </c>
      <c r="F548" s="6" t="s">
        <v>100</v>
      </c>
      <c r="G548" s="6" t="str">
        <f>SUBSTITUTE(Raw_Data!G548,"Ã©","é")</f>
        <v>Alpine Jacket</v>
      </c>
      <c r="H548" s="6">
        <v>2</v>
      </c>
      <c r="I548" s="6" t="s">
        <v>231</v>
      </c>
      <c r="J548" s="6" t="s">
        <v>232</v>
      </c>
      <c r="K548" s="6">
        <v>0.64</v>
      </c>
      <c r="L548" s="6" t="s">
        <v>33</v>
      </c>
      <c r="M548" s="6" t="s">
        <v>34</v>
      </c>
      <c r="N548" s="6"/>
    </row>
    <row r="549" spans="1:14">
      <c r="A549" s="6" t="s">
        <v>1222</v>
      </c>
      <c r="B549" s="7">
        <v>46146</v>
      </c>
      <c r="C549" s="6" t="s">
        <v>1223</v>
      </c>
      <c r="D549" s="6" t="str">
        <f>IF(OR(PROPER(TRIM(Raw_Data!D549))="Uk",PROPER(TRIM(Raw_Data!D549))="Gb",PROPER(TRIM(Raw_Data!D549))="United kingdom"),"United Kingdom",PROPER(TRIM(Raw_Data!D549)))</f>
        <v>Ireland</v>
      </c>
      <c r="E549" s="6" t="s">
        <v>52</v>
      </c>
      <c r="F549" s="6" t="s">
        <v>47</v>
      </c>
      <c r="G549" s="6" t="str">
        <f>SUBSTITUTE(Raw_Data!G549,"Ã©","é")</f>
        <v>Merino Base Layer</v>
      </c>
      <c r="H549" s="6">
        <v>1</v>
      </c>
      <c r="I549" s="6" t="s">
        <v>1224</v>
      </c>
      <c r="J549" s="6" t="s">
        <v>117</v>
      </c>
      <c r="K549" s="6">
        <v>8.5000000000000006E-2</v>
      </c>
      <c r="L549" s="6" t="s">
        <v>42</v>
      </c>
      <c r="M549" s="6" t="s">
        <v>69</v>
      </c>
      <c r="N549" s="6"/>
    </row>
    <row r="550" spans="1:14">
      <c r="A550" s="6" t="s">
        <v>1225</v>
      </c>
      <c r="B550" s="7">
        <v>46024</v>
      </c>
      <c r="C550" s="6" t="s">
        <v>1226</v>
      </c>
      <c r="D550" s="6" t="str">
        <f>IF(OR(PROPER(TRIM(Raw_Data!D550))="Uk",PROPER(TRIM(Raw_Data!D550))="Gb",PROPER(TRIM(Raw_Data!D550))="United kingdom"),"United Kingdom",PROPER(TRIM(Raw_Data!D550)))</f>
        <v>United Kingdom</v>
      </c>
      <c r="E550" s="6" t="s">
        <v>37</v>
      </c>
      <c r="F550" s="6" t="s">
        <v>100</v>
      </c>
      <c r="G550" s="6" t="str">
        <f>SUBSTITUTE(Raw_Data!G550,"Ã©","é")</f>
        <v>Alpine Jacket</v>
      </c>
      <c r="H550" s="6">
        <v>2</v>
      </c>
      <c r="I550" s="6" t="s">
        <v>90</v>
      </c>
      <c r="J550" s="6" t="s">
        <v>154</v>
      </c>
      <c r="K550" s="6">
        <v>0.64</v>
      </c>
      <c r="L550" s="6" t="s">
        <v>33</v>
      </c>
      <c r="M550" s="6" t="s">
        <v>34</v>
      </c>
      <c r="N550" s="6"/>
    </row>
    <row r="551" spans="1:14">
      <c r="A551" s="6" t="s">
        <v>1227</v>
      </c>
      <c r="B551" s="7">
        <v>46206</v>
      </c>
      <c r="C551" s="6" t="s">
        <v>1228</v>
      </c>
      <c r="D551" s="6" t="str">
        <f>IF(OR(PROPER(TRIM(Raw_Data!D551))="Uk",PROPER(TRIM(Raw_Data!D551))="Gb",PROPER(TRIM(Raw_Data!D551))="United kingdom"),"United Kingdom",PROPER(TRIM(Raw_Data!D551)))</f>
        <v>United Kingdom</v>
      </c>
      <c r="E551" s="6" t="s">
        <v>37</v>
      </c>
      <c r="F551" s="6" t="s">
        <v>29</v>
      </c>
      <c r="G551" s="6" t="str">
        <f>SUBSTITUTE(Raw_Data!G551,"Ã©","é")</f>
        <v>Fell Runner Cap</v>
      </c>
      <c r="H551" s="6">
        <v>2</v>
      </c>
      <c r="I551" s="6" t="s">
        <v>748</v>
      </c>
      <c r="J551" s="6" t="s">
        <v>192</v>
      </c>
      <c r="K551" s="6">
        <v>0.52</v>
      </c>
      <c r="L551" s="6" t="s">
        <v>33</v>
      </c>
      <c r="M551" s="6" t="s">
        <v>69</v>
      </c>
      <c r="N551" s="6"/>
    </row>
    <row r="552" spans="1:14">
      <c r="A552" s="6" t="s">
        <v>1229</v>
      </c>
      <c r="B552" s="7">
        <v>46100</v>
      </c>
      <c r="C552" s="6" t="s">
        <v>1230</v>
      </c>
      <c r="D552" s="6" t="str">
        <f>IF(OR(PROPER(TRIM(Raw_Data!D552))="Uk",PROPER(TRIM(Raw_Data!D552))="Gb",PROPER(TRIM(Raw_Data!D552))="United kingdom"),"United Kingdom",PROPER(TRIM(Raw_Data!D552)))</f>
        <v>Ireland</v>
      </c>
      <c r="E552" s="6" t="s">
        <v>52</v>
      </c>
      <c r="F552" s="6" t="s">
        <v>29</v>
      </c>
      <c r="G552" s="6" t="str">
        <f>SUBSTITUTE(Raw_Data!G552,"Ã©","é")</f>
        <v>Alpine Jacket</v>
      </c>
      <c r="H552" s="6">
        <v>2</v>
      </c>
      <c r="I552" s="6" t="s">
        <v>265</v>
      </c>
      <c r="J552" s="6" t="s">
        <v>167</v>
      </c>
      <c r="K552" s="6">
        <v>0.52</v>
      </c>
      <c r="L552" s="6" t="s">
        <v>33</v>
      </c>
      <c r="M552" s="6" t="s">
        <v>34</v>
      </c>
      <c r="N552" s="6"/>
    </row>
    <row r="553" spans="1:14">
      <c r="A553" s="6" t="s">
        <v>1231</v>
      </c>
      <c r="B553" s="7">
        <v>46165</v>
      </c>
      <c r="C553" s="6" t="s">
        <v>1232</v>
      </c>
      <c r="D553" s="6" t="str">
        <f>IF(OR(PROPER(TRIM(Raw_Data!D553))="Uk",PROPER(TRIM(Raw_Data!D553))="Gb",PROPER(TRIM(Raw_Data!D553))="United kingdom"),"United Kingdom",PROPER(TRIM(Raw_Data!D553)))</f>
        <v>United Kingdom</v>
      </c>
      <c r="E553" s="6" t="s">
        <v>28</v>
      </c>
      <c r="F553" s="6" t="s">
        <v>29</v>
      </c>
      <c r="G553" s="6" t="str">
        <f>SUBSTITUTE(Raw_Data!G553,"Ã©","é")</f>
        <v>Trekking Poles</v>
      </c>
      <c r="H553" s="6">
        <v>-1</v>
      </c>
      <c r="I553" s="6" t="s">
        <v>113</v>
      </c>
      <c r="J553" s="8" t="s">
        <v>1147</v>
      </c>
      <c r="K553" s="6">
        <v>0.52</v>
      </c>
      <c r="L553" s="6" t="s">
        <v>42</v>
      </c>
      <c r="M553" s="6" t="s">
        <v>34</v>
      </c>
      <c r="N553" s="6"/>
    </row>
    <row r="554" spans="1:14">
      <c r="A554" s="6" t="s">
        <v>1233</v>
      </c>
      <c r="B554" s="7">
        <v>46058</v>
      </c>
      <c r="C554" s="6" t="s">
        <v>1234</v>
      </c>
      <c r="D554" s="6" t="str">
        <f>IF(OR(PROPER(TRIM(Raw_Data!D554))="Uk",PROPER(TRIM(Raw_Data!D554))="Gb",PROPER(TRIM(Raw_Data!D554))="United kingdom"),"United Kingdom",PROPER(TRIM(Raw_Data!D554)))</f>
        <v>United Kingdom</v>
      </c>
      <c r="E554" s="6" t="s">
        <v>37</v>
      </c>
      <c r="F554" s="6" t="s">
        <v>94</v>
      </c>
      <c r="G554" s="6" t="str">
        <f>SUBSTITUTE(Raw_Data!G554,"Ã©","é")</f>
        <v>Trekking Poles</v>
      </c>
      <c r="H554" s="6">
        <v>2</v>
      </c>
      <c r="I554" s="6" t="s">
        <v>231</v>
      </c>
      <c r="J554" s="6" t="s">
        <v>232</v>
      </c>
      <c r="K554" s="6">
        <v>0.34</v>
      </c>
      <c r="L554" s="6" t="s">
        <v>42</v>
      </c>
      <c r="M554" s="6" t="s">
        <v>34</v>
      </c>
      <c r="N554" s="6"/>
    </row>
    <row r="555" spans="1:14">
      <c r="A555" s="6" t="s">
        <v>1235</v>
      </c>
      <c r="B555" s="7">
        <v>46093</v>
      </c>
      <c r="C555" s="6" t="s">
        <v>1087</v>
      </c>
      <c r="D555" s="6" t="str">
        <f>IF(OR(PROPER(TRIM(Raw_Data!D555))="Uk",PROPER(TRIM(Raw_Data!D555))="Gb",PROPER(TRIM(Raw_Data!D555))="United kingdom"),"United Kingdom",PROPER(TRIM(Raw_Data!D555)))</f>
        <v>United Kingdom</v>
      </c>
      <c r="E555" s="6" t="s">
        <v>52</v>
      </c>
      <c r="F555" s="6" t="s">
        <v>58</v>
      </c>
      <c r="G555" s="6" t="str">
        <f>SUBSTITUTE(Raw_Data!G555,"Ã©","é")</f>
        <v>Trekking Poles</v>
      </c>
      <c r="H555" s="6">
        <v>3</v>
      </c>
      <c r="I555" s="6" t="s">
        <v>82</v>
      </c>
      <c r="J555" s="6" t="s">
        <v>1236</v>
      </c>
      <c r="K555" s="6">
        <v>0.38</v>
      </c>
      <c r="L555" s="6" t="s">
        <v>42</v>
      </c>
      <c r="M555" s="6" t="s">
        <v>69</v>
      </c>
      <c r="N555" s="6"/>
    </row>
    <row r="556" spans="1:14">
      <c r="A556" s="6" t="s">
        <v>1237</v>
      </c>
      <c r="B556" s="7">
        <v>46116</v>
      </c>
      <c r="C556" s="6" t="s">
        <v>1238</v>
      </c>
      <c r="D556" s="6" t="str">
        <f>IF(OR(PROPER(TRIM(Raw_Data!D556))="Uk",PROPER(TRIM(Raw_Data!D556))="Gb",PROPER(TRIM(Raw_Data!D556))="United kingdom"),"United Kingdom",PROPER(TRIM(Raw_Data!D556)))</f>
        <v>United Kingdom</v>
      </c>
      <c r="E556" s="6" t="s">
        <v>46</v>
      </c>
      <c r="F556" s="6" t="s">
        <v>58</v>
      </c>
      <c r="G556" s="6" t="str">
        <f>SUBSTITUTE(Raw_Data!G556,"Ã©","é")</f>
        <v>Café Latte Mug</v>
      </c>
      <c r="H556" s="6">
        <v>1</v>
      </c>
      <c r="I556" s="6" t="s">
        <v>82</v>
      </c>
      <c r="J556" s="6" t="s">
        <v>82</v>
      </c>
      <c r="K556" s="6">
        <v>0.38</v>
      </c>
      <c r="L556" s="6" t="s">
        <v>42</v>
      </c>
      <c r="M556" s="6" t="s">
        <v>69</v>
      </c>
      <c r="N556" s="6"/>
    </row>
    <row r="557" spans="1:14">
      <c r="A557" s="6" t="s">
        <v>1239</v>
      </c>
      <c r="B557" s="7">
        <v>46136</v>
      </c>
      <c r="C557" s="6" t="s">
        <v>1240</v>
      </c>
      <c r="D557" s="6" t="str">
        <f>IF(OR(PROPER(TRIM(Raw_Data!D557))="Uk",PROPER(TRIM(Raw_Data!D557))="Gb",PROPER(TRIM(Raw_Data!D557))="United kingdom"),"United Kingdom",PROPER(TRIM(Raw_Data!D557)))</f>
        <v>United Kingdom</v>
      </c>
      <c r="E557" s="6" t="s">
        <v>78</v>
      </c>
      <c r="F557" s="6" t="s">
        <v>53</v>
      </c>
      <c r="G557" s="6" t="str">
        <f>SUBSTITUTE(Raw_Data!G557,"Ã©","é")</f>
        <v>Summit Down Gilet</v>
      </c>
      <c r="H557" s="6">
        <v>1</v>
      </c>
      <c r="I557" s="6" t="s">
        <v>60</v>
      </c>
      <c r="J557" s="6" t="s">
        <v>60</v>
      </c>
      <c r="K557" s="6">
        <v>0.19</v>
      </c>
      <c r="L557" s="6" t="s">
        <v>42</v>
      </c>
      <c r="M557" s="6" t="s">
        <v>34</v>
      </c>
      <c r="N557" s="6"/>
    </row>
    <row r="558" spans="1:14">
      <c r="A558" s="6" t="s">
        <v>1241</v>
      </c>
      <c r="B558" s="7">
        <v>46186</v>
      </c>
      <c r="C558" s="6" t="s">
        <v>1242</v>
      </c>
      <c r="D558" s="6" t="str">
        <f>IF(OR(PROPER(TRIM(Raw_Data!D558))="Uk",PROPER(TRIM(Raw_Data!D558))="Gb",PROPER(TRIM(Raw_Data!D558))="United kingdom"),"United Kingdom",PROPER(TRIM(Raw_Data!D558)))</f>
        <v>United Kingdom</v>
      </c>
      <c r="E558" s="6" t="s">
        <v>46</v>
      </c>
      <c r="F558" s="6" t="s">
        <v>47</v>
      </c>
      <c r="G558" s="6" t="str">
        <f>SUBSTITUTE(Raw_Data!G558,"Ã©","é")</f>
        <v>Summit Down Gilet</v>
      </c>
      <c r="H558" s="6">
        <v>1</v>
      </c>
      <c r="I558" s="6" t="s">
        <v>143</v>
      </c>
      <c r="J558" s="6" t="s">
        <v>143</v>
      </c>
      <c r="K558" s="6">
        <v>8.5000000000000006E-2</v>
      </c>
      <c r="L558" s="6" t="s">
        <v>33</v>
      </c>
      <c r="M558" s="6" t="s">
        <v>34</v>
      </c>
      <c r="N558" s="6"/>
    </row>
    <row r="559" spans="1:14">
      <c r="A559" s="6" t="s">
        <v>1243</v>
      </c>
      <c r="B559" s="7">
        <v>46080</v>
      </c>
      <c r="C559" s="6" t="s">
        <v>1244</v>
      </c>
      <c r="D559" s="6" t="str">
        <f>IF(OR(PROPER(TRIM(Raw_Data!D559))="Uk",PROPER(TRIM(Raw_Data!D559))="Gb",PROPER(TRIM(Raw_Data!D559))="United kingdom"),"United Kingdom",PROPER(TRIM(Raw_Data!D559)))</f>
        <v>Ireland</v>
      </c>
      <c r="E559" s="6" t="s">
        <v>46</v>
      </c>
      <c r="F559" s="6" t="s">
        <v>38</v>
      </c>
      <c r="G559" s="6" t="str">
        <f>SUBSTITUTE(Raw_Data!G559,"Ã©","é")</f>
        <v>Merino Base Layer</v>
      </c>
      <c r="H559" s="6">
        <v>1</v>
      </c>
      <c r="I559" s="6" t="s">
        <v>82</v>
      </c>
      <c r="J559" s="6" t="s">
        <v>82</v>
      </c>
      <c r="K559" s="6">
        <v>0.52</v>
      </c>
      <c r="L559" s="6" t="s">
        <v>33</v>
      </c>
      <c r="M559" s="6" t="s">
        <v>69</v>
      </c>
      <c r="N559" s="6"/>
    </row>
    <row r="560" spans="1:14">
      <c r="A560" s="6" t="s">
        <v>1245</v>
      </c>
      <c r="B560" s="7">
        <v>46191</v>
      </c>
      <c r="C560" s="6" t="s">
        <v>1246</v>
      </c>
      <c r="D560" s="6" t="str">
        <f>IF(OR(PROPER(TRIM(Raw_Data!D560))="Uk",PROPER(TRIM(Raw_Data!D560))="Gb",PROPER(TRIM(Raw_Data!D560))="United kingdom"),"United Kingdom",PROPER(TRIM(Raw_Data!D560)))</f>
        <v>Germany</v>
      </c>
      <c r="E560" s="6" t="s">
        <v>46</v>
      </c>
      <c r="F560" s="6" t="s">
        <v>38</v>
      </c>
      <c r="G560" s="6" t="str">
        <f>SUBSTITUTE(Raw_Data!G560,"Ã©","é")</f>
        <v>Fell Runner Cap</v>
      </c>
      <c r="H560" s="6">
        <v>2</v>
      </c>
      <c r="I560" s="6" t="s">
        <v>82</v>
      </c>
      <c r="J560" s="6" t="s">
        <v>297</v>
      </c>
      <c r="K560" s="6">
        <v>0.52</v>
      </c>
      <c r="L560" s="6" t="s">
        <v>42</v>
      </c>
      <c r="M560" s="6" t="s">
        <v>34</v>
      </c>
      <c r="N560" s="6"/>
    </row>
    <row r="561" spans="1:14">
      <c r="A561" s="6" t="s">
        <v>1247</v>
      </c>
      <c r="B561" s="7">
        <v>46238</v>
      </c>
      <c r="C561" s="6" t="s">
        <v>1248</v>
      </c>
      <c r="D561" s="6" t="str">
        <f>IF(OR(PROPER(TRIM(Raw_Data!D561))="Uk",PROPER(TRIM(Raw_Data!D561))="Gb",PROPER(TRIM(Raw_Data!D561))="United kingdom"),"United Kingdom",PROPER(TRIM(Raw_Data!D561)))</f>
        <v>United Kingdom</v>
      </c>
      <c r="E561" s="6" t="s">
        <v>52</v>
      </c>
      <c r="F561" s="6" t="s">
        <v>85</v>
      </c>
      <c r="G561" s="6" t="str">
        <f>SUBSTITUTE(Raw_Data!G561,"Ã©","é")</f>
        <v>Trail Softshell</v>
      </c>
      <c r="H561" s="6">
        <v>2</v>
      </c>
      <c r="I561" s="6" t="s">
        <v>143</v>
      </c>
      <c r="J561" s="6" t="s">
        <v>144</v>
      </c>
      <c r="K561" s="6">
        <v>0.41</v>
      </c>
      <c r="L561" s="6" t="s">
        <v>42</v>
      </c>
      <c r="M561" s="6" t="s">
        <v>34</v>
      </c>
      <c r="N561" s="6"/>
    </row>
    <row r="562" spans="1:14">
      <c r="A562" s="6" t="s">
        <v>1249</v>
      </c>
      <c r="B562" s="7">
        <v>46170</v>
      </c>
      <c r="C562" s="6" t="s">
        <v>1250</v>
      </c>
      <c r="D562" s="6" t="str">
        <f>IF(OR(PROPER(TRIM(Raw_Data!D562))="Uk",PROPER(TRIM(Raw_Data!D562))="Gb",PROPER(TRIM(Raw_Data!D562))="United kingdom"),"United Kingdom",PROPER(TRIM(Raw_Data!D562)))</f>
        <v>United Kingdom</v>
      </c>
      <c r="E562" s="6" t="s">
        <v>28</v>
      </c>
      <c r="F562" s="6" t="s">
        <v>58</v>
      </c>
      <c r="G562" s="6" t="str">
        <f>SUBSTITUTE(Raw_Data!G562,"Ã©","é")</f>
        <v>Trail Softshell</v>
      </c>
      <c r="H562" s="6">
        <v>2</v>
      </c>
      <c r="I562" s="6" t="s">
        <v>599</v>
      </c>
      <c r="J562" s="6" t="s">
        <v>74</v>
      </c>
      <c r="K562" s="6">
        <v>0.38</v>
      </c>
      <c r="L562" s="6" t="s">
        <v>42</v>
      </c>
      <c r="M562" s="6" t="s">
        <v>34</v>
      </c>
      <c r="N562" s="6"/>
    </row>
    <row r="563" spans="1:14">
      <c r="A563" s="6" t="s">
        <v>1251</v>
      </c>
      <c r="B563" s="7">
        <v>46059</v>
      </c>
      <c r="C563" s="6" t="s">
        <v>1252</v>
      </c>
      <c r="D563" s="6" t="str">
        <f>IF(OR(PROPER(TRIM(Raw_Data!D563))="Uk",PROPER(TRIM(Raw_Data!D563))="Gb",PROPER(TRIM(Raw_Data!D563))="United kingdom"),"United Kingdom",PROPER(TRIM(Raw_Data!D563)))</f>
        <v>Germany</v>
      </c>
      <c r="E563" s="6" t="s">
        <v>52</v>
      </c>
      <c r="F563" s="6" t="s">
        <v>94</v>
      </c>
      <c r="G563" s="6" t="str">
        <f>SUBSTITUTE(Raw_Data!G563,"Ã©","é")</f>
        <v>Storm Overtrousers</v>
      </c>
      <c r="H563" s="6">
        <v>1</v>
      </c>
      <c r="I563" s="6" t="s">
        <v>117</v>
      </c>
      <c r="J563" s="6" t="s">
        <v>73</v>
      </c>
      <c r="K563" s="6">
        <v>0.34</v>
      </c>
      <c r="L563" s="6" t="s">
        <v>42</v>
      </c>
      <c r="M563" s="6" t="s">
        <v>69</v>
      </c>
      <c r="N563" s="6"/>
    </row>
    <row r="564" spans="1:14">
      <c r="A564" s="6" t="s">
        <v>1253</v>
      </c>
      <c r="B564" s="7">
        <v>46132</v>
      </c>
      <c r="C564" s="6" t="s">
        <v>1254</v>
      </c>
      <c r="D564" s="6" t="str">
        <f>IF(OR(PROPER(TRIM(Raw_Data!D564))="Uk",PROPER(TRIM(Raw_Data!D564))="Gb",PROPER(TRIM(Raw_Data!D564))="United kingdom"),"United Kingdom",PROPER(TRIM(Raw_Data!D564)))</f>
        <v>France</v>
      </c>
      <c r="E564" s="6" t="s">
        <v>28</v>
      </c>
      <c r="F564" s="6" t="s">
        <v>53</v>
      </c>
      <c r="G564" s="6" t="str">
        <f>SUBSTITUTE(Raw_Data!G564,"Ã©","é")</f>
        <v>Summit Down Gilet</v>
      </c>
      <c r="H564" s="6">
        <v>1</v>
      </c>
      <c r="I564" s="6" t="s">
        <v>31</v>
      </c>
      <c r="J564" s="6" t="s">
        <v>1255</v>
      </c>
      <c r="K564" s="6">
        <v>0.19</v>
      </c>
      <c r="L564" s="6" t="s">
        <v>42</v>
      </c>
      <c r="M564" s="6" t="s">
        <v>69</v>
      </c>
      <c r="N564" s="6"/>
    </row>
    <row r="565" spans="1:14">
      <c r="A565" s="6" t="s">
        <v>1256</v>
      </c>
      <c r="B565" s="7">
        <v>46141</v>
      </c>
      <c r="C565" s="6" t="s">
        <v>1257</v>
      </c>
      <c r="D565" s="6" t="str">
        <f>IF(OR(PROPER(TRIM(Raw_Data!D565))="Uk",PROPER(TRIM(Raw_Data!D565))="Gb",PROPER(TRIM(Raw_Data!D565))="United kingdom"),"United Kingdom",PROPER(TRIM(Raw_Data!D565)))</f>
        <v>Ireland</v>
      </c>
      <c r="E565" s="6" t="s">
        <v>52</v>
      </c>
      <c r="F565" s="6" t="s">
        <v>94</v>
      </c>
      <c r="G565" s="6" t="str">
        <f>SUBSTITUTE(Raw_Data!G565,"Ã©","é")</f>
        <v>Café Latte Mug</v>
      </c>
      <c r="H565" s="6">
        <v>-1</v>
      </c>
      <c r="I565" s="6" t="s">
        <v>113</v>
      </c>
      <c r="J565" s="8" t="s">
        <v>1147</v>
      </c>
      <c r="K565" s="6">
        <v>0.34</v>
      </c>
      <c r="L565" s="6" t="s">
        <v>42</v>
      </c>
      <c r="M565" s="6" t="s">
        <v>34</v>
      </c>
      <c r="N565" s="6"/>
    </row>
    <row r="566" spans="1:14">
      <c r="A566" s="6" t="s">
        <v>1258</v>
      </c>
      <c r="B566" s="7">
        <v>46170</v>
      </c>
      <c r="C566" s="6" t="s">
        <v>1259</v>
      </c>
      <c r="D566" s="6" t="str">
        <f>IF(OR(PROPER(TRIM(Raw_Data!D566))="Uk",PROPER(TRIM(Raw_Data!D566))="Gb",PROPER(TRIM(Raw_Data!D566))="United kingdom"),"United Kingdom",PROPER(TRIM(Raw_Data!D566)))</f>
        <v>France</v>
      </c>
      <c r="E566" s="6" t="s">
        <v>37</v>
      </c>
      <c r="F566" s="6" t="s">
        <v>58</v>
      </c>
      <c r="G566" s="6" t="str">
        <f>SUBSTITUTE(Raw_Data!G566,"Ã©","é")</f>
        <v>Merino Base Layer</v>
      </c>
      <c r="H566" s="6">
        <v>1</v>
      </c>
      <c r="I566" s="6" t="s">
        <v>90</v>
      </c>
      <c r="J566" s="6" t="s">
        <v>90</v>
      </c>
      <c r="K566" s="6">
        <v>0.38</v>
      </c>
      <c r="L566" s="6" t="s">
        <v>42</v>
      </c>
      <c r="M566" s="6" t="s">
        <v>34</v>
      </c>
      <c r="N566" s="6"/>
    </row>
    <row r="567" spans="1:14">
      <c r="A567" s="6" t="s">
        <v>1260</v>
      </c>
      <c r="B567" s="7">
        <v>46329</v>
      </c>
      <c r="C567" s="6" t="s">
        <v>1261</v>
      </c>
      <c r="D567" s="6" t="str">
        <f>IF(OR(PROPER(TRIM(Raw_Data!D567))="Uk",PROPER(TRIM(Raw_Data!D567))="Gb",PROPER(TRIM(Raw_Data!D567))="United kingdom"),"United Kingdom",PROPER(TRIM(Raw_Data!D567)))</f>
        <v>Germany</v>
      </c>
      <c r="E567" s="6" t="s">
        <v>28</v>
      </c>
      <c r="F567" s="6" t="s">
        <v>94</v>
      </c>
      <c r="G567" s="6" t="str">
        <f>SUBSTITUTE(Raw_Data!G567,"Ã©","é")</f>
        <v>Café Latte Mug</v>
      </c>
      <c r="H567" s="6">
        <v>1</v>
      </c>
      <c r="I567" s="6" t="s">
        <v>31</v>
      </c>
      <c r="J567" s="6" t="s">
        <v>31</v>
      </c>
      <c r="K567" s="6">
        <v>0.34</v>
      </c>
      <c r="L567" s="6" t="s">
        <v>42</v>
      </c>
      <c r="M567" s="6" t="s">
        <v>34</v>
      </c>
      <c r="N567" s="6"/>
    </row>
    <row r="568" spans="1:14">
      <c r="A568" s="6" t="s">
        <v>1262</v>
      </c>
      <c r="B568" s="7">
        <v>46057</v>
      </c>
      <c r="C568" s="6" t="s">
        <v>1263</v>
      </c>
      <c r="D568" s="6" t="str">
        <f>IF(OR(PROPER(TRIM(Raw_Data!D568))="Uk",PROPER(TRIM(Raw_Data!D568))="Gb",PROPER(TRIM(Raw_Data!D568))="United kingdom"),"United Kingdom",PROPER(TRIM(Raw_Data!D568)))</f>
        <v>France</v>
      </c>
      <c r="E568" s="6" t="s">
        <v>28</v>
      </c>
      <c r="F568" s="6" t="s">
        <v>38</v>
      </c>
      <c r="G568" s="6" t="str">
        <f>SUBSTITUTE(Raw_Data!G568,"Ã©","é")</f>
        <v>Summit Down Gilet</v>
      </c>
      <c r="H568" s="6">
        <v>2</v>
      </c>
      <c r="I568" s="6" t="s">
        <v>60</v>
      </c>
      <c r="J568" s="6" t="s">
        <v>189</v>
      </c>
      <c r="K568" s="6">
        <v>0.52</v>
      </c>
      <c r="L568" s="6" t="s">
        <v>42</v>
      </c>
      <c r="M568" s="6" t="s">
        <v>34</v>
      </c>
      <c r="N568" s="6"/>
    </row>
    <row r="569" spans="1:14">
      <c r="A569" s="6" t="s">
        <v>1264</v>
      </c>
      <c r="B569" s="7">
        <v>46170</v>
      </c>
      <c r="C569" s="6" t="s">
        <v>1265</v>
      </c>
      <c r="D569" s="6" t="str">
        <f>IF(OR(PROPER(TRIM(Raw_Data!D569))="Uk",PROPER(TRIM(Raw_Data!D569))="Gb",PROPER(TRIM(Raw_Data!D569))="United kingdom"),"United Kingdom",PROPER(TRIM(Raw_Data!D569)))</f>
        <v>United Kingdom</v>
      </c>
      <c r="E569" s="6" t="s">
        <v>28</v>
      </c>
      <c r="F569" s="6" t="s">
        <v>85</v>
      </c>
      <c r="G569" s="6" t="str">
        <f>SUBSTITUTE(Raw_Data!G569,"Ã©","é")</f>
        <v>Café Latte Mug</v>
      </c>
      <c r="H569" s="6">
        <v>1</v>
      </c>
      <c r="I569" s="6" t="s">
        <v>265</v>
      </c>
      <c r="J569" s="6" t="s">
        <v>265</v>
      </c>
      <c r="K569" s="6">
        <v>0.41</v>
      </c>
      <c r="L569" s="6" t="s">
        <v>42</v>
      </c>
      <c r="M569" s="6" t="s">
        <v>34</v>
      </c>
      <c r="N569" s="6"/>
    </row>
    <row r="570" spans="1:14">
      <c r="A570" s="6" t="s">
        <v>1266</v>
      </c>
      <c r="B570" s="7">
        <v>46186</v>
      </c>
      <c r="C570" s="6" t="s">
        <v>1267</v>
      </c>
      <c r="D570" s="6" t="str">
        <f>IF(OR(PROPER(TRIM(Raw_Data!D570))="Uk",PROPER(TRIM(Raw_Data!D570))="Gb",PROPER(TRIM(Raw_Data!D570))="United kingdom"),"United Kingdom",PROPER(TRIM(Raw_Data!D570)))</f>
        <v>United Kingdom</v>
      </c>
      <c r="E570" s="6" t="s">
        <v>28</v>
      </c>
      <c r="F570" s="6" t="s">
        <v>94</v>
      </c>
      <c r="G570" s="6" t="str">
        <f>SUBSTITUTE(Raw_Data!G570,"Ã©","é")</f>
        <v>Trail Softshell</v>
      </c>
      <c r="H570" s="6">
        <v>2</v>
      </c>
      <c r="I570" s="6" t="s">
        <v>40</v>
      </c>
      <c r="J570" s="6" t="s">
        <v>327</v>
      </c>
      <c r="K570" s="6">
        <v>0.34</v>
      </c>
      <c r="L570" s="6" t="s">
        <v>42</v>
      </c>
      <c r="M570" s="6" t="s">
        <v>34</v>
      </c>
      <c r="N570" s="6"/>
    </row>
    <row r="571" spans="1:14">
      <c r="A571" s="6" t="s">
        <v>1268</v>
      </c>
      <c r="B571" s="7">
        <v>46071</v>
      </c>
      <c r="C571" s="6" t="s">
        <v>1269</v>
      </c>
      <c r="D571" s="6" t="str">
        <f>IF(OR(PROPER(TRIM(Raw_Data!D571))="Uk",PROPER(TRIM(Raw_Data!D571))="Gb",PROPER(TRIM(Raw_Data!D571))="United kingdom"),"United Kingdom",PROPER(TRIM(Raw_Data!D571)))</f>
        <v>United Kingdom</v>
      </c>
      <c r="E571" s="6" t="s">
        <v>37</v>
      </c>
      <c r="F571" s="6" t="s">
        <v>85</v>
      </c>
      <c r="G571" s="6" t="str">
        <f>SUBSTITUTE(Raw_Data!G571,"Ã©","é")</f>
        <v>Storm Overtrousers</v>
      </c>
      <c r="H571" s="6">
        <v>1</v>
      </c>
      <c r="I571" s="6" t="s">
        <v>143</v>
      </c>
      <c r="J571" s="6" t="s">
        <v>143</v>
      </c>
      <c r="K571" s="6">
        <v>0.41</v>
      </c>
      <c r="L571" s="6" t="s">
        <v>42</v>
      </c>
      <c r="M571" s="6" t="s">
        <v>34</v>
      </c>
      <c r="N571" s="6"/>
    </row>
    <row r="572" spans="1:14">
      <c r="A572" s="6" t="s">
        <v>1270</v>
      </c>
      <c r="B572" s="7">
        <v>46117</v>
      </c>
      <c r="C572" s="6" t="s">
        <v>1271</v>
      </c>
      <c r="D572" s="6" t="str">
        <f>IF(OR(PROPER(TRIM(Raw_Data!D572))="Uk",PROPER(TRIM(Raw_Data!D572))="Gb",PROPER(TRIM(Raw_Data!D572))="United kingdom"),"United Kingdom",PROPER(TRIM(Raw_Data!D572)))</f>
        <v>United Kingdom</v>
      </c>
      <c r="E572" s="6" t="s">
        <v>78</v>
      </c>
      <c r="F572" s="6" t="s">
        <v>29</v>
      </c>
      <c r="G572" s="6" t="str">
        <f>SUBSTITUTE(Raw_Data!G572,"Ã©","é")</f>
        <v>Café Latte Mug</v>
      </c>
      <c r="H572" s="6">
        <v>1</v>
      </c>
      <c r="I572" s="6" t="s">
        <v>373</v>
      </c>
      <c r="J572" s="6" t="s">
        <v>79</v>
      </c>
      <c r="K572" s="6">
        <v>0.52</v>
      </c>
      <c r="L572" s="6" t="s">
        <v>42</v>
      </c>
      <c r="M572" s="6" t="s">
        <v>69</v>
      </c>
      <c r="N572" s="6"/>
    </row>
    <row r="573" spans="1:14">
      <c r="A573" s="6" t="s">
        <v>1272</v>
      </c>
      <c r="B573" s="7">
        <v>46041</v>
      </c>
      <c r="C573" s="6" t="s">
        <v>801</v>
      </c>
      <c r="D573" s="6" t="str">
        <f>IF(OR(PROPER(TRIM(Raw_Data!D573))="Uk",PROPER(TRIM(Raw_Data!D573))="Gb",PROPER(TRIM(Raw_Data!D573))="United kingdom"),"United Kingdom",PROPER(TRIM(Raw_Data!D573)))</f>
        <v>United Kingdom</v>
      </c>
      <c r="E573" s="6" t="s">
        <v>52</v>
      </c>
      <c r="F573" s="6" t="s">
        <v>94</v>
      </c>
      <c r="G573" s="6" t="str">
        <f>SUBSTITUTE(Raw_Data!G573,"Ã©","é")</f>
        <v>Storm Overtrousers</v>
      </c>
      <c r="H573" s="6">
        <v>1</v>
      </c>
      <c r="I573" s="6" t="s">
        <v>60</v>
      </c>
      <c r="J573" s="6" t="s">
        <v>1273</v>
      </c>
      <c r="K573" s="6">
        <v>0.34</v>
      </c>
      <c r="L573" s="6" t="s">
        <v>42</v>
      </c>
      <c r="M573" s="6" t="s">
        <v>34</v>
      </c>
      <c r="N573" s="6"/>
    </row>
    <row r="574" spans="1:14">
      <c r="A574" s="6" t="s">
        <v>1274</v>
      </c>
      <c r="B574" s="7">
        <v>46036</v>
      </c>
      <c r="C574" s="6" t="s">
        <v>1275</v>
      </c>
      <c r="D574" s="6" t="str">
        <f>IF(OR(PROPER(TRIM(Raw_Data!D574))="Uk",PROPER(TRIM(Raw_Data!D574))="Gb",PROPER(TRIM(Raw_Data!D574))="United kingdom"),"United Kingdom",PROPER(TRIM(Raw_Data!D574)))</f>
        <v>United Kingdom</v>
      </c>
      <c r="E574" s="6" t="s">
        <v>78</v>
      </c>
      <c r="F574" s="6" t="s">
        <v>85</v>
      </c>
      <c r="G574" s="6" t="str">
        <f>SUBSTITUTE(Raw_Data!G574,"Ã©","é")</f>
        <v>Trekking Poles</v>
      </c>
      <c r="H574" s="6">
        <v>1</v>
      </c>
      <c r="I574" s="6" t="s">
        <v>82</v>
      </c>
      <c r="J574" s="6" t="s">
        <v>82</v>
      </c>
      <c r="K574" s="6">
        <v>0.41</v>
      </c>
      <c r="L574" s="6" t="s">
        <v>42</v>
      </c>
      <c r="M574" s="6" t="s">
        <v>69</v>
      </c>
      <c r="N574" s="6"/>
    </row>
    <row r="575" spans="1:14">
      <c r="A575" s="6" t="s">
        <v>1276</v>
      </c>
      <c r="B575" s="7">
        <v>46026</v>
      </c>
      <c r="C575" s="6" t="s">
        <v>1277</v>
      </c>
      <c r="D575" s="6" t="str">
        <f>IF(OR(PROPER(TRIM(Raw_Data!D575))="Uk",PROPER(TRIM(Raw_Data!D575))="Gb",PROPER(TRIM(Raw_Data!D575))="United kingdom"),"United Kingdom",PROPER(TRIM(Raw_Data!D575)))</f>
        <v>United Kingdom</v>
      </c>
      <c r="E575" s="6" t="s">
        <v>28</v>
      </c>
      <c r="F575" s="6" t="s">
        <v>58</v>
      </c>
      <c r="G575" s="6" t="str">
        <f>SUBSTITUTE(Raw_Data!G575,"Ã©","é")</f>
        <v>Café Latte Mug</v>
      </c>
      <c r="H575" s="6">
        <v>2</v>
      </c>
      <c r="I575" s="6" t="s">
        <v>181</v>
      </c>
      <c r="J575" s="6" t="s">
        <v>163</v>
      </c>
      <c r="K575" s="6">
        <v>0.38</v>
      </c>
      <c r="L575" s="6" t="s">
        <v>42</v>
      </c>
      <c r="M575" s="6" t="s">
        <v>34</v>
      </c>
      <c r="N575" s="6"/>
    </row>
    <row r="576" spans="1:14">
      <c r="A576" s="6" t="s">
        <v>1278</v>
      </c>
      <c r="B576" s="7">
        <v>46052</v>
      </c>
      <c r="C576" s="6" t="s">
        <v>1280</v>
      </c>
      <c r="D576" s="6" t="str">
        <f>IF(OR(PROPER(TRIM(Raw_Data!D576))="Uk",PROPER(TRIM(Raw_Data!D576))="Gb",PROPER(TRIM(Raw_Data!D576))="United kingdom"),"United Kingdom",PROPER(TRIM(Raw_Data!D576)))</f>
        <v>United Kingdom</v>
      </c>
      <c r="E576" s="6" t="s">
        <v>37</v>
      </c>
      <c r="F576" s="6" t="s">
        <v>85</v>
      </c>
      <c r="G576" s="6" t="str">
        <f>SUBSTITUTE(Raw_Data!G576,"Ã©","é")</f>
        <v>Storm Overtrousers</v>
      </c>
      <c r="H576" s="6">
        <v>1</v>
      </c>
      <c r="I576" s="6" t="s">
        <v>117</v>
      </c>
      <c r="J576" s="6" t="s">
        <v>1281</v>
      </c>
      <c r="K576" s="6">
        <v>0.41</v>
      </c>
      <c r="L576" s="6" t="s">
        <v>42</v>
      </c>
      <c r="M576" s="6" t="s">
        <v>69</v>
      </c>
      <c r="N576" s="6"/>
    </row>
    <row r="577" spans="1:14">
      <c r="A577" s="6" t="s">
        <v>1282</v>
      </c>
      <c r="B577" s="7">
        <v>46067</v>
      </c>
      <c r="C577" s="6" t="s">
        <v>1283</v>
      </c>
      <c r="D577" s="6" t="str">
        <f>IF(OR(PROPER(TRIM(Raw_Data!D577))="Uk",PROPER(TRIM(Raw_Data!D577))="Gb",PROPER(TRIM(Raw_Data!D577))="United kingdom"),"United Kingdom",PROPER(TRIM(Raw_Data!D577)))</f>
        <v>United Kingdom</v>
      </c>
      <c r="E577" s="6" t="s">
        <v>28</v>
      </c>
      <c r="F577" s="6" t="s">
        <v>100</v>
      </c>
      <c r="G577" s="6" t="str">
        <f>SUBSTITUTE(Raw_Data!G577,"Ã©","é")</f>
        <v>Summit Down Gilet</v>
      </c>
      <c r="H577" s="6">
        <v>2</v>
      </c>
      <c r="I577" s="6" t="s">
        <v>147</v>
      </c>
      <c r="J577" s="6" t="s">
        <v>175</v>
      </c>
      <c r="K577" s="6">
        <v>0.64</v>
      </c>
      <c r="L577" s="6" t="s">
        <v>33</v>
      </c>
      <c r="M577" s="6" t="s">
        <v>34</v>
      </c>
      <c r="N577" s="6"/>
    </row>
    <row r="578" spans="1:14">
      <c r="A578" s="6" t="s">
        <v>1284</v>
      </c>
      <c r="B578" s="7">
        <v>46202</v>
      </c>
      <c r="C578" s="6" t="s">
        <v>1286</v>
      </c>
      <c r="D578" s="6" t="str">
        <f>IF(OR(PROPER(TRIM(Raw_Data!D578))="Uk",PROPER(TRIM(Raw_Data!D578))="Gb",PROPER(TRIM(Raw_Data!D578))="United kingdom"),"United Kingdom",PROPER(TRIM(Raw_Data!D578)))</f>
        <v>United Kingdom</v>
      </c>
      <c r="E578" s="6" t="s">
        <v>37</v>
      </c>
      <c r="F578" s="6" t="s">
        <v>47</v>
      </c>
      <c r="G578" s="6" t="str">
        <f>SUBSTITUTE(Raw_Data!G578,"Ã©","é")</f>
        <v>Storm Overtrousers</v>
      </c>
      <c r="H578" s="6">
        <v>3</v>
      </c>
      <c r="I578" s="6" t="s">
        <v>117</v>
      </c>
      <c r="J578" s="6" t="s">
        <v>171</v>
      </c>
      <c r="K578" s="6">
        <v>8.5000000000000006E-2</v>
      </c>
      <c r="L578" s="6" t="s">
        <v>42</v>
      </c>
      <c r="M578" s="6" t="s">
        <v>34</v>
      </c>
      <c r="N578" s="6"/>
    </row>
    <row r="579" spans="1:14">
      <c r="A579" s="6" t="s">
        <v>1287</v>
      </c>
      <c r="B579" s="7">
        <v>46105</v>
      </c>
      <c r="C579" s="6" t="s">
        <v>1288</v>
      </c>
      <c r="D579" s="6" t="str">
        <f>IF(OR(PROPER(TRIM(Raw_Data!D579))="Uk",PROPER(TRIM(Raw_Data!D579))="Gb",PROPER(TRIM(Raw_Data!D579))="United kingdom"),"United Kingdom",PROPER(TRIM(Raw_Data!D579)))</f>
        <v>United Kingdom</v>
      </c>
      <c r="E579" s="6" t="s">
        <v>52</v>
      </c>
      <c r="F579" s="6" t="s">
        <v>29</v>
      </c>
      <c r="G579" s="6" t="str">
        <f>SUBSTITUTE(Raw_Data!G579,"Ã©","é")</f>
        <v>Alpine Jacket</v>
      </c>
      <c r="H579" s="6">
        <v>1</v>
      </c>
      <c r="I579" s="6" t="s">
        <v>96</v>
      </c>
      <c r="J579" s="6" t="s">
        <v>96</v>
      </c>
      <c r="K579" s="6">
        <v>0.52</v>
      </c>
      <c r="L579" s="6" t="s">
        <v>42</v>
      </c>
      <c r="M579" s="6" t="s">
        <v>69</v>
      </c>
      <c r="N579" s="6"/>
    </row>
    <row r="580" spans="1:14">
      <c r="A580" s="6" t="s">
        <v>1289</v>
      </c>
      <c r="B580" s="7">
        <v>46197</v>
      </c>
      <c r="C580" s="6" t="s">
        <v>245</v>
      </c>
      <c r="D580" s="6" t="str">
        <f>IF(OR(PROPER(TRIM(Raw_Data!D580))="Uk",PROPER(TRIM(Raw_Data!D580))="Gb",PROPER(TRIM(Raw_Data!D580))="United kingdom"),"United Kingdom",PROPER(TRIM(Raw_Data!D580)))</f>
        <v>Germany</v>
      </c>
      <c r="E580" s="6" t="s">
        <v>37</v>
      </c>
      <c r="F580" s="6" t="s">
        <v>53</v>
      </c>
      <c r="G580" s="6" t="str">
        <f>SUBSTITUTE(Raw_Data!G580,"Ã©","é")</f>
        <v>Fell Runner Cap</v>
      </c>
      <c r="H580" s="6">
        <v>1</v>
      </c>
      <c r="I580" s="6" t="s">
        <v>619</v>
      </c>
      <c r="J580" s="6" t="s">
        <v>143</v>
      </c>
      <c r="K580" s="6">
        <v>0.19</v>
      </c>
      <c r="L580" s="6" t="s">
        <v>42</v>
      </c>
      <c r="M580" s="6" t="s">
        <v>34</v>
      </c>
      <c r="N580" s="6"/>
    </row>
    <row r="581" spans="1:14">
      <c r="A581" s="6" t="s">
        <v>1290</v>
      </c>
      <c r="B581" s="7">
        <v>46045</v>
      </c>
      <c r="C581" s="6" t="s">
        <v>1291</v>
      </c>
      <c r="D581" s="6" t="str">
        <f>IF(OR(PROPER(TRIM(Raw_Data!D581))="Uk",PROPER(TRIM(Raw_Data!D581))="Gb",PROPER(TRIM(Raw_Data!D581))="United kingdom"),"United Kingdom",PROPER(TRIM(Raw_Data!D581)))</f>
        <v>United Kingdom</v>
      </c>
      <c r="E581" s="6" t="s">
        <v>78</v>
      </c>
      <c r="F581" s="6" t="s">
        <v>100</v>
      </c>
      <c r="G581" s="6" t="str">
        <f>SUBSTITUTE(Raw_Data!G581,"Ã©","é")</f>
        <v>Trekking Poles</v>
      </c>
      <c r="H581" s="6">
        <v>2</v>
      </c>
      <c r="I581" s="6" t="s">
        <v>113</v>
      </c>
      <c r="J581" s="6" t="s">
        <v>192</v>
      </c>
      <c r="K581" s="6">
        <v>0.64</v>
      </c>
      <c r="L581" s="6" t="s">
        <v>33</v>
      </c>
      <c r="M581" s="6" t="s">
        <v>34</v>
      </c>
      <c r="N581" s="6"/>
    </row>
    <row r="582" spans="1:14">
      <c r="A582" s="6" t="s">
        <v>1292</v>
      </c>
      <c r="B582" s="7">
        <v>46069</v>
      </c>
      <c r="C582" s="6" t="s">
        <v>566</v>
      </c>
      <c r="D582" s="6" t="str">
        <f>IF(OR(PROPER(TRIM(Raw_Data!D582))="Uk",PROPER(TRIM(Raw_Data!D582))="Gb",PROPER(TRIM(Raw_Data!D582))="United kingdom"),"United Kingdom",PROPER(TRIM(Raw_Data!D582)))</f>
        <v>Germany</v>
      </c>
      <c r="E582" s="6" t="s">
        <v>37</v>
      </c>
      <c r="F582" s="6" t="s">
        <v>47</v>
      </c>
      <c r="G582" s="6" t="str">
        <f>SUBSTITUTE(Raw_Data!G582,"Ã©","é")</f>
        <v>Merino Base Layer</v>
      </c>
      <c r="H582" s="6">
        <v>2</v>
      </c>
      <c r="I582" s="6" t="s">
        <v>1293</v>
      </c>
      <c r="J582" s="6" t="s">
        <v>189</v>
      </c>
      <c r="K582" s="6">
        <v>8.5000000000000006E-2</v>
      </c>
      <c r="L582" s="6" t="s">
        <v>33</v>
      </c>
      <c r="M582" s="6" t="s">
        <v>34</v>
      </c>
      <c r="N582" s="6"/>
    </row>
    <row r="583" spans="1:14">
      <c r="A583" s="6" t="s">
        <v>1294</v>
      </c>
      <c r="B583" s="7">
        <v>46328</v>
      </c>
      <c r="C583" s="6" t="s">
        <v>150</v>
      </c>
      <c r="D583" s="6" t="str">
        <f>IF(OR(PROPER(TRIM(Raw_Data!D583))="Uk",PROPER(TRIM(Raw_Data!D583))="Gb",PROPER(TRIM(Raw_Data!D583))="United kingdom"),"United Kingdom",PROPER(TRIM(Raw_Data!D583)))</f>
        <v>United Kingdom</v>
      </c>
      <c r="E583" s="6" t="s">
        <v>37</v>
      </c>
      <c r="F583" s="6" t="s">
        <v>53</v>
      </c>
      <c r="G583" s="6" t="str">
        <f>SUBSTITUTE(Raw_Data!G583,"Ã©","é")</f>
        <v>Alpine Jacket</v>
      </c>
      <c r="H583" s="6">
        <v>2</v>
      </c>
      <c r="I583" s="6" t="s">
        <v>79</v>
      </c>
      <c r="J583" s="6" t="s">
        <v>259</v>
      </c>
      <c r="K583" s="6">
        <v>0.19</v>
      </c>
      <c r="L583" s="6" t="s">
        <v>42</v>
      </c>
      <c r="M583" s="6" t="s">
        <v>69</v>
      </c>
      <c r="N583" s="6"/>
    </row>
    <row r="584" spans="1:14">
      <c r="A584" s="6" t="s">
        <v>1295</v>
      </c>
      <c r="B584" s="7">
        <v>46081</v>
      </c>
      <c r="C584" s="6" t="s">
        <v>1296</v>
      </c>
      <c r="D584" s="6" t="str">
        <f>IF(OR(PROPER(TRIM(Raw_Data!D584))="Uk",PROPER(TRIM(Raw_Data!D584))="Gb",PROPER(TRIM(Raw_Data!D584))="United kingdom"),"United Kingdom",PROPER(TRIM(Raw_Data!D584)))</f>
        <v>United Kingdom</v>
      </c>
      <c r="E584" s="6" t="s">
        <v>52</v>
      </c>
      <c r="F584" s="6" t="s">
        <v>29</v>
      </c>
      <c r="G584" s="6" t="str">
        <f>SUBSTITUTE(Raw_Data!G584,"Ã©","é")</f>
        <v>Fell Runner Cap</v>
      </c>
      <c r="H584" s="6">
        <v>2</v>
      </c>
      <c r="I584" s="6" t="s">
        <v>656</v>
      </c>
      <c r="J584" s="6" t="s">
        <v>192</v>
      </c>
      <c r="K584" s="6">
        <v>0.52</v>
      </c>
      <c r="L584" s="6" t="s">
        <v>42</v>
      </c>
      <c r="M584" s="6" t="s">
        <v>69</v>
      </c>
      <c r="N584" s="6"/>
    </row>
    <row r="585" spans="1:14">
      <c r="A585" s="6" t="s">
        <v>1297</v>
      </c>
      <c r="B585" s="7">
        <v>46134</v>
      </c>
      <c r="C585" s="6" t="s">
        <v>1298</v>
      </c>
      <c r="D585" s="6" t="str">
        <f>IF(OR(PROPER(TRIM(Raw_Data!D585))="Uk",PROPER(TRIM(Raw_Data!D585))="Gb",PROPER(TRIM(Raw_Data!D585))="United kingdom"),"United Kingdom",PROPER(TRIM(Raw_Data!D585)))</f>
        <v>Germany</v>
      </c>
      <c r="E585" s="6" t="s">
        <v>28</v>
      </c>
      <c r="F585" s="6" t="s">
        <v>47</v>
      </c>
      <c r="G585" s="6" t="str">
        <f>SUBSTITUTE(Raw_Data!G585,"Ã©","é")</f>
        <v>Merino Base Layer</v>
      </c>
      <c r="H585" s="6">
        <v>2</v>
      </c>
      <c r="I585" s="6" t="s">
        <v>82</v>
      </c>
      <c r="J585" s="6" t="s">
        <v>297</v>
      </c>
      <c r="K585" s="6">
        <v>8.5000000000000006E-2</v>
      </c>
      <c r="L585" s="6" t="s">
        <v>42</v>
      </c>
      <c r="M585" s="6" t="s">
        <v>34</v>
      </c>
      <c r="N585" s="6"/>
    </row>
    <row r="586" spans="1:14">
      <c r="A586" s="6" t="s">
        <v>1299</v>
      </c>
      <c r="B586" s="7">
        <v>46329</v>
      </c>
      <c r="C586" s="6" t="s">
        <v>1300</v>
      </c>
      <c r="D586" s="6" t="str">
        <f>IF(OR(PROPER(TRIM(Raw_Data!D586))="Uk",PROPER(TRIM(Raw_Data!D586))="Gb",PROPER(TRIM(Raw_Data!D586))="United kingdom"),"United Kingdom",PROPER(TRIM(Raw_Data!D586)))</f>
        <v>United Kingdom</v>
      </c>
      <c r="E586" s="6" t="s">
        <v>78</v>
      </c>
      <c r="F586" s="6" t="s">
        <v>94</v>
      </c>
      <c r="G586" s="6" t="str">
        <f>SUBSTITUTE(Raw_Data!G586,"Ã©","é")</f>
        <v>Trekking Poles</v>
      </c>
      <c r="H586" s="6">
        <v>1</v>
      </c>
      <c r="I586" s="6" t="s">
        <v>82</v>
      </c>
      <c r="J586" s="6" t="s">
        <v>82</v>
      </c>
      <c r="K586" s="6">
        <v>0.34</v>
      </c>
      <c r="L586" s="6" t="s">
        <v>42</v>
      </c>
      <c r="M586" s="6" t="s">
        <v>34</v>
      </c>
      <c r="N586" s="6"/>
    </row>
    <row r="587" spans="1:14">
      <c r="A587" s="6" t="s">
        <v>1301</v>
      </c>
      <c r="B587" s="7">
        <v>46161</v>
      </c>
      <c r="C587" s="6" t="s">
        <v>1303</v>
      </c>
      <c r="D587" s="6" t="str">
        <f>IF(OR(PROPER(TRIM(Raw_Data!D587))="Uk",PROPER(TRIM(Raw_Data!D587))="Gb",PROPER(TRIM(Raw_Data!D587))="United kingdom"),"United Kingdom",PROPER(TRIM(Raw_Data!D587)))</f>
        <v>United Kingdom</v>
      </c>
      <c r="E587" s="6" t="s">
        <v>52</v>
      </c>
      <c r="F587" s="6" t="s">
        <v>85</v>
      </c>
      <c r="G587" s="6" t="str">
        <f>SUBSTITUTE(Raw_Data!G587,"Ã©","é")</f>
        <v>Fell Runner Cap</v>
      </c>
      <c r="H587" s="6">
        <v>3</v>
      </c>
      <c r="I587" s="6" t="s">
        <v>143</v>
      </c>
      <c r="J587" s="6" t="s">
        <v>243</v>
      </c>
      <c r="K587" s="6">
        <v>0.41</v>
      </c>
      <c r="L587" s="6" t="s">
        <v>42</v>
      </c>
      <c r="M587" s="6" t="s">
        <v>34</v>
      </c>
      <c r="N587" s="6"/>
    </row>
    <row r="588" spans="1:14">
      <c r="A588" s="6" t="s">
        <v>1304</v>
      </c>
      <c r="B588" s="7">
        <v>46199</v>
      </c>
      <c r="C588" s="6" t="s">
        <v>1271</v>
      </c>
      <c r="D588" s="6" t="str">
        <f>IF(OR(PROPER(TRIM(Raw_Data!D588))="Uk",PROPER(TRIM(Raw_Data!D588))="Gb",PROPER(TRIM(Raw_Data!D588))="United kingdom"),"United Kingdom",PROPER(TRIM(Raw_Data!D588)))</f>
        <v>United Kingdom</v>
      </c>
      <c r="E588" s="6" t="s">
        <v>46</v>
      </c>
      <c r="F588" s="6" t="s">
        <v>53</v>
      </c>
      <c r="G588" s="6" t="str">
        <f>SUBSTITUTE(Raw_Data!G588,"Ã©","é")</f>
        <v>Café Latte Mug</v>
      </c>
      <c r="H588" s="6">
        <v>2</v>
      </c>
      <c r="I588" s="6" t="s">
        <v>231</v>
      </c>
      <c r="J588" s="6" t="s">
        <v>232</v>
      </c>
      <c r="K588" s="6">
        <v>0.19</v>
      </c>
      <c r="L588" s="6" t="s">
        <v>42</v>
      </c>
      <c r="M588" s="6" t="s">
        <v>34</v>
      </c>
      <c r="N588" s="6"/>
    </row>
    <row r="589" spans="1:14">
      <c r="A589" s="6" t="s">
        <v>1306</v>
      </c>
      <c r="B589" s="7">
        <v>46192</v>
      </c>
      <c r="C589" s="6" t="s">
        <v>1307</v>
      </c>
      <c r="D589" s="6" t="str">
        <f>IF(OR(PROPER(TRIM(Raw_Data!D589))="Uk",PROPER(TRIM(Raw_Data!D589))="Gb",PROPER(TRIM(Raw_Data!D589))="United kingdom"),"United Kingdom",PROPER(TRIM(Raw_Data!D589)))</f>
        <v>United Kingdom</v>
      </c>
      <c r="E589" s="6" t="s">
        <v>46</v>
      </c>
      <c r="F589" s="6" t="s">
        <v>94</v>
      </c>
      <c r="G589" s="6" t="str">
        <f>SUBSTITUTE(Raw_Data!G589,"Ã©","é")</f>
        <v>Storm Overtrousers</v>
      </c>
      <c r="H589" s="6">
        <v>3</v>
      </c>
      <c r="I589" s="6" t="s">
        <v>117</v>
      </c>
      <c r="J589" s="6" t="s">
        <v>171</v>
      </c>
      <c r="K589" s="6">
        <v>0.34</v>
      </c>
      <c r="L589" s="6" t="s">
        <v>33</v>
      </c>
      <c r="M589" s="6" t="s">
        <v>34</v>
      </c>
      <c r="N589" s="6"/>
    </row>
    <row r="590" spans="1:14">
      <c r="A590" s="6" t="s">
        <v>1308</v>
      </c>
      <c r="B590" s="7">
        <v>46140</v>
      </c>
      <c r="C590" s="6" t="s">
        <v>1309</v>
      </c>
      <c r="D590" s="6" t="str">
        <f>IF(OR(PROPER(TRIM(Raw_Data!D590))="Uk",PROPER(TRIM(Raw_Data!D590))="Gb",PROPER(TRIM(Raw_Data!D590))="United kingdom"),"United Kingdom",PROPER(TRIM(Raw_Data!D590)))</f>
        <v>Germany</v>
      </c>
      <c r="E590" s="6" t="s">
        <v>78</v>
      </c>
      <c r="F590" s="6" t="s">
        <v>47</v>
      </c>
      <c r="G590" s="6" t="str">
        <f>SUBSTITUTE(Raw_Data!G590,"Ã©","é")</f>
        <v>Merino Base Layer</v>
      </c>
      <c r="H590" s="6">
        <v>3</v>
      </c>
      <c r="I590" s="6" t="s">
        <v>143</v>
      </c>
      <c r="J590" s="6" t="s">
        <v>243</v>
      </c>
      <c r="K590" s="6">
        <v>8.5000000000000006E-2</v>
      </c>
      <c r="L590" s="6" t="s">
        <v>42</v>
      </c>
      <c r="M590" s="6" t="s">
        <v>34</v>
      </c>
      <c r="N590" s="6"/>
    </row>
    <row r="591" spans="1:14">
      <c r="A591" s="6" t="s">
        <v>1310</v>
      </c>
      <c r="B591" s="7">
        <v>46025</v>
      </c>
      <c r="C591" s="6" t="s">
        <v>1311</v>
      </c>
      <c r="D591" s="6" t="str">
        <f>IF(OR(PROPER(TRIM(Raw_Data!D591))="Uk",PROPER(TRIM(Raw_Data!D591))="Gb",PROPER(TRIM(Raw_Data!D591))="United kingdom"),"United Kingdom",PROPER(TRIM(Raw_Data!D591)))</f>
        <v>France</v>
      </c>
      <c r="E591" s="6" t="s">
        <v>37</v>
      </c>
      <c r="F591" s="6" t="s">
        <v>100</v>
      </c>
      <c r="G591" s="6" t="str">
        <f>SUBSTITUTE(Raw_Data!G591,"Ã©","é")</f>
        <v>Café Latte Mug</v>
      </c>
      <c r="H591" s="6">
        <v>3</v>
      </c>
      <c r="I591" s="6" t="s">
        <v>147</v>
      </c>
      <c r="J591" s="6" t="s">
        <v>148</v>
      </c>
      <c r="K591" s="6">
        <v>0.64</v>
      </c>
      <c r="L591" s="6" t="s">
        <v>42</v>
      </c>
      <c r="M591" s="6" t="s">
        <v>69</v>
      </c>
      <c r="N591" s="6"/>
    </row>
    <row r="592" spans="1:14">
      <c r="A592" s="6" t="s">
        <v>1312</v>
      </c>
      <c r="B592" s="7">
        <v>46144</v>
      </c>
      <c r="C592" s="6" t="s">
        <v>1313</v>
      </c>
      <c r="D592" s="6" t="str">
        <f>IF(OR(PROPER(TRIM(Raw_Data!D592))="Uk",PROPER(TRIM(Raw_Data!D592))="Gb",PROPER(TRIM(Raw_Data!D592))="United kingdom"),"United Kingdom",PROPER(TRIM(Raw_Data!D592)))</f>
        <v>United Kingdom</v>
      </c>
      <c r="E592" s="6" t="s">
        <v>46</v>
      </c>
      <c r="F592" s="6" t="s">
        <v>53</v>
      </c>
      <c r="G592" s="6" t="str">
        <f>SUBSTITUTE(Raw_Data!G592,"Ã©","é")</f>
        <v>Fell Runner Cap</v>
      </c>
      <c r="H592" s="6">
        <v>3</v>
      </c>
      <c r="I592" s="6" t="s">
        <v>143</v>
      </c>
      <c r="J592" s="6" t="s">
        <v>243</v>
      </c>
      <c r="K592" s="6">
        <v>0.19</v>
      </c>
      <c r="L592" s="6" t="s">
        <v>42</v>
      </c>
      <c r="M592" s="6" t="s">
        <v>69</v>
      </c>
      <c r="N592" s="6"/>
    </row>
    <row r="593" spans="1:14">
      <c r="A593" s="6" t="s">
        <v>1314</v>
      </c>
      <c r="B593" s="7">
        <v>46173</v>
      </c>
      <c r="C593" s="6" t="s">
        <v>210</v>
      </c>
      <c r="D593" s="6" t="str">
        <f>IF(OR(PROPER(TRIM(Raw_Data!D593))="Uk",PROPER(TRIM(Raw_Data!D593))="Gb",PROPER(TRIM(Raw_Data!D593))="United kingdom"),"United Kingdom",PROPER(TRIM(Raw_Data!D593)))</f>
        <v>United Kingdom</v>
      </c>
      <c r="E593" s="6" t="s">
        <v>28</v>
      </c>
      <c r="F593" s="6" t="s">
        <v>53</v>
      </c>
      <c r="G593" s="6" t="str">
        <f>SUBSTITUTE(Raw_Data!G593,"Ã©","é")</f>
        <v>Alpine Jacket</v>
      </c>
      <c r="H593" s="6">
        <v>2</v>
      </c>
      <c r="I593" s="6" t="s">
        <v>96</v>
      </c>
      <c r="J593" s="6" t="s">
        <v>278</v>
      </c>
      <c r="K593" s="6">
        <v>0.19</v>
      </c>
      <c r="L593" s="6" t="s">
        <v>42</v>
      </c>
      <c r="M593" s="6" t="s">
        <v>34</v>
      </c>
      <c r="N593" s="6"/>
    </row>
    <row r="594" spans="1:14">
      <c r="A594" s="6" t="s">
        <v>1315</v>
      </c>
      <c r="B594" s="7">
        <v>46047</v>
      </c>
      <c r="C594" s="6" t="s">
        <v>1316</v>
      </c>
      <c r="D594" s="6" t="str">
        <f>IF(OR(PROPER(TRIM(Raw_Data!D594))="Uk",PROPER(TRIM(Raw_Data!D594))="Gb",PROPER(TRIM(Raw_Data!D594))="United kingdom"),"United Kingdom",PROPER(TRIM(Raw_Data!D594)))</f>
        <v>United Kingdom</v>
      </c>
      <c r="E594" s="6" t="s">
        <v>78</v>
      </c>
      <c r="F594" s="6" t="s">
        <v>47</v>
      </c>
      <c r="G594" s="6" t="str">
        <f>SUBSTITUTE(Raw_Data!G594,"Ã©","é")</f>
        <v>Merino Base Layer</v>
      </c>
      <c r="H594" s="6">
        <v>1</v>
      </c>
      <c r="I594" s="6" t="s">
        <v>113</v>
      </c>
      <c r="J594" s="6" t="s">
        <v>113</v>
      </c>
      <c r="K594" s="6">
        <v>8.5000000000000006E-2</v>
      </c>
      <c r="L594" s="6" t="s">
        <v>42</v>
      </c>
      <c r="M594" s="6" t="s">
        <v>69</v>
      </c>
      <c r="N594" s="6"/>
    </row>
    <row r="595" spans="1:14">
      <c r="A595" s="6" t="s">
        <v>1317</v>
      </c>
      <c r="B595" s="7">
        <v>46297</v>
      </c>
      <c r="C595" s="6" t="s">
        <v>934</v>
      </c>
      <c r="D595" s="6" t="str">
        <f>IF(OR(PROPER(TRIM(Raw_Data!D595))="Uk",PROPER(TRIM(Raw_Data!D595))="Gb",PROPER(TRIM(Raw_Data!D595))="United kingdom"),"United Kingdom",PROPER(TRIM(Raw_Data!D595)))</f>
        <v>United Kingdom</v>
      </c>
      <c r="E595" s="6" t="s">
        <v>52</v>
      </c>
      <c r="F595" s="6" t="s">
        <v>47</v>
      </c>
      <c r="G595" s="6" t="str">
        <f>SUBSTITUTE(Raw_Data!G595,"Ã©","é")</f>
        <v>Merino Base Layer</v>
      </c>
      <c r="H595" s="6">
        <v>2</v>
      </c>
      <c r="I595" s="6" t="s">
        <v>143</v>
      </c>
      <c r="J595" s="6" t="s">
        <v>144</v>
      </c>
      <c r="K595" s="6">
        <v>8.5000000000000006E-2</v>
      </c>
      <c r="L595" s="6" t="s">
        <v>42</v>
      </c>
      <c r="M595" s="6" t="s">
        <v>34</v>
      </c>
      <c r="N595" s="6"/>
    </row>
    <row r="596" spans="1:14">
      <c r="A596" s="6" t="s">
        <v>1318</v>
      </c>
      <c r="B596" s="7">
        <v>46203</v>
      </c>
      <c r="C596" s="6" t="s">
        <v>881</v>
      </c>
      <c r="D596" s="6" t="str">
        <f>IF(OR(PROPER(TRIM(Raw_Data!D596))="Uk",PROPER(TRIM(Raw_Data!D596))="Gb",PROPER(TRIM(Raw_Data!D596))="United kingdom"),"United Kingdom",PROPER(TRIM(Raw_Data!D596)))</f>
        <v>United Kingdom</v>
      </c>
      <c r="E596" s="6" t="s">
        <v>37</v>
      </c>
      <c r="F596" s="6" t="s">
        <v>53</v>
      </c>
      <c r="G596" s="6" t="str">
        <f>SUBSTITUTE(Raw_Data!G596,"Ã©","é")</f>
        <v>Fell Runner Cap</v>
      </c>
      <c r="H596" s="6">
        <v>1</v>
      </c>
      <c r="I596" s="6" t="s">
        <v>656</v>
      </c>
      <c r="J596" s="6" t="s">
        <v>113</v>
      </c>
      <c r="K596" s="6">
        <v>0.19</v>
      </c>
      <c r="L596" s="6" t="s">
        <v>42</v>
      </c>
      <c r="M596" s="6" t="s">
        <v>69</v>
      </c>
      <c r="N596" s="6"/>
    </row>
    <row r="597" spans="1:14">
      <c r="A597" s="6" t="s">
        <v>1319</v>
      </c>
      <c r="B597" s="7">
        <v>46047</v>
      </c>
      <c r="C597" s="6" t="s">
        <v>1316</v>
      </c>
      <c r="D597" s="6" t="str">
        <f>IF(OR(PROPER(TRIM(Raw_Data!D597))="Uk",PROPER(TRIM(Raw_Data!D597))="Gb",PROPER(TRIM(Raw_Data!D597))="United kingdom"),"United Kingdom",PROPER(TRIM(Raw_Data!D597)))</f>
        <v>United Kingdom</v>
      </c>
      <c r="E597" s="6" t="s">
        <v>78</v>
      </c>
      <c r="F597" s="6" t="s">
        <v>94</v>
      </c>
      <c r="G597" s="6" t="str">
        <f>SUBSTITUTE(Raw_Data!G597,"Ã©","é")</f>
        <v>Fell Runner Cap</v>
      </c>
      <c r="H597" s="6">
        <v>3</v>
      </c>
      <c r="I597" s="6" t="s">
        <v>73</v>
      </c>
      <c r="J597" s="6" t="s">
        <v>499</v>
      </c>
      <c r="K597" s="6">
        <v>0.34</v>
      </c>
      <c r="L597" s="6" t="s">
        <v>42</v>
      </c>
      <c r="M597" s="6" t="s">
        <v>69</v>
      </c>
      <c r="N597" s="6"/>
    </row>
    <row r="598" spans="1:14">
      <c r="A598" s="6" t="s">
        <v>1320</v>
      </c>
      <c r="B598" s="7">
        <v>46162</v>
      </c>
      <c r="C598" s="6" t="s">
        <v>1321</v>
      </c>
      <c r="D598" s="6" t="str">
        <f>IF(OR(PROPER(TRIM(Raw_Data!D598))="Uk",PROPER(TRIM(Raw_Data!D598))="Gb",PROPER(TRIM(Raw_Data!D598))="United kingdom"),"United Kingdom",PROPER(TRIM(Raw_Data!D598)))</f>
        <v>Ireland</v>
      </c>
      <c r="E598" s="6" t="s">
        <v>37</v>
      </c>
      <c r="F598" s="6" t="s">
        <v>94</v>
      </c>
      <c r="G598" s="6" t="str">
        <f>SUBSTITUTE(Raw_Data!G598,"Ã©","é")</f>
        <v>Merino Base Layer</v>
      </c>
      <c r="H598" s="6">
        <v>2</v>
      </c>
      <c r="I598" s="6" t="s">
        <v>31</v>
      </c>
      <c r="J598" s="6" t="s">
        <v>249</v>
      </c>
      <c r="K598" s="6">
        <v>0.34</v>
      </c>
      <c r="L598" s="6" t="s">
        <v>33</v>
      </c>
      <c r="M598" s="6" t="s">
        <v>34</v>
      </c>
      <c r="N598" s="6"/>
    </row>
    <row r="599" spans="1:14">
      <c r="A599" s="6" t="s">
        <v>1322</v>
      </c>
      <c r="B599" s="7">
        <v>46359</v>
      </c>
      <c r="C599" s="6" t="s">
        <v>1323</v>
      </c>
      <c r="D599" s="6" t="str">
        <f>IF(OR(PROPER(TRIM(Raw_Data!D599))="Uk",PROPER(TRIM(Raw_Data!D599))="Gb",PROPER(TRIM(Raw_Data!D599))="United kingdom"),"United Kingdom",PROPER(TRIM(Raw_Data!D599)))</f>
        <v>Germany</v>
      </c>
      <c r="E599" s="6" t="s">
        <v>78</v>
      </c>
      <c r="F599" s="6" t="s">
        <v>38</v>
      </c>
      <c r="G599" s="6" t="str">
        <f>SUBSTITUTE(Raw_Data!G599,"Ã©","é")</f>
        <v>Café Latte Mug</v>
      </c>
      <c r="H599" s="6">
        <v>2</v>
      </c>
      <c r="I599" s="6" t="s">
        <v>79</v>
      </c>
      <c r="J599" s="6" t="s">
        <v>259</v>
      </c>
      <c r="K599" s="6">
        <v>0.52</v>
      </c>
      <c r="L599" s="6" t="s">
        <v>42</v>
      </c>
      <c r="M599" s="6" t="s">
        <v>34</v>
      </c>
      <c r="N599" s="6"/>
    </row>
    <row r="600" spans="1:14">
      <c r="A600" s="6" t="s">
        <v>1324</v>
      </c>
      <c r="B600" s="7">
        <v>46057</v>
      </c>
      <c r="C600" s="6" t="s">
        <v>1325</v>
      </c>
      <c r="D600" s="6" t="str">
        <f>IF(OR(PROPER(TRIM(Raw_Data!D600))="Uk",PROPER(TRIM(Raw_Data!D600))="Gb",PROPER(TRIM(Raw_Data!D600))="United kingdom"),"United Kingdom",PROPER(TRIM(Raw_Data!D600)))</f>
        <v>United Kingdom</v>
      </c>
      <c r="E600" s="6" t="s">
        <v>52</v>
      </c>
      <c r="F600" s="6" t="s">
        <v>85</v>
      </c>
      <c r="G600" s="6" t="str">
        <f>SUBSTITUTE(Raw_Data!G600,"Ã©","é")</f>
        <v>Café Latte Mug</v>
      </c>
      <c r="H600" s="6">
        <v>1</v>
      </c>
      <c r="I600" s="6" t="s">
        <v>231</v>
      </c>
      <c r="J600" s="6" t="s">
        <v>231</v>
      </c>
      <c r="K600" s="6">
        <v>0.41</v>
      </c>
      <c r="L600" s="6" t="s">
        <v>42</v>
      </c>
      <c r="M600" s="6" t="s">
        <v>34</v>
      </c>
      <c r="N600" s="6"/>
    </row>
    <row r="601" spans="1:14">
      <c r="A601" s="6" t="s">
        <v>1326</v>
      </c>
      <c r="B601" s="7">
        <v>46092</v>
      </c>
      <c r="C601" s="6" t="s">
        <v>1133</v>
      </c>
      <c r="D601" s="6" t="str">
        <f>IF(OR(PROPER(TRIM(Raw_Data!D601))="Uk",PROPER(TRIM(Raw_Data!D601))="Gb",PROPER(TRIM(Raw_Data!D601))="United kingdom"),"United Kingdom",PROPER(TRIM(Raw_Data!D601)))</f>
        <v>United Kingdom</v>
      </c>
      <c r="E601" s="6" t="s">
        <v>28</v>
      </c>
      <c r="F601" s="6" t="s">
        <v>85</v>
      </c>
      <c r="G601" s="6" t="str">
        <f>SUBSTITUTE(Raw_Data!G601,"Ã©","é")</f>
        <v>Trail Softshell</v>
      </c>
      <c r="H601" s="6">
        <v>2</v>
      </c>
      <c r="I601" s="6" t="s">
        <v>117</v>
      </c>
      <c r="J601" s="6" t="s">
        <v>118</v>
      </c>
      <c r="K601" s="6">
        <v>0.41</v>
      </c>
      <c r="L601" s="6" t="s">
        <v>33</v>
      </c>
      <c r="M601" s="6" t="s">
        <v>34</v>
      </c>
      <c r="N601" s="6"/>
    </row>
    <row r="602" spans="1:14">
      <c r="A602" s="6" t="s">
        <v>1327</v>
      </c>
      <c r="B602" s="7">
        <v>46327</v>
      </c>
      <c r="C602" s="6" t="s">
        <v>1328</v>
      </c>
      <c r="D602" s="6" t="str">
        <f>IF(OR(PROPER(TRIM(Raw_Data!D602))="Uk",PROPER(TRIM(Raw_Data!D602))="Gb",PROPER(TRIM(Raw_Data!D602))="United kingdom"),"United Kingdom",PROPER(TRIM(Raw_Data!D602)))</f>
        <v>United Kingdom</v>
      </c>
      <c r="E602" s="6" t="s">
        <v>52</v>
      </c>
      <c r="F602" s="6" t="s">
        <v>85</v>
      </c>
      <c r="G602" s="6" t="str">
        <f>SUBSTITUTE(Raw_Data!G602,"Ã©","é")</f>
        <v>Storm Overtrousers</v>
      </c>
      <c r="H602" s="6">
        <v>2</v>
      </c>
      <c r="I602" s="6" t="s">
        <v>60</v>
      </c>
      <c r="J602" s="6" t="s">
        <v>189</v>
      </c>
      <c r="K602" s="6">
        <v>0.41</v>
      </c>
      <c r="L602" s="6" t="s">
        <v>42</v>
      </c>
      <c r="M602" s="6" t="s">
        <v>34</v>
      </c>
      <c r="N602" s="6"/>
    </row>
    <row r="603" spans="1:14">
      <c r="A603" s="6" t="s">
        <v>1329</v>
      </c>
      <c r="B603" s="7">
        <v>46197</v>
      </c>
      <c r="C603" s="6" t="s">
        <v>1330</v>
      </c>
      <c r="D603" s="6" t="str">
        <f>IF(OR(PROPER(TRIM(Raw_Data!D603))="Uk",PROPER(TRIM(Raw_Data!D603))="Gb",PROPER(TRIM(Raw_Data!D603))="United kingdom"),"United Kingdom",PROPER(TRIM(Raw_Data!D603)))</f>
        <v>United Kingdom</v>
      </c>
      <c r="E603" s="6" t="s">
        <v>46</v>
      </c>
      <c r="F603" s="6" t="s">
        <v>53</v>
      </c>
      <c r="G603" s="6" t="str">
        <f>SUBSTITUTE(Raw_Data!G603,"Ã©","é")</f>
        <v>Storm Overtrousers</v>
      </c>
      <c r="H603" s="6">
        <v>2</v>
      </c>
      <c r="I603" s="6" t="s">
        <v>96</v>
      </c>
      <c r="J603" s="6" t="s">
        <v>278</v>
      </c>
      <c r="K603" s="6">
        <v>0.19</v>
      </c>
      <c r="L603" s="6" t="s">
        <v>42</v>
      </c>
      <c r="M603" s="6" t="s">
        <v>34</v>
      </c>
      <c r="N603" s="6"/>
    </row>
    <row r="604" spans="1:14">
      <c r="A604" s="6" t="s">
        <v>1331</v>
      </c>
      <c r="B604" s="7">
        <v>46024</v>
      </c>
      <c r="C604" s="6" t="s">
        <v>1332</v>
      </c>
      <c r="D604" s="6" t="str">
        <f>IF(OR(PROPER(TRIM(Raw_Data!D604))="Uk",PROPER(TRIM(Raw_Data!D604))="Gb",PROPER(TRIM(Raw_Data!D604))="United kingdom"),"United Kingdom",PROPER(TRIM(Raw_Data!D604)))</f>
        <v>United Kingdom</v>
      </c>
      <c r="E604" s="6" t="s">
        <v>46</v>
      </c>
      <c r="F604" s="6" t="s">
        <v>100</v>
      </c>
      <c r="G604" s="6" t="str">
        <f>SUBSTITUTE(Raw_Data!G604,"Ã©","é")</f>
        <v>Storm Overtrousers</v>
      </c>
      <c r="H604" s="6">
        <v>-1</v>
      </c>
      <c r="I604" s="6" t="s">
        <v>147</v>
      </c>
      <c r="J604" s="8" t="s">
        <v>1333</v>
      </c>
      <c r="K604" s="6">
        <v>0.64</v>
      </c>
      <c r="L604" s="6" t="s">
        <v>42</v>
      </c>
      <c r="M604" s="6" t="s">
        <v>34</v>
      </c>
      <c r="N604" s="6"/>
    </row>
    <row r="605" spans="1:14">
      <c r="A605" s="6" t="s">
        <v>1334</v>
      </c>
      <c r="B605" s="7">
        <v>46035</v>
      </c>
      <c r="C605" s="6" t="s">
        <v>1335</v>
      </c>
      <c r="D605" s="6" t="str">
        <f>IF(OR(PROPER(TRIM(Raw_Data!D605))="Uk",PROPER(TRIM(Raw_Data!D605))="Gb",PROPER(TRIM(Raw_Data!D605))="United kingdom"),"United Kingdom",PROPER(TRIM(Raw_Data!D605)))</f>
        <v>Ireland</v>
      </c>
      <c r="E605" s="6" t="s">
        <v>28</v>
      </c>
      <c r="F605" s="6" t="s">
        <v>47</v>
      </c>
      <c r="G605" s="6" t="str">
        <f>SUBSTITUTE(Raw_Data!G605,"Ã©","é")</f>
        <v>Merino Base Layer</v>
      </c>
      <c r="H605" s="6">
        <v>2</v>
      </c>
      <c r="I605" s="6" t="s">
        <v>90</v>
      </c>
      <c r="J605" s="6" t="s">
        <v>154</v>
      </c>
      <c r="K605" s="6">
        <v>8.5000000000000006E-2</v>
      </c>
      <c r="L605" s="6" t="s">
        <v>42</v>
      </c>
      <c r="M605" s="6" t="s">
        <v>34</v>
      </c>
      <c r="N605" s="6"/>
    </row>
    <row r="606" spans="1:14">
      <c r="A606" s="6" t="s">
        <v>1336</v>
      </c>
      <c r="B606" s="7">
        <v>46202</v>
      </c>
      <c r="C606" s="6" t="s">
        <v>1200</v>
      </c>
      <c r="D606" s="6" t="str">
        <f>IF(OR(PROPER(TRIM(Raw_Data!D606))="Uk",PROPER(TRIM(Raw_Data!D606))="Gb",PROPER(TRIM(Raw_Data!D606))="United kingdom"),"United Kingdom",PROPER(TRIM(Raw_Data!D606)))</f>
        <v>United Kingdom</v>
      </c>
      <c r="E606" s="6" t="s">
        <v>28</v>
      </c>
      <c r="F606" s="6" t="s">
        <v>94</v>
      </c>
      <c r="G606" s="6" t="str">
        <f>SUBSTITUTE(Raw_Data!G606,"Ã©","é")</f>
        <v>Alpine Jacket</v>
      </c>
      <c r="H606" s="6">
        <v>2</v>
      </c>
      <c r="I606" s="6" t="s">
        <v>31</v>
      </c>
      <c r="J606" s="6" t="s">
        <v>249</v>
      </c>
      <c r="K606" s="6">
        <v>0.34</v>
      </c>
      <c r="L606" s="6" t="s">
        <v>33</v>
      </c>
      <c r="M606" s="6" t="s">
        <v>34</v>
      </c>
      <c r="N606" s="6"/>
    </row>
    <row r="607" spans="1:14">
      <c r="A607" s="6" t="s">
        <v>1337</v>
      </c>
      <c r="B607" s="7">
        <v>46078</v>
      </c>
      <c r="C607" s="6" t="s">
        <v>863</v>
      </c>
      <c r="D607" s="6" t="str">
        <f>IF(OR(PROPER(TRIM(Raw_Data!D607))="Uk",PROPER(TRIM(Raw_Data!D607))="Gb",PROPER(TRIM(Raw_Data!D607))="United kingdom"),"United Kingdom",PROPER(TRIM(Raw_Data!D607)))</f>
        <v>United Kingdom</v>
      </c>
      <c r="E607" s="6" t="s">
        <v>28</v>
      </c>
      <c r="F607" s="6" t="s">
        <v>38</v>
      </c>
      <c r="G607" s="6" t="str">
        <f>SUBSTITUTE(Raw_Data!G607,"Ã©","é")</f>
        <v>Fell Runner Cap</v>
      </c>
      <c r="H607" s="6">
        <v>2</v>
      </c>
      <c r="I607" s="6" t="s">
        <v>67</v>
      </c>
      <c r="J607" s="6" t="s">
        <v>204</v>
      </c>
      <c r="K607" s="6">
        <v>0.52</v>
      </c>
      <c r="L607" s="6" t="s">
        <v>42</v>
      </c>
      <c r="M607" s="6" t="s">
        <v>69</v>
      </c>
      <c r="N607" s="6"/>
    </row>
    <row r="608" spans="1:14">
      <c r="A608" s="6" t="s">
        <v>1338</v>
      </c>
      <c r="B608" s="7">
        <v>46100</v>
      </c>
      <c r="C608" s="6" t="s">
        <v>1144</v>
      </c>
      <c r="D608" s="6" t="str">
        <f>IF(OR(PROPER(TRIM(Raw_Data!D608))="Uk",PROPER(TRIM(Raw_Data!D608))="Gb",PROPER(TRIM(Raw_Data!D608))="United kingdom"),"United Kingdom",PROPER(TRIM(Raw_Data!D608)))</f>
        <v>Ireland</v>
      </c>
      <c r="E608" s="6" t="s">
        <v>78</v>
      </c>
      <c r="F608" s="6" t="s">
        <v>38</v>
      </c>
      <c r="G608" s="6" t="str">
        <f>SUBSTITUTE(Raw_Data!G608,"Ã©","é")</f>
        <v>Café Latte Mug</v>
      </c>
      <c r="H608" s="6">
        <v>2</v>
      </c>
      <c r="I608" s="6" t="s">
        <v>143</v>
      </c>
      <c r="J608" s="6" t="s">
        <v>144</v>
      </c>
      <c r="K608" s="6">
        <v>0.52</v>
      </c>
      <c r="L608" s="6" t="s">
        <v>42</v>
      </c>
      <c r="M608" s="6" t="s">
        <v>34</v>
      </c>
      <c r="N608" s="6"/>
    </row>
    <row r="609" spans="1:14">
      <c r="A609" s="6" t="s">
        <v>1339</v>
      </c>
      <c r="B609" s="7">
        <v>46199</v>
      </c>
      <c r="C609" s="6" t="s">
        <v>1340</v>
      </c>
      <c r="D609" s="6" t="str">
        <f>IF(OR(PROPER(TRIM(Raw_Data!D609))="Uk",PROPER(TRIM(Raw_Data!D609))="Gb",PROPER(TRIM(Raw_Data!D609))="United kingdom"),"United Kingdom",PROPER(TRIM(Raw_Data!D609)))</f>
        <v>United Kingdom</v>
      </c>
      <c r="E609" s="6" t="s">
        <v>52</v>
      </c>
      <c r="F609" s="6" t="s">
        <v>47</v>
      </c>
      <c r="G609" s="6" t="str">
        <f>SUBSTITUTE(Raw_Data!G609,"Ã©","é")</f>
        <v>Trail Softshell</v>
      </c>
      <c r="H609" s="6">
        <v>1</v>
      </c>
      <c r="I609" s="6" t="s">
        <v>79</v>
      </c>
      <c r="J609" s="6" t="s">
        <v>79</v>
      </c>
      <c r="K609" s="6">
        <v>8.5000000000000006E-2</v>
      </c>
      <c r="L609" s="6" t="s">
        <v>42</v>
      </c>
      <c r="M609" s="6" t="s">
        <v>69</v>
      </c>
      <c r="N609" s="6"/>
    </row>
    <row r="610" spans="1:14">
      <c r="A610" s="6" t="s">
        <v>1341</v>
      </c>
      <c r="B610" s="7">
        <v>46058</v>
      </c>
      <c r="C610" s="6" t="s">
        <v>1190</v>
      </c>
      <c r="D610" s="6" t="str">
        <f>IF(OR(PROPER(TRIM(Raw_Data!D610))="Uk",PROPER(TRIM(Raw_Data!D610))="Gb",PROPER(TRIM(Raw_Data!D610))="United kingdom"),"United Kingdom",PROPER(TRIM(Raw_Data!D610)))</f>
        <v>United Kingdom</v>
      </c>
      <c r="E610" s="6" t="s">
        <v>28</v>
      </c>
      <c r="F610" s="6" t="s">
        <v>58</v>
      </c>
      <c r="G610" s="6" t="str">
        <f>SUBSTITUTE(Raw_Data!G610,"Ã©","é")</f>
        <v>Trail Softshell</v>
      </c>
      <c r="H610" s="6">
        <v>3</v>
      </c>
      <c r="I610" s="6" t="s">
        <v>82</v>
      </c>
      <c r="J610" s="6" t="s">
        <v>390</v>
      </c>
      <c r="K610" s="6">
        <v>0.38</v>
      </c>
      <c r="L610" s="6" t="s">
        <v>42</v>
      </c>
      <c r="M610" s="6" t="s">
        <v>34</v>
      </c>
      <c r="N610" s="6"/>
    </row>
    <row r="611" spans="1:14">
      <c r="A611" s="6" t="s">
        <v>1342</v>
      </c>
      <c r="B611" s="7">
        <v>46037</v>
      </c>
      <c r="C611" s="6" t="s">
        <v>1343</v>
      </c>
      <c r="D611" s="6" t="str">
        <f>IF(OR(PROPER(TRIM(Raw_Data!D611))="Uk",PROPER(TRIM(Raw_Data!D611))="Gb",PROPER(TRIM(Raw_Data!D611))="United kingdom"),"United Kingdom",PROPER(TRIM(Raw_Data!D611)))</f>
        <v>United Kingdom</v>
      </c>
      <c r="E611" s="6" t="s">
        <v>52</v>
      </c>
      <c r="F611" s="6" t="s">
        <v>58</v>
      </c>
      <c r="G611" s="6" t="str">
        <f>SUBSTITUTE(Raw_Data!G611,"Ã©","é")</f>
        <v>Fell Runner Cap</v>
      </c>
      <c r="H611" s="6">
        <v>1</v>
      </c>
      <c r="I611" s="6" t="s">
        <v>113</v>
      </c>
      <c r="J611" s="6" t="s">
        <v>113</v>
      </c>
      <c r="K611" s="6">
        <v>0.38</v>
      </c>
      <c r="L611" s="6" t="s">
        <v>33</v>
      </c>
      <c r="M611" s="6" t="s">
        <v>34</v>
      </c>
      <c r="N611" s="6"/>
    </row>
    <row r="612" spans="1:14">
      <c r="A612" s="6" t="s">
        <v>1344</v>
      </c>
      <c r="B612" s="7">
        <v>46101</v>
      </c>
      <c r="C612" s="6" t="s">
        <v>585</v>
      </c>
      <c r="D612" s="6" t="str">
        <f>IF(OR(PROPER(TRIM(Raw_Data!D612))="Uk",PROPER(TRIM(Raw_Data!D612))="Gb",PROPER(TRIM(Raw_Data!D612))="United kingdom"),"United Kingdom",PROPER(TRIM(Raw_Data!D612)))</f>
        <v>United Kingdom</v>
      </c>
      <c r="E612" s="6" t="s">
        <v>46</v>
      </c>
      <c r="F612" s="6" t="s">
        <v>100</v>
      </c>
      <c r="G612" s="6" t="str">
        <f>SUBSTITUTE(Raw_Data!G612,"Ã©","é")</f>
        <v>Summit Down Gilet</v>
      </c>
      <c r="H612" s="6">
        <v>2</v>
      </c>
      <c r="I612" s="6" t="s">
        <v>181</v>
      </c>
      <c r="J612" s="6" t="s">
        <v>163</v>
      </c>
      <c r="K612" s="6">
        <v>0.64</v>
      </c>
      <c r="L612" s="6" t="s">
        <v>42</v>
      </c>
      <c r="M612" s="6" t="s">
        <v>34</v>
      </c>
      <c r="N612" s="6"/>
    </row>
    <row r="613" spans="1:14">
      <c r="A613" s="6" t="s">
        <v>1345</v>
      </c>
      <c r="B613" s="7">
        <v>46204</v>
      </c>
      <c r="C613" s="6" t="s">
        <v>1346</v>
      </c>
      <c r="D613" s="6" t="str">
        <f>IF(OR(PROPER(TRIM(Raw_Data!D613))="Uk",PROPER(TRIM(Raw_Data!D613))="Gb",PROPER(TRIM(Raw_Data!D613))="United kingdom"),"United Kingdom",PROPER(TRIM(Raw_Data!D613)))</f>
        <v>United Kingdom</v>
      </c>
      <c r="E613" s="6" t="s">
        <v>37</v>
      </c>
      <c r="F613" s="6" t="s">
        <v>85</v>
      </c>
      <c r="G613" s="6" t="str">
        <f>SUBSTITUTE(Raw_Data!G613,"Ã©","é")</f>
        <v>Summit Down Gilet</v>
      </c>
      <c r="H613" s="6">
        <v>1</v>
      </c>
      <c r="I613" s="6" t="s">
        <v>73</v>
      </c>
      <c r="J613" s="6" t="s">
        <v>1347</v>
      </c>
      <c r="K613" s="6">
        <v>0.41</v>
      </c>
      <c r="L613" s="6" t="s">
        <v>42</v>
      </c>
      <c r="M613" s="6" t="s">
        <v>34</v>
      </c>
      <c r="N613" s="6"/>
    </row>
    <row r="614" spans="1:14">
      <c r="A614" s="6" t="s">
        <v>1348</v>
      </c>
      <c r="B614" s="7">
        <v>46175</v>
      </c>
      <c r="C614" s="6" t="s">
        <v>1349</v>
      </c>
      <c r="D614" s="6" t="str">
        <f>IF(OR(PROPER(TRIM(Raw_Data!D614))="Uk",PROPER(TRIM(Raw_Data!D614))="Gb",PROPER(TRIM(Raw_Data!D614))="United kingdom"),"United Kingdom",PROPER(TRIM(Raw_Data!D614)))</f>
        <v>United Kingdom</v>
      </c>
      <c r="E614" s="6" t="s">
        <v>46</v>
      </c>
      <c r="F614" s="6" t="s">
        <v>47</v>
      </c>
      <c r="G614" s="6" t="str">
        <f>SUBSTITUTE(Raw_Data!G614,"Ã©","é")</f>
        <v>Alpine Jacket</v>
      </c>
      <c r="H614" s="6">
        <v>1</v>
      </c>
      <c r="I614" s="6" t="s">
        <v>143</v>
      </c>
      <c r="J614" s="6" t="s">
        <v>143</v>
      </c>
      <c r="K614" s="6">
        <v>8.5000000000000006E-2</v>
      </c>
      <c r="L614" s="6" t="s">
        <v>42</v>
      </c>
      <c r="M614" s="6" t="s">
        <v>34</v>
      </c>
      <c r="N614" s="6"/>
    </row>
    <row r="615" spans="1:14">
      <c r="A615" s="6" t="s">
        <v>1350</v>
      </c>
      <c r="B615" s="7">
        <v>46028</v>
      </c>
      <c r="C615" s="6" t="s">
        <v>1351</v>
      </c>
      <c r="D615" s="6" t="str">
        <f>IF(OR(PROPER(TRIM(Raw_Data!D615))="Uk",PROPER(TRIM(Raw_Data!D615))="Gb",PROPER(TRIM(Raw_Data!D615))="United kingdom"),"United Kingdom",PROPER(TRIM(Raw_Data!D615)))</f>
        <v>United Kingdom</v>
      </c>
      <c r="E615" s="6" t="s">
        <v>37</v>
      </c>
      <c r="F615" s="6" t="s">
        <v>58</v>
      </c>
      <c r="G615" s="6" t="str">
        <f>SUBSTITUTE(Raw_Data!G615,"Ã©","é")</f>
        <v>Storm Overtrousers</v>
      </c>
      <c r="H615" s="6">
        <v>3</v>
      </c>
      <c r="I615" s="6" t="s">
        <v>82</v>
      </c>
      <c r="J615" s="6" t="s">
        <v>390</v>
      </c>
      <c r="K615" s="6">
        <v>0.38</v>
      </c>
      <c r="L615" s="6" t="s">
        <v>42</v>
      </c>
      <c r="M615" s="6" t="s">
        <v>69</v>
      </c>
      <c r="N615" s="6"/>
    </row>
    <row r="616" spans="1:14">
      <c r="A616" s="6" t="s">
        <v>1352</v>
      </c>
      <c r="B616" s="7">
        <v>46138</v>
      </c>
      <c r="C616" s="6" t="s">
        <v>1353</v>
      </c>
      <c r="D616" s="6" t="str">
        <f>IF(OR(PROPER(TRIM(Raw_Data!D616))="Uk",PROPER(TRIM(Raw_Data!D616))="Gb",PROPER(TRIM(Raw_Data!D616))="United kingdom"),"United Kingdom",PROPER(TRIM(Raw_Data!D616)))</f>
        <v>France</v>
      </c>
      <c r="E616" s="6" t="s">
        <v>52</v>
      </c>
      <c r="F616" s="6" t="s">
        <v>85</v>
      </c>
      <c r="G616" s="6" t="str">
        <f>SUBSTITUTE(Raw_Data!G616,"Ã©","é")</f>
        <v>Fell Runner Cap</v>
      </c>
      <c r="H616" s="6">
        <v>3</v>
      </c>
      <c r="I616" s="6" t="s">
        <v>79</v>
      </c>
      <c r="J616" s="6" t="s">
        <v>216</v>
      </c>
      <c r="K616" s="6">
        <v>0.41</v>
      </c>
      <c r="L616" s="6" t="s">
        <v>42</v>
      </c>
      <c r="M616" s="6" t="s">
        <v>34</v>
      </c>
      <c r="N616" s="6"/>
    </row>
    <row r="617" spans="1:14">
      <c r="A617" s="6" t="s">
        <v>1354</v>
      </c>
      <c r="B617" s="7">
        <v>46086</v>
      </c>
      <c r="C617" s="6" t="s">
        <v>558</v>
      </c>
      <c r="D617" s="6" t="str">
        <f>IF(OR(PROPER(TRIM(Raw_Data!D617))="Uk",PROPER(TRIM(Raw_Data!D617))="Gb",PROPER(TRIM(Raw_Data!D617))="United kingdom"),"United Kingdom",PROPER(TRIM(Raw_Data!D617)))</f>
        <v>Germany</v>
      </c>
      <c r="E617" s="6" t="s">
        <v>46</v>
      </c>
      <c r="F617" s="6" t="s">
        <v>53</v>
      </c>
      <c r="G617" s="6" t="str">
        <f>SUBSTITUTE(Raw_Data!G617,"Ã©","é")</f>
        <v>Summit Down Gilet</v>
      </c>
      <c r="H617" s="6">
        <v>1</v>
      </c>
      <c r="I617" s="6" t="s">
        <v>1355</v>
      </c>
      <c r="J617" s="6" t="s">
        <v>147</v>
      </c>
      <c r="K617" s="6">
        <v>0.19</v>
      </c>
      <c r="L617" s="6" t="s">
        <v>42</v>
      </c>
      <c r="M617" s="6" t="s">
        <v>34</v>
      </c>
      <c r="N617" s="6"/>
    </row>
    <row r="618" spans="1:14">
      <c r="A618" s="6" t="s">
        <v>1356</v>
      </c>
      <c r="B618" s="7">
        <v>46043</v>
      </c>
      <c r="C618" s="6" t="s">
        <v>1357</v>
      </c>
      <c r="D618" s="6" t="str">
        <f>IF(OR(PROPER(TRIM(Raw_Data!D618))="Uk",PROPER(TRIM(Raw_Data!D618))="Gb",PROPER(TRIM(Raw_Data!D618))="United kingdom"),"United Kingdom",PROPER(TRIM(Raw_Data!D618)))</f>
        <v>United Kingdom</v>
      </c>
      <c r="E618" s="6" t="s">
        <v>37</v>
      </c>
      <c r="F618" s="6" t="s">
        <v>94</v>
      </c>
      <c r="G618" s="6" t="str">
        <f>SUBSTITUTE(Raw_Data!G618,"Ã©","é")</f>
        <v>Storm Overtrousers</v>
      </c>
      <c r="H618" s="6">
        <v>3</v>
      </c>
      <c r="I618" s="6" t="s">
        <v>113</v>
      </c>
      <c r="J618" s="6" t="s">
        <v>1358</v>
      </c>
      <c r="K618" s="6">
        <v>0.34</v>
      </c>
      <c r="L618" s="6" t="s">
        <v>42</v>
      </c>
      <c r="M618" s="6" t="s">
        <v>69</v>
      </c>
      <c r="N618" s="6"/>
    </row>
    <row r="619" spans="1:14">
      <c r="A619" s="6" t="s">
        <v>1359</v>
      </c>
      <c r="B619" s="7">
        <v>46047</v>
      </c>
      <c r="C619" s="6" t="s">
        <v>1360</v>
      </c>
      <c r="D619" s="6" t="str">
        <f>IF(OR(PROPER(TRIM(Raw_Data!D619))="Uk",PROPER(TRIM(Raw_Data!D619))="Gb",PROPER(TRIM(Raw_Data!D619))="United kingdom"),"United Kingdom",PROPER(TRIM(Raw_Data!D619)))</f>
        <v>United Kingdom</v>
      </c>
      <c r="E619" s="6" t="s">
        <v>78</v>
      </c>
      <c r="F619" s="6" t="s">
        <v>58</v>
      </c>
      <c r="G619" s="6" t="str">
        <f>SUBSTITUTE(Raw_Data!G619,"Ã©","é")</f>
        <v>Merino Base Layer</v>
      </c>
      <c r="H619" s="6">
        <v>2</v>
      </c>
      <c r="I619" s="6" t="s">
        <v>147</v>
      </c>
      <c r="J619" s="6" t="s">
        <v>175</v>
      </c>
      <c r="K619" s="6">
        <v>0.38</v>
      </c>
      <c r="L619" s="6" t="s">
        <v>42</v>
      </c>
      <c r="M619" s="6" t="s">
        <v>34</v>
      </c>
      <c r="N619" s="6"/>
    </row>
    <row r="620" spans="1:14">
      <c r="A620" s="6" t="s">
        <v>1361</v>
      </c>
      <c r="B620" s="7">
        <v>46038</v>
      </c>
      <c r="C620" s="6" t="s">
        <v>1362</v>
      </c>
      <c r="D620" s="6" t="str">
        <f>IF(OR(PROPER(TRIM(Raw_Data!D620))="Uk",PROPER(TRIM(Raw_Data!D620))="Gb",PROPER(TRIM(Raw_Data!D620))="United kingdom"),"United Kingdom",PROPER(TRIM(Raw_Data!D620)))</f>
        <v>United Kingdom</v>
      </c>
      <c r="E620" s="6" t="s">
        <v>28</v>
      </c>
      <c r="F620" s="6" t="s">
        <v>58</v>
      </c>
      <c r="G620" s="6" t="str">
        <f>SUBSTITUTE(Raw_Data!G620,"Ã©","é")</f>
        <v>Café Latte Mug</v>
      </c>
      <c r="H620" s="6">
        <v>3</v>
      </c>
      <c r="I620" s="6" t="s">
        <v>147</v>
      </c>
      <c r="J620" s="6" t="s">
        <v>1363</v>
      </c>
      <c r="K620" s="6">
        <v>0.38</v>
      </c>
      <c r="L620" s="6" t="s">
        <v>42</v>
      </c>
      <c r="M620" s="6" t="s">
        <v>69</v>
      </c>
      <c r="N620" s="6"/>
    </row>
    <row r="621" spans="1:14">
      <c r="A621" s="6" t="s">
        <v>1364</v>
      </c>
      <c r="B621" s="7">
        <v>46079</v>
      </c>
      <c r="C621" s="6" t="s">
        <v>1365</v>
      </c>
      <c r="D621" s="6" t="str">
        <f>IF(OR(PROPER(TRIM(Raw_Data!D621))="Uk",PROPER(TRIM(Raw_Data!D621))="Gb",PROPER(TRIM(Raw_Data!D621))="United kingdom"),"United Kingdom",PROPER(TRIM(Raw_Data!D621)))</f>
        <v>France</v>
      </c>
      <c r="E621" s="6" t="s">
        <v>78</v>
      </c>
      <c r="F621" s="6" t="s">
        <v>100</v>
      </c>
      <c r="G621" s="6" t="str">
        <f>SUBSTITUTE(Raw_Data!G621,"Ã©","é")</f>
        <v>Summit Down Gilet</v>
      </c>
      <c r="H621" s="6">
        <v>1</v>
      </c>
      <c r="I621" s="6" t="s">
        <v>147</v>
      </c>
      <c r="J621" s="6" t="s">
        <v>147</v>
      </c>
      <c r="K621" s="6">
        <v>0.64</v>
      </c>
      <c r="L621" s="6" t="s">
        <v>33</v>
      </c>
      <c r="M621" s="6" t="s">
        <v>69</v>
      </c>
      <c r="N621" s="6"/>
    </row>
    <row r="622" spans="1:14">
      <c r="A622" s="6" t="s">
        <v>1366</v>
      </c>
      <c r="B622" s="7">
        <v>46149</v>
      </c>
      <c r="C622" s="6" t="s">
        <v>1367</v>
      </c>
      <c r="D622" s="6" t="str">
        <f>IF(OR(PROPER(TRIM(Raw_Data!D622))="Uk",PROPER(TRIM(Raw_Data!D622))="Gb",PROPER(TRIM(Raw_Data!D622))="United kingdom"),"United Kingdom",PROPER(TRIM(Raw_Data!D622)))</f>
        <v>France</v>
      </c>
      <c r="E622" s="6" t="s">
        <v>78</v>
      </c>
      <c r="F622" s="6" t="s">
        <v>100</v>
      </c>
      <c r="G622" s="6" t="str">
        <f>SUBSTITUTE(Raw_Data!G622,"Ã©","é")</f>
        <v>Summit Down Gilet</v>
      </c>
      <c r="H622" s="6">
        <v>3</v>
      </c>
      <c r="I622" s="6" t="s">
        <v>265</v>
      </c>
      <c r="J622" s="6" t="s">
        <v>401</v>
      </c>
      <c r="K622" s="6">
        <v>0.64</v>
      </c>
      <c r="L622" s="6" t="s">
        <v>42</v>
      </c>
      <c r="M622" s="6" t="s">
        <v>34</v>
      </c>
      <c r="N622" s="6"/>
    </row>
    <row r="623" spans="1:14">
      <c r="A623" s="6" t="s">
        <v>1368</v>
      </c>
      <c r="B623" s="7">
        <v>46103</v>
      </c>
      <c r="C623" s="6" t="s">
        <v>1369</v>
      </c>
      <c r="D623" s="6" t="str">
        <f>IF(OR(PROPER(TRIM(Raw_Data!D623))="Uk",PROPER(TRIM(Raw_Data!D623))="Gb",PROPER(TRIM(Raw_Data!D623))="United kingdom"),"United Kingdom",PROPER(TRIM(Raw_Data!D623)))</f>
        <v>United Kingdom</v>
      </c>
      <c r="E623" s="6" t="s">
        <v>28</v>
      </c>
      <c r="F623" s="6" t="s">
        <v>53</v>
      </c>
      <c r="G623" s="6" t="str">
        <f>SUBSTITUTE(Raw_Data!G623,"Ã©","é")</f>
        <v>Alpine Jacket</v>
      </c>
      <c r="H623" s="6">
        <v>1</v>
      </c>
      <c r="I623" s="6" t="s">
        <v>113</v>
      </c>
      <c r="J623" s="6" t="s">
        <v>113</v>
      </c>
      <c r="K623" s="6">
        <v>0.19</v>
      </c>
      <c r="L623" s="6" t="s">
        <v>42</v>
      </c>
      <c r="M623" s="6" t="s">
        <v>69</v>
      </c>
      <c r="N623" s="6"/>
    </row>
    <row r="624" spans="1:14">
      <c r="A624" s="6" t="s">
        <v>1370</v>
      </c>
      <c r="B624" s="7">
        <v>46047</v>
      </c>
      <c r="C624" s="6" t="s">
        <v>1371</v>
      </c>
      <c r="D624" s="6" t="str">
        <f>IF(OR(PROPER(TRIM(Raw_Data!D624))="Uk",PROPER(TRIM(Raw_Data!D624))="Gb",PROPER(TRIM(Raw_Data!D624))="United kingdom"),"United Kingdom",PROPER(TRIM(Raw_Data!D624)))</f>
        <v>United Kingdom</v>
      </c>
      <c r="E624" s="6" t="s">
        <v>52</v>
      </c>
      <c r="F624" s="6" t="s">
        <v>85</v>
      </c>
      <c r="G624" s="6" t="str">
        <f>SUBSTITUTE(Raw_Data!G624,"Ã©","é")</f>
        <v>Alpine Jacket</v>
      </c>
      <c r="H624" s="6">
        <v>2</v>
      </c>
      <c r="I624" s="6" t="s">
        <v>67</v>
      </c>
      <c r="J624" s="6" t="s">
        <v>708</v>
      </c>
      <c r="K624" s="6">
        <v>0.41</v>
      </c>
      <c r="L624" s="6" t="s">
        <v>42</v>
      </c>
      <c r="M624" s="6" t="s">
        <v>34</v>
      </c>
      <c r="N624" s="6"/>
    </row>
    <row r="625" spans="1:14">
      <c r="A625" s="6" t="s">
        <v>1372</v>
      </c>
      <c r="B625" s="7">
        <v>46239</v>
      </c>
      <c r="C625" s="6" t="s">
        <v>1373</v>
      </c>
      <c r="D625" s="6" t="str">
        <f>IF(OR(PROPER(TRIM(Raw_Data!D625))="Uk",PROPER(TRIM(Raw_Data!D625))="Gb",PROPER(TRIM(Raw_Data!D625))="United kingdom"),"United Kingdom",PROPER(TRIM(Raw_Data!D625)))</f>
        <v>United Kingdom</v>
      </c>
      <c r="E625" s="6" t="s">
        <v>78</v>
      </c>
      <c r="F625" s="6" t="s">
        <v>100</v>
      </c>
      <c r="G625" s="6" t="str">
        <f>SUBSTITUTE(Raw_Data!G625,"Ã©","é")</f>
        <v>Merino Base Layer</v>
      </c>
      <c r="H625" s="6">
        <v>1</v>
      </c>
      <c r="I625" s="6" t="s">
        <v>96</v>
      </c>
      <c r="J625" s="6" t="s">
        <v>96</v>
      </c>
      <c r="K625" s="6">
        <v>0.64</v>
      </c>
      <c r="L625" s="6" t="s">
        <v>33</v>
      </c>
      <c r="M625" s="6" t="s">
        <v>34</v>
      </c>
      <c r="N625" s="6"/>
    </row>
    <row r="626" spans="1:14">
      <c r="A626" s="6" t="s">
        <v>1374</v>
      </c>
      <c r="B626" s="7">
        <v>46328</v>
      </c>
      <c r="C626" s="6" t="s">
        <v>1375</v>
      </c>
      <c r="D626" s="6" t="str">
        <f>IF(OR(PROPER(TRIM(Raw_Data!D626))="Uk",PROPER(TRIM(Raw_Data!D626))="Gb",PROPER(TRIM(Raw_Data!D626))="United kingdom"),"United Kingdom",PROPER(TRIM(Raw_Data!D626)))</f>
        <v>United Kingdom</v>
      </c>
      <c r="E626" s="6" t="s">
        <v>52</v>
      </c>
      <c r="F626" s="6" t="s">
        <v>94</v>
      </c>
      <c r="G626" s="6" t="str">
        <f>SUBSTITUTE(Raw_Data!G626,"Ã©","é")</f>
        <v>Storm Overtrousers</v>
      </c>
      <c r="H626" s="6">
        <v>2</v>
      </c>
      <c r="I626" s="6" t="s">
        <v>231</v>
      </c>
      <c r="J626" s="6" t="s">
        <v>232</v>
      </c>
      <c r="K626" s="6">
        <v>0.34</v>
      </c>
      <c r="L626" s="6" t="s">
        <v>42</v>
      </c>
      <c r="M626" s="6" t="s">
        <v>34</v>
      </c>
      <c r="N626" s="6"/>
    </row>
    <row r="627" spans="1:14">
      <c r="A627" s="6" t="s">
        <v>1376</v>
      </c>
      <c r="B627" s="7">
        <v>46087</v>
      </c>
      <c r="C627" s="6" t="s">
        <v>930</v>
      </c>
      <c r="D627" s="6" t="str">
        <f>IF(OR(PROPER(TRIM(Raw_Data!D627))="Uk",PROPER(TRIM(Raw_Data!D627))="Gb",PROPER(TRIM(Raw_Data!D627))="United kingdom"),"United Kingdom",PROPER(TRIM(Raw_Data!D627)))</f>
        <v>France</v>
      </c>
      <c r="E627" s="6" t="s">
        <v>78</v>
      </c>
      <c r="F627" s="6" t="s">
        <v>100</v>
      </c>
      <c r="G627" s="6" t="str">
        <f>SUBSTITUTE(Raw_Data!G627,"Ã©","é")</f>
        <v>Alpine Jacket</v>
      </c>
      <c r="H627" s="6">
        <v>2</v>
      </c>
      <c r="I627" s="6" t="s">
        <v>67</v>
      </c>
      <c r="J627" s="6" t="s">
        <v>204</v>
      </c>
      <c r="K627" s="6">
        <v>0.64</v>
      </c>
      <c r="L627" s="6" t="s">
        <v>42</v>
      </c>
      <c r="M627" s="6" t="s">
        <v>69</v>
      </c>
      <c r="N627" s="6"/>
    </row>
    <row r="628" spans="1:14">
      <c r="A628" s="6" t="s">
        <v>1377</v>
      </c>
      <c r="B628" s="7">
        <v>46236</v>
      </c>
      <c r="C628" s="6" t="s">
        <v>1378</v>
      </c>
      <c r="D628" s="6" t="str">
        <f>IF(OR(PROPER(TRIM(Raw_Data!D628))="Uk",PROPER(TRIM(Raw_Data!D628))="Gb",PROPER(TRIM(Raw_Data!D628))="United kingdom"),"United Kingdom",PROPER(TRIM(Raw_Data!D628)))</f>
        <v>United Kingdom</v>
      </c>
      <c r="E628" s="6" t="s">
        <v>52</v>
      </c>
      <c r="F628" s="6" t="s">
        <v>29</v>
      </c>
      <c r="G628" s="6" t="str">
        <f>SUBSTITUTE(Raw_Data!G628,"Ã©","é")</f>
        <v>Café Latte Mug</v>
      </c>
      <c r="H628" s="6">
        <v>1</v>
      </c>
      <c r="I628" s="6" t="s">
        <v>147</v>
      </c>
      <c r="J628" s="6" t="s">
        <v>147</v>
      </c>
      <c r="K628" s="6">
        <v>0.52</v>
      </c>
      <c r="L628" s="6" t="s">
        <v>42</v>
      </c>
      <c r="M628" s="6" t="s">
        <v>69</v>
      </c>
      <c r="N628" s="6"/>
    </row>
    <row r="629" spans="1:14">
      <c r="A629" s="6" t="s">
        <v>1379</v>
      </c>
      <c r="B629" s="7">
        <v>46136</v>
      </c>
      <c r="C629" s="6" t="s">
        <v>1380</v>
      </c>
      <c r="D629" s="6" t="str">
        <f>IF(OR(PROPER(TRIM(Raw_Data!D629))="Uk",PROPER(TRIM(Raw_Data!D629))="Gb",PROPER(TRIM(Raw_Data!D629))="United kingdom"),"United Kingdom",PROPER(TRIM(Raw_Data!D629)))</f>
        <v>Germany</v>
      </c>
      <c r="E629" s="6" t="s">
        <v>46</v>
      </c>
      <c r="F629" s="6" t="s">
        <v>100</v>
      </c>
      <c r="G629" s="6" t="str">
        <f>SUBSTITUTE(Raw_Data!G629,"Ã©","é")</f>
        <v>Alpine Jacket</v>
      </c>
      <c r="H629" s="6">
        <v>2</v>
      </c>
      <c r="I629" s="6" t="s">
        <v>203</v>
      </c>
      <c r="J629" s="6" t="s">
        <v>204</v>
      </c>
      <c r="K629" s="6">
        <v>0.64</v>
      </c>
      <c r="L629" s="6" t="s">
        <v>33</v>
      </c>
      <c r="M629" s="6" t="s">
        <v>69</v>
      </c>
      <c r="N629" s="6"/>
    </row>
    <row r="630" spans="1:14">
      <c r="A630" s="6" t="s">
        <v>1381</v>
      </c>
      <c r="B630" s="7">
        <v>46126</v>
      </c>
      <c r="C630" s="6" t="s">
        <v>752</v>
      </c>
      <c r="D630" s="6" t="str">
        <f>IF(OR(PROPER(TRIM(Raw_Data!D630))="Uk",PROPER(TRIM(Raw_Data!D630))="Gb",PROPER(TRIM(Raw_Data!D630))="United kingdom"),"United Kingdom",PROPER(TRIM(Raw_Data!D630)))</f>
        <v>Germany</v>
      </c>
      <c r="E630" s="6" t="s">
        <v>78</v>
      </c>
      <c r="F630" s="6" t="s">
        <v>47</v>
      </c>
      <c r="G630" s="6" t="str">
        <f>SUBSTITUTE(Raw_Data!G630,"Ã©","é")</f>
        <v>Trekking Poles</v>
      </c>
      <c r="H630" s="6">
        <v>1</v>
      </c>
      <c r="I630" s="6" t="s">
        <v>60</v>
      </c>
      <c r="J630" s="6" t="s">
        <v>60</v>
      </c>
      <c r="K630" s="6">
        <v>8.5000000000000006E-2</v>
      </c>
      <c r="L630" s="6" t="s">
        <v>42</v>
      </c>
      <c r="M630" s="6" t="s">
        <v>69</v>
      </c>
      <c r="N630" s="6"/>
    </row>
    <row r="631" spans="1:14">
      <c r="A631" s="6" t="s">
        <v>1382</v>
      </c>
      <c r="B631" s="7">
        <v>46097</v>
      </c>
      <c r="C631" s="6" t="s">
        <v>1383</v>
      </c>
      <c r="D631" s="6" t="str">
        <f>IF(OR(PROPER(TRIM(Raw_Data!D631))="Uk",PROPER(TRIM(Raw_Data!D631))="Gb",PROPER(TRIM(Raw_Data!D631))="United kingdom"),"United Kingdom",PROPER(TRIM(Raw_Data!D631)))</f>
        <v>Ireland</v>
      </c>
      <c r="E631" s="6" t="s">
        <v>46</v>
      </c>
      <c r="F631" s="6" t="s">
        <v>47</v>
      </c>
      <c r="G631" s="6" t="str">
        <f>SUBSTITUTE(Raw_Data!G631,"Ã©","é")</f>
        <v>Alpine Jacket</v>
      </c>
      <c r="H631" s="6">
        <v>2</v>
      </c>
      <c r="I631" s="6" t="s">
        <v>31</v>
      </c>
      <c r="J631" s="6" t="s">
        <v>249</v>
      </c>
      <c r="K631" s="6">
        <v>8.5000000000000006E-2</v>
      </c>
      <c r="L631" s="6" t="s">
        <v>42</v>
      </c>
      <c r="M631" s="6" t="s">
        <v>34</v>
      </c>
      <c r="N631" s="6"/>
    </row>
    <row r="632" spans="1:14">
      <c r="A632" s="6" t="s">
        <v>1384</v>
      </c>
      <c r="B632" s="7">
        <v>46195</v>
      </c>
      <c r="C632" s="6" t="s">
        <v>1386</v>
      </c>
      <c r="D632" s="6" t="str">
        <f>IF(OR(PROPER(TRIM(Raw_Data!D632))="Uk",PROPER(TRIM(Raw_Data!D632))="Gb",PROPER(TRIM(Raw_Data!D632))="United kingdom"),"United Kingdom",PROPER(TRIM(Raw_Data!D632)))</f>
        <v>United Kingdom</v>
      </c>
      <c r="E632" s="6" t="s">
        <v>52</v>
      </c>
      <c r="F632" s="6" t="s">
        <v>53</v>
      </c>
      <c r="G632" s="6" t="str">
        <f>SUBSTITUTE(Raw_Data!G632,"Ã©","é")</f>
        <v>Fell Runner Cap</v>
      </c>
      <c r="H632" s="6">
        <v>3</v>
      </c>
      <c r="I632" s="6" t="s">
        <v>79</v>
      </c>
      <c r="J632" s="6" t="s">
        <v>216</v>
      </c>
      <c r="K632" s="6">
        <v>0.19</v>
      </c>
      <c r="L632" s="6" t="s">
        <v>42</v>
      </c>
      <c r="M632" s="6" t="s">
        <v>69</v>
      </c>
      <c r="N632" s="6"/>
    </row>
    <row r="633" spans="1:14">
      <c r="A633" s="6" t="s">
        <v>1387</v>
      </c>
      <c r="B633" s="7">
        <v>46088</v>
      </c>
      <c r="C633" s="6" t="s">
        <v>1388</v>
      </c>
      <c r="D633" s="6" t="str">
        <f>IF(OR(PROPER(TRIM(Raw_Data!D633))="Uk",PROPER(TRIM(Raw_Data!D633))="Gb",PROPER(TRIM(Raw_Data!D633))="United kingdom"),"United Kingdom",PROPER(TRIM(Raw_Data!D633)))</f>
        <v>United Kingdom</v>
      </c>
      <c r="E633" s="6" t="s">
        <v>37</v>
      </c>
      <c r="F633" s="6" t="s">
        <v>53</v>
      </c>
      <c r="G633" s="6" t="str">
        <f>SUBSTITUTE(Raw_Data!G633,"Ã©","é")</f>
        <v>Fell Runner Cap</v>
      </c>
      <c r="H633" s="6">
        <v>3</v>
      </c>
      <c r="I633" s="6" t="s">
        <v>265</v>
      </c>
      <c r="J633" s="6" t="s">
        <v>401</v>
      </c>
      <c r="K633" s="6">
        <v>0.19</v>
      </c>
      <c r="L633" s="6" t="s">
        <v>33</v>
      </c>
      <c r="M633" s="6" t="s">
        <v>34</v>
      </c>
      <c r="N633" s="6"/>
    </row>
    <row r="634" spans="1:14">
      <c r="A634" s="6" t="s">
        <v>1389</v>
      </c>
      <c r="B634" s="7">
        <v>46031</v>
      </c>
      <c r="C634" s="6" t="s">
        <v>1390</v>
      </c>
      <c r="D634" s="6" t="str">
        <f>IF(OR(PROPER(TRIM(Raw_Data!D634))="Uk",PROPER(TRIM(Raw_Data!D634))="Gb",PROPER(TRIM(Raw_Data!D634))="United kingdom"),"United Kingdom",PROPER(TRIM(Raw_Data!D634)))</f>
        <v>Ireland</v>
      </c>
      <c r="E634" s="6" t="s">
        <v>37</v>
      </c>
      <c r="F634" s="6" t="s">
        <v>100</v>
      </c>
      <c r="G634" s="6" t="str">
        <f>SUBSTITUTE(Raw_Data!G634,"Ã©","é")</f>
        <v>Merino Base Layer</v>
      </c>
      <c r="H634" s="6">
        <v>2</v>
      </c>
      <c r="I634" s="6" t="s">
        <v>117</v>
      </c>
      <c r="J634" s="6" t="s">
        <v>1391</v>
      </c>
      <c r="K634" s="6">
        <v>0.64</v>
      </c>
      <c r="L634" s="6" t="s">
        <v>33</v>
      </c>
      <c r="M634" s="6" t="s">
        <v>34</v>
      </c>
      <c r="N634" s="6"/>
    </row>
    <row r="635" spans="1:14">
      <c r="A635" s="6" t="s">
        <v>1392</v>
      </c>
      <c r="B635" s="7">
        <v>46085</v>
      </c>
      <c r="C635" s="6" t="s">
        <v>1393</v>
      </c>
      <c r="D635" s="6" t="str">
        <f>IF(OR(PROPER(TRIM(Raw_Data!D635))="Uk",PROPER(TRIM(Raw_Data!D635))="Gb",PROPER(TRIM(Raw_Data!D635))="United kingdom"),"United Kingdom",PROPER(TRIM(Raw_Data!D635)))</f>
        <v>Ireland</v>
      </c>
      <c r="E635" s="6" t="s">
        <v>52</v>
      </c>
      <c r="F635" s="6" t="s">
        <v>85</v>
      </c>
      <c r="G635" s="6" t="str">
        <f>SUBSTITUTE(Raw_Data!G635,"Ã©","é")</f>
        <v>Merino Base Layer</v>
      </c>
      <c r="H635" s="6">
        <v>1</v>
      </c>
      <c r="I635" s="6" t="s">
        <v>79</v>
      </c>
      <c r="J635" s="6" t="s">
        <v>79</v>
      </c>
      <c r="K635" s="6">
        <v>0.41</v>
      </c>
      <c r="L635" s="6" t="s">
        <v>42</v>
      </c>
      <c r="M635" s="6" t="s">
        <v>69</v>
      </c>
      <c r="N635" s="6"/>
    </row>
    <row r="636" spans="1:14">
      <c r="A636" s="6" t="s">
        <v>1394</v>
      </c>
      <c r="B636" s="7">
        <v>46191</v>
      </c>
      <c r="C636" s="6" t="s">
        <v>805</v>
      </c>
      <c r="D636" s="6" t="str">
        <f>IF(OR(PROPER(TRIM(Raw_Data!D636))="Uk",PROPER(TRIM(Raw_Data!D636))="Gb",PROPER(TRIM(Raw_Data!D636))="United kingdom"),"United Kingdom",PROPER(TRIM(Raw_Data!D636)))</f>
        <v>United Kingdom</v>
      </c>
      <c r="E636" s="6" t="s">
        <v>37</v>
      </c>
      <c r="F636" s="6" t="s">
        <v>58</v>
      </c>
      <c r="G636" s="6" t="str">
        <f>SUBSTITUTE(Raw_Data!G636,"Ã©","é")</f>
        <v>Alpine Jacket</v>
      </c>
      <c r="H636" s="6">
        <v>1</v>
      </c>
      <c r="I636" s="6" t="s">
        <v>117</v>
      </c>
      <c r="J636" s="6" t="s">
        <v>117</v>
      </c>
      <c r="K636" s="6">
        <v>0.38</v>
      </c>
      <c r="L636" s="6" t="s">
        <v>42</v>
      </c>
      <c r="M636" s="6" t="s">
        <v>34</v>
      </c>
      <c r="N636" s="6"/>
    </row>
    <row r="637" spans="1:14">
      <c r="A637" s="6" t="s">
        <v>1395</v>
      </c>
      <c r="B637" s="7">
        <v>46026</v>
      </c>
      <c r="C637" s="6" t="s">
        <v>1396</v>
      </c>
      <c r="D637" s="6" t="str">
        <f>IF(OR(PROPER(TRIM(Raw_Data!D637))="Uk",PROPER(TRIM(Raw_Data!D637))="Gb",PROPER(TRIM(Raw_Data!D637))="United kingdom"),"United Kingdom",PROPER(TRIM(Raw_Data!D637)))</f>
        <v>United Kingdom</v>
      </c>
      <c r="E637" s="6" t="s">
        <v>28</v>
      </c>
      <c r="F637" s="6" t="s">
        <v>53</v>
      </c>
      <c r="G637" s="6" t="str">
        <f>SUBSTITUTE(Raw_Data!G637,"Ã©","é")</f>
        <v>Storm Overtrousers</v>
      </c>
      <c r="H637" s="6">
        <v>1</v>
      </c>
      <c r="I637" s="6" t="s">
        <v>117</v>
      </c>
      <c r="J637" s="6" t="s">
        <v>117</v>
      </c>
      <c r="K637" s="6">
        <v>0.19</v>
      </c>
      <c r="L637" s="6" t="s">
        <v>42</v>
      </c>
      <c r="M637" s="6" t="s">
        <v>34</v>
      </c>
      <c r="N637" s="6"/>
    </row>
    <row r="638" spans="1:14">
      <c r="A638" s="6" t="s">
        <v>1397</v>
      </c>
      <c r="B638" s="7">
        <v>46129</v>
      </c>
      <c r="C638" s="6" t="s">
        <v>1398</v>
      </c>
      <c r="D638" s="6" t="str">
        <f>IF(OR(PROPER(TRIM(Raw_Data!D638))="Uk",PROPER(TRIM(Raw_Data!D638))="Gb",PROPER(TRIM(Raw_Data!D638))="United kingdom"),"United Kingdom",PROPER(TRIM(Raw_Data!D638)))</f>
        <v>United Kingdom</v>
      </c>
      <c r="E638" s="6" t="s">
        <v>78</v>
      </c>
      <c r="F638" s="6" t="s">
        <v>58</v>
      </c>
      <c r="G638" s="6" t="str">
        <f>SUBSTITUTE(Raw_Data!G638,"Ã©","é")</f>
        <v>Summit Down Gilet</v>
      </c>
      <c r="H638" s="6">
        <v>2</v>
      </c>
      <c r="I638" s="6" t="s">
        <v>265</v>
      </c>
      <c r="J638" s="6" t="s">
        <v>167</v>
      </c>
      <c r="K638" s="6">
        <v>0.38</v>
      </c>
      <c r="L638" s="6" t="s">
        <v>33</v>
      </c>
      <c r="M638" s="6" t="s">
        <v>69</v>
      </c>
      <c r="N638" s="6"/>
    </row>
    <row r="639" spans="1:14">
      <c r="A639" s="6" t="s">
        <v>1399</v>
      </c>
      <c r="B639" s="7">
        <v>46178</v>
      </c>
      <c r="C639" s="6" t="s">
        <v>622</v>
      </c>
      <c r="D639" s="6" t="str">
        <f>IF(OR(PROPER(TRIM(Raw_Data!D639))="Uk",PROPER(TRIM(Raw_Data!D639))="Gb",PROPER(TRIM(Raw_Data!D639))="United kingdom"),"United Kingdom",PROPER(TRIM(Raw_Data!D639)))</f>
        <v>United Kingdom</v>
      </c>
      <c r="E639" s="6" t="s">
        <v>37</v>
      </c>
      <c r="F639" s="6" t="s">
        <v>53</v>
      </c>
      <c r="G639" s="6" t="str">
        <f>SUBSTITUTE(Raw_Data!G639,"Ã©","é")</f>
        <v>Merino Base Layer</v>
      </c>
      <c r="H639" s="6">
        <v>2</v>
      </c>
      <c r="I639" s="6" t="s">
        <v>90</v>
      </c>
      <c r="J639" s="6" t="s">
        <v>154</v>
      </c>
      <c r="K639" s="6">
        <v>0.19</v>
      </c>
      <c r="L639" s="6" t="s">
        <v>42</v>
      </c>
      <c r="M639" s="6" t="s">
        <v>34</v>
      </c>
      <c r="N639" s="6"/>
    </row>
    <row r="640" spans="1:14">
      <c r="A640" s="6" t="s">
        <v>1400</v>
      </c>
      <c r="B640" s="7">
        <v>46095</v>
      </c>
      <c r="C640" s="6" t="s">
        <v>1401</v>
      </c>
      <c r="D640" s="6" t="str">
        <f>IF(OR(PROPER(TRIM(Raw_Data!D640))="Uk",PROPER(TRIM(Raw_Data!D640))="Gb",PROPER(TRIM(Raw_Data!D640))="United kingdom"),"United Kingdom",PROPER(TRIM(Raw_Data!D640)))</f>
        <v>United Kingdom</v>
      </c>
      <c r="E640" s="6" t="s">
        <v>46</v>
      </c>
      <c r="F640" s="6" t="s">
        <v>94</v>
      </c>
      <c r="G640" s="6" t="str">
        <f>SUBSTITUTE(Raw_Data!G640,"Ã©","é")</f>
        <v>Summit Down Gilet</v>
      </c>
      <c r="H640" s="6">
        <v>2</v>
      </c>
      <c r="I640" s="6" t="s">
        <v>143</v>
      </c>
      <c r="J640" s="6" t="s">
        <v>144</v>
      </c>
      <c r="K640" s="6">
        <v>0.34</v>
      </c>
      <c r="L640" s="6" t="s">
        <v>42</v>
      </c>
      <c r="M640" s="6" t="s">
        <v>34</v>
      </c>
      <c r="N640" s="6"/>
    </row>
    <row r="641" spans="1:14">
      <c r="A641" s="6" t="s">
        <v>1402</v>
      </c>
      <c r="B641" s="7">
        <v>46055</v>
      </c>
      <c r="C641" s="6" t="s">
        <v>1403</v>
      </c>
      <c r="D641" s="6" t="str">
        <f>IF(OR(PROPER(TRIM(Raw_Data!D641))="Uk",PROPER(TRIM(Raw_Data!D641))="Gb",PROPER(TRIM(Raw_Data!D641))="United kingdom"),"United Kingdom",PROPER(TRIM(Raw_Data!D641)))</f>
        <v>United Kingdom</v>
      </c>
      <c r="E641" s="6" t="s">
        <v>52</v>
      </c>
      <c r="F641" s="6" t="s">
        <v>58</v>
      </c>
      <c r="G641" s="6" t="str">
        <f>SUBSTITUTE(Raw_Data!G641,"Ã©","é")</f>
        <v>Merino Base Layer</v>
      </c>
      <c r="H641" s="6">
        <v>1</v>
      </c>
      <c r="I641" s="6" t="s">
        <v>82</v>
      </c>
      <c r="J641" s="6" t="s">
        <v>82</v>
      </c>
      <c r="K641" s="6">
        <v>0.38</v>
      </c>
      <c r="L641" s="6" t="s">
        <v>42</v>
      </c>
      <c r="M641" s="6" t="s">
        <v>34</v>
      </c>
      <c r="N641" s="6"/>
    </row>
    <row r="642" spans="1:14">
      <c r="A642" s="6" t="s">
        <v>1404</v>
      </c>
      <c r="B642" s="7">
        <v>46266</v>
      </c>
      <c r="C642" s="6" t="s">
        <v>1405</v>
      </c>
      <c r="D642" s="6" t="str">
        <f>IF(OR(PROPER(TRIM(Raw_Data!D642))="Uk",PROPER(TRIM(Raw_Data!D642))="Gb",PROPER(TRIM(Raw_Data!D642))="United kingdom"),"United Kingdom",PROPER(TRIM(Raw_Data!D642)))</f>
        <v>United Kingdom</v>
      </c>
      <c r="E642" s="6" t="s">
        <v>37</v>
      </c>
      <c r="F642" s="6" t="s">
        <v>85</v>
      </c>
      <c r="G642" s="6" t="str">
        <f>SUBSTITUTE(Raw_Data!G642,"Ã©","é")</f>
        <v>Café Latte Mug</v>
      </c>
      <c r="H642" s="6">
        <v>2</v>
      </c>
      <c r="I642" s="6" t="s">
        <v>511</v>
      </c>
      <c r="J642" s="6" t="s">
        <v>232</v>
      </c>
      <c r="K642" s="6">
        <v>0.41</v>
      </c>
      <c r="L642" s="6" t="s">
        <v>42</v>
      </c>
      <c r="M642" s="6" t="s">
        <v>34</v>
      </c>
      <c r="N642" s="6"/>
    </row>
    <row r="643" spans="1:14">
      <c r="A643" s="6" t="s">
        <v>1406</v>
      </c>
      <c r="B643" s="7">
        <v>46085</v>
      </c>
      <c r="C643" s="6" t="s">
        <v>158</v>
      </c>
      <c r="D643" s="6" t="str">
        <f>IF(OR(PROPER(TRIM(Raw_Data!D643))="Uk",PROPER(TRIM(Raw_Data!D643))="Gb",PROPER(TRIM(Raw_Data!D643))="United kingdom"),"United Kingdom",PROPER(TRIM(Raw_Data!D643)))</f>
        <v>United Kingdom</v>
      </c>
      <c r="E643" s="6" t="s">
        <v>28</v>
      </c>
      <c r="F643" s="6" t="s">
        <v>94</v>
      </c>
      <c r="G643" s="6" t="str">
        <f>SUBSTITUTE(Raw_Data!G643,"Ã©","é")</f>
        <v>Summit Down Gilet</v>
      </c>
      <c r="H643" s="6">
        <v>2</v>
      </c>
      <c r="I643" s="6" t="s">
        <v>113</v>
      </c>
      <c r="J643" s="6" t="s">
        <v>192</v>
      </c>
      <c r="K643" s="6">
        <v>0.34</v>
      </c>
      <c r="L643" s="6" t="s">
        <v>33</v>
      </c>
      <c r="M643" s="6" t="s">
        <v>34</v>
      </c>
      <c r="N643" s="6"/>
    </row>
    <row r="644" spans="1:14">
      <c r="A644" s="6" t="s">
        <v>1407</v>
      </c>
      <c r="B644" s="7">
        <v>46136</v>
      </c>
      <c r="C644" s="6" t="s">
        <v>1378</v>
      </c>
      <c r="D644" s="6" t="str">
        <f>IF(OR(PROPER(TRIM(Raw_Data!D644))="Uk",PROPER(TRIM(Raw_Data!D644))="Gb",PROPER(TRIM(Raw_Data!D644))="United kingdom"),"United Kingdom",PROPER(TRIM(Raw_Data!D644)))</f>
        <v>United Kingdom</v>
      </c>
      <c r="E644" s="6" t="s">
        <v>37</v>
      </c>
      <c r="F644" s="6" t="s">
        <v>29</v>
      </c>
      <c r="G644" s="6" t="str">
        <f>SUBSTITUTE(Raw_Data!G644,"Ã©","é")</f>
        <v>Storm Overtrousers</v>
      </c>
      <c r="H644" s="6">
        <v>2</v>
      </c>
      <c r="I644" s="6" t="s">
        <v>96</v>
      </c>
      <c r="J644" s="6" t="s">
        <v>278</v>
      </c>
      <c r="K644" s="6">
        <v>0.52</v>
      </c>
      <c r="L644" s="6" t="s">
        <v>42</v>
      </c>
      <c r="M644" s="6" t="s">
        <v>34</v>
      </c>
      <c r="N644" s="6"/>
    </row>
    <row r="645" spans="1:14">
      <c r="A645" s="6" t="s">
        <v>1408</v>
      </c>
      <c r="B645" s="7">
        <v>46103</v>
      </c>
      <c r="C645" s="6" t="s">
        <v>1410</v>
      </c>
      <c r="D645" s="6" t="str">
        <f>IF(OR(PROPER(TRIM(Raw_Data!D645))="Uk",PROPER(TRIM(Raw_Data!D645))="Gb",PROPER(TRIM(Raw_Data!D645))="United kingdom"),"United Kingdom",PROPER(TRIM(Raw_Data!D645)))</f>
        <v>Ireland</v>
      </c>
      <c r="E645" s="6" t="s">
        <v>46</v>
      </c>
      <c r="F645" s="6" t="s">
        <v>100</v>
      </c>
      <c r="G645" s="6" t="str">
        <f>SUBSTITUTE(Raw_Data!G645,"Ã©","é")</f>
        <v>Café Latte Mug</v>
      </c>
      <c r="H645" s="6">
        <v>1</v>
      </c>
      <c r="I645" s="6" t="s">
        <v>82</v>
      </c>
      <c r="J645" s="6" t="s">
        <v>82</v>
      </c>
      <c r="K645" s="6">
        <v>0.64</v>
      </c>
      <c r="L645" s="6" t="s">
        <v>42</v>
      </c>
      <c r="M645" s="6" t="s">
        <v>69</v>
      </c>
      <c r="N645" s="6"/>
    </row>
    <row r="646" spans="1:14">
      <c r="A646" s="6" t="s">
        <v>1411</v>
      </c>
      <c r="B646" s="7">
        <v>46040</v>
      </c>
      <c r="C646" s="6" t="s">
        <v>1412</v>
      </c>
      <c r="D646" s="6" t="str">
        <f>IF(OR(PROPER(TRIM(Raw_Data!D646))="Uk",PROPER(TRIM(Raw_Data!D646))="Gb",PROPER(TRIM(Raw_Data!D646))="United kingdom"),"United Kingdom",PROPER(TRIM(Raw_Data!D646)))</f>
        <v>United Kingdom</v>
      </c>
      <c r="E646" s="6" t="s">
        <v>37</v>
      </c>
      <c r="F646" s="6" t="s">
        <v>58</v>
      </c>
      <c r="G646" s="6" t="str">
        <f>SUBSTITUTE(Raw_Data!G646,"Ã©","é")</f>
        <v>Trekking Poles</v>
      </c>
      <c r="H646" s="6">
        <v>3</v>
      </c>
      <c r="I646" s="6" t="s">
        <v>113</v>
      </c>
      <c r="J646" s="6" t="s">
        <v>138</v>
      </c>
      <c r="K646" s="6">
        <v>0.38</v>
      </c>
      <c r="L646" s="6" t="s">
        <v>33</v>
      </c>
      <c r="M646" s="6" t="s">
        <v>69</v>
      </c>
      <c r="N646" s="6"/>
    </row>
    <row r="647" spans="1:14">
      <c r="A647" s="6" t="s">
        <v>1413</v>
      </c>
      <c r="B647" s="7">
        <v>46109</v>
      </c>
      <c r="C647" s="6" t="s">
        <v>1414</v>
      </c>
      <c r="D647" s="6" t="str">
        <f>IF(OR(PROPER(TRIM(Raw_Data!D647))="Uk",PROPER(TRIM(Raw_Data!D647))="Gb",PROPER(TRIM(Raw_Data!D647))="United kingdom"),"United Kingdom",PROPER(TRIM(Raw_Data!D647)))</f>
        <v>Ireland</v>
      </c>
      <c r="E647" s="6" t="s">
        <v>52</v>
      </c>
      <c r="F647" s="6" t="s">
        <v>47</v>
      </c>
      <c r="G647" s="6" t="str">
        <f>SUBSTITUTE(Raw_Data!G647,"Ã©","é")</f>
        <v>Alpine Jacket</v>
      </c>
      <c r="H647" s="6">
        <v>-1</v>
      </c>
      <c r="I647" s="6" t="s">
        <v>82</v>
      </c>
      <c r="J647" s="8" t="s">
        <v>1415</v>
      </c>
      <c r="K647" s="6">
        <v>8.5000000000000006E-2</v>
      </c>
      <c r="L647" s="6" t="s">
        <v>42</v>
      </c>
      <c r="M647" s="6" t="s">
        <v>34</v>
      </c>
      <c r="N647" s="6"/>
    </row>
    <row r="648" spans="1:14">
      <c r="A648" s="6" t="s">
        <v>1416</v>
      </c>
      <c r="B648" s="7">
        <v>46163</v>
      </c>
      <c r="C648" s="6" t="s">
        <v>1367</v>
      </c>
      <c r="D648" s="6" t="str">
        <f>IF(OR(PROPER(TRIM(Raw_Data!D648))="Uk",PROPER(TRIM(Raw_Data!D648))="Gb",PROPER(TRIM(Raw_Data!D648))="United kingdom"),"United Kingdom",PROPER(TRIM(Raw_Data!D648)))</f>
        <v>Ireland</v>
      </c>
      <c r="E648" s="6" t="s">
        <v>28</v>
      </c>
      <c r="F648" s="6" t="s">
        <v>100</v>
      </c>
      <c r="G648" s="6" t="str">
        <f>SUBSTITUTE(Raw_Data!G648,"Ã©","é")</f>
        <v>Summit Down Gilet</v>
      </c>
      <c r="H648" s="6">
        <v>1</v>
      </c>
      <c r="I648" s="6" t="s">
        <v>40</v>
      </c>
      <c r="J648" s="6" t="s">
        <v>40</v>
      </c>
      <c r="K648" s="6">
        <v>0.64</v>
      </c>
      <c r="L648" s="6" t="s">
        <v>42</v>
      </c>
      <c r="M648" s="6" t="s">
        <v>34</v>
      </c>
      <c r="N648" s="6"/>
    </row>
    <row r="649" spans="1:14">
      <c r="A649" s="6" t="s">
        <v>1417</v>
      </c>
      <c r="B649" s="7">
        <v>46097</v>
      </c>
      <c r="C649" s="6" t="s">
        <v>1418</v>
      </c>
      <c r="D649" s="6" t="str">
        <f>IF(OR(PROPER(TRIM(Raw_Data!D649))="Uk",PROPER(TRIM(Raw_Data!D649))="Gb",PROPER(TRIM(Raw_Data!D649))="United kingdom"),"United Kingdom",PROPER(TRIM(Raw_Data!D649)))</f>
        <v>United Kingdom</v>
      </c>
      <c r="E649" s="6" t="s">
        <v>78</v>
      </c>
      <c r="F649" s="6" t="s">
        <v>47</v>
      </c>
      <c r="G649" s="6" t="str">
        <f>SUBSTITUTE(Raw_Data!G649,"Ã©","é")</f>
        <v>Fell Runner Cap</v>
      </c>
      <c r="H649" s="6">
        <v>2</v>
      </c>
      <c r="I649" s="6" t="s">
        <v>67</v>
      </c>
      <c r="J649" s="6" t="s">
        <v>204</v>
      </c>
      <c r="K649" s="6">
        <v>8.5000000000000006E-2</v>
      </c>
      <c r="L649" s="6" t="s">
        <v>42</v>
      </c>
      <c r="M649" s="6" t="s">
        <v>34</v>
      </c>
      <c r="N649" s="6"/>
    </row>
    <row r="650" spans="1:14">
      <c r="A650" s="6" t="s">
        <v>1419</v>
      </c>
      <c r="B650" s="7">
        <v>46083</v>
      </c>
      <c r="C650" s="6" t="s">
        <v>1420</v>
      </c>
      <c r="D650" s="6" t="str">
        <f>IF(OR(PROPER(TRIM(Raw_Data!D650))="Uk",PROPER(TRIM(Raw_Data!D650))="Gb",PROPER(TRIM(Raw_Data!D650))="United kingdom"),"United Kingdom",PROPER(TRIM(Raw_Data!D650)))</f>
        <v>United Kingdom</v>
      </c>
      <c r="E650" s="6" t="s">
        <v>28</v>
      </c>
      <c r="F650" s="6" t="s">
        <v>100</v>
      </c>
      <c r="G650" s="6" t="str">
        <f>SUBSTITUTE(Raw_Data!G650,"Ã©","é")</f>
        <v>Alpine Jacket</v>
      </c>
      <c r="H650" s="6">
        <v>2</v>
      </c>
      <c r="I650" s="6" t="s">
        <v>117</v>
      </c>
      <c r="J650" s="6" t="s">
        <v>118</v>
      </c>
      <c r="K650" s="6">
        <v>0.64</v>
      </c>
      <c r="L650" s="6" t="s">
        <v>33</v>
      </c>
      <c r="M650" s="6" t="s">
        <v>34</v>
      </c>
      <c r="N650" s="6"/>
    </row>
    <row r="651" spans="1:14">
      <c r="A651" s="6" t="s">
        <v>1421</v>
      </c>
      <c r="B651" s="7">
        <v>46298</v>
      </c>
      <c r="C651" s="6" t="s">
        <v>1422</v>
      </c>
      <c r="D651" s="6" t="str">
        <f>IF(OR(PROPER(TRIM(Raw_Data!D651))="Uk",PROPER(TRIM(Raw_Data!D651))="Gb",PROPER(TRIM(Raw_Data!D651))="United kingdom"),"United Kingdom",PROPER(TRIM(Raw_Data!D651)))</f>
        <v>United Kingdom</v>
      </c>
      <c r="E651" s="6" t="s">
        <v>78</v>
      </c>
      <c r="F651" s="6" t="s">
        <v>47</v>
      </c>
      <c r="G651" s="6" t="str">
        <f>SUBSTITUTE(Raw_Data!G651,"Ã©","é")</f>
        <v>Fell Runner Cap</v>
      </c>
      <c r="H651" s="6">
        <v>2</v>
      </c>
      <c r="I651" s="6" t="s">
        <v>82</v>
      </c>
      <c r="J651" s="6" t="s">
        <v>297</v>
      </c>
      <c r="K651" s="6">
        <v>8.5000000000000006E-2</v>
      </c>
      <c r="L651" s="6" t="s">
        <v>42</v>
      </c>
      <c r="M651" s="6" t="s">
        <v>34</v>
      </c>
      <c r="N651" s="6"/>
    </row>
    <row r="652" spans="1:14">
      <c r="A652" s="6" t="s">
        <v>1423</v>
      </c>
      <c r="B652" s="7">
        <v>46204</v>
      </c>
      <c r="C652" s="6" t="s">
        <v>1001</v>
      </c>
      <c r="D652" s="6" t="str">
        <f>IF(OR(PROPER(TRIM(Raw_Data!D652))="Uk",PROPER(TRIM(Raw_Data!D652))="Gb",PROPER(TRIM(Raw_Data!D652))="United kingdom"),"United Kingdom",PROPER(TRIM(Raw_Data!D652)))</f>
        <v>Ireland</v>
      </c>
      <c r="E652" s="6" t="s">
        <v>46</v>
      </c>
      <c r="F652" s="6" t="s">
        <v>47</v>
      </c>
      <c r="G652" s="6" t="str">
        <f>SUBSTITUTE(Raw_Data!G652,"Ã©","é")</f>
        <v>Alpine Jacket</v>
      </c>
      <c r="H652" s="6">
        <v>3</v>
      </c>
      <c r="I652" s="6" t="s">
        <v>90</v>
      </c>
      <c r="J652" s="6" t="s">
        <v>102</v>
      </c>
      <c r="K652" s="6">
        <v>8.5000000000000006E-2</v>
      </c>
      <c r="L652" s="6" t="s">
        <v>42</v>
      </c>
      <c r="M652" s="6" t="s">
        <v>34</v>
      </c>
      <c r="N652" s="6"/>
    </row>
    <row r="653" spans="1:14">
      <c r="A653" s="6" t="s">
        <v>1424</v>
      </c>
      <c r="B653" s="7">
        <v>46201</v>
      </c>
      <c r="C653" s="6" t="s">
        <v>1426</v>
      </c>
      <c r="D653" s="6" t="str">
        <f>IF(OR(PROPER(TRIM(Raw_Data!D653))="Uk",PROPER(TRIM(Raw_Data!D653))="Gb",PROPER(TRIM(Raw_Data!D653))="United kingdom"),"United Kingdom",PROPER(TRIM(Raw_Data!D653)))</f>
        <v>Ireland</v>
      </c>
      <c r="E653" s="6" t="s">
        <v>37</v>
      </c>
      <c r="F653" s="6" t="s">
        <v>94</v>
      </c>
      <c r="G653" s="6" t="str">
        <f>SUBSTITUTE(Raw_Data!G653,"Ã©","é")</f>
        <v>Fell Runner Cap</v>
      </c>
      <c r="H653" s="6">
        <v>1</v>
      </c>
      <c r="I653" s="6" t="s">
        <v>490</v>
      </c>
      <c r="J653" s="6" t="s">
        <v>82</v>
      </c>
      <c r="K653" s="6">
        <v>0.34</v>
      </c>
      <c r="L653" s="6" t="s">
        <v>33</v>
      </c>
      <c r="M653" s="6" t="s">
        <v>69</v>
      </c>
      <c r="N653" s="6"/>
    </row>
    <row r="654" spans="1:14">
      <c r="A654" s="6" t="s">
        <v>1427</v>
      </c>
      <c r="B654" s="7">
        <v>46113</v>
      </c>
      <c r="C654" s="6" t="s">
        <v>1428</v>
      </c>
      <c r="D654" s="6" t="str">
        <f>IF(OR(PROPER(TRIM(Raw_Data!D654))="Uk",PROPER(TRIM(Raw_Data!D654))="Gb",PROPER(TRIM(Raw_Data!D654))="United kingdom"),"United Kingdom",PROPER(TRIM(Raw_Data!D654)))</f>
        <v>United Kingdom</v>
      </c>
      <c r="E654" s="6" t="s">
        <v>28</v>
      </c>
      <c r="F654" s="6" t="s">
        <v>38</v>
      </c>
      <c r="G654" s="6" t="str">
        <f>SUBSTITUTE(Raw_Data!G654,"Ã©","é")</f>
        <v>Fell Runner Cap</v>
      </c>
      <c r="H654" s="6">
        <v>1</v>
      </c>
      <c r="I654" s="6" t="s">
        <v>79</v>
      </c>
      <c r="J654" s="6" t="s">
        <v>79</v>
      </c>
      <c r="K654" s="6">
        <v>0.52</v>
      </c>
      <c r="L654" s="6" t="s">
        <v>42</v>
      </c>
      <c r="M654" s="6" t="s">
        <v>34</v>
      </c>
      <c r="N654" s="6"/>
    </row>
    <row r="655" spans="1:14">
      <c r="A655" s="6" t="s">
        <v>1429</v>
      </c>
      <c r="B655" s="7">
        <v>46133</v>
      </c>
      <c r="C655" s="6" t="s">
        <v>1039</v>
      </c>
      <c r="D655" s="6" t="str">
        <f>IF(OR(PROPER(TRIM(Raw_Data!D655))="Uk",PROPER(TRIM(Raw_Data!D655))="Gb",PROPER(TRIM(Raw_Data!D655))="United kingdom"),"United Kingdom",PROPER(TRIM(Raw_Data!D655)))</f>
        <v>United Kingdom</v>
      </c>
      <c r="E655" s="6" t="s">
        <v>78</v>
      </c>
      <c r="F655" s="6" t="s">
        <v>29</v>
      </c>
      <c r="G655" s="6" t="str">
        <f>SUBSTITUTE(Raw_Data!G655,"Ã©","é")</f>
        <v>Café Latte Mug</v>
      </c>
      <c r="H655" s="6">
        <v>1</v>
      </c>
      <c r="I655" s="6" t="s">
        <v>1430</v>
      </c>
      <c r="J655" s="6" t="s">
        <v>143</v>
      </c>
      <c r="K655" s="6">
        <v>0.52</v>
      </c>
      <c r="L655" s="6" t="s">
        <v>42</v>
      </c>
      <c r="M655" s="6" t="s">
        <v>34</v>
      </c>
      <c r="N655" s="6"/>
    </row>
    <row r="656" spans="1:14">
      <c r="A656" s="6" t="s">
        <v>1431</v>
      </c>
      <c r="B656" s="7">
        <v>46199</v>
      </c>
      <c r="C656" s="6" t="s">
        <v>1007</v>
      </c>
      <c r="D656" s="6" t="str">
        <f>IF(OR(PROPER(TRIM(Raw_Data!D656))="Uk",PROPER(TRIM(Raw_Data!D656))="Gb",PROPER(TRIM(Raw_Data!D656))="United kingdom"),"United Kingdom",PROPER(TRIM(Raw_Data!D656)))</f>
        <v>Ireland</v>
      </c>
      <c r="E656" s="6" t="s">
        <v>78</v>
      </c>
      <c r="F656" s="6" t="s">
        <v>53</v>
      </c>
      <c r="G656" s="6" t="str">
        <f>SUBSTITUTE(Raw_Data!G656,"Ã©","é")</f>
        <v>Trail Softshell</v>
      </c>
      <c r="H656" s="6">
        <v>1</v>
      </c>
      <c r="I656" s="6" t="s">
        <v>117</v>
      </c>
      <c r="J656" s="6" t="s">
        <v>117</v>
      </c>
      <c r="K656" s="6">
        <v>0.19</v>
      </c>
      <c r="L656" s="6" t="s">
        <v>42</v>
      </c>
      <c r="M656" s="6" t="s">
        <v>34</v>
      </c>
      <c r="N656" s="6"/>
    </row>
    <row r="657" spans="1:14">
      <c r="A657" s="6" t="s">
        <v>1432</v>
      </c>
      <c r="B657" s="7">
        <v>46171</v>
      </c>
      <c r="C657" s="6" t="s">
        <v>1433</v>
      </c>
      <c r="D657" s="6" t="str">
        <f>IF(OR(PROPER(TRIM(Raw_Data!D657))="Uk",PROPER(TRIM(Raw_Data!D657))="Gb",PROPER(TRIM(Raw_Data!D657))="United kingdom"),"United Kingdom",PROPER(TRIM(Raw_Data!D657)))</f>
        <v>United Kingdom</v>
      </c>
      <c r="E657" s="6" t="s">
        <v>46</v>
      </c>
      <c r="F657" s="6" t="s">
        <v>85</v>
      </c>
      <c r="G657" s="6" t="str">
        <f>SUBSTITUTE(Raw_Data!G657,"Ã©","é")</f>
        <v>Trekking Poles</v>
      </c>
      <c r="H657" s="6">
        <v>2</v>
      </c>
      <c r="I657" s="6" t="s">
        <v>113</v>
      </c>
      <c r="J657" s="6" t="s">
        <v>192</v>
      </c>
      <c r="K657" s="6">
        <v>0.41</v>
      </c>
      <c r="L657" s="6" t="s">
        <v>42</v>
      </c>
      <c r="M657" s="6" t="s">
        <v>34</v>
      </c>
      <c r="N657" s="6"/>
    </row>
    <row r="658" spans="1:14">
      <c r="A658" s="6" t="s">
        <v>1434</v>
      </c>
      <c r="B658" s="7">
        <v>46208</v>
      </c>
      <c r="C658" s="6" t="s">
        <v>1435</v>
      </c>
      <c r="D658" s="6" t="str">
        <f>IF(OR(PROPER(TRIM(Raw_Data!D658))="Uk",PROPER(TRIM(Raw_Data!D658))="Gb",PROPER(TRIM(Raw_Data!D658))="United kingdom"),"United Kingdom",PROPER(TRIM(Raw_Data!D658)))</f>
        <v>United Kingdom</v>
      </c>
      <c r="E658" s="6" t="s">
        <v>52</v>
      </c>
      <c r="F658" s="6" t="s">
        <v>58</v>
      </c>
      <c r="G658" s="6" t="str">
        <f>SUBSTITUTE(Raw_Data!G658,"Ã©","é")</f>
        <v>Merino Base Layer</v>
      </c>
      <c r="H658" s="6">
        <v>1</v>
      </c>
      <c r="I658" s="6" t="s">
        <v>231</v>
      </c>
      <c r="J658" s="6" t="s">
        <v>1436</v>
      </c>
      <c r="K658" s="6">
        <v>0.38</v>
      </c>
      <c r="L658" s="6" t="s">
        <v>42</v>
      </c>
      <c r="M658" s="6" t="s">
        <v>34</v>
      </c>
      <c r="N658" s="6"/>
    </row>
    <row r="659" spans="1:14">
      <c r="A659" s="6" t="s">
        <v>1437</v>
      </c>
      <c r="B659" s="7">
        <v>46269</v>
      </c>
      <c r="C659" s="6" t="s">
        <v>554</v>
      </c>
      <c r="D659" s="6" t="str">
        <f>IF(OR(PROPER(TRIM(Raw_Data!D659))="Uk",PROPER(TRIM(Raw_Data!D659))="Gb",PROPER(TRIM(Raw_Data!D659))="United kingdom"),"United Kingdom",PROPER(TRIM(Raw_Data!D659)))</f>
        <v>United Kingdom</v>
      </c>
      <c r="E659" s="6" t="s">
        <v>78</v>
      </c>
      <c r="F659" s="6" t="s">
        <v>85</v>
      </c>
      <c r="G659" s="6" t="str">
        <f>SUBSTITUTE(Raw_Data!G659,"Ã©","é")</f>
        <v>Storm Overtrousers</v>
      </c>
      <c r="H659" s="6">
        <v>1</v>
      </c>
      <c r="I659" s="6" t="s">
        <v>143</v>
      </c>
      <c r="J659" s="6" t="s">
        <v>143</v>
      </c>
      <c r="K659" s="6">
        <v>0.41</v>
      </c>
      <c r="L659" s="6" t="s">
        <v>42</v>
      </c>
      <c r="M659" s="6" t="s">
        <v>34</v>
      </c>
      <c r="N659" s="6"/>
    </row>
    <row r="660" spans="1:14">
      <c r="A660" s="6" t="s">
        <v>1438</v>
      </c>
      <c r="B660" s="7">
        <v>46190</v>
      </c>
      <c r="C660" s="6" t="s">
        <v>1439</v>
      </c>
      <c r="D660" s="6" t="str">
        <f>IF(OR(PROPER(TRIM(Raw_Data!D660))="Uk",PROPER(TRIM(Raw_Data!D660))="Gb",PROPER(TRIM(Raw_Data!D660))="United kingdom"),"United Kingdom",PROPER(TRIM(Raw_Data!D660)))</f>
        <v>United Kingdom</v>
      </c>
      <c r="E660" s="6" t="s">
        <v>46</v>
      </c>
      <c r="F660" s="6" t="s">
        <v>100</v>
      </c>
      <c r="G660" s="6" t="str">
        <f>SUBSTITUTE(Raw_Data!G660,"Ã©","é")</f>
        <v>Summit Down Gilet</v>
      </c>
      <c r="H660" s="6">
        <v>1</v>
      </c>
      <c r="I660" s="6" t="s">
        <v>437</v>
      </c>
      <c r="J660" s="6" t="s">
        <v>40</v>
      </c>
      <c r="K660" s="6">
        <v>0.64</v>
      </c>
      <c r="L660" s="6" t="s">
        <v>42</v>
      </c>
      <c r="M660" s="6" t="s">
        <v>34</v>
      </c>
      <c r="N660" s="6"/>
    </row>
    <row r="661" spans="1:14">
      <c r="A661" s="6" t="s">
        <v>1440</v>
      </c>
      <c r="B661" s="7">
        <v>46191</v>
      </c>
      <c r="C661" s="6" t="s">
        <v>1442</v>
      </c>
      <c r="D661" s="6" t="str">
        <f>IF(OR(PROPER(TRIM(Raw_Data!D661))="Uk",PROPER(TRIM(Raw_Data!D661))="Gb",PROPER(TRIM(Raw_Data!D661))="United kingdom"),"United Kingdom",PROPER(TRIM(Raw_Data!D661)))</f>
        <v>United Kingdom</v>
      </c>
      <c r="E661" s="6" t="s">
        <v>28</v>
      </c>
      <c r="F661" s="6" t="s">
        <v>29</v>
      </c>
      <c r="G661" s="6" t="str">
        <f>SUBSTITUTE(Raw_Data!G661,"Ã©","é")</f>
        <v>Storm Overtrousers</v>
      </c>
      <c r="H661" s="6">
        <v>1</v>
      </c>
      <c r="I661" s="6" t="s">
        <v>265</v>
      </c>
      <c r="J661" s="6" t="s">
        <v>265</v>
      </c>
      <c r="K661" s="6">
        <v>0.52</v>
      </c>
      <c r="L661" s="6" t="s">
        <v>33</v>
      </c>
      <c r="M661" s="6" t="s">
        <v>34</v>
      </c>
      <c r="N661" s="6"/>
    </row>
    <row r="662" spans="1:14">
      <c r="A662" s="6" t="s">
        <v>1443</v>
      </c>
      <c r="B662" s="7">
        <v>46267</v>
      </c>
      <c r="C662" s="6" t="s">
        <v>1444</v>
      </c>
      <c r="D662" s="6" t="str">
        <f>IF(OR(PROPER(TRIM(Raw_Data!D662))="Uk",PROPER(TRIM(Raw_Data!D662))="Gb",PROPER(TRIM(Raw_Data!D662))="United kingdom"),"United Kingdom",PROPER(TRIM(Raw_Data!D662)))</f>
        <v>Ireland</v>
      </c>
      <c r="E662" s="6" t="s">
        <v>28</v>
      </c>
      <c r="F662" s="6" t="s">
        <v>100</v>
      </c>
      <c r="G662" s="6" t="str">
        <f>SUBSTITUTE(Raw_Data!G662,"Ã©","é")</f>
        <v>Alpine Jacket</v>
      </c>
      <c r="H662" s="6">
        <v>1</v>
      </c>
      <c r="I662" s="6" t="s">
        <v>82</v>
      </c>
      <c r="J662" s="6" t="s">
        <v>82</v>
      </c>
      <c r="K662" s="6">
        <v>0.64</v>
      </c>
      <c r="L662" s="6" t="s">
        <v>33</v>
      </c>
      <c r="M662" s="6" t="s">
        <v>34</v>
      </c>
      <c r="N662" s="6"/>
    </row>
    <row r="663" spans="1:14">
      <c r="A663" s="6" t="s">
        <v>1445</v>
      </c>
      <c r="B663" s="7">
        <v>46105</v>
      </c>
      <c r="C663" s="6" t="s">
        <v>1446</v>
      </c>
      <c r="D663" s="6" t="str">
        <f>IF(OR(PROPER(TRIM(Raw_Data!D663))="Uk",PROPER(TRIM(Raw_Data!D663))="Gb",PROPER(TRIM(Raw_Data!D663))="United kingdom"),"United Kingdom",PROPER(TRIM(Raw_Data!D663)))</f>
        <v>United Kingdom</v>
      </c>
      <c r="E663" s="6" t="s">
        <v>28</v>
      </c>
      <c r="F663" s="6" t="s">
        <v>100</v>
      </c>
      <c r="G663" s="6" t="str">
        <f>SUBSTITUTE(Raw_Data!G663,"Ã©","é")</f>
        <v>Trekking Poles</v>
      </c>
      <c r="H663" s="6">
        <v>2</v>
      </c>
      <c r="I663" s="6" t="s">
        <v>113</v>
      </c>
      <c r="J663" s="6" t="s">
        <v>192</v>
      </c>
      <c r="K663" s="6">
        <v>0.64</v>
      </c>
      <c r="L663" s="6" t="s">
        <v>33</v>
      </c>
      <c r="M663" s="6" t="s">
        <v>34</v>
      </c>
      <c r="N663" s="6"/>
    </row>
    <row r="664" spans="1:14">
      <c r="A664" s="6" t="s">
        <v>1447</v>
      </c>
      <c r="B664" s="7">
        <v>46131</v>
      </c>
      <c r="C664" s="6" t="s">
        <v>1448</v>
      </c>
      <c r="D664" s="6" t="str">
        <f>IF(OR(PROPER(TRIM(Raw_Data!D664))="Uk",PROPER(TRIM(Raw_Data!D664))="Gb",PROPER(TRIM(Raw_Data!D664))="United kingdom"),"United Kingdom",PROPER(TRIM(Raw_Data!D664)))</f>
        <v>France</v>
      </c>
      <c r="E664" s="6" t="s">
        <v>78</v>
      </c>
      <c r="F664" s="6" t="s">
        <v>85</v>
      </c>
      <c r="G664" s="6" t="str">
        <f>SUBSTITUTE(Raw_Data!G664,"Ã©","é")</f>
        <v>Alpine Jacket</v>
      </c>
      <c r="H664" s="6">
        <v>1</v>
      </c>
      <c r="I664" s="6" t="s">
        <v>90</v>
      </c>
      <c r="J664" s="6" t="s">
        <v>90</v>
      </c>
      <c r="K664" s="6">
        <v>0.41</v>
      </c>
      <c r="L664" s="6" t="s">
        <v>42</v>
      </c>
      <c r="M664" s="6" t="s">
        <v>34</v>
      </c>
      <c r="N664" s="6"/>
    </row>
    <row r="665" spans="1:14">
      <c r="A665" s="6" t="s">
        <v>1449</v>
      </c>
      <c r="B665" s="7">
        <v>46036</v>
      </c>
      <c r="C665" s="6" t="s">
        <v>1451</v>
      </c>
      <c r="D665" s="6" t="str">
        <f>IF(OR(PROPER(TRIM(Raw_Data!D665))="Uk",PROPER(TRIM(Raw_Data!D665))="Gb",PROPER(TRIM(Raw_Data!D665))="United kingdom"),"United Kingdom",PROPER(TRIM(Raw_Data!D665)))</f>
        <v>United Kingdom</v>
      </c>
      <c r="E665" s="6" t="s">
        <v>28</v>
      </c>
      <c r="F665" s="6" t="s">
        <v>58</v>
      </c>
      <c r="G665" s="6" t="str">
        <f>SUBSTITUTE(Raw_Data!G665,"Ã©","é")</f>
        <v>Alpine Jacket</v>
      </c>
      <c r="H665" s="6">
        <v>2</v>
      </c>
      <c r="I665" s="6" t="s">
        <v>265</v>
      </c>
      <c r="J665" s="6" t="s">
        <v>167</v>
      </c>
      <c r="K665" s="6">
        <v>0.38</v>
      </c>
      <c r="L665" s="6" t="s">
        <v>33</v>
      </c>
      <c r="M665" s="6" t="s">
        <v>34</v>
      </c>
      <c r="N665" s="6"/>
    </row>
    <row r="666" spans="1:14">
      <c r="A666" s="6" t="s">
        <v>1452</v>
      </c>
      <c r="B666" s="7">
        <v>46128</v>
      </c>
      <c r="C666" s="6" t="s">
        <v>1453</v>
      </c>
      <c r="D666" s="6" t="str">
        <f>IF(OR(PROPER(TRIM(Raw_Data!D666))="Uk",PROPER(TRIM(Raw_Data!D666))="Gb",PROPER(TRIM(Raw_Data!D666))="United kingdom"),"United Kingdom",PROPER(TRIM(Raw_Data!D666)))</f>
        <v>United Kingdom</v>
      </c>
      <c r="E666" s="6" t="s">
        <v>46</v>
      </c>
      <c r="F666" s="6" t="s">
        <v>58</v>
      </c>
      <c r="G666" s="6" t="str">
        <f>SUBSTITUTE(Raw_Data!G666,"Ã©","é")</f>
        <v>Storm Overtrousers</v>
      </c>
      <c r="H666" s="6">
        <v>3</v>
      </c>
      <c r="I666" s="6" t="s">
        <v>60</v>
      </c>
      <c r="J666" s="6" t="s">
        <v>268</v>
      </c>
      <c r="K666" s="6">
        <v>0.38</v>
      </c>
      <c r="L666" s="6" t="s">
        <v>33</v>
      </c>
      <c r="M666" s="6" t="s">
        <v>34</v>
      </c>
      <c r="N666" s="6"/>
    </row>
    <row r="667" spans="1:14">
      <c r="A667" s="6" t="s">
        <v>1454</v>
      </c>
      <c r="B667" s="7">
        <v>46176</v>
      </c>
      <c r="C667" s="6" t="s">
        <v>1346</v>
      </c>
      <c r="D667" s="6" t="str">
        <f>IF(OR(PROPER(TRIM(Raw_Data!D667))="Uk",PROPER(TRIM(Raw_Data!D667))="Gb",PROPER(TRIM(Raw_Data!D667))="United kingdom"),"United Kingdom",PROPER(TRIM(Raw_Data!D667)))</f>
        <v>Ireland</v>
      </c>
      <c r="E667" s="6" t="s">
        <v>46</v>
      </c>
      <c r="F667" s="6" t="s">
        <v>58</v>
      </c>
      <c r="G667" s="6" t="str">
        <f>SUBSTITUTE(Raw_Data!G667,"Ã©","é")</f>
        <v>Summit Down Gilet</v>
      </c>
      <c r="H667" s="6">
        <v>1</v>
      </c>
      <c r="I667" s="6" t="s">
        <v>619</v>
      </c>
      <c r="J667" s="6" t="s">
        <v>143</v>
      </c>
      <c r="K667" s="6">
        <v>0.38</v>
      </c>
      <c r="L667" s="6" t="s">
        <v>42</v>
      </c>
      <c r="M667" s="6" t="s">
        <v>34</v>
      </c>
      <c r="N667" s="6"/>
    </row>
    <row r="668" spans="1:14">
      <c r="A668" s="6" t="s">
        <v>1455</v>
      </c>
      <c r="B668" s="7">
        <v>46148</v>
      </c>
      <c r="C668" s="6" t="s">
        <v>1367</v>
      </c>
      <c r="D668" s="6" t="str">
        <f>IF(OR(PROPER(TRIM(Raw_Data!D668))="Uk",PROPER(TRIM(Raw_Data!D668))="Gb",PROPER(TRIM(Raw_Data!D668))="United kingdom"),"United Kingdom",PROPER(TRIM(Raw_Data!D668)))</f>
        <v>United Kingdom</v>
      </c>
      <c r="E668" s="6" t="s">
        <v>78</v>
      </c>
      <c r="F668" s="6" t="s">
        <v>58</v>
      </c>
      <c r="G668" s="6" t="str">
        <f>SUBSTITUTE(Raw_Data!G668,"Ã©","é")</f>
        <v>Summit Down Gilet</v>
      </c>
      <c r="H668" s="6">
        <v>1</v>
      </c>
      <c r="I668" s="6" t="s">
        <v>113</v>
      </c>
      <c r="J668" s="6" t="s">
        <v>1456</v>
      </c>
      <c r="K668" s="6">
        <v>0.38</v>
      </c>
      <c r="L668" s="6" t="s">
        <v>42</v>
      </c>
      <c r="M668" s="6" t="s">
        <v>34</v>
      </c>
      <c r="N668" s="6"/>
    </row>
    <row r="669" spans="1:14">
      <c r="A669" s="6" t="s">
        <v>1457</v>
      </c>
      <c r="B669" s="7">
        <v>46142</v>
      </c>
      <c r="C669" s="6" t="s">
        <v>1458</v>
      </c>
      <c r="D669" s="6" t="str">
        <f>IF(OR(PROPER(TRIM(Raw_Data!D669))="Uk",PROPER(TRIM(Raw_Data!D669))="Gb",PROPER(TRIM(Raw_Data!D669))="United kingdom"),"United Kingdom",PROPER(TRIM(Raw_Data!D669)))</f>
        <v>United Kingdom</v>
      </c>
      <c r="E669" s="6" t="s">
        <v>78</v>
      </c>
      <c r="F669" s="6" t="s">
        <v>53</v>
      </c>
      <c r="G669" s="6" t="str">
        <f>SUBSTITUTE(Raw_Data!G669,"Ã©","é")</f>
        <v>Summit Down Gilet</v>
      </c>
      <c r="H669" s="6">
        <v>1</v>
      </c>
      <c r="I669" s="6" t="s">
        <v>231</v>
      </c>
      <c r="J669" s="6" t="s">
        <v>231</v>
      </c>
      <c r="K669" s="6">
        <v>0.19</v>
      </c>
      <c r="L669" s="6" t="s">
        <v>42</v>
      </c>
      <c r="M669" s="6" t="s">
        <v>69</v>
      </c>
      <c r="N669" s="6"/>
    </row>
    <row r="670" spans="1:14">
      <c r="A670" s="6" t="s">
        <v>1459</v>
      </c>
      <c r="B670" s="7">
        <v>46047</v>
      </c>
      <c r="C670" s="6" t="s">
        <v>1460</v>
      </c>
      <c r="D670" s="6" t="str">
        <f>IF(OR(PROPER(TRIM(Raw_Data!D670))="Uk",PROPER(TRIM(Raw_Data!D670))="Gb",PROPER(TRIM(Raw_Data!D670))="United kingdom"),"United Kingdom",PROPER(TRIM(Raw_Data!D670)))</f>
        <v>Ireland</v>
      </c>
      <c r="E670" s="6" t="s">
        <v>28</v>
      </c>
      <c r="F670" s="6" t="s">
        <v>53</v>
      </c>
      <c r="G670" s="6" t="str">
        <f>SUBSTITUTE(Raw_Data!G670,"Ã©","é")</f>
        <v>Summit Down Gilet</v>
      </c>
      <c r="H670" s="6">
        <v>1</v>
      </c>
      <c r="I670" s="6" t="s">
        <v>117</v>
      </c>
      <c r="J670" s="6" t="s">
        <v>117</v>
      </c>
      <c r="K670" s="6">
        <v>0.19</v>
      </c>
      <c r="L670" s="6" t="s">
        <v>42</v>
      </c>
      <c r="M670" s="6" t="s">
        <v>34</v>
      </c>
      <c r="N670" s="6"/>
    </row>
    <row r="671" spans="1:14">
      <c r="A671" s="6" t="s">
        <v>1461</v>
      </c>
      <c r="B671" s="7">
        <v>46127</v>
      </c>
      <c r="C671" s="6" t="s">
        <v>1462</v>
      </c>
      <c r="D671" s="6" t="str">
        <f>IF(OR(PROPER(TRIM(Raw_Data!D671))="Uk",PROPER(TRIM(Raw_Data!D671))="Gb",PROPER(TRIM(Raw_Data!D671))="United kingdom"),"United Kingdom",PROPER(TRIM(Raw_Data!D671)))</f>
        <v>United Kingdom</v>
      </c>
      <c r="E671" s="6" t="s">
        <v>52</v>
      </c>
      <c r="F671" s="6" t="s">
        <v>38</v>
      </c>
      <c r="G671" s="6" t="str">
        <f>SUBSTITUTE(Raw_Data!G671,"Ã©","é")</f>
        <v>Merino Base Layer</v>
      </c>
      <c r="H671" s="6">
        <v>1</v>
      </c>
      <c r="I671" s="6" t="s">
        <v>82</v>
      </c>
      <c r="J671" s="6" t="s">
        <v>82</v>
      </c>
      <c r="K671" s="6">
        <v>0.52</v>
      </c>
      <c r="L671" s="6" t="s">
        <v>33</v>
      </c>
      <c r="M671" s="6" t="s">
        <v>34</v>
      </c>
      <c r="N671" s="6"/>
    </row>
    <row r="672" spans="1:14">
      <c r="A672" s="6" t="s">
        <v>1463</v>
      </c>
      <c r="B672" s="7">
        <v>46362</v>
      </c>
      <c r="C672" s="6" t="s">
        <v>1238</v>
      </c>
      <c r="D672" s="6" t="str">
        <f>IF(OR(PROPER(TRIM(Raw_Data!D672))="Uk",PROPER(TRIM(Raw_Data!D672))="Gb",PROPER(TRIM(Raw_Data!D672))="United kingdom"),"United Kingdom",PROPER(TRIM(Raw_Data!D672)))</f>
        <v>United Kingdom</v>
      </c>
      <c r="E672" s="6" t="s">
        <v>37</v>
      </c>
      <c r="F672" s="6" t="s">
        <v>29</v>
      </c>
      <c r="G672" s="6" t="str">
        <f>SUBSTITUTE(Raw_Data!G672,"Ã©","é")</f>
        <v>Merino Base Layer</v>
      </c>
      <c r="H672" s="6">
        <v>2</v>
      </c>
      <c r="I672" s="6" t="s">
        <v>117</v>
      </c>
      <c r="J672" s="6" t="s">
        <v>118</v>
      </c>
      <c r="K672" s="6">
        <v>0.52</v>
      </c>
      <c r="L672" s="6" t="s">
        <v>33</v>
      </c>
      <c r="M672" s="6" t="s">
        <v>34</v>
      </c>
      <c r="N672" s="6"/>
    </row>
    <row r="673" spans="1:14">
      <c r="A673" s="6" t="s">
        <v>1464</v>
      </c>
      <c r="B673" s="7">
        <v>46155</v>
      </c>
      <c r="C673" s="6" t="s">
        <v>1465</v>
      </c>
      <c r="D673" s="6" t="str">
        <f>IF(OR(PROPER(TRIM(Raw_Data!D673))="Uk",PROPER(TRIM(Raw_Data!D673))="Gb",PROPER(TRIM(Raw_Data!D673))="United kingdom"),"United Kingdom",PROPER(TRIM(Raw_Data!D673)))</f>
        <v>Ireland</v>
      </c>
      <c r="E673" s="6" t="s">
        <v>28</v>
      </c>
      <c r="F673" s="6" t="s">
        <v>58</v>
      </c>
      <c r="G673" s="6" t="str">
        <f>SUBSTITUTE(Raw_Data!G673,"Ã©","é")</f>
        <v>Trail Softshell</v>
      </c>
      <c r="H673" s="6">
        <v>2</v>
      </c>
      <c r="I673" s="6" t="s">
        <v>143</v>
      </c>
      <c r="J673" s="6" t="s">
        <v>144</v>
      </c>
      <c r="K673" s="6">
        <v>0.38</v>
      </c>
      <c r="L673" s="6" t="s">
        <v>42</v>
      </c>
      <c r="M673" s="6" t="s">
        <v>34</v>
      </c>
      <c r="N673" s="6"/>
    </row>
    <row r="674" spans="1:14">
      <c r="A674" s="6" t="s">
        <v>1466</v>
      </c>
      <c r="B674" s="7">
        <v>46146</v>
      </c>
      <c r="C674" s="6" t="s">
        <v>348</v>
      </c>
      <c r="D674" s="6" t="str">
        <f>IF(OR(PROPER(TRIM(Raw_Data!D674))="Uk",PROPER(TRIM(Raw_Data!D674))="Gb",PROPER(TRIM(Raw_Data!D674))="United kingdom"),"United Kingdom",PROPER(TRIM(Raw_Data!D674)))</f>
        <v>Ireland</v>
      </c>
      <c r="E674" s="6" t="s">
        <v>28</v>
      </c>
      <c r="F674" s="6" t="s">
        <v>58</v>
      </c>
      <c r="G674" s="6" t="str">
        <f>SUBSTITUTE(Raw_Data!G674,"Ã©","é")</f>
        <v>Trekking Poles</v>
      </c>
      <c r="H674" s="6">
        <v>1</v>
      </c>
      <c r="I674" s="6" t="s">
        <v>143</v>
      </c>
      <c r="J674" s="6" t="s">
        <v>143</v>
      </c>
      <c r="K674" s="6">
        <v>0.38</v>
      </c>
      <c r="L674" s="6" t="s">
        <v>42</v>
      </c>
      <c r="M674" s="6" t="s">
        <v>34</v>
      </c>
      <c r="N674" s="6"/>
    </row>
    <row r="675" spans="1:14">
      <c r="A675" s="6" t="s">
        <v>1467</v>
      </c>
      <c r="B675" s="7">
        <v>46107</v>
      </c>
      <c r="C675" s="6" t="s">
        <v>1468</v>
      </c>
      <c r="D675" s="6" t="str">
        <f>IF(OR(PROPER(TRIM(Raw_Data!D675))="Uk",PROPER(TRIM(Raw_Data!D675))="Gb",PROPER(TRIM(Raw_Data!D675))="United kingdom"),"United Kingdom",PROPER(TRIM(Raw_Data!D675)))</f>
        <v>France</v>
      </c>
      <c r="E675" s="6" t="s">
        <v>78</v>
      </c>
      <c r="F675" s="6" t="s">
        <v>47</v>
      </c>
      <c r="G675" s="6" t="str">
        <f>SUBSTITUTE(Raw_Data!G675,"Ã©","é")</f>
        <v>Summit Down Gilet</v>
      </c>
      <c r="H675" s="6">
        <v>1</v>
      </c>
      <c r="I675" s="6" t="s">
        <v>748</v>
      </c>
      <c r="J675" s="6" t="s">
        <v>113</v>
      </c>
      <c r="K675" s="6">
        <v>8.5000000000000006E-2</v>
      </c>
      <c r="L675" s="6" t="s">
        <v>42</v>
      </c>
      <c r="M675" s="6" t="s">
        <v>34</v>
      </c>
      <c r="N675" s="6"/>
    </row>
    <row r="676" spans="1:14">
      <c r="A676" s="6" t="s">
        <v>1469</v>
      </c>
      <c r="B676" s="7">
        <v>46075</v>
      </c>
      <c r="C676" s="6" t="s">
        <v>1470</v>
      </c>
      <c r="D676" s="6" t="str">
        <f>IF(OR(PROPER(TRIM(Raw_Data!D676))="Uk",PROPER(TRIM(Raw_Data!D676))="Gb",PROPER(TRIM(Raw_Data!D676))="United kingdom"),"United Kingdom",PROPER(TRIM(Raw_Data!D676)))</f>
        <v>United Kingdom</v>
      </c>
      <c r="E676" s="6" t="s">
        <v>28</v>
      </c>
      <c r="F676" s="6" t="s">
        <v>100</v>
      </c>
      <c r="G676" s="6" t="str">
        <f>SUBSTITUTE(Raw_Data!G676,"Ã©","é")</f>
        <v>Summit Down Gilet</v>
      </c>
      <c r="H676" s="6">
        <v>1</v>
      </c>
      <c r="I676" s="6" t="s">
        <v>143</v>
      </c>
      <c r="J676" s="6" t="s">
        <v>143</v>
      </c>
      <c r="K676" s="6">
        <v>0.64</v>
      </c>
      <c r="L676" s="6" t="s">
        <v>42</v>
      </c>
      <c r="M676" s="6" t="s">
        <v>34</v>
      </c>
      <c r="N676" s="6"/>
    </row>
    <row r="677" spans="1:14">
      <c r="A677" s="6" t="s">
        <v>1471</v>
      </c>
      <c r="B677" s="7">
        <v>46074</v>
      </c>
      <c r="C677" s="6" t="s">
        <v>1472</v>
      </c>
      <c r="D677" s="6" t="str">
        <f>IF(OR(PROPER(TRIM(Raw_Data!D677))="Uk",PROPER(TRIM(Raw_Data!D677))="Gb",PROPER(TRIM(Raw_Data!D677))="United kingdom"),"United Kingdom",PROPER(TRIM(Raw_Data!D677)))</f>
        <v>United Kingdom</v>
      </c>
      <c r="E677" s="6" t="s">
        <v>78</v>
      </c>
      <c r="F677" s="6" t="s">
        <v>100</v>
      </c>
      <c r="G677" s="6" t="str">
        <f>SUBSTITUTE(Raw_Data!G677,"Ã©","é")</f>
        <v>Fell Runner Cap</v>
      </c>
      <c r="H677" s="6">
        <v>3</v>
      </c>
      <c r="I677" s="6" t="s">
        <v>40</v>
      </c>
      <c r="J677" s="6" t="s">
        <v>579</v>
      </c>
      <c r="K677" s="6">
        <v>0.64</v>
      </c>
      <c r="L677" s="6" t="s">
        <v>42</v>
      </c>
      <c r="M677" s="6" t="s">
        <v>69</v>
      </c>
      <c r="N677" s="6"/>
    </row>
    <row r="678" spans="1:14">
      <c r="A678" s="6" t="s">
        <v>1473</v>
      </c>
      <c r="B678" s="7">
        <v>46139</v>
      </c>
      <c r="C678" s="6" t="s">
        <v>1474</v>
      </c>
      <c r="D678" s="6" t="str">
        <f>IF(OR(PROPER(TRIM(Raw_Data!D678))="Uk",PROPER(TRIM(Raw_Data!D678))="Gb",PROPER(TRIM(Raw_Data!D678))="United kingdom"),"United Kingdom",PROPER(TRIM(Raw_Data!D678)))</f>
        <v>United Kingdom</v>
      </c>
      <c r="E678" s="6" t="s">
        <v>78</v>
      </c>
      <c r="F678" s="6" t="s">
        <v>38</v>
      </c>
      <c r="G678" s="6" t="str">
        <f>SUBSTITUTE(Raw_Data!G678,"Ã©","é")</f>
        <v>Alpine Jacket</v>
      </c>
      <c r="H678" s="6">
        <v>3</v>
      </c>
      <c r="I678" s="6" t="s">
        <v>181</v>
      </c>
      <c r="J678" s="6" t="s">
        <v>867</v>
      </c>
      <c r="K678" s="6">
        <v>0.52</v>
      </c>
      <c r="L678" s="6" t="s">
        <v>42</v>
      </c>
      <c r="M678" s="6" t="s">
        <v>69</v>
      </c>
      <c r="N678" s="6"/>
    </row>
    <row r="679" spans="1:14">
      <c r="A679" s="6" t="s">
        <v>1475</v>
      </c>
      <c r="B679" s="7">
        <v>46169</v>
      </c>
      <c r="C679" s="6" t="s">
        <v>1476</v>
      </c>
      <c r="D679" s="6" t="str">
        <f>IF(OR(PROPER(TRIM(Raw_Data!D679))="Uk",PROPER(TRIM(Raw_Data!D679))="Gb",PROPER(TRIM(Raw_Data!D679))="United kingdom"),"United Kingdom",PROPER(TRIM(Raw_Data!D679)))</f>
        <v>United Kingdom</v>
      </c>
      <c r="E679" s="6" t="s">
        <v>46</v>
      </c>
      <c r="F679" s="6" t="s">
        <v>100</v>
      </c>
      <c r="G679" s="6" t="str">
        <f>SUBSTITUTE(Raw_Data!G679,"Ã©","é")</f>
        <v>Alpine Jacket</v>
      </c>
      <c r="H679" s="6">
        <v>1</v>
      </c>
      <c r="I679" s="6" t="s">
        <v>113</v>
      </c>
      <c r="J679" s="6" t="s">
        <v>113</v>
      </c>
      <c r="K679" s="6">
        <v>0.64</v>
      </c>
      <c r="L679" s="6" t="s">
        <v>42</v>
      </c>
      <c r="M679" s="6" t="s">
        <v>34</v>
      </c>
      <c r="N679" s="6"/>
    </row>
    <row r="680" spans="1:14">
      <c r="A680" s="6" t="s">
        <v>1477</v>
      </c>
      <c r="B680" s="7">
        <v>46099</v>
      </c>
      <c r="C680" s="6" t="s">
        <v>1478</v>
      </c>
      <c r="D680" s="6" t="str">
        <f>IF(OR(PROPER(TRIM(Raw_Data!D680))="Uk",PROPER(TRIM(Raw_Data!D680))="Gb",PROPER(TRIM(Raw_Data!D680))="United kingdom"),"United Kingdom",PROPER(TRIM(Raw_Data!D680)))</f>
        <v>United Kingdom</v>
      </c>
      <c r="E680" s="6" t="s">
        <v>78</v>
      </c>
      <c r="F680" s="6" t="s">
        <v>53</v>
      </c>
      <c r="G680" s="6" t="str">
        <f>SUBSTITUTE(Raw_Data!G680,"Ã©","é")</f>
        <v>Trail Softshell</v>
      </c>
      <c r="H680" s="6">
        <v>2</v>
      </c>
      <c r="I680" s="6" t="s">
        <v>90</v>
      </c>
      <c r="J680" s="6" t="s">
        <v>154</v>
      </c>
      <c r="K680" s="6">
        <v>0.19</v>
      </c>
      <c r="L680" s="6" t="s">
        <v>33</v>
      </c>
      <c r="M680" s="6" t="s">
        <v>69</v>
      </c>
      <c r="N680" s="6"/>
    </row>
    <row r="681" spans="1:14">
      <c r="A681" s="6" t="s">
        <v>1479</v>
      </c>
      <c r="B681" s="7">
        <v>46037</v>
      </c>
      <c r="C681" s="6" t="s">
        <v>858</v>
      </c>
      <c r="D681" s="6" t="str">
        <f>IF(OR(PROPER(TRIM(Raw_Data!D681))="Uk",PROPER(TRIM(Raw_Data!D681))="Gb",PROPER(TRIM(Raw_Data!D681))="United kingdom"),"United Kingdom",PROPER(TRIM(Raw_Data!D681)))</f>
        <v>Ireland</v>
      </c>
      <c r="E681" s="6" t="s">
        <v>52</v>
      </c>
      <c r="F681" s="6" t="s">
        <v>29</v>
      </c>
      <c r="G681" s="6" t="str">
        <f>SUBSTITUTE(Raw_Data!G681,"Ã©","é")</f>
        <v>Alpine Jacket</v>
      </c>
      <c r="H681" s="6">
        <v>1</v>
      </c>
      <c r="I681" s="6" t="s">
        <v>181</v>
      </c>
      <c r="J681" s="6" t="s">
        <v>181</v>
      </c>
      <c r="K681" s="6">
        <v>0.52</v>
      </c>
      <c r="L681" s="6" t="s">
        <v>42</v>
      </c>
      <c r="M681" s="6" t="s">
        <v>34</v>
      </c>
      <c r="N681" s="6"/>
    </row>
    <row r="682" spans="1:14">
      <c r="A682" s="6" t="s">
        <v>1480</v>
      </c>
      <c r="B682" s="7">
        <v>46151</v>
      </c>
      <c r="C682" s="6" t="s">
        <v>456</v>
      </c>
      <c r="D682" s="6" t="str">
        <f>IF(OR(PROPER(TRIM(Raw_Data!D682))="Uk",PROPER(TRIM(Raw_Data!D682))="Gb",PROPER(TRIM(Raw_Data!D682))="United kingdom"),"United Kingdom",PROPER(TRIM(Raw_Data!D682)))</f>
        <v>United Kingdom</v>
      </c>
      <c r="E682" s="6" t="s">
        <v>52</v>
      </c>
      <c r="F682" s="6" t="s">
        <v>58</v>
      </c>
      <c r="G682" s="6" t="str">
        <f>SUBSTITUTE(Raw_Data!G682,"Ã©","é")</f>
        <v>Merino Base Layer</v>
      </c>
      <c r="H682" s="6">
        <v>1</v>
      </c>
      <c r="I682" s="6" t="s">
        <v>231</v>
      </c>
      <c r="J682" s="6" t="s">
        <v>231</v>
      </c>
      <c r="K682" s="6">
        <v>0.38</v>
      </c>
      <c r="L682" s="6" t="s">
        <v>42</v>
      </c>
      <c r="M682" s="6" t="s">
        <v>34</v>
      </c>
      <c r="N682" s="6"/>
    </row>
    <row r="683" spans="1:14">
      <c r="A683" s="6" t="s">
        <v>1481</v>
      </c>
      <c r="B683" s="7">
        <v>46329</v>
      </c>
      <c r="C683" s="6" t="s">
        <v>1482</v>
      </c>
      <c r="D683" s="6" t="str">
        <f>IF(OR(PROPER(TRIM(Raw_Data!D683))="Uk",PROPER(TRIM(Raw_Data!D683))="Gb",PROPER(TRIM(Raw_Data!D683))="United kingdom"),"United Kingdom",PROPER(TRIM(Raw_Data!D683)))</f>
        <v>Ireland</v>
      </c>
      <c r="E683" s="6" t="s">
        <v>52</v>
      </c>
      <c r="F683" s="6" t="s">
        <v>58</v>
      </c>
      <c r="G683" s="6" t="str">
        <f>SUBSTITUTE(Raw_Data!G683,"Ã©","é")</f>
        <v>Trekking Poles</v>
      </c>
      <c r="H683" s="6">
        <v>1</v>
      </c>
      <c r="I683" s="6" t="s">
        <v>113</v>
      </c>
      <c r="J683" s="6" t="s">
        <v>113</v>
      </c>
      <c r="K683" s="6">
        <v>0.38</v>
      </c>
      <c r="L683" s="6" t="s">
        <v>33</v>
      </c>
      <c r="M683" s="6" t="s">
        <v>34</v>
      </c>
      <c r="N683" s="6"/>
    </row>
    <row r="684" spans="1:14">
      <c r="A684" s="6" t="s">
        <v>1483</v>
      </c>
      <c r="B684" s="7">
        <v>46140</v>
      </c>
      <c r="C684" s="6" t="s">
        <v>1484</v>
      </c>
      <c r="D684" s="6" t="str">
        <f>IF(OR(PROPER(TRIM(Raw_Data!D684))="Uk",PROPER(TRIM(Raw_Data!D684))="Gb",PROPER(TRIM(Raw_Data!D684))="United kingdom"),"United Kingdom",PROPER(TRIM(Raw_Data!D684)))</f>
        <v>France</v>
      </c>
      <c r="E684" s="6" t="s">
        <v>28</v>
      </c>
      <c r="F684" s="6" t="s">
        <v>58</v>
      </c>
      <c r="G684" s="6" t="str">
        <f>SUBSTITUTE(Raw_Data!G684,"Ã©","é")</f>
        <v>Summit Down Gilet</v>
      </c>
      <c r="H684" s="6">
        <v>3</v>
      </c>
      <c r="I684" s="6" t="s">
        <v>265</v>
      </c>
      <c r="J684" s="6" t="s">
        <v>401</v>
      </c>
      <c r="K684" s="6">
        <v>0.38</v>
      </c>
      <c r="L684" s="6" t="s">
        <v>42</v>
      </c>
      <c r="M684" s="6" t="s">
        <v>34</v>
      </c>
      <c r="N684" s="6"/>
    </row>
    <row r="685" spans="1:14">
      <c r="A685" s="6" t="s">
        <v>1485</v>
      </c>
      <c r="B685" s="7">
        <v>46058</v>
      </c>
      <c r="C685" s="6" t="s">
        <v>766</v>
      </c>
      <c r="D685" s="6" t="str">
        <f>IF(OR(PROPER(TRIM(Raw_Data!D685))="Uk",PROPER(TRIM(Raw_Data!D685))="Gb",PROPER(TRIM(Raw_Data!D685))="United kingdom"),"United Kingdom",PROPER(TRIM(Raw_Data!D685)))</f>
        <v>United Kingdom</v>
      </c>
      <c r="E685" s="6" t="s">
        <v>52</v>
      </c>
      <c r="F685" s="6" t="s">
        <v>38</v>
      </c>
      <c r="G685" s="6" t="str">
        <f>SUBSTITUTE(Raw_Data!G685,"Ã©","é")</f>
        <v>Summit Down Gilet</v>
      </c>
      <c r="H685" s="6">
        <v>2</v>
      </c>
      <c r="I685" s="6" t="s">
        <v>96</v>
      </c>
      <c r="J685" s="6" t="s">
        <v>278</v>
      </c>
      <c r="K685" s="6">
        <v>0.52</v>
      </c>
      <c r="L685" s="6" t="s">
        <v>42</v>
      </c>
      <c r="M685" s="6" t="s">
        <v>34</v>
      </c>
      <c r="N685" s="6"/>
    </row>
    <row r="686" spans="1:14">
      <c r="A686" s="6" t="s">
        <v>1486</v>
      </c>
      <c r="B686" s="7">
        <v>46162</v>
      </c>
      <c r="C686" s="6" t="s">
        <v>1487</v>
      </c>
      <c r="D686" s="6" t="str">
        <f>IF(OR(PROPER(TRIM(Raw_Data!D686))="Uk",PROPER(TRIM(Raw_Data!D686))="Gb",PROPER(TRIM(Raw_Data!D686))="United kingdom"),"United Kingdom",PROPER(TRIM(Raw_Data!D686)))</f>
        <v>France</v>
      </c>
      <c r="E686" s="6" t="s">
        <v>37</v>
      </c>
      <c r="F686" s="6" t="s">
        <v>38</v>
      </c>
      <c r="G686" s="6" t="str">
        <f>SUBSTITUTE(Raw_Data!G686,"Ã©","é")</f>
        <v>Summit Down Gilet</v>
      </c>
      <c r="H686" s="6">
        <v>2</v>
      </c>
      <c r="I686" s="6" t="s">
        <v>73</v>
      </c>
      <c r="J686" s="6" t="s">
        <v>837</v>
      </c>
      <c r="K686" s="6">
        <v>0.52</v>
      </c>
      <c r="L686" s="6" t="s">
        <v>42</v>
      </c>
      <c r="M686" s="6" t="s">
        <v>34</v>
      </c>
      <c r="N686" s="6"/>
    </row>
    <row r="687" spans="1:14">
      <c r="A687" s="6" t="s">
        <v>1488</v>
      </c>
      <c r="B687" s="7">
        <v>46126</v>
      </c>
      <c r="C687" s="6" t="s">
        <v>1489</v>
      </c>
      <c r="D687" s="6" t="str">
        <f>IF(OR(PROPER(TRIM(Raw_Data!D687))="Uk",PROPER(TRIM(Raw_Data!D687))="Gb",PROPER(TRIM(Raw_Data!D687))="United kingdom"),"United Kingdom",PROPER(TRIM(Raw_Data!D687)))</f>
        <v>United Kingdom</v>
      </c>
      <c r="E687" s="6" t="s">
        <v>52</v>
      </c>
      <c r="F687" s="6" t="s">
        <v>53</v>
      </c>
      <c r="G687" s="6" t="str">
        <f>SUBSTITUTE(Raw_Data!G687,"Ã©","é")</f>
        <v>Trail Softshell</v>
      </c>
      <c r="H687" s="6">
        <v>1</v>
      </c>
      <c r="I687" s="6" t="s">
        <v>265</v>
      </c>
      <c r="J687" s="6" t="s">
        <v>265</v>
      </c>
      <c r="K687" s="6">
        <v>0.19</v>
      </c>
      <c r="L687" s="6" t="s">
        <v>42</v>
      </c>
      <c r="M687" s="6" t="s">
        <v>34</v>
      </c>
      <c r="N687" s="6"/>
    </row>
    <row r="688" spans="1:14">
      <c r="A688" s="6" t="s">
        <v>1490</v>
      </c>
      <c r="B688" s="7">
        <v>46118</v>
      </c>
      <c r="C688" s="6" t="s">
        <v>1491</v>
      </c>
      <c r="D688" s="6" t="str">
        <f>IF(OR(PROPER(TRIM(Raw_Data!D688))="Uk",PROPER(TRIM(Raw_Data!D688))="Gb",PROPER(TRIM(Raw_Data!D688))="United kingdom"),"United Kingdom",PROPER(TRIM(Raw_Data!D688)))</f>
        <v>France</v>
      </c>
      <c r="E688" s="6" t="s">
        <v>52</v>
      </c>
      <c r="F688" s="6" t="s">
        <v>47</v>
      </c>
      <c r="G688" s="6" t="str">
        <f>SUBSTITUTE(Raw_Data!G688,"Ã©","é")</f>
        <v>Trail Softshell</v>
      </c>
      <c r="H688" s="6">
        <v>1</v>
      </c>
      <c r="I688" s="6" t="s">
        <v>113</v>
      </c>
      <c r="J688" s="6" t="s">
        <v>1456</v>
      </c>
      <c r="K688" s="6">
        <v>8.5000000000000006E-2</v>
      </c>
      <c r="L688" s="6" t="s">
        <v>33</v>
      </c>
      <c r="M688" s="6" t="s">
        <v>34</v>
      </c>
      <c r="N688" s="6"/>
    </row>
    <row r="689" spans="1:14">
      <c r="A689" s="6" t="s">
        <v>1492</v>
      </c>
      <c r="B689" s="7">
        <v>46117</v>
      </c>
      <c r="C689" s="6" t="s">
        <v>1493</v>
      </c>
      <c r="D689" s="6" t="str">
        <f>IF(OR(PROPER(TRIM(Raw_Data!D689))="Uk",PROPER(TRIM(Raw_Data!D689))="Gb",PROPER(TRIM(Raw_Data!D689))="United kingdom"),"United Kingdom",PROPER(TRIM(Raw_Data!D689)))</f>
        <v>United Kingdom</v>
      </c>
      <c r="E689" s="6" t="s">
        <v>37</v>
      </c>
      <c r="F689" s="6" t="s">
        <v>38</v>
      </c>
      <c r="G689" s="6" t="str">
        <f>SUBSTITUTE(Raw_Data!G689,"Ã©","é")</f>
        <v>Merino Base Layer</v>
      </c>
      <c r="H689" s="6">
        <v>1</v>
      </c>
      <c r="I689" s="6" t="s">
        <v>31</v>
      </c>
      <c r="J689" s="6" t="s">
        <v>31</v>
      </c>
      <c r="K689" s="6">
        <v>0.52</v>
      </c>
      <c r="L689" s="6" t="s">
        <v>42</v>
      </c>
      <c r="M689" s="6" t="s">
        <v>34</v>
      </c>
      <c r="N689" s="6"/>
    </row>
    <row r="690" spans="1:14">
      <c r="A690" s="6" t="s">
        <v>1494</v>
      </c>
      <c r="B690" s="7">
        <v>46140</v>
      </c>
      <c r="C690" s="6" t="s">
        <v>1495</v>
      </c>
      <c r="D690" s="6" t="str">
        <f>IF(OR(PROPER(TRIM(Raw_Data!D690))="Uk",PROPER(TRIM(Raw_Data!D690))="Gb",PROPER(TRIM(Raw_Data!D690))="United kingdom"),"United Kingdom",PROPER(TRIM(Raw_Data!D690)))</f>
        <v>United Kingdom</v>
      </c>
      <c r="E690" s="6" t="s">
        <v>46</v>
      </c>
      <c r="F690" s="6" t="s">
        <v>47</v>
      </c>
      <c r="G690" s="6" t="str">
        <f>SUBSTITUTE(Raw_Data!G690,"Ã©","é")</f>
        <v>Fell Runner Cap</v>
      </c>
      <c r="H690" s="6">
        <v>1</v>
      </c>
      <c r="I690" s="6" t="s">
        <v>79</v>
      </c>
      <c r="J690" s="6" t="s">
        <v>79</v>
      </c>
      <c r="K690" s="6">
        <v>8.5000000000000006E-2</v>
      </c>
      <c r="L690" s="6" t="s">
        <v>33</v>
      </c>
      <c r="M690" s="6" t="s">
        <v>69</v>
      </c>
      <c r="N690" s="6"/>
    </row>
    <row r="691" spans="1:14">
      <c r="A691" s="6" t="s">
        <v>1496</v>
      </c>
      <c r="B691" s="7">
        <v>46163</v>
      </c>
      <c r="C691" s="6" t="s">
        <v>1497</v>
      </c>
      <c r="D691" s="6" t="str">
        <f>IF(OR(PROPER(TRIM(Raw_Data!D691))="Uk",PROPER(TRIM(Raw_Data!D691))="Gb",PROPER(TRIM(Raw_Data!D691))="United kingdom"),"United Kingdom",PROPER(TRIM(Raw_Data!D691)))</f>
        <v>Germany</v>
      </c>
      <c r="E691" s="6" t="s">
        <v>52</v>
      </c>
      <c r="F691" s="6" t="s">
        <v>58</v>
      </c>
      <c r="G691" s="6" t="str">
        <f>SUBSTITUTE(Raw_Data!G691,"Ã©","é")</f>
        <v>Trail Softshell</v>
      </c>
      <c r="H691" s="6">
        <v>-1</v>
      </c>
      <c r="I691" s="6" t="s">
        <v>265</v>
      </c>
      <c r="J691" s="8" t="s">
        <v>311</v>
      </c>
      <c r="K691" s="6">
        <v>0.38</v>
      </c>
      <c r="L691" s="6" t="s">
        <v>33</v>
      </c>
      <c r="M691" s="6" t="s">
        <v>34</v>
      </c>
      <c r="N691" s="6"/>
    </row>
    <row r="692" spans="1:14">
      <c r="A692" s="6" t="s">
        <v>1498</v>
      </c>
      <c r="B692" s="7">
        <v>46095</v>
      </c>
      <c r="C692" s="6" t="s">
        <v>1499</v>
      </c>
      <c r="D692" s="6" t="str">
        <f>IF(OR(PROPER(TRIM(Raw_Data!D692))="Uk",PROPER(TRIM(Raw_Data!D692))="Gb",PROPER(TRIM(Raw_Data!D692))="United kingdom"),"United Kingdom",PROPER(TRIM(Raw_Data!D692)))</f>
        <v>Ireland</v>
      </c>
      <c r="E692" s="6" t="s">
        <v>46</v>
      </c>
      <c r="F692" s="6" t="s">
        <v>100</v>
      </c>
      <c r="G692" s="6" t="str">
        <f>SUBSTITUTE(Raw_Data!G692,"Ã©","é")</f>
        <v>Fell Runner Cap</v>
      </c>
      <c r="H692" s="6">
        <v>2</v>
      </c>
      <c r="I692" s="6" t="s">
        <v>31</v>
      </c>
      <c r="J692" s="6" t="s">
        <v>249</v>
      </c>
      <c r="K692" s="6">
        <v>0.64</v>
      </c>
      <c r="L692" s="6" t="s">
        <v>42</v>
      </c>
      <c r="M692" s="6" t="s">
        <v>34</v>
      </c>
      <c r="N692" s="6"/>
    </row>
    <row r="693" spans="1:14">
      <c r="A693" s="6" t="s">
        <v>1500</v>
      </c>
      <c r="B693" s="7">
        <v>46194</v>
      </c>
      <c r="C693" s="6" t="s">
        <v>1388</v>
      </c>
      <c r="D693" s="6" t="str">
        <f>IF(OR(PROPER(TRIM(Raw_Data!D693))="Uk",PROPER(TRIM(Raw_Data!D693))="Gb",PROPER(TRIM(Raw_Data!D693))="United kingdom"),"United Kingdom",PROPER(TRIM(Raw_Data!D693)))</f>
        <v>United Kingdom</v>
      </c>
      <c r="E693" s="6" t="s">
        <v>46</v>
      </c>
      <c r="F693" s="6" t="s">
        <v>94</v>
      </c>
      <c r="G693" s="6" t="str">
        <f>SUBSTITUTE(Raw_Data!G693,"Ã©","é")</f>
        <v>Summit Down Gilet</v>
      </c>
      <c r="H693" s="6">
        <v>1</v>
      </c>
      <c r="I693" s="6" t="s">
        <v>181</v>
      </c>
      <c r="J693" s="6" t="s">
        <v>181</v>
      </c>
      <c r="K693" s="6">
        <v>0.34</v>
      </c>
      <c r="L693" s="6" t="s">
        <v>42</v>
      </c>
      <c r="M693" s="6" t="s">
        <v>34</v>
      </c>
      <c r="N693" s="6"/>
    </row>
    <row r="694" spans="1:14">
      <c r="A694" s="6" t="s">
        <v>1501</v>
      </c>
      <c r="B694" s="7">
        <v>46126</v>
      </c>
      <c r="C694" s="6" t="s">
        <v>1502</v>
      </c>
      <c r="D694" s="6" t="str">
        <f>IF(OR(PROPER(TRIM(Raw_Data!D694))="Uk",PROPER(TRIM(Raw_Data!D694))="Gb",PROPER(TRIM(Raw_Data!D694))="United kingdom"),"United Kingdom",PROPER(TRIM(Raw_Data!D694)))</f>
        <v>United Kingdom</v>
      </c>
      <c r="E694" s="6" t="s">
        <v>28</v>
      </c>
      <c r="F694" s="6" t="s">
        <v>58</v>
      </c>
      <c r="G694" s="6" t="str">
        <f>SUBSTITUTE(Raw_Data!G694,"Ã©","é")</f>
        <v>Alpine Jacket</v>
      </c>
      <c r="H694" s="6">
        <v>2</v>
      </c>
      <c r="I694" s="6" t="s">
        <v>113</v>
      </c>
      <c r="J694" s="6" t="s">
        <v>192</v>
      </c>
      <c r="K694" s="6">
        <v>0.38</v>
      </c>
      <c r="L694" s="6" t="s">
        <v>42</v>
      </c>
      <c r="M694" s="6" t="s">
        <v>69</v>
      </c>
      <c r="N694" s="6"/>
    </row>
    <row r="695" spans="1:14">
      <c r="A695" s="6" t="s">
        <v>1503</v>
      </c>
      <c r="B695" s="7">
        <v>46106</v>
      </c>
      <c r="C695" s="6" t="s">
        <v>1497</v>
      </c>
      <c r="D695" s="6" t="str">
        <f>IF(OR(PROPER(TRIM(Raw_Data!D695))="Uk",PROPER(TRIM(Raw_Data!D695))="Gb",PROPER(TRIM(Raw_Data!D695))="United kingdom"),"United Kingdom",PROPER(TRIM(Raw_Data!D695)))</f>
        <v>United Kingdom</v>
      </c>
      <c r="E695" s="6" t="s">
        <v>28</v>
      </c>
      <c r="F695" s="6" t="s">
        <v>38</v>
      </c>
      <c r="G695" s="6" t="str">
        <f>SUBSTITUTE(Raw_Data!G695,"Ã©","é")</f>
        <v>Café Latte Mug</v>
      </c>
      <c r="H695" s="6">
        <v>1</v>
      </c>
      <c r="I695" s="6" t="s">
        <v>1430</v>
      </c>
      <c r="J695" s="6" t="s">
        <v>143</v>
      </c>
      <c r="K695" s="6">
        <v>0.52</v>
      </c>
      <c r="L695" s="6" t="s">
        <v>42</v>
      </c>
      <c r="M695" s="6" t="s">
        <v>69</v>
      </c>
      <c r="N695" s="6"/>
    </row>
    <row r="696" spans="1:14">
      <c r="A696" s="6" t="s">
        <v>1504</v>
      </c>
      <c r="B696" s="7">
        <v>46025</v>
      </c>
      <c r="C696" s="6" t="s">
        <v>1505</v>
      </c>
      <c r="D696" s="6" t="str">
        <f>IF(OR(PROPER(TRIM(Raw_Data!D696))="Uk",PROPER(TRIM(Raw_Data!D696))="Gb",PROPER(TRIM(Raw_Data!D696))="United kingdom"),"United Kingdom",PROPER(TRIM(Raw_Data!D696)))</f>
        <v>France</v>
      </c>
      <c r="E696" s="6" t="s">
        <v>52</v>
      </c>
      <c r="F696" s="6" t="s">
        <v>94</v>
      </c>
      <c r="G696" s="6" t="str">
        <f>SUBSTITUTE(Raw_Data!G696,"Ã©","é")</f>
        <v>Summit Down Gilet</v>
      </c>
      <c r="H696" s="6">
        <v>1</v>
      </c>
      <c r="I696" s="6" t="s">
        <v>79</v>
      </c>
      <c r="J696" s="6" t="s">
        <v>79</v>
      </c>
      <c r="K696" s="6">
        <v>0.34</v>
      </c>
      <c r="L696" s="6" t="s">
        <v>42</v>
      </c>
      <c r="M696" s="6" t="s">
        <v>34</v>
      </c>
      <c r="N696" s="6"/>
    </row>
    <row r="697" spans="1:14">
      <c r="A697" s="6" t="s">
        <v>1506</v>
      </c>
      <c r="B697" s="7">
        <v>46083</v>
      </c>
      <c r="C697" s="6" t="s">
        <v>1507</v>
      </c>
      <c r="D697" s="6" t="str">
        <f>IF(OR(PROPER(TRIM(Raw_Data!D697))="Uk",PROPER(TRIM(Raw_Data!D697))="Gb",PROPER(TRIM(Raw_Data!D697))="United kingdom"),"United Kingdom",PROPER(TRIM(Raw_Data!D697)))</f>
        <v>United Kingdom</v>
      </c>
      <c r="E697" s="6" t="s">
        <v>46</v>
      </c>
      <c r="F697" s="6" t="s">
        <v>38</v>
      </c>
      <c r="G697" s="6" t="str">
        <f>SUBSTITUTE(Raw_Data!G697,"Ã©","é")</f>
        <v>Trail Softshell</v>
      </c>
      <c r="H697" s="6">
        <v>1</v>
      </c>
      <c r="I697" s="6" t="s">
        <v>60</v>
      </c>
      <c r="J697" s="6" t="s">
        <v>1508</v>
      </c>
      <c r="K697" s="6">
        <v>0.52</v>
      </c>
      <c r="L697" s="6" t="s">
        <v>42</v>
      </c>
      <c r="M697" s="6" t="s">
        <v>69</v>
      </c>
      <c r="N697" s="6"/>
    </row>
    <row r="698" spans="1:14">
      <c r="A698" s="6" t="s">
        <v>1509</v>
      </c>
      <c r="B698" s="7">
        <v>46361</v>
      </c>
      <c r="C698" s="6" t="s">
        <v>501</v>
      </c>
      <c r="D698" s="6" t="str">
        <f>IF(OR(PROPER(TRIM(Raw_Data!D698))="Uk",PROPER(TRIM(Raw_Data!D698))="Gb",PROPER(TRIM(Raw_Data!D698))="United kingdom"),"United Kingdom",PROPER(TRIM(Raw_Data!D698)))</f>
        <v>United Kingdom</v>
      </c>
      <c r="E698" s="6" t="s">
        <v>52</v>
      </c>
      <c r="F698" s="6" t="s">
        <v>100</v>
      </c>
      <c r="G698" s="6" t="str">
        <f>SUBSTITUTE(Raw_Data!G698,"Ã©","é")</f>
        <v>Café Latte Mug</v>
      </c>
      <c r="H698" s="6">
        <v>2</v>
      </c>
      <c r="I698" s="6" t="s">
        <v>82</v>
      </c>
      <c r="J698" s="6" t="s">
        <v>297</v>
      </c>
      <c r="K698" s="6">
        <v>0.64</v>
      </c>
      <c r="L698" s="6" t="s">
        <v>33</v>
      </c>
      <c r="M698" s="6" t="s">
        <v>34</v>
      </c>
      <c r="N698" s="6"/>
    </row>
    <row r="699" spans="1:14">
      <c r="A699" s="6" t="s">
        <v>1510</v>
      </c>
      <c r="B699" s="7">
        <v>46073</v>
      </c>
      <c r="C699" s="6" t="s">
        <v>1511</v>
      </c>
      <c r="D699" s="6" t="str">
        <f>IF(OR(PROPER(TRIM(Raw_Data!D699))="Uk",PROPER(TRIM(Raw_Data!D699))="Gb",PROPER(TRIM(Raw_Data!D699))="United kingdom"),"United Kingdom",PROPER(TRIM(Raw_Data!D699)))</f>
        <v>United Kingdom</v>
      </c>
      <c r="E699" s="6" t="s">
        <v>52</v>
      </c>
      <c r="F699" s="6" t="s">
        <v>85</v>
      </c>
      <c r="G699" s="6" t="str">
        <f>SUBSTITUTE(Raw_Data!G699,"Ã©","é")</f>
        <v>Trail Softshell</v>
      </c>
      <c r="H699" s="6">
        <v>1</v>
      </c>
      <c r="I699" s="6" t="s">
        <v>143</v>
      </c>
      <c r="J699" s="6" t="s">
        <v>143</v>
      </c>
      <c r="K699" s="6">
        <v>0.41</v>
      </c>
      <c r="L699" s="6" t="s">
        <v>42</v>
      </c>
      <c r="M699" s="6" t="s">
        <v>34</v>
      </c>
      <c r="N699" s="6"/>
    </row>
    <row r="700" spans="1:14">
      <c r="A700" s="6" t="s">
        <v>1512</v>
      </c>
      <c r="B700" s="7">
        <v>46176</v>
      </c>
      <c r="C700" s="6" t="s">
        <v>1513</v>
      </c>
      <c r="D700" s="6" t="str">
        <f>IF(OR(PROPER(TRIM(Raw_Data!D700))="Uk",PROPER(TRIM(Raw_Data!D700))="Gb",PROPER(TRIM(Raw_Data!D700))="United kingdom"),"United Kingdom",PROPER(TRIM(Raw_Data!D700)))</f>
        <v>United Kingdom</v>
      </c>
      <c r="E700" s="6" t="s">
        <v>28</v>
      </c>
      <c r="F700" s="6" t="s">
        <v>47</v>
      </c>
      <c r="G700" s="6" t="str">
        <f>SUBSTITUTE(Raw_Data!G700,"Ã©","é")</f>
        <v>Alpine Jacket</v>
      </c>
      <c r="H700" s="6">
        <v>1</v>
      </c>
      <c r="I700" s="6" t="s">
        <v>79</v>
      </c>
      <c r="J700" s="6" t="s">
        <v>79</v>
      </c>
      <c r="K700" s="6">
        <v>8.5000000000000006E-2</v>
      </c>
      <c r="L700" s="6" t="s">
        <v>42</v>
      </c>
      <c r="M700" s="6" t="s">
        <v>34</v>
      </c>
      <c r="N700" s="6"/>
    </row>
    <row r="701" spans="1:14">
      <c r="A701" s="6" t="s">
        <v>1514</v>
      </c>
      <c r="B701" s="7">
        <v>46083</v>
      </c>
      <c r="C701" s="6" t="s">
        <v>1515</v>
      </c>
      <c r="D701" s="6" t="str">
        <f>IF(OR(PROPER(TRIM(Raw_Data!D701))="Uk",PROPER(TRIM(Raw_Data!D701))="Gb",PROPER(TRIM(Raw_Data!D701))="United kingdom"),"United Kingdom",PROPER(TRIM(Raw_Data!D701)))</f>
        <v>United Kingdom</v>
      </c>
      <c r="E701" s="6" t="s">
        <v>46</v>
      </c>
      <c r="F701" s="6" t="s">
        <v>85</v>
      </c>
      <c r="G701" s="6" t="str">
        <f>SUBSTITUTE(Raw_Data!G701,"Ã©","é")</f>
        <v>Storm Overtrousers</v>
      </c>
      <c r="H701" s="6">
        <v>2</v>
      </c>
      <c r="I701" s="6" t="s">
        <v>31</v>
      </c>
      <c r="J701" s="6" t="s">
        <v>249</v>
      </c>
      <c r="K701" s="6">
        <v>0.41</v>
      </c>
      <c r="L701" s="6" t="s">
        <v>42</v>
      </c>
      <c r="M701" s="6" t="s">
        <v>69</v>
      </c>
      <c r="N701" s="6"/>
    </row>
    <row r="702" spans="1:14">
      <c r="A702" s="6" t="s">
        <v>1516</v>
      </c>
      <c r="B702" s="7">
        <v>46087</v>
      </c>
      <c r="C702" s="6" t="s">
        <v>1517</v>
      </c>
      <c r="D702" s="6" t="str">
        <f>IF(OR(PROPER(TRIM(Raw_Data!D702))="Uk",PROPER(TRIM(Raw_Data!D702))="Gb",PROPER(TRIM(Raw_Data!D702))="United kingdom"),"United Kingdom",PROPER(TRIM(Raw_Data!D702)))</f>
        <v>United Kingdom</v>
      </c>
      <c r="E702" s="6" t="s">
        <v>52</v>
      </c>
      <c r="F702" s="6" t="s">
        <v>85</v>
      </c>
      <c r="G702" s="6" t="str">
        <f>SUBSTITUTE(Raw_Data!G702,"Ã©","é")</f>
        <v>Fell Runner Cap</v>
      </c>
      <c r="H702" s="6">
        <v>1</v>
      </c>
      <c r="I702" s="6" t="s">
        <v>181</v>
      </c>
      <c r="J702" s="6" t="s">
        <v>181</v>
      </c>
      <c r="K702" s="6">
        <v>0.41</v>
      </c>
      <c r="L702" s="6" t="s">
        <v>42</v>
      </c>
      <c r="M702" s="6" t="s">
        <v>34</v>
      </c>
      <c r="N702" s="6"/>
    </row>
    <row r="703" spans="1:14">
      <c r="A703" s="6" t="s">
        <v>1518</v>
      </c>
      <c r="B703" s="7">
        <v>46028</v>
      </c>
      <c r="C703" s="6" t="s">
        <v>1248</v>
      </c>
      <c r="D703" s="6" t="str">
        <f>IF(OR(PROPER(TRIM(Raw_Data!D703))="Uk",PROPER(TRIM(Raw_Data!D703))="Gb",PROPER(TRIM(Raw_Data!D703))="United kingdom"),"United Kingdom",PROPER(TRIM(Raw_Data!D703)))</f>
        <v>United Kingdom</v>
      </c>
      <c r="E703" s="6" t="s">
        <v>46</v>
      </c>
      <c r="F703" s="6" t="s">
        <v>100</v>
      </c>
      <c r="G703" s="6" t="str">
        <f>SUBSTITUTE(Raw_Data!G703,"Ã©","é")</f>
        <v>Storm Overtrousers</v>
      </c>
      <c r="H703" s="6">
        <v>2</v>
      </c>
      <c r="I703" s="6" t="s">
        <v>1519</v>
      </c>
      <c r="J703" s="6" t="s">
        <v>232</v>
      </c>
      <c r="K703" s="6">
        <v>0.64</v>
      </c>
      <c r="L703" s="6" t="s">
        <v>33</v>
      </c>
      <c r="M703" s="6" t="s">
        <v>34</v>
      </c>
      <c r="N703" s="6"/>
    </row>
    <row r="704" spans="1:14">
      <c r="A704" s="6" t="s">
        <v>1520</v>
      </c>
      <c r="B704" s="7">
        <v>46329</v>
      </c>
      <c r="C704" s="6" t="s">
        <v>44</v>
      </c>
      <c r="D704" s="6" t="str">
        <f>IF(OR(PROPER(TRIM(Raw_Data!D704))="Uk",PROPER(TRIM(Raw_Data!D704))="Gb",PROPER(TRIM(Raw_Data!D704))="United kingdom"),"United Kingdom",PROPER(TRIM(Raw_Data!D704)))</f>
        <v>United Kingdom</v>
      </c>
      <c r="E704" s="6" t="s">
        <v>37</v>
      </c>
      <c r="F704" s="6" t="s">
        <v>94</v>
      </c>
      <c r="G704" s="6" t="str">
        <f>SUBSTITUTE(Raw_Data!G704,"Ã©","é")</f>
        <v>Storm Overtrousers</v>
      </c>
      <c r="H704" s="6">
        <v>2</v>
      </c>
      <c r="I704" s="6" t="s">
        <v>82</v>
      </c>
      <c r="J704" s="6" t="s">
        <v>297</v>
      </c>
      <c r="K704" s="6">
        <v>0.34</v>
      </c>
      <c r="L704" s="6" t="s">
        <v>42</v>
      </c>
      <c r="M704" s="6" t="s">
        <v>69</v>
      </c>
      <c r="N704" s="6"/>
    </row>
    <row r="705" spans="1:14">
      <c r="A705" s="6" t="s">
        <v>1521</v>
      </c>
      <c r="B705" s="7">
        <v>46052</v>
      </c>
      <c r="C705" s="6" t="s">
        <v>1433</v>
      </c>
      <c r="D705" s="6" t="str">
        <f>IF(OR(PROPER(TRIM(Raw_Data!D705))="Uk",PROPER(TRIM(Raw_Data!D705))="Gb",PROPER(TRIM(Raw_Data!D705))="United kingdom"),"United Kingdom",PROPER(TRIM(Raw_Data!D705)))</f>
        <v>United Kingdom</v>
      </c>
      <c r="E705" s="6" t="s">
        <v>46</v>
      </c>
      <c r="F705" s="6" t="s">
        <v>85</v>
      </c>
      <c r="G705" s="6" t="str">
        <f>SUBSTITUTE(Raw_Data!G705,"Ã©","é")</f>
        <v>Alpine Jacket</v>
      </c>
      <c r="H705" s="6">
        <v>1</v>
      </c>
      <c r="I705" s="6" t="s">
        <v>96</v>
      </c>
      <c r="J705" s="6" t="s">
        <v>96</v>
      </c>
      <c r="K705" s="6">
        <v>0.41</v>
      </c>
      <c r="L705" s="6" t="s">
        <v>33</v>
      </c>
      <c r="M705" s="6" t="s">
        <v>69</v>
      </c>
      <c r="N705" s="6"/>
    </row>
    <row r="706" spans="1:14">
      <c r="A706" s="6" t="s">
        <v>1522</v>
      </c>
      <c r="B706" s="7">
        <v>46059</v>
      </c>
      <c r="C706" s="6" t="s">
        <v>1523</v>
      </c>
      <c r="D706" s="6" t="str">
        <f>IF(OR(PROPER(TRIM(Raw_Data!D706))="Uk",PROPER(TRIM(Raw_Data!D706))="Gb",PROPER(TRIM(Raw_Data!D706))="United kingdom"),"United Kingdom",PROPER(TRIM(Raw_Data!D706)))</f>
        <v>Ireland</v>
      </c>
      <c r="E706" s="6" t="s">
        <v>28</v>
      </c>
      <c r="F706" s="6" t="s">
        <v>38</v>
      </c>
      <c r="G706" s="6" t="str">
        <f>SUBSTITUTE(Raw_Data!G706,"Ã©","é")</f>
        <v>Café Latte Mug</v>
      </c>
      <c r="H706" s="6">
        <v>2</v>
      </c>
      <c r="I706" s="6" t="s">
        <v>90</v>
      </c>
      <c r="J706" s="6" t="s">
        <v>154</v>
      </c>
      <c r="K706" s="6">
        <v>0.52</v>
      </c>
      <c r="L706" s="6" t="s">
        <v>42</v>
      </c>
      <c r="M706" s="6" t="s">
        <v>34</v>
      </c>
      <c r="N706" s="6"/>
    </row>
    <row r="707" spans="1:14">
      <c r="A707" s="6" t="s">
        <v>1524</v>
      </c>
      <c r="B707" s="7">
        <v>46061</v>
      </c>
      <c r="C707" s="6" t="s">
        <v>1525</v>
      </c>
      <c r="D707" s="6" t="str">
        <f>IF(OR(PROPER(TRIM(Raw_Data!D707))="Uk",PROPER(TRIM(Raw_Data!D707))="Gb",PROPER(TRIM(Raw_Data!D707))="United kingdom"),"United Kingdom",PROPER(TRIM(Raw_Data!D707)))</f>
        <v>United Kingdom</v>
      </c>
      <c r="E707" s="6" t="s">
        <v>37</v>
      </c>
      <c r="F707" s="6" t="s">
        <v>58</v>
      </c>
      <c r="G707" s="6" t="str">
        <f>SUBSTITUTE(Raw_Data!G707,"Ã©","é")</f>
        <v>Storm Overtrousers</v>
      </c>
      <c r="H707" s="6">
        <v>1</v>
      </c>
      <c r="I707" s="6" t="s">
        <v>265</v>
      </c>
      <c r="J707" s="6" t="s">
        <v>265</v>
      </c>
      <c r="K707" s="6">
        <v>0.38</v>
      </c>
      <c r="L707" s="6" t="s">
        <v>33</v>
      </c>
      <c r="M707" s="6" t="s">
        <v>34</v>
      </c>
      <c r="N707" s="6"/>
    </row>
    <row r="708" spans="1:14">
      <c r="A708" s="6" t="s">
        <v>1526</v>
      </c>
      <c r="B708" s="7">
        <v>46057</v>
      </c>
      <c r="C708" s="6" t="s">
        <v>1283</v>
      </c>
      <c r="D708" s="6" t="str">
        <f>IF(OR(PROPER(TRIM(Raw_Data!D708))="Uk",PROPER(TRIM(Raw_Data!D708))="Gb",PROPER(TRIM(Raw_Data!D708))="United kingdom"),"United Kingdom",PROPER(TRIM(Raw_Data!D708)))</f>
        <v>United Kingdom</v>
      </c>
      <c r="E708" s="6" t="s">
        <v>78</v>
      </c>
      <c r="F708" s="6" t="s">
        <v>47</v>
      </c>
      <c r="G708" s="6" t="str">
        <f>SUBSTITUTE(Raw_Data!G708,"Ã©","é")</f>
        <v>Trail Softshell</v>
      </c>
      <c r="H708" s="6">
        <v>2</v>
      </c>
      <c r="I708" s="6" t="s">
        <v>73</v>
      </c>
      <c r="J708" s="6" t="s">
        <v>74</v>
      </c>
      <c r="K708" s="6">
        <v>8.5000000000000006E-2</v>
      </c>
      <c r="L708" s="6" t="s">
        <v>33</v>
      </c>
      <c r="M708" s="6" t="s">
        <v>34</v>
      </c>
      <c r="N708" s="6"/>
    </row>
    <row r="709" spans="1:14">
      <c r="A709" s="6" t="s">
        <v>1527</v>
      </c>
      <c r="B709" s="7">
        <v>46136</v>
      </c>
      <c r="C709" s="6" t="s">
        <v>1528</v>
      </c>
      <c r="D709" s="6" t="str">
        <f>IF(OR(PROPER(TRIM(Raw_Data!D709))="Uk",PROPER(TRIM(Raw_Data!D709))="Gb",PROPER(TRIM(Raw_Data!D709))="United kingdom"),"United Kingdom",PROPER(TRIM(Raw_Data!D709)))</f>
        <v>United Kingdom</v>
      </c>
      <c r="E709" s="6" t="s">
        <v>28</v>
      </c>
      <c r="F709" s="6" t="s">
        <v>58</v>
      </c>
      <c r="G709" s="6" t="str">
        <f>SUBSTITUTE(Raw_Data!G709,"Ã©","é")</f>
        <v>Summit Down Gilet</v>
      </c>
      <c r="H709" s="6">
        <v>-2</v>
      </c>
      <c r="I709" s="6" t="s">
        <v>90</v>
      </c>
      <c r="J709" s="8" t="s">
        <v>292</v>
      </c>
      <c r="K709" s="6">
        <v>0.38</v>
      </c>
      <c r="L709" s="6" t="s">
        <v>33</v>
      </c>
      <c r="M709" s="6" t="s">
        <v>34</v>
      </c>
      <c r="N709" s="6"/>
    </row>
    <row r="710" spans="1:14">
      <c r="A710" s="6" t="s">
        <v>1529</v>
      </c>
      <c r="B710" s="7">
        <v>46235</v>
      </c>
      <c r="C710" s="6" t="s">
        <v>1530</v>
      </c>
      <c r="D710" s="6" t="str">
        <f>IF(OR(PROPER(TRIM(Raw_Data!D710))="Uk",PROPER(TRIM(Raw_Data!D710))="Gb",PROPER(TRIM(Raw_Data!D710))="United kingdom"),"United Kingdom",PROPER(TRIM(Raw_Data!D710)))</f>
        <v>United Kingdom</v>
      </c>
      <c r="E710" s="6" t="s">
        <v>28</v>
      </c>
      <c r="F710" s="6" t="s">
        <v>29</v>
      </c>
      <c r="G710" s="6" t="str">
        <f>SUBSTITUTE(Raw_Data!G710,"Ã©","é")</f>
        <v>Fell Runner Cap</v>
      </c>
      <c r="H710" s="6">
        <v>1</v>
      </c>
      <c r="I710" s="6" t="s">
        <v>113</v>
      </c>
      <c r="J710" s="6" t="s">
        <v>113</v>
      </c>
      <c r="K710" s="6">
        <v>0.52</v>
      </c>
      <c r="L710" s="6" t="s">
        <v>42</v>
      </c>
      <c r="M710" s="6" t="s">
        <v>34</v>
      </c>
      <c r="N710" s="6"/>
    </row>
    <row r="711" spans="1:14">
      <c r="A711" s="6" t="s">
        <v>1531</v>
      </c>
      <c r="B711" s="7">
        <v>46168</v>
      </c>
      <c r="C711" s="6" t="s">
        <v>1532</v>
      </c>
      <c r="D711" s="6" t="str">
        <f>IF(OR(PROPER(TRIM(Raw_Data!D711))="Uk",PROPER(TRIM(Raw_Data!D711))="Gb",PROPER(TRIM(Raw_Data!D711))="United kingdom"),"United Kingdom",PROPER(TRIM(Raw_Data!D711)))</f>
        <v>United Kingdom</v>
      </c>
      <c r="E711" s="6" t="s">
        <v>28</v>
      </c>
      <c r="F711" s="6" t="s">
        <v>29</v>
      </c>
      <c r="G711" s="6" t="str">
        <f>SUBSTITUTE(Raw_Data!G711,"Ã©","é")</f>
        <v>Summit Down Gilet</v>
      </c>
      <c r="H711" s="6">
        <v>1</v>
      </c>
      <c r="I711" s="6" t="s">
        <v>31</v>
      </c>
      <c r="J711" s="6" t="s">
        <v>31</v>
      </c>
      <c r="K711" s="6">
        <v>0.52</v>
      </c>
      <c r="L711" s="6" t="s">
        <v>42</v>
      </c>
      <c r="M711" s="6" t="s">
        <v>34</v>
      </c>
      <c r="N711" s="6"/>
    </row>
    <row r="712" spans="1:14">
      <c r="A712" s="6" t="s">
        <v>1533</v>
      </c>
      <c r="B712" s="7">
        <v>46127</v>
      </c>
      <c r="C712" s="6" t="s">
        <v>1534</v>
      </c>
      <c r="D712" s="6" t="str">
        <f>IF(OR(PROPER(TRIM(Raw_Data!D712))="Uk",PROPER(TRIM(Raw_Data!D712))="Gb",PROPER(TRIM(Raw_Data!D712))="United kingdom"),"United Kingdom",PROPER(TRIM(Raw_Data!D712)))</f>
        <v>United Kingdom</v>
      </c>
      <c r="E712" s="6" t="s">
        <v>28</v>
      </c>
      <c r="F712" s="6" t="s">
        <v>47</v>
      </c>
      <c r="G712" s="6" t="str">
        <f>SUBSTITUTE(Raw_Data!G712,"Ã©","é")</f>
        <v>Trekking Poles</v>
      </c>
      <c r="H712" s="6">
        <v>1</v>
      </c>
      <c r="I712" s="6" t="s">
        <v>90</v>
      </c>
      <c r="J712" s="6" t="s">
        <v>90</v>
      </c>
      <c r="K712" s="6">
        <v>8.5000000000000006E-2</v>
      </c>
      <c r="L712" s="6" t="s">
        <v>42</v>
      </c>
      <c r="M712" s="6" t="s">
        <v>69</v>
      </c>
      <c r="N712" s="6"/>
    </row>
    <row r="713" spans="1:14">
      <c r="A713" s="6" t="s">
        <v>1535</v>
      </c>
      <c r="B713" s="7">
        <v>46270</v>
      </c>
      <c r="C713" s="6" t="s">
        <v>1474</v>
      </c>
      <c r="D713" s="6" t="str">
        <f>IF(OR(PROPER(TRIM(Raw_Data!D713))="Uk",PROPER(TRIM(Raw_Data!D713))="Gb",PROPER(TRIM(Raw_Data!D713))="United kingdom"),"United Kingdom",PROPER(TRIM(Raw_Data!D713)))</f>
        <v>United Kingdom</v>
      </c>
      <c r="E713" s="6" t="s">
        <v>52</v>
      </c>
      <c r="F713" s="6" t="s">
        <v>53</v>
      </c>
      <c r="G713" s="6" t="str">
        <f>SUBSTITUTE(Raw_Data!G713,"Ã©","é")</f>
        <v>Trekking Poles</v>
      </c>
      <c r="H713" s="6">
        <v>3</v>
      </c>
      <c r="I713" s="6" t="s">
        <v>31</v>
      </c>
      <c r="J713" s="6" t="s">
        <v>337</v>
      </c>
      <c r="K713" s="6">
        <v>0.19</v>
      </c>
      <c r="L713" s="6" t="s">
        <v>42</v>
      </c>
      <c r="M713" s="6" t="s">
        <v>34</v>
      </c>
      <c r="N713" s="6"/>
    </row>
    <row r="714" spans="1:14">
      <c r="A714" s="6" t="s">
        <v>1536</v>
      </c>
      <c r="B714" s="7">
        <v>46078</v>
      </c>
      <c r="C714" s="6" t="s">
        <v>1537</v>
      </c>
      <c r="D714" s="6" t="str">
        <f>IF(OR(PROPER(TRIM(Raw_Data!D714))="Uk",PROPER(TRIM(Raw_Data!D714))="Gb",PROPER(TRIM(Raw_Data!D714))="United kingdom"),"United Kingdom",PROPER(TRIM(Raw_Data!D714)))</f>
        <v>United Kingdom</v>
      </c>
      <c r="E714" s="6" t="s">
        <v>28</v>
      </c>
      <c r="F714" s="6" t="s">
        <v>94</v>
      </c>
      <c r="G714" s="6" t="str">
        <f>SUBSTITUTE(Raw_Data!G714,"Ã©","é")</f>
        <v>Fell Runner Cap</v>
      </c>
      <c r="H714" s="6">
        <v>3</v>
      </c>
      <c r="I714" s="6" t="s">
        <v>265</v>
      </c>
      <c r="J714" s="6" t="s">
        <v>401</v>
      </c>
      <c r="K714" s="6">
        <v>0.34</v>
      </c>
      <c r="L714" s="6" t="s">
        <v>42</v>
      </c>
      <c r="M714" s="6" t="s">
        <v>69</v>
      </c>
      <c r="N714" s="6"/>
    </row>
    <row r="715" spans="1:14">
      <c r="A715" s="6" t="s">
        <v>1538</v>
      </c>
      <c r="B715" s="7">
        <v>46116</v>
      </c>
      <c r="C715" s="6" t="s">
        <v>1539</v>
      </c>
      <c r="D715" s="6" t="str">
        <f>IF(OR(PROPER(TRIM(Raw_Data!D715))="Uk",PROPER(TRIM(Raw_Data!D715))="Gb",PROPER(TRIM(Raw_Data!D715))="United kingdom"),"United Kingdom",PROPER(TRIM(Raw_Data!D715)))</f>
        <v>France</v>
      </c>
      <c r="E715" s="6" t="s">
        <v>78</v>
      </c>
      <c r="F715" s="6" t="s">
        <v>85</v>
      </c>
      <c r="G715" s="6" t="str">
        <f>SUBSTITUTE(Raw_Data!G715,"Ã©","é")</f>
        <v>Merino Base Layer</v>
      </c>
      <c r="H715" s="6">
        <v>1</v>
      </c>
      <c r="I715" s="6" t="s">
        <v>684</v>
      </c>
      <c r="J715" s="6" t="s">
        <v>73</v>
      </c>
      <c r="K715" s="6">
        <v>0.41</v>
      </c>
      <c r="L715" s="6" t="s">
        <v>33</v>
      </c>
      <c r="M715" s="6" t="s">
        <v>69</v>
      </c>
      <c r="N715" s="6"/>
    </row>
    <row r="716" spans="1:14">
      <c r="A716" s="6" t="s">
        <v>1540</v>
      </c>
      <c r="B716" s="7">
        <v>46129</v>
      </c>
      <c r="C716" s="6" t="s">
        <v>1325</v>
      </c>
      <c r="D716" s="6" t="str">
        <f>IF(OR(PROPER(TRIM(Raw_Data!D716))="Uk",PROPER(TRIM(Raw_Data!D716))="Gb",PROPER(TRIM(Raw_Data!D716))="United kingdom"),"United Kingdom",PROPER(TRIM(Raw_Data!D716)))</f>
        <v>United Kingdom</v>
      </c>
      <c r="E716" s="6" t="s">
        <v>28</v>
      </c>
      <c r="F716" s="6" t="s">
        <v>85</v>
      </c>
      <c r="G716" s="6" t="str">
        <f>SUBSTITUTE(Raw_Data!G716,"Ã©","é")</f>
        <v>Café Latte Mug</v>
      </c>
      <c r="H716" s="6">
        <v>2</v>
      </c>
      <c r="I716" s="6" t="s">
        <v>40</v>
      </c>
      <c r="J716" s="6" t="s">
        <v>327</v>
      </c>
      <c r="K716" s="6">
        <v>0.41</v>
      </c>
      <c r="L716" s="6" t="s">
        <v>42</v>
      </c>
      <c r="M716" s="6" t="s">
        <v>69</v>
      </c>
      <c r="N716" s="6"/>
    </row>
    <row r="717" spans="1:14">
      <c r="A717" s="6" t="s">
        <v>1542</v>
      </c>
      <c r="B717" s="7">
        <v>46043</v>
      </c>
      <c r="C717" s="6" t="s">
        <v>1543</v>
      </c>
      <c r="D717" s="6" t="str">
        <f>IF(OR(PROPER(TRIM(Raw_Data!D717))="Uk",PROPER(TRIM(Raw_Data!D717))="Gb",PROPER(TRIM(Raw_Data!D717))="United kingdom"),"United Kingdom",PROPER(TRIM(Raw_Data!D717)))</f>
        <v>Germany</v>
      </c>
      <c r="E717" s="6" t="s">
        <v>46</v>
      </c>
      <c r="F717" s="6" t="s">
        <v>47</v>
      </c>
      <c r="G717" s="6" t="str">
        <f>SUBSTITUTE(Raw_Data!G717,"Ã©","é")</f>
        <v>Storm Overtrousers</v>
      </c>
      <c r="H717" s="6">
        <v>3</v>
      </c>
      <c r="I717" s="6" t="s">
        <v>755</v>
      </c>
      <c r="J717" s="6" t="s">
        <v>1544</v>
      </c>
      <c r="K717" s="6">
        <v>8.5000000000000006E-2</v>
      </c>
      <c r="L717" s="6" t="s">
        <v>33</v>
      </c>
      <c r="M717" s="6" t="s">
        <v>34</v>
      </c>
      <c r="N717" s="6"/>
    </row>
    <row r="718" spans="1:14">
      <c r="A718" s="6" t="s">
        <v>1545</v>
      </c>
      <c r="B718" s="7">
        <v>46204</v>
      </c>
      <c r="C718" s="6" t="s">
        <v>873</v>
      </c>
      <c r="D718" s="6" t="str">
        <f>IF(OR(PROPER(TRIM(Raw_Data!D718))="Uk",PROPER(TRIM(Raw_Data!D718))="Gb",PROPER(TRIM(Raw_Data!D718))="United kingdom"),"United Kingdom",PROPER(TRIM(Raw_Data!D718)))</f>
        <v>Germany</v>
      </c>
      <c r="E718" s="6" t="s">
        <v>52</v>
      </c>
      <c r="F718" s="6" t="s">
        <v>29</v>
      </c>
      <c r="G718" s="6" t="str">
        <f>SUBSTITUTE(Raw_Data!G718,"Ã©","é")</f>
        <v>Storm Overtrousers</v>
      </c>
      <c r="H718" s="6">
        <v>1</v>
      </c>
      <c r="I718" s="6" t="s">
        <v>117</v>
      </c>
      <c r="J718" s="6" t="s">
        <v>117</v>
      </c>
      <c r="K718" s="6">
        <v>0.52</v>
      </c>
      <c r="L718" s="6" t="s">
        <v>42</v>
      </c>
      <c r="M718" s="6" t="s">
        <v>34</v>
      </c>
      <c r="N718" s="6"/>
    </row>
    <row r="719" spans="1:14">
      <c r="A719" s="6" t="s">
        <v>1546</v>
      </c>
      <c r="B719" s="7">
        <v>46080</v>
      </c>
      <c r="C719" s="6" t="s">
        <v>1547</v>
      </c>
      <c r="D719" s="6" t="str">
        <f>IF(OR(PROPER(TRIM(Raw_Data!D719))="Uk",PROPER(TRIM(Raw_Data!D719))="Gb",PROPER(TRIM(Raw_Data!D719))="United kingdom"),"United Kingdom",PROPER(TRIM(Raw_Data!D719)))</f>
        <v>Germany</v>
      </c>
      <c r="E719" s="6" t="s">
        <v>78</v>
      </c>
      <c r="F719" s="6" t="s">
        <v>58</v>
      </c>
      <c r="G719" s="6" t="str">
        <f>SUBSTITUTE(Raw_Data!G719,"Ã©","é")</f>
        <v>Fell Runner Cap</v>
      </c>
      <c r="H719" s="6">
        <v>3</v>
      </c>
      <c r="I719" s="6" t="s">
        <v>60</v>
      </c>
      <c r="J719" s="6" t="s">
        <v>268</v>
      </c>
      <c r="K719" s="6">
        <v>0.38</v>
      </c>
      <c r="L719" s="6" t="s">
        <v>42</v>
      </c>
      <c r="M719" s="6" t="s">
        <v>69</v>
      </c>
      <c r="N719" s="6"/>
    </row>
    <row r="720" spans="1:14">
      <c r="A720" s="6" t="s">
        <v>1548</v>
      </c>
      <c r="B720" s="7">
        <v>46128</v>
      </c>
      <c r="C720" s="6" t="s">
        <v>1549</v>
      </c>
      <c r="D720" s="6" t="str">
        <f>IF(OR(PROPER(TRIM(Raw_Data!D720))="Uk",PROPER(TRIM(Raw_Data!D720))="Gb",PROPER(TRIM(Raw_Data!D720))="United kingdom"),"United Kingdom",PROPER(TRIM(Raw_Data!D720)))</f>
        <v>United Kingdom</v>
      </c>
      <c r="E720" s="6" t="s">
        <v>37</v>
      </c>
      <c r="F720" s="6" t="s">
        <v>53</v>
      </c>
      <c r="G720" s="6" t="str">
        <f>SUBSTITUTE(Raw_Data!G720,"Ã©","é")</f>
        <v>Trekking Poles</v>
      </c>
      <c r="H720" s="6">
        <v>1</v>
      </c>
      <c r="I720" s="6" t="s">
        <v>31</v>
      </c>
      <c r="J720" s="6" t="s">
        <v>31</v>
      </c>
      <c r="K720" s="6">
        <v>0.19</v>
      </c>
      <c r="L720" s="6" t="s">
        <v>42</v>
      </c>
      <c r="M720" s="6" t="s">
        <v>34</v>
      </c>
      <c r="N720" s="6"/>
    </row>
    <row r="721" spans="1:14">
      <c r="A721" s="6" t="s">
        <v>1550</v>
      </c>
      <c r="B721" s="7">
        <v>46189</v>
      </c>
      <c r="C721" s="6" t="s">
        <v>1551</v>
      </c>
      <c r="D721" s="6" t="str">
        <f>IF(OR(PROPER(TRIM(Raw_Data!D721))="Uk",PROPER(TRIM(Raw_Data!D721))="Gb",PROPER(TRIM(Raw_Data!D721))="United kingdom"),"United Kingdom",PROPER(TRIM(Raw_Data!D721)))</f>
        <v>France</v>
      </c>
      <c r="E721" s="6" t="s">
        <v>78</v>
      </c>
      <c r="F721" s="6" t="s">
        <v>58</v>
      </c>
      <c r="G721" s="6" t="str">
        <f>SUBSTITUTE(Raw_Data!G721,"Ã©","é")</f>
        <v>Summit Down Gilet</v>
      </c>
      <c r="H721" s="6">
        <v>2</v>
      </c>
      <c r="I721" s="6" t="s">
        <v>143</v>
      </c>
      <c r="J721" s="6" t="s">
        <v>144</v>
      </c>
      <c r="K721" s="6">
        <v>0.38</v>
      </c>
      <c r="L721" s="6" t="s">
        <v>42</v>
      </c>
      <c r="M721" s="6" t="s">
        <v>34</v>
      </c>
      <c r="N721" s="6"/>
    </row>
    <row r="722" spans="1:14">
      <c r="A722" s="6" t="s">
        <v>1552</v>
      </c>
      <c r="B722" s="7">
        <v>46037</v>
      </c>
      <c r="C722" s="6" t="s">
        <v>343</v>
      </c>
      <c r="D722" s="6" t="str">
        <f>IF(OR(PROPER(TRIM(Raw_Data!D722))="Uk",PROPER(TRIM(Raw_Data!D722))="Gb",PROPER(TRIM(Raw_Data!D722))="United kingdom"),"United Kingdom",PROPER(TRIM(Raw_Data!D722)))</f>
        <v>United Kingdom</v>
      </c>
      <c r="E722" s="6" t="s">
        <v>37</v>
      </c>
      <c r="F722" s="6" t="s">
        <v>53</v>
      </c>
      <c r="G722" s="6" t="str">
        <f>SUBSTITUTE(Raw_Data!G722,"Ã©","é")</f>
        <v>Merino Base Layer</v>
      </c>
      <c r="H722" s="6">
        <v>2</v>
      </c>
      <c r="I722" s="6" t="s">
        <v>96</v>
      </c>
      <c r="J722" s="6" t="s">
        <v>278</v>
      </c>
      <c r="K722" s="6">
        <v>0.19</v>
      </c>
      <c r="L722" s="6" t="s">
        <v>42</v>
      </c>
      <c r="M722" s="6" t="s">
        <v>34</v>
      </c>
      <c r="N722" s="6"/>
    </row>
    <row r="723" spans="1:14">
      <c r="A723" s="6" t="s">
        <v>1553</v>
      </c>
      <c r="B723" s="7">
        <v>46268</v>
      </c>
      <c r="C723" s="6" t="s">
        <v>1554</v>
      </c>
      <c r="D723" s="6" t="str">
        <f>IF(OR(PROPER(TRIM(Raw_Data!D723))="Uk",PROPER(TRIM(Raw_Data!D723))="Gb",PROPER(TRIM(Raw_Data!D723))="United kingdom"),"United Kingdom",PROPER(TRIM(Raw_Data!D723)))</f>
        <v>Ireland</v>
      </c>
      <c r="E723" s="6" t="s">
        <v>28</v>
      </c>
      <c r="F723" s="6" t="s">
        <v>38</v>
      </c>
      <c r="G723" s="6" t="str">
        <f>SUBSTITUTE(Raw_Data!G723,"Ã©","é")</f>
        <v>Summit Down Gilet</v>
      </c>
      <c r="H723" s="6">
        <v>2</v>
      </c>
      <c r="I723" s="6" t="s">
        <v>31</v>
      </c>
      <c r="J723" s="6" t="s">
        <v>249</v>
      </c>
      <c r="K723" s="6">
        <v>0.52</v>
      </c>
      <c r="L723" s="6" t="s">
        <v>42</v>
      </c>
      <c r="M723" s="6" t="s">
        <v>34</v>
      </c>
      <c r="N723" s="6"/>
    </row>
    <row r="724" spans="1:14">
      <c r="A724" s="6" t="s">
        <v>1555</v>
      </c>
      <c r="B724" s="7">
        <v>46195</v>
      </c>
      <c r="C724" s="6" t="s">
        <v>707</v>
      </c>
      <c r="D724" s="6" t="str">
        <f>IF(OR(PROPER(TRIM(Raw_Data!D724))="Uk",PROPER(TRIM(Raw_Data!D724))="Gb",PROPER(TRIM(Raw_Data!D724))="United kingdom"),"United Kingdom",PROPER(TRIM(Raw_Data!D724)))</f>
        <v>United Kingdom</v>
      </c>
      <c r="E724" s="6" t="s">
        <v>46</v>
      </c>
      <c r="F724" s="6" t="s">
        <v>94</v>
      </c>
      <c r="G724" s="6" t="str">
        <f>SUBSTITUTE(Raw_Data!G724,"Ã©","é")</f>
        <v>Merino Base Layer</v>
      </c>
      <c r="H724" s="6">
        <v>2</v>
      </c>
      <c r="I724" s="6" t="s">
        <v>117</v>
      </c>
      <c r="J724" s="6" t="s">
        <v>118</v>
      </c>
      <c r="K724" s="6">
        <v>0.34</v>
      </c>
      <c r="L724" s="6" t="s">
        <v>42</v>
      </c>
      <c r="M724" s="6" t="s">
        <v>34</v>
      </c>
      <c r="N724" s="6"/>
    </row>
    <row r="725" spans="1:14">
      <c r="A725" s="6" t="s">
        <v>1556</v>
      </c>
      <c r="B725" s="7">
        <v>46330</v>
      </c>
      <c r="C725" s="6" t="s">
        <v>1557</v>
      </c>
      <c r="D725" s="6" t="str">
        <f>IF(OR(PROPER(TRIM(Raw_Data!D725))="Uk",PROPER(TRIM(Raw_Data!D725))="Gb",PROPER(TRIM(Raw_Data!D725))="United kingdom"),"United Kingdom",PROPER(TRIM(Raw_Data!D725)))</f>
        <v>United Kingdom</v>
      </c>
      <c r="E725" s="6" t="s">
        <v>52</v>
      </c>
      <c r="F725" s="6" t="s">
        <v>38</v>
      </c>
      <c r="G725" s="6" t="str">
        <f>SUBSTITUTE(Raw_Data!G725,"Ã©","é")</f>
        <v>Trail Softshell</v>
      </c>
      <c r="H725" s="6">
        <v>1</v>
      </c>
      <c r="I725" s="6" t="s">
        <v>96</v>
      </c>
      <c r="J725" s="6" t="s">
        <v>96</v>
      </c>
      <c r="K725" s="6">
        <v>0.52</v>
      </c>
      <c r="L725" s="6" t="s">
        <v>42</v>
      </c>
      <c r="M725" s="6" t="s">
        <v>34</v>
      </c>
      <c r="N725" s="6"/>
    </row>
    <row r="726" spans="1:14">
      <c r="A726" s="6" t="s">
        <v>1558</v>
      </c>
      <c r="B726" s="7">
        <v>46071</v>
      </c>
      <c r="C726" s="6" t="s">
        <v>1560</v>
      </c>
      <c r="D726" s="6" t="str">
        <f>IF(OR(PROPER(TRIM(Raw_Data!D726))="Uk",PROPER(TRIM(Raw_Data!D726))="Gb",PROPER(TRIM(Raw_Data!D726))="United kingdom"),"United Kingdom",PROPER(TRIM(Raw_Data!D726)))</f>
        <v>United Kingdom</v>
      </c>
      <c r="E726" s="6" t="s">
        <v>78</v>
      </c>
      <c r="F726" s="6" t="s">
        <v>58</v>
      </c>
      <c r="G726" s="6" t="str">
        <f>SUBSTITUTE(Raw_Data!G726,"Ã©","é")</f>
        <v>Café Latte Mug</v>
      </c>
      <c r="H726" s="6">
        <v>3</v>
      </c>
      <c r="I726" s="6" t="s">
        <v>90</v>
      </c>
      <c r="J726" s="6" t="s">
        <v>102</v>
      </c>
      <c r="K726" s="6">
        <v>0.38</v>
      </c>
      <c r="L726" s="6" t="s">
        <v>42</v>
      </c>
      <c r="M726" s="6" t="s">
        <v>34</v>
      </c>
      <c r="N726" s="6"/>
    </row>
    <row r="727" spans="1:14">
      <c r="A727" s="6" t="s">
        <v>1561</v>
      </c>
      <c r="B727" s="7">
        <v>46266</v>
      </c>
      <c r="C727" s="6" t="s">
        <v>280</v>
      </c>
      <c r="D727" s="6" t="str">
        <f>IF(OR(PROPER(TRIM(Raw_Data!D727))="Uk",PROPER(TRIM(Raw_Data!D727))="Gb",PROPER(TRIM(Raw_Data!D727))="United kingdom"),"United Kingdom",PROPER(TRIM(Raw_Data!D727)))</f>
        <v>United Kingdom</v>
      </c>
      <c r="E727" s="6" t="s">
        <v>78</v>
      </c>
      <c r="F727" s="6" t="s">
        <v>53</v>
      </c>
      <c r="G727" s="6" t="str">
        <f>SUBSTITUTE(Raw_Data!G727,"Ã©","é")</f>
        <v>Trail Softshell</v>
      </c>
      <c r="H727" s="6">
        <v>1</v>
      </c>
      <c r="I727" s="6" t="s">
        <v>79</v>
      </c>
      <c r="J727" s="6" t="s">
        <v>79</v>
      </c>
      <c r="K727" s="6">
        <v>0.19</v>
      </c>
      <c r="L727" s="6" t="s">
        <v>33</v>
      </c>
      <c r="M727" s="6" t="s">
        <v>34</v>
      </c>
      <c r="N727" s="6"/>
    </row>
    <row r="728" spans="1:14">
      <c r="A728" s="6" t="s">
        <v>1562</v>
      </c>
      <c r="B728" s="7">
        <v>46209</v>
      </c>
      <c r="C728" s="6" t="s">
        <v>970</v>
      </c>
      <c r="D728" s="6" t="str">
        <f>IF(OR(PROPER(TRIM(Raw_Data!D728))="Uk",PROPER(TRIM(Raw_Data!D728))="Gb",PROPER(TRIM(Raw_Data!D728))="United kingdom"),"United Kingdom",PROPER(TRIM(Raw_Data!D728)))</f>
        <v>Ireland</v>
      </c>
      <c r="E728" s="6" t="s">
        <v>46</v>
      </c>
      <c r="F728" s="6" t="s">
        <v>85</v>
      </c>
      <c r="G728" s="6" t="str">
        <f>SUBSTITUTE(Raw_Data!G728,"Ã©","é")</f>
        <v>Summit Down Gilet</v>
      </c>
      <c r="H728" s="6">
        <v>3</v>
      </c>
      <c r="I728" s="6" t="s">
        <v>82</v>
      </c>
      <c r="J728" s="6" t="s">
        <v>390</v>
      </c>
      <c r="K728" s="6">
        <v>0.41</v>
      </c>
      <c r="L728" s="6" t="s">
        <v>42</v>
      </c>
      <c r="M728" s="6" t="s">
        <v>34</v>
      </c>
      <c r="N728" s="6"/>
    </row>
    <row r="729" spans="1:14">
      <c r="A729" s="6" t="s">
        <v>1563</v>
      </c>
      <c r="B729" s="7">
        <v>46081</v>
      </c>
      <c r="C729" s="6" t="s">
        <v>1564</v>
      </c>
      <c r="D729" s="6" t="str">
        <f>IF(OR(PROPER(TRIM(Raw_Data!D729))="Uk",PROPER(TRIM(Raw_Data!D729))="Gb",PROPER(TRIM(Raw_Data!D729))="United kingdom"),"United Kingdom",PROPER(TRIM(Raw_Data!D729)))</f>
        <v>United Kingdom</v>
      </c>
      <c r="E729" s="6" t="s">
        <v>52</v>
      </c>
      <c r="F729" s="6" t="s">
        <v>100</v>
      </c>
      <c r="G729" s="6" t="str">
        <f>SUBSTITUTE(Raw_Data!G729,"Ã©","é")</f>
        <v>Merino Base Layer</v>
      </c>
      <c r="H729" s="6">
        <v>1</v>
      </c>
      <c r="I729" s="6" t="s">
        <v>31</v>
      </c>
      <c r="J729" s="6" t="s">
        <v>31</v>
      </c>
      <c r="K729" s="6">
        <v>0.64</v>
      </c>
      <c r="L729" s="6" t="s">
        <v>42</v>
      </c>
      <c r="M729" s="6" t="s">
        <v>34</v>
      </c>
      <c r="N729" s="6"/>
    </row>
    <row r="730" spans="1:14">
      <c r="A730" s="6" t="s">
        <v>1565</v>
      </c>
      <c r="B730" s="7">
        <v>46053</v>
      </c>
      <c r="C730" s="6" t="s">
        <v>1566</v>
      </c>
      <c r="D730" s="6" t="str">
        <f>IF(OR(PROPER(TRIM(Raw_Data!D730))="Uk",PROPER(TRIM(Raw_Data!D730))="Gb",PROPER(TRIM(Raw_Data!D730))="United kingdom"),"United Kingdom",PROPER(TRIM(Raw_Data!D730)))</f>
        <v>Germany</v>
      </c>
      <c r="E730" s="6" t="s">
        <v>52</v>
      </c>
      <c r="F730" s="6" t="s">
        <v>47</v>
      </c>
      <c r="G730" s="6" t="str">
        <f>SUBSTITUTE(Raw_Data!G730,"Ã©","é")</f>
        <v>Storm Overtrousers</v>
      </c>
      <c r="H730" s="6">
        <v>1</v>
      </c>
      <c r="I730" s="6" t="s">
        <v>79</v>
      </c>
      <c r="J730" s="6" t="s">
        <v>79</v>
      </c>
      <c r="K730" s="6">
        <v>8.5000000000000006E-2</v>
      </c>
      <c r="L730" s="6" t="s">
        <v>33</v>
      </c>
      <c r="M730" s="6" t="s">
        <v>34</v>
      </c>
      <c r="N730" s="6"/>
    </row>
    <row r="731" spans="1:14">
      <c r="A731" s="6" t="s">
        <v>1567</v>
      </c>
      <c r="B731" s="7">
        <v>46057</v>
      </c>
      <c r="C731" s="6" t="s">
        <v>1568</v>
      </c>
      <c r="D731" s="6" t="str">
        <f>IF(OR(PROPER(TRIM(Raw_Data!D731))="Uk",PROPER(TRIM(Raw_Data!D731))="Gb",PROPER(TRIM(Raw_Data!D731))="United kingdom"),"United Kingdom",PROPER(TRIM(Raw_Data!D731)))</f>
        <v>United Kingdom</v>
      </c>
      <c r="E731" s="6" t="s">
        <v>28</v>
      </c>
      <c r="F731" s="6" t="s">
        <v>100</v>
      </c>
      <c r="G731" s="6" t="str">
        <f>SUBSTITUTE(Raw_Data!G731,"Ã©","é")</f>
        <v>Alpine Jacket</v>
      </c>
      <c r="H731" s="6">
        <v>1</v>
      </c>
      <c r="I731" s="6" t="s">
        <v>265</v>
      </c>
      <c r="J731" s="6" t="s">
        <v>265</v>
      </c>
      <c r="K731" s="6">
        <v>0.64</v>
      </c>
      <c r="L731" s="6" t="s">
        <v>42</v>
      </c>
      <c r="M731" s="6" t="s">
        <v>34</v>
      </c>
      <c r="N731" s="6"/>
    </row>
    <row r="732" spans="1:14">
      <c r="A732" s="6" t="s">
        <v>1569</v>
      </c>
      <c r="B732" s="7">
        <v>46162</v>
      </c>
      <c r="C732" s="6" t="s">
        <v>1221</v>
      </c>
      <c r="D732" s="6" t="str">
        <f>IF(OR(PROPER(TRIM(Raw_Data!D732))="Uk",PROPER(TRIM(Raw_Data!D732))="Gb",PROPER(TRIM(Raw_Data!D732))="United kingdom"),"United Kingdom",PROPER(TRIM(Raw_Data!D732)))</f>
        <v>United Kingdom</v>
      </c>
      <c r="E732" s="6" t="s">
        <v>37</v>
      </c>
      <c r="F732" s="6" t="s">
        <v>47</v>
      </c>
      <c r="G732" s="6" t="str">
        <f>SUBSTITUTE(Raw_Data!G732,"Ã©","é")</f>
        <v>Fell Runner Cap</v>
      </c>
      <c r="H732" s="6">
        <v>2</v>
      </c>
      <c r="I732" s="6" t="s">
        <v>31</v>
      </c>
      <c r="J732" s="6" t="s">
        <v>249</v>
      </c>
      <c r="K732" s="6">
        <v>8.5000000000000006E-2</v>
      </c>
      <c r="L732" s="6" t="s">
        <v>42</v>
      </c>
      <c r="M732" s="6" t="s">
        <v>34</v>
      </c>
      <c r="N732" s="6"/>
    </row>
    <row r="733" spans="1:14">
      <c r="A733" s="6" t="s">
        <v>1570</v>
      </c>
      <c r="B733" s="7">
        <v>46208</v>
      </c>
      <c r="C733" s="6" t="s">
        <v>548</v>
      </c>
      <c r="D733" s="6" t="str">
        <f>IF(OR(PROPER(TRIM(Raw_Data!D733))="Uk",PROPER(TRIM(Raw_Data!D733))="Gb",PROPER(TRIM(Raw_Data!D733))="United kingdom"),"United Kingdom",PROPER(TRIM(Raw_Data!D733)))</f>
        <v>United Kingdom</v>
      </c>
      <c r="E733" s="6" t="s">
        <v>78</v>
      </c>
      <c r="F733" s="6" t="s">
        <v>100</v>
      </c>
      <c r="G733" s="6" t="str">
        <f>SUBSTITUTE(Raw_Data!G733,"Ã©","é")</f>
        <v>Alpine Jacket</v>
      </c>
      <c r="H733" s="6">
        <v>1</v>
      </c>
      <c r="I733" s="6" t="s">
        <v>265</v>
      </c>
      <c r="J733" s="6" t="s">
        <v>265</v>
      </c>
      <c r="K733" s="6">
        <v>0.64</v>
      </c>
      <c r="L733" s="6" t="s">
        <v>42</v>
      </c>
      <c r="M733" s="6" t="s">
        <v>34</v>
      </c>
      <c r="N733" s="6"/>
    </row>
    <row r="734" spans="1:14">
      <c r="A734" s="6" t="s">
        <v>1571</v>
      </c>
      <c r="B734" s="7">
        <v>46069</v>
      </c>
      <c r="C734" s="6" t="s">
        <v>884</v>
      </c>
      <c r="D734" s="6" t="str">
        <f>IF(OR(PROPER(TRIM(Raw_Data!D734))="Uk",PROPER(TRIM(Raw_Data!D734))="Gb",PROPER(TRIM(Raw_Data!D734))="United kingdom"),"United Kingdom",PROPER(TRIM(Raw_Data!D734)))</f>
        <v>United Kingdom</v>
      </c>
      <c r="E734" s="6" t="s">
        <v>37</v>
      </c>
      <c r="F734" s="6" t="s">
        <v>58</v>
      </c>
      <c r="G734" s="6" t="str">
        <f>SUBSTITUTE(Raw_Data!G734,"Ã©","é")</f>
        <v>Fell Runner Cap</v>
      </c>
      <c r="H734" s="6">
        <v>2</v>
      </c>
      <c r="I734" s="6" t="s">
        <v>143</v>
      </c>
      <c r="J734" s="6" t="s">
        <v>144</v>
      </c>
      <c r="K734" s="6">
        <v>0.38</v>
      </c>
      <c r="L734" s="6" t="s">
        <v>42</v>
      </c>
      <c r="M734" s="6" t="s">
        <v>69</v>
      </c>
      <c r="N734" s="6"/>
    </row>
    <row r="735" spans="1:14">
      <c r="A735" s="6" t="s">
        <v>1572</v>
      </c>
      <c r="B735" s="7">
        <v>46041</v>
      </c>
      <c r="C735" s="6" t="s">
        <v>1573</v>
      </c>
      <c r="D735" s="6" t="str">
        <f>IF(OR(PROPER(TRIM(Raw_Data!D735))="Uk",PROPER(TRIM(Raw_Data!D735))="Gb",PROPER(TRIM(Raw_Data!D735))="United kingdom"),"United Kingdom",PROPER(TRIM(Raw_Data!D735)))</f>
        <v>Ireland</v>
      </c>
      <c r="E735" s="6" t="s">
        <v>52</v>
      </c>
      <c r="F735" s="6" t="s">
        <v>100</v>
      </c>
      <c r="G735" s="6" t="str">
        <f>SUBSTITUTE(Raw_Data!G735,"Ã©","é")</f>
        <v>Alpine Jacket</v>
      </c>
      <c r="H735" s="6">
        <v>1</v>
      </c>
      <c r="I735" s="6" t="s">
        <v>73</v>
      </c>
      <c r="J735" s="6" t="s">
        <v>73</v>
      </c>
      <c r="K735" s="6">
        <v>0.64</v>
      </c>
      <c r="L735" s="6" t="s">
        <v>33</v>
      </c>
      <c r="M735" s="6" t="s">
        <v>34</v>
      </c>
      <c r="N735" s="6"/>
    </row>
    <row r="736" spans="1:14">
      <c r="A736" s="6" t="s">
        <v>1574</v>
      </c>
      <c r="B736" s="7">
        <v>46105</v>
      </c>
      <c r="C736" s="6" t="s">
        <v>1575</v>
      </c>
      <c r="D736" s="6" t="str">
        <f>IF(OR(PROPER(TRIM(Raw_Data!D736))="Uk",PROPER(TRIM(Raw_Data!D736))="Gb",PROPER(TRIM(Raw_Data!D736))="United kingdom"),"United Kingdom",PROPER(TRIM(Raw_Data!D736)))</f>
        <v>United Kingdom</v>
      </c>
      <c r="E736" s="6" t="s">
        <v>46</v>
      </c>
      <c r="F736" s="6" t="s">
        <v>94</v>
      </c>
      <c r="G736" s="6" t="str">
        <f>SUBSTITUTE(Raw_Data!G736,"Ã©","é")</f>
        <v>Summit Down Gilet</v>
      </c>
      <c r="H736" s="6">
        <v>2</v>
      </c>
      <c r="I736" s="6" t="s">
        <v>113</v>
      </c>
      <c r="J736" s="6" t="s">
        <v>1576</v>
      </c>
      <c r="K736" s="6">
        <v>0.34</v>
      </c>
      <c r="L736" s="6" t="s">
        <v>42</v>
      </c>
      <c r="M736" s="6" t="s">
        <v>34</v>
      </c>
      <c r="N736" s="6"/>
    </row>
    <row r="737" spans="1:14">
      <c r="A737" s="6" t="s">
        <v>1577</v>
      </c>
      <c r="B737" s="7">
        <v>46084</v>
      </c>
      <c r="C737" s="6" t="s">
        <v>482</v>
      </c>
      <c r="D737" s="6" t="str">
        <f>IF(OR(PROPER(TRIM(Raw_Data!D737))="Uk",PROPER(TRIM(Raw_Data!D737))="Gb",PROPER(TRIM(Raw_Data!D737))="United kingdom"),"United Kingdom",PROPER(TRIM(Raw_Data!D737)))</f>
        <v>Ireland</v>
      </c>
      <c r="E737" s="6" t="s">
        <v>37</v>
      </c>
      <c r="F737" s="6" t="s">
        <v>47</v>
      </c>
      <c r="G737" s="6" t="str">
        <f>SUBSTITUTE(Raw_Data!G737,"Ã©","é")</f>
        <v>Alpine Jacket</v>
      </c>
      <c r="H737" s="6">
        <v>1</v>
      </c>
      <c r="I737" s="6" t="s">
        <v>265</v>
      </c>
      <c r="J737" s="6" t="s">
        <v>265</v>
      </c>
      <c r="K737" s="6">
        <v>8.5000000000000006E-2</v>
      </c>
      <c r="L737" s="6" t="s">
        <v>42</v>
      </c>
      <c r="M737" s="6" t="s">
        <v>34</v>
      </c>
      <c r="N737" s="6"/>
    </row>
    <row r="738" spans="1:14">
      <c r="A738" s="6" t="s">
        <v>1578</v>
      </c>
      <c r="B738" s="7">
        <v>46205</v>
      </c>
      <c r="C738" s="6" t="s">
        <v>1579</v>
      </c>
      <c r="D738" s="6" t="str">
        <f>IF(OR(PROPER(TRIM(Raw_Data!D738))="Uk",PROPER(TRIM(Raw_Data!D738))="Gb",PROPER(TRIM(Raw_Data!D738))="United kingdom"),"United Kingdom",PROPER(TRIM(Raw_Data!D738)))</f>
        <v>United Kingdom</v>
      </c>
      <c r="E738" s="6" t="s">
        <v>78</v>
      </c>
      <c r="F738" s="6" t="s">
        <v>38</v>
      </c>
      <c r="G738" s="6" t="str">
        <f>SUBSTITUTE(Raw_Data!G738,"Ã©","é")</f>
        <v>Café Latte Mug</v>
      </c>
      <c r="H738" s="6">
        <v>2</v>
      </c>
      <c r="I738" s="6" t="s">
        <v>603</v>
      </c>
      <c r="J738" s="6" t="s">
        <v>175</v>
      </c>
      <c r="K738" s="6">
        <v>0.52</v>
      </c>
      <c r="L738" s="6" t="s">
        <v>42</v>
      </c>
      <c r="M738" s="6" t="s">
        <v>34</v>
      </c>
      <c r="N738" s="6"/>
    </row>
    <row r="739" spans="1:14">
      <c r="A739" s="6" t="s">
        <v>1580</v>
      </c>
      <c r="B739" s="7">
        <v>46111</v>
      </c>
      <c r="C739" s="6" t="s">
        <v>1581</v>
      </c>
      <c r="D739" s="6" t="str">
        <f>IF(OR(PROPER(TRIM(Raw_Data!D739))="Uk",PROPER(TRIM(Raw_Data!D739))="Gb",PROPER(TRIM(Raw_Data!D739))="United kingdom"),"United Kingdom",PROPER(TRIM(Raw_Data!D739)))</f>
        <v>France</v>
      </c>
      <c r="E739" s="6" t="s">
        <v>78</v>
      </c>
      <c r="F739" s="6" t="s">
        <v>47</v>
      </c>
      <c r="G739" s="6" t="str">
        <f>SUBSTITUTE(Raw_Data!G739,"Ã©","é")</f>
        <v>Fell Runner Cap</v>
      </c>
      <c r="H739" s="6">
        <v>1</v>
      </c>
      <c r="I739" s="6" t="s">
        <v>82</v>
      </c>
      <c r="J739" s="6" t="s">
        <v>82</v>
      </c>
      <c r="K739" s="6">
        <v>8.5000000000000006E-2</v>
      </c>
      <c r="L739" s="6" t="s">
        <v>42</v>
      </c>
      <c r="M739" s="6" t="s">
        <v>34</v>
      </c>
      <c r="N739" s="6"/>
    </row>
    <row r="740" spans="1:14">
      <c r="A740" s="6" t="s">
        <v>1582</v>
      </c>
      <c r="B740" s="7">
        <v>46132</v>
      </c>
      <c r="C740" s="6" t="s">
        <v>488</v>
      </c>
      <c r="D740" s="6" t="str">
        <f>IF(OR(PROPER(TRIM(Raw_Data!D740))="Uk",PROPER(TRIM(Raw_Data!D740))="Gb",PROPER(TRIM(Raw_Data!D740))="United kingdom"),"United Kingdom",PROPER(TRIM(Raw_Data!D740)))</f>
        <v>United Kingdom</v>
      </c>
      <c r="E740" s="6" t="s">
        <v>37</v>
      </c>
      <c r="F740" s="6" t="s">
        <v>58</v>
      </c>
      <c r="G740" s="6" t="str">
        <f>SUBSTITUTE(Raw_Data!G740,"Ã©","é")</f>
        <v>Trail Softshell</v>
      </c>
      <c r="H740" s="6">
        <v>1</v>
      </c>
      <c r="I740" s="6" t="s">
        <v>79</v>
      </c>
      <c r="J740" s="6" t="s">
        <v>79</v>
      </c>
      <c r="K740" s="6">
        <v>0.38</v>
      </c>
      <c r="L740" s="6" t="s">
        <v>42</v>
      </c>
      <c r="M740" s="6" t="s">
        <v>34</v>
      </c>
      <c r="N740" s="6"/>
    </row>
    <row r="741" spans="1:14">
      <c r="A741" s="6" t="s">
        <v>1583</v>
      </c>
      <c r="B741" s="7">
        <v>46239</v>
      </c>
      <c r="C741" s="6" t="s">
        <v>780</v>
      </c>
      <c r="D741" s="6" t="str">
        <f>IF(OR(PROPER(TRIM(Raw_Data!D741))="Uk",PROPER(TRIM(Raw_Data!D741))="Gb",PROPER(TRIM(Raw_Data!D741))="United kingdom"),"United Kingdom",PROPER(TRIM(Raw_Data!D741)))</f>
        <v>United Kingdom</v>
      </c>
      <c r="E741" s="6" t="s">
        <v>28</v>
      </c>
      <c r="F741" s="6" t="s">
        <v>47</v>
      </c>
      <c r="G741" s="6" t="str">
        <f>SUBSTITUTE(Raw_Data!G741,"Ã©","é")</f>
        <v>Fell Runner Cap</v>
      </c>
      <c r="H741" s="6">
        <v>2</v>
      </c>
      <c r="I741" s="6" t="s">
        <v>181</v>
      </c>
      <c r="J741" s="6" t="s">
        <v>1584</v>
      </c>
      <c r="K741" s="6">
        <v>8.5000000000000006E-2</v>
      </c>
      <c r="L741" s="6" t="s">
        <v>42</v>
      </c>
      <c r="M741" s="6" t="s">
        <v>69</v>
      </c>
      <c r="N741" s="6"/>
    </row>
    <row r="742" spans="1:14">
      <c r="A742" s="6" t="s">
        <v>1585</v>
      </c>
      <c r="B742" s="7">
        <v>46362</v>
      </c>
      <c r="C742" s="6" t="s">
        <v>1586</v>
      </c>
      <c r="D742" s="6" t="str">
        <f>IF(OR(PROPER(TRIM(Raw_Data!D742))="Uk",PROPER(TRIM(Raw_Data!D742))="Gb",PROPER(TRIM(Raw_Data!D742))="United kingdom"),"United Kingdom",PROPER(TRIM(Raw_Data!D742)))</f>
        <v>Ireland</v>
      </c>
      <c r="E742" s="6" t="s">
        <v>78</v>
      </c>
      <c r="F742" s="6" t="s">
        <v>47</v>
      </c>
      <c r="G742" s="6" t="str">
        <f>SUBSTITUTE(Raw_Data!G742,"Ã©","é")</f>
        <v>Summit Down Gilet</v>
      </c>
      <c r="H742" s="6">
        <v>-1</v>
      </c>
      <c r="I742" s="6" t="s">
        <v>147</v>
      </c>
      <c r="J742" s="8" t="s">
        <v>1333</v>
      </c>
      <c r="K742" s="6">
        <v>8.5000000000000006E-2</v>
      </c>
      <c r="L742" s="6" t="s">
        <v>42</v>
      </c>
      <c r="M742" s="6" t="s">
        <v>69</v>
      </c>
      <c r="N742" s="6"/>
    </row>
    <row r="743" spans="1:14">
      <c r="A743" s="6" t="s">
        <v>1587</v>
      </c>
      <c r="B743" s="7">
        <v>46072</v>
      </c>
      <c r="C743" s="6" t="s">
        <v>1588</v>
      </c>
      <c r="D743" s="6" t="str">
        <f>IF(OR(PROPER(TRIM(Raw_Data!D743))="Uk",PROPER(TRIM(Raw_Data!D743))="Gb",PROPER(TRIM(Raw_Data!D743))="United kingdom"),"United Kingdom",PROPER(TRIM(Raw_Data!D743)))</f>
        <v>United Kingdom</v>
      </c>
      <c r="E743" s="6" t="s">
        <v>28</v>
      </c>
      <c r="F743" s="6" t="s">
        <v>53</v>
      </c>
      <c r="G743" s="6" t="str">
        <f>SUBSTITUTE(Raw_Data!G743,"Ã©","é")</f>
        <v>Fell Runner Cap</v>
      </c>
      <c r="H743" s="6">
        <v>1</v>
      </c>
      <c r="I743" s="6" t="s">
        <v>90</v>
      </c>
      <c r="J743" s="6" t="s">
        <v>90</v>
      </c>
      <c r="K743" s="6">
        <v>0.19</v>
      </c>
      <c r="L743" s="6" t="s">
        <v>42</v>
      </c>
      <c r="M743" s="6" t="s">
        <v>34</v>
      </c>
      <c r="N743" s="6"/>
    </row>
    <row r="744" spans="1:14">
      <c r="A744" s="6" t="s">
        <v>1589</v>
      </c>
      <c r="B744" s="7">
        <v>46209</v>
      </c>
      <c r="C744" s="6" t="s">
        <v>1590</v>
      </c>
      <c r="D744" s="6" t="str">
        <f>IF(OR(PROPER(TRIM(Raw_Data!D744))="Uk",PROPER(TRIM(Raw_Data!D744))="Gb",PROPER(TRIM(Raw_Data!D744))="United kingdom"),"United Kingdom",PROPER(TRIM(Raw_Data!D744)))</f>
        <v>United Kingdom</v>
      </c>
      <c r="E744" s="6" t="s">
        <v>52</v>
      </c>
      <c r="F744" s="6" t="s">
        <v>29</v>
      </c>
      <c r="G744" s="6" t="str">
        <f>SUBSTITUTE(Raw_Data!G744,"Ã©","é")</f>
        <v>Fell Runner Cap</v>
      </c>
      <c r="H744" s="6">
        <v>2</v>
      </c>
      <c r="I744" s="6" t="s">
        <v>90</v>
      </c>
      <c r="J744" s="6" t="s">
        <v>154</v>
      </c>
      <c r="K744" s="6">
        <v>0.52</v>
      </c>
      <c r="L744" s="6" t="s">
        <v>42</v>
      </c>
      <c r="M744" s="6" t="s">
        <v>34</v>
      </c>
      <c r="N744" s="6"/>
    </row>
    <row r="745" spans="1:14">
      <c r="A745" s="6" t="s">
        <v>1591</v>
      </c>
      <c r="B745" s="7">
        <v>46109</v>
      </c>
      <c r="C745" s="6" t="s">
        <v>1592</v>
      </c>
      <c r="D745" s="6" t="str">
        <f>IF(OR(PROPER(TRIM(Raw_Data!D745))="Uk",PROPER(TRIM(Raw_Data!D745))="Gb",PROPER(TRIM(Raw_Data!D745))="United kingdom"),"United Kingdom",PROPER(TRIM(Raw_Data!D745)))</f>
        <v>United Kingdom</v>
      </c>
      <c r="E745" s="6" t="s">
        <v>28</v>
      </c>
      <c r="F745" s="6" t="s">
        <v>85</v>
      </c>
      <c r="G745" s="6" t="str">
        <f>SUBSTITUTE(Raw_Data!G745,"Ã©","é")</f>
        <v>Merino Base Layer</v>
      </c>
      <c r="H745" s="6">
        <v>1</v>
      </c>
      <c r="I745" s="6" t="s">
        <v>231</v>
      </c>
      <c r="J745" s="6" t="s">
        <v>231</v>
      </c>
      <c r="K745" s="6">
        <v>0.41</v>
      </c>
      <c r="L745" s="6" t="s">
        <v>42</v>
      </c>
      <c r="M745" s="6" t="s">
        <v>34</v>
      </c>
      <c r="N745" s="6"/>
    </row>
    <row r="746" spans="1:14">
      <c r="A746" s="6" t="s">
        <v>1593</v>
      </c>
      <c r="B746" s="7">
        <v>46204</v>
      </c>
      <c r="C746" s="6" t="s">
        <v>1594</v>
      </c>
      <c r="D746" s="6" t="str">
        <f>IF(OR(PROPER(TRIM(Raw_Data!D746))="Uk",PROPER(TRIM(Raw_Data!D746))="Gb",PROPER(TRIM(Raw_Data!D746))="United kingdom"),"United Kingdom",PROPER(TRIM(Raw_Data!D746)))</f>
        <v>Ireland</v>
      </c>
      <c r="E746" s="6" t="s">
        <v>37</v>
      </c>
      <c r="F746" s="6" t="s">
        <v>38</v>
      </c>
      <c r="G746" s="6" t="str">
        <f>SUBSTITUTE(Raw_Data!G746,"Ã©","é")</f>
        <v>Trekking Poles</v>
      </c>
      <c r="H746" s="6">
        <v>1</v>
      </c>
      <c r="I746" s="6" t="s">
        <v>90</v>
      </c>
      <c r="J746" s="6" t="s">
        <v>90</v>
      </c>
      <c r="K746" s="6">
        <v>0.52</v>
      </c>
      <c r="L746" s="6" t="s">
        <v>42</v>
      </c>
      <c r="M746" s="6" t="s">
        <v>34</v>
      </c>
      <c r="N746" s="6"/>
    </row>
    <row r="747" spans="1:14">
      <c r="A747" s="6" t="s">
        <v>1595</v>
      </c>
      <c r="B747" s="7">
        <v>46182</v>
      </c>
      <c r="C747" s="6" t="s">
        <v>1596</v>
      </c>
      <c r="D747" s="6" t="str">
        <f>IF(OR(PROPER(TRIM(Raw_Data!D747))="Uk",PROPER(TRIM(Raw_Data!D747))="Gb",PROPER(TRIM(Raw_Data!D747))="United kingdom"),"United Kingdom",PROPER(TRIM(Raw_Data!D747)))</f>
        <v>Ireland</v>
      </c>
      <c r="E747" s="6" t="s">
        <v>52</v>
      </c>
      <c r="F747" s="6" t="s">
        <v>53</v>
      </c>
      <c r="G747" s="6" t="str">
        <f>SUBSTITUTE(Raw_Data!G747,"Ã©","é")</f>
        <v>Storm Overtrousers</v>
      </c>
      <c r="H747" s="6">
        <v>1</v>
      </c>
      <c r="I747" s="6" t="s">
        <v>79</v>
      </c>
      <c r="J747" s="6" t="s">
        <v>79</v>
      </c>
      <c r="K747" s="6">
        <v>0.19</v>
      </c>
      <c r="L747" s="6" t="s">
        <v>33</v>
      </c>
      <c r="M747" s="6" t="s">
        <v>69</v>
      </c>
      <c r="N747" s="6"/>
    </row>
    <row r="748" spans="1:14">
      <c r="A748" s="6" t="s">
        <v>1597</v>
      </c>
      <c r="B748" s="7">
        <v>46102</v>
      </c>
      <c r="C748" s="6" t="s">
        <v>1598</v>
      </c>
      <c r="D748" s="6" t="str">
        <f>IF(OR(PROPER(TRIM(Raw_Data!D748))="Uk",PROPER(TRIM(Raw_Data!D748))="Gb",PROPER(TRIM(Raw_Data!D748))="United kingdom"),"United Kingdom",PROPER(TRIM(Raw_Data!D748)))</f>
        <v>Ireland</v>
      </c>
      <c r="E748" s="6" t="s">
        <v>46</v>
      </c>
      <c r="F748" s="6" t="s">
        <v>100</v>
      </c>
      <c r="G748" s="6" t="str">
        <f>SUBSTITUTE(Raw_Data!G748,"Ã©","é")</f>
        <v>Trail Softshell</v>
      </c>
      <c r="H748" s="6">
        <v>1</v>
      </c>
      <c r="I748" s="6" t="s">
        <v>79</v>
      </c>
      <c r="J748" s="6" t="s">
        <v>79</v>
      </c>
      <c r="K748" s="6">
        <v>0.64</v>
      </c>
      <c r="L748" s="6" t="s">
        <v>33</v>
      </c>
      <c r="M748" s="6" t="s">
        <v>34</v>
      </c>
      <c r="N748" s="6"/>
    </row>
    <row r="749" spans="1:14">
      <c r="A749" s="6" t="s">
        <v>1599</v>
      </c>
      <c r="B749" s="7">
        <v>46057</v>
      </c>
      <c r="C749" s="6" t="s">
        <v>1600</v>
      </c>
      <c r="D749" s="6" t="str">
        <f>IF(OR(PROPER(TRIM(Raw_Data!D749))="Uk",PROPER(TRIM(Raw_Data!D749))="Gb",PROPER(TRIM(Raw_Data!D749))="United kingdom"),"United Kingdom",PROPER(TRIM(Raw_Data!D749)))</f>
        <v>United Kingdom</v>
      </c>
      <c r="E749" s="6" t="s">
        <v>52</v>
      </c>
      <c r="F749" s="6" t="s">
        <v>85</v>
      </c>
      <c r="G749" s="6" t="str">
        <f>SUBSTITUTE(Raw_Data!G749,"Ã©","é")</f>
        <v>Merino Base Layer</v>
      </c>
      <c r="H749" s="6">
        <v>1</v>
      </c>
      <c r="I749" s="6" t="s">
        <v>1004</v>
      </c>
      <c r="J749" s="6" t="s">
        <v>265</v>
      </c>
      <c r="K749" s="6">
        <v>0.41</v>
      </c>
      <c r="L749" s="6" t="s">
        <v>42</v>
      </c>
      <c r="M749" s="6" t="s">
        <v>34</v>
      </c>
      <c r="N749" s="6"/>
    </row>
    <row r="750" spans="1:14">
      <c r="A750" s="6" t="s">
        <v>1601</v>
      </c>
      <c r="B750" s="7">
        <v>46189</v>
      </c>
      <c r="C750" s="6" t="s">
        <v>594</v>
      </c>
      <c r="D750" s="6" t="str">
        <f>IF(OR(PROPER(TRIM(Raw_Data!D750))="Uk",PROPER(TRIM(Raw_Data!D750))="Gb",PROPER(TRIM(Raw_Data!D750))="United kingdom"),"United Kingdom",PROPER(TRIM(Raw_Data!D750)))</f>
        <v>Ireland</v>
      </c>
      <c r="E750" s="6" t="s">
        <v>46</v>
      </c>
      <c r="F750" s="6" t="s">
        <v>58</v>
      </c>
      <c r="G750" s="6" t="str">
        <f>SUBSTITUTE(Raw_Data!G750,"Ã©","é")</f>
        <v>Alpine Jacket</v>
      </c>
      <c r="H750" s="6">
        <v>1</v>
      </c>
      <c r="I750" s="6" t="s">
        <v>143</v>
      </c>
      <c r="J750" s="6" t="s">
        <v>143</v>
      </c>
      <c r="K750" s="6">
        <v>0.38</v>
      </c>
      <c r="L750" s="6" t="s">
        <v>42</v>
      </c>
      <c r="M750" s="6" t="s">
        <v>34</v>
      </c>
      <c r="N750" s="6"/>
    </row>
    <row r="751" spans="1:14">
      <c r="A751" s="6" t="s">
        <v>1602</v>
      </c>
      <c r="B751" s="7">
        <v>46041</v>
      </c>
      <c r="C751" s="6" t="s">
        <v>1603</v>
      </c>
      <c r="D751" s="6" t="str">
        <f>IF(OR(PROPER(TRIM(Raw_Data!D751))="Uk",PROPER(TRIM(Raw_Data!D751))="Gb",PROPER(TRIM(Raw_Data!D751))="United kingdom"),"United Kingdom",PROPER(TRIM(Raw_Data!D751)))</f>
        <v>Ireland</v>
      </c>
      <c r="E751" s="6" t="s">
        <v>52</v>
      </c>
      <c r="F751" s="6" t="s">
        <v>38</v>
      </c>
      <c r="G751" s="6" t="str">
        <f>SUBSTITUTE(Raw_Data!G751,"Ã©","é")</f>
        <v>Storm Overtrousers</v>
      </c>
      <c r="H751" s="6">
        <v>1</v>
      </c>
      <c r="I751" s="6" t="s">
        <v>143</v>
      </c>
      <c r="J751" s="6" t="s">
        <v>143</v>
      </c>
      <c r="K751" s="6">
        <v>0.52</v>
      </c>
      <c r="L751" s="6" t="s">
        <v>42</v>
      </c>
      <c r="M751" s="6" t="s">
        <v>34</v>
      </c>
      <c r="N751" s="6"/>
    </row>
    <row r="752" spans="1:14">
      <c r="A752" s="6" t="s">
        <v>1604</v>
      </c>
      <c r="B752" s="7">
        <v>46067</v>
      </c>
      <c r="C752" s="6" t="s">
        <v>1179</v>
      </c>
      <c r="D752" s="6" t="str">
        <f>IF(OR(PROPER(TRIM(Raw_Data!D752))="Uk",PROPER(TRIM(Raw_Data!D752))="Gb",PROPER(TRIM(Raw_Data!D752))="United kingdom"),"United Kingdom",PROPER(TRIM(Raw_Data!D752)))</f>
        <v>United Kingdom</v>
      </c>
      <c r="E752" s="6" t="s">
        <v>52</v>
      </c>
      <c r="F752" s="6" t="s">
        <v>53</v>
      </c>
      <c r="G752" s="6" t="str">
        <f>SUBSTITUTE(Raw_Data!G752,"Ã©","é")</f>
        <v>Summit Down Gilet</v>
      </c>
      <c r="H752" s="6">
        <v>3</v>
      </c>
      <c r="I752" s="6" t="s">
        <v>143</v>
      </c>
      <c r="J752" s="6" t="s">
        <v>243</v>
      </c>
      <c r="K752" s="6">
        <v>0.19</v>
      </c>
      <c r="L752" s="6" t="s">
        <v>42</v>
      </c>
      <c r="M752" s="6" t="s">
        <v>34</v>
      </c>
      <c r="N752" s="6"/>
    </row>
    <row r="753" spans="1:14">
      <c r="A753" s="6" t="s">
        <v>1605</v>
      </c>
      <c r="B753" s="7">
        <v>46170</v>
      </c>
      <c r="C753" s="6" t="s">
        <v>1606</v>
      </c>
      <c r="D753" s="6" t="str">
        <f>IF(OR(PROPER(TRIM(Raw_Data!D753))="Uk",PROPER(TRIM(Raw_Data!D753))="Gb",PROPER(TRIM(Raw_Data!D753))="United kingdom"),"United Kingdom",PROPER(TRIM(Raw_Data!D753)))</f>
        <v>United Kingdom</v>
      </c>
      <c r="E753" s="6" t="s">
        <v>78</v>
      </c>
      <c r="F753" s="6" t="s">
        <v>38</v>
      </c>
      <c r="G753" s="6" t="str">
        <f>SUBSTITUTE(Raw_Data!G753,"Ã©","é")</f>
        <v>Trail Softshell</v>
      </c>
      <c r="H753" s="6">
        <v>1</v>
      </c>
      <c r="I753" s="6" t="s">
        <v>90</v>
      </c>
      <c r="J753" s="6" t="s">
        <v>90</v>
      </c>
      <c r="K753" s="6">
        <v>0.52</v>
      </c>
      <c r="L753" s="6" t="s">
        <v>42</v>
      </c>
      <c r="M753" s="6" t="s">
        <v>34</v>
      </c>
      <c r="N753" s="6"/>
    </row>
    <row r="754" spans="1:14">
      <c r="A754" s="6" t="s">
        <v>1607</v>
      </c>
      <c r="B754" s="7">
        <v>46058</v>
      </c>
      <c r="C754" s="6" t="s">
        <v>1608</v>
      </c>
      <c r="D754" s="6" t="str">
        <f>IF(OR(PROPER(TRIM(Raw_Data!D754))="Uk",PROPER(TRIM(Raw_Data!D754))="Gb",PROPER(TRIM(Raw_Data!D754))="United kingdom"),"United Kingdom",PROPER(TRIM(Raw_Data!D754)))</f>
        <v>United Kingdom</v>
      </c>
      <c r="E754" s="6" t="s">
        <v>52</v>
      </c>
      <c r="F754" s="6" t="s">
        <v>94</v>
      </c>
      <c r="G754" s="6" t="str">
        <f>SUBSTITUTE(Raw_Data!G754,"Ã©","é")</f>
        <v>Merino Base Layer</v>
      </c>
      <c r="H754" s="6">
        <v>1</v>
      </c>
      <c r="I754" s="6" t="s">
        <v>117</v>
      </c>
      <c r="J754" s="6" t="s">
        <v>117</v>
      </c>
      <c r="K754" s="6">
        <v>0.34</v>
      </c>
      <c r="L754" s="6" t="s">
        <v>33</v>
      </c>
      <c r="M754" s="6" t="s">
        <v>34</v>
      </c>
      <c r="N754" s="6"/>
    </row>
    <row r="755" spans="1:14">
      <c r="A755" s="6" t="s">
        <v>1609</v>
      </c>
      <c r="B755" s="7">
        <v>46187</v>
      </c>
      <c r="C755" s="6" t="s">
        <v>1610</v>
      </c>
      <c r="D755" s="6" t="str">
        <f>IF(OR(PROPER(TRIM(Raw_Data!D755))="Uk",PROPER(TRIM(Raw_Data!D755))="Gb",PROPER(TRIM(Raw_Data!D755))="United kingdom"),"United Kingdom",PROPER(TRIM(Raw_Data!D755)))</f>
        <v>France</v>
      </c>
      <c r="E755" s="6" t="s">
        <v>37</v>
      </c>
      <c r="F755" s="6" t="s">
        <v>58</v>
      </c>
      <c r="G755" s="6" t="str">
        <f>SUBSTITUTE(Raw_Data!G755,"Ã©","é")</f>
        <v>Trail Softshell</v>
      </c>
      <c r="H755" s="6">
        <v>1</v>
      </c>
      <c r="I755" s="6" t="s">
        <v>90</v>
      </c>
      <c r="J755" s="6" t="s">
        <v>90</v>
      </c>
      <c r="K755" s="6">
        <v>0.38</v>
      </c>
      <c r="L755" s="6" t="s">
        <v>42</v>
      </c>
      <c r="M755" s="6" t="s">
        <v>34</v>
      </c>
      <c r="N755" s="6"/>
    </row>
    <row r="756" spans="1:14">
      <c r="A756" s="6" t="s">
        <v>1611</v>
      </c>
      <c r="B756" s="7">
        <v>46238</v>
      </c>
      <c r="C756" s="6" t="s">
        <v>1612</v>
      </c>
      <c r="D756" s="6" t="str">
        <f>IF(OR(PROPER(TRIM(Raw_Data!D756))="Uk",PROPER(TRIM(Raw_Data!D756))="Gb",PROPER(TRIM(Raw_Data!D756))="United kingdom"),"United Kingdom",PROPER(TRIM(Raw_Data!D756)))</f>
        <v>Ireland</v>
      </c>
      <c r="E756" s="6" t="s">
        <v>52</v>
      </c>
      <c r="F756" s="6" t="s">
        <v>58</v>
      </c>
      <c r="G756" s="6" t="str">
        <f>SUBSTITUTE(Raw_Data!G756,"Ã©","é")</f>
        <v>Café Latte Mug</v>
      </c>
      <c r="H756" s="6">
        <v>2</v>
      </c>
      <c r="I756" s="6" t="s">
        <v>60</v>
      </c>
      <c r="J756" s="6" t="s">
        <v>189</v>
      </c>
      <c r="K756" s="6">
        <v>0.38</v>
      </c>
      <c r="L756" s="6" t="s">
        <v>33</v>
      </c>
      <c r="M756" s="6" t="s">
        <v>34</v>
      </c>
      <c r="N756" s="6"/>
    </row>
    <row r="757" spans="1:14">
      <c r="A757" s="6" t="s">
        <v>1613</v>
      </c>
      <c r="B757" s="7">
        <v>46129</v>
      </c>
      <c r="C757" s="6" t="s">
        <v>462</v>
      </c>
      <c r="D757" s="6" t="str">
        <f>IF(OR(PROPER(TRIM(Raw_Data!D757))="Uk",PROPER(TRIM(Raw_Data!D757))="Gb",PROPER(TRIM(Raw_Data!D757))="United kingdom"),"United Kingdom",PROPER(TRIM(Raw_Data!D757)))</f>
        <v>France</v>
      </c>
      <c r="E757" s="6" t="s">
        <v>78</v>
      </c>
      <c r="F757" s="6" t="s">
        <v>58</v>
      </c>
      <c r="G757" s="6" t="str">
        <f>SUBSTITUTE(Raw_Data!G757,"Ã©","é")</f>
        <v>Summit Down Gilet</v>
      </c>
      <c r="H757" s="6">
        <v>1</v>
      </c>
      <c r="I757" s="6" t="s">
        <v>90</v>
      </c>
      <c r="J757" s="6" t="s">
        <v>90</v>
      </c>
      <c r="K757" s="6">
        <v>0.38</v>
      </c>
      <c r="L757" s="6" t="s">
        <v>33</v>
      </c>
      <c r="M757" s="6" t="s">
        <v>69</v>
      </c>
      <c r="N757" s="6"/>
    </row>
    <row r="758" spans="1:14">
      <c r="A758" s="6" t="s">
        <v>1614</v>
      </c>
      <c r="B758" s="7">
        <v>46196</v>
      </c>
      <c r="C758" s="6" t="s">
        <v>1128</v>
      </c>
      <c r="D758" s="6" t="str">
        <f>IF(OR(PROPER(TRIM(Raw_Data!D758))="Uk",PROPER(TRIM(Raw_Data!D758))="Gb",PROPER(TRIM(Raw_Data!D758))="United kingdom"),"United Kingdom",PROPER(TRIM(Raw_Data!D758)))</f>
        <v>Ireland</v>
      </c>
      <c r="E758" s="6" t="s">
        <v>46</v>
      </c>
      <c r="F758" s="6" t="s">
        <v>47</v>
      </c>
      <c r="G758" s="6" t="str">
        <f>SUBSTITUTE(Raw_Data!G758,"Ã©","é")</f>
        <v>Summit Down Gilet</v>
      </c>
      <c r="H758" s="6">
        <v>1</v>
      </c>
      <c r="I758" s="6" t="s">
        <v>90</v>
      </c>
      <c r="J758" s="6" t="s">
        <v>90</v>
      </c>
      <c r="K758" s="6">
        <v>8.5000000000000006E-2</v>
      </c>
      <c r="L758" s="6" t="s">
        <v>42</v>
      </c>
      <c r="M758" s="6" t="s">
        <v>34</v>
      </c>
      <c r="N758" s="6"/>
    </row>
    <row r="759" spans="1:14">
      <c r="A759" s="6" t="s">
        <v>1615</v>
      </c>
      <c r="B759" s="7">
        <v>46297</v>
      </c>
      <c r="C759" s="6" t="s">
        <v>774</v>
      </c>
      <c r="D759" s="6" t="str">
        <f>IF(OR(PROPER(TRIM(Raw_Data!D759))="Uk",PROPER(TRIM(Raw_Data!D759))="Gb",PROPER(TRIM(Raw_Data!D759))="United kingdom"),"United Kingdom",PROPER(TRIM(Raw_Data!D759)))</f>
        <v>France</v>
      </c>
      <c r="E759" s="6" t="s">
        <v>28</v>
      </c>
      <c r="F759" s="6" t="s">
        <v>100</v>
      </c>
      <c r="G759" s="6" t="str">
        <f>SUBSTITUTE(Raw_Data!G759,"Ã©","é")</f>
        <v>Summit Down Gilet</v>
      </c>
      <c r="H759" s="6">
        <v>2</v>
      </c>
      <c r="I759" s="6" t="s">
        <v>113</v>
      </c>
      <c r="J759" s="6" t="s">
        <v>192</v>
      </c>
      <c r="K759" s="6">
        <v>0.64</v>
      </c>
      <c r="L759" s="6" t="s">
        <v>42</v>
      </c>
      <c r="M759" s="6" t="s">
        <v>34</v>
      </c>
      <c r="N759" s="6"/>
    </row>
    <row r="760" spans="1:14">
      <c r="A760" s="6" t="s">
        <v>1616</v>
      </c>
      <c r="B760" s="7">
        <v>46199</v>
      </c>
      <c r="C760" s="6" t="s">
        <v>355</v>
      </c>
      <c r="D760" s="6" t="str">
        <f>IF(OR(PROPER(TRIM(Raw_Data!D760))="Uk",PROPER(TRIM(Raw_Data!D760))="Gb",PROPER(TRIM(Raw_Data!D760))="United kingdom"),"United Kingdom",PROPER(TRIM(Raw_Data!D760)))</f>
        <v>United Kingdom</v>
      </c>
      <c r="E760" s="6" t="s">
        <v>78</v>
      </c>
      <c r="F760" s="6" t="s">
        <v>29</v>
      </c>
      <c r="G760" s="6" t="str">
        <f>SUBSTITUTE(Raw_Data!G760,"Ã©","é")</f>
        <v>Fell Runner Cap</v>
      </c>
      <c r="H760" s="6">
        <v>1</v>
      </c>
      <c r="I760" s="6" t="s">
        <v>82</v>
      </c>
      <c r="J760" s="6" t="s">
        <v>82</v>
      </c>
      <c r="K760" s="6">
        <v>0.52</v>
      </c>
      <c r="L760" s="6" t="s">
        <v>42</v>
      </c>
      <c r="M760" s="6" t="s">
        <v>34</v>
      </c>
      <c r="N760" s="6"/>
    </row>
    <row r="761" spans="1:14">
      <c r="A761" s="6" t="s">
        <v>1617</v>
      </c>
      <c r="B761" s="7">
        <v>46026</v>
      </c>
      <c r="C761" s="6" t="s">
        <v>1019</v>
      </c>
      <c r="D761" s="6" t="str">
        <f>IF(OR(PROPER(TRIM(Raw_Data!D761))="Uk",PROPER(TRIM(Raw_Data!D761))="Gb",PROPER(TRIM(Raw_Data!D761))="United kingdom"),"United Kingdom",PROPER(TRIM(Raw_Data!D761)))</f>
        <v>United Kingdom</v>
      </c>
      <c r="E761" s="6" t="s">
        <v>46</v>
      </c>
      <c r="F761" s="6" t="s">
        <v>100</v>
      </c>
      <c r="G761" s="6" t="str">
        <f>SUBSTITUTE(Raw_Data!G761,"Ã©","é")</f>
        <v>Alpine Jacket</v>
      </c>
      <c r="H761" s="6">
        <v>1</v>
      </c>
      <c r="I761" s="6" t="s">
        <v>265</v>
      </c>
      <c r="J761" s="6" t="s">
        <v>265</v>
      </c>
      <c r="K761" s="6">
        <v>0.64</v>
      </c>
      <c r="L761" s="6" t="s">
        <v>42</v>
      </c>
      <c r="M761" s="6" t="s">
        <v>34</v>
      </c>
      <c r="N761" s="6"/>
    </row>
    <row r="762" spans="1:14">
      <c r="A762" s="6" t="s">
        <v>1618</v>
      </c>
      <c r="B762" s="7">
        <v>46271</v>
      </c>
      <c r="C762" s="6" t="s">
        <v>1619</v>
      </c>
      <c r="D762" s="6" t="str">
        <f>IF(OR(PROPER(TRIM(Raw_Data!D762))="Uk",PROPER(TRIM(Raw_Data!D762))="Gb",PROPER(TRIM(Raw_Data!D762))="United kingdom"),"United Kingdom",PROPER(TRIM(Raw_Data!D762)))</f>
        <v>United Kingdom</v>
      </c>
      <c r="E762" s="6" t="s">
        <v>46</v>
      </c>
      <c r="F762" s="6" t="s">
        <v>53</v>
      </c>
      <c r="G762" s="6" t="str">
        <f>SUBSTITUTE(Raw_Data!G762,"Ã©","é")</f>
        <v>Trekking Poles</v>
      </c>
      <c r="H762" s="6">
        <v>1</v>
      </c>
      <c r="I762" s="6" t="s">
        <v>79</v>
      </c>
      <c r="J762" s="6" t="s">
        <v>79</v>
      </c>
      <c r="K762" s="6">
        <v>0.19</v>
      </c>
      <c r="L762" s="6" t="s">
        <v>42</v>
      </c>
      <c r="M762" s="6" t="s">
        <v>69</v>
      </c>
      <c r="N762" s="6"/>
    </row>
    <row r="763" spans="1:14">
      <c r="A763" s="6" t="s">
        <v>1620</v>
      </c>
      <c r="B763" s="7">
        <v>46133</v>
      </c>
      <c r="C763" s="6" t="s">
        <v>369</v>
      </c>
      <c r="D763" s="6" t="str">
        <f>IF(OR(PROPER(TRIM(Raw_Data!D763))="Uk",PROPER(TRIM(Raw_Data!D763))="Gb",PROPER(TRIM(Raw_Data!D763))="United kingdom"),"United Kingdom",PROPER(TRIM(Raw_Data!D763)))</f>
        <v>Ireland</v>
      </c>
      <c r="E763" s="6" t="s">
        <v>28</v>
      </c>
      <c r="F763" s="6" t="s">
        <v>38</v>
      </c>
      <c r="G763" s="6" t="str">
        <f>SUBSTITUTE(Raw_Data!G763,"Ã©","é")</f>
        <v>Alpine Jacket</v>
      </c>
      <c r="H763" s="6">
        <v>1</v>
      </c>
      <c r="I763" s="6" t="s">
        <v>82</v>
      </c>
      <c r="J763" s="6" t="s">
        <v>82</v>
      </c>
      <c r="K763" s="6">
        <v>0.52</v>
      </c>
      <c r="L763" s="6" t="s">
        <v>42</v>
      </c>
      <c r="M763" s="6" t="s">
        <v>69</v>
      </c>
      <c r="N763" s="6"/>
    </row>
    <row r="764" spans="1:14">
      <c r="A764" s="6" t="s">
        <v>1622</v>
      </c>
      <c r="B764" s="7">
        <v>46088</v>
      </c>
      <c r="C764" s="6" t="s">
        <v>1623</v>
      </c>
      <c r="D764" s="6" t="str">
        <f>IF(OR(PROPER(TRIM(Raw_Data!D764))="Uk",PROPER(TRIM(Raw_Data!D764))="Gb",PROPER(TRIM(Raw_Data!D764))="United kingdom"),"United Kingdom",PROPER(TRIM(Raw_Data!D764)))</f>
        <v>United Kingdom</v>
      </c>
      <c r="E764" s="6" t="s">
        <v>28</v>
      </c>
      <c r="F764" s="6" t="s">
        <v>38</v>
      </c>
      <c r="G764" s="6" t="str">
        <f>SUBSTITUTE(Raw_Data!G764,"Ã©","é")</f>
        <v>Merino Base Layer</v>
      </c>
      <c r="H764" s="6">
        <v>2</v>
      </c>
      <c r="I764" s="6" t="s">
        <v>181</v>
      </c>
      <c r="J764" s="6" t="s">
        <v>163</v>
      </c>
      <c r="K764" s="6">
        <v>0.52</v>
      </c>
      <c r="L764" s="6" t="s">
        <v>42</v>
      </c>
      <c r="M764" s="6" t="s">
        <v>34</v>
      </c>
      <c r="N764" s="6"/>
    </row>
    <row r="765" spans="1:14">
      <c r="A765" s="6" t="s">
        <v>1624</v>
      </c>
      <c r="B765" s="7">
        <v>46209</v>
      </c>
      <c r="C765" s="6" t="s">
        <v>530</v>
      </c>
      <c r="D765" s="6" t="str">
        <f>IF(OR(PROPER(TRIM(Raw_Data!D765))="Uk",PROPER(TRIM(Raw_Data!D765))="Gb",PROPER(TRIM(Raw_Data!D765))="United kingdom"),"United Kingdom",PROPER(TRIM(Raw_Data!D765)))</f>
        <v>United Kingdom</v>
      </c>
      <c r="E765" s="6" t="s">
        <v>37</v>
      </c>
      <c r="F765" s="6" t="s">
        <v>58</v>
      </c>
      <c r="G765" s="6" t="str">
        <f>SUBSTITUTE(Raw_Data!G765,"Ã©","é")</f>
        <v>Trail Softshell</v>
      </c>
      <c r="H765" s="6">
        <v>1</v>
      </c>
      <c r="I765" s="6" t="s">
        <v>67</v>
      </c>
      <c r="J765" s="6" t="s">
        <v>67</v>
      </c>
      <c r="K765" s="6">
        <v>0.38</v>
      </c>
      <c r="L765" s="6" t="s">
        <v>42</v>
      </c>
      <c r="M765" s="6" t="s">
        <v>34</v>
      </c>
      <c r="N765" s="6"/>
    </row>
    <row r="766" spans="1:14">
      <c r="A766" s="6" t="s">
        <v>1625</v>
      </c>
      <c r="B766" s="7">
        <v>46114</v>
      </c>
      <c r="C766" s="6" t="s">
        <v>575</v>
      </c>
      <c r="D766" s="6" t="str">
        <f>IF(OR(PROPER(TRIM(Raw_Data!D766))="Uk",PROPER(TRIM(Raw_Data!D766))="Gb",PROPER(TRIM(Raw_Data!D766))="United kingdom"),"United Kingdom",PROPER(TRIM(Raw_Data!D766)))</f>
        <v>France</v>
      </c>
      <c r="E766" s="6" t="s">
        <v>46</v>
      </c>
      <c r="F766" s="6" t="s">
        <v>47</v>
      </c>
      <c r="G766" s="6" t="str">
        <f>SUBSTITUTE(Raw_Data!G766,"Ã©","é")</f>
        <v>Trail Softshell</v>
      </c>
      <c r="H766" s="6">
        <v>1</v>
      </c>
      <c r="I766" s="6" t="s">
        <v>143</v>
      </c>
      <c r="J766" s="6" t="s">
        <v>143</v>
      </c>
      <c r="K766" s="6">
        <v>8.5000000000000006E-2</v>
      </c>
      <c r="L766" s="6" t="s">
        <v>33</v>
      </c>
      <c r="M766" s="6" t="s">
        <v>69</v>
      </c>
      <c r="N766" s="6"/>
    </row>
    <row r="767" spans="1:14">
      <c r="A767" s="6" t="s">
        <v>1626</v>
      </c>
      <c r="B767" s="7">
        <v>46193</v>
      </c>
      <c r="C767" s="6" t="s">
        <v>501</v>
      </c>
      <c r="D767" s="6" t="str">
        <f>IF(OR(PROPER(TRIM(Raw_Data!D767))="Uk",PROPER(TRIM(Raw_Data!D767))="Gb",PROPER(TRIM(Raw_Data!D767))="United kingdom"),"United Kingdom",PROPER(TRIM(Raw_Data!D767)))</f>
        <v>United Kingdom</v>
      </c>
      <c r="E767" s="6" t="s">
        <v>37</v>
      </c>
      <c r="F767" s="6" t="s">
        <v>47</v>
      </c>
      <c r="G767" s="6" t="str">
        <f>SUBSTITUTE(Raw_Data!G767,"Ã©","é")</f>
        <v>Summit Down Gilet</v>
      </c>
      <c r="H767" s="6">
        <v>1</v>
      </c>
      <c r="I767" s="6" t="s">
        <v>113</v>
      </c>
      <c r="J767" s="6" t="s">
        <v>113</v>
      </c>
      <c r="K767" s="6">
        <v>8.5000000000000006E-2</v>
      </c>
      <c r="L767" s="6" t="s">
        <v>42</v>
      </c>
      <c r="M767" s="6" t="s">
        <v>69</v>
      </c>
      <c r="N767" s="6"/>
    </row>
    <row r="768" spans="1:14">
      <c r="A768" s="6" t="s">
        <v>1627</v>
      </c>
      <c r="B768" s="7">
        <v>46059</v>
      </c>
      <c r="C768" s="6" t="s">
        <v>161</v>
      </c>
      <c r="D768" s="6" t="str">
        <f>IF(OR(PROPER(TRIM(Raw_Data!D768))="Uk",PROPER(TRIM(Raw_Data!D768))="Gb",PROPER(TRIM(Raw_Data!D768))="United kingdom"),"United Kingdom",PROPER(TRIM(Raw_Data!D768)))</f>
        <v>United Kingdom</v>
      </c>
      <c r="E768" s="6" t="s">
        <v>46</v>
      </c>
      <c r="F768" s="6" t="s">
        <v>53</v>
      </c>
      <c r="G768" s="6" t="str">
        <f>SUBSTITUTE(Raw_Data!G768,"Ã©","é")</f>
        <v>Fell Runner Cap</v>
      </c>
      <c r="H768" s="6">
        <v>-2</v>
      </c>
      <c r="I768" s="6" t="s">
        <v>90</v>
      </c>
      <c r="J768" s="8" t="s">
        <v>1628</v>
      </c>
      <c r="K768" s="6">
        <v>0.19</v>
      </c>
      <c r="L768" s="6" t="s">
        <v>42</v>
      </c>
      <c r="M768" s="6" t="s">
        <v>69</v>
      </c>
      <c r="N768" s="6"/>
    </row>
    <row r="769" spans="1:14">
      <c r="A769" s="6" t="s">
        <v>1629</v>
      </c>
      <c r="B769" s="7">
        <v>46299</v>
      </c>
      <c r="C769" s="6" t="s">
        <v>1630</v>
      </c>
      <c r="D769" s="6" t="str">
        <f>IF(OR(PROPER(TRIM(Raw_Data!D769))="Uk",PROPER(TRIM(Raw_Data!D769))="Gb",PROPER(TRIM(Raw_Data!D769))="United kingdom"),"United Kingdom",PROPER(TRIM(Raw_Data!D769)))</f>
        <v>Ireland</v>
      </c>
      <c r="E769" s="6" t="s">
        <v>46</v>
      </c>
      <c r="F769" s="6" t="s">
        <v>47</v>
      </c>
      <c r="G769" s="6" t="str">
        <f>SUBSTITUTE(Raw_Data!G769,"Ã©","é")</f>
        <v>Fell Runner Cap</v>
      </c>
      <c r="H769" s="6">
        <v>3</v>
      </c>
      <c r="I769" s="6" t="s">
        <v>117</v>
      </c>
      <c r="J769" s="6" t="s">
        <v>171</v>
      </c>
      <c r="K769" s="6">
        <v>8.5000000000000006E-2</v>
      </c>
      <c r="L769" s="6" t="s">
        <v>33</v>
      </c>
      <c r="M769" s="6" t="s">
        <v>34</v>
      </c>
      <c r="N769" s="6"/>
    </row>
    <row r="770" spans="1:14">
      <c r="A770" s="6" t="s">
        <v>1631</v>
      </c>
      <c r="B770" s="7">
        <v>46196</v>
      </c>
      <c r="C770" s="6" t="s">
        <v>615</v>
      </c>
      <c r="D770" s="6" t="str">
        <f>IF(OR(PROPER(TRIM(Raw_Data!D770))="Uk",PROPER(TRIM(Raw_Data!D770))="Gb",PROPER(TRIM(Raw_Data!D770))="United kingdom"),"United Kingdom",PROPER(TRIM(Raw_Data!D770)))</f>
        <v>United Kingdom</v>
      </c>
      <c r="E770" s="6" t="s">
        <v>28</v>
      </c>
      <c r="F770" s="6" t="s">
        <v>94</v>
      </c>
      <c r="G770" s="6" t="str">
        <f>SUBSTITUTE(Raw_Data!G770,"Ã©","é")</f>
        <v>Summit Down Gilet</v>
      </c>
      <c r="H770" s="6">
        <v>1</v>
      </c>
      <c r="I770" s="6" t="s">
        <v>143</v>
      </c>
      <c r="J770" s="6" t="s">
        <v>143</v>
      </c>
      <c r="K770" s="6">
        <v>0.34</v>
      </c>
      <c r="L770" s="6" t="s">
        <v>42</v>
      </c>
      <c r="M770" s="6" t="s">
        <v>34</v>
      </c>
      <c r="N770" s="6"/>
    </row>
    <row r="771" spans="1:14">
      <c r="A771" s="6" t="s">
        <v>1632</v>
      </c>
      <c r="B771" s="7">
        <v>46104</v>
      </c>
      <c r="C771" s="6" t="s">
        <v>977</v>
      </c>
      <c r="D771" s="6" t="str">
        <f>IF(OR(PROPER(TRIM(Raw_Data!D771))="Uk",PROPER(TRIM(Raw_Data!D771))="Gb",PROPER(TRIM(Raw_Data!D771))="United kingdom"),"United Kingdom",PROPER(TRIM(Raw_Data!D771)))</f>
        <v>United Kingdom</v>
      </c>
      <c r="E771" s="6" t="s">
        <v>52</v>
      </c>
      <c r="F771" s="6" t="s">
        <v>38</v>
      </c>
      <c r="G771" s="6" t="str">
        <f>SUBSTITUTE(Raw_Data!G771,"Ã©","é")</f>
        <v>Merino Base Layer</v>
      </c>
      <c r="H771" s="6">
        <v>1</v>
      </c>
      <c r="I771" s="6" t="s">
        <v>143</v>
      </c>
      <c r="J771" s="6" t="s">
        <v>143</v>
      </c>
      <c r="K771" s="6">
        <v>0.52</v>
      </c>
      <c r="L771" s="6" t="s">
        <v>33</v>
      </c>
      <c r="M771" s="6" t="s">
        <v>34</v>
      </c>
      <c r="N771" s="6"/>
    </row>
    <row r="772" spans="1:14">
      <c r="A772" s="6" t="s">
        <v>1633</v>
      </c>
      <c r="B772" s="7">
        <v>46298</v>
      </c>
      <c r="C772" s="6" t="s">
        <v>1634</v>
      </c>
      <c r="D772" s="6" t="str">
        <f>IF(OR(PROPER(TRIM(Raw_Data!D772))="Uk",PROPER(TRIM(Raw_Data!D772))="Gb",PROPER(TRIM(Raw_Data!D772))="United kingdom"),"United Kingdom",PROPER(TRIM(Raw_Data!D772)))</f>
        <v>Ireland</v>
      </c>
      <c r="E772" s="6" t="s">
        <v>37</v>
      </c>
      <c r="F772" s="6" t="s">
        <v>53</v>
      </c>
      <c r="G772" s="6" t="str">
        <f>SUBSTITUTE(Raw_Data!G772,"Ã©","é")</f>
        <v>Fell Runner Cap</v>
      </c>
      <c r="H772" s="6">
        <v>-1</v>
      </c>
      <c r="I772" s="6" t="s">
        <v>437</v>
      </c>
      <c r="J772" s="8" t="s">
        <v>1635</v>
      </c>
      <c r="K772" s="6">
        <v>0.19</v>
      </c>
      <c r="L772" s="6" t="s">
        <v>42</v>
      </c>
      <c r="M772" s="6" t="s">
        <v>34</v>
      </c>
      <c r="N772" s="6"/>
    </row>
    <row r="773" spans="1:14">
      <c r="A773" s="6" t="s">
        <v>1636</v>
      </c>
      <c r="B773" s="7">
        <v>46049</v>
      </c>
      <c r="C773" s="6" t="s">
        <v>1637</v>
      </c>
      <c r="D773" s="6" t="str">
        <f>IF(OR(PROPER(TRIM(Raw_Data!D773))="Uk",PROPER(TRIM(Raw_Data!D773))="Gb",PROPER(TRIM(Raw_Data!D773))="United kingdom"),"United Kingdom",PROPER(TRIM(Raw_Data!D773)))</f>
        <v>Ireland</v>
      </c>
      <c r="E773" s="6" t="s">
        <v>46</v>
      </c>
      <c r="F773" s="6" t="s">
        <v>85</v>
      </c>
      <c r="G773" s="6" t="str">
        <f>SUBSTITUTE(Raw_Data!G773,"Ã©","é")</f>
        <v>Café Latte Mug</v>
      </c>
      <c r="H773" s="6">
        <v>2</v>
      </c>
      <c r="I773" s="6" t="s">
        <v>79</v>
      </c>
      <c r="J773" s="6" t="s">
        <v>259</v>
      </c>
      <c r="K773" s="6">
        <v>0.41</v>
      </c>
      <c r="L773" s="6" t="s">
        <v>33</v>
      </c>
      <c r="M773" s="6" t="s">
        <v>34</v>
      </c>
      <c r="N773" s="6"/>
    </row>
    <row r="774" spans="1:14">
      <c r="A774" s="6" t="s">
        <v>1638</v>
      </c>
      <c r="B774" s="7">
        <v>46079</v>
      </c>
      <c r="C774" s="6" t="s">
        <v>1639</v>
      </c>
      <c r="D774" s="6" t="str">
        <f>IF(OR(PROPER(TRIM(Raw_Data!D774))="Uk",PROPER(TRIM(Raw_Data!D774))="Gb",PROPER(TRIM(Raw_Data!D774))="United kingdom"),"United Kingdom",PROPER(TRIM(Raw_Data!D774)))</f>
        <v>Ireland</v>
      </c>
      <c r="E774" s="6" t="s">
        <v>78</v>
      </c>
      <c r="F774" s="6" t="s">
        <v>47</v>
      </c>
      <c r="G774" s="6" t="str">
        <f>SUBSTITUTE(Raw_Data!G774,"Ã©","é")</f>
        <v>Trail Softshell</v>
      </c>
      <c r="H774" s="6">
        <v>2</v>
      </c>
      <c r="I774" s="6" t="s">
        <v>265</v>
      </c>
      <c r="J774" s="6" t="s">
        <v>167</v>
      </c>
      <c r="K774" s="6">
        <v>8.5000000000000006E-2</v>
      </c>
      <c r="L774" s="6" t="s">
        <v>33</v>
      </c>
      <c r="M774" s="6" t="s">
        <v>69</v>
      </c>
      <c r="N774" s="6"/>
    </row>
    <row r="775" spans="1:14">
      <c r="A775" s="6" t="s">
        <v>1640</v>
      </c>
      <c r="B775" s="7">
        <v>46166</v>
      </c>
      <c r="C775" s="6" t="s">
        <v>1641</v>
      </c>
      <c r="D775" s="6" t="str">
        <f>IF(OR(PROPER(TRIM(Raw_Data!D775))="Uk",PROPER(TRIM(Raw_Data!D775))="Gb",PROPER(TRIM(Raw_Data!D775))="United kingdom"),"United Kingdom",PROPER(TRIM(Raw_Data!D775)))</f>
        <v>Ireland</v>
      </c>
      <c r="E775" s="6" t="s">
        <v>37</v>
      </c>
      <c r="F775" s="6" t="s">
        <v>85</v>
      </c>
      <c r="G775" s="6" t="str">
        <f>SUBSTITUTE(Raw_Data!G775,"Ã©","é")</f>
        <v>Merino Base Layer</v>
      </c>
      <c r="H775" s="6">
        <v>2</v>
      </c>
      <c r="I775" s="6" t="s">
        <v>265</v>
      </c>
      <c r="J775" s="6" t="s">
        <v>167</v>
      </c>
      <c r="K775" s="6">
        <v>0.41</v>
      </c>
      <c r="L775" s="6" t="s">
        <v>42</v>
      </c>
      <c r="M775" s="6" t="s">
        <v>69</v>
      </c>
      <c r="N775" s="6"/>
    </row>
    <row r="776" spans="1:14">
      <c r="A776" s="6" t="s">
        <v>1642</v>
      </c>
      <c r="B776" s="7">
        <v>46037</v>
      </c>
      <c r="C776" s="6" t="s">
        <v>605</v>
      </c>
      <c r="D776" s="6" t="str">
        <f>IF(OR(PROPER(TRIM(Raw_Data!D776))="Uk",PROPER(TRIM(Raw_Data!D776))="Gb",PROPER(TRIM(Raw_Data!D776))="United kingdom"),"United Kingdom",PROPER(TRIM(Raw_Data!D776)))</f>
        <v>United Kingdom</v>
      </c>
      <c r="E776" s="6" t="s">
        <v>78</v>
      </c>
      <c r="F776" s="6" t="s">
        <v>29</v>
      </c>
      <c r="G776" s="6" t="str">
        <f>SUBSTITUTE(Raw_Data!G776,"Ã©","é")</f>
        <v>Storm Overtrousers</v>
      </c>
      <c r="H776" s="6">
        <v>1</v>
      </c>
      <c r="I776" s="6" t="s">
        <v>143</v>
      </c>
      <c r="J776" s="6" t="s">
        <v>143</v>
      </c>
      <c r="K776" s="6">
        <v>0.52</v>
      </c>
      <c r="L776" s="6" t="s">
        <v>33</v>
      </c>
      <c r="M776" s="6" t="s">
        <v>69</v>
      </c>
      <c r="N776" s="6"/>
    </row>
    <row r="777" spans="1:14">
      <c r="A777" s="6" t="s">
        <v>1643</v>
      </c>
      <c r="B777" s="7">
        <v>46236</v>
      </c>
      <c r="C777" s="6" t="s">
        <v>1644</v>
      </c>
      <c r="D777" s="6" t="str">
        <f>IF(OR(PROPER(TRIM(Raw_Data!D777))="Uk",PROPER(TRIM(Raw_Data!D777))="Gb",PROPER(TRIM(Raw_Data!D777))="United kingdom"),"United Kingdom",PROPER(TRIM(Raw_Data!D777)))</f>
        <v>United Kingdom</v>
      </c>
      <c r="E777" s="6" t="s">
        <v>52</v>
      </c>
      <c r="F777" s="6" t="s">
        <v>29</v>
      </c>
      <c r="G777" s="6" t="str">
        <f>SUBSTITUTE(Raw_Data!G777,"Ã©","é")</f>
        <v>Fell Runner Cap</v>
      </c>
      <c r="H777" s="6">
        <v>2</v>
      </c>
      <c r="I777" s="6" t="s">
        <v>82</v>
      </c>
      <c r="J777" s="6" t="s">
        <v>297</v>
      </c>
      <c r="K777" s="6">
        <v>0.52</v>
      </c>
      <c r="L777" s="6" t="s">
        <v>42</v>
      </c>
      <c r="M777" s="6" t="s">
        <v>34</v>
      </c>
      <c r="N777" s="6"/>
    </row>
    <row r="778" spans="1:14">
      <c r="A778" s="6" t="s">
        <v>1645</v>
      </c>
      <c r="B778" s="7">
        <v>46158</v>
      </c>
      <c r="C778" s="6" t="s">
        <v>134</v>
      </c>
      <c r="D778" s="6" t="str">
        <f>IF(OR(PROPER(TRIM(Raw_Data!D778))="Uk",PROPER(TRIM(Raw_Data!D778))="Gb",PROPER(TRIM(Raw_Data!D778))="United kingdom"),"United Kingdom",PROPER(TRIM(Raw_Data!D778)))</f>
        <v>United Kingdom</v>
      </c>
      <c r="E778" s="6" t="s">
        <v>52</v>
      </c>
      <c r="F778" s="6" t="s">
        <v>38</v>
      </c>
      <c r="G778" s="6" t="str">
        <f>SUBSTITUTE(Raw_Data!G778,"Ã©","é")</f>
        <v>Storm Overtrousers</v>
      </c>
      <c r="H778" s="6">
        <v>1</v>
      </c>
      <c r="I778" s="6" t="s">
        <v>117</v>
      </c>
      <c r="J778" s="6" t="s">
        <v>73</v>
      </c>
      <c r="K778" s="6">
        <v>0.52</v>
      </c>
      <c r="L778" s="6" t="s">
        <v>33</v>
      </c>
      <c r="M778" s="6" t="s">
        <v>34</v>
      </c>
      <c r="N778" s="6"/>
    </row>
    <row r="779" spans="1:14">
      <c r="A779" s="6" t="s">
        <v>1646</v>
      </c>
      <c r="B779" s="7">
        <v>46129</v>
      </c>
      <c r="C779" s="6" t="s">
        <v>1647</v>
      </c>
      <c r="D779" s="6" t="str">
        <f>IF(OR(PROPER(TRIM(Raw_Data!D779))="Uk",PROPER(TRIM(Raw_Data!D779))="Gb",PROPER(TRIM(Raw_Data!D779))="United kingdom"),"United Kingdom",PROPER(TRIM(Raw_Data!D779)))</f>
        <v>France</v>
      </c>
      <c r="E779" s="6" t="s">
        <v>78</v>
      </c>
      <c r="F779" s="6" t="s">
        <v>94</v>
      </c>
      <c r="G779" s="6" t="str">
        <f>SUBSTITUTE(Raw_Data!G779,"Ã©","é")</f>
        <v>Trekking Poles</v>
      </c>
      <c r="H779" s="6">
        <v>1</v>
      </c>
      <c r="I779" s="6" t="s">
        <v>73</v>
      </c>
      <c r="J779" s="6" t="s">
        <v>73</v>
      </c>
      <c r="K779" s="6">
        <v>0.34</v>
      </c>
      <c r="L779" s="6" t="s">
        <v>42</v>
      </c>
      <c r="M779" s="6" t="s">
        <v>69</v>
      </c>
      <c r="N779" s="6"/>
    </row>
    <row r="780" spans="1:14">
      <c r="A780" s="6" t="s">
        <v>1648</v>
      </c>
      <c r="B780" s="7">
        <v>46114</v>
      </c>
      <c r="C780" s="6" t="s">
        <v>1649</v>
      </c>
      <c r="D780" s="6" t="str">
        <f>IF(OR(PROPER(TRIM(Raw_Data!D780))="Uk",PROPER(TRIM(Raw_Data!D780))="Gb",PROPER(TRIM(Raw_Data!D780))="United kingdom"),"United Kingdom",PROPER(TRIM(Raw_Data!D780)))</f>
        <v>United Kingdom</v>
      </c>
      <c r="E780" s="6" t="s">
        <v>78</v>
      </c>
      <c r="F780" s="6" t="s">
        <v>53</v>
      </c>
      <c r="G780" s="6" t="str">
        <f>SUBSTITUTE(Raw_Data!G780,"Ã©","é")</f>
        <v>Trekking Poles</v>
      </c>
      <c r="H780" s="6">
        <v>1</v>
      </c>
      <c r="I780" s="6" t="s">
        <v>82</v>
      </c>
      <c r="J780" s="6" t="s">
        <v>82</v>
      </c>
      <c r="K780" s="6">
        <v>0.19</v>
      </c>
      <c r="L780" s="6" t="s">
        <v>33</v>
      </c>
      <c r="M780" s="6" t="s">
        <v>34</v>
      </c>
      <c r="N780" s="6"/>
    </row>
    <row r="781" spans="1:14">
      <c r="A781" s="6" t="s">
        <v>1650</v>
      </c>
      <c r="B781" s="7">
        <v>46171</v>
      </c>
      <c r="C781" s="6" t="s">
        <v>1651</v>
      </c>
      <c r="D781" s="6" t="str">
        <f>IF(OR(PROPER(TRIM(Raw_Data!D781))="Uk",PROPER(TRIM(Raw_Data!D781))="Gb",PROPER(TRIM(Raw_Data!D781))="United kingdom"),"United Kingdom",PROPER(TRIM(Raw_Data!D781)))</f>
        <v>United Kingdom</v>
      </c>
      <c r="E781" s="6" t="s">
        <v>28</v>
      </c>
      <c r="F781" s="6" t="s">
        <v>53</v>
      </c>
      <c r="G781" s="6" t="str">
        <f>SUBSTITUTE(Raw_Data!G781,"Ã©","é")</f>
        <v>Trail Softshell</v>
      </c>
      <c r="H781" s="6">
        <v>1</v>
      </c>
      <c r="I781" s="6" t="s">
        <v>265</v>
      </c>
      <c r="J781" s="6" t="s">
        <v>265</v>
      </c>
      <c r="K781" s="6">
        <v>0.19</v>
      </c>
      <c r="L781" s="6" t="s">
        <v>42</v>
      </c>
      <c r="M781" s="6" t="s">
        <v>34</v>
      </c>
      <c r="N781" s="6"/>
    </row>
    <row r="782" spans="1:14">
      <c r="A782" s="6" t="s">
        <v>1652</v>
      </c>
      <c r="B782" s="7">
        <v>46129</v>
      </c>
      <c r="C782" s="6" t="s">
        <v>1653</v>
      </c>
      <c r="D782" s="6" t="str">
        <f>IF(OR(PROPER(TRIM(Raw_Data!D782))="Uk",PROPER(TRIM(Raw_Data!D782))="Gb",PROPER(TRIM(Raw_Data!D782))="United kingdom"),"United Kingdom",PROPER(TRIM(Raw_Data!D782)))</f>
        <v>Ireland</v>
      </c>
      <c r="E782" s="6" t="s">
        <v>46</v>
      </c>
      <c r="F782" s="6" t="s">
        <v>58</v>
      </c>
      <c r="G782" s="6" t="str">
        <f>SUBSTITUTE(Raw_Data!G782,"Ã©","é")</f>
        <v>Café Latte Mug</v>
      </c>
      <c r="H782" s="6">
        <v>1</v>
      </c>
      <c r="I782" s="6" t="s">
        <v>90</v>
      </c>
      <c r="J782" s="6" t="s">
        <v>90</v>
      </c>
      <c r="K782" s="6">
        <v>0.38</v>
      </c>
      <c r="L782" s="6" t="s">
        <v>42</v>
      </c>
      <c r="M782" s="6" t="s">
        <v>69</v>
      </c>
      <c r="N782" s="6"/>
    </row>
    <row r="783" spans="1:14">
      <c r="A783" s="6" t="s">
        <v>1654</v>
      </c>
      <c r="B783" s="7">
        <v>46191</v>
      </c>
      <c r="C783" s="6" t="s">
        <v>1655</v>
      </c>
      <c r="D783" s="6" t="str">
        <f>IF(OR(PROPER(TRIM(Raw_Data!D783))="Uk",PROPER(TRIM(Raw_Data!D783))="Gb",PROPER(TRIM(Raw_Data!D783))="United kingdom"),"United Kingdom",PROPER(TRIM(Raw_Data!D783)))</f>
        <v>United Kingdom</v>
      </c>
      <c r="E783" s="6" t="s">
        <v>46</v>
      </c>
      <c r="F783" s="6" t="s">
        <v>94</v>
      </c>
      <c r="G783" s="6" t="str">
        <f>SUBSTITUTE(Raw_Data!G783,"Ã©","é")</f>
        <v>Merino Base Layer</v>
      </c>
      <c r="H783" s="6">
        <v>2</v>
      </c>
      <c r="I783" s="6" t="s">
        <v>67</v>
      </c>
      <c r="J783" s="6" t="s">
        <v>204</v>
      </c>
      <c r="K783" s="6">
        <v>0.34</v>
      </c>
      <c r="L783" s="6" t="s">
        <v>33</v>
      </c>
      <c r="M783" s="6" t="s">
        <v>69</v>
      </c>
      <c r="N783" s="6"/>
    </row>
    <row r="784" spans="1:14">
      <c r="A784" s="6" t="s">
        <v>1656</v>
      </c>
      <c r="B784" s="7">
        <v>46073</v>
      </c>
      <c r="C784" s="6" t="s">
        <v>271</v>
      </c>
      <c r="D784" s="6" t="str">
        <f>IF(OR(PROPER(TRIM(Raw_Data!D784))="Uk",PROPER(TRIM(Raw_Data!D784))="Gb",PROPER(TRIM(Raw_Data!D784))="United kingdom"),"United Kingdom",PROPER(TRIM(Raw_Data!D784)))</f>
        <v>United Kingdom</v>
      </c>
      <c r="E784" s="6" t="s">
        <v>78</v>
      </c>
      <c r="F784" s="6" t="s">
        <v>29</v>
      </c>
      <c r="G784" s="6" t="str">
        <f>SUBSTITUTE(Raw_Data!G784,"Ã©","é")</f>
        <v>Merino Base Layer</v>
      </c>
      <c r="H784" s="6">
        <v>2</v>
      </c>
      <c r="I784" s="6" t="s">
        <v>40</v>
      </c>
      <c r="J784" s="6" t="s">
        <v>327</v>
      </c>
      <c r="K784" s="6">
        <v>0.52</v>
      </c>
      <c r="L784" s="6" t="s">
        <v>33</v>
      </c>
      <c r="M784" s="6" t="s">
        <v>69</v>
      </c>
      <c r="N784" s="6"/>
    </row>
    <row r="785" spans="1:14">
      <c r="A785" s="6" t="s">
        <v>1657</v>
      </c>
      <c r="B785" s="7">
        <v>46027</v>
      </c>
      <c r="C785" s="6" t="s">
        <v>1658</v>
      </c>
      <c r="D785" s="6" t="str">
        <f>IF(OR(PROPER(TRIM(Raw_Data!D785))="Uk",PROPER(TRIM(Raw_Data!D785))="Gb",PROPER(TRIM(Raw_Data!D785))="United kingdom"),"United Kingdom",PROPER(TRIM(Raw_Data!D785)))</f>
        <v>Germany</v>
      </c>
      <c r="E785" s="6" t="s">
        <v>37</v>
      </c>
      <c r="F785" s="6" t="s">
        <v>94</v>
      </c>
      <c r="G785" s="6" t="str">
        <f>SUBSTITUTE(Raw_Data!G785,"Ã©","é")</f>
        <v>Summit Down Gilet</v>
      </c>
      <c r="H785" s="6">
        <v>2</v>
      </c>
      <c r="I785" s="6" t="s">
        <v>143</v>
      </c>
      <c r="J785" s="6" t="s">
        <v>144</v>
      </c>
      <c r="K785" s="6">
        <v>0.34</v>
      </c>
      <c r="L785" s="6" t="s">
        <v>42</v>
      </c>
      <c r="M785" s="6" t="s">
        <v>69</v>
      </c>
      <c r="N785" s="6"/>
    </row>
    <row r="786" spans="1:14">
      <c r="A786" s="6" t="s">
        <v>1659</v>
      </c>
      <c r="B786" s="7">
        <v>46157</v>
      </c>
      <c r="C786" s="6" t="s">
        <v>1660</v>
      </c>
      <c r="D786" s="6" t="str">
        <f>IF(OR(PROPER(TRIM(Raw_Data!D786))="Uk",PROPER(TRIM(Raw_Data!D786))="Gb",PROPER(TRIM(Raw_Data!D786))="United kingdom"),"United Kingdom",PROPER(TRIM(Raw_Data!D786)))</f>
        <v>Ireland</v>
      </c>
      <c r="E786" s="6" t="s">
        <v>46</v>
      </c>
      <c r="F786" s="6" t="s">
        <v>47</v>
      </c>
      <c r="G786" s="6" t="str">
        <f>SUBSTITUTE(Raw_Data!G786,"Ã©","é")</f>
        <v>Café Latte Mug</v>
      </c>
      <c r="H786" s="6">
        <v>2</v>
      </c>
      <c r="I786" s="6" t="s">
        <v>143</v>
      </c>
      <c r="J786" s="6" t="s">
        <v>144</v>
      </c>
      <c r="K786" s="6">
        <v>8.5000000000000006E-2</v>
      </c>
      <c r="L786" s="6" t="s">
        <v>42</v>
      </c>
      <c r="M786" s="6" t="s">
        <v>34</v>
      </c>
      <c r="N786" s="6"/>
    </row>
    <row r="787" spans="1:14">
      <c r="A787" s="6" t="s">
        <v>1661</v>
      </c>
      <c r="B787" s="7">
        <v>46269</v>
      </c>
      <c r="C787" s="6" t="s">
        <v>1662</v>
      </c>
      <c r="D787" s="6" t="str">
        <f>IF(OR(PROPER(TRIM(Raw_Data!D787))="Uk",PROPER(TRIM(Raw_Data!D787))="Gb",PROPER(TRIM(Raw_Data!D787))="United kingdom"),"United Kingdom",PROPER(TRIM(Raw_Data!D787)))</f>
        <v>United Kingdom</v>
      </c>
      <c r="E787" s="6" t="s">
        <v>28</v>
      </c>
      <c r="F787" s="6" t="s">
        <v>38</v>
      </c>
      <c r="G787" s="6" t="str">
        <f>SUBSTITUTE(Raw_Data!G787,"Ã©","é")</f>
        <v>Trekking Poles</v>
      </c>
      <c r="H787" s="6">
        <v>1</v>
      </c>
      <c r="I787" s="6" t="s">
        <v>90</v>
      </c>
      <c r="J787" s="6" t="s">
        <v>90</v>
      </c>
      <c r="K787" s="6">
        <v>0.52</v>
      </c>
      <c r="L787" s="6" t="s">
        <v>42</v>
      </c>
      <c r="M787" s="6" t="s">
        <v>34</v>
      </c>
      <c r="N787" s="6"/>
    </row>
    <row r="788" spans="1:14">
      <c r="A788" s="6" t="s">
        <v>1663</v>
      </c>
      <c r="B788" s="7">
        <v>46050</v>
      </c>
      <c r="C788" s="6" t="s">
        <v>1664</v>
      </c>
      <c r="D788" s="6" t="str">
        <f>IF(OR(PROPER(TRIM(Raw_Data!D788))="Uk",PROPER(TRIM(Raw_Data!D788))="Gb",PROPER(TRIM(Raw_Data!D788))="United kingdom"),"United Kingdom",PROPER(TRIM(Raw_Data!D788)))</f>
        <v>United Kingdom</v>
      </c>
      <c r="E788" s="6" t="s">
        <v>52</v>
      </c>
      <c r="F788" s="6" t="s">
        <v>38</v>
      </c>
      <c r="G788" s="6" t="str">
        <f>SUBSTITUTE(Raw_Data!G788,"Ã©","é")</f>
        <v>Café Latte Mug</v>
      </c>
      <c r="H788" s="6">
        <v>2</v>
      </c>
      <c r="I788" s="6" t="s">
        <v>181</v>
      </c>
      <c r="J788" s="6" t="s">
        <v>163</v>
      </c>
      <c r="K788" s="6">
        <v>0.52</v>
      </c>
      <c r="L788" s="6" t="s">
        <v>42</v>
      </c>
      <c r="M788" s="6" t="s">
        <v>34</v>
      </c>
      <c r="N788" s="6"/>
    </row>
    <row r="789" spans="1:14">
      <c r="A789" s="6" t="s">
        <v>1665</v>
      </c>
      <c r="B789" s="7">
        <v>46239</v>
      </c>
      <c r="C789" s="6" t="s">
        <v>1666</v>
      </c>
      <c r="D789" s="6" t="str">
        <f>IF(OR(PROPER(TRIM(Raw_Data!D789))="Uk",PROPER(TRIM(Raw_Data!D789))="Gb",PROPER(TRIM(Raw_Data!D789))="United kingdom"),"United Kingdom",PROPER(TRIM(Raw_Data!D789)))</f>
        <v>Ireland</v>
      </c>
      <c r="E789" s="6" t="s">
        <v>78</v>
      </c>
      <c r="F789" s="6" t="s">
        <v>58</v>
      </c>
      <c r="G789" s="6" t="str">
        <f>SUBSTITUTE(Raw_Data!G789,"Ã©","é")</f>
        <v>Fell Runner Cap</v>
      </c>
      <c r="H789" s="6">
        <v>1</v>
      </c>
      <c r="I789" s="6" t="s">
        <v>96</v>
      </c>
      <c r="J789" s="6" t="s">
        <v>96</v>
      </c>
      <c r="K789" s="6">
        <v>0.38</v>
      </c>
      <c r="L789" s="6" t="s">
        <v>42</v>
      </c>
      <c r="M789" s="6" t="s">
        <v>69</v>
      </c>
      <c r="N789" s="6"/>
    </row>
    <row r="790" spans="1:14">
      <c r="A790" s="6" t="s">
        <v>1667</v>
      </c>
      <c r="B790" s="7">
        <v>46361</v>
      </c>
      <c r="C790" s="6" t="s">
        <v>353</v>
      </c>
      <c r="D790" s="6" t="str">
        <f>IF(OR(PROPER(TRIM(Raw_Data!D790))="Uk",PROPER(TRIM(Raw_Data!D790))="Gb",PROPER(TRIM(Raw_Data!D790))="United kingdom"),"United Kingdom",PROPER(TRIM(Raw_Data!D790)))</f>
        <v>Ireland</v>
      </c>
      <c r="E790" s="6" t="s">
        <v>37</v>
      </c>
      <c r="F790" s="6" t="s">
        <v>29</v>
      </c>
      <c r="G790" s="6" t="str">
        <f>SUBSTITUTE(Raw_Data!G790,"Ã©","é")</f>
        <v>Trail Softshell</v>
      </c>
      <c r="H790" s="6">
        <v>1</v>
      </c>
      <c r="I790" s="6" t="s">
        <v>181</v>
      </c>
      <c r="J790" s="6" t="s">
        <v>181</v>
      </c>
      <c r="K790" s="6">
        <v>0.52</v>
      </c>
      <c r="L790" s="6" t="s">
        <v>42</v>
      </c>
      <c r="M790" s="6" t="s">
        <v>34</v>
      </c>
      <c r="N790" s="6"/>
    </row>
    <row r="791" spans="1:14">
      <c r="A791" s="6" t="s">
        <v>1668</v>
      </c>
      <c r="B791" s="7">
        <v>46037</v>
      </c>
      <c r="C791" s="6" t="s">
        <v>1250</v>
      </c>
      <c r="D791" s="6" t="str">
        <f>IF(OR(PROPER(TRIM(Raw_Data!D791))="Uk",PROPER(TRIM(Raw_Data!D791))="Gb",PROPER(TRIM(Raw_Data!D791))="United kingdom"),"United Kingdom",PROPER(TRIM(Raw_Data!D791)))</f>
        <v>United Kingdom</v>
      </c>
      <c r="E791" s="6" t="s">
        <v>28</v>
      </c>
      <c r="F791" s="6" t="s">
        <v>38</v>
      </c>
      <c r="G791" s="6" t="str">
        <f>SUBSTITUTE(Raw_Data!G791,"Ã©","é")</f>
        <v>Trail Softshell</v>
      </c>
      <c r="H791" s="6">
        <v>1</v>
      </c>
      <c r="I791" s="6" t="s">
        <v>181</v>
      </c>
      <c r="J791" s="6" t="s">
        <v>181</v>
      </c>
      <c r="K791" s="6">
        <v>0.52</v>
      </c>
      <c r="L791" s="6" t="s">
        <v>42</v>
      </c>
      <c r="M791" s="6" t="s">
        <v>34</v>
      </c>
      <c r="N791" s="6"/>
    </row>
    <row r="792" spans="1:14">
      <c r="A792" s="6" t="s">
        <v>1669</v>
      </c>
      <c r="B792" s="7">
        <v>46129</v>
      </c>
      <c r="C792" s="6" t="s">
        <v>1670</v>
      </c>
      <c r="D792" s="6" t="str">
        <f>IF(OR(PROPER(TRIM(Raw_Data!D792))="Uk",PROPER(TRIM(Raw_Data!D792))="Gb",PROPER(TRIM(Raw_Data!D792))="United kingdom"),"United Kingdom",PROPER(TRIM(Raw_Data!D792)))</f>
        <v>United Kingdom</v>
      </c>
      <c r="E792" s="6" t="s">
        <v>46</v>
      </c>
      <c r="F792" s="6" t="s">
        <v>38</v>
      </c>
      <c r="G792" s="6" t="str">
        <f>SUBSTITUTE(Raw_Data!G792,"Ã©","é")</f>
        <v>Summit Down Gilet</v>
      </c>
      <c r="H792" s="6">
        <v>1</v>
      </c>
      <c r="I792" s="6" t="s">
        <v>31</v>
      </c>
      <c r="J792" s="6" t="s">
        <v>31</v>
      </c>
      <c r="K792" s="6">
        <v>0.52</v>
      </c>
      <c r="L792" s="6" t="s">
        <v>42</v>
      </c>
      <c r="M792" s="6" t="s">
        <v>34</v>
      </c>
      <c r="N792" s="6"/>
    </row>
    <row r="793" spans="1:14">
      <c r="A793" s="6" t="s">
        <v>1671</v>
      </c>
      <c r="B793" s="7">
        <v>46173</v>
      </c>
      <c r="C793" s="6" t="s">
        <v>524</v>
      </c>
      <c r="D793" s="6" t="str">
        <f>IF(OR(PROPER(TRIM(Raw_Data!D793))="Uk",PROPER(TRIM(Raw_Data!D793))="Gb",PROPER(TRIM(Raw_Data!D793))="United kingdom"),"United Kingdom",PROPER(TRIM(Raw_Data!D793)))</f>
        <v>United Kingdom</v>
      </c>
      <c r="E793" s="6" t="s">
        <v>52</v>
      </c>
      <c r="F793" s="6" t="s">
        <v>53</v>
      </c>
      <c r="G793" s="6" t="str">
        <f>SUBSTITUTE(Raw_Data!G793,"Ã©","é")</f>
        <v>Trekking Poles</v>
      </c>
      <c r="H793" s="6">
        <v>2</v>
      </c>
      <c r="I793" s="6" t="s">
        <v>599</v>
      </c>
      <c r="J793" s="6" t="s">
        <v>74</v>
      </c>
      <c r="K793" s="6">
        <v>0.19</v>
      </c>
      <c r="L793" s="6" t="s">
        <v>42</v>
      </c>
      <c r="M793" s="6" t="s">
        <v>69</v>
      </c>
      <c r="N793" s="6"/>
    </row>
    <row r="794" spans="1:14">
      <c r="A794" s="6" t="s">
        <v>1672</v>
      </c>
      <c r="B794" s="7">
        <v>46080</v>
      </c>
      <c r="C794" s="6" t="s">
        <v>1673</v>
      </c>
      <c r="D794" s="6" t="str">
        <f>IF(OR(PROPER(TRIM(Raw_Data!D794))="Uk",PROPER(TRIM(Raw_Data!D794))="Gb",PROPER(TRIM(Raw_Data!D794))="United kingdom"),"United Kingdom",PROPER(TRIM(Raw_Data!D794)))</f>
        <v>United Kingdom</v>
      </c>
      <c r="E794" s="6" t="s">
        <v>28</v>
      </c>
      <c r="F794" s="6" t="s">
        <v>58</v>
      </c>
      <c r="G794" s="6" t="str">
        <f>SUBSTITUTE(Raw_Data!G794,"Ã©","é")</f>
        <v>Trail Softshell</v>
      </c>
      <c r="H794" s="6">
        <v>1</v>
      </c>
      <c r="I794" s="6" t="s">
        <v>82</v>
      </c>
      <c r="J794" s="6" t="s">
        <v>1674</v>
      </c>
      <c r="K794" s="6">
        <v>0.38</v>
      </c>
      <c r="L794" s="6" t="s">
        <v>42</v>
      </c>
      <c r="M794" s="6" t="s">
        <v>34</v>
      </c>
      <c r="N794" s="6"/>
    </row>
    <row r="795" spans="1:14">
      <c r="A795" s="6" t="s">
        <v>1675</v>
      </c>
      <c r="B795" s="7">
        <v>46297</v>
      </c>
      <c r="C795" s="6" t="s">
        <v>496</v>
      </c>
      <c r="D795" s="6" t="str">
        <f>IF(OR(PROPER(TRIM(Raw_Data!D795))="Uk",PROPER(TRIM(Raw_Data!D795))="Gb",PROPER(TRIM(Raw_Data!D795))="United kingdom"),"United Kingdom",PROPER(TRIM(Raw_Data!D795)))</f>
        <v>United Kingdom</v>
      </c>
      <c r="E795" s="6" t="s">
        <v>52</v>
      </c>
      <c r="F795" s="6" t="s">
        <v>47</v>
      </c>
      <c r="G795" s="6" t="str">
        <f>SUBSTITUTE(Raw_Data!G795,"Ã©","é")</f>
        <v>Trail Softshell</v>
      </c>
      <c r="H795" s="6">
        <v>1</v>
      </c>
      <c r="I795" s="6" t="s">
        <v>96</v>
      </c>
      <c r="J795" s="6" t="s">
        <v>96</v>
      </c>
      <c r="K795" s="6">
        <v>8.5000000000000006E-2</v>
      </c>
      <c r="L795" s="6" t="s">
        <v>42</v>
      </c>
      <c r="M795" s="6" t="s">
        <v>34</v>
      </c>
      <c r="N795" s="6"/>
    </row>
    <row r="796" spans="1:14">
      <c r="A796" s="6" t="s">
        <v>1676</v>
      </c>
      <c r="B796" s="7">
        <v>46172</v>
      </c>
      <c r="C796" s="6" t="s">
        <v>1678</v>
      </c>
      <c r="D796" s="6" t="str">
        <f>IF(OR(PROPER(TRIM(Raw_Data!D796))="Uk",PROPER(TRIM(Raw_Data!D796))="Gb",PROPER(TRIM(Raw_Data!D796))="United kingdom"),"United Kingdom",PROPER(TRIM(Raw_Data!D796)))</f>
        <v>Germany</v>
      </c>
      <c r="E796" s="6" t="s">
        <v>78</v>
      </c>
      <c r="F796" s="6" t="s">
        <v>38</v>
      </c>
      <c r="G796" s="6" t="str">
        <f>SUBSTITUTE(Raw_Data!G796,"Ã©","é")</f>
        <v>Merino Base Layer</v>
      </c>
      <c r="H796" s="6">
        <v>1</v>
      </c>
      <c r="I796" s="6" t="s">
        <v>113</v>
      </c>
      <c r="J796" s="6" t="s">
        <v>113</v>
      </c>
      <c r="K796" s="6">
        <v>0.52</v>
      </c>
      <c r="L796" s="6" t="s">
        <v>42</v>
      </c>
      <c r="M796" s="6" t="s">
        <v>34</v>
      </c>
      <c r="N796" s="6"/>
    </row>
    <row r="797" spans="1:14">
      <c r="A797" s="6" t="s">
        <v>1679</v>
      </c>
      <c r="B797" s="7">
        <v>46037</v>
      </c>
      <c r="C797" s="6" t="s">
        <v>1680</v>
      </c>
      <c r="D797" s="6" t="str">
        <f>IF(OR(PROPER(TRIM(Raw_Data!D797))="Uk",PROPER(TRIM(Raw_Data!D797))="Gb",PROPER(TRIM(Raw_Data!D797))="United kingdom"),"United Kingdom",PROPER(TRIM(Raw_Data!D797)))</f>
        <v>France</v>
      </c>
      <c r="E797" s="6" t="s">
        <v>78</v>
      </c>
      <c r="F797" s="6" t="s">
        <v>29</v>
      </c>
      <c r="G797" s="6" t="str">
        <f>SUBSTITUTE(Raw_Data!G797,"Ã©","é")</f>
        <v>Summit Down Gilet</v>
      </c>
      <c r="H797" s="6">
        <v>1</v>
      </c>
      <c r="I797" s="6" t="s">
        <v>96</v>
      </c>
      <c r="J797" s="6" t="s">
        <v>96</v>
      </c>
      <c r="K797" s="6">
        <v>0.52</v>
      </c>
      <c r="L797" s="6" t="s">
        <v>42</v>
      </c>
      <c r="M797" s="6" t="s">
        <v>34</v>
      </c>
      <c r="N797" s="6"/>
    </row>
    <row r="798" spans="1:14">
      <c r="A798" s="6" t="s">
        <v>1681</v>
      </c>
      <c r="B798" s="7">
        <v>46165</v>
      </c>
      <c r="C798" s="6" t="s">
        <v>863</v>
      </c>
      <c r="D798" s="6" t="str">
        <f>IF(OR(PROPER(TRIM(Raw_Data!D798))="Uk",PROPER(TRIM(Raw_Data!D798))="Gb",PROPER(TRIM(Raw_Data!D798))="United kingdom"),"United Kingdom",PROPER(TRIM(Raw_Data!D798)))</f>
        <v>Ireland</v>
      </c>
      <c r="E798" s="6" t="s">
        <v>78</v>
      </c>
      <c r="F798" s="6" t="s">
        <v>47</v>
      </c>
      <c r="G798" s="6" t="str">
        <f>SUBSTITUTE(Raw_Data!G798,"Ã©","é")</f>
        <v>Fell Runner Cap</v>
      </c>
      <c r="H798" s="6">
        <v>3</v>
      </c>
      <c r="I798" s="6" t="s">
        <v>117</v>
      </c>
      <c r="J798" s="6" t="s">
        <v>171</v>
      </c>
      <c r="K798" s="6">
        <v>8.5000000000000006E-2</v>
      </c>
      <c r="L798" s="6" t="s">
        <v>42</v>
      </c>
      <c r="M798" s="6" t="s">
        <v>34</v>
      </c>
      <c r="N798" s="6"/>
    </row>
    <row r="799" spans="1:14">
      <c r="A799" s="6" t="s">
        <v>1682</v>
      </c>
      <c r="B799" s="7">
        <v>46270</v>
      </c>
      <c r="C799" s="6" t="s">
        <v>1683</v>
      </c>
      <c r="D799" s="6" t="str">
        <f>IF(OR(PROPER(TRIM(Raw_Data!D799))="Uk",PROPER(TRIM(Raw_Data!D799))="Gb",PROPER(TRIM(Raw_Data!D799))="United kingdom"),"United Kingdom",PROPER(TRIM(Raw_Data!D799)))</f>
        <v>United Kingdom</v>
      </c>
      <c r="E799" s="6" t="s">
        <v>46</v>
      </c>
      <c r="F799" s="6" t="s">
        <v>47</v>
      </c>
      <c r="G799" s="6" t="str">
        <f>SUBSTITUTE(Raw_Data!G799,"Ã©","é")</f>
        <v>Trail Softshell</v>
      </c>
      <c r="H799" s="6">
        <v>2</v>
      </c>
      <c r="I799" s="6" t="s">
        <v>113</v>
      </c>
      <c r="J799" s="6" t="s">
        <v>192</v>
      </c>
      <c r="K799" s="6">
        <v>8.5000000000000006E-2</v>
      </c>
      <c r="L799" s="6" t="s">
        <v>42</v>
      </c>
      <c r="M799" s="6" t="s">
        <v>69</v>
      </c>
      <c r="N799" s="6"/>
    </row>
    <row r="800" spans="1:14">
      <c r="A800" s="6" t="s">
        <v>1684</v>
      </c>
      <c r="B800" s="7">
        <v>46095</v>
      </c>
      <c r="C800" s="6" t="s">
        <v>1685</v>
      </c>
      <c r="D800" s="6" t="str">
        <f>IF(OR(PROPER(TRIM(Raw_Data!D800))="Uk",PROPER(TRIM(Raw_Data!D800))="Gb",PROPER(TRIM(Raw_Data!D800))="United kingdom"),"United Kingdom",PROPER(TRIM(Raw_Data!D800)))</f>
        <v>Ireland</v>
      </c>
      <c r="E800" s="6" t="s">
        <v>52</v>
      </c>
      <c r="F800" s="6" t="s">
        <v>94</v>
      </c>
      <c r="G800" s="6" t="str">
        <f>SUBSTITUTE(Raw_Data!G800,"Ã©","é")</f>
        <v>Trekking Poles</v>
      </c>
      <c r="H800" s="6">
        <v>1</v>
      </c>
      <c r="I800" s="6" t="s">
        <v>755</v>
      </c>
      <c r="J800" s="6" t="s">
        <v>117</v>
      </c>
      <c r="K800" s="6">
        <v>0.34</v>
      </c>
      <c r="L800" s="6" t="s">
        <v>33</v>
      </c>
      <c r="M800" s="6" t="s">
        <v>34</v>
      </c>
      <c r="N800" s="6"/>
    </row>
    <row r="801" spans="1:14">
      <c r="A801" s="6" t="s">
        <v>1686</v>
      </c>
      <c r="B801" s="7">
        <v>46080</v>
      </c>
      <c r="C801" s="6" t="s">
        <v>188</v>
      </c>
      <c r="D801" s="6" t="str">
        <f>IF(OR(PROPER(TRIM(Raw_Data!D801))="Uk",PROPER(TRIM(Raw_Data!D801))="Gb",PROPER(TRIM(Raw_Data!D801))="United kingdom"),"United Kingdom",PROPER(TRIM(Raw_Data!D801)))</f>
        <v>United Kingdom</v>
      </c>
      <c r="E801" s="6" t="s">
        <v>46</v>
      </c>
      <c r="F801" s="6" t="s">
        <v>58</v>
      </c>
      <c r="G801" s="6" t="str">
        <f>SUBSTITUTE(Raw_Data!G801,"Ã©","é")</f>
        <v>Fell Runner Cap</v>
      </c>
      <c r="H801" s="6">
        <v>1</v>
      </c>
      <c r="I801" s="6" t="s">
        <v>31</v>
      </c>
      <c r="J801" s="6" t="s">
        <v>31</v>
      </c>
      <c r="K801" s="6">
        <v>0.38</v>
      </c>
      <c r="L801" s="6" t="s">
        <v>42</v>
      </c>
      <c r="M801" s="6" t="s">
        <v>34</v>
      </c>
      <c r="N801" s="6"/>
    </row>
    <row r="802" spans="1:14">
      <c r="A802" s="6" t="s">
        <v>1687</v>
      </c>
      <c r="B802" s="7">
        <v>46360</v>
      </c>
      <c r="C802" s="6" t="s">
        <v>1325</v>
      </c>
      <c r="D802" s="6" t="str">
        <f>IF(OR(PROPER(TRIM(Raw_Data!D802))="Uk",PROPER(TRIM(Raw_Data!D802))="Gb",PROPER(TRIM(Raw_Data!D802))="United kingdom"),"United Kingdom",PROPER(TRIM(Raw_Data!D802)))</f>
        <v>United Kingdom</v>
      </c>
      <c r="E802" s="6" t="s">
        <v>37</v>
      </c>
      <c r="F802" s="6" t="s">
        <v>85</v>
      </c>
      <c r="G802" s="6" t="str">
        <f>SUBSTITUTE(Raw_Data!G802,"Ã©","é")</f>
        <v>Fell Runner Cap</v>
      </c>
      <c r="H802" s="6">
        <v>2</v>
      </c>
      <c r="I802" s="6" t="s">
        <v>117</v>
      </c>
      <c r="J802" s="6" t="s">
        <v>118</v>
      </c>
      <c r="K802" s="6">
        <v>0.41</v>
      </c>
      <c r="L802" s="6" t="s">
        <v>42</v>
      </c>
      <c r="M802" s="6" t="s">
        <v>34</v>
      </c>
      <c r="N802" s="6"/>
    </row>
    <row r="803" spans="1:14">
      <c r="A803" s="6" t="s">
        <v>1688</v>
      </c>
      <c r="B803" s="7">
        <v>46041</v>
      </c>
      <c r="C803" s="6" t="s">
        <v>1689</v>
      </c>
      <c r="D803" s="6" t="str">
        <f>IF(OR(PROPER(TRIM(Raw_Data!D803))="Uk",PROPER(TRIM(Raw_Data!D803))="Gb",PROPER(TRIM(Raw_Data!D803))="United kingdom"),"United Kingdom",PROPER(TRIM(Raw_Data!D803)))</f>
        <v>United Kingdom</v>
      </c>
      <c r="E803" s="6" t="s">
        <v>78</v>
      </c>
      <c r="F803" s="6" t="s">
        <v>85</v>
      </c>
      <c r="G803" s="6" t="str">
        <f>SUBSTITUTE(Raw_Data!G803,"Ã©","é")</f>
        <v>Café Latte Mug</v>
      </c>
      <c r="H803" s="6">
        <v>2</v>
      </c>
      <c r="I803" s="6" t="s">
        <v>79</v>
      </c>
      <c r="J803" s="6" t="s">
        <v>259</v>
      </c>
      <c r="K803" s="6">
        <v>0.41</v>
      </c>
      <c r="L803" s="6" t="s">
        <v>42</v>
      </c>
      <c r="M803" s="6" t="s">
        <v>34</v>
      </c>
      <c r="N803" s="6"/>
    </row>
    <row r="804" spans="1:14">
      <c r="A804" s="6" t="s">
        <v>1690</v>
      </c>
      <c r="B804" s="7">
        <v>46133</v>
      </c>
      <c r="C804" s="6" t="s">
        <v>761</v>
      </c>
      <c r="D804" s="6" t="str">
        <f>IF(OR(PROPER(TRIM(Raw_Data!D804))="Uk",PROPER(TRIM(Raw_Data!D804))="Gb",PROPER(TRIM(Raw_Data!D804))="United kingdom"),"United Kingdom",PROPER(TRIM(Raw_Data!D804)))</f>
        <v>United Kingdom</v>
      </c>
      <c r="E804" s="6" t="s">
        <v>52</v>
      </c>
      <c r="F804" s="6" t="s">
        <v>53</v>
      </c>
      <c r="G804" s="6" t="str">
        <f>SUBSTITUTE(Raw_Data!G804,"Ã©","é")</f>
        <v>Summit Down Gilet</v>
      </c>
      <c r="H804" s="6">
        <v>1</v>
      </c>
      <c r="I804" s="6" t="s">
        <v>113</v>
      </c>
      <c r="J804" s="6" t="s">
        <v>113</v>
      </c>
      <c r="K804" s="6">
        <v>0.19</v>
      </c>
      <c r="L804" s="6" t="s">
        <v>42</v>
      </c>
      <c r="M804" s="6" t="s">
        <v>34</v>
      </c>
      <c r="N804" s="6"/>
    </row>
    <row r="805" spans="1:14">
      <c r="A805" s="6" t="s">
        <v>1691</v>
      </c>
      <c r="B805" s="7">
        <v>46087</v>
      </c>
      <c r="C805" s="6" t="s">
        <v>1057</v>
      </c>
      <c r="D805" s="6" t="str">
        <f>IF(OR(PROPER(TRIM(Raw_Data!D805))="Uk",PROPER(TRIM(Raw_Data!D805))="Gb",PROPER(TRIM(Raw_Data!D805))="United kingdom"),"United Kingdom",PROPER(TRIM(Raw_Data!D805)))</f>
        <v>United Kingdom</v>
      </c>
      <c r="E805" s="6" t="s">
        <v>46</v>
      </c>
      <c r="F805" s="6" t="s">
        <v>38</v>
      </c>
      <c r="G805" s="6" t="str">
        <f>SUBSTITUTE(Raw_Data!G805,"Ã©","é")</f>
        <v>Storm Overtrousers</v>
      </c>
      <c r="H805" s="6">
        <v>2</v>
      </c>
      <c r="I805" s="6" t="s">
        <v>265</v>
      </c>
      <c r="J805" s="6" t="s">
        <v>167</v>
      </c>
      <c r="K805" s="6">
        <v>0.52</v>
      </c>
      <c r="L805" s="6" t="s">
        <v>33</v>
      </c>
      <c r="M805" s="6" t="s">
        <v>34</v>
      </c>
      <c r="N805" s="6"/>
    </row>
    <row r="806" spans="1:14">
      <c r="A806" s="6" t="s">
        <v>1692</v>
      </c>
      <c r="B806" s="7">
        <v>46165</v>
      </c>
      <c r="C806" s="6" t="s">
        <v>1693</v>
      </c>
      <c r="D806" s="6" t="str">
        <f>IF(OR(PROPER(TRIM(Raw_Data!D806))="Uk",PROPER(TRIM(Raw_Data!D806))="Gb",PROPER(TRIM(Raw_Data!D806))="United kingdom"),"United Kingdom",PROPER(TRIM(Raw_Data!D806)))</f>
        <v>United Kingdom</v>
      </c>
      <c r="E806" s="6" t="s">
        <v>46</v>
      </c>
      <c r="F806" s="6" t="s">
        <v>29</v>
      </c>
      <c r="G806" s="6" t="str">
        <f>SUBSTITUTE(Raw_Data!G806,"Ã©","é")</f>
        <v>Storm Overtrousers</v>
      </c>
      <c r="H806" s="6">
        <v>1</v>
      </c>
      <c r="I806" s="6" t="s">
        <v>96</v>
      </c>
      <c r="J806" s="6" t="s">
        <v>96</v>
      </c>
      <c r="K806" s="6">
        <v>0.52</v>
      </c>
      <c r="L806" s="6" t="s">
        <v>42</v>
      </c>
      <c r="M806" s="6" t="s">
        <v>69</v>
      </c>
      <c r="N806" s="6"/>
    </row>
    <row r="807" spans="1:14">
      <c r="A807" s="6" t="s">
        <v>1694</v>
      </c>
      <c r="B807" s="7">
        <v>46362</v>
      </c>
      <c r="C807" s="6" t="s">
        <v>1695</v>
      </c>
      <c r="D807" s="6" t="str">
        <f>IF(OR(PROPER(TRIM(Raw_Data!D807))="Uk",PROPER(TRIM(Raw_Data!D807))="Gb",PROPER(TRIM(Raw_Data!D807))="United kingdom"),"United Kingdom",PROPER(TRIM(Raw_Data!D807)))</f>
        <v>France</v>
      </c>
      <c r="E807" s="6" t="s">
        <v>52</v>
      </c>
      <c r="F807" s="6" t="s">
        <v>29</v>
      </c>
      <c r="G807" s="6" t="str">
        <f>SUBSTITUTE(Raw_Data!G807,"Ã©","é")</f>
        <v>Merino Base Layer</v>
      </c>
      <c r="H807" s="6">
        <v>2</v>
      </c>
      <c r="I807" s="6" t="s">
        <v>90</v>
      </c>
      <c r="J807" s="6" t="s">
        <v>154</v>
      </c>
      <c r="K807" s="6">
        <v>0.52</v>
      </c>
      <c r="L807" s="6" t="s">
        <v>42</v>
      </c>
      <c r="M807" s="6" t="s">
        <v>34</v>
      </c>
      <c r="N807" s="6"/>
    </row>
    <row r="808" spans="1:14">
      <c r="A808" s="6" t="s">
        <v>1696</v>
      </c>
      <c r="B808" s="7">
        <v>46358</v>
      </c>
      <c r="C808" s="6" t="s">
        <v>1697</v>
      </c>
      <c r="D808" s="6" t="str">
        <f>IF(OR(PROPER(TRIM(Raw_Data!D808))="Uk",PROPER(TRIM(Raw_Data!D808))="Gb",PROPER(TRIM(Raw_Data!D808))="United kingdom"),"United Kingdom",PROPER(TRIM(Raw_Data!D808)))</f>
        <v>United Kingdom</v>
      </c>
      <c r="E808" s="6" t="s">
        <v>46</v>
      </c>
      <c r="F808" s="6" t="s">
        <v>58</v>
      </c>
      <c r="G808" s="6" t="str">
        <f>SUBSTITUTE(Raw_Data!G808,"Ã©","é")</f>
        <v>Trail Softshell</v>
      </c>
      <c r="H808" s="6">
        <v>2</v>
      </c>
      <c r="I808" s="6" t="s">
        <v>265</v>
      </c>
      <c r="J808" s="6" t="s">
        <v>167</v>
      </c>
      <c r="K808" s="6">
        <v>0.38</v>
      </c>
      <c r="L808" s="6" t="s">
        <v>42</v>
      </c>
      <c r="M808" s="6" t="s">
        <v>69</v>
      </c>
      <c r="N808" s="6"/>
    </row>
    <row r="809" spans="1:14">
      <c r="A809" s="6" t="s">
        <v>1698</v>
      </c>
      <c r="B809" s="7">
        <v>46146</v>
      </c>
      <c r="C809" s="6" t="s">
        <v>1699</v>
      </c>
      <c r="D809" s="6" t="str">
        <f>IF(OR(PROPER(TRIM(Raw_Data!D809))="Uk",PROPER(TRIM(Raw_Data!D809))="Gb",PROPER(TRIM(Raw_Data!D809))="United kingdom"),"United Kingdom",PROPER(TRIM(Raw_Data!D809)))</f>
        <v>United Kingdom</v>
      </c>
      <c r="E809" s="6" t="s">
        <v>52</v>
      </c>
      <c r="F809" s="6" t="s">
        <v>47</v>
      </c>
      <c r="G809" s="6" t="str">
        <f>SUBSTITUTE(Raw_Data!G809,"Ã©","é")</f>
        <v>Trekking Poles</v>
      </c>
      <c r="H809" s="6">
        <v>2</v>
      </c>
      <c r="I809" s="6" t="s">
        <v>113</v>
      </c>
      <c r="J809" s="6" t="s">
        <v>192</v>
      </c>
      <c r="K809" s="6">
        <v>8.5000000000000006E-2</v>
      </c>
      <c r="L809" s="6" t="s">
        <v>42</v>
      </c>
      <c r="M809" s="6" t="s">
        <v>34</v>
      </c>
      <c r="N809" s="6"/>
    </row>
    <row r="810" spans="1:14">
      <c r="A810" s="6" t="s">
        <v>1700</v>
      </c>
      <c r="B810" s="7">
        <v>46101</v>
      </c>
      <c r="C810" s="6" t="s">
        <v>1068</v>
      </c>
      <c r="D810" s="6" t="str">
        <f>IF(OR(PROPER(TRIM(Raw_Data!D810))="Uk",PROPER(TRIM(Raw_Data!D810))="Gb",PROPER(TRIM(Raw_Data!D810))="United kingdom"),"United Kingdom",PROPER(TRIM(Raw_Data!D810)))</f>
        <v>United Kingdom</v>
      </c>
      <c r="E810" s="6" t="s">
        <v>46</v>
      </c>
      <c r="F810" s="6" t="s">
        <v>58</v>
      </c>
      <c r="G810" s="6" t="str">
        <f>SUBSTITUTE(Raw_Data!G810,"Ã©","é")</f>
        <v>Trekking Poles</v>
      </c>
      <c r="H810" s="6">
        <v>1</v>
      </c>
      <c r="I810" s="6" t="s">
        <v>143</v>
      </c>
      <c r="J810" s="6" t="s">
        <v>143</v>
      </c>
      <c r="K810" s="6">
        <v>0.38</v>
      </c>
      <c r="L810" s="6" t="s">
        <v>42</v>
      </c>
      <c r="M810" s="6" t="s">
        <v>69</v>
      </c>
      <c r="N810" s="6"/>
    </row>
    <row r="811" spans="1:14">
      <c r="A811" s="6" t="s">
        <v>1701</v>
      </c>
      <c r="B811" s="7">
        <v>46084</v>
      </c>
      <c r="C811" s="6" t="s">
        <v>1702</v>
      </c>
      <c r="D811" s="6" t="str">
        <f>IF(OR(PROPER(TRIM(Raw_Data!D811))="Uk",PROPER(TRIM(Raw_Data!D811))="Gb",PROPER(TRIM(Raw_Data!D811))="United kingdom"),"United Kingdom",PROPER(TRIM(Raw_Data!D811)))</f>
        <v>United Kingdom</v>
      </c>
      <c r="E811" s="6" t="s">
        <v>52</v>
      </c>
      <c r="F811" s="6" t="s">
        <v>100</v>
      </c>
      <c r="G811" s="6" t="str">
        <f>SUBSTITUTE(Raw_Data!G811,"Ã©","é")</f>
        <v>Summit Down Gilet</v>
      </c>
      <c r="H811" s="6">
        <v>1</v>
      </c>
      <c r="I811" s="6" t="s">
        <v>265</v>
      </c>
      <c r="J811" s="6" t="s">
        <v>265</v>
      </c>
      <c r="K811" s="6">
        <v>0.64</v>
      </c>
      <c r="L811" s="6" t="s">
        <v>42</v>
      </c>
      <c r="M811" s="6" t="s">
        <v>34</v>
      </c>
      <c r="N811" s="6"/>
    </row>
    <row r="812" spans="1:14">
      <c r="A812" s="6" t="s">
        <v>1703</v>
      </c>
      <c r="B812" s="7">
        <v>46331</v>
      </c>
      <c r="C812" s="6" t="s">
        <v>324</v>
      </c>
      <c r="D812" s="6" t="str">
        <f>IF(OR(PROPER(TRIM(Raw_Data!D812))="Uk",PROPER(TRIM(Raw_Data!D812))="Gb",PROPER(TRIM(Raw_Data!D812))="United kingdom"),"United Kingdom",PROPER(TRIM(Raw_Data!D812)))</f>
        <v>Germany</v>
      </c>
      <c r="E812" s="6" t="s">
        <v>78</v>
      </c>
      <c r="F812" s="6" t="s">
        <v>100</v>
      </c>
      <c r="G812" s="6" t="str">
        <f>SUBSTITUTE(Raw_Data!G812,"Ã©","é")</f>
        <v>Fell Runner Cap</v>
      </c>
      <c r="H812" s="6">
        <v>1</v>
      </c>
      <c r="I812" s="6" t="s">
        <v>31</v>
      </c>
      <c r="J812" s="6" t="s">
        <v>31</v>
      </c>
      <c r="K812" s="6">
        <v>0.64</v>
      </c>
      <c r="L812" s="6" t="s">
        <v>42</v>
      </c>
      <c r="M812" s="6" t="s">
        <v>34</v>
      </c>
      <c r="N812" s="6"/>
    </row>
    <row r="813" spans="1:14">
      <c r="A813" s="6" t="s">
        <v>1704</v>
      </c>
      <c r="B813" s="7">
        <v>46202</v>
      </c>
      <c r="C813" s="6" t="s">
        <v>348</v>
      </c>
      <c r="D813" s="6" t="str">
        <f>IF(OR(PROPER(TRIM(Raw_Data!D813))="Uk",PROPER(TRIM(Raw_Data!D813))="Gb",PROPER(TRIM(Raw_Data!D813))="United kingdom"),"United Kingdom",PROPER(TRIM(Raw_Data!D813)))</f>
        <v>United Kingdom</v>
      </c>
      <c r="E813" s="6" t="s">
        <v>78</v>
      </c>
      <c r="F813" s="6" t="s">
        <v>58</v>
      </c>
      <c r="G813" s="6" t="str">
        <f>SUBSTITUTE(Raw_Data!G813,"Ã©","é")</f>
        <v>Summit Down Gilet</v>
      </c>
      <c r="H813" s="6">
        <v>2</v>
      </c>
      <c r="I813" s="6" t="s">
        <v>79</v>
      </c>
      <c r="J813" s="6" t="s">
        <v>259</v>
      </c>
      <c r="K813" s="6">
        <v>0.38</v>
      </c>
      <c r="L813" s="6" t="s">
        <v>33</v>
      </c>
      <c r="M813" s="6" t="s">
        <v>34</v>
      </c>
      <c r="N813" s="6"/>
    </row>
    <row r="814" spans="1:14">
      <c r="A814" s="6" t="s">
        <v>1705</v>
      </c>
      <c r="B814" s="7">
        <v>46145</v>
      </c>
      <c r="C814" s="6" t="s">
        <v>439</v>
      </c>
      <c r="D814" s="6" t="str">
        <f>IF(OR(PROPER(TRIM(Raw_Data!D814))="Uk",PROPER(TRIM(Raw_Data!D814))="Gb",PROPER(TRIM(Raw_Data!D814))="United kingdom"),"United Kingdom",PROPER(TRIM(Raw_Data!D814)))</f>
        <v>Germany</v>
      </c>
      <c r="E814" s="6" t="s">
        <v>78</v>
      </c>
      <c r="F814" s="6" t="s">
        <v>94</v>
      </c>
      <c r="G814" s="6" t="str">
        <f>SUBSTITUTE(Raw_Data!G814,"Ã©","é")</f>
        <v>Alpine Jacket</v>
      </c>
      <c r="H814" s="6">
        <v>-3</v>
      </c>
      <c r="I814" s="6" t="s">
        <v>147</v>
      </c>
      <c r="J814" s="8" t="s">
        <v>1706</v>
      </c>
      <c r="K814" s="6">
        <v>0.34</v>
      </c>
      <c r="L814" s="6" t="s">
        <v>42</v>
      </c>
      <c r="M814" s="6" t="s">
        <v>34</v>
      </c>
      <c r="N814" s="6"/>
    </row>
    <row r="815" spans="1:14">
      <c r="A815" s="6" t="s">
        <v>1707</v>
      </c>
      <c r="B815" s="7">
        <v>46140</v>
      </c>
      <c r="C815" s="6" t="s">
        <v>1303</v>
      </c>
      <c r="D815" s="6" t="str">
        <f>IF(OR(PROPER(TRIM(Raw_Data!D815))="Uk",PROPER(TRIM(Raw_Data!D815))="Gb",PROPER(TRIM(Raw_Data!D815))="United kingdom"),"United Kingdom",PROPER(TRIM(Raw_Data!D815)))</f>
        <v>Ireland</v>
      </c>
      <c r="E815" s="6" t="s">
        <v>37</v>
      </c>
      <c r="F815" s="6" t="s">
        <v>94</v>
      </c>
      <c r="G815" s="6" t="str">
        <f>SUBSTITUTE(Raw_Data!G815,"Ã©","é")</f>
        <v>Alpine Jacket</v>
      </c>
      <c r="H815" s="6">
        <v>1</v>
      </c>
      <c r="I815" s="6" t="s">
        <v>79</v>
      </c>
      <c r="J815" s="6" t="s">
        <v>79</v>
      </c>
      <c r="K815" s="6">
        <v>0.34</v>
      </c>
      <c r="L815" s="6" t="s">
        <v>33</v>
      </c>
      <c r="M815" s="6" t="s">
        <v>34</v>
      </c>
      <c r="N815" s="6"/>
    </row>
    <row r="816" spans="1:14">
      <c r="A816" s="6" t="s">
        <v>1708</v>
      </c>
      <c r="B816" s="7">
        <v>46171</v>
      </c>
      <c r="C816" s="6" t="s">
        <v>944</v>
      </c>
      <c r="D816" s="6" t="str">
        <f>IF(OR(PROPER(TRIM(Raw_Data!D816))="Uk",PROPER(TRIM(Raw_Data!D816))="Gb",PROPER(TRIM(Raw_Data!D816))="United kingdom"),"United Kingdom",PROPER(TRIM(Raw_Data!D816)))</f>
        <v>United Kingdom</v>
      </c>
      <c r="E816" s="6" t="s">
        <v>52</v>
      </c>
      <c r="F816" s="6" t="s">
        <v>47</v>
      </c>
      <c r="G816" s="6" t="str">
        <f>SUBSTITUTE(Raw_Data!G816,"Ã©","é")</f>
        <v>Summit Down Gilet</v>
      </c>
      <c r="H816" s="6">
        <v>1</v>
      </c>
      <c r="I816" s="6" t="s">
        <v>82</v>
      </c>
      <c r="J816" s="6" t="s">
        <v>82</v>
      </c>
      <c r="K816" s="6">
        <v>8.5000000000000006E-2</v>
      </c>
      <c r="L816" s="6" t="s">
        <v>42</v>
      </c>
      <c r="M816" s="6" t="s">
        <v>69</v>
      </c>
      <c r="N816" s="6"/>
    </row>
    <row r="817" spans="1:14">
      <c r="A817" s="6" t="s">
        <v>1709</v>
      </c>
      <c r="B817" s="7">
        <v>46168</v>
      </c>
      <c r="C817" s="6" t="s">
        <v>520</v>
      </c>
      <c r="D817" s="6" t="str">
        <f>IF(OR(PROPER(TRIM(Raw_Data!D817))="Uk",PROPER(TRIM(Raw_Data!D817))="Gb",PROPER(TRIM(Raw_Data!D817))="United kingdom"),"United Kingdom",PROPER(TRIM(Raw_Data!D817)))</f>
        <v>Ireland</v>
      </c>
      <c r="E817" s="6" t="s">
        <v>37</v>
      </c>
      <c r="F817" s="6" t="s">
        <v>53</v>
      </c>
      <c r="G817" s="6" t="str">
        <f>SUBSTITUTE(Raw_Data!G817,"Ã©","é")</f>
        <v>Café Latte Mug</v>
      </c>
      <c r="H817" s="6">
        <v>2</v>
      </c>
      <c r="I817" s="6" t="s">
        <v>117</v>
      </c>
      <c r="J817" s="6" t="s">
        <v>118</v>
      </c>
      <c r="K817" s="6">
        <v>0.19</v>
      </c>
      <c r="L817" s="6" t="s">
        <v>42</v>
      </c>
      <c r="M817" s="6" t="s">
        <v>34</v>
      </c>
      <c r="N817" s="6"/>
    </row>
    <row r="818" spans="1:14">
      <c r="A818" s="6" t="s">
        <v>1710</v>
      </c>
      <c r="B818" s="7">
        <v>46194</v>
      </c>
      <c r="C818" s="6" t="s">
        <v>794</v>
      </c>
      <c r="D818" s="6" t="str">
        <f>IF(OR(PROPER(TRIM(Raw_Data!D818))="Uk",PROPER(TRIM(Raw_Data!D818))="Gb",PROPER(TRIM(Raw_Data!D818))="United kingdom"),"United Kingdom",PROPER(TRIM(Raw_Data!D818)))</f>
        <v>Germany</v>
      </c>
      <c r="E818" s="6" t="s">
        <v>28</v>
      </c>
      <c r="F818" s="6" t="s">
        <v>29</v>
      </c>
      <c r="G818" s="6" t="str">
        <f>SUBSTITUTE(Raw_Data!G818,"Ã©","é")</f>
        <v>Café Latte Mug</v>
      </c>
      <c r="H818" s="6">
        <v>1</v>
      </c>
      <c r="I818" s="6" t="s">
        <v>82</v>
      </c>
      <c r="J818" s="6" t="s">
        <v>82</v>
      </c>
      <c r="K818" s="6">
        <v>0.52</v>
      </c>
      <c r="L818" s="6" t="s">
        <v>42</v>
      </c>
      <c r="M818" s="6" t="s">
        <v>69</v>
      </c>
      <c r="N818" s="6"/>
    </row>
    <row r="819" spans="1:14">
      <c r="A819" s="6" t="s">
        <v>1711</v>
      </c>
      <c r="B819" s="7">
        <v>46097</v>
      </c>
      <c r="C819" s="6" t="s">
        <v>1017</v>
      </c>
      <c r="D819" s="6" t="str">
        <f>IF(OR(PROPER(TRIM(Raw_Data!D819))="Uk",PROPER(TRIM(Raw_Data!D819))="Gb",PROPER(TRIM(Raw_Data!D819))="United kingdom"),"United Kingdom",PROPER(TRIM(Raw_Data!D819)))</f>
        <v>Germany</v>
      </c>
      <c r="E819" s="6" t="s">
        <v>78</v>
      </c>
      <c r="F819" s="6" t="s">
        <v>38</v>
      </c>
      <c r="G819" s="6" t="str">
        <f>SUBSTITUTE(Raw_Data!G819,"Ã©","é")</f>
        <v>Fell Runner Cap</v>
      </c>
      <c r="H819" s="6">
        <v>1</v>
      </c>
      <c r="I819" s="6" t="s">
        <v>231</v>
      </c>
      <c r="J819" s="6" t="s">
        <v>231</v>
      </c>
      <c r="K819" s="6">
        <v>0.52</v>
      </c>
      <c r="L819" s="6" t="s">
        <v>42</v>
      </c>
      <c r="M819" s="6" t="s">
        <v>34</v>
      </c>
      <c r="N819" s="6"/>
    </row>
    <row r="820" spans="1:14">
      <c r="A820" s="6" t="s">
        <v>1712</v>
      </c>
      <c r="B820" s="7">
        <v>46298</v>
      </c>
      <c r="C820" s="6" t="s">
        <v>1713</v>
      </c>
      <c r="D820" s="6" t="str">
        <f>IF(OR(PROPER(TRIM(Raw_Data!D820))="Uk",PROPER(TRIM(Raw_Data!D820))="Gb",PROPER(TRIM(Raw_Data!D820))="United kingdom"),"United Kingdom",PROPER(TRIM(Raw_Data!D820)))</f>
        <v>Ireland</v>
      </c>
      <c r="E820" s="6" t="s">
        <v>37</v>
      </c>
      <c r="F820" s="6" t="s">
        <v>29</v>
      </c>
      <c r="G820" s="6" t="str">
        <f>SUBSTITUTE(Raw_Data!G820,"Ã©","é")</f>
        <v>Merino Base Layer</v>
      </c>
      <c r="H820" s="6">
        <v>1</v>
      </c>
      <c r="I820" s="6" t="s">
        <v>82</v>
      </c>
      <c r="J820" s="6" t="s">
        <v>82</v>
      </c>
      <c r="K820" s="6">
        <v>0.52</v>
      </c>
      <c r="L820" s="6" t="s">
        <v>42</v>
      </c>
      <c r="M820" s="6" t="s">
        <v>34</v>
      </c>
      <c r="N820" s="6"/>
    </row>
    <row r="821" spans="1:14">
      <c r="A821" s="6" t="s">
        <v>1714</v>
      </c>
      <c r="B821" s="7">
        <v>46100</v>
      </c>
      <c r="C821" s="6" t="s">
        <v>879</v>
      </c>
      <c r="D821" s="6" t="str">
        <f>IF(OR(PROPER(TRIM(Raw_Data!D821))="Uk",PROPER(TRIM(Raw_Data!D821))="Gb",PROPER(TRIM(Raw_Data!D821))="United kingdom"),"United Kingdom",PROPER(TRIM(Raw_Data!D821)))</f>
        <v>United Kingdom</v>
      </c>
      <c r="E821" s="6" t="s">
        <v>78</v>
      </c>
      <c r="F821" s="6" t="s">
        <v>85</v>
      </c>
      <c r="G821" s="6" t="str">
        <f>SUBSTITUTE(Raw_Data!G821,"Ã©","é")</f>
        <v>Trekking Poles</v>
      </c>
      <c r="H821" s="6">
        <v>1</v>
      </c>
      <c r="I821" s="6" t="s">
        <v>181</v>
      </c>
      <c r="J821" s="6" t="s">
        <v>1715</v>
      </c>
      <c r="K821" s="6">
        <v>0.41</v>
      </c>
      <c r="L821" s="6" t="s">
        <v>42</v>
      </c>
      <c r="M821" s="6" t="s">
        <v>34</v>
      </c>
      <c r="N821" s="6"/>
    </row>
    <row r="822" spans="1:14">
      <c r="A822" s="6" t="s">
        <v>1716</v>
      </c>
      <c r="B822" s="7">
        <v>46195</v>
      </c>
      <c r="C822" s="6" t="s">
        <v>1717</v>
      </c>
      <c r="D822" s="6" t="str">
        <f>IF(OR(PROPER(TRIM(Raw_Data!D822))="Uk",PROPER(TRIM(Raw_Data!D822))="Gb",PROPER(TRIM(Raw_Data!D822))="United kingdom"),"United Kingdom",PROPER(TRIM(Raw_Data!D822)))</f>
        <v>United Kingdom</v>
      </c>
      <c r="E822" s="6" t="s">
        <v>46</v>
      </c>
      <c r="F822" s="6" t="s">
        <v>38</v>
      </c>
      <c r="G822" s="6" t="str">
        <f>SUBSTITUTE(Raw_Data!G822,"Ã©","é")</f>
        <v>Trail Softshell</v>
      </c>
      <c r="H822" s="6">
        <v>3</v>
      </c>
      <c r="I822" s="6" t="s">
        <v>181</v>
      </c>
      <c r="J822" s="6" t="s">
        <v>867</v>
      </c>
      <c r="K822" s="6">
        <v>0.52</v>
      </c>
      <c r="L822" s="6" t="s">
        <v>33</v>
      </c>
      <c r="M822" s="6" t="s">
        <v>69</v>
      </c>
      <c r="N822" s="6"/>
    </row>
    <row r="823" spans="1:14">
      <c r="A823" s="6" t="s">
        <v>1718</v>
      </c>
      <c r="B823" s="7">
        <v>46331</v>
      </c>
      <c r="C823" s="6" t="s">
        <v>1719</v>
      </c>
      <c r="D823" s="6" t="str">
        <f>IF(OR(PROPER(TRIM(Raw_Data!D823))="Uk",PROPER(TRIM(Raw_Data!D823))="Gb",PROPER(TRIM(Raw_Data!D823))="United kingdom"),"United Kingdom",PROPER(TRIM(Raw_Data!D823)))</f>
        <v>Germany</v>
      </c>
      <c r="E823" s="6" t="s">
        <v>78</v>
      </c>
      <c r="F823" s="6" t="s">
        <v>94</v>
      </c>
      <c r="G823" s="6" t="str">
        <f>SUBSTITUTE(Raw_Data!G823,"Ã©","é")</f>
        <v>Trekking Poles</v>
      </c>
      <c r="H823" s="6">
        <v>1</v>
      </c>
      <c r="I823" s="6" t="s">
        <v>143</v>
      </c>
      <c r="J823" s="6" t="s">
        <v>143</v>
      </c>
      <c r="K823" s="6">
        <v>0.34</v>
      </c>
      <c r="L823" s="6" t="s">
        <v>33</v>
      </c>
      <c r="M823" s="6" t="s">
        <v>34</v>
      </c>
      <c r="N823" s="6"/>
    </row>
    <row r="824" spans="1:14">
      <c r="A824" s="6" t="s">
        <v>1720</v>
      </c>
      <c r="B824" s="7">
        <v>46133</v>
      </c>
      <c r="C824" s="6" t="s">
        <v>324</v>
      </c>
      <c r="D824" s="6" t="str">
        <f>IF(OR(PROPER(TRIM(Raw_Data!D824))="Uk",PROPER(TRIM(Raw_Data!D824))="Gb",PROPER(TRIM(Raw_Data!D824))="United kingdom"),"United Kingdom",PROPER(TRIM(Raw_Data!D824)))</f>
        <v>France</v>
      </c>
      <c r="E824" s="6" t="s">
        <v>52</v>
      </c>
      <c r="F824" s="6" t="s">
        <v>94</v>
      </c>
      <c r="G824" s="6" t="str">
        <f>SUBSTITUTE(Raw_Data!G824,"Ã©","é")</f>
        <v>Storm Overtrousers</v>
      </c>
      <c r="H824" s="6">
        <v>1</v>
      </c>
      <c r="I824" s="6" t="s">
        <v>231</v>
      </c>
      <c r="J824" s="6" t="s">
        <v>231</v>
      </c>
      <c r="K824" s="6">
        <v>0.34</v>
      </c>
      <c r="L824" s="6" t="s">
        <v>42</v>
      </c>
      <c r="M824" s="6" t="s">
        <v>69</v>
      </c>
      <c r="N824" s="6"/>
    </row>
    <row r="825" spans="1:14">
      <c r="A825" s="6" t="s">
        <v>1721</v>
      </c>
      <c r="B825" s="7">
        <v>46301</v>
      </c>
      <c r="C825" s="6" t="s">
        <v>1722</v>
      </c>
      <c r="D825" s="6" t="str">
        <f>IF(OR(PROPER(TRIM(Raw_Data!D825))="Uk",PROPER(TRIM(Raw_Data!D825))="Gb",PROPER(TRIM(Raw_Data!D825))="United kingdom"),"United Kingdom",PROPER(TRIM(Raw_Data!D825)))</f>
        <v>United Kingdom</v>
      </c>
      <c r="E825" s="6" t="s">
        <v>37</v>
      </c>
      <c r="F825" s="6" t="s">
        <v>29</v>
      </c>
      <c r="G825" s="6" t="str">
        <f>SUBSTITUTE(Raw_Data!G825,"Ã©","é")</f>
        <v>Trail Softshell</v>
      </c>
      <c r="H825" s="6">
        <v>1</v>
      </c>
      <c r="I825" s="6" t="s">
        <v>90</v>
      </c>
      <c r="J825" s="6" t="s">
        <v>90</v>
      </c>
      <c r="K825" s="6">
        <v>0.52</v>
      </c>
      <c r="L825" s="6" t="s">
        <v>42</v>
      </c>
      <c r="M825" s="6" t="s">
        <v>34</v>
      </c>
      <c r="N825" s="6"/>
    </row>
    <row r="826" spans="1:14">
      <c r="A826" s="6" t="s">
        <v>1723</v>
      </c>
      <c r="B826" s="7">
        <v>46102</v>
      </c>
      <c r="C826" s="6" t="s">
        <v>1724</v>
      </c>
      <c r="D826" s="6" t="str">
        <f>IF(OR(PROPER(TRIM(Raw_Data!D826))="Uk",PROPER(TRIM(Raw_Data!D826))="Gb",PROPER(TRIM(Raw_Data!D826))="United kingdom"),"United Kingdom",PROPER(TRIM(Raw_Data!D826)))</f>
        <v>United Kingdom</v>
      </c>
      <c r="E826" s="6" t="s">
        <v>78</v>
      </c>
      <c r="F826" s="6" t="s">
        <v>38</v>
      </c>
      <c r="G826" s="6" t="str">
        <f>SUBSTITUTE(Raw_Data!G826,"Ã©","é")</f>
        <v>Summit Down Gilet</v>
      </c>
      <c r="H826" s="6">
        <v>3</v>
      </c>
      <c r="I826" s="6" t="s">
        <v>147</v>
      </c>
      <c r="J826" s="6" t="s">
        <v>148</v>
      </c>
      <c r="K826" s="6">
        <v>0.52</v>
      </c>
      <c r="L826" s="6" t="s">
        <v>42</v>
      </c>
      <c r="M826" s="6" t="s">
        <v>34</v>
      </c>
      <c r="N826" s="6"/>
    </row>
    <row r="827" spans="1:14">
      <c r="A827" s="6" t="s">
        <v>1725</v>
      </c>
      <c r="B827" s="7">
        <v>46208</v>
      </c>
      <c r="C827" s="6" t="s">
        <v>1726</v>
      </c>
      <c r="D827" s="6" t="str">
        <f>IF(OR(PROPER(TRIM(Raw_Data!D827))="Uk",PROPER(TRIM(Raw_Data!D827))="Gb",PROPER(TRIM(Raw_Data!D827))="United kingdom"),"United Kingdom",PROPER(TRIM(Raw_Data!D827)))</f>
        <v>Ireland</v>
      </c>
      <c r="E827" s="6" t="s">
        <v>46</v>
      </c>
      <c r="F827" s="6" t="s">
        <v>29</v>
      </c>
      <c r="G827" s="6" t="str">
        <f>SUBSTITUTE(Raw_Data!G827,"Ã©","é")</f>
        <v>Café Latte Mug</v>
      </c>
      <c r="H827" s="6">
        <v>1</v>
      </c>
      <c r="I827" s="6" t="s">
        <v>82</v>
      </c>
      <c r="J827" s="6" t="s">
        <v>67</v>
      </c>
      <c r="K827" s="6">
        <v>0.52</v>
      </c>
      <c r="L827" s="6" t="s">
        <v>42</v>
      </c>
      <c r="M827" s="6" t="s">
        <v>34</v>
      </c>
      <c r="N827" s="6"/>
    </row>
    <row r="828" spans="1:14">
      <c r="A828" s="6" t="s">
        <v>1727</v>
      </c>
      <c r="B828" s="7">
        <v>46039</v>
      </c>
      <c r="C828" s="6" t="s">
        <v>240</v>
      </c>
      <c r="D828" s="6" t="str">
        <f>IF(OR(PROPER(TRIM(Raw_Data!D828))="Uk",PROPER(TRIM(Raw_Data!D828))="Gb",PROPER(TRIM(Raw_Data!D828))="United kingdom"),"United Kingdom",PROPER(TRIM(Raw_Data!D828)))</f>
        <v>United Kingdom</v>
      </c>
      <c r="E828" s="6" t="s">
        <v>37</v>
      </c>
      <c r="F828" s="6" t="s">
        <v>38</v>
      </c>
      <c r="G828" s="6" t="str">
        <f>SUBSTITUTE(Raw_Data!G828,"Ã©","é")</f>
        <v>Café Latte Mug</v>
      </c>
      <c r="H828" s="6">
        <v>2</v>
      </c>
      <c r="I828" s="6" t="s">
        <v>181</v>
      </c>
      <c r="J828" s="6" t="s">
        <v>163</v>
      </c>
      <c r="K828" s="6">
        <v>0.52</v>
      </c>
      <c r="L828" s="6" t="s">
        <v>42</v>
      </c>
      <c r="M828" s="6" t="s">
        <v>34</v>
      </c>
      <c r="N828" s="6"/>
    </row>
    <row r="829" spans="1:14">
      <c r="A829" s="6" t="s">
        <v>1729</v>
      </c>
      <c r="B829" s="7">
        <v>46106</v>
      </c>
      <c r="C829" s="6" t="s">
        <v>1730</v>
      </c>
      <c r="D829" s="6" t="str">
        <f>IF(OR(PROPER(TRIM(Raw_Data!D829))="Uk",PROPER(TRIM(Raw_Data!D829))="Gb",PROPER(TRIM(Raw_Data!D829))="United kingdom"),"United Kingdom",PROPER(TRIM(Raw_Data!D829)))</f>
        <v>United Kingdom</v>
      </c>
      <c r="E829" s="6" t="s">
        <v>28</v>
      </c>
      <c r="F829" s="6" t="s">
        <v>85</v>
      </c>
      <c r="G829" s="6" t="str">
        <f>SUBSTITUTE(Raw_Data!G829,"Ã©","é")</f>
        <v>Trekking Poles</v>
      </c>
      <c r="H829" s="6">
        <v>1</v>
      </c>
      <c r="I829" s="6" t="s">
        <v>231</v>
      </c>
      <c r="J829" s="6" t="s">
        <v>231</v>
      </c>
      <c r="K829" s="6">
        <v>0.41</v>
      </c>
      <c r="L829" s="6" t="s">
        <v>33</v>
      </c>
      <c r="M829" s="6" t="s">
        <v>34</v>
      </c>
      <c r="N829" s="6"/>
    </row>
    <row r="830" spans="1:14">
      <c r="A830" s="6" t="s">
        <v>1731</v>
      </c>
      <c r="B830" s="7">
        <v>46097</v>
      </c>
      <c r="C830" s="6" t="s">
        <v>1732</v>
      </c>
      <c r="D830" s="6" t="str">
        <f>IF(OR(PROPER(TRIM(Raw_Data!D830))="Uk",PROPER(TRIM(Raw_Data!D830))="Gb",PROPER(TRIM(Raw_Data!D830))="United kingdom"),"United Kingdom",PROPER(TRIM(Raw_Data!D830)))</f>
        <v>Ireland</v>
      </c>
      <c r="E830" s="6" t="s">
        <v>46</v>
      </c>
      <c r="F830" s="6" t="s">
        <v>94</v>
      </c>
      <c r="G830" s="6" t="str">
        <f>SUBSTITUTE(Raw_Data!G830,"Ã©","é")</f>
        <v>Trail Softshell</v>
      </c>
      <c r="H830" s="6">
        <v>3</v>
      </c>
      <c r="I830" s="6" t="s">
        <v>31</v>
      </c>
      <c r="J830" s="6" t="s">
        <v>337</v>
      </c>
      <c r="K830" s="6">
        <v>0.34</v>
      </c>
      <c r="L830" s="6" t="s">
        <v>42</v>
      </c>
      <c r="M830" s="6" t="s">
        <v>34</v>
      </c>
      <c r="N830" s="6"/>
    </row>
    <row r="831" spans="1:14">
      <c r="A831" s="6" t="s">
        <v>1733</v>
      </c>
      <c r="B831" s="7">
        <v>46038</v>
      </c>
      <c r="C831" s="6" t="s">
        <v>1734</v>
      </c>
      <c r="D831" s="6" t="str">
        <f>IF(OR(PROPER(TRIM(Raw_Data!D831))="Uk",PROPER(TRIM(Raw_Data!D831))="Gb",PROPER(TRIM(Raw_Data!D831))="United kingdom"),"United Kingdom",PROPER(TRIM(Raw_Data!D831)))</f>
        <v>United Kingdom</v>
      </c>
      <c r="E831" s="6" t="s">
        <v>46</v>
      </c>
      <c r="F831" s="6" t="s">
        <v>85</v>
      </c>
      <c r="G831" s="6" t="str">
        <f>SUBSTITUTE(Raw_Data!G831,"Ã©","é")</f>
        <v>Trekking Poles</v>
      </c>
      <c r="H831" s="6">
        <v>3</v>
      </c>
      <c r="I831" s="6" t="s">
        <v>147</v>
      </c>
      <c r="J831" s="6" t="s">
        <v>148</v>
      </c>
      <c r="K831" s="6">
        <v>0.41</v>
      </c>
      <c r="L831" s="6" t="s">
        <v>33</v>
      </c>
      <c r="M831" s="6" t="s">
        <v>34</v>
      </c>
      <c r="N831" s="6"/>
    </row>
    <row r="832" spans="1:14">
      <c r="A832" s="6" t="s">
        <v>1735</v>
      </c>
      <c r="B832" s="7">
        <v>46141</v>
      </c>
      <c r="C832" s="6" t="s">
        <v>1736</v>
      </c>
      <c r="D832" s="6" t="str">
        <f>IF(OR(PROPER(TRIM(Raw_Data!D832))="Uk",PROPER(TRIM(Raw_Data!D832))="Gb",PROPER(TRIM(Raw_Data!D832))="United kingdom"),"United Kingdom",PROPER(TRIM(Raw_Data!D832)))</f>
        <v>France</v>
      </c>
      <c r="E832" s="6" t="s">
        <v>28</v>
      </c>
      <c r="F832" s="6" t="s">
        <v>100</v>
      </c>
      <c r="G832" s="6" t="str">
        <f>SUBSTITUTE(Raw_Data!G832,"Ã©","é")</f>
        <v>Trail Softshell</v>
      </c>
      <c r="H832" s="6">
        <v>-1</v>
      </c>
      <c r="I832" s="6" t="s">
        <v>79</v>
      </c>
      <c r="J832" s="8" t="s">
        <v>1737</v>
      </c>
      <c r="K832" s="6">
        <v>0.64</v>
      </c>
      <c r="L832" s="6" t="s">
        <v>42</v>
      </c>
      <c r="M832" s="6" t="s">
        <v>34</v>
      </c>
      <c r="N832" s="6"/>
    </row>
    <row r="833" spans="1:14">
      <c r="A833" s="6" t="s">
        <v>1738</v>
      </c>
      <c r="B833" s="7">
        <v>46106</v>
      </c>
      <c r="C833" s="6" t="s">
        <v>961</v>
      </c>
      <c r="D833" s="6" t="str">
        <f>IF(OR(PROPER(TRIM(Raw_Data!D833))="Uk",PROPER(TRIM(Raw_Data!D833))="Gb",PROPER(TRIM(Raw_Data!D833))="United kingdom"),"United Kingdom",PROPER(TRIM(Raw_Data!D833)))</f>
        <v>United Kingdom</v>
      </c>
      <c r="E833" s="6" t="s">
        <v>46</v>
      </c>
      <c r="F833" s="6" t="s">
        <v>53</v>
      </c>
      <c r="G833" s="6" t="str">
        <f>SUBSTITUTE(Raw_Data!G833,"Ã©","é")</f>
        <v>Storm Overtrousers</v>
      </c>
      <c r="H833" s="6">
        <v>1</v>
      </c>
      <c r="I833" s="6" t="s">
        <v>79</v>
      </c>
      <c r="J833" s="6" t="s">
        <v>79</v>
      </c>
      <c r="K833" s="6">
        <v>0.19</v>
      </c>
      <c r="L833" s="6" t="s">
        <v>42</v>
      </c>
      <c r="M833" s="6" t="s">
        <v>34</v>
      </c>
      <c r="N833" s="6"/>
    </row>
    <row r="834" spans="1:14">
      <c r="A834" s="6" t="s">
        <v>1739</v>
      </c>
      <c r="B834" s="7">
        <v>46204</v>
      </c>
      <c r="C834" s="6" t="s">
        <v>410</v>
      </c>
      <c r="D834" s="6" t="str">
        <f>IF(OR(PROPER(TRIM(Raw_Data!D834))="Uk",PROPER(TRIM(Raw_Data!D834))="Gb",PROPER(TRIM(Raw_Data!D834))="United kingdom"),"United Kingdom",PROPER(TRIM(Raw_Data!D834)))</f>
        <v>United Kingdom</v>
      </c>
      <c r="E834" s="6" t="s">
        <v>37</v>
      </c>
      <c r="F834" s="6" t="s">
        <v>47</v>
      </c>
      <c r="G834" s="6" t="str">
        <f>SUBSTITUTE(Raw_Data!G834,"Ã©","é")</f>
        <v>Café Latte Mug</v>
      </c>
      <c r="H834" s="6">
        <v>1</v>
      </c>
      <c r="I834" s="6" t="s">
        <v>181</v>
      </c>
      <c r="J834" s="6" t="s">
        <v>1740</v>
      </c>
      <c r="K834" s="6">
        <v>8.5000000000000006E-2</v>
      </c>
      <c r="L834" s="6" t="s">
        <v>42</v>
      </c>
      <c r="M834" s="6" t="s">
        <v>34</v>
      </c>
      <c r="N834" s="6"/>
    </row>
    <row r="835" spans="1:14">
      <c r="A835" s="6" t="s">
        <v>1741</v>
      </c>
      <c r="B835" s="7">
        <v>46180</v>
      </c>
      <c r="C835" s="6" t="s">
        <v>1742</v>
      </c>
      <c r="D835" s="6" t="str">
        <f>IF(OR(PROPER(TRIM(Raw_Data!D835))="Uk",PROPER(TRIM(Raw_Data!D835))="Gb",PROPER(TRIM(Raw_Data!D835))="United kingdom"),"United Kingdom",PROPER(TRIM(Raw_Data!D835)))</f>
        <v>United Kingdom</v>
      </c>
      <c r="E835" s="6" t="s">
        <v>46</v>
      </c>
      <c r="F835" s="6" t="s">
        <v>38</v>
      </c>
      <c r="G835" s="6" t="str">
        <f>SUBSTITUTE(Raw_Data!G835,"Ã©","é")</f>
        <v>Storm Overtrousers</v>
      </c>
      <c r="H835" s="6">
        <v>2</v>
      </c>
      <c r="I835" s="6" t="s">
        <v>90</v>
      </c>
      <c r="J835" s="6" t="s">
        <v>154</v>
      </c>
      <c r="K835" s="6">
        <v>0.52</v>
      </c>
      <c r="L835" s="6" t="s">
        <v>42</v>
      </c>
      <c r="M835" s="6" t="s">
        <v>34</v>
      </c>
      <c r="N835" s="6"/>
    </row>
    <row r="836" spans="1:14">
      <c r="A836" s="6" t="s">
        <v>1743</v>
      </c>
      <c r="B836" s="7">
        <v>46101</v>
      </c>
      <c r="C836" s="6" t="s">
        <v>1744</v>
      </c>
      <c r="D836" s="6" t="str">
        <f>IF(OR(PROPER(TRIM(Raw_Data!D836))="Uk",PROPER(TRIM(Raw_Data!D836))="Gb",PROPER(TRIM(Raw_Data!D836))="United kingdom"),"United Kingdom",PROPER(TRIM(Raw_Data!D836)))</f>
        <v>United Kingdom</v>
      </c>
      <c r="E836" s="6" t="s">
        <v>46</v>
      </c>
      <c r="F836" s="6" t="s">
        <v>94</v>
      </c>
      <c r="G836" s="6" t="str">
        <f>SUBSTITUTE(Raw_Data!G836,"Ã©","é")</f>
        <v>Alpine Jacket</v>
      </c>
      <c r="H836" s="6">
        <v>1</v>
      </c>
      <c r="I836" s="6" t="s">
        <v>96</v>
      </c>
      <c r="J836" s="6" t="s">
        <v>96</v>
      </c>
      <c r="K836" s="6">
        <v>0.34</v>
      </c>
      <c r="L836" s="6" t="s">
        <v>42</v>
      </c>
      <c r="M836" s="6" t="s">
        <v>34</v>
      </c>
      <c r="N836" s="6"/>
    </row>
    <row r="837" spans="1:14">
      <c r="A837" s="6" t="s">
        <v>1745</v>
      </c>
      <c r="B837" s="7">
        <v>46086</v>
      </c>
      <c r="C837" s="6" t="s">
        <v>1746</v>
      </c>
      <c r="D837" s="6" t="str">
        <f>IF(OR(PROPER(TRIM(Raw_Data!D837))="Uk",PROPER(TRIM(Raw_Data!D837))="Gb",PROPER(TRIM(Raw_Data!D837))="United kingdom"),"United Kingdom",PROPER(TRIM(Raw_Data!D837)))</f>
        <v>United Kingdom</v>
      </c>
      <c r="E837" s="6" t="s">
        <v>46</v>
      </c>
      <c r="F837" s="6" t="s">
        <v>100</v>
      </c>
      <c r="G837" s="6" t="str">
        <f>SUBSTITUTE(Raw_Data!G837,"Ã©","é")</f>
        <v>Merino Base Layer</v>
      </c>
      <c r="H837" s="6">
        <v>2</v>
      </c>
      <c r="I837" s="6" t="s">
        <v>113</v>
      </c>
      <c r="J837" s="6" t="s">
        <v>192</v>
      </c>
      <c r="K837" s="6">
        <v>0.64</v>
      </c>
      <c r="L837" s="6" t="s">
        <v>42</v>
      </c>
      <c r="M837" s="6" t="s">
        <v>34</v>
      </c>
      <c r="N837" s="6"/>
    </row>
    <row r="838" spans="1:14">
      <c r="A838" s="6" t="s">
        <v>1747</v>
      </c>
      <c r="B838" s="7">
        <v>46096</v>
      </c>
      <c r="C838" s="6" t="s">
        <v>1748</v>
      </c>
      <c r="D838" s="6" t="str">
        <f>IF(OR(PROPER(TRIM(Raw_Data!D838))="Uk",PROPER(TRIM(Raw_Data!D838))="Gb",PROPER(TRIM(Raw_Data!D838))="United kingdom"),"United Kingdom",PROPER(TRIM(Raw_Data!D838)))</f>
        <v>United Kingdom</v>
      </c>
      <c r="E838" s="6" t="s">
        <v>37</v>
      </c>
      <c r="F838" s="6" t="s">
        <v>53</v>
      </c>
      <c r="G838" s="6" t="str">
        <f>SUBSTITUTE(Raw_Data!G838,"Ã©","é")</f>
        <v>Fell Runner Cap</v>
      </c>
      <c r="H838" s="6">
        <v>-1</v>
      </c>
      <c r="I838" s="6" t="s">
        <v>67</v>
      </c>
      <c r="J838" s="8" t="s">
        <v>1749</v>
      </c>
      <c r="K838" s="6">
        <v>0.19</v>
      </c>
      <c r="L838" s="6" t="s">
        <v>42</v>
      </c>
      <c r="M838" s="6" t="s">
        <v>69</v>
      </c>
      <c r="N838" s="6"/>
    </row>
    <row r="839" spans="1:14">
      <c r="A839" s="6" t="s">
        <v>1750</v>
      </c>
      <c r="B839" s="7">
        <v>46190</v>
      </c>
      <c r="C839" s="6" t="s">
        <v>1751</v>
      </c>
      <c r="D839" s="6" t="str">
        <f>IF(OR(PROPER(TRIM(Raw_Data!D839))="Uk",PROPER(TRIM(Raw_Data!D839))="Gb",PROPER(TRIM(Raw_Data!D839))="United kingdom"),"United Kingdom",PROPER(TRIM(Raw_Data!D839)))</f>
        <v>Ireland</v>
      </c>
      <c r="E839" s="6" t="s">
        <v>28</v>
      </c>
      <c r="F839" s="6" t="s">
        <v>58</v>
      </c>
      <c r="G839" s="6" t="str">
        <f>SUBSTITUTE(Raw_Data!G839,"Ã©","é")</f>
        <v>Trail Softshell</v>
      </c>
      <c r="H839" s="6">
        <v>2</v>
      </c>
      <c r="I839" s="6" t="s">
        <v>90</v>
      </c>
      <c r="J839" s="6" t="s">
        <v>1752</v>
      </c>
      <c r="K839" s="6">
        <v>0.38</v>
      </c>
      <c r="L839" s="6" t="s">
        <v>42</v>
      </c>
      <c r="M839" s="6" t="s">
        <v>34</v>
      </c>
      <c r="N839" s="6"/>
    </row>
    <row r="840" spans="1:14">
      <c r="A840" s="6" t="s">
        <v>1753</v>
      </c>
      <c r="B840" s="7">
        <v>46131</v>
      </c>
      <c r="C840" s="6" t="s">
        <v>1754</v>
      </c>
      <c r="D840" s="6" t="str">
        <f>IF(OR(PROPER(TRIM(Raw_Data!D840))="Uk",PROPER(TRIM(Raw_Data!D840))="Gb",PROPER(TRIM(Raw_Data!D840))="United kingdom"),"United Kingdom",PROPER(TRIM(Raw_Data!D840)))</f>
        <v>France</v>
      </c>
      <c r="E840" s="6" t="s">
        <v>46</v>
      </c>
      <c r="F840" s="6" t="s">
        <v>38</v>
      </c>
      <c r="G840" s="6" t="str">
        <f>SUBSTITUTE(Raw_Data!G840,"Ã©","é")</f>
        <v>Café Latte Mug</v>
      </c>
      <c r="H840" s="6">
        <v>2</v>
      </c>
      <c r="I840" s="6" t="s">
        <v>79</v>
      </c>
      <c r="J840" s="6" t="s">
        <v>259</v>
      </c>
      <c r="K840" s="6">
        <v>0.52</v>
      </c>
      <c r="L840" s="6" t="s">
        <v>42</v>
      </c>
      <c r="M840" s="6" t="s">
        <v>34</v>
      </c>
      <c r="N840" s="6"/>
    </row>
    <row r="841" spans="1:14">
      <c r="A841" s="6" t="s">
        <v>1755</v>
      </c>
      <c r="B841" s="7">
        <v>46114</v>
      </c>
      <c r="C841" s="6" t="s">
        <v>1756</v>
      </c>
      <c r="D841" s="6" t="str">
        <f>IF(OR(PROPER(TRIM(Raw_Data!D841))="Uk",PROPER(TRIM(Raw_Data!D841))="Gb",PROPER(TRIM(Raw_Data!D841))="United kingdom"),"United Kingdom",PROPER(TRIM(Raw_Data!D841)))</f>
        <v>Ireland</v>
      </c>
      <c r="E841" s="6" t="s">
        <v>37</v>
      </c>
      <c r="F841" s="6" t="s">
        <v>47</v>
      </c>
      <c r="G841" s="6" t="str">
        <f>SUBSTITUTE(Raw_Data!G841,"Ã©","é")</f>
        <v>Alpine Jacket</v>
      </c>
      <c r="H841" s="6">
        <v>3</v>
      </c>
      <c r="I841" s="6" t="s">
        <v>79</v>
      </c>
      <c r="J841" s="6" t="s">
        <v>216</v>
      </c>
      <c r="K841" s="6">
        <v>8.5000000000000006E-2</v>
      </c>
      <c r="L841" s="6" t="s">
        <v>42</v>
      </c>
      <c r="M841" s="6" t="s">
        <v>34</v>
      </c>
      <c r="N841" s="6"/>
    </row>
    <row r="842" spans="1:14">
      <c r="A842" s="6" t="s">
        <v>1757</v>
      </c>
      <c r="B842" s="7">
        <v>46044</v>
      </c>
      <c r="C842" s="6" t="s">
        <v>1353</v>
      </c>
      <c r="D842" s="6" t="str">
        <f>IF(OR(PROPER(TRIM(Raw_Data!D842))="Uk",PROPER(TRIM(Raw_Data!D842))="Gb",PROPER(TRIM(Raw_Data!D842))="United kingdom"),"United Kingdom",PROPER(TRIM(Raw_Data!D842)))</f>
        <v>United Kingdom</v>
      </c>
      <c r="E842" s="6" t="s">
        <v>46</v>
      </c>
      <c r="F842" s="6" t="s">
        <v>47</v>
      </c>
      <c r="G842" s="6" t="str">
        <f>SUBSTITUTE(Raw_Data!G842,"Ã©","é")</f>
        <v>Merino Base Layer</v>
      </c>
      <c r="H842" s="6">
        <v>2</v>
      </c>
      <c r="I842" s="6" t="s">
        <v>1355</v>
      </c>
      <c r="J842" s="6" t="s">
        <v>175</v>
      </c>
      <c r="K842" s="6">
        <v>8.5000000000000006E-2</v>
      </c>
      <c r="L842" s="6" t="s">
        <v>33</v>
      </c>
      <c r="M842" s="6" t="s">
        <v>34</v>
      </c>
      <c r="N842" s="6"/>
    </row>
    <row r="843" spans="1:14">
      <c r="A843" s="6" t="s">
        <v>1758</v>
      </c>
      <c r="B843" s="7">
        <v>46198</v>
      </c>
      <c r="C843" s="6" t="s">
        <v>492</v>
      </c>
      <c r="D843" s="6" t="str">
        <f>IF(OR(PROPER(TRIM(Raw_Data!D843))="Uk",PROPER(TRIM(Raw_Data!D843))="Gb",PROPER(TRIM(Raw_Data!D843))="United kingdom"),"United Kingdom",PROPER(TRIM(Raw_Data!D843)))</f>
        <v>United Kingdom</v>
      </c>
      <c r="E843" s="6" t="s">
        <v>28</v>
      </c>
      <c r="F843" s="6" t="s">
        <v>38</v>
      </c>
      <c r="G843" s="6" t="str">
        <f>SUBSTITUTE(Raw_Data!G843,"Ã©","é")</f>
        <v>Summit Down Gilet</v>
      </c>
      <c r="H843" s="6">
        <v>1</v>
      </c>
      <c r="I843" s="6" t="s">
        <v>265</v>
      </c>
      <c r="J843" s="6" t="s">
        <v>265</v>
      </c>
      <c r="K843" s="6">
        <v>0.52</v>
      </c>
      <c r="L843" s="6" t="s">
        <v>42</v>
      </c>
      <c r="M843" s="6" t="s">
        <v>34</v>
      </c>
      <c r="N843" s="6"/>
    </row>
    <row r="844" spans="1:14">
      <c r="A844" s="6" t="s">
        <v>1760</v>
      </c>
      <c r="B844" s="7">
        <v>46095</v>
      </c>
      <c r="C844" s="6" t="s">
        <v>1484</v>
      </c>
      <c r="D844" s="6" t="str">
        <f>IF(OR(PROPER(TRIM(Raw_Data!D844))="Uk",PROPER(TRIM(Raw_Data!D844))="Gb",PROPER(TRIM(Raw_Data!D844))="United kingdom"),"United Kingdom",PROPER(TRIM(Raw_Data!D844)))</f>
        <v>France</v>
      </c>
      <c r="E844" s="6" t="s">
        <v>37</v>
      </c>
      <c r="F844" s="6" t="s">
        <v>47</v>
      </c>
      <c r="G844" s="6" t="str">
        <f>SUBSTITUTE(Raw_Data!G844,"Ã©","é")</f>
        <v>Trail Softshell</v>
      </c>
      <c r="H844" s="6">
        <v>2</v>
      </c>
      <c r="I844" s="6" t="s">
        <v>60</v>
      </c>
      <c r="J844" s="6" t="s">
        <v>189</v>
      </c>
      <c r="K844" s="6">
        <v>8.5000000000000006E-2</v>
      </c>
      <c r="L844" s="6" t="s">
        <v>42</v>
      </c>
      <c r="M844" s="6" t="s">
        <v>34</v>
      </c>
      <c r="N844" s="6"/>
    </row>
    <row r="845" spans="1:14">
      <c r="A845" s="6" t="s">
        <v>1761</v>
      </c>
      <c r="B845" s="7">
        <v>46088</v>
      </c>
      <c r="C845" s="6" t="s">
        <v>1762</v>
      </c>
      <c r="D845" s="6" t="str">
        <f>IF(OR(PROPER(TRIM(Raw_Data!D845))="Uk",PROPER(TRIM(Raw_Data!D845))="Gb",PROPER(TRIM(Raw_Data!D845))="United kingdom"),"United Kingdom",PROPER(TRIM(Raw_Data!D845)))</f>
        <v>Ireland</v>
      </c>
      <c r="E845" s="6" t="s">
        <v>78</v>
      </c>
      <c r="F845" s="6" t="s">
        <v>29</v>
      </c>
      <c r="G845" s="6" t="str">
        <f>SUBSTITUTE(Raw_Data!G845,"Ã©","é")</f>
        <v>Fell Runner Cap</v>
      </c>
      <c r="H845" s="6">
        <v>2</v>
      </c>
      <c r="I845" s="6" t="s">
        <v>31</v>
      </c>
      <c r="J845" s="6" t="s">
        <v>249</v>
      </c>
      <c r="K845" s="6">
        <v>0.52</v>
      </c>
      <c r="L845" s="6" t="s">
        <v>33</v>
      </c>
      <c r="M845" s="6" t="s">
        <v>34</v>
      </c>
      <c r="N845" s="6"/>
    </row>
    <row r="846" spans="1:14">
      <c r="A846" s="6" t="s">
        <v>1763</v>
      </c>
      <c r="B846" s="7">
        <v>46046</v>
      </c>
      <c r="C846" s="6" t="s">
        <v>594</v>
      </c>
      <c r="D846" s="6" t="str">
        <f>IF(OR(PROPER(TRIM(Raw_Data!D846))="Uk",PROPER(TRIM(Raw_Data!D846))="Gb",PROPER(TRIM(Raw_Data!D846))="United kingdom"),"United Kingdom",PROPER(TRIM(Raw_Data!D846)))</f>
        <v>United Kingdom</v>
      </c>
      <c r="E846" s="6" t="s">
        <v>37</v>
      </c>
      <c r="F846" s="6" t="s">
        <v>47</v>
      </c>
      <c r="G846" s="6" t="str">
        <f>SUBSTITUTE(Raw_Data!G846,"Ã©","é")</f>
        <v>Fell Runner Cap</v>
      </c>
      <c r="H846" s="6">
        <v>2</v>
      </c>
      <c r="I846" s="6" t="s">
        <v>265</v>
      </c>
      <c r="J846" s="6" t="s">
        <v>167</v>
      </c>
      <c r="K846" s="6">
        <v>8.5000000000000006E-2</v>
      </c>
      <c r="L846" s="6" t="s">
        <v>42</v>
      </c>
      <c r="M846" s="6" t="s">
        <v>69</v>
      </c>
      <c r="N846" s="6"/>
    </row>
    <row r="847" spans="1:14">
      <c r="A847" s="6" t="s">
        <v>1765</v>
      </c>
      <c r="B847" s="7">
        <v>46178</v>
      </c>
      <c r="C847" s="6" t="s">
        <v>1766</v>
      </c>
      <c r="D847" s="6" t="str">
        <f>IF(OR(PROPER(TRIM(Raw_Data!D847))="Uk",PROPER(TRIM(Raw_Data!D847))="Gb",PROPER(TRIM(Raw_Data!D847))="United kingdom"),"United Kingdom",PROPER(TRIM(Raw_Data!D847)))</f>
        <v>United Kingdom</v>
      </c>
      <c r="E847" s="6" t="s">
        <v>52</v>
      </c>
      <c r="F847" s="6" t="s">
        <v>94</v>
      </c>
      <c r="G847" s="6" t="str">
        <f>SUBSTITUTE(Raw_Data!G847,"Ã©","é")</f>
        <v>Trail Softshell</v>
      </c>
      <c r="H847" s="6">
        <v>2</v>
      </c>
      <c r="I847" s="6" t="s">
        <v>1224</v>
      </c>
      <c r="J847" s="6" t="s">
        <v>118</v>
      </c>
      <c r="K847" s="6">
        <v>0.34</v>
      </c>
      <c r="L847" s="6" t="s">
        <v>33</v>
      </c>
      <c r="M847" s="6" t="s">
        <v>34</v>
      </c>
      <c r="N847" s="6"/>
    </row>
    <row r="848" spans="1:14">
      <c r="A848" s="6" t="s">
        <v>1767</v>
      </c>
      <c r="B848" s="7">
        <v>46200</v>
      </c>
      <c r="C848" s="6" t="s">
        <v>1769</v>
      </c>
      <c r="D848" s="6" t="str">
        <f>IF(OR(PROPER(TRIM(Raw_Data!D848))="Uk",PROPER(TRIM(Raw_Data!D848))="Gb",PROPER(TRIM(Raw_Data!D848))="United kingdom"),"United Kingdom",PROPER(TRIM(Raw_Data!D848)))</f>
        <v>United Kingdom</v>
      </c>
      <c r="E848" s="6" t="s">
        <v>28</v>
      </c>
      <c r="F848" s="6" t="s">
        <v>47</v>
      </c>
      <c r="G848" s="6" t="str">
        <f>SUBSTITUTE(Raw_Data!G848,"Ã©","é")</f>
        <v>Fell Runner Cap</v>
      </c>
      <c r="H848" s="6">
        <v>1</v>
      </c>
      <c r="I848" s="6" t="s">
        <v>147</v>
      </c>
      <c r="J848" s="6" t="s">
        <v>147</v>
      </c>
      <c r="K848" s="6">
        <v>8.5000000000000006E-2</v>
      </c>
      <c r="L848" s="6" t="s">
        <v>42</v>
      </c>
      <c r="M848" s="6" t="s">
        <v>34</v>
      </c>
      <c r="N848" s="6"/>
    </row>
    <row r="849" spans="1:14">
      <c r="A849" s="6" t="s">
        <v>1770</v>
      </c>
      <c r="B849" s="7">
        <v>46172</v>
      </c>
      <c r="C849" s="6" t="s">
        <v>1771</v>
      </c>
      <c r="D849" s="6" t="str">
        <f>IF(OR(PROPER(TRIM(Raw_Data!D849))="Uk",PROPER(TRIM(Raw_Data!D849))="Gb",PROPER(TRIM(Raw_Data!D849))="United kingdom"),"United Kingdom",PROPER(TRIM(Raw_Data!D849)))</f>
        <v>United Kingdom</v>
      </c>
      <c r="E849" s="6" t="s">
        <v>37</v>
      </c>
      <c r="F849" s="6" t="s">
        <v>58</v>
      </c>
      <c r="G849" s="6" t="str">
        <f>SUBSTITUTE(Raw_Data!G849,"Ã©","é")</f>
        <v>Trekking Poles</v>
      </c>
      <c r="H849" s="6">
        <v>1</v>
      </c>
      <c r="I849" s="6" t="s">
        <v>181</v>
      </c>
      <c r="J849" s="6" t="s">
        <v>181</v>
      </c>
      <c r="K849" s="6">
        <v>0.38</v>
      </c>
      <c r="L849" s="6" t="s">
        <v>42</v>
      </c>
      <c r="M849" s="6" t="s">
        <v>34</v>
      </c>
      <c r="N849" s="6"/>
    </row>
    <row r="850" spans="1:14">
      <c r="A850" s="6" t="s">
        <v>1772</v>
      </c>
      <c r="B850" s="7">
        <v>46176</v>
      </c>
      <c r="C850" s="6" t="s">
        <v>1773</v>
      </c>
      <c r="D850" s="6" t="str">
        <f>IF(OR(PROPER(TRIM(Raw_Data!D850))="Uk",PROPER(TRIM(Raw_Data!D850))="Gb",PROPER(TRIM(Raw_Data!D850))="United kingdom"),"United Kingdom",PROPER(TRIM(Raw_Data!D850)))</f>
        <v>France</v>
      </c>
      <c r="E850" s="6" t="s">
        <v>46</v>
      </c>
      <c r="F850" s="6" t="s">
        <v>100</v>
      </c>
      <c r="G850" s="6" t="str">
        <f>SUBSTITUTE(Raw_Data!G850,"Ã©","é")</f>
        <v>Fell Runner Cap</v>
      </c>
      <c r="H850" s="6">
        <v>3</v>
      </c>
      <c r="I850" s="6" t="s">
        <v>67</v>
      </c>
      <c r="J850" s="6" t="s">
        <v>68</v>
      </c>
      <c r="K850" s="6">
        <v>0.64</v>
      </c>
      <c r="L850" s="6" t="s">
        <v>42</v>
      </c>
      <c r="M850" s="6" t="s">
        <v>34</v>
      </c>
      <c r="N850" s="6"/>
    </row>
    <row r="851" spans="1:14">
      <c r="A851" s="6" t="s">
        <v>1774</v>
      </c>
      <c r="B851" s="7">
        <v>46156</v>
      </c>
      <c r="C851" s="6" t="s">
        <v>1775</v>
      </c>
      <c r="D851" s="6" t="str">
        <f>IF(OR(PROPER(TRIM(Raw_Data!D851))="Uk",PROPER(TRIM(Raw_Data!D851))="Gb",PROPER(TRIM(Raw_Data!D851))="United kingdom"),"United Kingdom",PROPER(TRIM(Raw_Data!D851)))</f>
        <v>Germany</v>
      </c>
      <c r="E851" s="6" t="s">
        <v>28</v>
      </c>
      <c r="F851" s="6" t="s">
        <v>94</v>
      </c>
      <c r="G851" s="6" t="str">
        <f>SUBSTITUTE(Raw_Data!G851,"Ã©","é")</f>
        <v>Café Latte Mug</v>
      </c>
      <c r="H851" s="6">
        <v>2</v>
      </c>
      <c r="I851" s="6" t="s">
        <v>90</v>
      </c>
      <c r="J851" s="6" t="s">
        <v>154</v>
      </c>
      <c r="K851" s="6">
        <v>0.34</v>
      </c>
      <c r="L851" s="6" t="s">
        <v>42</v>
      </c>
      <c r="M851" s="6" t="s">
        <v>34</v>
      </c>
      <c r="N851" s="6"/>
    </row>
    <row r="852" spans="1:14">
      <c r="A852" s="6" t="s">
        <v>1776</v>
      </c>
      <c r="B852" s="7">
        <v>46206</v>
      </c>
      <c r="C852" s="6" t="s">
        <v>1777</v>
      </c>
      <c r="D852" s="6" t="str">
        <f>IF(OR(PROPER(TRIM(Raw_Data!D852))="Uk",PROPER(TRIM(Raw_Data!D852))="Gb",PROPER(TRIM(Raw_Data!D852))="United kingdom"),"United Kingdom",PROPER(TRIM(Raw_Data!D852)))</f>
        <v>United Kingdom</v>
      </c>
      <c r="E852" s="6" t="s">
        <v>52</v>
      </c>
      <c r="F852" s="6" t="s">
        <v>29</v>
      </c>
      <c r="G852" s="6" t="str">
        <f>SUBSTITUTE(Raw_Data!G852,"Ã©","é")</f>
        <v>Fell Runner Cap</v>
      </c>
      <c r="H852" s="6">
        <v>1</v>
      </c>
      <c r="I852" s="6" t="s">
        <v>437</v>
      </c>
      <c r="J852" s="6" t="s">
        <v>1778</v>
      </c>
      <c r="K852" s="6">
        <v>0.52</v>
      </c>
      <c r="L852" s="6" t="s">
        <v>42</v>
      </c>
      <c r="M852" s="6" t="s">
        <v>34</v>
      </c>
      <c r="N852" s="6"/>
    </row>
    <row r="853" spans="1:14">
      <c r="A853" s="6" t="s">
        <v>1779</v>
      </c>
      <c r="B853" s="7">
        <v>46029</v>
      </c>
      <c r="C853" s="6" t="s">
        <v>1780</v>
      </c>
      <c r="D853" s="6" t="str">
        <f>IF(OR(PROPER(TRIM(Raw_Data!D853))="Uk",PROPER(TRIM(Raw_Data!D853))="Gb",PROPER(TRIM(Raw_Data!D853))="United kingdom"),"United Kingdom",PROPER(TRIM(Raw_Data!D853)))</f>
        <v>United Kingdom</v>
      </c>
      <c r="E853" s="6" t="s">
        <v>28</v>
      </c>
      <c r="F853" s="6" t="s">
        <v>47</v>
      </c>
      <c r="G853" s="6" t="str">
        <f>SUBSTITUTE(Raw_Data!G853,"Ã©","é")</f>
        <v>Summit Down Gilet</v>
      </c>
      <c r="H853" s="6">
        <v>3</v>
      </c>
      <c r="I853" s="6" t="s">
        <v>31</v>
      </c>
      <c r="J853" s="6" t="s">
        <v>337</v>
      </c>
      <c r="K853" s="6">
        <v>8.5000000000000006E-2</v>
      </c>
      <c r="L853" s="6" t="s">
        <v>42</v>
      </c>
      <c r="M853" s="6" t="s">
        <v>34</v>
      </c>
      <c r="N853" s="6"/>
    </row>
    <row r="854" spans="1:14">
      <c r="A854" s="6" t="s">
        <v>1781</v>
      </c>
      <c r="B854" s="7">
        <v>46175</v>
      </c>
      <c r="C854" s="6" t="s">
        <v>1340</v>
      </c>
      <c r="D854" s="6" t="str">
        <f>IF(OR(PROPER(TRIM(Raw_Data!D854))="Uk",PROPER(TRIM(Raw_Data!D854))="Gb",PROPER(TRIM(Raw_Data!D854))="United kingdom"),"United Kingdom",PROPER(TRIM(Raw_Data!D854)))</f>
        <v>Ireland</v>
      </c>
      <c r="E854" s="6" t="s">
        <v>46</v>
      </c>
      <c r="F854" s="6" t="s">
        <v>100</v>
      </c>
      <c r="G854" s="6" t="str">
        <f>SUBSTITUTE(Raw_Data!G854,"Ã©","é")</f>
        <v>Alpine Jacket</v>
      </c>
      <c r="H854" s="6">
        <v>1</v>
      </c>
      <c r="I854" s="6" t="s">
        <v>79</v>
      </c>
      <c r="J854" s="6" t="s">
        <v>79</v>
      </c>
      <c r="K854" s="6">
        <v>0.64</v>
      </c>
      <c r="L854" s="6" t="s">
        <v>42</v>
      </c>
      <c r="M854" s="6" t="s">
        <v>69</v>
      </c>
      <c r="N854" s="6"/>
    </row>
    <row r="855" spans="1:14">
      <c r="A855" s="6" t="s">
        <v>1782</v>
      </c>
      <c r="B855" s="7">
        <v>46131</v>
      </c>
      <c r="C855" s="6" t="s">
        <v>1296</v>
      </c>
      <c r="D855" s="6" t="str">
        <f>IF(OR(PROPER(TRIM(Raw_Data!D855))="Uk",PROPER(TRIM(Raw_Data!D855))="Gb",PROPER(TRIM(Raw_Data!D855))="United kingdom"),"United Kingdom",PROPER(TRIM(Raw_Data!D855)))</f>
        <v>Ireland</v>
      </c>
      <c r="E855" s="6" t="s">
        <v>46</v>
      </c>
      <c r="F855" s="6" t="s">
        <v>53</v>
      </c>
      <c r="G855" s="6" t="str">
        <f>SUBSTITUTE(Raw_Data!G855,"Ã©","é")</f>
        <v>Café Latte Mug</v>
      </c>
      <c r="H855" s="6">
        <v>1</v>
      </c>
      <c r="I855" s="6" t="s">
        <v>265</v>
      </c>
      <c r="J855" s="6" t="s">
        <v>265</v>
      </c>
      <c r="K855" s="6">
        <v>0.19</v>
      </c>
      <c r="L855" s="6" t="s">
        <v>42</v>
      </c>
      <c r="M855" s="6" t="s">
        <v>34</v>
      </c>
      <c r="N855" s="6"/>
    </row>
    <row r="856" spans="1:14">
      <c r="A856" s="6" t="s">
        <v>1783</v>
      </c>
      <c r="B856" s="7">
        <v>46137</v>
      </c>
      <c r="C856" s="6" t="s">
        <v>1784</v>
      </c>
      <c r="D856" s="6" t="str">
        <f>IF(OR(PROPER(TRIM(Raw_Data!D856))="Uk",PROPER(TRIM(Raw_Data!D856))="Gb",PROPER(TRIM(Raw_Data!D856))="United kingdom"),"United Kingdom",PROPER(TRIM(Raw_Data!D856)))</f>
        <v>United Kingdom</v>
      </c>
      <c r="E856" s="6" t="s">
        <v>78</v>
      </c>
      <c r="F856" s="6" t="s">
        <v>38</v>
      </c>
      <c r="G856" s="6" t="str">
        <f>SUBSTITUTE(Raw_Data!G856,"Ã©","é")</f>
        <v>Trekking Poles</v>
      </c>
      <c r="H856" s="6">
        <v>2</v>
      </c>
      <c r="I856" s="6" t="s">
        <v>82</v>
      </c>
      <c r="J856" s="6" t="s">
        <v>297</v>
      </c>
      <c r="K856" s="6">
        <v>0.52</v>
      </c>
      <c r="L856" s="6" t="s">
        <v>33</v>
      </c>
      <c r="M856" s="6" t="s">
        <v>34</v>
      </c>
      <c r="N856" s="6"/>
    </row>
    <row r="857" spans="1:14">
      <c r="A857" s="6" t="s">
        <v>1785</v>
      </c>
      <c r="B857" s="7">
        <v>46203</v>
      </c>
      <c r="C857" s="6" t="s">
        <v>1414</v>
      </c>
      <c r="D857" s="6" t="str">
        <f>IF(OR(PROPER(TRIM(Raw_Data!D857))="Uk",PROPER(TRIM(Raw_Data!D857))="Gb",PROPER(TRIM(Raw_Data!D857))="United kingdom"),"United Kingdom",PROPER(TRIM(Raw_Data!D857)))</f>
        <v>United Kingdom</v>
      </c>
      <c r="E857" s="6" t="s">
        <v>78</v>
      </c>
      <c r="F857" s="6" t="s">
        <v>85</v>
      </c>
      <c r="G857" s="6" t="str">
        <f>SUBSTITUTE(Raw_Data!G857,"Ã©","é")</f>
        <v>Fell Runner Cap</v>
      </c>
      <c r="H857" s="6">
        <v>-3</v>
      </c>
      <c r="I857" s="6" t="s">
        <v>265</v>
      </c>
      <c r="J857" s="8" t="s">
        <v>1786</v>
      </c>
      <c r="K857" s="6">
        <v>0.41</v>
      </c>
      <c r="L857" s="6" t="s">
        <v>42</v>
      </c>
      <c r="M857" s="6" t="s">
        <v>34</v>
      </c>
      <c r="N857" s="6"/>
    </row>
    <row r="858" spans="1:14">
      <c r="A858" s="6" t="s">
        <v>1787</v>
      </c>
      <c r="B858" s="7">
        <v>46235</v>
      </c>
      <c r="C858" s="6" t="s">
        <v>1788</v>
      </c>
      <c r="D858" s="6" t="str">
        <f>IF(OR(PROPER(TRIM(Raw_Data!D858))="Uk",PROPER(TRIM(Raw_Data!D858))="Gb",PROPER(TRIM(Raw_Data!D858))="United kingdom"),"United Kingdom",PROPER(TRIM(Raw_Data!D858)))</f>
        <v>United Kingdom</v>
      </c>
      <c r="E858" s="6" t="s">
        <v>78</v>
      </c>
      <c r="F858" s="6" t="s">
        <v>29</v>
      </c>
      <c r="G858" s="6" t="str">
        <f>SUBSTITUTE(Raw_Data!G858,"Ã©","é")</f>
        <v>Alpine Jacket</v>
      </c>
      <c r="H858" s="6">
        <v>3</v>
      </c>
      <c r="I858" s="6" t="s">
        <v>67</v>
      </c>
      <c r="J858" s="6" t="s">
        <v>68</v>
      </c>
      <c r="K858" s="6">
        <v>0.52</v>
      </c>
      <c r="L858" s="6" t="s">
        <v>42</v>
      </c>
      <c r="M858" s="6" t="s">
        <v>34</v>
      </c>
      <c r="N858" s="6"/>
    </row>
    <row r="859" spans="1:14">
      <c r="A859" s="6" t="s">
        <v>1789</v>
      </c>
      <c r="B859" s="7">
        <v>46109</v>
      </c>
      <c r="C859" s="6" t="s">
        <v>988</v>
      </c>
      <c r="D859" s="6" t="str">
        <f>IF(OR(PROPER(TRIM(Raw_Data!D859))="Uk",PROPER(TRIM(Raw_Data!D859))="Gb",PROPER(TRIM(Raw_Data!D859))="United kingdom"),"United Kingdom",PROPER(TRIM(Raw_Data!D859)))</f>
        <v>United Kingdom</v>
      </c>
      <c r="E859" s="6" t="s">
        <v>78</v>
      </c>
      <c r="F859" s="6" t="s">
        <v>85</v>
      </c>
      <c r="G859" s="6" t="str">
        <f>SUBSTITUTE(Raw_Data!G859,"Ã©","é")</f>
        <v>Merino Base Layer</v>
      </c>
      <c r="H859" s="6">
        <v>-1</v>
      </c>
      <c r="I859" s="6" t="s">
        <v>117</v>
      </c>
      <c r="J859" s="8" t="s">
        <v>213</v>
      </c>
      <c r="K859" s="6">
        <v>0.41</v>
      </c>
      <c r="L859" s="6" t="s">
        <v>42</v>
      </c>
      <c r="M859" s="6" t="s">
        <v>34</v>
      </c>
      <c r="N859" s="6"/>
    </row>
    <row r="860" spans="1:14">
      <c r="A860" s="6" t="s">
        <v>1790</v>
      </c>
      <c r="B860" s="7">
        <v>46267</v>
      </c>
      <c r="C860" s="6" t="s">
        <v>1791</v>
      </c>
      <c r="D860" s="6" t="str">
        <f>IF(OR(PROPER(TRIM(Raw_Data!D860))="Uk",PROPER(TRIM(Raw_Data!D860))="Gb",PROPER(TRIM(Raw_Data!D860))="United kingdom"),"United Kingdom",PROPER(TRIM(Raw_Data!D860)))</f>
        <v>Ireland</v>
      </c>
      <c r="E860" s="6" t="s">
        <v>28</v>
      </c>
      <c r="F860" s="6" t="s">
        <v>85</v>
      </c>
      <c r="G860" s="6" t="str">
        <f>SUBSTITUTE(Raw_Data!G860,"Ã©","é")</f>
        <v>Trail Softshell</v>
      </c>
      <c r="H860" s="6">
        <v>1</v>
      </c>
      <c r="I860" s="6" t="s">
        <v>60</v>
      </c>
      <c r="J860" s="6" t="s">
        <v>60</v>
      </c>
      <c r="K860" s="6">
        <v>0.41</v>
      </c>
      <c r="L860" s="6" t="s">
        <v>33</v>
      </c>
      <c r="M860" s="6" t="s">
        <v>34</v>
      </c>
      <c r="N860" s="6"/>
    </row>
    <row r="861" spans="1:14">
      <c r="A861" s="6" t="s">
        <v>1792</v>
      </c>
      <c r="B861" s="7">
        <v>46192</v>
      </c>
      <c r="C861" s="6" t="s">
        <v>1793</v>
      </c>
      <c r="D861" s="6" t="str">
        <f>IF(OR(PROPER(TRIM(Raw_Data!D861))="Uk",PROPER(TRIM(Raw_Data!D861))="Gb",PROPER(TRIM(Raw_Data!D861))="United kingdom"),"United Kingdom",PROPER(TRIM(Raw_Data!D861)))</f>
        <v>France</v>
      </c>
      <c r="E861" s="6" t="s">
        <v>78</v>
      </c>
      <c r="F861" s="6" t="s">
        <v>29</v>
      </c>
      <c r="G861" s="6" t="str">
        <f>SUBSTITUTE(Raw_Data!G861,"Ã©","é")</f>
        <v>Storm Overtrousers</v>
      </c>
      <c r="H861" s="6">
        <v>2</v>
      </c>
      <c r="I861" s="6" t="s">
        <v>117</v>
      </c>
      <c r="J861" s="6" t="s">
        <v>118</v>
      </c>
      <c r="K861" s="6">
        <v>0.52</v>
      </c>
      <c r="L861" s="6" t="s">
        <v>33</v>
      </c>
      <c r="M861" s="6" t="s">
        <v>34</v>
      </c>
      <c r="N861" s="6"/>
    </row>
    <row r="862" spans="1:14">
      <c r="A862" s="6" t="s">
        <v>1794</v>
      </c>
      <c r="B862" s="7">
        <v>46168</v>
      </c>
      <c r="C862" s="6" t="s">
        <v>1795</v>
      </c>
      <c r="D862" s="6" t="str">
        <f>IF(OR(PROPER(TRIM(Raw_Data!D862))="Uk",PROPER(TRIM(Raw_Data!D862))="Gb",PROPER(TRIM(Raw_Data!D862))="United kingdom"),"United Kingdom",PROPER(TRIM(Raw_Data!D862)))</f>
        <v>Ireland</v>
      </c>
      <c r="E862" s="6" t="s">
        <v>28</v>
      </c>
      <c r="F862" s="6" t="s">
        <v>85</v>
      </c>
      <c r="G862" s="6" t="str">
        <f>SUBSTITUTE(Raw_Data!G862,"Ã©","é")</f>
        <v>Trekking Poles</v>
      </c>
      <c r="H862" s="6">
        <v>3</v>
      </c>
      <c r="I862" s="6" t="s">
        <v>143</v>
      </c>
      <c r="J862" s="6" t="s">
        <v>243</v>
      </c>
      <c r="K862" s="6">
        <v>0.41</v>
      </c>
      <c r="L862" s="6" t="s">
        <v>33</v>
      </c>
      <c r="M862" s="6" t="s">
        <v>69</v>
      </c>
      <c r="N862" s="6"/>
    </row>
    <row r="863" spans="1:14">
      <c r="A863" s="6" t="s">
        <v>1796</v>
      </c>
      <c r="B863" s="7">
        <v>46196</v>
      </c>
      <c r="C863" s="6" t="s">
        <v>1797</v>
      </c>
      <c r="D863" s="6" t="str">
        <f>IF(OR(PROPER(TRIM(Raw_Data!D863))="Uk",PROPER(TRIM(Raw_Data!D863))="Gb",PROPER(TRIM(Raw_Data!D863))="United kingdom"),"United Kingdom",PROPER(TRIM(Raw_Data!D863)))</f>
        <v>United Kingdom</v>
      </c>
      <c r="E863" s="6" t="s">
        <v>28</v>
      </c>
      <c r="F863" s="6" t="s">
        <v>53</v>
      </c>
      <c r="G863" s="6" t="str">
        <f>SUBSTITUTE(Raw_Data!G863,"Ã©","é")</f>
        <v>Storm Overtrousers</v>
      </c>
      <c r="H863" s="6">
        <v>3</v>
      </c>
      <c r="I863" s="6" t="s">
        <v>265</v>
      </c>
      <c r="J863" s="6" t="s">
        <v>401</v>
      </c>
      <c r="K863" s="6">
        <v>0.19</v>
      </c>
      <c r="L863" s="6" t="s">
        <v>42</v>
      </c>
      <c r="M863" s="6" t="s">
        <v>69</v>
      </c>
      <c r="N863" s="6"/>
    </row>
    <row r="864" spans="1:14">
      <c r="A864" s="6" t="s">
        <v>1798</v>
      </c>
      <c r="B864" s="7">
        <v>46118</v>
      </c>
      <c r="C864" s="6" t="s">
        <v>699</v>
      </c>
      <c r="D864" s="6" t="str">
        <f>IF(OR(PROPER(TRIM(Raw_Data!D864))="Uk",PROPER(TRIM(Raw_Data!D864))="Gb",PROPER(TRIM(Raw_Data!D864))="United kingdom"),"United Kingdom",PROPER(TRIM(Raw_Data!D864)))</f>
        <v>United Kingdom</v>
      </c>
      <c r="E864" s="6" t="s">
        <v>37</v>
      </c>
      <c r="F864" s="6" t="s">
        <v>58</v>
      </c>
      <c r="G864" s="6" t="str">
        <f>SUBSTITUTE(Raw_Data!G864,"Ã©","é")</f>
        <v>Storm Overtrousers</v>
      </c>
      <c r="H864" s="6">
        <v>2</v>
      </c>
      <c r="I864" s="6" t="s">
        <v>82</v>
      </c>
      <c r="J864" s="6" t="s">
        <v>297</v>
      </c>
      <c r="K864" s="6">
        <v>0.38</v>
      </c>
      <c r="L864" s="6" t="s">
        <v>42</v>
      </c>
      <c r="M864" s="6" t="s">
        <v>34</v>
      </c>
      <c r="N864" s="6"/>
    </row>
    <row r="865" spans="1:14">
      <c r="A865" s="6" t="s">
        <v>1799</v>
      </c>
      <c r="B865" s="7">
        <v>46179</v>
      </c>
      <c r="C865" s="6" t="s">
        <v>1800</v>
      </c>
      <c r="D865" s="6" t="str">
        <f>IF(OR(PROPER(TRIM(Raw_Data!D865))="Uk",PROPER(TRIM(Raw_Data!D865))="Gb",PROPER(TRIM(Raw_Data!D865))="United kingdom"),"United Kingdom",PROPER(TRIM(Raw_Data!D865)))</f>
        <v>United Kingdom</v>
      </c>
      <c r="E865" s="6" t="s">
        <v>28</v>
      </c>
      <c r="F865" s="6" t="s">
        <v>29</v>
      </c>
      <c r="G865" s="6" t="str">
        <f>SUBSTITUTE(Raw_Data!G865,"Ã©","é")</f>
        <v>Trekking Poles</v>
      </c>
      <c r="H865" s="6">
        <v>1</v>
      </c>
      <c r="I865" s="6" t="s">
        <v>96</v>
      </c>
      <c r="J865" s="6" t="s">
        <v>96</v>
      </c>
      <c r="K865" s="6">
        <v>0.52</v>
      </c>
      <c r="L865" s="6" t="s">
        <v>42</v>
      </c>
      <c r="M865" s="6" t="s">
        <v>34</v>
      </c>
      <c r="N865" s="6"/>
    </row>
    <row r="866" spans="1:14">
      <c r="A866" s="6" t="s">
        <v>1801</v>
      </c>
      <c r="B866" s="7">
        <v>46130</v>
      </c>
      <c r="C866" s="6" t="s">
        <v>544</v>
      </c>
      <c r="D866" s="6" t="str">
        <f>IF(OR(PROPER(TRIM(Raw_Data!D866))="Uk",PROPER(TRIM(Raw_Data!D866))="Gb",PROPER(TRIM(Raw_Data!D866))="United kingdom"),"United Kingdom",PROPER(TRIM(Raw_Data!D866)))</f>
        <v>United Kingdom</v>
      </c>
      <c r="E866" s="6" t="s">
        <v>52</v>
      </c>
      <c r="F866" s="6" t="s">
        <v>58</v>
      </c>
      <c r="G866" s="6" t="str">
        <f>SUBSTITUTE(Raw_Data!G866,"Ã©","é")</f>
        <v>Storm Overtrousers</v>
      </c>
      <c r="H866" s="6">
        <v>1</v>
      </c>
      <c r="I866" s="6" t="s">
        <v>113</v>
      </c>
      <c r="J866" s="6" t="s">
        <v>113</v>
      </c>
      <c r="K866" s="6">
        <v>0.38</v>
      </c>
      <c r="L866" s="6" t="s">
        <v>42</v>
      </c>
      <c r="M866" s="6" t="s">
        <v>34</v>
      </c>
      <c r="N866" s="6"/>
    </row>
    <row r="867" spans="1:14">
      <c r="A867" s="6" t="s">
        <v>1802</v>
      </c>
      <c r="B867" s="7">
        <v>46131</v>
      </c>
      <c r="C867" s="6" t="s">
        <v>1803</v>
      </c>
      <c r="D867" s="6" t="str">
        <f>IF(OR(PROPER(TRIM(Raw_Data!D867))="Uk",PROPER(TRIM(Raw_Data!D867))="Gb",PROPER(TRIM(Raw_Data!D867))="United kingdom"),"United Kingdom",PROPER(TRIM(Raw_Data!D867)))</f>
        <v>United Kingdom</v>
      </c>
      <c r="E867" s="6" t="s">
        <v>37</v>
      </c>
      <c r="F867" s="6" t="s">
        <v>47</v>
      </c>
      <c r="G867" s="6" t="str">
        <f>SUBSTITUTE(Raw_Data!G867,"Ã©","é")</f>
        <v>Merino Base Layer</v>
      </c>
      <c r="H867" s="6">
        <v>1</v>
      </c>
      <c r="I867" s="6" t="s">
        <v>73</v>
      </c>
      <c r="J867" s="6" t="s">
        <v>73</v>
      </c>
      <c r="K867" s="6">
        <v>8.5000000000000006E-2</v>
      </c>
      <c r="L867" s="6" t="s">
        <v>42</v>
      </c>
      <c r="M867" s="6" t="s">
        <v>69</v>
      </c>
      <c r="N867" s="6"/>
    </row>
    <row r="868" spans="1:14">
      <c r="A868" s="6" t="s">
        <v>1804</v>
      </c>
      <c r="B868" s="7">
        <v>46103</v>
      </c>
      <c r="C868" s="6" t="s">
        <v>646</v>
      </c>
      <c r="D868" s="6" t="str">
        <f>IF(OR(PROPER(TRIM(Raw_Data!D868))="Uk",PROPER(TRIM(Raw_Data!D868))="Gb",PROPER(TRIM(Raw_Data!D868))="United kingdom"),"United Kingdom",PROPER(TRIM(Raw_Data!D868)))</f>
        <v>Germany</v>
      </c>
      <c r="E868" s="6" t="s">
        <v>52</v>
      </c>
      <c r="F868" s="6" t="s">
        <v>94</v>
      </c>
      <c r="G868" s="6" t="str">
        <f>SUBSTITUTE(Raw_Data!G868,"Ã©","é")</f>
        <v>Summit Down Gilet</v>
      </c>
      <c r="H868" s="6">
        <v>3</v>
      </c>
      <c r="I868" s="6" t="s">
        <v>113</v>
      </c>
      <c r="J868" s="6" t="s">
        <v>138</v>
      </c>
      <c r="K868" s="6">
        <v>0.34</v>
      </c>
      <c r="L868" s="6" t="s">
        <v>42</v>
      </c>
      <c r="M868" s="6" t="s">
        <v>34</v>
      </c>
      <c r="N868" s="6"/>
    </row>
    <row r="869" spans="1:14">
      <c r="A869" s="6" t="s">
        <v>1805</v>
      </c>
      <c r="B869" s="7">
        <v>46160</v>
      </c>
      <c r="C869" s="6" t="s">
        <v>1221</v>
      </c>
      <c r="D869" s="6" t="str">
        <f>IF(OR(PROPER(TRIM(Raw_Data!D869))="Uk",PROPER(TRIM(Raw_Data!D869))="Gb",PROPER(TRIM(Raw_Data!D869))="United kingdom"),"United Kingdom",PROPER(TRIM(Raw_Data!D869)))</f>
        <v>United Kingdom</v>
      </c>
      <c r="E869" s="6" t="s">
        <v>28</v>
      </c>
      <c r="F869" s="6" t="s">
        <v>29</v>
      </c>
      <c r="G869" s="6" t="str">
        <f>SUBSTITUTE(Raw_Data!G869,"Ã©","é")</f>
        <v>Trekking Poles</v>
      </c>
      <c r="H869" s="6">
        <v>1</v>
      </c>
      <c r="I869" s="6" t="s">
        <v>143</v>
      </c>
      <c r="J869" s="6" t="s">
        <v>143</v>
      </c>
      <c r="K869" s="6">
        <v>0.52</v>
      </c>
      <c r="L869" s="6" t="s">
        <v>42</v>
      </c>
      <c r="M869" s="6" t="s">
        <v>69</v>
      </c>
      <c r="N869" s="6"/>
    </row>
    <row r="870" spans="1:14">
      <c r="A870" s="6" t="s">
        <v>1806</v>
      </c>
      <c r="B870" s="7">
        <v>46301</v>
      </c>
      <c r="C870" s="6" t="s">
        <v>1807</v>
      </c>
      <c r="D870" s="6" t="str">
        <f>IF(OR(PROPER(TRIM(Raw_Data!D870))="Uk",PROPER(TRIM(Raw_Data!D870))="Gb",PROPER(TRIM(Raw_Data!D870))="United kingdom"),"United Kingdom",PROPER(TRIM(Raw_Data!D870)))</f>
        <v>United Kingdom</v>
      </c>
      <c r="E870" s="6" t="s">
        <v>46</v>
      </c>
      <c r="F870" s="6" t="s">
        <v>47</v>
      </c>
      <c r="G870" s="6" t="str">
        <f>SUBSTITUTE(Raw_Data!G870,"Ã©","é")</f>
        <v>Summit Down Gilet</v>
      </c>
      <c r="H870" s="6">
        <v>2</v>
      </c>
      <c r="I870" s="6" t="s">
        <v>231</v>
      </c>
      <c r="J870" s="6" t="s">
        <v>268</v>
      </c>
      <c r="K870" s="6">
        <v>8.5000000000000006E-2</v>
      </c>
      <c r="L870" s="6" t="s">
        <v>42</v>
      </c>
      <c r="M870" s="6" t="s">
        <v>34</v>
      </c>
      <c r="N870" s="6"/>
    </row>
    <row r="871" spans="1:14">
      <c r="A871" s="6" t="s">
        <v>1808</v>
      </c>
      <c r="B871" s="7">
        <v>46266</v>
      </c>
      <c r="C871" s="6" t="s">
        <v>1809</v>
      </c>
      <c r="D871" s="6" t="str">
        <f>IF(OR(PROPER(TRIM(Raw_Data!D871))="Uk",PROPER(TRIM(Raw_Data!D871))="Gb",PROPER(TRIM(Raw_Data!D871))="United kingdom"),"United Kingdom",PROPER(TRIM(Raw_Data!D871)))</f>
        <v>United Kingdom</v>
      </c>
      <c r="E871" s="6" t="s">
        <v>46</v>
      </c>
      <c r="F871" s="6" t="s">
        <v>47</v>
      </c>
      <c r="G871" s="6" t="str">
        <f>SUBSTITUTE(Raw_Data!G871,"Ã©","é")</f>
        <v>Fell Runner Cap</v>
      </c>
      <c r="H871" s="6">
        <v>2</v>
      </c>
      <c r="I871" s="6" t="s">
        <v>67</v>
      </c>
      <c r="J871" s="6" t="s">
        <v>204</v>
      </c>
      <c r="K871" s="6">
        <v>8.5000000000000006E-2</v>
      </c>
      <c r="L871" s="6" t="s">
        <v>33</v>
      </c>
      <c r="M871" s="6" t="s">
        <v>34</v>
      </c>
      <c r="N871" s="6"/>
    </row>
    <row r="872" spans="1:14">
      <c r="A872" s="6" t="s">
        <v>1810</v>
      </c>
      <c r="B872" s="7">
        <v>46094</v>
      </c>
      <c r="C872" s="6" t="s">
        <v>1811</v>
      </c>
      <c r="D872" s="6" t="str">
        <f>IF(OR(PROPER(TRIM(Raw_Data!D872))="Uk",PROPER(TRIM(Raw_Data!D872))="Gb",PROPER(TRIM(Raw_Data!D872))="United kingdom"),"United Kingdom",PROPER(TRIM(Raw_Data!D872)))</f>
        <v>United Kingdom</v>
      </c>
      <c r="E872" s="6" t="s">
        <v>78</v>
      </c>
      <c r="F872" s="6" t="s">
        <v>47</v>
      </c>
      <c r="G872" s="6" t="str">
        <f>SUBSTITUTE(Raw_Data!G872,"Ã©","é")</f>
        <v>Café Latte Mug</v>
      </c>
      <c r="H872" s="6">
        <v>2</v>
      </c>
      <c r="I872" s="6" t="s">
        <v>117</v>
      </c>
      <c r="J872" s="6" t="s">
        <v>118</v>
      </c>
      <c r="K872" s="6">
        <v>8.5000000000000006E-2</v>
      </c>
      <c r="L872" s="6" t="s">
        <v>42</v>
      </c>
      <c r="M872" s="6" t="s">
        <v>69</v>
      </c>
      <c r="N872" s="6"/>
    </row>
    <row r="873" spans="1:14">
      <c r="A873" s="6" t="s">
        <v>1812</v>
      </c>
      <c r="B873" s="7">
        <v>46060</v>
      </c>
      <c r="C873" s="6" t="s">
        <v>1813</v>
      </c>
      <c r="D873" s="6" t="str">
        <f>IF(OR(PROPER(TRIM(Raw_Data!D873))="Uk",PROPER(TRIM(Raw_Data!D873))="Gb",PROPER(TRIM(Raw_Data!D873))="United kingdom"),"United Kingdom",PROPER(TRIM(Raw_Data!D873)))</f>
        <v>United Kingdom</v>
      </c>
      <c r="E873" s="6" t="s">
        <v>78</v>
      </c>
      <c r="F873" s="6" t="s">
        <v>100</v>
      </c>
      <c r="G873" s="6" t="str">
        <f>SUBSTITUTE(Raw_Data!G873,"Ã©","é")</f>
        <v>Trekking Poles</v>
      </c>
      <c r="H873" s="6">
        <v>1</v>
      </c>
      <c r="I873" s="6" t="s">
        <v>147</v>
      </c>
      <c r="J873" s="6" t="s">
        <v>147</v>
      </c>
      <c r="K873" s="6">
        <v>0.64</v>
      </c>
      <c r="L873" s="6" t="s">
        <v>42</v>
      </c>
      <c r="M873" s="6" t="s">
        <v>69</v>
      </c>
      <c r="N873" s="6"/>
    </row>
    <row r="874" spans="1:14">
      <c r="A874" s="6" t="s">
        <v>1814</v>
      </c>
      <c r="B874" s="7">
        <v>46103</v>
      </c>
      <c r="C874" s="6" t="s">
        <v>486</v>
      </c>
      <c r="D874" s="6" t="str">
        <f>IF(OR(PROPER(TRIM(Raw_Data!D874))="Uk",PROPER(TRIM(Raw_Data!D874))="Gb",PROPER(TRIM(Raw_Data!D874))="United kingdom"),"United Kingdom",PROPER(TRIM(Raw_Data!D874)))</f>
        <v>United Kingdom</v>
      </c>
      <c r="E874" s="6" t="s">
        <v>52</v>
      </c>
      <c r="F874" s="6" t="s">
        <v>47</v>
      </c>
      <c r="G874" s="6" t="str">
        <f>SUBSTITUTE(Raw_Data!G874,"Ã©","é")</f>
        <v>Fell Runner Cap</v>
      </c>
      <c r="H874" s="6">
        <v>2</v>
      </c>
      <c r="I874" s="6" t="s">
        <v>90</v>
      </c>
      <c r="J874" s="6" t="s">
        <v>278</v>
      </c>
      <c r="K874" s="6">
        <v>8.5000000000000006E-2</v>
      </c>
      <c r="L874" s="6" t="s">
        <v>42</v>
      </c>
      <c r="M874" s="6" t="s">
        <v>69</v>
      </c>
      <c r="N874" s="6"/>
    </row>
    <row r="875" spans="1:14">
      <c r="A875" s="6" t="s">
        <v>1815</v>
      </c>
      <c r="B875" s="7">
        <v>46169</v>
      </c>
      <c r="C875" s="6" t="s">
        <v>71</v>
      </c>
      <c r="D875" s="6" t="str">
        <f>IF(OR(PROPER(TRIM(Raw_Data!D875))="Uk",PROPER(TRIM(Raw_Data!D875))="Gb",PROPER(TRIM(Raw_Data!D875))="United kingdom"),"United Kingdom",PROPER(TRIM(Raw_Data!D875)))</f>
        <v>Ireland</v>
      </c>
      <c r="E875" s="6" t="s">
        <v>78</v>
      </c>
      <c r="F875" s="6" t="s">
        <v>58</v>
      </c>
      <c r="G875" s="6" t="str">
        <f>SUBSTITUTE(Raw_Data!G875,"Ã©","é")</f>
        <v>Fell Runner Cap</v>
      </c>
      <c r="H875" s="6">
        <v>1</v>
      </c>
      <c r="I875" s="6" t="s">
        <v>143</v>
      </c>
      <c r="J875" s="6" t="s">
        <v>143</v>
      </c>
      <c r="K875" s="6">
        <v>0.38</v>
      </c>
      <c r="L875" s="6" t="s">
        <v>42</v>
      </c>
      <c r="M875" s="6" t="s">
        <v>69</v>
      </c>
      <c r="N875" s="6"/>
    </row>
    <row r="876" spans="1:14">
      <c r="A876" s="6" t="s">
        <v>1816</v>
      </c>
      <c r="B876" s="7">
        <v>46109</v>
      </c>
      <c r="C876" s="6" t="s">
        <v>1179</v>
      </c>
      <c r="D876" s="6" t="str">
        <f>IF(OR(PROPER(TRIM(Raw_Data!D876))="Uk",PROPER(TRIM(Raw_Data!D876))="Gb",PROPER(TRIM(Raw_Data!D876))="United kingdom"),"United Kingdom",PROPER(TRIM(Raw_Data!D876)))</f>
        <v>France</v>
      </c>
      <c r="E876" s="6" t="s">
        <v>78</v>
      </c>
      <c r="F876" s="6" t="s">
        <v>38</v>
      </c>
      <c r="G876" s="6" t="str">
        <f>SUBSTITUTE(Raw_Data!G876,"Ã©","é")</f>
        <v>Fell Runner Cap</v>
      </c>
      <c r="H876" s="6">
        <v>1</v>
      </c>
      <c r="I876" s="6" t="s">
        <v>79</v>
      </c>
      <c r="J876" s="6" t="s">
        <v>79</v>
      </c>
      <c r="K876" s="6">
        <v>0.52</v>
      </c>
      <c r="L876" s="6" t="s">
        <v>42</v>
      </c>
      <c r="M876" s="6" t="s">
        <v>69</v>
      </c>
      <c r="N876" s="6"/>
    </row>
    <row r="877" spans="1:14">
      <c r="A877" s="6" t="s">
        <v>1817</v>
      </c>
      <c r="B877" s="7">
        <v>46163</v>
      </c>
      <c r="C877" s="6" t="s">
        <v>1819</v>
      </c>
      <c r="D877" s="6" t="str">
        <f>IF(OR(PROPER(TRIM(Raw_Data!D877))="Uk",PROPER(TRIM(Raw_Data!D877))="Gb",PROPER(TRIM(Raw_Data!D877))="United kingdom"),"United Kingdom",PROPER(TRIM(Raw_Data!D877)))</f>
        <v>Ireland</v>
      </c>
      <c r="E877" s="6" t="s">
        <v>78</v>
      </c>
      <c r="F877" s="6" t="s">
        <v>29</v>
      </c>
      <c r="G877" s="6" t="str">
        <f>SUBSTITUTE(Raw_Data!G877,"Ã©","é")</f>
        <v>Alpine Jacket</v>
      </c>
      <c r="H877" s="6">
        <v>2</v>
      </c>
      <c r="I877" s="6" t="s">
        <v>117</v>
      </c>
      <c r="J877" s="6" t="s">
        <v>118</v>
      </c>
      <c r="K877" s="6">
        <v>0.52</v>
      </c>
      <c r="L877" s="6" t="s">
        <v>42</v>
      </c>
      <c r="M877" s="6" t="s">
        <v>34</v>
      </c>
      <c r="N877" s="6"/>
    </row>
    <row r="878" spans="1:14">
      <c r="A878" s="6" t="s">
        <v>1820</v>
      </c>
      <c r="B878" s="7">
        <v>46192</v>
      </c>
      <c r="C878" s="6" t="s">
        <v>1300</v>
      </c>
      <c r="D878" s="6" t="str">
        <f>IF(OR(PROPER(TRIM(Raw_Data!D878))="Uk",PROPER(TRIM(Raw_Data!D878))="Gb",PROPER(TRIM(Raw_Data!D878))="United kingdom"),"United Kingdom",PROPER(TRIM(Raw_Data!D878)))</f>
        <v>Ireland</v>
      </c>
      <c r="E878" s="6" t="s">
        <v>28</v>
      </c>
      <c r="F878" s="6" t="s">
        <v>38</v>
      </c>
      <c r="G878" s="6" t="str">
        <f>SUBSTITUTE(Raw_Data!G878,"Ã©","é")</f>
        <v>Fell Runner Cap</v>
      </c>
      <c r="H878" s="6">
        <v>1</v>
      </c>
      <c r="I878" s="6" t="s">
        <v>113</v>
      </c>
      <c r="J878" s="6" t="s">
        <v>113</v>
      </c>
      <c r="K878" s="6">
        <v>0.52</v>
      </c>
      <c r="L878" s="6" t="s">
        <v>42</v>
      </c>
      <c r="M878" s="6" t="s">
        <v>34</v>
      </c>
      <c r="N878" s="6"/>
    </row>
    <row r="879" spans="1:14">
      <c r="A879" s="6" t="s">
        <v>1821</v>
      </c>
      <c r="B879" s="7">
        <v>46266</v>
      </c>
      <c r="C879" s="6" t="s">
        <v>1822</v>
      </c>
      <c r="D879" s="6" t="str">
        <f>IF(OR(PROPER(TRIM(Raw_Data!D879))="Uk",PROPER(TRIM(Raw_Data!D879))="Gb",PROPER(TRIM(Raw_Data!D879))="United kingdom"),"United Kingdom",PROPER(TRIM(Raw_Data!D879)))</f>
        <v>United Kingdom</v>
      </c>
      <c r="E879" s="6" t="s">
        <v>46</v>
      </c>
      <c r="F879" s="6" t="s">
        <v>94</v>
      </c>
      <c r="G879" s="6" t="str">
        <f>SUBSTITUTE(Raw_Data!G879,"Ã©","é")</f>
        <v>Summit Down Gilet</v>
      </c>
      <c r="H879" s="6">
        <v>1</v>
      </c>
      <c r="I879" s="6" t="s">
        <v>511</v>
      </c>
      <c r="J879" s="6" t="s">
        <v>231</v>
      </c>
      <c r="K879" s="6">
        <v>0.34</v>
      </c>
      <c r="L879" s="6" t="s">
        <v>33</v>
      </c>
      <c r="M879" s="6" t="s">
        <v>34</v>
      </c>
      <c r="N879" s="6"/>
    </row>
    <row r="880" spans="1:14">
      <c r="A880" s="6" t="s">
        <v>1823</v>
      </c>
      <c r="B880" s="7">
        <v>46204</v>
      </c>
      <c r="C880" s="6" t="s">
        <v>1824</v>
      </c>
      <c r="D880" s="6" t="str">
        <f>IF(OR(PROPER(TRIM(Raw_Data!D880))="Uk",PROPER(TRIM(Raw_Data!D880))="Gb",PROPER(TRIM(Raw_Data!D880))="United kingdom"),"United Kingdom",PROPER(TRIM(Raw_Data!D880)))</f>
        <v>Ireland</v>
      </c>
      <c r="E880" s="6" t="s">
        <v>52</v>
      </c>
      <c r="F880" s="6" t="s">
        <v>38</v>
      </c>
      <c r="G880" s="6" t="str">
        <f>SUBSTITUTE(Raw_Data!G880,"Ã©","é")</f>
        <v>Trail Softshell</v>
      </c>
      <c r="H880" s="6">
        <v>3</v>
      </c>
      <c r="I880" s="6" t="s">
        <v>60</v>
      </c>
      <c r="J880" s="6" t="s">
        <v>268</v>
      </c>
      <c r="K880" s="6">
        <v>0.52</v>
      </c>
      <c r="L880" s="6" t="s">
        <v>33</v>
      </c>
      <c r="M880" s="6" t="s">
        <v>34</v>
      </c>
      <c r="N880" s="6"/>
    </row>
    <row r="881" spans="1:14">
      <c r="A881" s="6" t="s">
        <v>1825</v>
      </c>
      <c r="B881" s="7">
        <v>46146</v>
      </c>
      <c r="C881" s="6" t="s">
        <v>1826</v>
      </c>
      <c r="D881" s="6" t="str">
        <f>IF(OR(PROPER(TRIM(Raw_Data!D881))="Uk",PROPER(TRIM(Raw_Data!D881))="Gb",PROPER(TRIM(Raw_Data!D881))="United kingdom"),"United Kingdom",PROPER(TRIM(Raw_Data!D881)))</f>
        <v>Ireland</v>
      </c>
      <c r="E881" s="6" t="s">
        <v>52</v>
      </c>
      <c r="F881" s="6" t="s">
        <v>47</v>
      </c>
      <c r="G881" s="6" t="str">
        <f>SUBSTITUTE(Raw_Data!G881,"Ã©","é")</f>
        <v>Trekking Poles</v>
      </c>
      <c r="H881" s="6">
        <v>1</v>
      </c>
      <c r="I881" s="6" t="s">
        <v>73</v>
      </c>
      <c r="J881" s="6" t="s">
        <v>73</v>
      </c>
      <c r="K881" s="6">
        <v>8.5000000000000006E-2</v>
      </c>
      <c r="L881" s="6" t="s">
        <v>42</v>
      </c>
      <c r="M881" s="6" t="s">
        <v>69</v>
      </c>
      <c r="N881" s="6"/>
    </row>
    <row r="882" spans="1:14">
      <c r="A882" s="6" t="s">
        <v>1827</v>
      </c>
      <c r="B882" s="7">
        <v>46179</v>
      </c>
      <c r="C882" s="6" t="s">
        <v>1828</v>
      </c>
      <c r="D882" s="6" t="str">
        <f>IF(OR(PROPER(TRIM(Raw_Data!D882))="Uk",PROPER(TRIM(Raw_Data!D882))="Gb",PROPER(TRIM(Raw_Data!D882))="United kingdom"),"United Kingdom",PROPER(TRIM(Raw_Data!D882)))</f>
        <v>Germany</v>
      </c>
      <c r="E882" s="6" t="s">
        <v>46</v>
      </c>
      <c r="F882" s="6" t="s">
        <v>94</v>
      </c>
      <c r="G882" s="6" t="str">
        <f>SUBSTITUTE(Raw_Data!G882,"Ã©","é")</f>
        <v>Trail Softshell</v>
      </c>
      <c r="H882" s="6">
        <v>3</v>
      </c>
      <c r="I882" s="6" t="s">
        <v>90</v>
      </c>
      <c r="J882" s="6" t="s">
        <v>102</v>
      </c>
      <c r="K882" s="6">
        <v>0.34</v>
      </c>
      <c r="L882" s="6" t="s">
        <v>33</v>
      </c>
      <c r="M882" s="6" t="s">
        <v>34</v>
      </c>
      <c r="N882" s="6"/>
    </row>
    <row r="883" spans="1:14">
      <c r="A883" s="6" t="s">
        <v>1829</v>
      </c>
      <c r="B883" s="7">
        <v>46078</v>
      </c>
      <c r="C883" s="6" t="s">
        <v>1746</v>
      </c>
      <c r="D883" s="6" t="str">
        <f>IF(OR(PROPER(TRIM(Raw_Data!D883))="Uk",PROPER(TRIM(Raw_Data!D883))="Gb",PROPER(TRIM(Raw_Data!D883))="United kingdom"),"United Kingdom",PROPER(TRIM(Raw_Data!D883)))</f>
        <v>United Kingdom</v>
      </c>
      <c r="E883" s="6" t="s">
        <v>28</v>
      </c>
      <c r="F883" s="6" t="s">
        <v>29</v>
      </c>
      <c r="G883" s="6" t="str">
        <f>SUBSTITUTE(Raw_Data!G883,"Ã©","é")</f>
        <v>Café Latte Mug</v>
      </c>
      <c r="H883" s="6">
        <v>3</v>
      </c>
      <c r="I883" s="6" t="s">
        <v>181</v>
      </c>
      <c r="J883" s="6" t="s">
        <v>867</v>
      </c>
      <c r="K883" s="6">
        <v>0.52</v>
      </c>
      <c r="L883" s="6" t="s">
        <v>33</v>
      </c>
      <c r="M883" s="6" t="s">
        <v>69</v>
      </c>
      <c r="N883" s="6"/>
    </row>
    <row r="884" spans="1:14">
      <c r="A884" s="6" t="s">
        <v>1830</v>
      </c>
      <c r="B884" s="7">
        <v>46079</v>
      </c>
      <c r="C884" s="6" t="s">
        <v>150</v>
      </c>
      <c r="D884" s="6" t="str">
        <f>IF(OR(PROPER(TRIM(Raw_Data!D884))="Uk",PROPER(TRIM(Raw_Data!D884))="Gb",PROPER(TRIM(Raw_Data!D884))="United kingdom"),"United Kingdom",PROPER(TRIM(Raw_Data!D884)))</f>
        <v>United Kingdom</v>
      </c>
      <c r="E884" s="6" t="s">
        <v>52</v>
      </c>
      <c r="F884" s="6" t="s">
        <v>85</v>
      </c>
      <c r="G884" s="6" t="str">
        <f>SUBSTITUTE(Raw_Data!G884,"Ã©","é")</f>
        <v>Trail Softshell</v>
      </c>
      <c r="H884" s="6">
        <v>1</v>
      </c>
      <c r="I884" s="6" t="s">
        <v>151</v>
      </c>
      <c r="J884" s="6" t="s">
        <v>31</v>
      </c>
      <c r="K884" s="6">
        <v>0.41</v>
      </c>
      <c r="L884" s="6" t="s">
        <v>42</v>
      </c>
      <c r="M884" s="6" t="s">
        <v>34</v>
      </c>
      <c r="N884" s="6"/>
    </row>
    <row r="885" spans="1:14">
      <c r="A885" s="6" t="s">
        <v>1832</v>
      </c>
      <c r="B885" s="7">
        <v>46159</v>
      </c>
      <c r="C885" s="6" t="s">
        <v>1144</v>
      </c>
      <c r="D885" s="6" t="str">
        <f>IF(OR(PROPER(TRIM(Raw_Data!D885))="Uk",PROPER(TRIM(Raw_Data!D885))="Gb",PROPER(TRIM(Raw_Data!D885))="United kingdom"),"United Kingdom",PROPER(TRIM(Raw_Data!D885)))</f>
        <v>Ireland</v>
      </c>
      <c r="E885" s="6" t="s">
        <v>46</v>
      </c>
      <c r="F885" s="6" t="s">
        <v>58</v>
      </c>
      <c r="G885" s="6" t="str">
        <f>SUBSTITUTE(Raw_Data!G885,"Ã©","é")</f>
        <v>Fell Runner Cap</v>
      </c>
      <c r="H885" s="6">
        <v>3</v>
      </c>
      <c r="I885" s="6" t="s">
        <v>73</v>
      </c>
      <c r="J885" s="6" t="s">
        <v>499</v>
      </c>
      <c r="K885" s="6">
        <v>0.38</v>
      </c>
      <c r="L885" s="6" t="s">
        <v>42</v>
      </c>
      <c r="M885" s="6" t="s">
        <v>34</v>
      </c>
      <c r="N885" s="6"/>
    </row>
    <row r="886" spans="1:14">
      <c r="A886" s="6" t="s">
        <v>1833</v>
      </c>
      <c r="B886" s="7">
        <v>46329</v>
      </c>
      <c r="C886" s="6" t="s">
        <v>1307</v>
      </c>
      <c r="D886" s="6" t="str">
        <f>IF(OR(PROPER(TRIM(Raw_Data!D886))="Uk",PROPER(TRIM(Raw_Data!D886))="Gb",PROPER(TRIM(Raw_Data!D886))="United kingdom"),"United Kingdom",PROPER(TRIM(Raw_Data!D886)))</f>
        <v>Germany</v>
      </c>
      <c r="E886" s="6" t="s">
        <v>37</v>
      </c>
      <c r="F886" s="6" t="s">
        <v>85</v>
      </c>
      <c r="G886" s="6" t="str">
        <f>SUBSTITUTE(Raw_Data!G886,"Ã©","é")</f>
        <v>Café Latte Mug</v>
      </c>
      <c r="H886" s="6">
        <v>3</v>
      </c>
      <c r="I886" s="6" t="s">
        <v>90</v>
      </c>
      <c r="J886" s="6" t="s">
        <v>102</v>
      </c>
      <c r="K886" s="6">
        <v>0.41</v>
      </c>
      <c r="L886" s="6" t="s">
        <v>42</v>
      </c>
      <c r="M886" s="6" t="s">
        <v>34</v>
      </c>
      <c r="N886" s="6"/>
    </row>
    <row r="887" spans="1:14">
      <c r="A887" s="6" t="s">
        <v>1834</v>
      </c>
      <c r="B887" s="7">
        <v>46025</v>
      </c>
      <c r="C887" s="6" t="s">
        <v>1835</v>
      </c>
      <c r="D887" s="6" t="str">
        <f>IF(OR(PROPER(TRIM(Raw_Data!D887))="Uk",PROPER(TRIM(Raw_Data!D887))="Gb",PROPER(TRIM(Raw_Data!D887))="United kingdom"),"United Kingdom",PROPER(TRIM(Raw_Data!D887)))</f>
        <v>Ireland</v>
      </c>
      <c r="E887" s="6" t="s">
        <v>52</v>
      </c>
      <c r="F887" s="6" t="s">
        <v>38</v>
      </c>
      <c r="G887" s="6" t="str">
        <f>SUBSTITUTE(Raw_Data!G887,"Ã©","é")</f>
        <v>Trekking Poles</v>
      </c>
      <c r="H887" s="6">
        <v>1</v>
      </c>
      <c r="I887" s="6" t="s">
        <v>117</v>
      </c>
      <c r="J887" s="6" t="s">
        <v>117</v>
      </c>
      <c r="K887" s="6">
        <v>0.52</v>
      </c>
      <c r="L887" s="6" t="s">
        <v>42</v>
      </c>
      <c r="M887" s="6" t="s">
        <v>69</v>
      </c>
      <c r="N887" s="6"/>
    </row>
    <row r="888" spans="1:14">
      <c r="A888" s="6" t="s">
        <v>1836</v>
      </c>
      <c r="B888" s="7">
        <v>46075</v>
      </c>
      <c r="C888" s="6" t="s">
        <v>1837</v>
      </c>
      <c r="D888" s="6" t="str">
        <f>IF(OR(PROPER(TRIM(Raw_Data!D888))="Uk",PROPER(TRIM(Raw_Data!D888))="Gb",PROPER(TRIM(Raw_Data!D888))="United kingdom"),"United Kingdom",PROPER(TRIM(Raw_Data!D888)))</f>
        <v>France</v>
      </c>
      <c r="E888" s="6" t="s">
        <v>78</v>
      </c>
      <c r="F888" s="6" t="s">
        <v>94</v>
      </c>
      <c r="G888" s="6" t="str">
        <f>SUBSTITUTE(Raw_Data!G888,"Ã©","é")</f>
        <v>Storm Overtrousers</v>
      </c>
      <c r="H888" s="6">
        <v>1</v>
      </c>
      <c r="I888" s="6" t="s">
        <v>67</v>
      </c>
      <c r="J888" s="6" t="s">
        <v>67</v>
      </c>
      <c r="K888" s="6">
        <v>0.34</v>
      </c>
      <c r="L888" s="6" t="s">
        <v>42</v>
      </c>
      <c r="M888" s="6" t="s">
        <v>34</v>
      </c>
      <c r="N888" s="6"/>
    </row>
    <row r="889" spans="1:14">
      <c r="A889" s="6" t="s">
        <v>1838</v>
      </c>
      <c r="B889" s="7">
        <v>46035</v>
      </c>
      <c r="C889" s="6" t="s">
        <v>1839</v>
      </c>
      <c r="D889" s="6" t="str">
        <f>IF(OR(PROPER(TRIM(Raw_Data!D889))="Uk",PROPER(TRIM(Raw_Data!D889))="Gb",PROPER(TRIM(Raw_Data!D889))="United kingdom"),"United Kingdom",PROPER(TRIM(Raw_Data!D889)))</f>
        <v>United Kingdom</v>
      </c>
      <c r="E889" s="6" t="s">
        <v>28</v>
      </c>
      <c r="F889" s="6" t="s">
        <v>85</v>
      </c>
      <c r="G889" s="6" t="str">
        <f>SUBSTITUTE(Raw_Data!G889,"Ã©","é")</f>
        <v>Summit Down Gilet</v>
      </c>
      <c r="H889" s="6">
        <v>1</v>
      </c>
      <c r="I889" s="6" t="s">
        <v>67</v>
      </c>
      <c r="J889" s="6" t="s">
        <v>67</v>
      </c>
      <c r="K889" s="6">
        <v>0.41</v>
      </c>
      <c r="L889" s="6" t="s">
        <v>33</v>
      </c>
      <c r="M889" s="6" t="s">
        <v>34</v>
      </c>
      <c r="N889" s="6"/>
    </row>
    <row r="890" spans="1:14">
      <c r="A890" s="6" t="s">
        <v>1840</v>
      </c>
      <c r="B890" s="7">
        <v>46027</v>
      </c>
      <c r="C890" s="6" t="s">
        <v>1403</v>
      </c>
      <c r="D890" s="6" t="str">
        <f>IF(OR(PROPER(TRIM(Raw_Data!D890))="Uk",PROPER(TRIM(Raw_Data!D890))="Gb",PROPER(TRIM(Raw_Data!D890))="United kingdom"),"United Kingdom",PROPER(TRIM(Raw_Data!D890)))</f>
        <v>United Kingdom</v>
      </c>
      <c r="E890" s="6" t="s">
        <v>78</v>
      </c>
      <c r="F890" s="6" t="s">
        <v>47</v>
      </c>
      <c r="G890" s="6" t="str">
        <f>SUBSTITUTE(Raw_Data!G890,"Ã©","é")</f>
        <v>Storm Overtrousers</v>
      </c>
      <c r="H890" s="6">
        <v>2</v>
      </c>
      <c r="I890" s="6" t="s">
        <v>82</v>
      </c>
      <c r="J890" s="6" t="s">
        <v>297</v>
      </c>
      <c r="K890" s="6">
        <v>8.5000000000000006E-2</v>
      </c>
      <c r="L890" s="6" t="s">
        <v>42</v>
      </c>
      <c r="M890" s="6" t="s">
        <v>34</v>
      </c>
      <c r="N890" s="6"/>
    </row>
    <row r="891" spans="1:14">
      <c r="A891" s="6" t="s">
        <v>1841</v>
      </c>
      <c r="B891" s="7">
        <v>46057</v>
      </c>
      <c r="C891" s="6" t="s">
        <v>1842</v>
      </c>
      <c r="D891" s="6" t="str">
        <f>IF(OR(PROPER(TRIM(Raw_Data!D891))="Uk",PROPER(TRIM(Raw_Data!D891))="Gb",PROPER(TRIM(Raw_Data!D891))="United kingdom"),"United Kingdom",PROPER(TRIM(Raw_Data!D891)))</f>
        <v>United Kingdom</v>
      </c>
      <c r="E891" s="6" t="s">
        <v>52</v>
      </c>
      <c r="F891" s="6" t="s">
        <v>47</v>
      </c>
      <c r="G891" s="6" t="str">
        <f>SUBSTITUTE(Raw_Data!G891,"Ã©","é")</f>
        <v>Trail Softshell</v>
      </c>
      <c r="H891" s="6">
        <v>3</v>
      </c>
      <c r="I891" s="6" t="s">
        <v>113</v>
      </c>
      <c r="J891" s="6" t="s">
        <v>138</v>
      </c>
      <c r="K891" s="6">
        <v>8.5000000000000006E-2</v>
      </c>
      <c r="L891" s="6" t="s">
        <v>42</v>
      </c>
      <c r="M891" s="6" t="s">
        <v>69</v>
      </c>
      <c r="N891" s="6"/>
    </row>
    <row r="892" spans="1:14">
      <c r="A892" s="6" t="s">
        <v>1843</v>
      </c>
      <c r="B892" s="7">
        <v>46048</v>
      </c>
      <c r="C892" s="6" t="s">
        <v>1844</v>
      </c>
      <c r="D892" s="6" t="str">
        <f>IF(OR(PROPER(TRIM(Raw_Data!D892))="Uk",PROPER(TRIM(Raw_Data!D892))="Gb",PROPER(TRIM(Raw_Data!D892))="United kingdom"),"United Kingdom",PROPER(TRIM(Raw_Data!D892)))</f>
        <v>United Kingdom</v>
      </c>
      <c r="E892" s="6" t="s">
        <v>28</v>
      </c>
      <c r="F892" s="6" t="s">
        <v>85</v>
      </c>
      <c r="G892" s="6" t="str">
        <f>SUBSTITUTE(Raw_Data!G892,"Ã©","é")</f>
        <v>Café Latte Mug</v>
      </c>
      <c r="H892" s="6">
        <v>2</v>
      </c>
      <c r="I892" s="6" t="s">
        <v>60</v>
      </c>
      <c r="J892" s="6" t="s">
        <v>189</v>
      </c>
      <c r="K892" s="6">
        <v>0.41</v>
      </c>
      <c r="L892" s="6" t="s">
        <v>33</v>
      </c>
      <c r="M892" s="6" t="s">
        <v>34</v>
      </c>
      <c r="N892" s="6"/>
    </row>
    <row r="893" spans="1:14">
      <c r="A893" s="6" t="s">
        <v>1845</v>
      </c>
      <c r="B893" s="7">
        <v>46199</v>
      </c>
      <c r="C893" s="6" t="s">
        <v>1846</v>
      </c>
      <c r="D893" s="6" t="str">
        <f>IF(OR(PROPER(TRIM(Raw_Data!D893))="Uk",PROPER(TRIM(Raw_Data!D893))="Gb",PROPER(TRIM(Raw_Data!D893))="United kingdom"),"United Kingdom",PROPER(TRIM(Raw_Data!D893)))</f>
        <v>United Kingdom</v>
      </c>
      <c r="E893" s="6" t="s">
        <v>46</v>
      </c>
      <c r="F893" s="6" t="s">
        <v>38</v>
      </c>
      <c r="G893" s="6" t="str">
        <f>SUBSTITUTE(Raw_Data!G893,"Ã©","é")</f>
        <v>Storm Overtrousers</v>
      </c>
      <c r="H893" s="6">
        <v>1</v>
      </c>
      <c r="I893" s="6" t="s">
        <v>79</v>
      </c>
      <c r="J893" s="6" t="s">
        <v>79</v>
      </c>
      <c r="K893" s="6">
        <v>0.52</v>
      </c>
      <c r="L893" s="6" t="s">
        <v>42</v>
      </c>
      <c r="M893" s="6" t="s">
        <v>34</v>
      </c>
      <c r="N893" s="6"/>
    </row>
    <row r="894" spans="1:14">
      <c r="A894" s="6" t="s">
        <v>1847</v>
      </c>
      <c r="B894" s="7">
        <v>46053</v>
      </c>
      <c r="C894" s="6" t="s">
        <v>1149</v>
      </c>
      <c r="D894" s="6" t="str">
        <f>IF(OR(PROPER(TRIM(Raw_Data!D894))="Uk",PROPER(TRIM(Raw_Data!D894))="Gb",PROPER(TRIM(Raw_Data!D894))="United kingdom"),"United Kingdom",PROPER(TRIM(Raw_Data!D894)))</f>
        <v>Ireland</v>
      </c>
      <c r="E894" s="6" t="s">
        <v>52</v>
      </c>
      <c r="F894" s="6" t="s">
        <v>58</v>
      </c>
      <c r="G894" s="6" t="str">
        <f>SUBSTITUTE(Raw_Data!G894,"Ã©","é")</f>
        <v>Fell Runner Cap</v>
      </c>
      <c r="H894" s="6">
        <v>1</v>
      </c>
      <c r="I894" s="6" t="s">
        <v>143</v>
      </c>
      <c r="J894" s="6" t="s">
        <v>143</v>
      </c>
      <c r="K894" s="6">
        <v>0.38</v>
      </c>
      <c r="L894" s="6" t="s">
        <v>33</v>
      </c>
      <c r="M894" s="6" t="s">
        <v>34</v>
      </c>
      <c r="N894" s="6"/>
    </row>
    <row r="895" spans="1:14">
      <c r="A895" s="6" t="s">
        <v>1848</v>
      </c>
      <c r="B895" s="7">
        <v>46069</v>
      </c>
      <c r="C895" s="6" t="s">
        <v>540</v>
      </c>
      <c r="D895" s="6" t="str">
        <f>IF(OR(PROPER(TRIM(Raw_Data!D895))="Uk",PROPER(TRIM(Raw_Data!D895))="Gb",PROPER(TRIM(Raw_Data!D895))="United kingdom"),"United Kingdom",PROPER(TRIM(Raw_Data!D895)))</f>
        <v>Ireland</v>
      </c>
      <c r="E895" s="6" t="s">
        <v>78</v>
      </c>
      <c r="F895" s="6" t="s">
        <v>94</v>
      </c>
      <c r="G895" s="6" t="str">
        <f>SUBSTITUTE(Raw_Data!G895,"Ã©","é")</f>
        <v>Fell Runner Cap</v>
      </c>
      <c r="H895" s="6">
        <v>1</v>
      </c>
      <c r="I895" s="6" t="s">
        <v>265</v>
      </c>
      <c r="J895" s="6" t="s">
        <v>265</v>
      </c>
      <c r="K895" s="6">
        <v>0.34</v>
      </c>
      <c r="L895" s="6" t="s">
        <v>42</v>
      </c>
      <c r="M895" s="6" t="s">
        <v>34</v>
      </c>
      <c r="N895" s="6"/>
    </row>
    <row r="896" spans="1:14">
      <c r="A896" s="6" t="s">
        <v>1849</v>
      </c>
      <c r="B896" s="7">
        <v>46081</v>
      </c>
      <c r="C896" s="6" t="s">
        <v>1850</v>
      </c>
      <c r="D896" s="6" t="str">
        <f>IF(OR(PROPER(TRIM(Raw_Data!D896))="Uk",PROPER(TRIM(Raw_Data!D896))="Gb",PROPER(TRIM(Raw_Data!D896))="United kingdom"),"United Kingdom",PROPER(TRIM(Raw_Data!D896)))</f>
        <v>United Kingdom</v>
      </c>
      <c r="E896" s="6" t="s">
        <v>78</v>
      </c>
      <c r="F896" s="6" t="s">
        <v>58</v>
      </c>
      <c r="G896" s="6" t="str">
        <f>SUBSTITUTE(Raw_Data!G896,"Ã©","é")</f>
        <v>Storm Overtrousers</v>
      </c>
      <c r="H896" s="6">
        <v>1</v>
      </c>
      <c r="I896" s="6" t="s">
        <v>40</v>
      </c>
      <c r="J896" s="6" t="s">
        <v>40</v>
      </c>
      <c r="K896" s="6">
        <v>0.38</v>
      </c>
      <c r="L896" s="6" t="s">
        <v>42</v>
      </c>
      <c r="M896" s="6" t="s">
        <v>34</v>
      </c>
      <c r="N896" s="6"/>
    </row>
    <row r="897" spans="1:14">
      <c r="A897" s="6" t="s">
        <v>1851</v>
      </c>
      <c r="B897" s="7">
        <v>46131</v>
      </c>
      <c r="C897" s="6" t="s">
        <v>1852</v>
      </c>
      <c r="D897" s="6" t="str">
        <f>IF(OR(PROPER(TRIM(Raw_Data!D897))="Uk",PROPER(TRIM(Raw_Data!D897))="Gb",PROPER(TRIM(Raw_Data!D897))="United kingdom"),"United Kingdom",PROPER(TRIM(Raw_Data!D897)))</f>
        <v>United Kingdom</v>
      </c>
      <c r="E897" s="6" t="s">
        <v>28</v>
      </c>
      <c r="F897" s="6" t="s">
        <v>85</v>
      </c>
      <c r="G897" s="6" t="str">
        <f>SUBSTITUTE(Raw_Data!G897,"Ã©","é")</f>
        <v>Trail Softshell</v>
      </c>
      <c r="H897" s="6">
        <v>2</v>
      </c>
      <c r="I897" s="6" t="s">
        <v>79</v>
      </c>
      <c r="J897" s="6" t="s">
        <v>259</v>
      </c>
      <c r="K897" s="6">
        <v>0.41</v>
      </c>
      <c r="L897" s="6" t="s">
        <v>42</v>
      </c>
      <c r="M897" s="6" t="s">
        <v>34</v>
      </c>
      <c r="N897" s="6"/>
    </row>
    <row r="898" spans="1:14">
      <c r="A898" s="6" t="s">
        <v>1853</v>
      </c>
      <c r="B898" s="7">
        <v>46204</v>
      </c>
      <c r="C898" s="6" t="s">
        <v>1854</v>
      </c>
      <c r="D898" s="6" t="str">
        <f>IF(OR(PROPER(TRIM(Raw_Data!D898))="Uk",PROPER(TRIM(Raw_Data!D898))="Gb",PROPER(TRIM(Raw_Data!D898))="United kingdom"),"United Kingdom",PROPER(TRIM(Raw_Data!D898)))</f>
        <v>United Kingdom</v>
      </c>
      <c r="E898" s="6" t="s">
        <v>37</v>
      </c>
      <c r="F898" s="6" t="s">
        <v>38</v>
      </c>
      <c r="G898" s="6" t="str">
        <f>SUBSTITUTE(Raw_Data!G898,"Ã©","é")</f>
        <v>Summit Down Gilet</v>
      </c>
      <c r="H898" s="6">
        <v>1</v>
      </c>
      <c r="I898" s="6" t="s">
        <v>265</v>
      </c>
      <c r="J898" s="6" t="s">
        <v>265</v>
      </c>
      <c r="K898" s="6">
        <v>0.52</v>
      </c>
      <c r="L898" s="6" t="s">
        <v>42</v>
      </c>
      <c r="M898" s="6" t="s">
        <v>69</v>
      </c>
      <c r="N898" s="6"/>
    </row>
    <row r="899" spans="1:14">
      <c r="A899" s="6" t="s">
        <v>1855</v>
      </c>
      <c r="B899" s="7">
        <v>46330</v>
      </c>
      <c r="C899" s="6" t="s">
        <v>107</v>
      </c>
      <c r="D899" s="6" t="str">
        <f>IF(OR(PROPER(TRIM(Raw_Data!D899))="Uk",PROPER(TRIM(Raw_Data!D899))="Gb",PROPER(TRIM(Raw_Data!D899))="United kingdom"),"United Kingdom",PROPER(TRIM(Raw_Data!D899)))</f>
        <v>United Kingdom</v>
      </c>
      <c r="E899" s="6" t="s">
        <v>46</v>
      </c>
      <c r="F899" s="6" t="s">
        <v>100</v>
      </c>
      <c r="G899" s="6" t="str">
        <f>SUBSTITUTE(Raw_Data!G899,"Ã©","é")</f>
        <v>Café Latte Mug</v>
      </c>
      <c r="H899" s="6">
        <v>1</v>
      </c>
      <c r="I899" s="6" t="s">
        <v>231</v>
      </c>
      <c r="J899" s="6" t="s">
        <v>1436</v>
      </c>
      <c r="K899" s="6">
        <v>0.64</v>
      </c>
      <c r="L899" s="6" t="s">
        <v>42</v>
      </c>
      <c r="M899" s="6" t="s">
        <v>34</v>
      </c>
      <c r="N899" s="6"/>
    </row>
    <row r="900" spans="1:14">
      <c r="A900" s="6" t="s">
        <v>1856</v>
      </c>
      <c r="B900" s="7">
        <v>46163</v>
      </c>
      <c r="C900" s="6" t="s">
        <v>515</v>
      </c>
      <c r="D900" s="6" t="str">
        <f>IF(OR(PROPER(TRIM(Raw_Data!D900))="Uk",PROPER(TRIM(Raw_Data!D900))="Gb",PROPER(TRIM(Raw_Data!D900))="United kingdom"),"United Kingdom",PROPER(TRIM(Raw_Data!D900)))</f>
        <v>United Kingdom</v>
      </c>
      <c r="E900" s="6" t="s">
        <v>37</v>
      </c>
      <c r="F900" s="6" t="s">
        <v>58</v>
      </c>
      <c r="G900" s="6" t="str">
        <f>SUBSTITUTE(Raw_Data!G900,"Ã©","é")</f>
        <v>Summit Down Gilet</v>
      </c>
      <c r="H900" s="6">
        <v>2</v>
      </c>
      <c r="I900" s="6" t="s">
        <v>82</v>
      </c>
      <c r="J900" s="6" t="s">
        <v>297</v>
      </c>
      <c r="K900" s="6">
        <v>0.38</v>
      </c>
      <c r="L900" s="6" t="s">
        <v>42</v>
      </c>
      <c r="M900" s="6" t="s">
        <v>34</v>
      </c>
      <c r="N900" s="6"/>
    </row>
    <row r="901" spans="1:14">
      <c r="A901" s="6" t="s">
        <v>1857</v>
      </c>
      <c r="B901" s="7">
        <v>46187</v>
      </c>
      <c r="C901" s="6" t="s">
        <v>304</v>
      </c>
      <c r="D901" s="6" t="str">
        <f>IF(OR(PROPER(TRIM(Raw_Data!D901))="Uk",PROPER(TRIM(Raw_Data!D901))="Gb",PROPER(TRIM(Raw_Data!D901))="United kingdom"),"United Kingdom",PROPER(TRIM(Raw_Data!D901)))</f>
        <v>United Kingdom</v>
      </c>
      <c r="E901" s="6" t="s">
        <v>46</v>
      </c>
      <c r="F901" s="6" t="s">
        <v>100</v>
      </c>
      <c r="G901" s="6" t="str">
        <f>SUBSTITUTE(Raw_Data!G901,"Ã©","é")</f>
        <v>Storm Overtrousers</v>
      </c>
      <c r="H901" s="6">
        <v>1</v>
      </c>
      <c r="I901" s="6" t="s">
        <v>113</v>
      </c>
      <c r="J901" s="6" t="s">
        <v>113</v>
      </c>
      <c r="K901" s="6">
        <v>0.64</v>
      </c>
      <c r="L901" s="6" t="s">
        <v>42</v>
      </c>
      <c r="M901" s="6" t="s">
        <v>69</v>
      </c>
      <c r="N901" s="6"/>
    </row>
    <row r="902" spans="1:14">
      <c r="A902" s="6" t="s">
        <v>1858</v>
      </c>
      <c r="B902" s="7">
        <v>46070</v>
      </c>
      <c r="C902" s="6" t="s">
        <v>1859</v>
      </c>
      <c r="D902" s="6" t="str">
        <f>IF(OR(PROPER(TRIM(Raw_Data!D902))="Uk",PROPER(TRIM(Raw_Data!D902))="Gb",PROPER(TRIM(Raw_Data!D902))="United kingdom"),"United Kingdom",PROPER(TRIM(Raw_Data!D902)))</f>
        <v>United Kingdom</v>
      </c>
      <c r="E902" s="6" t="s">
        <v>78</v>
      </c>
      <c r="F902" s="6" t="s">
        <v>53</v>
      </c>
      <c r="G902" s="6" t="str">
        <f>SUBSTITUTE(Raw_Data!G902,"Ã©","é")</f>
        <v>Trail Softshell</v>
      </c>
      <c r="H902" s="6">
        <v>1</v>
      </c>
      <c r="I902" s="6" t="s">
        <v>147</v>
      </c>
      <c r="J902" s="6" t="s">
        <v>147</v>
      </c>
      <c r="K902" s="6">
        <v>0.19</v>
      </c>
      <c r="L902" s="6" t="s">
        <v>42</v>
      </c>
      <c r="M902" s="6" t="s">
        <v>69</v>
      </c>
      <c r="N902" s="6"/>
    </row>
    <row r="903" spans="1:14">
      <c r="A903" s="6" t="s">
        <v>1860</v>
      </c>
      <c r="B903" s="7">
        <v>46047</v>
      </c>
      <c r="C903" s="6" t="s">
        <v>1861</v>
      </c>
      <c r="D903" s="6" t="str">
        <f>IF(OR(PROPER(TRIM(Raw_Data!D903))="Uk",PROPER(TRIM(Raw_Data!D903))="Gb",PROPER(TRIM(Raw_Data!D903))="United kingdom"),"United Kingdom",PROPER(TRIM(Raw_Data!D903)))</f>
        <v>Germany</v>
      </c>
      <c r="E903" s="6" t="s">
        <v>78</v>
      </c>
      <c r="F903" s="6" t="s">
        <v>58</v>
      </c>
      <c r="G903" s="6" t="str">
        <f>SUBSTITUTE(Raw_Data!G903,"Ã©","é")</f>
        <v>Alpine Jacket</v>
      </c>
      <c r="H903" s="6">
        <v>1</v>
      </c>
      <c r="I903" s="6" t="s">
        <v>231</v>
      </c>
      <c r="J903" s="6" t="s">
        <v>231</v>
      </c>
      <c r="K903" s="6">
        <v>0.38</v>
      </c>
      <c r="L903" s="6" t="s">
        <v>42</v>
      </c>
      <c r="M903" s="6" t="s">
        <v>69</v>
      </c>
      <c r="N903" s="6"/>
    </row>
    <row r="904" spans="1:14">
      <c r="A904" s="6" t="s">
        <v>1862</v>
      </c>
      <c r="B904" s="7">
        <v>46080</v>
      </c>
      <c r="C904" s="6" t="s">
        <v>1863</v>
      </c>
      <c r="D904" s="6" t="str">
        <f>IF(OR(PROPER(TRIM(Raw_Data!D904))="Uk",PROPER(TRIM(Raw_Data!D904))="Gb",PROPER(TRIM(Raw_Data!D904))="United kingdom"),"United Kingdom",PROPER(TRIM(Raw_Data!D904)))</f>
        <v>United Kingdom</v>
      </c>
      <c r="E904" s="6" t="s">
        <v>78</v>
      </c>
      <c r="F904" s="6" t="s">
        <v>53</v>
      </c>
      <c r="G904" s="6" t="str">
        <f>SUBSTITUTE(Raw_Data!G904,"Ã©","é")</f>
        <v>Summit Down Gilet</v>
      </c>
      <c r="H904" s="6">
        <v>1</v>
      </c>
      <c r="I904" s="6" t="s">
        <v>90</v>
      </c>
      <c r="J904" s="6" t="s">
        <v>90</v>
      </c>
      <c r="K904" s="6">
        <v>0.19</v>
      </c>
      <c r="L904" s="6" t="s">
        <v>42</v>
      </c>
      <c r="M904" s="6" t="s">
        <v>34</v>
      </c>
      <c r="N904" s="6"/>
    </row>
    <row r="905" spans="1:14">
      <c r="A905" s="6" t="s">
        <v>1864</v>
      </c>
      <c r="B905" s="7">
        <v>46027</v>
      </c>
      <c r="C905" s="6" t="s">
        <v>1865</v>
      </c>
      <c r="D905" s="6" t="str">
        <f>IF(OR(PROPER(TRIM(Raw_Data!D905))="Uk",PROPER(TRIM(Raw_Data!D905))="Gb",PROPER(TRIM(Raw_Data!D905))="United kingdom"),"United Kingdom",PROPER(TRIM(Raw_Data!D905)))</f>
        <v>United Kingdom</v>
      </c>
      <c r="E905" s="6" t="s">
        <v>37</v>
      </c>
      <c r="F905" s="6" t="s">
        <v>94</v>
      </c>
      <c r="G905" s="6" t="str">
        <f>SUBSTITUTE(Raw_Data!G905,"Ã©","é")</f>
        <v>Alpine Jacket</v>
      </c>
      <c r="H905" s="6">
        <v>1</v>
      </c>
      <c r="I905" s="6" t="s">
        <v>113</v>
      </c>
      <c r="J905" s="6" t="s">
        <v>113</v>
      </c>
      <c r="K905" s="6">
        <v>0.34</v>
      </c>
      <c r="L905" s="6" t="s">
        <v>42</v>
      </c>
      <c r="M905" s="6" t="s">
        <v>69</v>
      </c>
      <c r="N905" s="6"/>
    </row>
    <row r="906" spans="1:14">
      <c r="A906" s="6" t="s">
        <v>1866</v>
      </c>
      <c r="B906" s="7">
        <v>46190</v>
      </c>
      <c r="C906" s="6" t="s">
        <v>93</v>
      </c>
      <c r="D906" s="6" t="str">
        <f>IF(OR(PROPER(TRIM(Raw_Data!D906))="Uk",PROPER(TRIM(Raw_Data!D906))="Gb",PROPER(TRIM(Raw_Data!D906))="United kingdom"),"United Kingdom",PROPER(TRIM(Raw_Data!D906)))</f>
        <v>United Kingdom</v>
      </c>
      <c r="E906" s="6" t="s">
        <v>28</v>
      </c>
      <c r="F906" s="6" t="s">
        <v>47</v>
      </c>
      <c r="G906" s="6" t="str">
        <f>SUBSTITUTE(Raw_Data!G906,"Ã©","é")</f>
        <v>Merino Base Layer</v>
      </c>
      <c r="H906" s="6">
        <v>1</v>
      </c>
      <c r="I906" s="6" t="s">
        <v>60</v>
      </c>
      <c r="J906" s="6" t="s">
        <v>60</v>
      </c>
      <c r="K906" s="6">
        <v>8.5000000000000006E-2</v>
      </c>
      <c r="L906" s="6" t="s">
        <v>42</v>
      </c>
      <c r="M906" s="6" t="s">
        <v>34</v>
      </c>
      <c r="N906" s="6"/>
    </row>
    <row r="907" spans="1:14">
      <c r="A907" s="6" t="s">
        <v>1868</v>
      </c>
      <c r="B907" s="7">
        <v>46059</v>
      </c>
      <c r="C907" s="6" t="s">
        <v>326</v>
      </c>
      <c r="D907" s="6" t="str">
        <f>IF(OR(PROPER(TRIM(Raw_Data!D907))="Uk",PROPER(TRIM(Raw_Data!D907))="Gb",PROPER(TRIM(Raw_Data!D907))="United kingdom"),"United Kingdom",PROPER(TRIM(Raw_Data!D907)))</f>
        <v>United Kingdom</v>
      </c>
      <c r="E907" s="6" t="s">
        <v>46</v>
      </c>
      <c r="F907" s="6" t="s">
        <v>47</v>
      </c>
      <c r="G907" s="6" t="str">
        <f>SUBSTITUTE(Raw_Data!G907,"Ã©","é")</f>
        <v>Summit Down Gilet</v>
      </c>
      <c r="H907" s="6">
        <v>2</v>
      </c>
      <c r="I907" s="6" t="s">
        <v>181</v>
      </c>
      <c r="J907" s="6" t="s">
        <v>163</v>
      </c>
      <c r="K907" s="6">
        <v>8.5000000000000006E-2</v>
      </c>
      <c r="L907" s="6" t="s">
        <v>42</v>
      </c>
      <c r="M907" s="6" t="s">
        <v>34</v>
      </c>
      <c r="N907" s="6"/>
    </row>
    <row r="908" spans="1:14">
      <c r="A908" s="6" t="s">
        <v>1869</v>
      </c>
      <c r="B908" s="7">
        <v>46139</v>
      </c>
      <c r="C908" s="6" t="s">
        <v>1870</v>
      </c>
      <c r="D908" s="6" t="str">
        <f>IF(OR(PROPER(TRIM(Raw_Data!D908))="Uk",PROPER(TRIM(Raw_Data!D908))="Gb",PROPER(TRIM(Raw_Data!D908))="United kingdom"),"United Kingdom",PROPER(TRIM(Raw_Data!D908)))</f>
        <v>United Kingdom</v>
      </c>
      <c r="E908" s="6" t="s">
        <v>37</v>
      </c>
      <c r="F908" s="6" t="s">
        <v>58</v>
      </c>
      <c r="G908" s="6" t="str">
        <f>SUBSTITUTE(Raw_Data!G908,"Ã©","é")</f>
        <v>Merino Base Layer</v>
      </c>
      <c r="H908" s="6">
        <v>3</v>
      </c>
      <c r="I908" s="6" t="s">
        <v>143</v>
      </c>
      <c r="J908" s="6" t="s">
        <v>243</v>
      </c>
      <c r="K908" s="6">
        <v>0.38</v>
      </c>
      <c r="L908" s="6" t="s">
        <v>33</v>
      </c>
      <c r="M908" s="6" t="s">
        <v>34</v>
      </c>
      <c r="N908" s="6"/>
    </row>
    <row r="909" spans="1:14">
      <c r="A909" s="6" t="s">
        <v>1871</v>
      </c>
      <c r="B909" s="7">
        <v>46208</v>
      </c>
      <c r="C909" s="6" t="s">
        <v>1872</v>
      </c>
      <c r="D909" s="6" t="str">
        <f>IF(OR(PROPER(TRIM(Raw_Data!D909))="Uk",PROPER(TRIM(Raw_Data!D909))="Gb",PROPER(TRIM(Raw_Data!D909))="United kingdom"),"United Kingdom",PROPER(TRIM(Raw_Data!D909)))</f>
        <v>United Kingdom</v>
      </c>
      <c r="E909" s="6" t="s">
        <v>28</v>
      </c>
      <c r="F909" s="6" t="s">
        <v>53</v>
      </c>
      <c r="G909" s="6" t="str">
        <f>SUBSTITUTE(Raw_Data!G909,"Ã©","é")</f>
        <v>Café Latte Mug</v>
      </c>
      <c r="H909" s="6">
        <v>1</v>
      </c>
      <c r="I909" s="6" t="s">
        <v>82</v>
      </c>
      <c r="J909" s="6" t="s">
        <v>82</v>
      </c>
      <c r="K909" s="6">
        <v>0.19</v>
      </c>
      <c r="L909" s="6" t="s">
        <v>42</v>
      </c>
      <c r="M909" s="6" t="s">
        <v>69</v>
      </c>
      <c r="N909" s="6"/>
    </row>
    <row r="910" spans="1:14">
      <c r="A910" s="6" t="s">
        <v>1873</v>
      </c>
      <c r="B910" s="7">
        <v>46082</v>
      </c>
      <c r="C910" s="6" t="s">
        <v>666</v>
      </c>
      <c r="D910" s="6" t="str">
        <f>IF(OR(PROPER(TRIM(Raw_Data!D910))="Uk",PROPER(TRIM(Raw_Data!D910))="Gb",PROPER(TRIM(Raw_Data!D910))="United kingdom"),"United Kingdom",PROPER(TRIM(Raw_Data!D910)))</f>
        <v>France</v>
      </c>
      <c r="E910" s="6" t="s">
        <v>52</v>
      </c>
      <c r="F910" s="6" t="s">
        <v>38</v>
      </c>
      <c r="G910" s="6" t="str">
        <f>SUBSTITUTE(Raw_Data!G910,"Ã©","é")</f>
        <v>Fell Runner Cap</v>
      </c>
      <c r="H910" s="6">
        <v>2</v>
      </c>
      <c r="I910" s="6" t="s">
        <v>117</v>
      </c>
      <c r="J910" s="6" t="s">
        <v>118</v>
      </c>
      <c r="K910" s="6">
        <v>0.52</v>
      </c>
      <c r="L910" s="6" t="s">
        <v>33</v>
      </c>
      <c r="M910" s="6" t="s">
        <v>69</v>
      </c>
      <c r="N910" s="6"/>
    </row>
    <row r="911" spans="1:14">
      <c r="A911" s="6" t="s">
        <v>1874</v>
      </c>
      <c r="B911" s="7">
        <v>46083</v>
      </c>
      <c r="C911" s="6" t="s">
        <v>1872</v>
      </c>
      <c r="D911" s="6" t="str">
        <f>IF(OR(PROPER(TRIM(Raw_Data!D911))="Uk",PROPER(TRIM(Raw_Data!D911))="Gb",PROPER(TRIM(Raw_Data!D911))="United kingdom"),"United Kingdom",PROPER(TRIM(Raw_Data!D911)))</f>
        <v>United Kingdom</v>
      </c>
      <c r="E911" s="6" t="s">
        <v>52</v>
      </c>
      <c r="F911" s="6" t="s">
        <v>58</v>
      </c>
      <c r="G911" s="6" t="str">
        <f>SUBSTITUTE(Raw_Data!G911,"Ã©","é")</f>
        <v>Fell Runner Cap</v>
      </c>
      <c r="H911" s="6">
        <v>2</v>
      </c>
      <c r="I911" s="6" t="s">
        <v>143</v>
      </c>
      <c r="J911" s="6" t="s">
        <v>144</v>
      </c>
      <c r="K911" s="6">
        <v>0.38</v>
      </c>
      <c r="L911" s="6" t="s">
        <v>42</v>
      </c>
      <c r="M911" s="6" t="s">
        <v>34</v>
      </c>
      <c r="N911" s="6"/>
    </row>
    <row r="912" spans="1:14">
      <c r="A912" s="6" t="s">
        <v>1875</v>
      </c>
      <c r="B912" s="7">
        <v>46135</v>
      </c>
      <c r="C912" s="6" t="s">
        <v>996</v>
      </c>
      <c r="D912" s="6" t="str">
        <f>IF(OR(PROPER(TRIM(Raw_Data!D912))="Uk",PROPER(TRIM(Raw_Data!D912))="Gb",PROPER(TRIM(Raw_Data!D912))="United kingdom"),"United Kingdom",PROPER(TRIM(Raw_Data!D912)))</f>
        <v>United Kingdom</v>
      </c>
      <c r="E912" s="6" t="s">
        <v>46</v>
      </c>
      <c r="F912" s="6" t="s">
        <v>58</v>
      </c>
      <c r="G912" s="6" t="str">
        <f>SUBSTITUTE(Raw_Data!G912,"Ã©","é")</f>
        <v>Summit Down Gilet</v>
      </c>
      <c r="H912" s="6">
        <v>2</v>
      </c>
      <c r="I912" s="6" t="s">
        <v>82</v>
      </c>
      <c r="J912" s="6" t="s">
        <v>297</v>
      </c>
      <c r="K912" s="6">
        <v>0.38</v>
      </c>
      <c r="L912" s="6" t="s">
        <v>42</v>
      </c>
      <c r="M912" s="6" t="s">
        <v>69</v>
      </c>
      <c r="N912" s="6"/>
    </row>
    <row r="913" spans="1:14">
      <c r="A913" s="6" t="s">
        <v>1876</v>
      </c>
      <c r="B913" s="7">
        <v>46191</v>
      </c>
      <c r="C913" s="6" t="s">
        <v>1877</v>
      </c>
      <c r="D913" s="6" t="str">
        <f>IF(OR(PROPER(TRIM(Raw_Data!D913))="Uk",PROPER(TRIM(Raw_Data!D913))="Gb",PROPER(TRIM(Raw_Data!D913))="United kingdom"),"United Kingdom",PROPER(TRIM(Raw_Data!D913)))</f>
        <v>Germany</v>
      </c>
      <c r="E913" s="6" t="s">
        <v>46</v>
      </c>
      <c r="F913" s="6" t="s">
        <v>38</v>
      </c>
      <c r="G913" s="6" t="str">
        <f>SUBSTITUTE(Raw_Data!G913,"Ã©","é")</f>
        <v>Merino Base Layer</v>
      </c>
      <c r="H913" s="6">
        <v>2</v>
      </c>
      <c r="I913" s="6" t="s">
        <v>67</v>
      </c>
      <c r="J913" s="6" t="s">
        <v>204</v>
      </c>
      <c r="K913" s="6">
        <v>0.52</v>
      </c>
      <c r="L913" s="6" t="s">
        <v>42</v>
      </c>
      <c r="M913" s="6" t="s">
        <v>69</v>
      </c>
      <c r="N913" s="6"/>
    </row>
    <row r="914" spans="1:14">
      <c r="A914" s="6" t="s">
        <v>1878</v>
      </c>
      <c r="B914" s="7">
        <v>46208</v>
      </c>
      <c r="C914" s="6" t="s">
        <v>1879</v>
      </c>
      <c r="D914" s="6" t="str">
        <f>IF(OR(PROPER(TRIM(Raw_Data!D914))="Uk",PROPER(TRIM(Raw_Data!D914))="Gb",PROPER(TRIM(Raw_Data!D914))="United kingdom"),"United Kingdom",PROPER(TRIM(Raw_Data!D914)))</f>
        <v>Ireland</v>
      </c>
      <c r="E914" s="6" t="s">
        <v>46</v>
      </c>
      <c r="F914" s="6" t="s">
        <v>94</v>
      </c>
      <c r="G914" s="6" t="str">
        <f>SUBSTITUTE(Raw_Data!G914,"Ã©","é")</f>
        <v>Alpine Jacket</v>
      </c>
      <c r="H914" s="6">
        <v>1</v>
      </c>
      <c r="I914" s="6" t="s">
        <v>79</v>
      </c>
      <c r="J914" s="6" t="s">
        <v>79</v>
      </c>
      <c r="K914" s="6">
        <v>0.34</v>
      </c>
      <c r="L914" s="6" t="s">
        <v>42</v>
      </c>
      <c r="M914" s="6" t="s">
        <v>34</v>
      </c>
      <c r="N914" s="6"/>
    </row>
    <row r="915" spans="1:14">
      <c r="A915" s="6" t="s">
        <v>1880</v>
      </c>
      <c r="B915" s="7">
        <v>46136</v>
      </c>
      <c r="C915" s="6" t="s">
        <v>1881</v>
      </c>
      <c r="D915" s="6" t="str">
        <f>IF(OR(PROPER(TRIM(Raw_Data!D915))="Uk",PROPER(TRIM(Raw_Data!D915))="Gb",PROPER(TRIM(Raw_Data!D915))="United kingdom"),"United Kingdom",PROPER(TRIM(Raw_Data!D915)))</f>
        <v>United Kingdom</v>
      </c>
      <c r="E915" s="6" t="s">
        <v>28</v>
      </c>
      <c r="F915" s="6" t="s">
        <v>100</v>
      </c>
      <c r="G915" s="6" t="str">
        <f>SUBSTITUTE(Raw_Data!G915,"Ã©","é")</f>
        <v>Trail Softshell</v>
      </c>
      <c r="H915" s="6">
        <v>2</v>
      </c>
      <c r="I915" s="6" t="s">
        <v>117</v>
      </c>
      <c r="J915" s="6" t="s">
        <v>118</v>
      </c>
      <c r="K915" s="6">
        <v>0.64</v>
      </c>
      <c r="L915" s="6" t="s">
        <v>42</v>
      </c>
      <c r="M915" s="6" t="s">
        <v>34</v>
      </c>
      <c r="N915" s="6"/>
    </row>
    <row r="916" spans="1:14">
      <c r="A916" s="6" t="s">
        <v>1882</v>
      </c>
      <c r="B916" s="7">
        <v>46146</v>
      </c>
      <c r="C916" s="6" t="s">
        <v>1883</v>
      </c>
      <c r="D916" s="6" t="str">
        <f>IF(OR(PROPER(TRIM(Raw_Data!D916))="Uk",PROPER(TRIM(Raw_Data!D916))="Gb",PROPER(TRIM(Raw_Data!D916))="United kingdom"),"United Kingdom",PROPER(TRIM(Raw_Data!D916)))</f>
        <v>Germany</v>
      </c>
      <c r="E916" s="6" t="s">
        <v>28</v>
      </c>
      <c r="F916" s="6" t="s">
        <v>53</v>
      </c>
      <c r="G916" s="6" t="str">
        <f>SUBSTITUTE(Raw_Data!G916,"Ã©","é")</f>
        <v>Summit Down Gilet</v>
      </c>
      <c r="H916" s="6">
        <v>-1</v>
      </c>
      <c r="I916" s="6" t="s">
        <v>143</v>
      </c>
      <c r="J916" s="8" t="s">
        <v>1884</v>
      </c>
      <c r="K916" s="6">
        <v>0.19</v>
      </c>
      <c r="L916" s="6" t="s">
        <v>42</v>
      </c>
      <c r="M916" s="6" t="s">
        <v>34</v>
      </c>
      <c r="N916" s="6"/>
    </row>
    <row r="917" spans="1:14">
      <c r="A917" s="6" t="s">
        <v>1885</v>
      </c>
      <c r="B917" s="7">
        <v>46191</v>
      </c>
      <c r="C917" s="6" t="s">
        <v>466</v>
      </c>
      <c r="D917" s="6" t="str">
        <f>IF(OR(PROPER(TRIM(Raw_Data!D917))="Uk",PROPER(TRIM(Raw_Data!D917))="Gb",PROPER(TRIM(Raw_Data!D917))="United kingdom"),"United Kingdom",PROPER(TRIM(Raw_Data!D917)))</f>
        <v>United Kingdom</v>
      </c>
      <c r="E917" s="6" t="s">
        <v>46</v>
      </c>
      <c r="F917" s="6" t="s">
        <v>94</v>
      </c>
      <c r="G917" s="6" t="str">
        <f>SUBSTITUTE(Raw_Data!G917,"Ã©","é")</f>
        <v>Summit Down Gilet</v>
      </c>
      <c r="H917" s="6">
        <v>3</v>
      </c>
      <c r="I917" s="6" t="s">
        <v>73</v>
      </c>
      <c r="J917" s="6" t="s">
        <v>499</v>
      </c>
      <c r="K917" s="6">
        <v>0.34</v>
      </c>
      <c r="L917" s="6" t="s">
        <v>42</v>
      </c>
      <c r="M917" s="6" t="s">
        <v>34</v>
      </c>
      <c r="N917" s="6"/>
    </row>
    <row r="918" spans="1:14">
      <c r="A918" s="6" t="s">
        <v>1886</v>
      </c>
      <c r="B918" s="7">
        <v>46127</v>
      </c>
      <c r="C918" s="6" t="s">
        <v>1887</v>
      </c>
      <c r="D918" s="6" t="str">
        <f>IF(OR(PROPER(TRIM(Raw_Data!D918))="Uk",PROPER(TRIM(Raw_Data!D918))="Gb",PROPER(TRIM(Raw_Data!D918))="United kingdom"),"United Kingdom",PROPER(TRIM(Raw_Data!D918)))</f>
        <v>Ireland</v>
      </c>
      <c r="E918" s="6" t="s">
        <v>28</v>
      </c>
      <c r="F918" s="6" t="s">
        <v>94</v>
      </c>
      <c r="G918" s="6" t="str">
        <f>SUBSTITUTE(Raw_Data!G918,"Ã©","é")</f>
        <v>Trail Softshell</v>
      </c>
      <c r="H918" s="6">
        <v>2</v>
      </c>
      <c r="I918" s="6" t="s">
        <v>117</v>
      </c>
      <c r="J918" s="6" t="s">
        <v>118</v>
      </c>
      <c r="K918" s="6">
        <v>0.34</v>
      </c>
      <c r="L918" s="6" t="s">
        <v>42</v>
      </c>
      <c r="M918" s="6" t="s">
        <v>34</v>
      </c>
      <c r="N918" s="6"/>
    </row>
    <row r="919" spans="1:14">
      <c r="A919" s="6" t="s">
        <v>1888</v>
      </c>
      <c r="B919" s="7">
        <v>46166</v>
      </c>
      <c r="C919" s="6" t="s">
        <v>1889</v>
      </c>
      <c r="D919" s="6" t="str">
        <f>IF(OR(PROPER(TRIM(Raw_Data!D919))="Uk",PROPER(TRIM(Raw_Data!D919))="Gb",PROPER(TRIM(Raw_Data!D919))="United kingdom"),"United Kingdom",PROPER(TRIM(Raw_Data!D919)))</f>
        <v>United Kingdom</v>
      </c>
      <c r="E919" s="6" t="s">
        <v>46</v>
      </c>
      <c r="F919" s="6" t="s">
        <v>29</v>
      </c>
      <c r="G919" s="6" t="str">
        <f>SUBSTITUTE(Raw_Data!G919,"Ã©","é")</f>
        <v>Café Latte Mug</v>
      </c>
      <c r="H919" s="6">
        <v>3</v>
      </c>
      <c r="I919" s="6" t="s">
        <v>1013</v>
      </c>
      <c r="J919" s="6" t="s">
        <v>97</v>
      </c>
      <c r="K919" s="6">
        <v>0.52</v>
      </c>
      <c r="L919" s="6" t="s">
        <v>42</v>
      </c>
      <c r="M919" s="6" t="s">
        <v>69</v>
      </c>
      <c r="N919" s="6"/>
    </row>
    <row r="920" spans="1:14">
      <c r="A920" s="6" t="s">
        <v>1890</v>
      </c>
      <c r="B920" s="7">
        <v>46089</v>
      </c>
      <c r="C920" s="6" t="s">
        <v>1170</v>
      </c>
      <c r="D920" s="6" t="str">
        <f>IF(OR(PROPER(TRIM(Raw_Data!D920))="Uk",PROPER(TRIM(Raw_Data!D920))="Gb",PROPER(TRIM(Raw_Data!D920))="United kingdom"),"United Kingdom",PROPER(TRIM(Raw_Data!D920)))</f>
        <v>United Kingdom</v>
      </c>
      <c r="E920" s="6" t="s">
        <v>46</v>
      </c>
      <c r="F920" s="6" t="s">
        <v>53</v>
      </c>
      <c r="G920" s="6" t="str">
        <f>SUBSTITUTE(Raw_Data!G920,"Ã©","é")</f>
        <v>Alpine Jacket</v>
      </c>
      <c r="H920" s="6">
        <v>2</v>
      </c>
      <c r="I920" s="6" t="s">
        <v>117</v>
      </c>
      <c r="J920" s="6" t="s">
        <v>118</v>
      </c>
      <c r="K920" s="6">
        <v>0.19</v>
      </c>
      <c r="L920" s="6" t="s">
        <v>42</v>
      </c>
      <c r="M920" s="6" t="s">
        <v>34</v>
      </c>
      <c r="N920" s="6"/>
    </row>
    <row r="921" spans="1:14">
      <c r="A921" s="6" t="s">
        <v>1891</v>
      </c>
      <c r="B921" s="7">
        <v>46099</v>
      </c>
      <c r="C921" s="6" t="s">
        <v>134</v>
      </c>
      <c r="D921" s="6" t="str">
        <f>IF(OR(PROPER(TRIM(Raw_Data!D921))="Uk",PROPER(TRIM(Raw_Data!D921))="Gb",PROPER(TRIM(Raw_Data!D921))="United kingdom"),"United Kingdom",PROPER(TRIM(Raw_Data!D921)))</f>
        <v>United Kingdom</v>
      </c>
      <c r="E921" s="6" t="s">
        <v>52</v>
      </c>
      <c r="F921" s="6" t="s">
        <v>47</v>
      </c>
      <c r="G921" s="6" t="str">
        <f>SUBSTITUTE(Raw_Data!G921,"Ã©","é")</f>
        <v>Merino Base Layer</v>
      </c>
      <c r="H921" s="6">
        <v>3</v>
      </c>
      <c r="I921" s="6" t="s">
        <v>117</v>
      </c>
      <c r="J921" s="6" t="s">
        <v>171</v>
      </c>
      <c r="K921" s="6">
        <v>8.5000000000000006E-2</v>
      </c>
      <c r="L921" s="6" t="s">
        <v>42</v>
      </c>
      <c r="M921" s="6" t="s">
        <v>34</v>
      </c>
      <c r="N921" s="6"/>
    </row>
    <row r="922" spans="1:14">
      <c r="A922" s="6" t="s">
        <v>1892</v>
      </c>
      <c r="B922" s="7">
        <v>46083</v>
      </c>
      <c r="C922" s="6" t="s">
        <v>1670</v>
      </c>
      <c r="D922" s="6" t="str">
        <f>IF(OR(PROPER(TRIM(Raw_Data!D922))="Uk",PROPER(TRIM(Raw_Data!D922))="Gb",PROPER(TRIM(Raw_Data!D922))="United kingdom"),"United Kingdom",PROPER(TRIM(Raw_Data!D922)))</f>
        <v>United Kingdom</v>
      </c>
      <c r="E922" s="6" t="s">
        <v>28</v>
      </c>
      <c r="F922" s="6" t="s">
        <v>38</v>
      </c>
      <c r="G922" s="6" t="str">
        <f>SUBSTITUTE(Raw_Data!G922,"Ã©","é")</f>
        <v>Café Latte Mug</v>
      </c>
      <c r="H922" s="6">
        <v>2</v>
      </c>
      <c r="I922" s="6" t="s">
        <v>117</v>
      </c>
      <c r="J922" s="6" t="s">
        <v>118</v>
      </c>
      <c r="K922" s="6">
        <v>0.52</v>
      </c>
      <c r="L922" s="6" t="s">
        <v>42</v>
      </c>
      <c r="M922" s="6" t="s">
        <v>34</v>
      </c>
      <c r="N922" s="6"/>
    </row>
    <row r="923" spans="1:14">
      <c r="A923" s="6" t="s">
        <v>1893</v>
      </c>
      <c r="B923" s="7">
        <v>46300</v>
      </c>
      <c r="C923" s="6" t="s">
        <v>1894</v>
      </c>
      <c r="D923" s="6" t="str">
        <f>IF(OR(PROPER(TRIM(Raw_Data!D923))="Uk",PROPER(TRIM(Raw_Data!D923))="Gb",PROPER(TRIM(Raw_Data!D923))="United kingdom"),"United Kingdom",PROPER(TRIM(Raw_Data!D923)))</f>
        <v>United Kingdom</v>
      </c>
      <c r="E923" s="6" t="s">
        <v>28</v>
      </c>
      <c r="F923" s="6" t="s">
        <v>29</v>
      </c>
      <c r="G923" s="6" t="str">
        <f>SUBSTITUTE(Raw_Data!G923,"Ã©","é")</f>
        <v>Café Latte Mug</v>
      </c>
      <c r="H923" s="6">
        <v>2</v>
      </c>
      <c r="I923" s="6" t="s">
        <v>31</v>
      </c>
      <c r="J923" s="6" t="s">
        <v>249</v>
      </c>
      <c r="K923" s="6">
        <v>0.52</v>
      </c>
      <c r="L923" s="6" t="s">
        <v>42</v>
      </c>
      <c r="M923" s="6" t="s">
        <v>34</v>
      </c>
      <c r="N923" s="6"/>
    </row>
    <row r="924" spans="1:14">
      <c r="A924" s="6" t="s">
        <v>1895</v>
      </c>
      <c r="B924" s="7">
        <v>46078</v>
      </c>
      <c r="C924" s="6" t="s">
        <v>1896</v>
      </c>
      <c r="D924" s="6" t="str">
        <f>IF(OR(PROPER(TRIM(Raw_Data!D924))="Uk",PROPER(TRIM(Raw_Data!D924))="Gb",PROPER(TRIM(Raw_Data!D924))="United kingdom"),"United Kingdom",PROPER(TRIM(Raw_Data!D924)))</f>
        <v>United Kingdom</v>
      </c>
      <c r="E924" s="6" t="s">
        <v>52</v>
      </c>
      <c r="F924" s="6" t="s">
        <v>58</v>
      </c>
      <c r="G924" s="6" t="str">
        <f>SUBSTITUTE(Raw_Data!G924,"Ã©","é")</f>
        <v>Trekking Poles</v>
      </c>
      <c r="H924" s="6">
        <v>3</v>
      </c>
      <c r="I924" s="6" t="s">
        <v>79</v>
      </c>
      <c r="J924" s="6" t="s">
        <v>216</v>
      </c>
      <c r="K924" s="6">
        <v>0.38</v>
      </c>
      <c r="L924" s="6" t="s">
        <v>33</v>
      </c>
      <c r="M924" s="6" t="s">
        <v>69</v>
      </c>
      <c r="N924" s="6"/>
    </row>
    <row r="925" spans="1:14">
      <c r="A925" s="6" t="s">
        <v>1897</v>
      </c>
      <c r="B925" s="7">
        <v>46077</v>
      </c>
      <c r="C925" s="6" t="s">
        <v>1525</v>
      </c>
      <c r="D925" s="6" t="str">
        <f>IF(OR(PROPER(TRIM(Raw_Data!D925))="Uk",PROPER(TRIM(Raw_Data!D925))="Gb",PROPER(TRIM(Raw_Data!D925))="United kingdom"),"United Kingdom",PROPER(TRIM(Raw_Data!D925)))</f>
        <v>United Kingdom</v>
      </c>
      <c r="E925" s="6" t="s">
        <v>28</v>
      </c>
      <c r="F925" s="6" t="s">
        <v>94</v>
      </c>
      <c r="G925" s="6" t="str">
        <f>SUBSTITUTE(Raw_Data!G925,"Ã©","é")</f>
        <v>Merino Base Layer</v>
      </c>
      <c r="H925" s="6">
        <v>1</v>
      </c>
      <c r="I925" s="6" t="s">
        <v>231</v>
      </c>
      <c r="J925" s="6" t="s">
        <v>231</v>
      </c>
      <c r="K925" s="6">
        <v>0.34</v>
      </c>
      <c r="L925" s="6" t="s">
        <v>42</v>
      </c>
      <c r="M925" s="6" t="s">
        <v>34</v>
      </c>
      <c r="N925" s="6"/>
    </row>
    <row r="926" spans="1:14">
      <c r="A926" s="6" t="s">
        <v>1898</v>
      </c>
      <c r="B926" s="7">
        <v>46088</v>
      </c>
      <c r="C926" s="6" t="s">
        <v>1899</v>
      </c>
      <c r="D926" s="6" t="str">
        <f>IF(OR(PROPER(TRIM(Raw_Data!D926))="Uk",PROPER(TRIM(Raw_Data!D926))="Gb",PROPER(TRIM(Raw_Data!D926))="United kingdom"),"United Kingdom",PROPER(TRIM(Raw_Data!D926)))</f>
        <v>Ireland</v>
      </c>
      <c r="E926" s="6" t="s">
        <v>46</v>
      </c>
      <c r="F926" s="6" t="s">
        <v>47</v>
      </c>
      <c r="G926" s="6" t="str">
        <f>SUBSTITUTE(Raw_Data!G926,"Ã©","é")</f>
        <v>Fell Runner Cap</v>
      </c>
      <c r="H926" s="6">
        <v>1</v>
      </c>
      <c r="I926" s="6" t="s">
        <v>79</v>
      </c>
      <c r="J926" s="6" t="s">
        <v>79</v>
      </c>
      <c r="K926" s="6">
        <v>8.5000000000000006E-2</v>
      </c>
      <c r="L926" s="6" t="s">
        <v>42</v>
      </c>
      <c r="M926" s="6" t="s">
        <v>34</v>
      </c>
      <c r="N926" s="6"/>
    </row>
    <row r="927" spans="1:14">
      <c r="A927" s="6" t="s">
        <v>1900</v>
      </c>
      <c r="B927" s="7">
        <v>46357</v>
      </c>
      <c r="C927" s="6" t="s">
        <v>1901</v>
      </c>
      <c r="D927" s="6" t="str">
        <f>IF(OR(PROPER(TRIM(Raw_Data!D927))="Uk",PROPER(TRIM(Raw_Data!D927))="Gb",PROPER(TRIM(Raw_Data!D927))="United kingdom"),"United Kingdom",PROPER(TRIM(Raw_Data!D927)))</f>
        <v>United Kingdom</v>
      </c>
      <c r="E927" s="6" t="s">
        <v>52</v>
      </c>
      <c r="F927" s="6" t="s">
        <v>94</v>
      </c>
      <c r="G927" s="6" t="str">
        <f>SUBSTITUTE(Raw_Data!G927,"Ã©","é")</f>
        <v>Trail Softshell</v>
      </c>
      <c r="H927" s="6">
        <v>3</v>
      </c>
      <c r="I927" s="6" t="s">
        <v>79</v>
      </c>
      <c r="J927" s="6" t="s">
        <v>216</v>
      </c>
      <c r="K927" s="6">
        <v>0.34</v>
      </c>
      <c r="L927" s="6" t="s">
        <v>42</v>
      </c>
      <c r="M927" s="6" t="s">
        <v>34</v>
      </c>
      <c r="N927" s="6"/>
    </row>
    <row r="928" spans="1:14">
      <c r="A928" s="6" t="s">
        <v>1902</v>
      </c>
      <c r="B928" s="7">
        <v>46207</v>
      </c>
      <c r="C928" s="6" t="s">
        <v>841</v>
      </c>
      <c r="D928" s="6" t="str">
        <f>IF(OR(PROPER(TRIM(Raw_Data!D928))="Uk",PROPER(TRIM(Raw_Data!D928))="Gb",PROPER(TRIM(Raw_Data!D928))="United kingdom"),"United Kingdom",PROPER(TRIM(Raw_Data!D928)))</f>
        <v>United Kingdom</v>
      </c>
      <c r="E928" s="6" t="s">
        <v>52</v>
      </c>
      <c r="F928" s="6" t="s">
        <v>38</v>
      </c>
      <c r="G928" s="6" t="str">
        <f>SUBSTITUTE(Raw_Data!G928,"Ã©","é")</f>
        <v>Trekking Poles</v>
      </c>
      <c r="H928" s="6">
        <v>2</v>
      </c>
      <c r="I928" s="6" t="s">
        <v>82</v>
      </c>
      <c r="J928" s="6" t="s">
        <v>297</v>
      </c>
      <c r="K928" s="6">
        <v>0.52</v>
      </c>
      <c r="L928" s="6" t="s">
        <v>42</v>
      </c>
      <c r="M928" s="6" t="s">
        <v>69</v>
      </c>
      <c r="N928" s="6"/>
    </row>
    <row r="929" spans="1:14">
      <c r="A929" s="6" t="s">
        <v>1903</v>
      </c>
      <c r="B929" s="7">
        <v>46052</v>
      </c>
      <c r="C929" s="6" t="s">
        <v>794</v>
      </c>
      <c r="D929" s="6" t="str">
        <f>IF(OR(PROPER(TRIM(Raw_Data!D929))="Uk",PROPER(TRIM(Raw_Data!D929))="Gb",PROPER(TRIM(Raw_Data!D929))="United kingdom"),"United Kingdom",PROPER(TRIM(Raw_Data!D929)))</f>
        <v>United Kingdom</v>
      </c>
      <c r="E929" s="6" t="s">
        <v>78</v>
      </c>
      <c r="F929" s="6" t="s">
        <v>38</v>
      </c>
      <c r="G929" s="6" t="str">
        <f>SUBSTITUTE(Raw_Data!G929,"Ã©","é")</f>
        <v>Summit Down Gilet</v>
      </c>
      <c r="H929" s="6">
        <v>2</v>
      </c>
      <c r="I929" s="6" t="s">
        <v>265</v>
      </c>
      <c r="J929" s="6" t="s">
        <v>167</v>
      </c>
      <c r="K929" s="6">
        <v>0.52</v>
      </c>
      <c r="L929" s="6" t="s">
        <v>42</v>
      </c>
      <c r="M929" s="6" t="s">
        <v>34</v>
      </c>
      <c r="N929" s="6"/>
    </row>
    <row r="930" spans="1:14">
      <c r="A930" s="6" t="s">
        <v>1904</v>
      </c>
      <c r="B930" s="7">
        <v>46055</v>
      </c>
      <c r="C930" s="6" t="s">
        <v>737</v>
      </c>
      <c r="D930" s="6" t="str">
        <f>IF(OR(PROPER(TRIM(Raw_Data!D930))="Uk",PROPER(TRIM(Raw_Data!D930))="Gb",PROPER(TRIM(Raw_Data!D930))="United kingdom"),"United Kingdom",PROPER(TRIM(Raw_Data!D930)))</f>
        <v>United Kingdom</v>
      </c>
      <c r="E930" s="6" t="s">
        <v>46</v>
      </c>
      <c r="F930" s="6" t="s">
        <v>94</v>
      </c>
      <c r="G930" s="6" t="str">
        <f>SUBSTITUTE(Raw_Data!G930,"Ã©","é")</f>
        <v>Café Latte Mug</v>
      </c>
      <c r="H930" s="6">
        <v>1</v>
      </c>
      <c r="I930" s="6" t="s">
        <v>1430</v>
      </c>
      <c r="J930" s="6" t="s">
        <v>143</v>
      </c>
      <c r="K930" s="6">
        <v>0.34</v>
      </c>
      <c r="L930" s="6" t="s">
        <v>42</v>
      </c>
      <c r="M930" s="6" t="s">
        <v>34</v>
      </c>
      <c r="N930" s="6"/>
    </row>
    <row r="931" spans="1:14">
      <c r="A931" s="6" t="s">
        <v>1905</v>
      </c>
      <c r="B931" s="7">
        <v>46175</v>
      </c>
      <c r="C931" s="6" t="s">
        <v>1070</v>
      </c>
      <c r="D931" s="6" t="str">
        <f>IF(OR(PROPER(TRIM(Raw_Data!D931))="Uk",PROPER(TRIM(Raw_Data!D931))="Gb",PROPER(TRIM(Raw_Data!D931))="United kingdom"),"United Kingdom",PROPER(TRIM(Raw_Data!D931)))</f>
        <v>Ireland</v>
      </c>
      <c r="E931" s="6" t="s">
        <v>78</v>
      </c>
      <c r="F931" s="6" t="s">
        <v>29</v>
      </c>
      <c r="G931" s="6" t="str">
        <f>SUBSTITUTE(Raw_Data!G931,"Ã©","é")</f>
        <v>Fell Runner Cap</v>
      </c>
      <c r="H931" s="6">
        <v>1</v>
      </c>
      <c r="I931" s="6" t="s">
        <v>117</v>
      </c>
      <c r="J931" s="6" t="s">
        <v>117</v>
      </c>
      <c r="K931" s="6">
        <v>0.52</v>
      </c>
      <c r="L931" s="6" t="s">
        <v>42</v>
      </c>
      <c r="M931" s="6" t="s">
        <v>34</v>
      </c>
      <c r="N931" s="6"/>
    </row>
    <row r="932" spans="1:14">
      <c r="A932" s="6" t="s">
        <v>1906</v>
      </c>
      <c r="B932" s="7">
        <v>46192</v>
      </c>
      <c r="C932" s="6" t="s">
        <v>1907</v>
      </c>
      <c r="D932" s="6" t="str">
        <f>IF(OR(PROPER(TRIM(Raw_Data!D932))="Uk",PROPER(TRIM(Raw_Data!D932))="Gb",PROPER(TRIM(Raw_Data!D932))="United kingdom"),"United Kingdom",PROPER(TRIM(Raw_Data!D932)))</f>
        <v>France</v>
      </c>
      <c r="E932" s="6" t="s">
        <v>28</v>
      </c>
      <c r="F932" s="6" t="s">
        <v>38</v>
      </c>
      <c r="G932" s="6" t="str">
        <f>SUBSTITUTE(Raw_Data!G932,"Ã©","é")</f>
        <v>Café Latte Mug</v>
      </c>
      <c r="H932" s="6">
        <v>3</v>
      </c>
      <c r="I932" s="6" t="s">
        <v>117</v>
      </c>
      <c r="J932" s="6" t="s">
        <v>171</v>
      </c>
      <c r="K932" s="6">
        <v>0.52</v>
      </c>
      <c r="L932" s="6" t="s">
        <v>42</v>
      </c>
      <c r="M932" s="6" t="s">
        <v>34</v>
      </c>
      <c r="N932" s="6"/>
    </row>
    <row r="933" spans="1:14">
      <c r="A933" s="6" t="s">
        <v>1908</v>
      </c>
      <c r="B933" s="7">
        <v>46196</v>
      </c>
      <c r="C933" s="6" t="s">
        <v>1909</v>
      </c>
      <c r="D933" s="6" t="str">
        <f>IF(OR(PROPER(TRIM(Raw_Data!D933))="Uk",PROPER(TRIM(Raw_Data!D933))="Gb",PROPER(TRIM(Raw_Data!D933))="United kingdom"),"United Kingdom",PROPER(TRIM(Raw_Data!D933)))</f>
        <v>Ireland</v>
      </c>
      <c r="E933" s="6" t="s">
        <v>78</v>
      </c>
      <c r="F933" s="6" t="s">
        <v>53</v>
      </c>
      <c r="G933" s="6" t="str">
        <f>SUBSTITUTE(Raw_Data!G933,"Ã©","é")</f>
        <v>Trail Softshell</v>
      </c>
      <c r="H933" s="6">
        <v>1</v>
      </c>
      <c r="I933" s="6" t="s">
        <v>143</v>
      </c>
      <c r="J933" s="6" t="s">
        <v>143</v>
      </c>
      <c r="K933" s="6">
        <v>0.19</v>
      </c>
      <c r="L933" s="6" t="s">
        <v>42</v>
      </c>
      <c r="M933" s="6" t="s">
        <v>34</v>
      </c>
      <c r="N933" s="6"/>
    </row>
    <row r="934" spans="1:14">
      <c r="A934" s="6" t="s">
        <v>1910</v>
      </c>
      <c r="B934" s="7">
        <v>46142</v>
      </c>
      <c r="C934" s="6" t="s">
        <v>1742</v>
      </c>
      <c r="D934" s="6" t="str">
        <f>IF(OR(PROPER(TRIM(Raw_Data!D934))="Uk",PROPER(TRIM(Raw_Data!D934))="Gb",PROPER(TRIM(Raw_Data!D934))="United kingdom"),"United Kingdom",PROPER(TRIM(Raw_Data!D934)))</f>
        <v>France</v>
      </c>
      <c r="E934" s="6" t="s">
        <v>28</v>
      </c>
      <c r="F934" s="6" t="s">
        <v>47</v>
      </c>
      <c r="G934" s="6" t="str">
        <f>SUBSTITUTE(Raw_Data!G934,"Ã©","é")</f>
        <v>Trail Softshell</v>
      </c>
      <c r="H934" s="6">
        <v>2</v>
      </c>
      <c r="I934" s="6" t="s">
        <v>143</v>
      </c>
      <c r="J934" s="6" t="s">
        <v>144</v>
      </c>
      <c r="K934" s="6">
        <v>8.5000000000000006E-2</v>
      </c>
      <c r="L934" s="6" t="s">
        <v>42</v>
      </c>
      <c r="M934" s="6" t="s">
        <v>34</v>
      </c>
      <c r="N934" s="6"/>
    </row>
    <row r="935" spans="1:14">
      <c r="A935" s="6" t="s">
        <v>1912</v>
      </c>
      <c r="B935" s="7">
        <v>46038</v>
      </c>
      <c r="C935" s="6" t="s">
        <v>1446</v>
      </c>
      <c r="D935" s="6" t="str">
        <f>IF(OR(PROPER(TRIM(Raw_Data!D935))="Uk",PROPER(TRIM(Raw_Data!D935))="Gb",PROPER(TRIM(Raw_Data!D935))="United kingdom"),"United Kingdom",PROPER(TRIM(Raw_Data!D935)))</f>
        <v>Ireland</v>
      </c>
      <c r="E935" s="6" t="s">
        <v>46</v>
      </c>
      <c r="F935" s="6" t="s">
        <v>58</v>
      </c>
      <c r="G935" s="6" t="str">
        <f>SUBSTITUTE(Raw_Data!G935,"Ã©","é")</f>
        <v>Café Latte Mug</v>
      </c>
      <c r="H935" s="6">
        <v>-3</v>
      </c>
      <c r="I935" s="6" t="s">
        <v>113</v>
      </c>
      <c r="J935" s="8" t="s">
        <v>1913</v>
      </c>
      <c r="K935" s="6">
        <v>0.38</v>
      </c>
      <c r="L935" s="6" t="s">
        <v>42</v>
      </c>
      <c r="M935" s="6" t="s">
        <v>69</v>
      </c>
      <c r="N935" s="6"/>
    </row>
    <row r="936" spans="1:14">
      <c r="A936" s="6" t="s">
        <v>1914</v>
      </c>
      <c r="B936" s="7">
        <v>46239</v>
      </c>
      <c r="C936" s="6" t="s">
        <v>1242</v>
      </c>
      <c r="D936" s="6" t="str">
        <f>IF(OR(PROPER(TRIM(Raw_Data!D936))="Uk",PROPER(TRIM(Raw_Data!D936))="Gb",PROPER(TRIM(Raw_Data!D936))="United kingdom"),"United Kingdom",PROPER(TRIM(Raw_Data!D936)))</f>
        <v>United Kingdom</v>
      </c>
      <c r="E936" s="6" t="s">
        <v>37</v>
      </c>
      <c r="F936" s="6" t="s">
        <v>100</v>
      </c>
      <c r="G936" s="6" t="str">
        <f>SUBSTITUTE(Raw_Data!G936,"Ã©","é")</f>
        <v>Trekking Poles</v>
      </c>
      <c r="H936" s="6">
        <v>1</v>
      </c>
      <c r="I936" s="6" t="s">
        <v>67</v>
      </c>
      <c r="J936" s="6" t="s">
        <v>67</v>
      </c>
      <c r="K936" s="6">
        <v>0.64</v>
      </c>
      <c r="L936" s="6" t="s">
        <v>42</v>
      </c>
      <c r="M936" s="6" t="s">
        <v>34</v>
      </c>
      <c r="N936" s="6"/>
    </row>
    <row r="937" spans="1:14">
      <c r="A937" s="6" t="s">
        <v>1915</v>
      </c>
      <c r="B937" s="7">
        <v>46069</v>
      </c>
      <c r="C937" s="6" t="s">
        <v>967</v>
      </c>
      <c r="D937" s="6" t="str">
        <f>IF(OR(PROPER(TRIM(Raw_Data!D937))="Uk",PROPER(TRIM(Raw_Data!D937))="Gb",PROPER(TRIM(Raw_Data!D937))="United kingdom"),"United Kingdom",PROPER(TRIM(Raw_Data!D937)))</f>
        <v>United Kingdom</v>
      </c>
      <c r="E937" s="6" t="s">
        <v>37</v>
      </c>
      <c r="F937" s="6" t="s">
        <v>53</v>
      </c>
      <c r="G937" s="6" t="str">
        <f>SUBSTITUTE(Raw_Data!G937,"Ã©","é")</f>
        <v>Trail Softshell</v>
      </c>
      <c r="H937" s="6">
        <v>-3</v>
      </c>
      <c r="I937" s="6" t="s">
        <v>143</v>
      </c>
      <c r="J937" s="8" t="s">
        <v>1916</v>
      </c>
      <c r="K937" s="6">
        <v>0.19</v>
      </c>
      <c r="L937" s="6" t="s">
        <v>42</v>
      </c>
      <c r="M937" s="6" t="s">
        <v>34</v>
      </c>
      <c r="N937" s="6"/>
    </row>
    <row r="938" spans="1:14">
      <c r="A938" s="6" t="s">
        <v>1917</v>
      </c>
      <c r="B938" s="7">
        <v>46069</v>
      </c>
      <c r="C938" s="6" t="s">
        <v>1919</v>
      </c>
      <c r="D938" s="6" t="str">
        <f>IF(OR(PROPER(TRIM(Raw_Data!D938))="Uk",PROPER(TRIM(Raw_Data!D938))="Gb",PROPER(TRIM(Raw_Data!D938))="United kingdom"),"United Kingdom",PROPER(TRIM(Raw_Data!D938)))</f>
        <v>Ireland</v>
      </c>
      <c r="E938" s="6" t="s">
        <v>78</v>
      </c>
      <c r="F938" s="6" t="s">
        <v>85</v>
      </c>
      <c r="G938" s="6" t="str">
        <f>SUBSTITUTE(Raw_Data!G938,"Ã©","é")</f>
        <v>Merino Base Layer</v>
      </c>
      <c r="H938" s="6">
        <v>1</v>
      </c>
      <c r="I938" s="6" t="s">
        <v>143</v>
      </c>
      <c r="J938" s="6" t="s">
        <v>143</v>
      </c>
      <c r="K938" s="6">
        <v>0.41</v>
      </c>
      <c r="L938" s="6" t="s">
        <v>42</v>
      </c>
      <c r="M938" s="6" t="s">
        <v>34</v>
      </c>
      <c r="N938" s="6"/>
    </row>
    <row r="939" spans="1:14">
      <c r="A939" s="6" t="s">
        <v>1920</v>
      </c>
      <c r="B939" s="7">
        <v>46188</v>
      </c>
      <c r="C939" s="6" t="s">
        <v>1921</v>
      </c>
      <c r="D939" s="6" t="str">
        <f>IF(OR(PROPER(TRIM(Raw_Data!D939))="Uk",PROPER(TRIM(Raw_Data!D939))="Gb",PROPER(TRIM(Raw_Data!D939))="United kingdom"),"United Kingdom",PROPER(TRIM(Raw_Data!D939)))</f>
        <v>United Kingdom</v>
      </c>
      <c r="E939" s="6" t="s">
        <v>37</v>
      </c>
      <c r="F939" s="6" t="s">
        <v>38</v>
      </c>
      <c r="G939" s="6" t="str">
        <f>SUBSTITUTE(Raw_Data!G939,"Ã©","é")</f>
        <v>Fell Runner Cap</v>
      </c>
      <c r="H939" s="6">
        <v>1</v>
      </c>
      <c r="I939" s="6" t="s">
        <v>147</v>
      </c>
      <c r="J939" s="6" t="s">
        <v>147</v>
      </c>
      <c r="K939" s="6">
        <v>0.52</v>
      </c>
      <c r="L939" s="6" t="s">
        <v>42</v>
      </c>
      <c r="M939" s="6" t="s">
        <v>34</v>
      </c>
      <c r="N939" s="6"/>
    </row>
    <row r="940" spans="1:14">
      <c r="A940" s="6" t="s">
        <v>1922</v>
      </c>
      <c r="B940" s="7">
        <v>46299</v>
      </c>
      <c r="C940" s="6" t="s">
        <v>1923</v>
      </c>
      <c r="D940" s="6" t="str">
        <f>IF(OR(PROPER(TRIM(Raw_Data!D940))="Uk",PROPER(TRIM(Raw_Data!D940))="Gb",PROPER(TRIM(Raw_Data!D940))="United kingdom"),"United Kingdom",PROPER(TRIM(Raw_Data!D940)))</f>
        <v>United Kingdom</v>
      </c>
      <c r="E940" s="6" t="s">
        <v>78</v>
      </c>
      <c r="F940" s="6" t="s">
        <v>47</v>
      </c>
      <c r="G940" s="6" t="str">
        <f>SUBSTITUTE(Raw_Data!G940,"Ã©","é")</f>
        <v>Summit Down Gilet</v>
      </c>
      <c r="H940" s="6">
        <v>1</v>
      </c>
      <c r="I940" s="6" t="s">
        <v>67</v>
      </c>
      <c r="J940" s="6" t="s">
        <v>67</v>
      </c>
      <c r="K940" s="6">
        <v>8.5000000000000006E-2</v>
      </c>
      <c r="L940" s="6" t="s">
        <v>42</v>
      </c>
      <c r="M940" s="6" t="s">
        <v>69</v>
      </c>
      <c r="N940" s="6"/>
    </row>
    <row r="941" spans="1:14">
      <c r="A941" s="6" t="s">
        <v>1924</v>
      </c>
      <c r="B941" s="7">
        <v>46099</v>
      </c>
      <c r="C941" s="6" t="s">
        <v>1925</v>
      </c>
      <c r="D941" s="6" t="str">
        <f>IF(OR(PROPER(TRIM(Raw_Data!D941))="Uk",PROPER(TRIM(Raw_Data!D941))="Gb",PROPER(TRIM(Raw_Data!D941))="United kingdom"),"United Kingdom",PROPER(TRIM(Raw_Data!D941)))</f>
        <v>United Kingdom</v>
      </c>
      <c r="E941" s="6" t="s">
        <v>28</v>
      </c>
      <c r="F941" s="6" t="s">
        <v>58</v>
      </c>
      <c r="G941" s="6" t="str">
        <f>SUBSTITUTE(Raw_Data!G941,"Ã©","é")</f>
        <v>Alpine Jacket</v>
      </c>
      <c r="H941" s="6">
        <v>1</v>
      </c>
      <c r="I941" s="6" t="s">
        <v>31</v>
      </c>
      <c r="J941" s="6" t="s">
        <v>31</v>
      </c>
      <c r="K941" s="6">
        <v>0.38</v>
      </c>
      <c r="L941" s="6" t="s">
        <v>42</v>
      </c>
      <c r="M941" s="6" t="s">
        <v>34</v>
      </c>
      <c r="N941" s="6"/>
    </row>
    <row r="942" spans="1:14">
      <c r="A942" s="6" t="s">
        <v>1926</v>
      </c>
      <c r="B942" s="7">
        <v>46271</v>
      </c>
      <c r="C942" s="6" t="s">
        <v>771</v>
      </c>
      <c r="D942" s="6" t="str">
        <f>IF(OR(PROPER(TRIM(Raw_Data!D942))="Uk",PROPER(TRIM(Raw_Data!D942))="Gb",PROPER(TRIM(Raw_Data!D942))="United kingdom"),"United Kingdom",PROPER(TRIM(Raw_Data!D942)))</f>
        <v>France</v>
      </c>
      <c r="E942" s="6" t="s">
        <v>28</v>
      </c>
      <c r="F942" s="6" t="s">
        <v>94</v>
      </c>
      <c r="G942" s="6" t="str">
        <f>SUBSTITUTE(Raw_Data!G942,"Ã©","é")</f>
        <v>Merino Base Layer</v>
      </c>
      <c r="H942" s="6">
        <v>2</v>
      </c>
      <c r="I942" s="6" t="s">
        <v>265</v>
      </c>
      <c r="J942" s="6" t="s">
        <v>167</v>
      </c>
      <c r="K942" s="6">
        <v>0.34</v>
      </c>
      <c r="L942" s="6" t="s">
        <v>42</v>
      </c>
      <c r="M942" s="6" t="s">
        <v>34</v>
      </c>
      <c r="N942" s="6"/>
    </row>
    <row r="943" spans="1:14">
      <c r="A943" s="6" t="s">
        <v>1927</v>
      </c>
      <c r="B943" s="7">
        <v>46173</v>
      </c>
      <c r="C943" s="6" t="s">
        <v>626</v>
      </c>
      <c r="D943" s="6" t="str">
        <f>IF(OR(PROPER(TRIM(Raw_Data!D943))="Uk",PROPER(TRIM(Raw_Data!D943))="Gb",PROPER(TRIM(Raw_Data!D943))="United kingdom"),"United Kingdom",PROPER(TRIM(Raw_Data!D943)))</f>
        <v>Ireland</v>
      </c>
      <c r="E943" s="6" t="s">
        <v>46</v>
      </c>
      <c r="F943" s="6" t="s">
        <v>38</v>
      </c>
      <c r="G943" s="6" t="str">
        <f>SUBSTITUTE(Raw_Data!G943,"Ã©","é")</f>
        <v>Storm Overtrousers</v>
      </c>
      <c r="H943" s="6">
        <v>1</v>
      </c>
      <c r="I943" s="6" t="s">
        <v>90</v>
      </c>
      <c r="J943" s="6" t="s">
        <v>90</v>
      </c>
      <c r="K943" s="6">
        <v>0.52</v>
      </c>
      <c r="L943" s="6" t="s">
        <v>42</v>
      </c>
      <c r="M943" s="6" t="s">
        <v>34</v>
      </c>
      <c r="N943" s="6"/>
    </row>
    <row r="944" spans="1:14">
      <c r="A944" s="6" t="s">
        <v>1928</v>
      </c>
      <c r="B944" s="7">
        <v>46134</v>
      </c>
      <c r="C944" s="6" t="s">
        <v>1929</v>
      </c>
      <c r="D944" s="6" t="str">
        <f>IF(OR(PROPER(TRIM(Raw_Data!D944))="Uk",PROPER(TRIM(Raw_Data!D944))="Gb",PROPER(TRIM(Raw_Data!D944))="United kingdom"),"United Kingdom",PROPER(TRIM(Raw_Data!D944)))</f>
        <v>United Kingdom</v>
      </c>
      <c r="E944" s="6" t="s">
        <v>37</v>
      </c>
      <c r="F944" s="6" t="s">
        <v>85</v>
      </c>
      <c r="G944" s="6" t="str">
        <f>SUBSTITUTE(Raw_Data!G944,"Ã©","é")</f>
        <v>Trail Softshell</v>
      </c>
      <c r="H944" s="6">
        <v>1</v>
      </c>
      <c r="I944" s="6" t="s">
        <v>265</v>
      </c>
      <c r="J944" s="6" t="s">
        <v>265</v>
      </c>
      <c r="K944" s="6">
        <v>0.41</v>
      </c>
      <c r="L944" s="6" t="s">
        <v>42</v>
      </c>
      <c r="M944" s="6" t="s">
        <v>69</v>
      </c>
      <c r="N944" s="6"/>
    </row>
    <row r="945" spans="1:14">
      <c r="A945" s="6" t="s">
        <v>1930</v>
      </c>
      <c r="B945" s="7">
        <v>46118</v>
      </c>
      <c r="C945" s="6" t="s">
        <v>1931</v>
      </c>
      <c r="D945" s="6" t="str">
        <f>IF(OR(PROPER(TRIM(Raw_Data!D945))="Uk",PROPER(TRIM(Raw_Data!D945))="Gb",PROPER(TRIM(Raw_Data!D945))="United kingdom"),"United Kingdom",PROPER(TRIM(Raw_Data!D945)))</f>
        <v>Ireland</v>
      </c>
      <c r="E945" s="6" t="s">
        <v>78</v>
      </c>
      <c r="F945" s="6" t="s">
        <v>94</v>
      </c>
      <c r="G945" s="6" t="str">
        <f>SUBSTITUTE(Raw_Data!G945,"Ã©","é")</f>
        <v>Fell Runner Cap</v>
      </c>
      <c r="H945" s="6">
        <v>2</v>
      </c>
      <c r="I945" s="6" t="s">
        <v>113</v>
      </c>
      <c r="J945" s="6" t="s">
        <v>192</v>
      </c>
      <c r="K945" s="6">
        <v>0.34</v>
      </c>
      <c r="L945" s="6" t="s">
        <v>42</v>
      </c>
      <c r="M945" s="6" t="s">
        <v>69</v>
      </c>
      <c r="N945" s="6"/>
    </row>
    <row r="946" spans="1:14">
      <c r="A946" s="6" t="s">
        <v>1932</v>
      </c>
      <c r="B946" s="7">
        <v>46066</v>
      </c>
      <c r="C946" s="6" t="s">
        <v>951</v>
      </c>
      <c r="D946" s="6" t="str">
        <f>IF(OR(PROPER(TRIM(Raw_Data!D946))="Uk",PROPER(TRIM(Raw_Data!D946))="Gb",PROPER(TRIM(Raw_Data!D946))="United kingdom"),"United Kingdom",PROPER(TRIM(Raw_Data!D946)))</f>
        <v>United Kingdom</v>
      </c>
      <c r="E946" s="6" t="s">
        <v>52</v>
      </c>
      <c r="F946" s="6" t="s">
        <v>94</v>
      </c>
      <c r="G946" s="6" t="str">
        <f>SUBSTITUTE(Raw_Data!G946,"Ã©","é")</f>
        <v>Summit Down Gilet</v>
      </c>
      <c r="H946" s="6">
        <v>2</v>
      </c>
      <c r="I946" s="6" t="s">
        <v>31</v>
      </c>
      <c r="J946" s="6" t="s">
        <v>249</v>
      </c>
      <c r="K946" s="6">
        <v>0.34</v>
      </c>
      <c r="L946" s="6" t="s">
        <v>42</v>
      </c>
      <c r="M946" s="6" t="s">
        <v>34</v>
      </c>
      <c r="N946" s="6"/>
    </row>
    <row r="947" spans="1:14">
      <c r="A947" s="6" t="s">
        <v>1933</v>
      </c>
      <c r="B947" s="7">
        <v>46116</v>
      </c>
      <c r="C947" s="6" t="s">
        <v>1678</v>
      </c>
      <c r="D947" s="6" t="str">
        <f>IF(OR(PROPER(TRIM(Raw_Data!D947))="Uk",PROPER(TRIM(Raw_Data!D947))="Gb",PROPER(TRIM(Raw_Data!D947))="United kingdom"),"United Kingdom",PROPER(TRIM(Raw_Data!D947)))</f>
        <v>Germany</v>
      </c>
      <c r="E947" s="6" t="s">
        <v>28</v>
      </c>
      <c r="F947" s="6" t="s">
        <v>58</v>
      </c>
      <c r="G947" s="6" t="str">
        <f>SUBSTITUTE(Raw_Data!G947,"Ã©","é")</f>
        <v>Café Latte Mug</v>
      </c>
      <c r="H947" s="6">
        <v>3</v>
      </c>
      <c r="I947" s="6" t="s">
        <v>147</v>
      </c>
      <c r="J947" s="6" t="s">
        <v>148</v>
      </c>
      <c r="K947" s="6">
        <v>0.38</v>
      </c>
      <c r="L947" s="6" t="s">
        <v>42</v>
      </c>
      <c r="M947" s="6" t="s">
        <v>34</v>
      </c>
      <c r="N947" s="6"/>
    </row>
    <row r="948" spans="1:14">
      <c r="A948" s="6" t="s">
        <v>1934</v>
      </c>
      <c r="B948" s="7">
        <v>46106</v>
      </c>
      <c r="C948" s="6" t="s">
        <v>1935</v>
      </c>
      <c r="D948" s="6" t="str">
        <f>IF(OR(PROPER(TRIM(Raw_Data!D948))="Uk",PROPER(TRIM(Raw_Data!D948))="Gb",PROPER(TRIM(Raw_Data!D948))="United kingdom"),"United Kingdom",PROPER(TRIM(Raw_Data!D948)))</f>
        <v>United Kingdom</v>
      </c>
      <c r="E948" s="6" t="s">
        <v>78</v>
      </c>
      <c r="F948" s="6" t="s">
        <v>85</v>
      </c>
      <c r="G948" s="6" t="str">
        <f>SUBSTITUTE(Raw_Data!G948,"Ã©","é")</f>
        <v>Trail Softshell</v>
      </c>
      <c r="H948" s="6">
        <v>-2</v>
      </c>
      <c r="I948" s="6" t="s">
        <v>265</v>
      </c>
      <c r="J948" s="8" t="s">
        <v>778</v>
      </c>
      <c r="K948" s="6">
        <v>0.41</v>
      </c>
      <c r="L948" s="6" t="s">
        <v>42</v>
      </c>
      <c r="M948" s="6" t="s">
        <v>69</v>
      </c>
      <c r="N948" s="6"/>
    </row>
    <row r="949" spans="1:14">
      <c r="A949" s="6" t="s">
        <v>1936</v>
      </c>
      <c r="B949" s="7">
        <v>46168</v>
      </c>
      <c r="C949" s="6" t="s">
        <v>1386</v>
      </c>
      <c r="D949" s="6" t="str">
        <f>IF(OR(PROPER(TRIM(Raw_Data!D949))="Uk",PROPER(TRIM(Raw_Data!D949))="Gb",PROPER(TRIM(Raw_Data!D949))="United kingdom"),"United Kingdom",PROPER(TRIM(Raw_Data!D949)))</f>
        <v>United Kingdom</v>
      </c>
      <c r="E949" s="6" t="s">
        <v>46</v>
      </c>
      <c r="F949" s="6" t="s">
        <v>38</v>
      </c>
      <c r="G949" s="6" t="str">
        <f>SUBSTITUTE(Raw_Data!G949,"Ã©","é")</f>
        <v>Storm Overtrousers</v>
      </c>
      <c r="H949" s="6">
        <v>1</v>
      </c>
      <c r="I949" s="6" t="s">
        <v>90</v>
      </c>
      <c r="J949" s="6" t="s">
        <v>90</v>
      </c>
      <c r="K949" s="6">
        <v>0.52</v>
      </c>
      <c r="L949" s="6" t="s">
        <v>33</v>
      </c>
      <c r="M949" s="6" t="s">
        <v>69</v>
      </c>
      <c r="N949" s="6"/>
    </row>
    <row r="950" spans="1:14">
      <c r="A950" s="6" t="s">
        <v>1938</v>
      </c>
      <c r="B950" s="7">
        <v>46360</v>
      </c>
      <c r="C950" s="6" t="s">
        <v>754</v>
      </c>
      <c r="D950" s="6" t="str">
        <f>IF(OR(PROPER(TRIM(Raw_Data!D950))="Uk",PROPER(TRIM(Raw_Data!D950))="Gb",PROPER(TRIM(Raw_Data!D950))="United kingdom"),"United Kingdom",PROPER(TRIM(Raw_Data!D950)))</f>
        <v>Ireland</v>
      </c>
      <c r="E950" s="6" t="s">
        <v>78</v>
      </c>
      <c r="F950" s="6" t="s">
        <v>29</v>
      </c>
      <c r="G950" s="6" t="str">
        <f>SUBSTITUTE(Raw_Data!G950,"Ã©","é")</f>
        <v>Café Latte Mug</v>
      </c>
      <c r="H950" s="6">
        <v>2</v>
      </c>
      <c r="I950" s="6" t="s">
        <v>31</v>
      </c>
      <c r="J950" s="6" t="s">
        <v>249</v>
      </c>
      <c r="K950" s="6">
        <v>0.52</v>
      </c>
      <c r="L950" s="6" t="s">
        <v>42</v>
      </c>
      <c r="M950" s="6" t="s">
        <v>34</v>
      </c>
      <c r="N950" s="6"/>
    </row>
    <row r="951" spans="1:14">
      <c r="A951" s="6" t="s">
        <v>1939</v>
      </c>
      <c r="B951" s="7">
        <v>46108</v>
      </c>
      <c r="C951" s="6" t="s">
        <v>1940</v>
      </c>
      <c r="D951" s="6" t="str">
        <f>IF(OR(PROPER(TRIM(Raw_Data!D951))="Uk",PROPER(TRIM(Raw_Data!D951))="Gb",PROPER(TRIM(Raw_Data!D951))="United kingdom"),"United Kingdom",PROPER(TRIM(Raw_Data!D951)))</f>
        <v>Ireland</v>
      </c>
      <c r="E951" s="6" t="s">
        <v>46</v>
      </c>
      <c r="F951" s="6" t="s">
        <v>94</v>
      </c>
      <c r="G951" s="6" t="str">
        <f>SUBSTITUTE(Raw_Data!G951,"Ã©","é")</f>
        <v>Café Latte Mug</v>
      </c>
      <c r="H951" s="6">
        <v>1</v>
      </c>
      <c r="I951" s="6" t="s">
        <v>79</v>
      </c>
      <c r="J951" s="6" t="s">
        <v>79</v>
      </c>
      <c r="K951" s="6">
        <v>0.34</v>
      </c>
      <c r="L951" s="6" t="s">
        <v>33</v>
      </c>
      <c r="M951" s="6" t="s">
        <v>34</v>
      </c>
      <c r="N951" s="6"/>
    </row>
    <row r="952" spans="1:14">
      <c r="A952" s="6" t="s">
        <v>1941</v>
      </c>
      <c r="B952" s="7">
        <v>46171</v>
      </c>
      <c r="C952" s="6" t="s">
        <v>1942</v>
      </c>
      <c r="D952" s="6" t="str">
        <f>IF(OR(PROPER(TRIM(Raw_Data!D952))="Uk",PROPER(TRIM(Raw_Data!D952))="Gb",PROPER(TRIM(Raw_Data!D952))="United kingdom"),"United Kingdom",PROPER(TRIM(Raw_Data!D952)))</f>
        <v>United Kingdom</v>
      </c>
      <c r="E952" s="6" t="s">
        <v>78</v>
      </c>
      <c r="F952" s="6" t="s">
        <v>58</v>
      </c>
      <c r="G952" s="6" t="str">
        <f>SUBSTITUTE(Raw_Data!G952,"Ã©","é")</f>
        <v>Summit Down Gilet</v>
      </c>
      <c r="H952" s="6">
        <v>2</v>
      </c>
      <c r="I952" s="6" t="s">
        <v>143</v>
      </c>
      <c r="J952" s="6" t="s">
        <v>144</v>
      </c>
      <c r="K952" s="6">
        <v>0.38</v>
      </c>
      <c r="L952" s="6" t="s">
        <v>42</v>
      </c>
      <c r="M952" s="6" t="s">
        <v>69</v>
      </c>
      <c r="N952" s="6"/>
    </row>
    <row r="953" spans="1:14">
      <c r="A953" s="6" t="s">
        <v>1943</v>
      </c>
      <c r="B953" s="7">
        <v>46033</v>
      </c>
      <c r="C953" s="6" t="s">
        <v>723</v>
      </c>
      <c r="D953" s="6" t="str">
        <f>IF(OR(PROPER(TRIM(Raw_Data!D953))="Uk",PROPER(TRIM(Raw_Data!D953))="Gb",PROPER(TRIM(Raw_Data!D953))="United kingdom"),"United Kingdom",PROPER(TRIM(Raw_Data!D953)))</f>
        <v>United Kingdom</v>
      </c>
      <c r="E953" s="6" t="s">
        <v>37</v>
      </c>
      <c r="F953" s="6" t="s">
        <v>38</v>
      </c>
      <c r="G953" s="6" t="str">
        <f>SUBSTITUTE(Raw_Data!G953,"Ã©","é")</f>
        <v>Storm Overtrousers</v>
      </c>
      <c r="H953" s="6">
        <v>3</v>
      </c>
      <c r="I953" s="6" t="s">
        <v>265</v>
      </c>
      <c r="J953" s="6" t="s">
        <v>401</v>
      </c>
      <c r="K953" s="6">
        <v>0.52</v>
      </c>
      <c r="L953" s="6" t="s">
        <v>33</v>
      </c>
      <c r="M953" s="6" t="s">
        <v>34</v>
      </c>
      <c r="N953" s="6"/>
    </row>
    <row r="954" spans="1:14">
      <c r="A954" s="6" t="s">
        <v>1944</v>
      </c>
      <c r="B954" s="7">
        <v>46164</v>
      </c>
      <c r="C954" s="6" t="s">
        <v>1945</v>
      </c>
      <c r="D954" s="6" t="str">
        <f>IF(OR(PROPER(TRIM(Raw_Data!D954))="Uk",PROPER(TRIM(Raw_Data!D954))="Gb",PROPER(TRIM(Raw_Data!D954))="United kingdom"),"United Kingdom",PROPER(TRIM(Raw_Data!D954)))</f>
        <v>United Kingdom</v>
      </c>
      <c r="E954" s="6" t="s">
        <v>28</v>
      </c>
      <c r="F954" s="6" t="s">
        <v>47</v>
      </c>
      <c r="G954" s="6" t="str">
        <f>SUBSTITUTE(Raw_Data!G954,"Ã©","é")</f>
        <v>Trail Softshell</v>
      </c>
      <c r="H954" s="6">
        <v>1</v>
      </c>
      <c r="I954" s="6" t="s">
        <v>265</v>
      </c>
      <c r="J954" s="6" t="s">
        <v>265</v>
      </c>
      <c r="K954" s="6">
        <v>8.5000000000000006E-2</v>
      </c>
      <c r="L954" s="6" t="s">
        <v>42</v>
      </c>
      <c r="M954" s="6" t="s">
        <v>69</v>
      </c>
      <c r="N954" s="6"/>
    </row>
    <row r="955" spans="1:14">
      <c r="A955" s="6" t="s">
        <v>1946</v>
      </c>
      <c r="B955" s="7">
        <v>46095</v>
      </c>
      <c r="C955" s="6" t="s">
        <v>1221</v>
      </c>
      <c r="D955" s="6" t="str">
        <f>IF(OR(PROPER(TRIM(Raw_Data!D955))="Uk",PROPER(TRIM(Raw_Data!D955))="Gb",PROPER(TRIM(Raw_Data!D955))="United kingdom"),"United Kingdom",PROPER(TRIM(Raw_Data!D955)))</f>
        <v>United Kingdom</v>
      </c>
      <c r="E955" s="6" t="s">
        <v>28</v>
      </c>
      <c r="F955" s="6" t="s">
        <v>47</v>
      </c>
      <c r="G955" s="6" t="str">
        <f>SUBSTITUTE(Raw_Data!G955,"Ã©","é")</f>
        <v>Trekking Poles</v>
      </c>
      <c r="H955" s="6">
        <v>2</v>
      </c>
      <c r="I955" s="6" t="s">
        <v>67</v>
      </c>
      <c r="J955" s="6" t="s">
        <v>204</v>
      </c>
      <c r="K955" s="6">
        <v>8.5000000000000006E-2</v>
      </c>
      <c r="L955" s="6" t="s">
        <v>33</v>
      </c>
      <c r="M955" s="6" t="s">
        <v>34</v>
      </c>
      <c r="N955" s="6"/>
    </row>
    <row r="956" spans="1:14">
      <c r="A956" s="6" t="s">
        <v>1947</v>
      </c>
      <c r="B956" s="7">
        <v>46087</v>
      </c>
      <c r="C956" s="6" t="s">
        <v>1194</v>
      </c>
      <c r="D956" s="6" t="str">
        <f>IF(OR(PROPER(TRIM(Raw_Data!D956))="Uk",PROPER(TRIM(Raw_Data!D956))="Gb",PROPER(TRIM(Raw_Data!D956))="United kingdom"),"United Kingdom",PROPER(TRIM(Raw_Data!D956)))</f>
        <v>United Kingdom</v>
      </c>
      <c r="E956" s="6" t="s">
        <v>46</v>
      </c>
      <c r="F956" s="6" t="s">
        <v>38</v>
      </c>
      <c r="G956" s="6" t="str">
        <f>SUBSTITUTE(Raw_Data!G956,"Ã©","é")</f>
        <v>Café Latte Mug</v>
      </c>
      <c r="H956" s="6">
        <v>2</v>
      </c>
      <c r="I956" s="6" t="s">
        <v>67</v>
      </c>
      <c r="J956" s="6" t="s">
        <v>204</v>
      </c>
      <c r="K956" s="6">
        <v>0.52</v>
      </c>
      <c r="L956" s="6" t="s">
        <v>33</v>
      </c>
      <c r="M956" s="6" t="s">
        <v>69</v>
      </c>
      <c r="N956" s="6"/>
    </row>
    <row r="957" spans="1:14">
      <c r="A957" s="6" t="s">
        <v>1948</v>
      </c>
      <c r="B957" s="7">
        <v>46239</v>
      </c>
      <c r="C957" s="6" t="s">
        <v>1949</v>
      </c>
      <c r="D957" s="6" t="str">
        <f>IF(OR(PROPER(TRIM(Raw_Data!D957))="Uk",PROPER(TRIM(Raw_Data!D957))="Gb",PROPER(TRIM(Raw_Data!D957))="United kingdom"),"United Kingdom",PROPER(TRIM(Raw_Data!D957)))</f>
        <v>United Kingdom</v>
      </c>
      <c r="E957" s="6" t="s">
        <v>37</v>
      </c>
      <c r="F957" s="6" t="s">
        <v>85</v>
      </c>
      <c r="G957" s="6" t="str">
        <f>SUBSTITUTE(Raw_Data!G957,"Ã©","é")</f>
        <v>Summit Down Gilet</v>
      </c>
      <c r="H957" s="6">
        <v>1</v>
      </c>
      <c r="I957" s="6" t="s">
        <v>67</v>
      </c>
      <c r="J957" s="6" t="s">
        <v>67</v>
      </c>
      <c r="K957" s="6">
        <v>0.41</v>
      </c>
      <c r="L957" s="6" t="s">
        <v>33</v>
      </c>
      <c r="M957" s="6" t="s">
        <v>34</v>
      </c>
      <c r="N957" s="6"/>
    </row>
    <row r="958" spans="1:14">
      <c r="A958" s="6" t="s">
        <v>1950</v>
      </c>
      <c r="B958" s="7">
        <v>46209</v>
      </c>
      <c r="C958" s="6" t="s">
        <v>1951</v>
      </c>
      <c r="D958" s="6" t="str">
        <f>IF(OR(PROPER(TRIM(Raw_Data!D958))="Uk",PROPER(TRIM(Raw_Data!D958))="Gb",PROPER(TRIM(Raw_Data!D958))="United kingdom"),"United Kingdom",PROPER(TRIM(Raw_Data!D958)))</f>
        <v>United Kingdom</v>
      </c>
      <c r="E958" s="6" t="s">
        <v>28</v>
      </c>
      <c r="F958" s="6" t="s">
        <v>53</v>
      </c>
      <c r="G958" s="6" t="str">
        <f>SUBSTITUTE(Raw_Data!G958,"Ã©","é")</f>
        <v>Trail Softshell</v>
      </c>
      <c r="H958" s="6">
        <v>1</v>
      </c>
      <c r="I958" s="6" t="s">
        <v>113</v>
      </c>
      <c r="J958" s="6" t="s">
        <v>113</v>
      </c>
      <c r="K958" s="6">
        <v>0.19</v>
      </c>
      <c r="L958" s="6" t="s">
        <v>42</v>
      </c>
      <c r="M958" s="6" t="s">
        <v>69</v>
      </c>
      <c r="N958" s="6"/>
    </row>
    <row r="959" spans="1:14">
      <c r="A959" s="6" t="s">
        <v>1952</v>
      </c>
      <c r="B959" s="7">
        <v>46059</v>
      </c>
      <c r="C959" s="6" t="s">
        <v>1953</v>
      </c>
      <c r="D959" s="6" t="str">
        <f>IF(OR(PROPER(TRIM(Raw_Data!D959))="Uk",PROPER(TRIM(Raw_Data!D959))="Gb",PROPER(TRIM(Raw_Data!D959))="United kingdom"),"United Kingdom",PROPER(TRIM(Raw_Data!D959)))</f>
        <v>United Kingdom</v>
      </c>
      <c r="E959" s="6" t="s">
        <v>37</v>
      </c>
      <c r="F959" s="6" t="s">
        <v>85</v>
      </c>
      <c r="G959" s="6" t="str">
        <f>SUBSTITUTE(Raw_Data!G959,"Ã©","é")</f>
        <v>Fell Runner Cap</v>
      </c>
      <c r="H959" s="6">
        <v>1</v>
      </c>
      <c r="I959" s="6" t="s">
        <v>231</v>
      </c>
      <c r="J959" s="6" t="s">
        <v>231</v>
      </c>
      <c r="K959" s="6">
        <v>0.41</v>
      </c>
      <c r="L959" s="6" t="s">
        <v>42</v>
      </c>
      <c r="M959" s="6" t="s">
        <v>34</v>
      </c>
      <c r="N959" s="6"/>
    </row>
    <row r="960" spans="1:14">
      <c r="A960" s="6" t="s">
        <v>1954</v>
      </c>
      <c r="B960" s="7">
        <v>46046</v>
      </c>
      <c r="C960" s="6" t="s">
        <v>1955</v>
      </c>
      <c r="D960" s="6" t="str">
        <f>IF(OR(PROPER(TRIM(Raw_Data!D960))="Uk",PROPER(TRIM(Raw_Data!D960))="Gb",PROPER(TRIM(Raw_Data!D960))="United kingdom"),"United Kingdom",PROPER(TRIM(Raw_Data!D960)))</f>
        <v>United Kingdom</v>
      </c>
      <c r="E960" s="6" t="s">
        <v>78</v>
      </c>
      <c r="F960" s="6" t="s">
        <v>94</v>
      </c>
      <c r="G960" s="6" t="str">
        <f>SUBSTITUTE(Raw_Data!G960,"Ã©","é")</f>
        <v>Fell Runner Cap</v>
      </c>
      <c r="H960" s="6">
        <v>2</v>
      </c>
      <c r="I960" s="6" t="s">
        <v>113</v>
      </c>
      <c r="J960" s="6" t="s">
        <v>192</v>
      </c>
      <c r="K960" s="6">
        <v>0.34</v>
      </c>
      <c r="L960" s="6" t="s">
        <v>33</v>
      </c>
      <c r="M960" s="6" t="s">
        <v>34</v>
      </c>
      <c r="N960" s="6"/>
    </row>
    <row r="961" spans="1:14">
      <c r="A961" s="6" t="s">
        <v>1956</v>
      </c>
      <c r="B961" s="7">
        <v>46170</v>
      </c>
      <c r="C961" s="6" t="s">
        <v>1957</v>
      </c>
      <c r="D961" s="6" t="str">
        <f>IF(OR(PROPER(TRIM(Raw_Data!D961))="Uk",PROPER(TRIM(Raw_Data!D961))="Gb",PROPER(TRIM(Raw_Data!D961))="United kingdom"),"United Kingdom",PROPER(TRIM(Raw_Data!D961)))</f>
        <v>United Kingdom</v>
      </c>
      <c r="E961" s="6" t="s">
        <v>78</v>
      </c>
      <c r="F961" s="6" t="s">
        <v>38</v>
      </c>
      <c r="G961" s="6" t="str">
        <f>SUBSTITUTE(Raw_Data!G961,"Ã©","é")</f>
        <v>Trail Softshell</v>
      </c>
      <c r="H961" s="6">
        <v>1</v>
      </c>
      <c r="I961" s="6" t="s">
        <v>143</v>
      </c>
      <c r="J961" s="6" t="s">
        <v>143</v>
      </c>
      <c r="K961" s="6">
        <v>0.52</v>
      </c>
      <c r="L961" s="6" t="s">
        <v>33</v>
      </c>
      <c r="M961" s="6" t="s">
        <v>69</v>
      </c>
      <c r="N961" s="6"/>
    </row>
    <row r="962" spans="1:14">
      <c r="A962" s="6" t="s">
        <v>1958</v>
      </c>
      <c r="B962" s="7">
        <v>46049</v>
      </c>
      <c r="C962" s="6" t="s">
        <v>1176</v>
      </c>
      <c r="D962" s="6" t="str">
        <f>IF(OR(PROPER(TRIM(Raw_Data!D962))="Uk",PROPER(TRIM(Raw_Data!D962))="Gb",PROPER(TRIM(Raw_Data!D962))="United kingdom"),"United Kingdom",PROPER(TRIM(Raw_Data!D962)))</f>
        <v>United Kingdom</v>
      </c>
      <c r="E962" s="6" t="s">
        <v>52</v>
      </c>
      <c r="F962" s="6" t="s">
        <v>53</v>
      </c>
      <c r="G962" s="6" t="str">
        <f>SUBSTITUTE(Raw_Data!G962,"Ã©","é")</f>
        <v>Storm Overtrousers</v>
      </c>
      <c r="H962" s="6">
        <v>1</v>
      </c>
      <c r="I962" s="6" t="s">
        <v>60</v>
      </c>
      <c r="J962" s="6" t="s">
        <v>1508</v>
      </c>
      <c r="K962" s="6">
        <v>0.19</v>
      </c>
      <c r="L962" s="6" t="s">
        <v>42</v>
      </c>
      <c r="M962" s="6" t="s">
        <v>34</v>
      </c>
      <c r="N962" s="6"/>
    </row>
    <row r="963" spans="1:14">
      <c r="A963" s="6" t="s">
        <v>1960</v>
      </c>
      <c r="B963" s="7">
        <v>46067</v>
      </c>
      <c r="C963" s="6" t="s">
        <v>873</v>
      </c>
      <c r="D963" s="6" t="str">
        <f>IF(OR(PROPER(TRIM(Raw_Data!D963))="Uk",PROPER(TRIM(Raw_Data!D963))="Gb",PROPER(TRIM(Raw_Data!D963))="United kingdom"),"United Kingdom",PROPER(TRIM(Raw_Data!D963)))</f>
        <v>United Kingdom</v>
      </c>
      <c r="E963" s="6" t="s">
        <v>52</v>
      </c>
      <c r="F963" s="6" t="s">
        <v>38</v>
      </c>
      <c r="G963" s="6" t="str">
        <f>SUBSTITUTE(Raw_Data!G963,"Ã©","é")</f>
        <v>Merino Base Layer</v>
      </c>
      <c r="H963" s="6">
        <v>3</v>
      </c>
      <c r="I963" s="6" t="s">
        <v>143</v>
      </c>
      <c r="J963" s="6" t="s">
        <v>243</v>
      </c>
      <c r="K963" s="6">
        <v>0.52</v>
      </c>
      <c r="L963" s="6" t="s">
        <v>42</v>
      </c>
      <c r="M963" s="6" t="s">
        <v>34</v>
      </c>
      <c r="N963" s="6"/>
    </row>
    <row r="964" spans="1:14">
      <c r="A964" s="6" t="s">
        <v>1961</v>
      </c>
      <c r="B964" s="7">
        <v>46141</v>
      </c>
      <c r="C964" s="6" t="s">
        <v>1962</v>
      </c>
      <c r="D964" s="6" t="str">
        <f>IF(OR(PROPER(TRIM(Raw_Data!D964))="Uk",PROPER(TRIM(Raw_Data!D964))="Gb",PROPER(TRIM(Raw_Data!D964))="United kingdom"),"United Kingdom",PROPER(TRIM(Raw_Data!D964)))</f>
        <v>France</v>
      </c>
      <c r="E964" s="6" t="s">
        <v>37</v>
      </c>
      <c r="F964" s="6" t="s">
        <v>100</v>
      </c>
      <c r="G964" s="6" t="str">
        <f>SUBSTITUTE(Raw_Data!G964,"Ã©","é")</f>
        <v>Storm Overtrousers</v>
      </c>
      <c r="H964" s="6">
        <v>3</v>
      </c>
      <c r="I964" s="6" t="s">
        <v>82</v>
      </c>
      <c r="J964" s="6" t="s">
        <v>390</v>
      </c>
      <c r="K964" s="6">
        <v>0.64</v>
      </c>
      <c r="L964" s="6" t="s">
        <v>42</v>
      </c>
      <c r="M964" s="6" t="s">
        <v>34</v>
      </c>
      <c r="N964" s="6"/>
    </row>
    <row r="965" spans="1:14">
      <c r="A965" s="6" t="s">
        <v>1963</v>
      </c>
      <c r="B965" s="7">
        <v>46059</v>
      </c>
      <c r="C965" s="6" t="s">
        <v>1964</v>
      </c>
      <c r="D965" s="6" t="str">
        <f>IF(OR(PROPER(TRIM(Raw_Data!D965))="Uk",PROPER(TRIM(Raw_Data!D965))="Gb",PROPER(TRIM(Raw_Data!D965))="United kingdom"),"United Kingdom",PROPER(TRIM(Raw_Data!D965)))</f>
        <v>Germany</v>
      </c>
      <c r="E965" s="6" t="s">
        <v>52</v>
      </c>
      <c r="F965" s="6" t="s">
        <v>47</v>
      </c>
      <c r="G965" s="6" t="str">
        <f>SUBSTITUTE(Raw_Data!G965,"Ã©","é")</f>
        <v>Café Latte Mug</v>
      </c>
      <c r="H965" s="6">
        <v>3</v>
      </c>
      <c r="I965" s="6" t="s">
        <v>265</v>
      </c>
      <c r="J965" s="6" t="s">
        <v>401</v>
      </c>
      <c r="K965" s="6">
        <v>8.5000000000000006E-2</v>
      </c>
      <c r="L965" s="6" t="s">
        <v>42</v>
      </c>
      <c r="M965" s="6" t="s">
        <v>34</v>
      </c>
      <c r="N965" s="6"/>
    </row>
    <row r="966" spans="1:14">
      <c r="A966" s="6" t="s">
        <v>1965</v>
      </c>
      <c r="B966" s="7">
        <v>46081</v>
      </c>
      <c r="C966" s="6" t="s">
        <v>513</v>
      </c>
      <c r="D966" s="6" t="str">
        <f>IF(OR(PROPER(TRIM(Raw_Data!D966))="Uk",PROPER(TRIM(Raw_Data!D966))="Gb",PROPER(TRIM(Raw_Data!D966))="United kingdom"),"United Kingdom",PROPER(TRIM(Raw_Data!D966)))</f>
        <v>Germany</v>
      </c>
      <c r="E966" s="6" t="s">
        <v>28</v>
      </c>
      <c r="F966" s="6" t="s">
        <v>53</v>
      </c>
      <c r="G966" s="6" t="str">
        <f>SUBSTITUTE(Raw_Data!G966,"Ã©","é")</f>
        <v>Trail Softshell</v>
      </c>
      <c r="H966" s="6">
        <v>1</v>
      </c>
      <c r="I966" s="6" t="s">
        <v>90</v>
      </c>
      <c r="J966" s="6" t="s">
        <v>90</v>
      </c>
      <c r="K966" s="6">
        <v>0.19</v>
      </c>
      <c r="L966" s="6" t="s">
        <v>42</v>
      </c>
      <c r="M966" s="6" t="s">
        <v>34</v>
      </c>
      <c r="N966" s="6"/>
    </row>
    <row r="967" spans="1:14">
      <c r="A967" s="6" t="s">
        <v>1966</v>
      </c>
      <c r="B967" s="7">
        <v>46137</v>
      </c>
      <c r="C967" s="6" t="s">
        <v>869</v>
      </c>
      <c r="D967" s="6" t="str">
        <f>IF(OR(PROPER(TRIM(Raw_Data!D967))="Uk",PROPER(TRIM(Raw_Data!D967))="Gb",PROPER(TRIM(Raw_Data!D967))="United kingdom"),"United Kingdom",PROPER(TRIM(Raw_Data!D967)))</f>
        <v>United Kingdom</v>
      </c>
      <c r="E967" s="6" t="s">
        <v>46</v>
      </c>
      <c r="F967" s="6" t="s">
        <v>53</v>
      </c>
      <c r="G967" s="6" t="str">
        <f>SUBSTITUTE(Raw_Data!G967,"Ã©","é")</f>
        <v>Merino Base Layer</v>
      </c>
      <c r="H967" s="6">
        <v>2</v>
      </c>
      <c r="I967" s="6" t="s">
        <v>82</v>
      </c>
      <c r="J967" s="6" t="s">
        <v>297</v>
      </c>
      <c r="K967" s="6">
        <v>0.19</v>
      </c>
      <c r="L967" s="6" t="s">
        <v>33</v>
      </c>
      <c r="M967" s="6" t="s">
        <v>34</v>
      </c>
      <c r="N967" s="6"/>
    </row>
    <row r="968" spans="1:14">
      <c r="A968" s="6" t="s">
        <v>1967</v>
      </c>
      <c r="B968" s="7">
        <v>46240</v>
      </c>
      <c r="C968" s="6" t="s">
        <v>1968</v>
      </c>
      <c r="D968" s="6" t="str">
        <f>IF(OR(PROPER(TRIM(Raw_Data!D968))="Uk",PROPER(TRIM(Raw_Data!D968))="Gb",PROPER(TRIM(Raw_Data!D968))="United kingdom"),"United Kingdom",PROPER(TRIM(Raw_Data!D968)))</f>
        <v>United Kingdom</v>
      </c>
      <c r="E968" s="6" t="s">
        <v>52</v>
      </c>
      <c r="F968" s="6" t="s">
        <v>53</v>
      </c>
      <c r="G968" s="6" t="str">
        <f>SUBSTITUTE(Raw_Data!G968,"Ã©","é")</f>
        <v>Trail Softshell</v>
      </c>
      <c r="H968" s="6">
        <v>2</v>
      </c>
      <c r="I968" s="6" t="s">
        <v>96</v>
      </c>
      <c r="J968" s="6" t="s">
        <v>278</v>
      </c>
      <c r="K968" s="6">
        <v>0.19</v>
      </c>
      <c r="L968" s="6" t="s">
        <v>42</v>
      </c>
      <c r="M968" s="6" t="s">
        <v>34</v>
      </c>
      <c r="N968" s="6"/>
    </row>
    <row r="969" spans="1:14">
      <c r="A969" s="6" t="s">
        <v>1969</v>
      </c>
      <c r="B969" s="7">
        <v>46090</v>
      </c>
      <c r="C969" s="6" t="s">
        <v>1566</v>
      </c>
      <c r="D969" s="6" t="str">
        <f>IF(OR(PROPER(TRIM(Raw_Data!D969))="Uk",PROPER(TRIM(Raw_Data!D969))="Gb",PROPER(TRIM(Raw_Data!D969))="United kingdom"),"United Kingdom",PROPER(TRIM(Raw_Data!D969)))</f>
        <v>United Kingdom</v>
      </c>
      <c r="E969" s="6" t="s">
        <v>28</v>
      </c>
      <c r="F969" s="6" t="s">
        <v>58</v>
      </c>
      <c r="G969" s="6" t="str">
        <f>SUBSTITUTE(Raw_Data!G969,"Ã©","é")</f>
        <v>Alpine Jacket</v>
      </c>
      <c r="H969" s="6">
        <v>1</v>
      </c>
      <c r="I969" s="6" t="s">
        <v>82</v>
      </c>
      <c r="J969" s="6" t="s">
        <v>82</v>
      </c>
      <c r="K969" s="6">
        <v>0.38</v>
      </c>
      <c r="L969" s="6" t="s">
        <v>42</v>
      </c>
      <c r="M969" s="6" t="s">
        <v>34</v>
      </c>
      <c r="N969" s="6"/>
    </row>
    <row r="970" spans="1:14">
      <c r="A970" s="6" t="s">
        <v>1970</v>
      </c>
      <c r="B970" s="7">
        <v>46069</v>
      </c>
      <c r="C970" s="6" t="s">
        <v>1971</v>
      </c>
      <c r="D970" s="6" t="str">
        <f>IF(OR(PROPER(TRIM(Raw_Data!D970))="Uk",PROPER(TRIM(Raw_Data!D970))="Gb",PROPER(TRIM(Raw_Data!D970))="United kingdom"),"United Kingdom",PROPER(TRIM(Raw_Data!D970)))</f>
        <v>United Kingdom</v>
      </c>
      <c r="E970" s="6" t="s">
        <v>37</v>
      </c>
      <c r="F970" s="6" t="s">
        <v>85</v>
      </c>
      <c r="G970" s="6" t="str">
        <f>SUBSTITUTE(Raw_Data!G970,"Ã©","é")</f>
        <v>Fell Runner Cap</v>
      </c>
      <c r="H970" s="6">
        <v>2</v>
      </c>
      <c r="I970" s="6" t="s">
        <v>117</v>
      </c>
      <c r="J970" s="6" t="s">
        <v>118</v>
      </c>
      <c r="K970" s="6">
        <v>0.41</v>
      </c>
      <c r="L970" s="6" t="s">
        <v>42</v>
      </c>
      <c r="M970" s="6" t="s">
        <v>34</v>
      </c>
      <c r="N970" s="6"/>
    </row>
    <row r="971" spans="1:14">
      <c r="A971" s="6" t="s">
        <v>1972</v>
      </c>
      <c r="B971" s="7">
        <v>46270</v>
      </c>
      <c r="C971" s="6" t="s">
        <v>313</v>
      </c>
      <c r="D971" s="6" t="str">
        <f>IF(OR(PROPER(TRIM(Raw_Data!D971))="Uk",PROPER(TRIM(Raw_Data!D971))="Gb",PROPER(TRIM(Raw_Data!D971))="United kingdom"),"United Kingdom",PROPER(TRIM(Raw_Data!D971)))</f>
        <v>United Kingdom</v>
      </c>
      <c r="E971" s="6" t="s">
        <v>52</v>
      </c>
      <c r="F971" s="6" t="s">
        <v>58</v>
      </c>
      <c r="G971" s="6" t="str">
        <f>SUBSTITUTE(Raw_Data!G971,"Ã©","é")</f>
        <v>Merino Base Layer</v>
      </c>
      <c r="H971" s="6">
        <v>1</v>
      </c>
      <c r="I971" s="6" t="s">
        <v>619</v>
      </c>
      <c r="J971" s="6" t="s">
        <v>143</v>
      </c>
      <c r="K971" s="6">
        <v>0.38</v>
      </c>
      <c r="L971" s="6" t="s">
        <v>42</v>
      </c>
      <c r="M971" s="6" t="s">
        <v>34</v>
      </c>
      <c r="N971" s="6"/>
    </row>
    <row r="972" spans="1:14">
      <c r="A972" s="6" t="s">
        <v>1973</v>
      </c>
      <c r="B972" s="7">
        <v>46149</v>
      </c>
      <c r="C972" s="6" t="s">
        <v>507</v>
      </c>
      <c r="D972" s="6" t="str">
        <f>IF(OR(PROPER(TRIM(Raw_Data!D972))="Uk",PROPER(TRIM(Raw_Data!D972))="Gb",PROPER(TRIM(Raw_Data!D972))="United kingdom"),"United Kingdom",PROPER(TRIM(Raw_Data!D972)))</f>
        <v>France</v>
      </c>
      <c r="E972" s="6" t="s">
        <v>28</v>
      </c>
      <c r="F972" s="6" t="s">
        <v>29</v>
      </c>
      <c r="G972" s="6" t="str">
        <f>SUBSTITUTE(Raw_Data!G972,"Ã©","é")</f>
        <v>Merino Base Layer</v>
      </c>
      <c r="H972" s="6">
        <v>2</v>
      </c>
      <c r="I972" s="6" t="s">
        <v>143</v>
      </c>
      <c r="J972" s="6" t="s">
        <v>144</v>
      </c>
      <c r="K972" s="6">
        <v>0.52</v>
      </c>
      <c r="L972" s="6" t="s">
        <v>33</v>
      </c>
      <c r="M972" s="6" t="s">
        <v>34</v>
      </c>
      <c r="N972" s="6"/>
    </row>
    <row r="973" spans="1:14">
      <c r="A973" s="6" t="s">
        <v>1974</v>
      </c>
      <c r="B973" s="7">
        <v>46085</v>
      </c>
      <c r="C973" s="6" t="s">
        <v>361</v>
      </c>
      <c r="D973" s="6" t="str">
        <f>IF(OR(PROPER(TRIM(Raw_Data!D973))="Uk",PROPER(TRIM(Raw_Data!D973))="Gb",PROPER(TRIM(Raw_Data!D973))="United kingdom"),"United Kingdom",PROPER(TRIM(Raw_Data!D973)))</f>
        <v>France</v>
      </c>
      <c r="E973" s="6" t="s">
        <v>52</v>
      </c>
      <c r="F973" s="6" t="s">
        <v>53</v>
      </c>
      <c r="G973" s="6" t="str">
        <f>SUBSTITUTE(Raw_Data!G973,"Ã©","é")</f>
        <v>Merino Base Layer</v>
      </c>
      <c r="H973" s="6">
        <v>2</v>
      </c>
      <c r="I973" s="6" t="s">
        <v>96</v>
      </c>
      <c r="J973" s="6" t="s">
        <v>278</v>
      </c>
      <c r="K973" s="6">
        <v>0.19</v>
      </c>
      <c r="L973" s="6" t="s">
        <v>42</v>
      </c>
      <c r="M973" s="6" t="s">
        <v>34</v>
      </c>
      <c r="N973" s="6"/>
    </row>
    <row r="974" spans="1:14">
      <c r="A974" s="6" t="s">
        <v>1975</v>
      </c>
      <c r="B974" s="7">
        <v>46044</v>
      </c>
      <c r="C974" s="6" t="s">
        <v>615</v>
      </c>
      <c r="D974" s="6" t="str">
        <f>IF(OR(PROPER(TRIM(Raw_Data!D974))="Uk",PROPER(TRIM(Raw_Data!D974))="Gb",PROPER(TRIM(Raw_Data!D974))="United kingdom"),"United Kingdom",PROPER(TRIM(Raw_Data!D974)))</f>
        <v>Ireland</v>
      </c>
      <c r="E974" s="6" t="s">
        <v>78</v>
      </c>
      <c r="F974" s="6" t="s">
        <v>29</v>
      </c>
      <c r="G974" s="6" t="str">
        <f>SUBSTITUTE(Raw_Data!G974,"Ã©","é")</f>
        <v>Summit Down Gilet</v>
      </c>
      <c r="H974" s="6">
        <v>1</v>
      </c>
      <c r="I974" s="6" t="s">
        <v>79</v>
      </c>
      <c r="J974" s="6" t="s">
        <v>79</v>
      </c>
      <c r="K974" s="6">
        <v>0.52</v>
      </c>
      <c r="L974" s="6" t="s">
        <v>42</v>
      </c>
      <c r="M974" s="6" t="s">
        <v>34</v>
      </c>
      <c r="N974" s="6"/>
    </row>
    <row r="975" spans="1:14">
      <c r="A975" s="6" t="s">
        <v>1976</v>
      </c>
      <c r="B975" s="7">
        <v>46067</v>
      </c>
      <c r="C975" s="6" t="s">
        <v>831</v>
      </c>
      <c r="D975" s="6" t="str">
        <f>IF(OR(PROPER(TRIM(Raw_Data!D975))="Uk",PROPER(TRIM(Raw_Data!D975))="Gb",PROPER(TRIM(Raw_Data!D975))="United kingdom"),"United Kingdom",PROPER(TRIM(Raw_Data!D975)))</f>
        <v>United Kingdom</v>
      </c>
      <c r="E975" s="6" t="s">
        <v>46</v>
      </c>
      <c r="F975" s="6" t="s">
        <v>47</v>
      </c>
      <c r="G975" s="6" t="str">
        <f>SUBSTITUTE(Raw_Data!G975,"Ã©","é")</f>
        <v>Storm Overtrousers</v>
      </c>
      <c r="H975" s="6">
        <v>2</v>
      </c>
      <c r="I975" s="6" t="s">
        <v>90</v>
      </c>
      <c r="J975" s="6" t="s">
        <v>154</v>
      </c>
      <c r="K975" s="6">
        <v>8.5000000000000006E-2</v>
      </c>
      <c r="L975" s="6" t="s">
        <v>33</v>
      </c>
      <c r="M975" s="6" t="s">
        <v>34</v>
      </c>
      <c r="N975" s="6"/>
    </row>
    <row r="976" spans="1:14">
      <c r="A976" s="6" t="s">
        <v>1977</v>
      </c>
      <c r="B976" s="7">
        <v>46146</v>
      </c>
      <c r="C976" s="6" t="s">
        <v>1557</v>
      </c>
      <c r="D976" s="6" t="str">
        <f>IF(OR(PROPER(TRIM(Raw_Data!D976))="Uk",PROPER(TRIM(Raw_Data!D976))="Gb",PROPER(TRIM(Raw_Data!D976))="United kingdom"),"United Kingdom",PROPER(TRIM(Raw_Data!D976)))</f>
        <v>France</v>
      </c>
      <c r="E976" s="6" t="s">
        <v>78</v>
      </c>
      <c r="F976" s="6" t="s">
        <v>38</v>
      </c>
      <c r="G976" s="6" t="str">
        <f>SUBSTITUTE(Raw_Data!G976,"Ã©","é")</f>
        <v>Summit Down Gilet</v>
      </c>
      <c r="H976" s="6">
        <v>3</v>
      </c>
      <c r="I976" s="6" t="s">
        <v>60</v>
      </c>
      <c r="J976" s="6" t="s">
        <v>268</v>
      </c>
      <c r="K976" s="6">
        <v>0.52</v>
      </c>
      <c r="L976" s="6" t="s">
        <v>42</v>
      </c>
      <c r="M976" s="6" t="s">
        <v>34</v>
      </c>
      <c r="N976" s="6"/>
    </row>
    <row r="977" spans="1:14">
      <c r="A977" s="6" t="s">
        <v>1978</v>
      </c>
      <c r="B977" s="7">
        <v>46088</v>
      </c>
      <c r="C977" s="6" t="s">
        <v>714</v>
      </c>
      <c r="D977" s="6" t="str">
        <f>IF(OR(PROPER(TRIM(Raw_Data!D977))="Uk",PROPER(TRIM(Raw_Data!D977))="Gb",PROPER(TRIM(Raw_Data!D977))="United kingdom"),"United Kingdom",PROPER(TRIM(Raw_Data!D977)))</f>
        <v>United Kingdom</v>
      </c>
      <c r="E977" s="6" t="s">
        <v>37</v>
      </c>
      <c r="F977" s="6" t="s">
        <v>47</v>
      </c>
      <c r="G977" s="6" t="str">
        <f>SUBSTITUTE(Raw_Data!G977,"Ã©","é")</f>
        <v>Trekking Poles</v>
      </c>
      <c r="H977" s="6">
        <v>2</v>
      </c>
      <c r="I977" s="6" t="s">
        <v>181</v>
      </c>
      <c r="J977" s="6" t="s">
        <v>163</v>
      </c>
      <c r="K977" s="6">
        <v>8.5000000000000006E-2</v>
      </c>
      <c r="L977" s="6" t="s">
        <v>42</v>
      </c>
      <c r="M977" s="6" t="s">
        <v>34</v>
      </c>
      <c r="N977" s="6"/>
    </row>
    <row r="978" spans="1:14">
      <c r="A978" s="6" t="s">
        <v>1979</v>
      </c>
      <c r="B978" s="7">
        <v>46301</v>
      </c>
      <c r="C978" s="6" t="s">
        <v>1980</v>
      </c>
      <c r="D978" s="6" t="str">
        <f>IF(OR(PROPER(TRIM(Raw_Data!D978))="Uk",PROPER(TRIM(Raw_Data!D978))="Gb",PROPER(TRIM(Raw_Data!D978))="United kingdom"),"United Kingdom",PROPER(TRIM(Raw_Data!D978)))</f>
        <v>France</v>
      </c>
      <c r="E978" s="6" t="s">
        <v>37</v>
      </c>
      <c r="F978" s="6" t="s">
        <v>94</v>
      </c>
      <c r="G978" s="6" t="str">
        <f>SUBSTITUTE(Raw_Data!G978,"Ã©","é")</f>
        <v>Merino Base Layer</v>
      </c>
      <c r="H978" s="6">
        <v>2</v>
      </c>
      <c r="I978" s="6" t="s">
        <v>60</v>
      </c>
      <c r="J978" s="6" t="s">
        <v>189</v>
      </c>
      <c r="K978" s="6">
        <v>0.34</v>
      </c>
      <c r="L978" s="6" t="s">
        <v>42</v>
      </c>
      <c r="M978" s="6" t="s">
        <v>69</v>
      </c>
      <c r="N978" s="6"/>
    </row>
    <row r="979" spans="1:14">
      <c r="A979" s="6" t="s">
        <v>1981</v>
      </c>
      <c r="B979" s="7">
        <v>46236</v>
      </c>
      <c r="C979" s="6" t="s">
        <v>1133</v>
      </c>
      <c r="D979" s="6" t="str">
        <f>IF(OR(PROPER(TRIM(Raw_Data!D979))="Uk",PROPER(TRIM(Raw_Data!D979))="Gb",PROPER(TRIM(Raw_Data!D979))="United kingdom"),"United Kingdom",PROPER(TRIM(Raw_Data!D979)))</f>
        <v>United Kingdom</v>
      </c>
      <c r="E979" s="6" t="s">
        <v>46</v>
      </c>
      <c r="F979" s="6" t="s">
        <v>85</v>
      </c>
      <c r="G979" s="6" t="str">
        <f>SUBSTITUTE(Raw_Data!G979,"Ã©","é")</f>
        <v>Trekking Poles</v>
      </c>
      <c r="H979" s="6">
        <v>2</v>
      </c>
      <c r="I979" s="6" t="s">
        <v>79</v>
      </c>
      <c r="J979" s="6" t="s">
        <v>259</v>
      </c>
      <c r="K979" s="6">
        <v>0.41</v>
      </c>
      <c r="L979" s="6" t="s">
        <v>42</v>
      </c>
      <c r="M979" s="6" t="s">
        <v>34</v>
      </c>
      <c r="N979" s="6"/>
    </row>
    <row r="980" spans="1:14">
      <c r="A980" s="6" t="s">
        <v>1982</v>
      </c>
      <c r="B980" s="7">
        <v>46235</v>
      </c>
      <c r="C980" s="6" t="s">
        <v>1769</v>
      </c>
      <c r="D980" s="6" t="str">
        <f>IF(OR(PROPER(TRIM(Raw_Data!D980))="Uk",PROPER(TRIM(Raw_Data!D980))="Gb",PROPER(TRIM(Raw_Data!D980))="United kingdom"),"United Kingdom",PROPER(TRIM(Raw_Data!D980)))</f>
        <v>France</v>
      </c>
      <c r="E980" s="6" t="s">
        <v>37</v>
      </c>
      <c r="F980" s="6" t="s">
        <v>100</v>
      </c>
      <c r="G980" s="6" t="str">
        <f>SUBSTITUTE(Raw_Data!G980,"Ã©","é")</f>
        <v>Fell Runner Cap</v>
      </c>
      <c r="H980" s="6">
        <v>2</v>
      </c>
      <c r="I980" s="6" t="s">
        <v>40</v>
      </c>
      <c r="J980" s="6" t="s">
        <v>327</v>
      </c>
      <c r="K980" s="6">
        <v>0.64</v>
      </c>
      <c r="L980" s="6" t="s">
        <v>42</v>
      </c>
      <c r="M980" s="6" t="s">
        <v>34</v>
      </c>
      <c r="N980" s="6"/>
    </row>
    <row r="981" spans="1:14">
      <c r="A981" s="6" t="s">
        <v>1983</v>
      </c>
      <c r="B981" s="7">
        <v>46100</v>
      </c>
      <c r="C981" s="6" t="s">
        <v>1420</v>
      </c>
      <c r="D981" s="6" t="str">
        <f>IF(OR(PROPER(TRIM(Raw_Data!D981))="Uk",PROPER(TRIM(Raw_Data!D981))="Gb",PROPER(TRIM(Raw_Data!D981))="United kingdom"),"United Kingdom",PROPER(TRIM(Raw_Data!D981)))</f>
        <v>Ireland</v>
      </c>
      <c r="E981" s="6" t="s">
        <v>52</v>
      </c>
      <c r="F981" s="6" t="s">
        <v>94</v>
      </c>
      <c r="G981" s="6" t="str">
        <f>SUBSTITUTE(Raw_Data!G981,"Ã©","é")</f>
        <v>Trail Softshell</v>
      </c>
      <c r="H981" s="6">
        <v>1</v>
      </c>
      <c r="I981" s="6" t="s">
        <v>82</v>
      </c>
      <c r="J981" s="6" t="s">
        <v>82</v>
      </c>
      <c r="K981" s="6">
        <v>0.34</v>
      </c>
      <c r="L981" s="6" t="s">
        <v>33</v>
      </c>
      <c r="M981" s="6" t="s">
        <v>34</v>
      </c>
      <c r="N981" s="6"/>
    </row>
    <row r="982" spans="1:14">
      <c r="A982" s="6" t="s">
        <v>1984</v>
      </c>
      <c r="B982" s="7">
        <v>46194</v>
      </c>
      <c r="C982" s="6" t="s">
        <v>1221</v>
      </c>
      <c r="D982" s="6" t="str">
        <f>IF(OR(PROPER(TRIM(Raw_Data!D982))="Uk",PROPER(TRIM(Raw_Data!D982))="Gb",PROPER(TRIM(Raw_Data!D982))="United kingdom"),"United Kingdom",PROPER(TRIM(Raw_Data!D982)))</f>
        <v>United Kingdom</v>
      </c>
      <c r="E982" s="6" t="s">
        <v>46</v>
      </c>
      <c r="F982" s="6" t="s">
        <v>94</v>
      </c>
      <c r="G982" s="6" t="str">
        <f>SUBSTITUTE(Raw_Data!G982,"Ã©","é")</f>
        <v>Fell Runner Cap</v>
      </c>
      <c r="H982" s="6">
        <v>1</v>
      </c>
      <c r="I982" s="6" t="s">
        <v>90</v>
      </c>
      <c r="J982" s="6" t="s">
        <v>90</v>
      </c>
      <c r="K982" s="6">
        <v>0.34</v>
      </c>
      <c r="L982" s="6" t="s">
        <v>33</v>
      </c>
      <c r="M982" s="6" t="s">
        <v>34</v>
      </c>
      <c r="N982" s="6"/>
    </row>
    <row r="983" spans="1:14">
      <c r="A983" s="6" t="s">
        <v>1985</v>
      </c>
      <c r="B983" s="7">
        <v>46271</v>
      </c>
      <c r="C983" s="6" t="s">
        <v>1055</v>
      </c>
      <c r="D983" s="6" t="str">
        <f>IF(OR(PROPER(TRIM(Raw_Data!D983))="Uk",PROPER(TRIM(Raw_Data!D983))="Gb",PROPER(TRIM(Raw_Data!D983))="United kingdom"),"United Kingdom",PROPER(TRIM(Raw_Data!D983)))</f>
        <v>United Kingdom</v>
      </c>
      <c r="E983" s="6" t="s">
        <v>46</v>
      </c>
      <c r="F983" s="6" t="s">
        <v>29</v>
      </c>
      <c r="G983" s="6" t="str">
        <f>SUBSTITUTE(Raw_Data!G983,"Ã©","é")</f>
        <v>Café Latte Mug</v>
      </c>
      <c r="H983" s="6">
        <v>2</v>
      </c>
      <c r="I983" s="6" t="s">
        <v>82</v>
      </c>
      <c r="J983" s="6" t="s">
        <v>297</v>
      </c>
      <c r="K983" s="6">
        <v>0.52</v>
      </c>
      <c r="L983" s="6" t="s">
        <v>42</v>
      </c>
      <c r="M983" s="6" t="s">
        <v>34</v>
      </c>
      <c r="N983" s="6"/>
    </row>
    <row r="984" spans="1:14">
      <c r="A984" s="6" t="s">
        <v>1986</v>
      </c>
      <c r="B984" s="7">
        <v>46358</v>
      </c>
      <c r="C984" s="6" t="s">
        <v>1987</v>
      </c>
      <c r="D984" s="6" t="str">
        <f>IF(OR(PROPER(TRIM(Raw_Data!D984))="Uk",PROPER(TRIM(Raw_Data!D984))="Gb",PROPER(TRIM(Raw_Data!D984))="United kingdom"),"United Kingdom",PROPER(TRIM(Raw_Data!D984)))</f>
        <v>Ireland</v>
      </c>
      <c r="E984" s="6" t="s">
        <v>37</v>
      </c>
      <c r="F984" s="6" t="s">
        <v>94</v>
      </c>
      <c r="G984" s="6" t="str">
        <f>SUBSTITUTE(Raw_Data!G984,"Ã©","é")</f>
        <v>Storm Overtrousers</v>
      </c>
      <c r="H984" s="6">
        <v>1</v>
      </c>
      <c r="I984" s="6" t="s">
        <v>143</v>
      </c>
      <c r="J984" s="6" t="s">
        <v>143</v>
      </c>
      <c r="K984" s="6">
        <v>0.34</v>
      </c>
      <c r="L984" s="6" t="s">
        <v>42</v>
      </c>
      <c r="M984" s="6" t="s">
        <v>34</v>
      </c>
      <c r="N984" s="6"/>
    </row>
    <row r="985" spans="1:14">
      <c r="A985" s="6" t="s">
        <v>1988</v>
      </c>
      <c r="B985" s="7">
        <v>46296</v>
      </c>
      <c r="C985" s="6" t="s">
        <v>1989</v>
      </c>
      <c r="D985" s="6" t="str">
        <f>IF(OR(PROPER(TRIM(Raw_Data!D985))="Uk",PROPER(TRIM(Raw_Data!D985))="Gb",PROPER(TRIM(Raw_Data!D985))="United kingdom"),"United Kingdom",PROPER(TRIM(Raw_Data!D985)))</f>
        <v>Ireland</v>
      </c>
      <c r="E985" s="6" t="s">
        <v>78</v>
      </c>
      <c r="F985" s="6" t="s">
        <v>58</v>
      </c>
      <c r="G985" s="6" t="str">
        <f>SUBSTITUTE(Raw_Data!G985,"Ã©","é")</f>
        <v>Alpine Jacket</v>
      </c>
      <c r="H985" s="6">
        <v>3</v>
      </c>
      <c r="I985" s="6" t="s">
        <v>60</v>
      </c>
      <c r="J985" s="6" t="s">
        <v>268</v>
      </c>
      <c r="K985" s="6">
        <v>0.38</v>
      </c>
      <c r="L985" s="6" t="s">
        <v>42</v>
      </c>
      <c r="M985" s="6" t="s">
        <v>69</v>
      </c>
      <c r="N985" s="6"/>
    </row>
    <row r="986" spans="1:14">
      <c r="A986" s="6" t="s">
        <v>1990</v>
      </c>
      <c r="B986" s="7">
        <v>46084</v>
      </c>
      <c r="C986" s="6" t="s">
        <v>482</v>
      </c>
      <c r="D986" s="6" t="str">
        <f>IF(OR(PROPER(TRIM(Raw_Data!D986))="Uk",PROPER(TRIM(Raw_Data!D986))="Gb",PROPER(TRIM(Raw_Data!D986))="United kingdom"),"United Kingdom",PROPER(TRIM(Raw_Data!D986)))</f>
        <v>Germany</v>
      </c>
      <c r="E986" s="6" t="s">
        <v>52</v>
      </c>
      <c r="F986" s="6" t="s">
        <v>85</v>
      </c>
      <c r="G986" s="6" t="str">
        <f>SUBSTITUTE(Raw_Data!G986,"Ã©","é")</f>
        <v>Café Latte Mug</v>
      </c>
      <c r="H986" s="6">
        <v>2</v>
      </c>
      <c r="I986" s="6" t="s">
        <v>117</v>
      </c>
      <c r="J986" s="6" t="s">
        <v>118</v>
      </c>
      <c r="K986" s="6">
        <v>0.41</v>
      </c>
      <c r="L986" s="6" t="s">
        <v>42</v>
      </c>
      <c r="M986" s="6" t="s">
        <v>34</v>
      </c>
      <c r="N986" s="6"/>
    </row>
    <row r="987" spans="1:14">
      <c r="A987" s="6" t="s">
        <v>1991</v>
      </c>
      <c r="B987" s="7">
        <v>46189</v>
      </c>
      <c r="C987" s="6" t="s">
        <v>1403</v>
      </c>
      <c r="D987" s="6" t="str">
        <f>IF(OR(PROPER(TRIM(Raw_Data!D987))="Uk",PROPER(TRIM(Raw_Data!D987))="Gb",PROPER(TRIM(Raw_Data!D987))="United kingdom"),"United Kingdom",PROPER(TRIM(Raw_Data!D987)))</f>
        <v>United Kingdom</v>
      </c>
      <c r="E987" s="6" t="s">
        <v>78</v>
      </c>
      <c r="F987" s="6" t="s">
        <v>53</v>
      </c>
      <c r="G987" s="6" t="str">
        <f>SUBSTITUTE(Raw_Data!G987,"Ã©","é")</f>
        <v>Café Latte Mug</v>
      </c>
      <c r="H987" s="6">
        <v>2</v>
      </c>
      <c r="I987" s="6" t="s">
        <v>79</v>
      </c>
      <c r="J987" s="6" t="s">
        <v>259</v>
      </c>
      <c r="K987" s="6">
        <v>0.19</v>
      </c>
      <c r="L987" s="6" t="s">
        <v>33</v>
      </c>
      <c r="M987" s="6" t="s">
        <v>34</v>
      </c>
      <c r="N987" s="6"/>
    </row>
    <row r="988" spans="1:14">
      <c r="A988" s="6" t="s">
        <v>1992</v>
      </c>
      <c r="B988" s="7">
        <v>46057</v>
      </c>
      <c r="C988" s="6" t="s">
        <v>1993</v>
      </c>
      <c r="D988" s="6" t="str">
        <f>IF(OR(PROPER(TRIM(Raw_Data!D988))="Uk",PROPER(TRIM(Raw_Data!D988))="Gb",PROPER(TRIM(Raw_Data!D988))="United kingdom"),"United Kingdom",PROPER(TRIM(Raw_Data!D988)))</f>
        <v>United Kingdom</v>
      </c>
      <c r="E988" s="6" t="s">
        <v>37</v>
      </c>
      <c r="F988" s="6" t="s">
        <v>53</v>
      </c>
      <c r="G988" s="6" t="str">
        <f>SUBSTITUTE(Raw_Data!G988,"Ã©","é")</f>
        <v>Trekking Poles</v>
      </c>
      <c r="H988" s="6">
        <v>3</v>
      </c>
      <c r="I988" s="6" t="s">
        <v>40</v>
      </c>
      <c r="J988" s="6" t="s">
        <v>579</v>
      </c>
      <c r="K988" s="6">
        <v>0.19</v>
      </c>
      <c r="L988" s="6" t="s">
        <v>42</v>
      </c>
      <c r="M988" s="6" t="s">
        <v>34</v>
      </c>
      <c r="N988" s="6"/>
    </row>
    <row r="989" spans="1:14">
      <c r="A989" s="6" t="s">
        <v>1994</v>
      </c>
      <c r="B989" s="7">
        <v>46058</v>
      </c>
      <c r="C989" s="6" t="s">
        <v>1995</v>
      </c>
      <c r="D989" s="6" t="str">
        <f>IF(OR(PROPER(TRIM(Raw_Data!D989))="Uk",PROPER(TRIM(Raw_Data!D989))="Gb",PROPER(TRIM(Raw_Data!D989))="United kingdom"),"United Kingdom",PROPER(TRIM(Raw_Data!D989)))</f>
        <v>United Kingdom</v>
      </c>
      <c r="E989" s="6" t="s">
        <v>78</v>
      </c>
      <c r="F989" s="6" t="s">
        <v>58</v>
      </c>
      <c r="G989" s="6" t="str">
        <f>SUBSTITUTE(Raw_Data!G989,"Ã©","é")</f>
        <v>Fell Runner Cap</v>
      </c>
      <c r="H989" s="6">
        <v>2</v>
      </c>
      <c r="I989" s="6" t="s">
        <v>1004</v>
      </c>
      <c r="J989" s="6" t="s">
        <v>167</v>
      </c>
      <c r="K989" s="6">
        <v>0.38</v>
      </c>
      <c r="L989" s="6" t="s">
        <v>42</v>
      </c>
      <c r="M989" s="6" t="s">
        <v>69</v>
      </c>
      <c r="N989" s="6"/>
    </row>
    <row r="990" spans="1:14">
      <c r="A990" s="6" t="s">
        <v>1996</v>
      </c>
      <c r="B990" s="7">
        <v>46129</v>
      </c>
      <c r="C990" s="6" t="s">
        <v>1997</v>
      </c>
      <c r="D990" s="6" t="str">
        <f>IF(OR(PROPER(TRIM(Raw_Data!D990))="Uk",PROPER(TRIM(Raw_Data!D990))="Gb",PROPER(TRIM(Raw_Data!D990))="United kingdom"),"United Kingdom",PROPER(TRIM(Raw_Data!D990)))</f>
        <v>United Kingdom</v>
      </c>
      <c r="E990" s="6" t="s">
        <v>46</v>
      </c>
      <c r="F990" s="6" t="s">
        <v>29</v>
      </c>
      <c r="G990" s="6" t="str">
        <f>SUBSTITUTE(Raw_Data!G990,"Ã©","é")</f>
        <v>Café Latte Mug</v>
      </c>
      <c r="H990" s="6">
        <v>1</v>
      </c>
      <c r="I990" s="6" t="s">
        <v>73</v>
      </c>
      <c r="J990" s="6" t="s">
        <v>73</v>
      </c>
      <c r="K990" s="6">
        <v>0.52</v>
      </c>
      <c r="L990" s="6" t="s">
        <v>42</v>
      </c>
      <c r="M990" s="6" t="s">
        <v>69</v>
      </c>
      <c r="N990" s="6"/>
    </row>
    <row r="991" spans="1:14">
      <c r="A991" s="6" t="s">
        <v>1998</v>
      </c>
      <c r="B991" s="7">
        <v>46179</v>
      </c>
      <c r="C991" s="6" t="s">
        <v>1999</v>
      </c>
      <c r="D991" s="6" t="str">
        <f>IF(OR(PROPER(TRIM(Raw_Data!D991))="Uk",PROPER(TRIM(Raw_Data!D991))="Gb",PROPER(TRIM(Raw_Data!D991))="United kingdom"),"United Kingdom",PROPER(TRIM(Raw_Data!D991)))</f>
        <v>United Kingdom</v>
      </c>
      <c r="E991" s="6" t="s">
        <v>78</v>
      </c>
      <c r="F991" s="6" t="s">
        <v>58</v>
      </c>
      <c r="G991" s="6" t="str">
        <f>SUBSTITUTE(Raw_Data!G991,"Ã©","é")</f>
        <v>Summit Down Gilet</v>
      </c>
      <c r="H991" s="6">
        <v>2</v>
      </c>
      <c r="I991" s="6" t="s">
        <v>73</v>
      </c>
      <c r="J991" s="6" t="s">
        <v>74</v>
      </c>
      <c r="K991" s="6">
        <v>0.38</v>
      </c>
      <c r="L991" s="6" t="s">
        <v>33</v>
      </c>
      <c r="M991" s="6" t="s">
        <v>34</v>
      </c>
      <c r="N991" s="6"/>
    </row>
    <row r="992" spans="1:14">
      <c r="A992" s="6" t="s">
        <v>2000</v>
      </c>
      <c r="B992" s="7">
        <v>46078</v>
      </c>
      <c r="C992" s="6" t="s">
        <v>2001</v>
      </c>
      <c r="D992" s="6" t="str">
        <f>IF(OR(PROPER(TRIM(Raw_Data!D992))="Uk",PROPER(TRIM(Raw_Data!D992))="Gb",PROPER(TRIM(Raw_Data!D992))="United kingdom"),"United Kingdom",PROPER(TRIM(Raw_Data!D992)))</f>
        <v>United Kingdom</v>
      </c>
      <c r="E992" s="6" t="s">
        <v>37</v>
      </c>
      <c r="F992" s="6" t="s">
        <v>47</v>
      </c>
      <c r="G992" s="6" t="str">
        <f>SUBSTITUTE(Raw_Data!G992,"Ã©","é")</f>
        <v>Storm Overtrousers</v>
      </c>
      <c r="H992" s="6">
        <v>1</v>
      </c>
      <c r="I992" s="6" t="s">
        <v>82</v>
      </c>
      <c r="J992" s="6" t="s">
        <v>82</v>
      </c>
      <c r="K992" s="6">
        <v>8.5000000000000006E-2</v>
      </c>
      <c r="L992" s="6" t="s">
        <v>33</v>
      </c>
      <c r="M992" s="6" t="s">
        <v>34</v>
      </c>
      <c r="N992" s="6"/>
    </row>
    <row r="993" spans="1:14">
      <c r="A993" s="6" t="s">
        <v>2002</v>
      </c>
      <c r="B993" s="7">
        <v>46269</v>
      </c>
      <c r="C993" s="6" t="s">
        <v>650</v>
      </c>
      <c r="D993" s="6" t="str">
        <f>IF(OR(PROPER(TRIM(Raw_Data!D993))="Uk",PROPER(TRIM(Raw_Data!D993))="Gb",PROPER(TRIM(Raw_Data!D993))="United kingdom"),"United Kingdom",PROPER(TRIM(Raw_Data!D993)))</f>
        <v>United Kingdom</v>
      </c>
      <c r="E993" s="6" t="s">
        <v>52</v>
      </c>
      <c r="F993" s="6" t="s">
        <v>29</v>
      </c>
      <c r="G993" s="6" t="str">
        <f>SUBSTITUTE(Raw_Data!G993,"Ã©","é")</f>
        <v>Merino Base Layer</v>
      </c>
      <c r="H993" s="6">
        <v>3</v>
      </c>
      <c r="I993" s="6" t="s">
        <v>265</v>
      </c>
      <c r="J993" s="6" t="s">
        <v>401</v>
      </c>
      <c r="K993" s="6">
        <v>0.52</v>
      </c>
      <c r="L993" s="6" t="s">
        <v>42</v>
      </c>
      <c r="M993" s="6" t="s">
        <v>69</v>
      </c>
      <c r="N993" s="6"/>
    </row>
    <row r="994" spans="1:14">
      <c r="A994" s="6" t="s">
        <v>2003</v>
      </c>
      <c r="B994" s="7">
        <v>46042</v>
      </c>
      <c r="C994" s="6" t="s">
        <v>2004</v>
      </c>
      <c r="D994" s="6" t="str">
        <f>IF(OR(PROPER(TRIM(Raw_Data!D994))="Uk",PROPER(TRIM(Raw_Data!D994))="Gb",PROPER(TRIM(Raw_Data!D994))="United kingdom"),"United Kingdom",PROPER(TRIM(Raw_Data!D994)))</f>
        <v>Ireland</v>
      </c>
      <c r="E994" s="6" t="s">
        <v>28</v>
      </c>
      <c r="F994" s="6" t="s">
        <v>100</v>
      </c>
      <c r="G994" s="6" t="str">
        <f>SUBSTITUTE(Raw_Data!G994,"Ã©","é")</f>
        <v>Merino Base Layer</v>
      </c>
      <c r="H994" s="6">
        <v>1</v>
      </c>
      <c r="I994" s="6" t="s">
        <v>265</v>
      </c>
      <c r="J994" s="6" t="s">
        <v>265</v>
      </c>
      <c r="K994" s="6">
        <v>0.64</v>
      </c>
      <c r="L994" s="6" t="s">
        <v>42</v>
      </c>
      <c r="M994" s="6" t="s">
        <v>34</v>
      </c>
      <c r="N994" s="6"/>
    </row>
    <row r="995" spans="1:14">
      <c r="A995" s="6" t="s">
        <v>2005</v>
      </c>
      <c r="B995" s="7">
        <v>46080</v>
      </c>
      <c r="C995" s="6" t="s">
        <v>304</v>
      </c>
      <c r="D995" s="6" t="str">
        <f>IF(OR(PROPER(TRIM(Raw_Data!D995))="Uk",PROPER(TRIM(Raw_Data!D995))="Gb",PROPER(TRIM(Raw_Data!D995))="United kingdom"),"United Kingdom",PROPER(TRIM(Raw_Data!D995)))</f>
        <v>Ireland</v>
      </c>
      <c r="E995" s="6" t="s">
        <v>46</v>
      </c>
      <c r="F995" s="6" t="s">
        <v>85</v>
      </c>
      <c r="G995" s="6" t="str">
        <f>SUBSTITUTE(Raw_Data!G995,"Ã©","é")</f>
        <v>Summit Down Gilet</v>
      </c>
      <c r="H995" s="6">
        <v>2</v>
      </c>
      <c r="I995" s="6" t="s">
        <v>147</v>
      </c>
      <c r="J995" s="6" t="s">
        <v>175</v>
      </c>
      <c r="K995" s="6">
        <v>0.41</v>
      </c>
      <c r="L995" s="6" t="s">
        <v>42</v>
      </c>
      <c r="M995" s="6" t="s">
        <v>34</v>
      </c>
      <c r="N995" s="6"/>
    </row>
    <row r="996" spans="1:14">
      <c r="A996" s="6" t="s">
        <v>2006</v>
      </c>
      <c r="B996" s="7">
        <v>46094</v>
      </c>
      <c r="C996" s="6" t="s">
        <v>1887</v>
      </c>
      <c r="D996" s="6" t="str">
        <f>IF(OR(PROPER(TRIM(Raw_Data!D996))="Uk",PROPER(TRIM(Raw_Data!D996))="Gb",PROPER(TRIM(Raw_Data!D996))="United kingdom"),"United Kingdom",PROPER(TRIM(Raw_Data!D996)))</f>
        <v>United Kingdom</v>
      </c>
      <c r="E996" s="6" t="s">
        <v>28</v>
      </c>
      <c r="F996" s="6" t="s">
        <v>58</v>
      </c>
      <c r="G996" s="6" t="str">
        <f>SUBSTITUTE(Raw_Data!G996,"Ã©","é")</f>
        <v>Trekking Poles</v>
      </c>
      <c r="H996" s="6">
        <v>3</v>
      </c>
      <c r="I996" s="6" t="s">
        <v>96</v>
      </c>
      <c r="J996" s="6" t="s">
        <v>97</v>
      </c>
      <c r="K996" s="6">
        <v>0.38</v>
      </c>
      <c r="L996" s="6" t="s">
        <v>42</v>
      </c>
      <c r="M996" s="6" t="s">
        <v>34</v>
      </c>
      <c r="N996" s="6"/>
    </row>
    <row r="997" spans="1:14">
      <c r="A997" s="6" t="s">
        <v>2007</v>
      </c>
      <c r="B997" s="7">
        <v>46073</v>
      </c>
      <c r="C997" s="6" t="s">
        <v>2008</v>
      </c>
      <c r="D997" s="6" t="str">
        <f>IF(OR(PROPER(TRIM(Raw_Data!D997))="Uk",PROPER(TRIM(Raw_Data!D997))="Gb",PROPER(TRIM(Raw_Data!D997))="United kingdom"),"United Kingdom",PROPER(TRIM(Raw_Data!D997)))</f>
        <v>Germany</v>
      </c>
      <c r="E997" s="6" t="s">
        <v>78</v>
      </c>
      <c r="F997" s="6" t="s">
        <v>29</v>
      </c>
      <c r="G997" s="6" t="str">
        <f>SUBSTITUTE(Raw_Data!G997,"Ã©","é")</f>
        <v>Summit Down Gilet</v>
      </c>
      <c r="H997" s="6">
        <v>1</v>
      </c>
      <c r="I997" s="6" t="s">
        <v>31</v>
      </c>
      <c r="J997" s="6" t="s">
        <v>31</v>
      </c>
      <c r="K997" s="6">
        <v>0.52</v>
      </c>
      <c r="L997" s="6" t="s">
        <v>33</v>
      </c>
      <c r="M997" s="6" t="s">
        <v>34</v>
      </c>
      <c r="N997" s="6"/>
    </row>
    <row r="998" spans="1:14">
      <c r="A998" s="6" t="s">
        <v>2009</v>
      </c>
      <c r="B998" s="7">
        <v>46131</v>
      </c>
      <c r="C998" s="6" t="s">
        <v>2010</v>
      </c>
      <c r="D998" s="6" t="str">
        <f>IF(OR(PROPER(TRIM(Raw_Data!D998))="Uk",PROPER(TRIM(Raw_Data!D998))="Gb",PROPER(TRIM(Raw_Data!D998))="United kingdom"),"United Kingdom",PROPER(TRIM(Raw_Data!D998)))</f>
        <v>Ireland</v>
      </c>
      <c r="E998" s="6" t="s">
        <v>28</v>
      </c>
      <c r="F998" s="6" t="s">
        <v>38</v>
      </c>
      <c r="G998" s="6" t="str">
        <f>SUBSTITUTE(Raw_Data!G998,"Ã©","é")</f>
        <v>Fell Runner Cap</v>
      </c>
      <c r="H998" s="6">
        <v>1</v>
      </c>
      <c r="I998" s="6" t="s">
        <v>166</v>
      </c>
      <c r="J998" s="6" t="s">
        <v>265</v>
      </c>
      <c r="K998" s="6">
        <v>0.52</v>
      </c>
      <c r="L998" s="6" t="s">
        <v>42</v>
      </c>
      <c r="M998" s="6" t="s">
        <v>34</v>
      </c>
      <c r="N998" s="6"/>
    </row>
    <row r="999" spans="1:14">
      <c r="A999" s="6" t="s">
        <v>2011</v>
      </c>
      <c r="B999" s="7">
        <v>46127</v>
      </c>
      <c r="C999" s="6" t="s">
        <v>1034</v>
      </c>
      <c r="D999" s="6" t="str">
        <f>IF(OR(PROPER(TRIM(Raw_Data!D999))="Uk",PROPER(TRIM(Raw_Data!D999))="Gb",PROPER(TRIM(Raw_Data!D999))="United kingdom"),"United Kingdom",PROPER(TRIM(Raw_Data!D999)))</f>
        <v>France</v>
      </c>
      <c r="E999" s="6" t="s">
        <v>46</v>
      </c>
      <c r="F999" s="6" t="s">
        <v>85</v>
      </c>
      <c r="G999" s="6" t="str">
        <f>SUBSTITUTE(Raw_Data!G999,"Ã©","é")</f>
        <v>Trekking Poles</v>
      </c>
      <c r="H999" s="6">
        <v>2</v>
      </c>
      <c r="I999" s="6" t="s">
        <v>79</v>
      </c>
      <c r="J999" s="6" t="s">
        <v>259</v>
      </c>
      <c r="K999" s="6">
        <v>0.41</v>
      </c>
      <c r="L999" s="6" t="s">
        <v>33</v>
      </c>
      <c r="M999" s="6" t="s">
        <v>34</v>
      </c>
      <c r="N999" s="6"/>
    </row>
    <row r="1000" spans="1:14">
      <c r="A1000" s="6" t="s">
        <v>2012</v>
      </c>
      <c r="B1000" s="7">
        <v>46088</v>
      </c>
      <c r="C1000" s="6" t="s">
        <v>236</v>
      </c>
      <c r="D1000" s="6" t="str">
        <f>IF(OR(PROPER(TRIM(Raw_Data!D1000))="Uk",PROPER(TRIM(Raw_Data!D1000))="Gb",PROPER(TRIM(Raw_Data!D1000))="United kingdom"),"United Kingdom",PROPER(TRIM(Raw_Data!D1000)))</f>
        <v>Germany</v>
      </c>
      <c r="E1000" s="6" t="s">
        <v>78</v>
      </c>
      <c r="F1000" s="6" t="s">
        <v>58</v>
      </c>
      <c r="G1000" s="6" t="str">
        <f>SUBSTITUTE(Raw_Data!G1000,"Ã©","é")</f>
        <v>Alpine Jacket</v>
      </c>
      <c r="H1000" s="6">
        <v>1</v>
      </c>
      <c r="I1000" s="6" t="s">
        <v>96</v>
      </c>
      <c r="J1000" s="6" t="s">
        <v>96</v>
      </c>
      <c r="K1000" s="6">
        <v>0.38</v>
      </c>
      <c r="L1000" s="6" t="s">
        <v>42</v>
      </c>
      <c r="M1000" s="6" t="s">
        <v>34</v>
      </c>
      <c r="N1000" s="6"/>
    </row>
    <row r="1001" spans="1:14">
      <c r="A1001" s="6" t="s">
        <v>2013</v>
      </c>
      <c r="B1001" s="7">
        <v>46037</v>
      </c>
      <c r="C1001" s="6" t="s">
        <v>2014</v>
      </c>
      <c r="D1001" s="6" t="str">
        <f>IF(OR(PROPER(TRIM(Raw_Data!D1001))="Uk",PROPER(TRIM(Raw_Data!D1001))="Gb",PROPER(TRIM(Raw_Data!D1001))="United kingdom"),"United Kingdom",PROPER(TRIM(Raw_Data!D1001)))</f>
        <v>United Kingdom</v>
      </c>
      <c r="E1001" s="6" t="s">
        <v>37</v>
      </c>
      <c r="F1001" s="6" t="s">
        <v>47</v>
      </c>
      <c r="G1001" s="6" t="str">
        <f>SUBSTITUTE(Raw_Data!G1001,"Ã©","é")</f>
        <v>Storm Overtrousers</v>
      </c>
      <c r="H1001" s="6">
        <v>1</v>
      </c>
      <c r="I1001" s="6" t="s">
        <v>181</v>
      </c>
      <c r="J1001" s="6" t="s">
        <v>181</v>
      </c>
      <c r="K1001" s="6">
        <v>8.5000000000000006E-2</v>
      </c>
      <c r="L1001" s="6" t="s">
        <v>42</v>
      </c>
      <c r="M1001" s="6" t="s">
        <v>69</v>
      </c>
      <c r="N1001" s="6"/>
    </row>
    <row r="1002" spans="1:14">
      <c r="A1002" s="6" t="s">
        <v>2015</v>
      </c>
      <c r="B1002" s="7">
        <v>46162</v>
      </c>
      <c r="C1002" s="6" t="s">
        <v>2016</v>
      </c>
      <c r="D1002" s="6" t="str">
        <f>IF(OR(PROPER(TRIM(Raw_Data!D1002))="Uk",PROPER(TRIM(Raw_Data!D1002))="Gb",PROPER(TRIM(Raw_Data!D1002))="United kingdom"),"United Kingdom",PROPER(TRIM(Raw_Data!D1002)))</f>
        <v>United Kingdom</v>
      </c>
      <c r="E1002" s="6" t="s">
        <v>78</v>
      </c>
      <c r="F1002" s="6" t="s">
        <v>58</v>
      </c>
      <c r="G1002" s="6" t="str">
        <f>SUBSTITUTE(Raw_Data!G1002,"Ã©","é")</f>
        <v>Summit Down Gilet</v>
      </c>
      <c r="H1002" s="6">
        <v>2</v>
      </c>
      <c r="I1002" s="6" t="s">
        <v>181</v>
      </c>
      <c r="J1002" s="6" t="s">
        <v>163</v>
      </c>
      <c r="K1002" s="6">
        <v>0.38</v>
      </c>
      <c r="L1002" s="6" t="s">
        <v>42</v>
      </c>
      <c r="M1002" s="6" t="s">
        <v>34</v>
      </c>
      <c r="N1002" s="6"/>
    </row>
    <row r="1003" spans="1:14">
      <c r="A1003" s="6" t="s">
        <v>2017</v>
      </c>
      <c r="B1003" s="7">
        <v>46058</v>
      </c>
      <c r="C1003" s="6" t="s">
        <v>2018</v>
      </c>
      <c r="D1003" s="6" t="str">
        <f>IF(OR(PROPER(TRIM(Raw_Data!D1003))="Uk",PROPER(TRIM(Raw_Data!D1003))="Gb",PROPER(TRIM(Raw_Data!D1003))="United kingdom"),"United Kingdom",PROPER(TRIM(Raw_Data!D1003)))</f>
        <v>France</v>
      </c>
      <c r="E1003" s="6" t="s">
        <v>78</v>
      </c>
      <c r="F1003" s="6" t="s">
        <v>94</v>
      </c>
      <c r="G1003" s="6" t="str">
        <f>SUBSTITUTE(Raw_Data!G1003,"Ã©","é")</f>
        <v>Trekking Poles</v>
      </c>
      <c r="H1003" s="6">
        <v>1</v>
      </c>
      <c r="I1003" s="6" t="s">
        <v>79</v>
      </c>
      <c r="J1003" s="6" t="s">
        <v>79</v>
      </c>
      <c r="K1003" s="6">
        <v>0.34</v>
      </c>
      <c r="L1003" s="6" t="s">
        <v>42</v>
      </c>
      <c r="M1003" s="6" t="s">
        <v>34</v>
      </c>
      <c r="N1003" s="6"/>
    </row>
    <row r="1004" spans="1:14">
      <c r="A1004" s="6" t="s">
        <v>2019</v>
      </c>
      <c r="B1004" s="7">
        <v>46140</v>
      </c>
      <c r="C1004" s="6" t="s">
        <v>1210</v>
      </c>
      <c r="D1004" s="6" t="str">
        <f>IF(OR(PROPER(TRIM(Raw_Data!D1004))="Uk",PROPER(TRIM(Raw_Data!D1004))="Gb",PROPER(TRIM(Raw_Data!D1004))="United kingdom"),"United Kingdom",PROPER(TRIM(Raw_Data!D1004)))</f>
        <v>United Kingdom</v>
      </c>
      <c r="E1004" s="6" t="s">
        <v>78</v>
      </c>
      <c r="F1004" s="6" t="s">
        <v>29</v>
      </c>
      <c r="G1004" s="6" t="str">
        <f>SUBSTITUTE(Raw_Data!G1004,"Ã©","é")</f>
        <v>Trail Softshell</v>
      </c>
      <c r="H1004" s="6">
        <v>1</v>
      </c>
      <c r="I1004" s="6" t="s">
        <v>147</v>
      </c>
      <c r="J1004" s="6" t="s">
        <v>147</v>
      </c>
      <c r="K1004" s="6">
        <v>0.52</v>
      </c>
      <c r="L1004" s="6" t="s">
        <v>42</v>
      </c>
      <c r="M1004" s="6" t="s">
        <v>69</v>
      </c>
      <c r="N1004" s="6"/>
    </row>
    <row r="1005" spans="1:14">
      <c r="A1005" s="6" t="s">
        <v>2020</v>
      </c>
      <c r="B1005" s="7">
        <v>46038</v>
      </c>
      <c r="C1005" s="6" t="s">
        <v>1497</v>
      </c>
      <c r="D1005" s="6" t="str">
        <f>IF(OR(PROPER(TRIM(Raw_Data!D1005))="Uk",PROPER(TRIM(Raw_Data!D1005))="Gb",PROPER(TRIM(Raw_Data!D1005))="United kingdom"),"United Kingdom",PROPER(TRIM(Raw_Data!D1005)))</f>
        <v>United Kingdom</v>
      </c>
      <c r="E1005" s="6" t="s">
        <v>78</v>
      </c>
      <c r="F1005" s="6" t="s">
        <v>29</v>
      </c>
      <c r="G1005" s="6" t="str">
        <f>SUBSTITUTE(Raw_Data!G1005,"Ã©","é")</f>
        <v>Storm Overtrousers</v>
      </c>
      <c r="H1005" s="6">
        <v>1</v>
      </c>
      <c r="I1005" s="6" t="s">
        <v>79</v>
      </c>
      <c r="J1005" s="6" t="s">
        <v>79</v>
      </c>
      <c r="K1005" s="6">
        <v>0.52</v>
      </c>
      <c r="L1005" s="6" t="s">
        <v>33</v>
      </c>
      <c r="M1005" s="6" t="s">
        <v>34</v>
      </c>
      <c r="N1005" s="6"/>
    </row>
    <row r="1006" spans="1:14">
      <c r="A1006" s="6" t="s">
        <v>2021</v>
      </c>
      <c r="B1006" s="7">
        <v>46142</v>
      </c>
      <c r="C1006" s="6" t="s">
        <v>2022</v>
      </c>
      <c r="D1006" s="6" t="str">
        <f>IF(OR(PROPER(TRIM(Raw_Data!D1006))="Uk",PROPER(TRIM(Raw_Data!D1006))="Gb",PROPER(TRIM(Raw_Data!D1006))="United kingdom"),"United Kingdom",PROPER(TRIM(Raw_Data!D1006)))</f>
        <v>Germany</v>
      </c>
      <c r="E1006" s="6" t="s">
        <v>46</v>
      </c>
      <c r="F1006" s="6" t="s">
        <v>100</v>
      </c>
      <c r="G1006" s="6" t="str">
        <f>SUBSTITUTE(Raw_Data!G1006,"Ã©","é")</f>
        <v>Trail Softshell</v>
      </c>
      <c r="H1006" s="6">
        <v>1</v>
      </c>
      <c r="I1006" s="6" t="s">
        <v>143</v>
      </c>
      <c r="J1006" s="6" t="s">
        <v>143</v>
      </c>
      <c r="K1006" s="6">
        <v>0.64</v>
      </c>
      <c r="L1006" s="6" t="s">
        <v>42</v>
      </c>
      <c r="M1006" s="6" t="s">
        <v>34</v>
      </c>
      <c r="N1006" s="6"/>
    </row>
    <row r="1007" spans="1:14">
      <c r="A1007" s="6" t="s">
        <v>2023</v>
      </c>
      <c r="B1007" s="7">
        <v>46067</v>
      </c>
      <c r="C1007" s="6" t="s">
        <v>2010</v>
      </c>
      <c r="D1007" s="6" t="str">
        <f>IF(OR(PROPER(TRIM(Raw_Data!D1007))="Uk",PROPER(TRIM(Raw_Data!D1007))="Gb",PROPER(TRIM(Raw_Data!D1007))="United kingdom"),"United Kingdom",PROPER(TRIM(Raw_Data!D1007)))</f>
        <v>Ireland</v>
      </c>
      <c r="E1007" s="6" t="s">
        <v>37</v>
      </c>
      <c r="F1007" s="6" t="s">
        <v>94</v>
      </c>
      <c r="G1007" s="6" t="str">
        <f>SUBSTITUTE(Raw_Data!G1007,"Ã©","é")</f>
        <v>Summit Down Gilet</v>
      </c>
      <c r="H1007" s="6">
        <v>1</v>
      </c>
      <c r="I1007" s="6" t="s">
        <v>82</v>
      </c>
      <c r="J1007" s="6" t="s">
        <v>1674</v>
      </c>
      <c r="K1007" s="6">
        <v>0.34</v>
      </c>
      <c r="L1007" s="6" t="s">
        <v>42</v>
      </c>
      <c r="M1007" s="6" t="s">
        <v>69</v>
      </c>
      <c r="N1007" s="6"/>
    </row>
    <row r="1008" spans="1:14">
      <c r="A1008" s="6" t="s">
        <v>2024</v>
      </c>
      <c r="B1008" s="7">
        <v>46128</v>
      </c>
      <c r="C1008" s="6" t="s">
        <v>2025</v>
      </c>
      <c r="D1008" s="6" t="str">
        <f>IF(OR(PROPER(TRIM(Raw_Data!D1008))="Uk",PROPER(TRIM(Raw_Data!D1008))="Gb",PROPER(TRIM(Raw_Data!D1008))="United kingdom"),"United Kingdom",PROPER(TRIM(Raw_Data!D1008)))</f>
        <v>Germany</v>
      </c>
      <c r="E1008" s="6" t="s">
        <v>52</v>
      </c>
      <c r="F1008" s="6" t="s">
        <v>47</v>
      </c>
      <c r="G1008" s="6" t="str">
        <f>SUBSTITUTE(Raw_Data!G1008,"Ã©","é")</f>
        <v>Fell Runner Cap</v>
      </c>
      <c r="H1008" s="6">
        <v>1</v>
      </c>
      <c r="I1008" s="6" t="s">
        <v>90</v>
      </c>
      <c r="J1008" s="6" t="s">
        <v>90</v>
      </c>
      <c r="K1008" s="6">
        <v>8.5000000000000006E-2</v>
      </c>
      <c r="L1008" s="6" t="s">
        <v>42</v>
      </c>
      <c r="M1008" s="6" t="s">
        <v>69</v>
      </c>
      <c r="N1008" s="6"/>
    </row>
    <row r="1009" spans="1:14">
      <c r="A1009" s="6" t="s">
        <v>2026</v>
      </c>
      <c r="B1009" s="7">
        <v>46239</v>
      </c>
      <c r="C1009" s="6" t="s">
        <v>2027</v>
      </c>
      <c r="D1009" s="6" t="str">
        <f>IF(OR(PROPER(TRIM(Raw_Data!D1009))="Uk",PROPER(TRIM(Raw_Data!D1009))="Gb",PROPER(TRIM(Raw_Data!D1009))="United kingdom"),"United Kingdom",PROPER(TRIM(Raw_Data!D1009)))</f>
        <v>Ireland</v>
      </c>
      <c r="E1009" s="6" t="s">
        <v>52</v>
      </c>
      <c r="F1009" s="6" t="s">
        <v>58</v>
      </c>
      <c r="G1009" s="6" t="str">
        <f>SUBSTITUTE(Raw_Data!G1009,"Ã©","é")</f>
        <v>Summit Down Gilet</v>
      </c>
      <c r="H1009" s="6">
        <v>1</v>
      </c>
      <c r="I1009" s="6" t="s">
        <v>113</v>
      </c>
      <c r="J1009" s="6" t="s">
        <v>113</v>
      </c>
      <c r="K1009" s="6">
        <v>0.38</v>
      </c>
      <c r="L1009" s="6" t="s">
        <v>42</v>
      </c>
      <c r="M1009" s="6" t="s">
        <v>34</v>
      </c>
      <c r="N1009" s="6"/>
    </row>
    <row r="1010" spans="1:14">
      <c r="A1010" s="6" t="s">
        <v>2028</v>
      </c>
      <c r="B1010" s="7">
        <v>46066</v>
      </c>
      <c r="C1010" s="6" t="s">
        <v>1420</v>
      </c>
      <c r="D1010" s="6" t="str">
        <f>IF(OR(PROPER(TRIM(Raw_Data!D1010))="Uk",PROPER(TRIM(Raw_Data!D1010))="Gb",PROPER(TRIM(Raw_Data!D1010))="United kingdom"),"United Kingdom",PROPER(TRIM(Raw_Data!D1010)))</f>
        <v>United Kingdom</v>
      </c>
      <c r="E1010" s="6" t="s">
        <v>37</v>
      </c>
      <c r="F1010" s="6" t="s">
        <v>94</v>
      </c>
      <c r="G1010" s="6" t="str">
        <f>SUBSTITUTE(Raw_Data!G1010,"Ã©","é")</f>
        <v>Café Latte Mug</v>
      </c>
      <c r="H1010" s="6">
        <v>1</v>
      </c>
      <c r="I1010" s="6" t="s">
        <v>117</v>
      </c>
      <c r="J1010" s="6" t="s">
        <v>117</v>
      </c>
      <c r="K1010" s="6">
        <v>0.34</v>
      </c>
      <c r="L1010" s="6" t="s">
        <v>33</v>
      </c>
      <c r="M1010" s="6" t="s">
        <v>69</v>
      </c>
      <c r="N1010" s="6"/>
    </row>
    <row r="1011" spans="1:14">
      <c r="A1011" s="6" t="s">
        <v>2030</v>
      </c>
      <c r="B1011" s="7">
        <v>46192</v>
      </c>
      <c r="C1011" s="6" t="s">
        <v>2031</v>
      </c>
      <c r="D1011" s="6" t="str">
        <f>IF(OR(PROPER(TRIM(Raw_Data!D1011))="Uk",PROPER(TRIM(Raw_Data!D1011))="Gb",PROPER(TRIM(Raw_Data!D1011))="United kingdom"),"United Kingdom",PROPER(TRIM(Raw_Data!D1011)))</f>
        <v>Ireland</v>
      </c>
      <c r="E1011" s="6" t="s">
        <v>52</v>
      </c>
      <c r="F1011" s="6" t="s">
        <v>100</v>
      </c>
      <c r="G1011" s="6" t="str">
        <f>SUBSTITUTE(Raw_Data!G1011,"Ã©","é")</f>
        <v>Trekking Poles</v>
      </c>
      <c r="H1011" s="6">
        <v>1</v>
      </c>
      <c r="I1011" s="6" t="s">
        <v>181</v>
      </c>
      <c r="J1011" s="6" t="s">
        <v>181</v>
      </c>
      <c r="K1011" s="6">
        <v>0.64</v>
      </c>
      <c r="L1011" s="6" t="s">
        <v>42</v>
      </c>
      <c r="M1011" s="6" t="s">
        <v>69</v>
      </c>
      <c r="N1011" s="6"/>
    </row>
    <row r="1012" spans="1:14">
      <c r="A1012" s="6" t="s">
        <v>2032</v>
      </c>
      <c r="B1012" s="7">
        <v>46178</v>
      </c>
      <c r="C1012" s="6" t="s">
        <v>2033</v>
      </c>
      <c r="D1012" s="6" t="str">
        <f>IF(OR(PROPER(TRIM(Raw_Data!D1012))="Uk",PROPER(TRIM(Raw_Data!D1012))="Gb",PROPER(TRIM(Raw_Data!D1012))="United kingdom"),"United Kingdom",PROPER(TRIM(Raw_Data!D1012)))</f>
        <v>United Kingdom</v>
      </c>
      <c r="E1012" s="6" t="s">
        <v>46</v>
      </c>
      <c r="F1012" s="6" t="s">
        <v>58</v>
      </c>
      <c r="G1012" s="6" t="str">
        <f>SUBSTITUTE(Raw_Data!G1012,"Ã©","é")</f>
        <v>Trekking Poles</v>
      </c>
      <c r="H1012" s="6">
        <v>1</v>
      </c>
      <c r="I1012" s="6" t="s">
        <v>117</v>
      </c>
      <c r="J1012" s="6" t="s">
        <v>117</v>
      </c>
      <c r="K1012" s="6">
        <v>0.38</v>
      </c>
      <c r="L1012" s="6" t="s">
        <v>42</v>
      </c>
      <c r="M1012" s="6" t="s">
        <v>69</v>
      </c>
      <c r="N1012" s="6"/>
    </row>
    <row r="1013" spans="1:14">
      <c r="A1013" s="6" t="s">
        <v>2034</v>
      </c>
      <c r="B1013" s="7">
        <v>46105</v>
      </c>
      <c r="C1013" s="6" t="s">
        <v>2035</v>
      </c>
      <c r="D1013" s="6" t="str">
        <f>IF(OR(PROPER(TRIM(Raw_Data!D1013))="Uk",PROPER(TRIM(Raw_Data!D1013))="Gb",PROPER(TRIM(Raw_Data!D1013))="United kingdom"),"United Kingdom",PROPER(TRIM(Raw_Data!D1013)))</f>
        <v>Ireland</v>
      </c>
      <c r="E1013" s="6" t="s">
        <v>28</v>
      </c>
      <c r="F1013" s="6" t="s">
        <v>38</v>
      </c>
      <c r="G1013" s="6" t="str">
        <f>SUBSTITUTE(Raw_Data!G1013,"Ã©","é")</f>
        <v>Alpine Jacket</v>
      </c>
      <c r="H1013" s="6">
        <v>1</v>
      </c>
      <c r="I1013" s="6" t="s">
        <v>265</v>
      </c>
      <c r="J1013" s="6" t="s">
        <v>265</v>
      </c>
      <c r="K1013" s="6">
        <v>0.52</v>
      </c>
      <c r="L1013" s="6" t="s">
        <v>42</v>
      </c>
      <c r="M1013" s="6" t="s">
        <v>34</v>
      </c>
      <c r="N1013" s="6"/>
    </row>
    <row r="1014" spans="1:14">
      <c r="A1014" s="6" t="s">
        <v>2036</v>
      </c>
      <c r="B1014" s="7">
        <v>46059</v>
      </c>
      <c r="C1014" s="6" t="s">
        <v>1901</v>
      </c>
      <c r="D1014" s="6" t="str">
        <f>IF(OR(PROPER(TRIM(Raw_Data!D1014))="Uk",PROPER(TRIM(Raw_Data!D1014))="Gb",PROPER(TRIM(Raw_Data!D1014))="United kingdom"),"United Kingdom",PROPER(TRIM(Raw_Data!D1014)))</f>
        <v>Ireland</v>
      </c>
      <c r="E1014" s="6" t="s">
        <v>28</v>
      </c>
      <c r="F1014" s="6" t="s">
        <v>29</v>
      </c>
      <c r="G1014" s="6" t="str">
        <f>SUBSTITUTE(Raw_Data!G1014,"Ã©","é")</f>
        <v>Café Latte Mug</v>
      </c>
      <c r="H1014" s="6">
        <v>2</v>
      </c>
      <c r="I1014" s="6" t="s">
        <v>117</v>
      </c>
      <c r="J1014" s="6" t="s">
        <v>2037</v>
      </c>
      <c r="K1014" s="6">
        <v>0.52</v>
      </c>
      <c r="L1014" s="6" t="s">
        <v>42</v>
      </c>
      <c r="M1014" s="6" t="s">
        <v>69</v>
      </c>
      <c r="N1014" s="6"/>
    </row>
    <row r="1015" spans="1:14">
      <c r="A1015" s="6" t="s">
        <v>2038</v>
      </c>
      <c r="B1015" s="7">
        <v>46050</v>
      </c>
      <c r="C1015" s="6" t="s">
        <v>2039</v>
      </c>
      <c r="D1015" s="6" t="str">
        <f>IF(OR(PROPER(TRIM(Raw_Data!D1015))="Uk",PROPER(TRIM(Raw_Data!D1015))="Gb",PROPER(TRIM(Raw_Data!D1015))="United kingdom"),"United Kingdom",PROPER(TRIM(Raw_Data!D1015)))</f>
        <v>France</v>
      </c>
      <c r="E1015" s="6" t="s">
        <v>28</v>
      </c>
      <c r="F1015" s="6" t="s">
        <v>29</v>
      </c>
      <c r="G1015" s="6" t="str">
        <f>SUBSTITUTE(Raw_Data!G1015,"Ã©","é")</f>
        <v>Fell Runner Cap</v>
      </c>
      <c r="H1015" s="6">
        <v>1</v>
      </c>
      <c r="I1015" s="6" t="s">
        <v>96</v>
      </c>
      <c r="J1015" s="6" t="s">
        <v>96</v>
      </c>
      <c r="K1015" s="6">
        <v>0.52</v>
      </c>
      <c r="L1015" s="6" t="s">
        <v>42</v>
      </c>
      <c r="M1015" s="6" t="s">
        <v>34</v>
      </c>
      <c r="N1015" s="6"/>
    </row>
    <row r="1016" spans="1:14">
      <c r="A1016" s="6" t="s">
        <v>2040</v>
      </c>
      <c r="B1016" s="7">
        <v>46240</v>
      </c>
      <c r="C1016" s="6" t="s">
        <v>345</v>
      </c>
      <c r="D1016" s="6" t="str">
        <f>IF(OR(PROPER(TRIM(Raw_Data!D1016))="Uk",PROPER(TRIM(Raw_Data!D1016))="Gb",PROPER(TRIM(Raw_Data!D1016))="United kingdom"),"United Kingdom",PROPER(TRIM(Raw_Data!D1016)))</f>
        <v>Ireland</v>
      </c>
      <c r="E1016" s="6" t="s">
        <v>28</v>
      </c>
      <c r="F1016" s="6" t="s">
        <v>53</v>
      </c>
      <c r="G1016" s="6" t="str">
        <f>SUBSTITUTE(Raw_Data!G1016,"Ã©","é")</f>
        <v>Summit Down Gilet</v>
      </c>
      <c r="H1016" s="6">
        <v>2</v>
      </c>
      <c r="I1016" s="6" t="s">
        <v>181</v>
      </c>
      <c r="J1016" s="6" t="s">
        <v>163</v>
      </c>
      <c r="K1016" s="6">
        <v>0.19</v>
      </c>
      <c r="L1016" s="6" t="s">
        <v>33</v>
      </c>
      <c r="M1016" s="6" t="s">
        <v>34</v>
      </c>
      <c r="N1016" s="6"/>
    </row>
    <row r="1017" spans="1:14">
      <c r="A1017" s="6" t="s">
        <v>2041</v>
      </c>
      <c r="B1017" s="7">
        <v>46067</v>
      </c>
      <c r="C1017" s="6" t="s">
        <v>2042</v>
      </c>
      <c r="D1017" s="6" t="str">
        <f>IF(OR(PROPER(TRIM(Raw_Data!D1017))="Uk",PROPER(TRIM(Raw_Data!D1017))="Gb",PROPER(TRIM(Raw_Data!D1017))="United kingdom"),"United Kingdom",PROPER(TRIM(Raw_Data!D1017)))</f>
        <v>France</v>
      </c>
      <c r="E1017" s="6" t="s">
        <v>46</v>
      </c>
      <c r="F1017" s="6" t="s">
        <v>94</v>
      </c>
      <c r="G1017" s="6" t="str">
        <f>SUBSTITUTE(Raw_Data!G1017,"Ã©","é")</f>
        <v>Café Latte Mug</v>
      </c>
      <c r="H1017" s="6">
        <v>1</v>
      </c>
      <c r="I1017" s="6" t="s">
        <v>265</v>
      </c>
      <c r="J1017" s="6" t="s">
        <v>265</v>
      </c>
      <c r="K1017" s="6">
        <v>0.34</v>
      </c>
      <c r="L1017" s="6" t="s">
        <v>42</v>
      </c>
      <c r="M1017" s="6" t="s">
        <v>69</v>
      </c>
      <c r="N1017" s="6"/>
    </row>
    <row r="1018" spans="1:14">
      <c r="A1018" s="6" t="s">
        <v>2043</v>
      </c>
      <c r="B1018" s="7">
        <v>46146</v>
      </c>
      <c r="C1018" s="6" t="s">
        <v>1603</v>
      </c>
      <c r="D1018" s="6" t="str">
        <f>IF(OR(PROPER(TRIM(Raw_Data!D1018))="Uk",PROPER(TRIM(Raw_Data!D1018))="Gb",PROPER(TRIM(Raw_Data!D1018))="United kingdom"),"United Kingdom",PROPER(TRIM(Raw_Data!D1018)))</f>
        <v>United Kingdom</v>
      </c>
      <c r="E1018" s="6" t="s">
        <v>52</v>
      </c>
      <c r="F1018" s="6" t="s">
        <v>53</v>
      </c>
      <c r="G1018" s="6" t="str">
        <f>SUBSTITUTE(Raw_Data!G1018,"Ã©","é")</f>
        <v>Alpine Jacket</v>
      </c>
      <c r="H1018" s="6">
        <v>1</v>
      </c>
      <c r="I1018" s="6" t="s">
        <v>113</v>
      </c>
      <c r="J1018" s="6" t="s">
        <v>113</v>
      </c>
      <c r="K1018" s="6">
        <v>0.19</v>
      </c>
      <c r="L1018" s="6" t="s">
        <v>42</v>
      </c>
      <c r="M1018" s="6" t="s">
        <v>69</v>
      </c>
      <c r="N1018" s="6"/>
    </row>
    <row r="1019" spans="1:14">
      <c r="A1019" s="6" t="s">
        <v>2044</v>
      </c>
      <c r="B1019" s="7">
        <v>46110</v>
      </c>
      <c r="C1019" s="6" t="s">
        <v>367</v>
      </c>
      <c r="D1019" s="6" t="str">
        <f>IF(OR(PROPER(TRIM(Raw_Data!D1019))="Uk",PROPER(TRIM(Raw_Data!D1019))="Gb",PROPER(TRIM(Raw_Data!D1019))="United kingdom"),"United Kingdom",PROPER(TRIM(Raw_Data!D1019)))</f>
        <v>United Kingdom</v>
      </c>
      <c r="E1019" s="6" t="s">
        <v>28</v>
      </c>
      <c r="F1019" s="6" t="s">
        <v>100</v>
      </c>
      <c r="G1019" s="6" t="str">
        <f>SUBSTITUTE(Raw_Data!G1019,"Ã©","é")</f>
        <v>Summit Down Gilet</v>
      </c>
      <c r="H1019" s="6">
        <v>1</v>
      </c>
      <c r="I1019" s="6" t="s">
        <v>113</v>
      </c>
      <c r="J1019" s="6" t="s">
        <v>1456</v>
      </c>
      <c r="K1019" s="6">
        <v>0.64</v>
      </c>
      <c r="L1019" s="6" t="s">
        <v>42</v>
      </c>
      <c r="M1019" s="6" t="s">
        <v>34</v>
      </c>
      <c r="N1019" s="6"/>
    </row>
    <row r="1020" spans="1:14">
      <c r="A1020" s="6" t="s">
        <v>2045</v>
      </c>
      <c r="B1020" s="7">
        <v>46127</v>
      </c>
      <c r="C1020" s="6" t="s">
        <v>2046</v>
      </c>
      <c r="D1020" s="6" t="str">
        <f>IF(OR(PROPER(TRIM(Raw_Data!D1020))="Uk",PROPER(TRIM(Raw_Data!D1020))="Gb",PROPER(TRIM(Raw_Data!D1020))="United kingdom"),"United Kingdom",PROPER(TRIM(Raw_Data!D1020)))</f>
        <v>United Kingdom</v>
      </c>
      <c r="E1020" s="6" t="s">
        <v>46</v>
      </c>
      <c r="F1020" s="6" t="s">
        <v>58</v>
      </c>
      <c r="G1020" s="6" t="str">
        <f>SUBSTITUTE(Raw_Data!G1020,"Ã©","é")</f>
        <v>Trail Softshell</v>
      </c>
      <c r="H1020" s="6">
        <v>2</v>
      </c>
      <c r="I1020" s="6" t="s">
        <v>113</v>
      </c>
      <c r="J1020" s="6" t="s">
        <v>1576</v>
      </c>
      <c r="K1020" s="6">
        <v>0.38</v>
      </c>
      <c r="L1020" s="6" t="s">
        <v>42</v>
      </c>
      <c r="M1020" s="6" t="s">
        <v>34</v>
      </c>
      <c r="N1020" s="6"/>
    </row>
    <row r="1021" spans="1:14">
      <c r="A1021" s="6" t="s">
        <v>2047</v>
      </c>
      <c r="B1021" s="7">
        <v>46128</v>
      </c>
      <c r="C1021" s="6" t="s">
        <v>1458</v>
      </c>
      <c r="D1021" s="6" t="str">
        <f>IF(OR(PROPER(TRIM(Raw_Data!D1021))="Uk",PROPER(TRIM(Raw_Data!D1021))="Gb",PROPER(TRIM(Raw_Data!D1021))="United kingdom"),"United Kingdom",PROPER(TRIM(Raw_Data!D1021)))</f>
        <v>United Kingdom</v>
      </c>
      <c r="E1021" s="6" t="s">
        <v>28</v>
      </c>
      <c r="F1021" s="6" t="s">
        <v>94</v>
      </c>
      <c r="G1021" s="6" t="str">
        <f>SUBSTITUTE(Raw_Data!G1021,"Ã©","é")</f>
        <v>Trekking Poles</v>
      </c>
      <c r="H1021" s="6">
        <v>2</v>
      </c>
      <c r="I1021" s="6" t="s">
        <v>79</v>
      </c>
      <c r="J1021" s="6" t="s">
        <v>259</v>
      </c>
      <c r="K1021" s="6">
        <v>0.34</v>
      </c>
      <c r="L1021" s="6" t="s">
        <v>33</v>
      </c>
      <c r="M1021" s="6" t="s">
        <v>34</v>
      </c>
      <c r="N1021" s="6"/>
    </row>
    <row r="1022" spans="1:14">
      <c r="A1022" s="6" t="s">
        <v>2048</v>
      </c>
      <c r="B1022" s="7">
        <v>46097</v>
      </c>
      <c r="C1022" s="6" t="s">
        <v>1539</v>
      </c>
      <c r="D1022" s="6" t="str">
        <f>IF(OR(PROPER(TRIM(Raw_Data!D1022))="Uk",PROPER(TRIM(Raw_Data!D1022))="Gb",PROPER(TRIM(Raw_Data!D1022))="United kingdom"),"United Kingdom",PROPER(TRIM(Raw_Data!D1022)))</f>
        <v>Ireland</v>
      </c>
      <c r="E1022" s="6" t="s">
        <v>78</v>
      </c>
      <c r="F1022" s="6" t="s">
        <v>53</v>
      </c>
      <c r="G1022" s="6" t="str">
        <f>SUBSTITUTE(Raw_Data!G1022,"Ã©","é")</f>
        <v>Trekking Poles</v>
      </c>
      <c r="H1022" s="6">
        <v>2</v>
      </c>
      <c r="I1022" s="6" t="s">
        <v>40</v>
      </c>
      <c r="J1022" s="6" t="s">
        <v>327</v>
      </c>
      <c r="K1022" s="6">
        <v>0.19</v>
      </c>
      <c r="L1022" s="6" t="s">
        <v>42</v>
      </c>
      <c r="M1022" s="6" t="s">
        <v>34</v>
      </c>
      <c r="N1022" s="6"/>
    </row>
    <row r="1023" spans="1:14">
      <c r="A1023" s="6" t="s">
        <v>2049</v>
      </c>
      <c r="B1023" s="7">
        <v>46068</v>
      </c>
      <c r="C1023" s="6" t="s">
        <v>2050</v>
      </c>
      <c r="D1023" s="6" t="str">
        <f>IF(OR(PROPER(TRIM(Raw_Data!D1023))="Uk",PROPER(TRIM(Raw_Data!D1023))="Gb",PROPER(TRIM(Raw_Data!D1023))="United kingdom"),"United Kingdom",PROPER(TRIM(Raw_Data!D1023)))</f>
        <v>United Kingdom</v>
      </c>
      <c r="E1023" s="6" t="s">
        <v>78</v>
      </c>
      <c r="F1023" s="6" t="s">
        <v>47</v>
      </c>
      <c r="G1023" s="6" t="str">
        <f>SUBSTITUTE(Raw_Data!G1023,"Ã©","é")</f>
        <v>Merino Base Layer</v>
      </c>
      <c r="H1023" s="6">
        <v>1</v>
      </c>
      <c r="I1023" s="6" t="s">
        <v>90</v>
      </c>
      <c r="J1023" s="6" t="s">
        <v>90</v>
      </c>
      <c r="K1023" s="6">
        <v>8.5000000000000006E-2</v>
      </c>
      <c r="L1023" s="6" t="s">
        <v>42</v>
      </c>
      <c r="M1023" s="6" t="s">
        <v>34</v>
      </c>
      <c r="N1023" s="6"/>
    </row>
    <row r="1024" spans="1:14">
      <c r="A1024" s="6" t="s">
        <v>2051</v>
      </c>
      <c r="B1024" s="7">
        <v>46165</v>
      </c>
      <c r="C1024" s="6" t="s">
        <v>1207</v>
      </c>
      <c r="D1024" s="6" t="str">
        <f>IF(OR(PROPER(TRIM(Raw_Data!D1024))="Uk",PROPER(TRIM(Raw_Data!D1024))="Gb",PROPER(TRIM(Raw_Data!D1024))="United kingdom"),"United Kingdom",PROPER(TRIM(Raw_Data!D1024)))</f>
        <v>United Kingdom</v>
      </c>
      <c r="E1024" s="6" t="s">
        <v>78</v>
      </c>
      <c r="F1024" s="6" t="s">
        <v>47</v>
      </c>
      <c r="G1024" s="6" t="str">
        <f>SUBSTITUTE(Raw_Data!G1024,"Ã©","é")</f>
        <v>Café Latte Mug</v>
      </c>
      <c r="H1024" s="6">
        <v>3</v>
      </c>
      <c r="I1024" s="6" t="s">
        <v>82</v>
      </c>
      <c r="J1024" s="6" t="s">
        <v>390</v>
      </c>
      <c r="K1024" s="6">
        <v>8.5000000000000006E-2</v>
      </c>
      <c r="L1024" s="6" t="s">
        <v>42</v>
      </c>
      <c r="M1024" s="6" t="s">
        <v>69</v>
      </c>
      <c r="N1024" s="6"/>
    </row>
    <row r="1025" spans="1:14">
      <c r="A1025" s="6" t="s">
        <v>2052</v>
      </c>
      <c r="B1025" s="7">
        <v>46057</v>
      </c>
      <c r="C1025" s="6" t="s">
        <v>2053</v>
      </c>
      <c r="D1025" s="6" t="str">
        <f>IF(OR(PROPER(TRIM(Raw_Data!D1025))="Uk",PROPER(TRIM(Raw_Data!D1025))="Gb",PROPER(TRIM(Raw_Data!D1025))="United kingdom"),"United Kingdom",PROPER(TRIM(Raw_Data!D1025)))</f>
        <v>Germany</v>
      </c>
      <c r="E1025" s="6" t="s">
        <v>78</v>
      </c>
      <c r="F1025" s="6" t="s">
        <v>53</v>
      </c>
      <c r="G1025" s="6" t="str">
        <f>SUBSTITUTE(Raw_Data!G1025,"Ã©","é")</f>
        <v>Merino Base Layer</v>
      </c>
      <c r="H1025" s="6">
        <v>2</v>
      </c>
      <c r="I1025" s="6" t="s">
        <v>60</v>
      </c>
      <c r="J1025" s="6" t="s">
        <v>189</v>
      </c>
      <c r="K1025" s="6">
        <v>0.19</v>
      </c>
      <c r="L1025" s="6" t="s">
        <v>42</v>
      </c>
      <c r="M1025" s="6" t="s">
        <v>34</v>
      </c>
      <c r="N1025" s="6"/>
    </row>
    <row r="1026" spans="1:14">
      <c r="A1026" s="6" t="s">
        <v>2054</v>
      </c>
      <c r="B1026" s="7">
        <v>46238</v>
      </c>
      <c r="C1026" s="6" t="s">
        <v>2055</v>
      </c>
      <c r="D1026" s="6" t="str">
        <f>IF(OR(PROPER(TRIM(Raw_Data!D1026))="Uk",PROPER(TRIM(Raw_Data!D1026))="Gb",PROPER(TRIM(Raw_Data!D1026))="United kingdom"),"United Kingdom",PROPER(TRIM(Raw_Data!D1026)))</f>
        <v>United Kingdom</v>
      </c>
      <c r="E1026" s="6" t="s">
        <v>52</v>
      </c>
      <c r="F1026" s="6" t="s">
        <v>38</v>
      </c>
      <c r="G1026" s="6" t="str">
        <f>SUBSTITUTE(Raw_Data!G1026,"Ã©","é")</f>
        <v>Alpine Jacket</v>
      </c>
      <c r="H1026" s="6">
        <v>1</v>
      </c>
      <c r="I1026" s="6" t="s">
        <v>79</v>
      </c>
      <c r="J1026" s="6" t="s">
        <v>79</v>
      </c>
      <c r="K1026" s="6">
        <v>0.52</v>
      </c>
      <c r="L1026" s="6" t="s">
        <v>42</v>
      </c>
      <c r="M1026" s="6" t="s">
        <v>69</v>
      </c>
      <c r="N1026" s="6"/>
    </row>
    <row r="1027" spans="1:14">
      <c r="A1027" s="6" t="s">
        <v>2056</v>
      </c>
      <c r="B1027" s="7">
        <v>46130</v>
      </c>
      <c r="C1027" s="6" t="s">
        <v>799</v>
      </c>
      <c r="D1027" s="6" t="str">
        <f>IF(OR(PROPER(TRIM(Raw_Data!D1027))="Uk",PROPER(TRIM(Raw_Data!D1027))="Gb",PROPER(TRIM(Raw_Data!D1027))="United kingdom"),"United Kingdom",PROPER(TRIM(Raw_Data!D1027)))</f>
        <v>Germany</v>
      </c>
      <c r="E1027" s="6" t="s">
        <v>78</v>
      </c>
      <c r="F1027" s="6" t="s">
        <v>100</v>
      </c>
      <c r="G1027" s="6" t="str">
        <f>SUBSTITUTE(Raw_Data!G1027,"Ã©","é")</f>
        <v>Summit Down Gilet</v>
      </c>
      <c r="H1027" s="6">
        <v>1</v>
      </c>
      <c r="I1027" s="6" t="s">
        <v>117</v>
      </c>
      <c r="J1027" s="6" t="s">
        <v>117</v>
      </c>
      <c r="K1027" s="6">
        <v>0.64</v>
      </c>
      <c r="L1027" s="6" t="s">
        <v>42</v>
      </c>
      <c r="M1027" s="6" t="s">
        <v>34</v>
      </c>
      <c r="N1027" s="6"/>
    </row>
    <row r="1028" spans="1:14">
      <c r="A1028" s="6" t="s">
        <v>2057</v>
      </c>
      <c r="B1028" s="7">
        <v>46207</v>
      </c>
      <c r="C1028" s="6" t="s">
        <v>1133</v>
      </c>
      <c r="D1028" s="6" t="str">
        <f>IF(OR(PROPER(TRIM(Raw_Data!D1028))="Uk",PROPER(TRIM(Raw_Data!D1028))="Gb",PROPER(TRIM(Raw_Data!D1028))="United kingdom"),"United Kingdom",PROPER(TRIM(Raw_Data!D1028)))</f>
        <v>Ireland</v>
      </c>
      <c r="E1028" s="6" t="s">
        <v>46</v>
      </c>
      <c r="F1028" s="6" t="s">
        <v>94</v>
      </c>
      <c r="G1028" s="6" t="str">
        <f>SUBSTITUTE(Raw_Data!G1028,"Ã©","é")</f>
        <v>Café Latte Mug</v>
      </c>
      <c r="H1028" s="6">
        <v>2</v>
      </c>
      <c r="I1028" s="6" t="s">
        <v>31</v>
      </c>
      <c r="J1028" s="6" t="s">
        <v>249</v>
      </c>
      <c r="K1028" s="6">
        <v>0.34</v>
      </c>
      <c r="L1028" s="6" t="s">
        <v>42</v>
      </c>
      <c r="M1028" s="6" t="s">
        <v>34</v>
      </c>
      <c r="N1028" s="6"/>
    </row>
    <row r="1029" spans="1:14">
      <c r="A1029" s="6" t="s">
        <v>2058</v>
      </c>
      <c r="B1029" s="7">
        <v>46159</v>
      </c>
      <c r="C1029" s="6" t="s">
        <v>2059</v>
      </c>
      <c r="D1029" s="6" t="str">
        <f>IF(OR(PROPER(TRIM(Raw_Data!D1029))="Uk",PROPER(TRIM(Raw_Data!D1029))="Gb",PROPER(TRIM(Raw_Data!D1029))="United kingdom"),"United Kingdom",PROPER(TRIM(Raw_Data!D1029)))</f>
        <v>United Kingdom</v>
      </c>
      <c r="E1029" s="6" t="s">
        <v>78</v>
      </c>
      <c r="F1029" s="6" t="s">
        <v>94</v>
      </c>
      <c r="G1029" s="6" t="str">
        <f>SUBSTITUTE(Raw_Data!G1029,"Ã©","é")</f>
        <v>Merino Base Layer</v>
      </c>
      <c r="H1029" s="6">
        <v>1</v>
      </c>
      <c r="I1029" s="6" t="s">
        <v>40</v>
      </c>
      <c r="J1029" s="6" t="s">
        <v>40</v>
      </c>
      <c r="K1029" s="6">
        <v>0.34</v>
      </c>
      <c r="L1029" s="6" t="s">
        <v>42</v>
      </c>
      <c r="M1029" s="6" t="s">
        <v>34</v>
      </c>
      <c r="N1029" s="6"/>
    </row>
    <row r="1030" spans="1:14">
      <c r="A1030" s="6" t="s">
        <v>2060</v>
      </c>
      <c r="B1030" s="7">
        <v>46173</v>
      </c>
      <c r="C1030" s="6" t="s">
        <v>2061</v>
      </c>
      <c r="D1030" s="6" t="str">
        <f>IF(OR(PROPER(TRIM(Raw_Data!D1030))="Uk",PROPER(TRIM(Raw_Data!D1030))="Gb",PROPER(TRIM(Raw_Data!D1030))="United kingdom"),"United Kingdom",PROPER(TRIM(Raw_Data!D1030)))</f>
        <v>Ireland</v>
      </c>
      <c r="E1030" s="6" t="s">
        <v>52</v>
      </c>
      <c r="F1030" s="6" t="s">
        <v>94</v>
      </c>
      <c r="G1030" s="6" t="str">
        <f>SUBSTITUTE(Raw_Data!G1030,"Ã©","é")</f>
        <v>Fell Runner Cap</v>
      </c>
      <c r="H1030" s="6">
        <v>1</v>
      </c>
      <c r="I1030" s="6" t="s">
        <v>79</v>
      </c>
      <c r="J1030" s="6" t="s">
        <v>79</v>
      </c>
      <c r="K1030" s="6">
        <v>0.34</v>
      </c>
      <c r="L1030" s="6" t="s">
        <v>33</v>
      </c>
      <c r="M1030" s="6" t="s">
        <v>34</v>
      </c>
      <c r="N1030" s="6"/>
    </row>
    <row r="1031" spans="1:14">
      <c r="A1031" s="6" t="s">
        <v>2062</v>
      </c>
      <c r="B1031" s="7">
        <v>46187</v>
      </c>
      <c r="C1031" s="6" t="s">
        <v>2063</v>
      </c>
      <c r="D1031" s="6" t="str">
        <f>IF(OR(PROPER(TRIM(Raw_Data!D1031))="Uk",PROPER(TRIM(Raw_Data!D1031))="Gb",PROPER(TRIM(Raw_Data!D1031))="United kingdom"),"United Kingdom",PROPER(TRIM(Raw_Data!D1031)))</f>
        <v>France</v>
      </c>
      <c r="E1031" s="6" t="s">
        <v>37</v>
      </c>
      <c r="F1031" s="6" t="s">
        <v>58</v>
      </c>
      <c r="G1031" s="6" t="str">
        <f>SUBSTITUTE(Raw_Data!G1031,"Ã©","é")</f>
        <v>Fell Runner Cap</v>
      </c>
      <c r="H1031" s="6">
        <v>1</v>
      </c>
      <c r="I1031" s="6" t="s">
        <v>73</v>
      </c>
      <c r="J1031" s="6" t="s">
        <v>73</v>
      </c>
      <c r="K1031" s="6">
        <v>0.38</v>
      </c>
      <c r="L1031" s="6" t="s">
        <v>33</v>
      </c>
      <c r="M1031" s="6" t="s">
        <v>34</v>
      </c>
      <c r="N1031" s="6"/>
    </row>
    <row r="1032" spans="1:14">
      <c r="A1032" s="6" t="s">
        <v>2064</v>
      </c>
      <c r="B1032" s="7">
        <v>46057</v>
      </c>
      <c r="C1032" s="6" t="s">
        <v>2065</v>
      </c>
      <c r="D1032" s="6" t="str">
        <f>IF(OR(PROPER(TRIM(Raw_Data!D1032))="Uk",PROPER(TRIM(Raw_Data!D1032))="Gb",PROPER(TRIM(Raw_Data!D1032))="United kingdom"),"United Kingdom",PROPER(TRIM(Raw_Data!D1032)))</f>
        <v>Ireland</v>
      </c>
      <c r="E1032" s="6" t="s">
        <v>28</v>
      </c>
      <c r="F1032" s="6" t="s">
        <v>94</v>
      </c>
      <c r="G1032" s="6" t="str">
        <f>SUBSTITUTE(Raw_Data!G1032,"Ã©","é")</f>
        <v>Merino Base Layer</v>
      </c>
      <c r="H1032" s="6">
        <v>1</v>
      </c>
      <c r="I1032" s="6" t="s">
        <v>79</v>
      </c>
      <c r="J1032" s="6" t="s">
        <v>79</v>
      </c>
      <c r="K1032" s="6">
        <v>0.34</v>
      </c>
      <c r="L1032" s="6" t="s">
        <v>42</v>
      </c>
      <c r="M1032" s="6" t="s">
        <v>34</v>
      </c>
      <c r="N1032" s="6"/>
    </row>
    <row r="1033" spans="1:14">
      <c r="A1033" s="6" t="s">
        <v>2066</v>
      </c>
      <c r="B1033" s="7">
        <v>46100</v>
      </c>
      <c r="C1033" s="6" t="s">
        <v>2067</v>
      </c>
      <c r="D1033" s="6" t="str">
        <f>IF(OR(PROPER(TRIM(Raw_Data!D1033))="Uk",PROPER(TRIM(Raw_Data!D1033))="Gb",PROPER(TRIM(Raw_Data!D1033))="United kingdom"),"United Kingdom",PROPER(TRIM(Raw_Data!D1033)))</f>
        <v>Ireland</v>
      </c>
      <c r="E1033" s="6" t="s">
        <v>37</v>
      </c>
      <c r="F1033" s="6" t="s">
        <v>100</v>
      </c>
      <c r="G1033" s="6" t="str">
        <f>SUBSTITUTE(Raw_Data!G1033,"Ã©","é")</f>
        <v>Trail Softshell</v>
      </c>
      <c r="H1033" s="6">
        <v>3</v>
      </c>
      <c r="I1033" s="6" t="s">
        <v>96</v>
      </c>
      <c r="J1033" s="6" t="s">
        <v>2068</v>
      </c>
      <c r="K1033" s="6">
        <v>0.64</v>
      </c>
      <c r="L1033" s="6" t="s">
        <v>42</v>
      </c>
      <c r="M1033" s="6" t="s">
        <v>34</v>
      </c>
      <c r="N1033" s="6"/>
    </row>
    <row r="1034" spans="1:14">
      <c r="A1034" s="6" t="s">
        <v>2069</v>
      </c>
      <c r="B1034" s="7">
        <v>46269</v>
      </c>
      <c r="C1034" s="6" t="s">
        <v>1528</v>
      </c>
      <c r="D1034" s="6" t="str">
        <f>IF(OR(PROPER(TRIM(Raw_Data!D1034))="Uk",PROPER(TRIM(Raw_Data!D1034))="Gb",PROPER(TRIM(Raw_Data!D1034))="United kingdom"),"United Kingdom",PROPER(TRIM(Raw_Data!D1034)))</f>
        <v>United Kingdom</v>
      </c>
      <c r="E1034" s="6" t="s">
        <v>46</v>
      </c>
      <c r="F1034" s="6" t="s">
        <v>85</v>
      </c>
      <c r="G1034" s="6" t="str">
        <f>SUBSTITUTE(Raw_Data!G1034,"Ã©","é")</f>
        <v>Alpine Jacket</v>
      </c>
      <c r="H1034" s="6">
        <v>1</v>
      </c>
      <c r="I1034" s="6" t="s">
        <v>660</v>
      </c>
      <c r="J1034" s="6" t="s">
        <v>79</v>
      </c>
      <c r="K1034" s="6">
        <v>0.41</v>
      </c>
      <c r="L1034" s="6" t="s">
        <v>42</v>
      </c>
      <c r="M1034" s="6" t="s">
        <v>34</v>
      </c>
      <c r="N1034" s="6"/>
    </row>
    <row r="1035" spans="1:14">
      <c r="A1035" s="6" t="s">
        <v>2070</v>
      </c>
      <c r="B1035" s="7">
        <v>46145</v>
      </c>
      <c r="C1035" s="6" t="s">
        <v>2071</v>
      </c>
      <c r="D1035" s="6" t="str">
        <f>IF(OR(PROPER(TRIM(Raw_Data!D1035))="Uk",PROPER(TRIM(Raw_Data!D1035))="Gb",PROPER(TRIM(Raw_Data!D1035))="United kingdom"),"United Kingdom",PROPER(TRIM(Raw_Data!D1035)))</f>
        <v>Ireland</v>
      </c>
      <c r="E1035" s="6" t="s">
        <v>52</v>
      </c>
      <c r="F1035" s="6" t="s">
        <v>94</v>
      </c>
      <c r="G1035" s="6" t="str">
        <f>SUBSTITUTE(Raw_Data!G1035,"Ã©","é")</f>
        <v>Café Latte Mug</v>
      </c>
      <c r="H1035" s="6">
        <v>2</v>
      </c>
      <c r="I1035" s="6" t="s">
        <v>82</v>
      </c>
      <c r="J1035" s="6" t="s">
        <v>2072</v>
      </c>
      <c r="K1035" s="6">
        <v>0.34</v>
      </c>
      <c r="L1035" s="6" t="s">
        <v>42</v>
      </c>
      <c r="M1035" s="6" t="s">
        <v>34</v>
      </c>
      <c r="N1035" s="6"/>
    </row>
    <row r="1036" spans="1:14">
      <c r="A1036" s="6" t="s">
        <v>2073</v>
      </c>
      <c r="B1036" s="7">
        <v>46045</v>
      </c>
      <c r="C1036" s="6" t="s">
        <v>2074</v>
      </c>
      <c r="D1036" s="6" t="str">
        <f>IF(OR(PROPER(TRIM(Raw_Data!D1036))="Uk",PROPER(TRIM(Raw_Data!D1036))="Gb",PROPER(TRIM(Raw_Data!D1036))="United kingdom"),"United Kingdom",PROPER(TRIM(Raw_Data!D1036)))</f>
        <v>United Kingdom</v>
      </c>
      <c r="E1036" s="6" t="s">
        <v>46</v>
      </c>
      <c r="F1036" s="6" t="s">
        <v>100</v>
      </c>
      <c r="G1036" s="6" t="str">
        <f>SUBSTITUTE(Raw_Data!G1036,"Ã©","é")</f>
        <v>Café Latte Mug</v>
      </c>
      <c r="H1036" s="6">
        <v>1</v>
      </c>
      <c r="I1036" s="6" t="s">
        <v>90</v>
      </c>
      <c r="J1036" s="6" t="s">
        <v>90</v>
      </c>
      <c r="K1036" s="6">
        <v>0.64</v>
      </c>
      <c r="L1036" s="6" t="s">
        <v>42</v>
      </c>
      <c r="M1036" s="6" t="s">
        <v>34</v>
      </c>
      <c r="N1036" s="6"/>
    </row>
    <row r="1037" spans="1:14">
      <c r="A1037" s="6" t="s">
        <v>2075</v>
      </c>
      <c r="B1037" s="7">
        <v>46049</v>
      </c>
      <c r="C1037" s="6" t="s">
        <v>2076</v>
      </c>
      <c r="D1037" s="6" t="str">
        <f>IF(OR(PROPER(TRIM(Raw_Data!D1037))="Uk",PROPER(TRIM(Raw_Data!D1037))="Gb",PROPER(TRIM(Raw_Data!D1037))="United kingdom"),"United Kingdom",PROPER(TRIM(Raw_Data!D1037)))</f>
        <v>United Kingdom</v>
      </c>
      <c r="E1037" s="6" t="s">
        <v>28</v>
      </c>
      <c r="F1037" s="6" t="s">
        <v>94</v>
      </c>
      <c r="G1037" s="6" t="str">
        <f>SUBSTITUTE(Raw_Data!G1037,"Ã©","é")</f>
        <v>Café Latte Mug</v>
      </c>
      <c r="H1037" s="6">
        <v>2</v>
      </c>
      <c r="I1037" s="6" t="s">
        <v>1013</v>
      </c>
      <c r="J1037" s="6" t="s">
        <v>154</v>
      </c>
      <c r="K1037" s="6">
        <v>0.34</v>
      </c>
      <c r="L1037" s="6" t="s">
        <v>42</v>
      </c>
      <c r="M1037" s="6" t="s">
        <v>34</v>
      </c>
      <c r="N1037" s="6"/>
    </row>
    <row r="1038" spans="1:14">
      <c r="A1038" s="6" t="s">
        <v>2077</v>
      </c>
      <c r="B1038" s="7">
        <v>46188</v>
      </c>
      <c r="C1038" s="6" t="s">
        <v>1717</v>
      </c>
      <c r="D1038" s="6" t="str">
        <f>IF(OR(PROPER(TRIM(Raw_Data!D1038))="Uk",PROPER(TRIM(Raw_Data!D1038))="Gb",PROPER(TRIM(Raw_Data!D1038))="United kingdom"),"United Kingdom",PROPER(TRIM(Raw_Data!D1038)))</f>
        <v>Ireland</v>
      </c>
      <c r="E1038" s="6" t="s">
        <v>52</v>
      </c>
      <c r="F1038" s="6" t="s">
        <v>94</v>
      </c>
      <c r="G1038" s="6" t="str">
        <f>SUBSTITUTE(Raw_Data!G1038,"Ã©","é")</f>
        <v>Summit Down Gilet</v>
      </c>
      <c r="H1038" s="6">
        <v>1</v>
      </c>
      <c r="I1038" s="6" t="s">
        <v>67</v>
      </c>
      <c r="J1038" s="6" t="s">
        <v>67</v>
      </c>
      <c r="K1038" s="6">
        <v>0.34</v>
      </c>
      <c r="L1038" s="6" t="s">
        <v>42</v>
      </c>
      <c r="M1038" s="6" t="s">
        <v>34</v>
      </c>
      <c r="N1038" s="6"/>
    </row>
    <row r="1039" spans="1:14">
      <c r="A1039" s="6" t="s">
        <v>2079</v>
      </c>
      <c r="B1039" s="7">
        <v>46135</v>
      </c>
      <c r="C1039" s="6" t="s">
        <v>1275</v>
      </c>
      <c r="D1039" s="6" t="str">
        <f>IF(OR(PROPER(TRIM(Raw_Data!D1039))="Uk",PROPER(TRIM(Raw_Data!D1039))="Gb",PROPER(TRIM(Raw_Data!D1039))="United kingdom"),"United Kingdom",PROPER(TRIM(Raw_Data!D1039)))</f>
        <v>United Kingdom</v>
      </c>
      <c r="E1039" s="6" t="s">
        <v>52</v>
      </c>
      <c r="F1039" s="6" t="s">
        <v>47</v>
      </c>
      <c r="G1039" s="6" t="str">
        <f>SUBSTITUTE(Raw_Data!G1039,"Ã©","é")</f>
        <v>Café Latte Mug</v>
      </c>
      <c r="H1039" s="6">
        <v>1</v>
      </c>
      <c r="I1039" s="6" t="s">
        <v>82</v>
      </c>
      <c r="J1039" s="6" t="s">
        <v>82</v>
      </c>
      <c r="K1039" s="6">
        <v>8.5000000000000006E-2</v>
      </c>
      <c r="L1039" s="6" t="s">
        <v>33</v>
      </c>
      <c r="M1039" s="6" t="s">
        <v>34</v>
      </c>
      <c r="N1039" s="6"/>
    </row>
    <row r="1040" spans="1:14">
      <c r="A1040" s="6" t="s">
        <v>2080</v>
      </c>
      <c r="B1040" s="7">
        <v>46191</v>
      </c>
      <c r="C1040" s="6" t="s">
        <v>2081</v>
      </c>
      <c r="D1040" s="6" t="str">
        <f>IF(OR(PROPER(TRIM(Raw_Data!D1040))="Uk",PROPER(TRIM(Raw_Data!D1040))="Gb",PROPER(TRIM(Raw_Data!D1040))="United kingdom"),"United Kingdom",PROPER(TRIM(Raw_Data!D1040)))</f>
        <v>Ireland</v>
      </c>
      <c r="E1040" s="6" t="s">
        <v>52</v>
      </c>
      <c r="F1040" s="6" t="s">
        <v>94</v>
      </c>
      <c r="G1040" s="6" t="str">
        <f>SUBSTITUTE(Raw_Data!G1040,"Ã©","é")</f>
        <v>Alpine Jacket</v>
      </c>
      <c r="H1040" s="6">
        <v>2</v>
      </c>
      <c r="I1040" s="6" t="s">
        <v>90</v>
      </c>
      <c r="J1040" s="6" t="s">
        <v>154</v>
      </c>
      <c r="K1040" s="6">
        <v>0.34</v>
      </c>
      <c r="L1040" s="6" t="s">
        <v>42</v>
      </c>
      <c r="M1040" s="6" t="s">
        <v>69</v>
      </c>
      <c r="N1040" s="6"/>
    </row>
    <row r="1041" spans="1:14">
      <c r="A1041" s="6" t="s">
        <v>2082</v>
      </c>
      <c r="B1041" s="7">
        <v>46080</v>
      </c>
      <c r="C1041" s="6" t="s">
        <v>2083</v>
      </c>
      <c r="D1041" s="6" t="str">
        <f>IF(OR(PROPER(TRIM(Raw_Data!D1041))="Uk",PROPER(TRIM(Raw_Data!D1041))="Gb",PROPER(TRIM(Raw_Data!D1041))="United kingdom"),"United Kingdom",PROPER(TRIM(Raw_Data!D1041)))</f>
        <v>United Kingdom</v>
      </c>
      <c r="E1041" s="6" t="s">
        <v>46</v>
      </c>
      <c r="F1041" s="6" t="s">
        <v>100</v>
      </c>
      <c r="G1041" s="6" t="str">
        <f>SUBSTITUTE(Raw_Data!G1041,"Ã©","é")</f>
        <v>Storm Overtrousers</v>
      </c>
      <c r="H1041" s="6">
        <v>3</v>
      </c>
      <c r="I1041" s="6" t="s">
        <v>31</v>
      </c>
      <c r="J1041" s="6" t="s">
        <v>337</v>
      </c>
      <c r="K1041" s="6">
        <v>0.64</v>
      </c>
      <c r="L1041" s="6" t="s">
        <v>42</v>
      </c>
      <c r="M1041" s="6" t="s">
        <v>34</v>
      </c>
      <c r="N1041" s="6"/>
    </row>
    <row r="1042" spans="1:14">
      <c r="A1042" s="6" t="s">
        <v>2084</v>
      </c>
      <c r="B1042" s="7">
        <v>46300</v>
      </c>
      <c r="C1042" s="6" t="s">
        <v>2085</v>
      </c>
      <c r="D1042" s="6" t="str">
        <f>IF(OR(PROPER(TRIM(Raw_Data!D1042))="Uk",PROPER(TRIM(Raw_Data!D1042))="Gb",PROPER(TRIM(Raw_Data!D1042))="United kingdom"),"United Kingdom",PROPER(TRIM(Raw_Data!D1042)))</f>
        <v>France</v>
      </c>
      <c r="E1042" s="6" t="s">
        <v>52</v>
      </c>
      <c r="F1042" s="6" t="s">
        <v>38</v>
      </c>
      <c r="G1042" s="6" t="str">
        <f>SUBSTITUTE(Raw_Data!G1042,"Ã©","é")</f>
        <v>Café Latte Mug</v>
      </c>
      <c r="H1042" s="6">
        <v>2</v>
      </c>
      <c r="I1042" s="6" t="s">
        <v>181</v>
      </c>
      <c r="J1042" s="6" t="s">
        <v>163</v>
      </c>
      <c r="K1042" s="6">
        <v>0.52</v>
      </c>
      <c r="L1042" s="6" t="s">
        <v>33</v>
      </c>
      <c r="M1042" s="6" t="s">
        <v>34</v>
      </c>
      <c r="N1042" s="6"/>
    </row>
    <row r="1043" spans="1:14">
      <c r="A1043" s="6" t="s">
        <v>2086</v>
      </c>
      <c r="B1043" s="7">
        <v>46202</v>
      </c>
      <c r="C1043" s="6" t="s">
        <v>2087</v>
      </c>
      <c r="D1043" s="6" t="str">
        <f>IF(OR(PROPER(TRIM(Raw_Data!D1043))="Uk",PROPER(TRIM(Raw_Data!D1043))="Gb",PROPER(TRIM(Raw_Data!D1043))="United kingdom"),"United Kingdom",PROPER(TRIM(Raw_Data!D1043)))</f>
        <v>United Kingdom</v>
      </c>
      <c r="E1043" s="6" t="s">
        <v>46</v>
      </c>
      <c r="F1043" s="6" t="s">
        <v>94</v>
      </c>
      <c r="G1043" s="6" t="str">
        <f>SUBSTITUTE(Raw_Data!G1043,"Ã©","é")</f>
        <v>Alpine Jacket</v>
      </c>
      <c r="H1043" s="6">
        <v>1</v>
      </c>
      <c r="I1043" s="6" t="s">
        <v>113</v>
      </c>
      <c r="J1043" s="6" t="s">
        <v>113</v>
      </c>
      <c r="K1043" s="6">
        <v>0.34</v>
      </c>
      <c r="L1043" s="6" t="s">
        <v>42</v>
      </c>
      <c r="M1043" s="6" t="s">
        <v>34</v>
      </c>
      <c r="N1043" s="6"/>
    </row>
    <row r="1044" spans="1:14">
      <c r="A1044" s="6" t="s">
        <v>2088</v>
      </c>
      <c r="B1044" s="7">
        <v>46135</v>
      </c>
      <c r="C1044" s="6" t="s">
        <v>2089</v>
      </c>
      <c r="D1044" s="6" t="str">
        <f>IF(OR(PROPER(TRIM(Raw_Data!D1044))="Uk",PROPER(TRIM(Raw_Data!D1044))="Gb",PROPER(TRIM(Raw_Data!D1044))="United kingdom"),"United Kingdom",PROPER(TRIM(Raw_Data!D1044)))</f>
        <v>United Kingdom</v>
      </c>
      <c r="E1044" s="6" t="s">
        <v>28</v>
      </c>
      <c r="F1044" s="6" t="s">
        <v>29</v>
      </c>
      <c r="G1044" s="6" t="str">
        <f>SUBSTITUTE(Raw_Data!G1044,"Ã©","é")</f>
        <v>Café Latte Mug</v>
      </c>
      <c r="H1044" s="6">
        <v>1</v>
      </c>
      <c r="I1044" s="6" t="s">
        <v>113</v>
      </c>
      <c r="J1044" s="6" t="s">
        <v>113</v>
      </c>
      <c r="K1044" s="6">
        <v>0.52</v>
      </c>
      <c r="L1044" s="6" t="s">
        <v>42</v>
      </c>
      <c r="M1044" s="6" t="s">
        <v>69</v>
      </c>
      <c r="N1044" s="6"/>
    </row>
    <row r="1045" spans="1:14">
      <c r="A1045" s="6" t="s">
        <v>2090</v>
      </c>
      <c r="B1045" s="7">
        <v>46149</v>
      </c>
      <c r="C1045" s="6" t="s">
        <v>2091</v>
      </c>
      <c r="D1045" s="6" t="str">
        <f>IF(OR(PROPER(TRIM(Raw_Data!D1045))="Uk",PROPER(TRIM(Raw_Data!D1045))="Gb",PROPER(TRIM(Raw_Data!D1045))="United kingdom"),"United Kingdom",PROPER(TRIM(Raw_Data!D1045)))</f>
        <v>France</v>
      </c>
      <c r="E1045" s="6" t="s">
        <v>37</v>
      </c>
      <c r="F1045" s="6" t="s">
        <v>94</v>
      </c>
      <c r="G1045" s="6" t="str">
        <f>SUBSTITUTE(Raw_Data!G1045,"Ã©","é")</f>
        <v>Café Latte Mug</v>
      </c>
      <c r="H1045" s="6">
        <v>2</v>
      </c>
      <c r="I1045" s="6" t="s">
        <v>113</v>
      </c>
      <c r="J1045" s="6" t="s">
        <v>192</v>
      </c>
      <c r="K1045" s="6">
        <v>0.34</v>
      </c>
      <c r="L1045" s="6" t="s">
        <v>42</v>
      </c>
      <c r="M1045" s="6" t="s">
        <v>34</v>
      </c>
      <c r="N1045" s="6"/>
    </row>
    <row r="1046" spans="1:14">
      <c r="A1046" s="6" t="s">
        <v>2092</v>
      </c>
      <c r="B1046" s="7">
        <v>46160</v>
      </c>
      <c r="C1046" s="6" t="s">
        <v>2094</v>
      </c>
      <c r="D1046" s="6" t="str">
        <f>IF(OR(PROPER(TRIM(Raw_Data!D1046))="Uk",PROPER(TRIM(Raw_Data!D1046))="Gb",PROPER(TRIM(Raw_Data!D1046))="United kingdom"),"United Kingdom",PROPER(TRIM(Raw_Data!D1046)))</f>
        <v>United Kingdom</v>
      </c>
      <c r="E1046" s="6" t="s">
        <v>52</v>
      </c>
      <c r="F1046" s="6" t="s">
        <v>100</v>
      </c>
      <c r="G1046" s="6" t="str">
        <f>SUBSTITUTE(Raw_Data!G1046,"Ã©","é")</f>
        <v>Fell Runner Cap</v>
      </c>
      <c r="H1046" s="6">
        <v>1</v>
      </c>
      <c r="I1046" s="6" t="s">
        <v>143</v>
      </c>
      <c r="J1046" s="6" t="s">
        <v>143</v>
      </c>
      <c r="K1046" s="6">
        <v>0.64</v>
      </c>
      <c r="L1046" s="6" t="s">
        <v>42</v>
      </c>
      <c r="M1046" s="6" t="s">
        <v>34</v>
      </c>
      <c r="N1046" s="6"/>
    </row>
    <row r="1047" spans="1:14">
      <c r="A1047" s="6" t="s">
        <v>2095</v>
      </c>
      <c r="B1047" s="7">
        <v>46171</v>
      </c>
      <c r="C1047" s="6" t="s">
        <v>1683</v>
      </c>
      <c r="D1047" s="6" t="str">
        <f>IF(OR(PROPER(TRIM(Raw_Data!D1047))="Uk",PROPER(TRIM(Raw_Data!D1047))="Gb",PROPER(TRIM(Raw_Data!D1047))="United kingdom"),"United Kingdom",PROPER(TRIM(Raw_Data!D1047)))</f>
        <v>United Kingdom</v>
      </c>
      <c r="E1047" s="6" t="s">
        <v>28</v>
      </c>
      <c r="F1047" s="6" t="s">
        <v>53</v>
      </c>
      <c r="G1047" s="6" t="str">
        <f>SUBSTITUTE(Raw_Data!G1047,"Ã©","é")</f>
        <v>Café Latte Mug</v>
      </c>
      <c r="H1047" s="6">
        <v>3</v>
      </c>
      <c r="I1047" s="6" t="s">
        <v>60</v>
      </c>
      <c r="J1047" s="6" t="s">
        <v>268</v>
      </c>
      <c r="K1047" s="6">
        <v>0.19</v>
      </c>
      <c r="L1047" s="6" t="s">
        <v>42</v>
      </c>
      <c r="M1047" s="6" t="s">
        <v>34</v>
      </c>
      <c r="N1047" s="6"/>
    </row>
    <row r="1048" spans="1:14">
      <c r="A1048" s="6" t="s">
        <v>2096</v>
      </c>
      <c r="B1048" s="7">
        <v>46161</v>
      </c>
      <c r="C1048" s="6" t="s">
        <v>2097</v>
      </c>
      <c r="D1048" s="6" t="str">
        <f>IF(OR(PROPER(TRIM(Raw_Data!D1048))="Uk",PROPER(TRIM(Raw_Data!D1048))="Gb",PROPER(TRIM(Raw_Data!D1048))="United kingdom"),"United Kingdom",PROPER(TRIM(Raw_Data!D1048)))</f>
        <v>United Kingdom</v>
      </c>
      <c r="E1048" s="6" t="s">
        <v>78</v>
      </c>
      <c r="F1048" s="6" t="s">
        <v>29</v>
      </c>
      <c r="G1048" s="6" t="str">
        <f>SUBSTITUTE(Raw_Data!G1048,"Ã©","é")</f>
        <v>Alpine Jacket</v>
      </c>
      <c r="H1048" s="6">
        <v>-1</v>
      </c>
      <c r="I1048" s="6" t="s">
        <v>113</v>
      </c>
      <c r="J1048" s="8" t="s">
        <v>1147</v>
      </c>
      <c r="K1048" s="6">
        <v>0.52</v>
      </c>
      <c r="L1048" s="6" t="s">
        <v>42</v>
      </c>
      <c r="M1048" s="6" t="s">
        <v>34</v>
      </c>
      <c r="N1048" s="6"/>
    </row>
    <row r="1049" spans="1:14">
      <c r="A1049" s="6" t="s">
        <v>2098</v>
      </c>
      <c r="B1049" s="7">
        <v>46193</v>
      </c>
      <c r="C1049" s="6" t="s">
        <v>1637</v>
      </c>
      <c r="D1049" s="6" t="str">
        <f>IF(OR(PROPER(TRIM(Raw_Data!D1049))="Uk",PROPER(TRIM(Raw_Data!D1049))="Gb",PROPER(TRIM(Raw_Data!D1049))="United kingdom"),"United Kingdom",PROPER(TRIM(Raw_Data!D1049)))</f>
        <v>United Kingdom</v>
      </c>
      <c r="E1049" s="6" t="s">
        <v>37</v>
      </c>
      <c r="F1049" s="6" t="s">
        <v>85</v>
      </c>
      <c r="G1049" s="6" t="str">
        <f>SUBSTITUTE(Raw_Data!G1049,"Ã©","é")</f>
        <v>Trail Softshell</v>
      </c>
      <c r="H1049" s="6">
        <v>1</v>
      </c>
      <c r="I1049" s="6" t="s">
        <v>113</v>
      </c>
      <c r="J1049" s="6" t="s">
        <v>113</v>
      </c>
      <c r="K1049" s="6">
        <v>0.41</v>
      </c>
      <c r="L1049" s="6" t="s">
        <v>42</v>
      </c>
      <c r="M1049" s="6" t="s">
        <v>34</v>
      </c>
      <c r="N1049" s="6"/>
    </row>
    <row r="1050" spans="1:14">
      <c r="A1050" s="6" t="s">
        <v>2099</v>
      </c>
      <c r="B1050" s="7">
        <v>46359</v>
      </c>
      <c r="C1050" s="6" t="s">
        <v>608</v>
      </c>
      <c r="D1050" s="6" t="str">
        <f>IF(OR(PROPER(TRIM(Raw_Data!D1050))="Uk",PROPER(TRIM(Raw_Data!D1050))="Gb",PROPER(TRIM(Raw_Data!D1050))="United kingdom"),"United Kingdom",PROPER(TRIM(Raw_Data!D1050)))</f>
        <v>Ireland</v>
      </c>
      <c r="E1050" s="6" t="s">
        <v>78</v>
      </c>
      <c r="F1050" s="6" t="s">
        <v>47</v>
      </c>
      <c r="G1050" s="6" t="str">
        <f>SUBSTITUTE(Raw_Data!G1050,"Ã©","é")</f>
        <v>Café Latte Mug</v>
      </c>
      <c r="H1050" s="6">
        <v>1</v>
      </c>
      <c r="I1050" s="6" t="s">
        <v>31</v>
      </c>
      <c r="J1050" s="6" t="s">
        <v>31</v>
      </c>
      <c r="K1050" s="6">
        <v>8.5000000000000006E-2</v>
      </c>
      <c r="L1050" s="6" t="s">
        <v>42</v>
      </c>
      <c r="M1050" s="6" t="s">
        <v>34</v>
      </c>
      <c r="N1050" s="6"/>
    </row>
    <row r="1051" spans="1:14">
      <c r="A1051" s="6" t="s">
        <v>2100</v>
      </c>
      <c r="B1051" s="7">
        <v>46205</v>
      </c>
      <c r="C1051" s="6" t="s">
        <v>1800</v>
      </c>
      <c r="D1051" s="6" t="str">
        <f>IF(OR(PROPER(TRIM(Raw_Data!D1051))="Uk",PROPER(TRIM(Raw_Data!D1051))="Gb",PROPER(TRIM(Raw_Data!D1051))="United kingdom"),"United Kingdom",PROPER(TRIM(Raw_Data!D1051)))</f>
        <v>United Kingdom</v>
      </c>
      <c r="E1051" s="6" t="s">
        <v>37</v>
      </c>
      <c r="F1051" s="6" t="s">
        <v>85</v>
      </c>
      <c r="G1051" s="6" t="str">
        <f>SUBSTITUTE(Raw_Data!G1051,"Ã©","é")</f>
        <v>Trekking Poles</v>
      </c>
      <c r="H1051" s="6">
        <v>1</v>
      </c>
      <c r="I1051" s="6" t="s">
        <v>265</v>
      </c>
      <c r="J1051" s="6" t="s">
        <v>265</v>
      </c>
      <c r="K1051" s="6">
        <v>0.41</v>
      </c>
      <c r="L1051" s="6" t="s">
        <v>42</v>
      </c>
      <c r="M1051" s="6" t="s">
        <v>34</v>
      </c>
      <c r="N1051" s="6"/>
    </row>
    <row r="1052" spans="1:14">
      <c r="A1052" s="6" t="s">
        <v>2101</v>
      </c>
      <c r="B1052" s="7">
        <v>46056</v>
      </c>
      <c r="C1052" s="6" t="s">
        <v>1819</v>
      </c>
      <c r="D1052" s="6" t="str">
        <f>IF(OR(PROPER(TRIM(Raw_Data!D1052))="Uk",PROPER(TRIM(Raw_Data!D1052))="Gb",PROPER(TRIM(Raw_Data!D1052))="United kingdom"),"United Kingdom",PROPER(TRIM(Raw_Data!D1052)))</f>
        <v>United Kingdom</v>
      </c>
      <c r="E1052" s="6" t="s">
        <v>46</v>
      </c>
      <c r="F1052" s="6" t="s">
        <v>47</v>
      </c>
      <c r="G1052" s="6" t="str">
        <f>SUBSTITUTE(Raw_Data!G1052,"Ã©","é")</f>
        <v>Café Latte Mug</v>
      </c>
      <c r="H1052" s="6">
        <v>2</v>
      </c>
      <c r="I1052" s="6" t="s">
        <v>82</v>
      </c>
      <c r="J1052" s="6" t="s">
        <v>204</v>
      </c>
      <c r="K1052" s="6">
        <v>8.5000000000000006E-2</v>
      </c>
      <c r="L1052" s="6" t="s">
        <v>33</v>
      </c>
      <c r="M1052" s="6" t="s">
        <v>34</v>
      </c>
      <c r="N1052" s="6"/>
    </row>
    <row r="1053" spans="1:14">
      <c r="A1053" s="6" t="s">
        <v>2102</v>
      </c>
      <c r="B1053" s="7">
        <v>46118</v>
      </c>
      <c r="C1053" s="6" t="s">
        <v>1453</v>
      </c>
      <c r="D1053" s="6" t="str">
        <f>IF(OR(PROPER(TRIM(Raw_Data!D1053))="Uk",PROPER(TRIM(Raw_Data!D1053))="Gb",PROPER(TRIM(Raw_Data!D1053))="United kingdom"),"United Kingdom",PROPER(TRIM(Raw_Data!D1053)))</f>
        <v>United Kingdom</v>
      </c>
      <c r="E1053" s="6" t="s">
        <v>78</v>
      </c>
      <c r="F1053" s="6" t="s">
        <v>29</v>
      </c>
      <c r="G1053" s="6" t="str">
        <f>SUBSTITUTE(Raw_Data!G1053,"Ã©","é")</f>
        <v>Alpine Jacket</v>
      </c>
      <c r="H1053" s="6">
        <v>2</v>
      </c>
      <c r="I1053" s="6" t="s">
        <v>113</v>
      </c>
      <c r="J1053" s="6" t="s">
        <v>192</v>
      </c>
      <c r="K1053" s="6">
        <v>0.52</v>
      </c>
      <c r="L1053" s="6" t="s">
        <v>42</v>
      </c>
      <c r="M1053" s="6" t="s">
        <v>69</v>
      </c>
      <c r="N1053" s="6"/>
    </row>
    <row r="1054" spans="1:14">
      <c r="A1054" s="6" t="s">
        <v>2103</v>
      </c>
      <c r="B1054" s="7">
        <v>46125</v>
      </c>
      <c r="C1054" s="6" t="s">
        <v>1375</v>
      </c>
      <c r="D1054" s="6" t="str">
        <f>IF(OR(PROPER(TRIM(Raw_Data!D1054))="Uk",PROPER(TRIM(Raw_Data!D1054))="Gb",PROPER(TRIM(Raw_Data!D1054))="United kingdom"),"United Kingdom",PROPER(TRIM(Raw_Data!D1054)))</f>
        <v>United Kingdom</v>
      </c>
      <c r="E1054" s="6" t="s">
        <v>37</v>
      </c>
      <c r="F1054" s="6" t="s">
        <v>100</v>
      </c>
      <c r="G1054" s="6" t="str">
        <f>SUBSTITUTE(Raw_Data!G1054,"Ã©","é")</f>
        <v>Merino Base Layer</v>
      </c>
      <c r="H1054" s="6">
        <v>2</v>
      </c>
      <c r="I1054" s="6" t="s">
        <v>40</v>
      </c>
      <c r="J1054" s="6" t="s">
        <v>327</v>
      </c>
      <c r="K1054" s="6">
        <v>0.64</v>
      </c>
      <c r="L1054" s="6" t="s">
        <v>42</v>
      </c>
      <c r="M1054" s="6" t="s">
        <v>69</v>
      </c>
      <c r="N1054" s="6"/>
    </row>
    <row r="1055" spans="1:14">
      <c r="A1055" s="6" t="s">
        <v>2104</v>
      </c>
      <c r="B1055" s="7">
        <v>46095</v>
      </c>
      <c r="C1055" s="6" t="s">
        <v>1742</v>
      </c>
      <c r="D1055" s="6" t="str">
        <f>IF(OR(PROPER(TRIM(Raw_Data!D1055))="Uk",PROPER(TRIM(Raw_Data!D1055))="Gb",PROPER(TRIM(Raw_Data!D1055))="United kingdom"),"United Kingdom",PROPER(TRIM(Raw_Data!D1055)))</f>
        <v>France</v>
      </c>
      <c r="E1055" s="6" t="s">
        <v>37</v>
      </c>
      <c r="F1055" s="6" t="s">
        <v>53</v>
      </c>
      <c r="G1055" s="6" t="str">
        <f>SUBSTITUTE(Raw_Data!G1055,"Ã©","é")</f>
        <v>Trekking Poles</v>
      </c>
      <c r="H1055" s="6">
        <v>2</v>
      </c>
      <c r="I1055" s="6" t="s">
        <v>231</v>
      </c>
      <c r="J1055" s="6" t="s">
        <v>232</v>
      </c>
      <c r="K1055" s="6">
        <v>0.19</v>
      </c>
      <c r="L1055" s="6" t="s">
        <v>42</v>
      </c>
      <c r="M1055" s="6" t="s">
        <v>34</v>
      </c>
      <c r="N1055" s="6"/>
    </row>
    <row r="1056" spans="1:14">
      <c r="A1056" s="6" t="s">
        <v>2105</v>
      </c>
      <c r="B1056" s="7">
        <v>46129</v>
      </c>
      <c r="C1056" s="6" t="s">
        <v>2106</v>
      </c>
      <c r="D1056" s="6" t="str">
        <f>IF(OR(PROPER(TRIM(Raw_Data!D1056))="Uk",PROPER(TRIM(Raw_Data!D1056))="Gb",PROPER(TRIM(Raw_Data!D1056))="United kingdom"),"United Kingdom",PROPER(TRIM(Raw_Data!D1056)))</f>
        <v>Germany</v>
      </c>
      <c r="E1056" s="6" t="s">
        <v>78</v>
      </c>
      <c r="F1056" s="6" t="s">
        <v>38</v>
      </c>
      <c r="G1056" s="6" t="str">
        <f>SUBSTITUTE(Raw_Data!G1056,"Ã©","é")</f>
        <v>Storm Overtrousers</v>
      </c>
      <c r="H1056" s="6">
        <v>1</v>
      </c>
      <c r="I1056" s="6" t="s">
        <v>31</v>
      </c>
      <c r="J1056" s="6" t="s">
        <v>31</v>
      </c>
      <c r="K1056" s="6">
        <v>0.52</v>
      </c>
      <c r="L1056" s="6" t="s">
        <v>42</v>
      </c>
      <c r="M1056" s="6" t="s">
        <v>34</v>
      </c>
      <c r="N1056" s="6"/>
    </row>
    <row r="1057" spans="1:14">
      <c r="A1057" s="6" t="s">
        <v>2107</v>
      </c>
      <c r="B1057" s="7">
        <v>46360</v>
      </c>
      <c r="C1057" s="6" t="s">
        <v>1420</v>
      </c>
      <c r="D1057" s="6" t="str">
        <f>IF(OR(PROPER(TRIM(Raw_Data!D1057))="Uk",PROPER(TRIM(Raw_Data!D1057))="Gb",PROPER(TRIM(Raw_Data!D1057))="United kingdom"),"United Kingdom",PROPER(TRIM(Raw_Data!D1057)))</f>
        <v>United Kingdom</v>
      </c>
      <c r="E1057" s="6" t="s">
        <v>37</v>
      </c>
      <c r="F1057" s="6" t="s">
        <v>94</v>
      </c>
      <c r="G1057" s="6" t="str">
        <f>SUBSTITUTE(Raw_Data!G1057,"Ã©","é")</f>
        <v>Fell Runner Cap</v>
      </c>
      <c r="H1057" s="6">
        <v>3</v>
      </c>
      <c r="I1057" s="6" t="s">
        <v>1004</v>
      </c>
      <c r="J1057" s="6" t="s">
        <v>401</v>
      </c>
      <c r="K1057" s="6">
        <v>0.34</v>
      </c>
      <c r="L1057" s="6" t="s">
        <v>42</v>
      </c>
      <c r="M1057" s="6" t="s">
        <v>34</v>
      </c>
      <c r="N1057" s="6"/>
    </row>
    <row r="1058" spans="1:14">
      <c r="A1058" s="6" t="s">
        <v>2108</v>
      </c>
      <c r="B1058" s="7">
        <v>46106</v>
      </c>
      <c r="C1058" s="6" t="s">
        <v>2109</v>
      </c>
      <c r="D1058" s="6" t="str">
        <f>IF(OR(PROPER(TRIM(Raw_Data!D1058))="Uk",PROPER(TRIM(Raw_Data!D1058))="Gb",PROPER(TRIM(Raw_Data!D1058))="United kingdom"),"United Kingdom",PROPER(TRIM(Raw_Data!D1058)))</f>
        <v>United Kingdom</v>
      </c>
      <c r="E1058" s="6" t="s">
        <v>37</v>
      </c>
      <c r="F1058" s="6" t="s">
        <v>58</v>
      </c>
      <c r="G1058" s="6" t="str">
        <f>SUBSTITUTE(Raw_Data!G1058,"Ã©","é")</f>
        <v>Storm Overtrousers</v>
      </c>
      <c r="H1058" s="6">
        <v>1</v>
      </c>
      <c r="I1058" s="6" t="s">
        <v>117</v>
      </c>
      <c r="J1058" s="6" t="s">
        <v>117</v>
      </c>
      <c r="K1058" s="6">
        <v>0.38</v>
      </c>
      <c r="L1058" s="6" t="s">
        <v>42</v>
      </c>
      <c r="M1058" s="6" t="s">
        <v>34</v>
      </c>
      <c r="N1058" s="6"/>
    </row>
    <row r="1059" spans="1:14">
      <c r="A1059" s="6" t="s">
        <v>2110</v>
      </c>
      <c r="B1059" s="7">
        <v>46239</v>
      </c>
      <c r="C1059" s="6" t="s">
        <v>2111</v>
      </c>
      <c r="D1059" s="6" t="str">
        <f>IF(OR(PROPER(TRIM(Raw_Data!D1059))="Uk",PROPER(TRIM(Raw_Data!D1059))="Gb",PROPER(TRIM(Raw_Data!D1059))="United kingdom"),"United Kingdom",PROPER(TRIM(Raw_Data!D1059)))</f>
        <v>United Kingdom</v>
      </c>
      <c r="E1059" s="6" t="s">
        <v>37</v>
      </c>
      <c r="F1059" s="6" t="s">
        <v>38</v>
      </c>
      <c r="G1059" s="6" t="str">
        <f>SUBSTITUTE(Raw_Data!G1059,"Ã©","é")</f>
        <v>Fell Runner Cap</v>
      </c>
      <c r="H1059" s="6">
        <v>2</v>
      </c>
      <c r="I1059" s="6" t="s">
        <v>265</v>
      </c>
      <c r="J1059" s="6" t="s">
        <v>167</v>
      </c>
      <c r="K1059" s="6">
        <v>0.52</v>
      </c>
      <c r="L1059" s="6" t="s">
        <v>42</v>
      </c>
      <c r="M1059" s="6" t="s">
        <v>34</v>
      </c>
      <c r="N1059" s="6"/>
    </row>
    <row r="1060" spans="1:14">
      <c r="A1060" s="6" t="s">
        <v>2112</v>
      </c>
      <c r="B1060" s="7">
        <v>46149</v>
      </c>
      <c r="C1060" s="6" t="s">
        <v>2113</v>
      </c>
      <c r="D1060" s="6" t="str">
        <f>IF(OR(PROPER(TRIM(Raw_Data!D1060))="Uk",PROPER(TRIM(Raw_Data!D1060))="Gb",PROPER(TRIM(Raw_Data!D1060))="United kingdom"),"United Kingdom",PROPER(TRIM(Raw_Data!D1060)))</f>
        <v>United Kingdom</v>
      </c>
      <c r="E1060" s="6" t="s">
        <v>37</v>
      </c>
      <c r="F1060" s="6" t="s">
        <v>58</v>
      </c>
      <c r="G1060" s="6" t="str">
        <f>SUBSTITUTE(Raw_Data!G1060,"Ã©","é")</f>
        <v>Trekking Poles</v>
      </c>
      <c r="H1060" s="6">
        <v>2</v>
      </c>
      <c r="I1060" s="6" t="s">
        <v>31</v>
      </c>
      <c r="J1060" s="6" t="s">
        <v>249</v>
      </c>
      <c r="K1060" s="6">
        <v>0.38</v>
      </c>
      <c r="L1060" s="6" t="s">
        <v>42</v>
      </c>
      <c r="M1060" s="6" t="s">
        <v>69</v>
      </c>
      <c r="N1060" s="6"/>
    </row>
    <row r="1061" spans="1:14">
      <c r="A1061" s="6" t="s">
        <v>2114</v>
      </c>
      <c r="B1061" s="7">
        <v>46156</v>
      </c>
      <c r="C1061" s="6" t="s">
        <v>2115</v>
      </c>
      <c r="D1061" s="6" t="str">
        <f>IF(OR(PROPER(TRIM(Raw_Data!D1061))="Uk",PROPER(TRIM(Raw_Data!D1061))="Gb",PROPER(TRIM(Raw_Data!D1061))="United kingdom"),"United Kingdom",PROPER(TRIM(Raw_Data!D1061)))</f>
        <v>United Kingdom</v>
      </c>
      <c r="E1061" s="6" t="s">
        <v>37</v>
      </c>
      <c r="F1061" s="6" t="s">
        <v>47</v>
      </c>
      <c r="G1061" s="6" t="str">
        <f>SUBSTITUTE(Raw_Data!G1061,"Ã©","é")</f>
        <v>Alpine Jacket</v>
      </c>
      <c r="H1061" s="6">
        <v>2</v>
      </c>
      <c r="I1061" s="6" t="s">
        <v>60</v>
      </c>
      <c r="J1061" s="6" t="s">
        <v>2116</v>
      </c>
      <c r="K1061" s="6">
        <v>8.5000000000000006E-2</v>
      </c>
      <c r="L1061" s="6" t="s">
        <v>42</v>
      </c>
      <c r="M1061" s="6" t="s">
        <v>34</v>
      </c>
      <c r="N1061" s="6"/>
    </row>
    <row r="1062" spans="1:14">
      <c r="A1062" s="6" t="s">
        <v>2117</v>
      </c>
      <c r="B1062" s="7">
        <v>46043</v>
      </c>
      <c r="C1062" s="6" t="s">
        <v>1200</v>
      </c>
      <c r="D1062" s="6" t="str">
        <f>IF(OR(PROPER(TRIM(Raw_Data!D1062))="Uk",PROPER(TRIM(Raw_Data!D1062))="Gb",PROPER(TRIM(Raw_Data!D1062))="United kingdom"),"United Kingdom",PROPER(TRIM(Raw_Data!D1062)))</f>
        <v>United Kingdom</v>
      </c>
      <c r="E1062" s="6" t="s">
        <v>28</v>
      </c>
      <c r="F1062" s="6" t="s">
        <v>100</v>
      </c>
      <c r="G1062" s="6" t="str">
        <f>SUBSTITUTE(Raw_Data!G1062,"Ã©","é")</f>
        <v>Merino Base Layer</v>
      </c>
      <c r="H1062" s="6">
        <v>3</v>
      </c>
      <c r="I1062" s="6" t="s">
        <v>96</v>
      </c>
      <c r="J1062" s="6" t="s">
        <v>97</v>
      </c>
      <c r="K1062" s="6">
        <v>0.64</v>
      </c>
      <c r="L1062" s="6" t="s">
        <v>42</v>
      </c>
      <c r="M1062" s="6" t="s">
        <v>34</v>
      </c>
      <c r="N1062" s="6"/>
    </row>
    <row r="1063" spans="1:14">
      <c r="A1063" s="6" t="s">
        <v>2118</v>
      </c>
      <c r="B1063" s="7">
        <v>46182</v>
      </c>
      <c r="C1063" s="6" t="s">
        <v>2119</v>
      </c>
      <c r="D1063" s="6" t="str">
        <f>IF(OR(PROPER(TRIM(Raw_Data!D1063))="Uk",PROPER(TRIM(Raw_Data!D1063))="Gb",PROPER(TRIM(Raw_Data!D1063))="United kingdom"),"United Kingdom",PROPER(TRIM(Raw_Data!D1063)))</f>
        <v>United Kingdom</v>
      </c>
      <c r="E1063" s="6" t="s">
        <v>28</v>
      </c>
      <c r="F1063" s="6" t="s">
        <v>58</v>
      </c>
      <c r="G1063" s="6" t="str">
        <f>SUBSTITUTE(Raw_Data!G1063,"Ã©","é")</f>
        <v>Trail Softshell</v>
      </c>
      <c r="H1063" s="6">
        <v>1</v>
      </c>
      <c r="I1063" s="6" t="s">
        <v>117</v>
      </c>
      <c r="J1063" s="6" t="s">
        <v>117</v>
      </c>
      <c r="K1063" s="6">
        <v>0.38</v>
      </c>
      <c r="L1063" s="6" t="s">
        <v>42</v>
      </c>
      <c r="M1063" s="6" t="s">
        <v>34</v>
      </c>
      <c r="N1063" s="6"/>
    </row>
    <row r="1064" spans="1:14">
      <c r="A1064" s="6" t="s">
        <v>2120</v>
      </c>
      <c r="B1064" s="7">
        <v>46146</v>
      </c>
      <c r="C1064" s="6" t="s">
        <v>2121</v>
      </c>
      <c r="D1064" s="6" t="str">
        <f>IF(OR(PROPER(TRIM(Raw_Data!D1064))="Uk",PROPER(TRIM(Raw_Data!D1064))="Gb",PROPER(TRIM(Raw_Data!D1064))="United kingdom"),"United Kingdom",PROPER(TRIM(Raw_Data!D1064)))</f>
        <v>Germany</v>
      </c>
      <c r="E1064" s="6" t="s">
        <v>78</v>
      </c>
      <c r="F1064" s="6" t="s">
        <v>100</v>
      </c>
      <c r="G1064" s="6" t="str">
        <f>SUBSTITUTE(Raw_Data!G1064,"Ã©","é")</f>
        <v>Café Latte Mug</v>
      </c>
      <c r="H1064" s="6">
        <v>3</v>
      </c>
      <c r="I1064" s="6" t="s">
        <v>117</v>
      </c>
      <c r="J1064" s="6" t="s">
        <v>171</v>
      </c>
      <c r="K1064" s="6">
        <v>0.64</v>
      </c>
      <c r="L1064" s="6" t="s">
        <v>42</v>
      </c>
      <c r="M1064" s="6" t="s">
        <v>69</v>
      </c>
      <c r="N1064" s="6"/>
    </row>
    <row r="1065" spans="1:14">
      <c r="A1065" s="6" t="s">
        <v>2122</v>
      </c>
      <c r="B1065" s="7">
        <v>46199</v>
      </c>
      <c r="C1065" s="6" t="s">
        <v>2123</v>
      </c>
      <c r="D1065" s="6" t="str">
        <f>IF(OR(PROPER(TRIM(Raw_Data!D1065))="Uk",PROPER(TRIM(Raw_Data!D1065))="Gb",PROPER(TRIM(Raw_Data!D1065))="United kingdom"),"United Kingdom",PROPER(TRIM(Raw_Data!D1065)))</f>
        <v>United Kingdom</v>
      </c>
      <c r="E1065" s="6" t="s">
        <v>46</v>
      </c>
      <c r="F1065" s="6" t="s">
        <v>53</v>
      </c>
      <c r="G1065" s="6" t="str">
        <f>SUBSTITUTE(Raw_Data!G1065,"Ã©","é")</f>
        <v>Summit Down Gilet</v>
      </c>
      <c r="H1065" s="6">
        <v>1</v>
      </c>
      <c r="I1065" s="6" t="s">
        <v>82</v>
      </c>
      <c r="J1065" s="6" t="s">
        <v>82</v>
      </c>
      <c r="K1065" s="6">
        <v>0.19</v>
      </c>
      <c r="L1065" s="6" t="s">
        <v>42</v>
      </c>
      <c r="M1065" s="6" t="s">
        <v>34</v>
      </c>
      <c r="N1065" s="6"/>
    </row>
    <row r="1066" spans="1:14">
      <c r="A1066" s="6" t="s">
        <v>2124</v>
      </c>
      <c r="B1066" s="7">
        <v>46051</v>
      </c>
      <c r="C1066" s="6" t="s">
        <v>662</v>
      </c>
      <c r="D1066" s="6" t="str">
        <f>IF(OR(PROPER(TRIM(Raw_Data!D1066))="Uk",PROPER(TRIM(Raw_Data!D1066))="Gb",PROPER(TRIM(Raw_Data!D1066))="United kingdom"),"United Kingdom",PROPER(TRIM(Raw_Data!D1066)))</f>
        <v>United Kingdom</v>
      </c>
      <c r="E1066" s="6" t="s">
        <v>46</v>
      </c>
      <c r="F1066" s="6" t="s">
        <v>53</v>
      </c>
      <c r="G1066" s="6" t="str">
        <f>SUBSTITUTE(Raw_Data!G1066,"Ã©","é")</f>
        <v>Trail Softshell</v>
      </c>
      <c r="H1066" s="6">
        <v>3</v>
      </c>
      <c r="I1066" s="6" t="s">
        <v>82</v>
      </c>
      <c r="J1066" s="6" t="s">
        <v>1198</v>
      </c>
      <c r="K1066" s="6">
        <v>0.19</v>
      </c>
      <c r="L1066" s="6" t="s">
        <v>33</v>
      </c>
      <c r="M1066" s="6" t="s">
        <v>69</v>
      </c>
      <c r="N1066" s="6"/>
    </row>
    <row r="1067" spans="1:14">
      <c r="A1067" s="6" t="s">
        <v>2125</v>
      </c>
      <c r="B1067" s="7">
        <v>46052</v>
      </c>
      <c r="C1067" s="6" t="s">
        <v>2126</v>
      </c>
      <c r="D1067" s="6" t="str">
        <f>IF(OR(PROPER(TRIM(Raw_Data!D1067))="Uk",PROPER(TRIM(Raw_Data!D1067))="Gb",PROPER(TRIM(Raw_Data!D1067))="United kingdom"),"United Kingdom",PROPER(TRIM(Raw_Data!D1067)))</f>
        <v>Ireland</v>
      </c>
      <c r="E1067" s="6" t="s">
        <v>46</v>
      </c>
      <c r="F1067" s="6" t="s">
        <v>53</v>
      </c>
      <c r="G1067" s="6" t="str">
        <f>SUBSTITUTE(Raw_Data!G1067,"Ã©","é")</f>
        <v>Summit Down Gilet</v>
      </c>
      <c r="H1067" s="6">
        <v>2</v>
      </c>
      <c r="I1067" s="6" t="s">
        <v>143</v>
      </c>
      <c r="J1067" s="6" t="s">
        <v>144</v>
      </c>
      <c r="K1067" s="6">
        <v>0.19</v>
      </c>
      <c r="L1067" s="6" t="s">
        <v>42</v>
      </c>
      <c r="M1067" s="6" t="s">
        <v>34</v>
      </c>
      <c r="N1067" s="6"/>
    </row>
    <row r="1068" spans="1:14">
      <c r="A1068" s="6" t="s">
        <v>2127</v>
      </c>
      <c r="B1068" s="7">
        <v>46102</v>
      </c>
      <c r="C1068" s="6" t="s">
        <v>2128</v>
      </c>
      <c r="D1068" s="6" t="str">
        <f>IF(OR(PROPER(TRIM(Raw_Data!D1068))="Uk",PROPER(TRIM(Raw_Data!D1068))="Gb",PROPER(TRIM(Raw_Data!D1068))="United kingdom"),"United Kingdom",PROPER(TRIM(Raw_Data!D1068)))</f>
        <v>Ireland</v>
      </c>
      <c r="E1068" s="6" t="s">
        <v>46</v>
      </c>
      <c r="F1068" s="6" t="s">
        <v>100</v>
      </c>
      <c r="G1068" s="6" t="str">
        <f>SUBSTITUTE(Raw_Data!G1068,"Ã©","é")</f>
        <v>Fell Runner Cap</v>
      </c>
      <c r="H1068" s="6">
        <v>1</v>
      </c>
      <c r="I1068" s="6" t="s">
        <v>82</v>
      </c>
      <c r="J1068" s="6" t="s">
        <v>82</v>
      </c>
      <c r="K1068" s="6">
        <v>0.64</v>
      </c>
      <c r="L1068" s="6" t="s">
        <v>33</v>
      </c>
      <c r="M1068" s="6" t="s">
        <v>69</v>
      </c>
      <c r="N1068" s="6"/>
    </row>
    <row r="1069" spans="1:14">
      <c r="A1069" s="6" t="s">
        <v>2129</v>
      </c>
      <c r="B1069" s="7">
        <v>46051</v>
      </c>
      <c r="C1069" s="6" t="s">
        <v>2130</v>
      </c>
      <c r="D1069" s="6" t="str">
        <f>IF(OR(PROPER(TRIM(Raw_Data!D1069))="Uk",PROPER(TRIM(Raw_Data!D1069))="Gb",PROPER(TRIM(Raw_Data!D1069))="United kingdom"),"United Kingdom",PROPER(TRIM(Raw_Data!D1069)))</f>
        <v>Ireland</v>
      </c>
      <c r="E1069" s="6" t="s">
        <v>28</v>
      </c>
      <c r="F1069" s="6" t="s">
        <v>38</v>
      </c>
      <c r="G1069" s="6" t="str">
        <f>SUBSTITUTE(Raw_Data!G1069,"Ã©","é")</f>
        <v>Alpine Jacket</v>
      </c>
      <c r="H1069" s="6">
        <v>2</v>
      </c>
      <c r="I1069" s="6" t="s">
        <v>82</v>
      </c>
      <c r="J1069" s="6" t="s">
        <v>297</v>
      </c>
      <c r="K1069" s="6">
        <v>0.52</v>
      </c>
      <c r="L1069" s="6" t="s">
        <v>42</v>
      </c>
      <c r="M1069" s="6" t="s">
        <v>69</v>
      </c>
      <c r="N1069" s="6"/>
    </row>
    <row r="1070" spans="1:14">
      <c r="A1070" s="6" t="s">
        <v>2131</v>
      </c>
      <c r="B1070" s="7">
        <v>46066</v>
      </c>
      <c r="C1070" s="6" t="s">
        <v>881</v>
      </c>
      <c r="D1070" s="6" t="str">
        <f>IF(OR(PROPER(TRIM(Raw_Data!D1070))="Uk",PROPER(TRIM(Raw_Data!D1070))="Gb",PROPER(TRIM(Raw_Data!D1070))="United kingdom"),"United Kingdom",PROPER(TRIM(Raw_Data!D1070)))</f>
        <v>United Kingdom</v>
      </c>
      <c r="E1070" s="6" t="s">
        <v>46</v>
      </c>
      <c r="F1070" s="6" t="s">
        <v>85</v>
      </c>
      <c r="G1070" s="6" t="str">
        <f>SUBSTITUTE(Raw_Data!G1070,"Ã©","é")</f>
        <v>Summit Down Gilet</v>
      </c>
      <c r="H1070" s="6">
        <v>1</v>
      </c>
      <c r="I1070" s="6" t="s">
        <v>96</v>
      </c>
      <c r="J1070" s="6" t="s">
        <v>96</v>
      </c>
      <c r="K1070" s="6">
        <v>0.41</v>
      </c>
      <c r="L1070" s="6" t="s">
        <v>42</v>
      </c>
      <c r="M1070" s="6" t="s">
        <v>69</v>
      </c>
      <c r="N1070" s="6"/>
    </row>
    <row r="1071" spans="1:14">
      <c r="A1071" s="6" t="s">
        <v>2132</v>
      </c>
      <c r="B1071" s="7">
        <v>46053</v>
      </c>
      <c r="C1071" s="6" t="s">
        <v>681</v>
      </c>
      <c r="D1071" s="6" t="str">
        <f>IF(OR(PROPER(TRIM(Raw_Data!D1071))="Uk",PROPER(TRIM(Raw_Data!D1071))="Gb",PROPER(TRIM(Raw_Data!D1071))="United kingdom"),"United Kingdom",PROPER(TRIM(Raw_Data!D1071)))</f>
        <v>United Kingdom</v>
      </c>
      <c r="E1071" s="6" t="s">
        <v>52</v>
      </c>
      <c r="F1071" s="6" t="s">
        <v>47</v>
      </c>
      <c r="G1071" s="6" t="str">
        <f>SUBSTITUTE(Raw_Data!G1071,"Ã©","é")</f>
        <v>Alpine Jacket</v>
      </c>
      <c r="H1071" s="6">
        <v>1</v>
      </c>
      <c r="I1071" s="6" t="s">
        <v>67</v>
      </c>
      <c r="J1071" s="6" t="s">
        <v>67</v>
      </c>
      <c r="K1071" s="6">
        <v>8.5000000000000006E-2</v>
      </c>
      <c r="L1071" s="6" t="s">
        <v>42</v>
      </c>
      <c r="M1071" s="6" t="s">
        <v>34</v>
      </c>
      <c r="N1071" s="6"/>
    </row>
    <row r="1072" spans="1:14">
      <c r="A1072" s="6" t="s">
        <v>2134</v>
      </c>
      <c r="B1072" s="7">
        <v>46160</v>
      </c>
      <c r="C1072" s="6" t="s">
        <v>1380</v>
      </c>
      <c r="D1072" s="6" t="str">
        <f>IF(OR(PROPER(TRIM(Raw_Data!D1072))="Uk",PROPER(TRIM(Raw_Data!D1072))="Gb",PROPER(TRIM(Raw_Data!D1072))="United kingdom"),"United Kingdom",PROPER(TRIM(Raw_Data!D1072)))</f>
        <v>United Kingdom</v>
      </c>
      <c r="E1072" s="6" t="s">
        <v>78</v>
      </c>
      <c r="F1072" s="6" t="s">
        <v>29</v>
      </c>
      <c r="G1072" s="6" t="str">
        <f>SUBSTITUTE(Raw_Data!G1072,"Ã©","é")</f>
        <v>Merino Base Layer</v>
      </c>
      <c r="H1072" s="6">
        <v>3</v>
      </c>
      <c r="I1072" s="6" t="s">
        <v>143</v>
      </c>
      <c r="J1072" s="6" t="s">
        <v>243</v>
      </c>
      <c r="K1072" s="6">
        <v>0.52</v>
      </c>
      <c r="L1072" s="6" t="s">
        <v>33</v>
      </c>
      <c r="M1072" s="6" t="s">
        <v>69</v>
      </c>
      <c r="N1072" s="6"/>
    </row>
    <row r="1073" spans="1:14">
      <c r="A1073" s="6" t="s">
        <v>2135</v>
      </c>
      <c r="B1073" s="7">
        <v>46240</v>
      </c>
      <c r="C1073" s="6" t="s">
        <v>1971</v>
      </c>
      <c r="D1073" s="6" t="str">
        <f>IF(OR(PROPER(TRIM(Raw_Data!D1073))="Uk",PROPER(TRIM(Raw_Data!D1073))="Gb",PROPER(TRIM(Raw_Data!D1073))="United kingdom"),"United Kingdom",PROPER(TRIM(Raw_Data!D1073)))</f>
        <v>Ireland</v>
      </c>
      <c r="E1073" s="6" t="s">
        <v>28</v>
      </c>
      <c r="F1073" s="6" t="s">
        <v>29</v>
      </c>
      <c r="G1073" s="6" t="str">
        <f>SUBSTITUTE(Raw_Data!G1073,"Ã©","é")</f>
        <v>Merino Base Layer</v>
      </c>
      <c r="H1073" s="6">
        <v>3</v>
      </c>
      <c r="I1073" s="6" t="s">
        <v>31</v>
      </c>
      <c r="J1073" s="6" t="s">
        <v>337</v>
      </c>
      <c r="K1073" s="6">
        <v>0.52</v>
      </c>
      <c r="L1073" s="6" t="s">
        <v>42</v>
      </c>
      <c r="M1073" s="6" t="s">
        <v>34</v>
      </c>
      <c r="N1073" s="6"/>
    </row>
    <row r="1074" spans="1:14">
      <c r="A1074" s="6" t="s">
        <v>2136</v>
      </c>
      <c r="B1074" s="7">
        <v>46300</v>
      </c>
      <c r="C1074" s="6" t="s">
        <v>2137</v>
      </c>
      <c r="D1074" s="6" t="str">
        <f>IF(OR(PROPER(TRIM(Raw_Data!D1074))="Uk",PROPER(TRIM(Raw_Data!D1074))="Gb",PROPER(TRIM(Raw_Data!D1074))="United kingdom"),"United Kingdom",PROPER(TRIM(Raw_Data!D1074)))</f>
        <v>Ireland</v>
      </c>
      <c r="E1074" s="6" t="s">
        <v>52</v>
      </c>
      <c r="F1074" s="6" t="s">
        <v>58</v>
      </c>
      <c r="G1074" s="6" t="str">
        <f>SUBSTITUTE(Raw_Data!G1074,"Ã©","é")</f>
        <v>Merino Base Layer</v>
      </c>
      <c r="H1074" s="6">
        <v>2</v>
      </c>
      <c r="I1074" s="6" t="s">
        <v>143</v>
      </c>
      <c r="J1074" s="6" t="s">
        <v>144</v>
      </c>
      <c r="K1074" s="6">
        <v>0.38</v>
      </c>
      <c r="L1074" s="6" t="s">
        <v>33</v>
      </c>
      <c r="M1074" s="6" t="s">
        <v>34</v>
      </c>
      <c r="N1074" s="6"/>
    </row>
    <row r="1075" spans="1:14">
      <c r="A1075" s="6" t="s">
        <v>2138</v>
      </c>
      <c r="B1075" s="7">
        <v>46186</v>
      </c>
      <c r="C1075" s="6" t="s">
        <v>2139</v>
      </c>
      <c r="D1075" s="6" t="str">
        <f>IF(OR(PROPER(TRIM(Raw_Data!D1075))="Uk",PROPER(TRIM(Raw_Data!D1075))="Gb",PROPER(TRIM(Raw_Data!D1075))="United kingdom"),"United Kingdom",PROPER(TRIM(Raw_Data!D1075)))</f>
        <v>United Kingdom</v>
      </c>
      <c r="E1075" s="6" t="s">
        <v>46</v>
      </c>
      <c r="F1075" s="6" t="s">
        <v>94</v>
      </c>
      <c r="G1075" s="6" t="str">
        <f>SUBSTITUTE(Raw_Data!G1075,"Ã©","é")</f>
        <v>Alpine Jacket</v>
      </c>
      <c r="H1075" s="6">
        <v>1</v>
      </c>
      <c r="I1075" s="6" t="s">
        <v>40</v>
      </c>
      <c r="J1075" s="6" t="s">
        <v>40</v>
      </c>
      <c r="K1075" s="6">
        <v>0.34</v>
      </c>
      <c r="L1075" s="6" t="s">
        <v>42</v>
      </c>
      <c r="M1075" s="6" t="s">
        <v>34</v>
      </c>
      <c r="N1075" s="6"/>
    </row>
    <row r="1076" spans="1:14">
      <c r="A1076" s="6" t="s">
        <v>2140</v>
      </c>
      <c r="B1076" s="7">
        <v>46157</v>
      </c>
      <c r="C1076" s="6" t="s">
        <v>1773</v>
      </c>
      <c r="D1076" s="6" t="str">
        <f>IF(OR(PROPER(TRIM(Raw_Data!D1076))="Uk",PROPER(TRIM(Raw_Data!D1076))="Gb",PROPER(TRIM(Raw_Data!D1076))="United kingdom"),"United Kingdom",PROPER(TRIM(Raw_Data!D1076)))</f>
        <v>United Kingdom</v>
      </c>
      <c r="E1076" s="6" t="s">
        <v>28</v>
      </c>
      <c r="F1076" s="6" t="s">
        <v>53</v>
      </c>
      <c r="G1076" s="6" t="str">
        <f>SUBSTITUTE(Raw_Data!G1076,"Ã©","é")</f>
        <v>Trail Softshell</v>
      </c>
      <c r="H1076" s="6">
        <v>3</v>
      </c>
      <c r="I1076" s="6" t="s">
        <v>31</v>
      </c>
      <c r="J1076" s="6" t="s">
        <v>337</v>
      </c>
      <c r="K1076" s="6">
        <v>0.19</v>
      </c>
      <c r="L1076" s="6" t="s">
        <v>42</v>
      </c>
      <c r="M1076" s="6" t="s">
        <v>34</v>
      </c>
      <c r="N1076" s="6"/>
    </row>
    <row r="1077" spans="1:14">
      <c r="A1077" s="6" t="s">
        <v>2141</v>
      </c>
      <c r="B1077" s="7">
        <v>46131</v>
      </c>
      <c r="C1077" s="6" t="s">
        <v>1188</v>
      </c>
      <c r="D1077" s="6" t="str">
        <f>IF(OR(PROPER(TRIM(Raw_Data!D1077))="Uk",PROPER(TRIM(Raw_Data!D1077))="Gb",PROPER(TRIM(Raw_Data!D1077))="United kingdom"),"United Kingdom",PROPER(TRIM(Raw_Data!D1077)))</f>
        <v>Ireland</v>
      </c>
      <c r="E1077" s="6" t="s">
        <v>28</v>
      </c>
      <c r="F1077" s="6" t="s">
        <v>38</v>
      </c>
      <c r="G1077" s="6" t="str">
        <f>SUBSTITUTE(Raw_Data!G1077,"Ã©","é")</f>
        <v>Storm Overtrousers</v>
      </c>
      <c r="H1077" s="6">
        <v>1</v>
      </c>
      <c r="I1077" s="6" t="s">
        <v>147</v>
      </c>
      <c r="J1077" s="6" t="s">
        <v>147</v>
      </c>
      <c r="K1077" s="6">
        <v>0.52</v>
      </c>
      <c r="L1077" s="6" t="s">
        <v>42</v>
      </c>
      <c r="M1077" s="6" t="s">
        <v>34</v>
      </c>
      <c r="N1077" s="6"/>
    </row>
    <row r="1078" spans="1:14">
      <c r="A1078" s="6" t="s">
        <v>2142</v>
      </c>
      <c r="B1078" s="7">
        <v>46073</v>
      </c>
      <c r="C1078" s="6" t="s">
        <v>264</v>
      </c>
      <c r="D1078" s="6" t="str">
        <f>IF(OR(PROPER(TRIM(Raw_Data!D1078))="Uk",PROPER(TRIM(Raw_Data!D1078))="Gb",PROPER(TRIM(Raw_Data!D1078))="United kingdom"),"United Kingdom",PROPER(TRIM(Raw_Data!D1078)))</f>
        <v>United Kingdom</v>
      </c>
      <c r="E1078" s="6" t="s">
        <v>52</v>
      </c>
      <c r="F1078" s="6" t="s">
        <v>58</v>
      </c>
      <c r="G1078" s="6" t="str">
        <f>SUBSTITUTE(Raw_Data!G1078,"Ã©","é")</f>
        <v>Fell Runner Cap</v>
      </c>
      <c r="H1078" s="6">
        <v>3</v>
      </c>
      <c r="I1078" s="6" t="s">
        <v>73</v>
      </c>
      <c r="J1078" s="6" t="s">
        <v>499</v>
      </c>
      <c r="K1078" s="6">
        <v>0.38</v>
      </c>
      <c r="L1078" s="6" t="s">
        <v>42</v>
      </c>
      <c r="M1078" s="6" t="s">
        <v>69</v>
      </c>
      <c r="N1078" s="6"/>
    </row>
    <row r="1079" spans="1:14">
      <c r="A1079" s="6" t="s">
        <v>2143</v>
      </c>
      <c r="B1079" s="7">
        <v>46172</v>
      </c>
      <c r="C1079" s="6" t="s">
        <v>387</v>
      </c>
      <c r="D1079" s="6" t="str">
        <f>IF(OR(PROPER(TRIM(Raw_Data!D1079))="Uk",PROPER(TRIM(Raw_Data!D1079))="Gb",PROPER(TRIM(Raw_Data!D1079))="United kingdom"),"United Kingdom",PROPER(TRIM(Raw_Data!D1079)))</f>
        <v>United Kingdom</v>
      </c>
      <c r="E1079" s="6" t="s">
        <v>52</v>
      </c>
      <c r="F1079" s="6" t="s">
        <v>100</v>
      </c>
      <c r="G1079" s="6" t="str">
        <f>SUBSTITUTE(Raw_Data!G1079,"Ã©","é")</f>
        <v>Trekking Poles</v>
      </c>
      <c r="H1079" s="6">
        <v>1</v>
      </c>
      <c r="I1079" s="6" t="s">
        <v>147</v>
      </c>
      <c r="J1079" s="6" t="s">
        <v>147</v>
      </c>
      <c r="K1079" s="6">
        <v>0.64</v>
      </c>
      <c r="L1079" s="6" t="s">
        <v>42</v>
      </c>
      <c r="M1079" s="6" t="s">
        <v>34</v>
      </c>
      <c r="N1079" s="6"/>
    </row>
    <row r="1080" spans="1:14">
      <c r="A1080" s="6" t="s">
        <v>2144</v>
      </c>
      <c r="B1080" s="7">
        <v>46055</v>
      </c>
      <c r="C1080" s="6" t="s">
        <v>286</v>
      </c>
      <c r="D1080" s="6" t="str">
        <f>IF(OR(PROPER(TRIM(Raw_Data!D1080))="Uk",PROPER(TRIM(Raw_Data!D1080))="Gb",PROPER(TRIM(Raw_Data!D1080))="United kingdom"),"United Kingdom",PROPER(TRIM(Raw_Data!D1080)))</f>
        <v>United Kingdom</v>
      </c>
      <c r="E1080" s="6" t="s">
        <v>46</v>
      </c>
      <c r="F1080" s="6" t="s">
        <v>94</v>
      </c>
      <c r="G1080" s="6" t="str">
        <f>SUBSTITUTE(Raw_Data!G1080,"Ã©","é")</f>
        <v>Trekking Poles</v>
      </c>
      <c r="H1080" s="6">
        <v>1</v>
      </c>
      <c r="I1080" s="6" t="s">
        <v>79</v>
      </c>
      <c r="J1080" s="6" t="s">
        <v>79</v>
      </c>
      <c r="K1080" s="6">
        <v>0.34</v>
      </c>
      <c r="L1080" s="6" t="s">
        <v>42</v>
      </c>
      <c r="M1080" s="6" t="s">
        <v>34</v>
      </c>
      <c r="N1080" s="6"/>
    </row>
    <row r="1081" spans="1:14">
      <c r="A1081" s="6" t="s">
        <v>2145</v>
      </c>
      <c r="B1081" s="7">
        <v>46127</v>
      </c>
      <c r="C1081" s="6" t="s">
        <v>2146</v>
      </c>
      <c r="D1081" s="6" t="str">
        <f>IF(OR(PROPER(TRIM(Raw_Data!D1081))="Uk",PROPER(TRIM(Raw_Data!D1081))="Gb",PROPER(TRIM(Raw_Data!D1081))="United kingdom"),"United Kingdom",PROPER(TRIM(Raw_Data!D1081)))</f>
        <v>France</v>
      </c>
      <c r="E1081" s="6" t="s">
        <v>28</v>
      </c>
      <c r="F1081" s="6" t="s">
        <v>38</v>
      </c>
      <c r="G1081" s="6" t="str">
        <f>SUBSTITUTE(Raw_Data!G1081,"Ã©","é")</f>
        <v>Summit Down Gilet</v>
      </c>
      <c r="H1081" s="6">
        <v>1</v>
      </c>
      <c r="I1081" s="6" t="s">
        <v>147</v>
      </c>
      <c r="J1081" s="6" t="s">
        <v>147</v>
      </c>
      <c r="K1081" s="6">
        <v>0.52</v>
      </c>
      <c r="L1081" s="6" t="s">
        <v>42</v>
      </c>
      <c r="M1081" s="6" t="s">
        <v>34</v>
      </c>
      <c r="N1081" s="6"/>
    </row>
    <row r="1082" spans="1:14">
      <c r="A1082" s="6" t="s">
        <v>2147</v>
      </c>
      <c r="B1082" s="7">
        <v>46041</v>
      </c>
      <c r="C1082" s="6" t="s">
        <v>464</v>
      </c>
      <c r="D1082" s="6" t="str">
        <f>IF(OR(PROPER(TRIM(Raw_Data!D1082))="Uk",PROPER(TRIM(Raw_Data!D1082))="Gb",PROPER(TRIM(Raw_Data!D1082))="United kingdom"),"United Kingdom",PROPER(TRIM(Raw_Data!D1082)))</f>
        <v>United Kingdom</v>
      </c>
      <c r="E1082" s="6" t="s">
        <v>28</v>
      </c>
      <c r="F1082" s="6" t="s">
        <v>47</v>
      </c>
      <c r="G1082" s="6" t="str">
        <f>SUBSTITUTE(Raw_Data!G1082,"Ã©","é")</f>
        <v>Café Latte Mug</v>
      </c>
      <c r="H1082" s="6">
        <v>1</v>
      </c>
      <c r="I1082" s="6" t="s">
        <v>82</v>
      </c>
      <c r="J1082" s="6" t="s">
        <v>82</v>
      </c>
      <c r="K1082" s="6">
        <v>8.5000000000000006E-2</v>
      </c>
      <c r="L1082" s="6" t="s">
        <v>42</v>
      </c>
      <c r="M1082" s="6" t="s">
        <v>69</v>
      </c>
      <c r="N1082" s="6"/>
    </row>
    <row r="1083" spans="1:14">
      <c r="A1083" s="6" t="s">
        <v>2148</v>
      </c>
      <c r="B1083" s="7">
        <v>46102</v>
      </c>
      <c r="C1083" s="6" t="s">
        <v>2149</v>
      </c>
      <c r="D1083" s="6" t="str">
        <f>IF(OR(PROPER(TRIM(Raw_Data!D1083))="Uk",PROPER(TRIM(Raw_Data!D1083))="Gb",PROPER(TRIM(Raw_Data!D1083))="United kingdom"),"United Kingdom",PROPER(TRIM(Raw_Data!D1083)))</f>
        <v>United Kingdom</v>
      </c>
      <c r="E1083" s="6" t="s">
        <v>28</v>
      </c>
      <c r="F1083" s="6" t="s">
        <v>94</v>
      </c>
      <c r="G1083" s="6" t="str">
        <f>SUBSTITUTE(Raw_Data!G1083,"Ã©","é")</f>
        <v>Merino Base Layer</v>
      </c>
      <c r="H1083" s="6">
        <v>1</v>
      </c>
      <c r="I1083" s="6" t="s">
        <v>82</v>
      </c>
      <c r="J1083" s="6" t="s">
        <v>471</v>
      </c>
      <c r="K1083" s="6">
        <v>0.34</v>
      </c>
      <c r="L1083" s="6" t="s">
        <v>42</v>
      </c>
      <c r="M1083" s="6" t="s">
        <v>34</v>
      </c>
      <c r="N1083" s="6"/>
    </row>
    <row r="1084" spans="1:14">
      <c r="A1084" s="6" t="s">
        <v>2150</v>
      </c>
      <c r="B1084" s="7">
        <v>46149</v>
      </c>
      <c r="C1084" s="6" t="s">
        <v>2151</v>
      </c>
      <c r="D1084" s="6" t="str">
        <f>IF(OR(PROPER(TRIM(Raw_Data!D1084))="Uk",PROPER(TRIM(Raw_Data!D1084))="Gb",PROPER(TRIM(Raw_Data!D1084))="United kingdom"),"United Kingdom",PROPER(TRIM(Raw_Data!D1084)))</f>
        <v>United Kingdom</v>
      </c>
      <c r="E1084" s="6" t="s">
        <v>46</v>
      </c>
      <c r="F1084" s="6" t="s">
        <v>100</v>
      </c>
      <c r="G1084" s="6" t="str">
        <f>SUBSTITUTE(Raw_Data!G1084,"Ã©","é")</f>
        <v>Trail Softshell</v>
      </c>
      <c r="H1084" s="6">
        <v>2</v>
      </c>
      <c r="I1084" s="6" t="s">
        <v>265</v>
      </c>
      <c r="J1084" s="6" t="s">
        <v>636</v>
      </c>
      <c r="K1084" s="6">
        <v>0.64</v>
      </c>
      <c r="L1084" s="6" t="s">
        <v>42</v>
      </c>
      <c r="M1084" s="6" t="s">
        <v>69</v>
      </c>
      <c r="N1084" s="6"/>
    </row>
    <row r="1085" spans="1:14">
      <c r="A1085" s="6" t="s">
        <v>2152</v>
      </c>
      <c r="B1085" s="7">
        <v>46076</v>
      </c>
      <c r="C1085" s="6" t="s">
        <v>2153</v>
      </c>
      <c r="D1085" s="6" t="str">
        <f>IF(OR(PROPER(TRIM(Raw_Data!D1085))="Uk",PROPER(TRIM(Raw_Data!D1085))="Gb",PROPER(TRIM(Raw_Data!D1085))="United kingdom"),"United Kingdom",PROPER(TRIM(Raw_Data!D1085)))</f>
        <v>Ireland</v>
      </c>
      <c r="E1085" s="6" t="s">
        <v>28</v>
      </c>
      <c r="F1085" s="6" t="s">
        <v>85</v>
      </c>
      <c r="G1085" s="6" t="str">
        <f>SUBSTITUTE(Raw_Data!G1085,"Ã©","é")</f>
        <v>Summit Down Gilet</v>
      </c>
      <c r="H1085" s="6">
        <v>1</v>
      </c>
      <c r="I1085" s="6" t="s">
        <v>60</v>
      </c>
      <c r="J1085" s="6" t="s">
        <v>60</v>
      </c>
      <c r="K1085" s="6">
        <v>0.41</v>
      </c>
      <c r="L1085" s="6" t="s">
        <v>42</v>
      </c>
      <c r="M1085" s="6" t="s">
        <v>34</v>
      </c>
      <c r="N1085" s="6"/>
    </row>
    <row r="1086" spans="1:14">
      <c r="A1086" s="6" t="s">
        <v>2154</v>
      </c>
      <c r="B1086" s="7">
        <v>46164</v>
      </c>
      <c r="C1086" s="6" t="s">
        <v>1800</v>
      </c>
      <c r="D1086" s="6" t="str">
        <f>IF(OR(PROPER(TRIM(Raw_Data!D1086))="Uk",PROPER(TRIM(Raw_Data!D1086))="Gb",PROPER(TRIM(Raw_Data!D1086))="United kingdom"),"United Kingdom",PROPER(TRIM(Raw_Data!D1086)))</f>
        <v>Ireland</v>
      </c>
      <c r="E1086" s="6" t="s">
        <v>28</v>
      </c>
      <c r="F1086" s="6" t="s">
        <v>53</v>
      </c>
      <c r="G1086" s="6" t="str">
        <f>SUBSTITUTE(Raw_Data!G1086,"Ã©","é")</f>
        <v>Alpine Jacket</v>
      </c>
      <c r="H1086" s="6">
        <v>3</v>
      </c>
      <c r="I1086" s="6" t="s">
        <v>143</v>
      </c>
      <c r="J1086" s="6" t="s">
        <v>243</v>
      </c>
      <c r="K1086" s="6">
        <v>0.19</v>
      </c>
      <c r="L1086" s="6" t="s">
        <v>42</v>
      </c>
      <c r="M1086" s="6" t="s">
        <v>34</v>
      </c>
      <c r="N1086" s="6"/>
    </row>
    <row r="1087" spans="1:14">
      <c r="A1087" s="6" t="s">
        <v>2155</v>
      </c>
      <c r="B1087" s="7">
        <v>46301</v>
      </c>
      <c r="C1087" s="6" t="s">
        <v>274</v>
      </c>
      <c r="D1087" s="6" t="str">
        <f>IF(OR(PROPER(TRIM(Raw_Data!D1087))="Uk",PROPER(TRIM(Raw_Data!D1087))="Gb",PROPER(TRIM(Raw_Data!D1087))="United kingdom"),"United Kingdom",PROPER(TRIM(Raw_Data!D1087)))</f>
        <v>United Kingdom</v>
      </c>
      <c r="E1087" s="6" t="s">
        <v>52</v>
      </c>
      <c r="F1087" s="6" t="s">
        <v>58</v>
      </c>
      <c r="G1087" s="6" t="str">
        <f>SUBSTITUTE(Raw_Data!G1087,"Ã©","é")</f>
        <v>Café Latte Mug</v>
      </c>
      <c r="H1087" s="6">
        <v>1</v>
      </c>
      <c r="I1087" s="6" t="s">
        <v>90</v>
      </c>
      <c r="J1087" s="6" t="s">
        <v>1182</v>
      </c>
      <c r="K1087" s="6">
        <v>0.38</v>
      </c>
      <c r="L1087" s="6" t="s">
        <v>42</v>
      </c>
      <c r="M1087" s="6" t="s">
        <v>34</v>
      </c>
      <c r="N1087" s="6"/>
    </row>
    <row r="1088" spans="1:14">
      <c r="A1088" s="6" t="s">
        <v>2156</v>
      </c>
      <c r="B1088" s="7">
        <v>46155</v>
      </c>
      <c r="C1088" s="6" t="s">
        <v>1055</v>
      </c>
      <c r="D1088" s="6" t="str">
        <f>IF(OR(PROPER(TRIM(Raw_Data!D1088))="Uk",PROPER(TRIM(Raw_Data!D1088))="Gb",PROPER(TRIM(Raw_Data!D1088))="United kingdom"),"United Kingdom",PROPER(TRIM(Raw_Data!D1088)))</f>
        <v>United Kingdom</v>
      </c>
      <c r="E1088" s="6" t="s">
        <v>37</v>
      </c>
      <c r="F1088" s="6" t="s">
        <v>94</v>
      </c>
      <c r="G1088" s="6" t="str">
        <f>SUBSTITUTE(Raw_Data!G1088,"Ã©","é")</f>
        <v>Trail Softshell</v>
      </c>
      <c r="H1088" s="6">
        <v>1</v>
      </c>
      <c r="I1088" s="6" t="s">
        <v>1013</v>
      </c>
      <c r="J1088" s="6" t="s">
        <v>90</v>
      </c>
      <c r="K1088" s="6">
        <v>0.34</v>
      </c>
      <c r="L1088" s="6" t="s">
        <v>42</v>
      </c>
      <c r="M1088" s="6" t="s">
        <v>69</v>
      </c>
      <c r="N1088" s="6"/>
    </row>
    <row r="1089" spans="1:14">
      <c r="A1089" s="6" t="s">
        <v>2157</v>
      </c>
      <c r="B1089" s="7">
        <v>46360</v>
      </c>
      <c r="C1089" s="6" t="s">
        <v>888</v>
      </c>
      <c r="D1089" s="6" t="str">
        <f>IF(OR(PROPER(TRIM(Raw_Data!D1089))="Uk",PROPER(TRIM(Raw_Data!D1089))="Gb",PROPER(TRIM(Raw_Data!D1089))="United kingdom"),"United Kingdom",PROPER(TRIM(Raw_Data!D1089)))</f>
        <v>United Kingdom</v>
      </c>
      <c r="E1089" s="6" t="s">
        <v>78</v>
      </c>
      <c r="F1089" s="6" t="s">
        <v>53</v>
      </c>
      <c r="G1089" s="6" t="str">
        <f>SUBSTITUTE(Raw_Data!G1089,"Ã©","é")</f>
        <v>Fell Runner Cap</v>
      </c>
      <c r="H1089" s="6">
        <v>1</v>
      </c>
      <c r="I1089" s="6" t="s">
        <v>82</v>
      </c>
      <c r="J1089" s="6" t="s">
        <v>82</v>
      </c>
      <c r="K1089" s="6">
        <v>0.19</v>
      </c>
      <c r="L1089" s="6" t="s">
        <v>42</v>
      </c>
      <c r="M1089" s="6" t="s">
        <v>69</v>
      </c>
      <c r="N1089" s="6"/>
    </row>
    <row r="1090" spans="1:14">
      <c r="A1090" s="6" t="s">
        <v>2158</v>
      </c>
      <c r="B1090" s="7">
        <v>46064</v>
      </c>
      <c r="C1090" s="6" t="s">
        <v>2159</v>
      </c>
      <c r="D1090" s="6" t="str">
        <f>IF(OR(PROPER(TRIM(Raw_Data!D1090))="Uk",PROPER(TRIM(Raw_Data!D1090))="Gb",PROPER(TRIM(Raw_Data!D1090))="United kingdom"),"United Kingdom",PROPER(TRIM(Raw_Data!D1090)))</f>
        <v>United Kingdom</v>
      </c>
      <c r="E1090" s="6" t="s">
        <v>46</v>
      </c>
      <c r="F1090" s="6" t="s">
        <v>29</v>
      </c>
      <c r="G1090" s="6" t="str">
        <f>SUBSTITUTE(Raw_Data!G1090,"Ã©","é")</f>
        <v>Café Latte Mug</v>
      </c>
      <c r="H1090" s="6">
        <v>1</v>
      </c>
      <c r="I1090" s="6" t="s">
        <v>82</v>
      </c>
      <c r="J1090" s="6" t="s">
        <v>82</v>
      </c>
      <c r="K1090" s="6">
        <v>0.52</v>
      </c>
      <c r="L1090" s="6" t="s">
        <v>42</v>
      </c>
      <c r="M1090" s="6" t="s">
        <v>34</v>
      </c>
      <c r="N1090" s="6"/>
    </row>
    <row r="1091" spans="1:14">
      <c r="A1091" s="6" t="s">
        <v>2160</v>
      </c>
      <c r="B1091" s="7">
        <v>46077</v>
      </c>
      <c r="C1091" s="6" t="s">
        <v>2161</v>
      </c>
      <c r="D1091" s="6" t="str">
        <f>IF(OR(PROPER(TRIM(Raw_Data!D1091))="Uk",PROPER(TRIM(Raw_Data!D1091))="Gb",PROPER(TRIM(Raw_Data!D1091))="United kingdom"),"United Kingdom",PROPER(TRIM(Raw_Data!D1091)))</f>
        <v>United Kingdom</v>
      </c>
      <c r="E1091" s="6" t="s">
        <v>37</v>
      </c>
      <c r="F1091" s="6" t="s">
        <v>58</v>
      </c>
      <c r="G1091" s="6" t="str">
        <f>SUBSTITUTE(Raw_Data!G1091,"Ã©","é")</f>
        <v>Alpine Jacket</v>
      </c>
      <c r="H1091" s="6">
        <v>2</v>
      </c>
      <c r="I1091" s="6" t="s">
        <v>117</v>
      </c>
      <c r="J1091" s="6" t="s">
        <v>118</v>
      </c>
      <c r="K1091" s="6">
        <v>0.38</v>
      </c>
      <c r="L1091" s="6" t="s">
        <v>42</v>
      </c>
      <c r="M1091" s="6" t="s">
        <v>34</v>
      </c>
      <c r="N1091" s="6"/>
    </row>
    <row r="1092" spans="1:14">
      <c r="A1092" s="6" t="s">
        <v>2162</v>
      </c>
      <c r="B1092" s="7">
        <v>46127</v>
      </c>
      <c r="C1092" s="6" t="s">
        <v>1269</v>
      </c>
      <c r="D1092" s="6" t="str">
        <f>IF(OR(PROPER(TRIM(Raw_Data!D1092))="Uk",PROPER(TRIM(Raw_Data!D1092))="Gb",PROPER(TRIM(Raw_Data!D1092))="United kingdom"),"United Kingdom",PROPER(TRIM(Raw_Data!D1092)))</f>
        <v>United Kingdom</v>
      </c>
      <c r="E1092" s="6" t="s">
        <v>52</v>
      </c>
      <c r="F1092" s="6" t="s">
        <v>94</v>
      </c>
      <c r="G1092" s="6" t="str">
        <f>SUBSTITUTE(Raw_Data!G1092,"Ã©","é")</f>
        <v>Storm Overtrousers</v>
      </c>
      <c r="H1092" s="6">
        <v>3</v>
      </c>
      <c r="I1092" s="6" t="s">
        <v>90</v>
      </c>
      <c r="J1092" s="6" t="s">
        <v>102</v>
      </c>
      <c r="K1092" s="6">
        <v>0.34</v>
      </c>
      <c r="L1092" s="6" t="s">
        <v>42</v>
      </c>
      <c r="M1092" s="6" t="s">
        <v>34</v>
      </c>
      <c r="N1092" s="6"/>
    </row>
    <row r="1093" spans="1:14">
      <c r="A1093" s="6" t="s">
        <v>2163</v>
      </c>
      <c r="B1093" s="7">
        <v>46174</v>
      </c>
      <c r="C1093" s="6" t="s">
        <v>2164</v>
      </c>
      <c r="D1093" s="6" t="str">
        <f>IF(OR(PROPER(TRIM(Raw_Data!D1093))="Uk",PROPER(TRIM(Raw_Data!D1093))="Gb",PROPER(TRIM(Raw_Data!D1093))="United kingdom"),"United Kingdom",PROPER(TRIM(Raw_Data!D1093)))</f>
        <v>United Kingdom</v>
      </c>
      <c r="E1093" s="6" t="s">
        <v>37</v>
      </c>
      <c r="F1093" s="6" t="s">
        <v>53</v>
      </c>
      <c r="G1093" s="6" t="str">
        <f>SUBSTITUTE(Raw_Data!G1093,"Ã©","é")</f>
        <v>Merino Base Layer</v>
      </c>
      <c r="H1093" s="6">
        <v>3</v>
      </c>
      <c r="I1093" s="6" t="s">
        <v>265</v>
      </c>
      <c r="J1093" s="6" t="s">
        <v>401</v>
      </c>
      <c r="K1093" s="6">
        <v>0.19</v>
      </c>
      <c r="L1093" s="6" t="s">
        <v>42</v>
      </c>
      <c r="M1093" s="6" t="s">
        <v>34</v>
      </c>
      <c r="N1093" s="6"/>
    </row>
    <row r="1094" spans="1:14">
      <c r="A1094" s="6" t="s">
        <v>2165</v>
      </c>
      <c r="B1094" s="7">
        <v>46051</v>
      </c>
      <c r="C1094" s="6" t="s">
        <v>2166</v>
      </c>
      <c r="D1094" s="6" t="str">
        <f>IF(OR(PROPER(TRIM(Raw_Data!D1094))="Uk",PROPER(TRIM(Raw_Data!D1094))="Gb",PROPER(TRIM(Raw_Data!D1094))="United kingdom"),"United Kingdom",PROPER(TRIM(Raw_Data!D1094)))</f>
        <v>United Kingdom</v>
      </c>
      <c r="E1094" s="6" t="s">
        <v>37</v>
      </c>
      <c r="F1094" s="6" t="s">
        <v>29</v>
      </c>
      <c r="G1094" s="6" t="str">
        <f>SUBSTITUTE(Raw_Data!G1094,"Ã©","é")</f>
        <v>Summit Down Gilet</v>
      </c>
      <c r="H1094" s="6">
        <v>2</v>
      </c>
      <c r="I1094" s="6" t="s">
        <v>79</v>
      </c>
      <c r="J1094" s="6" t="s">
        <v>259</v>
      </c>
      <c r="K1094" s="6">
        <v>0.52</v>
      </c>
      <c r="L1094" s="6" t="s">
        <v>42</v>
      </c>
      <c r="M1094" s="6" t="s">
        <v>34</v>
      </c>
      <c r="N1094" s="6"/>
    </row>
    <row r="1095" spans="1:14">
      <c r="A1095" s="6" t="s">
        <v>2167</v>
      </c>
      <c r="B1095" s="7">
        <v>46049</v>
      </c>
      <c r="C1095" s="6" t="s">
        <v>526</v>
      </c>
      <c r="D1095" s="6" t="str">
        <f>IF(OR(PROPER(TRIM(Raw_Data!D1095))="Uk",PROPER(TRIM(Raw_Data!D1095))="Gb",PROPER(TRIM(Raw_Data!D1095))="United kingdom"),"United Kingdom",PROPER(TRIM(Raw_Data!D1095)))</f>
        <v>United Kingdom</v>
      </c>
      <c r="E1095" s="6" t="s">
        <v>46</v>
      </c>
      <c r="F1095" s="6" t="s">
        <v>85</v>
      </c>
      <c r="G1095" s="6" t="str">
        <f>SUBSTITUTE(Raw_Data!G1095,"Ã©","é")</f>
        <v>Café Latte Mug</v>
      </c>
      <c r="H1095" s="6">
        <v>2</v>
      </c>
      <c r="I1095" s="6" t="s">
        <v>96</v>
      </c>
      <c r="J1095" s="6" t="s">
        <v>278</v>
      </c>
      <c r="K1095" s="6">
        <v>0.41</v>
      </c>
      <c r="L1095" s="6" t="s">
        <v>42</v>
      </c>
      <c r="M1095" s="6" t="s">
        <v>69</v>
      </c>
      <c r="N1095" s="6"/>
    </row>
    <row r="1096" spans="1:14">
      <c r="A1096" s="6" t="s">
        <v>2168</v>
      </c>
      <c r="B1096" s="7">
        <v>46106</v>
      </c>
      <c r="C1096" s="6" t="s">
        <v>2169</v>
      </c>
      <c r="D1096" s="6" t="str">
        <f>IF(OR(PROPER(TRIM(Raw_Data!D1096))="Uk",PROPER(TRIM(Raw_Data!D1096))="Gb",PROPER(TRIM(Raw_Data!D1096))="United kingdom"),"United Kingdom",PROPER(TRIM(Raw_Data!D1096)))</f>
        <v>United Kingdom</v>
      </c>
      <c r="E1096" s="6" t="s">
        <v>28</v>
      </c>
      <c r="F1096" s="6" t="s">
        <v>100</v>
      </c>
      <c r="G1096" s="6" t="str">
        <f>SUBSTITUTE(Raw_Data!G1096,"Ã©","é")</f>
        <v>Merino Base Layer</v>
      </c>
      <c r="H1096" s="6">
        <v>2</v>
      </c>
      <c r="I1096" s="6" t="s">
        <v>143</v>
      </c>
      <c r="J1096" s="6" t="s">
        <v>144</v>
      </c>
      <c r="K1096" s="6">
        <v>0.64</v>
      </c>
      <c r="L1096" s="6" t="s">
        <v>42</v>
      </c>
      <c r="M1096" s="6" t="s">
        <v>34</v>
      </c>
      <c r="N1096" s="6"/>
    </row>
    <row r="1097" spans="1:14">
      <c r="A1097" s="6" t="s">
        <v>2170</v>
      </c>
      <c r="B1097" s="7">
        <v>46087</v>
      </c>
      <c r="C1097" s="6" t="s">
        <v>2171</v>
      </c>
      <c r="D1097" s="6" t="str">
        <f>IF(OR(PROPER(TRIM(Raw_Data!D1097))="Uk",PROPER(TRIM(Raw_Data!D1097))="Gb",PROPER(TRIM(Raw_Data!D1097))="United kingdom"),"United Kingdom",PROPER(TRIM(Raw_Data!D1097)))</f>
        <v>United Kingdom</v>
      </c>
      <c r="E1097" s="6" t="s">
        <v>37</v>
      </c>
      <c r="F1097" s="6" t="s">
        <v>53</v>
      </c>
      <c r="G1097" s="6" t="str">
        <f>SUBSTITUTE(Raw_Data!G1097,"Ã©","é")</f>
        <v>Trekking Poles</v>
      </c>
      <c r="H1097" s="6">
        <v>2</v>
      </c>
      <c r="I1097" s="6" t="s">
        <v>82</v>
      </c>
      <c r="J1097" s="6" t="s">
        <v>297</v>
      </c>
      <c r="K1097" s="6">
        <v>0.19</v>
      </c>
      <c r="L1097" s="6" t="s">
        <v>42</v>
      </c>
      <c r="M1097" s="6" t="s">
        <v>34</v>
      </c>
      <c r="N1097" s="6"/>
    </row>
    <row r="1098" spans="1:14">
      <c r="A1098" s="6" t="s">
        <v>2172</v>
      </c>
      <c r="B1098" s="7">
        <v>46103</v>
      </c>
      <c r="C1098" s="6" t="s">
        <v>1446</v>
      </c>
      <c r="D1098" s="6" t="str">
        <f>IF(OR(PROPER(TRIM(Raw_Data!D1098))="Uk",PROPER(TRIM(Raw_Data!D1098))="Gb",PROPER(TRIM(Raw_Data!D1098))="United kingdom"),"United Kingdom",PROPER(TRIM(Raw_Data!D1098)))</f>
        <v>United Kingdom</v>
      </c>
      <c r="E1098" s="6" t="s">
        <v>46</v>
      </c>
      <c r="F1098" s="6" t="s">
        <v>85</v>
      </c>
      <c r="G1098" s="6" t="str">
        <f>SUBSTITUTE(Raw_Data!G1098,"Ã©","é")</f>
        <v>Summit Down Gilet</v>
      </c>
      <c r="H1098" s="6">
        <v>1</v>
      </c>
      <c r="I1098" s="6" t="s">
        <v>82</v>
      </c>
      <c r="J1098" s="6" t="s">
        <v>82</v>
      </c>
      <c r="K1098" s="6">
        <v>0.41</v>
      </c>
      <c r="L1098" s="6" t="s">
        <v>42</v>
      </c>
      <c r="M1098" s="6" t="s">
        <v>69</v>
      </c>
      <c r="N1098" s="6"/>
    </row>
    <row r="1099" spans="1:14">
      <c r="A1099" s="6" t="s">
        <v>2173</v>
      </c>
      <c r="B1099" s="7">
        <v>46362</v>
      </c>
      <c r="C1099" s="6" t="s">
        <v>2174</v>
      </c>
      <c r="D1099" s="6" t="str">
        <f>IF(OR(PROPER(TRIM(Raw_Data!D1099))="Uk",PROPER(TRIM(Raw_Data!D1099))="Gb",PROPER(TRIM(Raw_Data!D1099))="United kingdom"),"United Kingdom",PROPER(TRIM(Raw_Data!D1099)))</f>
        <v>France</v>
      </c>
      <c r="E1099" s="6" t="s">
        <v>28</v>
      </c>
      <c r="F1099" s="6" t="s">
        <v>58</v>
      </c>
      <c r="G1099" s="6" t="str">
        <f>SUBSTITUTE(Raw_Data!G1099,"Ã©","é")</f>
        <v>Café Latte Mug</v>
      </c>
      <c r="H1099" s="6">
        <v>2</v>
      </c>
      <c r="I1099" s="6" t="s">
        <v>166</v>
      </c>
      <c r="J1099" s="6" t="s">
        <v>167</v>
      </c>
      <c r="K1099" s="6">
        <v>0.38</v>
      </c>
      <c r="L1099" s="6" t="s">
        <v>33</v>
      </c>
      <c r="M1099" s="6" t="s">
        <v>34</v>
      </c>
      <c r="N1099" s="6"/>
    </row>
    <row r="1100" spans="1:14">
      <c r="A1100" s="6" t="s">
        <v>2175</v>
      </c>
      <c r="B1100" s="7">
        <v>46100</v>
      </c>
      <c r="C1100" s="6" t="s">
        <v>302</v>
      </c>
      <c r="D1100" s="6" t="str">
        <f>IF(OR(PROPER(TRIM(Raw_Data!D1100))="Uk",PROPER(TRIM(Raw_Data!D1100))="Gb",PROPER(TRIM(Raw_Data!D1100))="United kingdom"),"United Kingdom",PROPER(TRIM(Raw_Data!D1100)))</f>
        <v>Ireland</v>
      </c>
      <c r="E1100" s="6" t="s">
        <v>52</v>
      </c>
      <c r="F1100" s="6" t="s">
        <v>29</v>
      </c>
      <c r="G1100" s="6" t="str">
        <f>SUBSTITUTE(Raw_Data!G1100,"Ã©","é")</f>
        <v>Merino Base Layer</v>
      </c>
      <c r="H1100" s="6">
        <v>1</v>
      </c>
      <c r="I1100" s="6" t="s">
        <v>31</v>
      </c>
      <c r="J1100" s="6" t="s">
        <v>31</v>
      </c>
      <c r="K1100" s="6">
        <v>0.52</v>
      </c>
      <c r="L1100" s="6" t="s">
        <v>42</v>
      </c>
      <c r="M1100" s="6" t="s">
        <v>34</v>
      </c>
      <c r="N1100" s="6"/>
    </row>
    <row r="1101" spans="1:14">
      <c r="A1101" s="6" t="s">
        <v>2176</v>
      </c>
      <c r="B1101" s="7">
        <v>46196</v>
      </c>
      <c r="C1101" s="6" t="s">
        <v>1442</v>
      </c>
      <c r="D1101" s="6" t="str">
        <f>IF(OR(PROPER(TRIM(Raw_Data!D1101))="Uk",PROPER(TRIM(Raw_Data!D1101))="Gb",PROPER(TRIM(Raw_Data!D1101))="United kingdom"),"United Kingdom",PROPER(TRIM(Raw_Data!D1101)))</f>
        <v>Germany</v>
      </c>
      <c r="E1101" s="6" t="s">
        <v>37</v>
      </c>
      <c r="F1101" s="6" t="s">
        <v>94</v>
      </c>
      <c r="G1101" s="6" t="str">
        <f>SUBSTITUTE(Raw_Data!G1101,"Ã©","é")</f>
        <v>Trekking Poles</v>
      </c>
      <c r="H1101" s="6">
        <v>2</v>
      </c>
      <c r="I1101" s="6" t="s">
        <v>79</v>
      </c>
      <c r="J1101" s="6" t="s">
        <v>259</v>
      </c>
      <c r="K1101" s="6">
        <v>0.34</v>
      </c>
      <c r="L1101" s="6" t="s">
        <v>42</v>
      </c>
      <c r="M1101" s="6" t="s">
        <v>34</v>
      </c>
      <c r="N1101" s="6"/>
    </row>
    <row r="1102" spans="1:14">
      <c r="A1102" s="6" t="s">
        <v>2177</v>
      </c>
      <c r="B1102" s="7">
        <v>46159</v>
      </c>
      <c r="C1102" s="6" t="s">
        <v>1971</v>
      </c>
      <c r="D1102" s="6" t="str">
        <f>IF(OR(PROPER(TRIM(Raw_Data!D1102))="Uk",PROPER(TRIM(Raw_Data!D1102))="Gb",PROPER(TRIM(Raw_Data!D1102))="United kingdom"),"United Kingdom",PROPER(TRIM(Raw_Data!D1102)))</f>
        <v>United Kingdom</v>
      </c>
      <c r="E1102" s="6" t="s">
        <v>37</v>
      </c>
      <c r="F1102" s="6" t="s">
        <v>38</v>
      </c>
      <c r="G1102" s="6" t="str">
        <f>SUBSTITUTE(Raw_Data!G1102,"Ã©","é")</f>
        <v>Storm Overtrousers</v>
      </c>
      <c r="H1102" s="6">
        <v>-2</v>
      </c>
      <c r="I1102" s="6" t="s">
        <v>96</v>
      </c>
      <c r="J1102" s="8" t="s">
        <v>1628</v>
      </c>
      <c r="K1102" s="6">
        <v>0.52</v>
      </c>
      <c r="L1102" s="6" t="s">
        <v>42</v>
      </c>
      <c r="M1102" s="6" t="s">
        <v>34</v>
      </c>
      <c r="N1102" s="6"/>
    </row>
    <row r="1103" spans="1:14">
      <c r="A1103" s="6" t="s">
        <v>2178</v>
      </c>
      <c r="B1103" s="7">
        <v>46107</v>
      </c>
      <c r="C1103" s="6" t="s">
        <v>2179</v>
      </c>
      <c r="D1103" s="6" t="str">
        <f>IF(OR(PROPER(TRIM(Raw_Data!D1103))="Uk",PROPER(TRIM(Raw_Data!D1103))="Gb",PROPER(TRIM(Raw_Data!D1103))="United kingdom"),"United Kingdom",PROPER(TRIM(Raw_Data!D1103)))</f>
        <v>Germany</v>
      </c>
      <c r="E1103" s="6" t="s">
        <v>37</v>
      </c>
      <c r="F1103" s="6" t="s">
        <v>47</v>
      </c>
      <c r="G1103" s="6" t="str">
        <f>SUBSTITUTE(Raw_Data!G1103,"Ã©","é")</f>
        <v>Alpine Jacket</v>
      </c>
      <c r="H1103" s="6">
        <v>1</v>
      </c>
      <c r="I1103" s="6" t="s">
        <v>67</v>
      </c>
      <c r="J1103" s="6" t="s">
        <v>67</v>
      </c>
      <c r="K1103" s="6">
        <v>8.5000000000000006E-2</v>
      </c>
      <c r="L1103" s="6" t="s">
        <v>42</v>
      </c>
      <c r="M1103" s="6" t="s">
        <v>69</v>
      </c>
      <c r="N1103" s="6"/>
    </row>
    <row r="1104" spans="1:14">
      <c r="A1104" s="6" t="s">
        <v>2180</v>
      </c>
      <c r="B1104" s="7">
        <v>46200</v>
      </c>
      <c r="C1104" s="6" t="s">
        <v>1151</v>
      </c>
      <c r="D1104" s="6" t="str">
        <f>IF(OR(PROPER(TRIM(Raw_Data!D1104))="Uk",PROPER(TRIM(Raw_Data!D1104))="Gb",PROPER(TRIM(Raw_Data!D1104))="United kingdom"),"United Kingdom",PROPER(TRIM(Raw_Data!D1104)))</f>
        <v>France</v>
      </c>
      <c r="E1104" s="6" t="s">
        <v>52</v>
      </c>
      <c r="F1104" s="6" t="s">
        <v>85</v>
      </c>
      <c r="G1104" s="6" t="str">
        <f>SUBSTITUTE(Raw_Data!G1104,"Ã©","é")</f>
        <v>Merino Base Layer</v>
      </c>
      <c r="H1104" s="6">
        <v>2</v>
      </c>
      <c r="I1104" s="6" t="s">
        <v>181</v>
      </c>
      <c r="J1104" s="6" t="s">
        <v>163</v>
      </c>
      <c r="K1104" s="6">
        <v>0.41</v>
      </c>
      <c r="L1104" s="6" t="s">
        <v>42</v>
      </c>
      <c r="M1104" s="6" t="s">
        <v>34</v>
      </c>
      <c r="N1104" s="6"/>
    </row>
    <row r="1105" spans="1:14">
      <c r="A1105" s="6" t="s">
        <v>2181</v>
      </c>
      <c r="B1105" s="7">
        <v>46045</v>
      </c>
      <c r="C1105" s="6" t="s">
        <v>2182</v>
      </c>
      <c r="D1105" s="6" t="str">
        <f>IF(OR(PROPER(TRIM(Raw_Data!D1105))="Uk",PROPER(TRIM(Raw_Data!D1105))="Gb",PROPER(TRIM(Raw_Data!D1105))="United kingdom"),"United Kingdom",PROPER(TRIM(Raw_Data!D1105)))</f>
        <v>France</v>
      </c>
      <c r="E1105" s="6" t="s">
        <v>37</v>
      </c>
      <c r="F1105" s="6" t="s">
        <v>85</v>
      </c>
      <c r="G1105" s="6" t="str">
        <f>SUBSTITUTE(Raw_Data!G1105,"Ã©","é")</f>
        <v>Storm Overtrousers</v>
      </c>
      <c r="H1105" s="6">
        <v>1</v>
      </c>
      <c r="I1105" s="6" t="s">
        <v>73</v>
      </c>
      <c r="J1105" s="6" t="s">
        <v>73</v>
      </c>
      <c r="K1105" s="6">
        <v>0.41</v>
      </c>
      <c r="L1105" s="6" t="s">
        <v>42</v>
      </c>
      <c r="M1105" s="6" t="s">
        <v>69</v>
      </c>
      <c r="N1105" s="6"/>
    </row>
    <row r="1106" spans="1:14">
      <c r="A1106" s="6" t="s">
        <v>2183</v>
      </c>
      <c r="B1106" s="7">
        <v>46042</v>
      </c>
      <c r="C1106" s="6" t="s">
        <v>784</v>
      </c>
      <c r="D1106" s="6" t="str">
        <f>IF(OR(PROPER(TRIM(Raw_Data!D1106))="Uk",PROPER(TRIM(Raw_Data!D1106))="Gb",PROPER(TRIM(Raw_Data!D1106))="United kingdom"),"United Kingdom",PROPER(TRIM(Raw_Data!D1106)))</f>
        <v>United Kingdom</v>
      </c>
      <c r="E1106" s="6" t="s">
        <v>28</v>
      </c>
      <c r="F1106" s="6" t="s">
        <v>58</v>
      </c>
      <c r="G1106" s="6" t="str">
        <f>SUBSTITUTE(Raw_Data!G1106,"Ã©","é")</f>
        <v>Summit Down Gilet</v>
      </c>
      <c r="H1106" s="6">
        <v>-2</v>
      </c>
      <c r="I1106" s="6" t="s">
        <v>90</v>
      </c>
      <c r="J1106" s="8" t="s">
        <v>292</v>
      </c>
      <c r="K1106" s="6">
        <v>0.38</v>
      </c>
      <c r="L1106" s="6" t="s">
        <v>42</v>
      </c>
      <c r="M1106" s="6" t="s">
        <v>34</v>
      </c>
      <c r="N1106" s="6"/>
    </row>
    <row r="1107" spans="1:14">
      <c r="A1107" s="6" t="s">
        <v>2184</v>
      </c>
      <c r="B1107" s="7">
        <v>46104</v>
      </c>
      <c r="C1107" s="6" t="s">
        <v>2185</v>
      </c>
      <c r="D1107" s="6" t="str">
        <f>IF(OR(PROPER(TRIM(Raw_Data!D1107))="Uk",PROPER(TRIM(Raw_Data!D1107))="Gb",PROPER(TRIM(Raw_Data!D1107))="United kingdom"),"United Kingdom",PROPER(TRIM(Raw_Data!D1107)))</f>
        <v>Germany</v>
      </c>
      <c r="E1107" s="6" t="s">
        <v>46</v>
      </c>
      <c r="F1107" s="6" t="s">
        <v>29</v>
      </c>
      <c r="G1107" s="6" t="str">
        <f>SUBSTITUTE(Raw_Data!G1107,"Ã©","é")</f>
        <v>Trekking Poles</v>
      </c>
      <c r="H1107" s="6">
        <v>1</v>
      </c>
      <c r="I1107" s="6" t="s">
        <v>31</v>
      </c>
      <c r="J1107" s="6" t="s">
        <v>31</v>
      </c>
      <c r="K1107" s="6">
        <v>0.52</v>
      </c>
      <c r="L1107" s="6" t="s">
        <v>33</v>
      </c>
      <c r="M1107" s="6" t="s">
        <v>69</v>
      </c>
      <c r="N1107" s="6"/>
    </row>
    <row r="1108" spans="1:14">
      <c r="A1108" s="6" t="s">
        <v>2186</v>
      </c>
      <c r="B1108" s="7">
        <v>46145</v>
      </c>
      <c r="C1108" s="6" t="s">
        <v>693</v>
      </c>
      <c r="D1108" s="6" t="str">
        <f>IF(OR(PROPER(TRIM(Raw_Data!D1108))="Uk",PROPER(TRIM(Raw_Data!D1108))="Gb",PROPER(TRIM(Raw_Data!D1108))="United kingdom"),"United Kingdom",PROPER(TRIM(Raw_Data!D1108)))</f>
        <v>Ireland</v>
      </c>
      <c r="E1108" s="6" t="s">
        <v>78</v>
      </c>
      <c r="F1108" s="6" t="s">
        <v>53</v>
      </c>
      <c r="G1108" s="6" t="str">
        <f>SUBSTITUTE(Raw_Data!G1108,"Ã©","é")</f>
        <v>Café Latte Mug</v>
      </c>
      <c r="H1108" s="6">
        <v>2</v>
      </c>
      <c r="I1108" s="6" t="s">
        <v>31</v>
      </c>
      <c r="J1108" s="6" t="s">
        <v>249</v>
      </c>
      <c r="K1108" s="6">
        <v>0.19</v>
      </c>
      <c r="L1108" s="6" t="s">
        <v>42</v>
      </c>
      <c r="M1108" s="6" t="s">
        <v>34</v>
      </c>
      <c r="N1108" s="6"/>
    </row>
    <row r="1109" spans="1:14">
      <c r="A1109" s="6" t="s">
        <v>2187</v>
      </c>
      <c r="B1109" s="7">
        <v>46198</v>
      </c>
      <c r="C1109" s="6" t="s">
        <v>1813</v>
      </c>
      <c r="D1109" s="6" t="str">
        <f>IF(OR(PROPER(TRIM(Raw_Data!D1109))="Uk",PROPER(TRIM(Raw_Data!D1109))="Gb",PROPER(TRIM(Raw_Data!D1109))="United kingdom"),"United Kingdom",PROPER(TRIM(Raw_Data!D1109)))</f>
        <v>United Kingdom</v>
      </c>
      <c r="E1109" s="6" t="s">
        <v>28</v>
      </c>
      <c r="F1109" s="6" t="s">
        <v>100</v>
      </c>
      <c r="G1109" s="6" t="str">
        <f>SUBSTITUTE(Raw_Data!G1109,"Ã©","é")</f>
        <v>Trail Softshell</v>
      </c>
      <c r="H1109" s="6">
        <v>1</v>
      </c>
      <c r="I1109" s="6" t="s">
        <v>31</v>
      </c>
      <c r="J1109" s="6" t="s">
        <v>31</v>
      </c>
      <c r="K1109" s="6">
        <v>0.64</v>
      </c>
      <c r="L1109" s="6" t="s">
        <v>42</v>
      </c>
      <c r="M1109" s="6" t="s">
        <v>34</v>
      </c>
      <c r="N1109" s="6"/>
    </row>
    <row r="1110" spans="1:14">
      <c r="A1110" s="6" t="s">
        <v>2188</v>
      </c>
      <c r="B1110" s="7">
        <v>46034</v>
      </c>
      <c r="C1110" s="6" t="s">
        <v>89</v>
      </c>
      <c r="D1110" s="6" t="str">
        <f>IF(OR(PROPER(TRIM(Raw_Data!D1110))="Uk",PROPER(TRIM(Raw_Data!D1110))="Gb",PROPER(TRIM(Raw_Data!D1110))="United kingdom"),"United Kingdom",PROPER(TRIM(Raw_Data!D1110)))</f>
        <v>United Kingdom</v>
      </c>
      <c r="E1110" s="6" t="s">
        <v>52</v>
      </c>
      <c r="F1110" s="6" t="s">
        <v>85</v>
      </c>
      <c r="G1110" s="6" t="str">
        <f>SUBSTITUTE(Raw_Data!G1110,"Ã©","é")</f>
        <v>Fell Runner Cap</v>
      </c>
      <c r="H1110" s="6">
        <v>1</v>
      </c>
      <c r="I1110" s="6" t="s">
        <v>40</v>
      </c>
      <c r="J1110" s="6" t="s">
        <v>40</v>
      </c>
      <c r="K1110" s="6">
        <v>0.41</v>
      </c>
      <c r="L1110" s="6" t="s">
        <v>33</v>
      </c>
      <c r="M1110" s="6" t="s">
        <v>69</v>
      </c>
      <c r="N1110" s="6"/>
    </row>
    <row r="1111" spans="1:14">
      <c r="A1111" s="6" t="s">
        <v>2189</v>
      </c>
      <c r="B1111" s="7">
        <v>46357</v>
      </c>
      <c r="C1111" s="6" t="s">
        <v>1375</v>
      </c>
      <c r="D1111" s="6" t="str">
        <f>IF(OR(PROPER(TRIM(Raw_Data!D1111))="Uk",PROPER(TRIM(Raw_Data!D1111))="Gb",PROPER(TRIM(Raw_Data!D1111))="United kingdom"),"United Kingdom",PROPER(TRIM(Raw_Data!D1111)))</f>
        <v>United Kingdom</v>
      </c>
      <c r="E1111" s="6" t="s">
        <v>52</v>
      </c>
      <c r="F1111" s="6" t="s">
        <v>47</v>
      </c>
      <c r="G1111" s="6" t="str">
        <f>SUBSTITUTE(Raw_Data!G1111,"Ã©","é")</f>
        <v>Storm Overtrousers</v>
      </c>
      <c r="H1111" s="6">
        <v>-2</v>
      </c>
      <c r="I1111" s="6" t="s">
        <v>117</v>
      </c>
      <c r="J1111" s="8" t="s">
        <v>2190</v>
      </c>
      <c r="K1111" s="6">
        <v>8.5000000000000006E-2</v>
      </c>
      <c r="L1111" s="6" t="s">
        <v>42</v>
      </c>
      <c r="M1111" s="6" t="s">
        <v>34</v>
      </c>
      <c r="N1111" s="6"/>
    </row>
    <row r="1112" spans="1:14">
      <c r="A1112" s="6" t="s">
        <v>2191</v>
      </c>
      <c r="B1112" s="7">
        <v>46124</v>
      </c>
      <c r="C1112" s="6" t="s">
        <v>396</v>
      </c>
      <c r="D1112" s="6" t="str">
        <f>IF(OR(PROPER(TRIM(Raw_Data!D1112))="Uk",PROPER(TRIM(Raw_Data!D1112))="Gb",PROPER(TRIM(Raw_Data!D1112))="United kingdom"),"United Kingdom",PROPER(TRIM(Raw_Data!D1112)))</f>
        <v>Germany</v>
      </c>
      <c r="E1112" s="6" t="s">
        <v>78</v>
      </c>
      <c r="F1112" s="6" t="s">
        <v>58</v>
      </c>
      <c r="G1112" s="6" t="str">
        <f>SUBSTITUTE(Raw_Data!G1112,"Ã©","é")</f>
        <v>Storm Overtrousers</v>
      </c>
      <c r="H1112" s="6">
        <v>1</v>
      </c>
      <c r="I1112" s="6" t="s">
        <v>447</v>
      </c>
      <c r="J1112" s="6" t="s">
        <v>90</v>
      </c>
      <c r="K1112" s="6">
        <v>0.38</v>
      </c>
      <c r="L1112" s="6" t="s">
        <v>33</v>
      </c>
      <c r="M1112" s="6" t="s">
        <v>34</v>
      </c>
      <c r="N1112" s="6"/>
    </row>
    <row r="1113" spans="1:14">
      <c r="A1113" s="6" t="s">
        <v>2192</v>
      </c>
      <c r="B1113" s="7">
        <v>46207</v>
      </c>
      <c r="C1113" s="6" t="s">
        <v>2193</v>
      </c>
      <c r="D1113" s="6" t="str">
        <f>IF(OR(PROPER(TRIM(Raw_Data!D1113))="Uk",PROPER(TRIM(Raw_Data!D1113))="Gb",PROPER(TRIM(Raw_Data!D1113))="United kingdom"),"United Kingdom",PROPER(TRIM(Raw_Data!D1113)))</f>
        <v>United Kingdom</v>
      </c>
      <c r="E1113" s="6" t="s">
        <v>37</v>
      </c>
      <c r="F1113" s="6" t="s">
        <v>29</v>
      </c>
      <c r="G1113" s="6" t="str">
        <f>SUBSTITUTE(Raw_Data!G1113,"Ã©","é")</f>
        <v>Summit Down Gilet</v>
      </c>
      <c r="H1113" s="6">
        <v>2</v>
      </c>
      <c r="I1113" s="6" t="s">
        <v>143</v>
      </c>
      <c r="J1113" s="6" t="s">
        <v>144</v>
      </c>
      <c r="K1113" s="6">
        <v>0.52</v>
      </c>
      <c r="L1113" s="6" t="s">
        <v>42</v>
      </c>
      <c r="M1113" s="6" t="s">
        <v>34</v>
      </c>
      <c r="N1113" s="6"/>
    </row>
    <row r="1114" spans="1:14">
      <c r="A1114" s="6" t="s">
        <v>2194</v>
      </c>
      <c r="B1114" s="7">
        <v>46050</v>
      </c>
      <c r="C1114" s="6" t="s">
        <v>2195</v>
      </c>
      <c r="D1114" s="6" t="str">
        <f>IF(OR(PROPER(TRIM(Raw_Data!D1114))="Uk",PROPER(TRIM(Raw_Data!D1114))="Gb",PROPER(TRIM(Raw_Data!D1114))="United kingdom"),"United Kingdom",PROPER(TRIM(Raw_Data!D1114)))</f>
        <v>Ireland</v>
      </c>
      <c r="E1114" s="6" t="s">
        <v>37</v>
      </c>
      <c r="F1114" s="6" t="s">
        <v>58</v>
      </c>
      <c r="G1114" s="6" t="str">
        <f>SUBSTITUTE(Raw_Data!G1114,"Ã©","é")</f>
        <v>Trekking Poles</v>
      </c>
      <c r="H1114" s="6">
        <v>2</v>
      </c>
      <c r="I1114" s="6" t="s">
        <v>147</v>
      </c>
      <c r="J1114" s="6" t="s">
        <v>175</v>
      </c>
      <c r="K1114" s="6">
        <v>0.38</v>
      </c>
      <c r="L1114" s="6" t="s">
        <v>42</v>
      </c>
      <c r="M1114" s="6" t="s">
        <v>34</v>
      </c>
      <c r="N1114" s="6"/>
    </row>
    <row r="1115" spans="1:14">
      <c r="A1115" s="6" t="s">
        <v>2196</v>
      </c>
      <c r="B1115" s="7">
        <v>46101</v>
      </c>
      <c r="C1115" s="6" t="s">
        <v>1647</v>
      </c>
      <c r="D1115" s="6" t="str">
        <f>IF(OR(PROPER(TRIM(Raw_Data!D1115))="Uk",PROPER(TRIM(Raw_Data!D1115))="Gb",PROPER(TRIM(Raw_Data!D1115))="United kingdom"),"United Kingdom",PROPER(TRIM(Raw_Data!D1115)))</f>
        <v>United Kingdom</v>
      </c>
      <c r="E1115" s="6" t="s">
        <v>37</v>
      </c>
      <c r="F1115" s="6" t="s">
        <v>38</v>
      </c>
      <c r="G1115" s="6" t="str">
        <f>SUBSTITUTE(Raw_Data!G1115,"Ã©","é")</f>
        <v>Merino Base Layer</v>
      </c>
      <c r="H1115" s="6">
        <v>1</v>
      </c>
      <c r="I1115" s="6" t="s">
        <v>143</v>
      </c>
      <c r="J1115" s="6" t="s">
        <v>143</v>
      </c>
      <c r="K1115" s="6">
        <v>0.52</v>
      </c>
      <c r="L1115" s="6" t="s">
        <v>42</v>
      </c>
      <c r="M1115" s="6" t="s">
        <v>34</v>
      </c>
      <c r="N1115" s="6"/>
    </row>
    <row r="1116" spans="1:14">
      <c r="A1116" s="6" t="s">
        <v>2197</v>
      </c>
      <c r="B1116" s="7">
        <v>46125</v>
      </c>
      <c r="C1116" s="6" t="s">
        <v>2198</v>
      </c>
      <c r="D1116" s="6" t="str">
        <f>IF(OR(PROPER(TRIM(Raw_Data!D1116))="Uk",PROPER(TRIM(Raw_Data!D1116))="Gb",PROPER(TRIM(Raw_Data!D1116))="United kingdom"),"United Kingdom",PROPER(TRIM(Raw_Data!D1116)))</f>
        <v>France</v>
      </c>
      <c r="E1116" s="6" t="s">
        <v>52</v>
      </c>
      <c r="F1116" s="6" t="s">
        <v>53</v>
      </c>
      <c r="G1116" s="6" t="str">
        <f>SUBSTITUTE(Raw_Data!G1116,"Ã©","é")</f>
        <v>Alpine Jacket</v>
      </c>
      <c r="H1116" s="6">
        <v>1</v>
      </c>
      <c r="I1116" s="6" t="s">
        <v>113</v>
      </c>
      <c r="J1116" s="6" t="s">
        <v>113</v>
      </c>
      <c r="K1116" s="6">
        <v>0.19</v>
      </c>
      <c r="L1116" s="6" t="s">
        <v>33</v>
      </c>
      <c r="M1116" s="6" t="s">
        <v>34</v>
      </c>
      <c r="N1116" s="6"/>
    </row>
    <row r="1117" spans="1:14">
      <c r="A1117" s="6" t="s">
        <v>2199</v>
      </c>
      <c r="B1117" s="7">
        <v>46084</v>
      </c>
      <c r="C1117" s="6" t="s">
        <v>2200</v>
      </c>
      <c r="D1117" s="6" t="str">
        <f>IF(OR(PROPER(TRIM(Raw_Data!D1117))="Uk",PROPER(TRIM(Raw_Data!D1117))="Gb",PROPER(TRIM(Raw_Data!D1117))="United kingdom"),"United Kingdom",PROPER(TRIM(Raw_Data!D1117)))</f>
        <v>United Kingdom</v>
      </c>
      <c r="E1117" s="6" t="s">
        <v>37</v>
      </c>
      <c r="F1117" s="6" t="s">
        <v>53</v>
      </c>
      <c r="G1117" s="6" t="str">
        <f>SUBSTITUTE(Raw_Data!G1117,"Ã©","é")</f>
        <v>Storm Overtrousers</v>
      </c>
      <c r="H1117" s="6">
        <v>1</v>
      </c>
      <c r="I1117" s="6" t="s">
        <v>181</v>
      </c>
      <c r="J1117" s="6" t="s">
        <v>1740</v>
      </c>
      <c r="K1117" s="6">
        <v>0.19</v>
      </c>
      <c r="L1117" s="6" t="s">
        <v>42</v>
      </c>
      <c r="M1117" s="6" t="s">
        <v>69</v>
      </c>
      <c r="N1117" s="6"/>
    </row>
    <row r="1118" spans="1:14">
      <c r="A1118" s="6" t="s">
        <v>2201</v>
      </c>
      <c r="B1118" s="7">
        <v>46100</v>
      </c>
      <c r="C1118" s="6" t="s">
        <v>2202</v>
      </c>
      <c r="D1118" s="6" t="str">
        <f>IF(OR(PROPER(TRIM(Raw_Data!D1118))="Uk",PROPER(TRIM(Raw_Data!D1118))="Gb",PROPER(TRIM(Raw_Data!D1118))="United kingdom"),"United Kingdom",PROPER(TRIM(Raw_Data!D1118)))</f>
        <v>Germany</v>
      </c>
      <c r="E1118" s="6" t="s">
        <v>52</v>
      </c>
      <c r="F1118" s="6" t="s">
        <v>100</v>
      </c>
      <c r="G1118" s="6" t="str">
        <f>SUBSTITUTE(Raw_Data!G1118,"Ã©","é")</f>
        <v>Fell Runner Cap</v>
      </c>
      <c r="H1118" s="6">
        <v>1</v>
      </c>
      <c r="I1118" s="6" t="s">
        <v>79</v>
      </c>
      <c r="J1118" s="6" t="s">
        <v>79</v>
      </c>
      <c r="K1118" s="6">
        <v>0.64</v>
      </c>
      <c r="L1118" s="6" t="s">
        <v>33</v>
      </c>
      <c r="M1118" s="6" t="s">
        <v>34</v>
      </c>
      <c r="N1118" s="6"/>
    </row>
    <row r="1119" spans="1:14">
      <c r="A1119" s="6" t="s">
        <v>2203</v>
      </c>
      <c r="B1119" s="7">
        <v>46201</v>
      </c>
      <c r="C1119" s="6" t="s">
        <v>2204</v>
      </c>
      <c r="D1119" s="6" t="str">
        <f>IF(OR(PROPER(TRIM(Raw_Data!D1119))="Uk",PROPER(TRIM(Raw_Data!D1119))="Gb",PROPER(TRIM(Raw_Data!D1119))="United kingdom"),"United Kingdom",PROPER(TRIM(Raw_Data!D1119)))</f>
        <v>United Kingdom</v>
      </c>
      <c r="E1119" s="6" t="s">
        <v>28</v>
      </c>
      <c r="F1119" s="6" t="s">
        <v>47</v>
      </c>
      <c r="G1119" s="6" t="str">
        <f>SUBSTITUTE(Raw_Data!G1119,"Ã©","é")</f>
        <v>Summit Down Gilet</v>
      </c>
      <c r="H1119" s="6">
        <v>-2</v>
      </c>
      <c r="I1119" s="6" t="s">
        <v>265</v>
      </c>
      <c r="J1119" s="8" t="s">
        <v>778</v>
      </c>
      <c r="K1119" s="6">
        <v>8.5000000000000006E-2</v>
      </c>
      <c r="L1119" s="6" t="s">
        <v>42</v>
      </c>
      <c r="M1119" s="6" t="s">
        <v>34</v>
      </c>
      <c r="N1119" s="6"/>
    </row>
    <row r="1120" spans="1:14">
      <c r="A1120" s="6" t="s">
        <v>2205</v>
      </c>
      <c r="B1120" s="7">
        <v>46052</v>
      </c>
      <c r="C1120" s="6" t="s">
        <v>2111</v>
      </c>
      <c r="D1120" s="6" t="str">
        <f>IF(OR(PROPER(TRIM(Raw_Data!D1120))="Uk",PROPER(TRIM(Raw_Data!D1120))="Gb",PROPER(TRIM(Raw_Data!D1120))="United kingdom"),"United Kingdom",PROPER(TRIM(Raw_Data!D1120)))</f>
        <v>United Kingdom</v>
      </c>
      <c r="E1120" s="6" t="s">
        <v>37</v>
      </c>
      <c r="F1120" s="6" t="s">
        <v>85</v>
      </c>
      <c r="G1120" s="6" t="str">
        <f>SUBSTITUTE(Raw_Data!G1120,"Ã©","é")</f>
        <v>Trekking Poles</v>
      </c>
      <c r="H1120" s="6">
        <v>2</v>
      </c>
      <c r="I1120" s="6" t="s">
        <v>117</v>
      </c>
      <c r="J1120" s="6" t="s">
        <v>118</v>
      </c>
      <c r="K1120" s="6">
        <v>0.41</v>
      </c>
      <c r="L1120" s="6" t="s">
        <v>42</v>
      </c>
      <c r="M1120" s="6" t="s">
        <v>34</v>
      </c>
      <c r="N1120" s="6"/>
    </row>
    <row r="1121" spans="1:14">
      <c r="A1121" s="6" t="s">
        <v>2206</v>
      </c>
      <c r="B1121" s="7">
        <v>46205</v>
      </c>
      <c r="C1121" s="6" t="s">
        <v>896</v>
      </c>
      <c r="D1121" s="6" t="str">
        <f>IF(OR(PROPER(TRIM(Raw_Data!D1121))="Uk",PROPER(TRIM(Raw_Data!D1121))="Gb",PROPER(TRIM(Raw_Data!D1121))="United kingdom"),"United Kingdom",PROPER(TRIM(Raw_Data!D1121)))</f>
        <v>United Kingdom</v>
      </c>
      <c r="E1121" s="6" t="s">
        <v>78</v>
      </c>
      <c r="F1121" s="6" t="s">
        <v>100</v>
      </c>
      <c r="G1121" s="6" t="str">
        <f>SUBSTITUTE(Raw_Data!G1121,"Ã©","é")</f>
        <v>Summit Down Gilet</v>
      </c>
      <c r="H1121" s="6">
        <v>1</v>
      </c>
      <c r="I1121" s="6" t="s">
        <v>143</v>
      </c>
      <c r="J1121" s="6" t="s">
        <v>143</v>
      </c>
      <c r="K1121" s="6">
        <v>0.64</v>
      </c>
      <c r="L1121" s="6" t="s">
        <v>42</v>
      </c>
      <c r="M1121" s="6" t="s">
        <v>34</v>
      </c>
      <c r="N1121" s="6"/>
    </row>
    <row r="1122" spans="1:14">
      <c r="A1122" s="6" t="s">
        <v>2207</v>
      </c>
      <c r="B1122" s="7">
        <v>46046</v>
      </c>
      <c r="C1122" s="6" t="s">
        <v>1865</v>
      </c>
      <c r="D1122" s="6" t="str">
        <f>IF(OR(PROPER(TRIM(Raw_Data!D1122))="Uk",PROPER(TRIM(Raw_Data!D1122))="Gb",PROPER(TRIM(Raw_Data!D1122))="United kingdom"),"United Kingdom",PROPER(TRIM(Raw_Data!D1122)))</f>
        <v>Ireland</v>
      </c>
      <c r="E1122" s="6" t="s">
        <v>37</v>
      </c>
      <c r="F1122" s="6" t="s">
        <v>38</v>
      </c>
      <c r="G1122" s="6" t="str">
        <f>SUBSTITUTE(Raw_Data!G1122,"Ã©","é")</f>
        <v>Trail Softshell</v>
      </c>
      <c r="H1122" s="6">
        <v>2</v>
      </c>
      <c r="I1122" s="6" t="s">
        <v>90</v>
      </c>
      <c r="J1122" s="6" t="s">
        <v>154</v>
      </c>
      <c r="K1122" s="6">
        <v>0.52</v>
      </c>
      <c r="L1122" s="6" t="s">
        <v>42</v>
      </c>
      <c r="M1122" s="6" t="s">
        <v>34</v>
      </c>
      <c r="N1122" s="6"/>
    </row>
    <row r="1123" spans="1:14">
      <c r="A1123" s="6" t="s">
        <v>2208</v>
      </c>
      <c r="B1123" s="7">
        <v>46115</v>
      </c>
      <c r="C1123" s="6" t="s">
        <v>2081</v>
      </c>
      <c r="D1123" s="6" t="str">
        <f>IF(OR(PROPER(TRIM(Raw_Data!D1123))="Uk",PROPER(TRIM(Raw_Data!D1123))="Gb",PROPER(TRIM(Raw_Data!D1123))="United kingdom"),"United Kingdom",PROPER(TRIM(Raw_Data!D1123)))</f>
        <v>United Kingdom</v>
      </c>
      <c r="E1123" s="6" t="s">
        <v>46</v>
      </c>
      <c r="F1123" s="6" t="s">
        <v>29</v>
      </c>
      <c r="G1123" s="6" t="str">
        <f>SUBSTITUTE(Raw_Data!G1123,"Ã©","é")</f>
        <v>Merino Base Layer</v>
      </c>
      <c r="H1123" s="6">
        <v>2</v>
      </c>
      <c r="I1123" s="6" t="s">
        <v>60</v>
      </c>
      <c r="J1123" s="6" t="s">
        <v>189</v>
      </c>
      <c r="K1123" s="6">
        <v>0.52</v>
      </c>
      <c r="L1123" s="6" t="s">
        <v>42</v>
      </c>
      <c r="M1123" s="6" t="s">
        <v>69</v>
      </c>
      <c r="N1123" s="6"/>
    </row>
    <row r="1124" spans="1:14">
      <c r="A1124" s="6" t="s">
        <v>2209</v>
      </c>
      <c r="B1124" s="7">
        <v>46149</v>
      </c>
      <c r="C1124" s="6" t="s">
        <v>2210</v>
      </c>
      <c r="D1124" s="6" t="str">
        <f>IF(OR(PROPER(TRIM(Raw_Data!D1124))="Uk",PROPER(TRIM(Raw_Data!D1124))="Gb",PROPER(TRIM(Raw_Data!D1124))="United kingdom"),"United Kingdom",PROPER(TRIM(Raw_Data!D1124)))</f>
        <v>United Kingdom</v>
      </c>
      <c r="E1124" s="6" t="s">
        <v>37</v>
      </c>
      <c r="F1124" s="6" t="s">
        <v>58</v>
      </c>
      <c r="G1124" s="6" t="str">
        <f>SUBSTITUTE(Raw_Data!G1124,"Ã©","é")</f>
        <v>Merino Base Layer</v>
      </c>
      <c r="H1124" s="6">
        <v>3</v>
      </c>
      <c r="I1124" s="6" t="s">
        <v>90</v>
      </c>
      <c r="J1124" s="6" t="s">
        <v>102</v>
      </c>
      <c r="K1124" s="6">
        <v>0.38</v>
      </c>
      <c r="L1124" s="6" t="s">
        <v>42</v>
      </c>
      <c r="M1124" s="6" t="s">
        <v>34</v>
      </c>
      <c r="N1124" s="6"/>
    </row>
    <row r="1125" spans="1:14">
      <c r="A1125" s="6" t="s">
        <v>2211</v>
      </c>
      <c r="B1125" s="7">
        <v>46090</v>
      </c>
      <c r="C1125" s="6" t="s">
        <v>132</v>
      </c>
      <c r="D1125" s="6" t="str">
        <f>IF(OR(PROPER(TRIM(Raw_Data!D1125))="Uk",PROPER(TRIM(Raw_Data!D1125))="Gb",PROPER(TRIM(Raw_Data!D1125))="United kingdom"),"United Kingdom",PROPER(TRIM(Raw_Data!D1125)))</f>
        <v>France</v>
      </c>
      <c r="E1125" s="6" t="s">
        <v>52</v>
      </c>
      <c r="F1125" s="6" t="s">
        <v>85</v>
      </c>
      <c r="G1125" s="6" t="str">
        <f>SUBSTITUTE(Raw_Data!G1125,"Ã©","é")</f>
        <v>Alpine Jacket</v>
      </c>
      <c r="H1125" s="6">
        <v>2</v>
      </c>
      <c r="I1125" s="6" t="s">
        <v>1004</v>
      </c>
      <c r="J1125" s="6" t="s">
        <v>167</v>
      </c>
      <c r="K1125" s="6">
        <v>0.41</v>
      </c>
      <c r="L1125" s="6" t="s">
        <v>33</v>
      </c>
      <c r="M1125" s="6" t="s">
        <v>69</v>
      </c>
      <c r="N1125" s="6"/>
    </row>
    <row r="1126" spans="1:14">
      <c r="A1126" s="6" t="s">
        <v>2212</v>
      </c>
      <c r="B1126" s="7">
        <v>46035</v>
      </c>
      <c r="C1126" s="6" t="s">
        <v>568</v>
      </c>
      <c r="D1126" s="6" t="str">
        <f>IF(OR(PROPER(TRIM(Raw_Data!D1126))="Uk",PROPER(TRIM(Raw_Data!D1126))="Gb",PROPER(TRIM(Raw_Data!D1126))="United kingdom"),"United Kingdom",PROPER(TRIM(Raw_Data!D1126)))</f>
        <v>Germany</v>
      </c>
      <c r="E1126" s="6" t="s">
        <v>28</v>
      </c>
      <c r="F1126" s="6" t="s">
        <v>100</v>
      </c>
      <c r="G1126" s="6" t="str">
        <f>SUBSTITUTE(Raw_Data!G1126,"Ã©","é")</f>
        <v>Fell Runner Cap</v>
      </c>
      <c r="H1126" s="6">
        <v>2</v>
      </c>
      <c r="I1126" s="6" t="s">
        <v>90</v>
      </c>
      <c r="J1126" s="6" t="s">
        <v>154</v>
      </c>
      <c r="K1126" s="6">
        <v>0.64</v>
      </c>
      <c r="L1126" s="6" t="s">
        <v>33</v>
      </c>
      <c r="M1126" s="6" t="s">
        <v>34</v>
      </c>
      <c r="N1126" s="6"/>
    </row>
    <row r="1127" spans="1:14">
      <c r="A1127" s="6" t="s">
        <v>2213</v>
      </c>
      <c r="B1127" s="7">
        <v>46196</v>
      </c>
      <c r="C1127" s="6" t="s">
        <v>2214</v>
      </c>
      <c r="D1127" s="6" t="str">
        <f>IF(OR(PROPER(TRIM(Raw_Data!D1127))="Uk",PROPER(TRIM(Raw_Data!D1127))="Gb",PROPER(TRIM(Raw_Data!D1127))="United kingdom"),"United Kingdom",PROPER(TRIM(Raw_Data!D1127)))</f>
        <v>United Kingdom</v>
      </c>
      <c r="E1127" s="6" t="s">
        <v>28</v>
      </c>
      <c r="F1127" s="6" t="s">
        <v>38</v>
      </c>
      <c r="G1127" s="6" t="str">
        <f>SUBSTITUTE(Raw_Data!G1127,"Ã©","é")</f>
        <v>Storm Overtrousers</v>
      </c>
      <c r="H1127" s="6">
        <v>3</v>
      </c>
      <c r="I1127" s="6" t="s">
        <v>40</v>
      </c>
      <c r="J1127" s="6" t="s">
        <v>579</v>
      </c>
      <c r="K1127" s="6">
        <v>0.52</v>
      </c>
      <c r="L1127" s="6" t="s">
        <v>42</v>
      </c>
      <c r="M1127" s="6" t="s">
        <v>34</v>
      </c>
      <c r="N1127" s="6"/>
    </row>
    <row r="1128" spans="1:14">
      <c r="A1128" s="6" t="s">
        <v>2215</v>
      </c>
      <c r="B1128" s="7">
        <v>46198</v>
      </c>
      <c r="C1128" s="6" t="s">
        <v>2216</v>
      </c>
      <c r="D1128" s="6" t="str">
        <f>IF(OR(PROPER(TRIM(Raw_Data!D1128))="Uk",PROPER(TRIM(Raw_Data!D1128))="Gb",PROPER(TRIM(Raw_Data!D1128))="United kingdom"),"United Kingdom",PROPER(TRIM(Raw_Data!D1128)))</f>
        <v>United Kingdom</v>
      </c>
      <c r="E1128" s="6" t="s">
        <v>28</v>
      </c>
      <c r="F1128" s="6" t="s">
        <v>58</v>
      </c>
      <c r="G1128" s="6" t="str">
        <f>SUBSTITUTE(Raw_Data!G1128,"Ã©","é")</f>
        <v>Alpine Jacket</v>
      </c>
      <c r="H1128" s="6">
        <v>1</v>
      </c>
      <c r="I1128" s="6" t="s">
        <v>231</v>
      </c>
      <c r="J1128" s="6" t="s">
        <v>2217</v>
      </c>
      <c r="K1128" s="6">
        <v>0.38</v>
      </c>
      <c r="L1128" s="6" t="s">
        <v>42</v>
      </c>
      <c r="M1128" s="6" t="s">
        <v>69</v>
      </c>
      <c r="N1128" s="6"/>
    </row>
    <row r="1129" spans="1:14">
      <c r="A1129" s="6" t="s">
        <v>2218</v>
      </c>
      <c r="B1129" s="7">
        <v>46114</v>
      </c>
      <c r="C1129" s="6" t="s">
        <v>930</v>
      </c>
      <c r="D1129" s="6" t="str">
        <f>IF(OR(PROPER(TRIM(Raw_Data!D1129))="Uk",PROPER(TRIM(Raw_Data!D1129))="Gb",PROPER(TRIM(Raw_Data!D1129))="United kingdom"),"United Kingdom",PROPER(TRIM(Raw_Data!D1129)))</f>
        <v>United Kingdom</v>
      </c>
      <c r="E1129" s="6" t="s">
        <v>78</v>
      </c>
      <c r="F1129" s="6" t="s">
        <v>94</v>
      </c>
      <c r="G1129" s="6" t="str">
        <f>SUBSTITUTE(Raw_Data!G1129,"Ã©","é")</f>
        <v>Trail Softshell</v>
      </c>
      <c r="H1129" s="6">
        <v>1</v>
      </c>
      <c r="I1129" s="6" t="s">
        <v>90</v>
      </c>
      <c r="J1129" s="6" t="s">
        <v>90</v>
      </c>
      <c r="K1129" s="6">
        <v>0.34</v>
      </c>
      <c r="L1129" s="6" t="s">
        <v>42</v>
      </c>
      <c r="M1129" s="6" t="s">
        <v>34</v>
      </c>
      <c r="N1129" s="6"/>
    </row>
    <row r="1130" spans="1:14">
      <c r="A1130" s="6" t="s">
        <v>2219</v>
      </c>
      <c r="B1130" s="7">
        <v>46114</v>
      </c>
      <c r="C1130" s="6" t="s">
        <v>1087</v>
      </c>
      <c r="D1130" s="6" t="str">
        <f>IF(OR(PROPER(TRIM(Raw_Data!D1130))="Uk",PROPER(TRIM(Raw_Data!D1130))="Gb",PROPER(TRIM(Raw_Data!D1130))="United kingdom"),"United Kingdom",PROPER(TRIM(Raw_Data!D1130)))</f>
        <v>United Kingdom</v>
      </c>
      <c r="E1130" s="6" t="s">
        <v>46</v>
      </c>
      <c r="F1130" s="6" t="s">
        <v>100</v>
      </c>
      <c r="G1130" s="6" t="str">
        <f>SUBSTITUTE(Raw_Data!G1130,"Ã©","é")</f>
        <v>Trekking Poles</v>
      </c>
      <c r="H1130" s="6">
        <v>1</v>
      </c>
      <c r="I1130" s="6" t="s">
        <v>40</v>
      </c>
      <c r="J1130" s="6" t="s">
        <v>40</v>
      </c>
      <c r="K1130" s="6">
        <v>0.64</v>
      </c>
      <c r="L1130" s="6" t="s">
        <v>42</v>
      </c>
      <c r="M1130" s="6" t="s">
        <v>34</v>
      </c>
      <c r="N1130" s="6"/>
    </row>
    <row r="1131" spans="1:14">
      <c r="A1131" s="6" t="s">
        <v>2220</v>
      </c>
      <c r="B1131" s="7">
        <v>46129</v>
      </c>
      <c r="C1131" s="6" t="s">
        <v>690</v>
      </c>
      <c r="D1131" s="6" t="str">
        <f>IF(OR(PROPER(TRIM(Raw_Data!D1131))="Uk",PROPER(TRIM(Raw_Data!D1131))="Gb",PROPER(TRIM(Raw_Data!D1131))="United kingdom"),"United Kingdom",PROPER(TRIM(Raw_Data!D1131)))</f>
        <v>United Kingdom</v>
      </c>
      <c r="E1131" s="6" t="s">
        <v>78</v>
      </c>
      <c r="F1131" s="6" t="s">
        <v>100</v>
      </c>
      <c r="G1131" s="6" t="str">
        <f>SUBSTITUTE(Raw_Data!G1131,"Ã©","é")</f>
        <v>Summit Down Gilet</v>
      </c>
      <c r="H1131" s="6">
        <v>1</v>
      </c>
      <c r="I1131" s="6" t="s">
        <v>147</v>
      </c>
      <c r="J1131" s="6" t="s">
        <v>147</v>
      </c>
      <c r="K1131" s="6">
        <v>0.64</v>
      </c>
      <c r="L1131" s="6" t="s">
        <v>33</v>
      </c>
      <c r="M1131" s="6" t="s">
        <v>34</v>
      </c>
      <c r="N1131" s="6"/>
    </row>
    <row r="1132" spans="1:14">
      <c r="A1132" s="6" t="s">
        <v>2221</v>
      </c>
      <c r="B1132" s="7">
        <v>46101</v>
      </c>
      <c r="C1132" s="6" t="s">
        <v>2222</v>
      </c>
      <c r="D1132" s="6" t="str">
        <f>IF(OR(PROPER(TRIM(Raw_Data!D1132))="Uk",PROPER(TRIM(Raw_Data!D1132))="Gb",PROPER(TRIM(Raw_Data!D1132))="United kingdom"),"United Kingdom",PROPER(TRIM(Raw_Data!D1132)))</f>
        <v>Germany</v>
      </c>
      <c r="E1132" s="6" t="s">
        <v>46</v>
      </c>
      <c r="F1132" s="6" t="s">
        <v>94</v>
      </c>
      <c r="G1132" s="6" t="str">
        <f>SUBSTITUTE(Raw_Data!G1132,"Ã©","é")</f>
        <v>Storm Overtrousers</v>
      </c>
      <c r="H1132" s="6">
        <v>1</v>
      </c>
      <c r="I1132" s="6" t="s">
        <v>90</v>
      </c>
      <c r="J1132" s="6" t="s">
        <v>90</v>
      </c>
      <c r="K1132" s="6">
        <v>0.34</v>
      </c>
      <c r="L1132" s="6" t="s">
        <v>42</v>
      </c>
      <c r="M1132" s="6" t="s">
        <v>34</v>
      </c>
      <c r="N1132" s="6"/>
    </row>
    <row r="1133" spans="1:14">
      <c r="A1133" s="6" t="s">
        <v>2223</v>
      </c>
      <c r="B1133" s="7">
        <v>46078</v>
      </c>
      <c r="C1133" s="6" t="s">
        <v>468</v>
      </c>
      <c r="D1133" s="6" t="str">
        <f>IF(OR(PROPER(TRIM(Raw_Data!D1133))="Uk",PROPER(TRIM(Raw_Data!D1133))="Gb",PROPER(TRIM(Raw_Data!D1133))="United kingdom"),"United Kingdom",PROPER(TRIM(Raw_Data!D1133)))</f>
        <v>United Kingdom</v>
      </c>
      <c r="E1133" s="6" t="s">
        <v>52</v>
      </c>
      <c r="F1133" s="6" t="s">
        <v>94</v>
      </c>
      <c r="G1133" s="6" t="str">
        <f>SUBSTITUTE(Raw_Data!G1133,"Ã©","é")</f>
        <v>Alpine Jacket</v>
      </c>
      <c r="H1133" s="6">
        <v>1</v>
      </c>
      <c r="I1133" s="6" t="s">
        <v>1519</v>
      </c>
      <c r="J1133" s="6" t="s">
        <v>231</v>
      </c>
      <c r="K1133" s="6">
        <v>0.34</v>
      </c>
      <c r="L1133" s="6" t="s">
        <v>42</v>
      </c>
      <c r="M1133" s="6" t="s">
        <v>69</v>
      </c>
      <c r="N1133" s="6"/>
    </row>
    <row r="1134" spans="1:14">
      <c r="A1134" s="6" t="s">
        <v>2224</v>
      </c>
      <c r="B1134" s="7">
        <v>46205</v>
      </c>
      <c r="C1134" s="6" t="s">
        <v>2225</v>
      </c>
      <c r="D1134" s="6" t="str">
        <f>IF(OR(PROPER(TRIM(Raw_Data!D1134))="Uk",PROPER(TRIM(Raw_Data!D1134))="Gb",PROPER(TRIM(Raw_Data!D1134))="United kingdom"),"United Kingdom",PROPER(TRIM(Raw_Data!D1134)))</f>
        <v>France</v>
      </c>
      <c r="E1134" s="6" t="s">
        <v>28</v>
      </c>
      <c r="F1134" s="6" t="s">
        <v>100</v>
      </c>
      <c r="G1134" s="6" t="str">
        <f>SUBSTITUTE(Raw_Data!G1134,"Ã©","é")</f>
        <v>Trail Softshell</v>
      </c>
      <c r="H1134" s="6">
        <v>1</v>
      </c>
      <c r="I1134" s="6" t="s">
        <v>143</v>
      </c>
      <c r="J1134" s="6" t="s">
        <v>143</v>
      </c>
      <c r="K1134" s="6">
        <v>0.64</v>
      </c>
      <c r="L1134" s="6" t="s">
        <v>42</v>
      </c>
      <c r="M1134" s="6" t="s">
        <v>34</v>
      </c>
      <c r="N1134" s="6"/>
    </row>
    <row r="1135" spans="1:14">
      <c r="A1135" s="6" t="s">
        <v>2226</v>
      </c>
      <c r="B1135" s="7">
        <v>46330</v>
      </c>
      <c r="C1135" s="6" t="s">
        <v>1655</v>
      </c>
      <c r="D1135" s="6" t="str">
        <f>IF(OR(PROPER(TRIM(Raw_Data!D1135))="Uk",PROPER(TRIM(Raw_Data!D1135))="Gb",PROPER(TRIM(Raw_Data!D1135))="United kingdom"),"United Kingdom",PROPER(TRIM(Raw_Data!D1135)))</f>
        <v>United Kingdom</v>
      </c>
      <c r="E1135" s="6" t="s">
        <v>37</v>
      </c>
      <c r="F1135" s="6" t="s">
        <v>47</v>
      </c>
      <c r="G1135" s="6" t="str">
        <f>SUBSTITUTE(Raw_Data!G1135,"Ã©","é")</f>
        <v>Summit Down Gilet</v>
      </c>
      <c r="H1135" s="6">
        <v>1</v>
      </c>
      <c r="I1135" s="6" t="s">
        <v>60</v>
      </c>
      <c r="J1135" s="6" t="s">
        <v>60</v>
      </c>
      <c r="K1135" s="6">
        <v>8.5000000000000006E-2</v>
      </c>
      <c r="L1135" s="6" t="s">
        <v>42</v>
      </c>
      <c r="M1135" s="6" t="s">
        <v>34</v>
      </c>
      <c r="N1135" s="6"/>
    </row>
    <row r="1136" spans="1:14">
      <c r="A1136" s="6" t="s">
        <v>2227</v>
      </c>
      <c r="B1136" s="7">
        <v>46167</v>
      </c>
      <c r="C1136" s="6" t="s">
        <v>1883</v>
      </c>
      <c r="D1136" s="6" t="str">
        <f>IF(OR(PROPER(TRIM(Raw_Data!D1136))="Uk",PROPER(TRIM(Raw_Data!D1136))="Gb",PROPER(TRIM(Raw_Data!D1136))="United kingdom"),"United Kingdom",PROPER(TRIM(Raw_Data!D1136)))</f>
        <v>France</v>
      </c>
      <c r="E1136" s="6" t="s">
        <v>28</v>
      </c>
      <c r="F1136" s="6" t="s">
        <v>29</v>
      </c>
      <c r="G1136" s="6" t="str">
        <f>SUBSTITUTE(Raw_Data!G1136,"Ã©","é")</f>
        <v>Café Latte Mug</v>
      </c>
      <c r="H1136" s="6">
        <v>2</v>
      </c>
      <c r="I1136" s="6" t="s">
        <v>755</v>
      </c>
      <c r="J1136" s="6" t="s">
        <v>118</v>
      </c>
      <c r="K1136" s="6">
        <v>0.52</v>
      </c>
      <c r="L1136" s="6" t="s">
        <v>42</v>
      </c>
      <c r="M1136" s="6" t="s">
        <v>34</v>
      </c>
      <c r="N1136" s="6"/>
    </row>
    <row r="1137" spans="1:14">
      <c r="A1137" s="6" t="s">
        <v>2228</v>
      </c>
      <c r="B1137" s="7">
        <v>46155</v>
      </c>
      <c r="C1137" s="6" t="s">
        <v>2229</v>
      </c>
      <c r="D1137" s="6" t="str">
        <f>IF(OR(PROPER(TRIM(Raw_Data!D1137))="Uk",PROPER(TRIM(Raw_Data!D1137))="Gb",PROPER(TRIM(Raw_Data!D1137))="United kingdom"),"United Kingdom",PROPER(TRIM(Raw_Data!D1137)))</f>
        <v>Ireland</v>
      </c>
      <c r="E1137" s="6" t="s">
        <v>78</v>
      </c>
      <c r="F1137" s="6" t="s">
        <v>100</v>
      </c>
      <c r="G1137" s="6" t="str">
        <f>SUBSTITUTE(Raw_Data!G1137,"Ã©","é")</f>
        <v>Alpine Jacket</v>
      </c>
      <c r="H1137" s="6">
        <v>2</v>
      </c>
      <c r="I1137" s="6" t="s">
        <v>181</v>
      </c>
      <c r="J1137" s="6" t="s">
        <v>163</v>
      </c>
      <c r="K1137" s="6">
        <v>0.64</v>
      </c>
      <c r="L1137" s="6" t="s">
        <v>42</v>
      </c>
      <c r="M1137" s="6" t="s">
        <v>34</v>
      </c>
      <c r="N1137" s="6"/>
    </row>
    <row r="1138" spans="1:14">
      <c r="A1138" s="6" t="s">
        <v>2230</v>
      </c>
      <c r="B1138" s="7">
        <v>46031</v>
      </c>
      <c r="C1138" s="6" t="s">
        <v>2231</v>
      </c>
      <c r="D1138" s="6" t="str">
        <f>IF(OR(PROPER(TRIM(Raw_Data!D1138))="Uk",PROPER(TRIM(Raw_Data!D1138))="Gb",PROPER(TRIM(Raw_Data!D1138))="United kingdom"),"United Kingdom",PROPER(TRIM(Raw_Data!D1138)))</f>
        <v>Germany</v>
      </c>
      <c r="E1138" s="6" t="s">
        <v>78</v>
      </c>
      <c r="F1138" s="6" t="s">
        <v>100</v>
      </c>
      <c r="G1138" s="6" t="str">
        <f>SUBSTITUTE(Raw_Data!G1138,"Ã©","é")</f>
        <v>Alpine Jacket</v>
      </c>
      <c r="H1138" s="6">
        <v>1</v>
      </c>
      <c r="I1138" s="6" t="s">
        <v>203</v>
      </c>
      <c r="J1138" s="6" t="s">
        <v>67</v>
      </c>
      <c r="K1138" s="6">
        <v>0.64</v>
      </c>
      <c r="L1138" s="6" t="s">
        <v>42</v>
      </c>
      <c r="M1138" s="6" t="s">
        <v>34</v>
      </c>
      <c r="N1138" s="6"/>
    </row>
    <row r="1139" spans="1:14">
      <c r="A1139" s="6" t="s">
        <v>2232</v>
      </c>
      <c r="B1139" s="7">
        <v>46266</v>
      </c>
      <c r="C1139" s="6" t="s">
        <v>2233</v>
      </c>
      <c r="D1139" s="6" t="str">
        <f>IF(OR(PROPER(TRIM(Raw_Data!D1139))="Uk",PROPER(TRIM(Raw_Data!D1139))="Gb",PROPER(TRIM(Raw_Data!D1139))="United kingdom"),"United Kingdom",PROPER(TRIM(Raw_Data!D1139)))</f>
        <v>Germany</v>
      </c>
      <c r="E1139" s="6" t="s">
        <v>78</v>
      </c>
      <c r="F1139" s="6" t="s">
        <v>47</v>
      </c>
      <c r="G1139" s="6" t="str">
        <f>SUBSTITUTE(Raw_Data!G1139,"Ã©","é")</f>
        <v>Café Latte Mug</v>
      </c>
      <c r="H1139" s="6">
        <v>1</v>
      </c>
      <c r="I1139" s="6" t="s">
        <v>79</v>
      </c>
      <c r="J1139" s="6" t="s">
        <v>79</v>
      </c>
      <c r="K1139" s="6">
        <v>8.5000000000000006E-2</v>
      </c>
      <c r="L1139" s="6" t="s">
        <v>42</v>
      </c>
      <c r="M1139" s="6" t="s">
        <v>69</v>
      </c>
      <c r="N1139" s="6"/>
    </row>
    <row r="1140" spans="1:14">
      <c r="A1140" s="6" t="s">
        <v>2234</v>
      </c>
      <c r="B1140" s="7">
        <v>46202</v>
      </c>
      <c r="C1140" s="6" t="s">
        <v>1102</v>
      </c>
      <c r="D1140" s="6" t="str">
        <f>IF(OR(PROPER(TRIM(Raw_Data!D1140))="Uk",PROPER(TRIM(Raw_Data!D1140))="Gb",PROPER(TRIM(Raw_Data!D1140))="United kingdom"),"United Kingdom",PROPER(TRIM(Raw_Data!D1140)))</f>
        <v>United Kingdom</v>
      </c>
      <c r="E1140" s="6" t="s">
        <v>52</v>
      </c>
      <c r="F1140" s="6" t="s">
        <v>94</v>
      </c>
      <c r="G1140" s="6" t="str">
        <f>SUBSTITUTE(Raw_Data!G1140,"Ã©","é")</f>
        <v>Café Latte Mug</v>
      </c>
      <c r="H1140" s="6">
        <v>3</v>
      </c>
      <c r="I1140" s="6" t="s">
        <v>31</v>
      </c>
      <c r="J1140" s="6" t="s">
        <v>337</v>
      </c>
      <c r="K1140" s="6">
        <v>0.34</v>
      </c>
      <c r="L1140" s="6" t="s">
        <v>33</v>
      </c>
      <c r="M1140" s="6" t="s">
        <v>34</v>
      </c>
      <c r="N1140" s="6"/>
    </row>
    <row r="1141" spans="1:14">
      <c r="A1141" s="6" t="s">
        <v>2235</v>
      </c>
      <c r="B1141" s="7">
        <v>46094</v>
      </c>
      <c r="C1141" s="6" t="s">
        <v>2236</v>
      </c>
      <c r="D1141" s="6" t="str">
        <f>IF(OR(PROPER(TRIM(Raw_Data!D1141))="Uk",PROPER(TRIM(Raw_Data!D1141))="Gb",PROPER(TRIM(Raw_Data!D1141))="United kingdom"),"United Kingdom",PROPER(TRIM(Raw_Data!D1141)))</f>
        <v>Ireland</v>
      </c>
      <c r="E1141" s="6" t="s">
        <v>37</v>
      </c>
      <c r="F1141" s="6" t="s">
        <v>38</v>
      </c>
      <c r="G1141" s="6" t="str">
        <f>SUBSTITUTE(Raw_Data!G1141,"Ã©","é")</f>
        <v>Alpine Jacket</v>
      </c>
      <c r="H1141" s="6">
        <v>1</v>
      </c>
      <c r="I1141" s="6" t="s">
        <v>603</v>
      </c>
      <c r="J1141" s="6" t="s">
        <v>2237</v>
      </c>
      <c r="K1141" s="6">
        <v>0.52</v>
      </c>
      <c r="L1141" s="6" t="s">
        <v>42</v>
      </c>
      <c r="M1141" s="6" t="s">
        <v>34</v>
      </c>
      <c r="N1141" s="6"/>
    </row>
    <row r="1142" spans="1:14">
      <c r="A1142" s="6" t="s">
        <v>2238</v>
      </c>
      <c r="B1142" s="7">
        <v>46066</v>
      </c>
      <c r="C1142" s="6" t="s">
        <v>2239</v>
      </c>
      <c r="D1142" s="6" t="str">
        <f>IF(OR(PROPER(TRIM(Raw_Data!D1142))="Uk",PROPER(TRIM(Raw_Data!D1142))="Gb",PROPER(TRIM(Raw_Data!D1142))="United kingdom"),"United Kingdom",PROPER(TRIM(Raw_Data!D1142)))</f>
        <v>United Kingdom</v>
      </c>
      <c r="E1142" s="6" t="s">
        <v>28</v>
      </c>
      <c r="F1142" s="6" t="s">
        <v>29</v>
      </c>
      <c r="G1142" s="6" t="str">
        <f>SUBSTITUTE(Raw_Data!G1142,"Ã©","é")</f>
        <v>Fell Runner Cap</v>
      </c>
      <c r="H1142" s="6">
        <v>1</v>
      </c>
      <c r="I1142" s="6" t="s">
        <v>490</v>
      </c>
      <c r="J1142" s="6" t="s">
        <v>82</v>
      </c>
      <c r="K1142" s="6">
        <v>0.52</v>
      </c>
      <c r="L1142" s="6" t="s">
        <v>42</v>
      </c>
      <c r="M1142" s="6" t="s">
        <v>34</v>
      </c>
      <c r="N1142" s="6"/>
    </row>
    <row r="1143" spans="1:14">
      <c r="A1143" s="6" t="s">
        <v>2240</v>
      </c>
      <c r="B1143" s="7">
        <v>46051</v>
      </c>
      <c r="C1143" s="6" t="s">
        <v>2241</v>
      </c>
      <c r="D1143" s="6" t="str">
        <f>IF(OR(PROPER(TRIM(Raw_Data!D1143))="Uk",PROPER(TRIM(Raw_Data!D1143))="Gb",PROPER(TRIM(Raw_Data!D1143))="United kingdom"),"United Kingdom",PROPER(TRIM(Raw_Data!D1143)))</f>
        <v>Germany</v>
      </c>
      <c r="E1143" s="6" t="s">
        <v>52</v>
      </c>
      <c r="F1143" s="6" t="s">
        <v>38</v>
      </c>
      <c r="G1143" s="6" t="str">
        <f>SUBSTITUTE(Raw_Data!G1143,"Ã©","é")</f>
        <v>Trekking Poles</v>
      </c>
      <c r="H1143" s="6">
        <v>2</v>
      </c>
      <c r="I1143" s="6" t="s">
        <v>143</v>
      </c>
      <c r="J1143" s="6" t="s">
        <v>144</v>
      </c>
      <c r="K1143" s="6">
        <v>0.52</v>
      </c>
      <c r="L1143" s="6" t="s">
        <v>33</v>
      </c>
      <c r="M1143" s="6" t="s">
        <v>34</v>
      </c>
      <c r="N1143" s="6"/>
    </row>
    <row r="1144" spans="1:14">
      <c r="A1144" s="6" t="s">
        <v>2242</v>
      </c>
      <c r="B1144" s="7">
        <v>46271</v>
      </c>
      <c r="C1144" s="6" t="s">
        <v>1234</v>
      </c>
      <c r="D1144" s="6" t="str">
        <f>IF(OR(PROPER(TRIM(Raw_Data!D1144))="Uk",PROPER(TRIM(Raw_Data!D1144))="Gb",PROPER(TRIM(Raw_Data!D1144))="United kingdom"),"United Kingdom",PROPER(TRIM(Raw_Data!D1144)))</f>
        <v>United Kingdom</v>
      </c>
      <c r="E1144" s="6" t="s">
        <v>28</v>
      </c>
      <c r="F1144" s="6" t="s">
        <v>38</v>
      </c>
      <c r="G1144" s="6" t="str">
        <f>SUBSTITUTE(Raw_Data!G1144,"Ã©","é")</f>
        <v>Alpine Jacket</v>
      </c>
      <c r="H1144" s="6">
        <v>1</v>
      </c>
      <c r="I1144" s="6" t="s">
        <v>31</v>
      </c>
      <c r="J1144" s="6" t="s">
        <v>31</v>
      </c>
      <c r="K1144" s="6">
        <v>0.52</v>
      </c>
      <c r="L1144" s="6" t="s">
        <v>42</v>
      </c>
      <c r="M1144" s="6" t="s">
        <v>34</v>
      </c>
      <c r="N1144" s="6"/>
    </row>
    <row r="1145" spans="1:14">
      <c r="A1145" s="6" t="s">
        <v>2243</v>
      </c>
      <c r="B1145" s="7">
        <v>46073</v>
      </c>
      <c r="C1145" s="6" t="s">
        <v>988</v>
      </c>
      <c r="D1145" s="6" t="str">
        <f>IF(OR(PROPER(TRIM(Raw_Data!D1145))="Uk",PROPER(TRIM(Raw_Data!D1145))="Gb",PROPER(TRIM(Raw_Data!D1145))="United kingdom"),"United Kingdom",PROPER(TRIM(Raw_Data!D1145)))</f>
        <v>United Kingdom</v>
      </c>
      <c r="E1145" s="6" t="s">
        <v>37</v>
      </c>
      <c r="F1145" s="6" t="s">
        <v>47</v>
      </c>
      <c r="G1145" s="6" t="str">
        <f>SUBSTITUTE(Raw_Data!G1145,"Ã©","é")</f>
        <v>Alpine Jacket</v>
      </c>
      <c r="H1145" s="6">
        <v>1</v>
      </c>
      <c r="I1145" s="6" t="s">
        <v>117</v>
      </c>
      <c r="J1145" s="6" t="s">
        <v>117</v>
      </c>
      <c r="K1145" s="6">
        <v>8.5000000000000006E-2</v>
      </c>
      <c r="L1145" s="6" t="s">
        <v>42</v>
      </c>
      <c r="M1145" s="6" t="s">
        <v>69</v>
      </c>
      <c r="N1145" s="6"/>
    </row>
    <row r="1146" spans="1:14">
      <c r="A1146" s="6" t="s">
        <v>2244</v>
      </c>
      <c r="B1146" s="7">
        <v>46297</v>
      </c>
      <c r="C1146" s="6" t="s">
        <v>420</v>
      </c>
      <c r="D1146" s="6" t="str">
        <f>IF(OR(PROPER(TRIM(Raw_Data!D1146))="Uk",PROPER(TRIM(Raw_Data!D1146))="Gb",PROPER(TRIM(Raw_Data!D1146))="United kingdom"),"United Kingdom",PROPER(TRIM(Raw_Data!D1146)))</f>
        <v>France</v>
      </c>
      <c r="E1146" s="6" t="s">
        <v>46</v>
      </c>
      <c r="F1146" s="6" t="s">
        <v>85</v>
      </c>
      <c r="G1146" s="6" t="str">
        <f>SUBSTITUTE(Raw_Data!G1146,"Ã©","é")</f>
        <v>Fell Runner Cap</v>
      </c>
      <c r="H1146" s="6">
        <v>2</v>
      </c>
      <c r="I1146" s="6" t="s">
        <v>203</v>
      </c>
      <c r="J1146" s="6" t="s">
        <v>204</v>
      </c>
      <c r="K1146" s="6">
        <v>0.41</v>
      </c>
      <c r="L1146" s="6" t="s">
        <v>42</v>
      </c>
      <c r="M1146" s="6" t="s">
        <v>34</v>
      </c>
      <c r="N1146" s="6"/>
    </row>
    <row r="1147" spans="1:14">
      <c r="A1147" s="6" t="s">
        <v>2245</v>
      </c>
      <c r="B1147" s="7">
        <v>46301</v>
      </c>
      <c r="C1147" s="6" t="s">
        <v>367</v>
      </c>
      <c r="D1147" s="6" t="str">
        <f>IF(OR(PROPER(TRIM(Raw_Data!D1147))="Uk",PROPER(TRIM(Raw_Data!D1147))="Gb",PROPER(TRIM(Raw_Data!D1147))="United kingdom"),"United Kingdom",PROPER(TRIM(Raw_Data!D1147)))</f>
        <v>United Kingdom</v>
      </c>
      <c r="E1147" s="6" t="s">
        <v>46</v>
      </c>
      <c r="F1147" s="6" t="s">
        <v>47</v>
      </c>
      <c r="G1147" s="6" t="str">
        <f>SUBSTITUTE(Raw_Data!G1147,"Ã©","é")</f>
        <v>Café Latte Mug</v>
      </c>
      <c r="H1147" s="6">
        <v>2</v>
      </c>
      <c r="I1147" s="6" t="s">
        <v>147</v>
      </c>
      <c r="J1147" s="6" t="s">
        <v>175</v>
      </c>
      <c r="K1147" s="6">
        <v>8.5000000000000006E-2</v>
      </c>
      <c r="L1147" s="6" t="s">
        <v>42</v>
      </c>
      <c r="M1147" s="6" t="s">
        <v>34</v>
      </c>
      <c r="N1147" s="6"/>
    </row>
    <row r="1148" spans="1:14">
      <c r="A1148" s="6" t="s">
        <v>2246</v>
      </c>
      <c r="B1148" s="7">
        <v>46129</v>
      </c>
      <c r="C1148" s="6" t="s">
        <v>2247</v>
      </c>
      <c r="D1148" s="6" t="str">
        <f>IF(OR(PROPER(TRIM(Raw_Data!D1148))="Uk",PROPER(TRIM(Raw_Data!D1148))="Gb",PROPER(TRIM(Raw_Data!D1148))="United kingdom"),"United Kingdom",PROPER(TRIM(Raw_Data!D1148)))</f>
        <v>United Kingdom</v>
      </c>
      <c r="E1148" s="6" t="s">
        <v>78</v>
      </c>
      <c r="F1148" s="6" t="s">
        <v>94</v>
      </c>
      <c r="G1148" s="6" t="str">
        <f>SUBSTITUTE(Raw_Data!G1148,"Ã©","é")</f>
        <v>Trail Softshell</v>
      </c>
      <c r="H1148" s="6">
        <v>2</v>
      </c>
      <c r="I1148" s="6" t="s">
        <v>143</v>
      </c>
      <c r="J1148" s="6" t="s">
        <v>327</v>
      </c>
      <c r="K1148" s="6">
        <v>0.34</v>
      </c>
      <c r="L1148" s="6" t="s">
        <v>42</v>
      </c>
      <c r="M1148" s="6" t="s">
        <v>34</v>
      </c>
      <c r="N1148" s="6"/>
    </row>
    <row r="1149" spans="1:14">
      <c r="A1149" s="6" t="s">
        <v>2248</v>
      </c>
      <c r="B1149" s="7">
        <v>46235</v>
      </c>
      <c r="C1149" s="6" t="s">
        <v>2249</v>
      </c>
      <c r="D1149" s="6" t="str">
        <f>IF(OR(PROPER(TRIM(Raw_Data!D1149))="Uk",PROPER(TRIM(Raw_Data!D1149))="Gb",PROPER(TRIM(Raw_Data!D1149))="United kingdom"),"United Kingdom",PROPER(TRIM(Raw_Data!D1149)))</f>
        <v>United Kingdom</v>
      </c>
      <c r="E1149" s="6" t="s">
        <v>78</v>
      </c>
      <c r="F1149" s="6" t="s">
        <v>58</v>
      </c>
      <c r="G1149" s="6" t="str">
        <f>SUBSTITUTE(Raw_Data!G1149,"Ã©","é")</f>
        <v>Trekking Poles</v>
      </c>
      <c r="H1149" s="6">
        <v>1</v>
      </c>
      <c r="I1149" s="6" t="s">
        <v>40</v>
      </c>
      <c r="J1149" s="6" t="s">
        <v>2250</v>
      </c>
      <c r="K1149" s="6">
        <v>0.38</v>
      </c>
      <c r="L1149" s="6" t="s">
        <v>42</v>
      </c>
      <c r="M1149" s="6" t="s">
        <v>69</v>
      </c>
      <c r="N1149" s="6"/>
    </row>
    <row r="1150" spans="1:14">
      <c r="A1150" s="6" t="s">
        <v>2251</v>
      </c>
      <c r="B1150" s="7">
        <v>46025</v>
      </c>
      <c r="C1150" s="6" t="s">
        <v>2252</v>
      </c>
      <c r="D1150" s="6" t="str">
        <f>IF(OR(PROPER(TRIM(Raw_Data!D1150))="Uk",PROPER(TRIM(Raw_Data!D1150))="Gb",PROPER(TRIM(Raw_Data!D1150))="United kingdom"),"United Kingdom",PROPER(TRIM(Raw_Data!D1150)))</f>
        <v>United Kingdom</v>
      </c>
      <c r="E1150" s="6" t="s">
        <v>28</v>
      </c>
      <c r="F1150" s="6" t="s">
        <v>29</v>
      </c>
      <c r="G1150" s="6" t="str">
        <f>SUBSTITUTE(Raw_Data!G1150,"Ã©","é")</f>
        <v>Trail Softshell</v>
      </c>
      <c r="H1150" s="6">
        <v>3</v>
      </c>
      <c r="I1150" s="6" t="s">
        <v>113</v>
      </c>
      <c r="J1150" s="6" t="s">
        <v>138</v>
      </c>
      <c r="K1150" s="6">
        <v>0.52</v>
      </c>
      <c r="L1150" s="6" t="s">
        <v>42</v>
      </c>
      <c r="M1150" s="6" t="s">
        <v>34</v>
      </c>
      <c r="N1150" s="6"/>
    </row>
    <row r="1151" spans="1:14">
      <c r="A1151" s="6" t="s">
        <v>2253</v>
      </c>
      <c r="B1151" s="7">
        <v>46127</v>
      </c>
      <c r="C1151" s="6" t="s">
        <v>134</v>
      </c>
      <c r="D1151" s="6" t="str">
        <f>IF(OR(PROPER(TRIM(Raw_Data!D1151))="Uk",PROPER(TRIM(Raw_Data!D1151))="Gb",PROPER(TRIM(Raw_Data!D1151))="United kingdom"),"United Kingdom",PROPER(TRIM(Raw_Data!D1151)))</f>
        <v>United Kingdom</v>
      </c>
      <c r="E1151" s="6" t="s">
        <v>78</v>
      </c>
      <c r="F1151" s="6" t="s">
        <v>47</v>
      </c>
      <c r="G1151" s="6" t="str">
        <f>SUBSTITUTE(Raw_Data!G1151,"Ã©","é")</f>
        <v>Trail Softshell</v>
      </c>
      <c r="H1151" s="6">
        <v>3</v>
      </c>
      <c r="I1151" s="6" t="s">
        <v>117</v>
      </c>
      <c r="J1151" s="6" t="s">
        <v>171</v>
      </c>
      <c r="K1151" s="6">
        <v>8.5000000000000006E-2</v>
      </c>
      <c r="L1151" s="6" t="s">
        <v>33</v>
      </c>
      <c r="M1151" s="6" t="s">
        <v>34</v>
      </c>
      <c r="N1151" s="6"/>
    </row>
    <row r="1152" spans="1:14">
      <c r="A1152" s="6" t="s">
        <v>2254</v>
      </c>
      <c r="B1152" s="7">
        <v>46192</v>
      </c>
      <c r="C1152" s="6" t="s">
        <v>967</v>
      </c>
      <c r="D1152" s="6" t="str">
        <f>IF(OR(PROPER(TRIM(Raw_Data!D1152))="Uk",PROPER(TRIM(Raw_Data!D1152))="Gb",PROPER(TRIM(Raw_Data!D1152))="United kingdom"),"United Kingdom",PROPER(TRIM(Raw_Data!D1152)))</f>
        <v>Ireland</v>
      </c>
      <c r="E1152" s="6" t="s">
        <v>28</v>
      </c>
      <c r="F1152" s="6" t="s">
        <v>29</v>
      </c>
      <c r="G1152" s="6" t="str">
        <f>SUBSTITUTE(Raw_Data!G1152,"Ã©","é")</f>
        <v>Fell Runner Cap</v>
      </c>
      <c r="H1152" s="6">
        <v>2</v>
      </c>
      <c r="I1152" s="6" t="s">
        <v>265</v>
      </c>
      <c r="J1152" s="6" t="s">
        <v>167</v>
      </c>
      <c r="K1152" s="6">
        <v>0.52</v>
      </c>
      <c r="L1152" s="6" t="s">
        <v>42</v>
      </c>
      <c r="M1152" s="6" t="s">
        <v>34</v>
      </c>
      <c r="N1152" s="6"/>
    </row>
    <row r="1153" spans="1:14">
      <c r="A1153" s="6" t="s">
        <v>2255</v>
      </c>
      <c r="B1153" s="7">
        <v>46144</v>
      </c>
      <c r="C1153" s="6" t="s">
        <v>2256</v>
      </c>
      <c r="D1153" s="6" t="str">
        <f>IF(OR(PROPER(TRIM(Raw_Data!D1153))="Uk",PROPER(TRIM(Raw_Data!D1153))="Gb",PROPER(TRIM(Raw_Data!D1153))="United kingdom"),"United Kingdom",PROPER(TRIM(Raw_Data!D1153)))</f>
        <v>United Kingdom</v>
      </c>
      <c r="E1153" s="6" t="s">
        <v>78</v>
      </c>
      <c r="F1153" s="6" t="s">
        <v>38</v>
      </c>
      <c r="G1153" s="6" t="str">
        <f>SUBSTITUTE(Raw_Data!G1153,"Ã©","é")</f>
        <v>Storm Overtrousers</v>
      </c>
      <c r="H1153" s="6">
        <v>1</v>
      </c>
      <c r="I1153" s="6" t="s">
        <v>73</v>
      </c>
      <c r="J1153" s="6" t="s">
        <v>73</v>
      </c>
      <c r="K1153" s="6">
        <v>0.52</v>
      </c>
      <c r="L1153" s="6" t="s">
        <v>42</v>
      </c>
      <c r="M1153" s="6" t="s">
        <v>69</v>
      </c>
      <c r="N1153" s="6"/>
    </row>
    <row r="1154" spans="1:14">
      <c r="A1154" s="6" t="s">
        <v>2257</v>
      </c>
      <c r="B1154" s="7">
        <v>46117</v>
      </c>
      <c r="C1154" s="6" t="s">
        <v>1286</v>
      </c>
      <c r="D1154" s="6" t="str">
        <f>IF(OR(PROPER(TRIM(Raw_Data!D1154))="Uk",PROPER(TRIM(Raw_Data!D1154))="Gb",PROPER(TRIM(Raw_Data!D1154))="United kingdom"),"United Kingdom",PROPER(TRIM(Raw_Data!D1154)))</f>
        <v>United Kingdom</v>
      </c>
      <c r="E1154" s="6" t="s">
        <v>52</v>
      </c>
      <c r="F1154" s="6" t="s">
        <v>58</v>
      </c>
      <c r="G1154" s="6" t="str">
        <f>SUBSTITUTE(Raw_Data!G1154,"Ã©","é")</f>
        <v>Fell Runner Cap</v>
      </c>
      <c r="H1154" s="6">
        <v>2</v>
      </c>
      <c r="I1154" s="6" t="s">
        <v>79</v>
      </c>
      <c r="J1154" s="6" t="s">
        <v>2258</v>
      </c>
      <c r="K1154" s="6">
        <v>0.38</v>
      </c>
      <c r="L1154" s="6" t="s">
        <v>42</v>
      </c>
      <c r="M1154" s="6" t="s">
        <v>34</v>
      </c>
      <c r="N1154" s="6"/>
    </row>
    <row r="1155" spans="1:14">
      <c r="A1155" s="6" t="s">
        <v>2259</v>
      </c>
      <c r="B1155" s="7">
        <v>46187</v>
      </c>
      <c r="C1155" s="6" t="s">
        <v>1003</v>
      </c>
      <c r="D1155" s="6" t="str">
        <f>IF(OR(PROPER(TRIM(Raw_Data!D1155))="Uk",PROPER(TRIM(Raw_Data!D1155))="Gb",PROPER(TRIM(Raw_Data!D1155))="United kingdom"),"United Kingdom",PROPER(TRIM(Raw_Data!D1155)))</f>
        <v>United Kingdom</v>
      </c>
      <c r="E1155" s="6" t="s">
        <v>78</v>
      </c>
      <c r="F1155" s="6" t="s">
        <v>94</v>
      </c>
      <c r="G1155" s="6" t="str">
        <f>SUBSTITUTE(Raw_Data!G1155,"Ã©","é")</f>
        <v>Café Latte Mug</v>
      </c>
      <c r="H1155" s="6">
        <v>3</v>
      </c>
      <c r="I1155" s="6" t="s">
        <v>113</v>
      </c>
      <c r="J1155" s="6" t="s">
        <v>138</v>
      </c>
      <c r="K1155" s="6">
        <v>0.34</v>
      </c>
      <c r="L1155" s="6" t="s">
        <v>42</v>
      </c>
      <c r="M1155" s="6" t="s">
        <v>34</v>
      </c>
      <c r="N1155" s="6"/>
    </row>
    <row r="1156" spans="1:14">
      <c r="A1156" s="6" t="s">
        <v>2260</v>
      </c>
      <c r="B1156" s="7">
        <v>46104</v>
      </c>
      <c r="C1156" s="6" t="s">
        <v>2097</v>
      </c>
      <c r="D1156" s="6" t="str">
        <f>IF(OR(PROPER(TRIM(Raw_Data!D1156))="Uk",PROPER(TRIM(Raw_Data!D1156))="Gb",PROPER(TRIM(Raw_Data!D1156))="United kingdom"),"United Kingdom",PROPER(TRIM(Raw_Data!D1156)))</f>
        <v>France</v>
      </c>
      <c r="E1156" s="6" t="s">
        <v>37</v>
      </c>
      <c r="F1156" s="6" t="s">
        <v>29</v>
      </c>
      <c r="G1156" s="6" t="str">
        <f>SUBSTITUTE(Raw_Data!G1156,"Ã©","é")</f>
        <v>Summit Down Gilet</v>
      </c>
      <c r="H1156" s="6">
        <v>3</v>
      </c>
      <c r="I1156" s="6" t="s">
        <v>31</v>
      </c>
      <c r="J1156" s="6" t="s">
        <v>505</v>
      </c>
      <c r="K1156" s="6">
        <v>0.52</v>
      </c>
      <c r="L1156" s="6" t="s">
        <v>42</v>
      </c>
      <c r="M1156" s="6" t="s">
        <v>69</v>
      </c>
      <c r="N1156" s="6"/>
    </row>
    <row r="1157" spans="1:14">
      <c r="A1157" s="6" t="s">
        <v>2261</v>
      </c>
      <c r="B1157" s="7">
        <v>46205</v>
      </c>
      <c r="C1157" s="6" t="s">
        <v>2262</v>
      </c>
      <c r="D1157" s="6" t="str">
        <f>IF(OR(PROPER(TRIM(Raw_Data!D1157))="Uk",PROPER(TRIM(Raw_Data!D1157))="Gb",PROPER(TRIM(Raw_Data!D1157))="United kingdom"),"United Kingdom",PROPER(TRIM(Raw_Data!D1157)))</f>
        <v>United Kingdom</v>
      </c>
      <c r="E1157" s="6" t="s">
        <v>37</v>
      </c>
      <c r="F1157" s="6" t="s">
        <v>85</v>
      </c>
      <c r="G1157" s="6" t="str">
        <f>SUBSTITUTE(Raw_Data!G1157,"Ã©","é")</f>
        <v>Trekking Poles</v>
      </c>
      <c r="H1157" s="6">
        <v>2</v>
      </c>
      <c r="I1157" s="6" t="s">
        <v>96</v>
      </c>
      <c r="J1157" s="6" t="s">
        <v>278</v>
      </c>
      <c r="K1157" s="6">
        <v>0.41</v>
      </c>
      <c r="L1157" s="6" t="s">
        <v>42</v>
      </c>
      <c r="M1157" s="6" t="s">
        <v>34</v>
      </c>
      <c r="N1157" s="6"/>
    </row>
    <row r="1158" spans="1:14">
      <c r="A1158" s="6" t="s">
        <v>2263</v>
      </c>
      <c r="B1158" s="7">
        <v>46129</v>
      </c>
      <c r="C1158" s="6" t="s">
        <v>979</v>
      </c>
      <c r="D1158" s="6" t="str">
        <f>IF(OR(PROPER(TRIM(Raw_Data!D1158))="Uk",PROPER(TRIM(Raw_Data!D1158))="Gb",PROPER(TRIM(Raw_Data!D1158))="United kingdom"),"United Kingdom",PROPER(TRIM(Raw_Data!D1158)))</f>
        <v>United Kingdom</v>
      </c>
      <c r="E1158" s="6" t="s">
        <v>37</v>
      </c>
      <c r="F1158" s="6" t="s">
        <v>58</v>
      </c>
      <c r="G1158" s="6" t="str">
        <f>SUBSTITUTE(Raw_Data!G1158,"Ã©","é")</f>
        <v>Fell Runner Cap</v>
      </c>
      <c r="H1158" s="6">
        <v>2</v>
      </c>
      <c r="I1158" s="6" t="s">
        <v>265</v>
      </c>
      <c r="J1158" s="6" t="s">
        <v>167</v>
      </c>
      <c r="K1158" s="6">
        <v>0.38</v>
      </c>
      <c r="L1158" s="6" t="s">
        <v>33</v>
      </c>
      <c r="M1158" s="6" t="s">
        <v>34</v>
      </c>
      <c r="N1158" s="6"/>
    </row>
    <row r="1159" spans="1:14">
      <c r="A1159" s="6" t="s">
        <v>2264</v>
      </c>
      <c r="B1159" s="7">
        <v>46140</v>
      </c>
      <c r="C1159" s="6" t="s">
        <v>225</v>
      </c>
      <c r="D1159" s="6" t="str">
        <f>IF(OR(PROPER(TRIM(Raw_Data!D1159))="Uk",PROPER(TRIM(Raw_Data!D1159))="Gb",PROPER(TRIM(Raw_Data!D1159))="United kingdom"),"United Kingdom",PROPER(TRIM(Raw_Data!D1159)))</f>
        <v>United Kingdom</v>
      </c>
      <c r="E1159" s="6" t="s">
        <v>37</v>
      </c>
      <c r="F1159" s="6" t="s">
        <v>38</v>
      </c>
      <c r="G1159" s="6" t="str">
        <f>SUBSTITUTE(Raw_Data!G1159,"Ã©","é")</f>
        <v>Trekking Poles</v>
      </c>
      <c r="H1159" s="6">
        <v>1</v>
      </c>
      <c r="I1159" s="6" t="s">
        <v>40</v>
      </c>
      <c r="J1159" s="6" t="s">
        <v>40</v>
      </c>
      <c r="K1159" s="6">
        <v>0.52</v>
      </c>
      <c r="L1159" s="6" t="s">
        <v>42</v>
      </c>
      <c r="M1159" s="6" t="s">
        <v>34</v>
      </c>
      <c r="N1159" s="6"/>
    </row>
    <row r="1160" spans="1:14">
      <c r="A1160" s="6" t="s">
        <v>2265</v>
      </c>
      <c r="B1160" s="7">
        <v>46071</v>
      </c>
      <c r="C1160" s="6" t="s">
        <v>1651</v>
      </c>
      <c r="D1160" s="6" t="str">
        <f>IF(OR(PROPER(TRIM(Raw_Data!D1160))="Uk",PROPER(TRIM(Raw_Data!D1160))="Gb",PROPER(TRIM(Raw_Data!D1160))="United kingdom"),"United Kingdom",PROPER(TRIM(Raw_Data!D1160)))</f>
        <v>United Kingdom</v>
      </c>
      <c r="E1160" s="6" t="s">
        <v>78</v>
      </c>
      <c r="F1160" s="6" t="s">
        <v>85</v>
      </c>
      <c r="G1160" s="6" t="str">
        <f>SUBSTITUTE(Raw_Data!G1160,"Ã©","é")</f>
        <v>Trail Softshell</v>
      </c>
      <c r="H1160" s="6">
        <v>2</v>
      </c>
      <c r="I1160" s="6" t="s">
        <v>96</v>
      </c>
      <c r="J1160" s="6" t="s">
        <v>278</v>
      </c>
      <c r="K1160" s="6">
        <v>0.41</v>
      </c>
      <c r="L1160" s="6" t="s">
        <v>42</v>
      </c>
      <c r="M1160" s="6" t="s">
        <v>34</v>
      </c>
      <c r="N1160" s="6"/>
    </row>
    <row r="1161" spans="1:14">
      <c r="A1161" s="6" t="s">
        <v>2266</v>
      </c>
      <c r="B1161" s="7">
        <v>46166</v>
      </c>
      <c r="C1161" s="6" t="s">
        <v>1316</v>
      </c>
      <c r="D1161" s="6" t="str">
        <f>IF(OR(PROPER(TRIM(Raw_Data!D1161))="Uk",PROPER(TRIM(Raw_Data!D1161))="Gb",PROPER(TRIM(Raw_Data!D1161))="United kingdom"),"United Kingdom",PROPER(TRIM(Raw_Data!D1161)))</f>
        <v>United Kingdom</v>
      </c>
      <c r="E1161" s="6" t="s">
        <v>46</v>
      </c>
      <c r="F1161" s="6" t="s">
        <v>53</v>
      </c>
      <c r="G1161" s="6" t="str">
        <f>SUBSTITUTE(Raw_Data!G1161,"Ã©","é")</f>
        <v>Summit Down Gilet</v>
      </c>
      <c r="H1161" s="6">
        <v>1</v>
      </c>
      <c r="I1161" s="6" t="s">
        <v>113</v>
      </c>
      <c r="J1161" s="6" t="s">
        <v>113</v>
      </c>
      <c r="K1161" s="6">
        <v>0.19</v>
      </c>
      <c r="L1161" s="6" t="s">
        <v>42</v>
      </c>
      <c r="M1161" s="6" t="s">
        <v>69</v>
      </c>
      <c r="N1161" s="6"/>
    </row>
    <row r="1162" spans="1:14">
      <c r="A1162" s="6" t="s">
        <v>2267</v>
      </c>
      <c r="B1162" s="7">
        <v>46127</v>
      </c>
      <c r="C1162" s="6" t="s">
        <v>1699</v>
      </c>
      <c r="D1162" s="6" t="str">
        <f>IF(OR(PROPER(TRIM(Raw_Data!D1162))="Uk",PROPER(TRIM(Raw_Data!D1162))="Gb",PROPER(TRIM(Raw_Data!D1162))="United kingdom"),"United Kingdom",PROPER(TRIM(Raw_Data!D1162)))</f>
        <v>France</v>
      </c>
      <c r="E1162" s="6" t="s">
        <v>46</v>
      </c>
      <c r="F1162" s="6" t="s">
        <v>100</v>
      </c>
      <c r="G1162" s="6" t="str">
        <f>SUBSTITUTE(Raw_Data!G1162,"Ã©","é")</f>
        <v>Café Latte Mug</v>
      </c>
      <c r="H1162" s="6">
        <v>1</v>
      </c>
      <c r="I1162" s="6" t="s">
        <v>113</v>
      </c>
      <c r="J1162" s="6" t="s">
        <v>113</v>
      </c>
      <c r="K1162" s="6">
        <v>0.64</v>
      </c>
      <c r="L1162" s="6" t="s">
        <v>42</v>
      </c>
      <c r="M1162" s="6" t="s">
        <v>34</v>
      </c>
      <c r="N1162" s="6"/>
    </row>
    <row r="1163" spans="1:14">
      <c r="A1163" s="6" t="s">
        <v>2268</v>
      </c>
      <c r="B1163" s="7">
        <v>46123</v>
      </c>
      <c r="C1163" s="6" t="s">
        <v>1964</v>
      </c>
      <c r="D1163" s="6" t="str">
        <f>IF(OR(PROPER(TRIM(Raw_Data!D1163))="Uk",PROPER(TRIM(Raw_Data!D1163))="Gb",PROPER(TRIM(Raw_Data!D1163))="United kingdom"),"United Kingdom",PROPER(TRIM(Raw_Data!D1163)))</f>
        <v>Ireland</v>
      </c>
      <c r="E1163" s="6" t="s">
        <v>37</v>
      </c>
      <c r="F1163" s="6" t="s">
        <v>58</v>
      </c>
      <c r="G1163" s="6" t="str">
        <f>SUBSTITUTE(Raw_Data!G1163,"Ã©","é")</f>
        <v>Trekking Poles</v>
      </c>
      <c r="H1163" s="6">
        <v>2</v>
      </c>
      <c r="I1163" s="6" t="s">
        <v>40</v>
      </c>
      <c r="J1163" s="6" t="s">
        <v>327</v>
      </c>
      <c r="K1163" s="6">
        <v>0.38</v>
      </c>
      <c r="L1163" s="6" t="s">
        <v>42</v>
      </c>
      <c r="M1163" s="6" t="s">
        <v>34</v>
      </c>
      <c r="N1163" s="6"/>
    </row>
    <row r="1164" spans="1:14">
      <c r="A1164" s="6" t="s">
        <v>2269</v>
      </c>
      <c r="B1164" s="7">
        <v>46076</v>
      </c>
      <c r="C1164" s="6" t="s">
        <v>2270</v>
      </c>
      <c r="D1164" s="6" t="str">
        <f>IF(OR(PROPER(TRIM(Raw_Data!D1164))="Uk",PROPER(TRIM(Raw_Data!D1164))="Gb",PROPER(TRIM(Raw_Data!D1164))="United kingdom"),"United Kingdom",PROPER(TRIM(Raw_Data!D1164)))</f>
        <v>United Kingdom</v>
      </c>
      <c r="E1164" s="6" t="s">
        <v>78</v>
      </c>
      <c r="F1164" s="6" t="s">
        <v>58</v>
      </c>
      <c r="G1164" s="6" t="str">
        <f>SUBSTITUTE(Raw_Data!G1164,"Ã©","é")</f>
        <v>Storm Overtrousers</v>
      </c>
      <c r="H1164" s="6">
        <v>1</v>
      </c>
      <c r="I1164" s="6" t="s">
        <v>60</v>
      </c>
      <c r="J1164" s="6" t="s">
        <v>60</v>
      </c>
      <c r="K1164" s="6">
        <v>0.38</v>
      </c>
      <c r="L1164" s="6" t="s">
        <v>33</v>
      </c>
      <c r="M1164" s="6" t="s">
        <v>34</v>
      </c>
      <c r="N1164" s="6"/>
    </row>
    <row r="1165" spans="1:14">
      <c r="A1165" s="6" t="s">
        <v>2271</v>
      </c>
      <c r="B1165" s="7">
        <v>46098</v>
      </c>
      <c r="C1165" s="6" t="s">
        <v>2273</v>
      </c>
      <c r="D1165" s="6" t="str">
        <f>IF(OR(PROPER(TRIM(Raw_Data!D1165))="Uk",PROPER(TRIM(Raw_Data!D1165))="Gb",PROPER(TRIM(Raw_Data!D1165))="United kingdom"),"United Kingdom",PROPER(TRIM(Raw_Data!D1165)))</f>
        <v>France</v>
      </c>
      <c r="E1165" s="6" t="s">
        <v>52</v>
      </c>
      <c r="F1165" s="6" t="s">
        <v>38</v>
      </c>
      <c r="G1165" s="6" t="str">
        <f>SUBSTITUTE(Raw_Data!G1165,"Ã©","é")</f>
        <v>Summit Down Gilet</v>
      </c>
      <c r="H1165" s="6">
        <v>3</v>
      </c>
      <c r="I1165" s="6" t="s">
        <v>31</v>
      </c>
      <c r="J1165" s="6" t="s">
        <v>337</v>
      </c>
      <c r="K1165" s="6">
        <v>0.52</v>
      </c>
      <c r="L1165" s="6" t="s">
        <v>42</v>
      </c>
      <c r="M1165" s="6" t="s">
        <v>34</v>
      </c>
      <c r="N1165" s="6"/>
    </row>
    <row r="1166" spans="1:14">
      <c r="A1166" s="6" t="s">
        <v>2274</v>
      </c>
      <c r="B1166" s="7">
        <v>46114</v>
      </c>
      <c r="C1166" s="6" t="s">
        <v>2275</v>
      </c>
      <c r="D1166" s="6" t="str">
        <f>IF(OR(PROPER(TRIM(Raw_Data!D1166))="Uk",PROPER(TRIM(Raw_Data!D1166))="Gb",PROPER(TRIM(Raw_Data!D1166))="United kingdom"),"United Kingdom",PROPER(TRIM(Raw_Data!D1166)))</f>
        <v>United Kingdom</v>
      </c>
      <c r="E1166" s="6" t="s">
        <v>78</v>
      </c>
      <c r="F1166" s="6" t="s">
        <v>29</v>
      </c>
      <c r="G1166" s="6" t="str">
        <f>SUBSTITUTE(Raw_Data!G1166,"Ã©","é")</f>
        <v>Trail Softshell</v>
      </c>
      <c r="H1166" s="6">
        <v>2</v>
      </c>
      <c r="I1166" s="6" t="s">
        <v>265</v>
      </c>
      <c r="J1166" s="6" t="s">
        <v>167</v>
      </c>
      <c r="K1166" s="6">
        <v>0.52</v>
      </c>
      <c r="L1166" s="6" t="s">
        <v>42</v>
      </c>
      <c r="M1166" s="6" t="s">
        <v>34</v>
      </c>
      <c r="N1166" s="6"/>
    </row>
    <row r="1167" spans="1:14">
      <c r="A1167" s="6" t="s">
        <v>2276</v>
      </c>
      <c r="B1167" s="7">
        <v>46166</v>
      </c>
      <c r="C1167" s="6" t="s">
        <v>2278</v>
      </c>
      <c r="D1167" s="6" t="str">
        <f>IF(OR(PROPER(TRIM(Raw_Data!D1167))="Uk",PROPER(TRIM(Raw_Data!D1167))="Gb",PROPER(TRIM(Raw_Data!D1167))="United kingdom"),"United Kingdom",PROPER(TRIM(Raw_Data!D1167)))</f>
        <v>United Kingdom</v>
      </c>
      <c r="E1167" s="6" t="s">
        <v>28</v>
      </c>
      <c r="F1167" s="6" t="s">
        <v>94</v>
      </c>
      <c r="G1167" s="6" t="str">
        <f>SUBSTITUTE(Raw_Data!G1167,"Ã©","é")</f>
        <v>Storm Overtrousers</v>
      </c>
      <c r="H1167" s="6">
        <v>3</v>
      </c>
      <c r="I1167" s="6" t="s">
        <v>113</v>
      </c>
      <c r="J1167" s="6" t="s">
        <v>138</v>
      </c>
      <c r="K1167" s="6">
        <v>0.34</v>
      </c>
      <c r="L1167" s="6" t="s">
        <v>33</v>
      </c>
      <c r="M1167" s="6" t="s">
        <v>69</v>
      </c>
      <c r="N1167" s="6"/>
    </row>
    <row r="1168" spans="1:14">
      <c r="A1168" s="6" t="s">
        <v>2279</v>
      </c>
      <c r="B1168" s="7">
        <v>46239</v>
      </c>
      <c r="C1168" s="6" t="s">
        <v>2280</v>
      </c>
      <c r="D1168" s="6" t="str">
        <f>IF(OR(PROPER(TRIM(Raw_Data!D1168))="Uk",PROPER(TRIM(Raw_Data!D1168))="Gb",PROPER(TRIM(Raw_Data!D1168))="United kingdom"),"United Kingdom",PROPER(TRIM(Raw_Data!D1168)))</f>
        <v>United Kingdom</v>
      </c>
      <c r="E1168" s="6" t="s">
        <v>46</v>
      </c>
      <c r="F1168" s="6" t="s">
        <v>85</v>
      </c>
      <c r="G1168" s="6" t="str">
        <f>SUBSTITUTE(Raw_Data!G1168,"Ã©","é")</f>
        <v>Merino Base Layer</v>
      </c>
      <c r="H1168" s="6">
        <v>2</v>
      </c>
      <c r="I1168" s="6" t="s">
        <v>31</v>
      </c>
      <c r="J1168" s="6" t="s">
        <v>249</v>
      </c>
      <c r="K1168" s="6">
        <v>0.41</v>
      </c>
      <c r="L1168" s="6" t="s">
        <v>42</v>
      </c>
      <c r="M1168" s="6" t="s">
        <v>69</v>
      </c>
      <c r="N1168" s="6"/>
    </row>
    <row r="1169" spans="1:14">
      <c r="A1169" s="6" t="s">
        <v>2281</v>
      </c>
      <c r="B1169" s="7">
        <v>46044</v>
      </c>
      <c r="C1169" s="6" t="s">
        <v>1962</v>
      </c>
      <c r="D1169" s="6" t="str">
        <f>IF(OR(PROPER(TRIM(Raw_Data!D1169))="Uk",PROPER(TRIM(Raw_Data!D1169))="Gb",PROPER(TRIM(Raw_Data!D1169))="United kingdom"),"United Kingdom",PROPER(TRIM(Raw_Data!D1169)))</f>
        <v>Ireland</v>
      </c>
      <c r="E1169" s="6" t="s">
        <v>78</v>
      </c>
      <c r="F1169" s="6" t="s">
        <v>38</v>
      </c>
      <c r="G1169" s="6" t="str">
        <f>SUBSTITUTE(Raw_Data!G1169,"Ã©","é")</f>
        <v>Alpine Jacket</v>
      </c>
      <c r="H1169" s="6">
        <v>1</v>
      </c>
      <c r="I1169" s="6" t="s">
        <v>1004</v>
      </c>
      <c r="J1169" s="6" t="s">
        <v>265</v>
      </c>
      <c r="K1169" s="6">
        <v>0.52</v>
      </c>
      <c r="L1169" s="6" t="s">
        <v>42</v>
      </c>
      <c r="M1169" s="6" t="s">
        <v>69</v>
      </c>
      <c r="N1169" s="6"/>
    </row>
    <row r="1170" spans="1:14">
      <c r="A1170" s="6" t="s">
        <v>2282</v>
      </c>
      <c r="B1170" s="7">
        <v>46196</v>
      </c>
      <c r="C1170" s="6" t="s">
        <v>2284</v>
      </c>
      <c r="D1170" s="6" t="str">
        <f>IF(OR(PROPER(TRIM(Raw_Data!D1170))="Uk",PROPER(TRIM(Raw_Data!D1170))="Gb",PROPER(TRIM(Raw_Data!D1170))="United kingdom"),"United Kingdom",PROPER(TRIM(Raw_Data!D1170)))</f>
        <v>United Kingdom</v>
      </c>
      <c r="E1170" s="6" t="s">
        <v>52</v>
      </c>
      <c r="F1170" s="6" t="s">
        <v>85</v>
      </c>
      <c r="G1170" s="6" t="str">
        <f>SUBSTITUTE(Raw_Data!G1170,"Ã©","é")</f>
        <v>Summit Down Gilet</v>
      </c>
      <c r="H1170" s="6">
        <v>1</v>
      </c>
      <c r="I1170" s="6" t="s">
        <v>82</v>
      </c>
      <c r="J1170" s="6" t="s">
        <v>82</v>
      </c>
      <c r="K1170" s="6">
        <v>0.41</v>
      </c>
      <c r="L1170" s="6" t="s">
        <v>42</v>
      </c>
      <c r="M1170" s="6" t="s">
        <v>34</v>
      </c>
      <c r="N1170" s="6"/>
    </row>
    <row r="1171" spans="1:14">
      <c r="A1171" s="6" t="s">
        <v>2285</v>
      </c>
      <c r="B1171" s="7">
        <v>46140</v>
      </c>
      <c r="C1171" s="6" t="s">
        <v>2087</v>
      </c>
      <c r="D1171" s="6" t="str">
        <f>IF(OR(PROPER(TRIM(Raw_Data!D1171))="Uk",PROPER(TRIM(Raw_Data!D1171))="Gb",PROPER(TRIM(Raw_Data!D1171))="United kingdom"),"United Kingdom",PROPER(TRIM(Raw_Data!D1171)))</f>
        <v>Ireland</v>
      </c>
      <c r="E1171" s="6" t="s">
        <v>28</v>
      </c>
      <c r="F1171" s="6" t="s">
        <v>38</v>
      </c>
      <c r="G1171" s="6" t="str">
        <f>SUBSTITUTE(Raw_Data!G1171,"Ã©","é")</f>
        <v>Summit Down Gilet</v>
      </c>
      <c r="H1171" s="6">
        <v>2</v>
      </c>
      <c r="I1171" s="6" t="s">
        <v>660</v>
      </c>
      <c r="J1171" s="6" t="s">
        <v>259</v>
      </c>
      <c r="K1171" s="6">
        <v>0.52</v>
      </c>
      <c r="L1171" s="6" t="s">
        <v>42</v>
      </c>
      <c r="M1171" s="6" t="s">
        <v>34</v>
      </c>
      <c r="N1171" s="6"/>
    </row>
    <row r="1172" spans="1:14">
      <c r="A1172" s="6" t="s">
        <v>2286</v>
      </c>
      <c r="B1172" s="7">
        <v>46162</v>
      </c>
      <c r="C1172" s="6" t="s">
        <v>1323</v>
      </c>
      <c r="D1172" s="6" t="str">
        <f>IF(OR(PROPER(TRIM(Raw_Data!D1172))="Uk",PROPER(TRIM(Raw_Data!D1172))="Gb",PROPER(TRIM(Raw_Data!D1172))="United kingdom"),"United Kingdom",PROPER(TRIM(Raw_Data!D1172)))</f>
        <v>United Kingdom</v>
      </c>
      <c r="E1172" s="6" t="s">
        <v>46</v>
      </c>
      <c r="F1172" s="6" t="s">
        <v>94</v>
      </c>
      <c r="G1172" s="6" t="str">
        <f>SUBSTITUTE(Raw_Data!G1172,"Ã©","é")</f>
        <v>Trail Softshell</v>
      </c>
      <c r="H1172" s="6">
        <v>-2</v>
      </c>
      <c r="I1172" s="6" t="s">
        <v>1013</v>
      </c>
      <c r="J1172" s="8" t="s">
        <v>292</v>
      </c>
      <c r="K1172" s="6">
        <v>0.34</v>
      </c>
      <c r="L1172" s="6" t="s">
        <v>33</v>
      </c>
      <c r="M1172" s="6" t="s">
        <v>69</v>
      </c>
      <c r="N1172" s="6"/>
    </row>
    <row r="1173" spans="1:14">
      <c r="A1173" s="6" t="s">
        <v>2287</v>
      </c>
      <c r="B1173" s="7">
        <v>46171</v>
      </c>
      <c r="C1173" s="6" t="s">
        <v>2288</v>
      </c>
      <c r="D1173" s="6" t="str">
        <f>IF(OR(PROPER(TRIM(Raw_Data!D1173))="Uk",PROPER(TRIM(Raw_Data!D1173))="Gb",PROPER(TRIM(Raw_Data!D1173))="United kingdom"),"United Kingdom",PROPER(TRIM(Raw_Data!D1173)))</f>
        <v>United Kingdom</v>
      </c>
      <c r="E1173" s="6" t="s">
        <v>78</v>
      </c>
      <c r="F1173" s="6" t="s">
        <v>85</v>
      </c>
      <c r="G1173" s="6" t="str">
        <f>SUBSTITUTE(Raw_Data!G1173,"Ã©","é")</f>
        <v>Trekking Poles</v>
      </c>
      <c r="H1173" s="6">
        <v>2</v>
      </c>
      <c r="I1173" s="6" t="s">
        <v>67</v>
      </c>
      <c r="J1173" s="6" t="s">
        <v>204</v>
      </c>
      <c r="K1173" s="6">
        <v>0.41</v>
      </c>
      <c r="L1173" s="6" t="s">
        <v>42</v>
      </c>
      <c r="M1173" s="6" t="s">
        <v>34</v>
      </c>
      <c r="N1173" s="6"/>
    </row>
    <row r="1174" spans="1:14">
      <c r="A1174" s="6" t="s">
        <v>2289</v>
      </c>
      <c r="B1174" s="7">
        <v>46199</v>
      </c>
      <c r="C1174" s="6" t="s">
        <v>2067</v>
      </c>
      <c r="D1174" s="6" t="str">
        <f>IF(OR(PROPER(TRIM(Raw_Data!D1174))="Uk",PROPER(TRIM(Raw_Data!D1174))="Gb",PROPER(TRIM(Raw_Data!D1174))="United kingdom"),"United Kingdom",PROPER(TRIM(Raw_Data!D1174)))</f>
        <v>United Kingdom</v>
      </c>
      <c r="E1174" s="6" t="s">
        <v>52</v>
      </c>
      <c r="F1174" s="6" t="s">
        <v>94</v>
      </c>
      <c r="G1174" s="6" t="str">
        <f>SUBSTITUTE(Raw_Data!G1174,"Ã©","é")</f>
        <v>Café Latte Mug</v>
      </c>
      <c r="H1174" s="6">
        <v>1</v>
      </c>
      <c r="I1174" s="6" t="s">
        <v>31</v>
      </c>
      <c r="J1174" s="6" t="s">
        <v>31</v>
      </c>
      <c r="K1174" s="6">
        <v>0.34</v>
      </c>
      <c r="L1174" s="6" t="s">
        <v>42</v>
      </c>
      <c r="M1174" s="6" t="s">
        <v>34</v>
      </c>
      <c r="N1174" s="6"/>
    </row>
    <row r="1175" spans="1:14">
      <c r="A1175" s="6" t="s">
        <v>2290</v>
      </c>
      <c r="B1175" s="7">
        <v>46092</v>
      </c>
      <c r="C1175" s="6" t="s">
        <v>509</v>
      </c>
      <c r="D1175" s="6" t="str">
        <f>IF(OR(PROPER(TRIM(Raw_Data!D1175))="Uk",PROPER(TRIM(Raw_Data!D1175))="Gb",PROPER(TRIM(Raw_Data!D1175))="United kingdom"),"United Kingdom",PROPER(TRIM(Raw_Data!D1175)))</f>
        <v>United Kingdom</v>
      </c>
      <c r="E1175" s="6" t="s">
        <v>28</v>
      </c>
      <c r="F1175" s="6" t="s">
        <v>100</v>
      </c>
      <c r="G1175" s="6" t="str">
        <f>SUBSTITUTE(Raw_Data!G1175,"Ã©","é")</f>
        <v>Storm Overtrousers</v>
      </c>
      <c r="H1175" s="6">
        <v>1</v>
      </c>
      <c r="I1175" s="6" t="s">
        <v>231</v>
      </c>
      <c r="J1175" s="6" t="s">
        <v>231</v>
      </c>
      <c r="K1175" s="6">
        <v>0.64</v>
      </c>
      <c r="L1175" s="6" t="s">
        <v>42</v>
      </c>
      <c r="M1175" s="6" t="s">
        <v>34</v>
      </c>
      <c r="N1175" s="6"/>
    </row>
    <row r="1176" spans="1:14">
      <c r="A1176" s="6" t="s">
        <v>2291</v>
      </c>
      <c r="B1176" s="7">
        <v>46036</v>
      </c>
      <c r="C1176" s="6" t="s">
        <v>2292</v>
      </c>
      <c r="D1176" s="6" t="str">
        <f>IF(OR(PROPER(TRIM(Raw_Data!D1176))="Uk",PROPER(TRIM(Raw_Data!D1176))="Gb",PROPER(TRIM(Raw_Data!D1176))="United kingdom"),"United Kingdom",PROPER(TRIM(Raw_Data!D1176)))</f>
        <v>United Kingdom</v>
      </c>
      <c r="E1176" s="6" t="s">
        <v>28</v>
      </c>
      <c r="F1176" s="6" t="s">
        <v>38</v>
      </c>
      <c r="G1176" s="6" t="str">
        <f>SUBSTITUTE(Raw_Data!G1176,"Ã©","é")</f>
        <v>Trail Softshell</v>
      </c>
      <c r="H1176" s="6">
        <v>2</v>
      </c>
      <c r="I1176" s="6" t="s">
        <v>82</v>
      </c>
      <c r="J1176" s="6" t="s">
        <v>297</v>
      </c>
      <c r="K1176" s="6">
        <v>0.52</v>
      </c>
      <c r="L1176" s="6" t="s">
        <v>42</v>
      </c>
      <c r="M1176" s="6" t="s">
        <v>34</v>
      </c>
      <c r="N1176" s="6"/>
    </row>
    <row r="1177" spans="1:14">
      <c r="A1177" s="6" t="s">
        <v>2293</v>
      </c>
      <c r="B1177" s="7">
        <v>46166</v>
      </c>
      <c r="C1177" s="6" t="s">
        <v>659</v>
      </c>
      <c r="D1177" s="6" t="str">
        <f>IF(OR(PROPER(TRIM(Raw_Data!D1177))="Uk",PROPER(TRIM(Raw_Data!D1177))="Gb",PROPER(TRIM(Raw_Data!D1177))="United kingdom"),"United Kingdom",PROPER(TRIM(Raw_Data!D1177)))</f>
        <v>United Kingdom</v>
      </c>
      <c r="E1177" s="6" t="s">
        <v>78</v>
      </c>
      <c r="F1177" s="6" t="s">
        <v>53</v>
      </c>
      <c r="G1177" s="6" t="str">
        <f>SUBSTITUTE(Raw_Data!G1177,"Ã©","é")</f>
        <v>Storm Overtrousers</v>
      </c>
      <c r="H1177" s="6">
        <v>2</v>
      </c>
      <c r="I1177" s="6" t="s">
        <v>181</v>
      </c>
      <c r="J1177" s="6" t="s">
        <v>163</v>
      </c>
      <c r="K1177" s="6">
        <v>0.19</v>
      </c>
      <c r="L1177" s="6" t="s">
        <v>42</v>
      </c>
      <c r="M1177" s="6" t="s">
        <v>69</v>
      </c>
      <c r="N1177" s="6"/>
    </row>
    <row r="1178" spans="1:14">
      <c r="A1178" s="6" t="s">
        <v>2294</v>
      </c>
      <c r="B1178" s="7">
        <v>46075</v>
      </c>
      <c r="C1178" s="6" t="s">
        <v>1011</v>
      </c>
      <c r="D1178" s="6" t="str">
        <f>IF(OR(PROPER(TRIM(Raw_Data!D1178))="Uk",PROPER(TRIM(Raw_Data!D1178))="Gb",PROPER(TRIM(Raw_Data!D1178))="United kingdom"),"United Kingdom",PROPER(TRIM(Raw_Data!D1178)))</f>
        <v>United Kingdom</v>
      </c>
      <c r="E1178" s="6" t="s">
        <v>28</v>
      </c>
      <c r="F1178" s="6" t="s">
        <v>53</v>
      </c>
      <c r="G1178" s="6" t="str">
        <f>SUBSTITUTE(Raw_Data!G1178,"Ã©","é")</f>
        <v>Trail Softshell</v>
      </c>
      <c r="H1178" s="6">
        <v>2</v>
      </c>
      <c r="I1178" s="6" t="s">
        <v>82</v>
      </c>
      <c r="J1178" s="6" t="s">
        <v>297</v>
      </c>
      <c r="K1178" s="6">
        <v>0.19</v>
      </c>
      <c r="L1178" s="6" t="s">
        <v>42</v>
      </c>
      <c r="M1178" s="6" t="s">
        <v>34</v>
      </c>
      <c r="N1178" s="6"/>
    </row>
    <row r="1179" spans="1:14">
      <c r="A1179" s="6" t="s">
        <v>2295</v>
      </c>
      <c r="B1179" s="7">
        <v>46097</v>
      </c>
      <c r="C1179" s="6" t="s">
        <v>520</v>
      </c>
      <c r="D1179" s="6" t="str">
        <f>IF(OR(PROPER(TRIM(Raw_Data!D1179))="Uk",PROPER(TRIM(Raw_Data!D1179))="Gb",PROPER(TRIM(Raw_Data!D1179))="United kingdom"),"United Kingdom",PROPER(TRIM(Raw_Data!D1179)))</f>
        <v>United Kingdom</v>
      </c>
      <c r="E1179" s="6" t="s">
        <v>78</v>
      </c>
      <c r="F1179" s="6" t="s">
        <v>58</v>
      </c>
      <c r="G1179" s="6" t="str">
        <f>SUBSTITUTE(Raw_Data!G1179,"Ã©","é")</f>
        <v>Café Latte Mug</v>
      </c>
      <c r="H1179" s="6">
        <v>1</v>
      </c>
      <c r="I1179" s="6" t="s">
        <v>79</v>
      </c>
      <c r="J1179" s="6" t="s">
        <v>79</v>
      </c>
      <c r="K1179" s="6">
        <v>0.38</v>
      </c>
      <c r="L1179" s="6" t="s">
        <v>42</v>
      </c>
      <c r="M1179" s="6" t="s">
        <v>34</v>
      </c>
      <c r="N1179" s="6"/>
    </row>
    <row r="1180" spans="1:14">
      <c r="A1180" s="6" t="s">
        <v>2296</v>
      </c>
      <c r="B1180" s="7">
        <v>46189</v>
      </c>
      <c r="C1180" s="6" t="s">
        <v>1962</v>
      </c>
      <c r="D1180" s="6" t="str">
        <f>IF(OR(PROPER(TRIM(Raw_Data!D1180))="Uk",PROPER(TRIM(Raw_Data!D1180))="Gb",PROPER(TRIM(Raw_Data!D1180))="United kingdom"),"United Kingdom",PROPER(TRIM(Raw_Data!D1180)))</f>
        <v>Germany</v>
      </c>
      <c r="E1180" s="6" t="s">
        <v>37</v>
      </c>
      <c r="F1180" s="6" t="s">
        <v>58</v>
      </c>
      <c r="G1180" s="6" t="str">
        <f>SUBSTITUTE(Raw_Data!G1180,"Ã©","é")</f>
        <v>Storm Overtrousers</v>
      </c>
      <c r="H1180" s="6">
        <v>2</v>
      </c>
      <c r="I1180" s="6" t="s">
        <v>40</v>
      </c>
      <c r="J1180" s="6" t="s">
        <v>327</v>
      </c>
      <c r="K1180" s="6">
        <v>0.38</v>
      </c>
      <c r="L1180" s="6" t="s">
        <v>33</v>
      </c>
      <c r="M1180" s="6" t="s">
        <v>34</v>
      </c>
      <c r="N1180" s="6"/>
    </row>
    <row r="1181" spans="1:14">
      <c r="A1181" s="6" t="s">
        <v>2297</v>
      </c>
      <c r="B1181" s="7">
        <v>46187</v>
      </c>
      <c r="C1181" s="6" t="s">
        <v>1053</v>
      </c>
      <c r="D1181" s="6" t="str">
        <f>IF(OR(PROPER(TRIM(Raw_Data!D1181))="Uk",PROPER(TRIM(Raw_Data!D1181))="Gb",PROPER(TRIM(Raw_Data!D1181))="United kingdom"),"United Kingdom",PROPER(TRIM(Raw_Data!D1181)))</f>
        <v>United Kingdom</v>
      </c>
      <c r="E1181" s="6" t="s">
        <v>52</v>
      </c>
      <c r="F1181" s="6" t="s">
        <v>85</v>
      </c>
      <c r="G1181" s="6" t="str">
        <f>SUBSTITUTE(Raw_Data!G1181,"Ã©","é")</f>
        <v>Café Latte Mug</v>
      </c>
      <c r="H1181" s="6">
        <v>3</v>
      </c>
      <c r="I1181" s="6" t="s">
        <v>755</v>
      </c>
      <c r="J1181" s="6" t="s">
        <v>171</v>
      </c>
      <c r="K1181" s="6">
        <v>0.41</v>
      </c>
      <c r="L1181" s="6" t="s">
        <v>42</v>
      </c>
      <c r="M1181" s="6" t="s">
        <v>69</v>
      </c>
      <c r="N1181" s="6"/>
    </row>
    <row r="1182" spans="1:14">
      <c r="A1182" s="6" t="s">
        <v>2298</v>
      </c>
      <c r="B1182" s="7">
        <v>46192</v>
      </c>
      <c r="C1182" s="6" t="s">
        <v>1307</v>
      </c>
      <c r="D1182" s="6" t="str">
        <f>IF(OR(PROPER(TRIM(Raw_Data!D1182))="Uk",PROPER(TRIM(Raw_Data!D1182))="Gb",PROPER(TRIM(Raw_Data!D1182))="United kingdom"),"United Kingdom",PROPER(TRIM(Raw_Data!D1182)))</f>
        <v>Germany</v>
      </c>
      <c r="E1182" s="6" t="s">
        <v>78</v>
      </c>
      <c r="F1182" s="6" t="s">
        <v>85</v>
      </c>
      <c r="G1182" s="6" t="str">
        <f>SUBSTITUTE(Raw_Data!G1182,"Ã©","é")</f>
        <v>Trail Softshell</v>
      </c>
      <c r="H1182" s="6">
        <v>2</v>
      </c>
      <c r="I1182" s="6" t="s">
        <v>117</v>
      </c>
      <c r="J1182" s="6" t="s">
        <v>118</v>
      </c>
      <c r="K1182" s="6">
        <v>0.41</v>
      </c>
      <c r="L1182" s="6" t="s">
        <v>42</v>
      </c>
      <c r="M1182" s="6" t="s">
        <v>34</v>
      </c>
      <c r="N1182" s="6"/>
    </row>
    <row r="1183" spans="1:14">
      <c r="A1183" s="6" t="s">
        <v>2299</v>
      </c>
      <c r="B1183" s="7">
        <v>46066</v>
      </c>
      <c r="C1183" s="6" t="s">
        <v>2300</v>
      </c>
      <c r="D1183" s="6" t="str">
        <f>IF(OR(PROPER(TRIM(Raw_Data!D1183))="Uk",PROPER(TRIM(Raw_Data!D1183))="Gb",PROPER(TRIM(Raw_Data!D1183))="United kingdom"),"United Kingdom",PROPER(TRIM(Raw_Data!D1183)))</f>
        <v>United Kingdom</v>
      </c>
      <c r="E1183" s="6" t="s">
        <v>52</v>
      </c>
      <c r="F1183" s="6" t="s">
        <v>53</v>
      </c>
      <c r="G1183" s="6" t="str">
        <f>SUBSTITUTE(Raw_Data!G1183,"Ã©","é")</f>
        <v>Alpine Jacket</v>
      </c>
      <c r="H1183" s="6">
        <v>1</v>
      </c>
      <c r="I1183" s="6" t="s">
        <v>31</v>
      </c>
      <c r="J1183" s="6" t="s">
        <v>31</v>
      </c>
      <c r="K1183" s="6">
        <v>0.19</v>
      </c>
      <c r="L1183" s="6" t="s">
        <v>42</v>
      </c>
      <c r="M1183" s="6" t="s">
        <v>34</v>
      </c>
      <c r="N1183" s="6"/>
    </row>
    <row r="1184" spans="1:14">
      <c r="A1184" s="6" t="s">
        <v>2301</v>
      </c>
      <c r="B1184" s="7">
        <v>46127</v>
      </c>
      <c r="C1184" s="6" t="s">
        <v>357</v>
      </c>
      <c r="D1184" s="6" t="str">
        <f>IF(OR(PROPER(TRIM(Raw_Data!D1184))="Uk",PROPER(TRIM(Raw_Data!D1184))="Gb",PROPER(TRIM(Raw_Data!D1184))="United kingdom"),"United Kingdom",PROPER(TRIM(Raw_Data!D1184)))</f>
        <v>United Kingdom</v>
      </c>
      <c r="E1184" s="6" t="s">
        <v>28</v>
      </c>
      <c r="F1184" s="6" t="s">
        <v>47</v>
      </c>
      <c r="G1184" s="6" t="str">
        <f>SUBSTITUTE(Raw_Data!G1184,"Ã©","é")</f>
        <v>Trail Softshell</v>
      </c>
      <c r="H1184" s="6">
        <v>1</v>
      </c>
      <c r="I1184" s="6" t="s">
        <v>265</v>
      </c>
      <c r="J1184" s="6" t="s">
        <v>265</v>
      </c>
      <c r="K1184" s="6">
        <v>8.5000000000000006E-2</v>
      </c>
      <c r="L1184" s="6" t="s">
        <v>42</v>
      </c>
      <c r="M1184" s="6" t="s">
        <v>34</v>
      </c>
      <c r="N1184" s="6"/>
    </row>
    <row r="1185" spans="1:14">
      <c r="A1185" s="6" t="s">
        <v>2302</v>
      </c>
      <c r="B1185" s="7">
        <v>46203</v>
      </c>
      <c r="C1185" s="6" t="s">
        <v>2303</v>
      </c>
      <c r="D1185" s="6" t="str">
        <f>IF(OR(PROPER(TRIM(Raw_Data!D1185))="Uk",PROPER(TRIM(Raw_Data!D1185))="Gb",PROPER(TRIM(Raw_Data!D1185))="United kingdom"),"United Kingdom",PROPER(TRIM(Raw_Data!D1185)))</f>
        <v>United Kingdom</v>
      </c>
      <c r="E1185" s="6" t="s">
        <v>28</v>
      </c>
      <c r="F1185" s="6" t="s">
        <v>53</v>
      </c>
      <c r="G1185" s="6" t="str">
        <f>SUBSTITUTE(Raw_Data!G1185,"Ã©","é")</f>
        <v>Merino Base Layer</v>
      </c>
      <c r="H1185" s="6">
        <v>1</v>
      </c>
      <c r="I1185" s="6" t="s">
        <v>181</v>
      </c>
      <c r="J1185" s="6" t="s">
        <v>181</v>
      </c>
      <c r="K1185" s="6">
        <v>0.19</v>
      </c>
      <c r="L1185" s="6" t="s">
        <v>42</v>
      </c>
      <c r="M1185" s="6" t="s">
        <v>34</v>
      </c>
      <c r="N1185" s="6"/>
    </row>
    <row r="1186" spans="1:14">
      <c r="A1186" s="6" t="s">
        <v>2304</v>
      </c>
      <c r="B1186" s="7">
        <v>46103</v>
      </c>
      <c r="C1186" s="6" t="s">
        <v>894</v>
      </c>
      <c r="D1186" s="6" t="str">
        <f>IF(OR(PROPER(TRIM(Raw_Data!D1186))="Uk",PROPER(TRIM(Raw_Data!D1186))="Gb",PROPER(TRIM(Raw_Data!D1186))="United kingdom"),"United Kingdom",PROPER(TRIM(Raw_Data!D1186)))</f>
        <v>United Kingdom</v>
      </c>
      <c r="E1186" s="6" t="s">
        <v>46</v>
      </c>
      <c r="F1186" s="6" t="s">
        <v>38</v>
      </c>
      <c r="G1186" s="6" t="str">
        <f>SUBSTITUTE(Raw_Data!G1186,"Ã©","é")</f>
        <v>Merino Base Layer</v>
      </c>
      <c r="H1186" s="6">
        <v>2</v>
      </c>
      <c r="I1186" s="6" t="s">
        <v>31</v>
      </c>
      <c r="J1186" s="6" t="s">
        <v>249</v>
      </c>
      <c r="K1186" s="6">
        <v>0.52</v>
      </c>
      <c r="L1186" s="6" t="s">
        <v>42</v>
      </c>
      <c r="M1186" s="6" t="s">
        <v>34</v>
      </c>
      <c r="N1186" s="6"/>
    </row>
    <row r="1187" spans="1:14">
      <c r="A1187" s="6" t="s">
        <v>2305</v>
      </c>
      <c r="B1187" s="7">
        <v>46145</v>
      </c>
      <c r="C1187" s="6" t="s">
        <v>1865</v>
      </c>
      <c r="D1187" s="6" t="str">
        <f>IF(OR(PROPER(TRIM(Raw_Data!D1187))="Uk",PROPER(TRIM(Raw_Data!D1187))="Gb",PROPER(TRIM(Raw_Data!D1187))="United kingdom"),"United Kingdom",PROPER(TRIM(Raw_Data!D1187)))</f>
        <v>France</v>
      </c>
      <c r="E1187" s="6" t="s">
        <v>28</v>
      </c>
      <c r="F1187" s="6" t="s">
        <v>53</v>
      </c>
      <c r="G1187" s="6" t="str">
        <f>SUBSTITUTE(Raw_Data!G1187,"Ã©","é")</f>
        <v>Summit Down Gilet</v>
      </c>
      <c r="H1187" s="6">
        <v>3</v>
      </c>
      <c r="I1187" s="6" t="s">
        <v>143</v>
      </c>
      <c r="J1187" s="6" t="s">
        <v>579</v>
      </c>
      <c r="K1187" s="6">
        <v>0.19</v>
      </c>
      <c r="L1187" s="6" t="s">
        <v>42</v>
      </c>
      <c r="M1187" s="6" t="s">
        <v>69</v>
      </c>
      <c r="N1187" s="6"/>
    </row>
    <row r="1188" spans="1:14">
      <c r="A1188" s="6" t="s">
        <v>2306</v>
      </c>
      <c r="B1188" s="7">
        <v>46170</v>
      </c>
      <c r="C1188" s="6" t="s">
        <v>914</v>
      </c>
      <c r="D1188" s="6" t="str">
        <f>IF(OR(PROPER(TRIM(Raw_Data!D1188))="Uk",PROPER(TRIM(Raw_Data!D1188))="Gb",PROPER(TRIM(Raw_Data!D1188))="United kingdom"),"United Kingdom",PROPER(TRIM(Raw_Data!D1188)))</f>
        <v>Germany</v>
      </c>
      <c r="E1188" s="6" t="s">
        <v>52</v>
      </c>
      <c r="F1188" s="6" t="s">
        <v>100</v>
      </c>
      <c r="G1188" s="6" t="str">
        <f>SUBSTITUTE(Raw_Data!G1188,"Ã©","é")</f>
        <v>Summit Down Gilet</v>
      </c>
      <c r="H1188" s="6">
        <v>1</v>
      </c>
      <c r="I1188" s="6" t="s">
        <v>113</v>
      </c>
      <c r="J1188" s="6" t="s">
        <v>712</v>
      </c>
      <c r="K1188" s="6">
        <v>0.64</v>
      </c>
      <c r="L1188" s="6" t="s">
        <v>42</v>
      </c>
      <c r="M1188" s="6" t="s">
        <v>34</v>
      </c>
      <c r="N1188" s="6"/>
    </row>
    <row r="1189" spans="1:14">
      <c r="A1189" s="6" t="s">
        <v>2307</v>
      </c>
      <c r="B1189" s="7">
        <v>46040</v>
      </c>
      <c r="C1189" s="6" t="s">
        <v>2308</v>
      </c>
      <c r="D1189" s="6" t="str">
        <f>IF(OR(PROPER(TRIM(Raw_Data!D1189))="Uk",PROPER(TRIM(Raw_Data!D1189))="Gb",PROPER(TRIM(Raw_Data!D1189))="United kingdom"),"United Kingdom",PROPER(TRIM(Raw_Data!D1189)))</f>
        <v>Ireland</v>
      </c>
      <c r="E1189" s="6" t="s">
        <v>28</v>
      </c>
      <c r="F1189" s="6" t="s">
        <v>58</v>
      </c>
      <c r="G1189" s="6" t="str">
        <f>SUBSTITUTE(Raw_Data!G1189,"Ã©","é")</f>
        <v>Storm Overtrousers</v>
      </c>
      <c r="H1189" s="6">
        <v>2</v>
      </c>
      <c r="I1189" s="6" t="s">
        <v>147</v>
      </c>
      <c r="J1189" s="6" t="s">
        <v>175</v>
      </c>
      <c r="K1189" s="6">
        <v>0.38</v>
      </c>
      <c r="L1189" s="6" t="s">
        <v>33</v>
      </c>
      <c r="M1189" s="6" t="s">
        <v>34</v>
      </c>
      <c r="N1189" s="6"/>
    </row>
    <row r="1190" spans="1:14">
      <c r="A1190" s="6" t="s">
        <v>2309</v>
      </c>
      <c r="B1190" s="7">
        <v>46129</v>
      </c>
      <c r="C1190" s="6" t="s">
        <v>2310</v>
      </c>
      <c r="D1190" s="6" t="str">
        <f>IF(OR(PROPER(TRIM(Raw_Data!D1190))="Uk",PROPER(TRIM(Raw_Data!D1190))="Gb",PROPER(TRIM(Raw_Data!D1190))="United kingdom"),"United Kingdom",PROPER(TRIM(Raw_Data!D1190)))</f>
        <v>Ireland</v>
      </c>
      <c r="E1190" s="6" t="s">
        <v>78</v>
      </c>
      <c r="F1190" s="6" t="s">
        <v>58</v>
      </c>
      <c r="G1190" s="6" t="str">
        <f>SUBSTITUTE(Raw_Data!G1190,"Ã©","é")</f>
        <v>Storm Overtrousers</v>
      </c>
      <c r="H1190" s="6">
        <v>2</v>
      </c>
      <c r="I1190" s="6" t="s">
        <v>79</v>
      </c>
      <c r="J1190" s="6" t="s">
        <v>259</v>
      </c>
      <c r="K1190" s="6">
        <v>0.38</v>
      </c>
      <c r="L1190" s="6" t="s">
        <v>42</v>
      </c>
      <c r="M1190" s="6" t="s">
        <v>34</v>
      </c>
      <c r="N1190" s="6"/>
    </row>
    <row r="1191" spans="1:14">
      <c r="A1191" s="6" t="s">
        <v>2311</v>
      </c>
      <c r="B1191" s="7">
        <v>46134</v>
      </c>
      <c r="C1191" s="6" t="s">
        <v>583</v>
      </c>
      <c r="D1191" s="6" t="str">
        <f>IF(OR(PROPER(TRIM(Raw_Data!D1191))="Uk",PROPER(TRIM(Raw_Data!D1191))="Gb",PROPER(TRIM(Raw_Data!D1191))="United kingdom"),"United Kingdom",PROPER(TRIM(Raw_Data!D1191)))</f>
        <v>United Kingdom</v>
      </c>
      <c r="E1191" s="6" t="s">
        <v>37</v>
      </c>
      <c r="F1191" s="6" t="s">
        <v>100</v>
      </c>
      <c r="G1191" s="6" t="str">
        <f>SUBSTITUTE(Raw_Data!G1191,"Ã©","é")</f>
        <v>Merino Base Layer</v>
      </c>
      <c r="H1191" s="6">
        <v>1</v>
      </c>
      <c r="I1191" s="6" t="s">
        <v>90</v>
      </c>
      <c r="J1191" s="6" t="s">
        <v>90</v>
      </c>
      <c r="K1191" s="6">
        <v>0.64</v>
      </c>
      <c r="L1191" s="6" t="s">
        <v>42</v>
      </c>
      <c r="M1191" s="6" t="s">
        <v>69</v>
      </c>
      <c r="N1191" s="6"/>
    </row>
    <row r="1192" spans="1:14">
      <c r="A1192" s="6" t="s">
        <v>2313</v>
      </c>
      <c r="B1192" s="7">
        <v>46361</v>
      </c>
      <c r="C1192" s="6" t="s">
        <v>1144</v>
      </c>
      <c r="D1192" s="6" t="str">
        <f>IF(OR(PROPER(TRIM(Raw_Data!D1192))="Uk",PROPER(TRIM(Raw_Data!D1192))="Gb",PROPER(TRIM(Raw_Data!D1192))="United kingdom"),"United Kingdom",PROPER(TRIM(Raw_Data!D1192)))</f>
        <v>United Kingdom</v>
      </c>
      <c r="E1192" s="6" t="s">
        <v>28</v>
      </c>
      <c r="F1192" s="6" t="s">
        <v>47</v>
      </c>
      <c r="G1192" s="6" t="str">
        <f>SUBSTITUTE(Raw_Data!G1192,"Ã©","é")</f>
        <v>Fell Runner Cap</v>
      </c>
      <c r="H1192" s="6">
        <v>3</v>
      </c>
      <c r="I1192" s="6" t="s">
        <v>90</v>
      </c>
      <c r="J1192" s="6" t="s">
        <v>102</v>
      </c>
      <c r="K1192" s="6">
        <v>8.5000000000000006E-2</v>
      </c>
      <c r="L1192" s="6" t="s">
        <v>33</v>
      </c>
      <c r="M1192" s="6" t="s">
        <v>69</v>
      </c>
      <c r="N1192" s="6"/>
    </row>
    <row r="1193" spans="1:14">
      <c r="A1193" s="6" t="s">
        <v>2314</v>
      </c>
      <c r="B1193" s="7">
        <v>46157</v>
      </c>
      <c r="C1193" s="6" t="s">
        <v>2315</v>
      </c>
      <c r="D1193" s="6" t="str">
        <f>IF(OR(PROPER(TRIM(Raw_Data!D1193))="Uk",PROPER(TRIM(Raw_Data!D1193))="Gb",PROPER(TRIM(Raw_Data!D1193))="United kingdom"),"United Kingdom",PROPER(TRIM(Raw_Data!D1193)))</f>
        <v>Ireland</v>
      </c>
      <c r="E1193" s="6" t="s">
        <v>37</v>
      </c>
      <c r="F1193" s="6" t="s">
        <v>29</v>
      </c>
      <c r="G1193" s="6" t="str">
        <f>SUBSTITUTE(Raw_Data!G1193,"Ã©","é")</f>
        <v>Merino Base Layer</v>
      </c>
      <c r="H1193" s="6">
        <v>1</v>
      </c>
      <c r="I1193" s="6" t="s">
        <v>143</v>
      </c>
      <c r="J1193" s="6" t="s">
        <v>143</v>
      </c>
      <c r="K1193" s="6">
        <v>0.52</v>
      </c>
      <c r="L1193" s="6" t="s">
        <v>42</v>
      </c>
      <c r="M1193" s="6" t="s">
        <v>69</v>
      </c>
      <c r="N1193" s="6"/>
    </row>
    <row r="1194" spans="1:14">
      <c r="A1194" s="6" t="s">
        <v>2316</v>
      </c>
      <c r="B1194" s="7">
        <v>46052</v>
      </c>
      <c r="C1194" s="6" t="s">
        <v>2317</v>
      </c>
      <c r="D1194" s="6" t="str">
        <f>IF(OR(PROPER(TRIM(Raw_Data!D1194))="Uk",PROPER(TRIM(Raw_Data!D1194))="Gb",PROPER(TRIM(Raw_Data!D1194))="United kingdom"),"United Kingdom",PROPER(TRIM(Raw_Data!D1194)))</f>
        <v>Ireland</v>
      </c>
      <c r="E1194" s="6" t="s">
        <v>46</v>
      </c>
      <c r="F1194" s="6" t="s">
        <v>47</v>
      </c>
      <c r="G1194" s="6" t="str">
        <f>SUBSTITUTE(Raw_Data!G1194,"Ã©","é")</f>
        <v>Trail Softshell</v>
      </c>
      <c r="H1194" s="6">
        <v>2</v>
      </c>
      <c r="I1194" s="6" t="s">
        <v>147</v>
      </c>
      <c r="J1194" s="6" t="s">
        <v>175</v>
      </c>
      <c r="K1194" s="6">
        <v>8.5000000000000006E-2</v>
      </c>
      <c r="L1194" s="6" t="s">
        <v>42</v>
      </c>
      <c r="M1194" s="6" t="s">
        <v>34</v>
      </c>
      <c r="N1194" s="6"/>
    </row>
    <row r="1195" spans="1:14">
      <c r="A1195" s="6" t="s">
        <v>2318</v>
      </c>
      <c r="B1195" s="7">
        <v>46299</v>
      </c>
      <c r="C1195" s="6" t="s">
        <v>1637</v>
      </c>
      <c r="D1195" s="6" t="str">
        <f>IF(OR(PROPER(TRIM(Raw_Data!D1195))="Uk",PROPER(TRIM(Raw_Data!D1195))="Gb",PROPER(TRIM(Raw_Data!D1195))="United kingdom"),"United Kingdom",PROPER(TRIM(Raw_Data!D1195)))</f>
        <v>Ireland</v>
      </c>
      <c r="E1195" s="6" t="s">
        <v>37</v>
      </c>
      <c r="F1195" s="6" t="s">
        <v>85</v>
      </c>
      <c r="G1195" s="6" t="str">
        <f>SUBSTITUTE(Raw_Data!G1195,"Ã©","é")</f>
        <v>Merino Base Layer</v>
      </c>
      <c r="H1195" s="6">
        <v>1</v>
      </c>
      <c r="I1195" s="6" t="s">
        <v>143</v>
      </c>
      <c r="J1195" s="6" t="s">
        <v>143</v>
      </c>
      <c r="K1195" s="6">
        <v>0.41</v>
      </c>
      <c r="L1195" s="6" t="s">
        <v>33</v>
      </c>
      <c r="M1195" s="6" t="s">
        <v>34</v>
      </c>
      <c r="N1195" s="6"/>
    </row>
    <row r="1196" spans="1:14">
      <c r="A1196" s="6" t="s">
        <v>2319</v>
      </c>
      <c r="B1196" s="7">
        <v>46070</v>
      </c>
      <c r="C1196" s="6" t="s">
        <v>2320</v>
      </c>
      <c r="D1196" s="6" t="str">
        <f>IF(OR(PROPER(TRIM(Raw_Data!D1196))="Uk",PROPER(TRIM(Raw_Data!D1196))="Gb",PROPER(TRIM(Raw_Data!D1196))="United kingdom"),"United Kingdom",PROPER(TRIM(Raw_Data!D1196)))</f>
        <v>France</v>
      </c>
      <c r="E1196" s="6" t="s">
        <v>78</v>
      </c>
      <c r="F1196" s="6" t="s">
        <v>29</v>
      </c>
      <c r="G1196" s="6" t="str">
        <f>SUBSTITUTE(Raw_Data!G1196,"Ã©","é")</f>
        <v>Alpine Jacket</v>
      </c>
      <c r="H1196" s="6">
        <v>1</v>
      </c>
      <c r="I1196" s="6" t="s">
        <v>656</v>
      </c>
      <c r="J1196" s="6" t="s">
        <v>113</v>
      </c>
      <c r="K1196" s="6">
        <v>0.52</v>
      </c>
      <c r="L1196" s="6" t="s">
        <v>42</v>
      </c>
      <c r="M1196" s="6" t="s">
        <v>69</v>
      </c>
      <c r="N1196" s="6"/>
    </row>
    <row r="1197" spans="1:14">
      <c r="A1197" s="6" t="s">
        <v>2321</v>
      </c>
      <c r="B1197" s="7">
        <v>46058</v>
      </c>
      <c r="C1197" s="6" t="s">
        <v>2222</v>
      </c>
      <c r="D1197" s="6" t="str">
        <f>IF(OR(PROPER(TRIM(Raw_Data!D1197))="Uk",PROPER(TRIM(Raw_Data!D1197))="Gb",PROPER(TRIM(Raw_Data!D1197))="United kingdom"),"United Kingdom",PROPER(TRIM(Raw_Data!D1197)))</f>
        <v>United Kingdom</v>
      </c>
      <c r="E1197" s="6" t="s">
        <v>37</v>
      </c>
      <c r="F1197" s="6" t="s">
        <v>47</v>
      </c>
      <c r="G1197" s="6" t="str">
        <f>SUBSTITUTE(Raw_Data!G1197,"Ã©","é")</f>
        <v>Summit Down Gilet</v>
      </c>
      <c r="H1197" s="6">
        <v>1</v>
      </c>
      <c r="I1197" s="6" t="s">
        <v>40</v>
      </c>
      <c r="J1197" s="6" t="s">
        <v>40</v>
      </c>
      <c r="K1197" s="6">
        <v>8.5000000000000006E-2</v>
      </c>
      <c r="L1197" s="6" t="s">
        <v>42</v>
      </c>
      <c r="M1197" s="6" t="s">
        <v>34</v>
      </c>
      <c r="N1197" s="6"/>
    </row>
    <row r="1198" spans="1:14">
      <c r="A1198" s="6" t="s">
        <v>2322</v>
      </c>
      <c r="B1198" s="7">
        <v>46040</v>
      </c>
      <c r="C1198" s="6" t="s">
        <v>1685</v>
      </c>
      <c r="D1198" s="6" t="str">
        <f>IF(OR(PROPER(TRIM(Raw_Data!D1198))="Uk",PROPER(TRIM(Raw_Data!D1198))="Gb",PROPER(TRIM(Raw_Data!D1198))="United kingdom"),"United Kingdom",PROPER(TRIM(Raw_Data!D1198)))</f>
        <v>United Kingdom</v>
      </c>
      <c r="E1198" s="6" t="s">
        <v>37</v>
      </c>
      <c r="F1198" s="6" t="s">
        <v>38</v>
      </c>
      <c r="G1198" s="6" t="str">
        <f>SUBSTITUTE(Raw_Data!G1198,"Ã©","é")</f>
        <v>Summit Down Gilet</v>
      </c>
      <c r="H1198" s="6">
        <v>1</v>
      </c>
      <c r="I1198" s="6" t="s">
        <v>231</v>
      </c>
      <c r="J1198" s="6" t="s">
        <v>231</v>
      </c>
      <c r="K1198" s="6">
        <v>0.52</v>
      </c>
      <c r="L1198" s="6" t="s">
        <v>33</v>
      </c>
      <c r="M1198" s="6" t="s">
        <v>34</v>
      </c>
      <c r="N1198" s="6"/>
    </row>
    <row r="1199" spans="1:14">
      <c r="A1199" s="6" t="s">
        <v>2324</v>
      </c>
      <c r="B1199" s="7">
        <v>46078</v>
      </c>
      <c r="C1199" s="6" t="s">
        <v>526</v>
      </c>
      <c r="D1199" s="6" t="str">
        <f>IF(OR(PROPER(TRIM(Raw_Data!D1199))="Uk",PROPER(TRIM(Raw_Data!D1199))="Gb",PROPER(TRIM(Raw_Data!D1199))="United kingdom"),"United Kingdom",PROPER(TRIM(Raw_Data!D1199)))</f>
        <v>Germany</v>
      </c>
      <c r="E1199" s="6" t="s">
        <v>52</v>
      </c>
      <c r="F1199" s="6" t="s">
        <v>85</v>
      </c>
      <c r="G1199" s="6" t="str">
        <f>SUBSTITUTE(Raw_Data!G1199,"Ã©","é")</f>
        <v>Alpine Jacket</v>
      </c>
      <c r="H1199" s="6">
        <v>1</v>
      </c>
      <c r="I1199" s="6" t="s">
        <v>147</v>
      </c>
      <c r="J1199" s="6" t="s">
        <v>147</v>
      </c>
      <c r="K1199" s="6">
        <v>0.41</v>
      </c>
      <c r="L1199" s="6" t="s">
        <v>33</v>
      </c>
      <c r="M1199" s="6" t="s">
        <v>69</v>
      </c>
      <c r="N1199" s="6"/>
    </row>
    <row r="1200" spans="1:14">
      <c r="A1200" s="6" t="s">
        <v>2325</v>
      </c>
      <c r="B1200" s="7">
        <v>46240</v>
      </c>
      <c r="C1200" s="6" t="s">
        <v>2326</v>
      </c>
      <c r="D1200" s="6" t="str">
        <f>IF(OR(PROPER(TRIM(Raw_Data!D1200))="Uk",PROPER(TRIM(Raw_Data!D1200))="Gb",PROPER(TRIM(Raw_Data!D1200))="United kingdom"),"United Kingdom",PROPER(TRIM(Raw_Data!D1200)))</f>
        <v>Germany</v>
      </c>
      <c r="E1200" s="6" t="s">
        <v>37</v>
      </c>
      <c r="F1200" s="6" t="s">
        <v>85</v>
      </c>
      <c r="G1200" s="6" t="str">
        <f>SUBSTITUTE(Raw_Data!G1200,"Ã©","é")</f>
        <v>Fell Runner Cap</v>
      </c>
      <c r="H1200" s="6">
        <v>2</v>
      </c>
      <c r="I1200" s="6" t="s">
        <v>113</v>
      </c>
      <c r="J1200" s="6" t="s">
        <v>192</v>
      </c>
      <c r="K1200" s="6">
        <v>0.41</v>
      </c>
      <c r="L1200" s="6" t="s">
        <v>42</v>
      </c>
      <c r="M1200" s="6" t="s">
        <v>34</v>
      </c>
      <c r="N1200" s="6"/>
    </row>
    <row r="1201" spans="1:14">
      <c r="A1201" s="6" t="s">
        <v>2327</v>
      </c>
      <c r="B1201" s="7">
        <v>46098</v>
      </c>
      <c r="C1201" s="6" t="s">
        <v>1460</v>
      </c>
      <c r="D1201" s="6" t="str">
        <f>IF(OR(PROPER(TRIM(Raw_Data!D1201))="Uk",PROPER(TRIM(Raw_Data!D1201))="Gb",PROPER(TRIM(Raw_Data!D1201))="United kingdom"),"United Kingdom",PROPER(TRIM(Raw_Data!D1201)))</f>
        <v>United Kingdom</v>
      </c>
      <c r="E1201" s="6" t="s">
        <v>28</v>
      </c>
      <c r="F1201" s="6" t="s">
        <v>38</v>
      </c>
      <c r="G1201" s="6" t="str">
        <f>SUBSTITUTE(Raw_Data!G1201,"Ã©","é")</f>
        <v>Trekking Poles</v>
      </c>
      <c r="H1201" s="6">
        <v>3</v>
      </c>
      <c r="I1201" s="6" t="s">
        <v>31</v>
      </c>
      <c r="J1201" s="6" t="s">
        <v>337</v>
      </c>
      <c r="K1201" s="6">
        <v>0.52</v>
      </c>
      <c r="L1201" s="6" t="s">
        <v>42</v>
      </c>
      <c r="M1201" s="6" t="s">
        <v>34</v>
      </c>
      <c r="N1201" s="6"/>
    </row>
    <row r="1202" spans="1:14">
      <c r="A1202" s="6" t="s">
        <v>2328</v>
      </c>
      <c r="B1202" s="7">
        <v>46105</v>
      </c>
      <c r="C1202" s="6" t="s">
        <v>2329</v>
      </c>
      <c r="D1202" s="6" t="str">
        <f>IF(OR(PROPER(TRIM(Raw_Data!D1202))="Uk",PROPER(TRIM(Raw_Data!D1202))="Gb",PROPER(TRIM(Raw_Data!D1202))="United kingdom"),"United Kingdom",PROPER(TRIM(Raw_Data!D1202)))</f>
        <v>Ireland</v>
      </c>
      <c r="E1202" s="6" t="s">
        <v>52</v>
      </c>
      <c r="F1202" s="6" t="s">
        <v>53</v>
      </c>
      <c r="G1202" s="6" t="str">
        <f>SUBSTITUTE(Raw_Data!G1202,"Ã©","é")</f>
        <v>Fell Runner Cap</v>
      </c>
      <c r="H1202" s="6">
        <v>1</v>
      </c>
      <c r="I1202" s="6" t="s">
        <v>619</v>
      </c>
      <c r="J1202" s="6" t="s">
        <v>143</v>
      </c>
      <c r="K1202" s="6">
        <v>0.19</v>
      </c>
      <c r="L1202" s="6" t="s">
        <v>42</v>
      </c>
      <c r="M1202" s="6" t="s">
        <v>34</v>
      </c>
      <c r="N1202" s="6"/>
    </row>
    <row r="1203" spans="1:14">
      <c r="A1203" s="6" t="s">
        <v>2330</v>
      </c>
      <c r="B1203" s="7">
        <v>46076</v>
      </c>
      <c r="C1203" s="6" t="s">
        <v>2331</v>
      </c>
      <c r="D1203" s="6" t="str">
        <f>IF(OR(PROPER(TRIM(Raw_Data!D1203))="Uk",PROPER(TRIM(Raw_Data!D1203))="Gb",PROPER(TRIM(Raw_Data!D1203))="United kingdom"),"United Kingdom",PROPER(TRIM(Raw_Data!D1203)))</f>
        <v>United Kingdom</v>
      </c>
      <c r="E1203" s="6" t="s">
        <v>46</v>
      </c>
      <c r="F1203" s="6" t="s">
        <v>38</v>
      </c>
      <c r="G1203" s="6" t="str">
        <f>SUBSTITUTE(Raw_Data!G1203,"Ã©","é")</f>
        <v>Storm Overtrousers</v>
      </c>
      <c r="H1203" s="6">
        <v>1</v>
      </c>
      <c r="I1203" s="6" t="s">
        <v>79</v>
      </c>
      <c r="J1203" s="6" t="s">
        <v>79</v>
      </c>
      <c r="K1203" s="6">
        <v>0.52</v>
      </c>
      <c r="L1203" s="6" t="s">
        <v>42</v>
      </c>
      <c r="M1203" s="6" t="s">
        <v>69</v>
      </c>
      <c r="N1203" s="6"/>
    </row>
    <row r="1204" spans="1:14">
      <c r="A1204" s="6" t="s">
        <v>2332</v>
      </c>
      <c r="B1204" s="7">
        <v>46129</v>
      </c>
      <c r="C1204" s="6" t="s">
        <v>2333</v>
      </c>
      <c r="D1204" s="6" t="str">
        <f>IF(OR(PROPER(TRIM(Raw_Data!D1204))="Uk",PROPER(TRIM(Raw_Data!D1204))="Gb",PROPER(TRIM(Raw_Data!D1204))="United kingdom"),"United Kingdom",PROPER(TRIM(Raw_Data!D1204)))</f>
        <v>United Kingdom</v>
      </c>
      <c r="E1204" s="6" t="s">
        <v>46</v>
      </c>
      <c r="F1204" s="6" t="s">
        <v>29</v>
      </c>
      <c r="G1204" s="6" t="str">
        <f>SUBSTITUTE(Raw_Data!G1204,"Ã©","é")</f>
        <v>Trekking Poles</v>
      </c>
      <c r="H1204" s="6">
        <v>2</v>
      </c>
      <c r="I1204" s="6" t="s">
        <v>117</v>
      </c>
      <c r="J1204" s="6" t="s">
        <v>118</v>
      </c>
      <c r="K1204" s="6">
        <v>0.52</v>
      </c>
      <c r="L1204" s="6" t="s">
        <v>42</v>
      </c>
      <c r="M1204" s="6" t="s">
        <v>34</v>
      </c>
      <c r="N1204" s="6"/>
    </row>
    <row r="1205" spans="1:14">
      <c r="A1205" s="6" t="s">
        <v>2334</v>
      </c>
      <c r="B1205" s="7">
        <v>46202</v>
      </c>
      <c r="C1205" s="6" t="s">
        <v>1039</v>
      </c>
      <c r="D1205" s="6" t="str">
        <f>IF(OR(PROPER(TRIM(Raw_Data!D1205))="Uk",PROPER(TRIM(Raw_Data!D1205))="Gb",PROPER(TRIM(Raw_Data!D1205))="United kingdom"),"United Kingdom",PROPER(TRIM(Raw_Data!D1205)))</f>
        <v>United Kingdom</v>
      </c>
      <c r="E1205" s="6" t="s">
        <v>37</v>
      </c>
      <c r="F1205" s="6" t="s">
        <v>38</v>
      </c>
      <c r="G1205" s="6" t="str">
        <f>SUBSTITUTE(Raw_Data!G1205,"Ã©","é")</f>
        <v>Fell Runner Cap</v>
      </c>
      <c r="H1205" s="6">
        <v>3</v>
      </c>
      <c r="I1205" s="6" t="s">
        <v>96</v>
      </c>
      <c r="J1205" s="6" t="s">
        <v>97</v>
      </c>
      <c r="K1205" s="6">
        <v>0.52</v>
      </c>
      <c r="L1205" s="6" t="s">
        <v>42</v>
      </c>
      <c r="M1205" s="6" t="s">
        <v>34</v>
      </c>
      <c r="N1205" s="6"/>
    </row>
    <row r="1206" spans="1:14">
      <c r="A1206" s="6" t="s">
        <v>2335</v>
      </c>
      <c r="B1206" s="7">
        <v>46206</v>
      </c>
      <c r="C1206" s="6" t="s">
        <v>2336</v>
      </c>
      <c r="D1206" s="6" t="str">
        <f>IF(OR(PROPER(TRIM(Raw_Data!D1206))="Uk",PROPER(TRIM(Raw_Data!D1206))="Gb",PROPER(TRIM(Raw_Data!D1206))="United kingdom"),"United Kingdom",PROPER(TRIM(Raw_Data!D1206)))</f>
        <v>United Kingdom</v>
      </c>
      <c r="E1206" s="6" t="s">
        <v>46</v>
      </c>
      <c r="F1206" s="6" t="s">
        <v>38</v>
      </c>
      <c r="G1206" s="6" t="str">
        <f>SUBSTITUTE(Raw_Data!G1206,"Ã©","é")</f>
        <v>Trail Softshell</v>
      </c>
      <c r="H1206" s="6">
        <v>2</v>
      </c>
      <c r="I1206" s="6" t="s">
        <v>117</v>
      </c>
      <c r="J1206" s="6" t="s">
        <v>118</v>
      </c>
      <c r="K1206" s="6">
        <v>0.52</v>
      </c>
      <c r="L1206" s="6" t="s">
        <v>42</v>
      </c>
      <c r="M1206" s="6" t="s">
        <v>34</v>
      </c>
      <c r="N1206" s="6"/>
    </row>
    <row r="1207" spans="1:14">
      <c r="A1207" s="6" t="s">
        <v>2337</v>
      </c>
      <c r="B1207" s="7">
        <v>46209</v>
      </c>
      <c r="C1207" s="6" t="s">
        <v>1619</v>
      </c>
      <c r="D1207" s="6" t="str">
        <f>IF(OR(PROPER(TRIM(Raw_Data!D1207))="Uk",PROPER(TRIM(Raw_Data!D1207))="Gb",PROPER(TRIM(Raw_Data!D1207))="United kingdom"),"United Kingdom",PROPER(TRIM(Raw_Data!D1207)))</f>
        <v>Germany</v>
      </c>
      <c r="E1207" s="6" t="s">
        <v>52</v>
      </c>
      <c r="F1207" s="6" t="s">
        <v>53</v>
      </c>
      <c r="G1207" s="6" t="str">
        <f>SUBSTITUTE(Raw_Data!G1207,"Ã©","é")</f>
        <v>Storm Overtrousers</v>
      </c>
      <c r="H1207" s="6">
        <v>2</v>
      </c>
      <c r="I1207" s="6" t="s">
        <v>117</v>
      </c>
      <c r="J1207" s="6" t="s">
        <v>1391</v>
      </c>
      <c r="K1207" s="6">
        <v>0.19</v>
      </c>
      <c r="L1207" s="6" t="s">
        <v>42</v>
      </c>
      <c r="M1207" s="6" t="s">
        <v>34</v>
      </c>
      <c r="N1207" s="6"/>
    </row>
    <row r="1208" spans="1:14">
      <c r="A1208" s="6" t="s">
        <v>2338</v>
      </c>
      <c r="B1208" s="7">
        <v>46119</v>
      </c>
      <c r="C1208" s="6" t="s">
        <v>2339</v>
      </c>
      <c r="D1208" s="6" t="str">
        <f>IF(OR(PROPER(TRIM(Raw_Data!D1208))="Uk",PROPER(TRIM(Raw_Data!D1208))="Gb",PROPER(TRIM(Raw_Data!D1208))="United kingdom"),"United Kingdom",PROPER(TRIM(Raw_Data!D1208)))</f>
        <v>United Kingdom</v>
      </c>
      <c r="E1208" s="6" t="s">
        <v>37</v>
      </c>
      <c r="F1208" s="6" t="s">
        <v>58</v>
      </c>
      <c r="G1208" s="6" t="str">
        <f>SUBSTITUTE(Raw_Data!G1208,"Ã©","é")</f>
        <v>Storm Overtrousers</v>
      </c>
      <c r="H1208" s="6">
        <v>1</v>
      </c>
      <c r="I1208" s="6" t="s">
        <v>31</v>
      </c>
      <c r="J1208" s="6" t="s">
        <v>31</v>
      </c>
      <c r="K1208" s="6">
        <v>0.38</v>
      </c>
      <c r="L1208" s="6" t="s">
        <v>42</v>
      </c>
      <c r="M1208" s="6" t="s">
        <v>34</v>
      </c>
      <c r="N1208" s="6"/>
    </row>
    <row r="1209" spans="1:14">
      <c r="A1209" s="6" t="s">
        <v>2340</v>
      </c>
      <c r="B1209" s="7">
        <v>46102</v>
      </c>
      <c r="C1209" s="6" t="s">
        <v>2341</v>
      </c>
      <c r="D1209" s="6" t="str">
        <f>IF(OR(PROPER(TRIM(Raw_Data!D1209))="Uk",PROPER(TRIM(Raw_Data!D1209))="Gb",PROPER(TRIM(Raw_Data!D1209))="United kingdom"),"United Kingdom",PROPER(TRIM(Raw_Data!D1209)))</f>
        <v>United Kingdom</v>
      </c>
      <c r="E1209" s="6" t="s">
        <v>46</v>
      </c>
      <c r="F1209" s="6" t="s">
        <v>85</v>
      </c>
      <c r="G1209" s="6" t="str">
        <f>SUBSTITUTE(Raw_Data!G1209,"Ã©","é")</f>
        <v>Trail Softshell</v>
      </c>
      <c r="H1209" s="6">
        <v>2</v>
      </c>
      <c r="I1209" s="6" t="s">
        <v>79</v>
      </c>
      <c r="J1209" s="6" t="s">
        <v>259</v>
      </c>
      <c r="K1209" s="6">
        <v>0.41</v>
      </c>
      <c r="L1209" s="6" t="s">
        <v>42</v>
      </c>
      <c r="M1209" s="6" t="s">
        <v>34</v>
      </c>
      <c r="N1209" s="6"/>
    </row>
    <row r="1210" spans="1:14">
      <c r="A1210" s="6" t="s">
        <v>2342</v>
      </c>
      <c r="B1210" s="7">
        <v>46104</v>
      </c>
      <c r="C1210" s="6" t="s">
        <v>343</v>
      </c>
      <c r="D1210" s="6" t="str">
        <f>IF(OR(PROPER(TRIM(Raw_Data!D1210))="Uk",PROPER(TRIM(Raw_Data!D1210))="Gb",PROPER(TRIM(Raw_Data!D1210))="United kingdom"),"United Kingdom",PROPER(TRIM(Raw_Data!D1210)))</f>
        <v>United Kingdom</v>
      </c>
      <c r="E1210" s="6" t="s">
        <v>46</v>
      </c>
      <c r="F1210" s="6" t="s">
        <v>47</v>
      </c>
      <c r="G1210" s="6" t="str">
        <f>SUBSTITUTE(Raw_Data!G1210,"Ã©","é")</f>
        <v>Merino Base Layer</v>
      </c>
      <c r="H1210" s="6">
        <v>2</v>
      </c>
      <c r="I1210" s="6" t="s">
        <v>231</v>
      </c>
      <c r="J1210" s="6" t="s">
        <v>232</v>
      </c>
      <c r="K1210" s="6">
        <v>8.5000000000000006E-2</v>
      </c>
      <c r="L1210" s="6" t="s">
        <v>42</v>
      </c>
      <c r="M1210" s="6" t="s">
        <v>69</v>
      </c>
      <c r="N1210" s="6"/>
    </row>
    <row r="1211" spans="1:14">
      <c r="A1211" s="6" t="s">
        <v>2343</v>
      </c>
      <c r="B1211" s="7">
        <v>46052</v>
      </c>
      <c r="C1211" s="6" t="s">
        <v>2344</v>
      </c>
      <c r="D1211" s="6" t="str">
        <f>IF(OR(PROPER(TRIM(Raw_Data!D1211))="Uk",PROPER(TRIM(Raw_Data!D1211))="Gb",PROPER(TRIM(Raw_Data!D1211))="United kingdom"),"United Kingdom",PROPER(TRIM(Raw_Data!D1211)))</f>
        <v>France</v>
      </c>
      <c r="E1211" s="6" t="s">
        <v>37</v>
      </c>
      <c r="F1211" s="6" t="s">
        <v>38</v>
      </c>
      <c r="G1211" s="6" t="str">
        <f>SUBSTITUTE(Raw_Data!G1211,"Ã©","é")</f>
        <v>Trail Softshell</v>
      </c>
      <c r="H1211" s="6">
        <v>2</v>
      </c>
      <c r="I1211" s="6" t="s">
        <v>82</v>
      </c>
      <c r="J1211" s="6" t="s">
        <v>297</v>
      </c>
      <c r="K1211" s="6">
        <v>0.52</v>
      </c>
      <c r="L1211" s="6" t="s">
        <v>42</v>
      </c>
      <c r="M1211" s="6" t="s">
        <v>34</v>
      </c>
      <c r="N1211" s="6"/>
    </row>
    <row r="1212" spans="1:14">
      <c r="A1212" s="6" t="s">
        <v>2345</v>
      </c>
      <c r="B1212" s="7">
        <v>46362</v>
      </c>
      <c r="C1212" s="6" t="s">
        <v>242</v>
      </c>
      <c r="D1212" s="6" t="str">
        <f>IF(OR(PROPER(TRIM(Raw_Data!D1212))="Uk",PROPER(TRIM(Raw_Data!D1212))="Gb",PROPER(TRIM(Raw_Data!D1212))="United kingdom"),"United Kingdom",PROPER(TRIM(Raw_Data!D1212)))</f>
        <v>United Kingdom</v>
      </c>
      <c r="E1212" s="6" t="s">
        <v>78</v>
      </c>
      <c r="F1212" s="6" t="s">
        <v>85</v>
      </c>
      <c r="G1212" s="6" t="str">
        <f>SUBSTITUTE(Raw_Data!G1212,"Ã©","é")</f>
        <v>Trekking Poles</v>
      </c>
      <c r="H1212" s="6">
        <v>1</v>
      </c>
      <c r="I1212" s="6" t="s">
        <v>82</v>
      </c>
      <c r="J1212" s="6" t="s">
        <v>82</v>
      </c>
      <c r="K1212" s="6">
        <v>0.41</v>
      </c>
      <c r="L1212" s="6" t="s">
        <v>33</v>
      </c>
      <c r="M1212" s="6" t="s">
        <v>69</v>
      </c>
      <c r="N1212" s="6"/>
    </row>
    <row r="1213" spans="1:14">
      <c r="A1213" s="6" t="s">
        <v>2346</v>
      </c>
      <c r="B1213" s="7">
        <v>46028</v>
      </c>
      <c r="C1213" s="6" t="s">
        <v>683</v>
      </c>
      <c r="D1213" s="6" t="str">
        <f>IF(OR(PROPER(TRIM(Raw_Data!D1213))="Uk",PROPER(TRIM(Raw_Data!D1213))="Gb",PROPER(TRIM(Raw_Data!D1213))="United kingdom"),"United Kingdom",PROPER(TRIM(Raw_Data!D1213)))</f>
        <v>United Kingdom</v>
      </c>
      <c r="E1213" s="6" t="s">
        <v>28</v>
      </c>
      <c r="F1213" s="6" t="s">
        <v>53</v>
      </c>
      <c r="G1213" s="6" t="str">
        <f>SUBSTITUTE(Raw_Data!G1213,"Ã©","é")</f>
        <v>Trail Softshell</v>
      </c>
      <c r="H1213" s="6">
        <v>1</v>
      </c>
      <c r="I1213" s="6" t="s">
        <v>31</v>
      </c>
      <c r="J1213" s="6" t="s">
        <v>31</v>
      </c>
      <c r="K1213" s="6">
        <v>0.19</v>
      </c>
      <c r="L1213" s="6" t="s">
        <v>42</v>
      </c>
      <c r="M1213" s="6" t="s">
        <v>34</v>
      </c>
      <c r="N1213" s="6"/>
    </row>
    <row r="1214" spans="1:14">
      <c r="A1214" s="6" t="s">
        <v>2347</v>
      </c>
      <c r="B1214" s="7">
        <v>46112</v>
      </c>
      <c r="C1214" s="6" t="s">
        <v>158</v>
      </c>
      <c r="D1214" s="6" t="str">
        <f>IF(OR(PROPER(TRIM(Raw_Data!D1214))="Uk",PROPER(TRIM(Raw_Data!D1214))="Gb",PROPER(TRIM(Raw_Data!D1214))="United kingdom"),"United Kingdom",PROPER(TRIM(Raw_Data!D1214)))</f>
        <v>United Kingdom</v>
      </c>
      <c r="E1214" s="6" t="s">
        <v>28</v>
      </c>
      <c r="F1214" s="6" t="s">
        <v>47</v>
      </c>
      <c r="G1214" s="6" t="str">
        <f>SUBSTITUTE(Raw_Data!G1214,"Ã©","é")</f>
        <v>Alpine Jacket</v>
      </c>
      <c r="H1214" s="6">
        <v>3</v>
      </c>
      <c r="I1214" s="6" t="s">
        <v>60</v>
      </c>
      <c r="J1214" s="6" t="s">
        <v>268</v>
      </c>
      <c r="K1214" s="6">
        <v>8.5000000000000006E-2</v>
      </c>
      <c r="L1214" s="6" t="s">
        <v>42</v>
      </c>
      <c r="M1214" s="6" t="s">
        <v>69</v>
      </c>
      <c r="N1214" s="6"/>
    </row>
    <row r="1215" spans="1:14">
      <c r="A1215" s="6" t="s">
        <v>2348</v>
      </c>
      <c r="B1215" s="7">
        <v>46208</v>
      </c>
      <c r="C1215" s="6" t="s">
        <v>672</v>
      </c>
      <c r="D1215" s="6" t="str">
        <f>IF(OR(PROPER(TRIM(Raw_Data!D1215))="Uk",PROPER(TRIM(Raw_Data!D1215))="Gb",PROPER(TRIM(Raw_Data!D1215))="United kingdom"),"United Kingdom",PROPER(TRIM(Raw_Data!D1215)))</f>
        <v>Germany</v>
      </c>
      <c r="E1215" s="6" t="s">
        <v>52</v>
      </c>
      <c r="F1215" s="6" t="s">
        <v>47</v>
      </c>
      <c r="G1215" s="6" t="str">
        <f>SUBSTITUTE(Raw_Data!G1215,"Ã©","é")</f>
        <v>Trail Softshell</v>
      </c>
      <c r="H1215" s="6">
        <v>2</v>
      </c>
      <c r="I1215" s="6" t="s">
        <v>90</v>
      </c>
      <c r="J1215" s="6" t="s">
        <v>154</v>
      </c>
      <c r="K1215" s="6">
        <v>8.5000000000000006E-2</v>
      </c>
      <c r="L1215" s="6" t="s">
        <v>42</v>
      </c>
      <c r="M1215" s="6" t="s">
        <v>34</v>
      </c>
      <c r="N1215" s="6"/>
    </row>
    <row r="1216" spans="1:14">
      <c r="A1216" s="6" t="s">
        <v>2349</v>
      </c>
      <c r="B1216" s="7">
        <v>46052</v>
      </c>
      <c r="C1216" s="6" t="s">
        <v>2350</v>
      </c>
      <c r="D1216" s="6" t="str">
        <f>IF(OR(PROPER(TRIM(Raw_Data!D1216))="Uk",PROPER(TRIM(Raw_Data!D1216))="Gb",PROPER(TRIM(Raw_Data!D1216))="United kingdom"),"United Kingdom",PROPER(TRIM(Raw_Data!D1216)))</f>
        <v>Ireland</v>
      </c>
      <c r="E1216" s="6" t="s">
        <v>37</v>
      </c>
      <c r="F1216" s="6" t="s">
        <v>100</v>
      </c>
      <c r="G1216" s="6" t="str">
        <f>SUBSTITUTE(Raw_Data!G1216,"Ã©","é")</f>
        <v>Merino Base Layer</v>
      </c>
      <c r="H1216" s="6">
        <v>2</v>
      </c>
      <c r="I1216" s="6" t="s">
        <v>31</v>
      </c>
      <c r="J1216" s="6" t="s">
        <v>249</v>
      </c>
      <c r="K1216" s="6">
        <v>0.64</v>
      </c>
      <c r="L1216" s="6" t="s">
        <v>33</v>
      </c>
      <c r="M1216" s="6" t="s">
        <v>34</v>
      </c>
      <c r="N1216" s="6"/>
    </row>
    <row r="1217" spans="1:14">
      <c r="A1217" s="6" t="s">
        <v>2351</v>
      </c>
      <c r="B1217" s="7">
        <v>46134</v>
      </c>
      <c r="C1217" s="6" t="s">
        <v>2352</v>
      </c>
      <c r="D1217" s="6" t="str">
        <f>IF(OR(PROPER(TRIM(Raw_Data!D1217))="Uk",PROPER(TRIM(Raw_Data!D1217))="Gb",PROPER(TRIM(Raw_Data!D1217))="United kingdom"),"United Kingdom",PROPER(TRIM(Raw_Data!D1217)))</f>
        <v>United Kingdom</v>
      </c>
      <c r="E1217" s="6" t="s">
        <v>52</v>
      </c>
      <c r="F1217" s="6" t="s">
        <v>58</v>
      </c>
      <c r="G1217" s="6" t="str">
        <f>SUBSTITUTE(Raw_Data!G1217,"Ã©","é")</f>
        <v>Summit Down Gilet</v>
      </c>
      <c r="H1217" s="6">
        <v>2</v>
      </c>
      <c r="I1217" s="6" t="s">
        <v>265</v>
      </c>
      <c r="J1217" s="6" t="s">
        <v>175</v>
      </c>
      <c r="K1217" s="6">
        <v>0.38</v>
      </c>
      <c r="L1217" s="6" t="s">
        <v>42</v>
      </c>
      <c r="M1217" s="6" t="s">
        <v>34</v>
      </c>
      <c r="N1217" s="6"/>
    </row>
    <row r="1218" spans="1:14">
      <c r="A1218" s="6" t="s">
        <v>2353</v>
      </c>
      <c r="B1218" s="7">
        <v>46170</v>
      </c>
      <c r="C1218" s="6" t="s">
        <v>676</v>
      </c>
      <c r="D1218" s="6" t="str">
        <f>IF(OR(PROPER(TRIM(Raw_Data!D1218))="Uk",PROPER(TRIM(Raw_Data!D1218))="Gb",PROPER(TRIM(Raw_Data!D1218))="United kingdom"),"United Kingdom",PROPER(TRIM(Raw_Data!D1218)))</f>
        <v>United Kingdom</v>
      </c>
      <c r="E1218" s="6" t="s">
        <v>28</v>
      </c>
      <c r="F1218" s="6" t="s">
        <v>38</v>
      </c>
      <c r="G1218" s="6" t="str">
        <f>SUBSTITUTE(Raw_Data!G1218,"Ã©","é")</f>
        <v>Storm Overtrousers</v>
      </c>
      <c r="H1218" s="6">
        <v>1</v>
      </c>
      <c r="I1218" s="6" t="s">
        <v>31</v>
      </c>
      <c r="J1218" s="6" t="s">
        <v>31</v>
      </c>
      <c r="K1218" s="6">
        <v>0.52</v>
      </c>
      <c r="L1218" s="6" t="s">
        <v>42</v>
      </c>
      <c r="M1218" s="6" t="s">
        <v>69</v>
      </c>
      <c r="N1218" s="6"/>
    </row>
    <row r="1219" spans="1:14">
      <c r="A1219" s="6" t="s">
        <v>2354</v>
      </c>
      <c r="B1219" s="7">
        <v>46049</v>
      </c>
      <c r="C1219" s="6" t="s">
        <v>1059</v>
      </c>
      <c r="D1219" s="6" t="str">
        <f>IF(OR(PROPER(TRIM(Raw_Data!D1219))="Uk",PROPER(TRIM(Raw_Data!D1219))="Gb",PROPER(TRIM(Raw_Data!D1219))="United kingdom"),"United Kingdom",PROPER(TRIM(Raw_Data!D1219)))</f>
        <v>United Kingdom</v>
      </c>
      <c r="E1219" s="6" t="s">
        <v>46</v>
      </c>
      <c r="F1219" s="6" t="s">
        <v>58</v>
      </c>
      <c r="G1219" s="6" t="str">
        <f>SUBSTITUTE(Raw_Data!G1219,"Ã©","é")</f>
        <v>Fell Runner Cap</v>
      </c>
      <c r="H1219" s="6">
        <v>1</v>
      </c>
      <c r="I1219" s="6" t="s">
        <v>113</v>
      </c>
      <c r="J1219" s="6" t="s">
        <v>113</v>
      </c>
      <c r="K1219" s="6">
        <v>0.38</v>
      </c>
      <c r="L1219" s="6" t="s">
        <v>42</v>
      </c>
      <c r="M1219" s="6" t="s">
        <v>69</v>
      </c>
      <c r="N1219" s="6"/>
    </row>
    <row r="1220" spans="1:14">
      <c r="A1220" s="6" t="s">
        <v>2355</v>
      </c>
      <c r="B1220" s="7">
        <v>46119</v>
      </c>
      <c r="C1220" s="6" t="s">
        <v>1530</v>
      </c>
      <c r="D1220" s="6" t="str">
        <f>IF(OR(PROPER(TRIM(Raw_Data!D1220))="Uk",PROPER(TRIM(Raw_Data!D1220))="Gb",PROPER(TRIM(Raw_Data!D1220))="United kingdom"),"United Kingdom",PROPER(TRIM(Raw_Data!D1220)))</f>
        <v>United Kingdom</v>
      </c>
      <c r="E1220" s="6" t="s">
        <v>52</v>
      </c>
      <c r="F1220" s="6" t="s">
        <v>38</v>
      </c>
      <c r="G1220" s="6" t="str">
        <f>SUBSTITUTE(Raw_Data!G1220,"Ã©","é")</f>
        <v>Trail Softshell</v>
      </c>
      <c r="H1220" s="6">
        <v>2</v>
      </c>
      <c r="I1220" s="6" t="s">
        <v>79</v>
      </c>
      <c r="J1220" s="6" t="s">
        <v>259</v>
      </c>
      <c r="K1220" s="6">
        <v>0.52</v>
      </c>
      <c r="L1220" s="6" t="s">
        <v>42</v>
      </c>
      <c r="M1220" s="6" t="s">
        <v>34</v>
      </c>
      <c r="N1220" s="6"/>
    </row>
    <row r="1221" spans="1:14">
      <c r="A1221" s="6" t="s">
        <v>2356</v>
      </c>
      <c r="B1221" s="7">
        <v>46300</v>
      </c>
      <c r="C1221" s="6" t="s">
        <v>2357</v>
      </c>
      <c r="D1221" s="6" t="str">
        <f>IF(OR(PROPER(TRIM(Raw_Data!D1221))="Uk",PROPER(TRIM(Raw_Data!D1221))="Gb",PROPER(TRIM(Raw_Data!D1221))="United kingdom"),"United Kingdom",PROPER(TRIM(Raw_Data!D1221)))</f>
        <v>Ireland</v>
      </c>
      <c r="E1221" s="6" t="s">
        <v>37</v>
      </c>
      <c r="F1221" s="6" t="s">
        <v>29</v>
      </c>
      <c r="G1221" s="6" t="str">
        <f>SUBSTITUTE(Raw_Data!G1221,"Ã©","é")</f>
        <v>Storm Overtrousers</v>
      </c>
      <c r="H1221" s="6">
        <v>1</v>
      </c>
      <c r="I1221" s="6" t="s">
        <v>90</v>
      </c>
      <c r="J1221" s="6" t="s">
        <v>1182</v>
      </c>
      <c r="K1221" s="6">
        <v>0.52</v>
      </c>
      <c r="L1221" s="6" t="s">
        <v>42</v>
      </c>
      <c r="M1221" s="6" t="s">
        <v>34</v>
      </c>
      <c r="N1221" s="6"/>
    </row>
    <row r="1222" spans="1:14">
      <c r="A1222" s="6" t="s">
        <v>2358</v>
      </c>
      <c r="B1222" s="7">
        <v>46077</v>
      </c>
      <c r="C1222" s="6" t="s">
        <v>2359</v>
      </c>
      <c r="D1222" s="6" t="str">
        <f>IF(OR(PROPER(TRIM(Raw_Data!D1222))="Uk",PROPER(TRIM(Raw_Data!D1222))="Gb",PROPER(TRIM(Raw_Data!D1222))="United kingdom"),"United Kingdom",PROPER(TRIM(Raw_Data!D1222)))</f>
        <v>United Kingdom</v>
      </c>
      <c r="E1222" s="6" t="s">
        <v>37</v>
      </c>
      <c r="F1222" s="6" t="s">
        <v>58</v>
      </c>
      <c r="G1222" s="6" t="str">
        <f>SUBSTITUTE(Raw_Data!G1222,"Ã©","é")</f>
        <v>Merino Base Layer</v>
      </c>
      <c r="H1222" s="6">
        <v>-1</v>
      </c>
      <c r="I1222" s="6" t="s">
        <v>143</v>
      </c>
      <c r="J1222" s="8" t="s">
        <v>1884</v>
      </c>
      <c r="K1222" s="6">
        <v>0.38</v>
      </c>
      <c r="L1222" s="6" t="s">
        <v>42</v>
      </c>
      <c r="M1222" s="6" t="s">
        <v>69</v>
      </c>
      <c r="N1222" s="6"/>
    </row>
    <row r="1223" spans="1:14">
      <c r="A1223" s="6" t="s">
        <v>2360</v>
      </c>
      <c r="B1223" s="7">
        <v>46029</v>
      </c>
      <c r="C1223" s="6" t="s">
        <v>452</v>
      </c>
      <c r="D1223" s="6" t="str">
        <f>IF(OR(PROPER(TRIM(Raw_Data!D1223))="Uk",PROPER(TRIM(Raw_Data!D1223))="Gb",PROPER(TRIM(Raw_Data!D1223))="United kingdom"),"United Kingdom",PROPER(TRIM(Raw_Data!D1223)))</f>
        <v>Germany</v>
      </c>
      <c r="E1223" s="6" t="s">
        <v>37</v>
      </c>
      <c r="F1223" s="6" t="s">
        <v>58</v>
      </c>
      <c r="G1223" s="6" t="str">
        <f>SUBSTITUTE(Raw_Data!G1223,"Ã©","é")</f>
        <v>Fell Runner Cap</v>
      </c>
      <c r="H1223" s="6">
        <v>3</v>
      </c>
      <c r="I1223" s="6" t="s">
        <v>40</v>
      </c>
      <c r="J1223" s="6" t="s">
        <v>579</v>
      </c>
      <c r="K1223" s="6">
        <v>0.38</v>
      </c>
      <c r="L1223" s="6" t="s">
        <v>33</v>
      </c>
      <c r="M1223" s="6" t="s">
        <v>69</v>
      </c>
      <c r="N1223" s="6"/>
    </row>
    <row r="1224" spans="1:14">
      <c r="A1224" s="6" t="s">
        <v>2361</v>
      </c>
      <c r="B1224" s="7">
        <v>46101</v>
      </c>
      <c r="C1224" s="6" t="s">
        <v>1610</v>
      </c>
      <c r="D1224" s="6" t="str">
        <f>IF(OR(PROPER(TRIM(Raw_Data!D1224))="Uk",PROPER(TRIM(Raw_Data!D1224))="Gb",PROPER(TRIM(Raw_Data!D1224))="United kingdom"),"United Kingdom",PROPER(TRIM(Raw_Data!D1224)))</f>
        <v>United Kingdom</v>
      </c>
      <c r="E1224" s="6" t="s">
        <v>78</v>
      </c>
      <c r="F1224" s="6" t="s">
        <v>47</v>
      </c>
      <c r="G1224" s="6" t="str">
        <f>SUBSTITUTE(Raw_Data!G1224,"Ã©","é")</f>
        <v>Fell Runner Cap</v>
      </c>
      <c r="H1224" s="6">
        <v>1</v>
      </c>
      <c r="I1224" s="6" t="s">
        <v>67</v>
      </c>
      <c r="J1224" s="6" t="s">
        <v>67</v>
      </c>
      <c r="K1224" s="6">
        <v>8.5000000000000006E-2</v>
      </c>
      <c r="L1224" s="6" t="s">
        <v>42</v>
      </c>
      <c r="M1224" s="6" t="s">
        <v>69</v>
      </c>
      <c r="N1224" s="6"/>
    </row>
    <row r="1225" spans="1:14">
      <c r="A1225" s="6" t="s">
        <v>2362</v>
      </c>
      <c r="B1225" s="7">
        <v>46086</v>
      </c>
      <c r="C1225" s="6" t="s">
        <v>2363</v>
      </c>
      <c r="D1225" s="6" t="str">
        <f>IF(OR(PROPER(TRIM(Raw_Data!D1225))="Uk",PROPER(TRIM(Raw_Data!D1225))="Gb",PROPER(TRIM(Raw_Data!D1225))="United kingdom"),"United Kingdom",PROPER(TRIM(Raw_Data!D1225)))</f>
        <v>United Kingdom</v>
      </c>
      <c r="E1225" s="6" t="s">
        <v>37</v>
      </c>
      <c r="F1225" s="6" t="s">
        <v>100</v>
      </c>
      <c r="G1225" s="6" t="str">
        <f>SUBSTITUTE(Raw_Data!G1225,"Ã©","é")</f>
        <v>Alpine Jacket</v>
      </c>
      <c r="H1225" s="6">
        <v>1</v>
      </c>
      <c r="I1225" s="6" t="s">
        <v>147</v>
      </c>
      <c r="J1225" s="6" t="s">
        <v>2364</v>
      </c>
      <c r="K1225" s="6">
        <v>0.64</v>
      </c>
      <c r="L1225" s="6" t="s">
        <v>33</v>
      </c>
      <c r="M1225" s="6" t="s">
        <v>34</v>
      </c>
      <c r="N1225" s="6"/>
    </row>
    <row r="1226" spans="1:14">
      <c r="A1226" s="6" t="s">
        <v>2365</v>
      </c>
      <c r="B1226" s="7">
        <v>46174</v>
      </c>
      <c r="C1226" s="6" t="s">
        <v>2182</v>
      </c>
      <c r="D1226" s="6" t="str">
        <f>IF(OR(PROPER(TRIM(Raw_Data!D1226))="Uk",PROPER(TRIM(Raw_Data!D1226))="Gb",PROPER(TRIM(Raw_Data!D1226))="United kingdom"),"United Kingdom",PROPER(TRIM(Raw_Data!D1226)))</f>
        <v>United Kingdom</v>
      </c>
      <c r="E1226" s="6" t="s">
        <v>46</v>
      </c>
      <c r="F1226" s="6" t="s">
        <v>38</v>
      </c>
      <c r="G1226" s="6" t="str">
        <f>SUBSTITUTE(Raw_Data!G1226,"Ã©","é")</f>
        <v>Summit Down Gilet</v>
      </c>
      <c r="H1226" s="6">
        <v>1</v>
      </c>
      <c r="I1226" s="6" t="s">
        <v>143</v>
      </c>
      <c r="J1226" s="6" t="s">
        <v>143</v>
      </c>
      <c r="K1226" s="6">
        <v>0.52</v>
      </c>
      <c r="L1226" s="6" t="s">
        <v>42</v>
      </c>
      <c r="M1226" s="6" t="s">
        <v>34</v>
      </c>
      <c r="N1226" s="6"/>
    </row>
    <row r="1227" spans="1:14">
      <c r="A1227" s="6" t="s">
        <v>2366</v>
      </c>
      <c r="B1227" s="7">
        <v>46045</v>
      </c>
      <c r="C1227" s="6" t="s">
        <v>2367</v>
      </c>
      <c r="D1227" s="6" t="str">
        <f>IF(OR(PROPER(TRIM(Raw_Data!D1227))="Uk",PROPER(TRIM(Raw_Data!D1227))="Gb",PROPER(TRIM(Raw_Data!D1227))="United kingdom"),"United Kingdom",PROPER(TRIM(Raw_Data!D1227)))</f>
        <v>Ireland</v>
      </c>
      <c r="E1227" s="6" t="s">
        <v>46</v>
      </c>
      <c r="F1227" s="6" t="s">
        <v>94</v>
      </c>
      <c r="G1227" s="6" t="str">
        <f>SUBSTITUTE(Raw_Data!G1227,"Ã©","é")</f>
        <v>Trail Softshell</v>
      </c>
      <c r="H1227" s="6">
        <v>1</v>
      </c>
      <c r="I1227" s="6" t="s">
        <v>31</v>
      </c>
      <c r="J1227" s="6" t="s">
        <v>31</v>
      </c>
      <c r="K1227" s="6">
        <v>0.34</v>
      </c>
      <c r="L1227" s="6" t="s">
        <v>42</v>
      </c>
      <c r="M1227" s="6" t="s">
        <v>34</v>
      </c>
      <c r="N1227" s="6"/>
    </row>
    <row r="1228" spans="1:14">
      <c r="A1228" s="6" t="s">
        <v>2368</v>
      </c>
      <c r="B1228" s="7">
        <v>46104</v>
      </c>
      <c r="C1228" s="6" t="s">
        <v>1872</v>
      </c>
      <c r="D1228" s="6" t="str">
        <f>IF(OR(PROPER(TRIM(Raw_Data!D1228))="Uk",PROPER(TRIM(Raw_Data!D1228))="Gb",PROPER(TRIM(Raw_Data!D1228))="United kingdom"),"United Kingdom",PROPER(TRIM(Raw_Data!D1228)))</f>
        <v>Germany</v>
      </c>
      <c r="E1228" s="6" t="s">
        <v>28</v>
      </c>
      <c r="F1228" s="6" t="s">
        <v>29</v>
      </c>
      <c r="G1228" s="6" t="str">
        <f>SUBSTITUTE(Raw_Data!G1228,"Ã©","é")</f>
        <v>Summit Down Gilet</v>
      </c>
      <c r="H1228" s="6">
        <v>1</v>
      </c>
      <c r="I1228" s="6" t="s">
        <v>31</v>
      </c>
      <c r="J1228" s="6" t="s">
        <v>31</v>
      </c>
      <c r="K1228" s="6">
        <v>0.52</v>
      </c>
      <c r="L1228" s="6" t="s">
        <v>42</v>
      </c>
      <c r="M1228" s="6" t="s">
        <v>34</v>
      </c>
      <c r="N1228" s="6"/>
    </row>
    <row r="1229" spans="1:14">
      <c r="A1229" s="6" t="s">
        <v>2369</v>
      </c>
      <c r="B1229" s="7">
        <v>46158</v>
      </c>
      <c r="C1229" s="6" t="s">
        <v>1822</v>
      </c>
      <c r="D1229" s="6" t="str">
        <f>IF(OR(PROPER(TRIM(Raw_Data!D1229))="Uk",PROPER(TRIM(Raw_Data!D1229))="Gb",PROPER(TRIM(Raw_Data!D1229))="United kingdom"),"United Kingdom",PROPER(TRIM(Raw_Data!D1229)))</f>
        <v>Germany</v>
      </c>
      <c r="E1229" s="6" t="s">
        <v>52</v>
      </c>
      <c r="F1229" s="6" t="s">
        <v>94</v>
      </c>
      <c r="G1229" s="6" t="str">
        <f>SUBSTITUTE(Raw_Data!G1229,"Ã©","é")</f>
        <v>Trail Softshell</v>
      </c>
      <c r="H1229" s="6">
        <v>1</v>
      </c>
      <c r="I1229" s="6" t="s">
        <v>96</v>
      </c>
      <c r="J1229" s="6" t="s">
        <v>96</v>
      </c>
      <c r="K1229" s="6">
        <v>0.34</v>
      </c>
      <c r="L1229" s="6" t="s">
        <v>42</v>
      </c>
      <c r="M1229" s="6" t="s">
        <v>34</v>
      </c>
      <c r="N1229" s="6"/>
    </row>
    <row r="1230" spans="1:14">
      <c r="A1230" s="6" t="s">
        <v>2370</v>
      </c>
      <c r="B1230" s="7">
        <v>46162</v>
      </c>
      <c r="C1230" s="6" t="s">
        <v>2371</v>
      </c>
      <c r="D1230" s="6" t="str">
        <f>IF(OR(PROPER(TRIM(Raw_Data!D1230))="Uk",PROPER(TRIM(Raw_Data!D1230))="Gb",PROPER(TRIM(Raw_Data!D1230))="United kingdom"),"United Kingdom",PROPER(TRIM(Raw_Data!D1230)))</f>
        <v>France</v>
      </c>
      <c r="E1230" s="6" t="s">
        <v>28</v>
      </c>
      <c r="F1230" s="6" t="s">
        <v>53</v>
      </c>
      <c r="G1230" s="6" t="str">
        <f>SUBSTITUTE(Raw_Data!G1230,"Ã©","é")</f>
        <v>Trekking Poles</v>
      </c>
      <c r="H1230" s="6">
        <v>2</v>
      </c>
      <c r="I1230" s="6" t="s">
        <v>79</v>
      </c>
      <c r="J1230" s="6" t="s">
        <v>259</v>
      </c>
      <c r="K1230" s="6">
        <v>0.19</v>
      </c>
      <c r="L1230" s="6" t="s">
        <v>42</v>
      </c>
      <c r="M1230" s="6" t="s">
        <v>34</v>
      </c>
      <c r="N1230" s="6"/>
    </row>
    <row r="1231" spans="1:14">
      <c r="A1231" s="6" t="s">
        <v>2372</v>
      </c>
      <c r="B1231" s="7">
        <v>46103</v>
      </c>
      <c r="C1231" s="6" t="s">
        <v>780</v>
      </c>
      <c r="D1231" s="6" t="str">
        <f>IF(OR(PROPER(TRIM(Raw_Data!D1231))="Uk",PROPER(TRIM(Raw_Data!D1231))="Gb",PROPER(TRIM(Raw_Data!D1231))="United kingdom"),"United Kingdom",PROPER(TRIM(Raw_Data!D1231)))</f>
        <v>United Kingdom</v>
      </c>
      <c r="E1231" s="6" t="s">
        <v>52</v>
      </c>
      <c r="F1231" s="6" t="s">
        <v>58</v>
      </c>
      <c r="G1231" s="6" t="str">
        <f>SUBSTITUTE(Raw_Data!G1231,"Ã©","é")</f>
        <v>Summit Down Gilet</v>
      </c>
      <c r="H1231" s="6">
        <v>1</v>
      </c>
      <c r="I1231" s="6" t="s">
        <v>82</v>
      </c>
      <c r="J1231" s="6" t="s">
        <v>82</v>
      </c>
      <c r="K1231" s="6">
        <v>0.38</v>
      </c>
      <c r="L1231" s="6" t="s">
        <v>33</v>
      </c>
      <c r="M1231" s="6" t="s">
        <v>34</v>
      </c>
      <c r="N1231" s="6"/>
    </row>
    <row r="1232" spans="1:14">
      <c r="A1232" s="6" t="s">
        <v>2373</v>
      </c>
      <c r="B1232" s="7">
        <v>46235</v>
      </c>
      <c r="C1232" s="6" t="s">
        <v>351</v>
      </c>
      <c r="D1232" s="6" t="str">
        <f>IF(OR(PROPER(TRIM(Raw_Data!D1232))="Uk",PROPER(TRIM(Raw_Data!D1232))="Gb",PROPER(TRIM(Raw_Data!D1232))="United kingdom"),"United Kingdom",PROPER(TRIM(Raw_Data!D1232)))</f>
        <v>United Kingdom</v>
      </c>
      <c r="E1232" s="6" t="s">
        <v>52</v>
      </c>
      <c r="F1232" s="6" t="s">
        <v>29</v>
      </c>
      <c r="G1232" s="6" t="str">
        <f>SUBSTITUTE(Raw_Data!G1232,"Ã©","é")</f>
        <v>Summit Down Gilet</v>
      </c>
      <c r="H1232" s="6">
        <v>2</v>
      </c>
      <c r="I1232" s="6" t="s">
        <v>60</v>
      </c>
      <c r="J1232" s="6" t="s">
        <v>189</v>
      </c>
      <c r="K1232" s="6">
        <v>0.52</v>
      </c>
      <c r="L1232" s="6" t="s">
        <v>42</v>
      </c>
      <c r="M1232" s="6" t="s">
        <v>34</v>
      </c>
      <c r="N1232" s="6"/>
    </row>
    <row r="1233" spans="1:14">
      <c r="A1233" s="6" t="s">
        <v>2374</v>
      </c>
      <c r="B1233" s="7">
        <v>46174</v>
      </c>
      <c r="C1233" s="6" t="s">
        <v>2375</v>
      </c>
      <c r="D1233" s="6" t="str">
        <f>IF(OR(PROPER(TRIM(Raw_Data!D1233))="Uk",PROPER(TRIM(Raw_Data!D1233))="Gb",PROPER(TRIM(Raw_Data!D1233))="United kingdom"),"United Kingdom",PROPER(TRIM(Raw_Data!D1233)))</f>
        <v>United Kingdom</v>
      </c>
      <c r="E1233" s="6" t="s">
        <v>78</v>
      </c>
      <c r="F1233" s="6" t="s">
        <v>47</v>
      </c>
      <c r="G1233" s="6" t="str">
        <f>SUBSTITUTE(Raw_Data!G1233,"Ã©","é")</f>
        <v>Fell Runner Cap</v>
      </c>
      <c r="H1233" s="6">
        <v>2</v>
      </c>
      <c r="I1233" s="6" t="s">
        <v>90</v>
      </c>
      <c r="J1233" s="6" t="s">
        <v>154</v>
      </c>
      <c r="K1233" s="6">
        <v>8.5000000000000006E-2</v>
      </c>
      <c r="L1233" s="6" t="s">
        <v>42</v>
      </c>
      <c r="M1233" s="6" t="s">
        <v>34</v>
      </c>
      <c r="N1233" s="6"/>
    </row>
    <row r="1234" spans="1:14">
      <c r="A1234" s="6" t="s">
        <v>2376</v>
      </c>
      <c r="B1234" s="7">
        <v>46268</v>
      </c>
      <c r="C1234" s="6" t="s">
        <v>2377</v>
      </c>
      <c r="D1234" s="6" t="str">
        <f>IF(OR(PROPER(TRIM(Raw_Data!D1234))="Uk",PROPER(TRIM(Raw_Data!D1234))="Gb",PROPER(TRIM(Raw_Data!D1234))="United kingdom"),"United Kingdom",PROPER(TRIM(Raw_Data!D1234)))</f>
        <v>United Kingdom</v>
      </c>
      <c r="E1234" s="6" t="s">
        <v>28</v>
      </c>
      <c r="F1234" s="6" t="s">
        <v>100</v>
      </c>
      <c r="G1234" s="6" t="str">
        <f>SUBSTITUTE(Raw_Data!G1234,"Ã©","é")</f>
        <v>Alpine Jacket</v>
      </c>
      <c r="H1234" s="6">
        <v>2</v>
      </c>
      <c r="I1234" s="6" t="s">
        <v>117</v>
      </c>
      <c r="J1234" s="6" t="s">
        <v>118</v>
      </c>
      <c r="K1234" s="6">
        <v>0.64</v>
      </c>
      <c r="L1234" s="6" t="s">
        <v>42</v>
      </c>
      <c r="M1234" s="6" t="s">
        <v>69</v>
      </c>
      <c r="N1234" s="6"/>
    </row>
    <row r="1235" spans="1:14">
      <c r="A1235" s="6" t="s">
        <v>2378</v>
      </c>
      <c r="B1235" s="7">
        <v>46128</v>
      </c>
      <c r="C1235" s="6" t="s">
        <v>1375</v>
      </c>
      <c r="D1235" s="6" t="str">
        <f>IF(OR(PROPER(TRIM(Raw_Data!D1235))="Uk",PROPER(TRIM(Raw_Data!D1235))="Gb",PROPER(TRIM(Raw_Data!D1235))="United kingdom"),"United Kingdom",PROPER(TRIM(Raw_Data!D1235)))</f>
        <v>Ireland</v>
      </c>
      <c r="E1235" s="6" t="s">
        <v>46</v>
      </c>
      <c r="F1235" s="6" t="s">
        <v>85</v>
      </c>
      <c r="G1235" s="6" t="str">
        <f>SUBSTITUTE(Raw_Data!G1235,"Ã©","é")</f>
        <v>Trail Softshell</v>
      </c>
      <c r="H1235" s="6">
        <v>2</v>
      </c>
      <c r="I1235" s="6" t="s">
        <v>117</v>
      </c>
      <c r="J1235" s="6" t="s">
        <v>118</v>
      </c>
      <c r="K1235" s="6">
        <v>0.41</v>
      </c>
      <c r="L1235" s="6" t="s">
        <v>42</v>
      </c>
      <c r="M1235" s="6" t="s">
        <v>69</v>
      </c>
      <c r="N1235" s="6"/>
    </row>
    <row r="1236" spans="1:14">
      <c r="A1236" s="6" t="s">
        <v>2379</v>
      </c>
      <c r="B1236" s="7">
        <v>46168</v>
      </c>
      <c r="C1236" s="6" t="s">
        <v>2380</v>
      </c>
      <c r="D1236" s="6" t="str">
        <f>IF(OR(PROPER(TRIM(Raw_Data!D1236))="Uk",PROPER(TRIM(Raw_Data!D1236))="Gb",PROPER(TRIM(Raw_Data!D1236))="United kingdom"),"United Kingdom",PROPER(TRIM(Raw_Data!D1236)))</f>
        <v>United Kingdom</v>
      </c>
      <c r="E1236" s="6" t="s">
        <v>37</v>
      </c>
      <c r="F1236" s="6" t="s">
        <v>53</v>
      </c>
      <c r="G1236" s="6" t="str">
        <f>SUBSTITUTE(Raw_Data!G1236,"Ã©","é")</f>
        <v>Café Latte Mug</v>
      </c>
      <c r="H1236" s="6">
        <v>1</v>
      </c>
      <c r="I1236" s="6" t="s">
        <v>82</v>
      </c>
      <c r="J1236" s="6" t="s">
        <v>82</v>
      </c>
      <c r="K1236" s="6">
        <v>0.19</v>
      </c>
      <c r="L1236" s="6" t="s">
        <v>42</v>
      </c>
      <c r="M1236" s="6" t="s">
        <v>69</v>
      </c>
      <c r="N1236" s="6"/>
    </row>
    <row r="1237" spans="1:14">
      <c r="A1237" s="6" t="s">
        <v>2381</v>
      </c>
      <c r="B1237" s="7">
        <v>46300</v>
      </c>
      <c r="C1237" s="6" t="s">
        <v>2382</v>
      </c>
      <c r="D1237" s="6" t="str">
        <f>IF(OR(PROPER(TRIM(Raw_Data!D1237))="Uk",PROPER(TRIM(Raw_Data!D1237))="Gb",PROPER(TRIM(Raw_Data!D1237))="United kingdom"),"United Kingdom",PROPER(TRIM(Raw_Data!D1237)))</f>
        <v>United Kingdom</v>
      </c>
      <c r="E1237" s="6" t="s">
        <v>46</v>
      </c>
      <c r="F1237" s="6" t="s">
        <v>38</v>
      </c>
      <c r="G1237" s="6" t="str">
        <f>SUBSTITUTE(Raw_Data!G1237,"Ã©","é")</f>
        <v>Trekking Poles</v>
      </c>
      <c r="H1237" s="6">
        <v>1</v>
      </c>
      <c r="I1237" s="6" t="s">
        <v>82</v>
      </c>
      <c r="J1237" s="6" t="s">
        <v>82</v>
      </c>
      <c r="K1237" s="6">
        <v>0.52</v>
      </c>
      <c r="L1237" s="6" t="s">
        <v>42</v>
      </c>
      <c r="M1237" s="6" t="s">
        <v>69</v>
      </c>
      <c r="N1237" s="6"/>
    </row>
    <row r="1238" spans="1:14">
      <c r="A1238" s="6" t="s">
        <v>2383</v>
      </c>
      <c r="B1238" s="7">
        <v>46202</v>
      </c>
      <c r="C1238" s="6" t="s">
        <v>1383</v>
      </c>
      <c r="D1238" s="6" t="str">
        <f>IF(OR(PROPER(TRIM(Raw_Data!D1238))="Uk",PROPER(TRIM(Raw_Data!D1238))="Gb",PROPER(TRIM(Raw_Data!D1238))="United kingdom"),"United Kingdom",PROPER(TRIM(Raw_Data!D1238)))</f>
        <v>Ireland</v>
      </c>
      <c r="E1238" s="6" t="s">
        <v>78</v>
      </c>
      <c r="F1238" s="6" t="s">
        <v>29</v>
      </c>
      <c r="G1238" s="6" t="str">
        <f>SUBSTITUTE(Raw_Data!G1238,"Ã©","é")</f>
        <v>Café Latte Mug</v>
      </c>
      <c r="H1238" s="6">
        <v>2</v>
      </c>
      <c r="I1238" s="6" t="s">
        <v>117</v>
      </c>
      <c r="J1238" s="6" t="s">
        <v>118</v>
      </c>
      <c r="K1238" s="6">
        <v>0.52</v>
      </c>
      <c r="L1238" s="6" t="s">
        <v>33</v>
      </c>
      <c r="M1238" s="6" t="s">
        <v>34</v>
      </c>
      <c r="N1238" s="6"/>
    </row>
    <row r="1239" spans="1:14">
      <c r="A1239" s="6" t="s">
        <v>2384</v>
      </c>
      <c r="B1239" s="7">
        <v>46168</v>
      </c>
      <c r="C1239" s="6" t="s">
        <v>2385</v>
      </c>
      <c r="D1239" s="6" t="str">
        <f>IF(OR(PROPER(TRIM(Raw_Data!D1239))="Uk",PROPER(TRIM(Raw_Data!D1239))="Gb",PROPER(TRIM(Raw_Data!D1239))="United kingdom"),"United Kingdom",PROPER(TRIM(Raw_Data!D1239)))</f>
        <v>France</v>
      </c>
      <c r="E1239" s="6" t="s">
        <v>46</v>
      </c>
      <c r="F1239" s="6" t="s">
        <v>38</v>
      </c>
      <c r="G1239" s="6" t="str">
        <f>SUBSTITUTE(Raw_Data!G1239,"Ã©","é")</f>
        <v>Merino Base Layer</v>
      </c>
      <c r="H1239" s="6">
        <v>1</v>
      </c>
      <c r="I1239" s="6" t="s">
        <v>90</v>
      </c>
      <c r="J1239" s="6" t="s">
        <v>90</v>
      </c>
      <c r="K1239" s="6">
        <v>0.52</v>
      </c>
      <c r="L1239" s="6" t="s">
        <v>42</v>
      </c>
      <c r="M1239" s="6" t="s">
        <v>69</v>
      </c>
      <c r="N1239" s="6"/>
    </row>
    <row r="1240" spans="1:14">
      <c r="A1240" s="6" t="s">
        <v>2386</v>
      </c>
      <c r="B1240" s="7">
        <v>46301</v>
      </c>
      <c r="C1240" s="6" t="s">
        <v>2387</v>
      </c>
      <c r="D1240" s="6" t="str">
        <f>IF(OR(PROPER(TRIM(Raw_Data!D1240))="Uk",PROPER(TRIM(Raw_Data!D1240))="Gb",PROPER(TRIM(Raw_Data!D1240))="United kingdom"),"United Kingdom",PROPER(TRIM(Raw_Data!D1240)))</f>
        <v>France</v>
      </c>
      <c r="E1240" s="6" t="s">
        <v>78</v>
      </c>
      <c r="F1240" s="6" t="s">
        <v>38</v>
      </c>
      <c r="G1240" s="6" t="str">
        <f>SUBSTITUTE(Raw_Data!G1240,"Ã©","é")</f>
        <v>Summit Down Gilet</v>
      </c>
      <c r="H1240" s="6">
        <v>2</v>
      </c>
      <c r="I1240" s="6" t="s">
        <v>265</v>
      </c>
      <c r="J1240" s="6" t="s">
        <v>167</v>
      </c>
      <c r="K1240" s="6">
        <v>0.52</v>
      </c>
      <c r="L1240" s="6" t="s">
        <v>42</v>
      </c>
      <c r="M1240" s="6" t="s">
        <v>34</v>
      </c>
      <c r="N1240" s="6"/>
    </row>
    <row r="1241" spans="1:14">
      <c r="A1241" s="6" t="s">
        <v>2388</v>
      </c>
      <c r="B1241" s="7">
        <v>46298</v>
      </c>
      <c r="C1241" s="6" t="s">
        <v>2010</v>
      </c>
      <c r="D1241" s="6" t="str">
        <f>IF(OR(PROPER(TRIM(Raw_Data!D1241))="Uk",PROPER(TRIM(Raw_Data!D1241))="Gb",PROPER(TRIM(Raw_Data!D1241))="United kingdom"),"United Kingdom",PROPER(TRIM(Raw_Data!D1241)))</f>
        <v>France</v>
      </c>
      <c r="E1241" s="6" t="s">
        <v>78</v>
      </c>
      <c r="F1241" s="6" t="s">
        <v>29</v>
      </c>
      <c r="G1241" s="6" t="str">
        <f>SUBSTITUTE(Raw_Data!G1241,"Ã©","é")</f>
        <v>Trekking Poles</v>
      </c>
      <c r="H1241" s="6">
        <v>2</v>
      </c>
      <c r="I1241" s="6" t="s">
        <v>73</v>
      </c>
      <c r="J1241" s="6" t="s">
        <v>74</v>
      </c>
      <c r="K1241" s="6">
        <v>0.52</v>
      </c>
      <c r="L1241" s="6" t="s">
        <v>42</v>
      </c>
      <c r="M1241" s="6" t="s">
        <v>34</v>
      </c>
      <c r="N1241" s="6"/>
    </row>
    <row r="1242" spans="1:14">
      <c r="A1242" s="6" t="s">
        <v>2389</v>
      </c>
      <c r="B1242" s="7">
        <v>46155</v>
      </c>
      <c r="C1242" s="6" t="s">
        <v>1819</v>
      </c>
      <c r="D1242" s="6" t="str">
        <f>IF(OR(PROPER(TRIM(Raw_Data!D1242))="Uk",PROPER(TRIM(Raw_Data!D1242))="Gb",PROPER(TRIM(Raw_Data!D1242))="United kingdom"),"United Kingdom",PROPER(TRIM(Raw_Data!D1242)))</f>
        <v>United Kingdom</v>
      </c>
      <c r="E1242" s="6" t="s">
        <v>37</v>
      </c>
      <c r="F1242" s="6" t="s">
        <v>38</v>
      </c>
      <c r="G1242" s="6" t="str">
        <f>SUBSTITUTE(Raw_Data!G1242,"Ã©","é")</f>
        <v>Fell Runner Cap</v>
      </c>
      <c r="H1242" s="6">
        <v>2</v>
      </c>
      <c r="I1242" s="6" t="s">
        <v>79</v>
      </c>
      <c r="J1242" s="6" t="s">
        <v>259</v>
      </c>
      <c r="K1242" s="6">
        <v>0.52</v>
      </c>
      <c r="L1242" s="6" t="s">
        <v>42</v>
      </c>
      <c r="M1242" s="6" t="s">
        <v>34</v>
      </c>
      <c r="N1242" s="6"/>
    </row>
    <row r="1243" spans="1:14">
      <c r="A1243" s="6" t="s">
        <v>2390</v>
      </c>
      <c r="B1243" s="7">
        <v>46055</v>
      </c>
      <c r="C1243" s="6" t="s">
        <v>2391</v>
      </c>
      <c r="D1243" s="6" t="str">
        <f>IF(OR(PROPER(TRIM(Raw_Data!D1243))="Uk",PROPER(TRIM(Raw_Data!D1243))="Gb",PROPER(TRIM(Raw_Data!D1243))="United kingdom"),"United Kingdom",PROPER(TRIM(Raw_Data!D1243)))</f>
        <v>United Kingdom</v>
      </c>
      <c r="E1243" s="6" t="s">
        <v>52</v>
      </c>
      <c r="F1243" s="6" t="s">
        <v>53</v>
      </c>
      <c r="G1243" s="6" t="str">
        <f>SUBSTITUTE(Raw_Data!G1243,"Ã©","é")</f>
        <v>Alpine Jacket</v>
      </c>
      <c r="H1243" s="6">
        <v>1</v>
      </c>
      <c r="I1243" s="6" t="s">
        <v>82</v>
      </c>
      <c r="J1243" s="6" t="s">
        <v>82</v>
      </c>
      <c r="K1243" s="6">
        <v>0.19</v>
      </c>
      <c r="L1243" s="6" t="s">
        <v>42</v>
      </c>
      <c r="M1243" s="6" t="s">
        <v>34</v>
      </c>
      <c r="N1243" s="6"/>
    </row>
    <row r="1244" spans="1:14">
      <c r="A1244" s="6" t="s">
        <v>2392</v>
      </c>
      <c r="B1244" s="7">
        <v>46170</v>
      </c>
      <c r="C1244" s="6" t="s">
        <v>240</v>
      </c>
      <c r="D1244" s="6" t="str">
        <f>IF(OR(PROPER(TRIM(Raw_Data!D1244))="Uk",PROPER(TRIM(Raw_Data!D1244))="Gb",PROPER(TRIM(Raw_Data!D1244))="United kingdom"),"United Kingdom",PROPER(TRIM(Raw_Data!D1244)))</f>
        <v>Ireland</v>
      </c>
      <c r="E1244" s="6" t="s">
        <v>78</v>
      </c>
      <c r="F1244" s="6" t="s">
        <v>53</v>
      </c>
      <c r="G1244" s="6" t="str">
        <f>SUBSTITUTE(Raw_Data!G1244,"Ã©","é")</f>
        <v>Storm Overtrousers</v>
      </c>
      <c r="H1244" s="6">
        <v>2</v>
      </c>
      <c r="I1244" s="6" t="s">
        <v>90</v>
      </c>
      <c r="J1244" s="6" t="s">
        <v>278</v>
      </c>
      <c r="K1244" s="6">
        <v>0.19</v>
      </c>
      <c r="L1244" s="6" t="s">
        <v>42</v>
      </c>
      <c r="M1244" s="6" t="s">
        <v>34</v>
      </c>
      <c r="N1244" s="6"/>
    </row>
    <row r="1245" spans="1:14">
      <c r="A1245" s="6" t="s">
        <v>2393</v>
      </c>
      <c r="B1245" s="7">
        <v>46102</v>
      </c>
      <c r="C1245" s="6" t="s">
        <v>66</v>
      </c>
      <c r="D1245" s="6" t="str">
        <f>IF(OR(PROPER(TRIM(Raw_Data!D1245))="Uk",PROPER(TRIM(Raw_Data!D1245))="Gb",PROPER(TRIM(Raw_Data!D1245))="United kingdom"),"United Kingdom",PROPER(TRIM(Raw_Data!D1245)))</f>
        <v>United Kingdom</v>
      </c>
      <c r="E1245" s="6" t="s">
        <v>46</v>
      </c>
      <c r="F1245" s="6" t="s">
        <v>85</v>
      </c>
      <c r="G1245" s="6" t="str">
        <f>SUBSTITUTE(Raw_Data!G1245,"Ã©","é")</f>
        <v>Merino Base Layer</v>
      </c>
      <c r="H1245" s="6">
        <v>2</v>
      </c>
      <c r="I1245" s="6" t="s">
        <v>656</v>
      </c>
      <c r="J1245" s="6" t="s">
        <v>192</v>
      </c>
      <c r="K1245" s="6">
        <v>0.41</v>
      </c>
      <c r="L1245" s="6" t="s">
        <v>33</v>
      </c>
      <c r="M1245" s="6" t="s">
        <v>34</v>
      </c>
      <c r="N1245" s="6"/>
    </row>
    <row r="1246" spans="1:14">
      <c r="A1246" s="6" t="s">
        <v>2394</v>
      </c>
      <c r="B1246" s="7">
        <v>46144</v>
      </c>
      <c r="C1246" s="6" t="s">
        <v>2395</v>
      </c>
      <c r="D1246" s="6" t="str">
        <f>IF(OR(PROPER(TRIM(Raw_Data!D1246))="Uk",PROPER(TRIM(Raw_Data!D1246))="Gb",PROPER(TRIM(Raw_Data!D1246))="United kingdom"),"United Kingdom",PROPER(TRIM(Raw_Data!D1246)))</f>
        <v>Ireland</v>
      </c>
      <c r="E1246" s="6" t="s">
        <v>46</v>
      </c>
      <c r="F1246" s="6" t="s">
        <v>29</v>
      </c>
      <c r="G1246" s="6" t="str">
        <f>SUBSTITUTE(Raw_Data!G1246,"Ã©","é")</f>
        <v>Trail Softshell</v>
      </c>
      <c r="H1246" s="6">
        <v>2</v>
      </c>
      <c r="I1246" s="6" t="s">
        <v>31</v>
      </c>
      <c r="J1246" s="6" t="s">
        <v>216</v>
      </c>
      <c r="K1246" s="6">
        <v>0.52</v>
      </c>
      <c r="L1246" s="6" t="s">
        <v>42</v>
      </c>
      <c r="M1246" s="6" t="s">
        <v>34</v>
      </c>
      <c r="N1246" s="6"/>
    </row>
    <row r="1247" spans="1:14">
      <c r="A1247" s="6" t="s">
        <v>2396</v>
      </c>
      <c r="B1247" s="7">
        <v>46099</v>
      </c>
      <c r="C1247" s="6" t="s">
        <v>245</v>
      </c>
      <c r="D1247" s="6" t="str">
        <f>IF(OR(PROPER(TRIM(Raw_Data!D1247))="Uk",PROPER(TRIM(Raw_Data!D1247))="Gb",PROPER(TRIM(Raw_Data!D1247))="United kingdom"),"United Kingdom",PROPER(TRIM(Raw_Data!D1247)))</f>
        <v>Germany</v>
      </c>
      <c r="E1247" s="6" t="s">
        <v>37</v>
      </c>
      <c r="F1247" s="6" t="s">
        <v>94</v>
      </c>
      <c r="G1247" s="6" t="str">
        <f>SUBSTITUTE(Raw_Data!G1247,"Ã©","é")</f>
        <v>Trekking Poles</v>
      </c>
      <c r="H1247" s="6">
        <v>1</v>
      </c>
      <c r="I1247" s="6" t="s">
        <v>67</v>
      </c>
      <c r="J1247" s="6" t="s">
        <v>67</v>
      </c>
      <c r="K1247" s="6">
        <v>0.34</v>
      </c>
      <c r="L1247" s="6" t="s">
        <v>42</v>
      </c>
      <c r="M1247" s="6" t="s">
        <v>34</v>
      </c>
      <c r="N1247" s="6"/>
    </row>
    <row r="1248" spans="1:14">
      <c r="A1248" s="6" t="s">
        <v>2397</v>
      </c>
      <c r="B1248" s="7">
        <v>46140</v>
      </c>
      <c r="C1248" s="6" t="s">
        <v>2398</v>
      </c>
      <c r="D1248" s="6" t="str">
        <f>IF(OR(PROPER(TRIM(Raw_Data!D1248))="Uk",PROPER(TRIM(Raw_Data!D1248))="Gb",PROPER(TRIM(Raw_Data!D1248))="United kingdom"),"United Kingdom",PROPER(TRIM(Raw_Data!D1248)))</f>
        <v>Ireland</v>
      </c>
      <c r="E1248" s="6" t="s">
        <v>37</v>
      </c>
      <c r="F1248" s="6" t="s">
        <v>100</v>
      </c>
      <c r="G1248" s="6" t="str">
        <f>SUBSTITUTE(Raw_Data!G1248,"Ã©","é")</f>
        <v>Trail Softshell</v>
      </c>
      <c r="H1248" s="6">
        <v>1</v>
      </c>
      <c r="I1248" s="6" t="s">
        <v>117</v>
      </c>
      <c r="J1248" s="6" t="s">
        <v>117</v>
      </c>
      <c r="K1248" s="6">
        <v>0.64</v>
      </c>
      <c r="L1248" s="6" t="s">
        <v>42</v>
      </c>
      <c r="M1248" s="6" t="s">
        <v>34</v>
      </c>
      <c r="N1248" s="6"/>
    </row>
    <row r="1249" spans="1:14">
      <c r="A1249" s="6" t="s">
        <v>2399</v>
      </c>
      <c r="B1249" s="7">
        <v>46098</v>
      </c>
      <c r="C1249" s="6" t="s">
        <v>2400</v>
      </c>
      <c r="D1249" s="6" t="str">
        <f>IF(OR(PROPER(TRIM(Raw_Data!D1249))="Uk",PROPER(TRIM(Raw_Data!D1249))="Gb",PROPER(TRIM(Raw_Data!D1249))="United kingdom"),"United Kingdom",PROPER(TRIM(Raw_Data!D1249)))</f>
        <v>United Kingdom</v>
      </c>
      <c r="E1249" s="6" t="s">
        <v>52</v>
      </c>
      <c r="F1249" s="6" t="s">
        <v>29</v>
      </c>
      <c r="G1249" s="6" t="str">
        <f>SUBSTITUTE(Raw_Data!G1249,"Ã©","é")</f>
        <v>Trail Softshell</v>
      </c>
      <c r="H1249" s="6">
        <v>1</v>
      </c>
      <c r="I1249" s="6" t="s">
        <v>143</v>
      </c>
      <c r="J1249" s="6" t="s">
        <v>143</v>
      </c>
      <c r="K1249" s="6">
        <v>0.52</v>
      </c>
      <c r="L1249" s="6" t="s">
        <v>42</v>
      </c>
      <c r="M1249" s="6" t="s">
        <v>34</v>
      </c>
      <c r="N1249" s="6"/>
    </row>
    <row r="1250" spans="1:14">
      <c r="A1250" s="6" t="s">
        <v>2401</v>
      </c>
      <c r="B1250" s="7">
        <v>46097</v>
      </c>
      <c r="C1250" s="6" t="s">
        <v>2402</v>
      </c>
      <c r="D1250" s="6" t="str">
        <f>IF(OR(PROPER(TRIM(Raw_Data!D1250))="Uk",PROPER(TRIM(Raw_Data!D1250))="Gb",PROPER(TRIM(Raw_Data!D1250))="United kingdom"),"United Kingdom",PROPER(TRIM(Raw_Data!D1250)))</f>
        <v>United Kingdom</v>
      </c>
      <c r="E1250" s="6" t="s">
        <v>28</v>
      </c>
      <c r="F1250" s="6" t="s">
        <v>94</v>
      </c>
      <c r="G1250" s="6" t="str">
        <f>SUBSTITUTE(Raw_Data!G1250,"Ã©","é")</f>
        <v>Trekking Poles</v>
      </c>
      <c r="H1250" s="6">
        <v>1</v>
      </c>
      <c r="I1250" s="6" t="s">
        <v>181</v>
      </c>
      <c r="J1250" s="6" t="s">
        <v>181</v>
      </c>
      <c r="K1250" s="6">
        <v>0.34</v>
      </c>
      <c r="L1250" s="6" t="s">
        <v>33</v>
      </c>
      <c r="M1250" s="6" t="s">
        <v>34</v>
      </c>
      <c r="N1250" s="6"/>
    </row>
    <row r="1251" spans="1:14">
      <c r="A1251" s="6" t="s">
        <v>2403</v>
      </c>
      <c r="B1251" s="7">
        <v>46268</v>
      </c>
      <c r="C1251" s="6" t="s">
        <v>2404</v>
      </c>
      <c r="D1251" s="6" t="str">
        <f>IF(OR(PROPER(TRIM(Raw_Data!D1251))="Uk",PROPER(TRIM(Raw_Data!D1251))="Gb",PROPER(TRIM(Raw_Data!D1251))="United kingdom"),"United Kingdom",PROPER(TRIM(Raw_Data!D1251)))</f>
        <v>United Kingdom</v>
      </c>
      <c r="E1251" s="6" t="s">
        <v>37</v>
      </c>
      <c r="F1251" s="6" t="s">
        <v>47</v>
      </c>
      <c r="G1251" s="6" t="str">
        <f>SUBSTITUTE(Raw_Data!G1251,"Ã©","é")</f>
        <v>Trail Softshell</v>
      </c>
      <c r="H1251" s="6">
        <v>-1</v>
      </c>
      <c r="I1251" s="6" t="s">
        <v>265</v>
      </c>
      <c r="J1251" s="8" t="s">
        <v>311</v>
      </c>
      <c r="K1251" s="6">
        <v>8.5000000000000006E-2</v>
      </c>
      <c r="L1251" s="6" t="s">
        <v>33</v>
      </c>
      <c r="M1251" s="6" t="s">
        <v>34</v>
      </c>
      <c r="N1251" s="6"/>
    </row>
    <row r="1252" spans="1:14">
      <c r="A1252" s="6" t="s">
        <v>2405</v>
      </c>
      <c r="B1252" s="7">
        <v>46084</v>
      </c>
      <c r="C1252" s="6" t="s">
        <v>2204</v>
      </c>
      <c r="D1252" s="6" t="str">
        <f>IF(OR(PROPER(TRIM(Raw_Data!D1252))="Uk",PROPER(TRIM(Raw_Data!D1252))="Gb",PROPER(TRIM(Raw_Data!D1252))="United kingdom"),"United Kingdom",PROPER(TRIM(Raw_Data!D1252)))</f>
        <v>France</v>
      </c>
      <c r="E1252" s="6" t="s">
        <v>28</v>
      </c>
      <c r="F1252" s="6" t="s">
        <v>29</v>
      </c>
      <c r="G1252" s="6" t="str">
        <f>SUBSTITUTE(Raw_Data!G1252,"Ã©","é")</f>
        <v>Merino Base Layer</v>
      </c>
      <c r="H1252" s="6">
        <v>2</v>
      </c>
      <c r="I1252" s="6" t="s">
        <v>60</v>
      </c>
      <c r="J1252" s="6" t="s">
        <v>189</v>
      </c>
      <c r="K1252" s="6">
        <v>0.52</v>
      </c>
      <c r="L1252" s="6" t="s">
        <v>42</v>
      </c>
      <c r="M1252" s="6" t="s">
        <v>34</v>
      </c>
      <c r="N1252" s="6"/>
    </row>
    <row r="1253" spans="1:14">
      <c r="A1253" s="6" t="s">
        <v>2406</v>
      </c>
      <c r="B1253" s="7">
        <v>46168</v>
      </c>
      <c r="C1253" s="6" t="s">
        <v>1104</v>
      </c>
      <c r="D1253" s="6" t="str">
        <f>IF(OR(PROPER(TRIM(Raw_Data!D1253))="Uk",PROPER(TRIM(Raw_Data!D1253))="Gb",PROPER(TRIM(Raw_Data!D1253))="United kingdom"),"United Kingdom",PROPER(TRIM(Raw_Data!D1253)))</f>
        <v>United Kingdom</v>
      </c>
      <c r="E1253" s="6" t="s">
        <v>52</v>
      </c>
      <c r="F1253" s="6" t="s">
        <v>53</v>
      </c>
      <c r="G1253" s="6" t="str">
        <f>SUBSTITUTE(Raw_Data!G1253,"Ã©","é")</f>
        <v>Summit Down Gilet</v>
      </c>
      <c r="H1253" s="6">
        <v>1</v>
      </c>
      <c r="I1253" s="6" t="s">
        <v>90</v>
      </c>
      <c r="J1253" s="6" t="s">
        <v>90</v>
      </c>
      <c r="K1253" s="6">
        <v>0.19</v>
      </c>
      <c r="L1253" s="6" t="s">
        <v>42</v>
      </c>
      <c r="M1253" s="6" t="s">
        <v>69</v>
      </c>
      <c r="N1253" s="6"/>
    </row>
    <row r="1254" spans="1:14">
      <c r="A1254" s="6" t="s">
        <v>2407</v>
      </c>
      <c r="B1254" s="7">
        <v>46331</v>
      </c>
      <c r="C1254" s="6" t="s">
        <v>1360</v>
      </c>
      <c r="D1254" s="6" t="str">
        <f>IF(OR(PROPER(TRIM(Raw_Data!D1254))="Uk",PROPER(TRIM(Raw_Data!D1254))="Gb",PROPER(TRIM(Raw_Data!D1254))="United kingdom"),"United Kingdom",PROPER(TRIM(Raw_Data!D1254)))</f>
        <v>United Kingdom</v>
      </c>
      <c r="E1254" s="6" t="s">
        <v>46</v>
      </c>
      <c r="F1254" s="6" t="s">
        <v>29</v>
      </c>
      <c r="G1254" s="6" t="str">
        <f>SUBSTITUTE(Raw_Data!G1254,"Ã©","é")</f>
        <v>Merino Base Layer</v>
      </c>
      <c r="H1254" s="6">
        <v>2</v>
      </c>
      <c r="I1254" s="6" t="s">
        <v>67</v>
      </c>
      <c r="J1254" s="6" t="s">
        <v>204</v>
      </c>
      <c r="K1254" s="6">
        <v>0.52</v>
      </c>
      <c r="L1254" s="6" t="s">
        <v>42</v>
      </c>
      <c r="M1254" s="6" t="s">
        <v>69</v>
      </c>
      <c r="N1254" s="6"/>
    </row>
    <row r="1255" spans="1:14">
      <c r="A1255" s="6" t="s">
        <v>2408</v>
      </c>
      <c r="B1255" s="7">
        <v>46098</v>
      </c>
      <c r="C1255" s="6" t="s">
        <v>446</v>
      </c>
      <c r="D1255" s="6" t="str">
        <f>IF(OR(PROPER(TRIM(Raw_Data!D1255))="Uk",PROPER(TRIM(Raw_Data!D1255))="Gb",PROPER(TRIM(Raw_Data!D1255))="United kingdom"),"United Kingdom",PROPER(TRIM(Raw_Data!D1255)))</f>
        <v>United Kingdom</v>
      </c>
      <c r="E1255" s="6" t="s">
        <v>46</v>
      </c>
      <c r="F1255" s="6" t="s">
        <v>85</v>
      </c>
      <c r="G1255" s="6" t="str">
        <f>SUBSTITUTE(Raw_Data!G1255,"Ã©","é")</f>
        <v>Trekking Poles</v>
      </c>
      <c r="H1255" s="6">
        <v>3</v>
      </c>
      <c r="I1255" s="6" t="s">
        <v>113</v>
      </c>
      <c r="J1255" s="6" t="s">
        <v>138</v>
      </c>
      <c r="K1255" s="6">
        <v>0.41</v>
      </c>
      <c r="L1255" s="6" t="s">
        <v>42</v>
      </c>
      <c r="M1255" s="6" t="s">
        <v>34</v>
      </c>
      <c r="N1255" s="6"/>
    </row>
    <row r="1256" spans="1:14">
      <c r="A1256" s="6" t="s">
        <v>2409</v>
      </c>
      <c r="B1256" s="7">
        <v>46079</v>
      </c>
      <c r="C1256" s="6" t="s">
        <v>2410</v>
      </c>
      <c r="D1256" s="6" t="str">
        <f>IF(OR(PROPER(TRIM(Raw_Data!D1256))="Uk",PROPER(TRIM(Raw_Data!D1256))="Gb",PROPER(TRIM(Raw_Data!D1256))="United kingdom"),"United Kingdom",PROPER(TRIM(Raw_Data!D1256)))</f>
        <v>United Kingdom</v>
      </c>
      <c r="E1256" s="6" t="s">
        <v>37</v>
      </c>
      <c r="F1256" s="6" t="s">
        <v>85</v>
      </c>
      <c r="G1256" s="6" t="str">
        <f>SUBSTITUTE(Raw_Data!G1256,"Ã©","é")</f>
        <v>Storm Overtrousers</v>
      </c>
      <c r="H1256" s="6">
        <v>2</v>
      </c>
      <c r="I1256" s="6" t="s">
        <v>31</v>
      </c>
      <c r="J1256" s="6" t="s">
        <v>249</v>
      </c>
      <c r="K1256" s="6">
        <v>0.41</v>
      </c>
      <c r="L1256" s="6" t="s">
        <v>42</v>
      </c>
      <c r="M1256" s="6" t="s">
        <v>34</v>
      </c>
      <c r="N1256" s="6"/>
    </row>
    <row r="1257" spans="1:14">
      <c r="A1257" s="6" t="s">
        <v>2411</v>
      </c>
      <c r="B1257" s="7">
        <v>46170</v>
      </c>
      <c r="C1257" s="6" t="s">
        <v>2412</v>
      </c>
      <c r="D1257" s="6" t="str">
        <f>IF(OR(PROPER(TRIM(Raw_Data!D1257))="Uk",PROPER(TRIM(Raw_Data!D1257))="Gb",PROPER(TRIM(Raw_Data!D1257))="United kingdom"),"United Kingdom",PROPER(TRIM(Raw_Data!D1257)))</f>
        <v>France</v>
      </c>
      <c r="E1257" s="6" t="s">
        <v>52</v>
      </c>
      <c r="F1257" s="6" t="s">
        <v>47</v>
      </c>
      <c r="G1257" s="6" t="str">
        <f>SUBSTITUTE(Raw_Data!G1257,"Ã©","é")</f>
        <v>Trekking Poles</v>
      </c>
      <c r="H1257" s="6">
        <v>2</v>
      </c>
      <c r="I1257" s="6" t="s">
        <v>265</v>
      </c>
      <c r="J1257" s="6" t="s">
        <v>167</v>
      </c>
      <c r="K1257" s="6">
        <v>8.5000000000000006E-2</v>
      </c>
      <c r="L1257" s="6" t="s">
        <v>42</v>
      </c>
      <c r="M1257" s="6" t="s">
        <v>69</v>
      </c>
      <c r="N1257" s="6"/>
    </row>
    <row r="1258" spans="1:14">
      <c r="A1258" s="6" t="s">
        <v>2413</v>
      </c>
      <c r="B1258" s="7">
        <v>46266</v>
      </c>
      <c r="C1258" s="6" t="s">
        <v>784</v>
      </c>
      <c r="D1258" s="6" t="str">
        <f>IF(OR(PROPER(TRIM(Raw_Data!D1258))="Uk",PROPER(TRIM(Raw_Data!D1258))="Gb",PROPER(TRIM(Raw_Data!D1258))="United kingdom"),"United Kingdom",PROPER(TRIM(Raw_Data!D1258)))</f>
        <v>Ireland</v>
      </c>
      <c r="E1258" s="6" t="s">
        <v>28</v>
      </c>
      <c r="F1258" s="6" t="s">
        <v>53</v>
      </c>
      <c r="G1258" s="6" t="str">
        <f>SUBSTITUTE(Raw_Data!G1258,"Ã©","é")</f>
        <v>Café Latte Mug</v>
      </c>
      <c r="H1258" s="6">
        <v>2</v>
      </c>
      <c r="I1258" s="6" t="s">
        <v>113</v>
      </c>
      <c r="J1258" s="6" t="s">
        <v>192</v>
      </c>
      <c r="K1258" s="6">
        <v>0.19</v>
      </c>
      <c r="L1258" s="6" t="s">
        <v>42</v>
      </c>
      <c r="M1258" s="6" t="s">
        <v>34</v>
      </c>
      <c r="N1258" s="6"/>
    </row>
    <row r="1259" spans="1:14">
      <c r="A1259" s="6" t="s">
        <v>2414</v>
      </c>
      <c r="B1259" s="7">
        <v>46094</v>
      </c>
      <c r="C1259" s="6" t="s">
        <v>2273</v>
      </c>
      <c r="D1259" s="6" t="str">
        <f>IF(OR(PROPER(TRIM(Raw_Data!D1259))="Uk",PROPER(TRIM(Raw_Data!D1259))="Gb",PROPER(TRIM(Raw_Data!D1259))="United kingdom"),"United Kingdom",PROPER(TRIM(Raw_Data!D1259)))</f>
        <v>United Kingdom</v>
      </c>
      <c r="E1259" s="6" t="s">
        <v>52</v>
      </c>
      <c r="F1259" s="6" t="s">
        <v>29</v>
      </c>
      <c r="G1259" s="6" t="str">
        <f>SUBSTITUTE(Raw_Data!G1259,"Ã©","é")</f>
        <v>Alpine Jacket</v>
      </c>
      <c r="H1259" s="6">
        <v>1</v>
      </c>
      <c r="I1259" s="6" t="s">
        <v>181</v>
      </c>
      <c r="J1259" s="6" t="s">
        <v>1715</v>
      </c>
      <c r="K1259" s="6">
        <v>0.52</v>
      </c>
      <c r="L1259" s="6" t="s">
        <v>42</v>
      </c>
      <c r="M1259" s="6" t="s">
        <v>34</v>
      </c>
      <c r="N1259" s="6"/>
    </row>
    <row r="1260" spans="1:14">
      <c r="A1260" s="6" t="s">
        <v>2415</v>
      </c>
      <c r="B1260" s="7">
        <v>46139</v>
      </c>
      <c r="C1260" s="6" t="s">
        <v>1202</v>
      </c>
      <c r="D1260" s="6" t="str">
        <f>IF(OR(PROPER(TRIM(Raw_Data!D1260))="Uk",PROPER(TRIM(Raw_Data!D1260))="Gb",PROPER(TRIM(Raw_Data!D1260))="United kingdom"),"United Kingdom",PROPER(TRIM(Raw_Data!D1260)))</f>
        <v>Germany</v>
      </c>
      <c r="E1260" s="6" t="s">
        <v>78</v>
      </c>
      <c r="F1260" s="6" t="s">
        <v>53</v>
      </c>
      <c r="G1260" s="6" t="str">
        <f>SUBSTITUTE(Raw_Data!G1260,"Ã©","é")</f>
        <v>Trekking Poles</v>
      </c>
      <c r="H1260" s="6">
        <v>1</v>
      </c>
      <c r="I1260" s="6" t="s">
        <v>79</v>
      </c>
      <c r="J1260" s="6" t="s">
        <v>79</v>
      </c>
      <c r="K1260" s="6">
        <v>0.19</v>
      </c>
      <c r="L1260" s="6" t="s">
        <v>33</v>
      </c>
      <c r="M1260" s="6" t="s">
        <v>34</v>
      </c>
      <c r="N1260" s="6"/>
    </row>
    <row r="1261" spans="1:14">
      <c r="A1261" s="6" t="s">
        <v>2416</v>
      </c>
      <c r="B1261" s="7">
        <v>46239</v>
      </c>
      <c r="C1261" s="6" t="s">
        <v>1511</v>
      </c>
      <c r="D1261" s="6" t="str">
        <f>IF(OR(PROPER(TRIM(Raw_Data!D1261))="Uk",PROPER(TRIM(Raw_Data!D1261))="Gb",PROPER(TRIM(Raw_Data!D1261))="United kingdom"),"United Kingdom",PROPER(TRIM(Raw_Data!D1261)))</f>
        <v>Ireland</v>
      </c>
      <c r="E1261" s="6" t="s">
        <v>52</v>
      </c>
      <c r="F1261" s="6" t="s">
        <v>29</v>
      </c>
      <c r="G1261" s="6" t="str">
        <f>SUBSTITUTE(Raw_Data!G1261,"Ã©","é")</f>
        <v>Café Latte Mug</v>
      </c>
      <c r="H1261" s="6">
        <v>2</v>
      </c>
      <c r="I1261" s="6" t="s">
        <v>181</v>
      </c>
      <c r="J1261" s="6" t="s">
        <v>163</v>
      </c>
      <c r="K1261" s="6">
        <v>0.52</v>
      </c>
      <c r="L1261" s="6" t="s">
        <v>33</v>
      </c>
      <c r="M1261" s="6" t="s">
        <v>34</v>
      </c>
      <c r="N1261" s="6"/>
    </row>
    <row r="1262" spans="1:14">
      <c r="A1262" s="6" t="s">
        <v>2417</v>
      </c>
      <c r="B1262" s="7">
        <v>46040</v>
      </c>
      <c r="C1262" s="6" t="s">
        <v>988</v>
      </c>
      <c r="D1262" s="6" t="str">
        <f>IF(OR(PROPER(TRIM(Raw_Data!D1262))="Uk",PROPER(TRIM(Raw_Data!D1262))="Gb",PROPER(TRIM(Raw_Data!D1262))="United kingdom"),"United Kingdom",PROPER(TRIM(Raw_Data!D1262)))</f>
        <v>Germany</v>
      </c>
      <c r="E1262" s="6" t="s">
        <v>46</v>
      </c>
      <c r="F1262" s="6" t="s">
        <v>53</v>
      </c>
      <c r="G1262" s="6" t="str">
        <f>SUBSTITUTE(Raw_Data!G1262,"Ã©","é")</f>
        <v>Fell Runner Cap</v>
      </c>
      <c r="H1262" s="6">
        <v>1</v>
      </c>
      <c r="I1262" s="6" t="s">
        <v>143</v>
      </c>
      <c r="J1262" s="6" t="s">
        <v>143</v>
      </c>
      <c r="K1262" s="6">
        <v>0.19</v>
      </c>
      <c r="L1262" s="6" t="s">
        <v>33</v>
      </c>
      <c r="M1262" s="6" t="s">
        <v>69</v>
      </c>
      <c r="N1262" s="6"/>
    </row>
    <row r="1263" spans="1:14">
      <c r="A1263" s="6" t="s">
        <v>2418</v>
      </c>
      <c r="B1263" s="7">
        <v>46174</v>
      </c>
      <c r="C1263" s="6" t="s">
        <v>2419</v>
      </c>
      <c r="D1263" s="6" t="str">
        <f>IF(OR(PROPER(TRIM(Raw_Data!D1263))="Uk",PROPER(TRIM(Raw_Data!D1263))="Gb",PROPER(TRIM(Raw_Data!D1263))="United kingdom"),"United Kingdom",PROPER(TRIM(Raw_Data!D1263)))</f>
        <v>United Kingdom</v>
      </c>
      <c r="E1263" s="6" t="s">
        <v>37</v>
      </c>
      <c r="F1263" s="6" t="s">
        <v>58</v>
      </c>
      <c r="G1263" s="6" t="str">
        <f>SUBSTITUTE(Raw_Data!G1263,"Ã©","é")</f>
        <v>Trekking Poles</v>
      </c>
      <c r="H1263" s="6">
        <v>2</v>
      </c>
      <c r="I1263" s="6" t="s">
        <v>113</v>
      </c>
      <c r="J1263" s="6" t="s">
        <v>192</v>
      </c>
      <c r="K1263" s="6">
        <v>0.38</v>
      </c>
      <c r="L1263" s="6" t="s">
        <v>42</v>
      </c>
      <c r="M1263" s="6" t="s">
        <v>34</v>
      </c>
      <c r="N1263" s="6"/>
    </row>
    <row r="1264" spans="1:14">
      <c r="A1264" s="6" t="s">
        <v>2420</v>
      </c>
      <c r="B1264" s="7">
        <v>46127</v>
      </c>
      <c r="C1264" s="6" t="s">
        <v>2421</v>
      </c>
      <c r="D1264" s="6" t="str">
        <f>IF(OR(PROPER(TRIM(Raw_Data!D1264))="Uk",PROPER(TRIM(Raw_Data!D1264))="Gb",PROPER(TRIM(Raw_Data!D1264))="United kingdom"),"United Kingdom",PROPER(TRIM(Raw_Data!D1264)))</f>
        <v>United Kingdom</v>
      </c>
      <c r="E1264" s="6" t="s">
        <v>52</v>
      </c>
      <c r="F1264" s="6" t="s">
        <v>100</v>
      </c>
      <c r="G1264" s="6" t="str">
        <f>SUBSTITUTE(Raw_Data!G1264,"Ã©","é")</f>
        <v>Merino Base Layer</v>
      </c>
      <c r="H1264" s="6">
        <v>3</v>
      </c>
      <c r="I1264" s="6" t="s">
        <v>90</v>
      </c>
      <c r="J1264" s="6" t="s">
        <v>102</v>
      </c>
      <c r="K1264" s="6">
        <v>0.64</v>
      </c>
      <c r="L1264" s="6" t="s">
        <v>33</v>
      </c>
      <c r="M1264" s="6" t="s">
        <v>34</v>
      </c>
      <c r="N1264" s="6"/>
    </row>
    <row r="1265" spans="1:14">
      <c r="A1265" s="6" t="s">
        <v>2422</v>
      </c>
      <c r="B1265" s="7">
        <v>46101</v>
      </c>
      <c r="C1265" s="6" t="s">
        <v>1442</v>
      </c>
      <c r="D1265" s="6" t="str">
        <f>IF(OR(PROPER(TRIM(Raw_Data!D1265))="Uk",PROPER(TRIM(Raw_Data!D1265))="Gb",PROPER(TRIM(Raw_Data!D1265))="United kingdom"),"United Kingdom",PROPER(TRIM(Raw_Data!D1265)))</f>
        <v>Ireland</v>
      </c>
      <c r="E1265" s="6" t="s">
        <v>37</v>
      </c>
      <c r="F1265" s="6" t="s">
        <v>85</v>
      </c>
      <c r="G1265" s="6" t="str">
        <f>SUBSTITUTE(Raw_Data!G1265,"Ã©","é")</f>
        <v>Trekking Poles</v>
      </c>
      <c r="H1265" s="6">
        <v>2</v>
      </c>
      <c r="I1265" s="6" t="s">
        <v>143</v>
      </c>
      <c r="J1265" s="6" t="s">
        <v>144</v>
      </c>
      <c r="K1265" s="6">
        <v>0.41</v>
      </c>
      <c r="L1265" s="6" t="s">
        <v>42</v>
      </c>
      <c r="M1265" s="6" t="s">
        <v>34</v>
      </c>
      <c r="N1265" s="6"/>
    </row>
    <row r="1266" spans="1:14">
      <c r="A1266" s="6" t="s">
        <v>2423</v>
      </c>
      <c r="B1266" s="7">
        <v>46083</v>
      </c>
      <c r="C1266" s="6" t="s">
        <v>1139</v>
      </c>
      <c r="D1266" s="6" t="str">
        <f>IF(OR(PROPER(TRIM(Raw_Data!D1266))="Uk",PROPER(TRIM(Raw_Data!D1266))="Gb",PROPER(TRIM(Raw_Data!D1266))="United kingdom"),"United Kingdom",PROPER(TRIM(Raw_Data!D1266)))</f>
        <v>Ireland</v>
      </c>
      <c r="E1266" s="6" t="s">
        <v>52</v>
      </c>
      <c r="F1266" s="6" t="s">
        <v>29</v>
      </c>
      <c r="G1266" s="6" t="str">
        <f>SUBSTITUTE(Raw_Data!G1266,"Ã©","é")</f>
        <v>Storm Overtrousers</v>
      </c>
      <c r="H1266" s="6">
        <v>2</v>
      </c>
      <c r="I1266" s="6" t="s">
        <v>143</v>
      </c>
      <c r="J1266" s="6" t="s">
        <v>144</v>
      </c>
      <c r="K1266" s="6">
        <v>0.52</v>
      </c>
      <c r="L1266" s="6" t="s">
        <v>42</v>
      </c>
      <c r="M1266" s="6" t="s">
        <v>34</v>
      </c>
      <c r="N1266" s="6"/>
    </row>
    <row r="1267" spans="1:14">
      <c r="A1267" s="6" t="s">
        <v>2424</v>
      </c>
      <c r="B1267" s="7">
        <v>46109</v>
      </c>
      <c r="C1267" s="6" t="s">
        <v>2425</v>
      </c>
      <c r="D1267" s="6" t="str">
        <f>IF(OR(PROPER(TRIM(Raw_Data!D1267))="Uk",PROPER(TRIM(Raw_Data!D1267))="Gb",PROPER(TRIM(Raw_Data!D1267))="United kingdom"),"United Kingdom",PROPER(TRIM(Raw_Data!D1267)))</f>
        <v>United Kingdom</v>
      </c>
      <c r="E1267" s="6" t="s">
        <v>46</v>
      </c>
      <c r="F1267" s="6" t="s">
        <v>29</v>
      </c>
      <c r="G1267" s="6" t="str">
        <f>SUBSTITUTE(Raw_Data!G1267,"Ã©","é")</f>
        <v>Storm Overtrousers</v>
      </c>
      <c r="H1267" s="6">
        <v>1</v>
      </c>
      <c r="I1267" s="6" t="s">
        <v>113</v>
      </c>
      <c r="J1267" s="6" t="s">
        <v>113</v>
      </c>
      <c r="K1267" s="6">
        <v>0.52</v>
      </c>
      <c r="L1267" s="6" t="s">
        <v>42</v>
      </c>
      <c r="M1267" s="6" t="s">
        <v>34</v>
      </c>
      <c r="N1267" s="6"/>
    </row>
    <row r="1268" spans="1:14">
      <c r="A1268" s="6" t="s">
        <v>2426</v>
      </c>
      <c r="B1268" s="7">
        <v>46117</v>
      </c>
      <c r="C1268" s="6" t="s">
        <v>161</v>
      </c>
      <c r="D1268" s="6" t="str">
        <f>IF(OR(PROPER(TRIM(Raw_Data!D1268))="Uk",PROPER(TRIM(Raw_Data!D1268))="Gb",PROPER(TRIM(Raw_Data!D1268))="United kingdom"),"United Kingdom",PROPER(TRIM(Raw_Data!D1268)))</f>
        <v>Germany</v>
      </c>
      <c r="E1268" s="6" t="s">
        <v>37</v>
      </c>
      <c r="F1268" s="6" t="s">
        <v>58</v>
      </c>
      <c r="G1268" s="6" t="str">
        <f>SUBSTITUTE(Raw_Data!G1268,"Ã©","é")</f>
        <v>Fell Runner Cap</v>
      </c>
      <c r="H1268" s="6">
        <v>1</v>
      </c>
      <c r="I1268" s="6" t="s">
        <v>231</v>
      </c>
      <c r="J1268" s="6" t="s">
        <v>231</v>
      </c>
      <c r="K1268" s="6">
        <v>0.38</v>
      </c>
      <c r="L1268" s="6" t="s">
        <v>42</v>
      </c>
      <c r="M1268" s="6" t="s">
        <v>69</v>
      </c>
      <c r="N1268" s="6"/>
    </row>
    <row r="1269" spans="1:14">
      <c r="A1269" s="6" t="s">
        <v>2427</v>
      </c>
      <c r="B1269" s="7">
        <v>46174</v>
      </c>
      <c r="C1269" s="6" t="s">
        <v>2119</v>
      </c>
      <c r="D1269" s="6" t="str">
        <f>IF(OR(PROPER(TRIM(Raw_Data!D1269))="Uk",PROPER(TRIM(Raw_Data!D1269))="Gb",PROPER(TRIM(Raw_Data!D1269))="United kingdom"),"United Kingdom",PROPER(TRIM(Raw_Data!D1269)))</f>
        <v>United Kingdom</v>
      </c>
      <c r="E1269" s="6" t="s">
        <v>46</v>
      </c>
      <c r="F1269" s="6" t="s">
        <v>29</v>
      </c>
      <c r="G1269" s="6" t="str">
        <f>SUBSTITUTE(Raw_Data!G1269,"Ã©","é")</f>
        <v>Merino Base Layer</v>
      </c>
      <c r="H1269" s="6">
        <v>2</v>
      </c>
      <c r="I1269" s="6" t="s">
        <v>67</v>
      </c>
      <c r="J1269" s="6" t="s">
        <v>204</v>
      </c>
      <c r="K1269" s="6">
        <v>0.52</v>
      </c>
      <c r="L1269" s="6" t="s">
        <v>33</v>
      </c>
      <c r="M1269" s="6" t="s">
        <v>69</v>
      </c>
      <c r="N1269" s="6"/>
    </row>
    <row r="1270" spans="1:14">
      <c r="A1270" s="6" t="s">
        <v>2428</v>
      </c>
      <c r="B1270" s="7">
        <v>46136</v>
      </c>
      <c r="C1270" s="6" t="s">
        <v>573</v>
      </c>
      <c r="D1270" s="6" t="str">
        <f>IF(OR(PROPER(TRIM(Raw_Data!D1270))="Uk",PROPER(TRIM(Raw_Data!D1270))="Gb",PROPER(TRIM(Raw_Data!D1270))="United kingdom"),"United Kingdom",PROPER(TRIM(Raw_Data!D1270)))</f>
        <v>United Kingdom</v>
      </c>
      <c r="E1270" s="6" t="s">
        <v>52</v>
      </c>
      <c r="F1270" s="6" t="s">
        <v>58</v>
      </c>
      <c r="G1270" s="6" t="str">
        <f>SUBSTITUTE(Raw_Data!G1270,"Ã©","é")</f>
        <v>Trekking Poles</v>
      </c>
      <c r="H1270" s="6">
        <v>-2</v>
      </c>
      <c r="I1270" s="6" t="s">
        <v>231</v>
      </c>
      <c r="J1270" s="8" t="s">
        <v>2429</v>
      </c>
      <c r="K1270" s="6">
        <v>0.38</v>
      </c>
      <c r="L1270" s="6" t="s">
        <v>33</v>
      </c>
      <c r="M1270" s="6" t="s">
        <v>34</v>
      </c>
      <c r="N1270" s="6"/>
    </row>
    <row r="1271" spans="1:14">
      <c r="A1271" s="6" t="s">
        <v>2430</v>
      </c>
      <c r="B1271" s="7">
        <v>46107</v>
      </c>
      <c r="C1271" s="6" t="s">
        <v>2273</v>
      </c>
      <c r="D1271" s="6" t="str">
        <f>IF(OR(PROPER(TRIM(Raw_Data!D1271))="Uk",PROPER(TRIM(Raw_Data!D1271))="Gb",PROPER(TRIM(Raw_Data!D1271))="United kingdom"),"United Kingdom",PROPER(TRIM(Raw_Data!D1271)))</f>
        <v>United Kingdom</v>
      </c>
      <c r="E1271" s="6" t="s">
        <v>46</v>
      </c>
      <c r="F1271" s="6" t="s">
        <v>38</v>
      </c>
      <c r="G1271" s="6" t="str">
        <f>SUBSTITUTE(Raw_Data!G1271,"Ã©","é")</f>
        <v>Merino Base Layer</v>
      </c>
      <c r="H1271" s="6">
        <v>1</v>
      </c>
      <c r="I1271" s="6" t="s">
        <v>67</v>
      </c>
      <c r="J1271" s="6" t="s">
        <v>67</v>
      </c>
      <c r="K1271" s="6">
        <v>0.52</v>
      </c>
      <c r="L1271" s="6" t="s">
        <v>33</v>
      </c>
      <c r="M1271" s="6" t="s">
        <v>34</v>
      </c>
      <c r="N1271" s="6"/>
    </row>
    <row r="1272" spans="1:14">
      <c r="A1272" s="6" t="s">
        <v>2431</v>
      </c>
      <c r="B1272" s="7">
        <v>46358</v>
      </c>
      <c r="C1272" s="6" t="s">
        <v>2432</v>
      </c>
      <c r="D1272" s="6" t="str">
        <f>IF(OR(PROPER(TRIM(Raw_Data!D1272))="Uk",PROPER(TRIM(Raw_Data!D1272))="Gb",PROPER(TRIM(Raw_Data!D1272))="United kingdom"),"United Kingdom",PROPER(TRIM(Raw_Data!D1272)))</f>
        <v>United Kingdom</v>
      </c>
      <c r="E1272" s="6" t="s">
        <v>28</v>
      </c>
      <c r="F1272" s="6" t="s">
        <v>85</v>
      </c>
      <c r="G1272" s="6" t="str">
        <f>SUBSTITUTE(Raw_Data!G1272,"Ã©","é")</f>
        <v>Trekking Poles</v>
      </c>
      <c r="H1272" s="6">
        <v>3</v>
      </c>
      <c r="I1272" s="6" t="s">
        <v>117</v>
      </c>
      <c r="J1272" s="6" t="s">
        <v>171</v>
      </c>
      <c r="K1272" s="6">
        <v>0.41</v>
      </c>
      <c r="L1272" s="6" t="s">
        <v>33</v>
      </c>
      <c r="M1272" s="6" t="s">
        <v>34</v>
      </c>
      <c r="N1272" s="6"/>
    </row>
    <row r="1273" spans="1:14">
      <c r="A1273" s="6" t="s">
        <v>2433</v>
      </c>
      <c r="B1273" s="7">
        <v>46073</v>
      </c>
      <c r="C1273" s="6" t="s">
        <v>276</v>
      </c>
      <c r="D1273" s="6" t="str">
        <f>IF(OR(PROPER(TRIM(Raw_Data!D1273))="Uk",PROPER(TRIM(Raw_Data!D1273))="Gb",PROPER(TRIM(Raw_Data!D1273))="United kingdom"),"United Kingdom",PROPER(TRIM(Raw_Data!D1273)))</f>
        <v>Ireland</v>
      </c>
      <c r="E1273" s="6" t="s">
        <v>46</v>
      </c>
      <c r="F1273" s="6" t="s">
        <v>58</v>
      </c>
      <c r="G1273" s="6" t="str">
        <f>SUBSTITUTE(Raw_Data!G1273,"Ã©","é")</f>
        <v>Merino Base Layer</v>
      </c>
      <c r="H1273" s="6">
        <v>2</v>
      </c>
      <c r="I1273" s="6" t="s">
        <v>113</v>
      </c>
      <c r="J1273" s="6" t="s">
        <v>192</v>
      </c>
      <c r="K1273" s="6">
        <v>0.38</v>
      </c>
      <c r="L1273" s="6" t="s">
        <v>42</v>
      </c>
      <c r="M1273" s="6" t="s">
        <v>69</v>
      </c>
      <c r="N1273" s="6"/>
    </row>
    <row r="1274" spans="1:14">
      <c r="A1274" s="6" t="s">
        <v>2434</v>
      </c>
      <c r="B1274" s="7">
        <v>46038</v>
      </c>
      <c r="C1274" s="6" t="s">
        <v>324</v>
      </c>
      <c r="D1274" s="6" t="str">
        <f>IF(OR(PROPER(TRIM(Raw_Data!D1274))="Uk",PROPER(TRIM(Raw_Data!D1274))="Gb",PROPER(TRIM(Raw_Data!D1274))="United kingdom"),"United Kingdom",PROPER(TRIM(Raw_Data!D1274)))</f>
        <v>Germany</v>
      </c>
      <c r="E1274" s="6" t="s">
        <v>46</v>
      </c>
      <c r="F1274" s="6" t="s">
        <v>53</v>
      </c>
      <c r="G1274" s="6" t="str">
        <f>SUBSTITUTE(Raw_Data!G1274,"Ã©","é")</f>
        <v>Summit Down Gilet</v>
      </c>
      <c r="H1274" s="6">
        <v>2</v>
      </c>
      <c r="I1274" s="6" t="s">
        <v>79</v>
      </c>
      <c r="J1274" s="6" t="s">
        <v>259</v>
      </c>
      <c r="K1274" s="6">
        <v>0.19</v>
      </c>
      <c r="L1274" s="6" t="s">
        <v>42</v>
      </c>
      <c r="M1274" s="6" t="s">
        <v>34</v>
      </c>
      <c r="N1274" s="6"/>
    </row>
    <row r="1275" spans="1:14">
      <c r="A1275" s="6" t="s">
        <v>2435</v>
      </c>
      <c r="B1275" s="7">
        <v>46191</v>
      </c>
      <c r="C1275" s="6" t="s">
        <v>2195</v>
      </c>
      <c r="D1275" s="6" t="str">
        <f>IF(OR(PROPER(TRIM(Raw_Data!D1275))="Uk",PROPER(TRIM(Raw_Data!D1275))="Gb",PROPER(TRIM(Raw_Data!D1275))="United kingdom"),"United Kingdom",PROPER(TRIM(Raw_Data!D1275)))</f>
        <v>United Kingdom</v>
      </c>
      <c r="E1275" s="6" t="s">
        <v>28</v>
      </c>
      <c r="F1275" s="6" t="s">
        <v>47</v>
      </c>
      <c r="G1275" s="6" t="str">
        <f>SUBSTITUTE(Raw_Data!G1275,"Ã©","é")</f>
        <v>Alpine Jacket</v>
      </c>
      <c r="H1275" s="6">
        <v>1</v>
      </c>
      <c r="I1275" s="6" t="s">
        <v>147</v>
      </c>
      <c r="J1275" s="6" t="s">
        <v>147</v>
      </c>
      <c r="K1275" s="6">
        <v>8.5000000000000006E-2</v>
      </c>
      <c r="L1275" s="6" t="s">
        <v>42</v>
      </c>
      <c r="M1275" s="6" t="s">
        <v>34</v>
      </c>
      <c r="N1275" s="6"/>
    </row>
    <row r="1276" spans="1:14">
      <c r="A1276" s="6" t="s">
        <v>2436</v>
      </c>
      <c r="B1276" s="7">
        <v>46079</v>
      </c>
      <c r="C1276" s="6" t="s">
        <v>2437</v>
      </c>
      <c r="D1276" s="6" t="str">
        <f>IF(OR(PROPER(TRIM(Raw_Data!D1276))="Uk",PROPER(TRIM(Raw_Data!D1276))="Gb",PROPER(TRIM(Raw_Data!D1276))="United kingdom"),"United Kingdom",PROPER(TRIM(Raw_Data!D1276)))</f>
        <v>United Kingdom</v>
      </c>
      <c r="E1276" s="6" t="s">
        <v>46</v>
      </c>
      <c r="F1276" s="6" t="s">
        <v>29</v>
      </c>
      <c r="G1276" s="6" t="str">
        <f>SUBSTITUTE(Raw_Data!G1276,"Ã©","é")</f>
        <v>Storm Overtrousers</v>
      </c>
      <c r="H1276" s="6">
        <v>2</v>
      </c>
      <c r="I1276" s="6" t="s">
        <v>82</v>
      </c>
      <c r="J1276" s="6" t="s">
        <v>297</v>
      </c>
      <c r="K1276" s="6">
        <v>0.52</v>
      </c>
      <c r="L1276" s="6" t="s">
        <v>42</v>
      </c>
      <c r="M1276" s="6" t="s">
        <v>34</v>
      </c>
      <c r="N1276" s="6"/>
    </row>
    <row r="1277" spans="1:14">
      <c r="A1277" s="6" t="s">
        <v>2438</v>
      </c>
      <c r="B1277" s="7">
        <v>46175</v>
      </c>
      <c r="C1277" s="6" t="s">
        <v>2439</v>
      </c>
      <c r="D1277" s="6" t="str">
        <f>IF(OR(PROPER(TRIM(Raw_Data!D1277))="Uk",PROPER(TRIM(Raw_Data!D1277))="Gb",PROPER(TRIM(Raw_Data!D1277))="United kingdom"),"United Kingdom",PROPER(TRIM(Raw_Data!D1277)))</f>
        <v>Ireland</v>
      </c>
      <c r="E1277" s="6" t="s">
        <v>52</v>
      </c>
      <c r="F1277" s="6" t="s">
        <v>38</v>
      </c>
      <c r="G1277" s="6" t="str">
        <f>SUBSTITUTE(Raw_Data!G1277,"Ã©","é")</f>
        <v>Trekking Poles</v>
      </c>
      <c r="H1277" s="6">
        <v>2</v>
      </c>
      <c r="I1277" s="6" t="s">
        <v>748</v>
      </c>
      <c r="J1277" s="6" t="s">
        <v>192</v>
      </c>
      <c r="K1277" s="6">
        <v>0.52</v>
      </c>
      <c r="L1277" s="6" t="s">
        <v>42</v>
      </c>
      <c r="M1277" s="6" t="s">
        <v>34</v>
      </c>
      <c r="N1277" s="6"/>
    </row>
    <row r="1278" spans="1:14">
      <c r="A1278" s="6" t="s">
        <v>2440</v>
      </c>
      <c r="B1278" s="7">
        <v>46164</v>
      </c>
      <c r="C1278" s="6" t="s">
        <v>1877</v>
      </c>
      <c r="D1278" s="6" t="str">
        <f>IF(OR(PROPER(TRIM(Raw_Data!D1278))="Uk",PROPER(TRIM(Raw_Data!D1278))="Gb",PROPER(TRIM(Raw_Data!D1278))="United kingdom"),"United Kingdom",PROPER(TRIM(Raw_Data!D1278)))</f>
        <v>United Kingdom</v>
      </c>
      <c r="E1278" s="6" t="s">
        <v>28</v>
      </c>
      <c r="F1278" s="6" t="s">
        <v>53</v>
      </c>
      <c r="G1278" s="6" t="str">
        <f>SUBSTITUTE(Raw_Data!G1278,"Ã©","é")</f>
        <v>Trekking Poles</v>
      </c>
      <c r="H1278" s="6">
        <v>1</v>
      </c>
      <c r="I1278" s="6" t="s">
        <v>113</v>
      </c>
      <c r="J1278" s="6" t="s">
        <v>113</v>
      </c>
      <c r="K1278" s="6">
        <v>0.19</v>
      </c>
      <c r="L1278" s="6" t="s">
        <v>42</v>
      </c>
      <c r="M1278" s="6" t="s">
        <v>34</v>
      </c>
      <c r="N1278" s="6"/>
    </row>
    <row r="1279" spans="1:14">
      <c r="A1279" s="6" t="s">
        <v>2441</v>
      </c>
      <c r="B1279" s="7">
        <v>46199</v>
      </c>
      <c r="C1279" s="6" t="s">
        <v>1863</v>
      </c>
      <c r="D1279" s="6" t="str">
        <f>IF(OR(PROPER(TRIM(Raw_Data!D1279))="Uk",PROPER(TRIM(Raw_Data!D1279))="Gb",PROPER(TRIM(Raw_Data!D1279))="United kingdom"),"United Kingdom",PROPER(TRIM(Raw_Data!D1279)))</f>
        <v>United Kingdom</v>
      </c>
      <c r="E1279" s="6" t="s">
        <v>46</v>
      </c>
      <c r="F1279" s="6" t="s">
        <v>94</v>
      </c>
      <c r="G1279" s="6" t="str">
        <f>SUBSTITUTE(Raw_Data!G1279,"Ã©","é")</f>
        <v>Summit Down Gilet</v>
      </c>
      <c r="H1279" s="6">
        <v>1</v>
      </c>
      <c r="I1279" s="6" t="s">
        <v>79</v>
      </c>
      <c r="J1279" s="6" t="s">
        <v>79</v>
      </c>
      <c r="K1279" s="6">
        <v>0.34</v>
      </c>
      <c r="L1279" s="6" t="s">
        <v>42</v>
      </c>
      <c r="M1279" s="6" t="s">
        <v>34</v>
      </c>
      <c r="N1279" s="6"/>
    </row>
    <row r="1280" spans="1:14">
      <c r="A1280" s="6" t="s">
        <v>2442</v>
      </c>
      <c r="B1280" s="7">
        <v>46168</v>
      </c>
      <c r="C1280" s="6" t="s">
        <v>1007</v>
      </c>
      <c r="D1280" s="6" t="str">
        <f>IF(OR(PROPER(TRIM(Raw_Data!D1280))="Uk",PROPER(TRIM(Raw_Data!D1280))="Gb",PROPER(TRIM(Raw_Data!D1280))="United kingdom"),"United Kingdom",PROPER(TRIM(Raw_Data!D1280)))</f>
        <v>United Kingdom</v>
      </c>
      <c r="E1280" s="6" t="s">
        <v>28</v>
      </c>
      <c r="F1280" s="6" t="s">
        <v>38</v>
      </c>
      <c r="G1280" s="6" t="str">
        <f>SUBSTITUTE(Raw_Data!G1280,"Ã©","é")</f>
        <v>Trekking Poles</v>
      </c>
      <c r="H1280" s="6">
        <v>1</v>
      </c>
      <c r="I1280" s="6" t="s">
        <v>31</v>
      </c>
      <c r="J1280" s="6" t="s">
        <v>31</v>
      </c>
      <c r="K1280" s="6">
        <v>0.52</v>
      </c>
      <c r="L1280" s="6" t="s">
        <v>42</v>
      </c>
      <c r="M1280" s="6" t="s">
        <v>34</v>
      </c>
      <c r="N1280" s="6"/>
    </row>
    <row r="1281" spans="1:14">
      <c r="A1281" s="6" t="s">
        <v>2443</v>
      </c>
      <c r="B1281" s="7">
        <v>46066</v>
      </c>
      <c r="C1281" s="6" t="s">
        <v>1059</v>
      </c>
      <c r="D1281" s="6" t="str">
        <f>IF(OR(PROPER(TRIM(Raw_Data!D1281))="Uk",PROPER(TRIM(Raw_Data!D1281))="Gb",PROPER(TRIM(Raw_Data!D1281))="United kingdom"),"United Kingdom",PROPER(TRIM(Raw_Data!D1281)))</f>
        <v>France</v>
      </c>
      <c r="E1281" s="6" t="s">
        <v>78</v>
      </c>
      <c r="F1281" s="6" t="s">
        <v>85</v>
      </c>
      <c r="G1281" s="6" t="str">
        <f>SUBSTITUTE(Raw_Data!G1281,"Ã©","é")</f>
        <v>Summit Down Gilet</v>
      </c>
      <c r="H1281" s="6">
        <v>3</v>
      </c>
      <c r="I1281" s="6" t="s">
        <v>113</v>
      </c>
      <c r="J1281" s="6" t="s">
        <v>138</v>
      </c>
      <c r="K1281" s="6">
        <v>0.41</v>
      </c>
      <c r="L1281" s="6" t="s">
        <v>42</v>
      </c>
      <c r="M1281" s="6" t="s">
        <v>34</v>
      </c>
      <c r="N1281" s="6"/>
    </row>
    <row r="1282" spans="1:14">
      <c r="A1282" s="6" t="s">
        <v>2444</v>
      </c>
      <c r="B1282" s="7">
        <v>46102</v>
      </c>
      <c r="C1282" s="6" t="s">
        <v>578</v>
      </c>
      <c r="D1282" s="6" t="str">
        <f>IF(OR(PROPER(TRIM(Raw_Data!D1282))="Uk",PROPER(TRIM(Raw_Data!D1282))="Gb",PROPER(TRIM(Raw_Data!D1282))="United kingdom"),"United Kingdom",PROPER(TRIM(Raw_Data!D1282)))</f>
        <v>United Kingdom</v>
      </c>
      <c r="E1282" s="6" t="s">
        <v>46</v>
      </c>
      <c r="F1282" s="6" t="s">
        <v>29</v>
      </c>
      <c r="G1282" s="6" t="str">
        <f>SUBSTITUTE(Raw_Data!G1282,"Ã©","é")</f>
        <v>Fell Runner Cap</v>
      </c>
      <c r="H1282" s="6">
        <v>1</v>
      </c>
      <c r="I1282" s="6" t="s">
        <v>31</v>
      </c>
      <c r="J1282" s="6" t="s">
        <v>31</v>
      </c>
      <c r="K1282" s="6">
        <v>0.52</v>
      </c>
      <c r="L1282" s="6" t="s">
        <v>33</v>
      </c>
      <c r="M1282" s="6" t="s">
        <v>69</v>
      </c>
      <c r="N1282" s="6"/>
    </row>
    <row r="1283" spans="1:14">
      <c r="A1283" s="6" t="s">
        <v>2445</v>
      </c>
      <c r="B1283" s="7">
        <v>46186</v>
      </c>
      <c r="C1283" s="6" t="s">
        <v>2123</v>
      </c>
      <c r="D1283" s="6" t="str">
        <f>IF(OR(PROPER(TRIM(Raw_Data!D1283))="Uk",PROPER(TRIM(Raw_Data!D1283))="Gb",PROPER(TRIM(Raw_Data!D1283))="United kingdom"),"United Kingdom",PROPER(TRIM(Raw_Data!D1283)))</f>
        <v>United Kingdom</v>
      </c>
      <c r="E1283" s="6" t="s">
        <v>52</v>
      </c>
      <c r="F1283" s="6" t="s">
        <v>100</v>
      </c>
      <c r="G1283" s="6" t="str">
        <f>SUBSTITUTE(Raw_Data!G1283,"Ã©","é")</f>
        <v>Trail Softshell</v>
      </c>
      <c r="H1283" s="6">
        <v>1</v>
      </c>
      <c r="I1283" s="6" t="s">
        <v>82</v>
      </c>
      <c r="J1283" s="6" t="s">
        <v>82</v>
      </c>
      <c r="K1283" s="6">
        <v>0.64</v>
      </c>
      <c r="L1283" s="6" t="s">
        <v>42</v>
      </c>
      <c r="M1283" s="6" t="s">
        <v>34</v>
      </c>
      <c r="N1283" s="6"/>
    </row>
    <row r="1284" spans="1:14">
      <c r="A1284" s="6" t="s">
        <v>2446</v>
      </c>
      <c r="B1284" s="7">
        <v>46270</v>
      </c>
      <c r="C1284" s="6" t="s">
        <v>1343</v>
      </c>
      <c r="D1284" s="6" t="str">
        <f>IF(OR(PROPER(TRIM(Raw_Data!D1284))="Uk",PROPER(TRIM(Raw_Data!D1284))="Gb",PROPER(TRIM(Raw_Data!D1284))="United kingdom"),"United Kingdom",PROPER(TRIM(Raw_Data!D1284)))</f>
        <v>United Kingdom</v>
      </c>
      <c r="E1284" s="6" t="s">
        <v>52</v>
      </c>
      <c r="F1284" s="6" t="s">
        <v>29</v>
      </c>
      <c r="G1284" s="6" t="str">
        <f>SUBSTITUTE(Raw_Data!G1284,"Ã©","é")</f>
        <v>Storm Overtrousers</v>
      </c>
      <c r="H1284" s="6">
        <v>1</v>
      </c>
      <c r="I1284" s="6" t="s">
        <v>67</v>
      </c>
      <c r="J1284" s="6" t="s">
        <v>67</v>
      </c>
      <c r="K1284" s="6">
        <v>0.52</v>
      </c>
      <c r="L1284" s="6" t="s">
        <v>42</v>
      </c>
      <c r="M1284" s="6" t="s">
        <v>34</v>
      </c>
      <c r="N1284" s="6"/>
    </row>
    <row r="1285" spans="1:14">
      <c r="A1285" s="6" t="s">
        <v>2447</v>
      </c>
      <c r="B1285" s="7">
        <v>46025</v>
      </c>
      <c r="C1285" s="6" t="s">
        <v>1263</v>
      </c>
      <c r="D1285" s="6" t="str">
        <f>IF(OR(PROPER(TRIM(Raw_Data!D1285))="Uk",PROPER(TRIM(Raw_Data!D1285))="Gb",PROPER(TRIM(Raw_Data!D1285))="United kingdom"),"United Kingdom",PROPER(TRIM(Raw_Data!D1285)))</f>
        <v>United Kingdom</v>
      </c>
      <c r="E1285" s="6" t="s">
        <v>37</v>
      </c>
      <c r="F1285" s="6" t="s">
        <v>53</v>
      </c>
      <c r="G1285" s="6" t="str">
        <f>SUBSTITUTE(Raw_Data!G1285,"Ã©","é")</f>
        <v>Summit Down Gilet</v>
      </c>
      <c r="H1285" s="6">
        <v>1</v>
      </c>
      <c r="I1285" s="6" t="s">
        <v>82</v>
      </c>
      <c r="J1285" s="6" t="s">
        <v>82</v>
      </c>
      <c r="K1285" s="6">
        <v>0.19</v>
      </c>
      <c r="L1285" s="6" t="s">
        <v>33</v>
      </c>
      <c r="M1285" s="6" t="s">
        <v>69</v>
      </c>
      <c r="N1285" s="6"/>
    </row>
    <row r="1286" spans="1:14">
      <c r="A1286" s="6" t="s">
        <v>2448</v>
      </c>
      <c r="B1286" s="7">
        <v>46141</v>
      </c>
      <c r="C1286" s="6" t="s">
        <v>1218</v>
      </c>
      <c r="D1286" s="6" t="str">
        <f>IF(OR(PROPER(TRIM(Raw_Data!D1286))="Uk",PROPER(TRIM(Raw_Data!D1286))="Gb",PROPER(TRIM(Raw_Data!D1286))="United kingdom"),"United Kingdom",PROPER(TRIM(Raw_Data!D1286)))</f>
        <v>Ireland</v>
      </c>
      <c r="E1286" s="6" t="s">
        <v>37</v>
      </c>
      <c r="F1286" s="6" t="s">
        <v>29</v>
      </c>
      <c r="G1286" s="6" t="str">
        <f>SUBSTITUTE(Raw_Data!G1286,"Ã©","é")</f>
        <v>Merino Base Layer</v>
      </c>
      <c r="H1286" s="6">
        <v>2</v>
      </c>
      <c r="I1286" s="6" t="s">
        <v>67</v>
      </c>
      <c r="J1286" s="6" t="s">
        <v>2449</v>
      </c>
      <c r="K1286" s="6">
        <v>0.52</v>
      </c>
      <c r="L1286" s="6" t="s">
        <v>42</v>
      </c>
      <c r="M1286" s="6" t="s">
        <v>69</v>
      </c>
      <c r="N1286" s="6"/>
    </row>
    <row r="1287" spans="1:14">
      <c r="A1287" s="6" t="s">
        <v>2450</v>
      </c>
      <c r="B1287" s="7">
        <v>46296</v>
      </c>
      <c r="C1287" s="6" t="s">
        <v>538</v>
      </c>
      <c r="D1287" s="6" t="str">
        <f>IF(OR(PROPER(TRIM(Raw_Data!D1287))="Uk",PROPER(TRIM(Raw_Data!D1287))="Gb",PROPER(TRIM(Raw_Data!D1287))="United kingdom"),"United Kingdom",PROPER(TRIM(Raw_Data!D1287)))</f>
        <v>United Kingdom</v>
      </c>
      <c r="E1287" s="6" t="s">
        <v>78</v>
      </c>
      <c r="F1287" s="6" t="s">
        <v>29</v>
      </c>
      <c r="G1287" s="6" t="str">
        <f>SUBSTITUTE(Raw_Data!G1287,"Ã©","é")</f>
        <v>Fell Runner Cap</v>
      </c>
      <c r="H1287" s="6">
        <v>1</v>
      </c>
      <c r="I1287" s="6" t="s">
        <v>117</v>
      </c>
      <c r="J1287" s="6" t="s">
        <v>117</v>
      </c>
      <c r="K1287" s="6">
        <v>0.52</v>
      </c>
      <c r="L1287" s="6" t="s">
        <v>42</v>
      </c>
      <c r="M1287" s="6" t="s">
        <v>34</v>
      </c>
      <c r="N1287" s="6"/>
    </row>
    <row r="1288" spans="1:14">
      <c r="A1288" s="6" t="s">
        <v>2451</v>
      </c>
      <c r="B1288" s="7">
        <v>46297</v>
      </c>
      <c r="C1288" s="6" t="s">
        <v>534</v>
      </c>
      <c r="D1288" s="6" t="str">
        <f>IF(OR(PROPER(TRIM(Raw_Data!D1288))="Uk",PROPER(TRIM(Raw_Data!D1288))="Gb",PROPER(TRIM(Raw_Data!D1288))="United kingdom"),"United Kingdom",PROPER(TRIM(Raw_Data!D1288)))</f>
        <v>Germany</v>
      </c>
      <c r="E1288" s="6" t="s">
        <v>78</v>
      </c>
      <c r="F1288" s="6" t="s">
        <v>58</v>
      </c>
      <c r="G1288" s="6" t="str">
        <f>SUBSTITUTE(Raw_Data!G1288,"Ã©","é")</f>
        <v>Trekking Poles</v>
      </c>
      <c r="H1288" s="6">
        <v>1</v>
      </c>
      <c r="I1288" s="6" t="s">
        <v>147</v>
      </c>
      <c r="J1288" s="6" t="s">
        <v>147</v>
      </c>
      <c r="K1288" s="6">
        <v>0.38</v>
      </c>
      <c r="L1288" s="6" t="s">
        <v>42</v>
      </c>
      <c r="M1288" s="6" t="s">
        <v>34</v>
      </c>
      <c r="N1288" s="6"/>
    </row>
    <row r="1289" spans="1:14">
      <c r="A1289" s="6" t="s">
        <v>2452</v>
      </c>
      <c r="B1289" s="7">
        <v>46116</v>
      </c>
      <c r="C1289" s="6" t="s">
        <v>1263</v>
      </c>
      <c r="D1289" s="6" t="str">
        <f>IF(OR(PROPER(TRIM(Raw_Data!D1289))="Uk",PROPER(TRIM(Raw_Data!D1289))="Gb",PROPER(TRIM(Raw_Data!D1289))="United kingdom"),"United Kingdom",PROPER(TRIM(Raw_Data!D1289)))</f>
        <v>United Kingdom</v>
      </c>
      <c r="E1289" s="6" t="s">
        <v>37</v>
      </c>
      <c r="F1289" s="6" t="s">
        <v>29</v>
      </c>
      <c r="G1289" s="6" t="str">
        <f>SUBSTITUTE(Raw_Data!G1289,"Ã©","é")</f>
        <v>Trail Softshell</v>
      </c>
      <c r="H1289" s="6">
        <v>-3</v>
      </c>
      <c r="I1289" s="6" t="s">
        <v>113</v>
      </c>
      <c r="J1289" s="8" t="s">
        <v>1913</v>
      </c>
      <c r="K1289" s="6">
        <v>0.52</v>
      </c>
      <c r="L1289" s="6" t="s">
        <v>42</v>
      </c>
      <c r="M1289" s="6" t="s">
        <v>69</v>
      </c>
      <c r="N1289" s="6"/>
    </row>
    <row r="1290" spans="1:14">
      <c r="A1290" s="6" t="s">
        <v>2453</v>
      </c>
      <c r="B1290" s="7">
        <v>46130</v>
      </c>
      <c r="C1290" s="6" t="s">
        <v>831</v>
      </c>
      <c r="D1290" s="6" t="str">
        <f>IF(OR(PROPER(TRIM(Raw_Data!D1290))="Uk",PROPER(TRIM(Raw_Data!D1290))="Gb",PROPER(TRIM(Raw_Data!D1290))="United kingdom"),"United Kingdom",PROPER(TRIM(Raw_Data!D1290)))</f>
        <v>United Kingdom</v>
      </c>
      <c r="E1290" s="6" t="s">
        <v>78</v>
      </c>
      <c r="F1290" s="6" t="s">
        <v>58</v>
      </c>
      <c r="G1290" s="6" t="str">
        <f>SUBSTITUTE(Raw_Data!G1290,"Ã©","é")</f>
        <v>Merino Base Layer</v>
      </c>
      <c r="H1290" s="6">
        <v>1</v>
      </c>
      <c r="I1290" s="6" t="s">
        <v>151</v>
      </c>
      <c r="J1290" s="6" t="s">
        <v>31</v>
      </c>
      <c r="K1290" s="6">
        <v>0.38</v>
      </c>
      <c r="L1290" s="6" t="s">
        <v>42</v>
      </c>
      <c r="M1290" s="6" t="s">
        <v>34</v>
      </c>
      <c r="N1290" s="6"/>
    </row>
    <row r="1291" spans="1:14">
      <c r="A1291" s="6" t="s">
        <v>2454</v>
      </c>
      <c r="B1291" s="7">
        <v>46132</v>
      </c>
      <c r="C1291" s="6" t="s">
        <v>2404</v>
      </c>
      <c r="D1291" s="6" t="str">
        <f>IF(OR(PROPER(TRIM(Raw_Data!D1291))="Uk",PROPER(TRIM(Raw_Data!D1291))="Gb",PROPER(TRIM(Raw_Data!D1291))="United kingdom"),"United Kingdom",PROPER(TRIM(Raw_Data!D1291)))</f>
        <v>United Kingdom</v>
      </c>
      <c r="E1291" s="6" t="s">
        <v>52</v>
      </c>
      <c r="F1291" s="6" t="s">
        <v>85</v>
      </c>
      <c r="G1291" s="6" t="str">
        <f>SUBSTITUTE(Raw_Data!G1291,"Ã©","é")</f>
        <v>Café Latte Mug</v>
      </c>
      <c r="H1291" s="6">
        <v>1</v>
      </c>
      <c r="I1291" s="6" t="s">
        <v>117</v>
      </c>
      <c r="J1291" s="6" t="s">
        <v>117</v>
      </c>
      <c r="K1291" s="6">
        <v>0.41</v>
      </c>
      <c r="L1291" s="6" t="s">
        <v>42</v>
      </c>
      <c r="M1291" s="6" t="s">
        <v>34</v>
      </c>
      <c r="N1291" s="6"/>
    </row>
    <row r="1292" spans="1:14">
      <c r="A1292" s="6" t="s">
        <v>2455</v>
      </c>
      <c r="B1292" s="7">
        <v>46198</v>
      </c>
      <c r="C1292" s="6" t="s">
        <v>1630</v>
      </c>
      <c r="D1292" s="6" t="str">
        <f>IF(OR(PROPER(TRIM(Raw_Data!D1292))="Uk",PROPER(TRIM(Raw_Data!D1292))="Gb",PROPER(TRIM(Raw_Data!D1292))="United kingdom"),"United Kingdom",PROPER(TRIM(Raw_Data!D1292)))</f>
        <v>United Kingdom</v>
      </c>
      <c r="E1292" s="6" t="s">
        <v>46</v>
      </c>
      <c r="F1292" s="6" t="s">
        <v>58</v>
      </c>
      <c r="G1292" s="6" t="str">
        <f>SUBSTITUTE(Raw_Data!G1292,"Ã©","é")</f>
        <v>Trail Softshell</v>
      </c>
      <c r="H1292" s="6">
        <v>1</v>
      </c>
      <c r="I1292" s="6" t="s">
        <v>143</v>
      </c>
      <c r="J1292" s="6" t="s">
        <v>143</v>
      </c>
      <c r="K1292" s="6">
        <v>0.38</v>
      </c>
      <c r="L1292" s="6" t="s">
        <v>42</v>
      </c>
      <c r="M1292" s="6" t="s">
        <v>34</v>
      </c>
      <c r="N1292" s="6"/>
    </row>
    <row r="1293" spans="1:14">
      <c r="A1293" s="6" t="s">
        <v>2456</v>
      </c>
      <c r="B1293" s="7">
        <v>46362</v>
      </c>
      <c r="C1293" s="6" t="s">
        <v>1122</v>
      </c>
      <c r="D1293" s="6" t="str">
        <f>IF(OR(PROPER(TRIM(Raw_Data!D1293))="Uk",PROPER(TRIM(Raw_Data!D1293))="Gb",PROPER(TRIM(Raw_Data!D1293))="United kingdom"),"United Kingdom",PROPER(TRIM(Raw_Data!D1293)))</f>
        <v>France</v>
      </c>
      <c r="E1293" s="6" t="s">
        <v>37</v>
      </c>
      <c r="F1293" s="6" t="s">
        <v>94</v>
      </c>
      <c r="G1293" s="6" t="str">
        <f>SUBSTITUTE(Raw_Data!G1293,"Ã©","é")</f>
        <v>Storm Overtrousers</v>
      </c>
      <c r="H1293" s="6">
        <v>1</v>
      </c>
      <c r="I1293" s="6" t="s">
        <v>113</v>
      </c>
      <c r="J1293" s="6" t="s">
        <v>113</v>
      </c>
      <c r="K1293" s="6">
        <v>0.34</v>
      </c>
      <c r="L1293" s="6" t="s">
        <v>42</v>
      </c>
      <c r="M1293" s="6" t="s">
        <v>34</v>
      </c>
      <c r="N1293" s="6"/>
    </row>
    <row r="1294" spans="1:14">
      <c r="A1294" s="6" t="s">
        <v>2457</v>
      </c>
      <c r="B1294" s="7">
        <v>46169</v>
      </c>
      <c r="C1294" s="6" t="s">
        <v>2458</v>
      </c>
      <c r="D1294" s="6" t="str">
        <f>IF(OR(PROPER(TRIM(Raw_Data!D1294))="Uk",PROPER(TRIM(Raw_Data!D1294))="Gb",PROPER(TRIM(Raw_Data!D1294))="United kingdom"),"United Kingdom",PROPER(TRIM(Raw_Data!D1294)))</f>
        <v>United Kingdom</v>
      </c>
      <c r="E1294" s="6" t="s">
        <v>52</v>
      </c>
      <c r="F1294" s="6" t="s">
        <v>29</v>
      </c>
      <c r="G1294" s="6" t="str">
        <f>SUBSTITUTE(Raw_Data!G1294,"Ã©","é")</f>
        <v>Trekking Poles</v>
      </c>
      <c r="H1294" s="6">
        <v>1</v>
      </c>
      <c r="I1294" s="6" t="s">
        <v>231</v>
      </c>
      <c r="J1294" s="6" t="s">
        <v>231</v>
      </c>
      <c r="K1294" s="6">
        <v>0.52</v>
      </c>
      <c r="L1294" s="6" t="s">
        <v>33</v>
      </c>
      <c r="M1294" s="6" t="s">
        <v>69</v>
      </c>
      <c r="N1294" s="6"/>
    </row>
    <row r="1295" spans="1:14">
      <c r="A1295" s="6" t="s">
        <v>2459</v>
      </c>
      <c r="B1295" s="7">
        <v>46327</v>
      </c>
      <c r="C1295" s="6" t="s">
        <v>158</v>
      </c>
      <c r="D1295" s="6" t="str">
        <f>IF(OR(PROPER(TRIM(Raw_Data!D1295))="Uk",PROPER(TRIM(Raw_Data!D1295))="Gb",PROPER(TRIM(Raw_Data!D1295))="United kingdom"),"United Kingdom",PROPER(TRIM(Raw_Data!D1295)))</f>
        <v>Ireland</v>
      </c>
      <c r="E1295" s="6" t="s">
        <v>52</v>
      </c>
      <c r="F1295" s="6" t="s">
        <v>38</v>
      </c>
      <c r="G1295" s="6" t="str">
        <f>SUBSTITUTE(Raw_Data!G1295,"Ã©","é")</f>
        <v>Alpine Jacket</v>
      </c>
      <c r="H1295" s="6">
        <v>2</v>
      </c>
      <c r="I1295" s="6" t="s">
        <v>265</v>
      </c>
      <c r="J1295" s="6" t="s">
        <v>167</v>
      </c>
      <c r="K1295" s="6">
        <v>0.52</v>
      </c>
      <c r="L1295" s="6" t="s">
        <v>42</v>
      </c>
      <c r="M1295" s="6" t="s">
        <v>34</v>
      </c>
      <c r="N1295" s="6"/>
    </row>
    <row r="1296" spans="1:14">
      <c r="A1296" s="6" t="s">
        <v>2460</v>
      </c>
      <c r="B1296" s="7">
        <v>46115</v>
      </c>
      <c r="C1296" s="6" t="s">
        <v>486</v>
      </c>
      <c r="D1296" s="6" t="str">
        <f>IF(OR(PROPER(TRIM(Raw_Data!D1296))="Uk",PROPER(TRIM(Raw_Data!D1296))="Gb",PROPER(TRIM(Raw_Data!D1296))="United kingdom"),"United Kingdom",PROPER(TRIM(Raw_Data!D1296)))</f>
        <v>Ireland</v>
      </c>
      <c r="E1296" s="6" t="s">
        <v>78</v>
      </c>
      <c r="F1296" s="6" t="s">
        <v>47</v>
      </c>
      <c r="G1296" s="6" t="str">
        <f>SUBSTITUTE(Raw_Data!G1296,"Ã©","é")</f>
        <v>Trekking Poles</v>
      </c>
      <c r="H1296" s="6">
        <v>3</v>
      </c>
      <c r="I1296" s="6" t="s">
        <v>90</v>
      </c>
      <c r="J1296" s="6" t="s">
        <v>102</v>
      </c>
      <c r="K1296" s="6">
        <v>8.5000000000000006E-2</v>
      </c>
      <c r="L1296" s="6" t="s">
        <v>33</v>
      </c>
      <c r="M1296" s="6" t="s">
        <v>34</v>
      </c>
      <c r="N1296" s="6"/>
    </row>
    <row r="1297" spans="1:14">
      <c r="A1297" s="6" t="s">
        <v>2461</v>
      </c>
      <c r="B1297" s="7">
        <v>46052</v>
      </c>
      <c r="C1297" s="6" t="s">
        <v>1398</v>
      </c>
      <c r="D1297" s="6" t="str">
        <f>IF(OR(PROPER(TRIM(Raw_Data!D1297))="Uk",PROPER(TRIM(Raw_Data!D1297))="Gb",PROPER(TRIM(Raw_Data!D1297))="United kingdom"),"United Kingdom",PROPER(TRIM(Raw_Data!D1297)))</f>
        <v>Germany</v>
      </c>
      <c r="E1297" s="6" t="s">
        <v>46</v>
      </c>
      <c r="F1297" s="6" t="s">
        <v>29</v>
      </c>
      <c r="G1297" s="6" t="str">
        <f>SUBSTITUTE(Raw_Data!G1297,"Ã©","é")</f>
        <v>Merino Base Layer</v>
      </c>
      <c r="H1297" s="6">
        <v>1</v>
      </c>
      <c r="I1297" s="6" t="s">
        <v>79</v>
      </c>
      <c r="J1297" s="6" t="s">
        <v>79</v>
      </c>
      <c r="K1297" s="6">
        <v>0.52</v>
      </c>
      <c r="L1297" s="6" t="s">
        <v>42</v>
      </c>
      <c r="M1297" s="6" t="s">
        <v>34</v>
      </c>
      <c r="N1297" s="6"/>
    </row>
    <row r="1298" spans="1:14">
      <c r="A1298" s="6" t="s">
        <v>2462</v>
      </c>
      <c r="B1298" s="7">
        <v>46239</v>
      </c>
      <c r="C1298" s="6" t="s">
        <v>2463</v>
      </c>
      <c r="D1298" s="6" t="str">
        <f>IF(OR(PROPER(TRIM(Raw_Data!D1298))="Uk",PROPER(TRIM(Raw_Data!D1298))="Gb",PROPER(TRIM(Raw_Data!D1298))="United kingdom"),"United Kingdom",PROPER(TRIM(Raw_Data!D1298)))</f>
        <v>Germany</v>
      </c>
      <c r="E1298" s="6" t="s">
        <v>46</v>
      </c>
      <c r="F1298" s="6" t="s">
        <v>100</v>
      </c>
      <c r="G1298" s="6" t="str">
        <f>SUBSTITUTE(Raw_Data!G1298,"Ã©","é")</f>
        <v>Trekking Poles</v>
      </c>
      <c r="H1298" s="6">
        <v>2</v>
      </c>
      <c r="I1298" s="6" t="s">
        <v>143</v>
      </c>
      <c r="J1298" s="6" t="s">
        <v>144</v>
      </c>
      <c r="K1298" s="6">
        <v>0.64</v>
      </c>
      <c r="L1298" s="6" t="s">
        <v>33</v>
      </c>
      <c r="M1298" s="6" t="s">
        <v>34</v>
      </c>
      <c r="N1298" s="6"/>
    </row>
    <row r="1299" spans="1:14">
      <c r="A1299" s="6" t="s">
        <v>2464</v>
      </c>
      <c r="B1299" s="7">
        <v>46186</v>
      </c>
      <c r="C1299" s="6" t="s">
        <v>2465</v>
      </c>
      <c r="D1299" s="6" t="str">
        <f>IF(OR(PROPER(TRIM(Raw_Data!D1299))="Uk",PROPER(TRIM(Raw_Data!D1299))="Gb",PROPER(TRIM(Raw_Data!D1299))="United kingdom"),"United Kingdom",PROPER(TRIM(Raw_Data!D1299)))</f>
        <v>United Kingdom</v>
      </c>
      <c r="E1299" s="6" t="s">
        <v>52</v>
      </c>
      <c r="F1299" s="6" t="s">
        <v>53</v>
      </c>
      <c r="G1299" s="6" t="str">
        <f>SUBSTITUTE(Raw_Data!G1299,"Ã©","é")</f>
        <v>Trekking Poles</v>
      </c>
      <c r="H1299" s="6">
        <v>1</v>
      </c>
      <c r="I1299" s="6" t="s">
        <v>79</v>
      </c>
      <c r="J1299" s="6" t="s">
        <v>79</v>
      </c>
      <c r="K1299" s="6">
        <v>0.19</v>
      </c>
      <c r="L1299" s="6" t="s">
        <v>42</v>
      </c>
      <c r="M1299" s="6" t="s">
        <v>34</v>
      </c>
      <c r="N1299" s="6"/>
    </row>
    <row r="1300" spans="1:14">
      <c r="A1300" s="6" t="s">
        <v>2466</v>
      </c>
      <c r="B1300" s="7">
        <v>46164</v>
      </c>
      <c r="C1300" s="6" t="s">
        <v>2467</v>
      </c>
      <c r="D1300" s="6" t="str">
        <f>IF(OR(PROPER(TRIM(Raw_Data!D1300))="Uk",PROPER(TRIM(Raw_Data!D1300))="Gb",PROPER(TRIM(Raw_Data!D1300))="United kingdom"),"United Kingdom",PROPER(TRIM(Raw_Data!D1300)))</f>
        <v>United Kingdom</v>
      </c>
      <c r="E1300" s="6" t="s">
        <v>52</v>
      </c>
      <c r="F1300" s="6" t="s">
        <v>58</v>
      </c>
      <c r="G1300" s="6" t="str">
        <f>SUBSTITUTE(Raw_Data!G1300,"Ã©","é")</f>
        <v>Summit Down Gilet</v>
      </c>
      <c r="H1300" s="6">
        <v>-1</v>
      </c>
      <c r="I1300" s="6" t="s">
        <v>656</v>
      </c>
      <c r="J1300" s="8" t="s">
        <v>1147</v>
      </c>
      <c r="K1300" s="6">
        <v>0.38</v>
      </c>
      <c r="L1300" s="6" t="s">
        <v>33</v>
      </c>
      <c r="M1300" s="6" t="s">
        <v>34</v>
      </c>
      <c r="N1300" s="6"/>
    </row>
    <row r="1301" spans="1:14">
      <c r="A1301" s="6" t="s">
        <v>2468</v>
      </c>
      <c r="B1301" s="7">
        <v>46266</v>
      </c>
      <c r="C1301" s="6" t="s">
        <v>2273</v>
      </c>
      <c r="D1301" s="6" t="str">
        <f>IF(OR(PROPER(TRIM(Raw_Data!D1301))="Uk",PROPER(TRIM(Raw_Data!D1301))="Gb",PROPER(TRIM(Raw_Data!D1301))="United kingdom"),"United Kingdom",PROPER(TRIM(Raw_Data!D1301)))</f>
        <v>United Kingdom</v>
      </c>
      <c r="E1301" s="6" t="s">
        <v>46</v>
      </c>
      <c r="F1301" s="6" t="s">
        <v>29</v>
      </c>
      <c r="G1301" s="6" t="str">
        <f>SUBSTITUTE(Raw_Data!G1301,"Ã©","é")</f>
        <v>Trekking Poles</v>
      </c>
      <c r="H1301" s="6">
        <v>2</v>
      </c>
      <c r="I1301" s="6" t="s">
        <v>113</v>
      </c>
      <c r="J1301" s="6" t="s">
        <v>192</v>
      </c>
      <c r="K1301" s="6">
        <v>0.52</v>
      </c>
      <c r="L1301" s="6" t="s">
        <v>33</v>
      </c>
      <c r="M1301" s="6" t="s">
        <v>34</v>
      </c>
      <c r="N1301" s="6"/>
    </row>
    <row r="1302" spans="1:14">
      <c r="A1302" s="6" t="s">
        <v>2469</v>
      </c>
      <c r="B1302" s="7">
        <v>46047</v>
      </c>
      <c r="C1302" s="6" t="s">
        <v>2470</v>
      </c>
      <c r="D1302" s="6" t="str">
        <f>IF(OR(PROPER(TRIM(Raw_Data!D1302))="Uk",PROPER(TRIM(Raw_Data!D1302))="Gb",PROPER(TRIM(Raw_Data!D1302))="United kingdom"),"United Kingdom",PROPER(TRIM(Raw_Data!D1302)))</f>
        <v>United Kingdom</v>
      </c>
      <c r="E1302" s="6" t="s">
        <v>37</v>
      </c>
      <c r="F1302" s="6" t="s">
        <v>38</v>
      </c>
      <c r="G1302" s="6" t="str">
        <f>SUBSTITUTE(Raw_Data!G1302,"Ã©","é")</f>
        <v>Summit Down Gilet</v>
      </c>
      <c r="H1302" s="6">
        <v>1</v>
      </c>
      <c r="I1302" s="6" t="s">
        <v>147</v>
      </c>
      <c r="J1302" s="6" t="s">
        <v>147</v>
      </c>
      <c r="K1302" s="6">
        <v>0.52</v>
      </c>
      <c r="L1302" s="6" t="s">
        <v>33</v>
      </c>
      <c r="M1302" s="6" t="s">
        <v>34</v>
      </c>
      <c r="N1302" s="6"/>
    </row>
    <row r="1303" spans="1:14">
      <c r="A1303" s="6" t="s">
        <v>2471</v>
      </c>
      <c r="B1303" s="7">
        <v>46164</v>
      </c>
      <c r="C1303" s="6" t="s">
        <v>2472</v>
      </c>
      <c r="D1303" s="6" t="str">
        <f>IF(OR(PROPER(TRIM(Raw_Data!D1303))="Uk",PROPER(TRIM(Raw_Data!D1303))="Gb",PROPER(TRIM(Raw_Data!D1303))="United kingdom"),"United Kingdom",PROPER(TRIM(Raw_Data!D1303)))</f>
        <v>Ireland</v>
      </c>
      <c r="E1303" s="6" t="s">
        <v>37</v>
      </c>
      <c r="F1303" s="6" t="s">
        <v>58</v>
      </c>
      <c r="G1303" s="6" t="str">
        <f>SUBSTITUTE(Raw_Data!G1303,"Ã©","é")</f>
        <v>Storm Overtrousers</v>
      </c>
      <c r="H1303" s="6">
        <v>1</v>
      </c>
      <c r="I1303" s="6" t="s">
        <v>90</v>
      </c>
      <c r="J1303" s="6" t="s">
        <v>90</v>
      </c>
      <c r="K1303" s="6">
        <v>0.38</v>
      </c>
      <c r="L1303" s="6" t="s">
        <v>42</v>
      </c>
      <c r="M1303" s="6" t="s">
        <v>34</v>
      </c>
      <c r="N1303" s="6"/>
    </row>
    <row r="1304" spans="1:14">
      <c r="A1304" s="6" t="s">
        <v>2473</v>
      </c>
      <c r="B1304" s="7">
        <v>46209</v>
      </c>
      <c r="C1304" s="6" t="s">
        <v>881</v>
      </c>
      <c r="D1304" s="6" t="str">
        <f>IF(OR(PROPER(TRIM(Raw_Data!D1304))="Uk",PROPER(TRIM(Raw_Data!D1304))="Gb",PROPER(TRIM(Raw_Data!D1304))="United kingdom"),"United Kingdom",PROPER(TRIM(Raw_Data!D1304)))</f>
        <v>Ireland</v>
      </c>
      <c r="E1304" s="6" t="s">
        <v>46</v>
      </c>
      <c r="F1304" s="6" t="s">
        <v>58</v>
      </c>
      <c r="G1304" s="6" t="str">
        <f>SUBSTITUTE(Raw_Data!G1304,"Ã©","é")</f>
        <v>Summit Down Gilet</v>
      </c>
      <c r="H1304" s="6">
        <v>1</v>
      </c>
      <c r="I1304" s="6" t="s">
        <v>31</v>
      </c>
      <c r="J1304" s="6" t="s">
        <v>31</v>
      </c>
      <c r="K1304" s="6">
        <v>0.38</v>
      </c>
      <c r="L1304" s="6" t="s">
        <v>42</v>
      </c>
      <c r="M1304" s="6" t="s">
        <v>34</v>
      </c>
      <c r="N1304" s="6"/>
    </row>
    <row r="1305" spans="1:14">
      <c r="A1305" s="6" t="s">
        <v>2474</v>
      </c>
      <c r="B1305" s="7">
        <v>46077</v>
      </c>
      <c r="C1305" s="6" t="s">
        <v>2475</v>
      </c>
      <c r="D1305" s="6" t="str">
        <f>IF(OR(PROPER(TRIM(Raw_Data!D1305))="Uk",PROPER(TRIM(Raw_Data!D1305))="Gb",PROPER(TRIM(Raw_Data!D1305))="United kingdom"),"United Kingdom",PROPER(TRIM(Raw_Data!D1305)))</f>
        <v>United Kingdom</v>
      </c>
      <c r="E1305" s="6" t="s">
        <v>78</v>
      </c>
      <c r="F1305" s="6" t="s">
        <v>29</v>
      </c>
      <c r="G1305" s="6" t="str">
        <f>SUBSTITUTE(Raw_Data!G1305,"Ã©","é")</f>
        <v>Café Latte Mug</v>
      </c>
      <c r="H1305" s="6">
        <v>3</v>
      </c>
      <c r="I1305" s="6" t="s">
        <v>490</v>
      </c>
      <c r="J1305" s="6" t="s">
        <v>390</v>
      </c>
      <c r="K1305" s="6">
        <v>0.52</v>
      </c>
      <c r="L1305" s="6" t="s">
        <v>42</v>
      </c>
      <c r="M1305" s="6" t="s">
        <v>34</v>
      </c>
      <c r="N1305" s="6"/>
    </row>
    <row r="1306" spans="1:14">
      <c r="A1306" s="6" t="s">
        <v>2476</v>
      </c>
      <c r="B1306" s="7">
        <v>46189</v>
      </c>
      <c r="C1306" s="6" t="s">
        <v>2477</v>
      </c>
      <c r="D1306" s="6" t="str">
        <f>IF(OR(PROPER(TRIM(Raw_Data!D1306))="Uk",PROPER(TRIM(Raw_Data!D1306))="Gb",PROPER(TRIM(Raw_Data!D1306))="United kingdom"),"United Kingdom",PROPER(TRIM(Raw_Data!D1306)))</f>
        <v>United Kingdom</v>
      </c>
      <c r="E1306" s="6" t="s">
        <v>46</v>
      </c>
      <c r="F1306" s="6" t="s">
        <v>94</v>
      </c>
      <c r="G1306" s="6" t="str">
        <f>SUBSTITUTE(Raw_Data!G1306,"Ã©","é")</f>
        <v>Trekking Poles</v>
      </c>
      <c r="H1306" s="6">
        <v>2</v>
      </c>
      <c r="I1306" s="6" t="s">
        <v>113</v>
      </c>
      <c r="J1306" s="6" t="s">
        <v>192</v>
      </c>
      <c r="K1306" s="6">
        <v>0.34</v>
      </c>
      <c r="L1306" s="6" t="s">
        <v>42</v>
      </c>
      <c r="M1306" s="6" t="s">
        <v>69</v>
      </c>
      <c r="N1306" s="6"/>
    </row>
    <row r="1307" spans="1:14">
      <c r="A1307" s="6" t="s">
        <v>2478</v>
      </c>
      <c r="B1307" s="7">
        <v>46360</v>
      </c>
      <c r="C1307" s="6" t="s">
        <v>2479</v>
      </c>
      <c r="D1307" s="6" t="str">
        <f>IF(OR(PROPER(TRIM(Raw_Data!D1307))="Uk",PROPER(TRIM(Raw_Data!D1307))="Gb",PROPER(TRIM(Raw_Data!D1307))="United kingdom"),"United Kingdom",PROPER(TRIM(Raw_Data!D1307)))</f>
        <v>United Kingdom</v>
      </c>
      <c r="E1307" s="6" t="s">
        <v>28</v>
      </c>
      <c r="F1307" s="6" t="s">
        <v>94</v>
      </c>
      <c r="G1307" s="6" t="str">
        <f>SUBSTITUTE(Raw_Data!G1307,"Ã©","é")</f>
        <v>Trail Softshell</v>
      </c>
      <c r="H1307" s="6">
        <v>2</v>
      </c>
      <c r="I1307" s="6" t="s">
        <v>619</v>
      </c>
      <c r="J1307" s="6" t="s">
        <v>144</v>
      </c>
      <c r="K1307" s="6">
        <v>0.34</v>
      </c>
      <c r="L1307" s="6" t="s">
        <v>33</v>
      </c>
      <c r="M1307" s="6" t="s">
        <v>34</v>
      </c>
      <c r="N1307" s="6"/>
    </row>
    <row r="1308" spans="1:14">
      <c r="A1308" s="6" t="s">
        <v>2480</v>
      </c>
      <c r="B1308" s="7">
        <v>46201</v>
      </c>
      <c r="C1308" s="6" t="s">
        <v>759</v>
      </c>
      <c r="D1308" s="6" t="str">
        <f>IF(OR(PROPER(TRIM(Raw_Data!D1308))="Uk",PROPER(TRIM(Raw_Data!D1308))="Gb",PROPER(TRIM(Raw_Data!D1308))="United kingdom"),"United Kingdom",PROPER(TRIM(Raw_Data!D1308)))</f>
        <v>United Kingdom</v>
      </c>
      <c r="E1308" s="6" t="s">
        <v>37</v>
      </c>
      <c r="F1308" s="6" t="s">
        <v>53</v>
      </c>
      <c r="G1308" s="6" t="str">
        <f>SUBSTITUTE(Raw_Data!G1308,"Ã©","é")</f>
        <v>Fell Runner Cap</v>
      </c>
      <c r="H1308" s="6">
        <v>2</v>
      </c>
      <c r="I1308" s="6" t="s">
        <v>113</v>
      </c>
      <c r="J1308" s="6" t="s">
        <v>192</v>
      </c>
      <c r="K1308" s="6">
        <v>0.19</v>
      </c>
      <c r="L1308" s="6" t="s">
        <v>42</v>
      </c>
      <c r="M1308" s="6" t="s">
        <v>34</v>
      </c>
      <c r="N1308" s="6"/>
    </row>
    <row r="1309" spans="1:14">
      <c r="A1309" s="6" t="s">
        <v>2481</v>
      </c>
      <c r="B1309" s="7">
        <v>46044</v>
      </c>
      <c r="C1309" s="6" t="s">
        <v>1894</v>
      </c>
      <c r="D1309" s="6" t="str">
        <f>IF(OR(PROPER(TRIM(Raw_Data!D1309))="Uk",PROPER(TRIM(Raw_Data!D1309))="Gb",PROPER(TRIM(Raw_Data!D1309))="United kingdom"),"United Kingdom",PROPER(TRIM(Raw_Data!D1309)))</f>
        <v>United Kingdom</v>
      </c>
      <c r="E1309" s="6" t="s">
        <v>52</v>
      </c>
      <c r="F1309" s="6" t="s">
        <v>47</v>
      </c>
      <c r="G1309" s="6" t="str">
        <f>SUBSTITUTE(Raw_Data!G1309,"Ã©","é")</f>
        <v>Trekking Poles</v>
      </c>
      <c r="H1309" s="6">
        <v>1</v>
      </c>
      <c r="I1309" s="6" t="s">
        <v>231</v>
      </c>
      <c r="J1309" s="6" t="s">
        <v>231</v>
      </c>
      <c r="K1309" s="6">
        <v>8.5000000000000006E-2</v>
      </c>
      <c r="L1309" s="6" t="s">
        <v>42</v>
      </c>
      <c r="M1309" s="6" t="s">
        <v>34</v>
      </c>
      <c r="N1309" s="6"/>
    </row>
    <row r="1310" spans="1:14">
      <c r="A1310" s="6" t="s">
        <v>2482</v>
      </c>
      <c r="B1310" s="7">
        <v>46332</v>
      </c>
      <c r="C1310" s="6" t="s">
        <v>271</v>
      </c>
      <c r="D1310" s="6" t="str">
        <f>IF(OR(PROPER(TRIM(Raw_Data!D1310))="Uk",PROPER(TRIM(Raw_Data!D1310))="Gb",PROPER(TRIM(Raw_Data!D1310))="United kingdom"),"United Kingdom",PROPER(TRIM(Raw_Data!D1310)))</f>
        <v>United Kingdom</v>
      </c>
      <c r="E1310" s="6" t="s">
        <v>52</v>
      </c>
      <c r="F1310" s="6" t="s">
        <v>29</v>
      </c>
      <c r="G1310" s="6" t="str">
        <f>SUBSTITUTE(Raw_Data!G1310,"Ã©","é")</f>
        <v>Alpine Jacket</v>
      </c>
      <c r="H1310" s="6">
        <v>1</v>
      </c>
      <c r="I1310" s="6" t="s">
        <v>67</v>
      </c>
      <c r="J1310" s="6" t="s">
        <v>67</v>
      </c>
      <c r="K1310" s="6">
        <v>0.52</v>
      </c>
      <c r="L1310" s="6" t="s">
        <v>33</v>
      </c>
      <c r="M1310" s="6" t="s">
        <v>34</v>
      </c>
      <c r="N1310" s="6"/>
    </row>
    <row r="1311" spans="1:14">
      <c r="A1311" s="6" t="s">
        <v>2483</v>
      </c>
      <c r="B1311" s="7">
        <v>46131</v>
      </c>
      <c r="C1311" s="6" t="s">
        <v>2484</v>
      </c>
      <c r="D1311" s="6" t="str">
        <f>IF(OR(PROPER(TRIM(Raw_Data!D1311))="Uk",PROPER(TRIM(Raw_Data!D1311))="Gb",PROPER(TRIM(Raw_Data!D1311))="United kingdom"),"United Kingdom",PROPER(TRIM(Raw_Data!D1311)))</f>
        <v>Germany</v>
      </c>
      <c r="E1311" s="6" t="s">
        <v>28</v>
      </c>
      <c r="F1311" s="6" t="s">
        <v>85</v>
      </c>
      <c r="G1311" s="6" t="str">
        <f>SUBSTITUTE(Raw_Data!G1311,"Ã©","é")</f>
        <v>Merino Base Layer</v>
      </c>
      <c r="H1311" s="6">
        <v>3</v>
      </c>
      <c r="I1311" s="6" t="s">
        <v>90</v>
      </c>
      <c r="J1311" s="6" t="s">
        <v>102</v>
      </c>
      <c r="K1311" s="6">
        <v>0.41</v>
      </c>
      <c r="L1311" s="6" t="s">
        <v>42</v>
      </c>
      <c r="M1311" s="6" t="s">
        <v>34</v>
      </c>
      <c r="N1311" s="6"/>
    </row>
    <row r="1312" spans="1:14">
      <c r="A1312" s="6" t="s">
        <v>2485</v>
      </c>
      <c r="B1312" s="7">
        <v>46119</v>
      </c>
      <c r="C1312" s="6" t="s">
        <v>348</v>
      </c>
      <c r="D1312" s="6" t="str">
        <f>IF(OR(PROPER(TRIM(Raw_Data!D1312))="Uk",PROPER(TRIM(Raw_Data!D1312))="Gb",PROPER(TRIM(Raw_Data!D1312))="United kingdom"),"United Kingdom",PROPER(TRIM(Raw_Data!D1312)))</f>
        <v>United Kingdom</v>
      </c>
      <c r="E1312" s="6" t="s">
        <v>78</v>
      </c>
      <c r="F1312" s="6" t="s">
        <v>53</v>
      </c>
      <c r="G1312" s="6" t="str">
        <f>SUBSTITUTE(Raw_Data!G1312,"Ã©","é")</f>
        <v>Summit Down Gilet</v>
      </c>
      <c r="H1312" s="6">
        <v>1</v>
      </c>
      <c r="I1312" s="6" t="s">
        <v>143</v>
      </c>
      <c r="J1312" s="6" t="s">
        <v>143</v>
      </c>
      <c r="K1312" s="6">
        <v>0.19</v>
      </c>
      <c r="L1312" s="6" t="s">
        <v>42</v>
      </c>
      <c r="M1312" s="6" t="s">
        <v>34</v>
      </c>
      <c r="N1312" s="6"/>
    </row>
    <row r="1313" spans="1:14">
      <c r="A1313" s="6" t="s">
        <v>2486</v>
      </c>
      <c r="B1313" s="7">
        <v>46203</v>
      </c>
      <c r="C1313" s="6" t="s">
        <v>2159</v>
      </c>
      <c r="D1313" s="6" t="str">
        <f>IF(OR(PROPER(TRIM(Raw_Data!D1313))="Uk",PROPER(TRIM(Raw_Data!D1313))="Gb",PROPER(TRIM(Raw_Data!D1313))="United kingdom"),"United Kingdom",PROPER(TRIM(Raw_Data!D1313)))</f>
        <v>United Kingdom</v>
      </c>
      <c r="E1313" s="6" t="s">
        <v>46</v>
      </c>
      <c r="F1313" s="6" t="s">
        <v>85</v>
      </c>
      <c r="G1313" s="6" t="str">
        <f>SUBSTITUTE(Raw_Data!G1313,"Ã©","é")</f>
        <v>Trekking Poles</v>
      </c>
      <c r="H1313" s="6">
        <v>3</v>
      </c>
      <c r="I1313" s="6" t="s">
        <v>147</v>
      </c>
      <c r="J1313" s="6" t="s">
        <v>148</v>
      </c>
      <c r="K1313" s="6">
        <v>0.41</v>
      </c>
      <c r="L1313" s="6" t="s">
        <v>42</v>
      </c>
      <c r="M1313" s="6" t="s">
        <v>34</v>
      </c>
      <c r="N1313" s="6"/>
    </row>
    <row r="1314" spans="1:14">
      <c r="A1314" s="6" t="s">
        <v>2487</v>
      </c>
      <c r="B1314" s="7">
        <v>46060</v>
      </c>
      <c r="C1314" s="6" t="s">
        <v>2488</v>
      </c>
      <c r="D1314" s="6" t="str">
        <f>IF(OR(PROPER(TRIM(Raw_Data!D1314))="Uk",PROPER(TRIM(Raw_Data!D1314))="Gb",PROPER(TRIM(Raw_Data!D1314))="United kingdom"),"United Kingdom",PROPER(TRIM(Raw_Data!D1314)))</f>
        <v>United Kingdom</v>
      </c>
      <c r="E1314" s="6" t="s">
        <v>78</v>
      </c>
      <c r="F1314" s="6" t="s">
        <v>53</v>
      </c>
      <c r="G1314" s="6" t="str">
        <f>SUBSTITUTE(Raw_Data!G1314,"Ã©","é")</f>
        <v>Trail Softshell</v>
      </c>
      <c r="H1314" s="6">
        <v>1</v>
      </c>
      <c r="I1314" s="6" t="s">
        <v>79</v>
      </c>
      <c r="J1314" s="6" t="s">
        <v>79</v>
      </c>
      <c r="K1314" s="6">
        <v>0.19</v>
      </c>
      <c r="L1314" s="6" t="s">
        <v>42</v>
      </c>
      <c r="M1314" s="6" t="s">
        <v>69</v>
      </c>
      <c r="N1314" s="6"/>
    </row>
    <row r="1315" spans="1:14">
      <c r="A1315" s="6" t="s">
        <v>2489</v>
      </c>
      <c r="B1315" s="7">
        <v>46169</v>
      </c>
      <c r="C1315" s="6" t="s">
        <v>1807</v>
      </c>
      <c r="D1315" s="6" t="str">
        <f>IF(OR(PROPER(TRIM(Raw_Data!D1315))="Uk",PROPER(TRIM(Raw_Data!D1315))="Gb",PROPER(TRIM(Raw_Data!D1315))="United kingdom"),"United Kingdom",PROPER(TRIM(Raw_Data!D1315)))</f>
        <v>United Kingdom</v>
      </c>
      <c r="E1315" s="6" t="s">
        <v>52</v>
      </c>
      <c r="F1315" s="6" t="s">
        <v>29</v>
      </c>
      <c r="G1315" s="6" t="str">
        <f>SUBSTITUTE(Raw_Data!G1315,"Ã©","é")</f>
        <v>Summit Down Gilet</v>
      </c>
      <c r="H1315" s="6">
        <v>3</v>
      </c>
      <c r="I1315" s="6" t="s">
        <v>162</v>
      </c>
      <c r="J1315" s="6" t="s">
        <v>867</v>
      </c>
      <c r="K1315" s="6">
        <v>0.52</v>
      </c>
      <c r="L1315" s="6" t="s">
        <v>42</v>
      </c>
      <c r="M1315" s="6" t="s">
        <v>34</v>
      </c>
      <c r="N1315" s="6"/>
    </row>
    <row r="1316" spans="1:14">
      <c r="A1316" s="6" t="s">
        <v>2490</v>
      </c>
      <c r="B1316" s="7">
        <v>46035</v>
      </c>
      <c r="C1316" s="6" t="s">
        <v>1863</v>
      </c>
      <c r="D1316" s="6" t="str">
        <f>IF(OR(PROPER(TRIM(Raw_Data!D1316))="Uk",PROPER(TRIM(Raw_Data!D1316))="Gb",PROPER(TRIM(Raw_Data!D1316))="United kingdom"),"United Kingdom",PROPER(TRIM(Raw_Data!D1316)))</f>
        <v>Ireland</v>
      </c>
      <c r="E1316" s="6" t="s">
        <v>28</v>
      </c>
      <c r="F1316" s="6" t="s">
        <v>58</v>
      </c>
      <c r="G1316" s="6" t="str">
        <f>SUBSTITUTE(Raw_Data!G1316,"Ã©","é")</f>
        <v>Summit Down Gilet</v>
      </c>
      <c r="H1316" s="6">
        <v>2</v>
      </c>
      <c r="I1316" s="6" t="s">
        <v>143</v>
      </c>
      <c r="J1316" s="6" t="s">
        <v>144</v>
      </c>
      <c r="K1316" s="6">
        <v>0.38</v>
      </c>
      <c r="L1316" s="6" t="s">
        <v>42</v>
      </c>
      <c r="M1316" s="6" t="s">
        <v>34</v>
      </c>
      <c r="N1316" s="6"/>
    </row>
    <row r="1317" spans="1:14">
      <c r="A1317" s="6" t="s">
        <v>2491</v>
      </c>
      <c r="B1317" s="7">
        <v>46158</v>
      </c>
      <c r="C1317" s="6" t="s">
        <v>1055</v>
      </c>
      <c r="D1317" s="6" t="str">
        <f>IF(OR(PROPER(TRIM(Raw_Data!D1317))="Uk",PROPER(TRIM(Raw_Data!D1317))="Gb",PROPER(TRIM(Raw_Data!D1317))="United kingdom"),"United Kingdom",PROPER(TRIM(Raw_Data!D1317)))</f>
        <v>United Kingdom</v>
      </c>
      <c r="E1317" s="6" t="s">
        <v>52</v>
      </c>
      <c r="F1317" s="6" t="s">
        <v>85</v>
      </c>
      <c r="G1317" s="6" t="str">
        <f>SUBSTITUTE(Raw_Data!G1317,"Ã©","é")</f>
        <v>Trekking Poles</v>
      </c>
      <c r="H1317" s="6">
        <v>1</v>
      </c>
      <c r="I1317" s="6" t="s">
        <v>748</v>
      </c>
      <c r="J1317" s="6" t="s">
        <v>113</v>
      </c>
      <c r="K1317" s="6">
        <v>0.41</v>
      </c>
      <c r="L1317" s="6" t="s">
        <v>33</v>
      </c>
      <c r="M1317" s="6" t="s">
        <v>34</v>
      </c>
      <c r="N1317" s="6"/>
    </row>
    <row r="1318" spans="1:14">
      <c r="A1318" s="6" t="s">
        <v>2492</v>
      </c>
      <c r="B1318" s="7">
        <v>46068</v>
      </c>
      <c r="C1318" s="6" t="s">
        <v>2493</v>
      </c>
      <c r="D1318" s="6" t="str">
        <f>IF(OR(PROPER(TRIM(Raw_Data!D1318))="Uk",PROPER(TRIM(Raw_Data!D1318))="Gb",PROPER(TRIM(Raw_Data!D1318))="United kingdom"),"United Kingdom",PROPER(TRIM(Raw_Data!D1318)))</f>
        <v>United Kingdom</v>
      </c>
      <c r="E1318" s="6" t="s">
        <v>52</v>
      </c>
      <c r="F1318" s="6" t="s">
        <v>58</v>
      </c>
      <c r="G1318" s="6" t="str">
        <f>SUBSTITUTE(Raw_Data!G1318,"Ã©","é")</f>
        <v>Café Latte Mug</v>
      </c>
      <c r="H1318" s="6">
        <v>1</v>
      </c>
      <c r="I1318" s="6" t="s">
        <v>79</v>
      </c>
      <c r="J1318" s="6" t="s">
        <v>79</v>
      </c>
      <c r="K1318" s="6">
        <v>0.38</v>
      </c>
      <c r="L1318" s="6" t="s">
        <v>42</v>
      </c>
      <c r="M1318" s="6" t="s">
        <v>34</v>
      </c>
      <c r="N1318" s="6"/>
    </row>
    <row r="1319" spans="1:14">
      <c r="A1319" s="6" t="s">
        <v>2494</v>
      </c>
      <c r="B1319" s="7">
        <v>46128</v>
      </c>
      <c r="C1319" s="6" t="s">
        <v>2495</v>
      </c>
      <c r="D1319" s="6" t="str">
        <f>IF(OR(PROPER(TRIM(Raw_Data!D1319))="Uk",PROPER(TRIM(Raw_Data!D1319))="Gb",PROPER(TRIM(Raw_Data!D1319))="United kingdom"),"United Kingdom",PROPER(TRIM(Raw_Data!D1319)))</f>
        <v>Ireland</v>
      </c>
      <c r="E1319" s="6" t="s">
        <v>28</v>
      </c>
      <c r="F1319" s="6" t="s">
        <v>38</v>
      </c>
      <c r="G1319" s="6" t="str">
        <f>SUBSTITUTE(Raw_Data!G1319,"Ã©","é")</f>
        <v>Café Latte Mug</v>
      </c>
      <c r="H1319" s="6">
        <v>1</v>
      </c>
      <c r="I1319" s="6" t="s">
        <v>231</v>
      </c>
      <c r="J1319" s="6" t="s">
        <v>231</v>
      </c>
      <c r="K1319" s="6">
        <v>0.52</v>
      </c>
      <c r="L1319" s="6" t="s">
        <v>42</v>
      </c>
      <c r="M1319" s="6" t="s">
        <v>34</v>
      </c>
      <c r="N1319" s="6"/>
    </row>
    <row r="1320" spans="1:14">
      <c r="A1320" s="6" t="s">
        <v>2496</v>
      </c>
      <c r="B1320" s="7">
        <v>46048</v>
      </c>
      <c r="C1320" s="6" t="s">
        <v>2497</v>
      </c>
      <c r="D1320" s="6" t="str">
        <f>IF(OR(PROPER(TRIM(Raw_Data!D1320))="Uk",PROPER(TRIM(Raw_Data!D1320))="Gb",PROPER(TRIM(Raw_Data!D1320))="United kingdom"),"United Kingdom",PROPER(TRIM(Raw_Data!D1320)))</f>
        <v>Germany</v>
      </c>
      <c r="E1320" s="6" t="s">
        <v>46</v>
      </c>
      <c r="F1320" s="6" t="s">
        <v>100</v>
      </c>
      <c r="G1320" s="6" t="str">
        <f>SUBSTITUTE(Raw_Data!G1320,"Ã©","é")</f>
        <v>Merino Base Layer</v>
      </c>
      <c r="H1320" s="6">
        <v>1</v>
      </c>
      <c r="I1320" s="6" t="s">
        <v>96</v>
      </c>
      <c r="J1320" s="6" t="s">
        <v>96</v>
      </c>
      <c r="K1320" s="6">
        <v>0.64</v>
      </c>
      <c r="L1320" s="6" t="s">
        <v>33</v>
      </c>
      <c r="M1320" s="6" t="s">
        <v>34</v>
      </c>
      <c r="N1320" s="6"/>
    </row>
    <row r="1321" spans="1:14">
      <c r="A1321" s="6" t="s">
        <v>2498</v>
      </c>
      <c r="B1321" s="7">
        <v>46238</v>
      </c>
      <c r="C1321" s="6" t="s">
        <v>1053</v>
      </c>
      <c r="D1321" s="6" t="str">
        <f>IF(OR(PROPER(TRIM(Raw_Data!D1321))="Uk",PROPER(TRIM(Raw_Data!D1321))="Gb",PROPER(TRIM(Raw_Data!D1321))="United kingdom"),"United Kingdom",PROPER(TRIM(Raw_Data!D1321)))</f>
        <v>United Kingdom</v>
      </c>
      <c r="E1321" s="6" t="s">
        <v>52</v>
      </c>
      <c r="F1321" s="6" t="s">
        <v>58</v>
      </c>
      <c r="G1321" s="6" t="str">
        <f>SUBSTITUTE(Raw_Data!G1321,"Ã©","é")</f>
        <v>Fell Runner Cap</v>
      </c>
      <c r="H1321" s="6">
        <v>1</v>
      </c>
      <c r="I1321" s="6" t="s">
        <v>231</v>
      </c>
      <c r="J1321" s="6" t="s">
        <v>231</v>
      </c>
      <c r="K1321" s="6">
        <v>0.38</v>
      </c>
      <c r="L1321" s="6" t="s">
        <v>42</v>
      </c>
      <c r="M1321" s="6" t="s">
        <v>69</v>
      </c>
      <c r="N1321" s="6"/>
    </row>
    <row r="1322" spans="1:14">
      <c r="A1322" s="6" t="s">
        <v>2499</v>
      </c>
      <c r="B1322" s="7">
        <v>46079</v>
      </c>
      <c r="C1322" s="6" t="s">
        <v>2500</v>
      </c>
      <c r="D1322" s="6" t="str">
        <f>IF(OR(PROPER(TRIM(Raw_Data!D1322))="Uk",PROPER(TRIM(Raw_Data!D1322))="Gb",PROPER(TRIM(Raw_Data!D1322))="United kingdom"),"United Kingdom",PROPER(TRIM(Raw_Data!D1322)))</f>
        <v>Ireland</v>
      </c>
      <c r="E1322" s="6" t="s">
        <v>37</v>
      </c>
      <c r="F1322" s="6" t="s">
        <v>38</v>
      </c>
      <c r="G1322" s="6" t="str">
        <f>SUBSTITUTE(Raw_Data!G1322,"Ã©","é")</f>
        <v>Trekking Poles</v>
      </c>
      <c r="H1322" s="6">
        <v>2</v>
      </c>
      <c r="I1322" s="6" t="s">
        <v>181</v>
      </c>
      <c r="J1322" s="6" t="s">
        <v>163</v>
      </c>
      <c r="K1322" s="6">
        <v>0.52</v>
      </c>
      <c r="L1322" s="6" t="s">
        <v>42</v>
      </c>
      <c r="M1322" s="6" t="s">
        <v>69</v>
      </c>
      <c r="N1322" s="6"/>
    </row>
    <row r="1323" spans="1:14">
      <c r="A1323" s="6" t="s">
        <v>2501</v>
      </c>
      <c r="B1323" s="7">
        <v>46107</v>
      </c>
      <c r="C1323" s="6" t="s">
        <v>2502</v>
      </c>
      <c r="D1323" s="6" t="str">
        <f>IF(OR(PROPER(TRIM(Raw_Data!D1323))="Uk",PROPER(TRIM(Raw_Data!D1323))="Gb",PROPER(TRIM(Raw_Data!D1323))="United kingdom"),"United Kingdom",PROPER(TRIM(Raw_Data!D1323)))</f>
        <v>Ireland</v>
      </c>
      <c r="E1323" s="6" t="s">
        <v>52</v>
      </c>
      <c r="F1323" s="6" t="s">
        <v>29</v>
      </c>
      <c r="G1323" s="6" t="str">
        <f>SUBSTITUTE(Raw_Data!G1323,"Ã©","é")</f>
        <v>Storm Overtrousers</v>
      </c>
      <c r="H1323" s="6">
        <v>2</v>
      </c>
      <c r="I1323" s="6" t="s">
        <v>117</v>
      </c>
      <c r="J1323" s="6" t="s">
        <v>118</v>
      </c>
      <c r="K1323" s="6">
        <v>0.52</v>
      </c>
      <c r="L1323" s="6" t="s">
        <v>33</v>
      </c>
      <c r="M1323" s="6" t="s">
        <v>34</v>
      </c>
      <c r="N1323" s="6"/>
    </row>
    <row r="1324" spans="1:14">
      <c r="A1324" s="6" t="s">
        <v>2503</v>
      </c>
      <c r="B1324" s="7">
        <v>46128</v>
      </c>
      <c r="C1324" s="6" t="s">
        <v>2504</v>
      </c>
      <c r="D1324" s="6" t="str">
        <f>IF(OR(PROPER(TRIM(Raw_Data!D1324))="Uk",PROPER(TRIM(Raw_Data!D1324))="Gb",PROPER(TRIM(Raw_Data!D1324))="United kingdom"),"United Kingdom",PROPER(TRIM(Raw_Data!D1324)))</f>
        <v>Ireland</v>
      </c>
      <c r="E1324" s="6" t="s">
        <v>78</v>
      </c>
      <c r="F1324" s="6" t="s">
        <v>53</v>
      </c>
      <c r="G1324" s="6" t="str">
        <f>SUBSTITUTE(Raw_Data!G1324,"Ã©","é")</f>
        <v>Merino Base Layer</v>
      </c>
      <c r="H1324" s="6">
        <v>1</v>
      </c>
      <c r="I1324" s="6" t="s">
        <v>67</v>
      </c>
      <c r="J1324" s="6" t="s">
        <v>2505</v>
      </c>
      <c r="K1324" s="6">
        <v>0.19</v>
      </c>
      <c r="L1324" s="6" t="s">
        <v>42</v>
      </c>
      <c r="M1324" s="6" t="s">
        <v>34</v>
      </c>
      <c r="N1324" s="6"/>
    </row>
    <row r="1325" spans="1:14">
      <c r="A1325" s="6" t="s">
        <v>2506</v>
      </c>
      <c r="B1325" s="7">
        <v>46329</v>
      </c>
      <c r="C1325" s="6" t="s">
        <v>1980</v>
      </c>
      <c r="D1325" s="6" t="str">
        <f>IF(OR(PROPER(TRIM(Raw_Data!D1325))="Uk",PROPER(TRIM(Raw_Data!D1325))="Gb",PROPER(TRIM(Raw_Data!D1325))="United kingdom"),"United Kingdom",PROPER(TRIM(Raw_Data!D1325)))</f>
        <v>Ireland</v>
      </c>
      <c r="E1325" s="6" t="s">
        <v>52</v>
      </c>
      <c r="F1325" s="6" t="s">
        <v>94</v>
      </c>
      <c r="G1325" s="6" t="str">
        <f>SUBSTITUTE(Raw_Data!G1325,"Ã©","é")</f>
        <v>Storm Overtrousers</v>
      </c>
      <c r="H1325" s="6">
        <v>1</v>
      </c>
      <c r="I1325" s="6" t="s">
        <v>231</v>
      </c>
      <c r="J1325" s="6" t="s">
        <v>231</v>
      </c>
      <c r="K1325" s="6">
        <v>0.34</v>
      </c>
      <c r="L1325" s="6" t="s">
        <v>42</v>
      </c>
      <c r="M1325" s="6" t="s">
        <v>34</v>
      </c>
      <c r="N1325" s="6"/>
    </row>
    <row r="1326" spans="1:14">
      <c r="A1326" s="6" t="s">
        <v>2507</v>
      </c>
      <c r="B1326" s="7">
        <v>46109</v>
      </c>
      <c r="C1326" s="6" t="s">
        <v>961</v>
      </c>
      <c r="D1326" s="6" t="str">
        <f>IF(OR(PROPER(TRIM(Raw_Data!D1326))="Uk",PROPER(TRIM(Raw_Data!D1326))="Gb",PROPER(TRIM(Raw_Data!D1326))="United kingdom"),"United Kingdom",PROPER(TRIM(Raw_Data!D1326)))</f>
        <v>United Kingdom</v>
      </c>
      <c r="E1326" s="6" t="s">
        <v>78</v>
      </c>
      <c r="F1326" s="6" t="s">
        <v>47</v>
      </c>
      <c r="G1326" s="6" t="str">
        <f>SUBSTITUTE(Raw_Data!G1326,"Ã©","é")</f>
        <v>Merino Base Layer</v>
      </c>
      <c r="H1326" s="6">
        <v>3</v>
      </c>
      <c r="I1326" s="6" t="s">
        <v>143</v>
      </c>
      <c r="J1326" s="6" t="s">
        <v>243</v>
      </c>
      <c r="K1326" s="6">
        <v>8.5000000000000006E-2</v>
      </c>
      <c r="L1326" s="6" t="s">
        <v>42</v>
      </c>
      <c r="M1326" s="6" t="s">
        <v>34</v>
      </c>
      <c r="N1326" s="6"/>
    </row>
    <row r="1327" spans="1:14">
      <c r="A1327" s="6" t="s">
        <v>2508</v>
      </c>
      <c r="B1327" s="7">
        <v>46053</v>
      </c>
      <c r="C1327" s="6" t="s">
        <v>1439</v>
      </c>
      <c r="D1327" s="6" t="str">
        <f>IF(OR(PROPER(TRIM(Raw_Data!D1327))="Uk",PROPER(TRIM(Raw_Data!D1327))="Gb",PROPER(TRIM(Raw_Data!D1327))="United kingdom"),"United Kingdom",PROPER(TRIM(Raw_Data!D1327)))</f>
        <v>United Kingdom</v>
      </c>
      <c r="E1327" s="6" t="s">
        <v>78</v>
      </c>
      <c r="F1327" s="6" t="s">
        <v>94</v>
      </c>
      <c r="G1327" s="6" t="str">
        <f>SUBSTITUTE(Raw_Data!G1327,"Ã©","é")</f>
        <v>Trekking Poles</v>
      </c>
      <c r="H1327" s="6">
        <v>2</v>
      </c>
      <c r="I1327" s="6" t="s">
        <v>265</v>
      </c>
      <c r="J1327" s="6" t="s">
        <v>167</v>
      </c>
      <c r="K1327" s="6">
        <v>0.34</v>
      </c>
      <c r="L1327" s="6" t="s">
        <v>33</v>
      </c>
      <c r="M1327" s="6" t="s">
        <v>34</v>
      </c>
      <c r="N1327" s="6"/>
    </row>
    <row r="1328" spans="1:14">
      <c r="A1328" s="6" t="s">
        <v>2509</v>
      </c>
      <c r="B1328" s="7">
        <v>46117</v>
      </c>
      <c r="C1328" s="6" t="s">
        <v>2510</v>
      </c>
      <c r="D1328" s="6" t="str">
        <f>IF(OR(PROPER(TRIM(Raw_Data!D1328))="Uk",PROPER(TRIM(Raw_Data!D1328))="Gb",PROPER(TRIM(Raw_Data!D1328))="United kingdom"),"United Kingdom",PROPER(TRIM(Raw_Data!D1328)))</f>
        <v>Germany</v>
      </c>
      <c r="E1328" s="6" t="s">
        <v>46</v>
      </c>
      <c r="F1328" s="6" t="s">
        <v>53</v>
      </c>
      <c r="G1328" s="6" t="str">
        <f>SUBSTITUTE(Raw_Data!G1328,"Ã©","é")</f>
        <v>Summit Down Gilet</v>
      </c>
      <c r="H1328" s="6">
        <v>3</v>
      </c>
      <c r="I1328" s="6" t="s">
        <v>60</v>
      </c>
      <c r="J1328" s="6" t="s">
        <v>268</v>
      </c>
      <c r="K1328" s="6">
        <v>0.19</v>
      </c>
      <c r="L1328" s="6" t="s">
        <v>42</v>
      </c>
      <c r="M1328" s="6" t="s">
        <v>34</v>
      </c>
      <c r="N1328" s="6"/>
    </row>
    <row r="1329" spans="1:14">
      <c r="A1329" s="6" t="s">
        <v>2511</v>
      </c>
      <c r="B1329" s="7">
        <v>46198</v>
      </c>
      <c r="C1329" s="6" t="s">
        <v>2512</v>
      </c>
      <c r="D1329" s="6" t="str">
        <f>IF(OR(PROPER(TRIM(Raw_Data!D1329))="Uk",PROPER(TRIM(Raw_Data!D1329))="Gb",PROPER(TRIM(Raw_Data!D1329))="United kingdom"),"United Kingdom",PROPER(TRIM(Raw_Data!D1329)))</f>
        <v>United Kingdom</v>
      </c>
      <c r="E1329" s="6" t="s">
        <v>46</v>
      </c>
      <c r="F1329" s="6" t="s">
        <v>85</v>
      </c>
      <c r="G1329" s="6" t="str">
        <f>SUBSTITUTE(Raw_Data!G1329,"Ã©","é")</f>
        <v>Storm Overtrousers</v>
      </c>
      <c r="H1329" s="6">
        <v>1</v>
      </c>
      <c r="I1329" s="6" t="s">
        <v>265</v>
      </c>
      <c r="J1329" s="6" t="s">
        <v>265</v>
      </c>
      <c r="K1329" s="6">
        <v>0.41</v>
      </c>
      <c r="L1329" s="6" t="s">
        <v>42</v>
      </c>
      <c r="M1329" s="6" t="s">
        <v>69</v>
      </c>
      <c r="N1329" s="6"/>
    </row>
    <row r="1330" spans="1:14">
      <c r="A1330" s="6" t="s">
        <v>2513</v>
      </c>
      <c r="B1330" s="7">
        <v>46166</v>
      </c>
      <c r="C1330" s="6" t="s">
        <v>540</v>
      </c>
      <c r="D1330" s="6" t="str">
        <f>IF(OR(PROPER(TRIM(Raw_Data!D1330))="Uk",PROPER(TRIM(Raw_Data!D1330))="Gb",PROPER(TRIM(Raw_Data!D1330))="United kingdom"),"United Kingdom",PROPER(TRIM(Raw_Data!D1330)))</f>
        <v>United Kingdom</v>
      </c>
      <c r="E1330" s="6" t="s">
        <v>78</v>
      </c>
      <c r="F1330" s="6" t="s">
        <v>85</v>
      </c>
      <c r="G1330" s="6" t="str">
        <f>SUBSTITUTE(Raw_Data!G1330,"Ã©","é")</f>
        <v>Summit Down Gilet</v>
      </c>
      <c r="H1330" s="6">
        <v>2</v>
      </c>
      <c r="I1330" s="6" t="s">
        <v>31</v>
      </c>
      <c r="J1330" s="6" t="s">
        <v>2514</v>
      </c>
      <c r="K1330" s="6">
        <v>0.41</v>
      </c>
      <c r="L1330" s="6" t="s">
        <v>42</v>
      </c>
      <c r="M1330" s="6" t="s">
        <v>34</v>
      </c>
      <c r="N1330" s="6"/>
    </row>
    <row r="1331" spans="1:14">
      <c r="A1331" s="6" t="s">
        <v>2515</v>
      </c>
      <c r="B1331" s="7">
        <v>46159</v>
      </c>
      <c r="C1331" s="6" t="s">
        <v>1024</v>
      </c>
      <c r="D1331" s="6" t="str">
        <f>IF(OR(PROPER(TRIM(Raw_Data!D1331))="Uk",PROPER(TRIM(Raw_Data!D1331))="Gb",PROPER(TRIM(Raw_Data!D1331))="United kingdom"),"United Kingdom",PROPER(TRIM(Raw_Data!D1331)))</f>
        <v>United Kingdom</v>
      </c>
      <c r="E1331" s="6" t="s">
        <v>28</v>
      </c>
      <c r="F1331" s="6" t="s">
        <v>100</v>
      </c>
      <c r="G1331" s="6" t="str">
        <f>SUBSTITUTE(Raw_Data!G1331,"Ã©","é")</f>
        <v>Trail Softshell</v>
      </c>
      <c r="H1331" s="6">
        <v>2</v>
      </c>
      <c r="I1331" s="6" t="s">
        <v>31</v>
      </c>
      <c r="J1331" s="6" t="s">
        <v>249</v>
      </c>
      <c r="K1331" s="6">
        <v>0.64</v>
      </c>
      <c r="L1331" s="6" t="s">
        <v>42</v>
      </c>
      <c r="M1331" s="6" t="s">
        <v>34</v>
      </c>
      <c r="N1331" s="6"/>
    </row>
    <row r="1332" spans="1:14">
      <c r="A1332" s="6" t="s">
        <v>2516</v>
      </c>
      <c r="B1332" s="7">
        <v>46110</v>
      </c>
      <c r="C1332" s="6" t="s">
        <v>210</v>
      </c>
      <c r="D1332" s="6" t="str">
        <f>IF(OR(PROPER(TRIM(Raw_Data!D1332))="Uk",PROPER(TRIM(Raw_Data!D1332))="Gb",PROPER(TRIM(Raw_Data!D1332))="United kingdom"),"United Kingdom",PROPER(TRIM(Raw_Data!D1332)))</f>
        <v>France</v>
      </c>
      <c r="E1332" s="6" t="s">
        <v>52</v>
      </c>
      <c r="F1332" s="6" t="s">
        <v>38</v>
      </c>
      <c r="G1332" s="6" t="str">
        <f>SUBSTITUTE(Raw_Data!G1332,"Ã©","é")</f>
        <v>Alpine Jacket</v>
      </c>
      <c r="H1332" s="6">
        <v>2</v>
      </c>
      <c r="I1332" s="6" t="s">
        <v>60</v>
      </c>
      <c r="J1332" s="6" t="s">
        <v>2116</v>
      </c>
      <c r="K1332" s="6">
        <v>0.52</v>
      </c>
      <c r="L1332" s="6" t="s">
        <v>42</v>
      </c>
      <c r="M1332" s="6" t="s">
        <v>34</v>
      </c>
      <c r="N1332" s="6"/>
    </row>
    <row r="1333" spans="1:14">
      <c r="A1333" s="6" t="s">
        <v>2517</v>
      </c>
      <c r="B1333" s="7">
        <v>46149</v>
      </c>
      <c r="C1333" s="6" t="s">
        <v>2518</v>
      </c>
      <c r="D1333" s="6" t="str">
        <f>IF(OR(PROPER(TRIM(Raw_Data!D1333))="Uk",PROPER(TRIM(Raw_Data!D1333))="Gb",PROPER(TRIM(Raw_Data!D1333))="United kingdom"),"United Kingdom",PROPER(TRIM(Raw_Data!D1333)))</f>
        <v>United Kingdom</v>
      </c>
      <c r="E1333" s="6" t="s">
        <v>28</v>
      </c>
      <c r="F1333" s="6" t="s">
        <v>38</v>
      </c>
      <c r="G1333" s="6" t="str">
        <f>SUBSTITUTE(Raw_Data!G1333,"Ã©","é")</f>
        <v>Summit Down Gilet</v>
      </c>
      <c r="H1333" s="6">
        <v>3</v>
      </c>
      <c r="I1333" s="6" t="s">
        <v>79</v>
      </c>
      <c r="J1333" s="6" t="s">
        <v>216</v>
      </c>
      <c r="K1333" s="6">
        <v>0.52</v>
      </c>
      <c r="L1333" s="6" t="s">
        <v>42</v>
      </c>
      <c r="M1333" s="6" t="s">
        <v>34</v>
      </c>
      <c r="N1333" s="6"/>
    </row>
    <row r="1334" spans="1:14">
      <c r="A1334" s="6" t="s">
        <v>2519</v>
      </c>
      <c r="B1334" s="7">
        <v>46088</v>
      </c>
      <c r="C1334" s="6" t="s">
        <v>2520</v>
      </c>
      <c r="D1334" s="6" t="str">
        <f>IF(OR(PROPER(TRIM(Raw_Data!D1334))="Uk",PROPER(TRIM(Raw_Data!D1334))="Gb",PROPER(TRIM(Raw_Data!D1334))="United kingdom"),"United Kingdom",PROPER(TRIM(Raw_Data!D1334)))</f>
        <v>France</v>
      </c>
      <c r="E1334" s="6" t="s">
        <v>37</v>
      </c>
      <c r="F1334" s="6" t="s">
        <v>100</v>
      </c>
      <c r="G1334" s="6" t="str">
        <f>SUBSTITUTE(Raw_Data!G1334,"Ã©","é")</f>
        <v>Trail Softshell</v>
      </c>
      <c r="H1334" s="6">
        <v>3</v>
      </c>
      <c r="I1334" s="6" t="s">
        <v>90</v>
      </c>
      <c r="J1334" s="6" t="s">
        <v>2521</v>
      </c>
      <c r="K1334" s="6">
        <v>0.64</v>
      </c>
      <c r="L1334" s="6" t="s">
        <v>33</v>
      </c>
      <c r="M1334" s="6" t="s">
        <v>34</v>
      </c>
      <c r="N1334" s="6"/>
    </row>
    <row r="1335" spans="1:14">
      <c r="A1335" s="6" t="s">
        <v>2522</v>
      </c>
      <c r="B1335" s="7">
        <v>46238</v>
      </c>
      <c r="C1335" s="6" t="s">
        <v>1726</v>
      </c>
      <c r="D1335" s="6" t="str">
        <f>IF(OR(PROPER(TRIM(Raw_Data!D1335))="Uk",PROPER(TRIM(Raw_Data!D1335))="Gb",PROPER(TRIM(Raw_Data!D1335))="United kingdom"),"United Kingdom",PROPER(TRIM(Raw_Data!D1335)))</f>
        <v>United Kingdom</v>
      </c>
      <c r="E1335" s="6" t="s">
        <v>28</v>
      </c>
      <c r="F1335" s="6" t="s">
        <v>38</v>
      </c>
      <c r="G1335" s="6" t="str">
        <f>SUBSTITUTE(Raw_Data!G1335,"Ã©","é")</f>
        <v>Trekking Poles</v>
      </c>
      <c r="H1335" s="6">
        <v>1</v>
      </c>
      <c r="I1335" s="6" t="s">
        <v>40</v>
      </c>
      <c r="J1335" s="6" t="s">
        <v>40</v>
      </c>
      <c r="K1335" s="6">
        <v>0.52</v>
      </c>
      <c r="L1335" s="6" t="s">
        <v>42</v>
      </c>
      <c r="M1335" s="6" t="s">
        <v>34</v>
      </c>
      <c r="N1335" s="6"/>
    </row>
    <row r="1336" spans="1:14">
      <c r="A1336" s="6" t="s">
        <v>2523</v>
      </c>
      <c r="B1336" s="7">
        <v>46105</v>
      </c>
      <c r="C1336" s="6" t="s">
        <v>2001</v>
      </c>
      <c r="D1336" s="6" t="str">
        <f>IF(OR(PROPER(TRIM(Raw_Data!D1336))="Uk",PROPER(TRIM(Raw_Data!D1336))="Gb",PROPER(TRIM(Raw_Data!D1336))="United kingdom"),"United Kingdom",PROPER(TRIM(Raw_Data!D1336)))</f>
        <v>United Kingdom</v>
      </c>
      <c r="E1336" s="6" t="s">
        <v>46</v>
      </c>
      <c r="F1336" s="6" t="s">
        <v>94</v>
      </c>
      <c r="G1336" s="6" t="str">
        <f>SUBSTITUTE(Raw_Data!G1336,"Ã©","é")</f>
        <v>Merino Base Layer</v>
      </c>
      <c r="H1336" s="6">
        <v>2</v>
      </c>
      <c r="I1336" s="6" t="s">
        <v>143</v>
      </c>
      <c r="J1336" s="6" t="s">
        <v>144</v>
      </c>
      <c r="K1336" s="6">
        <v>0.34</v>
      </c>
      <c r="L1336" s="6" t="s">
        <v>42</v>
      </c>
      <c r="M1336" s="6" t="s">
        <v>34</v>
      </c>
      <c r="N1336" s="6"/>
    </row>
    <row r="1337" spans="1:14">
      <c r="A1337" s="6" t="s">
        <v>2524</v>
      </c>
      <c r="B1337" s="7">
        <v>46166</v>
      </c>
      <c r="C1337" s="6" t="s">
        <v>934</v>
      </c>
      <c r="D1337" s="6" t="str">
        <f>IF(OR(PROPER(TRIM(Raw_Data!D1337))="Uk",PROPER(TRIM(Raw_Data!D1337))="Gb",PROPER(TRIM(Raw_Data!D1337))="United kingdom"),"United Kingdom",PROPER(TRIM(Raw_Data!D1337)))</f>
        <v>United Kingdom</v>
      </c>
      <c r="E1337" s="6" t="s">
        <v>37</v>
      </c>
      <c r="F1337" s="6" t="s">
        <v>85</v>
      </c>
      <c r="G1337" s="6" t="str">
        <f>SUBSTITUTE(Raw_Data!G1337,"Ã©","é")</f>
        <v>Café Latte Mug</v>
      </c>
      <c r="H1337" s="6">
        <v>1</v>
      </c>
      <c r="I1337" s="6" t="s">
        <v>231</v>
      </c>
      <c r="J1337" s="6" t="s">
        <v>231</v>
      </c>
      <c r="K1337" s="6">
        <v>0.41</v>
      </c>
      <c r="L1337" s="6" t="s">
        <v>33</v>
      </c>
      <c r="M1337" s="6" t="s">
        <v>34</v>
      </c>
      <c r="N1337" s="6"/>
    </row>
    <row r="1338" spans="1:14">
      <c r="A1338" s="6" t="s">
        <v>2525</v>
      </c>
      <c r="B1338" s="7">
        <v>46059</v>
      </c>
      <c r="C1338" s="6" t="s">
        <v>1059</v>
      </c>
      <c r="D1338" s="6" t="str">
        <f>IF(OR(PROPER(TRIM(Raw_Data!D1338))="Uk",PROPER(TRIM(Raw_Data!D1338))="Gb",PROPER(TRIM(Raw_Data!D1338))="United kingdom"),"United Kingdom",PROPER(TRIM(Raw_Data!D1338)))</f>
        <v>United Kingdom</v>
      </c>
      <c r="E1338" s="6" t="s">
        <v>78</v>
      </c>
      <c r="F1338" s="6" t="s">
        <v>100</v>
      </c>
      <c r="G1338" s="6" t="str">
        <f>SUBSTITUTE(Raw_Data!G1338,"Ã©","é")</f>
        <v>Fell Runner Cap</v>
      </c>
      <c r="H1338" s="6">
        <v>3</v>
      </c>
      <c r="I1338" s="6" t="s">
        <v>143</v>
      </c>
      <c r="J1338" s="6" t="s">
        <v>243</v>
      </c>
      <c r="K1338" s="6">
        <v>0.64</v>
      </c>
      <c r="L1338" s="6" t="s">
        <v>42</v>
      </c>
      <c r="M1338" s="6" t="s">
        <v>34</v>
      </c>
      <c r="N1338" s="6"/>
    </row>
    <row r="1339" spans="1:14">
      <c r="A1339" s="6" t="s">
        <v>2526</v>
      </c>
      <c r="B1339" s="7">
        <v>46166</v>
      </c>
      <c r="C1339" s="6" t="s">
        <v>477</v>
      </c>
      <c r="D1339" s="6" t="str">
        <f>IF(OR(PROPER(TRIM(Raw_Data!D1339))="Uk",PROPER(TRIM(Raw_Data!D1339))="Gb",PROPER(TRIM(Raw_Data!D1339))="United kingdom"),"United Kingdom",PROPER(TRIM(Raw_Data!D1339)))</f>
        <v>Ireland</v>
      </c>
      <c r="E1339" s="6" t="s">
        <v>28</v>
      </c>
      <c r="F1339" s="6" t="s">
        <v>38</v>
      </c>
      <c r="G1339" s="6" t="str">
        <f>SUBSTITUTE(Raw_Data!G1339,"Ã©","é")</f>
        <v>Café Latte Mug</v>
      </c>
      <c r="H1339" s="6">
        <v>1</v>
      </c>
      <c r="I1339" s="6" t="s">
        <v>73</v>
      </c>
      <c r="J1339" s="6" t="s">
        <v>73</v>
      </c>
      <c r="K1339" s="6">
        <v>0.52</v>
      </c>
      <c r="L1339" s="6" t="s">
        <v>42</v>
      </c>
      <c r="M1339" s="6" t="s">
        <v>34</v>
      </c>
      <c r="N1339" s="6"/>
    </row>
    <row r="1340" spans="1:14">
      <c r="A1340" s="6" t="s">
        <v>2527</v>
      </c>
      <c r="B1340" s="7">
        <v>46172</v>
      </c>
      <c r="C1340" s="6" t="s">
        <v>2528</v>
      </c>
      <c r="D1340" s="6" t="str">
        <f>IF(OR(PROPER(TRIM(Raw_Data!D1340))="Uk",PROPER(TRIM(Raw_Data!D1340))="Gb",PROPER(TRIM(Raw_Data!D1340))="United kingdom"),"United Kingdom",PROPER(TRIM(Raw_Data!D1340)))</f>
        <v>Germany</v>
      </c>
      <c r="E1340" s="6" t="s">
        <v>37</v>
      </c>
      <c r="F1340" s="6" t="s">
        <v>29</v>
      </c>
      <c r="G1340" s="6" t="str">
        <f>SUBSTITUTE(Raw_Data!G1340,"Ã©","é")</f>
        <v>Merino Base Layer</v>
      </c>
      <c r="H1340" s="6">
        <v>1</v>
      </c>
      <c r="I1340" s="6" t="s">
        <v>143</v>
      </c>
      <c r="J1340" s="6" t="s">
        <v>143</v>
      </c>
      <c r="K1340" s="6">
        <v>0.52</v>
      </c>
      <c r="L1340" s="6" t="s">
        <v>42</v>
      </c>
      <c r="M1340" s="6" t="s">
        <v>34</v>
      </c>
      <c r="N1340" s="6"/>
    </row>
    <row r="1341" spans="1:14">
      <c r="A1341" s="6" t="s">
        <v>2529</v>
      </c>
      <c r="B1341" s="7">
        <v>46029</v>
      </c>
      <c r="C1341" s="6" t="s">
        <v>2249</v>
      </c>
      <c r="D1341" s="6" t="str">
        <f>IF(OR(PROPER(TRIM(Raw_Data!D1341))="Uk",PROPER(TRIM(Raw_Data!D1341))="Gb",PROPER(TRIM(Raw_Data!D1341))="United kingdom"),"United Kingdom",PROPER(TRIM(Raw_Data!D1341)))</f>
        <v>United Kingdom</v>
      </c>
      <c r="E1341" s="6" t="s">
        <v>46</v>
      </c>
      <c r="F1341" s="6" t="s">
        <v>29</v>
      </c>
      <c r="G1341" s="6" t="str">
        <f>SUBSTITUTE(Raw_Data!G1341,"Ã©","é")</f>
        <v>Storm Overtrousers</v>
      </c>
      <c r="H1341" s="6">
        <v>2</v>
      </c>
      <c r="I1341" s="6" t="s">
        <v>147</v>
      </c>
      <c r="J1341" s="6" t="s">
        <v>175</v>
      </c>
      <c r="K1341" s="6">
        <v>0.52</v>
      </c>
      <c r="L1341" s="6" t="s">
        <v>42</v>
      </c>
      <c r="M1341" s="6" t="s">
        <v>34</v>
      </c>
      <c r="N1341" s="6"/>
    </row>
    <row r="1342" spans="1:14">
      <c r="A1342" s="6" t="s">
        <v>2530</v>
      </c>
      <c r="B1342" s="7">
        <v>46051</v>
      </c>
      <c r="C1342" s="6" t="s">
        <v>1168</v>
      </c>
      <c r="D1342" s="6" t="str">
        <f>IF(OR(PROPER(TRIM(Raw_Data!D1342))="Uk",PROPER(TRIM(Raw_Data!D1342))="Gb",PROPER(TRIM(Raw_Data!D1342))="United kingdom"),"United Kingdom",PROPER(TRIM(Raw_Data!D1342)))</f>
        <v>United Kingdom</v>
      </c>
      <c r="E1342" s="6" t="s">
        <v>28</v>
      </c>
      <c r="F1342" s="6" t="s">
        <v>94</v>
      </c>
      <c r="G1342" s="6" t="str">
        <f>SUBSTITUTE(Raw_Data!G1342,"Ã©","é")</f>
        <v>Storm Overtrousers</v>
      </c>
      <c r="H1342" s="6">
        <v>1</v>
      </c>
      <c r="I1342" s="6" t="s">
        <v>181</v>
      </c>
      <c r="J1342" s="6" t="s">
        <v>181</v>
      </c>
      <c r="K1342" s="6">
        <v>0.34</v>
      </c>
      <c r="L1342" s="6" t="s">
        <v>42</v>
      </c>
      <c r="M1342" s="6" t="s">
        <v>69</v>
      </c>
      <c r="N1342" s="6"/>
    </row>
    <row r="1343" spans="1:14">
      <c r="A1343" s="6" t="s">
        <v>2531</v>
      </c>
      <c r="B1343" s="7">
        <v>46137</v>
      </c>
      <c r="C1343" s="6" t="s">
        <v>2532</v>
      </c>
      <c r="D1343" s="6" t="str">
        <f>IF(OR(PROPER(TRIM(Raw_Data!D1343))="Uk",PROPER(TRIM(Raw_Data!D1343))="Gb",PROPER(TRIM(Raw_Data!D1343))="United kingdom"),"United Kingdom",PROPER(TRIM(Raw_Data!D1343)))</f>
        <v>United Kingdom</v>
      </c>
      <c r="E1343" s="6" t="s">
        <v>37</v>
      </c>
      <c r="F1343" s="6" t="s">
        <v>85</v>
      </c>
      <c r="G1343" s="6" t="str">
        <f>SUBSTITUTE(Raw_Data!G1343,"Ã©","é")</f>
        <v>Alpine Jacket</v>
      </c>
      <c r="H1343" s="6">
        <v>2</v>
      </c>
      <c r="I1343" s="6" t="s">
        <v>373</v>
      </c>
      <c r="J1343" s="6" t="s">
        <v>259</v>
      </c>
      <c r="K1343" s="6">
        <v>0.41</v>
      </c>
      <c r="L1343" s="6" t="s">
        <v>42</v>
      </c>
      <c r="M1343" s="6" t="s">
        <v>69</v>
      </c>
      <c r="N1343" s="6"/>
    </row>
    <row r="1344" spans="1:14">
      <c r="A1344" s="6" t="s">
        <v>2533</v>
      </c>
      <c r="B1344" s="7">
        <v>46108</v>
      </c>
      <c r="C1344" s="6" t="s">
        <v>2534</v>
      </c>
      <c r="D1344" s="6" t="str">
        <f>IF(OR(PROPER(TRIM(Raw_Data!D1344))="Uk",PROPER(TRIM(Raw_Data!D1344))="Gb",PROPER(TRIM(Raw_Data!D1344))="United kingdom"),"United Kingdom",PROPER(TRIM(Raw_Data!D1344)))</f>
        <v>United Kingdom</v>
      </c>
      <c r="E1344" s="6" t="s">
        <v>28</v>
      </c>
      <c r="F1344" s="6" t="s">
        <v>47</v>
      </c>
      <c r="G1344" s="6" t="str">
        <f>SUBSTITUTE(Raw_Data!G1344,"Ã©","é")</f>
        <v>Trail Softshell</v>
      </c>
      <c r="H1344" s="6">
        <v>1</v>
      </c>
      <c r="I1344" s="6" t="s">
        <v>603</v>
      </c>
      <c r="J1344" s="6" t="s">
        <v>147</v>
      </c>
      <c r="K1344" s="6">
        <v>8.5000000000000006E-2</v>
      </c>
      <c r="L1344" s="6" t="s">
        <v>33</v>
      </c>
      <c r="M1344" s="6" t="s">
        <v>34</v>
      </c>
      <c r="N1344" s="6"/>
    </row>
    <row r="1345" spans="1:14">
      <c r="A1345" s="6" t="s">
        <v>2535</v>
      </c>
      <c r="B1345" s="7">
        <v>46041</v>
      </c>
      <c r="C1345" s="6" t="s">
        <v>2536</v>
      </c>
      <c r="D1345" s="6" t="str">
        <f>IF(OR(PROPER(TRIM(Raw_Data!D1345))="Uk",PROPER(TRIM(Raw_Data!D1345))="Gb",PROPER(TRIM(Raw_Data!D1345))="United kingdom"),"United Kingdom",PROPER(TRIM(Raw_Data!D1345)))</f>
        <v>Ireland</v>
      </c>
      <c r="E1345" s="6" t="s">
        <v>37</v>
      </c>
      <c r="F1345" s="6" t="s">
        <v>53</v>
      </c>
      <c r="G1345" s="6" t="str">
        <f>SUBSTITUTE(Raw_Data!G1345,"Ã©","é")</f>
        <v>Trail Softshell</v>
      </c>
      <c r="H1345" s="6">
        <v>1</v>
      </c>
      <c r="I1345" s="6" t="s">
        <v>82</v>
      </c>
      <c r="J1345" s="6" t="s">
        <v>82</v>
      </c>
      <c r="K1345" s="6">
        <v>0.19</v>
      </c>
      <c r="L1345" s="6" t="s">
        <v>42</v>
      </c>
      <c r="M1345" s="6" t="s">
        <v>69</v>
      </c>
      <c r="N1345" s="6"/>
    </row>
    <row r="1346" spans="1:14">
      <c r="A1346" s="6" t="s">
        <v>2537</v>
      </c>
      <c r="B1346" s="7">
        <v>46070</v>
      </c>
      <c r="C1346" s="6" t="s">
        <v>1079</v>
      </c>
      <c r="D1346" s="6" t="str">
        <f>IF(OR(PROPER(TRIM(Raw_Data!D1346))="Uk",PROPER(TRIM(Raw_Data!D1346))="Gb",PROPER(TRIM(Raw_Data!D1346))="United kingdom"),"United Kingdom",PROPER(TRIM(Raw_Data!D1346)))</f>
        <v>United Kingdom</v>
      </c>
      <c r="E1346" s="6" t="s">
        <v>78</v>
      </c>
      <c r="F1346" s="6" t="s">
        <v>38</v>
      </c>
      <c r="G1346" s="6" t="str">
        <f>SUBSTITUTE(Raw_Data!G1346,"Ã©","é")</f>
        <v>Alpine Jacket</v>
      </c>
      <c r="H1346" s="6">
        <v>2</v>
      </c>
      <c r="I1346" s="6" t="s">
        <v>447</v>
      </c>
      <c r="J1346" s="6" t="s">
        <v>154</v>
      </c>
      <c r="K1346" s="6">
        <v>0.52</v>
      </c>
      <c r="L1346" s="6" t="s">
        <v>42</v>
      </c>
      <c r="M1346" s="6" t="s">
        <v>34</v>
      </c>
      <c r="N1346" s="6"/>
    </row>
    <row r="1347" spans="1:14">
      <c r="A1347" s="6" t="s">
        <v>2538</v>
      </c>
      <c r="B1347" s="7">
        <v>46050</v>
      </c>
      <c r="C1347" s="6" t="s">
        <v>2153</v>
      </c>
      <c r="D1347" s="6" t="str">
        <f>IF(OR(PROPER(TRIM(Raw_Data!D1347))="Uk",PROPER(TRIM(Raw_Data!D1347))="Gb",PROPER(TRIM(Raw_Data!D1347))="United kingdom"),"United Kingdom",PROPER(TRIM(Raw_Data!D1347)))</f>
        <v>United Kingdom</v>
      </c>
      <c r="E1347" s="6" t="s">
        <v>28</v>
      </c>
      <c r="F1347" s="6" t="s">
        <v>47</v>
      </c>
      <c r="G1347" s="6" t="str">
        <f>SUBSTITUTE(Raw_Data!G1347,"Ã©","é")</f>
        <v>Trail Softshell</v>
      </c>
      <c r="H1347" s="6">
        <v>2</v>
      </c>
      <c r="I1347" s="6" t="s">
        <v>748</v>
      </c>
      <c r="J1347" s="6" t="s">
        <v>192</v>
      </c>
      <c r="K1347" s="6">
        <v>8.5000000000000006E-2</v>
      </c>
      <c r="L1347" s="6" t="s">
        <v>42</v>
      </c>
      <c r="M1347" s="6" t="s">
        <v>34</v>
      </c>
      <c r="N1347" s="6"/>
    </row>
    <row r="1348" spans="1:14">
      <c r="A1348" s="6" t="s">
        <v>2539</v>
      </c>
      <c r="B1348" s="7">
        <v>46116</v>
      </c>
      <c r="C1348" s="6" t="s">
        <v>1126</v>
      </c>
      <c r="D1348" s="6" t="str">
        <f>IF(OR(PROPER(TRIM(Raw_Data!D1348))="Uk",PROPER(TRIM(Raw_Data!D1348))="Gb",PROPER(TRIM(Raw_Data!D1348))="United kingdom"),"United Kingdom",PROPER(TRIM(Raw_Data!D1348)))</f>
        <v>United Kingdom</v>
      </c>
      <c r="E1348" s="6" t="s">
        <v>28</v>
      </c>
      <c r="F1348" s="6" t="s">
        <v>38</v>
      </c>
      <c r="G1348" s="6" t="str">
        <f>SUBSTITUTE(Raw_Data!G1348,"Ã©","é")</f>
        <v>Café Latte Mug</v>
      </c>
      <c r="H1348" s="6">
        <v>2</v>
      </c>
      <c r="I1348" s="6" t="s">
        <v>96</v>
      </c>
      <c r="J1348" s="6" t="s">
        <v>278</v>
      </c>
      <c r="K1348" s="6">
        <v>0.52</v>
      </c>
      <c r="L1348" s="6" t="s">
        <v>33</v>
      </c>
      <c r="M1348" s="6" t="s">
        <v>34</v>
      </c>
      <c r="N1348" s="6"/>
    </row>
    <row r="1349" spans="1:14">
      <c r="A1349" s="6" t="s">
        <v>2540</v>
      </c>
      <c r="B1349" s="7">
        <v>46359</v>
      </c>
      <c r="C1349" s="6" t="s">
        <v>2541</v>
      </c>
      <c r="D1349" s="6" t="str">
        <f>IF(OR(PROPER(TRIM(Raw_Data!D1349))="Uk",PROPER(TRIM(Raw_Data!D1349))="Gb",PROPER(TRIM(Raw_Data!D1349))="United kingdom"),"United Kingdom",PROPER(TRIM(Raw_Data!D1349)))</f>
        <v>Germany</v>
      </c>
      <c r="E1349" s="6" t="s">
        <v>46</v>
      </c>
      <c r="F1349" s="6" t="s">
        <v>100</v>
      </c>
      <c r="G1349" s="6" t="str">
        <f>SUBSTITUTE(Raw_Data!G1349,"Ã©","é")</f>
        <v>Storm Overtrousers</v>
      </c>
      <c r="H1349" s="6">
        <v>1</v>
      </c>
      <c r="I1349" s="6" t="s">
        <v>195</v>
      </c>
      <c r="J1349" s="6" t="s">
        <v>181</v>
      </c>
      <c r="K1349" s="6">
        <v>0.64</v>
      </c>
      <c r="L1349" s="6" t="s">
        <v>42</v>
      </c>
      <c r="M1349" s="6" t="s">
        <v>34</v>
      </c>
      <c r="N1349" s="6"/>
    </row>
    <row r="1350" spans="1:14">
      <c r="A1350" s="6" t="s">
        <v>2542</v>
      </c>
      <c r="B1350" s="7">
        <v>46054</v>
      </c>
      <c r="C1350" s="6" t="s">
        <v>1157</v>
      </c>
      <c r="D1350" s="6" t="str">
        <f>IF(OR(PROPER(TRIM(Raw_Data!D1350))="Uk",PROPER(TRIM(Raw_Data!D1350))="Gb",PROPER(TRIM(Raw_Data!D1350))="United kingdom"),"United Kingdom",PROPER(TRIM(Raw_Data!D1350)))</f>
        <v>Germany</v>
      </c>
      <c r="E1350" s="6" t="s">
        <v>28</v>
      </c>
      <c r="F1350" s="6" t="s">
        <v>47</v>
      </c>
      <c r="G1350" s="6" t="str">
        <f>SUBSTITUTE(Raw_Data!G1350,"Ã©","é")</f>
        <v>Alpine Jacket</v>
      </c>
      <c r="H1350" s="6">
        <v>1</v>
      </c>
      <c r="I1350" s="6" t="s">
        <v>113</v>
      </c>
      <c r="J1350" s="6" t="s">
        <v>113</v>
      </c>
      <c r="K1350" s="6">
        <v>8.5000000000000006E-2</v>
      </c>
      <c r="L1350" s="6" t="s">
        <v>42</v>
      </c>
      <c r="M1350" s="6" t="s">
        <v>34</v>
      </c>
      <c r="N1350" s="6"/>
    </row>
    <row r="1351" spans="1:14">
      <c r="A1351" s="6" t="s">
        <v>2543</v>
      </c>
      <c r="B1351" s="7">
        <v>46238</v>
      </c>
      <c r="C1351" s="6" t="s">
        <v>608</v>
      </c>
      <c r="D1351" s="6" t="str">
        <f>IF(OR(PROPER(TRIM(Raw_Data!D1351))="Uk",PROPER(TRIM(Raw_Data!D1351))="Gb",PROPER(TRIM(Raw_Data!D1351))="United kingdom"),"United Kingdom",PROPER(TRIM(Raw_Data!D1351)))</f>
        <v>United Kingdom</v>
      </c>
      <c r="E1351" s="6" t="s">
        <v>37</v>
      </c>
      <c r="F1351" s="6" t="s">
        <v>38</v>
      </c>
      <c r="G1351" s="6" t="str">
        <f>SUBSTITUTE(Raw_Data!G1351,"Ã©","é")</f>
        <v>Trail Softshell</v>
      </c>
      <c r="H1351" s="6">
        <v>1</v>
      </c>
      <c r="I1351" s="6" t="s">
        <v>181</v>
      </c>
      <c r="J1351" s="6" t="s">
        <v>181</v>
      </c>
      <c r="K1351" s="6">
        <v>0.52</v>
      </c>
      <c r="L1351" s="6" t="s">
        <v>42</v>
      </c>
      <c r="M1351" s="6" t="s">
        <v>34</v>
      </c>
      <c r="N1351" s="6"/>
    </row>
    <row r="1352" spans="1:14">
      <c r="A1352" s="6" t="s">
        <v>2544</v>
      </c>
      <c r="B1352" s="7">
        <v>46189</v>
      </c>
      <c r="C1352" s="6" t="s">
        <v>2545</v>
      </c>
      <c r="D1352" s="6" t="str">
        <f>IF(OR(PROPER(TRIM(Raw_Data!D1352))="Uk",PROPER(TRIM(Raw_Data!D1352))="Gb",PROPER(TRIM(Raw_Data!D1352))="United kingdom"),"United Kingdom",PROPER(TRIM(Raw_Data!D1352)))</f>
        <v>United Kingdom</v>
      </c>
      <c r="E1352" s="6" t="s">
        <v>46</v>
      </c>
      <c r="F1352" s="6" t="s">
        <v>47</v>
      </c>
      <c r="G1352" s="6" t="str">
        <f>SUBSTITUTE(Raw_Data!G1352,"Ã©","é")</f>
        <v>Trekking Poles</v>
      </c>
      <c r="H1352" s="6">
        <v>3</v>
      </c>
      <c r="I1352" s="6" t="s">
        <v>181</v>
      </c>
      <c r="J1352" s="6" t="s">
        <v>867</v>
      </c>
      <c r="K1352" s="6">
        <v>8.5000000000000006E-2</v>
      </c>
      <c r="L1352" s="6" t="s">
        <v>42</v>
      </c>
      <c r="M1352" s="6" t="s">
        <v>69</v>
      </c>
      <c r="N1352" s="6"/>
    </row>
    <row r="1353" spans="1:14">
      <c r="A1353" s="6" t="s">
        <v>2546</v>
      </c>
      <c r="B1353" s="7">
        <v>46236</v>
      </c>
      <c r="C1353" s="6" t="s">
        <v>1777</v>
      </c>
      <c r="D1353" s="6" t="str">
        <f>IF(OR(PROPER(TRIM(Raw_Data!D1353))="Uk",PROPER(TRIM(Raw_Data!D1353))="Gb",PROPER(TRIM(Raw_Data!D1353))="United kingdom"),"United Kingdom",PROPER(TRIM(Raw_Data!D1353)))</f>
        <v>United Kingdom</v>
      </c>
      <c r="E1353" s="6" t="s">
        <v>52</v>
      </c>
      <c r="F1353" s="6" t="s">
        <v>94</v>
      </c>
      <c r="G1353" s="6" t="str">
        <f>SUBSTITUTE(Raw_Data!G1353,"Ã©","é")</f>
        <v>Trekking Poles</v>
      </c>
      <c r="H1353" s="6">
        <v>1</v>
      </c>
      <c r="I1353" s="6" t="s">
        <v>117</v>
      </c>
      <c r="J1353" s="6" t="s">
        <v>117</v>
      </c>
      <c r="K1353" s="6">
        <v>0.34</v>
      </c>
      <c r="L1353" s="6" t="s">
        <v>42</v>
      </c>
      <c r="M1353" s="6" t="s">
        <v>34</v>
      </c>
      <c r="N1353" s="6"/>
    </row>
    <row r="1354" spans="1:14">
      <c r="A1354" s="6" t="s">
        <v>2547</v>
      </c>
      <c r="B1354" s="7">
        <v>46149</v>
      </c>
      <c r="C1354" s="6" t="s">
        <v>1024</v>
      </c>
      <c r="D1354" s="6" t="str">
        <f>IF(OR(PROPER(TRIM(Raw_Data!D1354))="Uk",PROPER(TRIM(Raw_Data!D1354))="Gb",PROPER(TRIM(Raw_Data!D1354))="United kingdom"),"United Kingdom",PROPER(TRIM(Raw_Data!D1354)))</f>
        <v>United Kingdom</v>
      </c>
      <c r="E1354" s="6" t="s">
        <v>28</v>
      </c>
      <c r="F1354" s="6" t="s">
        <v>47</v>
      </c>
      <c r="G1354" s="6" t="str">
        <f>SUBSTITUTE(Raw_Data!G1354,"Ã©","é")</f>
        <v>Café Latte Mug</v>
      </c>
      <c r="H1354" s="6">
        <v>2</v>
      </c>
      <c r="I1354" s="6" t="s">
        <v>31</v>
      </c>
      <c r="J1354" s="6" t="s">
        <v>249</v>
      </c>
      <c r="K1354" s="6">
        <v>8.5000000000000006E-2</v>
      </c>
      <c r="L1354" s="6" t="s">
        <v>33</v>
      </c>
      <c r="M1354" s="6" t="s">
        <v>34</v>
      </c>
      <c r="N1354" s="6"/>
    </row>
    <row r="1355" spans="1:14">
      <c r="A1355" s="6" t="s">
        <v>2548</v>
      </c>
      <c r="B1355" s="7">
        <v>46297</v>
      </c>
      <c r="C1355" s="6" t="s">
        <v>1644</v>
      </c>
      <c r="D1355" s="6" t="str">
        <f>IF(OR(PROPER(TRIM(Raw_Data!D1355))="Uk",PROPER(TRIM(Raw_Data!D1355))="Gb",PROPER(TRIM(Raw_Data!D1355))="United kingdom"),"United Kingdom",PROPER(TRIM(Raw_Data!D1355)))</f>
        <v>France</v>
      </c>
      <c r="E1355" s="6" t="s">
        <v>28</v>
      </c>
      <c r="F1355" s="6" t="s">
        <v>100</v>
      </c>
      <c r="G1355" s="6" t="str">
        <f>SUBSTITUTE(Raw_Data!G1355,"Ã©","é")</f>
        <v>Storm Overtrousers</v>
      </c>
      <c r="H1355" s="6">
        <v>-2</v>
      </c>
      <c r="I1355" s="6" t="s">
        <v>67</v>
      </c>
      <c r="J1355" s="8" t="s">
        <v>2549</v>
      </c>
      <c r="K1355" s="6">
        <v>0.64</v>
      </c>
      <c r="L1355" s="6" t="s">
        <v>42</v>
      </c>
      <c r="M1355" s="6" t="s">
        <v>34</v>
      </c>
      <c r="N1355" s="6"/>
    </row>
    <row r="1356" spans="1:14">
      <c r="A1356" s="6" t="s">
        <v>2550</v>
      </c>
      <c r="B1356" s="7">
        <v>46168</v>
      </c>
      <c r="C1356" s="6" t="s">
        <v>174</v>
      </c>
      <c r="D1356" s="6" t="str">
        <f>IF(OR(PROPER(TRIM(Raw_Data!D1356))="Uk",PROPER(TRIM(Raw_Data!D1356))="Gb",PROPER(TRIM(Raw_Data!D1356))="United kingdom"),"United Kingdom",PROPER(TRIM(Raw_Data!D1356)))</f>
        <v>France</v>
      </c>
      <c r="E1356" s="6" t="s">
        <v>46</v>
      </c>
      <c r="F1356" s="6" t="s">
        <v>100</v>
      </c>
      <c r="G1356" s="6" t="str">
        <f>SUBSTITUTE(Raw_Data!G1356,"Ã©","é")</f>
        <v>Fell Runner Cap</v>
      </c>
      <c r="H1356" s="6">
        <v>1</v>
      </c>
      <c r="I1356" s="6" t="s">
        <v>1004</v>
      </c>
      <c r="J1356" s="6" t="s">
        <v>265</v>
      </c>
      <c r="K1356" s="6">
        <v>0.64</v>
      </c>
      <c r="L1356" s="6" t="s">
        <v>42</v>
      </c>
      <c r="M1356" s="6" t="s">
        <v>34</v>
      </c>
      <c r="N1356" s="6"/>
    </row>
    <row r="1357" spans="1:14">
      <c r="A1357" s="6" t="s">
        <v>2551</v>
      </c>
      <c r="B1357" s="7">
        <v>46072</v>
      </c>
      <c r="C1357" s="6" t="s">
        <v>679</v>
      </c>
      <c r="D1357" s="6" t="str">
        <f>IF(OR(PROPER(TRIM(Raw_Data!D1357))="Uk",PROPER(TRIM(Raw_Data!D1357))="Gb",PROPER(TRIM(Raw_Data!D1357))="United kingdom"),"United Kingdom",PROPER(TRIM(Raw_Data!D1357)))</f>
        <v>France</v>
      </c>
      <c r="E1357" s="6" t="s">
        <v>37</v>
      </c>
      <c r="F1357" s="6" t="s">
        <v>85</v>
      </c>
      <c r="G1357" s="6" t="str">
        <f>SUBSTITUTE(Raw_Data!G1357,"Ã©","é")</f>
        <v>Merino Base Layer</v>
      </c>
      <c r="H1357" s="6">
        <v>2</v>
      </c>
      <c r="I1357" s="6" t="s">
        <v>265</v>
      </c>
      <c r="J1357" s="6" t="s">
        <v>175</v>
      </c>
      <c r="K1357" s="6">
        <v>0.41</v>
      </c>
      <c r="L1357" s="6" t="s">
        <v>42</v>
      </c>
      <c r="M1357" s="6" t="s">
        <v>34</v>
      </c>
      <c r="N1357" s="6"/>
    </row>
    <row r="1358" spans="1:14">
      <c r="A1358" s="6" t="s">
        <v>2552</v>
      </c>
      <c r="B1358" s="7">
        <v>46146</v>
      </c>
      <c r="C1358" s="6" t="s">
        <v>2553</v>
      </c>
      <c r="D1358" s="6" t="str">
        <f>IF(OR(PROPER(TRIM(Raw_Data!D1358))="Uk",PROPER(TRIM(Raw_Data!D1358))="Gb",PROPER(TRIM(Raw_Data!D1358))="United kingdom"),"United Kingdom",PROPER(TRIM(Raw_Data!D1358)))</f>
        <v>United Kingdom</v>
      </c>
      <c r="E1358" s="6" t="s">
        <v>28</v>
      </c>
      <c r="F1358" s="6" t="s">
        <v>94</v>
      </c>
      <c r="G1358" s="6" t="str">
        <f>SUBSTITUTE(Raw_Data!G1358,"Ã©","é")</f>
        <v>Trail Softshell</v>
      </c>
      <c r="H1358" s="6">
        <v>3</v>
      </c>
      <c r="I1358" s="6" t="s">
        <v>181</v>
      </c>
      <c r="J1358" s="6" t="s">
        <v>867</v>
      </c>
      <c r="K1358" s="6">
        <v>0.34</v>
      </c>
      <c r="L1358" s="6" t="s">
        <v>42</v>
      </c>
      <c r="M1358" s="6" t="s">
        <v>34</v>
      </c>
      <c r="N1358" s="6"/>
    </row>
    <row r="1359" spans="1:14">
      <c r="A1359" s="6" t="s">
        <v>2554</v>
      </c>
      <c r="B1359" s="7">
        <v>46053</v>
      </c>
      <c r="C1359" s="6" t="s">
        <v>2555</v>
      </c>
      <c r="D1359" s="6" t="str">
        <f>IF(OR(PROPER(TRIM(Raw_Data!D1359))="Uk",PROPER(TRIM(Raw_Data!D1359))="Gb",PROPER(TRIM(Raw_Data!D1359))="United kingdom"),"United Kingdom",PROPER(TRIM(Raw_Data!D1359)))</f>
        <v>France</v>
      </c>
      <c r="E1359" s="6" t="s">
        <v>46</v>
      </c>
      <c r="F1359" s="6" t="s">
        <v>94</v>
      </c>
      <c r="G1359" s="6" t="str">
        <f>SUBSTITUTE(Raw_Data!G1359,"Ã©","é")</f>
        <v>Fell Runner Cap</v>
      </c>
      <c r="H1359" s="6">
        <v>1</v>
      </c>
      <c r="I1359" s="6" t="s">
        <v>67</v>
      </c>
      <c r="J1359" s="6" t="s">
        <v>67</v>
      </c>
      <c r="K1359" s="6">
        <v>0.34</v>
      </c>
      <c r="L1359" s="6" t="s">
        <v>33</v>
      </c>
      <c r="M1359" s="6" t="s">
        <v>69</v>
      </c>
      <c r="N1359" s="6"/>
    </row>
    <row r="1360" spans="1:14">
      <c r="A1360" s="6" t="s">
        <v>2556</v>
      </c>
      <c r="B1360" s="7">
        <v>46327</v>
      </c>
      <c r="C1360" s="6" t="s">
        <v>51</v>
      </c>
      <c r="D1360" s="6" t="str">
        <f>IF(OR(PROPER(TRIM(Raw_Data!D1360))="Uk",PROPER(TRIM(Raw_Data!D1360))="Gb",PROPER(TRIM(Raw_Data!D1360))="United kingdom"),"United Kingdom",PROPER(TRIM(Raw_Data!D1360)))</f>
        <v>United Kingdom</v>
      </c>
      <c r="E1360" s="6" t="s">
        <v>37</v>
      </c>
      <c r="F1360" s="6" t="s">
        <v>53</v>
      </c>
      <c r="G1360" s="6" t="str">
        <f>SUBSTITUTE(Raw_Data!G1360,"Ã©","é")</f>
        <v>Storm Overtrousers</v>
      </c>
      <c r="H1360" s="6">
        <v>1</v>
      </c>
      <c r="I1360" s="6" t="s">
        <v>265</v>
      </c>
      <c r="J1360" s="6" t="s">
        <v>265</v>
      </c>
      <c r="K1360" s="6">
        <v>0.19</v>
      </c>
      <c r="L1360" s="6" t="s">
        <v>42</v>
      </c>
      <c r="M1360" s="6" t="s">
        <v>69</v>
      </c>
      <c r="N1360" s="6"/>
    </row>
    <row r="1361" spans="1:14">
      <c r="A1361" s="6" t="s">
        <v>2557</v>
      </c>
      <c r="B1361" s="7">
        <v>46193</v>
      </c>
      <c r="C1361" s="6" t="s">
        <v>1537</v>
      </c>
      <c r="D1361" s="6" t="str">
        <f>IF(OR(PROPER(TRIM(Raw_Data!D1361))="Uk",PROPER(TRIM(Raw_Data!D1361))="Gb",PROPER(TRIM(Raw_Data!D1361))="United kingdom"),"United Kingdom",PROPER(TRIM(Raw_Data!D1361)))</f>
        <v>United Kingdom</v>
      </c>
      <c r="E1361" s="6" t="s">
        <v>37</v>
      </c>
      <c r="F1361" s="6" t="s">
        <v>29</v>
      </c>
      <c r="G1361" s="6" t="str">
        <f>SUBSTITUTE(Raw_Data!G1361,"Ã©","é")</f>
        <v>Trail Softshell</v>
      </c>
      <c r="H1361" s="6">
        <v>1</v>
      </c>
      <c r="I1361" s="6" t="s">
        <v>147</v>
      </c>
      <c r="J1361" s="6" t="s">
        <v>147</v>
      </c>
      <c r="K1361" s="6">
        <v>0.52</v>
      </c>
      <c r="L1361" s="6" t="s">
        <v>42</v>
      </c>
      <c r="M1361" s="6" t="s">
        <v>69</v>
      </c>
      <c r="N1361" s="6"/>
    </row>
    <row r="1362" spans="1:14">
      <c r="A1362" s="6" t="s">
        <v>2558</v>
      </c>
      <c r="B1362" s="7">
        <v>46133</v>
      </c>
      <c r="C1362" s="6" t="s">
        <v>536</v>
      </c>
      <c r="D1362" s="6" t="str">
        <f>IF(OR(PROPER(TRIM(Raw_Data!D1362))="Uk",PROPER(TRIM(Raw_Data!D1362))="Gb",PROPER(TRIM(Raw_Data!D1362))="United kingdom"),"United Kingdom",PROPER(TRIM(Raw_Data!D1362)))</f>
        <v>Ireland</v>
      </c>
      <c r="E1362" s="6" t="s">
        <v>28</v>
      </c>
      <c r="F1362" s="6" t="s">
        <v>94</v>
      </c>
      <c r="G1362" s="6" t="str">
        <f>SUBSTITUTE(Raw_Data!G1362,"Ã©","é")</f>
        <v>Alpine Jacket</v>
      </c>
      <c r="H1362" s="6">
        <v>1</v>
      </c>
      <c r="I1362" s="6" t="s">
        <v>82</v>
      </c>
      <c r="J1362" s="6" t="s">
        <v>82</v>
      </c>
      <c r="K1362" s="6">
        <v>0.34</v>
      </c>
      <c r="L1362" s="6" t="s">
        <v>42</v>
      </c>
      <c r="M1362" s="6" t="s">
        <v>34</v>
      </c>
      <c r="N1362" s="6"/>
    </row>
    <row r="1363" spans="1:14">
      <c r="A1363" s="6" t="s">
        <v>2559</v>
      </c>
      <c r="B1363" s="7">
        <v>46114</v>
      </c>
      <c r="C1363" s="6" t="s">
        <v>1019</v>
      </c>
      <c r="D1363" s="6" t="str">
        <f>IF(OR(PROPER(TRIM(Raw_Data!D1363))="Uk",PROPER(TRIM(Raw_Data!D1363))="Gb",PROPER(TRIM(Raw_Data!D1363))="United kingdom"),"United Kingdom",PROPER(TRIM(Raw_Data!D1363)))</f>
        <v>Ireland</v>
      </c>
      <c r="E1363" s="6" t="s">
        <v>78</v>
      </c>
      <c r="F1363" s="6" t="s">
        <v>58</v>
      </c>
      <c r="G1363" s="6" t="str">
        <f>SUBSTITUTE(Raw_Data!G1363,"Ã©","é")</f>
        <v>Fell Runner Cap</v>
      </c>
      <c r="H1363" s="6">
        <v>2</v>
      </c>
      <c r="I1363" s="6" t="s">
        <v>181</v>
      </c>
      <c r="J1363" s="6" t="s">
        <v>163</v>
      </c>
      <c r="K1363" s="6">
        <v>0.38</v>
      </c>
      <c r="L1363" s="6" t="s">
        <v>33</v>
      </c>
      <c r="M1363" s="6" t="s">
        <v>34</v>
      </c>
      <c r="N1363" s="6"/>
    </row>
    <row r="1364" spans="1:14">
      <c r="A1364" s="6" t="s">
        <v>2560</v>
      </c>
      <c r="B1364" s="7">
        <v>46075</v>
      </c>
      <c r="C1364" s="6" t="s">
        <v>2561</v>
      </c>
      <c r="D1364" s="6" t="str">
        <f>IF(OR(PROPER(TRIM(Raw_Data!D1364))="Uk",PROPER(TRIM(Raw_Data!D1364))="Gb",PROPER(TRIM(Raw_Data!D1364))="United kingdom"),"United Kingdom",PROPER(TRIM(Raw_Data!D1364)))</f>
        <v>United Kingdom</v>
      </c>
      <c r="E1364" s="6" t="s">
        <v>46</v>
      </c>
      <c r="F1364" s="6" t="s">
        <v>100</v>
      </c>
      <c r="G1364" s="6" t="str">
        <f>SUBSTITUTE(Raw_Data!G1364,"Ã©","é")</f>
        <v>Trail Softshell</v>
      </c>
      <c r="H1364" s="6">
        <v>2</v>
      </c>
      <c r="I1364" s="6" t="s">
        <v>147</v>
      </c>
      <c r="J1364" s="6" t="s">
        <v>459</v>
      </c>
      <c r="K1364" s="6">
        <v>0.64</v>
      </c>
      <c r="L1364" s="6" t="s">
        <v>33</v>
      </c>
      <c r="M1364" s="6" t="s">
        <v>34</v>
      </c>
      <c r="N1364" s="6"/>
    </row>
    <row r="1365" spans="1:14">
      <c r="A1365" s="6" t="s">
        <v>2562</v>
      </c>
      <c r="B1365" s="7">
        <v>46108</v>
      </c>
      <c r="C1365" s="6" t="s">
        <v>468</v>
      </c>
      <c r="D1365" s="6" t="str">
        <f>IF(OR(PROPER(TRIM(Raw_Data!D1365))="Uk",PROPER(TRIM(Raw_Data!D1365))="Gb",PROPER(TRIM(Raw_Data!D1365))="United kingdom"),"United Kingdom",PROPER(TRIM(Raw_Data!D1365)))</f>
        <v>Ireland</v>
      </c>
      <c r="E1365" s="6" t="s">
        <v>52</v>
      </c>
      <c r="F1365" s="6" t="s">
        <v>38</v>
      </c>
      <c r="G1365" s="6" t="str">
        <f>SUBSTITUTE(Raw_Data!G1365,"Ã©","é")</f>
        <v>Fell Runner Cap</v>
      </c>
      <c r="H1365" s="6">
        <v>1</v>
      </c>
      <c r="I1365" s="6" t="s">
        <v>660</v>
      </c>
      <c r="J1365" s="6" t="s">
        <v>79</v>
      </c>
      <c r="K1365" s="6">
        <v>0.52</v>
      </c>
      <c r="L1365" s="6" t="s">
        <v>42</v>
      </c>
      <c r="M1365" s="6" t="s">
        <v>69</v>
      </c>
      <c r="N1365" s="6"/>
    </row>
    <row r="1366" spans="1:14">
      <c r="A1366" s="6" t="s">
        <v>2563</v>
      </c>
      <c r="B1366" s="7">
        <v>46269</v>
      </c>
      <c r="C1366" s="6" t="s">
        <v>851</v>
      </c>
      <c r="D1366" s="6" t="str">
        <f>IF(OR(PROPER(TRIM(Raw_Data!D1366))="Uk",PROPER(TRIM(Raw_Data!D1366))="Gb",PROPER(TRIM(Raw_Data!D1366))="United kingdom"),"United Kingdom",PROPER(TRIM(Raw_Data!D1366)))</f>
        <v>Ireland</v>
      </c>
      <c r="E1366" s="6" t="s">
        <v>52</v>
      </c>
      <c r="F1366" s="6" t="s">
        <v>58</v>
      </c>
      <c r="G1366" s="6" t="str">
        <f>SUBSTITUTE(Raw_Data!G1366,"Ã©","é")</f>
        <v>Café Latte Mug</v>
      </c>
      <c r="H1366" s="6">
        <v>1</v>
      </c>
      <c r="I1366" s="6" t="s">
        <v>31</v>
      </c>
      <c r="J1366" s="6" t="s">
        <v>31</v>
      </c>
      <c r="K1366" s="6">
        <v>0.38</v>
      </c>
      <c r="L1366" s="6" t="s">
        <v>42</v>
      </c>
      <c r="M1366" s="6" t="s">
        <v>34</v>
      </c>
      <c r="N1366" s="6"/>
    </row>
    <row r="1367" spans="1:14">
      <c r="A1367" s="6" t="s">
        <v>2564</v>
      </c>
      <c r="B1367" s="7">
        <v>46193</v>
      </c>
      <c r="C1367" s="6" t="s">
        <v>2239</v>
      </c>
      <c r="D1367" s="6" t="str">
        <f>IF(OR(PROPER(TRIM(Raw_Data!D1367))="Uk",PROPER(TRIM(Raw_Data!D1367))="Gb",PROPER(TRIM(Raw_Data!D1367))="United kingdom"),"United Kingdom",PROPER(TRIM(Raw_Data!D1367)))</f>
        <v>Ireland</v>
      </c>
      <c r="E1367" s="6" t="s">
        <v>78</v>
      </c>
      <c r="F1367" s="6" t="s">
        <v>85</v>
      </c>
      <c r="G1367" s="6" t="str">
        <f>SUBSTITUTE(Raw_Data!G1367,"Ã©","é")</f>
        <v>Fell Runner Cap</v>
      </c>
      <c r="H1367" s="6">
        <v>-1</v>
      </c>
      <c r="I1367" s="6" t="s">
        <v>90</v>
      </c>
      <c r="J1367" s="8" t="s">
        <v>135</v>
      </c>
      <c r="K1367" s="6">
        <v>0.41</v>
      </c>
      <c r="L1367" s="6" t="s">
        <v>42</v>
      </c>
      <c r="M1367" s="6" t="s">
        <v>34</v>
      </c>
      <c r="N1367" s="6"/>
    </row>
    <row r="1368" spans="1:14">
      <c r="A1368" s="6" t="s">
        <v>2565</v>
      </c>
      <c r="B1368" s="7">
        <v>46073</v>
      </c>
      <c r="C1368" s="6" t="s">
        <v>1683</v>
      </c>
      <c r="D1368" s="6" t="str">
        <f>IF(OR(PROPER(TRIM(Raw_Data!D1368))="Uk",PROPER(TRIM(Raw_Data!D1368))="Gb",PROPER(TRIM(Raw_Data!D1368))="United kingdom"),"United Kingdom",PROPER(TRIM(Raw_Data!D1368)))</f>
        <v>France</v>
      </c>
      <c r="E1368" s="6" t="s">
        <v>37</v>
      </c>
      <c r="F1368" s="6" t="s">
        <v>38</v>
      </c>
      <c r="G1368" s="6" t="str">
        <f>SUBSTITUTE(Raw_Data!G1368,"Ã©","é")</f>
        <v>Alpine Jacket</v>
      </c>
      <c r="H1368" s="6">
        <v>1</v>
      </c>
      <c r="I1368" s="6" t="s">
        <v>82</v>
      </c>
      <c r="J1368" s="6" t="s">
        <v>82</v>
      </c>
      <c r="K1368" s="6">
        <v>0.52</v>
      </c>
      <c r="L1368" s="6" t="s">
        <v>33</v>
      </c>
      <c r="M1368" s="6" t="s">
        <v>34</v>
      </c>
      <c r="N1368" s="6"/>
    </row>
    <row r="1369" spans="1:14">
      <c r="A1369" s="6" t="s">
        <v>2566</v>
      </c>
      <c r="B1369" s="7">
        <v>46359</v>
      </c>
      <c r="C1369" s="6" t="s">
        <v>2567</v>
      </c>
      <c r="D1369" s="6" t="str">
        <f>IF(OR(PROPER(TRIM(Raw_Data!D1369))="Uk",PROPER(TRIM(Raw_Data!D1369))="Gb",PROPER(TRIM(Raw_Data!D1369))="United kingdom"),"United Kingdom",PROPER(TRIM(Raw_Data!D1369)))</f>
        <v>United Kingdom</v>
      </c>
      <c r="E1369" s="6" t="s">
        <v>52</v>
      </c>
      <c r="F1369" s="6" t="s">
        <v>58</v>
      </c>
      <c r="G1369" s="6" t="str">
        <f>SUBSTITUTE(Raw_Data!G1369,"Ã©","é")</f>
        <v>Alpine Jacket</v>
      </c>
      <c r="H1369" s="6">
        <v>1</v>
      </c>
      <c r="I1369" s="6" t="s">
        <v>67</v>
      </c>
      <c r="J1369" s="6" t="s">
        <v>67</v>
      </c>
      <c r="K1369" s="6">
        <v>0.38</v>
      </c>
      <c r="L1369" s="6" t="s">
        <v>42</v>
      </c>
      <c r="M1369" s="6" t="s">
        <v>34</v>
      </c>
      <c r="N1369" s="6"/>
    </row>
    <row r="1370" spans="1:14">
      <c r="A1370" s="6" t="s">
        <v>2568</v>
      </c>
      <c r="B1370" s="7">
        <v>46060</v>
      </c>
      <c r="C1370" s="6" t="s">
        <v>2569</v>
      </c>
      <c r="D1370" s="6" t="str">
        <f>IF(OR(PROPER(TRIM(Raw_Data!D1370))="Uk",PROPER(TRIM(Raw_Data!D1370))="Gb",PROPER(TRIM(Raw_Data!D1370))="United kingdom"),"United Kingdom",PROPER(TRIM(Raw_Data!D1370)))</f>
        <v>United Kingdom</v>
      </c>
      <c r="E1370" s="6" t="s">
        <v>46</v>
      </c>
      <c r="F1370" s="6" t="s">
        <v>94</v>
      </c>
      <c r="G1370" s="6" t="str">
        <f>SUBSTITUTE(Raw_Data!G1370,"Ã©","é")</f>
        <v>Storm Overtrousers</v>
      </c>
      <c r="H1370" s="6">
        <v>2</v>
      </c>
      <c r="I1370" s="6" t="s">
        <v>90</v>
      </c>
      <c r="J1370" s="6" t="s">
        <v>154</v>
      </c>
      <c r="K1370" s="6">
        <v>0.34</v>
      </c>
      <c r="L1370" s="6" t="s">
        <v>33</v>
      </c>
      <c r="M1370" s="6" t="s">
        <v>34</v>
      </c>
      <c r="N1370" s="6"/>
    </row>
    <row r="1371" spans="1:14">
      <c r="A1371" s="6" t="s">
        <v>2570</v>
      </c>
      <c r="B1371" s="7">
        <v>46299</v>
      </c>
      <c r="C1371" s="6" t="s">
        <v>359</v>
      </c>
      <c r="D1371" s="6" t="str">
        <f>IF(OR(PROPER(TRIM(Raw_Data!D1371))="Uk",PROPER(TRIM(Raw_Data!D1371))="Gb",PROPER(TRIM(Raw_Data!D1371))="United kingdom"),"United Kingdom",PROPER(TRIM(Raw_Data!D1371)))</f>
        <v>Ireland</v>
      </c>
      <c r="E1371" s="6" t="s">
        <v>78</v>
      </c>
      <c r="F1371" s="6" t="s">
        <v>100</v>
      </c>
      <c r="G1371" s="6" t="str">
        <f>SUBSTITUTE(Raw_Data!G1371,"Ã©","é")</f>
        <v>Café Latte Mug</v>
      </c>
      <c r="H1371" s="6">
        <v>1</v>
      </c>
      <c r="I1371" s="6" t="s">
        <v>82</v>
      </c>
      <c r="J1371" s="6" t="s">
        <v>82</v>
      </c>
      <c r="K1371" s="6">
        <v>0.64</v>
      </c>
      <c r="L1371" s="6" t="s">
        <v>42</v>
      </c>
      <c r="M1371" s="6" t="s">
        <v>69</v>
      </c>
      <c r="N1371" s="6"/>
    </row>
    <row r="1372" spans="1:14">
      <c r="A1372" s="6" t="s">
        <v>2571</v>
      </c>
      <c r="B1372" s="7">
        <v>46103</v>
      </c>
      <c r="C1372" s="6" t="s">
        <v>2182</v>
      </c>
      <c r="D1372" s="6" t="str">
        <f>IF(OR(PROPER(TRIM(Raw_Data!D1372))="Uk",PROPER(TRIM(Raw_Data!D1372))="Gb",PROPER(TRIM(Raw_Data!D1372))="United kingdom"),"United Kingdom",PROPER(TRIM(Raw_Data!D1372)))</f>
        <v>Germany</v>
      </c>
      <c r="E1372" s="6" t="s">
        <v>52</v>
      </c>
      <c r="F1372" s="6" t="s">
        <v>47</v>
      </c>
      <c r="G1372" s="6" t="str">
        <f>SUBSTITUTE(Raw_Data!G1372,"Ã©","é")</f>
        <v>Café Latte Mug</v>
      </c>
      <c r="H1372" s="6">
        <v>1</v>
      </c>
      <c r="I1372" s="6" t="s">
        <v>117</v>
      </c>
      <c r="J1372" s="6" t="s">
        <v>1060</v>
      </c>
      <c r="K1372" s="6">
        <v>8.5000000000000006E-2</v>
      </c>
      <c r="L1372" s="6" t="s">
        <v>42</v>
      </c>
      <c r="M1372" s="6" t="s">
        <v>34</v>
      </c>
      <c r="N1372" s="6"/>
    </row>
    <row r="1373" spans="1:14">
      <c r="A1373" s="6" t="s">
        <v>2572</v>
      </c>
      <c r="B1373" s="7">
        <v>46134</v>
      </c>
      <c r="C1373" s="6" t="s">
        <v>2137</v>
      </c>
      <c r="D1373" s="6" t="str">
        <f>IF(OR(PROPER(TRIM(Raw_Data!D1373))="Uk",PROPER(TRIM(Raw_Data!D1373))="Gb",PROPER(TRIM(Raw_Data!D1373))="United kingdom"),"United Kingdom",PROPER(TRIM(Raw_Data!D1373)))</f>
        <v>United Kingdom</v>
      </c>
      <c r="E1373" s="6" t="s">
        <v>28</v>
      </c>
      <c r="F1373" s="6" t="s">
        <v>47</v>
      </c>
      <c r="G1373" s="6" t="str">
        <f>SUBSTITUTE(Raw_Data!G1373,"Ã©","é")</f>
        <v>Merino Base Layer</v>
      </c>
      <c r="H1373" s="6">
        <v>1</v>
      </c>
      <c r="I1373" s="6" t="s">
        <v>265</v>
      </c>
      <c r="J1373" s="6" t="s">
        <v>265</v>
      </c>
      <c r="K1373" s="6">
        <v>8.5000000000000006E-2</v>
      </c>
      <c r="L1373" s="6" t="s">
        <v>42</v>
      </c>
      <c r="M1373" s="6" t="s">
        <v>69</v>
      </c>
      <c r="N1373" s="6"/>
    </row>
    <row r="1374" spans="1:14">
      <c r="A1374" s="6" t="s">
        <v>2573</v>
      </c>
      <c r="B1374" s="7">
        <v>46134</v>
      </c>
      <c r="C1374" s="6" t="s">
        <v>2574</v>
      </c>
      <c r="D1374" s="6" t="str">
        <f>IF(OR(PROPER(TRIM(Raw_Data!D1374))="Uk",PROPER(TRIM(Raw_Data!D1374))="Gb",PROPER(TRIM(Raw_Data!D1374))="United kingdom"),"United Kingdom",PROPER(TRIM(Raw_Data!D1374)))</f>
        <v>United Kingdom</v>
      </c>
      <c r="E1374" s="6" t="s">
        <v>28</v>
      </c>
      <c r="F1374" s="6" t="s">
        <v>53</v>
      </c>
      <c r="G1374" s="6" t="str">
        <f>SUBSTITUTE(Raw_Data!G1374,"Ã©","é")</f>
        <v>Trekking Poles</v>
      </c>
      <c r="H1374" s="6">
        <v>2</v>
      </c>
      <c r="I1374" s="6" t="s">
        <v>231</v>
      </c>
      <c r="J1374" s="6" t="s">
        <v>232</v>
      </c>
      <c r="K1374" s="6">
        <v>0.19</v>
      </c>
      <c r="L1374" s="6" t="s">
        <v>33</v>
      </c>
      <c r="M1374" s="6" t="s">
        <v>34</v>
      </c>
      <c r="N1374" s="6"/>
    </row>
    <row r="1375" spans="1:14">
      <c r="A1375" s="6" t="s">
        <v>2575</v>
      </c>
      <c r="B1375" s="7">
        <v>46103</v>
      </c>
      <c r="C1375" s="6" t="s">
        <v>2500</v>
      </c>
      <c r="D1375" s="6" t="str">
        <f>IF(OR(PROPER(TRIM(Raw_Data!D1375))="Uk",PROPER(TRIM(Raw_Data!D1375))="Gb",PROPER(TRIM(Raw_Data!D1375))="United kingdom"),"United Kingdom",PROPER(TRIM(Raw_Data!D1375)))</f>
        <v>Ireland</v>
      </c>
      <c r="E1375" s="6" t="s">
        <v>46</v>
      </c>
      <c r="F1375" s="6" t="s">
        <v>29</v>
      </c>
      <c r="G1375" s="6" t="str">
        <f>SUBSTITUTE(Raw_Data!G1375,"Ã©","é")</f>
        <v>Café Latte Mug</v>
      </c>
      <c r="H1375" s="6">
        <v>1</v>
      </c>
      <c r="I1375" s="6" t="s">
        <v>31</v>
      </c>
      <c r="J1375" s="6" t="s">
        <v>31</v>
      </c>
      <c r="K1375" s="6">
        <v>0.52</v>
      </c>
      <c r="L1375" s="6" t="s">
        <v>42</v>
      </c>
      <c r="M1375" s="6" t="s">
        <v>34</v>
      </c>
      <c r="N1375" s="6"/>
    </row>
    <row r="1376" spans="1:14">
      <c r="A1376" s="6" t="s">
        <v>2576</v>
      </c>
      <c r="B1376" s="7">
        <v>46076</v>
      </c>
      <c r="C1376" s="6" t="s">
        <v>589</v>
      </c>
      <c r="D1376" s="6" t="str">
        <f>IF(OR(PROPER(TRIM(Raw_Data!D1376))="Uk",PROPER(TRIM(Raw_Data!D1376))="Gb",PROPER(TRIM(Raw_Data!D1376))="United kingdom"),"United Kingdom",PROPER(TRIM(Raw_Data!D1376)))</f>
        <v>United Kingdom</v>
      </c>
      <c r="E1376" s="6" t="s">
        <v>46</v>
      </c>
      <c r="F1376" s="6" t="s">
        <v>53</v>
      </c>
      <c r="G1376" s="6" t="str">
        <f>SUBSTITUTE(Raw_Data!G1376,"Ã©","é")</f>
        <v>Summit Down Gilet</v>
      </c>
      <c r="H1376" s="6">
        <v>3</v>
      </c>
      <c r="I1376" s="6" t="s">
        <v>231</v>
      </c>
      <c r="J1376" s="6" t="s">
        <v>505</v>
      </c>
      <c r="K1376" s="6">
        <v>0.19</v>
      </c>
      <c r="L1376" s="6" t="s">
        <v>33</v>
      </c>
      <c r="M1376" s="6" t="s">
        <v>69</v>
      </c>
      <c r="N1376" s="6"/>
    </row>
    <row r="1377" spans="1:14">
      <c r="A1377" s="6" t="s">
        <v>2577</v>
      </c>
      <c r="B1377" s="7">
        <v>46081</v>
      </c>
      <c r="C1377" s="6" t="s">
        <v>1039</v>
      </c>
      <c r="D1377" s="6" t="str">
        <f>IF(OR(PROPER(TRIM(Raw_Data!D1377))="Uk",PROPER(TRIM(Raw_Data!D1377))="Gb",PROPER(TRIM(Raw_Data!D1377))="United kingdom"),"United Kingdom",PROPER(TRIM(Raw_Data!D1377)))</f>
        <v>United Kingdom</v>
      </c>
      <c r="E1377" s="6" t="s">
        <v>28</v>
      </c>
      <c r="F1377" s="6" t="s">
        <v>53</v>
      </c>
      <c r="G1377" s="6" t="str">
        <f>SUBSTITUTE(Raw_Data!G1377,"Ã©","é")</f>
        <v>Merino Base Layer</v>
      </c>
      <c r="H1377" s="6">
        <v>1</v>
      </c>
      <c r="I1377" s="6" t="s">
        <v>90</v>
      </c>
      <c r="J1377" s="6" t="s">
        <v>90</v>
      </c>
      <c r="K1377" s="6">
        <v>0.19</v>
      </c>
      <c r="L1377" s="6" t="s">
        <v>42</v>
      </c>
      <c r="M1377" s="6" t="s">
        <v>34</v>
      </c>
      <c r="N1377" s="6"/>
    </row>
    <row r="1378" spans="1:14">
      <c r="A1378" s="6" t="s">
        <v>2579</v>
      </c>
      <c r="B1378" s="7">
        <v>46076</v>
      </c>
      <c r="C1378" s="6" t="s">
        <v>1226</v>
      </c>
      <c r="D1378" s="6" t="str">
        <f>IF(OR(PROPER(TRIM(Raw_Data!D1378))="Uk",PROPER(TRIM(Raw_Data!D1378))="Gb",PROPER(TRIM(Raw_Data!D1378))="United kingdom"),"United Kingdom",PROPER(TRIM(Raw_Data!D1378)))</f>
        <v>United Kingdom</v>
      </c>
      <c r="E1378" s="6" t="s">
        <v>28</v>
      </c>
      <c r="F1378" s="6" t="s">
        <v>53</v>
      </c>
      <c r="G1378" s="6" t="str">
        <f>SUBSTITUTE(Raw_Data!G1378,"Ã©","é")</f>
        <v>Alpine Jacket</v>
      </c>
      <c r="H1378" s="6">
        <v>2</v>
      </c>
      <c r="I1378" s="6" t="s">
        <v>143</v>
      </c>
      <c r="J1378" s="6" t="s">
        <v>144</v>
      </c>
      <c r="K1378" s="6">
        <v>0.19</v>
      </c>
      <c r="L1378" s="6" t="s">
        <v>42</v>
      </c>
      <c r="M1378" s="6" t="s">
        <v>34</v>
      </c>
      <c r="N1378" s="6"/>
    </row>
    <row r="1379" spans="1:14">
      <c r="A1379" s="6" t="s">
        <v>2580</v>
      </c>
      <c r="B1379" s="7">
        <v>46059</v>
      </c>
      <c r="C1379" s="6" t="s">
        <v>2229</v>
      </c>
      <c r="D1379" s="6" t="str">
        <f>IF(OR(PROPER(TRIM(Raw_Data!D1379))="Uk",PROPER(TRIM(Raw_Data!D1379))="Gb",PROPER(TRIM(Raw_Data!D1379))="United kingdom"),"United Kingdom",PROPER(TRIM(Raw_Data!D1379)))</f>
        <v>Ireland</v>
      </c>
      <c r="E1379" s="6" t="s">
        <v>52</v>
      </c>
      <c r="F1379" s="6" t="s">
        <v>100</v>
      </c>
      <c r="G1379" s="6" t="str">
        <f>SUBSTITUTE(Raw_Data!G1379,"Ã©","é")</f>
        <v>Trail Softshell</v>
      </c>
      <c r="H1379" s="6">
        <v>1</v>
      </c>
      <c r="I1379" s="6" t="s">
        <v>79</v>
      </c>
      <c r="J1379" s="6" t="s">
        <v>79</v>
      </c>
      <c r="K1379" s="6">
        <v>0.64</v>
      </c>
      <c r="L1379" s="6" t="s">
        <v>42</v>
      </c>
      <c r="M1379" s="6" t="s">
        <v>34</v>
      </c>
      <c r="N1379" s="6"/>
    </row>
    <row r="1380" spans="1:14">
      <c r="A1380" s="6" t="s">
        <v>2581</v>
      </c>
      <c r="B1380" s="7">
        <v>46051</v>
      </c>
      <c r="C1380" s="6" t="s">
        <v>507</v>
      </c>
      <c r="D1380" s="6" t="str">
        <f>IF(OR(PROPER(TRIM(Raw_Data!D1380))="Uk",PROPER(TRIM(Raw_Data!D1380))="Gb",PROPER(TRIM(Raw_Data!D1380))="United kingdom"),"United Kingdom",PROPER(TRIM(Raw_Data!D1380)))</f>
        <v>United Kingdom</v>
      </c>
      <c r="E1380" s="6" t="s">
        <v>52</v>
      </c>
      <c r="F1380" s="6" t="s">
        <v>53</v>
      </c>
      <c r="G1380" s="6" t="str">
        <f>SUBSTITUTE(Raw_Data!G1380,"Ã©","é")</f>
        <v>Summit Down Gilet</v>
      </c>
      <c r="H1380" s="6">
        <v>2</v>
      </c>
      <c r="I1380" s="6" t="s">
        <v>73</v>
      </c>
      <c r="J1380" s="6" t="s">
        <v>74</v>
      </c>
      <c r="K1380" s="6">
        <v>0.19</v>
      </c>
      <c r="L1380" s="6" t="s">
        <v>42</v>
      </c>
      <c r="M1380" s="6" t="s">
        <v>34</v>
      </c>
      <c r="N1380" s="6"/>
    </row>
    <row r="1381" spans="1:14">
      <c r="A1381" s="6" t="s">
        <v>2582</v>
      </c>
      <c r="B1381" s="7">
        <v>46142</v>
      </c>
      <c r="C1381" s="6" t="s">
        <v>1246</v>
      </c>
      <c r="D1381" s="6" t="str">
        <f>IF(OR(PROPER(TRIM(Raw_Data!D1381))="Uk",PROPER(TRIM(Raw_Data!D1381))="Gb",PROPER(TRIM(Raw_Data!D1381))="United kingdom"),"United Kingdom",PROPER(TRIM(Raw_Data!D1381)))</f>
        <v>Ireland</v>
      </c>
      <c r="E1381" s="6" t="s">
        <v>37</v>
      </c>
      <c r="F1381" s="6" t="s">
        <v>100</v>
      </c>
      <c r="G1381" s="6" t="str">
        <f>SUBSTITUTE(Raw_Data!G1381,"Ã©","é")</f>
        <v>Storm Overtrousers</v>
      </c>
      <c r="H1381" s="6">
        <v>1</v>
      </c>
      <c r="I1381" s="6" t="s">
        <v>90</v>
      </c>
      <c r="J1381" s="6" t="s">
        <v>90</v>
      </c>
      <c r="K1381" s="6">
        <v>0.64</v>
      </c>
      <c r="L1381" s="6" t="s">
        <v>42</v>
      </c>
      <c r="M1381" s="6" t="s">
        <v>34</v>
      </c>
      <c r="N1381" s="6"/>
    </row>
    <row r="1382" spans="1:14">
      <c r="A1382" s="6" t="s">
        <v>2583</v>
      </c>
      <c r="B1382" s="7">
        <v>46086</v>
      </c>
      <c r="C1382" s="6" t="s">
        <v>363</v>
      </c>
      <c r="D1382" s="6" t="str">
        <f>IF(OR(PROPER(TRIM(Raw_Data!D1382))="Uk",PROPER(TRIM(Raw_Data!D1382))="Gb",PROPER(TRIM(Raw_Data!D1382))="United kingdom"),"United Kingdom",PROPER(TRIM(Raw_Data!D1382)))</f>
        <v>United Kingdom</v>
      </c>
      <c r="E1382" s="6" t="s">
        <v>28</v>
      </c>
      <c r="F1382" s="6" t="s">
        <v>53</v>
      </c>
      <c r="G1382" s="6" t="str">
        <f>SUBSTITUTE(Raw_Data!G1382,"Ã©","é")</f>
        <v>Trail Softshell</v>
      </c>
      <c r="H1382" s="6">
        <v>1</v>
      </c>
      <c r="I1382" s="6" t="s">
        <v>113</v>
      </c>
      <c r="J1382" s="6" t="s">
        <v>113</v>
      </c>
      <c r="K1382" s="6">
        <v>0.19</v>
      </c>
      <c r="L1382" s="6" t="s">
        <v>42</v>
      </c>
      <c r="M1382" s="6" t="s">
        <v>34</v>
      </c>
      <c r="N1382" s="6"/>
    </row>
    <row r="1383" spans="1:14">
      <c r="A1383" s="6" t="s">
        <v>2584</v>
      </c>
      <c r="B1383" s="7">
        <v>46083</v>
      </c>
      <c r="C1383" s="6" t="s">
        <v>2585</v>
      </c>
      <c r="D1383" s="6" t="str">
        <f>IF(OR(PROPER(TRIM(Raw_Data!D1383))="Uk",PROPER(TRIM(Raw_Data!D1383))="Gb",PROPER(TRIM(Raw_Data!D1383))="United kingdom"),"United Kingdom",PROPER(TRIM(Raw_Data!D1383)))</f>
        <v>United Kingdom</v>
      </c>
      <c r="E1383" s="6" t="s">
        <v>28</v>
      </c>
      <c r="F1383" s="6" t="s">
        <v>53</v>
      </c>
      <c r="G1383" s="6" t="str">
        <f>SUBSTITUTE(Raw_Data!G1383,"Ã©","é")</f>
        <v>Summit Down Gilet</v>
      </c>
      <c r="H1383" s="6">
        <v>2</v>
      </c>
      <c r="I1383" s="6" t="s">
        <v>231</v>
      </c>
      <c r="J1383" s="6" t="s">
        <v>232</v>
      </c>
      <c r="K1383" s="6">
        <v>0.19</v>
      </c>
      <c r="L1383" s="6" t="s">
        <v>42</v>
      </c>
      <c r="M1383" s="6" t="s">
        <v>34</v>
      </c>
      <c r="N1383" s="6"/>
    </row>
    <row r="1384" spans="1:14">
      <c r="A1384" s="6" t="s">
        <v>2586</v>
      </c>
      <c r="B1384" s="7">
        <v>46159</v>
      </c>
      <c r="C1384" s="6" t="s">
        <v>507</v>
      </c>
      <c r="D1384" s="6" t="str">
        <f>IF(OR(PROPER(TRIM(Raw_Data!D1384))="Uk",PROPER(TRIM(Raw_Data!D1384))="Gb",PROPER(TRIM(Raw_Data!D1384))="United kingdom"),"United Kingdom",PROPER(TRIM(Raw_Data!D1384)))</f>
        <v>United Kingdom</v>
      </c>
      <c r="E1384" s="6" t="s">
        <v>28</v>
      </c>
      <c r="F1384" s="6" t="s">
        <v>94</v>
      </c>
      <c r="G1384" s="6" t="str">
        <f>SUBSTITUTE(Raw_Data!G1384,"Ã©","é")</f>
        <v>Café Latte Mug</v>
      </c>
      <c r="H1384" s="6">
        <v>2</v>
      </c>
      <c r="I1384" s="6" t="s">
        <v>143</v>
      </c>
      <c r="J1384" s="6" t="s">
        <v>144</v>
      </c>
      <c r="K1384" s="6">
        <v>0.34</v>
      </c>
      <c r="L1384" s="6" t="s">
        <v>33</v>
      </c>
      <c r="M1384" s="6" t="s">
        <v>69</v>
      </c>
      <c r="N1384" s="6"/>
    </row>
    <row r="1385" spans="1:14">
      <c r="A1385" s="6" t="s">
        <v>2587</v>
      </c>
      <c r="B1385" s="7">
        <v>46176</v>
      </c>
      <c r="C1385" s="6" t="s">
        <v>2202</v>
      </c>
      <c r="D1385" s="6" t="str">
        <f>IF(OR(PROPER(TRIM(Raw_Data!D1385))="Uk",PROPER(TRIM(Raw_Data!D1385))="Gb",PROPER(TRIM(Raw_Data!D1385))="United kingdom"),"United Kingdom",PROPER(TRIM(Raw_Data!D1385)))</f>
        <v>Ireland</v>
      </c>
      <c r="E1385" s="6" t="s">
        <v>52</v>
      </c>
      <c r="F1385" s="6" t="s">
        <v>29</v>
      </c>
      <c r="G1385" s="6" t="str">
        <f>SUBSTITUTE(Raw_Data!G1385,"Ã©","é")</f>
        <v>Alpine Jacket</v>
      </c>
      <c r="H1385" s="6">
        <v>1</v>
      </c>
      <c r="I1385" s="6" t="s">
        <v>143</v>
      </c>
      <c r="J1385" s="6" t="s">
        <v>143</v>
      </c>
      <c r="K1385" s="6">
        <v>0.52</v>
      </c>
      <c r="L1385" s="6" t="s">
        <v>42</v>
      </c>
      <c r="M1385" s="6" t="s">
        <v>34</v>
      </c>
      <c r="N1385" s="6"/>
    </row>
    <row r="1386" spans="1:14">
      <c r="A1386" s="6" t="s">
        <v>2588</v>
      </c>
      <c r="B1386" s="7">
        <v>46207</v>
      </c>
      <c r="C1386" s="6" t="s">
        <v>2589</v>
      </c>
      <c r="D1386" s="6" t="str">
        <f>IF(OR(PROPER(TRIM(Raw_Data!D1386))="Uk",PROPER(TRIM(Raw_Data!D1386))="Gb",PROPER(TRIM(Raw_Data!D1386))="United kingdom"),"United Kingdom",PROPER(TRIM(Raw_Data!D1386)))</f>
        <v>Ireland</v>
      </c>
      <c r="E1386" s="6" t="s">
        <v>37</v>
      </c>
      <c r="F1386" s="6" t="s">
        <v>53</v>
      </c>
      <c r="G1386" s="6" t="str">
        <f>SUBSTITUTE(Raw_Data!G1386,"Ã©","é")</f>
        <v>Fell Runner Cap</v>
      </c>
      <c r="H1386" s="6">
        <v>1</v>
      </c>
      <c r="I1386" s="6" t="s">
        <v>231</v>
      </c>
      <c r="J1386" s="6" t="s">
        <v>231</v>
      </c>
      <c r="K1386" s="6">
        <v>0.19</v>
      </c>
      <c r="L1386" s="6" t="s">
        <v>42</v>
      </c>
      <c r="M1386" s="6" t="s">
        <v>69</v>
      </c>
      <c r="N1386" s="6"/>
    </row>
    <row r="1387" spans="1:14">
      <c r="A1387" s="6" t="s">
        <v>2590</v>
      </c>
      <c r="B1387" s="7">
        <v>46076</v>
      </c>
      <c r="C1387" s="6" t="s">
        <v>441</v>
      </c>
      <c r="D1387" s="6" t="str">
        <f>IF(OR(PROPER(TRIM(Raw_Data!D1387))="Uk",PROPER(TRIM(Raw_Data!D1387))="Gb",PROPER(TRIM(Raw_Data!D1387))="United kingdom"),"United Kingdom",PROPER(TRIM(Raw_Data!D1387)))</f>
        <v>Ireland</v>
      </c>
      <c r="E1387" s="6" t="s">
        <v>37</v>
      </c>
      <c r="F1387" s="6" t="s">
        <v>53</v>
      </c>
      <c r="G1387" s="6" t="str">
        <f>SUBSTITUTE(Raw_Data!G1387,"Ã©","é")</f>
        <v>Fell Runner Cap</v>
      </c>
      <c r="H1387" s="6">
        <v>1</v>
      </c>
      <c r="I1387" s="6" t="s">
        <v>67</v>
      </c>
      <c r="J1387" s="6" t="s">
        <v>67</v>
      </c>
      <c r="K1387" s="6">
        <v>0.19</v>
      </c>
      <c r="L1387" s="6" t="s">
        <v>42</v>
      </c>
      <c r="M1387" s="6" t="s">
        <v>34</v>
      </c>
      <c r="N1387" s="6"/>
    </row>
    <row r="1388" spans="1:14">
      <c r="A1388" s="6" t="s">
        <v>2591</v>
      </c>
      <c r="B1388" s="7">
        <v>46025</v>
      </c>
      <c r="C1388" s="6" t="s">
        <v>2195</v>
      </c>
      <c r="D1388" s="6" t="str">
        <f>IF(OR(PROPER(TRIM(Raw_Data!D1388))="Uk",PROPER(TRIM(Raw_Data!D1388))="Gb",PROPER(TRIM(Raw_Data!D1388))="United kingdom"),"United Kingdom",PROPER(TRIM(Raw_Data!D1388)))</f>
        <v>United Kingdom</v>
      </c>
      <c r="E1388" s="6" t="s">
        <v>46</v>
      </c>
      <c r="F1388" s="6" t="s">
        <v>100</v>
      </c>
      <c r="G1388" s="6" t="str">
        <f>SUBSTITUTE(Raw_Data!G1388,"Ã©","é")</f>
        <v>Merino Base Layer</v>
      </c>
      <c r="H1388" s="6">
        <v>3</v>
      </c>
      <c r="I1388" s="6" t="s">
        <v>143</v>
      </c>
      <c r="J1388" s="6" t="s">
        <v>243</v>
      </c>
      <c r="K1388" s="6">
        <v>0.64</v>
      </c>
      <c r="L1388" s="6" t="s">
        <v>33</v>
      </c>
      <c r="M1388" s="6" t="s">
        <v>34</v>
      </c>
      <c r="N1388" s="6"/>
    </row>
    <row r="1389" spans="1:14">
      <c r="A1389" s="6" t="s">
        <v>2592</v>
      </c>
      <c r="B1389" s="7">
        <v>46036</v>
      </c>
      <c r="C1389" s="6" t="s">
        <v>1362</v>
      </c>
      <c r="D1389" s="6" t="str">
        <f>IF(OR(PROPER(TRIM(Raw_Data!D1389))="Uk",PROPER(TRIM(Raw_Data!D1389))="Gb",PROPER(TRIM(Raw_Data!D1389))="United kingdom"),"United Kingdom",PROPER(TRIM(Raw_Data!D1389)))</f>
        <v>Germany</v>
      </c>
      <c r="E1389" s="6" t="s">
        <v>37</v>
      </c>
      <c r="F1389" s="6" t="s">
        <v>85</v>
      </c>
      <c r="G1389" s="6" t="str">
        <f>SUBSTITUTE(Raw_Data!G1389,"Ã©","é")</f>
        <v>Trekking Poles</v>
      </c>
      <c r="H1389" s="6">
        <v>2</v>
      </c>
      <c r="I1389" s="6" t="s">
        <v>79</v>
      </c>
      <c r="J1389" s="6" t="s">
        <v>259</v>
      </c>
      <c r="K1389" s="6">
        <v>0.41</v>
      </c>
      <c r="L1389" s="6" t="s">
        <v>42</v>
      </c>
      <c r="M1389" s="6" t="s">
        <v>34</v>
      </c>
      <c r="N1389" s="6"/>
    </row>
    <row r="1390" spans="1:14">
      <c r="A1390" s="6" t="s">
        <v>2593</v>
      </c>
      <c r="B1390" s="7">
        <v>46185</v>
      </c>
      <c r="C1390" s="6" t="s">
        <v>2594</v>
      </c>
      <c r="D1390" s="6" t="str">
        <f>IF(OR(PROPER(TRIM(Raw_Data!D1390))="Uk",PROPER(TRIM(Raw_Data!D1390))="Gb",PROPER(TRIM(Raw_Data!D1390))="United kingdom"),"United Kingdom",PROPER(TRIM(Raw_Data!D1390)))</f>
        <v>United Kingdom</v>
      </c>
      <c r="E1390" s="6" t="s">
        <v>37</v>
      </c>
      <c r="F1390" s="6" t="s">
        <v>85</v>
      </c>
      <c r="G1390" s="6" t="str">
        <f>SUBSTITUTE(Raw_Data!G1390,"Ã©","é")</f>
        <v>Merino Base Layer</v>
      </c>
      <c r="H1390" s="6">
        <v>-2</v>
      </c>
      <c r="I1390" s="6" t="s">
        <v>143</v>
      </c>
      <c r="J1390" s="8" t="s">
        <v>859</v>
      </c>
      <c r="K1390" s="6">
        <v>0.41</v>
      </c>
      <c r="L1390" s="6" t="s">
        <v>42</v>
      </c>
      <c r="M1390" s="6" t="s">
        <v>34</v>
      </c>
      <c r="N1390" s="6"/>
    </row>
    <row r="1391" spans="1:14">
      <c r="A1391" s="6" t="s">
        <v>2595</v>
      </c>
      <c r="B1391" s="7">
        <v>46165</v>
      </c>
      <c r="C1391" s="6" t="s">
        <v>140</v>
      </c>
      <c r="D1391" s="6" t="str">
        <f>IF(OR(PROPER(TRIM(Raw_Data!D1391))="Uk",PROPER(TRIM(Raw_Data!D1391))="Gb",PROPER(TRIM(Raw_Data!D1391))="United kingdom"),"United Kingdom",PROPER(TRIM(Raw_Data!D1391)))</f>
        <v>United Kingdom</v>
      </c>
      <c r="E1391" s="6" t="s">
        <v>28</v>
      </c>
      <c r="F1391" s="6" t="s">
        <v>29</v>
      </c>
      <c r="G1391" s="6" t="str">
        <f>SUBSTITUTE(Raw_Data!G1391,"Ã©","é")</f>
        <v>Merino Base Layer</v>
      </c>
      <c r="H1391" s="6">
        <v>1</v>
      </c>
      <c r="I1391" s="6" t="s">
        <v>143</v>
      </c>
      <c r="J1391" s="6" t="s">
        <v>143</v>
      </c>
      <c r="K1391" s="6">
        <v>0.52</v>
      </c>
      <c r="L1391" s="6" t="s">
        <v>42</v>
      </c>
      <c r="M1391" s="6" t="s">
        <v>34</v>
      </c>
      <c r="N1391" s="6"/>
    </row>
    <row r="1392" spans="1:14">
      <c r="A1392" s="6" t="s">
        <v>2596</v>
      </c>
      <c r="B1392" s="7">
        <v>46101</v>
      </c>
      <c r="C1392" s="6" t="s">
        <v>89</v>
      </c>
      <c r="D1392" s="6" t="str">
        <f>IF(OR(PROPER(TRIM(Raw_Data!D1392))="Uk",PROPER(TRIM(Raw_Data!D1392))="Gb",PROPER(TRIM(Raw_Data!D1392))="United kingdom"),"United Kingdom",PROPER(TRIM(Raw_Data!D1392)))</f>
        <v>United Kingdom</v>
      </c>
      <c r="E1392" s="6" t="s">
        <v>37</v>
      </c>
      <c r="F1392" s="6" t="s">
        <v>53</v>
      </c>
      <c r="G1392" s="6" t="str">
        <f>SUBSTITUTE(Raw_Data!G1392,"Ã©","é")</f>
        <v>Merino Base Layer</v>
      </c>
      <c r="H1392" s="6">
        <v>3</v>
      </c>
      <c r="I1392" s="6" t="s">
        <v>113</v>
      </c>
      <c r="J1392" s="6" t="s">
        <v>138</v>
      </c>
      <c r="K1392" s="6">
        <v>0.19</v>
      </c>
      <c r="L1392" s="6" t="s">
        <v>33</v>
      </c>
      <c r="M1392" s="6" t="s">
        <v>34</v>
      </c>
      <c r="N1392" s="6"/>
    </row>
    <row r="1393" spans="1:14">
      <c r="A1393" s="6" t="s">
        <v>2598</v>
      </c>
      <c r="B1393" s="7">
        <v>46058</v>
      </c>
      <c r="C1393" s="6" t="s">
        <v>2402</v>
      </c>
      <c r="D1393" s="6" t="str">
        <f>IF(OR(PROPER(TRIM(Raw_Data!D1393))="Uk",PROPER(TRIM(Raw_Data!D1393))="Gb",PROPER(TRIM(Raw_Data!D1393))="United kingdom"),"United Kingdom",PROPER(TRIM(Raw_Data!D1393)))</f>
        <v>Ireland</v>
      </c>
      <c r="E1393" s="6" t="s">
        <v>37</v>
      </c>
      <c r="F1393" s="6" t="s">
        <v>29</v>
      </c>
      <c r="G1393" s="6" t="str">
        <f>SUBSTITUTE(Raw_Data!G1393,"Ã©","é")</f>
        <v>Alpine Jacket</v>
      </c>
      <c r="H1393" s="6">
        <v>1</v>
      </c>
      <c r="I1393" s="6" t="s">
        <v>265</v>
      </c>
      <c r="J1393" s="6" t="s">
        <v>265</v>
      </c>
      <c r="K1393" s="6">
        <v>0.52</v>
      </c>
      <c r="L1393" s="6" t="s">
        <v>33</v>
      </c>
      <c r="M1393" s="6" t="s">
        <v>69</v>
      </c>
      <c r="N1393" s="6"/>
    </row>
    <row r="1394" spans="1:14">
      <c r="A1394" s="6" t="s">
        <v>2599</v>
      </c>
      <c r="B1394" s="7">
        <v>46116</v>
      </c>
      <c r="C1394" s="6" t="s">
        <v>1323</v>
      </c>
      <c r="D1394" s="6" t="str">
        <f>IF(OR(PROPER(TRIM(Raw_Data!D1394))="Uk",PROPER(TRIM(Raw_Data!D1394))="Gb",PROPER(TRIM(Raw_Data!D1394))="United kingdom"),"United Kingdom",PROPER(TRIM(Raw_Data!D1394)))</f>
        <v>United Kingdom</v>
      </c>
      <c r="E1394" s="6" t="s">
        <v>46</v>
      </c>
      <c r="F1394" s="6" t="s">
        <v>29</v>
      </c>
      <c r="G1394" s="6" t="str">
        <f>SUBSTITUTE(Raw_Data!G1394,"Ã©","é")</f>
        <v>Merino Base Layer</v>
      </c>
      <c r="H1394" s="6">
        <v>1</v>
      </c>
      <c r="I1394" s="6" t="s">
        <v>79</v>
      </c>
      <c r="J1394" s="6" t="s">
        <v>79</v>
      </c>
      <c r="K1394" s="6">
        <v>0.52</v>
      </c>
      <c r="L1394" s="6" t="s">
        <v>42</v>
      </c>
      <c r="M1394" s="6" t="s">
        <v>69</v>
      </c>
      <c r="N1394" s="6"/>
    </row>
    <row r="1395" spans="1:14">
      <c r="A1395" s="6" t="s">
        <v>2600</v>
      </c>
      <c r="B1395" s="7">
        <v>46119</v>
      </c>
      <c r="C1395" s="6" t="s">
        <v>1068</v>
      </c>
      <c r="D1395" s="6" t="str">
        <f>IF(OR(PROPER(TRIM(Raw_Data!D1395))="Uk",PROPER(TRIM(Raw_Data!D1395))="Gb",PROPER(TRIM(Raw_Data!D1395))="United kingdom"),"United Kingdom",PROPER(TRIM(Raw_Data!D1395)))</f>
        <v>Ireland</v>
      </c>
      <c r="E1395" s="6" t="s">
        <v>37</v>
      </c>
      <c r="F1395" s="6" t="s">
        <v>53</v>
      </c>
      <c r="G1395" s="6" t="str">
        <f>SUBSTITUTE(Raw_Data!G1395,"Ã©","é")</f>
        <v>Alpine Jacket</v>
      </c>
      <c r="H1395" s="6">
        <v>1</v>
      </c>
      <c r="I1395" s="6" t="s">
        <v>90</v>
      </c>
      <c r="J1395" s="6" t="s">
        <v>90</v>
      </c>
      <c r="K1395" s="6">
        <v>0.19</v>
      </c>
      <c r="L1395" s="6" t="s">
        <v>42</v>
      </c>
      <c r="M1395" s="6" t="s">
        <v>69</v>
      </c>
      <c r="N1395" s="6"/>
    </row>
    <row r="1396" spans="1:14">
      <c r="A1396" s="6" t="s">
        <v>2601</v>
      </c>
      <c r="B1396" s="7">
        <v>46101</v>
      </c>
      <c r="C1396" s="6" t="s">
        <v>2602</v>
      </c>
      <c r="D1396" s="6" t="str">
        <f>IF(OR(PROPER(TRIM(Raw_Data!D1396))="Uk",PROPER(TRIM(Raw_Data!D1396))="Gb",PROPER(TRIM(Raw_Data!D1396))="United kingdom"),"United Kingdom",PROPER(TRIM(Raw_Data!D1396)))</f>
        <v>France</v>
      </c>
      <c r="E1396" s="6" t="s">
        <v>52</v>
      </c>
      <c r="F1396" s="6" t="s">
        <v>85</v>
      </c>
      <c r="G1396" s="6" t="str">
        <f>SUBSTITUTE(Raw_Data!G1396,"Ã©","é")</f>
        <v>Merino Base Layer</v>
      </c>
      <c r="H1396" s="6">
        <v>1</v>
      </c>
      <c r="I1396" s="6" t="s">
        <v>143</v>
      </c>
      <c r="J1396" s="6" t="s">
        <v>143</v>
      </c>
      <c r="K1396" s="6">
        <v>0.41</v>
      </c>
      <c r="L1396" s="6" t="s">
        <v>42</v>
      </c>
      <c r="M1396" s="6" t="s">
        <v>69</v>
      </c>
      <c r="N1396" s="6"/>
    </row>
    <row r="1397" spans="1:14">
      <c r="A1397" s="6" t="s">
        <v>2603</v>
      </c>
      <c r="B1397" s="7">
        <v>46108</v>
      </c>
      <c r="C1397" s="6" t="s">
        <v>930</v>
      </c>
      <c r="D1397" s="6" t="str">
        <f>IF(OR(PROPER(TRIM(Raw_Data!D1397))="Uk",PROPER(TRIM(Raw_Data!D1397))="Gb",PROPER(TRIM(Raw_Data!D1397))="United kingdom"),"United Kingdom",PROPER(TRIM(Raw_Data!D1397)))</f>
        <v>United Kingdom</v>
      </c>
      <c r="E1397" s="6" t="s">
        <v>37</v>
      </c>
      <c r="F1397" s="6" t="s">
        <v>38</v>
      </c>
      <c r="G1397" s="6" t="str">
        <f>SUBSTITUTE(Raw_Data!G1397,"Ã©","é")</f>
        <v>Merino Base Layer</v>
      </c>
      <c r="H1397" s="6">
        <v>1</v>
      </c>
      <c r="I1397" s="6" t="s">
        <v>117</v>
      </c>
      <c r="J1397" s="6" t="s">
        <v>117</v>
      </c>
      <c r="K1397" s="6">
        <v>0.52</v>
      </c>
      <c r="L1397" s="6" t="s">
        <v>42</v>
      </c>
      <c r="M1397" s="6" t="s">
        <v>69</v>
      </c>
      <c r="N1397" s="6"/>
    </row>
    <row r="1398" spans="1:14">
      <c r="A1398" s="6" t="s">
        <v>2604</v>
      </c>
      <c r="B1398" s="7">
        <v>46299</v>
      </c>
      <c r="C1398" s="6" t="s">
        <v>2153</v>
      </c>
      <c r="D1398" s="6" t="str">
        <f>IF(OR(PROPER(TRIM(Raw_Data!D1398))="Uk",PROPER(TRIM(Raw_Data!D1398))="Gb",PROPER(TRIM(Raw_Data!D1398))="United kingdom"),"United Kingdom",PROPER(TRIM(Raw_Data!D1398)))</f>
        <v>Ireland</v>
      </c>
      <c r="E1398" s="6" t="s">
        <v>46</v>
      </c>
      <c r="F1398" s="6" t="s">
        <v>38</v>
      </c>
      <c r="G1398" s="6" t="str">
        <f>SUBSTITUTE(Raw_Data!G1398,"Ã©","é")</f>
        <v>Café Latte Mug</v>
      </c>
      <c r="H1398" s="6">
        <v>1</v>
      </c>
      <c r="I1398" s="6" t="s">
        <v>31</v>
      </c>
      <c r="J1398" s="6" t="s">
        <v>31</v>
      </c>
      <c r="K1398" s="6">
        <v>0.52</v>
      </c>
      <c r="L1398" s="6" t="s">
        <v>42</v>
      </c>
      <c r="M1398" s="6" t="s">
        <v>34</v>
      </c>
      <c r="N1398" s="6"/>
    </row>
    <row r="1399" spans="1:14">
      <c r="A1399" s="6" t="s">
        <v>2605</v>
      </c>
      <c r="B1399" s="7">
        <v>46206</v>
      </c>
      <c r="C1399" s="6" t="s">
        <v>1261</v>
      </c>
      <c r="D1399" s="6" t="str">
        <f>IF(OR(PROPER(TRIM(Raw_Data!D1399))="Uk",PROPER(TRIM(Raw_Data!D1399))="Gb",PROPER(TRIM(Raw_Data!D1399))="United kingdom"),"United Kingdom",PROPER(TRIM(Raw_Data!D1399)))</f>
        <v>United Kingdom</v>
      </c>
      <c r="E1399" s="6" t="s">
        <v>52</v>
      </c>
      <c r="F1399" s="6" t="s">
        <v>100</v>
      </c>
      <c r="G1399" s="6" t="str">
        <f>SUBSTITUTE(Raw_Data!G1399,"Ã©","é")</f>
        <v>Trekking Poles</v>
      </c>
      <c r="H1399" s="6">
        <v>2</v>
      </c>
      <c r="I1399" s="6" t="s">
        <v>79</v>
      </c>
      <c r="J1399" s="6" t="s">
        <v>259</v>
      </c>
      <c r="K1399" s="6">
        <v>0.64</v>
      </c>
      <c r="L1399" s="6" t="s">
        <v>42</v>
      </c>
      <c r="M1399" s="6" t="s">
        <v>34</v>
      </c>
      <c r="N1399" s="6"/>
    </row>
    <row r="1400" spans="1:14">
      <c r="A1400" s="6" t="s">
        <v>2606</v>
      </c>
      <c r="B1400" s="7">
        <v>46043</v>
      </c>
      <c r="C1400" s="6" t="s">
        <v>1539</v>
      </c>
      <c r="D1400" s="6" t="str">
        <f>IF(OR(PROPER(TRIM(Raw_Data!D1400))="Uk",PROPER(TRIM(Raw_Data!D1400))="Gb",PROPER(TRIM(Raw_Data!D1400))="United kingdom"),"United Kingdom",PROPER(TRIM(Raw_Data!D1400)))</f>
        <v>United Kingdom</v>
      </c>
      <c r="E1400" s="6" t="s">
        <v>37</v>
      </c>
      <c r="F1400" s="6" t="s">
        <v>47</v>
      </c>
      <c r="G1400" s="6" t="str">
        <f>SUBSTITUTE(Raw_Data!G1400,"Ã©","é")</f>
        <v>Merino Base Layer</v>
      </c>
      <c r="H1400" s="6">
        <v>1</v>
      </c>
      <c r="I1400" s="6" t="s">
        <v>117</v>
      </c>
      <c r="J1400" s="6" t="s">
        <v>117</v>
      </c>
      <c r="K1400" s="6">
        <v>8.5000000000000006E-2</v>
      </c>
      <c r="L1400" s="6" t="s">
        <v>42</v>
      </c>
      <c r="M1400" s="6" t="s">
        <v>34</v>
      </c>
      <c r="N1400" s="6"/>
    </row>
    <row r="1401" spans="1:14">
      <c r="A1401" s="6" t="s">
        <v>2607</v>
      </c>
      <c r="B1401" s="7">
        <v>46059</v>
      </c>
      <c r="C1401" s="6" t="s">
        <v>1077</v>
      </c>
      <c r="D1401" s="6" t="str">
        <f>IF(OR(PROPER(TRIM(Raw_Data!D1401))="Uk",PROPER(TRIM(Raw_Data!D1401))="Gb",PROPER(TRIM(Raw_Data!D1401))="United kingdom"),"United Kingdom",PROPER(TRIM(Raw_Data!D1401)))</f>
        <v>France</v>
      </c>
      <c r="E1401" s="6" t="s">
        <v>52</v>
      </c>
      <c r="F1401" s="6" t="s">
        <v>94</v>
      </c>
      <c r="G1401" s="6" t="str">
        <f>SUBSTITUTE(Raw_Data!G1401,"Ã©","é")</f>
        <v>Merino Base Layer</v>
      </c>
      <c r="H1401" s="6">
        <v>1</v>
      </c>
      <c r="I1401" s="6" t="s">
        <v>151</v>
      </c>
      <c r="J1401" s="6" t="s">
        <v>31</v>
      </c>
      <c r="K1401" s="6">
        <v>0.34</v>
      </c>
      <c r="L1401" s="6" t="s">
        <v>42</v>
      </c>
      <c r="M1401" s="6" t="s">
        <v>34</v>
      </c>
      <c r="N1401" s="6"/>
    </row>
    <row r="1402" spans="1:14">
      <c r="A1402" s="6" t="s">
        <v>2608</v>
      </c>
      <c r="B1402" s="7">
        <v>46174</v>
      </c>
      <c r="C1402" s="6" t="s">
        <v>2284</v>
      </c>
      <c r="D1402" s="6" t="str">
        <f>IF(OR(PROPER(TRIM(Raw_Data!D1402))="Uk",PROPER(TRIM(Raw_Data!D1402))="Gb",PROPER(TRIM(Raw_Data!D1402))="United kingdom"),"United Kingdom",PROPER(TRIM(Raw_Data!D1402)))</f>
        <v>Ireland</v>
      </c>
      <c r="E1402" s="6" t="s">
        <v>46</v>
      </c>
      <c r="F1402" s="6" t="s">
        <v>100</v>
      </c>
      <c r="G1402" s="6" t="str">
        <f>SUBSTITUTE(Raw_Data!G1402,"Ã©","é")</f>
        <v>Alpine Jacket</v>
      </c>
      <c r="H1402" s="6">
        <v>1</v>
      </c>
      <c r="I1402" s="6" t="s">
        <v>231</v>
      </c>
      <c r="J1402" s="6" t="s">
        <v>231</v>
      </c>
      <c r="K1402" s="6">
        <v>0.64</v>
      </c>
      <c r="L1402" s="6" t="s">
        <v>42</v>
      </c>
      <c r="M1402" s="6" t="s">
        <v>69</v>
      </c>
      <c r="N1402" s="6"/>
    </row>
    <row r="1403" spans="1:14">
      <c r="A1403" s="6" t="s">
        <v>2609</v>
      </c>
      <c r="B1403" s="7">
        <v>46189</v>
      </c>
      <c r="C1403" s="6" t="s">
        <v>227</v>
      </c>
      <c r="D1403" s="6" t="str">
        <f>IF(OR(PROPER(TRIM(Raw_Data!D1403))="Uk",PROPER(TRIM(Raw_Data!D1403))="Gb",PROPER(TRIM(Raw_Data!D1403))="United kingdom"),"United Kingdom",PROPER(TRIM(Raw_Data!D1403)))</f>
        <v>Germany</v>
      </c>
      <c r="E1403" s="6" t="s">
        <v>37</v>
      </c>
      <c r="F1403" s="6" t="s">
        <v>29</v>
      </c>
      <c r="G1403" s="6" t="str">
        <f>SUBSTITUTE(Raw_Data!G1403,"Ã©","é")</f>
        <v>Storm Overtrousers</v>
      </c>
      <c r="H1403" s="6">
        <v>1</v>
      </c>
      <c r="I1403" s="6" t="s">
        <v>82</v>
      </c>
      <c r="J1403" s="6" t="s">
        <v>82</v>
      </c>
      <c r="K1403" s="6">
        <v>0.52</v>
      </c>
      <c r="L1403" s="6" t="s">
        <v>42</v>
      </c>
      <c r="M1403" s="6" t="s">
        <v>69</v>
      </c>
      <c r="N1403" s="6"/>
    </row>
    <row r="1404" spans="1:14">
      <c r="A1404" s="6" t="s">
        <v>2610</v>
      </c>
      <c r="B1404" s="7">
        <v>46140</v>
      </c>
      <c r="C1404" s="6" t="s">
        <v>841</v>
      </c>
      <c r="D1404" s="6" t="str">
        <f>IF(OR(PROPER(TRIM(Raw_Data!D1404))="Uk",PROPER(TRIM(Raw_Data!D1404))="Gb",PROPER(TRIM(Raw_Data!D1404))="United kingdom"),"United Kingdom",PROPER(TRIM(Raw_Data!D1404)))</f>
        <v>United Kingdom</v>
      </c>
      <c r="E1404" s="6" t="s">
        <v>52</v>
      </c>
      <c r="F1404" s="6" t="s">
        <v>100</v>
      </c>
      <c r="G1404" s="6" t="str">
        <f>SUBSTITUTE(Raw_Data!G1404,"Ã©","é")</f>
        <v>Storm Overtrousers</v>
      </c>
      <c r="H1404" s="6">
        <v>2</v>
      </c>
      <c r="I1404" s="6" t="s">
        <v>113</v>
      </c>
      <c r="J1404" s="6" t="s">
        <v>192</v>
      </c>
      <c r="K1404" s="6">
        <v>0.64</v>
      </c>
      <c r="L1404" s="6" t="s">
        <v>33</v>
      </c>
      <c r="M1404" s="6" t="s">
        <v>34</v>
      </c>
      <c r="N1404" s="6"/>
    </row>
    <row r="1405" spans="1:14">
      <c r="A1405" s="6" t="s">
        <v>2611</v>
      </c>
      <c r="B1405" s="7">
        <v>46158</v>
      </c>
      <c r="C1405" s="6" t="s">
        <v>343</v>
      </c>
      <c r="D1405" s="6" t="str">
        <f>IF(OR(PROPER(TRIM(Raw_Data!D1405))="Uk",PROPER(TRIM(Raw_Data!D1405))="Gb",PROPER(TRIM(Raw_Data!D1405))="United kingdom"),"United Kingdom",PROPER(TRIM(Raw_Data!D1405)))</f>
        <v>Ireland</v>
      </c>
      <c r="E1405" s="6" t="s">
        <v>78</v>
      </c>
      <c r="F1405" s="6" t="s">
        <v>100</v>
      </c>
      <c r="G1405" s="6" t="str">
        <f>SUBSTITUTE(Raw_Data!G1405,"Ã©","é")</f>
        <v>Trekking Poles</v>
      </c>
      <c r="H1405" s="6">
        <v>2</v>
      </c>
      <c r="I1405" s="6" t="s">
        <v>265</v>
      </c>
      <c r="J1405" s="6" t="s">
        <v>167</v>
      </c>
      <c r="K1405" s="6">
        <v>0.64</v>
      </c>
      <c r="L1405" s="6" t="s">
        <v>42</v>
      </c>
      <c r="M1405" s="6" t="s">
        <v>69</v>
      </c>
      <c r="N1405" s="6"/>
    </row>
    <row r="1406" spans="1:14">
      <c r="A1406" s="6" t="s">
        <v>2612</v>
      </c>
      <c r="B1406" s="7">
        <v>46239</v>
      </c>
      <c r="C1406" s="6" t="s">
        <v>2613</v>
      </c>
      <c r="D1406" s="6" t="str">
        <f>IF(OR(PROPER(TRIM(Raw_Data!D1406))="Uk",PROPER(TRIM(Raw_Data!D1406))="Gb",PROPER(TRIM(Raw_Data!D1406))="United kingdom"),"United Kingdom",PROPER(TRIM(Raw_Data!D1406)))</f>
        <v>United Kingdom</v>
      </c>
      <c r="E1406" s="6" t="s">
        <v>78</v>
      </c>
      <c r="F1406" s="6" t="s">
        <v>53</v>
      </c>
      <c r="G1406" s="6" t="str">
        <f>SUBSTITUTE(Raw_Data!G1406,"Ã©","é")</f>
        <v>Merino Base Layer</v>
      </c>
      <c r="H1406" s="6">
        <v>1</v>
      </c>
      <c r="I1406" s="6" t="s">
        <v>147</v>
      </c>
      <c r="J1406" s="6" t="s">
        <v>147</v>
      </c>
      <c r="K1406" s="6">
        <v>0.19</v>
      </c>
      <c r="L1406" s="6" t="s">
        <v>42</v>
      </c>
      <c r="M1406" s="6" t="s">
        <v>69</v>
      </c>
      <c r="N1406" s="6"/>
    </row>
    <row r="1407" spans="1:14">
      <c r="A1407" s="6" t="s">
        <v>2614</v>
      </c>
      <c r="B1407" s="7">
        <v>46168</v>
      </c>
      <c r="C1407" s="6" t="s">
        <v>2615</v>
      </c>
      <c r="D1407" s="6" t="str">
        <f>IF(OR(PROPER(TRIM(Raw_Data!D1407))="Uk",PROPER(TRIM(Raw_Data!D1407))="Gb",PROPER(TRIM(Raw_Data!D1407))="United kingdom"),"United Kingdom",PROPER(TRIM(Raw_Data!D1407)))</f>
        <v>United Kingdom</v>
      </c>
      <c r="E1407" s="6" t="s">
        <v>78</v>
      </c>
      <c r="F1407" s="6" t="s">
        <v>53</v>
      </c>
      <c r="G1407" s="6" t="str">
        <f>SUBSTITUTE(Raw_Data!G1407,"Ã©","é")</f>
        <v>Trekking Poles</v>
      </c>
      <c r="H1407" s="6">
        <v>2</v>
      </c>
      <c r="I1407" s="6" t="s">
        <v>490</v>
      </c>
      <c r="J1407" s="6" t="s">
        <v>297</v>
      </c>
      <c r="K1407" s="6">
        <v>0.19</v>
      </c>
      <c r="L1407" s="6" t="s">
        <v>42</v>
      </c>
      <c r="M1407" s="6" t="s">
        <v>34</v>
      </c>
      <c r="N1407" s="6"/>
    </row>
    <row r="1408" spans="1:14">
      <c r="A1408" s="6" t="s">
        <v>2616</v>
      </c>
      <c r="B1408" s="7">
        <v>46046</v>
      </c>
      <c r="C1408" s="6" t="s">
        <v>949</v>
      </c>
      <c r="D1408" s="6" t="str">
        <f>IF(OR(PROPER(TRIM(Raw_Data!D1408))="Uk",PROPER(TRIM(Raw_Data!D1408))="Gb",PROPER(TRIM(Raw_Data!D1408))="United kingdom"),"United Kingdom",PROPER(TRIM(Raw_Data!D1408)))</f>
        <v>United Kingdom</v>
      </c>
      <c r="E1408" s="6" t="s">
        <v>52</v>
      </c>
      <c r="F1408" s="6" t="s">
        <v>58</v>
      </c>
      <c r="G1408" s="6" t="str">
        <f>SUBSTITUTE(Raw_Data!G1408,"Ã©","é")</f>
        <v>Trekking Poles</v>
      </c>
      <c r="H1408" s="6">
        <v>2</v>
      </c>
      <c r="I1408" s="6" t="s">
        <v>90</v>
      </c>
      <c r="J1408" s="6" t="s">
        <v>154</v>
      </c>
      <c r="K1408" s="6">
        <v>0.38</v>
      </c>
      <c r="L1408" s="6" t="s">
        <v>42</v>
      </c>
      <c r="M1408" s="6" t="s">
        <v>34</v>
      </c>
      <c r="N1408" s="6"/>
    </row>
    <row r="1409" spans="1:14">
      <c r="A1409" s="6" t="s">
        <v>2617</v>
      </c>
      <c r="B1409" s="7">
        <v>46330</v>
      </c>
      <c r="C1409" s="6" t="s">
        <v>633</v>
      </c>
      <c r="D1409" s="6" t="str">
        <f>IF(OR(PROPER(TRIM(Raw_Data!D1409))="Uk",PROPER(TRIM(Raw_Data!D1409))="Gb",PROPER(TRIM(Raw_Data!D1409))="United kingdom"),"United Kingdom",PROPER(TRIM(Raw_Data!D1409)))</f>
        <v>France</v>
      </c>
      <c r="E1409" s="6" t="s">
        <v>52</v>
      </c>
      <c r="F1409" s="6" t="s">
        <v>100</v>
      </c>
      <c r="G1409" s="6" t="str">
        <f>SUBSTITUTE(Raw_Data!G1409,"Ã©","é")</f>
        <v>Merino Base Layer</v>
      </c>
      <c r="H1409" s="6">
        <v>1</v>
      </c>
      <c r="I1409" s="6" t="s">
        <v>90</v>
      </c>
      <c r="J1409" s="6" t="s">
        <v>90</v>
      </c>
      <c r="K1409" s="6">
        <v>0.64</v>
      </c>
      <c r="L1409" s="6" t="s">
        <v>33</v>
      </c>
      <c r="M1409" s="6" t="s">
        <v>34</v>
      </c>
      <c r="N1409" s="6"/>
    </row>
    <row r="1410" spans="1:14">
      <c r="A1410" s="6" t="s">
        <v>2618</v>
      </c>
      <c r="B1410" s="7">
        <v>46161</v>
      </c>
      <c r="C1410" s="6" t="s">
        <v>2367</v>
      </c>
      <c r="D1410" s="6" t="str">
        <f>IF(OR(PROPER(TRIM(Raw_Data!D1410))="Uk",PROPER(TRIM(Raw_Data!D1410))="Gb",PROPER(TRIM(Raw_Data!D1410))="United kingdom"),"United Kingdom",PROPER(TRIM(Raw_Data!D1410)))</f>
        <v>Ireland</v>
      </c>
      <c r="E1410" s="6" t="s">
        <v>52</v>
      </c>
      <c r="F1410" s="6" t="s">
        <v>100</v>
      </c>
      <c r="G1410" s="6" t="str">
        <f>SUBSTITUTE(Raw_Data!G1410,"Ã©","é")</f>
        <v>Storm Overtrousers</v>
      </c>
      <c r="H1410" s="6">
        <v>3</v>
      </c>
      <c r="I1410" s="6" t="s">
        <v>373</v>
      </c>
      <c r="J1410" s="6" t="s">
        <v>216</v>
      </c>
      <c r="K1410" s="6">
        <v>0.64</v>
      </c>
      <c r="L1410" s="6" t="s">
        <v>33</v>
      </c>
      <c r="M1410" s="6" t="s">
        <v>69</v>
      </c>
      <c r="N1410" s="6"/>
    </row>
    <row r="1411" spans="1:14">
      <c r="A1411" s="6" t="s">
        <v>2619</v>
      </c>
      <c r="B1411" s="7">
        <v>46163</v>
      </c>
      <c r="C1411" s="6" t="s">
        <v>1766</v>
      </c>
      <c r="D1411" s="6" t="str">
        <f>IF(OR(PROPER(TRIM(Raw_Data!D1411))="Uk",PROPER(TRIM(Raw_Data!D1411))="Gb",PROPER(TRIM(Raw_Data!D1411))="United kingdom"),"United Kingdom",PROPER(TRIM(Raw_Data!D1411)))</f>
        <v>Ireland</v>
      </c>
      <c r="E1411" s="6" t="s">
        <v>37</v>
      </c>
      <c r="F1411" s="6" t="s">
        <v>38</v>
      </c>
      <c r="G1411" s="6" t="str">
        <f>SUBSTITUTE(Raw_Data!G1411,"Ã©","é")</f>
        <v>Trail Softshell</v>
      </c>
      <c r="H1411" s="6">
        <v>1</v>
      </c>
      <c r="I1411" s="6" t="s">
        <v>90</v>
      </c>
      <c r="J1411" s="6" t="s">
        <v>90</v>
      </c>
      <c r="K1411" s="6">
        <v>0.52</v>
      </c>
      <c r="L1411" s="6" t="s">
        <v>42</v>
      </c>
      <c r="M1411" s="6" t="s">
        <v>34</v>
      </c>
      <c r="N1411" s="6"/>
    </row>
    <row r="1412" spans="1:14">
      <c r="A1412" s="6" t="s">
        <v>2620</v>
      </c>
      <c r="B1412" s="7">
        <v>46266</v>
      </c>
      <c r="C1412" s="6" t="s">
        <v>1465</v>
      </c>
      <c r="D1412" s="6" t="str">
        <f>IF(OR(PROPER(TRIM(Raw_Data!D1412))="Uk",PROPER(TRIM(Raw_Data!D1412))="Gb",PROPER(TRIM(Raw_Data!D1412))="United kingdom"),"United Kingdom",PROPER(TRIM(Raw_Data!D1412)))</f>
        <v>United Kingdom</v>
      </c>
      <c r="E1412" s="6" t="s">
        <v>46</v>
      </c>
      <c r="F1412" s="6" t="s">
        <v>94</v>
      </c>
      <c r="G1412" s="6" t="str">
        <f>SUBSTITUTE(Raw_Data!G1412,"Ã©","é")</f>
        <v>Trail Softshell</v>
      </c>
      <c r="H1412" s="6">
        <v>1</v>
      </c>
      <c r="I1412" s="6" t="s">
        <v>231</v>
      </c>
      <c r="J1412" s="6" t="s">
        <v>231</v>
      </c>
      <c r="K1412" s="6">
        <v>0.34</v>
      </c>
      <c r="L1412" s="6" t="s">
        <v>42</v>
      </c>
      <c r="M1412" s="6" t="s">
        <v>69</v>
      </c>
      <c r="N1412" s="6"/>
    </row>
    <row r="1413" spans="1:14">
      <c r="A1413" s="6" t="s">
        <v>2621</v>
      </c>
      <c r="B1413" s="7">
        <v>46200</v>
      </c>
      <c r="C1413" s="6" t="s">
        <v>2622</v>
      </c>
      <c r="D1413" s="6" t="str">
        <f>IF(OR(PROPER(TRIM(Raw_Data!D1413))="Uk",PROPER(TRIM(Raw_Data!D1413))="Gb",PROPER(TRIM(Raw_Data!D1413))="United kingdom"),"United Kingdom",PROPER(TRIM(Raw_Data!D1413)))</f>
        <v>United Kingdom</v>
      </c>
      <c r="E1413" s="6" t="s">
        <v>78</v>
      </c>
      <c r="F1413" s="6" t="s">
        <v>58</v>
      </c>
      <c r="G1413" s="6" t="str">
        <f>SUBSTITUTE(Raw_Data!G1413,"Ã©","é")</f>
        <v>Alpine Jacket</v>
      </c>
      <c r="H1413" s="6">
        <v>1</v>
      </c>
      <c r="I1413" s="6" t="s">
        <v>79</v>
      </c>
      <c r="J1413" s="6" t="s">
        <v>79</v>
      </c>
      <c r="K1413" s="6">
        <v>0.38</v>
      </c>
      <c r="L1413" s="6" t="s">
        <v>42</v>
      </c>
      <c r="M1413" s="6" t="s">
        <v>34</v>
      </c>
      <c r="N1413" s="6"/>
    </row>
    <row r="1414" spans="1:14">
      <c r="A1414" s="6" t="s">
        <v>2623</v>
      </c>
      <c r="B1414" s="7">
        <v>46174</v>
      </c>
      <c r="C1414" s="6" t="s">
        <v>1639</v>
      </c>
      <c r="D1414" s="6" t="str">
        <f>IF(OR(PROPER(TRIM(Raw_Data!D1414))="Uk",PROPER(TRIM(Raw_Data!D1414))="Gb",PROPER(TRIM(Raw_Data!D1414))="United kingdom"),"United Kingdom",PROPER(TRIM(Raw_Data!D1414)))</f>
        <v>United Kingdom</v>
      </c>
      <c r="E1414" s="6" t="s">
        <v>52</v>
      </c>
      <c r="F1414" s="6" t="s">
        <v>58</v>
      </c>
      <c r="G1414" s="6" t="str">
        <f>SUBSTITUTE(Raw_Data!G1414,"Ã©","é")</f>
        <v>Fell Runner Cap</v>
      </c>
      <c r="H1414" s="6">
        <v>1</v>
      </c>
      <c r="I1414" s="6" t="s">
        <v>82</v>
      </c>
      <c r="J1414" s="6" t="s">
        <v>82</v>
      </c>
      <c r="K1414" s="6">
        <v>0.38</v>
      </c>
      <c r="L1414" s="6" t="s">
        <v>42</v>
      </c>
      <c r="M1414" s="6" t="s">
        <v>34</v>
      </c>
      <c r="N1414" s="6"/>
    </row>
    <row r="1415" spans="1:14">
      <c r="A1415" s="6" t="s">
        <v>2624</v>
      </c>
      <c r="B1415" s="7">
        <v>46088</v>
      </c>
      <c r="C1415" s="6" t="s">
        <v>2625</v>
      </c>
      <c r="D1415" s="6" t="str">
        <f>IF(OR(PROPER(TRIM(Raw_Data!D1415))="Uk",PROPER(TRIM(Raw_Data!D1415))="Gb",PROPER(TRIM(Raw_Data!D1415))="United kingdom"),"United Kingdom",PROPER(TRIM(Raw_Data!D1415)))</f>
        <v>United Kingdom</v>
      </c>
      <c r="E1415" s="6" t="s">
        <v>37</v>
      </c>
      <c r="F1415" s="6" t="s">
        <v>53</v>
      </c>
      <c r="G1415" s="6" t="str">
        <f>SUBSTITUTE(Raw_Data!G1415,"Ã©","é")</f>
        <v>Café Latte Mug</v>
      </c>
      <c r="H1415" s="6">
        <v>2</v>
      </c>
      <c r="I1415" s="6" t="s">
        <v>2626</v>
      </c>
      <c r="J1415" s="6" t="s">
        <v>297</v>
      </c>
      <c r="K1415" s="6">
        <v>0.19</v>
      </c>
      <c r="L1415" s="6" t="s">
        <v>33</v>
      </c>
      <c r="M1415" s="6" t="s">
        <v>34</v>
      </c>
      <c r="N1415" s="6"/>
    </row>
    <row r="1416" spans="1:14">
      <c r="A1416" s="6" t="s">
        <v>2627</v>
      </c>
      <c r="B1416" s="7">
        <v>46070</v>
      </c>
      <c r="C1416" s="6" t="s">
        <v>359</v>
      </c>
      <c r="D1416" s="6" t="str">
        <f>IF(OR(PROPER(TRIM(Raw_Data!D1416))="Uk",PROPER(TRIM(Raw_Data!D1416))="Gb",PROPER(TRIM(Raw_Data!D1416))="United kingdom"),"United Kingdom",PROPER(TRIM(Raw_Data!D1416)))</f>
        <v>United Kingdom</v>
      </c>
      <c r="E1416" s="6" t="s">
        <v>78</v>
      </c>
      <c r="F1416" s="6" t="s">
        <v>100</v>
      </c>
      <c r="G1416" s="6" t="str">
        <f>SUBSTITUTE(Raw_Data!G1416,"Ã©","é")</f>
        <v>Alpine Jacket</v>
      </c>
      <c r="H1416" s="6">
        <v>3</v>
      </c>
      <c r="I1416" s="6" t="s">
        <v>82</v>
      </c>
      <c r="J1416" s="6" t="s">
        <v>390</v>
      </c>
      <c r="K1416" s="6">
        <v>0.64</v>
      </c>
      <c r="L1416" s="6" t="s">
        <v>42</v>
      </c>
      <c r="M1416" s="6" t="s">
        <v>34</v>
      </c>
      <c r="N1416" s="6"/>
    </row>
    <row r="1417" spans="1:14">
      <c r="A1417" s="6" t="s">
        <v>2628</v>
      </c>
      <c r="B1417" s="7">
        <v>46041</v>
      </c>
      <c r="C1417" s="6" t="s">
        <v>707</v>
      </c>
      <c r="D1417" s="6" t="str">
        <f>IF(OR(PROPER(TRIM(Raw_Data!D1417))="Uk",PROPER(TRIM(Raw_Data!D1417))="Gb",PROPER(TRIM(Raw_Data!D1417))="United kingdom"),"United Kingdom",PROPER(TRIM(Raw_Data!D1417)))</f>
        <v>United Kingdom</v>
      </c>
      <c r="E1417" s="6" t="s">
        <v>78</v>
      </c>
      <c r="F1417" s="6" t="s">
        <v>85</v>
      </c>
      <c r="G1417" s="6" t="str">
        <f>SUBSTITUTE(Raw_Data!G1417,"Ã©","é")</f>
        <v>Trekking Poles</v>
      </c>
      <c r="H1417" s="6">
        <v>2</v>
      </c>
      <c r="I1417" s="6" t="s">
        <v>143</v>
      </c>
      <c r="J1417" s="6" t="s">
        <v>144</v>
      </c>
      <c r="K1417" s="6">
        <v>0.41</v>
      </c>
      <c r="L1417" s="6" t="s">
        <v>42</v>
      </c>
      <c r="M1417" s="6" t="s">
        <v>69</v>
      </c>
      <c r="N1417" s="6"/>
    </row>
    <row r="1418" spans="1:14">
      <c r="A1418" s="6" t="s">
        <v>2629</v>
      </c>
      <c r="B1418" s="7">
        <v>46102</v>
      </c>
      <c r="C1418" s="6" t="s">
        <v>2630</v>
      </c>
      <c r="D1418" s="6" t="str">
        <f>IF(OR(PROPER(TRIM(Raw_Data!D1418))="Uk",PROPER(TRIM(Raw_Data!D1418))="Gb",PROPER(TRIM(Raw_Data!D1418))="United kingdom"),"United Kingdom",PROPER(TRIM(Raw_Data!D1418)))</f>
        <v>United Kingdom</v>
      </c>
      <c r="E1418" s="6" t="s">
        <v>78</v>
      </c>
      <c r="F1418" s="6" t="s">
        <v>85</v>
      </c>
      <c r="G1418" s="6" t="str">
        <f>SUBSTITUTE(Raw_Data!G1418,"Ã©","é")</f>
        <v>Alpine Jacket</v>
      </c>
      <c r="H1418" s="6">
        <v>1</v>
      </c>
      <c r="I1418" s="6" t="s">
        <v>656</v>
      </c>
      <c r="J1418" s="6" t="s">
        <v>113</v>
      </c>
      <c r="K1418" s="6">
        <v>0.41</v>
      </c>
      <c r="L1418" s="6" t="s">
        <v>33</v>
      </c>
      <c r="M1418" s="6" t="s">
        <v>34</v>
      </c>
      <c r="N1418" s="6"/>
    </row>
    <row r="1419" spans="1:14">
      <c r="A1419" s="6" t="s">
        <v>2631</v>
      </c>
      <c r="B1419" s="7">
        <v>46208</v>
      </c>
      <c r="C1419" s="6" t="s">
        <v>188</v>
      </c>
      <c r="D1419" s="6" t="str">
        <f>IF(OR(PROPER(TRIM(Raw_Data!D1419))="Uk",PROPER(TRIM(Raw_Data!D1419))="Gb",PROPER(TRIM(Raw_Data!D1419))="United kingdom"),"United Kingdom",PROPER(TRIM(Raw_Data!D1419)))</f>
        <v>United Kingdom</v>
      </c>
      <c r="E1419" s="6" t="s">
        <v>78</v>
      </c>
      <c r="F1419" s="6" t="s">
        <v>85</v>
      </c>
      <c r="G1419" s="6" t="str">
        <f>SUBSTITUTE(Raw_Data!G1419,"Ã©","é")</f>
        <v>Alpine Jacket</v>
      </c>
      <c r="H1419" s="6">
        <v>2</v>
      </c>
      <c r="I1419" s="6" t="s">
        <v>147</v>
      </c>
      <c r="J1419" s="6" t="s">
        <v>175</v>
      </c>
      <c r="K1419" s="6">
        <v>0.41</v>
      </c>
      <c r="L1419" s="6" t="s">
        <v>42</v>
      </c>
      <c r="M1419" s="6" t="s">
        <v>34</v>
      </c>
      <c r="N1419" s="6"/>
    </row>
    <row r="1420" spans="1:14">
      <c r="A1420" s="6" t="s">
        <v>2632</v>
      </c>
      <c r="B1420" s="7">
        <v>46027</v>
      </c>
      <c r="C1420" s="6" t="s">
        <v>2153</v>
      </c>
      <c r="D1420" s="6" t="str">
        <f>IF(OR(PROPER(TRIM(Raw_Data!D1420))="Uk",PROPER(TRIM(Raw_Data!D1420))="Gb",PROPER(TRIM(Raw_Data!D1420))="United kingdom"),"United Kingdom",PROPER(TRIM(Raw_Data!D1420)))</f>
        <v>United Kingdom</v>
      </c>
      <c r="E1420" s="6" t="s">
        <v>52</v>
      </c>
      <c r="F1420" s="6" t="s">
        <v>47</v>
      </c>
      <c r="G1420" s="6" t="str">
        <f>SUBSTITUTE(Raw_Data!G1420,"Ã©","é")</f>
        <v>Merino Base Layer</v>
      </c>
      <c r="H1420" s="6">
        <v>-2</v>
      </c>
      <c r="I1420" s="6" t="s">
        <v>96</v>
      </c>
      <c r="J1420" s="8" t="s">
        <v>1628</v>
      </c>
      <c r="K1420" s="6">
        <v>8.5000000000000006E-2</v>
      </c>
      <c r="L1420" s="6" t="s">
        <v>42</v>
      </c>
      <c r="M1420" s="6" t="s">
        <v>34</v>
      </c>
      <c r="N1420" s="6"/>
    </row>
    <row r="1421" spans="1:14">
      <c r="A1421" s="6" t="s">
        <v>2633</v>
      </c>
      <c r="B1421" s="7">
        <v>46059</v>
      </c>
      <c r="C1421" s="6" t="s">
        <v>2634</v>
      </c>
      <c r="D1421" s="6" t="str">
        <f>IF(OR(PROPER(TRIM(Raw_Data!D1421))="Uk",PROPER(TRIM(Raw_Data!D1421))="Gb",PROPER(TRIM(Raw_Data!D1421))="United kingdom"),"United Kingdom",PROPER(TRIM(Raw_Data!D1421)))</f>
        <v>United Kingdom</v>
      </c>
      <c r="E1421" s="6" t="s">
        <v>46</v>
      </c>
      <c r="F1421" s="6" t="s">
        <v>94</v>
      </c>
      <c r="G1421" s="6" t="str">
        <f>SUBSTITUTE(Raw_Data!G1421,"Ã©","é")</f>
        <v>Merino Base Layer</v>
      </c>
      <c r="H1421" s="6">
        <v>2</v>
      </c>
      <c r="I1421" s="6" t="s">
        <v>265</v>
      </c>
      <c r="J1421" s="6" t="s">
        <v>167</v>
      </c>
      <c r="K1421" s="6">
        <v>0.34</v>
      </c>
      <c r="L1421" s="6" t="s">
        <v>42</v>
      </c>
      <c r="M1421" s="6" t="s">
        <v>69</v>
      </c>
      <c r="N1421" s="6"/>
    </row>
    <row r="1422" spans="1:14">
      <c r="A1422" s="6" t="s">
        <v>2635</v>
      </c>
      <c r="B1422" s="7">
        <v>46177</v>
      </c>
      <c r="C1422" s="6" t="s">
        <v>2636</v>
      </c>
      <c r="D1422" s="6" t="str">
        <f>IF(OR(PROPER(TRIM(Raw_Data!D1422))="Uk",PROPER(TRIM(Raw_Data!D1422))="Gb",PROPER(TRIM(Raw_Data!D1422))="United kingdom"),"United Kingdom",PROPER(TRIM(Raw_Data!D1422)))</f>
        <v>United Kingdom</v>
      </c>
      <c r="E1422" s="6" t="s">
        <v>37</v>
      </c>
      <c r="F1422" s="6" t="s">
        <v>29</v>
      </c>
      <c r="G1422" s="6" t="str">
        <f>SUBSTITUTE(Raw_Data!G1422,"Ã©","é")</f>
        <v>Summit Down Gilet</v>
      </c>
      <c r="H1422" s="6">
        <v>1</v>
      </c>
      <c r="I1422" s="6" t="s">
        <v>143</v>
      </c>
      <c r="J1422" s="6" t="s">
        <v>143</v>
      </c>
      <c r="K1422" s="6">
        <v>0.52</v>
      </c>
      <c r="L1422" s="6" t="s">
        <v>42</v>
      </c>
      <c r="M1422" s="6" t="s">
        <v>34</v>
      </c>
      <c r="N1422" s="6"/>
    </row>
    <row r="1423" spans="1:14">
      <c r="A1423" s="6" t="s">
        <v>2637</v>
      </c>
      <c r="B1423" s="7">
        <v>46107</v>
      </c>
      <c r="C1423" s="6" t="s">
        <v>2638</v>
      </c>
      <c r="D1423" s="6" t="str">
        <f>IF(OR(PROPER(TRIM(Raw_Data!D1423))="Uk",PROPER(TRIM(Raw_Data!D1423))="Gb",PROPER(TRIM(Raw_Data!D1423))="United kingdom"),"United Kingdom",PROPER(TRIM(Raw_Data!D1423)))</f>
        <v>United Kingdom</v>
      </c>
      <c r="E1423" s="6" t="s">
        <v>52</v>
      </c>
      <c r="F1423" s="6" t="s">
        <v>94</v>
      </c>
      <c r="G1423" s="6" t="str">
        <f>SUBSTITUTE(Raw_Data!G1423,"Ã©","é")</f>
        <v>Alpine Jacket</v>
      </c>
      <c r="H1423" s="6">
        <v>1</v>
      </c>
      <c r="I1423" s="6" t="s">
        <v>143</v>
      </c>
      <c r="J1423" s="6" t="s">
        <v>143</v>
      </c>
      <c r="K1423" s="6">
        <v>0.34</v>
      </c>
      <c r="L1423" s="6" t="s">
        <v>42</v>
      </c>
      <c r="M1423" s="6" t="s">
        <v>34</v>
      </c>
      <c r="N1423" s="6"/>
    </row>
    <row r="1424" spans="1:14">
      <c r="A1424" s="6" t="s">
        <v>2639</v>
      </c>
      <c r="B1424" s="7">
        <v>46189</v>
      </c>
      <c r="C1424" s="6" t="s">
        <v>2640</v>
      </c>
      <c r="D1424" s="6" t="str">
        <f>IF(OR(PROPER(TRIM(Raw_Data!D1424))="Uk",PROPER(TRIM(Raw_Data!D1424))="Gb",PROPER(TRIM(Raw_Data!D1424))="United kingdom"),"United Kingdom",PROPER(TRIM(Raw_Data!D1424)))</f>
        <v>United Kingdom</v>
      </c>
      <c r="E1424" s="6" t="s">
        <v>78</v>
      </c>
      <c r="F1424" s="6" t="s">
        <v>53</v>
      </c>
      <c r="G1424" s="6" t="str">
        <f>SUBSTITUTE(Raw_Data!G1424,"Ã©","é")</f>
        <v>Alpine Jacket</v>
      </c>
      <c r="H1424" s="6">
        <v>2</v>
      </c>
      <c r="I1424" s="6" t="s">
        <v>82</v>
      </c>
      <c r="J1424" s="6" t="s">
        <v>297</v>
      </c>
      <c r="K1424" s="6">
        <v>0.19</v>
      </c>
      <c r="L1424" s="6" t="s">
        <v>42</v>
      </c>
      <c r="M1424" s="6" t="s">
        <v>34</v>
      </c>
      <c r="N1424" s="6"/>
    </row>
    <row r="1425" spans="1:14">
      <c r="A1425" s="6" t="s">
        <v>2641</v>
      </c>
      <c r="B1425" s="7">
        <v>46189</v>
      </c>
      <c r="C1425" s="6" t="s">
        <v>972</v>
      </c>
      <c r="D1425" s="6" t="str">
        <f>IF(OR(PROPER(TRIM(Raw_Data!D1425))="Uk",PROPER(TRIM(Raw_Data!D1425))="Gb",PROPER(TRIM(Raw_Data!D1425))="United kingdom"),"United Kingdom",PROPER(TRIM(Raw_Data!D1425)))</f>
        <v>United Kingdom</v>
      </c>
      <c r="E1425" s="6" t="s">
        <v>37</v>
      </c>
      <c r="F1425" s="6" t="s">
        <v>38</v>
      </c>
      <c r="G1425" s="6" t="str">
        <f>SUBSTITUTE(Raw_Data!G1425,"Ã©","é")</f>
        <v>Trail Softshell</v>
      </c>
      <c r="H1425" s="6">
        <v>-2</v>
      </c>
      <c r="I1425" s="6" t="s">
        <v>181</v>
      </c>
      <c r="J1425" s="8" t="s">
        <v>2642</v>
      </c>
      <c r="K1425" s="6">
        <v>0.52</v>
      </c>
      <c r="L1425" s="6" t="s">
        <v>42</v>
      </c>
      <c r="M1425" s="6" t="s">
        <v>34</v>
      </c>
      <c r="N1425" s="6"/>
    </row>
    <row r="1426" spans="1:14">
      <c r="A1426" s="6" t="s">
        <v>2643</v>
      </c>
      <c r="B1426" s="7">
        <v>46086</v>
      </c>
      <c r="C1426" s="6" t="s">
        <v>2644</v>
      </c>
      <c r="D1426" s="6" t="str">
        <f>IF(OR(PROPER(TRIM(Raw_Data!D1426))="Uk",PROPER(TRIM(Raw_Data!D1426))="Gb",PROPER(TRIM(Raw_Data!D1426))="United kingdom"),"United Kingdom",PROPER(TRIM(Raw_Data!D1426)))</f>
        <v>United Kingdom</v>
      </c>
      <c r="E1426" s="6" t="s">
        <v>37</v>
      </c>
      <c r="F1426" s="6" t="s">
        <v>85</v>
      </c>
      <c r="G1426" s="6" t="str">
        <f>SUBSTITUTE(Raw_Data!G1426,"Ã©","é")</f>
        <v>Café Latte Mug</v>
      </c>
      <c r="H1426" s="6">
        <v>1</v>
      </c>
      <c r="I1426" s="6" t="s">
        <v>265</v>
      </c>
      <c r="J1426" s="6" t="s">
        <v>265</v>
      </c>
      <c r="K1426" s="6">
        <v>0.41</v>
      </c>
      <c r="L1426" s="6" t="s">
        <v>42</v>
      </c>
      <c r="M1426" s="6" t="s">
        <v>69</v>
      </c>
      <c r="N1426" s="6"/>
    </row>
    <row r="1427" spans="1:14">
      <c r="A1427" s="6" t="s">
        <v>2645</v>
      </c>
      <c r="B1427" s="7">
        <v>46200</v>
      </c>
      <c r="C1427" s="6" t="s">
        <v>2646</v>
      </c>
      <c r="D1427" s="6" t="str">
        <f>IF(OR(PROPER(TRIM(Raw_Data!D1427))="Uk",PROPER(TRIM(Raw_Data!D1427))="Gb",PROPER(TRIM(Raw_Data!D1427))="United kingdom"),"United Kingdom",PROPER(TRIM(Raw_Data!D1427)))</f>
        <v>United Kingdom</v>
      </c>
      <c r="E1427" s="6" t="s">
        <v>46</v>
      </c>
      <c r="F1427" s="6" t="s">
        <v>94</v>
      </c>
      <c r="G1427" s="6" t="str">
        <f>SUBSTITUTE(Raw_Data!G1427,"Ã©","é")</f>
        <v>Summit Down Gilet</v>
      </c>
      <c r="H1427" s="6">
        <v>1</v>
      </c>
      <c r="I1427" s="6" t="s">
        <v>117</v>
      </c>
      <c r="J1427" s="6" t="s">
        <v>117</v>
      </c>
      <c r="K1427" s="6">
        <v>0.34</v>
      </c>
      <c r="L1427" s="6" t="s">
        <v>42</v>
      </c>
      <c r="M1427" s="6" t="s">
        <v>69</v>
      </c>
      <c r="N1427" s="6"/>
    </row>
    <row r="1428" spans="1:14">
      <c r="A1428" s="6" t="s">
        <v>2647</v>
      </c>
      <c r="B1428" s="7">
        <v>46086</v>
      </c>
      <c r="C1428" s="6" t="s">
        <v>1693</v>
      </c>
      <c r="D1428" s="6" t="str">
        <f>IF(OR(PROPER(TRIM(Raw_Data!D1428))="Uk",PROPER(TRIM(Raw_Data!D1428))="Gb",PROPER(TRIM(Raw_Data!D1428))="United kingdom"),"United Kingdom",PROPER(TRIM(Raw_Data!D1428)))</f>
        <v>United Kingdom</v>
      </c>
      <c r="E1428" s="6" t="s">
        <v>78</v>
      </c>
      <c r="F1428" s="6" t="s">
        <v>29</v>
      </c>
      <c r="G1428" s="6" t="str">
        <f>SUBSTITUTE(Raw_Data!G1428,"Ã©","é")</f>
        <v>Summit Down Gilet</v>
      </c>
      <c r="H1428" s="6">
        <v>3</v>
      </c>
      <c r="I1428" s="6" t="s">
        <v>147</v>
      </c>
      <c r="J1428" s="6" t="s">
        <v>148</v>
      </c>
      <c r="K1428" s="6">
        <v>0.52</v>
      </c>
      <c r="L1428" s="6" t="s">
        <v>33</v>
      </c>
      <c r="M1428" s="6" t="s">
        <v>34</v>
      </c>
      <c r="N1428" s="6"/>
    </row>
    <row r="1429" spans="1:14">
      <c r="A1429" s="6" t="s">
        <v>2648</v>
      </c>
      <c r="B1429" s="7">
        <v>46040</v>
      </c>
      <c r="C1429" s="6" t="s">
        <v>2518</v>
      </c>
      <c r="D1429" s="6" t="str">
        <f>IF(OR(PROPER(TRIM(Raw_Data!D1429))="Uk",PROPER(TRIM(Raw_Data!D1429))="Gb",PROPER(TRIM(Raw_Data!D1429))="United kingdom"),"United Kingdom",PROPER(TRIM(Raw_Data!D1429)))</f>
        <v>Ireland</v>
      </c>
      <c r="E1429" s="6" t="s">
        <v>52</v>
      </c>
      <c r="F1429" s="6" t="s">
        <v>53</v>
      </c>
      <c r="G1429" s="6" t="str">
        <f>SUBSTITUTE(Raw_Data!G1429,"Ã©","é")</f>
        <v>Merino Base Layer</v>
      </c>
      <c r="H1429" s="6">
        <v>1</v>
      </c>
      <c r="I1429" s="6" t="s">
        <v>147</v>
      </c>
      <c r="J1429" s="6" t="s">
        <v>147</v>
      </c>
      <c r="K1429" s="6">
        <v>0.19</v>
      </c>
      <c r="L1429" s="6" t="s">
        <v>42</v>
      </c>
      <c r="M1429" s="6" t="s">
        <v>34</v>
      </c>
      <c r="N1429" s="6"/>
    </row>
    <row r="1430" spans="1:14">
      <c r="A1430" s="6" t="s">
        <v>2649</v>
      </c>
      <c r="B1430" s="7">
        <v>46095</v>
      </c>
      <c r="C1430" s="6" t="s">
        <v>2375</v>
      </c>
      <c r="D1430" s="6" t="str">
        <f>IF(OR(PROPER(TRIM(Raw_Data!D1430))="Uk",PROPER(TRIM(Raw_Data!D1430))="Gb",PROPER(TRIM(Raw_Data!D1430))="United kingdom"),"United Kingdom",PROPER(TRIM(Raw_Data!D1430)))</f>
        <v>France</v>
      </c>
      <c r="E1430" s="6" t="s">
        <v>78</v>
      </c>
      <c r="F1430" s="6" t="s">
        <v>100</v>
      </c>
      <c r="G1430" s="6" t="str">
        <f>SUBSTITUTE(Raw_Data!G1430,"Ã©","é")</f>
        <v>Alpine Jacket</v>
      </c>
      <c r="H1430" s="6">
        <v>1</v>
      </c>
      <c r="I1430" s="6" t="s">
        <v>60</v>
      </c>
      <c r="J1430" s="6" t="s">
        <v>60</v>
      </c>
      <c r="K1430" s="6">
        <v>0.64</v>
      </c>
      <c r="L1430" s="6" t="s">
        <v>42</v>
      </c>
      <c r="M1430" s="6" t="s">
        <v>34</v>
      </c>
      <c r="N1430" s="6"/>
    </row>
    <row r="1431" spans="1:14">
      <c r="A1431" s="6" t="s">
        <v>2650</v>
      </c>
      <c r="B1431" s="7">
        <v>46095</v>
      </c>
      <c r="C1431" s="6" t="s">
        <v>2331</v>
      </c>
      <c r="D1431" s="6" t="str">
        <f>IF(OR(PROPER(TRIM(Raw_Data!D1431))="Uk",PROPER(TRIM(Raw_Data!D1431))="Gb",PROPER(TRIM(Raw_Data!D1431))="United kingdom"),"United Kingdom",PROPER(TRIM(Raw_Data!D1431)))</f>
        <v>Germany</v>
      </c>
      <c r="E1431" s="6" t="s">
        <v>37</v>
      </c>
      <c r="F1431" s="6" t="s">
        <v>38</v>
      </c>
      <c r="G1431" s="6" t="str">
        <f>SUBSTITUTE(Raw_Data!G1431,"Ã©","é")</f>
        <v>Storm Overtrousers</v>
      </c>
      <c r="H1431" s="6">
        <v>1</v>
      </c>
      <c r="I1431" s="6" t="s">
        <v>265</v>
      </c>
      <c r="J1431" s="6" t="s">
        <v>265</v>
      </c>
      <c r="K1431" s="6">
        <v>0.52</v>
      </c>
      <c r="L1431" s="6" t="s">
        <v>42</v>
      </c>
      <c r="M1431" s="6" t="s">
        <v>69</v>
      </c>
      <c r="N1431" s="6"/>
    </row>
    <row r="1432" spans="1:14">
      <c r="A1432" s="6" t="s">
        <v>2651</v>
      </c>
      <c r="B1432" s="7">
        <v>46115</v>
      </c>
      <c r="C1432" s="6" t="s">
        <v>191</v>
      </c>
      <c r="D1432" s="6" t="str">
        <f>IF(OR(PROPER(TRIM(Raw_Data!D1432))="Uk",PROPER(TRIM(Raw_Data!D1432))="Gb",PROPER(TRIM(Raw_Data!D1432))="United kingdom"),"United Kingdom",PROPER(TRIM(Raw_Data!D1432)))</f>
        <v>United Kingdom</v>
      </c>
      <c r="E1432" s="6" t="s">
        <v>46</v>
      </c>
      <c r="F1432" s="6" t="s">
        <v>53</v>
      </c>
      <c r="G1432" s="6" t="str">
        <f>SUBSTITUTE(Raw_Data!G1432,"Ã©","é")</f>
        <v>Storm Overtrousers</v>
      </c>
      <c r="H1432" s="6">
        <v>2</v>
      </c>
      <c r="I1432" s="6" t="s">
        <v>113</v>
      </c>
      <c r="J1432" s="6" t="s">
        <v>192</v>
      </c>
      <c r="K1432" s="6">
        <v>0.19</v>
      </c>
      <c r="L1432" s="6" t="s">
        <v>33</v>
      </c>
      <c r="M1432" s="6" t="s">
        <v>34</v>
      </c>
      <c r="N1432" s="6"/>
    </row>
    <row r="1433" spans="1:14">
      <c r="A1433" s="6" t="s">
        <v>2652</v>
      </c>
      <c r="B1433" s="7">
        <v>46134</v>
      </c>
      <c r="C1433" s="6" t="s">
        <v>2653</v>
      </c>
      <c r="D1433" s="6" t="str">
        <f>IF(OR(PROPER(TRIM(Raw_Data!D1433))="Uk",PROPER(TRIM(Raw_Data!D1433))="Gb",PROPER(TRIM(Raw_Data!D1433))="United kingdom"),"United Kingdom",PROPER(TRIM(Raw_Data!D1433)))</f>
        <v>United Kingdom</v>
      </c>
      <c r="E1433" s="6" t="s">
        <v>46</v>
      </c>
      <c r="F1433" s="6" t="s">
        <v>47</v>
      </c>
      <c r="G1433" s="6" t="str">
        <f>SUBSTITUTE(Raw_Data!G1433,"Ã©","é")</f>
        <v>Storm Overtrousers</v>
      </c>
      <c r="H1433" s="6">
        <v>2</v>
      </c>
      <c r="I1433" s="6" t="s">
        <v>619</v>
      </c>
      <c r="J1433" s="6" t="s">
        <v>144</v>
      </c>
      <c r="K1433" s="6">
        <v>8.5000000000000006E-2</v>
      </c>
      <c r="L1433" s="6" t="s">
        <v>33</v>
      </c>
      <c r="M1433" s="6" t="s">
        <v>34</v>
      </c>
      <c r="N1433" s="6"/>
    </row>
    <row r="1434" spans="1:14">
      <c r="A1434" s="6" t="s">
        <v>2654</v>
      </c>
      <c r="B1434" s="7">
        <v>46052</v>
      </c>
      <c r="C1434" s="6" t="s">
        <v>1172</v>
      </c>
      <c r="D1434" s="6" t="str">
        <f>IF(OR(PROPER(TRIM(Raw_Data!D1434))="Uk",PROPER(TRIM(Raw_Data!D1434))="Gb",PROPER(TRIM(Raw_Data!D1434))="United kingdom"),"United Kingdom",PROPER(TRIM(Raw_Data!D1434)))</f>
        <v>France</v>
      </c>
      <c r="E1434" s="6" t="s">
        <v>78</v>
      </c>
      <c r="F1434" s="6" t="s">
        <v>47</v>
      </c>
      <c r="G1434" s="6" t="str">
        <f>SUBSTITUTE(Raw_Data!G1434,"Ã©","é")</f>
        <v>Fell Runner Cap</v>
      </c>
      <c r="H1434" s="6">
        <v>2</v>
      </c>
      <c r="I1434" s="6" t="s">
        <v>31</v>
      </c>
      <c r="J1434" s="6" t="s">
        <v>249</v>
      </c>
      <c r="K1434" s="6">
        <v>8.5000000000000006E-2</v>
      </c>
      <c r="L1434" s="6" t="s">
        <v>42</v>
      </c>
      <c r="M1434" s="6" t="s">
        <v>69</v>
      </c>
      <c r="N1434" s="6"/>
    </row>
    <row r="1435" spans="1:14">
      <c r="A1435" s="6" t="s">
        <v>2655</v>
      </c>
      <c r="B1435" s="7">
        <v>46169</v>
      </c>
      <c r="C1435" s="6" t="s">
        <v>752</v>
      </c>
      <c r="D1435" s="6" t="str">
        <f>IF(OR(PROPER(TRIM(Raw_Data!D1435))="Uk",PROPER(TRIM(Raw_Data!D1435))="Gb",PROPER(TRIM(Raw_Data!D1435))="United kingdom"),"United Kingdom",PROPER(TRIM(Raw_Data!D1435)))</f>
        <v>Ireland</v>
      </c>
      <c r="E1435" s="6" t="s">
        <v>37</v>
      </c>
      <c r="F1435" s="6" t="s">
        <v>85</v>
      </c>
      <c r="G1435" s="6" t="str">
        <f>SUBSTITUTE(Raw_Data!G1435,"Ã©","é")</f>
        <v>Café Latte Mug</v>
      </c>
      <c r="H1435" s="6">
        <v>1</v>
      </c>
      <c r="I1435" s="6" t="s">
        <v>117</v>
      </c>
      <c r="J1435" s="6" t="s">
        <v>117</v>
      </c>
      <c r="K1435" s="6">
        <v>0.41</v>
      </c>
      <c r="L1435" s="6" t="s">
        <v>42</v>
      </c>
      <c r="M1435" s="6" t="s">
        <v>69</v>
      </c>
      <c r="N1435" s="6"/>
    </row>
    <row r="1436" spans="1:14">
      <c r="A1436" s="6" t="s">
        <v>2657</v>
      </c>
      <c r="B1436" s="7">
        <v>46194</v>
      </c>
      <c r="C1436" s="6" t="s">
        <v>425</v>
      </c>
      <c r="D1436" s="6" t="str">
        <f>IF(OR(PROPER(TRIM(Raw_Data!D1436))="Uk",PROPER(TRIM(Raw_Data!D1436))="Gb",PROPER(TRIM(Raw_Data!D1436))="United kingdom"),"United Kingdom",PROPER(TRIM(Raw_Data!D1436)))</f>
        <v>United Kingdom</v>
      </c>
      <c r="E1436" s="6" t="s">
        <v>52</v>
      </c>
      <c r="F1436" s="6" t="s">
        <v>100</v>
      </c>
      <c r="G1436" s="6" t="str">
        <f>SUBSTITUTE(Raw_Data!G1436,"Ã©","é")</f>
        <v>Trekking Poles</v>
      </c>
      <c r="H1436" s="6">
        <v>1</v>
      </c>
      <c r="I1436" s="6" t="s">
        <v>231</v>
      </c>
      <c r="J1436" s="6" t="s">
        <v>231</v>
      </c>
      <c r="K1436" s="6">
        <v>0.64</v>
      </c>
      <c r="L1436" s="6" t="s">
        <v>42</v>
      </c>
      <c r="M1436" s="6" t="s">
        <v>34</v>
      </c>
      <c r="N1436" s="6"/>
    </row>
    <row r="1437" spans="1:14">
      <c r="A1437" s="6" t="s">
        <v>2658</v>
      </c>
      <c r="B1437" s="7">
        <v>46142</v>
      </c>
      <c r="C1437" s="6" t="s">
        <v>517</v>
      </c>
      <c r="D1437" s="6" t="str">
        <f>IF(OR(PROPER(TRIM(Raw_Data!D1437))="Uk",PROPER(TRIM(Raw_Data!D1437))="Gb",PROPER(TRIM(Raw_Data!D1437))="United kingdom"),"United Kingdom",PROPER(TRIM(Raw_Data!D1437)))</f>
        <v>United Kingdom</v>
      </c>
      <c r="E1437" s="6" t="s">
        <v>37</v>
      </c>
      <c r="F1437" s="6" t="s">
        <v>29</v>
      </c>
      <c r="G1437" s="6" t="str">
        <f>SUBSTITUTE(Raw_Data!G1437,"Ã©","é")</f>
        <v>Café Latte Mug</v>
      </c>
      <c r="H1437" s="6">
        <v>1</v>
      </c>
      <c r="I1437" s="6" t="s">
        <v>31</v>
      </c>
      <c r="J1437" s="6" t="s">
        <v>31</v>
      </c>
      <c r="K1437" s="6">
        <v>0.52</v>
      </c>
      <c r="L1437" s="6" t="s">
        <v>42</v>
      </c>
      <c r="M1437" s="6" t="s">
        <v>34</v>
      </c>
      <c r="N1437" s="6"/>
    </row>
    <row r="1438" spans="1:14">
      <c r="A1438" s="6" t="s">
        <v>2659</v>
      </c>
      <c r="B1438" s="7">
        <v>46164</v>
      </c>
      <c r="C1438" s="6" t="s">
        <v>503</v>
      </c>
      <c r="D1438" s="6" t="str">
        <f>IF(OR(PROPER(TRIM(Raw_Data!D1438))="Uk",PROPER(TRIM(Raw_Data!D1438))="Gb",PROPER(TRIM(Raw_Data!D1438))="United kingdom"),"United Kingdom",PROPER(TRIM(Raw_Data!D1438)))</f>
        <v>United Kingdom</v>
      </c>
      <c r="E1438" s="6" t="s">
        <v>78</v>
      </c>
      <c r="F1438" s="6" t="s">
        <v>100</v>
      </c>
      <c r="G1438" s="6" t="str">
        <f>SUBSTITUTE(Raw_Data!G1438,"Ã©","é")</f>
        <v>Merino Base Layer</v>
      </c>
      <c r="H1438" s="6">
        <v>3</v>
      </c>
      <c r="I1438" s="6" t="s">
        <v>31</v>
      </c>
      <c r="J1438" s="6" t="s">
        <v>337</v>
      </c>
      <c r="K1438" s="6">
        <v>0.64</v>
      </c>
      <c r="L1438" s="6" t="s">
        <v>42</v>
      </c>
      <c r="M1438" s="6" t="s">
        <v>34</v>
      </c>
      <c r="N1438" s="6"/>
    </row>
    <row r="1439" spans="1:14">
      <c r="A1439" s="6" t="s">
        <v>2660</v>
      </c>
      <c r="B1439" s="7">
        <v>46209</v>
      </c>
      <c r="C1439" s="6" t="s">
        <v>2661</v>
      </c>
      <c r="D1439" s="6" t="str">
        <f>IF(OR(PROPER(TRIM(Raw_Data!D1439))="Uk",PROPER(TRIM(Raw_Data!D1439))="Gb",PROPER(TRIM(Raw_Data!D1439))="United kingdom"),"United Kingdom",PROPER(TRIM(Raw_Data!D1439)))</f>
        <v>United Kingdom</v>
      </c>
      <c r="E1439" s="6" t="s">
        <v>28</v>
      </c>
      <c r="F1439" s="6" t="s">
        <v>47</v>
      </c>
      <c r="G1439" s="6" t="str">
        <f>SUBSTITUTE(Raw_Data!G1439,"Ã©","é")</f>
        <v>Trail Softshell</v>
      </c>
      <c r="H1439" s="6">
        <v>-1</v>
      </c>
      <c r="I1439" s="6" t="s">
        <v>1013</v>
      </c>
      <c r="J1439" s="8" t="s">
        <v>135</v>
      </c>
      <c r="K1439" s="6">
        <v>8.5000000000000006E-2</v>
      </c>
      <c r="L1439" s="6" t="s">
        <v>33</v>
      </c>
      <c r="M1439" s="6" t="s">
        <v>34</v>
      </c>
      <c r="N1439" s="6"/>
    </row>
    <row r="1440" spans="1:14">
      <c r="A1440" s="6" t="s">
        <v>2662</v>
      </c>
      <c r="B1440" s="7">
        <v>46187</v>
      </c>
      <c r="C1440" s="6" t="s">
        <v>2113</v>
      </c>
      <c r="D1440" s="6" t="str">
        <f>IF(OR(PROPER(TRIM(Raw_Data!D1440))="Uk",PROPER(TRIM(Raw_Data!D1440))="Gb",PROPER(TRIM(Raw_Data!D1440))="United kingdom"),"United Kingdom",PROPER(TRIM(Raw_Data!D1440)))</f>
        <v>Ireland</v>
      </c>
      <c r="E1440" s="6" t="s">
        <v>78</v>
      </c>
      <c r="F1440" s="6" t="s">
        <v>85</v>
      </c>
      <c r="G1440" s="6" t="str">
        <f>SUBSTITUTE(Raw_Data!G1440,"Ã©","é")</f>
        <v>Storm Overtrousers</v>
      </c>
      <c r="H1440" s="6">
        <v>1</v>
      </c>
      <c r="I1440" s="6" t="s">
        <v>31</v>
      </c>
      <c r="J1440" s="6" t="s">
        <v>31</v>
      </c>
      <c r="K1440" s="6">
        <v>0.41</v>
      </c>
      <c r="L1440" s="6" t="s">
        <v>42</v>
      </c>
      <c r="M1440" s="6" t="s">
        <v>34</v>
      </c>
      <c r="N1440" s="6"/>
    </row>
    <row r="1441" spans="1:14">
      <c r="A1441" s="6" t="s">
        <v>2664</v>
      </c>
      <c r="B1441" s="7">
        <v>46132</v>
      </c>
      <c r="C1441" s="6" t="s">
        <v>2382</v>
      </c>
      <c r="D1441" s="6" t="str">
        <f>IF(OR(PROPER(TRIM(Raw_Data!D1441))="Uk",PROPER(TRIM(Raw_Data!D1441))="Gb",PROPER(TRIM(Raw_Data!D1441))="United kingdom"),"United Kingdom",PROPER(TRIM(Raw_Data!D1441)))</f>
        <v>United Kingdom</v>
      </c>
      <c r="E1441" s="6" t="s">
        <v>78</v>
      </c>
      <c r="F1441" s="6" t="s">
        <v>53</v>
      </c>
      <c r="G1441" s="6" t="str">
        <f>SUBSTITUTE(Raw_Data!G1441,"Ã©","é")</f>
        <v>Café Latte Mug</v>
      </c>
      <c r="H1441" s="6">
        <v>2</v>
      </c>
      <c r="I1441" s="6" t="s">
        <v>265</v>
      </c>
      <c r="J1441" s="6" t="s">
        <v>167</v>
      </c>
      <c r="K1441" s="6">
        <v>0.19</v>
      </c>
      <c r="L1441" s="6" t="s">
        <v>33</v>
      </c>
      <c r="M1441" s="6" t="s">
        <v>34</v>
      </c>
      <c r="N1441" s="6"/>
    </row>
    <row r="1442" spans="1:14">
      <c r="A1442" s="6" t="s">
        <v>2665</v>
      </c>
      <c r="B1442" s="7">
        <v>46043</v>
      </c>
      <c r="C1442" s="6" t="s">
        <v>532</v>
      </c>
      <c r="D1442" s="6" t="str">
        <f>IF(OR(PROPER(TRIM(Raw_Data!D1442))="Uk",PROPER(TRIM(Raw_Data!D1442))="Gb",PROPER(TRIM(Raw_Data!D1442))="United kingdom"),"United Kingdom",PROPER(TRIM(Raw_Data!D1442)))</f>
        <v>Germany</v>
      </c>
      <c r="E1442" s="6" t="s">
        <v>78</v>
      </c>
      <c r="F1442" s="6" t="s">
        <v>53</v>
      </c>
      <c r="G1442" s="6" t="str">
        <f>SUBSTITUTE(Raw_Data!G1442,"Ã©","é")</f>
        <v>Trekking Poles</v>
      </c>
      <c r="H1442" s="6">
        <v>1</v>
      </c>
      <c r="I1442" s="6" t="s">
        <v>2666</v>
      </c>
      <c r="J1442" s="6" t="s">
        <v>67</v>
      </c>
      <c r="K1442" s="6">
        <v>0.19</v>
      </c>
      <c r="L1442" s="6" t="s">
        <v>42</v>
      </c>
      <c r="M1442" s="6" t="s">
        <v>69</v>
      </c>
      <c r="N1442" s="6"/>
    </row>
    <row r="1443" spans="1:14">
      <c r="A1443" s="6" t="s">
        <v>2667</v>
      </c>
      <c r="B1443" s="7">
        <v>46128</v>
      </c>
      <c r="C1443" s="6" t="s">
        <v>2668</v>
      </c>
      <c r="D1443" s="6" t="str">
        <f>IF(OR(PROPER(TRIM(Raw_Data!D1443))="Uk",PROPER(TRIM(Raw_Data!D1443))="Gb",PROPER(TRIM(Raw_Data!D1443))="United kingdom"),"United Kingdom",PROPER(TRIM(Raw_Data!D1443)))</f>
        <v>Ireland</v>
      </c>
      <c r="E1443" s="6" t="s">
        <v>46</v>
      </c>
      <c r="F1443" s="6" t="s">
        <v>85</v>
      </c>
      <c r="G1443" s="6" t="str">
        <f>SUBSTITUTE(Raw_Data!G1443,"Ã©","é")</f>
        <v>Merino Base Layer</v>
      </c>
      <c r="H1443" s="6">
        <v>1</v>
      </c>
      <c r="I1443" s="6" t="s">
        <v>40</v>
      </c>
      <c r="J1443" s="6" t="s">
        <v>40</v>
      </c>
      <c r="K1443" s="6">
        <v>0.41</v>
      </c>
      <c r="L1443" s="6" t="s">
        <v>42</v>
      </c>
      <c r="M1443" s="6" t="s">
        <v>69</v>
      </c>
      <c r="N1443" s="6"/>
    </row>
    <row r="1444" spans="1:14">
      <c r="A1444" s="6" t="s">
        <v>2669</v>
      </c>
      <c r="B1444" s="7">
        <v>46209</v>
      </c>
      <c r="C1444" s="6" t="s">
        <v>1386</v>
      </c>
      <c r="D1444" s="6" t="str">
        <f>IF(OR(PROPER(TRIM(Raw_Data!D1444))="Uk",PROPER(TRIM(Raw_Data!D1444))="Gb",PROPER(TRIM(Raw_Data!D1444))="United kingdom"),"United Kingdom",PROPER(TRIM(Raw_Data!D1444)))</f>
        <v>United Kingdom</v>
      </c>
      <c r="E1444" s="6" t="s">
        <v>28</v>
      </c>
      <c r="F1444" s="6" t="s">
        <v>47</v>
      </c>
      <c r="G1444" s="6" t="str">
        <f>SUBSTITUTE(Raw_Data!G1444,"Ã©","é")</f>
        <v>Alpine Jacket</v>
      </c>
      <c r="H1444" s="6">
        <v>2</v>
      </c>
      <c r="I1444" s="6" t="s">
        <v>60</v>
      </c>
      <c r="J1444" s="6" t="s">
        <v>189</v>
      </c>
      <c r="K1444" s="6">
        <v>8.5000000000000006E-2</v>
      </c>
      <c r="L1444" s="6" t="s">
        <v>42</v>
      </c>
      <c r="M1444" s="6" t="s">
        <v>34</v>
      </c>
      <c r="N1444" s="6"/>
    </row>
    <row r="1445" spans="1:14">
      <c r="A1445" s="6" t="s">
        <v>2670</v>
      </c>
      <c r="B1445" s="7">
        <v>46204</v>
      </c>
      <c r="C1445" s="6" t="s">
        <v>2671</v>
      </c>
      <c r="D1445" s="6" t="str">
        <f>IF(OR(PROPER(TRIM(Raw_Data!D1445))="Uk",PROPER(TRIM(Raw_Data!D1445))="Gb",PROPER(TRIM(Raw_Data!D1445))="United kingdom"),"United Kingdom",PROPER(TRIM(Raw_Data!D1445)))</f>
        <v>Ireland</v>
      </c>
      <c r="E1445" s="6" t="s">
        <v>78</v>
      </c>
      <c r="F1445" s="6" t="s">
        <v>29</v>
      </c>
      <c r="G1445" s="6" t="str">
        <f>SUBSTITUTE(Raw_Data!G1445,"Ã©","é")</f>
        <v>Trail Softshell</v>
      </c>
      <c r="H1445" s="6">
        <v>2</v>
      </c>
      <c r="I1445" s="6" t="s">
        <v>231</v>
      </c>
      <c r="J1445" s="6" t="s">
        <v>232</v>
      </c>
      <c r="K1445" s="6">
        <v>0.52</v>
      </c>
      <c r="L1445" s="6" t="s">
        <v>42</v>
      </c>
      <c r="M1445" s="6" t="s">
        <v>34</v>
      </c>
      <c r="N1445" s="6"/>
    </row>
    <row r="1446" spans="1:14">
      <c r="A1446" s="6" t="s">
        <v>2672</v>
      </c>
      <c r="B1446" s="7">
        <v>46071</v>
      </c>
      <c r="C1446" s="6" t="s">
        <v>938</v>
      </c>
      <c r="D1446" s="6" t="str">
        <f>IF(OR(PROPER(TRIM(Raw_Data!D1446))="Uk",PROPER(TRIM(Raw_Data!D1446))="Gb",PROPER(TRIM(Raw_Data!D1446))="United kingdom"),"United Kingdom",PROPER(TRIM(Raw_Data!D1446)))</f>
        <v>United Kingdom</v>
      </c>
      <c r="E1446" s="6" t="s">
        <v>52</v>
      </c>
      <c r="F1446" s="6" t="s">
        <v>38</v>
      </c>
      <c r="G1446" s="6" t="str">
        <f>SUBSTITUTE(Raw_Data!G1446,"Ã©","é")</f>
        <v>Merino Base Layer</v>
      </c>
      <c r="H1446" s="6">
        <v>3</v>
      </c>
      <c r="I1446" s="6" t="s">
        <v>73</v>
      </c>
      <c r="J1446" s="6" t="s">
        <v>499</v>
      </c>
      <c r="K1446" s="6">
        <v>0.52</v>
      </c>
      <c r="L1446" s="6" t="s">
        <v>33</v>
      </c>
      <c r="M1446" s="6" t="s">
        <v>69</v>
      </c>
      <c r="N1446" s="6"/>
    </row>
    <row r="1447" spans="1:14">
      <c r="A1447" s="6" t="s">
        <v>2673</v>
      </c>
      <c r="B1447" s="7">
        <v>46179</v>
      </c>
      <c r="C1447" s="6" t="s">
        <v>841</v>
      </c>
      <c r="D1447" s="6" t="str">
        <f>IF(OR(PROPER(TRIM(Raw_Data!D1447))="Uk",PROPER(TRIM(Raw_Data!D1447))="Gb",PROPER(TRIM(Raw_Data!D1447))="United kingdom"),"United Kingdom",PROPER(TRIM(Raw_Data!D1447)))</f>
        <v>United Kingdom</v>
      </c>
      <c r="E1447" s="6" t="s">
        <v>46</v>
      </c>
      <c r="F1447" s="6" t="s">
        <v>29</v>
      </c>
      <c r="G1447" s="6" t="str">
        <f>SUBSTITUTE(Raw_Data!G1447,"Ã©","é")</f>
        <v>Fell Runner Cap</v>
      </c>
      <c r="H1447" s="6">
        <v>1</v>
      </c>
      <c r="I1447" s="6" t="s">
        <v>31</v>
      </c>
      <c r="J1447" s="6" t="s">
        <v>31</v>
      </c>
      <c r="K1447" s="6">
        <v>0.52</v>
      </c>
      <c r="L1447" s="6" t="s">
        <v>33</v>
      </c>
      <c r="M1447" s="6" t="s">
        <v>69</v>
      </c>
      <c r="N1447" s="6"/>
    </row>
    <row r="1448" spans="1:14">
      <c r="A1448" s="6" t="s">
        <v>2674</v>
      </c>
      <c r="B1448" s="7">
        <v>46097</v>
      </c>
      <c r="C1448" s="6" t="s">
        <v>2675</v>
      </c>
      <c r="D1448" s="6" t="str">
        <f>IF(OR(PROPER(TRIM(Raw_Data!D1448))="Uk",PROPER(TRIM(Raw_Data!D1448))="Gb",PROPER(TRIM(Raw_Data!D1448))="United kingdom"),"United Kingdom",PROPER(TRIM(Raw_Data!D1448)))</f>
        <v>United Kingdom</v>
      </c>
      <c r="E1448" s="6" t="s">
        <v>78</v>
      </c>
      <c r="F1448" s="6" t="s">
        <v>85</v>
      </c>
      <c r="G1448" s="6" t="str">
        <f>SUBSTITUTE(Raw_Data!G1448,"Ã©","é")</f>
        <v>Fell Runner Cap</v>
      </c>
      <c r="H1448" s="6">
        <v>2</v>
      </c>
      <c r="I1448" s="6" t="s">
        <v>181</v>
      </c>
      <c r="J1448" s="6" t="s">
        <v>163</v>
      </c>
      <c r="K1448" s="6">
        <v>0.41</v>
      </c>
      <c r="L1448" s="6" t="s">
        <v>42</v>
      </c>
      <c r="M1448" s="6" t="s">
        <v>34</v>
      </c>
      <c r="N1448" s="6"/>
    </row>
    <row r="1449" spans="1:14">
      <c r="A1449" s="6" t="s">
        <v>2676</v>
      </c>
      <c r="B1449" s="7">
        <v>46362</v>
      </c>
      <c r="C1449" s="6" t="s">
        <v>156</v>
      </c>
      <c r="D1449" s="6" t="str">
        <f>IF(OR(PROPER(TRIM(Raw_Data!D1449))="Uk",PROPER(TRIM(Raw_Data!D1449))="Gb",PROPER(TRIM(Raw_Data!D1449))="United kingdom"),"United Kingdom",PROPER(TRIM(Raw_Data!D1449)))</f>
        <v>United Kingdom</v>
      </c>
      <c r="E1449" s="6" t="s">
        <v>78</v>
      </c>
      <c r="F1449" s="6" t="s">
        <v>38</v>
      </c>
      <c r="G1449" s="6" t="str">
        <f>SUBSTITUTE(Raw_Data!G1449,"Ã©","é")</f>
        <v>Storm Overtrousers</v>
      </c>
      <c r="H1449" s="6">
        <v>3</v>
      </c>
      <c r="I1449" s="6" t="s">
        <v>40</v>
      </c>
      <c r="J1449" s="6" t="s">
        <v>579</v>
      </c>
      <c r="K1449" s="6">
        <v>0.52</v>
      </c>
      <c r="L1449" s="6" t="s">
        <v>42</v>
      </c>
      <c r="M1449" s="6" t="s">
        <v>69</v>
      </c>
      <c r="N1449" s="6"/>
    </row>
    <row r="1450" spans="1:14">
      <c r="A1450" s="6" t="s">
        <v>2677</v>
      </c>
      <c r="B1450" s="7">
        <v>46203</v>
      </c>
      <c r="C1450" s="6" t="s">
        <v>828</v>
      </c>
      <c r="D1450" s="6" t="str">
        <f>IF(OR(PROPER(TRIM(Raw_Data!D1450))="Uk",PROPER(TRIM(Raw_Data!D1450))="Gb",PROPER(TRIM(Raw_Data!D1450))="United kingdom"),"United Kingdom",PROPER(TRIM(Raw_Data!D1450)))</f>
        <v>Ireland</v>
      </c>
      <c r="E1450" s="6" t="s">
        <v>28</v>
      </c>
      <c r="F1450" s="6" t="s">
        <v>53</v>
      </c>
      <c r="G1450" s="6" t="str">
        <f>SUBSTITUTE(Raw_Data!G1450,"Ã©","é")</f>
        <v>Alpine Jacket</v>
      </c>
      <c r="H1450" s="6">
        <v>1</v>
      </c>
      <c r="I1450" s="6" t="s">
        <v>31</v>
      </c>
      <c r="J1450" s="6" t="s">
        <v>31</v>
      </c>
      <c r="K1450" s="6">
        <v>0.19</v>
      </c>
      <c r="L1450" s="6" t="s">
        <v>42</v>
      </c>
      <c r="M1450" s="6" t="s">
        <v>69</v>
      </c>
      <c r="N1450" s="6"/>
    </row>
    <row r="1451" spans="1:14">
      <c r="A1451" s="6" t="s">
        <v>2678</v>
      </c>
      <c r="B1451" s="7">
        <v>46051</v>
      </c>
      <c r="C1451" s="6" t="s">
        <v>339</v>
      </c>
      <c r="D1451" s="6" t="str">
        <f>IF(OR(PROPER(TRIM(Raw_Data!D1451))="Uk",PROPER(TRIM(Raw_Data!D1451))="Gb",PROPER(TRIM(Raw_Data!D1451))="United kingdom"),"United Kingdom",PROPER(TRIM(Raw_Data!D1451)))</f>
        <v>United Kingdom</v>
      </c>
      <c r="E1451" s="6" t="s">
        <v>46</v>
      </c>
      <c r="F1451" s="6" t="s">
        <v>94</v>
      </c>
      <c r="G1451" s="6" t="str">
        <f>SUBSTITUTE(Raw_Data!G1451,"Ã©","é")</f>
        <v>Trekking Poles</v>
      </c>
      <c r="H1451" s="6">
        <v>1</v>
      </c>
      <c r="I1451" s="6" t="s">
        <v>231</v>
      </c>
      <c r="J1451" s="6" t="s">
        <v>231</v>
      </c>
      <c r="K1451" s="6">
        <v>0.34</v>
      </c>
      <c r="L1451" s="6" t="s">
        <v>33</v>
      </c>
      <c r="M1451" s="6" t="s">
        <v>34</v>
      </c>
      <c r="N1451" s="6"/>
    </row>
    <row r="1452" spans="1:14">
      <c r="A1452" s="6" t="s">
        <v>2679</v>
      </c>
      <c r="B1452" s="7">
        <v>46096</v>
      </c>
      <c r="C1452" s="6" t="s">
        <v>2520</v>
      </c>
      <c r="D1452" s="6" t="str">
        <f>IF(OR(PROPER(TRIM(Raw_Data!D1452))="Uk",PROPER(TRIM(Raw_Data!D1452))="Gb",PROPER(TRIM(Raw_Data!D1452))="United kingdom"),"United Kingdom",PROPER(TRIM(Raw_Data!D1452)))</f>
        <v>United Kingdom</v>
      </c>
      <c r="E1452" s="6" t="s">
        <v>46</v>
      </c>
      <c r="F1452" s="6" t="s">
        <v>53</v>
      </c>
      <c r="G1452" s="6" t="str">
        <f>SUBSTITUTE(Raw_Data!G1452,"Ã©","é")</f>
        <v>Alpine Jacket</v>
      </c>
      <c r="H1452" s="6">
        <v>1</v>
      </c>
      <c r="I1452" s="6" t="s">
        <v>265</v>
      </c>
      <c r="J1452" s="6" t="s">
        <v>265</v>
      </c>
      <c r="K1452" s="6">
        <v>0.19</v>
      </c>
      <c r="L1452" s="6" t="s">
        <v>42</v>
      </c>
      <c r="M1452" s="6" t="s">
        <v>34</v>
      </c>
      <c r="N1452" s="6"/>
    </row>
    <row r="1453" spans="1:14">
      <c r="A1453" s="6" t="s">
        <v>2680</v>
      </c>
      <c r="B1453" s="7">
        <v>46162</v>
      </c>
      <c r="C1453" s="6" t="s">
        <v>2681</v>
      </c>
      <c r="D1453" s="6" t="str">
        <f>IF(OR(PROPER(TRIM(Raw_Data!D1453))="Uk",PROPER(TRIM(Raw_Data!D1453))="Gb",PROPER(TRIM(Raw_Data!D1453))="United kingdom"),"United Kingdom",PROPER(TRIM(Raw_Data!D1453)))</f>
        <v>Germany</v>
      </c>
      <c r="E1453" s="6" t="s">
        <v>46</v>
      </c>
      <c r="F1453" s="6" t="s">
        <v>100</v>
      </c>
      <c r="G1453" s="6" t="str">
        <f>SUBSTITUTE(Raw_Data!G1453,"Ã©","é")</f>
        <v>Fell Runner Cap</v>
      </c>
      <c r="H1453" s="6">
        <v>3</v>
      </c>
      <c r="I1453" s="6" t="s">
        <v>265</v>
      </c>
      <c r="J1453" s="6" t="s">
        <v>401</v>
      </c>
      <c r="K1453" s="6">
        <v>0.64</v>
      </c>
      <c r="L1453" s="6" t="s">
        <v>42</v>
      </c>
      <c r="M1453" s="6" t="s">
        <v>34</v>
      </c>
      <c r="N1453" s="6"/>
    </row>
    <row r="1454" spans="1:14">
      <c r="A1454" s="6" t="s">
        <v>2682</v>
      </c>
      <c r="B1454" s="7">
        <v>46145</v>
      </c>
      <c r="C1454" s="6" t="s">
        <v>2683</v>
      </c>
      <c r="D1454" s="6" t="str">
        <f>IF(OR(PROPER(TRIM(Raw_Data!D1454))="Uk",PROPER(TRIM(Raw_Data!D1454))="Gb",PROPER(TRIM(Raw_Data!D1454))="United kingdom"),"United Kingdom",PROPER(TRIM(Raw_Data!D1454)))</f>
        <v>United Kingdom</v>
      </c>
      <c r="E1454" s="6" t="s">
        <v>46</v>
      </c>
      <c r="F1454" s="6" t="s">
        <v>94</v>
      </c>
      <c r="G1454" s="6" t="str">
        <f>SUBSTITUTE(Raw_Data!G1454,"Ã©","é")</f>
        <v>Storm Overtrousers</v>
      </c>
      <c r="H1454" s="6">
        <v>-2</v>
      </c>
      <c r="I1454" s="6" t="s">
        <v>73</v>
      </c>
      <c r="J1454" s="8" t="s">
        <v>2684</v>
      </c>
      <c r="K1454" s="6">
        <v>0.34</v>
      </c>
      <c r="L1454" s="6" t="s">
        <v>42</v>
      </c>
      <c r="M1454" s="6" t="s">
        <v>34</v>
      </c>
      <c r="N1454" s="6"/>
    </row>
    <row r="1455" spans="1:14">
      <c r="A1455" s="6" t="s">
        <v>2685</v>
      </c>
      <c r="B1455" s="7">
        <v>46177</v>
      </c>
      <c r="C1455" s="6" t="s">
        <v>2119</v>
      </c>
      <c r="D1455" s="6" t="str">
        <f>IF(OR(PROPER(TRIM(Raw_Data!D1455))="Uk",PROPER(TRIM(Raw_Data!D1455))="Gb",PROPER(TRIM(Raw_Data!D1455))="United kingdom"),"United Kingdom",PROPER(TRIM(Raw_Data!D1455)))</f>
        <v>United Kingdom</v>
      </c>
      <c r="E1455" s="6" t="s">
        <v>46</v>
      </c>
      <c r="F1455" s="6" t="s">
        <v>53</v>
      </c>
      <c r="G1455" s="6" t="str">
        <f>SUBSTITUTE(Raw_Data!G1455,"Ã©","é")</f>
        <v>Merino Base Layer</v>
      </c>
      <c r="H1455" s="6">
        <v>2</v>
      </c>
      <c r="I1455" s="6" t="s">
        <v>60</v>
      </c>
      <c r="J1455" s="6" t="s">
        <v>189</v>
      </c>
      <c r="K1455" s="6">
        <v>0.19</v>
      </c>
      <c r="L1455" s="6" t="s">
        <v>42</v>
      </c>
      <c r="M1455" s="6" t="s">
        <v>34</v>
      </c>
      <c r="N1455" s="6"/>
    </row>
    <row r="1456" spans="1:14">
      <c r="A1456" s="6" t="s">
        <v>2686</v>
      </c>
      <c r="B1456" s="7">
        <v>46140</v>
      </c>
      <c r="C1456" s="6" t="s">
        <v>2687</v>
      </c>
      <c r="D1456" s="6" t="str">
        <f>IF(OR(PROPER(TRIM(Raw_Data!D1456))="Uk",PROPER(TRIM(Raw_Data!D1456))="Gb",PROPER(TRIM(Raw_Data!D1456))="United kingdom"),"United Kingdom",PROPER(TRIM(Raw_Data!D1456)))</f>
        <v>United Kingdom</v>
      </c>
      <c r="E1456" s="6" t="s">
        <v>37</v>
      </c>
      <c r="F1456" s="6" t="s">
        <v>38</v>
      </c>
      <c r="G1456" s="6" t="str">
        <f>SUBSTITUTE(Raw_Data!G1456,"Ã©","é")</f>
        <v>Merino Base Layer</v>
      </c>
      <c r="H1456" s="6">
        <v>1</v>
      </c>
      <c r="I1456" s="6" t="s">
        <v>31</v>
      </c>
      <c r="J1456" s="6" t="s">
        <v>31</v>
      </c>
      <c r="K1456" s="6">
        <v>0.52</v>
      </c>
      <c r="L1456" s="6" t="s">
        <v>42</v>
      </c>
      <c r="M1456" s="6" t="s">
        <v>34</v>
      </c>
      <c r="N1456" s="6"/>
    </row>
    <row r="1457" spans="1:14">
      <c r="A1457" s="6" t="s">
        <v>2688</v>
      </c>
      <c r="B1457" s="7">
        <v>46189</v>
      </c>
      <c r="C1457" s="6" t="s">
        <v>610</v>
      </c>
      <c r="D1457" s="6" t="str">
        <f>IF(OR(PROPER(TRIM(Raw_Data!D1457))="Uk",PROPER(TRIM(Raw_Data!D1457))="Gb",PROPER(TRIM(Raw_Data!D1457))="United kingdom"),"United Kingdom",PROPER(TRIM(Raw_Data!D1457)))</f>
        <v>France</v>
      </c>
      <c r="E1457" s="6" t="s">
        <v>52</v>
      </c>
      <c r="F1457" s="6" t="s">
        <v>100</v>
      </c>
      <c r="G1457" s="6" t="str">
        <f>SUBSTITUTE(Raw_Data!G1457,"Ã©","é")</f>
        <v>Storm Overtrousers</v>
      </c>
      <c r="H1457" s="6">
        <v>3</v>
      </c>
      <c r="I1457" s="6" t="s">
        <v>60</v>
      </c>
      <c r="J1457" s="6" t="s">
        <v>268</v>
      </c>
      <c r="K1457" s="6">
        <v>0.64</v>
      </c>
      <c r="L1457" s="6" t="s">
        <v>42</v>
      </c>
      <c r="M1457" s="6" t="s">
        <v>34</v>
      </c>
      <c r="N1457" s="6"/>
    </row>
    <row r="1458" spans="1:14">
      <c r="A1458" s="6" t="s">
        <v>2689</v>
      </c>
      <c r="B1458" s="7">
        <v>46178</v>
      </c>
      <c r="C1458" s="6" t="s">
        <v>1634</v>
      </c>
      <c r="D1458" s="6" t="str">
        <f>IF(OR(PROPER(TRIM(Raw_Data!D1458))="Uk",PROPER(TRIM(Raw_Data!D1458))="Gb",PROPER(TRIM(Raw_Data!D1458))="United kingdom"),"United Kingdom",PROPER(TRIM(Raw_Data!D1458)))</f>
        <v>France</v>
      </c>
      <c r="E1458" s="6" t="s">
        <v>52</v>
      </c>
      <c r="F1458" s="6" t="s">
        <v>38</v>
      </c>
      <c r="G1458" s="6" t="str">
        <f>SUBSTITUTE(Raw_Data!G1458,"Ã©","é")</f>
        <v>Fell Runner Cap</v>
      </c>
      <c r="H1458" s="6">
        <v>1</v>
      </c>
      <c r="I1458" s="6" t="s">
        <v>265</v>
      </c>
      <c r="J1458" s="6" t="s">
        <v>265</v>
      </c>
      <c r="K1458" s="6">
        <v>0.52</v>
      </c>
      <c r="L1458" s="6" t="s">
        <v>42</v>
      </c>
      <c r="M1458" s="6" t="s">
        <v>34</v>
      </c>
      <c r="N1458" s="6"/>
    </row>
    <row r="1459" spans="1:14">
      <c r="A1459" s="6" t="s">
        <v>2690</v>
      </c>
      <c r="B1459" s="7">
        <v>46103</v>
      </c>
      <c r="C1459" s="6" t="s">
        <v>2691</v>
      </c>
      <c r="D1459" s="6" t="str">
        <f>IF(OR(PROPER(TRIM(Raw_Data!D1459))="Uk",PROPER(TRIM(Raw_Data!D1459))="Gb",PROPER(TRIM(Raw_Data!D1459))="United kingdom"),"United Kingdom",PROPER(TRIM(Raw_Data!D1459)))</f>
        <v>Ireland</v>
      </c>
      <c r="E1459" s="6" t="s">
        <v>78</v>
      </c>
      <c r="F1459" s="6" t="s">
        <v>29</v>
      </c>
      <c r="G1459" s="6" t="str">
        <f>SUBSTITUTE(Raw_Data!G1459,"Ã©","é")</f>
        <v>Trekking Poles</v>
      </c>
      <c r="H1459" s="6">
        <v>2</v>
      </c>
      <c r="I1459" s="6" t="s">
        <v>79</v>
      </c>
      <c r="J1459" s="6" t="s">
        <v>259</v>
      </c>
      <c r="K1459" s="6">
        <v>0.52</v>
      </c>
      <c r="L1459" s="6" t="s">
        <v>33</v>
      </c>
      <c r="M1459" s="6" t="s">
        <v>34</v>
      </c>
      <c r="N1459" s="6"/>
    </row>
    <row r="1460" spans="1:14">
      <c r="A1460" s="6" t="s">
        <v>2692</v>
      </c>
      <c r="B1460" s="7">
        <v>46330</v>
      </c>
      <c r="C1460" s="6" t="s">
        <v>414</v>
      </c>
      <c r="D1460" s="6" t="str">
        <f>IF(OR(PROPER(TRIM(Raw_Data!D1460))="Uk",PROPER(TRIM(Raw_Data!D1460))="Gb",PROPER(TRIM(Raw_Data!D1460))="United kingdom"),"United Kingdom",PROPER(TRIM(Raw_Data!D1460)))</f>
        <v>United Kingdom</v>
      </c>
      <c r="E1460" s="6" t="s">
        <v>78</v>
      </c>
      <c r="F1460" s="6" t="s">
        <v>94</v>
      </c>
      <c r="G1460" s="6" t="str">
        <f>SUBSTITUTE(Raw_Data!G1460,"Ã©","é")</f>
        <v>Trail Softshell</v>
      </c>
      <c r="H1460" s="6">
        <v>2</v>
      </c>
      <c r="I1460" s="6" t="s">
        <v>113</v>
      </c>
      <c r="J1460" s="6" t="s">
        <v>192</v>
      </c>
      <c r="K1460" s="6">
        <v>0.34</v>
      </c>
      <c r="L1460" s="6" t="s">
        <v>42</v>
      </c>
      <c r="M1460" s="6" t="s">
        <v>34</v>
      </c>
      <c r="N1460" s="6"/>
    </row>
    <row r="1461" spans="1:14">
      <c r="A1461" s="6" t="s">
        <v>2693</v>
      </c>
      <c r="B1461" s="7">
        <v>46189</v>
      </c>
      <c r="C1461" s="6" t="s">
        <v>345</v>
      </c>
      <c r="D1461" s="6" t="str">
        <f>IF(OR(PROPER(TRIM(Raw_Data!D1461))="Uk",PROPER(TRIM(Raw_Data!D1461))="Gb",PROPER(TRIM(Raw_Data!D1461))="United kingdom"),"United Kingdom",PROPER(TRIM(Raw_Data!D1461)))</f>
        <v>United Kingdom</v>
      </c>
      <c r="E1461" s="6" t="s">
        <v>78</v>
      </c>
      <c r="F1461" s="6" t="s">
        <v>29</v>
      </c>
      <c r="G1461" s="6" t="str">
        <f>SUBSTITUTE(Raw_Data!G1461,"Ã©","é")</f>
        <v>Trekking Poles</v>
      </c>
      <c r="H1461" s="6">
        <v>1</v>
      </c>
      <c r="I1461" s="6" t="s">
        <v>31</v>
      </c>
      <c r="J1461" s="6" t="s">
        <v>31</v>
      </c>
      <c r="K1461" s="6">
        <v>0.52</v>
      </c>
      <c r="L1461" s="6" t="s">
        <v>42</v>
      </c>
      <c r="M1461" s="6" t="s">
        <v>34</v>
      </c>
      <c r="N1461" s="6"/>
    </row>
    <row r="1462" spans="1:14">
      <c r="A1462" s="6" t="s">
        <v>2694</v>
      </c>
      <c r="B1462" s="7">
        <v>46071</v>
      </c>
      <c r="C1462" s="6" t="s">
        <v>2695</v>
      </c>
      <c r="D1462" s="6" t="str">
        <f>IF(OR(PROPER(TRIM(Raw_Data!D1462))="Uk",PROPER(TRIM(Raw_Data!D1462))="Gb",PROPER(TRIM(Raw_Data!D1462))="United kingdom"),"United Kingdom",PROPER(TRIM(Raw_Data!D1462)))</f>
        <v>Ireland</v>
      </c>
      <c r="E1462" s="6" t="s">
        <v>37</v>
      </c>
      <c r="F1462" s="6" t="s">
        <v>29</v>
      </c>
      <c r="G1462" s="6" t="str">
        <f>SUBSTITUTE(Raw_Data!G1462,"Ã©","é")</f>
        <v>Storm Overtrousers</v>
      </c>
      <c r="H1462" s="6">
        <v>1</v>
      </c>
      <c r="I1462" s="6" t="s">
        <v>60</v>
      </c>
      <c r="J1462" s="6" t="s">
        <v>60</v>
      </c>
      <c r="K1462" s="6">
        <v>0.52</v>
      </c>
      <c r="L1462" s="6" t="s">
        <v>42</v>
      </c>
      <c r="M1462" s="6" t="s">
        <v>34</v>
      </c>
      <c r="N1462" s="6"/>
    </row>
    <row r="1463" spans="1:14">
      <c r="A1463" s="6" t="s">
        <v>2696</v>
      </c>
      <c r="B1463" s="7">
        <v>46027</v>
      </c>
      <c r="C1463" s="6" t="s">
        <v>1151</v>
      </c>
      <c r="D1463" s="6" t="str">
        <f>IF(OR(PROPER(TRIM(Raw_Data!D1463))="Uk",PROPER(TRIM(Raw_Data!D1463))="Gb",PROPER(TRIM(Raw_Data!D1463))="United kingdom"),"United Kingdom",PROPER(TRIM(Raw_Data!D1463)))</f>
        <v>France</v>
      </c>
      <c r="E1463" s="6" t="s">
        <v>52</v>
      </c>
      <c r="F1463" s="6" t="s">
        <v>94</v>
      </c>
      <c r="G1463" s="6" t="str">
        <f>SUBSTITUTE(Raw_Data!G1463,"Ã©","é")</f>
        <v>Trail Softshell</v>
      </c>
      <c r="H1463" s="6">
        <v>3</v>
      </c>
      <c r="I1463" s="6" t="s">
        <v>113</v>
      </c>
      <c r="J1463" s="6" t="s">
        <v>138</v>
      </c>
      <c r="K1463" s="6">
        <v>0.34</v>
      </c>
      <c r="L1463" s="6" t="s">
        <v>42</v>
      </c>
      <c r="M1463" s="6" t="s">
        <v>34</v>
      </c>
      <c r="N1463" s="6"/>
    </row>
    <row r="1464" spans="1:14">
      <c r="A1464" s="6" t="s">
        <v>2697</v>
      </c>
      <c r="B1464" s="7">
        <v>46068</v>
      </c>
      <c r="C1464" s="6" t="s">
        <v>1722</v>
      </c>
      <c r="D1464" s="6" t="str">
        <f>IF(OR(PROPER(TRIM(Raw_Data!D1464))="Uk",PROPER(TRIM(Raw_Data!D1464))="Gb",PROPER(TRIM(Raw_Data!D1464))="United kingdom"),"United Kingdom",PROPER(TRIM(Raw_Data!D1464)))</f>
        <v>France</v>
      </c>
      <c r="E1464" s="6" t="s">
        <v>78</v>
      </c>
      <c r="F1464" s="6" t="s">
        <v>38</v>
      </c>
      <c r="G1464" s="6" t="str">
        <f>SUBSTITUTE(Raw_Data!G1464,"Ã©","é")</f>
        <v>Merino Base Layer</v>
      </c>
      <c r="H1464" s="6">
        <v>1</v>
      </c>
      <c r="I1464" s="6" t="s">
        <v>265</v>
      </c>
      <c r="J1464" s="6" t="s">
        <v>265</v>
      </c>
      <c r="K1464" s="6">
        <v>0.52</v>
      </c>
      <c r="L1464" s="6" t="s">
        <v>42</v>
      </c>
      <c r="M1464" s="6" t="s">
        <v>34</v>
      </c>
      <c r="N1464" s="6"/>
    </row>
    <row r="1465" spans="1:14">
      <c r="A1465" s="6" t="s">
        <v>2698</v>
      </c>
      <c r="B1465" s="7">
        <v>46328</v>
      </c>
      <c r="C1465" s="6" t="s">
        <v>602</v>
      </c>
      <c r="D1465" s="6" t="str">
        <f>IF(OR(PROPER(TRIM(Raw_Data!D1465))="Uk",PROPER(TRIM(Raw_Data!D1465))="Gb",PROPER(TRIM(Raw_Data!D1465))="United kingdom"),"United Kingdom",PROPER(TRIM(Raw_Data!D1465)))</f>
        <v>United Kingdom</v>
      </c>
      <c r="E1465" s="6" t="s">
        <v>78</v>
      </c>
      <c r="F1465" s="6" t="s">
        <v>94</v>
      </c>
      <c r="G1465" s="6" t="str">
        <f>SUBSTITUTE(Raw_Data!G1465,"Ã©","é")</f>
        <v>Café Latte Mug</v>
      </c>
      <c r="H1465" s="6">
        <v>2</v>
      </c>
      <c r="I1465" s="6" t="s">
        <v>90</v>
      </c>
      <c r="J1465" s="6" t="s">
        <v>154</v>
      </c>
      <c r="K1465" s="6">
        <v>0.34</v>
      </c>
      <c r="L1465" s="6" t="s">
        <v>42</v>
      </c>
      <c r="M1465" s="6" t="s">
        <v>34</v>
      </c>
      <c r="N1465" s="6"/>
    </row>
    <row r="1466" spans="1:14">
      <c r="A1466" s="6" t="s">
        <v>2699</v>
      </c>
      <c r="B1466" s="7">
        <v>46119</v>
      </c>
      <c r="C1466" s="6" t="s">
        <v>1842</v>
      </c>
      <c r="D1466" s="6" t="str">
        <f>IF(OR(PROPER(TRIM(Raw_Data!D1466))="Uk",PROPER(TRIM(Raw_Data!D1466))="Gb",PROPER(TRIM(Raw_Data!D1466))="United kingdom"),"United Kingdom",PROPER(TRIM(Raw_Data!D1466)))</f>
        <v>France</v>
      </c>
      <c r="E1466" s="6" t="s">
        <v>46</v>
      </c>
      <c r="F1466" s="6" t="s">
        <v>53</v>
      </c>
      <c r="G1466" s="6" t="str">
        <f>SUBSTITUTE(Raw_Data!G1466,"Ã©","é")</f>
        <v>Merino Base Layer</v>
      </c>
      <c r="H1466" s="6">
        <v>3</v>
      </c>
      <c r="I1466" s="6" t="s">
        <v>117</v>
      </c>
      <c r="J1466" s="6" t="s">
        <v>171</v>
      </c>
      <c r="K1466" s="6">
        <v>0.19</v>
      </c>
      <c r="L1466" s="6" t="s">
        <v>33</v>
      </c>
      <c r="M1466" s="6" t="s">
        <v>34</v>
      </c>
      <c r="N1466" s="6"/>
    </row>
    <row r="1467" spans="1:14">
      <c r="A1467" s="6" t="s">
        <v>2700</v>
      </c>
      <c r="B1467" s="7">
        <v>46204</v>
      </c>
      <c r="C1467" s="6" t="s">
        <v>2701</v>
      </c>
      <c r="D1467" s="6" t="str">
        <f>IF(OR(PROPER(TRIM(Raw_Data!D1467))="Uk",PROPER(TRIM(Raw_Data!D1467))="Gb",PROPER(TRIM(Raw_Data!D1467))="United kingdom"),"United Kingdom",PROPER(TRIM(Raw_Data!D1467)))</f>
        <v>United Kingdom</v>
      </c>
      <c r="E1467" s="6" t="s">
        <v>46</v>
      </c>
      <c r="F1467" s="6" t="s">
        <v>38</v>
      </c>
      <c r="G1467" s="6" t="str">
        <f>SUBSTITUTE(Raw_Data!G1467,"Ã©","é")</f>
        <v>Alpine Jacket</v>
      </c>
      <c r="H1467" s="6">
        <v>2</v>
      </c>
      <c r="I1467" s="6" t="s">
        <v>265</v>
      </c>
      <c r="J1467" s="6" t="s">
        <v>167</v>
      </c>
      <c r="K1467" s="6">
        <v>0.52</v>
      </c>
      <c r="L1467" s="6" t="s">
        <v>33</v>
      </c>
      <c r="M1467" s="6" t="s">
        <v>34</v>
      </c>
      <c r="N1467" s="6"/>
    </row>
    <row r="1468" spans="1:14">
      <c r="A1468" s="6" t="s">
        <v>2702</v>
      </c>
      <c r="B1468" s="7">
        <v>46357</v>
      </c>
      <c r="C1468" s="6" t="s">
        <v>381</v>
      </c>
      <c r="D1468" s="6" t="str">
        <f>IF(OR(PROPER(TRIM(Raw_Data!D1468))="Uk",PROPER(TRIM(Raw_Data!D1468))="Gb",PROPER(TRIM(Raw_Data!D1468))="United kingdom"),"United Kingdom",PROPER(TRIM(Raw_Data!D1468)))</f>
        <v>Germany</v>
      </c>
      <c r="E1468" s="6" t="s">
        <v>78</v>
      </c>
      <c r="F1468" s="6" t="s">
        <v>53</v>
      </c>
      <c r="G1468" s="6" t="str">
        <f>SUBSTITUTE(Raw_Data!G1468,"Ã©","é")</f>
        <v>Café Latte Mug</v>
      </c>
      <c r="H1468" s="6">
        <v>2</v>
      </c>
      <c r="I1468" s="6" t="s">
        <v>79</v>
      </c>
      <c r="J1468" s="6" t="s">
        <v>259</v>
      </c>
      <c r="K1468" s="6">
        <v>0.19</v>
      </c>
      <c r="L1468" s="6" t="s">
        <v>42</v>
      </c>
      <c r="M1468" s="6" t="s">
        <v>69</v>
      </c>
      <c r="N1468" s="6"/>
    </row>
    <row r="1469" spans="1:14">
      <c r="A1469" s="6" t="s">
        <v>2703</v>
      </c>
      <c r="B1469" s="7">
        <v>46045</v>
      </c>
      <c r="C1469" s="6" t="s">
        <v>1030</v>
      </c>
      <c r="D1469" s="6" t="str">
        <f>IF(OR(PROPER(TRIM(Raw_Data!D1469))="Uk",PROPER(TRIM(Raw_Data!D1469))="Gb",PROPER(TRIM(Raw_Data!D1469))="United kingdom"),"United Kingdom",PROPER(TRIM(Raw_Data!D1469)))</f>
        <v>Ireland</v>
      </c>
      <c r="E1469" s="6" t="s">
        <v>28</v>
      </c>
      <c r="F1469" s="6" t="s">
        <v>100</v>
      </c>
      <c r="G1469" s="6" t="str">
        <f>SUBSTITUTE(Raw_Data!G1469,"Ã©","é")</f>
        <v>Merino Base Layer</v>
      </c>
      <c r="H1469" s="6">
        <v>1</v>
      </c>
      <c r="I1469" s="6" t="s">
        <v>1224</v>
      </c>
      <c r="J1469" s="6" t="s">
        <v>117</v>
      </c>
      <c r="K1469" s="6">
        <v>0.64</v>
      </c>
      <c r="L1469" s="6" t="s">
        <v>42</v>
      </c>
      <c r="M1469" s="6" t="s">
        <v>34</v>
      </c>
      <c r="N1469" s="6"/>
    </row>
    <row r="1470" spans="1:14">
      <c r="A1470" s="6" t="s">
        <v>2704</v>
      </c>
      <c r="B1470" s="7">
        <v>46072</v>
      </c>
      <c r="C1470" s="6" t="s">
        <v>949</v>
      </c>
      <c r="D1470" s="6" t="str">
        <f>IF(OR(PROPER(TRIM(Raw_Data!D1470))="Uk",PROPER(TRIM(Raw_Data!D1470))="Gb",PROPER(TRIM(Raw_Data!D1470))="United kingdom"),"United Kingdom",PROPER(TRIM(Raw_Data!D1470)))</f>
        <v>Germany</v>
      </c>
      <c r="E1470" s="6" t="s">
        <v>78</v>
      </c>
      <c r="F1470" s="6" t="s">
        <v>47</v>
      </c>
      <c r="G1470" s="6" t="str">
        <f>SUBSTITUTE(Raw_Data!G1470,"Ã©","é")</f>
        <v>Trail Softshell</v>
      </c>
      <c r="H1470" s="6">
        <v>1</v>
      </c>
      <c r="I1470" s="6" t="s">
        <v>265</v>
      </c>
      <c r="J1470" s="6" t="s">
        <v>265</v>
      </c>
      <c r="K1470" s="6">
        <v>8.5000000000000006E-2</v>
      </c>
      <c r="L1470" s="6" t="s">
        <v>42</v>
      </c>
      <c r="M1470" s="6" t="s">
        <v>34</v>
      </c>
      <c r="N1470" s="6"/>
    </row>
    <row r="1471" spans="1:14">
      <c r="A1471" s="6" t="s">
        <v>2705</v>
      </c>
      <c r="B1471" s="7">
        <v>46024</v>
      </c>
      <c r="C1471" s="6" t="s">
        <v>1935</v>
      </c>
      <c r="D1471" s="6" t="str">
        <f>IF(OR(PROPER(TRIM(Raw_Data!D1471))="Uk",PROPER(TRIM(Raw_Data!D1471))="Gb",PROPER(TRIM(Raw_Data!D1471))="United kingdom"),"United Kingdom",PROPER(TRIM(Raw_Data!D1471)))</f>
        <v>United Kingdom</v>
      </c>
      <c r="E1471" s="6" t="s">
        <v>78</v>
      </c>
      <c r="F1471" s="6" t="s">
        <v>29</v>
      </c>
      <c r="G1471" s="6" t="str">
        <f>SUBSTITUTE(Raw_Data!G1471,"Ã©","é")</f>
        <v>Alpine Jacket</v>
      </c>
      <c r="H1471" s="6">
        <v>2</v>
      </c>
      <c r="I1471" s="6" t="s">
        <v>181</v>
      </c>
      <c r="J1471" s="6" t="s">
        <v>163</v>
      </c>
      <c r="K1471" s="6">
        <v>0.52</v>
      </c>
      <c r="L1471" s="6" t="s">
        <v>42</v>
      </c>
      <c r="M1471" s="6" t="s">
        <v>34</v>
      </c>
      <c r="N1471" s="6"/>
    </row>
    <row r="1472" spans="1:14">
      <c r="A1472" s="6" t="s">
        <v>2706</v>
      </c>
      <c r="B1472" s="7">
        <v>46169</v>
      </c>
      <c r="C1472" s="6" t="s">
        <v>2707</v>
      </c>
      <c r="D1472" s="6" t="str">
        <f>IF(OR(PROPER(TRIM(Raw_Data!D1472))="Uk",PROPER(TRIM(Raw_Data!D1472))="Gb",PROPER(TRIM(Raw_Data!D1472))="United kingdom"),"United Kingdom",PROPER(TRIM(Raw_Data!D1472)))</f>
        <v>United Kingdom</v>
      </c>
      <c r="E1472" s="6" t="s">
        <v>78</v>
      </c>
      <c r="F1472" s="6" t="s">
        <v>58</v>
      </c>
      <c r="G1472" s="6" t="str">
        <f>SUBSTITUTE(Raw_Data!G1472,"Ã©","é")</f>
        <v>Trail Softshell</v>
      </c>
      <c r="H1472" s="6">
        <v>2</v>
      </c>
      <c r="I1472" s="6" t="s">
        <v>265</v>
      </c>
      <c r="J1472" s="6" t="s">
        <v>167</v>
      </c>
      <c r="K1472" s="6">
        <v>0.38</v>
      </c>
      <c r="L1472" s="6" t="s">
        <v>42</v>
      </c>
      <c r="M1472" s="6" t="s">
        <v>34</v>
      </c>
      <c r="N1472" s="6"/>
    </row>
    <row r="1473" spans="1:14">
      <c r="A1473" s="6" t="s">
        <v>2708</v>
      </c>
      <c r="B1473" s="7">
        <v>46069</v>
      </c>
      <c r="C1473" s="6" t="s">
        <v>833</v>
      </c>
      <c r="D1473" s="6" t="str">
        <f>IF(OR(PROPER(TRIM(Raw_Data!D1473))="Uk",PROPER(TRIM(Raw_Data!D1473))="Gb",PROPER(TRIM(Raw_Data!D1473))="United kingdom"),"United Kingdom",PROPER(TRIM(Raw_Data!D1473)))</f>
        <v>Ireland</v>
      </c>
      <c r="E1473" s="6" t="s">
        <v>28</v>
      </c>
      <c r="F1473" s="6" t="s">
        <v>100</v>
      </c>
      <c r="G1473" s="6" t="str">
        <f>SUBSTITUTE(Raw_Data!G1473,"Ã©","é")</f>
        <v>Trekking Poles</v>
      </c>
      <c r="H1473" s="6">
        <v>1</v>
      </c>
      <c r="I1473" s="6" t="s">
        <v>67</v>
      </c>
      <c r="J1473" s="6" t="s">
        <v>67</v>
      </c>
      <c r="K1473" s="6">
        <v>0.64</v>
      </c>
      <c r="L1473" s="6" t="s">
        <v>42</v>
      </c>
      <c r="M1473" s="6" t="s">
        <v>34</v>
      </c>
      <c r="N1473" s="6"/>
    </row>
    <row r="1474" spans="1:14">
      <c r="A1474" s="6" t="s">
        <v>2709</v>
      </c>
      <c r="B1474" s="7">
        <v>46178</v>
      </c>
      <c r="C1474" s="6" t="s">
        <v>410</v>
      </c>
      <c r="D1474" s="6" t="str">
        <f>IF(OR(PROPER(TRIM(Raw_Data!D1474))="Uk",PROPER(TRIM(Raw_Data!D1474))="Gb",PROPER(TRIM(Raw_Data!D1474))="United kingdom"),"United Kingdom",PROPER(TRIM(Raw_Data!D1474)))</f>
        <v>United Kingdom</v>
      </c>
      <c r="E1474" s="6" t="s">
        <v>52</v>
      </c>
      <c r="F1474" s="6" t="s">
        <v>58</v>
      </c>
      <c r="G1474" s="6" t="str">
        <f>SUBSTITUTE(Raw_Data!G1474,"Ã©","é")</f>
        <v>Café Latte Mug</v>
      </c>
      <c r="H1474" s="6">
        <v>2</v>
      </c>
      <c r="I1474" s="6" t="s">
        <v>660</v>
      </c>
      <c r="J1474" s="6" t="s">
        <v>259</v>
      </c>
      <c r="K1474" s="6">
        <v>0.38</v>
      </c>
      <c r="L1474" s="6" t="s">
        <v>42</v>
      </c>
      <c r="M1474" s="6" t="s">
        <v>34</v>
      </c>
      <c r="N1474" s="6"/>
    </row>
    <row r="1475" spans="1:14">
      <c r="A1475" s="6" t="s">
        <v>2710</v>
      </c>
      <c r="B1475" s="7">
        <v>46185</v>
      </c>
      <c r="C1475" s="6" t="s">
        <v>1232</v>
      </c>
      <c r="D1475" s="6" t="str">
        <f>IF(OR(PROPER(TRIM(Raw_Data!D1475))="Uk",PROPER(TRIM(Raw_Data!D1475))="Gb",PROPER(TRIM(Raw_Data!D1475))="United kingdom"),"United Kingdom",PROPER(TRIM(Raw_Data!D1475)))</f>
        <v>Ireland</v>
      </c>
      <c r="E1475" s="6" t="s">
        <v>78</v>
      </c>
      <c r="F1475" s="6" t="s">
        <v>47</v>
      </c>
      <c r="G1475" s="6" t="str">
        <f>SUBSTITUTE(Raw_Data!G1475,"Ã©","é")</f>
        <v>Trekking Poles</v>
      </c>
      <c r="H1475" s="6">
        <v>1</v>
      </c>
      <c r="I1475" s="6" t="s">
        <v>79</v>
      </c>
      <c r="J1475" s="6" t="s">
        <v>79</v>
      </c>
      <c r="K1475" s="6">
        <v>8.5000000000000006E-2</v>
      </c>
      <c r="L1475" s="6" t="s">
        <v>42</v>
      </c>
      <c r="M1475" s="6" t="s">
        <v>69</v>
      </c>
      <c r="N1475" s="6"/>
    </row>
    <row r="1476" spans="1:14">
      <c r="A1476" s="6" t="s">
        <v>2711</v>
      </c>
      <c r="B1476" s="7">
        <v>46153</v>
      </c>
      <c r="C1476" s="6" t="s">
        <v>2712</v>
      </c>
      <c r="D1476" s="6" t="str">
        <f>IF(OR(PROPER(TRIM(Raw_Data!D1476))="Uk",PROPER(TRIM(Raw_Data!D1476))="Gb",PROPER(TRIM(Raw_Data!D1476))="United kingdom"),"United Kingdom",PROPER(TRIM(Raw_Data!D1476)))</f>
        <v>United Kingdom</v>
      </c>
      <c r="E1476" s="6" t="s">
        <v>28</v>
      </c>
      <c r="F1476" s="6" t="s">
        <v>85</v>
      </c>
      <c r="G1476" s="6" t="str">
        <f>SUBSTITUTE(Raw_Data!G1476,"Ã©","é")</f>
        <v>Trekking Poles</v>
      </c>
      <c r="H1476" s="6">
        <v>1</v>
      </c>
      <c r="I1476" s="6" t="s">
        <v>40</v>
      </c>
      <c r="J1476" s="6" t="s">
        <v>40</v>
      </c>
      <c r="K1476" s="6">
        <v>0.41</v>
      </c>
      <c r="L1476" s="6" t="s">
        <v>42</v>
      </c>
      <c r="M1476" s="6" t="s">
        <v>34</v>
      </c>
      <c r="N1476" s="6"/>
    </row>
    <row r="1477" spans="1:14">
      <c r="A1477" s="6" t="s">
        <v>2713</v>
      </c>
      <c r="B1477" s="7">
        <v>46112</v>
      </c>
      <c r="C1477" s="6" t="s">
        <v>1854</v>
      </c>
      <c r="D1477" s="6" t="str">
        <f>IF(OR(PROPER(TRIM(Raw_Data!D1477))="Uk",PROPER(TRIM(Raw_Data!D1477))="Gb",PROPER(TRIM(Raw_Data!D1477))="United kingdom"),"United Kingdom",PROPER(TRIM(Raw_Data!D1477)))</f>
        <v>France</v>
      </c>
      <c r="E1477" s="6" t="s">
        <v>46</v>
      </c>
      <c r="F1477" s="6" t="s">
        <v>29</v>
      </c>
      <c r="G1477" s="6" t="str">
        <f>SUBSTITUTE(Raw_Data!G1477,"Ã©","é")</f>
        <v>Café Latte Mug</v>
      </c>
      <c r="H1477" s="6">
        <v>1</v>
      </c>
      <c r="I1477" s="6" t="s">
        <v>117</v>
      </c>
      <c r="J1477" s="6" t="s">
        <v>117</v>
      </c>
      <c r="K1477" s="6">
        <v>0.52</v>
      </c>
      <c r="L1477" s="6" t="s">
        <v>42</v>
      </c>
      <c r="M1477" s="6" t="s">
        <v>34</v>
      </c>
      <c r="N1477" s="6"/>
    </row>
    <row r="1478" spans="1:14">
      <c r="A1478" s="6" t="s">
        <v>2714</v>
      </c>
      <c r="B1478" s="7">
        <v>46204</v>
      </c>
      <c r="C1478" s="6" t="s">
        <v>2715</v>
      </c>
      <c r="D1478" s="6" t="str">
        <f>IF(OR(PROPER(TRIM(Raw_Data!D1478))="Uk",PROPER(TRIM(Raw_Data!D1478))="Gb",PROPER(TRIM(Raw_Data!D1478))="United kingdom"),"United Kingdom",PROPER(TRIM(Raw_Data!D1478)))</f>
        <v>United Kingdom</v>
      </c>
      <c r="E1478" s="6" t="s">
        <v>78</v>
      </c>
      <c r="F1478" s="6" t="s">
        <v>47</v>
      </c>
      <c r="G1478" s="6" t="str">
        <f>SUBSTITUTE(Raw_Data!G1478,"Ã©","é")</f>
        <v>Trail Softshell</v>
      </c>
      <c r="H1478" s="6">
        <v>1</v>
      </c>
      <c r="I1478" s="6" t="s">
        <v>203</v>
      </c>
      <c r="J1478" s="6" t="s">
        <v>67</v>
      </c>
      <c r="K1478" s="6">
        <v>8.5000000000000006E-2</v>
      </c>
      <c r="L1478" s="6" t="s">
        <v>42</v>
      </c>
      <c r="M1478" s="6" t="s">
        <v>34</v>
      </c>
      <c r="N1478" s="6"/>
    </row>
    <row r="1479" spans="1:14">
      <c r="A1479" s="6" t="s">
        <v>2716</v>
      </c>
      <c r="B1479" s="7">
        <v>46037</v>
      </c>
      <c r="C1479" s="6" t="s">
        <v>2717</v>
      </c>
      <c r="D1479" s="6" t="str">
        <f>IF(OR(PROPER(TRIM(Raw_Data!D1479))="Uk",PROPER(TRIM(Raw_Data!D1479))="Gb",PROPER(TRIM(Raw_Data!D1479))="United kingdom"),"United Kingdom",PROPER(TRIM(Raw_Data!D1479)))</f>
        <v>United Kingdom</v>
      </c>
      <c r="E1479" s="6" t="s">
        <v>46</v>
      </c>
      <c r="F1479" s="6" t="s">
        <v>29</v>
      </c>
      <c r="G1479" s="6" t="str">
        <f>SUBSTITUTE(Raw_Data!G1479,"Ã©","é")</f>
        <v>Café Latte Mug</v>
      </c>
      <c r="H1479" s="6">
        <v>1</v>
      </c>
      <c r="I1479" s="6" t="s">
        <v>143</v>
      </c>
      <c r="J1479" s="6" t="s">
        <v>143</v>
      </c>
      <c r="K1479" s="6">
        <v>0.52</v>
      </c>
      <c r="L1479" s="6" t="s">
        <v>42</v>
      </c>
      <c r="M1479" s="6" t="s">
        <v>34</v>
      </c>
      <c r="N1479" s="6"/>
    </row>
    <row r="1480" spans="1:14">
      <c r="A1480" s="6" t="s">
        <v>2718</v>
      </c>
      <c r="B1480" s="7">
        <v>46115</v>
      </c>
      <c r="C1480" s="6" t="s">
        <v>1353</v>
      </c>
      <c r="D1480" s="6" t="str">
        <f>IF(OR(PROPER(TRIM(Raw_Data!D1480))="Uk",PROPER(TRIM(Raw_Data!D1480))="Gb",PROPER(TRIM(Raw_Data!D1480))="United kingdom"),"United Kingdom",PROPER(TRIM(Raw_Data!D1480)))</f>
        <v>United Kingdom</v>
      </c>
      <c r="E1480" s="6" t="s">
        <v>37</v>
      </c>
      <c r="F1480" s="6" t="s">
        <v>100</v>
      </c>
      <c r="G1480" s="6" t="str">
        <f>SUBSTITUTE(Raw_Data!G1480,"Ã©","é")</f>
        <v>Merino Base Layer</v>
      </c>
      <c r="H1480" s="6">
        <v>1</v>
      </c>
      <c r="I1480" s="6" t="s">
        <v>147</v>
      </c>
      <c r="J1480" s="6" t="s">
        <v>147</v>
      </c>
      <c r="K1480" s="6">
        <v>0.64</v>
      </c>
      <c r="L1480" s="6" t="s">
        <v>42</v>
      </c>
      <c r="M1480" s="6" t="s">
        <v>34</v>
      </c>
      <c r="N1480" s="6"/>
    </row>
    <row r="1481" spans="1:14">
      <c r="A1481" s="6" t="s">
        <v>2719</v>
      </c>
      <c r="B1481" s="7">
        <v>46200</v>
      </c>
      <c r="C1481" s="6" t="s">
        <v>1200</v>
      </c>
      <c r="D1481" s="6" t="str">
        <f>IF(OR(PROPER(TRIM(Raw_Data!D1481))="Uk",PROPER(TRIM(Raw_Data!D1481))="Gb",PROPER(TRIM(Raw_Data!D1481))="United kingdom"),"United Kingdom",PROPER(TRIM(Raw_Data!D1481)))</f>
        <v>Germany</v>
      </c>
      <c r="E1481" s="6" t="s">
        <v>37</v>
      </c>
      <c r="F1481" s="6" t="s">
        <v>58</v>
      </c>
      <c r="G1481" s="6" t="str">
        <f>SUBSTITUTE(Raw_Data!G1481,"Ã©","é")</f>
        <v>Trail Softshell</v>
      </c>
      <c r="H1481" s="6">
        <v>1</v>
      </c>
      <c r="I1481" s="6" t="s">
        <v>113</v>
      </c>
      <c r="J1481" s="6" t="s">
        <v>113</v>
      </c>
      <c r="K1481" s="6">
        <v>0.38</v>
      </c>
      <c r="L1481" s="6" t="s">
        <v>42</v>
      </c>
      <c r="M1481" s="6" t="s">
        <v>34</v>
      </c>
      <c r="N1481" s="6"/>
    </row>
    <row r="1482" spans="1:14">
      <c r="A1482" s="6" t="s">
        <v>2720</v>
      </c>
      <c r="B1482" s="7">
        <v>46109</v>
      </c>
      <c r="C1482" s="6" t="s">
        <v>2359</v>
      </c>
      <c r="D1482" s="6" t="str">
        <f>IF(OR(PROPER(TRIM(Raw_Data!D1482))="Uk",PROPER(TRIM(Raw_Data!D1482))="Gb",PROPER(TRIM(Raw_Data!D1482))="United kingdom"),"United Kingdom",PROPER(TRIM(Raw_Data!D1482)))</f>
        <v>Germany</v>
      </c>
      <c r="E1482" s="6" t="s">
        <v>28</v>
      </c>
      <c r="F1482" s="6" t="s">
        <v>100</v>
      </c>
      <c r="G1482" s="6" t="str">
        <f>SUBSTITUTE(Raw_Data!G1482,"Ã©","é")</f>
        <v>Merino Base Layer</v>
      </c>
      <c r="H1482" s="6">
        <v>2</v>
      </c>
      <c r="I1482" s="6" t="s">
        <v>31</v>
      </c>
      <c r="J1482" s="6" t="s">
        <v>249</v>
      </c>
      <c r="K1482" s="6">
        <v>0.64</v>
      </c>
      <c r="L1482" s="6" t="s">
        <v>42</v>
      </c>
      <c r="M1482" s="6" t="s">
        <v>69</v>
      </c>
      <c r="N1482" s="6"/>
    </row>
    <row r="1483" spans="1:14">
      <c r="A1483" s="6" t="s">
        <v>2721</v>
      </c>
      <c r="B1483" s="7">
        <v>46169</v>
      </c>
      <c r="C1483" s="6" t="s">
        <v>36</v>
      </c>
      <c r="D1483" s="6" t="str">
        <f>IF(OR(PROPER(TRIM(Raw_Data!D1483))="Uk",PROPER(TRIM(Raw_Data!D1483))="Gb",PROPER(TRIM(Raw_Data!D1483))="United kingdom"),"United Kingdom",PROPER(TRIM(Raw_Data!D1483)))</f>
        <v>United Kingdom</v>
      </c>
      <c r="E1483" s="6" t="s">
        <v>46</v>
      </c>
      <c r="F1483" s="6" t="s">
        <v>47</v>
      </c>
      <c r="G1483" s="6" t="str">
        <f>SUBSTITUTE(Raw_Data!G1483,"Ã©","é")</f>
        <v>Alpine Jacket</v>
      </c>
      <c r="H1483" s="6">
        <v>3</v>
      </c>
      <c r="I1483" s="6" t="s">
        <v>117</v>
      </c>
      <c r="J1483" s="6" t="s">
        <v>171</v>
      </c>
      <c r="K1483" s="6">
        <v>8.5000000000000006E-2</v>
      </c>
      <c r="L1483" s="6" t="s">
        <v>42</v>
      </c>
      <c r="M1483" s="6" t="s">
        <v>69</v>
      </c>
      <c r="N1483" s="6"/>
    </row>
    <row r="1484" spans="1:14">
      <c r="A1484" s="6" t="s">
        <v>2722</v>
      </c>
      <c r="B1484" s="7">
        <v>46199</v>
      </c>
      <c r="C1484" s="6" t="s">
        <v>2723</v>
      </c>
      <c r="D1484" s="6" t="str">
        <f>IF(OR(PROPER(TRIM(Raw_Data!D1484))="Uk",PROPER(TRIM(Raw_Data!D1484))="Gb",PROPER(TRIM(Raw_Data!D1484))="United kingdom"),"United Kingdom",PROPER(TRIM(Raw_Data!D1484)))</f>
        <v>Germany</v>
      </c>
      <c r="E1484" s="6" t="s">
        <v>37</v>
      </c>
      <c r="F1484" s="6" t="s">
        <v>85</v>
      </c>
      <c r="G1484" s="6" t="str">
        <f>SUBSTITUTE(Raw_Data!G1484,"Ã©","é")</f>
        <v>Fell Runner Cap</v>
      </c>
      <c r="H1484" s="6">
        <v>1</v>
      </c>
      <c r="I1484" s="6" t="s">
        <v>82</v>
      </c>
      <c r="J1484" s="6" t="s">
        <v>82</v>
      </c>
      <c r="K1484" s="6">
        <v>0.41</v>
      </c>
      <c r="L1484" s="6" t="s">
        <v>33</v>
      </c>
      <c r="M1484" s="6" t="s">
        <v>34</v>
      </c>
      <c r="N1484" s="6"/>
    </row>
    <row r="1485" spans="1:14">
      <c r="A1485" s="6" t="s">
        <v>2724</v>
      </c>
      <c r="B1485" s="7">
        <v>46299</v>
      </c>
      <c r="C1485" s="6" t="s">
        <v>1250</v>
      </c>
      <c r="D1485" s="6" t="str">
        <f>IF(OR(PROPER(TRIM(Raw_Data!D1485))="Uk",PROPER(TRIM(Raw_Data!D1485))="Gb",PROPER(TRIM(Raw_Data!D1485))="United kingdom"),"United Kingdom",PROPER(TRIM(Raw_Data!D1485)))</f>
        <v>United Kingdom</v>
      </c>
      <c r="E1485" s="6" t="s">
        <v>78</v>
      </c>
      <c r="F1485" s="6" t="s">
        <v>53</v>
      </c>
      <c r="G1485" s="6" t="str">
        <f>SUBSTITUTE(Raw_Data!G1485,"Ã©","é")</f>
        <v>Trekking Poles</v>
      </c>
      <c r="H1485" s="6">
        <v>1</v>
      </c>
      <c r="I1485" s="6" t="s">
        <v>143</v>
      </c>
      <c r="J1485" s="6" t="s">
        <v>143</v>
      </c>
      <c r="K1485" s="6">
        <v>0.19</v>
      </c>
      <c r="L1485" s="6" t="s">
        <v>42</v>
      </c>
      <c r="M1485" s="6" t="s">
        <v>34</v>
      </c>
      <c r="N1485" s="6"/>
    </row>
    <row r="1486" spans="1:14">
      <c r="A1486" s="6" t="s">
        <v>2725</v>
      </c>
      <c r="B1486" s="7">
        <v>46046</v>
      </c>
      <c r="C1486" s="6" t="s">
        <v>2726</v>
      </c>
      <c r="D1486" s="6" t="str">
        <f>IF(OR(PROPER(TRIM(Raw_Data!D1486))="Uk",PROPER(TRIM(Raw_Data!D1486))="Gb",PROPER(TRIM(Raw_Data!D1486))="United kingdom"),"United Kingdom",PROPER(TRIM(Raw_Data!D1486)))</f>
        <v>United Kingdom</v>
      </c>
      <c r="E1486" s="6" t="s">
        <v>28</v>
      </c>
      <c r="F1486" s="6" t="s">
        <v>38</v>
      </c>
      <c r="G1486" s="6" t="str">
        <f>SUBSTITUTE(Raw_Data!G1486,"Ã©","é")</f>
        <v>Summit Down Gilet</v>
      </c>
      <c r="H1486" s="6">
        <v>1</v>
      </c>
      <c r="I1486" s="6" t="s">
        <v>60</v>
      </c>
      <c r="J1486" s="6" t="s">
        <v>60</v>
      </c>
      <c r="K1486" s="6">
        <v>0.52</v>
      </c>
      <c r="L1486" s="6" t="s">
        <v>33</v>
      </c>
      <c r="M1486" s="6" t="s">
        <v>34</v>
      </c>
      <c r="N1486" s="6"/>
    </row>
    <row r="1487" spans="1:14">
      <c r="A1487" s="6" t="s">
        <v>2727</v>
      </c>
      <c r="B1487" s="7">
        <v>46359</v>
      </c>
      <c r="C1487" s="6" t="s">
        <v>2728</v>
      </c>
      <c r="D1487" s="6" t="str">
        <f>IF(OR(PROPER(TRIM(Raw_Data!D1487))="Uk",PROPER(TRIM(Raw_Data!D1487))="Gb",PROPER(TRIM(Raw_Data!D1487))="United kingdom"),"United Kingdom",PROPER(TRIM(Raw_Data!D1487)))</f>
        <v>United Kingdom</v>
      </c>
      <c r="E1487" s="6" t="s">
        <v>46</v>
      </c>
      <c r="F1487" s="6" t="s">
        <v>47</v>
      </c>
      <c r="G1487" s="6" t="str">
        <f>SUBSTITUTE(Raw_Data!G1487,"Ã©","é")</f>
        <v>Alpine Jacket</v>
      </c>
      <c r="H1487" s="6">
        <v>1</v>
      </c>
      <c r="I1487" s="6" t="s">
        <v>231</v>
      </c>
      <c r="J1487" s="6" t="s">
        <v>2729</v>
      </c>
      <c r="K1487" s="6">
        <v>8.5000000000000006E-2</v>
      </c>
      <c r="L1487" s="6" t="s">
        <v>42</v>
      </c>
      <c r="M1487" s="6" t="s">
        <v>69</v>
      </c>
      <c r="N1487" s="6"/>
    </row>
    <row r="1488" spans="1:14">
      <c r="A1488" s="6" t="s">
        <v>2730</v>
      </c>
      <c r="B1488" s="7">
        <v>46142</v>
      </c>
      <c r="C1488" s="6" t="s">
        <v>1732</v>
      </c>
      <c r="D1488" s="6" t="str">
        <f>IF(OR(PROPER(TRIM(Raw_Data!D1488))="Uk",PROPER(TRIM(Raw_Data!D1488))="Gb",PROPER(TRIM(Raw_Data!D1488))="United kingdom"),"United Kingdom",PROPER(TRIM(Raw_Data!D1488)))</f>
        <v>Ireland</v>
      </c>
      <c r="E1488" s="6" t="s">
        <v>28</v>
      </c>
      <c r="F1488" s="6" t="s">
        <v>38</v>
      </c>
      <c r="G1488" s="6" t="str">
        <f>SUBSTITUTE(Raw_Data!G1488,"Ã©","é")</f>
        <v>Summit Down Gilet</v>
      </c>
      <c r="H1488" s="6">
        <v>1</v>
      </c>
      <c r="I1488" s="6" t="s">
        <v>143</v>
      </c>
      <c r="J1488" s="6" t="s">
        <v>143</v>
      </c>
      <c r="K1488" s="6">
        <v>0.52</v>
      </c>
      <c r="L1488" s="6" t="s">
        <v>42</v>
      </c>
      <c r="M1488" s="6" t="s">
        <v>34</v>
      </c>
      <c r="N1488" s="6"/>
    </row>
    <row r="1489" spans="1:14">
      <c r="A1489" s="6" t="s">
        <v>2731</v>
      </c>
      <c r="B1489" s="7">
        <v>46179</v>
      </c>
      <c r="C1489" s="6" t="s">
        <v>938</v>
      </c>
      <c r="D1489" s="6" t="str">
        <f>IF(OR(PROPER(TRIM(Raw_Data!D1489))="Uk",PROPER(TRIM(Raw_Data!D1489))="Gb",PROPER(TRIM(Raw_Data!D1489))="United kingdom"),"United Kingdom",PROPER(TRIM(Raw_Data!D1489)))</f>
        <v>Ireland</v>
      </c>
      <c r="E1489" s="6" t="s">
        <v>46</v>
      </c>
      <c r="F1489" s="6" t="s">
        <v>58</v>
      </c>
      <c r="G1489" s="6" t="str">
        <f>SUBSTITUTE(Raw_Data!G1489,"Ã©","é")</f>
        <v>Fell Runner Cap</v>
      </c>
      <c r="H1489" s="6">
        <v>1</v>
      </c>
      <c r="I1489" s="6" t="s">
        <v>265</v>
      </c>
      <c r="J1489" s="6" t="s">
        <v>265</v>
      </c>
      <c r="K1489" s="6">
        <v>0.38</v>
      </c>
      <c r="L1489" s="6" t="s">
        <v>42</v>
      </c>
      <c r="M1489" s="6" t="s">
        <v>34</v>
      </c>
      <c r="N1489" s="6"/>
    </row>
    <row r="1490" spans="1:14">
      <c r="A1490" s="6" t="s">
        <v>2732</v>
      </c>
      <c r="B1490" s="7">
        <v>46051</v>
      </c>
      <c r="C1490" s="6" t="s">
        <v>2214</v>
      </c>
      <c r="D1490" s="6" t="str">
        <f>IF(OR(PROPER(TRIM(Raw_Data!D1490))="Uk",PROPER(TRIM(Raw_Data!D1490))="Gb",PROPER(TRIM(Raw_Data!D1490))="United kingdom"),"United Kingdom",PROPER(TRIM(Raw_Data!D1490)))</f>
        <v>United Kingdom</v>
      </c>
      <c r="E1490" s="6" t="s">
        <v>46</v>
      </c>
      <c r="F1490" s="6" t="s">
        <v>38</v>
      </c>
      <c r="G1490" s="6" t="str">
        <f>SUBSTITUTE(Raw_Data!G1490,"Ã©","é")</f>
        <v>Storm Overtrousers</v>
      </c>
      <c r="H1490" s="6">
        <v>1</v>
      </c>
      <c r="I1490" s="6" t="s">
        <v>73</v>
      </c>
      <c r="J1490" s="6" t="s">
        <v>1347</v>
      </c>
      <c r="K1490" s="6">
        <v>0.52</v>
      </c>
      <c r="L1490" s="6" t="s">
        <v>42</v>
      </c>
      <c r="M1490" s="6" t="s">
        <v>34</v>
      </c>
      <c r="N1490" s="6"/>
    </row>
    <row r="1491" spans="1:14">
      <c r="A1491" s="6" t="s">
        <v>2733</v>
      </c>
      <c r="B1491" s="7">
        <v>46076</v>
      </c>
      <c r="C1491" s="6" t="s">
        <v>2014</v>
      </c>
      <c r="D1491" s="6" t="str">
        <f>IF(OR(PROPER(TRIM(Raw_Data!D1491))="Uk",PROPER(TRIM(Raw_Data!D1491))="Gb",PROPER(TRIM(Raw_Data!D1491))="United kingdom"),"United Kingdom",PROPER(TRIM(Raw_Data!D1491)))</f>
        <v>United Kingdom</v>
      </c>
      <c r="E1491" s="6" t="s">
        <v>46</v>
      </c>
      <c r="F1491" s="6" t="s">
        <v>38</v>
      </c>
      <c r="G1491" s="6" t="str">
        <f>SUBSTITUTE(Raw_Data!G1491,"Ã©","é")</f>
        <v>Trekking Poles</v>
      </c>
      <c r="H1491" s="6">
        <v>1</v>
      </c>
      <c r="I1491" s="6" t="s">
        <v>82</v>
      </c>
      <c r="J1491" s="6" t="s">
        <v>82</v>
      </c>
      <c r="K1491" s="6">
        <v>0.52</v>
      </c>
      <c r="L1491" s="6" t="s">
        <v>42</v>
      </c>
      <c r="M1491" s="6" t="s">
        <v>34</v>
      </c>
      <c r="N1491" s="6"/>
    </row>
    <row r="1492" spans="1:14">
      <c r="A1492" s="6" t="s">
        <v>2734</v>
      </c>
      <c r="B1492" s="7">
        <v>46100</v>
      </c>
      <c r="C1492" s="6" t="s">
        <v>36</v>
      </c>
      <c r="D1492" s="6" t="str">
        <f>IF(OR(PROPER(TRIM(Raw_Data!D1492))="Uk",PROPER(TRIM(Raw_Data!D1492))="Gb",PROPER(TRIM(Raw_Data!D1492))="United kingdom"),"United Kingdom",PROPER(TRIM(Raw_Data!D1492)))</f>
        <v>Ireland</v>
      </c>
      <c r="E1492" s="6" t="s">
        <v>46</v>
      </c>
      <c r="F1492" s="6" t="s">
        <v>94</v>
      </c>
      <c r="G1492" s="6" t="str">
        <f>SUBSTITUTE(Raw_Data!G1492,"Ã©","é")</f>
        <v>Fell Runner Cap</v>
      </c>
      <c r="H1492" s="6">
        <v>2</v>
      </c>
      <c r="I1492" s="6" t="s">
        <v>31</v>
      </c>
      <c r="J1492" s="6" t="s">
        <v>249</v>
      </c>
      <c r="K1492" s="6">
        <v>0.34</v>
      </c>
      <c r="L1492" s="6" t="s">
        <v>42</v>
      </c>
      <c r="M1492" s="6" t="s">
        <v>34</v>
      </c>
      <c r="N1492" s="6"/>
    </row>
    <row r="1493" spans="1:14">
      <c r="A1493" s="6" t="s">
        <v>2735</v>
      </c>
      <c r="B1493" s="7">
        <v>46100</v>
      </c>
      <c r="C1493" s="6" t="s">
        <v>2109</v>
      </c>
      <c r="D1493" s="6" t="str">
        <f>IF(OR(PROPER(TRIM(Raw_Data!D1493))="Uk",PROPER(TRIM(Raw_Data!D1493))="Gb",PROPER(TRIM(Raw_Data!D1493))="United kingdom"),"United Kingdom",PROPER(TRIM(Raw_Data!D1493)))</f>
        <v>Germany</v>
      </c>
      <c r="E1493" s="6" t="s">
        <v>28</v>
      </c>
      <c r="F1493" s="6" t="s">
        <v>85</v>
      </c>
      <c r="G1493" s="6" t="str">
        <f>SUBSTITUTE(Raw_Data!G1493,"Ã©","é")</f>
        <v>Trekking Poles</v>
      </c>
      <c r="H1493" s="6">
        <v>1</v>
      </c>
      <c r="I1493" s="6" t="s">
        <v>117</v>
      </c>
      <c r="J1493" s="6" t="s">
        <v>117</v>
      </c>
      <c r="K1493" s="6">
        <v>0.41</v>
      </c>
      <c r="L1493" s="6" t="s">
        <v>33</v>
      </c>
      <c r="M1493" s="6" t="s">
        <v>34</v>
      </c>
      <c r="N1493" s="6"/>
    </row>
    <row r="1494" spans="1:14">
      <c r="A1494" s="6" t="s">
        <v>2736</v>
      </c>
      <c r="B1494" s="7">
        <v>46362</v>
      </c>
      <c r="C1494" s="6" t="s">
        <v>1240</v>
      </c>
      <c r="D1494" s="6" t="str">
        <f>IF(OR(PROPER(TRIM(Raw_Data!D1494))="Uk",PROPER(TRIM(Raw_Data!D1494))="Gb",PROPER(TRIM(Raw_Data!D1494))="United kingdom"),"United Kingdom",PROPER(TRIM(Raw_Data!D1494)))</f>
        <v>Ireland</v>
      </c>
      <c r="E1494" s="6" t="s">
        <v>46</v>
      </c>
      <c r="F1494" s="6" t="s">
        <v>53</v>
      </c>
      <c r="G1494" s="6" t="str">
        <f>SUBSTITUTE(Raw_Data!G1494,"Ã©","é")</f>
        <v>Alpine Jacket</v>
      </c>
      <c r="H1494" s="6">
        <v>2</v>
      </c>
      <c r="I1494" s="6" t="s">
        <v>67</v>
      </c>
      <c r="J1494" s="6" t="s">
        <v>204</v>
      </c>
      <c r="K1494" s="6">
        <v>0.19</v>
      </c>
      <c r="L1494" s="6" t="s">
        <v>42</v>
      </c>
      <c r="M1494" s="6" t="s">
        <v>34</v>
      </c>
      <c r="N1494" s="6"/>
    </row>
    <row r="1495" spans="1:14">
      <c r="A1495" s="6" t="s">
        <v>2737</v>
      </c>
      <c r="B1495" s="7">
        <v>46156</v>
      </c>
      <c r="C1495" s="6" t="s">
        <v>2377</v>
      </c>
      <c r="D1495" s="6" t="str">
        <f>IF(OR(PROPER(TRIM(Raw_Data!D1495))="Uk",PROPER(TRIM(Raw_Data!D1495))="Gb",PROPER(TRIM(Raw_Data!D1495))="United kingdom"),"United Kingdom",PROPER(TRIM(Raw_Data!D1495)))</f>
        <v>United Kingdom</v>
      </c>
      <c r="E1495" s="6" t="s">
        <v>37</v>
      </c>
      <c r="F1495" s="6" t="s">
        <v>47</v>
      </c>
      <c r="G1495" s="6" t="str">
        <f>SUBSTITUTE(Raw_Data!G1495,"Ã©","é")</f>
        <v>Summit Down Gilet</v>
      </c>
      <c r="H1495" s="6">
        <v>1</v>
      </c>
      <c r="I1495" s="6" t="s">
        <v>40</v>
      </c>
      <c r="J1495" s="6" t="s">
        <v>40</v>
      </c>
      <c r="K1495" s="6">
        <v>8.5000000000000006E-2</v>
      </c>
      <c r="L1495" s="6" t="s">
        <v>42</v>
      </c>
      <c r="M1495" s="6" t="s">
        <v>34</v>
      </c>
      <c r="N1495" s="6"/>
    </row>
    <row r="1496" spans="1:14">
      <c r="A1496" s="6" t="s">
        <v>2738</v>
      </c>
      <c r="B1496" s="7">
        <v>46139</v>
      </c>
      <c r="C1496" s="6" t="s">
        <v>2739</v>
      </c>
      <c r="D1496" s="6" t="str">
        <f>IF(OR(PROPER(TRIM(Raw_Data!D1496))="Uk",PROPER(TRIM(Raw_Data!D1496))="Gb",PROPER(TRIM(Raw_Data!D1496))="United kingdom"),"United Kingdom",PROPER(TRIM(Raw_Data!D1496)))</f>
        <v>Germany</v>
      </c>
      <c r="E1496" s="6" t="s">
        <v>52</v>
      </c>
      <c r="F1496" s="6" t="s">
        <v>85</v>
      </c>
      <c r="G1496" s="6" t="str">
        <f>SUBSTITUTE(Raw_Data!G1496,"Ã©","é")</f>
        <v>Alpine Jacket</v>
      </c>
      <c r="H1496" s="6">
        <v>3</v>
      </c>
      <c r="I1496" s="6" t="s">
        <v>117</v>
      </c>
      <c r="J1496" s="6" t="s">
        <v>171</v>
      </c>
      <c r="K1496" s="6">
        <v>0.41</v>
      </c>
      <c r="L1496" s="6" t="s">
        <v>33</v>
      </c>
      <c r="M1496" s="6" t="s">
        <v>34</v>
      </c>
      <c r="N1496" s="6"/>
    </row>
    <row r="1497" spans="1:14">
      <c r="A1497" s="6" t="s">
        <v>2740</v>
      </c>
      <c r="B1497" s="7">
        <v>46158</v>
      </c>
      <c r="C1497" s="6" t="s">
        <v>2741</v>
      </c>
      <c r="D1497" s="6" t="str">
        <f>IF(OR(PROPER(TRIM(Raw_Data!D1497))="Uk",PROPER(TRIM(Raw_Data!D1497))="Gb",PROPER(TRIM(Raw_Data!D1497))="United kingdom"),"United Kingdom",PROPER(TRIM(Raw_Data!D1497)))</f>
        <v>Ireland</v>
      </c>
      <c r="E1497" s="6" t="s">
        <v>28</v>
      </c>
      <c r="F1497" s="6" t="s">
        <v>58</v>
      </c>
      <c r="G1497" s="6" t="str">
        <f>SUBSTITUTE(Raw_Data!G1497,"Ã©","é")</f>
        <v>Fell Runner Cap</v>
      </c>
      <c r="H1497" s="6">
        <v>2</v>
      </c>
      <c r="I1497" s="6" t="s">
        <v>31</v>
      </c>
      <c r="J1497" s="6" t="s">
        <v>249</v>
      </c>
      <c r="K1497" s="6">
        <v>0.38</v>
      </c>
      <c r="L1497" s="6" t="s">
        <v>33</v>
      </c>
      <c r="M1497" s="6" t="s">
        <v>34</v>
      </c>
      <c r="N1497" s="6"/>
    </row>
    <row r="1498" spans="1:14">
      <c r="A1498" s="6" t="s">
        <v>2742</v>
      </c>
      <c r="B1498" s="7">
        <v>46108</v>
      </c>
      <c r="C1498" s="6" t="s">
        <v>1323</v>
      </c>
      <c r="D1498" s="6" t="str">
        <f>IF(OR(PROPER(TRIM(Raw_Data!D1498))="Uk",PROPER(TRIM(Raw_Data!D1498))="Gb",PROPER(TRIM(Raw_Data!D1498))="United kingdom"),"United Kingdom",PROPER(TRIM(Raw_Data!D1498)))</f>
        <v>Ireland</v>
      </c>
      <c r="E1498" s="6" t="s">
        <v>52</v>
      </c>
      <c r="F1498" s="6" t="s">
        <v>85</v>
      </c>
      <c r="G1498" s="6" t="str">
        <f>SUBSTITUTE(Raw_Data!G1498,"Ã©","é")</f>
        <v>Storm Overtrousers</v>
      </c>
      <c r="H1498" s="6">
        <v>2</v>
      </c>
      <c r="I1498" s="6" t="s">
        <v>113</v>
      </c>
      <c r="J1498" s="6" t="s">
        <v>192</v>
      </c>
      <c r="K1498" s="6">
        <v>0.41</v>
      </c>
      <c r="L1498" s="6" t="s">
        <v>42</v>
      </c>
      <c r="M1498" s="6" t="s">
        <v>34</v>
      </c>
      <c r="N1498" s="6"/>
    </row>
    <row r="1499" spans="1:14">
      <c r="A1499" s="6" t="s">
        <v>2743</v>
      </c>
      <c r="B1499" s="7">
        <v>46197</v>
      </c>
      <c r="C1499" s="6" t="s">
        <v>2744</v>
      </c>
      <c r="D1499" s="6" t="str">
        <f>IF(OR(PROPER(TRIM(Raw_Data!D1499))="Uk",PROPER(TRIM(Raw_Data!D1499))="Gb",PROPER(TRIM(Raw_Data!D1499))="United kingdom"),"United Kingdom",PROPER(TRIM(Raw_Data!D1499)))</f>
        <v>United Kingdom</v>
      </c>
      <c r="E1499" s="6" t="s">
        <v>78</v>
      </c>
      <c r="F1499" s="6" t="s">
        <v>94</v>
      </c>
      <c r="G1499" s="6" t="str">
        <f>SUBSTITUTE(Raw_Data!G1499,"Ã©","é")</f>
        <v>Merino Base Layer</v>
      </c>
      <c r="H1499" s="6">
        <v>2</v>
      </c>
      <c r="I1499" s="6" t="s">
        <v>79</v>
      </c>
      <c r="J1499" s="6" t="s">
        <v>732</v>
      </c>
      <c r="K1499" s="6">
        <v>0.34</v>
      </c>
      <c r="L1499" s="6" t="s">
        <v>42</v>
      </c>
      <c r="M1499" s="6" t="s">
        <v>34</v>
      </c>
      <c r="N1499" s="6"/>
    </row>
    <row r="1500" spans="1:14">
      <c r="A1500" s="6" t="s">
        <v>2745</v>
      </c>
      <c r="B1500" s="7">
        <v>46056</v>
      </c>
      <c r="C1500" s="6" t="s">
        <v>2331</v>
      </c>
      <c r="D1500" s="6" t="str">
        <f>IF(OR(PROPER(TRIM(Raw_Data!D1500))="Uk",PROPER(TRIM(Raw_Data!D1500))="Gb",PROPER(TRIM(Raw_Data!D1500))="United kingdom"),"United Kingdom",PROPER(TRIM(Raw_Data!D1500)))</f>
        <v>United Kingdom</v>
      </c>
      <c r="E1500" s="6" t="s">
        <v>28</v>
      </c>
      <c r="F1500" s="6" t="s">
        <v>53</v>
      </c>
      <c r="G1500" s="6" t="str">
        <f>SUBSTITUTE(Raw_Data!G1500,"Ã©","é")</f>
        <v>Trail Softshell</v>
      </c>
      <c r="H1500" s="6">
        <v>3</v>
      </c>
      <c r="I1500" s="6" t="s">
        <v>90</v>
      </c>
      <c r="J1500" s="6" t="s">
        <v>102</v>
      </c>
      <c r="K1500" s="6">
        <v>0.19</v>
      </c>
      <c r="L1500" s="6" t="s">
        <v>42</v>
      </c>
      <c r="M1500" s="6" t="s">
        <v>34</v>
      </c>
      <c r="N1500" s="6"/>
    </row>
    <row r="1501" spans="1:14">
      <c r="A1501" s="6" t="s">
        <v>2746</v>
      </c>
      <c r="B1501" s="7">
        <v>46187</v>
      </c>
      <c r="C1501" s="6" t="s">
        <v>140</v>
      </c>
      <c r="D1501" s="6" t="str">
        <f>IF(OR(PROPER(TRIM(Raw_Data!D1501))="Uk",PROPER(TRIM(Raw_Data!D1501))="Gb",PROPER(TRIM(Raw_Data!D1501))="United kingdom"),"United Kingdom",PROPER(TRIM(Raw_Data!D1501)))</f>
        <v>United Kingdom</v>
      </c>
      <c r="E1501" s="6" t="s">
        <v>52</v>
      </c>
      <c r="F1501" s="6" t="s">
        <v>38</v>
      </c>
      <c r="G1501" s="6" t="str">
        <f>SUBSTITUTE(Raw_Data!G1501,"Ã©","é")</f>
        <v>Fell Runner Cap</v>
      </c>
      <c r="H1501" s="6">
        <v>1</v>
      </c>
      <c r="I1501" s="6" t="s">
        <v>748</v>
      </c>
      <c r="J1501" s="6" t="s">
        <v>113</v>
      </c>
      <c r="K1501" s="6">
        <v>0.52</v>
      </c>
      <c r="L1501" s="6" t="s">
        <v>42</v>
      </c>
      <c r="M1501" s="6" t="s">
        <v>34</v>
      </c>
      <c r="N1501" s="6"/>
    </row>
    <row r="1502" spans="1:14">
      <c r="A1502" s="6" t="s">
        <v>2747</v>
      </c>
      <c r="B1502" s="7">
        <v>46330</v>
      </c>
      <c r="C1502" s="6" t="s">
        <v>109</v>
      </c>
      <c r="D1502" s="6" t="str">
        <f>IF(OR(PROPER(TRIM(Raw_Data!D1502))="Uk",PROPER(TRIM(Raw_Data!D1502))="Gb",PROPER(TRIM(Raw_Data!D1502))="United kingdom"),"United Kingdom",PROPER(TRIM(Raw_Data!D1502)))</f>
        <v>United Kingdom</v>
      </c>
      <c r="E1502" s="6" t="s">
        <v>52</v>
      </c>
      <c r="F1502" s="6" t="s">
        <v>29</v>
      </c>
      <c r="G1502" s="6" t="str">
        <f>SUBSTITUTE(Raw_Data!G1502,"Ã©","é")</f>
        <v>Trail Softshell</v>
      </c>
      <c r="H1502" s="6">
        <v>3</v>
      </c>
      <c r="I1502" s="6" t="s">
        <v>755</v>
      </c>
      <c r="J1502" s="6" t="s">
        <v>171</v>
      </c>
      <c r="K1502" s="6">
        <v>0.52</v>
      </c>
      <c r="L1502" s="6" t="s">
        <v>42</v>
      </c>
      <c r="M1502" s="6" t="s">
        <v>34</v>
      </c>
      <c r="N1502" s="6"/>
    </row>
    <row r="1503" spans="1:14">
      <c r="A1503" s="6" t="s">
        <v>2748</v>
      </c>
      <c r="B1503" s="7">
        <v>46269</v>
      </c>
      <c r="C1503" s="6" t="s">
        <v>1953</v>
      </c>
      <c r="D1503" s="6" t="str">
        <f>IF(OR(PROPER(TRIM(Raw_Data!D1503))="Uk",PROPER(TRIM(Raw_Data!D1503))="Gb",PROPER(TRIM(Raw_Data!D1503))="United kingdom"),"United Kingdom",PROPER(TRIM(Raw_Data!D1503)))</f>
        <v>United Kingdom</v>
      </c>
      <c r="E1503" s="6" t="s">
        <v>37</v>
      </c>
      <c r="F1503" s="6" t="s">
        <v>94</v>
      </c>
      <c r="G1503" s="6" t="str">
        <f>SUBSTITUTE(Raw_Data!G1503,"Ã©","é")</f>
        <v>Summit Down Gilet</v>
      </c>
      <c r="H1503" s="6">
        <v>1</v>
      </c>
      <c r="I1503" s="6" t="s">
        <v>40</v>
      </c>
      <c r="J1503" s="6" t="s">
        <v>40</v>
      </c>
      <c r="K1503" s="6">
        <v>0.34</v>
      </c>
      <c r="L1503" s="6" t="s">
        <v>42</v>
      </c>
      <c r="M1503" s="6" t="s">
        <v>34</v>
      </c>
      <c r="N1503" s="6"/>
    </row>
    <row r="1504" spans="1:14">
      <c r="A1504" s="6" t="s">
        <v>2749</v>
      </c>
      <c r="B1504" s="7">
        <v>46141</v>
      </c>
      <c r="C1504" s="6" t="s">
        <v>922</v>
      </c>
      <c r="D1504" s="6" t="str">
        <f>IF(OR(PROPER(TRIM(Raw_Data!D1504))="Uk",PROPER(TRIM(Raw_Data!D1504))="Gb",PROPER(TRIM(Raw_Data!D1504))="United kingdom"),"United Kingdom",PROPER(TRIM(Raw_Data!D1504)))</f>
        <v>Ireland</v>
      </c>
      <c r="E1504" s="6" t="s">
        <v>37</v>
      </c>
      <c r="F1504" s="6" t="s">
        <v>58</v>
      </c>
      <c r="G1504" s="6" t="str">
        <f>SUBSTITUTE(Raw_Data!G1504,"Ã©","é")</f>
        <v>Trail Softshell</v>
      </c>
      <c r="H1504" s="6">
        <v>2</v>
      </c>
      <c r="I1504" s="6" t="s">
        <v>31</v>
      </c>
      <c r="J1504" s="6" t="s">
        <v>249</v>
      </c>
      <c r="K1504" s="6">
        <v>0.38</v>
      </c>
      <c r="L1504" s="6" t="s">
        <v>42</v>
      </c>
      <c r="M1504" s="6" t="s">
        <v>34</v>
      </c>
      <c r="N1504" s="6"/>
    </row>
    <row r="1505" spans="1:14">
      <c r="A1505" s="6" t="s">
        <v>2750</v>
      </c>
      <c r="B1505" s="7">
        <v>46050</v>
      </c>
      <c r="C1505" s="6" t="s">
        <v>2751</v>
      </c>
      <c r="D1505" s="6" t="str">
        <f>IF(OR(PROPER(TRIM(Raw_Data!D1505))="Uk",PROPER(TRIM(Raw_Data!D1505))="Gb",PROPER(TRIM(Raw_Data!D1505))="United kingdom"),"United Kingdom",PROPER(TRIM(Raw_Data!D1505)))</f>
        <v>United Kingdom</v>
      </c>
      <c r="E1505" s="6" t="s">
        <v>78</v>
      </c>
      <c r="F1505" s="6" t="s">
        <v>29</v>
      </c>
      <c r="G1505" s="6" t="str">
        <f>SUBSTITUTE(Raw_Data!G1505,"Ã©","é")</f>
        <v>Trail Softshell</v>
      </c>
      <c r="H1505" s="6">
        <v>1</v>
      </c>
      <c r="I1505" s="6" t="s">
        <v>117</v>
      </c>
      <c r="J1505" s="6" t="s">
        <v>117</v>
      </c>
      <c r="K1505" s="6">
        <v>0.52</v>
      </c>
      <c r="L1505" s="6" t="s">
        <v>42</v>
      </c>
      <c r="M1505" s="6" t="s">
        <v>34</v>
      </c>
      <c r="N1505" s="6"/>
    </row>
    <row r="1506" spans="1:14">
      <c r="A1506" s="6" t="s">
        <v>2752</v>
      </c>
      <c r="B1506" s="7">
        <v>46028</v>
      </c>
      <c r="C1506" s="6" t="s">
        <v>2753</v>
      </c>
      <c r="D1506" s="6" t="str">
        <f>IF(OR(PROPER(TRIM(Raw_Data!D1506))="Uk",PROPER(TRIM(Raw_Data!D1506))="Gb",PROPER(TRIM(Raw_Data!D1506))="United kingdom"),"United Kingdom",PROPER(TRIM(Raw_Data!D1506)))</f>
        <v>Ireland</v>
      </c>
      <c r="E1506" s="6" t="s">
        <v>78</v>
      </c>
      <c r="F1506" s="6" t="s">
        <v>58</v>
      </c>
      <c r="G1506" s="6" t="str">
        <f>SUBSTITUTE(Raw_Data!G1506,"Ã©","é")</f>
        <v>Café Latte Mug</v>
      </c>
      <c r="H1506" s="6">
        <v>1</v>
      </c>
      <c r="I1506" s="6" t="s">
        <v>143</v>
      </c>
      <c r="J1506" s="6" t="s">
        <v>143</v>
      </c>
      <c r="K1506" s="6">
        <v>0.38</v>
      </c>
      <c r="L1506" s="6" t="s">
        <v>42</v>
      </c>
      <c r="M1506" s="6" t="s">
        <v>34</v>
      </c>
      <c r="N1506" s="6"/>
    </row>
    <row r="1507" spans="1:14">
      <c r="A1507" s="6" t="s">
        <v>2754</v>
      </c>
      <c r="B1507" s="7">
        <v>46359</v>
      </c>
      <c r="C1507" s="6" t="s">
        <v>2755</v>
      </c>
      <c r="D1507" s="6" t="str">
        <f>IF(OR(PROPER(TRIM(Raw_Data!D1507))="Uk",PROPER(TRIM(Raw_Data!D1507))="Gb",PROPER(TRIM(Raw_Data!D1507))="United kingdom"),"United Kingdom",PROPER(TRIM(Raw_Data!D1507)))</f>
        <v>United Kingdom</v>
      </c>
      <c r="E1507" s="6" t="s">
        <v>37</v>
      </c>
      <c r="F1507" s="6" t="s">
        <v>53</v>
      </c>
      <c r="G1507" s="6" t="str">
        <f>SUBSTITUTE(Raw_Data!G1507,"Ã©","é")</f>
        <v>Storm Overtrousers</v>
      </c>
      <c r="H1507" s="6">
        <v>2</v>
      </c>
      <c r="I1507" s="6" t="s">
        <v>79</v>
      </c>
      <c r="J1507" s="6" t="s">
        <v>259</v>
      </c>
      <c r="K1507" s="6">
        <v>0.19</v>
      </c>
      <c r="L1507" s="6" t="s">
        <v>42</v>
      </c>
      <c r="M1507" s="6" t="s">
        <v>34</v>
      </c>
      <c r="N1507" s="6"/>
    </row>
    <row r="1508" spans="1:14">
      <c r="A1508" s="6" t="s">
        <v>2756</v>
      </c>
      <c r="B1508" s="7">
        <v>46106</v>
      </c>
      <c r="C1508" s="6" t="s">
        <v>444</v>
      </c>
      <c r="D1508" s="6" t="str">
        <f>IF(OR(PROPER(TRIM(Raw_Data!D1508))="Uk",PROPER(TRIM(Raw_Data!D1508))="Gb",PROPER(TRIM(Raw_Data!D1508))="United kingdom"),"United Kingdom",PROPER(TRIM(Raw_Data!D1508)))</f>
        <v>United Kingdom</v>
      </c>
      <c r="E1508" s="6" t="s">
        <v>46</v>
      </c>
      <c r="F1508" s="6" t="s">
        <v>85</v>
      </c>
      <c r="G1508" s="6" t="str">
        <f>SUBSTITUTE(Raw_Data!G1508,"Ã©","é")</f>
        <v>Merino Base Layer</v>
      </c>
      <c r="H1508" s="6">
        <v>1</v>
      </c>
      <c r="I1508" s="6" t="s">
        <v>31</v>
      </c>
      <c r="J1508" s="6" t="s">
        <v>31</v>
      </c>
      <c r="K1508" s="6">
        <v>0.41</v>
      </c>
      <c r="L1508" s="6" t="s">
        <v>42</v>
      </c>
      <c r="M1508" s="6" t="s">
        <v>34</v>
      </c>
      <c r="N1508" s="6"/>
    </row>
    <row r="1509" spans="1:14">
      <c r="A1509" s="6" t="s">
        <v>2757</v>
      </c>
      <c r="B1509" s="7">
        <v>46332</v>
      </c>
      <c r="C1509" s="6" t="s">
        <v>1213</v>
      </c>
      <c r="D1509" s="6" t="str">
        <f>IF(OR(PROPER(TRIM(Raw_Data!D1509))="Uk",PROPER(TRIM(Raw_Data!D1509))="Gb",PROPER(TRIM(Raw_Data!D1509))="United kingdom"),"United Kingdom",PROPER(TRIM(Raw_Data!D1509)))</f>
        <v>United Kingdom</v>
      </c>
      <c r="E1509" s="6" t="s">
        <v>52</v>
      </c>
      <c r="F1509" s="6" t="s">
        <v>29</v>
      </c>
      <c r="G1509" s="6" t="str">
        <f>SUBSTITUTE(Raw_Data!G1509,"Ã©","é")</f>
        <v>Fell Runner Cap</v>
      </c>
      <c r="H1509" s="6">
        <v>2</v>
      </c>
      <c r="I1509" s="6" t="s">
        <v>96</v>
      </c>
      <c r="J1509" s="6" t="s">
        <v>278</v>
      </c>
      <c r="K1509" s="6">
        <v>0.52</v>
      </c>
      <c r="L1509" s="6" t="s">
        <v>42</v>
      </c>
      <c r="M1509" s="6" t="s">
        <v>69</v>
      </c>
      <c r="N1509" s="6"/>
    </row>
    <row r="1510" spans="1:14">
      <c r="A1510" s="6" t="s">
        <v>2758</v>
      </c>
      <c r="B1510" s="7">
        <v>46055</v>
      </c>
      <c r="C1510" s="6" t="s">
        <v>509</v>
      </c>
      <c r="D1510" s="6" t="str">
        <f>IF(OR(PROPER(TRIM(Raw_Data!D1510))="Uk",PROPER(TRIM(Raw_Data!D1510))="Gb",PROPER(TRIM(Raw_Data!D1510))="United kingdom"),"United Kingdom",PROPER(TRIM(Raw_Data!D1510)))</f>
        <v>United Kingdom</v>
      </c>
      <c r="E1510" s="6" t="s">
        <v>52</v>
      </c>
      <c r="F1510" s="6" t="s">
        <v>29</v>
      </c>
      <c r="G1510" s="6" t="str">
        <f>SUBSTITUTE(Raw_Data!G1510,"Ã©","é")</f>
        <v>Storm Overtrousers</v>
      </c>
      <c r="H1510" s="6">
        <v>2</v>
      </c>
      <c r="I1510" s="6" t="s">
        <v>31</v>
      </c>
      <c r="J1510" s="6" t="s">
        <v>249</v>
      </c>
      <c r="K1510" s="6">
        <v>0.52</v>
      </c>
      <c r="L1510" s="6" t="s">
        <v>42</v>
      </c>
      <c r="M1510" s="6" t="s">
        <v>34</v>
      </c>
      <c r="N1510" s="6"/>
    </row>
    <row r="1511" spans="1:14">
      <c r="A1511" s="6" t="s">
        <v>2759</v>
      </c>
      <c r="B1511" s="7">
        <v>46332</v>
      </c>
      <c r="C1511" s="6" t="s">
        <v>1250</v>
      </c>
      <c r="D1511" s="6" t="str">
        <f>IF(OR(PROPER(TRIM(Raw_Data!D1511))="Uk",PROPER(TRIM(Raw_Data!D1511))="Gb",PROPER(TRIM(Raw_Data!D1511))="United kingdom"),"United Kingdom",PROPER(TRIM(Raw_Data!D1511)))</f>
        <v>United Kingdom</v>
      </c>
      <c r="E1511" s="6" t="s">
        <v>52</v>
      </c>
      <c r="F1511" s="6" t="s">
        <v>100</v>
      </c>
      <c r="G1511" s="6" t="str">
        <f>SUBSTITUTE(Raw_Data!G1511,"Ã©","é")</f>
        <v>Summit Down Gilet</v>
      </c>
      <c r="H1511" s="6">
        <v>3</v>
      </c>
      <c r="I1511" s="6" t="s">
        <v>181</v>
      </c>
      <c r="J1511" s="6" t="s">
        <v>867</v>
      </c>
      <c r="K1511" s="6">
        <v>0.64</v>
      </c>
      <c r="L1511" s="6" t="s">
        <v>33</v>
      </c>
      <c r="M1511" s="6" t="s">
        <v>34</v>
      </c>
      <c r="N1511" s="6"/>
    </row>
    <row r="1512" spans="1:14">
      <c r="A1512" s="6" t="s">
        <v>2760</v>
      </c>
      <c r="B1512" s="7">
        <v>46296</v>
      </c>
      <c r="C1512" s="6" t="s">
        <v>1137</v>
      </c>
      <c r="D1512" s="6" t="str">
        <f>IF(OR(PROPER(TRIM(Raw_Data!D1512))="Uk",PROPER(TRIM(Raw_Data!D1512))="Gb",PROPER(TRIM(Raw_Data!D1512))="United kingdom"),"United Kingdom",PROPER(TRIM(Raw_Data!D1512)))</f>
        <v>United Kingdom</v>
      </c>
      <c r="E1512" s="6" t="s">
        <v>28</v>
      </c>
      <c r="F1512" s="6" t="s">
        <v>47</v>
      </c>
      <c r="G1512" s="6" t="str">
        <f>SUBSTITUTE(Raw_Data!G1512,"Ã©","é")</f>
        <v>Storm Overtrousers</v>
      </c>
      <c r="H1512" s="6">
        <v>1</v>
      </c>
      <c r="I1512" s="6" t="s">
        <v>265</v>
      </c>
      <c r="J1512" s="6" t="s">
        <v>2761</v>
      </c>
      <c r="K1512" s="6">
        <v>8.5000000000000006E-2</v>
      </c>
      <c r="L1512" s="6" t="s">
        <v>42</v>
      </c>
      <c r="M1512" s="6" t="s">
        <v>34</v>
      </c>
      <c r="N1512" s="6"/>
    </row>
    <row r="1513" spans="1:14">
      <c r="A1513" s="6" t="s">
        <v>2762</v>
      </c>
      <c r="B1513" s="7">
        <v>46161</v>
      </c>
      <c r="C1513" s="6" t="s">
        <v>2763</v>
      </c>
      <c r="D1513" s="6" t="str">
        <f>IF(OR(PROPER(TRIM(Raw_Data!D1513))="Uk",PROPER(TRIM(Raw_Data!D1513))="Gb",PROPER(TRIM(Raw_Data!D1513))="United kingdom"),"United Kingdom",PROPER(TRIM(Raw_Data!D1513)))</f>
        <v>United Kingdom</v>
      </c>
      <c r="E1513" s="6" t="s">
        <v>78</v>
      </c>
      <c r="F1513" s="6" t="s">
        <v>47</v>
      </c>
      <c r="G1513" s="6" t="str">
        <f>SUBSTITUTE(Raw_Data!G1513,"Ã©","é")</f>
        <v>Café Latte Mug</v>
      </c>
      <c r="H1513" s="6">
        <v>2</v>
      </c>
      <c r="I1513" s="6" t="s">
        <v>31</v>
      </c>
      <c r="J1513" s="6" t="s">
        <v>249</v>
      </c>
      <c r="K1513" s="6">
        <v>8.5000000000000006E-2</v>
      </c>
      <c r="L1513" s="6" t="s">
        <v>33</v>
      </c>
      <c r="M1513" s="6" t="s">
        <v>69</v>
      </c>
      <c r="N1513" s="6"/>
    </row>
    <row r="1514" spans="1:14">
      <c r="A1514" s="6" t="s">
        <v>2764</v>
      </c>
      <c r="B1514" s="7">
        <v>46143</v>
      </c>
      <c r="C1514" s="6" t="s">
        <v>2765</v>
      </c>
      <c r="D1514" s="6" t="str">
        <f>IF(OR(PROPER(TRIM(Raw_Data!D1514))="Uk",PROPER(TRIM(Raw_Data!D1514))="Gb",PROPER(TRIM(Raw_Data!D1514))="United kingdom"),"United Kingdom",PROPER(TRIM(Raw_Data!D1514)))</f>
        <v>Ireland</v>
      </c>
      <c r="E1514" s="6" t="s">
        <v>52</v>
      </c>
      <c r="F1514" s="6" t="s">
        <v>53</v>
      </c>
      <c r="G1514" s="6" t="str">
        <f>SUBSTITUTE(Raw_Data!G1514,"Ã©","é")</f>
        <v>Merino Base Layer</v>
      </c>
      <c r="H1514" s="6">
        <v>1</v>
      </c>
      <c r="I1514" s="6" t="s">
        <v>40</v>
      </c>
      <c r="J1514" s="6" t="s">
        <v>40</v>
      </c>
      <c r="K1514" s="6">
        <v>0.19</v>
      </c>
      <c r="L1514" s="6" t="s">
        <v>42</v>
      </c>
      <c r="M1514" s="6" t="s">
        <v>34</v>
      </c>
      <c r="N1514" s="6"/>
    </row>
    <row r="1515" spans="1:14">
      <c r="A1515" s="6" t="s">
        <v>2766</v>
      </c>
      <c r="B1515" s="7">
        <v>46268</v>
      </c>
      <c r="C1515" s="6" t="s">
        <v>1357</v>
      </c>
      <c r="D1515" s="6" t="str">
        <f>IF(OR(PROPER(TRIM(Raw_Data!D1515))="Uk",PROPER(TRIM(Raw_Data!D1515))="Gb",PROPER(TRIM(Raw_Data!D1515))="United kingdom"),"United Kingdom",PROPER(TRIM(Raw_Data!D1515)))</f>
        <v>United Kingdom</v>
      </c>
      <c r="E1515" s="6" t="s">
        <v>52</v>
      </c>
      <c r="F1515" s="6" t="s">
        <v>100</v>
      </c>
      <c r="G1515" s="6" t="str">
        <f>SUBSTITUTE(Raw_Data!G1515,"Ã©","é")</f>
        <v>Trail Softshell</v>
      </c>
      <c r="H1515" s="6">
        <v>3</v>
      </c>
      <c r="I1515" s="6" t="s">
        <v>40</v>
      </c>
      <c r="J1515" s="6" t="s">
        <v>2767</v>
      </c>
      <c r="K1515" s="6">
        <v>0.64</v>
      </c>
      <c r="L1515" s="6" t="s">
        <v>42</v>
      </c>
      <c r="M1515" s="6" t="s">
        <v>34</v>
      </c>
      <c r="N1515" s="6"/>
    </row>
    <row r="1516" spans="1:14">
      <c r="A1516" s="6" t="s">
        <v>2768</v>
      </c>
      <c r="B1516" s="7">
        <v>46174</v>
      </c>
      <c r="C1516" s="6" t="s">
        <v>2359</v>
      </c>
      <c r="D1516" s="6" t="str">
        <f>IF(OR(PROPER(TRIM(Raw_Data!D1516))="Uk",PROPER(TRIM(Raw_Data!D1516))="Gb",PROPER(TRIM(Raw_Data!D1516))="United kingdom"),"United Kingdom",PROPER(TRIM(Raw_Data!D1516)))</f>
        <v>Ireland</v>
      </c>
      <c r="E1516" s="6" t="s">
        <v>37</v>
      </c>
      <c r="F1516" s="6" t="s">
        <v>94</v>
      </c>
      <c r="G1516" s="6" t="str">
        <f>SUBSTITUTE(Raw_Data!G1516,"Ã©","é")</f>
        <v>Trekking Poles</v>
      </c>
      <c r="H1516" s="6">
        <v>2</v>
      </c>
      <c r="I1516" s="6" t="s">
        <v>31</v>
      </c>
      <c r="J1516" s="6" t="s">
        <v>249</v>
      </c>
      <c r="K1516" s="6">
        <v>0.34</v>
      </c>
      <c r="L1516" s="6" t="s">
        <v>42</v>
      </c>
      <c r="M1516" s="6" t="s">
        <v>34</v>
      </c>
      <c r="N1516" s="6"/>
    </row>
    <row r="1517" spans="1:14">
      <c r="A1517" s="6" t="s">
        <v>2769</v>
      </c>
      <c r="B1517" s="7">
        <v>46094</v>
      </c>
      <c r="C1517" s="6" t="s">
        <v>2770</v>
      </c>
      <c r="D1517" s="6" t="str">
        <f>IF(OR(PROPER(TRIM(Raw_Data!D1517))="Uk",PROPER(TRIM(Raw_Data!D1517))="Gb",PROPER(TRIM(Raw_Data!D1517))="United kingdom"),"United Kingdom",PROPER(TRIM(Raw_Data!D1517)))</f>
        <v>United Kingdom</v>
      </c>
      <c r="E1517" s="6" t="s">
        <v>52</v>
      </c>
      <c r="F1517" s="6" t="s">
        <v>100</v>
      </c>
      <c r="G1517" s="6" t="str">
        <f>SUBSTITUTE(Raw_Data!G1517,"Ã©","é")</f>
        <v>Café Latte Mug</v>
      </c>
      <c r="H1517" s="6">
        <v>1</v>
      </c>
      <c r="I1517" s="6" t="s">
        <v>79</v>
      </c>
      <c r="J1517" s="6" t="s">
        <v>79</v>
      </c>
      <c r="K1517" s="6">
        <v>0.64</v>
      </c>
      <c r="L1517" s="6" t="s">
        <v>42</v>
      </c>
      <c r="M1517" s="6" t="s">
        <v>34</v>
      </c>
      <c r="N1517" s="6"/>
    </row>
    <row r="1518" spans="1:14">
      <c r="A1518" s="6" t="s">
        <v>2771</v>
      </c>
      <c r="B1518" s="7">
        <v>46024</v>
      </c>
      <c r="C1518" s="6" t="s">
        <v>1901</v>
      </c>
      <c r="D1518" s="6" t="str">
        <f>IF(OR(PROPER(TRIM(Raw_Data!D1518))="Uk",PROPER(TRIM(Raw_Data!D1518))="Gb",PROPER(TRIM(Raw_Data!D1518))="United kingdom"),"United Kingdom",PROPER(TRIM(Raw_Data!D1518)))</f>
        <v>Germany</v>
      </c>
      <c r="E1518" s="6" t="s">
        <v>37</v>
      </c>
      <c r="F1518" s="6" t="s">
        <v>47</v>
      </c>
      <c r="G1518" s="6" t="str">
        <f>SUBSTITUTE(Raw_Data!G1518,"Ã©","é")</f>
        <v>Summit Down Gilet</v>
      </c>
      <c r="H1518" s="6">
        <v>2</v>
      </c>
      <c r="I1518" s="6" t="s">
        <v>73</v>
      </c>
      <c r="J1518" s="6" t="s">
        <v>74</v>
      </c>
      <c r="K1518" s="6">
        <v>8.5000000000000006E-2</v>
      </c>
      <c r="L1518" s="6" t="s">
        <v>33</v>
      </c>
      <c r="M1518" s="6" t="s">
        <v>34</v>
      </c>
      <c r="N1518" s="6"/>
    </row>
    <row r="1519" spans="1:14">
      <c r="A1519" s="6" t="s">
        <v>2772</v>
      </c>
      <c r="B1519" s="7">
        <v>46159</v>
      </c>
      <c r="C1519" s="6" t="s">
        <v>2200</v>
      </c>
      <c r="D1519" s="6" t="str">
        <f>IF(OR(PROPER(TRIM(Raw_Data!D1519))="Uk",PROPER(TRIM(Raw_Data!D1519))="Gb",PROPER(TRIM(Raw_Data!D1519))="United kingdom"),"United Kingdom",PROPER(TRIM(Raw_Data!D1519)))</f>
        <v>United Kingdom</v>
      </c>
      <c r="E1519" s="6" t="s">
        <v>52</v>
      </c>
      <c r="F1519" s="6" t="s">
        <v>53</v>
      </c>
      <c r="G1519" s="6" t="str">
        <f>SUBSTITUTE(Raw_Data!G1519,"Ã©","é")</f>
        <v>Trekking Poles</v>
      </c>
      <c r="H1519" s="6">
        <v>1</v>
      </c>
      <c r="I1519" s="6" t="s">
        <v>96</v>
      </c>
      <c r="J1519" s="6" t="s">
        <v>96</v>
      </c>
      <c r="K1519" s="6">
        <v>0.19</v>
      </c>
      <c r="L1519" s="6" t="s">
        <v>42</v>
      </c>
      <c r="M1519" s="6" t="s">
        <v>69</v>
      </c>
      <c r="N1519" s="6"/>
    </row>
    <row r="1520" spans="1:14">
      <c r="A1520" s="6" t="s">
        <v>2773</v>
      </c>
      <c r="B1520" s="7">
        <v>46191</v>
      </c>
      <c r="C1520" s="6" t="s">
        <v>2774</v>
      </c>
      <c r="D1520" s="6" t="str">
        <f>IF(OR(PROPER(TRIM(Raw_Data!D1520))="Uk",PROPER(TRIM(Raw_Data!D1520))="Gb",PROPER(TRIM(Raw_Data!D1520))="United kingdom"),"United Kingdom",PROPER(TRIM(Raw_Data!D1520)))</f>
        <v>Germany</v>
      </c>
      <c r="E1520" s="6" t="s">
        <v>52</v>
      </c>
      <c r="F1520" s="6" t="s">
        <v>100</v>
      </c>
      <c r="G1520" s="6" t="str">
        <f>SUBSTITUTE(Raw_Data!G1520,"Ã©","é")</f>
        <v>Summit Down Gilet</v>
      </c>
      <c r="H1520" s="6">
        <v>1</v>
      </c>
      <c r="I1520" s="6" t="s">
        <v>40</v>
      </c>
      <c r="J1520" s="6" t="s">
        <v>40</v>
      </c>
      <c r="K1520" s="6">
        <v>0.64</v>
      </c>
      <c r="L1520" s="6" t="s">
        <v>42</v>
      </c>
      <c r="M1520" s="6" t="s">
        <v>34</v>
      </c>
      <c r="N1520" s="6"/>
    </row>
    <row r="1521" spans="1:14">
      <c r="A1521" s="6" t="s">
        <v>2775</v>
      </c>
      <c r="B1521" s="7">
        <v>46178</v>
      </c>
      <c r="C1521" s="6" t="s">
        <v>855</v>
      </c>
      <c r="D1521" s="6" t="str">
        <f>IF(OR(PROPER(TRIM(Raw_Data!D1521))="Uk",PROPER(TRIM(Raw_Data!D1521))="Gb",PROPER(TRIM(Raw_Data!D1521))="United kingdom"),"United Kingdom",PROPER(TRIM(Raw_Data!D1521)))</f>
        <v>United Kingdom</v>
      </c>
      <c r="E1521" s="6" t="s">
        <v>28</v>
      </c>
      <c r="F1521" s="6" t="s">
        <v>85</v>
      </c>
      <c r="G1521" s="6" t="str">
        <f>SUBSTITUTE(Raw_Data!G1521,"Ã©","é")</f>
        <v>Merino Base Layer</v>
      </c>
      <c r="H1521" s="6">
        <v>3</v>
      </c>
      <c r="I1521" s="6" t="s">
        <v>79</v>
      </c>
      <c r="J1521" s="6" t="s">
        <v>216</v>
      </c>
      <c r="K1521" s="6">
        <v>0.41</v>
      </c>
      <c r="L1521" s="6" t="s">
        <v>42</v>
      </c>
      <c r="M1521" s="6" t="s">
        <v>34</v>
      </c>
      <c r="N1521" s="6"/>
    </row>
    <row r="1522" spans="1:14">
      <c r="A1522" s="6" t="s">
        <v>2776</v>
      </c>
      <c r="B1522" s="7">
        <v>46125</v>
      </c>
      <c r="C1522" s="6" t="s">
        <v>2061</v>
      </c>
      <c r="D1522" s="6" t="str">
        <f>IF(OR(PROPER(TRIM(Raw_Data!D1522))="Uk",PROPER(TRIM(Raw_Data!D1522))="Gb",PROPER(TRIM(Raw_Data!D1522))="United kingdom"),"United Kingdom",PROPER(TRIM(Raw_Data!D1522)))</f>
        <v>Germany</v>
      </c>
      <c r="E1522" s="6" t="s">
        <v>46</v>
      </c>
      <c r="F1522" s="6" t="s">
        <v>47</v>
      </c>
      <c r="G1522" s="6" t="str">
        <f>SUBSTITUTE(Raw_Data!G1522,"Ã©","é")</f>
        <v>Storm Overtrousers</v>
      </c>
      <c r="H1522" s="6">
        <v>2</v>
      </c>
      <c r="I1522" s="6" t="s">
        <v>265</v>
      </c>
      <c r="J1522" s="6" t="s">
        <v>167</v>
      </c>
      <c r="K1522" s="6">
        <v>8.5000000000000006E-2</v>
      </c>
      <c r="L1522" s="6" t="s">
        <v>33</v>
      </c>
      <c r="M1522" s="6" t="s">
        <v>34</v>
      </c>
      <c r="N1522" s="6"/>
    </row>
    <row r="1523" spans="1:14">
      <c r="A1523" s="6" t="s">
        <v>2777</v>
      </c>
      <c r="B1523" s="7">
        <v>46074</v>
      </c>
      <c r="C1523" s="6" t="s">
        <v>2778</v>
      </c>
      <c r="D1523" s="6" t="str">
        <f>IF(OR(PROPER(TRIM(Raw_Data!D1523))="Uk",PROPER(TRIM(Raw_Data!D1523))="Gb",PROPER(TRIM(Raw_Data!D1523))="United kingdom"),"United Kingdom",PROPER(TRIM(Raw_Data!D1523)))</f>
        <v>Ireland</v>
      </c>
      <c r="E1523" s="6" t="s">
        <v>52</v>
      </c>
      <c r="F1523" s="6" t="s">
        <v>47</v>
      </c>
      <c r="G1523" s="6" t="str">
        <f>SUBSTITUTE(Raw_Data!G1523,"Ã©","é")</f>
        <v>Trekking Poles</v>
      </c>
      <c r="H1523" s="6">
        <v>1</v>
      </c>
      <c r="I1523" s="6" t="s">
        <v>231</v>
      </c>
      <c r="J1523" s="6" t="s">
        <v>231</v>
      </c>
      <c r="K1523" s="6">
        <v>8.5000000000000006E-2</v>
      </c>
      <c r="L1523" s="6" t="s">
        <v>42</v>
      </c>
      <c r="M1523" s="6" t="s">
        <v>34</v>
      </c>
      <c r="N1523" s="6"/>
    </row>
    <row r="1524" spans="1:14">
      <c r="A1524" s="6" t="s">
        <v>2779</v>
      </c>
      <c r="B1524" s="7">
        <v>46187</v>
      </c>
      <c r="C1524" s="6" t="s">
        <v>2780</v>
      </c>
      <c r="D1524" s="6" t="str">
        <f>IF(OR(PROPER(TRIM(Raw_Data!D1524))="Uk",PROPER(TRIM(Raw_Data!D1524))="Gb",PROPER(TRIM(Raw_Data!D1524))="United kingdom"),"United Kingdom",PROPER(TRIM(Raw_Data!D1524)))</f>
        <v>United Kingdom</v>
      </c>
      <c r="E1524" s="6" t="s">
        <v>46</v>
      </c>
      <c r="F1524" s="6" t="s">
        <v>47</v>
      </c>
      <c r="G1524" s="6" t="str">
        <f>SUBSTITUTE(Raw_Data!G1524,"Ã©","é")</f>
        <v>Merino Base Layer</v>
      </c>
      <c r="H1524" s="6">
        <v>2</v>
      </c>
      <c r="I1524" s="6" t="s">
        <v>181</v>
      </c>
      <c r="J1524" s="6" t="s">
        <v>163</v>
      </c>
      <c r="K1524" s="6">
        <v>8.5000000000000006E-2</v>
      </c>
      <c r="L1524" s="6" t="s">
        <v>42</v>
      </c>
      <c r="M1524" s="6" t="s">
        <v>34</v>
      </c>
      <c r="N1524" s="6"/>
    </row>
    <row r="1525" spans="1:14">
      <c r="A1525" s="6" t="s">
        <v>2781</v>
      </c>
      <c r="B1525" s="7">
        <v>46117</v>
      </c>
      <c r="C1525" s="6" t="s">
        <v>2782</v>
      </c>
      <c r="D1525" s="6" t="str">
        <f>IF(OR(PROPER(TRIM(Raw_Data!D1525))="Uk",PROPER(TRIM(Raw_Data!D1525))="Gb",PROPER(TRIM(Raw_Data!D1525))="United kingdom"),"United Kingdom",PROPER(TRIM(Raw_Data!D1525)))</f>
        <v>United Kingdom</v>
      </c>
      <c r="E1525" s="6" t="s">
        <v>37</v>
      </c>
      <c r="F1525" s="6" t="s">
        <v>100</v>
      </c>
      <c r="G1525" s="6" t="str">
        <f>SUBSTITUTE(Raw_Data!G1525,"Ã©","é")</f>
        <v>Trekking Poles</v>
      </c>
      <c r="H1525" s="6">
        <v>2</v>
      </c>
      <c r="I1525" s="6" t="s">
        <v>277</v>
      </c>
      <c r="J1525" s="6" t="s">
        <v>278</v>
      </c>
      <c r="K1525" s="6">
        <v>0.64</v>
      </c>
      <c r="L1525" s="6" t="s">
        <v>42</v>
      </c>
      <c r="M1525" s="6" t="s">
        <v>34</v>
      </c>
      <c r="N1525" s="6"/>
    </row>
    <row r="1526" spans="1:14">
      <c r="A1526" s="6" t="s">
        <v>2783</v>
      </c>
      <c r="B1526" s="7">
        <v>46187</v>
      </c>
      <c r="C1526" s="6" t="s">
        <v>2784</v>
      </c>
      <c r="D1526" s="6" t="str">
        <f>IF(OR(PROPER(TRIM(Raw_Data!D1526))="Uk",PROPER(TRIM(Raw_Data!D1526))="Gb",PROPER(TRIM(Raw_Data!D1526))="United kingdom"),"United Kingdom",PROPER(TRIM(Raw_Data!D1526)))</f>
        <v>France</v>
      </c>
      <c r="E1526" s="6" t="s">
        <v>78</v>
      </c>
      <c r="F1526" s="6" t="s">
        <v>53</v>
      </c>
      <c r="G1526" s="6" t="str">
        <f>SUBSTITUTE(Raw_Data!G1526,"Ã©","é")</f>
        <v>Alpine Jacket</v>
      </c>
      <c r="H1526" s="6">
        <v>-1</v>
      </c>
      <c r="I1526" s="6" t="s">
        <v>203</v>
      </c>
      <c r="J1526" s="8" t="s">
        <v>1749</v>
      </c>
      <c r="K1526" s="6">
        <v>0.19</v>
      </c>
      <c r="L1526" s="6" t="s">
        <v>33</v>
      </c>
      <c r="M1526" s="6" t="s">
        <v>34</v>
      </c>
      <c r="N1526" s="6"/>
    </row>
    <row r="1527" spans="1:14">
      <c r="A1527" s="6" t="s">
        <v>2785</v>
      </c>
      <c r="B1527" s="7">
        <v>46162</v>
      </c>
      <c r="C1527" s="6" t="s">
        <v>1744</v>
      </c>
      <c r="D1527" s="6" t="str">
        <f>IF(OR(PROPER(TRIM(Raw_Data!D1527))="Uk",PROPER(TRIM(Raw_Data!D1527))="Gb",PROPER(TRIM(Raw_Data!D1527))="United kingdom"),"United Kingdom",PROPER(TRIM(Raw_Data!D1527)))</f>
        <v>Germany</v>
      </c>
      <c r="E1527" s="6" t="s">
        <v>37</v>
      </c>
      <c r="F1527" s="6" t="s">
        <v>100</v>
      </c>
      <c r="G1527" s="6" t="str">
        <f>SUBSTITUTE(Raw_Data!G1527,"Ã©","é")</f>
        <v>Fell Runner Cap</v>
      </c>
      <c r="H1527" s="6">
        <v>1</v>
      </c>
      <c r="I1527" s="6" t="s">
        <v>90</v>
      </c>
      <c r="J1527" s="6" t="s">
        <v>90</v>
      </c>
      <c r="K1527" s="6">
        <v>0.64</v>
      </c>
      <c r="L1527" s="6" t="s">
        <v>33</v>
      </c>
      <c r="M1527" s="6" t="s">
        <v>34</v>
      </c>
      <c r="N1527" s="6"/>
    </row>
    <row r="1528" spans="1:14">
      <c r="A1528" s="6" t="s">
        <v>2786</v>
      </c>
      <c r="B1528" s="7">
        <v>46076</v>
      </c>
      <c r="C1528" s="6" t="s">
        <v>1426</v>
      </c>
      <c r="D1528" s="6" t="str">
        <f>IF(OR(PROPER(TRIM(Raw_Data!D1528))="Uk",PROPER(TRIM(Raw_Data!D1528))="Gb",PROPER(TRIM(Raw_Data!D1528))="United kingdom"),"United Kingdom",PROPER(TRIM(Raw_Data!D1528)))</f>
        <v>Germany</v>
      </c>
      <c r="E1528" s="6" t="s">
        <v>78</v>
      </c>
      <c r="F1528" s="6" t="s">
        <v>100</v>
      </c>
      <c r="G1528" s="6" t="str">
        <f>SUBSTITUTE(Raw_Data!G1528,"Ã©","é")</f>
        <v>Fell Runner Cap</v>
      </c>
      <c r="H1528" s="6">
        <v>2</v>
      </c>
      <c r="I1528" s="6" t="s">
        <v>82</v>
      </c>
      <c r="J1528" s="6" t="s">
        <v>297</v>
      </c>
      <c r="K1528" s="6">
        <v>0.64</v>
      </c>
      <c r="L1528" s="6" t="s">
        <v>42</v>
      </c>
      <c r="M1528" s="6" t="s">
        <v>34</v>
      </c>
      <c r="N1528" s="6"/>
    </row>
    <row r="1529" spans="1:14">
      <c r="A1529" s="6" t="s">
        <v>2787</v>
      </c>
      <c r="B1529" s="7">
        <v>46205</v>
      </c>
      <c r="C1529" s="6" t="s">
        <v>2788</v>
      </c>
      <c r="D1529" s="6" t="str">
        <f>IF(OR(PROPER(TRIM(Raw_Data!D1529))="Uk",PROPER(TRIM(Raw_Data!D1529))="Gb",PROPER(TRIM(Raw_Data!D1529))="United kingdom"),"United Kingdom",PROPER(TRIM(Raw_Data!D1529)))</f>
        <v>Ireland</v>
      </c>
      <c r="E1529" s="6" t="s">
        <v>46</v>
      </c>
      <c r="F1529" s="6" t="s">
        <v>85</v>
      </c>
      <c r="G1529" s="6" t="str">
        <f>SUBSTITUTE(Raw_Data!G1529,"Ã©","é")</f>
        <v>Merino Base Layer</v>
      </c>
      <c r="H1529" s="6">
        <v>1</v>
      </c>
      <c r="I1529" s="6" t="s">
        <v>151</v>
      </c>
      <c r="J1529" s="6" t="s">
        <v>31</v>
      </c>
      <c r="K1529" s="6">
        <v>0.41</v>
      </c>
      <c r="L1529" s="6" t="s">
        <v>42</v>
      </c>
      <c r="M1529" s="6" t="s">
        <v>34</v>
      </c>
      <c r="N1529" s="6"/>
    </row>
    <row r="1530" spans="1:14">
      <c r="A1530" s="6" t="s">
        <v>2789</v>
      </c>
      <c r="B1530" s="7">
        <v>46150</v>
      </c>
      <c r="C1530" s="6" t="s">
        <v>2790</v>
      </c>
      <c r="D1530" s="6" t="str">
        <f>IF(OR(PROPER(TRIM(Raw_Data!D1530))="Uk",PROPER(TRIM(Raw_Data!D1530))="Gb",PROPER(TRIM(Raw_Data!D1530))="United kingdom"),"United Kingdom",PROPER(TRIM(Raw_Data!D1530)))</f>
        <v>United Kingdom</v>
      </c>
      <c r="E1530" s="6" t="s">
        <v>28</v>
      </c>
      <c r="F1530" s="6" t="s">
        <v>58</v>
      </c>
      <c r="G1530" s="6" t="str">
        <f>SUBSTITUTE(Raw_Data!G1530,"Ã©","é")</f>
        <v>Alpine Jacket</v>
      </c>
      <c r="H1530" s="6">
        <v>1</v>
      </c>
      <c r="I1530" s="6" t="s">
        <v>143</v>
      </c>
      <c r="J1530" s="6" t="s">
        <v>143</v>
      </c>
      <c r="K1530" s="6">
        <v>0.38</v>
      </c>
      <c r="L1530" s="6" t="s">
        <v>42</v>
      </c>
      <c r="M1530" s="6" t="s">
        <v>34</v>
      </c>
      <c r="N1530" s="6"/>
    </row>
    <row r="1531" spans="1:14">
      <c r="A1531" s="6" t="s">
        <v>2791</v>
      </c>
      <c r="B1531" s="7">
        <v>46045</v>
      </c>
      <c r="C1531" s="6" t="s">
        <v>2463</v>
      </c>
      <c r="D1531" s="6" t="str">
        <f>IF(OR(PROPER(TRIM(Raw_Data!D1531))="Uk",PROPER(TRIM(Raw_Data!D1531))="Gb",PROPER(TRIM(Raw_Data!D1531))="United kingdom"),"United Kingdom",PROPER(TRIM(Raw_Data!D1531)))</f>
        <v>Ireland</v>
      </c>
      <c r="E1531" s="6" t="s">
        <v>52</v>
      </c>
      <c r="F1531" s="6" t="s">
        <v>47</v>
      </c>
      <c r="G1531" s="6" t="str">
        <f>SUBSTITUTE(Raw_Data!G1531,"Ã©","é")</f>
        <v>Café Latte Mug</v>
      </c>
      <c r="H1531" s="6">
        <v>2</v>
      </c>
      <c r="I1531" s="6" t="s">
        <v>82</v>
      </c>
      <c r="J1531" s="6" t="s">
        <v>297</v>
      </c>
      <c r="K1531" s="6">
        <v>8.5000000000000006E-2</v>
      </c>
      <c r="L1531" s="6" t="s">
        <v>33</v>
      </c>
      <c r="M1531" s="6" t="s">
        <v>34</v>
      </c>
      <c r="N1531" s="6"/>
    </row>
    <row r="1532" spans="1:14">
      <c r="A1532" s="6" t="s">
        <v>2792</v>
      </c>
      <c r="B1532" s="7">
        <v>46063</v>
      </c>
      <c r="C1532" s="6" t="s">
        <v>2793</v>
      </c>
      <c r="D1532" s="6" t="str">
        <f>IF(OR(PROPER(TRIM(Raw_Data!D1532))="Uk",PROPER(TRIM(Raw_Data!D1532))="Gb",PROPER(TRIM(Raw_Data!D1532))="United kingdom"),"United Kingdom",PROPER(TRIM(Raw_Data!D1532)))</f>
        <v>Ireland</v>
      </c>
      <c r="E1532" s="6" t="s">
        <v>78</v>
      </c>
      <c r="F1532" s="6" t="s">
        <v>29</v>
      </c>
      <c r="G1532" s="6" t="str">
        <f>SUBSTITUTE(Raw_Data!G1532,"Ã©","é")</f>
        <v>Alpine Jacket</v>
      </c>
      <c r="H1532" s="6">
        <v>1</v>
      </c>
      <c r="I1532" s="6" t="s">
        <v>90</v>
      </c>
      <c r="J1532" s="6" t="s">
        <v>90</v>
      </c>
      <c r="K1532" s="6">
        <v>0.52</v>
      </c>
      <c r="L1532" s="6" t="s">
        <v>42</v>
      </c>
      <c r="M1532" s="6" t="s">
        <v>34</v>
      </c>
      <c r="N1532" s="6"/>
    </row>
    <row r="1533" spans="1:14">
      <c r="A1533" s="6" t="s">
        <v>2794</v>
      </c>
      <c r="B1533" s="7">
        <v>46197</v>
      </c>
      <c r="C1533" s="6" t="s">
        <v>2795</v>
      </c>
      <c r="D1533" s="6" t="str">
        <f>IF(OR(PROPER(TRIM(Raw_Data!D1533))="Uk",PROPER(TRIM(Raw_Data!D1533))="Gb",PROPER(TRIM(Raw_Data!D1533))="United kingdom"),"United Kingdom",PROPER(TRIM(Raw_Data!D1533)))</f>
        <v>United Kingdom</v>
      </c>
      <c r="E1533" s="6" t="s">
        <v>78</v>
      </c>
      <c r="F1533" s="6" t="s">
        <v>47</v>
      </c>
      <c r="G1533" s="6" t="str">
        <f>SUBSTITUTE(Raw_Data!G1533,"Ã©","é")</f>
        <v>Fell Runner Cap</v>
      </c>
      <c r="H1533" s="6">
        <v>1</v>
      </c>
      <c r="I1533" s="6" t="s">
        <v>31</v>
      </c>
      <c r="J1533" s="6" t="s">
        <v>31</v>
      </c>
      <c r="K1533" s="6">
        <v>8.5000000000000006E-2</v>
      </c>
      <c r="L1533" s="6" t="s">
        <v>42</v>
      </c>
      <c r="M1533" s="6" t="s">
        <v>34</v>
      </c>
      <c r="N1533" s="6"/>
    </row>
    <row r="1534" spans="1:14">
      <c r="A1534" s="6" t="s">
        <v>2796</v>
      </c>
      <c r="B1534" s="7">
        <v>46127</v>
      </c>
      <c r="C1534" s="6" t="s">
        <v>2797</v>
      </c>
      <c r="D1534" s="6" t="str">
        <f>IF(OR(PROPER(TRIM(Raw_Data!D1534))="Uk",PROPER(TRIM(Raw_Data!D1534))="Gb",PROPER(TRIM(Raw_Data!D1534))="United kingdom"),"United Kingdom",PROPER(TRIM(Raw_Data!D1534)))</f>
        <v>United Kingdom</v>
      </c>
      <c r="E1534" s="6" t="s">
        <v>46</v>
      </c>
      <c r="F1534" s="6" t="s">
        <v>94</v>
      </c>
      <c r="G1534" s="6" t="str">
        <f>SUBSTITUTE(Raw_Data!G1534,"Ã©","é")</f>
        <v>Merino Base Layer</v>
      </c>
      <c r="H1534" s="6">
        <v>3</v>
      </c>
      <c r="I1534" s="6" t="s">
        <v>82</v>
      </c>
      <c r="J1534" s="6" t="s">
        <v>390</v>
      </c>
      <c r="K1534" s="6">
        <v>0.34</v>
      </c>
      <c r="L1534" s="6" t="s">
        <v>42</v>
      </c>
      <c r="M1534" s="6" t="s">
        <v>69</v>
      </c>
      <c r="N1534" s="6"/>
    </row>
    <row r="1535" spans="1:14">
      <c r="A1535" s="6" t="s">
        <v>2798</v>
      </c>
      <c r="B1535" s="7">
        <v>46084</v>
      </c>
      <c r="C1535" s="6" t="s">
        <v>1007</v>
      </c>
      <c r="D1535" s="6" t="str">
        <f>IF(OR(PROPER(TRIM(Raw_Data!D1535))="Uk",PROPER(TRIM(Raw_Data!D1535))="Gb",PROPER(TRIM(Raw_Data!D1535))="United kingdom"),"United Kingdom",PROPER(TRIM(Raw_Data!D1535)))</f>
        <v>France</v>
      </c>
      <c r="E1535" s="6" t="s">
        <v>37</v>
      </c>
      <c r="F1535" s="6" t="s">
        <v>94</v>
      </c>
      <c r="G1535" s="6" t="str">
        <f>SUBSTITUTE(Raw_Data!G1535,"Ã©","é")</f>
        <v>Alpine Jacket</v>
      </c>
      <c r="H1535" s="6">
        <v>1</v>
      </c>
      <c r="I1535" s="6" t="s">
        <v>143</v>
      </c>
      <c r="J1535" s="6" t="s">
        <v>143</v>
      </c>
      <c r="K1535" s="6">
        <v>0.34</v>
      </c>
      <c r="L1535" s="6" t="s">
        <v>33</v>
      </c>
      <c r="M1535" s="6" t="s">
        <v>69</v>
      </c>
      <c r="N1535" s="6"/>
    </row>
    <row r="1536" spans="1:14">
      <c r="A1536" s="6" t="s">
        <v>2799</v>
      </c>
      <c r="B1536" s="7">
        <v>46209</v>
      </c>
      <c r="C1536" s="6" t="s">
        <v>873</v>
      </c>
      <c r="D1536" s="6" t="str">
        <f>IF(OR(PROPER(TRIM(Raw_Data!D1536))="Uk",PROPER(TRIM(Raw_Data!D1536))="Gb",PROPER(TRIM(Raw_Data!D1536))="United kingdom"),"United Kingdom",PROPER(TRIM(Raw_Data!D1536)))</f>
        <v>United Kingdom</v>
      </c>
      <c r="E1536" s="6" t="s">
        <v>37</v>
      </c>
      <c r="F1536" s="6" t="s">
        <v>94</v>
      </c>
      <c r="G1536" s="6" t="str">
        <f>SUBSTITUTE(Raw_Data!G1536,"Ã©","é")</f>
        <v>Storm Overtrousers</v>
      </c>
      <c r="H1536" s="6">
        <v>1</v>
      </c>
      <c r="I1536" s="6" t="s">
        <v>113</v>
      </c>
      <c r="J1536" s="6" t="s">
        <v>113</v>
      </c>
      <c r="K1536" s="6">
        <v>0.34</v>
      </c>
      <c r="L1536" s="6" t="s">
        <v>33</v>
      </c>
      <c r="M1536" s="6" t="s">
        <v>69</v>
      </c>
      <c r="N1536" s="6"/>
    </row>
    <row r="1537" spans="1:14">
      <c r="A1537" s="6" t="s">
        <v>2800</v>
      </c>
      <c r="B1537" s="7">
        <v>46266</v>
      </c>
      <c r="C1537" s="6" t="s">
        <v>1179</v>
      </c>
      <c r="D1537" s="6" t="str">
        <f>IF(OR(PROPER(TRIM(Raw_Data!D1537))="Uk",PROPER(TRIM(Raw_Data!D1537))="Gb",PROPER(TRIM(Raw_Data!D1537))="United kingdom"),"United Kingdom",PROPER(TRIM(Raw_Data!D1537)))</f>
        <v>United Kingdom</v>
      </c>
      <c r="E1537" s="6" t="s">
        <v>46</v>
      </c>
      <c r="F1537" s="6" t="s">
        <v>94</v>
      </c>
      <c r="G1537" s="6" t="str">
        <f>SUBSTITUTE(Raw_Data!G1537,"Ã©","é")</f>
        <v>Fell Runner Cap</v>
      </c>
      <c r="H1537" s="6">
        <v>2</v>
      </c>
      <c r="I1537" s="6" t="s">
        <v>231</v>
      </c>
      <c r="J1537" s="6" t="s">
        <v>232</v>
      </c>
      <c r="K1537" s="6">
        <v>0.34</v>
      </c>
      <c r="L1537" s="6" t="s">
        <v>42</v>
      </c>
      <c r="M1537" s="6" t="s">
        <v>69</v>
      </c>
      <c r="N1537" s="6"/>
    </row>
    <row r="1538" spans="1:14">
      <c r="A1538" s="6" t="s">
        <v>2801</v>
      </c>
      <c r="B1538" s="7">
        <v>46051</v>
      </c>
      <c r="C1538" s="6" t="s">
        <v>2802</v>
      </c>
      <c r="D1538" s="6" t="str">
        <f>IF(OR(PROPER(TRIM(Raw_Data!D1538))="Uk",PROPER(TRIM(Raw_Data!D1538))="Gb",PROPER(TRIM(Raw_Data!D1538))="United kingdom"),"United Kingdom",PROPER(TRIM(Raw_Data!D1538)))</f>
        <v>Ireland</v>
      </c>
      <c r="E1538" s="6" t="s">
        <v>52</v>
      </c>
      <c r="F1538" s="6" t="s">
        <v>100</v>
      </c>
      <c r="G1538" s="6" t="str">
        <f>SUBSTITUTE(Raw_Data!G1538,"Ã©","é")</f>
        <v>Fell Runner Cap</v>
      </c>
      <c r="H1538" s="6">
        <v>3</v>
      </c>
      <c r="I1538" s="6" t="s">
        <v>373</v>
      </c>
      <c r="J1538" s="6" t="s">
        <v>216</v>
      </c>
      <c r="K1538" s="6">
        <v>0.64</v>
      </c>
      <c r="L1538" s="6" t="s">
        <v>33</v>
      </c>
      <c r="M1538" s="6" t="s">
        <v>34</v>
      </c>
      <c r="N1538" s="6"/>
    </row>
    <row r="1539" spans="1:14">
      <c r="A1539" s="6" t="s">
        <v>2803</v>
      </c>
      <c r="B1539" s="7">
        <v>46088</v>
      </c>
      <c r="C1539" s="6" t="s">
        <v>2804</v>
      </c>
      <c r="D1539" s="6" t="str">
        <f>IF(OR(PROPER(TRIM(Raw_Data!D1539))="Uk",PROPER(TRIM(Raw_Data!D1539))="Gb",PROPER(TRIM(Raw_Data!D1539))="United kingdom"),"United Kingdom",PROPER(TRIM(Raw_Data!D1539)))</f>
        <v>Germany</v>
      </c>
      <c r="E1539" s="6" t="s">
        <v>37</v>
      </c>
      <c r="F1539" s="6" t="s">
        <v>53</v>
      </c>
      <c r="G1539" s="6" t="str">
        <f>SUBSTITUTE(Raw_Data!G1539,"Ã©","é")</f>
        <v>Fell Runner Cap</v>
      </c>
      <c r="H1539" s="6">
        <v>1</v>
      </c>
      <c r="I1539" s="6" t="s">
        <v>113</v>
      </c>
      <c r="J1539" s="6" t="s">
        <v>113</v>
      </c>
      <c r="K1539" s="6">
        <v>0.19</v>
      </c>
      <c r="L1539" s="6" t="s">
        <v>33</v>
      </c>
      <c r="M1539" s="6" t="s">
        <v>69</v>
      </c>
      <c r="N1539" s="6"/>
    </row>
    <row r="1540" spans="1:14">
      <c r="A1540" s="6" t="s">
        <v>2805</v>
      </c>
      <c r="B1540" s="7">
        <v>46024</v>
      </c>
      <c r="C1540" s="6" t="s">
        <v>1697</v>
      </c>
      <c r="D1540" s="6" t="str">
        <f>IF(OR(PROPER(TRIM(Raw_Data!D1540))="Uk",PROPER(TRIM(Raw_Data!D1540))="Gb",PROPER(TRIM(Raw_Data!D1540))="United kingdom"),"United Kingdom",PROPER(TRIM(Raw_Data!D1540)))</f>
        <v>Ireland</v>
      </c>
      <c r="E1540" s="6" t="s">
        <v>37</v>
      </c>
      <c r="F1540" s="6" t="s">
        <v>85</v>
      </c>
      <c r="G1540" s="6" t="str">
        <f>SUBSTITUTE(Raw_Data!G1540,"Ã©","é")</f>
        <v>Alpine Jacket</v>
      </c>
      <c r="H1540" s="6">
        <v>2</v>
      </c>
      <c r="I1540" s="6" t="s">
        <v>73</v>
      </c>
      <c r="J1540" s="6" t="s">
        <v>74</v>
      </c>
      <c r="K1540" s="6">
        <v>0.41</v>
      </c>
      <c r="L1540" s="6" t="s">
        <v>42</v>
      </c>
      <c r="M1540" s="6" t="s">
        <v>34</v>
      </c>
      <c r="N1540" s="6"/>
    </row>
    <row r="1541" spans="1:14">
      <c r="A1541" s="6" t="s">
        <v>2806</v>
      </c>
      <c r="B1541" s="7">
        <v>46138</v>
      </c>
      <c r="C1541" s="6" t="s">
        <v>2004</v>
      </c>
      <c r="D1541" s="6" t="str">
        <f>IF(OR(PROPER(TRIM(Raw_Data!D1541))="Uk",PROPER(TRIM(Raw_Data!D1541))="Gb",PROPER(TRIM(Raw_Data!D1541))="United kingdom"),"United Kingdom",PROPER(TRIM(Raw_Data!D1541)))</f>
        <v>United Kingdom</v>
      </c>
      <c r="E1541" s="6" t="s">
        <v>28</v>
      </c>
      <c r="F1541" s="6" t="s">
        <v>85</v>
      </c>
      <c r="G1541" s="6" t="str">
        <f>SUBSTITUTE(Raw_Data!G1541,"Ã©","é")</f>
        <v>Merino Base Layer</v>
      </c>
      <c r="H1541" s="6">
        <v>1</v>
      </c>
      <c r="I1541" s="6" t="s">
        <v>82</v>
      </c>
      <c r="J1541" s="6" t="s">
        <v>82</v>
      </c>
      <c r="K1541" s="6">
        <v>0.41</v>
      </c>
      <c r="L1541" s="6" t="s">
        <v>33</v>
      </c>
      <c r="M1541" s="6" t="s">
        <v>34</v>
      </c>
      <c r="N1541" s="6"/>
    </row>
    <row r="1542" spans="1:14">
      <c r="A1542" s="6" t="s">
        <v>2808</v>
      </c>
      <c r="B1542" s="7">
        <v>46360</v>
      </c>
      <c r="C1542" s="6" t="s">
        <v>2809</v>
      </c>
      <c r="D1542" s="6" t="str">
        <f>IF(OR(PROPER(TRIM(Raw_Data!D1542))="Uk",PROPER(TRIM(Raw_Data!D1542))="Gb",PROPER(TRIM(Raw_Data!D1542))="United kingdom"),"United Kingdom",PROPER(TRIM(Raw_Data!D1542)))</f>
        <v>Ireland</v>
      </c>
      <c r="E1542" s="6" t="s">
        <v>52</v>
      </c>
      <c r="F1542" s="6" t="s">
        <v>53</v>
      </c>
      <c r="G1542" s="6" t="str">
        <f>SUBSTITUTE(Raw_Data!G1542,"Ã©","é")</f>
        <v>Alpine Jacket</v>
      </c>
      <c r="H1542" s="6">
        <v>2</v>
      </c>
      <c r="I1542" s="6" t="s">
        <v>265</v>
      </c>
      <c r="J1542" s="6" t="s">
        <v>167</v>
      </c>
      <c r="K1542" s="6">
        <v>0.19</v>
      </c>
      <c r="L1542" s="6" t="s">
        <v>42</v>
      </c>
      <c r="M1542" s="6" t="s">
        <v>34</v>
      </c>
      <c r="N1542" s="6"/>
    </row>
    <row r="1543" spans="1:14">
      <c r="A1543" s="6" t="s">
        <v>2810</v>
      </c>
      <c r="B1543" s="7">
        <v>46118</v>
      </c>
      <c r="C1543" s="6" t="s">
        <v>2811</v>
      </c>
      <c r="D1543" s="6" t="str">
        <f>IF(OR(PROPER(TRIM(Raw_Data!D1543))="Uk",PROPER(TRIM(Raw_Data!D1543))="Gb",PROPER(TRIM(Raw_Data!D1543))="United kingdom"),"United Kingdom",PROPER(TRIM(Raw_Data!D1543)))</f>
        <v>Ireland</v>
      </c>
      <c r="E1543" s="6" t="s">
        <v>52</v>
      </c>
      <c r="F1543" s="6" t="s">
        <v>47</v>
      </c>
      <c r="G1543" s="6" t="str">
        <f>SUBSTITUTE(Raw_Data!G1543,"Ã©","é")</f>
        <v>Alpine Jacket</v>
      </c>
      <c r="H1543" s="6">
        <v>2</v>
      </c>
      <c r="I1543" s="6" t="s">
        <v>181</v>
      </c>
      <c r="J1543" s="6" t="s">
        <v>163</v>
      </c>
      <c r="K1543" s="6">
        <v>8.5000000000000006E-2</v>
      </c>
      <c r="L1543" s="6" t="s">
        <v>42</v>
      </c>
      <c r="M1543" s="6" t="s">
        <v>34</v>
      </c>
      <c r="N1543" s="6"/>
    </row>
    <row r="1544" spans="1:14">
      <c r="A1544" s="6" t="s">
        <v>2812</v>
      </c>
      <c r="B1544" s="7">
        <v>46136</v>
      </c>
      <c r="C1544" s="6" t="s">
        <v>845</v>
      </c>
      <c r="D1544" s="6" t="str">
        <f>IF(OR(PROPER(TRIM(Raw_Data!D1544))="Uk",PROPER(TRIM(Raw_Data!D1544))="Gb",PROPER(TRIM(Raw_Data!D1544))="United kingdom"),"United Kingdom",PROPER(TRIM(Raw_Data!D1544)))</f>
        <v>United Kingdom</v>
      </c>
      <c r="E1544" s="6" t="s">
        <v>78</v>
      </c>
      <c r="F1544" s="6" t="s">
        <v>85</v>
      </c>
      <c r="G1544" s="6" t="str">
        <f>SUBSTITUTE(Raw_Data!G1544,"Ã©","é")</f>
        <v>Storm Overtrousers</v>
      </c>
      <c r="H1544" s="6">
        <v>1</v>
      </c>
      <c r="I1544" s="6" t="s">
        <v>90</v>
      </c>
      <c r="J1544" s="6" t="s">
        <v>90</v>
      </c>
      <c r="K1544" s="6">
        <v>0.41</v>
      </c>
      <c r="L1544" s="6" t="s">
        <v>42</v>
      </c>
      <c r="M1544" s="6" t="s">
        <v>69</v>
      </c>
      <c r="N1544" s="6"/>
    </row>
    <row r="1545" spans="1:14">
      <c r="A1545" s="6" t="s">
        <v>2813</v>
      </c>
      <c r="B1545" s="7">
        <v>46155</v>
      </c>
      <c r="C1545" s="6" t="s">
        <v>1098</v>
      </c>
      <c r="D1545" s="6" t="str">
        <f>IF(OR(PROPER(TRIM(Raw_Data!D1545))="Uk",PROPER(TRIM(Raw_Data!D1545))="Gb",PROPER(TRIM(Raw_Data!D1545))="United kingdom"),"United Kingdom",PROPER(TRIM(Raw_Data!D1545)))</f>
        <v>Germany</v>
      </c>
      <c r="E1545" s="6" t="s">
        <v>37</v>
      </c>
      <c r="F1545" s="6" t="s">
        <v>38</v>
      </c>
      <c r="G1545" s="6" t="str">
        <f>SUBSTITUTE(Raw_Data!G1545,"Ã©","é")</f>
        <v>Summit Down Gilet</v>
      </c>
      <c r="H1545" s="6">
        <v>1</v>
      </c>
      <c r="I1545" s="6" t="s">
        <v>90</v>
      </c>
      <c r="J1545" s="6" t="s">
        <v>90</v>
      </c>
      <c r="K1545" s="6">
        <v>0.52</v>
      </c>
      <c r="L1545" s="6" t="s">
        <v>42</v>
      </c>
      <c r="M1545" s="6" t="s">
        <v>69</v>
      </c>
      <c r="N1545" s="6"/>
    </row>
    <row r="1546" spans="1:14">
      <c r="A1546" s="6" t="s">
        <v>2814</v>
      </c>
      <c r="B1546" s="7">
        <v>46157</v>
      </c>
      <c r="C1546" s="6" t="s">
        <v>2815</v>
      </c>
      <c r="D1546" s="6" t="str">
        <f>IF(OR(PROPER(TRIM(Raw_Data!D1546))="Uk",PROPER(TRIM(Raw_Data!D1546))="Gb",PROPER(TRIM(Raw_Data!D1546))="United kingdom"),"United Kingdom",PROPER(TRIM(Raw_Data!D1546)))</f>
        <v>Ireland</v>
      </c>
      <c r="E1546" s="6" t="s">
        <v>52</v>
      </c>
      <c r="F1546" s="6" t="s">
        <v>100</v>
      </c>
      <c r="G1546" s="6" t="str">
        <f>SUBSTITUTE(Raw_Data!G1546,"Ã©","é")</f>
        <v>Fell Runner Cap</v>
      </c>
      <c r="H1546" s="6">
        <v>1</v>
      </c>
      <c r="I1546" s="6" t="s">
        <v>231</v>
      </c>
      <c r="J1546" s="6" t="s">
        <v>231</v>
      </c>
      <c r="K1546" s="6">
        <v>0.64</v>
      </c>
      <c r="L1546" s="6" t="s">
        <v>33</v>
      </c>
      <c r="M1546" s="6" t="s">
        <v>34</v>
      </c>
      <c r="N1546" s="6"/>
    </row>
    <row r="1547" spans="1:14">
      <c r="A1547" s="6" t="s">
        <v>2816</v>
      </c>
      <c r="B1547" s="7">
        <v>46125</v>
      </c>
      <c r="C1547" s="6" t="s">
        <v>2817</v>
      </c>
      <c r="D1547" s="6" t="str">
        <f>IF(OR(PROPER(TRIM(Raw_Data!D1547))="Uk",PROPER(TRIM(Raw_Data!D1547))="Gb",PROPER(TRIM(Raw_Data!D1547))="United kingdom"),"United Kingdom",PROPER(TRIM(Raw_Data!D1547)))</f>
        <v>United Kingdom</v>
      </c>
      <c r="E1547" s="6" t="s">
        <v>46</v>
      </c>
      <c r="F1547" s="6" t="s">
        <v>85</v>
      </c>
      <c r="G1547" s="6" t="str">
        <f>SUBSTITUTE(Raw_Data!G1547,"Ã©","é")</f>
        <v>Trekking Poles</v>
      </c>
      <c r="H1547" s="6">
        <v>2</v>
      </c>
      <c r="I1547" s="6" t="s">
        <v>143</v>
      </c>
      <c r="J1547" s="6" t="s">
        <v>144</v>
      </c>
      <c r="K1547" s="6">
        <v>0.41</v>
      </c>
      <c r="L1547" s="6" t="s">
        <v>42</v>
      </c>
      <c r="M1547" s="6" t="s">
        <v>69</v>
      </c>
      <c r="N1547" s="6"/>
    </row>
    <row r="1548" spans="1:14">
      <c r="A1548" s="6" t="s">
        <v>2818</v>
      </c>
      <c r="B1548" s="7">
        <v>46106</v>
      </c>
      <c r="C1548" s="6" t="s">
        <v>1286</v>
      </c>
      <c r="D1548" s="6" t="str">
        <f>IF(OR(PROPER(TRIM(Raw_Data!D1548))="Uk",PROPER(TRIM(Raw_Data!D1548))="Gb",PROPER(TRIM(Raw_Data!D1548))="United kingdom"),"United Kingdom",PROPER(TRIM(Raw_Data!D1548)))</f>
        <v>France</v>
      </c>
      <c r="E1548" s="6" t="s">
        <v>52</v>
      </c>
      <c r="F1548" s="6" t="s">
        <v>53</v>
      </c>
      <c r="G1548" s="6" t="str">
        <f>SUBSTITUTE(Raw_Data!G1548,"Ã©","é")</f>
        <v>Merino Base Layer</v>
      </c>
      <c r="H1548" s="6">
        <v>2</v>
      </c>
      <c r="I1548" s="6" t="s">
        <v>113</v>
      </c>
      <c r="J1548" s="6" t="s">
        <v>192</v>
      </c>
      <c r="K1548" s="6">
        <v>0.19</v>
      </c>
      <c r="L1548" s="6" t="s">
        <v>42</v>
      </c>
      <c r="M1548" s="6" t="s">
        <v>69</v>
      </c>
      <c r="N1548" s="6"/>
    </row>
    <row r="1549" spans="1:14">
      <c r="A1549" s="6" t="s">
        <v>2819</v>
      </c>
      <c r="B1549" s="7">
        <v>46125</v>
      </c>
      <c r="C1549" s="6" t="s">
        <v>2820</v>
      </c>
      <c r="D1549" s="6" t="str">
        <f>IF(OR(PROPER(TRIM(Raw_Data!D1549))="Uk",PROPER(TRIM(Raw_Data!D1549))="Gb",PROPER(TRIM(Raw_Data!D1549))="United kingdom"),"United Kingdom",PROPER(TRIM(Raw_Data!D1549)))</f>
        <v>Germany</v>
      </c>
      <c r="E1549" s="6" t="s">
        <v>37</v>
      </c>
      <c r="F1549" s="6" t="s">
        <v>85</v>
      </c>
      <c r="G1549" s="6" t="str">
        <f>SUBSTITUTE(Raw_Data!G1549,"Ã©","é")</f>
        <v>Fell Runner Cap</v>
      </c>
      <c r="H1549" s="6">
        <v>2</v>
      </c>
      <c r="I1549" s="6" t="s">
        <v>147</v>
      </c>
      <c r="J1549" s="6" t="s">
        <v>175</v>
      </c>
      <c r="K1549" s="6">
        <v>0.41</v>
      </c>
      <c r="L1549" s="6" t="s">
        <v>42</v>
      </c>
      <c r="M1549" s="6" t="s">
        <v>34</v>
      </c>
      <c r="N1549" s="6"/>
    </row>
    <row r="1550" spans="1:14">
      <c r="A1550" s="6" t="s">
        <v>2821</v>
      </c>
      <c r="B1550" s="7">
        <v>46360</v>
      </c>
      <c r="C1550" s="6" t="s">
        <v>2822</v>
      </c>
      <c r="D1550" s="6" t="str">
        <f>IF(OR(PROPER(TRIM(Raw_Data!D1550))="Uk",PROPER(TRIM(Raw_Data!D1550))="Gb",PROPER(TRIM(Raw_Data!D1550))="United kingdom"),"United Kingdom",PROPER(TRIM(Raw_Data!D1550)))</f>
        <v>Ireland</v>
      </c>
      <c r="E1550" s="6" t="s">
        <v>37</v>
      </c>
      <c r="F1550" s="6" t="s">
        <v>29</v>
      </c>
      <c r="G1550" s="6" t="str">
        <f>SUBSTITUTE(Raw_Data!G1550,"Ã©","é")</f>
        <v>Café Latte Mug</v>
      </c>
      <c r="H1550" s="6">
        <v>1</v>
      </c>
      <c r="I1550" s="6" t="s">
        <v>2626</v>
      </c>
      <c r="J1550" s="6" t="s">
        <v>82</v>
      </c>
      <c r="K1550" s="6">
        <v>0.52</v>
      </c>
      <c r="L1550" s="6" t="s">
        <v>42</v>
      </c>
      <c r="M1550" s="6" t="s">
        <v>34</v>
      </c>
      <c r="N1550" s="6"/>
    </row>
    <row r="1551" spans="1:14">
      <c r="A1551" s="6" t="s">
        <v>2823</v>
      </c>
      <c r="B1551" s="7">
        <v>46044</v>
      </c>
      <c r="C1551" s="6" t="s">
        <v>2824</v>
      </c>
      <c r="D1551" s="6" t="str">
        <f>IF(OR(PROPER(TRIM(Raw_Data!D1551))="Uk",PROPER(TRIM(Raw_Data!D1551))="Gb",PROPER(TRIM(Raw_Data!D1551))="United kingdom"),"United Kingdom",PROPER(TRIM(Raw_Data!D1551)))</f>
        <v>Germany</v>
      </c>
      <c r="E1551" s="6" t="s">
        <v>52</v>
      </c>
      <c r="F1551" s="6" t="s">
        <v>47</v>
      </c>
      <c r="G1551" s="6" t="str">
        <f>SUBSTITUTE(Raw_Data!G1551,"Ã©","é")</f>
        <v>Café Latte Mug</v>
      </c>
      <c r="H1551" s="6">
        <v>2</v>
      </c>
      <c r="I1551" s="6" t="s">
        <v>1224</v>
      </c>
      <c r="J1551" s="6" t="s">
        <v>118</v>
      </c>
      <c r="K1551" s="6">
        <v>8.5000000000000006E-2</v>
      </c>
      <c r="L1551" s="6" t="s">
        <v>42</v>
      </c>
      <c r="M1551" s="6" t="s">
        <v>69</v>
      </c>
      <c r="N1551" s="6"/>
    </row>
    <row r="1552" spans="1:14">
      <c r="A1552" s="6" t="s">
        <v>2825</v>
      </c>
      <c r="B1552" s="7">
        <v>46051</v>
      </c>
      <c r="C1552" s="6" t="s">
        <v>1252</v>
      </c>
      <c r="D1552" s="6" t="str">
        <f>IF(OR(PROPER(TRIM(Raw_Data!D1552))="Uk",PROPER(TRIM(Raw_Data!D1552))="Gb",PROPER(TRIM(Raw_Data!D1552))="United kingdom"),"United Kingdom",PROPER(TRIM(Raw_Data!D1552)))</f>
        <v>France</v>
      </c>
      <c r="E1552" s="6" t="s">
        <v>46</v>
      </c>
      <c r="F1552" s="6" t="s">
        <v>94</v>
      </c>
      <c r="G1552" s="6" t="str">
        <f>SUBSTITUTE(Raw_Data!G1552,"Ã©","é")</f>
        <v>Café Latte Mug</v>
      </c>
      <c r="H1552" s="6">
        <v>3</v>
      </c>
      <c r="I1552" s="6" t="s">
        <v>231</v>
      </c>
      <c r="J1552" s="6" t="s">
        <v>505</v>
      </c>
      <c r="K1552" s="6">
        <v>0.34</v>
      </c>
      <c r="L1552" s="6" t="s">
        <v>33</v>
      </c>
      <c r="M1552" s="6" t="s">
        <v>34</v>
      </c>
      <c r="N1552" s="6"/>
    </row>
    <row r="1553" spans="1:14">
      <c r="A1553" s="6" t="s">
        <v>2826</v>
      </c>
      <c r="B1553" s="7">
        <v>46109</v>
      </c>
      <c r="C1553" s="6" t="s">
        <v>1839</v>
      </c>
      <c r="D1553" s="6" t="str">
        <f>IF(OR(PROPER(TRIM(Raw_Data!D1553))="Uk",PROPER(TRIM(Raw_Data!D1553))="Gb",PROPER(TRIM(Raw_Data!D1553))="United kingdom"),"United Kingdom",PROPER(TRIM(Raw_Data!D1553)))</f>
        <v>United Kingdom</v>
      </c>
      <c r="E1553" s="6" t="s">
        <v>52</v>
      </c>
      <c r="F1553" s="6" t="s">
        <v>85</v>
      </c>
      <c r="G1553" s="6" t="str">
        <f>SUBSTITUTE(Raw_Data!G1553,"Ã©","é")</f>
        <v>Café Latte Mug</v>
      </c>
      <c r="H1553" s="6">
        <v>2</v>
      </c>
      <c r="I1553" s="6" t="s">
        <v>113</v>
      </c>
      <c r="J1553" s="6" t="s">
        <v>2827</v>
      </c>
      <c r="K1553" s="6">
        <v>0.41</v>
      </c>
      <c r="L1553" s="6" t="s">
        <v>42</v>
      </c>
      <c r="M1553" s="6" t="s">
        <v>34</v>
      </c>
      <c r="N1553" s="6"/>
    </row>
    <row r="1554" spans="1:14">
      <c r="A1554" s="6" t="s">
        <v>2828</v>
      </c>
      <c r="B1554" s="7">
        <v>46164</v>
      </c>
      <c r="C1554" s="6" t="s">
        <v>2829</v>
      </c>
      <c r="D1554" s="6" t="str">
        <f>IF(OR(PROPER(TRIM(Raw_Data!D1554))="Uk",PROPER(TRIM(Raw_Data!D1554))="Gb",PROPER(TRIM(Raw_Data!D1554))="United kingdom"),"United Kingdom",PROPER(TRIM(Raw_Data!D1554)))</f>
        <v>Ireland</v>
      </c>
      <c r="E1554" s="6" t="s">
        <v>78</v>
      </c>
      <c r="F1554" s="6" t="s">
        <v>94</v>
      </c>
      <c r="G1554" s="6" t="str">
        <f>SUBSTITUTE(Raw_Data!G1554,"Ã©","é")</f>
        <v>Alpine Jacket</v>
      </c>
      <c r="H1554" s="6">
        <v>2</v>
      </c>
      <c r="I1554" s="6" t="s">
        <v>117</v>
      </c>
      <c r="J1554" s="6" t="s">
        <v>118</v>
      </c>
      <c r="K1554" s="6">
        <v>0.34</v>
      </c>
      <c r="L1554" s="6" t="s">
        <v>42</v>
      </c>
      <c r="M1554" s="6" t="s">
        <v>34</v>
      </c>
      <c r="N1554" s="6"/>
    </row>
    <row r="1555" spans="1:14">
      <c r="A1555" s="6" t="s">
        <v>2830</v>
      </c>
      <c r="B1555" s="7">
        <v>46239</v>
      </c>
      <c r="C1555" s="6" t="s">
        <v>578</v>
      </c>
      <c r="D1555" s="6" t="str">
        <f>IF(OR(PROPER(TRIM(Raw_Data!D1555))="Uk",PROPER(TRIM(Raw_Data!D1555))="Gb",PROPER(TRIM(Raw_Data!D1555))="United kingdom"),"United Kingdom",PROPER(TRIM(Raw_Data!D1555)))</f>
        <v>United Kingdom</v>
      </c>
      <c r="E1555" s="6" t="s">
        <v>78</v>
      </c>
      <c r="F1555" s="6" t="s">
        <v>53</v>
      </c>
      <c r="G1555" s="6" t="str">
        <f>SUBSTITUTE(Raw_Data!G1555,"Ã©","é")</f>
        <v>Merino Base Layer</v>
      </c>
      <c r="H1555" s="6">
        <v>2</v>
      </c>
      <c r="I1555" s="6" t="s">
        <v>265</v>
      </c>
      <c r="J1555" s="6" t="s">
        <v>167</v>
      </c>
      <c r="K1555" s="6">
        <v>0.19</v>
      </c>
      <c r="L1555" s="6" t="s">
        <v>42</v>
      </c>
      <c r="M1555" s="6" t="s">
        <v>34</v>
      </c>
      <c r="N1555" s="6"/>
    </row>
    <row r="1556" spans="1:14">
      <c r="A1556" s="6" t="s">
        <v>2831</v>
      </c>
      <c r="B1556" s="7">
        <v>46157</v>
      </c>
      <c r="C1556" s="6" t="s">
        <v>552</v>
      </c>
      <c r="D1556" s="6" t="str">
        <f>IF(OR(PROPER(TRIM(Raw_Data!D1556))="Uk",PROPER(TRIM(Raw_Data!D1556))="Gb",PROPER(TRIM(Raw_Data!D1556))="United kingdom"),"United Kingdom",PROPER(TRIM(Raw_Data!D1556)))</f>
        <v>United Kingdom</v>
      </c>
      <c r="E1556" s="6" t="s">
        <v>78</v>
      </c>
      <c r="F1556" s="6" t="s">
        <v>100</v>
      </c>
      <c r="G1556" s="6" t="str">
        <f>SUBSTITUTE(Raw_Data!G1556,"Ã©","é")</f>
        <v>Storm Overtrousers</v>
      </c>
      <c r="H1556" s="6">
        <v>1</v>
      </c>
      <c r="I1556" s="6" t="s">
        <v>265</v>
      </c>
      <c r="J1556" s="6" t="s">
        <v>265</v>
      </c>
      <c r="K1556" s="6">
        <v>0.64</v>
      </c>
      <c r="L1556" s="6" t="s">
        <v>42</v>
      </c>
      <c r="M1556" s="6" t="s">
        <v>34</v>
      </c>
      <c r="N1556" s="6"/>
    </row>
    <row r="1557" spans="1:14">
      <c r="A1557" s="6" t="s">
        <v>2832</v>
      </c>
      <c r="B1557" s="7">
        <v>46205</v>
      </c>
      <c r="C1557" s="6" t="s">
        <v>2833</v>
      </c>
      <c r="D1557" s="6" t="str">
        <f>IF(OR(PROPER(TRIM(Raw_Data!D1557))="Uk",PROPER(TRIM(Raw_Data!D1557))="Gb",PROPER(TRIM(Raw_Data!D1557))="United kingdom"),"United Kingdom",PROPER(TRIM(Raw_Data!D1557)))</f>
        <v>Ireland</v>
      </c>
      <c r="E1557" s="6" t="s">
        <v>78</v>
      </c>
      <c r="F1557" s="6" t="s">
        <v>29</v>
      </c>
      <c r="G1557" s="6" t="str">
        <f>SUBSTITUTE(Raw_Data!G1557,"Ã©","é")</f>
        <v>Storm Overtrousers</v>
      </c>
      <c r="H1557" s="6">
        <v>1</v>
      </c>
      <c r="I1557" s="6" t="s">
        <v>40</v>
      </c>
      <c r="J1557" s="6" t="s">
        <v>40</v>
      </c>
      <c r="K1557" s="6">
        <v>0.52</v>
      </c>
      <c r="L1557" s="6" t="s">
        <v>42</v>
      </c>
      <c r="M1557" s="6" t="s">
        <v>69</v>
      </c>
      <c r="N1557" s="6"/>
    </row>
    <row r="1558" spans="1:14">
      <c r="A1558" s="6" t="s">
        <v>2834</v>
      </c>
      <c r="B1558" s="7">
        <v>46095</v>
      </c>
      <c r="C1558" s="6" t="s">
        <v>507</v>
      </c>
      <c r="D1558" s="6" t="str">
        <f>IF(OR(PROPER(TRIM(Raw_Data!D1558))="Uk",PROPER(TRIM(Raw_Data!D1558))="Gb",PROPER(TRIM(Raw_Data!D1558))="United kingdom"),"United Kingdom",PROPER(TRIM(Raw_Data!D1558)))</f>
        <v>Germany</v>
      </c>
      <c r="E1558" s="6" t="s">
        <v>46</v>
      </c>
      <c r="F1558" s="6" t="s">
        <v>47</v>
      </c>
      <c r="G1558" s="6" t="str">
        <f>SUBSTITUTE(Raw_Data!G1558,"Ã©","é")</f>
        <v>Merino Base Layer</v>
      </c>
      <c r="H1558" s="6">
        <v>3</v>
      </c>
      <c r="I1558" s="6" t="s">
        <v>181</v>
      </c>
      <c r="J1558" s="6" t="s">
        <v>867</v>
      </c>
      <c r="K1558" s="6">
        <v>8.5000000000000006E-2</v>
      </c>
      <c r="L1558" s="6" t="s">
        <v>42</v>
      </c>
      <c r="M1558" s="6" t="s">
        <v>34</v>
      </c>
      <c r="N1558" s="6"/>
    </row>
    <row r="1559" spans="1:14">
      <c r="A1559" s="6" t="s">
        <v>2835</v>
      </c>
      <c r="B1559" s="7">
        <v>46026</v>
      </c>
      <c r="C1559" s="6" t="s">
        <v>2836</v>
      </c>
      <c r="D1559" s="6" t="str">
        <f>IF(OR(PROPER(TRIM(Raw_Data!D1559))="Uk",PROPER(TRIM(Raw_Data!D1559))="Gb",PROPER(TRIM(Raw_Data!D1559))="United kingdom"),"United Kingdom",PROPER(TRIM(Raw_Data!D1559)))</f>
        <v>Ireland</v>
      </c>
      <c r="E1559" s="6" t="s">
        <v>28</v>
      </c>
      <c r="F1559" s="6" t="s">
        <v>29</v>
      </c>
      <c r="G1559" s="6" t="str">
        <f>SUBSTITUTE(Raw_Data!G1559,"Ã©","é")</f>
        <v>Fell Runner Cap</v>
      </c>
      <c r="H1559" s="6">
        <v>1</v>
      </c>
      <c r="I1559" s="6" t="s">
        <v>82</v>
      </c>
      <c r="J1559" s="6" t="s">
        <v>82</v>
      </c>
      <c r="K1559" s="6">
        <v>0.52</v>
      </c>
      <c r="L1559" s="6" t="s">
        <v>42</v>
      </c>
      <c r="M1559" s="6" t="s">
        <v>34</v>
      </c>
      <c r="N1559" s="6"/>
    </row>
    <row r="1560" spans="1:14">
      <c r="A1560" s="6" t="s">
        <v>2837</v>
      </c>
      <c r="B1560" s="7">
        <v>46098</v>
      </c>
      <c r="C1560" s="6" t="s">
        <v>2838</v>
      </c>
      <c r="D1560" s="6" t="str">
        <f>IF(OR(PROPER(TRIM(Raw_Data!D1560))="Uk",PROPER(TRIM(Raw_Data!D1560))="Gb",PROPER(TRIM(Raw_Data!D1560))="United kingdom"),"United Kingdom",PROPER(TRIM(Raw_Data!D1560)))</f>
        <v>Ireland</v>
      </c>
      <c r="E1560" s="6" t="s">
        <v>78</v>
      </c>
      <c r="F1560" s="6" t="s">
        <v>29</v>
      </c>
      <c r="G1560" s="6" t="str">
        <f>SUBSTITUTE(Raw_Data!G1560,"Ã©","é")</f>
        <v>Storm Overtrousers</v>
      </c>
      <c r="H1560" s="6">
        <v>3</v>
      </c>
      <c r="I1560" s="6" t="s">
        <v>231</v>
      </c>
      <c r="J1560" s="6" t="s">
        <v>2839</v>
      </c>
      <c r="K1560" s="6">
        <v>0.52</v>
      </c>
      <c r="L1560" s="6" t="s">
        <v>33</v>
      </c>
      <c r="M1560" s="6" t="s">
        <v>34</v>
      </c>
      <c r="N1560" s="6"/>
    </row>
    <row r="1561" spans="1:14">
      <c r="A1561" s="6" t="s">
        <v>2840</v>
      </c>
      <c r="B1561" s="7">
        <v>46125</v>
      </c>
      <c r="C1561" s="6" t="s">
        <v>2841</v>
      </c>
      <c r="D1561" s="6" t="str">
        <f>IF(OR(PROPER(TRIM(Raw_Data!D1561))="Uk",PROPER(TRIM(Raw_Data!D1561))="Gb",PROPER(TRIM(Raw_Data!D1561))="United kingdom"),"United Kingdom",PROPER(TRIM(Raw_Data!D1561)))</f>
        <v>Germany</v>
      </c>
      <c r="E1561" s="6" t="s">
        <v>37</v>
      </c>
      <c r="F1561" s="6" t="s">
        <v>58</v>
      </c>
      <c r="G1561" s="6" t="str">
        <f>SUBSTITUTE(Raw_Data!G1561,"Ã©","é")</f>
        <v>Trail Softshell</v>
      </c>
      <c r="H1561" s="6">
        <v>1</v>
      </c>
      <c r="I1561" s="6" t="s">
        <v>67</v>
      </c>
      <c r="J1561" s="6" t="s">
        <v>67</v>
      </c>
      <c r="K1561" s="6">
        <v>0.38</v>
      </c>
      <c r="L1561" s="6" t="s">
        <v>42</v>
      </c>
      <c r="M1561" s="6" t="s">
        <v>34</v>
      </c>
      <c r="N1561" s="6"/>
    </row>
    <row r="1562" spans="1:14">
      <c r="A1562" s="6" t="s">
        <v>2842</v>
      </c>
      <c r="B1562" s="7">
        <v>46173</v>
      </c>
      <c r="C1562" s="6" t="s">
        <v>2091</v>
      </c>
      <c r="D1562" s="6" t="str">
        <f>IF(OR(PROPER(TRIM(Raw_Data!D1562))="Uk",PROPER(TRIM(Raw_Data!D1562))="Gb",PROPER(TRIM(Raw_Data!D1562))="United kingdom"),"United Kingdom",PROPER(TRIM(Raw_Data!D1562)))</f>
        <v>United Kingdom</v>
      </c>
      <c r="E1562" s="6" t="s">
        <v>37</v>
      </c>
      <c r="F1562" s="6" t="s">
        <v>94</v>
      </c>
      <c r="G1562" s="6" t="str">
        <f>SUBSTITUTE(Raw_Data!G1562,"Ã©","é")</f>
        <v>Alpine Jacket</v>
      </c>
      <c r="H1562" s="6">
        <v>1</v>
      </c>
      <c r="I1562" s="6" t="s">
        <v>265</v>
      </c>
      <c r="J1562" s="6" t="s">
        <v>265</v>
      </c>
      <c r="K1562" s="6">
        <v>0.34</v>
      </c>
      <c r="L1562" s="6" t="s">
        <v>42</v>
      </c>
      <c r="M1562" s="6" t="s">
        <v>34</v>
      </c>
      <c r="N1562" s="6"/>
    </row>
    <row r="1563" spans="1:14">
      <c r="A1563" s="6" t="s">
        <v>2843</v>
      </c>
      <c r="B1563" s="7">
        <v>46038</v>
      </c>
      <c r="C1563" s="6" t="s">
        <v>2087</v>
      </c>
      <c r="D1563" s="6" t="str">
        <f>IF(OR(PROPER(TRIM(Raw_Data!D1563))="Uk",PROPER(TRIM(Raw_Data!D1563))="Gb",PROPER(TRIM(Raw_Data!D1563))="United kingdom"),"United Kingdom",PROPER(TRIM(Raw_Data!D1563)))</f>
        <v>United Kingdom</v>
      </c>
      <c r="E1563" s="6" t="s">
        <v>52</v>
      </c>
      <c r="F1563" s="6" t="s">
        <v>58</v>
      </c>
      <c r="G1563" s="6" t="str">
        <f>SUBSTITUTE(Raw_Data!G1563,"Ã©","é")</f>
        <v>Storm Overtrousers</v>
      </c>
      <c r="H1563" s="6">
        <v>2</v>
      </c>
      <c r="I1563" s="6" t="s">
        <v>117</v>
      </c>
      <c r="J1563" s="6" t="s">
        <v>118</v>
      </c>
      <c r="K1563" s="6">
        <v>0.38</v>
      </c>
      <c r="L1563" s="6" t="s">
        <v>42</v>
      </c>
      <c r="M1563" s="6" t="s">
        <v>34</v>
      </c>
      <c r="N1563" s="6"/>
    </row>
    <row r="1564" spans="1:14">
      <c r="A1564" s="6" t="s">
        <v>2845</v>
      </c>
      <c r="B1564" s="7">
        <v>46239</v>
      </c>
      <c r="C1564" s="6" t="s">
        <v>843</v>
      </c>
      <c r="D1564" s="6" t="str">
        <f>IF(OR(PROPER(TRIM(Raw_Data!D1564))="Uk",PROPER(TRIM(Raw_Data!D1564))="Gb",PROPER(TRIM(Raw_Data!D1564))="United kingdom"),"United Kingdom",PROPER(TRIM(Raw_Data!D1564)))</f>
        <v>Germany</v>
      </c>
      <c r="E1564" s="6" t="s">
        <v>78</v>
      </c>
      <c r="F1564" s="6" t="s">
        <v>100</v>
      </c>
      <c r="G1564" s="6" t="str">
        <f>SUBSTITUTE(Raw_Data!G1564,"Ã©","é")</f>
        <v>Merino Base Layer</v>
      </c>
      <c r="H1564" s="6">
        <v>2</v>
      </c>
      <c r="I1564" s="6" t="s">
        <v>113</v>
      </c>
      <c r="J1564" s="6" t="s">
        <v>192</v>
      </c>
      <c r="K1564" s="6">
        <v>0.64</v>
      </c>
      <c r="L1564" s="6" t="s">
        <v>42</v>
      </c>
      <c r="M1564" s="6" t="s">
        <v>34</v>
      </c>
      <c r="N1564" s="6"/>
    </row>
    <row r="1565" spans="1:14">
      <c r="A1565" s="6" t="s">
        <v>2846</v>
      </c>
      <c r="B1565" s="7">
        <v>46176</v>
      </c>
      <c r="C1565" s="6" t="s">
        <v>2847</v>
      </c>
      <c r="D1565" s="6" t="str">
        <f>IF(OR(PROPER(TRIM(Raw_Data!D1565))="Uk",PROPER(TRIM(Raw_Data!D1565))="Gb",PROPER(TRIM(Raw_Data!D1565))="United kingdom"),"United Kingdom",PROPER(TRIM(Raw_Data!D1565)))</f>
        <v>United Kingdom</v>
      </c>
      <c r="E1565" s="6" t="s">
        <v>78</v>
      </c>
      <c r="F1565" s="6" t="s">
        <v>58</v>
      </c>
      <c r="G1565" s="6" t="str">
        <f>SUBSTITUTE(Raw_Data!G1565,"Ã©","é")</f>
        <v>Storm Overtrousers</v>
      </c>
      <c r="H1565" s="6">
        <v>1</v>
      </c>
      <c r="I1565" s="6" t="s">
        <v>31</v>
      </c>
      <c r="J1565" s="6" t="s">
        <v>1255</v>
      </c>
      <c r="K1565" s="6">
        <v>0.38</v>
      </c>
      <c r="L1565" s="6" t="s">
        <v>42</v>
      </c>
      <c r="M1565" s="6" t="s">
        <v>34</v>
      </c>
      <c r="N1565" s="6"/>
    </row>
    <row r="1566" spans="1:14">
      <c r="A1566" s="6" t="s">
        <v>2848</v>
      </c>
      <c r="B1566" s="7">
        <v>46130</v>
      </c>
      <c r="C1566" s="6" t="s">
        <v>2849</v>
      </c>
      <c r="D1566" s="6" t="str">
        <f>IF(OR(PROPER(TRIM(Raw_Data!D1566))="Uk",PROPER(TRIM(Raw_Data!D1566))="Gb",PROPER(TRIM(Raw_Data!D1566))="United kingdom"),"United Kingdom",PROPER(TRIM(Raw_Data!D1566)))</f>
        <v>Ireland</v>
      </c>
      <c r="E1566" s="6" t="s">
        <v>52</v>
      </c>
      <c r="F1566" s="6" t="s">
        <v>47</v>
      </c>
      <c r="G1566" s="6" t="str">
        <f>SUBSTITUTE(Raw_Data!G1566,"Ã©","é")</f>
        <v>Trekking Poles</v>
      </c>
      <c r="H1566" s="6">
        <v>1</v>
      </c>
      <c r="I1566" s="6" t="s">
        <v>147</v>
      </c>
      <c r="J1566" s="6" t="s">
        <v>147</v>
      </c>
      <c r="K1566" s="6">
        <v>8.5000000000000006E-2</v>
      </c>
      <c r="L1566" s="6" t="s">
        <v>42</v>
      </c>
      <c r="M1566" s="6" t="s">
        <v>34</v>
      </c>
      <c r="N1566" s="6"/>
    </row>
    <row r="1567" spans="1:14">
      <c r="A1567" s="6" t="s">
        <v>2850</v>
      </c>
      <c r="B1567" s="7">
        <v>46075</v>
      </c>
      <c r="C1567" s="6" t="s">
        <v>1446</v>
      </c>
      <c r="D1567" s="6" t="str">
        <f>IF(OR(PROPER(TRIM(Raw_Data!D1567))="Uk",PROPER(TRIM(Raw_Data!D1567))="Gb",PROPER(TRIM(Raw_Data!D1567))="United kingdom"),"United Kingdom",PROPER(TRIM(Raw_Data!D1567)))</f>
        <v>United Kingdom</v>
      </c>
      <c r="E1567" s="6" t="s">
        <v>52</v>
      </c>
      <c r="F1567" s="6" t="s">
        <v>47</v>
      </c>
      <c r="G1567" s="6" t="str">
        <f>SUBSTITUTE(Raw_Data!G1567,"Ã©","é")</f>
        <v>Fell Runner Cap</v>
      </c>
      <c r="H1567" s="6">
        <v>3</v>
      </c>
      <c r="I1567" s="6" t="s">
        <v>60</v>
      </c>
      <c r="J1567" s="6" t="s">
        <v>268</v>
      </c>
      <c r="K1567" s="6">
        <v>8.5000000000000006E-2</v>
      </c>
      <c r="L1567" s="6" t="s">
        <v>33</v>
      </c>
      <c r="M1567" s="6" t="s">
        <v>34</v>
      </c>
      <c r="N1567" s="6"/>
    </row>
    <row r="1568" spans="1:14">
      <c r="A1568" s="6" t="s">
        <v>2851</v>
      </c>
      <c r="B1568" s="7">
        <v>46071</v>
      </c>
      <c r="C1568" s="6" t="s">
        <v>1942</v>
      </c>
      <c r="D1568" s="6" t="str">
        <f>IF(OR(PROPER(TRIM(Raw_Data!D1568))="Uk",PROPER(TRIM(Raw_Data!D1568))="Gb",PROPER(TRIM(Raw_Data!D1568))="United kingdom"),"United Kingdom",PROPER(TRIM(Raw_Data!D1568)))</f>
        <v>Ireland</v>
      </c>
      <c r="E1568" s="6" t="s">
        <v>46</v>
      </c>
      <c r="F1568" s="6" t="s">
        <v>53</v>
      </c>
      <c r="G1568" s="6" t="str">
        <f>SUBSTITUTE(Raw_Data!G1568,"Ã©","é")</f>
        <v>Café Latte Mug</v>
      </c>
      <c r="H1568" s="6">
        <v>2</v>
      </c>
      <c r="I1568" s="6" t="s">
        <v>143</v>
      </c>
      <c r="J1568" s="6" t="s">
        <v>144</v>
      </c>
      <c r="K1568" s="6">
        <v>0.19</v>
      </c>
      <c r="L1568" s="6" t="s">
        <v>42</v>
      </c>
      <c r="M1568" s="6" t="s">
        <v>69</v>
      </c>
      <c r="N1568" s="6"/>
    </row>
    <row r="1569" spans="1:14">
      <c r="A1569" s="6" t="s">
        <v>2852</v>
      </c>
      <c r="B1569" s="7">
        <v>46125</v>
      </c>
      <c r="C1569" s="6" t="s">
        <v>2653</v>
      </c>
      <c r="D1569" s="6" t="str">
        <f>IF(OR(PROPER(TRIM(Raw_Data!D1569))="Uk",PROPER(TRIM(Raw_Data!D1569))="Gb",PROPER(TRIM(Raw_Data!D1569))="United kingdom"),"United Kingdom",PROPER(TRIM(Raw_Data!D1569)))</f>
        <v>Ireland</v>
      </c>
      <c r="E1569" s="6" t="s">
        <v>78</v>
      </c>
      <c r="F1569" s="6" t="s">
        <v>29</v>
      </c>
      <c r="G1569" s="6" t="str">
        <f>SUBSTITUTE(Raw_Data!G1569,"Ã©","é")</f>
        <v>Storm Overtrousers</v>
      </c>
      <c r="H1569" s="6">
        <v>1</v>
      </c>
      <c r="I1569" s="6" t="s">
        <v>90</v>
      </c>
      <c r="J1569" s="6" t="s">
        <v>90</v>
      </c>
      <c r="K1569" s="6">
        <v>0.52</v>
      </c>
      <c r="L1569" s="6" t="s">
        <v>42</v>
      </c>
      <c r="M1569" s="6" t="s">
        <v>34</v>
      </c>
      <c r="N1569" s="6"/>
    </row>
    <row r="1570" spans="1:14">
      <c r="A1570" s="6" t="s">
        <v>2853</v>
      </c>
      <c r="B1570" s="7">
        <v>46114</v>
      </c>
      <c r="C1570" s="6" t="s">
        <v>1257</v>
      </c>
      <c r="D1570" s="6" t="str">
        <f>IF(OR(PROPER(TRIM(Raw_Data!D1570))="Uk",PROPER(TRIM(Raw_Data!D1570))="Gb",PROPER(TRIM(Raw_Data!D1570))="United kingdom"),"United Kingdom",PROPER(TRIM(Raw_Data!D1570)))</f>
        <v>Germany</v>
      </c>
      <c r="E1570" s="6" t="s">
        <v>28</v>
      </c>
      <c r="F1570" s="6" t="s">
        <v>58</v>
      </c>
      <c r="G1570" s="6" t="str">
        <f>SUBSTITUTE(Raw_Data!G1570,"Ã©","é")</f>
        <v>Café Latte Mug</v>
      </c>
      <c r="H1570" s="6">
        <v>1</v>
      </c>
      <c r="I1570" s="6" t="s">
        <v>265</v>
      </c>
      <c r="J1570" s="6" t="s">
        <v>2761</v>
      </c>
      <c r="K1570" s="6">
        <v>0.38</v>
      </c>
      <c r="L1570" s="6" t="s">
        <v>42</v>
      </c>
      <c r="M1570" s="6" t="s">
        <v>34</v>
      </c>
      <c r="N1570" s="6"/>
    </row>
    <row r="1571" spans="1:14">
      <c r="A1571" s="6" t="s">
        <v>2854</v>
      </c>
      <c r="B1571" s="7">
        <v>46161</v>
      </c>
      <c r="C1571" s="6" t="s">
        <v>2402</v>
      </c>
      <c r="D1571" s="6" t="str">
        <f>IF(OR(PROPER(TRIM(Raw_Data!D1571))="Uk",PROPER(TRIM(Raw_Data!D1571))="Gb",PROPER(TRIM(Raw_Data!D1571))="United kingdom"),"United Kingdom",PROPER(TRIM(Raw_Data!D1571)))</f>
        <v>United Kingdom</v>
      </c>
      <c r="E1571" s="6" t="s">
        <v>78</v>
      </c>
      <c r="F1571" s="6" t="s">
        <v>29</v>
      </c>
      <c r="G1571" s="6" t="str">
        <f>SUBSTITUTE(Raw_Data!G1571,"Ã©","é")</f>
        <v>Merino Base Layer</v>
      </c>
      <c r="H1571" s="6">
        <v>1</v>
      </c>
      <c r="I1571" s="6" t="s">
        <v>31</v>
      </c>
      <c r="J1571" s="6" t="s">
        <v>31</v>
      </c>
      <c r="K1571" s="6">
        <v>0.52</v>
      </c>
      <c r="L1571" s="6" t="s">
        <v>33</v>
      </c>
      <c r="M1571" s="6" t="s">
        <v>34</v>
      </c>
      <c r="N1571" s="6"/>
    </row>
    <row r="1572" spans="1:14">
      <c r="A1572" s="6" t="s">
        <v>2855</v>
      </c>
      <c r="B1572" s="7">
        <v>46087</v>
      </c>
      <c r="C1572" s="6" t="s">
        <v>575</v>
      </c>
      <c r="D1572" s="6" t="str">
        <f>IF(OR(PROPER(TRIM(Raw_Data!D1572))="Uk",PROPER(TRIM(Raw_Data!D1572))="Gb",PROPER(TRIM(Raw_Data!D1572))="United kingdom"),"United Kingdom",PROPER(TRIM(Raw_Data!D1572)))</f>
        <v>United Kingdom</v>
      </c>
      <c r="E1572" s="6" t="s">
        <v>46</v>
      </c>
      <c r="F1572" s="6" t="s">
        <v>58</v>
      </c>
      <c r="G1572" s="6" t="str">
        <f>SUBSTITUTE(Raw_Data!G1572,"Ã©","é")</f>
        <v>Alpine Jacket</v>
      </c>
      <c r="H1572" s="6">
        <v>2</v>
      </c>
      <c r="I1572" s="6" t="s">
        <v>231</v>
      </c>
      <c r="J1572" s="6" t="s">
        <v>232</v>
      </c>
      <c r="K1572" s="6">
        <v>0.38</v>
      </c>
      <c r="L1572" s="6" t="s">
        <v>42</v>
      </c>
      <c r="M1572" s="6" t="s">
        <v>34</v>
      </c>
      <c r="N1572" s="6"/>
    </row>
    <row r="1573" spans="1:14">
      <c r="A1573" s="6" t="s">
        <v>2856</v>
      </c>
      <c r="B1573" s="7">
        <v>46080</v>
      </c>
      <c r="C1573" s="6" t="s">
        <v>2371</v>
      </c>
      <c r="D1573" s="6" t="str">
        <f>IF(OR(PROPER(TRIM(Raw_Data!D1573))="Uk",PROPER(TRIM(Raw_Data!D1573))="Gb",PROPER(TRIM(Raw_Data!D1573))="United kingdom"),"United Kingdom",PROPER(TRIM(Raw_Data!D1573)))</f>
        <v>France</v>
      </c>
      <c r="E1573" s="6" t="s">
        <v>28</v>
      </c>
      <c r="F1573" s="6" t="s">
        <v>29</v>
      </c>
      <c r="G1573" s="6" t="str">
        <f>SUBSTITUTE(Raw_Data!G1573,"Ã©","é")</f>
        <v>Trekking Poles</v>
      </c>
      <c r="H1573" s="6">
        <v>2</v>
      </c>
      <c r="I1573" s="6" t="s">
        <v>67</v>
      </c>
      <c r="J1573" s="6" t="s">
        <v>204</v>
      </c>
      <c r="K1573" s="6">
        <v>0.52</v>
      </c>
      <c r="L1573" s="6" t="s">
        <v>42</v>
      </c>
      <c r="M1573" s="6" t="s">
        <v>69</v>
      </c>
      <c r="N1573" s="6"/>
    </row>
    <row r="1574" spans="1:14">
      <c r="A1574" s="6" t="s">
        <v>2857</v>
      </c>
      <c r="B1574" s="7">
        <v>46080</v>
      </c>
      <c r="C1574" s="6" t="s">
        <v>2858</v>
      </c>
      <c r="D1574" s="6" t="str">
        <f>IF(OR(PROPER(TRIM(Raw_Data!D1574))="Uk",PROPER(TRIM(Raw_Data!D1574))="Gb",PROPER(TRIM(Raw_Data!D1574))="United kingdom"),"United Kingdom",PROPER(TRIM(Raw_Data!D1574)))</f>
        <v>United Kingdom</v>
      </c>
      <c r="E1574" s="6" t="s">
        <v>78</v>
      </c>
      <c r="F1574" s="6" t="s">
        <v>85</v>
      </c>
      <c r="G1574" s="6" t="str">
        <f>SUBSTITUTE(Raw_Data!G1574,"Ã©","é")</f>
        <v>Fell Runner Cap</v>
      </c>
      <c r="H1574" s="6">
        <v>2</v>
      </c>
      <c r="I1574" s="6" t="s">
        <v>181</v>
      </c>
      <c r="J1574" s="6" t="s">
        <v>163</v>
      </c>
      <c r="K1574" s="6">
        <v>0.41</v>
      </c>
      <c r="L1574" s="6" t="s">
        <v>42</v>
      </c>
      <c r="M1574" s="6" t="s">
        <v>34</v>
      </c>
      <c r="N1574" s="6"/>
    </row>
    <row r="1575" spans="1:14">
      <c r="A1575" s="6" t="s">
        <v>2859</v>
      </c>
      <c r="B1575" s="7">
        <v>46126</v>
      </c>
      <c r="C1575" s="6" t="s">
        <v>934</v>
      </c>
      <c r="D1575" s="6" t="str">
        <f>IF(OR(PROPER(TRIM(Raw_Data!D1575))="Uk",PROPER(TRIM(Raw_Data!D1575))="Gb",PROPER(TRIM(Raw_Data!D1575))="United kingdom"),"United Kingdom",PROPER(TRIM(Raw_Data!D1575)))</f>
        <v>France</v>
      </c>
      <c r="E1575" s="6" t="s">
        <v>46</v>
      </c>
      <c r="F1575" s="6" t="s">
        <v>29</v>
      </c>
      <c r="G1575" s="6" t="str">
        <f>SUBSTITUTE(Raw_Data!G1575,"Ã©","é")</f>
        <v>Trekking Poles</v>
      </c>
      <c r="H1575" s="6">
        <v>2</v>
      </c>
      <c r="I1575" s="6" t="s">
        <v>73</v>
      </c>
      <c r="J1575" s="6" t="s">
        <v>74</v>
      </c>
      <c r="K1575" s="6">
        <v>0.52</v>
      </c>
      <c r="L1575" s="6" t="s">
        <v>42</v>
      </c>
      <c r="M1575" s="6" t="s">
        <v>34</v>
      </c>
      <c r="N1575" s="6"/>
    </row>
    <row r="1576" spans="1:14">
      <c r="A1576" s="6" t="s">
        <v>2860</v>
      </c>
      <c r="B1576" s="7">
        <v>46160</v>
      </c>
      <c r="C1576" s="6" t="s">
        <v>2861</v>
      </c>
      <c r="D1576" s="6" t="str">
        <f>IF(OR(PROPER(TRIM(Raw_Data!D1576))="Uk",PROPER(TRIM(Raw_Data!D1576))="Gb",PROPER(TRIM(Raw_Data!D1576))="United kingdom"),"United Kingdom",PROPER(TRIM(Raw_Data!D1576)))</f>
        <v>United Kingdom</v>
      </c>
      <c r="E1576" s="6" t="s">
        <v>78</v>
      </c>
      <c r="F1576" s="6" t="s">
        <v>100</v>
      </c>
      <c r="G1576" s="6" t="str">
        <f>SUBSTITUTE(Raw_Data!G1576,"Ã©","é")</f>
        <v>Trekking Poles</v>
      </c>
      <c r="H1576" s="6">
        <v>2</v>
      </c>
      <c r="I1576" s="6" t="s">
        <v>79</v>
      </c>
      <c r="J1576" s="6" t="s">
        <v>259</v>
      </c>
      <c r="K1576" s="6">
        <v>0.64</v>
      </c>
      <c r="L1576" s="6" t="s">
        <v>42</v>
      </c>
      <c r="M1576" s="6" t="s">
        <v>34</v>
      </c>
      <c r="N1576" s="6"/>
    </row>
    <row r="1577" spans="1:14">
      <c r="A1577" s="6" t="s">
        <v>2862</v>
      </c>
      <c r="B1577" s="7">
        <v>46329</v>
      </c>
      <c r="C1577" s="6" t="s">
        <v>676</v>
      </c>
      <c r="D1577" s="6" t="str">
        <f>IF(OR(PROPER(TRIM(Raw_Data!D1577))="Uk",PROPER(TRIM(Raw_Data!D1577))="Gb",PROPER(TRIM(Raw_Data!D1577))="United kingdom"),"United Kingdom",PROPER(TRIM(Raw_Data!D1577)))</f>
        <v>United Kingdom</v>
      </c>
      <c r="E1577" s="6" t="s">
        <v>46</v>
      </c>
      <c r="F1577" s="6" t="s">
        <v>85</v>
      </c>
      <c r="G1577" s="6" t="str">
        <f>SUBSTITUTE(Raw_Data!G1577,"Ã©","é")</f>
        <v>Summit Down Gilet</v>
      </c>
      <c r="H1577" s="6">
        <v>3</v>
      </c>
      <c r="I1577" s="6" t="s">
        <v>113</v>
      </c>
      <c r="J1577" s="6" t="s">
        <v>2863</v>
      </c>
      <c r="K1577" s="6">
        <v>0.41</v>
      </c>
      <c r="L1577" s="6" t="s">
        <v>42</v>
      </c>
      <c r="M1577" s="6" t="s">
        <v>34</v>
      </c>
      <c r="N1577" s="6"/>
    </row>
    <row r="1578" spans="1:14">
      <c r="A1578" s="6" t="s">
        <v>2864</v>
      </c>
      <c r="B1578" s="7">
        <v>46077</v>
      </c>
      <c r="C1578" s="6" t="s">
        <v>146</v>
      </c>
      <c r="D1578" s="6" t="str">
        <f>IF(OR(PROPER(TRIM(Raw_Data!D1578))="Uk",PROPER(TRIM(Raw_Data!D1578))="Gb",PROPER(TRIM(Raw_Data!D1578))="United kingdom"),"United Kingdom",PROPER(TRIM(Raw_Data!D1578)))</f>
        <v>Ireland</v>
      </c>
      <c r="E1578" s="6" t="s">
        <v>37</v>
      </c>
      <c r="F1578" s="6" t="s">
        <v>58</v>
      </c>
      <c r="G1578" s="6" t="str">
        <f>SUBSTITUTE(Raw_Data!G1578,"Ã©","é")</f>
        <v>Café Latte Mug</v>
      </c>
      <c r="H1578" s="6">
        <v>2</v>
      </c>
      <c r="I1578" s="6" t="s">
        <v>143</v>
      </c>
      <c r="J1578" s="6" t="s">
        <v>144</v>
      </c>
      <c r="K1578" s="6">
        <v>0.38</v>
      </c>
      <c r="L1578" s="6" t="s">
        <v>42</v>
      </c>
      <c r="M1578" s="6" t="s">
        <v>34</v>
      </c>
      <c r="N1578" s="6"/>
    </row>
    <row r="1579" spans="1:14">
      <c r="A1579" s="6" t="s">
        <v>2865</v>
      </c>
      <c r="B1579" s="7">
        <v>46105</v>
      </c>
      <c r="C1579" s="6" t="s">
        <v>1664</v>
      </c>
      <c r="D1579" s="6" t="str">
        <f>IF(OR(PROPER(TRIM(Raw_Data!D1579))="Uk",PROPER(TRIM(Raw_Data!D1579))="Gb",PROPER(TRIM(Raw_Data!D1579))="United kingdom"),"United Kingdom",PROPER(TRIM(Raw_Data!D1579)))</f>
        <v>France</v>
      </c>
      <c r="E1579" s="6" t="s">
        <v>52</v>
      </c>
      <c r="F1579" s="6" t="s">
        <v>38</v>
      </c>
      <c r="G1579" s="6" t="str">
        <f>SUBSTITUTE(Raw_Data!G1579,"Ã©","é")</f>
        <v>Summit Down Gilet</v>
      </c>
      <c r="H1579" s="6">
        <v>2</v>
      </c>
      <c r="I1579" s="6" t="s">
        <v>96</v>
      </c>
      <c r="J1579" s="6" t="s">
        <v>278</v>
      </c>
      <c r="K1579" s="6">
        <v>0.52</v>
      </c>
      <c r="L1579" s="6" t="s">
        <v>33</v>
      </c>
      <c r="M1579" s="6" t="s">
        <v>69</v>
      </c>
      <c r="N1579" s="6"/>
    </row>
    <row r="1580" spans="1:14">
      <c r="A1580" s="6" t="s">
        <v>2866</v>
      </c>
      <c r="B1580" s="7">
        <v>46137</v>
      </c>
      <c r="C1580" s="6" t="s">
        <v>1238</v>
      </c>
      <c r="D1580" s="6" t="str">
        <f>IF(OR(PROPER(TRIM(Raw_Data!D1580))="Uk",PROPER(TRIM(Raw_Data!D1580))="Gb",PROPER(TRIM(Raw_Data!D1580))="United kingdom"),"United Kingdom",PROPER(TRIM(Raw_Data!D1580)))</f>
        <v>Ireland</v>
      </c>
      <c r="E1580" s="6" t="s">
        <v>78</v>
      </c>
      <c r="F1580" s="6" t="s">
        <v>94</v>
      </c>
      <c r="G1580" s="6" t="str">
        <f>SUBSTITUTE(Raw_Data!G1580,"Ã©","é")</f>
        <v>Alpine Jacket</v>
      </c>
      <c r="H1580" s="6">
        <v>1</v>
      </c>
      <c r="I1580" s="6" t="s">
        <v>143</v>
      </c>
      <c r="J1580" s="6" t="s">
        <v>143</v>
      </c>
      <c r="K1580" s="6">
        <v>0.34</v>
      </c>
      <c r="L1580" s="6" t="s">
        <v>42</v>
      </c>
      <c r="M1580" s="6" t="s">
        <v>34</v>
      </c>
      <c r="N1580" s="6"/>
    </row>
    <row r="1581" spans="1:14">
      <c r="A1581" s="6" t="s">
        <v>2867</v>
      </c>
      <c r="B1581" s="7">
        <v>46162</v>
      </c>
      <c r="C1581" s="6" t="s">
        <v>2790</v>
      </c>
      <c r="D1581" s="6" t="str">
        <f>IF(OR(PROPER(TRIM(Raw_Data!D1581))="Uk",PROPER(TRIM(Raw_Data!D1581))="Gb",PROPER(TRIM(Raw_Data!D1581))="United kingdom"),"United Kingdom",PROPER(TRIM(Raw_Data!D1581)))</f>
        <v>France</v>
      </c>
      <c r="E1581" s="6" t="s">
        <v>28</v>
      </c>
      <c r="F1581" s="6" t="s">
        <v>38</v>
      </c>
      <c r="G1581" s="6" t="str">
        <f>SUBSTITUTE(Raw_Data!G1581,"Ã©","é")</f>
        <v>Summit Down Gilet</v>
      </c>
      <c r="H1581" s="6">
        <v>2</v>
      </c>
      <c r="I1581" s="6" t="s">
        <v>73</v>
      </c>
      <c r="J1581" s="6" t="s">
        <v>74</v>
      </c>
      <c r="K1581" s="6">
        <v>0.52</v>
      </c>
      <c r="L1581" s="6" t="s">
        <v>42</v>
      </c>
      <c r="M1581" s="6" t="s">
        <v>34</v>
      </c>
      <c r="N1581" s="6"/>
    </row>
    <row r="1582" spans="1:14">
      <c r="A1582" s="6" t="s">
        <v>2868</v>
      </c>
      <c r="B1582" s="7">
        <v>46046</v>
      </c>
      <c r="C1582" s="6" t="s">
        <v>741</v>
      </c>
      <c r="D1582" s="6" t="str">
        <f>IF(OR(PROPER(TRIM(Raw_Data!D1582))="Uk",PROPER(TRIM(Raw_Data!D1582))="Gb",PROPER(TRIM(Raw_Data!D1582))="United kingdom"),"United Kingdom",PROPER(TRIM(Raw_Data!D1582)))</f>
        <v>United Kingdom</v>
      </c>
      <c r="E1582" s="6" t="s">
        <v>46</v>
      </c>
      <c r="F1582" s="6" t="s">
        <v>38</v>
      </c>
      <c r="G1582" s="6" t="str">
        <f>SUBSTITUTE(Raw_Data!G1582,"Ã©","é")</f>
        <v>Fell Runner Cap</v>
      </c>
      <c r="H1582" s="6">
        <v>1</v>
      </c>
      <c r="I1582" s="6" t="s">
        <v>82</v>
      </c>
      <c r="J1582" s="6" t="s">
        <v>82</v>
      </c>
      <c r="K1582" s="6">
        <v>0.52</v>
      </c>
      <c r="L1582" s="6" t="s">
        <v>42</v>
      </c>
      <c r="M1582" s="6" t="s">
        <v>69</v>
      </c>
      <c r="N1582" s="6"/>
    </row>
    <row r="1583" spans="1:14">
      <c r="A1583" s="6" t="s">
        <v>2869</v>
      </c>
      <c r="B1583" s="7">
        <v>46137</v>
      </c>
      <c r="C1583" s="6" t="s">
        <v>372</v>
      </c>
      <c r="D1583" s="6" t="str">
        <f>IF(OR(PROPER(TRIM(Raw_Data!D1583))="Uk",PROPER(TRIM(Raw_Data!D1583))="Gb",PROPER(TRIM(Raw_Data!D1583))="United kingdom"),"United Kingdom",PROPER(TRIM(Raw_Data!D1583)))</f>
        <v>United Kingdom</v>
      </c>
      <c r="E1583" s="6" t="s">
        <v>52</v>
      </c>
      <c r="F1583" s="6" t="s">
        <v>29</v>
      </c>
      <c r="G1583" s="6" t="str">
        <f>SUBSTITUTE(Raw_Data!G1583,"Ã©","é")</f>
        <v>Fell Runner Cap</v>
      </c>
      <c r="H1583" s="6">
        <v>1</v>
      </c>
      <c r="I1583" s="6" t="s">
        <v>90</v>
      </c>
      <c r="J1583" s="6" t="s">
        <v>90</v>
      </c>
      <c r="K1583" s="6">
        <v>0.52</v>
      </c>
      <c r="L1583" s="6" t="s">
        <v>42</v>
      </c>
      <c r="M1583" s="6" t="s">
        <v>34</v>
      </c>
      <c r="N1583" s="6"/>
    </row>
    <row r="1584" spans="1:14">
      <c r="A1584" s="6" t="s">
        <v>2870</v>
      </c>
      <c r="B1584" s="7">
        <v>46068</v>
      </c>
      <c r="C1584" s="6" t="s">
        <v>2871</v>
      </c>
      <c r="D1584" s="6" t="str">
        <f>IF(OR(PROPER(TRIM(Raw_Data!D1584))="Uk",PROPER(TRIM(Raw_Data!D1584))="Gb",PROPER(TRIM(Raw_Data!D1584))="United kingdom"),"United Kingdom",PROPER(TRIM(Raw_Data!D1584)))</f>
        <v>Ireland</v>
      </c>
      <c r="E1584" s="6" t="s">
        <v>78</v>
      </c>
      <c r="F1584" s="6" t="s">
        <v>58</v>
      </c>
      <c r="G1584" s="6" t="str">
        <f>SUBSTITUTE(Raw_Data!G1584,"Ã©","é")</f>
        <v>Merino Base Layer</v>
      </c>
      <c r="H1584" s="6">
        <v>1</v>
      </c>
      <c r="I1584" s="6" t="s">
        <v>90</v>
      </c>
      <c r="J1584" s="6" t="s">
        <v>90</v>
      </c>
      <c r="K1584" s="6">
        <v>0.38</v>
      </c>
      <c r="L1584" s="6" t="s">
        <v>42</v>
      </c>
      <c r="M1584" s="6" t="s">
        <v>69</v>
      </c>
      <c r="N1584" s="6"/>
    </row>
    <row r="1585" spans="1:14">
      <c r="A1585" s="6" t="s">
        <v>2872</v>
      </c>
      <c r="B1585" s="7">
        <v>46102</v>
      </c>
      <c r="C1585" s="6" t="s">
        <v>2873</v>
      </c>
      <c r="D1585" s="6" t="str">
        <f>IF(OR(PROPER(TRIM(Raw_Data!D1585))="Uk",PROPER(TRIM(Raw_Data!D1585))="Gb",PROPER(TRIM(Raw_Data!D1585))="United kingdom"),"United Kingdom",PROPER(TRIM(Raw_Data!D1585)))</f>
        <v>United Kingdom</v>
      </c>
      <c r="E1585" s="6" t="s">
        <v>28</v>
      </c>
      <c r="F1585" s="6" t="s">
        <v>47</v>
      </c>
      <c r="G1585" s="6" t="str">
        <f>SUBSTITUTE(Raw_Data!G1585,"Ã©","é")</f>
        <v>Trekking Poles</v>
      </c>
      <c r="H1585" s="6">
        <v>3</v>
      </c>
      <c r="I1585" s="6" t="s">
        <v>90</v>
      </c>
      <c r="J1585" s="6" t="s">
        <v>102</v>
      </c>
      <c r="K1585" s="6">
        <v>8.5000000000000006E-2</v>
      </c>
      <c r="L1585" s="6" t="s">
        <v>42</v>
      </c>
      <c r="M1585" s="6" t="s">
        <v>34</v>
      </c>
      <c r="N1585" s="6"/>
    </row>
    <row r="1586" spans="1:14">
      <c r="A1586" s="6" t="s">
        <v>2874</v>
      </c>
      <c r="B1586" s="7">
        <v>46027</v>
      </c>
      <c r="C1586" s="6" t="s">
        <v>2875</v>
      </c>
      <c r="D1586" s="6" t="str">
        <f>IF(OR(PROPER(TRIM(Raw_Data!D1586))="Uk",PROPER(TRIM(Raw_Data!D1586))="Gb",PROPER(TRIM(Raw_Data!D1586))="United kingdom"),"United Kingdom",PROPER(TRIM(Raw_Data!D1586)))</f>
        <v>Ireland</v>
      </c>
      <c r="E1586" s="6" t="s">
        <v>52</v>
      </c>
      <c r="F1586" s="6" t="s">
        <v>47</v>
      </c>
      <c r="G1586" s="6" t="str">
        <f>SUBSTITUTE(Raw_Data!G1586,"Ã©","é")</f>
        <v>Summit Down Gilet</v>
      </c>
      <c r="H1586" s="6">
        <v>2</v>
      </c>
      <c r="I1586" s="6" t="s">
        <v>143</v>
      </c>
      <c r="J1586" s="6" t="s">
        <v>144</v>
      </c>
      <c r="K1586" s="6">
        <v>8.5000000000000006E-2</v>
      </c>
      <c r="L1586" s="6" t="s">
        <v>42</v>
      </c>
      <c r="M1586" s="6" t="s">
        <v>34</v>
      </c>
      <c r="N1586" s="6"/>
    </row>
    <row r="1587" spans="1:14">
      <c r="A1587" s="6" t="s">
        <v>2876</v>
      </c>
      <c r="B1587" s="7">
        <v>46102</v>
      </c>
      <c r="C1587" s="6" t="s">
        <v>2050</v>
      </c>
      <c r="D1587" s="6" t="str">
        <f>IF(OR(PROPER(TRIM(Raw_Data!D1587))="Uk",PROPER(TRIM(Raw_Data!D1587))="Gb",PROPER(TRIM(Raw_Data!D1587))="United kingdom"),"United Kingdom",PROPER(TRIM(Raw_Data!D1587)))</f>
        <v>Ireland</v>
      </c>
      <c r="E1587" s="6" t="s">
        <v>37</v>
      </c>
      <c r="F1587" s="6" t="s">
        <v>100</v>
      </c>
      <c r="G1587" s="6" t="str">
        <f>SUBSTITUTE(Raw_Data!G1587,"Ã©","é")</f>
        <v>Trekking Poles</v>
      </c>
      <c r="H1587" s="6">
        <v>3</v>
      </c>
      <c r="I1587" s="6" t="s">
        <v>143</v>
      </c>
      <c r="J1587" s="6" t="s">
        <v>243</v>
      </c>
      <c r="K1587" s="6">
        <v>0.64</v>
      </c>
      <c r="L1587" s="6" t="s">
        <v>42</v>
      </c>
      <c r="M1587" s="6" t="s">
        <v>34</v>
      </c>
      <c r="N1587" s="6"/>
    </row>
    <row r="1588" spans="1:14">
      <c r="A1588" s="6" t="s">
        <v>2877</v>
      </c>
      <c r="B1588" s="7">
        <v>46025</v>
      </c>
      <c r="C1588" s="6" t="s">
        <v>598</v>
      </c>
      <c r="D1588" s="6" t="str">
        <f>IF(OR(PROPER(TRIM(Raw_Data!D1588))="Uk",PROPER(TRIM(Raw_Data!D1588))="Gb",PROPER(TRIM(Raw_Data!D1588))="United kingdom"),"United Kingdom",PROPER(TRIM(Raw_Data!D1588)))</f>
        <v>United Kingdom</v>
      </c>
      <c r="E1588" s="6" t="s">
        <v>46</v>
      </c>
      <c r="F1588" s="6" t="s">
        <v>38</v>
      </c>
      <c r="G1588" s="6" t="str">
        <f>SUBSTITUTE(Raw_Data!G1588,"Ã©","é")</f>
        <v>Summit Down Gilet</v>
      </c>
      <c r="H1588" s="6">
        <v>3</v>
      </c>
      <c r="I1588" s="6" t="s">
        <v>265</v>
      </c>
      <c r="J1588" s="6" t="s">
        <v>401</v>
      </c>
      <c r="K1588" s="6">
        <v>0.52</v>
      </c>
      <c r="L1588" s="6" t="s">
        <v>33</v>
      </c>
      <c r="M1588" s="6" t="s">
        <v>34</v>
      </c>
      <c r="N1588" s="6"/>
    </row>
    <row r="1589" spans="1:14">
      <c r="A1589" s="6" t="s">
        <v>2878</v>
      </c>
      <c r="B1589" s="7">
        <v>46070</v>
      </c>
      <c r="C1589" s="6" t="s">
        <v>2879</v>
      </c>
      <c r="D1589" s="6" t="str">
        <f>IF(OR(PROPER(TRIM(Raw_Data!D1589))="Uk",PROPER(TRIM(Raw_Data!D1589))="Gb",PROPER(TRIM(Raw_Data!D1589))="United kingdom"),"United Kingdom",PROPER(TRIM(Raw_Data!D1589)))</f>
        <v>United Kingdom</v>
      </c>
      <c r="E1589" s="6" t="s">
        <v>52</v>
      </c>
      <c r="F1589" s="6" t="s">
        <v>94</v>
      </c>
      <c r="G1589" s="6" t="str">
        <f>SUBSTITUTE(Raw_Data!G1589,"Ã©","é")</f>
        <v>Trekking Poles</v>
      </c>
      <c r="H1589" s="6">
        <v>1</v>
      </c>
      <c r="I1589" s="6" t="s">
        <v>656</v>
      </c>
      <c r="J1589" s="6" t="s">
        <v>113</v>
      </c>
      <c r="K1589" s="6">
        <v>0.34</v>
      </c>
      <c r="L1589" s="6" t="s">
        <v>42</v>
      </c>
      <c r="M1589" s="6" t="s">
        <v>34</v>
      </c>
      <c r="N1589" s="6"/>
    </row>
    <row r="1590" spans="1:14">
      <c r="A1590" s="6" t="s">
        <v>2880</v>
      </c>
      <c r="B1590" s="7">
        <v>46156</v>
      </c>
      <c r="C1590" s="6" t="s">
        <v>2881</v>
      </c>
      <c r="D1590" s="6" t="str">
        <f>IF(OR(PROPER(TRIM(Raw_Data!D1590))="Uk",PROPER(TRIM(Raw_Data!D1590))="Gb",PROPER(TRIM(Raw_Data!D1590))="United kingdom"),"United Kingdom",PROPER(TRIM(Raw_Data!D1590)))</f>
        <v>United Kingdom</v>
      </c>
      <c r="E1590" s="6" t="s">
        <v>37</v>
      </c>
      <c r="F1590" s="6" t="s">
        <v>100</v>
      </c>
      <c r="G1590" s="6" t="str">
        <f>SUBSTITUTE(Raw_Data!G1590,"Ã©","é")</f>
        <v>Storm Overtrousers</v>
      </c>
      <c r="H1590" s="6">
        <v>3</v>
      </c>
      <c r="I1590" s="6" t="s">
        <v>117</v>
      </c>
      <c r="J1590" s="6" t="s">
        <v>171</v>
      </c>
      <c r="K1590" s="6">
        <v>0.64</v>
      </c>
      <c r="L1590" s="6" t="s">
        <v>42</v>
      </c>
      <c r="M1590" s="6" t="s">
        <v>34</v>
      </c>
      <c r="N1590" s="6"/>
    </row>
    <row r="1591" spans="1:14">
      <c r="A1591" s="6" t="s">
        <v>2882</v>
      </c>
      <c r="B1591" s="7">
        <v>46187</v>
      </c>
      <c r="C1591" s="6" t="s">
        <v>215</v>
      </c>
      <c r="D1591" s="6" t="str">
        <f>IF(OR(PROPER(TRIM(Raw_Data!D1591))="Uk",PROPER(TRIM(Raw_Data!D1591))="Gb",PROPER(TRIM(Raw_Data!D1591))="United kingdom"),"United Kingdom",PROPER(TRIM(Raw_Data!D1591)))</f>
        <v>United Kingdom</v>
      </c>
      <c r="E1591" s="6" t="s">
        <v>52</v>
      </c>
      <c r="F1591" s="6" t="s">
        <v>29</v>
      </c>
      <c r="G1591" s="6" t="str">
        <f>SUBSTITUTE(Raw_Data!G1591,"Ã©","é")</f>
        <v>Trekking Poles</v>
      </c>
      <c r="H1591" s="6">
        <v>1</v>
      </c>
      <c r="I1591" s="6" t="s">
        <v>113</v>
      </c>
      <c r="J1591" s="6" t="s">
        <v>113</v>
      </c>
      <c r="K1591" s="6">
        <v>0.52</v>
      </c>
      <c r="L1591" s="6" t="s">
        <v>42</v>
      </c>
      <c r="M1591" s="6" t="s">
        <v>69</v>
      </c>
      <c r="N1591" s="6"/>
    </row>
    <row r="1592" spans="1:14">
      <c r="A1592" s="6" t="s">
        <v>2883</v>
      </c>
      <c r="B1592" s="7">
        <v>46031</v>
      </c>
      <c r="C1592" s="6" t="s">
        <v>2884</v>
      </c>
      <c r="D1592" s="6" t="str">
        <f>IF(OR(PROPER(TRIM(Raw_Data!D1592))="Uk",PROPER(TRIM(Raw_Data!D1592))="Gb",PROPER(TRIM(Raw_Data!D1592))="United kingdom"),"United Kingdom",PROPER(TRIM(Raw_Data!D1592)))</f>
        <v>Ireland</v>
      </c>
      <c r="E1592" s="6" t="s">
        <v>52</v>
      </c>
      <c r="F1592" s="6" t="s">
        <v>53</v>
      </c>
      <c r="G1592" s="6" t="str">
        <f>SUBSTITUTE(Raw_Data!G1592,"Ã©","é")</f>
        <v>Alpine Jacket</v>
      </c>
      <c r="H1592" s="6">
        <v>1</v>
      </c>
      <c r="I1592" s="6" t="s">
        <v>96</v>
      </c>
      <c r="J1592" s="6" t="s">
        <v>2885</v>
      </c>
      <c r="K1592" s="6">
        <v>0.19</v>
      </c>
      <c r="L1592" s="6" t="s">
        <v>33</v>
      </c>
      <c r="M1592" s="6" t="s">
        <v>34</v>
      </c>
      <c r="N1592" s="6"/>
    </row>
    <row r="1593" spans="1:14">
      <c r="A1593" s="6" t="s">
        <v>2886</v>
      </c>
      <c r="B1593" s="7">
        <v>46235</v>
      </c>
      <c r="C1593" s="6" t="s">
        <v>310</v>
      </c>
      <c r="D1593" s="6" t="str">
        <f>IF(OR(PROPER(TRIM(Raw_Data!D1593))="Uk",PROPER(TRIM(Raw_Data!D1593))="Gb",PROPER(TRIM(Raw_Data!D1593))="United kingdom"),"United Kingdom",PROPER(TRIM(Raw_Data!D1593)))</f>
        <v>United Kingdom</v>
      </c>
      <c r="E1593" s="6" t="s">
        <v>78</v>
      </c>
      <c r="F1593" s="6" t="s">
        <v>94</v>
      </c>
      <c r="G1593" s="6" t="str">
        <f>SUBSTITUTE(Raw_Data!G1593,"Ã©","é")</f>
        <v>Storm Overtrousers</v>
      </c>
      <c r="H1593" s="6">
        <v>2</v>
      </c>
      <c r="I1593" s="6" t="s">
        <v>82</v>
      </c>
      <c r="J1593" s="6" t="s">
        <v>297</v>
      </c>
      <c r="K1593" s="6">
        <v>0.34</v>
      </c>
      <c r="L1593" s="6" t="s">
        <v>42</v>
      </c>
      <c r="M1593" s="6" t="s">
        <v>34</v>
      </c>
      <c r="N1593" s="6"/>
    </row>
    <row r="1594" spans="1:14">
      <c r="A1594" s="6" t="s">
        <v>2887</v>
      </c>
      <c r="B1594" s="7">
        <v>46077</v>
      </c>
      <c r="C1594" s="6" t="s">
        <v>828</v>
      </c>
      <c r="D1594" s="6" t="str">
        <f>IF(OR(PROPER(TRIM(Raw_Data!D1594))="Uk",PROPER(TRIM(Raw_Data!D1594))="Gb",PROPER(TRIM(Raw_Data!D1594))="United kingdom"),"United Kingdom",PROPER(TRIM(Raw_Data!D1594)))</f>
        <v>United Kingdom</v>
      </c>
      <c r="E1594" s="6" t="s">
        <v>28</v>
      </c>
      <c r="F1594" s="6" t="s">
        <v>53</v>
      </c>
      <c r="G1594" s="6" t="str">
        <f>SUBSTITUTE(Raw_Data!G1594,"Ã©","é")</f>
        <v>Summit Down Gilet</v>
      </c>
      <c r="H1594" s="6">
        <v>1</v>
      </c>
      <c r="I1594" s="6" t="s">
        <v>31</v>
      </c>
      <c r="J1594" s="6" t="s">
        <v>31</v>
      </c>
      <c r="K1594" s="6">
        <v>0.19</v>
      </c>
      <c r="L1594" s="6" t="s">
        <v>42</v>
      </c>
      <c r="M1594" s="6" t="s">
        <v>34</v>
      </c>
      <c r="N1594" s="6"/>
    </row>
    <row r="1595" spans="1:14">
      <c r="A1595" s="6" t="s">
        <v>2888</v>
      </c>
      <c r="B1595" s="7">
        <v>46097</v>
      </c>
      <c r="C1595" s="6" t="s">
        <v>1484</v>
      </c>
      <c r="D1595" s="6" t="str">
        <f>IF(OR(PROPER(TRIM(Raw_Data!D1595))="Uk",PROPER(TRIM(Raw_Data!D1595))="Gb",PROPER(TRIM(Raw_Data!D1595))="United kingdom"),"United Kingdom",PROPER(TRIM(Raw_Data!D1595)))</f>
        <v>Ireland</v>
      </c>
      <c r="E1595" s="6" t="s">
        <v>52</v>
      </c>
      <c r="F1595" s="6" t="s">
        <v>53</v>
      </c>
      <c r="G1595" s="6" t="str">
        <f>SUBSTITUTE(Raw_Data!G1595,"Ã©","é")</f>
        <v>Trail Softshell</v>
      </c>
      <c r="H1595" s="6">
        <v>2</v>
      </c>
      <c r="I1595" s="6" t="s">
        <v>117</v>
      </c>
      <c r="J1595" s="6" t="s">
        <v>118</v>
      </c>
      <c r="K1595" s="6">
        <v>0.19</v>
      </c>
      <c r="L1595" s="6" t="s">
        <v>42</v>
      </c>
      <c r="M1595" s="6" t="s">
        <v>34</v>
      </c>
      <c r="N1595" s="6"/>
    </row>
    <row r="1596" spans="1:14">
      <c r="A1596" s="6" t="s">
        <v>2889</v>
      </c>
      <c r="B1596" s="7">
        <v>46299</v>
      </c>
      <c r="C1596" s="6" t="s">
        <v>423</v>
      </c>
      <c r="D1596" s="6" t="str">
        <f>IF(OR(PROPER(TRIM(Raw_Data!D1596))="Uk",PROPER(TRIM(Raw_Data!D1596))="Gb",PROPER(TRIM(Raw_Data!D1596))="United kingdom"),"United Kingdom",PROPER(TRIM(Raw_Data!D1596)))</f>
        <v>Ireland</v>
      </c>
      <c r="E1596" s="6" t="s">
        <v>78</v>
      </c>
      <c r="F1596" s="6" t="s">
        <v>85</v>
      </c>
      <c r="G1596" s="6" t="str">
        <f>SUBSTITUTE(Raw_Data!G1596,"Ã©","é")</f>
        <v>Café Latte Mug</v>
      </c>
      <c r="H1596" s="6">
        <v>3</v>
      </c>
      <c r="I1596" s="6" t="s">
        <v>79</v>
      </c>
      <c r="J1596" s="6" t="s">
        <v>216</v>
      </c>
      <c r="K1596" s="6">
        <v>0.41</v>
      </c>
      <c r="L1596" s="6" t="s">
        <v>33</v>
      </c>
      <c r="M1596" s="6" t="s">
        <v>34</v>
      </c>
      <c r="N1596" s="6"/>
    </row>
    <row r="1597" spans="1:14">
      <c r="A1597" s="6" t="s">
        <v>2890</v>
      </c>
      <c r="B1597" s="7">
        <v>46202</v>
      </c>
      <c r="C1597" s="6" t="s">
        <v>642</v>
      </c>
      <c r="D1597" s="6" t="str">
        <f>IF(OR(PROPER(TRIM(Raw_Data!D1597))="Uk",PROPER(TRIM(Raw_Data!D1597))="Gb",PROPER(TRIM(Raw_Data!D1597))="United kingdom"),"United Kingdom",PROPER(TRIM(Raw_Data!D1597)))</f>
        <v>United Kingdom</v>
      </c>
      <c r="E1597" s="6" t="s">
        <v>78</v>
      </c>
      <c r="F1597" s="6" t="s">
        <v>58</v>
      </c>
      <c r="G1597" s="6" t="str">
        <f>SUBSTITUTE(Raw_Data!G1597,"Ã©","é")</f>
        <v>Trail Softshell</v>
      </c>
      <c r="H1597" s="6">
        <v>3</v>
      </c>
      <c r="I1597" s="6" t="s">
        <v>228</v>
      </c>
      <c r="J1597" s="6" t="s">
        <v>2891</v>
      </c>
      <c r="K1597" s="6">
        <v>0.38</v>
      </c>
      <c r="L1597" s="6" t="s">
        <v>42</v>
      </c>
      <c r="M1597" s="6" t="s">
        <v>34</v>
      </c>
      <c r="N1597" s="6"/>
    </row>
    <row r="1598" spans="1:14">
      <c r="A1598" s="6" t="s">
        <v>2892</v>
      </c>
      <c r="B1598" s="7">
        <v>46118</v>
      </c>
      <c r="C1598" s="6" t="s">
        <v>618</v>
      </c>
      <c r="D1598" s="6" t="str">
        <f>IF(OR(PROPER(TRIM(Raw_Data!D1598))="Uk",PROPER(TRIM(Raw_Data!D1598))="Gb",PROPER(TRIM(Raw_Data!D1598))="United kingdom"),"United Kingdom",PROPER(TRIM(Raw_Data!D1598)))</f>
        <v>United Kingdom</v>
      </c>
      <c r="E1598" s="6" t="s">
        <v>46</v>
      </c>
      <c r="F1598" s="6" t="s">
        <v>100</v>
      </c>
      <c r="G1598" s="6" t="str">
        <f>SUBSTITUTE(Raw_Data!G1598,"Ã©","é")</f>
        <v>Trail Softshell</v>
      </c>
      <c r="H1598" s="6">
        <v>1</v>
      </c>
      <c r="I1598" s="6" t="s">
        <v>73</v>
      </c>
      <c r="J1598" s="6" t="s">
        <v>73</v>
      </c>
      <c r="K1598" s="6">
        <v>0.64</v>
      </c>
      <c r="L1598" s="6" t="s">
        <v>42</v>
      </c>
      <c r="M1598" s="6" t="s">
        <v>34</v>
      </c>
      <c r="N1598" s="6"/>
    </row>
    <row r="1599" spans="1:14">
      <c r="A1599" s="6" t="s">
        <v>2893</v>
      </c>
      <c r="B1599" s="7">
        <v>46204</v>
      </c>
      <c r="C1599" s="6" t="s">
        <v>1141</v>
      </c>
      <c r="D1599" s="6" t="str">
        <f>IF(OR(PROPER(TRIM(Raw_Data!D1599))="Uk",PROPER(TRIM(Raw_Data!D1599))="Gb",PROPER(TRIM(Raw_Data!D1599))="United kingdom"),"United Kingdom",PROPER(TRIM(Raw_Data!D1599)))</f>
        <v>United Kingdom</v>
      </c>
      <c r="E1599" s="6" t="s">
        <v>78</v>
      </c>
      <c r="F1599" s="6" t="s">
        <v>85</v>
      </c>
      <c r="G1599" s="6" t="str">
        <f>SUBSTITUTE(Raw_Data!G1599,"Ã©","é")</f>
        <v>Trekking Poles</v>
      </c>
      <c r="H1599" s="6">
        <v>3</v>
      </c>
      <c r="I1599" s="6" t="s">
        <v>147</v>
      </c>
      <c r="J1599" s="6" t="s">
        <v>148</v>
      </c>
      <c r="K1599" s="6">
        <v>0.41</v>
      </c>
      <c r="L1599" s="6" t="s">
        <v>42</v>
      </c>
      <c r="M1599" s="6" t="s">
        <v>34</v>
      </c>
      <c r="N1599" s="6"/>
    </row>
    <row r="1600" spans="1:14">
      <c r="A1600" s="6" t="s">
        <v>2894</v>
      </c>
      <c r="B1600" s="7">
        <v>46270</v>
      </c>
      <c r="C1600" s="6" t="s">
        <v>707</v>
      </c>
      <c r="D1600" s="6" t="str">
        <f>IF(OR(PROPER(TRIM(Raw_Data!D1600))="Uk",PROPER(TRIM(Raw_Data!D1600))="Gb",PROPER(TRIM(Raw_Data!D1600))="United kingdom"),"United Kingdom",PROPER(TRIM(Raw_Data!D1600)))</f>
        <v>Ireland</v>
      </c>
      <c r="E1600" s="6" t="s">
        <v>28</v>
      </c>
      <c r="F1600" s="6" t="s">
        <v>85</v>
      </c>
      <c r="G1600" s="6" t="str">
        <f>SUBSTITUTE(Raw_Data!G1600,"Ã©","é")</f>
        <v>Summit Down Gilet</v>
      </c>
      <c r="H1600" s="6">
        <v>1</v>
      </c>
      <c r="I1600" s="6" t="s">
        <v>769</v>
      </c>
      <c r="J1600" s="6" t="s">
        <v>60</v>
      </c>
      <c r="K1600" s="6">
        <v>0.41</v>
      </c>
      <c r="L1600" s="6" t="s">
        <v>42</v>
      </c>
      <c r="M1600" s="6" t="s">
        <v>34</v>
      </c>
      <c r="N1600" s="6"/>
    </row>
    <row r="1601" spans="1:14">
      <c r="A1601" s="6" t="s">
        <v>2895</v>
      </c>
      <c r="B1601" s="7">
        <v>46184</v>
      </c>
      <c r="C1601" s="6" t="s">
        <v>2033</v>
      </c>
      <c r="D1601" s="6" t="str">
        <f>IF(OR(PROPER(TRIM(Raw_Data!D1601))="Uk",PROPER(TRIM(Raw_Data!D1601))="Gb",PROPER(TRIM(Raw_Data!D1601))="United kingdom"),"United Kingdom",PROPER(TRIM(Raw_Data!D1601)))</f>
        <v>Germany</v>
      </c>
      <c r="E1601" s="6" t="s">
        <v>28</v>
      </c>
      <c r="F1601" s="6" t="s">
        <v>58</v>
      </c>
      <c r="G1601" s="6" t="str">
        <f>SUBSTITUTE(Raw_Data!G1601,"Ã©","é")</f>
        <v>Fell Runner Cap</v>
      </c>
      <c r="H1601" s="6">
        <v>1</v>
      </c>
      <c r="I1601" s="6" t="s">
        <v>143</v>
      </c>
      <c r="J1601" s="6" t="s">
        <v>143</v>
      </c>
      <c r="K1601" s="6">
        <v>0.38</v>
      </c>
      <c r="L1601" s="6" t="s">
        <v>42</v>
      </c>
      <c r="M1601" s="6" t="s">
        <v>34</v>
      </c>
      <c r="N1601" s="6"/>
    </row>
    <row r="1602" spans="1:14">
      <c r="A1602" s="6" t="s">
        <v>2896</v>
      </c>
      <c r="B1602" s="7">
        <v>46169</v>
      </c>
      <c r="C1602" s="6" t="s">
        <v>1065</v>
      </c>
      <c r="D1602" s="6" t="str">
        <f>IF(OR(PROPER(TRIM(Raw_Data!D1602))="Uk",PROPER(TRIM(Raw_Data!D1602))="Gb",PROPER(TRIM(Raw_Data!D1602))="United kingdom"),"United Kingdom",PROPER(TRIM(Raw_Data!D1602)))</f>
        <v>Ireland</v>
      </c>
      <c r="E1602" s="6" t="s">
        <v>28</v>
      </c>
      <c r="F1602" s="6" t="s">
        <v>29</v>
      </c>
      <c r="G1602" s="6" t="str">
        <f>SUBSTITUTE(Raw_Data!G1602,"Ã©","é")</f>
        <v>Fell Runner Cap</v>
      </c>
      <c r="H1602" s="6">
        <v>1</v>
      </c>
      <c r="I1602" s="6" t="s">
        <v>90</v>
      </c>
      <c r="J1602" s="6" t="s">
        <v>90</v>
      </c>
      <c r="K1602" s="6">
        <v>0.52</v>
      </c>
      <c r="L1602" s="6" t="s">
        <v>42</v>
      </c>
      <c r="M1602" s="6" t="s">
        <v>69</v>
      </c>
      <c r="N1602" s="6"/>
    </row>
    <row r="1603" spans="1:14">
      <c r="A1603" s="6" t="s">
        <v>2897</v>
      </c>
      <c r="B1603" s="7">
        <v>46297</v>
      </c>
      <c r="C1603" s="6" t="s">
        <v>331</v>
      </c>
      <c r="D1603" s="6" t="str">
        <f>IF(OR(PROPER(TRIM(Raw_Data!D1603))="Uk",PROPER(TRIM(Raw_Data!D1603))="Gb",PROPER(TRIM(Raw_Data!D1603))="United kingdom"),"United Kingdom",PROPER(TRIM(Raw_Data!D1603)))</f>
        <v>United Kingdom</v>
      </c>
      <c r="E1603" s="6" t="s">
        <v>46</v>
      </c>
      <c r="F1603" s="6" t="s">
        <v>100</v>
      </c>
      <c r="G1603" s="6" t="str">
        <f>SUBSTITUTE(Raw_Data!G1603,"Ã©","é")</f>
        <v>Alpine Jacket</v>
      </c>
      <c r="H1603" s="6">
        <v>2</v>
      </c>
      <c r="I1603" s="6" t="s">
        <v>40</v>
      </c>
      <c r="J1603" s="6" t="s">
        <v>327</v>
      </c>
      <c r="K1603" s="6">
        <v>0.64</v>
      </c>
      <c r="L1603" s="6" t="s">
        <v>42</v>
      </c>
      <c r="M1603" s="6" t="s">
        <v>69</v>
      </c>
      <c r="N1603" s="6"/>
    </row>
    <row r="1604" spans="1:14">
      <c r="A1604" s="6" t="s">
        <v>2898</v>
      </c>
      <c r="B1604" s="7">
        <v>46149</v>
      </c>
      <c r="C1604" s="6" t="s">
        <v>524</v>
      </c>
      <c r="D1604" s="6" t="str">
        <f>IF(OR(PROPER(TRIM(Raw_Data!D1604))="Uk",PROPER(TRIM(Raw_Data!D1604))="Gb",PROPER(TRIM(Raw_Data!D1604))="United kingdom"),"United Kingdom",PROPER(TRIM(Raw_Data!D1604)))</f>
        <v>United Kingdom</v>
      </c>
      <c r="E1604" s="6" t="s">
        <v>28</v>
      </c>
      <c r="F1604" s="6" t="s">
        <v>100</v>
      </c>
      <c r="G1604" s="6" t="str">
        <f>SUBSTITUTE(Raw_Data!G1604,"Ã©","é")</f>
        <v>Trail Softshell</v>
      </c>
      <c r="H1604" s="6">
        <v>2</v>
      </c>
      <c r="I1604" s="6" t="s">
        <v>60</v>
      </c>
      <c r="J1604" s="6" t="s">
        <v>189</v>
      </c>
      <c r="K1604" s="6">
        <v>0.64</v>
      </c>
      <c r="L1604" s="6" t="s">
        <v>42</v>
      </c>
      <c r="M1604" s="6" t="s">
        <v>34</v>
      </c>
      <c r="N1604" s="6"/>
    </row>
    <row r="1605" spans="1:14">
      <c r="A1605" s="6" t="s">
        <v>2899</v>
      </c>
      <c r="B1605" s="7">
        <v>46085</v>
      </c>
      <c r="C1605" s="6" t="s">
        <v>949</v>
      </c>
      <c r="D1605" s="6" t="str">
        <f>IF(OR(PROPER(TRIM(Raw_Data!D1605))="Uk",PROPER(TRIM(Raw_Data!D1605))="Gb",PROPER(TRIM(Raw_Data!D1605))="United kingdom"),"United Kingdom",PROPER(TRIM(Raw_Data!D1605)))</f>
        <v>United Kingdom</v>
      </c>
      <c r="E1605" s="6" t="s">
        <v>28</v>
      </c>
      <c r="F1605" s="6" t="s">
        <v>38</v>
      </c>
      <c r="G1605" s="6" t="str">
        <f>SUBSTITUTE(Raw_Data!G1605,"Ã©","é")</f>
        <v>Café Latte Mug</v>
      </c>
      <c r="H1605" s="6">
        <v>1</v>
      </c>
      <c r="I1605" s="6" t="s">
        <v>90</v>
      </c>
      <c r="J1605" s="6" t="s">
        <v>90</v>
      </c>
      <c r="K1605" s="6">
        <v>0.52</v>
      </c>
      <c r="L1605" s="6" t="s">
        <v>42</v>
      </c>
      <c r="M1605" s="6" t="s">
        <v>69</v>
      </c>
      <c r="N1605" s="6"/>
    </row>
    <row r="1606" spans="1:14">
      <c r="A1606" s="6" t="s">
        <v>2900</v>
      </c>
      <c r="B1606" s="7">
        <v>46079</v>
      </c>
      <c r="C1606" s="6" t="s">
        <v>2901</v>
      </c>
      <c r="D1606" s="6" t="str">
        <f>IF(OR(PROPER(TRIM(Raw_Data!D1606))="Uk",PROPER(TRIM(Raw_Data!D1606))="Gb",PROPER(TRIM(Raw_Data!D1606))="United kingdom"),"United Kingdom",PROPER(TRIM(Raw_Data!D1606)))</f>
        <v>Ireland</v>
      </c>
      <c r="E1606" s="6" t="s">
        <v>46</v>
      </c>
      <c r="F1606" s="6" t="s">
        <v>58</v>
      </c>
      <c r="G1606" s="6" t="str">
        <f>SUBSTITUTE(Raw_Data!G1606,"Ã©","é")</f>
        <v>Alpine Jacket</v>
      </c>
      <c r="H1606" s="6">
        <v>1</v>
      </c>
      <c r="I1606" s="6" t="s">
        <v>31</v>
      </c>
      <c r="J1606" s="6" t="s">
        <v>31</v>
      </c>
      <c r="K1606" s="6">
        <v>0.38</v>
      </c>
      <c r="L1606" s="6" t="s">
        <v>33</v>
      </c>
      <c r="M1606" s="6" t="s">
        <v>34</v>
      </c>
      <c r="N1606" s="6"/>
    </row>
    <row r="1607" spans="1:14">
      <c r="A1607" s="6" t="s">
        <v>2902</v>
      </c>
      <c r="B1607" s="7">
        <v>46058</v>
      </c>
      <c r="C1607" s="6" t="s">
        <v>871</v>
      </c>
      <c r="D1607" s="6" t="str">
        <f>IF(OR(PROPER(TRIM(Raw_Data!D1607))="Uk",PROPER(TRIM(Raw_Data!D1607))="Gb",PROPER(TRIM(Raw_Data!D1607))="United kingdom"),"United Kingdom",PROPER(TRIM(Raw_Data!D1607)))</f>
        <v>United Kingdom</v>
      </c>
      <c r="E1607" s="6" t="s">
        <v>78</v>
      </c>
      <c r="F1607" s="6" t="s">
        <v>38</v>
      </c>
      <c r="G1607" s="6" t="str">
        <f>SUBSTITUTE(Raw_Data!G1607,"Ã©","é")</f>
        <v>Trekking Poles</v>
      </c>
      <c r="H1607" s="6">
        <v>3</v>
      </c>
      <c r="I1607" s="6" t="s">
        <v>147</v>
      </c>
      <c r="J1607" s="6" t="s">
        <v>148</v>
      </c>
      <c r="K1607" s="6">
        <v>0.52</v>
      </c>
      <c r="L1607" s="6" t="s">
        <v>42</v>
      </c>
      <c r="M1607" s="6" t="s">
        <v>34</v>
      </c>
      <c r="N1607" s="6"/>
    </row>
    <row r="1608" spans="1:14">
      <c r="A1608" s="6" t="s">
        <v>2903</v>
      </c>
      <c r="B1608" s="7">
        <v>46206</v>
      </c>
      <c r="C1608" s="6" t="s">
        <v>892</v>
      </c>
      <c r="D1608" s="6" t="str">
        <f>IF(OR(PROPER(TRIM(Raw_Data!D1608))="Uk",PROPER(TRIM(Raw_Data!D1608))="Gb",PROPER(TRIM(Raw_Data!D1608))="United kingdom"),"United Kingdom",PROPER(TRIM(Raw_Data!D1608)))</f>
        <v>United Kingdom</v>
      </c>
      <c r="E1608" s="6" t="s">
        <v>37</v>
      </c>
      <c r="F1608" s="6" t="s">
        <v>29</v>
      </c>
      <c r="G1608" s="6" t="str">
        <f>SUBSTITUTE(Raw_Data!G1608,"Ã©","é")</f>
        <v>Merino Base Layer</v>
      </c>
      <c r="H1608" s="6">
        <v>1</v>
      </c>
      <c r="I1608" s="6" t="s">
        <v>90</v>
      </c>
      <c r="J1608" s="6" t="s">
        <v>90</v>
      </c>
      <c r="K1608" s="6">
        <v>0.52</v>
      </c>
      <c r="L1608" s="6" t="s">
        <v>42</v>
      </c>
      <c r="M1608" s="6" t="s">
        <v>34</v>
      </c>
      <c r="N1608" s="6"/>
    </row>
    <row r="1609" spans="1:14">
      <c r="A1609" s="6" t="s">
        <v>2904</v>
      </c>
      <c r="B1609" s="7">
        <v>46096</v>
      </c>
      <c r="C1609" s="6" t="s">
        <v>2905</v>
      </c>
      <c r="D1609" s="6" t="str">
        <f>IF(OR(PROPER(TRIM(Raw_Data!D1609))="Uk",PROPER(TRIM(Raw_Data!D1609))="Gb",PROPER(TRIM(Raw_Data!D1609))="United kingdom"),"United Kingdom",PROPER(TRIM(Raw_Data!D1609)))</f>
        <v>United Kingdom</v>
      </c>
      <c r="E1609" s="6" t="s">
        <v>78</v>
      </c>
      <c r="F1609" s="6" t="s">
        <v>47</v>
      </c>
      <c r="G1609" s="6" t="str">
        <f>SUBSTITUTE(Raw_Data!G1609,"Ã©","é")</f>
        <v>Café Latte Mug</v>
      </c>
      <c r="H1609" s="6">
        <v>1</v>
      </c>
      <c r="I1609" s="6" t="s">
        <v>113</v>
      </c>
      <c r="J1609" s="6" t="s">
        <v>113</v>
      </c>
      <c r="K1609" s="6">
        <v>8.5000000000000006E-2</v>
      </c>
      <c r="L1609" s="6" t="s">
        <v>33</v>
      </c>
      <c r="M1609" s="6" t="s">
        <v>69</v>
      </c>
      <c r="N1609" s="6"/>
    </row>
    <row r="1610" spans="1:14">
      <c r="A1610" s="6" t="s">
        <v>2906</v>
      </c>
      <c r="B1610" s="7">
        <v>46146</v>
      </c>
      <c r="C1610" s="6" t="s">
        <v>2907</v>
      </c>
      <c r="D1610" s="6" t="str">
        <f>IF(OR(PROPER(TRIM(Raw_Data!D1610))="Uk",PROPER(TRIM(Raw_Data!D1610))="Gb",PROPER(TRIM(Raw_Data!D1610))="United kingdom"),"United Kingdom",PROPER(TRIM(Raw_Data!D1610)))</f>
        <v>United Kingdom</v>
      </c>
      <c r="E1610" s="6" t="s">
        <v>37</v>
      </c>
      <c r="F1610" s="6" t="s">
        <v>58</v>
      </c>
      <c r="G1610" s="6" t="str">
        <f>SUBSTITUTE(Raw_Data!G1610,"Ã©","é")</f>
        <v>Merino Base Layer</v>
      </c>
      <c r="H1610" s="6">
        <v>1</v>
      </c>
      <c r="I1610" s="6" t="s">
        <v>73</v>
      </c>
      <c r="J1610" s="6" t="s">
        <v>73</v>
      </c>
      <c r="K1610" s="6">
        <v>0.38</v>
      </c>
      <c r="L1610" s="6" t="s">
        <v>33</v>
      </c>
      <c r="M1610" s="6" t="s">
        <v>34</v>
      </c>
      <c r="N1610" s="6"/>
    </row>
    <row r="1611" spans="1:14">
      <c r="A1611" s="6" t="s">
        <v>2908</v>
      </c>
      <c r="B1611" s="7">
        <v>46238</v>
      </c>
      <c r="C1611" s="6" t="s">
        <v>2909</v>
      </c>
      <c r="D1611" s="6" t="str">
        <f>IF(OR(PROPER(TRIM(Raw_Data!D1611))="Uk",PROPER(TRIM(Raw_Data!D1611))="Gb",PROPER(TRIM(Raw_Data!D1611))="United kingdom"),"United Kingdom",PROPER(TRIM(Raw_Data!D1611)))</f>
        <v>France</v>
      </c>
      <c r="E1611" s="6" t="s">
        <v>46</v>
      </c>
      <c r="F1611" s="6" t="s">
        <v>47</v>
      </c>
      <c r="G1611" s="6" t="str">
        <f>SUBSTITUTE(Raw_Data!G1611,"Ã©","é")</f>
        <v>Merino Base Layer</v>
      </c>
      <c r="H1611" s="6">
        <v>1</v>
      </c>
      <c r="I1611" s="6" t="s">
        <v>31</v>
      </c>
      <c r="J1611" s="6" t="s">
        <v>31</v>
      </c>
      <c r="K1611" s="6">
        <v>8.5000000000000006E-2</v>
      </c>
      <c r="L1611" s="6" t="s">
        <v>33</v>
      </c>
      <c r="M1611" s="6" t="s">
        <v>69</v>
      </c>
      <c r="N1611" s="6"/>
    </row>
    <row r="1612" spans="1:14">
      <c r="A1612" s="6" t="s">
        <v>2910</v>
      </c>
      <c r="B1612" s="7">
        <v>46112</v>
      </c>
      <c r="C1612" s="6" t="s">
        <v>492</v>
      </c>
      <c r="D1612" s="6" t="str">
        <f>IF(OR(PROPER(TRIM(Raw_Data!D1612))="Uk",PROPER(TRIM(Raw_Data!D1612))="Gb",PROPER(TRIM(Raw_Data!D1612))="United kingdom"),"United Kingdom",PROPER(TRIM(Raw_Data!D1612)))</f>
        <v>United Kingdom</v>
      </c>
      <c r="E1612" s="6" t="s">
        <v>78</v>
      </c>
      <c r="F1612" s="6" t="s">
        <v>58</v>
      </c>
      <c r="G1612" s="6" t="str">
        <f>SUBSTITUTE(Raw_Data!G1612,"Ã©","é")</f>
        <v>Storm Overtrousers</v>
      </c>
      <c r="H1612" s="6">
        <v>2</v>
      </c>
      <c r="I1612" s="6" t="s">
        <v>113</v>
      </c>
      <c r="J1612" s="6" t="s">
        <v>192</v>
      </c>
      <c r="K1612" s="6">
        <v>0.38</v>
      </c>
      <c r="L1612" s="6" t="s">
        <v>42</v>
      </c>
      <c r="M1612" s="6" t="s">
        <v>34</v>
      </c>
      <c r="N1612" s="6"/>
    </row>
    <row r="1613" spans="1:14">
      <c r="A1613" s="6" t="s">
        <v>2911</v>
      </c>
      <c r="B1613" s="7">
        <v>46140</v>
      </c>
      <c r="C1613" s="6" t="s">
        <v>240</v>
      </c>
      <c r="D1613" s="6" t="str">
        <f>IF(OR(PROPER(TRIM(Raw_Data!D1613))="Uk",PROPER(TRIM(Raw_Data!D1613))="Gb",PROPER(TRIM(Raw_Data!D1613))="United kingdom"),"United Kingdom",PROPER(TRIM(Raw_Data!D1613)))</f>
        <v>Ireland</v>
      </c>
      <c r="E1613" s="6" t="s">
        <v>37</v>
      </c>
      <c r="F1613" s="6" t="s">
        <v>38</v>
      </c>
      <c r="G1613" s="6" t="str">
        <f>SUBSTITUTE(Raw_Data!G1613,"Ã©","é")</f>
        <v>Summit Down Gilet</v>
      </c>
      <c r="H1613" s="6">
        <v>1</v>
      </c>
      <c r="I1613" s="6" t="s">
        <v>31</v>
      </c>
      <c r="J1613" s="6" t="s">
        <v>31</v>
      </c>
      <c r="K1613" s="6">
        <v>0.52</v>
      </c>
      <c r="L1613" s="6" t="s">
        <v>42</v>
      </c>
      <c r="M1613" s="6" t="s">
        <v>34</v>
      </c>
      <c r="N1613" s="6"/>
    </row>
    <row r="1614" spans="1:14">
      <c r="A1614" s="6" t="s">
        <v>2912</v>
      </c>
      <c r="B1614" s="7">
        <v>46134</v>
      </c>
      <c r="C1614" s="6" t="s">
        <v>2387</v>
      </c>
      <c r="D1614" s="6" t="str">
        <f>IF(OR(PROPER(TRIM(Raw_Data!D1614))="Uk",PROPER(TRIM(Raw_Data!D1614))="Gb",PROPER(TRIM(Raw_Data!D1614))="United kingdom"),"United Kingdom",PROPER(TRIM(Raw_Data!D1614)))</f>
        <v>United Kingdom</v>
      </c>
      <c r="E1614" s="6" t="s">
        <v>52</v>
      </c>
      <c r="F1614" s="6" t="s">
        <v>47</v>
      </c>
      <c r="G1614" s="6" t="str">
        <f>SUBSTITUTE(Raw_Data!G1614,"Ã©","é")</f>
        <v>Alpine Jacket</v>
      </c>
      <c r="H1614" s="6">
        <v>2</v>
      </c>
      <c r="I1614" s="6" t="s">
        <v>143</v>
      </c>
      <c r="J1614" s="6" t="s">
        <v>144</v>
      </c>
      <c r="K1614" s="6">
        <v>8.5000000000000006E-2</v>
      </c>
      <c r="L1614" s="6" t="s">
        <v>42</v>
      </c>
      <c r="M1614" s="6" t="s">
        <v>34</v>
      </c>
      <c r="N1614" s="6"/>
    </row>
    <row r="1615" spans="1:14">
      <c r="A1615" s="6" t="s">
        <v>2913</v>
      </c>
      <c r="B1615" s="7">
        <v>46035</v>
      </c>
      <c r="C1615" s="6" t="s">
        <v>1307</v>
      </c>
      <c r="D1615" s="6" t="str">
        <f>IF(OR(PROPER(TRIM(Raw_Data!D1615))="Uk",PROPER(TRIM(Raw_Data!D1615))="Gb",PROPER(TRIM(Raw_Data!D1615))="United kingdom"),"United Kingdom",PROPER(TRIM(Raw_Data!D1615)))</f>
        <v>United Kingdom</v>
      </c>
      <c r="E1615" s="6" t="s">
        <v>37</v>
      </c>
      <c r="F1615" s="6" t="s">
        <v>53</v>
      </c>
      <c r="G1615" s="6" t="str">
        <f>SUBSTITUTE(Raw_Data!G1615,"Ã©","é")</f>
        <v>Storm Overtrousers</v>
      </c>
      <c r="H1615" s="6">
        <v>2</v>
      </c>
      <c r="I1615" s="6" t="s">
        <v>79</v>
      </c>
      <c r="J1615" s="6" t="s">
        <v>259</v>
      </c>
      <c r="K1615" s="6">
        <v>0.19</v>
      </c>
      <c r="L1615" s="6" t="s">
        <v>42</v>
      </c>
      <c r="M1615" s="6" t="s">
        <v>34</v>
      </c>
      <c r="N1615" s="6"/>
    </row>
    <row r="1616" spans="1:14">
      <c r="A1616" s="6" t="s">
        <v>2914</v>
      </c>
      <c r="B1616" s="7">
        <v>46139</v>
      </c>
      <c r="C1616" s="6" t="s">
        <v>1210</v>
      </c>
      <c r="D1616" s="6" t="str">
        <f>IF(OR(PROPER(TRIM(Raw_Data!D1616))="Uk",PROPER(TRIM(Raw_Data!D1616))="Gb",PROPER(TRIM(Raw_Data!D1616))="United kingdom"),"United Kingdom",PROPER(TRIM(Raw_Data!D1616)))</f>
        <v>Germany</v>
      </c>
      <c r="E1616" s="6" t="s">
        <v>52</v>
      </c>
      <c r="F1616" s="6" t="s">
        <v>85</v>
      </c>
      <c r="G1616" s="6" t="str">
        <f>SUBSTITUTE(Raw_Data!G1616,"Ã©","é")</f>
        <v>Storm Overtrousers</v>
      </c>
      <c r="H1616" s="6">
        <v>1</v>
      </c>
      <c r="I1616" s="6" t="s">
        <v>113</v>
      </c>
      <c r="J1616" s="6" t="s">
        <v>113</v>
      </c>
      <c r="K1616" s="6">
        <v>0.41</v>
      </c>
      <c r="L1616" s="6" t="s">
        <v>42</v>
      </c>
      <c r="M1616" s="6" t="s">
        <v>34</v>
      </c>
      <c r="N1616" s="6"/>
    </row>
    <row r="1617" spans="1:14">
      <c r="A1617" s="6" t="s">
        <v>2915</v>
      </c>
      <c r="B1617" s="7">
        <v>46148</v>
      </c>
      <c r="C1617" s="6" t="s">
        <v>1809</v>
      </c>
      <c r="D1617" s="6" t="str">
        <f>IF(OR(PROPER(TRIM(Raw_Data!D1617))="Uk",PROPER(TRIM(Raw_Data!D1617))="Gb",PROPER(TRIM(Raw_Data!D1617))="United kingdom"),"United Kingdom",PROPER(TRIM(Raw_Data!D1617)))</f>
        <v>Germany</v>
      </c>
      <c r="E1617" s="6" t="s">
        <v>52</v>
      </c>
      <c r="F1617" s="6" t="s">
        <v>47</v>
      </c>
      <c r="G1617" s="6" t="str">
        <f>SUBSTITUTE(Raw_Data!G1617,"Ã©","é")</f>
        <v>Summit Down Gilet</v>
      </c>
      <c r="H1617" s="6">
        <v>1</v>
      </c>
      <c r="I1617" s="6" t="s">
        <v>143</v>
      </c>
      <c r="J1617" s="6" t="s">
        <v>143</v>
      </c>
      <c r="K1617" s="6">
        <v>8.5000000000000006E-2</v>
      </c>
      <c r="L1617" s="6" t="s">
        <v>33</v>
      </c>
      <c r="M1617" s="6" t="s">
        <v>34</v>
      </c>
      <c r="N1617" s="6"/>
    </row>
    <row r="1618" spans="1:14">
      <c r="A1618" s="6" t="s">
        <v>2916</v>
      </c>
      <c r="B1618" s="7">
        <v>46111</v>
      </c>
      <c r="C1618" s="6" t="s">
        <v>2917</v>
      </c>
      <c r="D1618" s="6" t="str">
        <f>IF(OR(PROPER(TRIM(Raw_Data!D1618))="Uk",PROPER(TRIM(Raw_Data!D1618))="Gb",PROPER(TRIM(Raw_Data!D1618))="United kingdom"),"United Kingdom",PROPER(TRIM(Raw_Data!D1618)))</f>
        <v>France</v>
      </c>
      <c r="E1618" s="6" t="s">
        <v>52</v>
      </c>
      <c r="F1618" s="6" t="s">
        <v>100</v>
      </c>
      <c r="G1618" s="6" t="str">
        <f>SUBSTITUTE(Raw_Data!G1618,"Ã©","é")</f>
        <v>Trekking Poles</v>
      </c>
      <c r="H1618" s="6">
        <v>2</v>
      </c>
      <c r="I1618" s="6" t="s">
        <v>117</v>
      </c>
      <c r="J1618" s="6" t="s">
        <v>118</v>
      </c>
      <c r="K1618" s="6">
        <v>0.64</v>
      </c>
      <c r="L1618" s="6" t="s">
        <v>42</v>
      </c>
      <c r="M1618" s="6" t="s">
        <v>69</v>
      </c>
      <c r="N1618" s="6"/>
    </row>
    <row r="1619" spans="1:14">
      <c r="A1619" s="6" t="s">
        <v>2918</v>
      </c>
      <c r="B1619" s="7">
        <v>46060</v>
      </c>
      <c r="C1619" s="6" t="s">
        <v>2919</v>
      </c>
      <c r="D1619" s="6" t="str">
        <f>IF(OR(PROPER(TRIM(Raw_Data!D1619))="Uk",PROPER(TRIM(Raw_Data!D1619))="Gb",PROPER(TRIM(Raw_Data!D1619))="United kingdom"),"United Kingdom",PROPER(TRIM(Raw_Data!D1619)))</f>
        <v>United Kingdom</v>
      </c>
      <c r="E1619" s="6" t="s">
        <v>28</v>
      </c>
      <c r="F1619" s="6" t="s">
        <v>29</v>
      </c>
      <c r="G1619" s="6" t="str">
        <f>SUBSTITUTE(Raw_Data!G1619,"Ã©","é")</f>
        <v>Alpine Jacket</v>
      </c>
      <c r="H1619" s="6">
        <v>1</v>
      </c>
      <c r="I1619" s="6" t="s">
        <v>265</v>
      </c>
      <c r="J1619" s="6" t="s">
        <v>265</v>
      </c>
      <c r="K1619" s="6">
        <v>0.52</v>
      </c>
      <c r="L1619" s="6" t="s">
        <v>33</v>
      </c>
      <c r="M1619" s="6" t="s">
        <v>34</v>
      </c>
      <c r="N1619" s="6"/>
    </row>
    <row r="1620" spans="1:14">
      <c r="A1620" s="6" t="s">
        <v>2920</v>
      </c>
      <c r="B1620" s="7">
        <v>46235</v>
      </c>
      <c r="C1620" s="6" t="s">
        <v>2594</v>
      </c>
      <c r="D1620" s="6" t="str">
        <f>IF(OR(PROPER(TRIM(Raw_Data!D1620))="Uk",PROPER(TRIM(Raw_Data!D1620))="Gb",PROPER(TRIM(Raw_Data!D1620))="United kingdom"),"United Kingdom",PROPER(TRIM(Raw_Data!D1620)))</f>
        <v>United Kingdom</v>
      </c>
      <c r="E1620" s="6" t="s">
        <v>78</v>
      </c>
      <c r="F1620" s="6" t="s">
        <v>58</v>
      </c>
      <c r="G1620" s="6" t="str">
        <f>SUBSTITUTE(Raw_Data!G1620,"Ã©","é")</f>
        <v>Alpine Jacket</v>
      </c>
      <c r="H1620" s="6">
        <v>1</v>
      </c>
      <c r="I1620" s="6" t="s">
        <v>79</v>
      </c>
      <c r="J1620" s="6" t="s">
        <v>79</v>
      </c>
      <c r="K1620" s="6">
        <v>0.38</v>
      </c>
      <c r="L1620" s="6" t="s">
        <v>42</v>
      </c>
      <c r="M1620" s="6" t="s">
        <v>34</v>
      </c>
      <c r="N1620" s="6"/>
    </row>
    <row r="1621" spans="1:14">
      <c r="A1621" s="6" t="s">
        <v>2921</v>
      </c>
      <c r="B1621" s="7">
        <v>46129</v>
      </c>
      <c r="C1621" s="6" t="s">
        <v>2063</v>
      </c>
      <c r="D1621" s="6" t="str">
        <f>IF(OR(PROPER(TRIM(Raw_Data!D1621))="Uk",PROPER(TRIM(Raw_Data!D1621))="Gb",PROPER(TRIM(Raw_Data!D1621))="United kingdom"),"United Kingdom",PROPER(TRIM(Raw_Data!D1621)))</f>
        <v>United Kingdom</v>
      </c>
      <c r="E1621" s="6" t="s">
        <v>46</v>
      </c>
      <c r="F1621" s="6" t="s">
        <v>100</v>
      </c>
      <c r="G1621" s="6" t="str">
        <f>SUBSTITUTE(Raw_Data!G1621,"Ã©","é")</f>
        <v>Trail Softshell</v>
      </c>
      <c r="H1621" s="6">
        <v>2</v>
      </c>
      <c r="I1621" s="6" t="s">
        <v>79</v>
      </c>
      <c r="J1621" s="6" t="s">
        <v>259</v>
      </c>
      <c r="K1621" s="6">
        <v>0.64</v>
      </c>
      <c r="L1621" s="6" t="s">
        <v>33</v>
      </c>
      <c r="M1621" s="6" t="s">
        <v>34</v>
      </c>
      <c r="N1621" s="6"/>
    </row>
    <row r="1622" spans="1:14">
      <c r="A1622" s="6" t="s">
        <v>2922</v>
      </c>
      <c r="B1622" s="7">
        <v>46068</v>
      </c>
      <c r="C1622" s="6" t="s">
        <v>2923</v>
      </c>
      <c r="D1622" s="6" t="str">
        <f>IF(OR(PROPER(TRIM(Raw_Data!D1622))="Uk",PROPER(TRIM(Raw_Data!D1622))="Gb",PROPER(TRIM(Raw_Data!D1622))="United kingdom"),"United Kingdom",PROPER(TRIM(Raw_Data!D1622)))</f>
        <v>France</v>
      </c>
      <c r="E1622" s="6" t="s">
        <v>28</v>
      </c>
      <c r="F1622" s="6" t="s">
        <v>38</v>
      </c>
      <c r="G1622" s="6" t="str">
        <f>SUBSTITUTE(Raw_Data!G1622,"Ã©","é")</f>
        <v>Summit Down Gilet</v>
      </c>
      <c r="H1622" s="6">
        <v>1</v>
      </c>
      <c r="I1622" s="6" t="s">
        <v>60</v>
      </c>
      <c r="J1622" s="6" t="s">
        <v>60</v>
      </c>
      <c r="K1622" s="6">
        <v>0.52</v>
      </c>
      <c r="L1622" s="6" t="s">
        <v>42</v>
      </c>
      <c r="M1622" s="6" t="s">
        <v>34</v>
      </c>
      <c r="N1622" s="6"/>
    </row>
    <row r="1623" spans="1:14">
      <c r="A1623" s="6" t="s">
        <v>2924</v>
      </c>
      <c r="B1623" s="7">
        <v>46128</v>
      </c>
      <c r="C1623" s="6" t="s">
        <v>2925</v>
      </c>
      <c r="D1623" s="6" t="str">
        <f>IF(OR(PROPER(TRIM(Raw_Data!D1623))="Uk",PROPER(TRIM(Raw_Data!D1623))="Gb",PROPER(TRIM(Raw_Data!D1623))="United kingdom"),"United Kingdom",PROPER(TRIM(Raw_Data!D1623)))</f>
        <v>United Kingdom</v>
      </c>
      <c r="E1623" s="6" t="s">
        <v>28</v>
      </c>
      <c r="F1623" s="6" t="s">
        <v>29</v>
      </c>
      <c r="G1623" s="6" t="str">
        <f>SUBSTITUTE(Raw_Data!G1623,"Ã©","é")</f>
        <v>Trail Softshell</v>
      </c>
      <c r="H1623" s="6">
        <v>1</v>
      </c>
      <c r="I1623" s="6" t="s">
        <v>40</v>
      </c>
      <c r="J1623" s="6" t="s">
        <v>40</v>
      </c>
      <c r="K1623" s="6">
        <v>0.52</v>
      </c>
      <c r="L1623" s="6" t="s">
        <v>33</v>
      </c>
      <c r="M1623" s="6" t="s">
        <v>34</v>
      </c>
      <c r="N1623" s="6"/>
    </row>
    <row r="1624" spans="1:14">
      <c r="A1624" s="6" t="s">
        <v>2926</v>
      </c>
      <c r="B1624" s="7">
        <v>46096</v>
      </c>
      <c r="C1624" s="6" t="s">
        <v>2707</v>
      </c>
      <c r="D1624" s="6" t="str">
        <f>IF(OR(PROPER(TRIM(Raw_Data!D1624))="Uk",PROPER(TRIM(Raw_Data!D1624))="Gb",PROPER(TRIM(Raw_Data!D1624))="United kingdom"),"United Kingdom",PROPER(TRIM(Raw_Data!D1624)))</f>
        <v>Germany</v>
      </c>
      <c r="E1624" s="6" t="s">
        <v>52</v>
      </c>
      <c r="F1624" s="6" t="s">
        <v>53</v>
      </c>
      <c r="G1624" s="6" t="str">
        <f>SUBSTITUTE(Raw_Data!G1624,"Ã©","é")</f>
        <v>Trekking Poles</v>
      </c>
      <c r="H1624" s="6">
        <v>1</v>
      </c>
      <c r="I1624" s="6" t="s">
        <v>90</v>
      </c>
      <c r="J1624" s="6" t="s">
        <v>90</v>
      </c>
      <c r="K1624" s="6">
        <v>0.19</v>
      </c>
      <c r="L1624" s="6" t="s">
        <v>42</v>
      </c>
      <c r="M1624" s="6" t="s">
        <v>34</v>
      </c>
      <c r="N1624" s="6"/>
    </row>
    <row r="1625" spans="1:14">
      <c r="A1625" s="6" t="s">
        <v>2927</v>
      </c>
      <c r="B1625" s="7">
        <v>46187</v>
      </c>
      <c r="C1625" s="6" t="s">
        <v>414</v>
      </c>
      <c r="D1625" s="6" t="str">
        <f>IF(OR(PROPER(TRIM(Raw_Data!D1625))="Uk",PROPER(TRIM(Raw_Data!D1625))="Gb",PROPER(TRIM(Raw_Data!D1625))="United kingdom"),"United Kingdom",PROPER(TRIM(Raw_Data!D1625)))</f>
        <v>Ireland</v>
      </c>
      <c r="E1625" s="6" t="s">
        <v>37</v>
      </c>
      <c r="F1625" s="6" t="s">
        <v>53</v>
      </c>
      <c r="G1625" s="6" t="str">
        <f>SUBSTITUTE(Raw_Data!G1625,"Ã©","é")</f>
        <v>Fell Runner Cap</v>
      </c>
      <c r="H1625" s="6">
        <v>2</v>
      </c>
      <c r="I1625" s="6" t="s">
        <v>265</v>
      </c>
      <c r="J1625" s="6" t="s">
        <v>167</v>
      </c>
      <c r="K1625" s="6">
        <v>0.19</v>
      </c>
      <c r="L1625" s="6" t="s">
        <v>42</v>
      </c>
      <c r="M1625" s="6" t="s">
        <v>69</v>
      </c>
      <c r="N1625" s="6"/>
    </row>
    <row r="1626" spans="1:14">
      <c r="A1626" s="6" t="s">
        <v>2928</v>
      </c>
      <c r="B1626" s="7">
        <v>46027</v>
      </c>
      <c r="C1626" s="6" t="s">
        <v>2053</v>
      </c>
      <c r="D1626" s="6" t="str">
        <f>IF(OR(PROPER(TRIM(Raw_Data!D1626))="Uk",PROPER(TRIM(Raw_Data!D1626))="Gb",PROPER(TRIM(Raw_Data!D1626))="United kingdom"),"United Kingdom",PROPER(TRIM(Raw_Data!D1626)))</f>
        <v>Ireland</v>
      </c>
      <c r="E1626" s="6" t="s">
        <v>28</v>
      </c>
      <c r="F1626" s="6" t="s">
        <v>100</v>
      </c>
      <c r="G1626" s="6" t="str">
        <f>SUBSTITUTE(Raw_Data!G1626,"Ã©","é")</f>
        <v>Summit Down Gilet</v>
      </c>
      <c r="H1626" s="6">
        <v>2</v>
      </c>
      <c r="I1626" s="6" t="s">
        <v>143</v>
      </c>
      <c r="J1626" s="6" t="s">
        <v>144</v>
      </c>
      <c r="K1626" s="6">
        <v>0.64</v>
      </c>
      <c r="L1626" s="6" t="s">
        <v>42</v>
      </c>
      <c r="M1626" s="6" t="s">
        <v>69</v>
      </c>
      <c r="N1626" s="6"/>
    </row>
    <row r="1627" spans="1:14">
      <c r="A1627" s="6" t="s">
        <v>2929</v>
      </c>
      <c r="B1627" s="7">
        <v>46128</v>
      </c>
      <c r="C1627" s="6" t="s">
        <v>2930</v>
      </c>
      <c r="D1627" s="6" t="str">
        <f>IF(OR(PROPER(TRIM(Raw_Data!D1627))="Uk",PROPER(TRIM(Raw_Data!D1627))="Gb",PROPER(TRIM(Raw_Data!D1627))="United kingdom"),"United Kingdom",PROPER(TRIM(Raw_Data!D1627)))</f>
        <v>Germany</v>
      </c>
      <c r="E1627" s="6" t="s">
        <v>46</v>
      </c>
      <c r="F1627" s="6" t="s">
        <v>38</v>
      </c>
      <c r="G1627" s="6" t="str">
        <f>SUBSTITUTE(Raw_Data!G1627,"Ã©","é")</f>
        <v>Fell Runner Cap</v>
      </c>
      <c r="H1627" s="6">
        <v>-1</v>
      </c>
      <c r="I1627" s="6" t="s">
        <v>231</v>
      </c>
      <c r="J1627" s="8" t="s">
        <v>2931</v>
      </c>
      <c r="K1627" s="6">
        <v>0.52</v>
      </c>
      <c r="L1627" s="6" t="s">
        <v>42</v>
      </c>
      <c r="M1627" s="6" t="s">
        <v>34</v>
      </c>
      <c r="N1627" s="6"/>
    </row>
    <row r="1628" spans="1:14">
      <c r="A1628" s="6" t="s">
        <v>2932</v>
      </c>
      <c r="B1628" s="7">
        <v>46149</v>
      </c>
      <c r="C1628" s="6" t="s">
        <v>2039</v>
      </c>
      <c r="D1628" s="6" t="str">
        <f>IF(OR(PROPER(TRIM(Raw_Data!D1628))="Uk",PROPER(TRIM(Raw_Data!D1628))="Gb",PROPER(TRIM(Raw_Data!D1628))="United kingdom"),"United Kingdom",PROPER(TRIM(Raw_Data!D1628)))</f>
        <v>United Kingdom</v>
      </c>
      <c r="E1628" s="6" t="s">
        <v>52</v>
      </c>
      <c r="F1628" s="6" t="s">
        <v>58</v>
      </c>
      <c r="G1628" s="6" t="str">
        <f>SUBSTITUTE(Raw_Data!G1628,"Ã©","é")</f>
        <v>Summit Down Gilet</v>
      </c>
      <c r="H1628" s="6">
        <v>2</v>
      </c>
      <c r="I1628" s="6" t="s">
        <v>60</v>
      </c>
      <c r="J1628" s="6" t="s">
        <v>189</v>
      </c>
      <c r="K1628" s="6">
        <v>0.38</v>
      </c>
      <c r="L1628" s="6" t="s">
        <v>42</v>
      </c>
      <c r="M1628" s="6" t="s">
        <v>34</v>
      </c>
      <c r="N1628" s="6"/>
    </row>
    <row r="1629" spans="1:14">
      <c r="A1629" s="6" t="s">
        <v>2933</v>
      </c>
      <c r="B1629" s="7">
        <v>46074</v>
      </c>
      <c r="C1629" s="6" t="s">
        <v>1865</v>
      </c>
      <c r="D1629" s="6" t="str">
        <f>IF(OR(PROPER(TRIM(Raw_Data!D1629))="Uk",PROPER(TRIM(Raw_Data!D1629))="Gb",PROPER(TRIM(Raw_Data!D1629))="United kingdom"),"United Kingdom",PROPER(TRIM(Raw_Data!D1629)))</f>
        <v>United Kingdom</v>
      </c>
      <c r="E1629" s="6" t="s">
        <v>37</v>
      </c>
      <c r="F1629" s="6" t="s">
        <v>94</v>
      </c>
      <c r="G1629" s="6" t="str">
        <f>SUBSTITUTE(Raw_Data!G1629,"Ã©","é")</f>
        <v>Trail Softshell</v>
      </c>
      <c r="H1629" s="6">
        <v>1</v>
      </c>
      <c r="I1629" s="6" t="s">
        <v>1224</v>
      </c>
      <c r="J1629" s="6" t="s">
        <v>117</v>
      </c>
      <c r="K1629" s="6">
        <v>0.34</v>
      </c>
      <c r="L1629" s="6" t="s">
        <v>42</v>
      </c>
      <c r="M1629" s="6" t="s">
        <v>34</v>
      </c>
      <c r="N1629" s="6"/>
    </row>
    <row r="1630" spans="1:14">
      <c r="A1630" s="6" t="s">
        <v>2934</v>
      </c>
      <c r="B1630" s="7">
        <v>46057</v>
      </c>
      <c r="C1630" s="6" t="s">
        <v>109</v>
      </c>
      <c r="D1630" s="6" t="str">
        <f>IF(OR(PROPER(TRIM(Raw_Data!D1630))="Uk",PROPER(TRIM(Raw_Data!D1630))="Gb",PROPER(TRIM(Raw_Data!D1630))="United kingdom"),"United Kingdom",PROPER(TRIM(Raw_Data!D1630)))</f>
        <v>Ireland</v>
      </c>
      <c r="E1630" s="6" t="s">
        <v>37</v>
      </c>
      <c r="F1630" s="6" t="s">
        <v>29</v>
      </c>
      <c r="G1630" s="6" t="str">
        <f>SUBSTITUTE(Raw_Data!G1630,"Ã©","é")</f>
        <v>Fell Runner Cap</v>
      </c>
      <c r="H1630" s="6">
        <v>3</v>
      </c>
      <c r="I1630" s="6" t="s">
        <v>90</v>
      </c>
      <c r="J1630" s="6" t="s">
        <v>102</v>
      </c>
      <c r="K1630" s="6">
        <v>0.52</v>
      </c>
      <c r="L1630" s="6" t="s">
        <v>42</v>
      </c>
      <c r="M1630" s="6" t="s">
        <v>34</v>
      </c>
      <c r="N1630" s="6"/>
    </row>
    <row r="1631" spans="1:14">
      <c r="A1631" s="6" t="s">
        <v>2935</v>
      </c>
      <c r="B1631" s="7">
        <v>46117</v>
      </c>
      <c r="C1631" s="6" t="s">
        <v>2936</v>
      </c>
      <c r="D1631" s="6" t="str">
        <f>IF(OR(PROPER(TRIM(Raw_Data!D1631))="Uk",PROPER(TRIM(Raw_Data!D1631))="Gb",PROPER(TRIM(Raw_Data!D1631))="United kingdom"),"United Kingdom",PROPER(TRIM(Raw_Data!D1631)))</f>
        <v>United Kingdom</v>
      </c>
      <c r="E1631" s="6" t="s">
        <v>37</v>
      </c>
      <c r="F1631" s="6" t="s">
        <v>100</v>
      </c>
      <c r="G1631" s="6" t="str">
        <f>SUBSTITUTE(Raw_Data!G1631,"Ã©","é")</f>
        <v>Merino Base Layer</v>
      </c>
      <c r="H1631" s="6">
        <v>1</v>
      </c>
      <c r="I1631" s="6" t="s">
        <v>117</v>
      </c>
      <c r="J1631" s="6" t="s">
        <v>117</v>
      </c>
      <c r="K1631" s="6">
        <v>0.64</v>
      </c>
      <c r="L1631" s="6" t="s">
        <v>42</v>
      </c>
      <c r="M1631" s="6" t="s">
        <v>34</v>
      </c>
      <c r="N1631" s="6"/>
    </row>
    <row r="1632" spans="1:14">
      <c r="A1632" s="6" t="s">
        <v>2937</v>
      </c>
      <c r="B1632" s="7">
        <v>46361</v>
      </c>
      <c r="C1632" s="6" t="s">
        <v>81</v>
      </c>
      <c r="D1632" s="6" t="str">
        <f>IF(OR(PROPER(TRIM(Raw_Data!D1632))="Uk",PROPER(TRIM(Raw_Data!D1632))="Gb",PROPER(TRIM(Raw_Data!D1632))="United kingdom"),"United Kingdom",PROPER(TRIM(Raw_Data!D1632)))</f>
        <v>France</v>
      </c>
      <c r="E1632" s="6" t="s">
        <v>28</v>
      </c>
      <c r="F1632" s="6" t="s">
        <v>100</v>
      </c>
      <c r="G1632" s="6" t="str">
        <f>SUBSTITUTE(Raw_Data!G1632,"Ã©","é")</f>
        <v>Storm Overtrousers</v>
      </c>
      <c r="H1632" s="6">
        <v>2</v>
      </c>
      <c r="I1632" s="6" t="s">
        <v>265</v>
      </c>
      <c r="J1632" s="6" t="s">
        <v>167</v>
      </c>
      <c r="K1632" s="6">
        <v>0.64</v>
      </c>
      <c r="L1632" s="6" t="s">
        <v>42</v>
      </c>
      <c r="M1632" s="6" t="s">
        <v>34</v>
      </c>
      <c r="N1632" s="6"/>
    </row>
    <row r="1633" spans="1:14">
      <c r="A1633" s="6" t="s">
        <v>2938</v>
      </c>
      <c r="B1633" s="7">
        <v>46099</v>
      </c>
      <c r="C1633" s="6" t="s">
        <v>1210</v>
      </c>
      <c r="D1633" s="6" t="str">
        <f>IF(OR(PROPER(TRIM(Raw_Data!D1633))="Uk",PROPER(TRIM(Raw_Data!D1633))="Gb",PROPER(TRIM(Raw_Data!D1633))="United kingdom"),"United Kingdom",PROPER(TRIM(Raw_Data!D1633)))</f>
        <v>Ireland</v>
      </c>
      <c r="E1633" s="6" t="s">
        <v>46</v>
      </c>
      <c r="F1633" s="6" t="s">
        <v>47</v>
      </c>
      <c r="G1633" s="6" t="str">
        <f>SUBSTITUTE(Raw_Data!G1633,"Ã©","é")</f>
        <v>Fell Runner Cap</v>
      </c>
      <c r="H1633" s="6">
        <v>1</v>
      </c>
      <c r="I1633" s="6" t="s">
        <v>117</v>
      </c>
      <c r="J1633" s="6" t="s">
        <v>117</v>
      </c>
      <c r="K1633" s="6">
        <v>8.5000000000000006E-2</v>
      </c>
      <c r="L1633" s="6" t="s">
        <v>33</v>
      </c>
      <c r="M1633" s="6" t="s">
        <v>34</v>
      </c>
      <c r="N1633" s="6"/>
    </row>
    <row r="1634" spans="1:14">
      <c r="A1634" s="6" t="s">
        <v>2939</v>
      </c>
      <c r="B1634" s="7">
        <v>46068</v>
      </c>
      <c r="C1634" s="6" t="s">
        <v>988</v>
      </c>
      <c r="D1634" s="6" t="str">
        <f>IF(OR(PROPER(TRIM(Raw_Data!D1634))="Uk",PROPER(TRIM(Raw_Data!D1634))="Gb",PROPER(TRIM(Raw_Data!D1634))="United kingdom"),"United Kingdom",PROPER(TRIM(Raw_Data!D1634)))</f>
        <v>Ireland</v>
      </c>
      <c r="E1634" s="6" t="s">
        <v>78</v>
      </c>
      <c r="F1634" s="6" t="s">
        <v>85</v>
      </c>
      <c r="G1634" s="6" t="str">
        <f>SUBSTITUTE(Raw_Data!G1634,"Ã©","é")</f>
        <v>Alpine Jacket</v>
      </c>
      <c r="H1634" s="6">
        <v>2</v>
      </c>
      <c r="I1634" s="6" t="s">
        <v>117</v>
      </c>
      <c r="J1634" s="6" t="s">
        <v>118</v>
      </c>
      <c r="K1634" s="6">
        <v>0.41</v>
      </c>
      <c r="L1634" s="6" t="s">
        <v>42</v>
      </c>
      <c r="M1634" s="6" t="s">
        <v>34</v>
      </c>
      <c r="N1634" s="6"/>
    </row>
    <row r="1635" spans="1:14">
      <c r="A1635" s="6" t="s">
        <v>2941</v>
      </c>
      <c r="B1635" s="7">
        <v>46327</v>
      </c>
      <c r="C1635" s="6" t="s">
        <v>2942</v>
      </c>
      <c r="D1635" s="6" t="str">
        <f>IF(OR(PROPER(TRIM(Raw_Data!D1635))="Uk",PROPER(TRIM(Raw_Data!D1635))="Gb",PROPER(TRIM(Raw_Data!D1635))="United kingdom"),"United Kingdom",PROPER(TRIM(Raw_Data!D1635)))</f>
        <v>Ireland</v>
      </c>
      <c r="E1635" s="6" t="s">
        <v>78</v>
      </c>
      <c r="F1635" s="6" t="s">
        <v>38</v>
      </c>
      <c r="G1635" s="6" t="str">
        <f>SUBSTITUTE(Raw_Data!G1635,"Ã©","é")</f>
        <v>Trekking Poles</v>
      </c>
      <c r="H1635" s="6">
        <v>1</v>
      </c>
      <c r="I1635" s="6" t="s">
        <v>79</v>
      </c>
      <c r="J1635" s="6" t="s">
        <v>79</v>
      </c>
      <c r="K1635" s="6">
        <v>0.52</v>
      </c>
      <c r="L1635" s="6" t="s">
        <v>42</v>
      </c>
      <c r="M1635" s="6" t="s">
        <v>69</v>
      </c>
      <c r="N1635" s="6"/>
    </row>
    <row r="1636" spans="1:14">
      <c r="A1636" s="6" t="s">
        <v>2943</v>
      </c>
      <c r="B1636" s="7">
        <v>46111</v>
      </c>
      <c r="C1636" s="6" t="s">
        <v>2944</v>
      </c>
      <c r="D1636" s="6" t="str">
        <f>IF(OR(PROPER(TRIM(Raw_Data!D1636))="Uk",PROPER(TRIM(Raw_Data!D1636))="Gb",PROPER(TRIM(Raw_Data!D1636))="United kingdom"),"United Kingdom",PROPER(TRIM(Raw_Data!D1636)))</f>
        <v>Germany</v>
      </c>
      <c r="E1636" s="6" t="s">
        <v>52</v>
      </c>
      <c r="F1636" s="6" t="s">
        <v>94</v>
      </c>
      <c r="G1636" s="6" t="str">
        <f>SUBSTITUTE(Raw_Data!G1636,"Ã©","é")</f>
        <v>Summit Down Gilet</v>
      </c>
      <c r="H1636" s="6">
        <v>2</v>
      </c>
      <c r="I1636" s="6" t="s">
        <v>147</v>
      </c>
      <c r="J1636" s="6" t="s">
        <v>175</v>
      </c>
      <c r="K1636" s="6">
        <v>0.34</v>
      </c>
      <c r="L1636" s="6" t="s">
        <v>42</v>
      </c>
      <c r="M1636" s="6" t="s">
        <v>34</v>
      </c>
      <c r="N1636" s="6"/>
    </row>
    <row r="1637" spans="1:14">
      <c r="A1637" s="6" t="s">
        <v>2945</v>
      </c>
      <c r="B1637" s="7">
        <v>46039</v>
      </c>
      <c r="C1637" s="6" t="s">
        <v>1094</v>
      </c>
      <c r="D1637" s="6" t="str">
        <f>IF(OR(PROPER(TRIM(Raw_Data!D1637))="Uk",PROPER(TRIM(Raw_Data!D1637))="Gb",PROPER(TRIM(Raw_Data!D1637))="United kingdom"),"United Kingdom",PROPER(TRIM(Raw_Data!D1637)))</f>
        <v>United Kingdom</v>
      </c>
      <c r="E1637" s="6" t="s">
        <v>78</v>
      </c>
      <c r="F1637" s="6" t="s">
        <v>100</v>
      </c>
      <c r="G1637" s="6" t="str">
        <f>SUBSTITUTE(Raw_Data!G1637,"Ã©","é")</f>
        <v>Alpine Jacket</v>
      </c>
      <c r="H1637" s="6">
        <v>2</v>
      </c>
      <c r="I1637" s="6" t="s">
        <v>40</v>
      </c>
      <c r="J1637" s="6" t="s">
        <v>327</v>
      </c>
      <c r="K1637" s="6">
        <v>0.64</v>
      </c>
      <c r="L1637" s="6" t="s">
        <v>42</v>
      </c>
      <c r="M1637" s="6" t="s">
        <v>34</v>
      </c>
      <c r="N1637" s="6"/>
    </row>
    <row r="1638" spans="1:14">
      <c r="A1638" s="6" t="s">
        <v>2946</v>
      </c>
      <c r="B1638" s="7">
        <v>46114</v>
      </c>
      <c r="C1638" s="6" t="s">
        <v>532</v>
      </c>
      <c r="D1638" s="6" t="str">
        <f>IF(OR(PROPER(TRIM(Raw_Data!D1638))="Uk",PROPER(TRIM(Raw_Data!D1638))="Gb",PROPER(TRIM(Raw_Data!D1638))="United kingdom"),"United Kingdom",PROPER(TRIM(Raw_Data!D1638)))</f>
        <v>United Kingdom</v>
      </c>
      <c r="E1638" s="6" t="s">
        <v>78</v>
      </c>
      <c r="F1638" s="6" t="s">
        <v>29</v>
      </c>
      <c r="G1638" s="6" t="str">
        <f>SUBSTITUTE(Raw_Data!G1638,"Ã©","é")</f>
        <v>Trail Softshell</v>
      </c>
      <c r="H1638" s="6">
        <v>2</v>
      </c>
      <c r="I1638" s="6" t="s">
        <v>117</v>
      </c>
      <c r="J1638" s="6" t="s">
        <v>118</v>
      </c>
      <c r="K1638" s="6">
        <v>0.52</v>
      </c>
      <c r="L1638" s="6" t="s">
        <v>42</v>
      </c>
      <c r="M1638" s="6" t="s">
        <v>34</v>
      </c>
      <c r="N1638" s="6"/>
    </row>
    <row r="1639" spans="1:14">
      <c r="A1639" s="6" t="s">
        <v>2947</v>
      </c>
      <c r="B1639" s="7">
        <v>46300</v>
      </c>
      <c r="C1639" s="6" t="s">
        <v>2161</v>
      </c>
      <c r="D1639" s="6" t="str">
        <f>IF(OR(PROPER(TRIM(Raw_Data!D1639))="Uk",PROPER(TRIM(Raw_Data!D1639))="Gb",PROPER(TRIM(Raw_Data!D1639))="United kingdom"),"United Kingdom",PROPER(TRIM(Raw_Data!D1639)))</f>
        <v>France</v>
      </c>
      <c r="E1639" s="6" t="s">
        <v>78</v>
      </c>
      <c r="F1639" s="6" t="s">
        <v>85</v>
      </c>
      <c r="G1639" s="6" t="str">
        <f>SUBSTITUTE(Raw_Data!G1639,"Ã©","é")</f>
        <v>Trekking Poles</v>
      </c>
      <c r="H1639" s="6">
        <v>1</v>
      </c>
      <c r="I1639" s="6" t="s">
        <v>73</v>
      </c>
      <c r="J1639" s="6" t="s">
        <v>73</v>
      </c>
      <c r="K1639" s="6">
        <v>0.41</v>
      </c>
      <c r="L1639" s="6" t="s">
        <v>33</v>
      </c>
      <c r="M1639" s="6" t="s">
        <v>34</v>
      </c>
      <c r="N1639" s="6"/>
    </row>
    <row r="1640" spans="1:14">
      <c r="A1640" s="6" t="s">
        <v>2948</v>
      </c>
      <c r="B1640" s="7">
        <v>46190</v>
      </c>
      <c r="C1640" s="6" t="s">
        <v>2484</v>
      </c>
      <c r="D1640" s="6" t="str">
        <f>IF(OR(PROPER(TRIM(Raw_Data!D1640))="Uk",PROPER(TRIM(Raw_Data!D1640))="Gb",PROPER(TRIM(Raw_Data!D1640))="United kingdom"),"United Kingdom",PROPER(TRIM(Raw_Data!D1640)))</f>
        <v>United Kingdom</v>
      </c>
      <c r="E1640" s="6" t="s">
        <v>78</v>
      </c>
      <c r="F1640" s="6" t="s">
        <v>94</v>
      </c>
      <c r="G1640" s="6" t="str">
        <f>SUBSTITUTE(Raw_Data!G1640,"Ã©","é")</f>
        <v>Merino Base Layer</v>
      </c>
      <c r="H1640" s="6">
        <v>1</v>
      </c>
      <c r="I1640" s="6" t="s">
        <v>73</v>
      </c>
      <c r="J1640" s="6" t="s">
        <v>73</v>
      </c>
      <c r="K1640" s="6">
        <v>0.34</v>
      </c>
      <c r="L1640" s="6" t="s">
        <v>33</v>
      </c>
      <c r="M1640" s="6" t="s">
        <v>69</v>
      </c>
      <c r="N1640" s="6"/>
    </row>
    <row r="1641" spans="1:14">
      <c r="A1641" s="6" t="s">
        <v>2949</v>
      </c>
      <c r="B1641" s="7">
        <v>46038</v>
      </c>
      <c r="C1641" s="6" t="s">
        <v>591</v>
      </c>
      <c r="D1641" s="6" t="str">
        <f>IF(OR(PROPER(TRIM(Raw_Data!D1641))="Uk",PROPER(TRIM(Raw_Data!D1641))="Gb",PROPER(TRIM(Raw_Data!D1641))="United kingdom"),"United Kingdom",PROPER(TRIM(Raw_Data!D1641)))</f>
        <v>United Kingdom</v>
      </c>
      <c r="E1641" s="6" t="s">
        <v>37</v>
      </c>
      <c r="F1641" s="6" t="s">
        <v>100</v>
      </c>
      <c r="G1641" s="6" t="str">
        <f>SUBSTITUTE(Raw_Data!G1641,"Ã©","é")</f>
        <v>Merino Base Layer</v>
      </c>
      <c r="H1641" s="6">
        <v>1</v>
      </c>
      <c r="I1641" s="6" t="s">
        <v>90</v>
      </c>
      <c r="J1641" s="6" t="s">
        <v>90</v>
      </c>
      <c r="K1641" s="6">
        <v>0.64</v>
      </c>
      <c r="L1641" s="6" t="s">
        <v>42</v>
      </c>
      <c r="M1641" s="6" t="s">
        <v>34</v>
      </c>
      <c r="N1641" s="6"/>
    </row>
    <row r="1642" spans="1:14">
      <c r="A1642" s="6" t="s">
        <v>2950</v>
      </c>
      <c r="B1642" s="7">
        <v>46173</v>
      </c>
      <c r="C1642" s="6" t="s">
        <v>1238</v>
      </c>
      <c r="D1642" s="6" t="str">
        <f>IF(OR(PROPER(TRIM(Raw_Data!D1642))="Uk",PROPER(TRIM(Raw_Data!D1642))="Gb",PROPER(TRIM(Raw_Data!D1642))="United kingdom"),"United Kingdom",PROPER(TRIM(Raw_Data!D1642)))</f>
        <v>Ireland</v>
      </c>
      <c r="E1642" s="6" t="s">
        <v>37</v>
      </c>
      <c r="F1642" s="6" t="s">
        <v>29</v>
      </c>
      <c r="G1642" s="6" t="str">
        <f>SUBSTITUTE(Raw_Data!G1642,"Ã©","é")</f>
        <v>Alpine Jacket</v>
      </c>
      <c r="H1642" s="6">
        <v>1</v>
      </c>
      <c r="I1642" s="6" t="s">
        <v>147</v>
      </c>
      <c r="J1642" s="6" t="s">
        <v>147</v>
      </c>
      <c r="K1642" s="6">
        <v>0.52</v>
      </c>
      <c r="L1642" s="6" t="s">
        <v>42</v>
      </c>
      <c r="M1642" s="6" t="s">
        <v>34</v>
      </c>
      <c r="N1642" s="6"/>
    </row>
    <row r="1643" spans="1:14">
      <c r="A1643" s="6" t="s">
        <v>2951</v>
      </c>
      <c r="B1643" s="7">
        <v>46207</v>
      </c>
      <c r="C1643" s="6" t="s">
        <v>436</v>
      </c>
      <c r="D1643" s="6" t="str">
        <f>IF(OR(PROPER(TRIM(Raw_Data!D1643))="Uk",PROPER(TRIM(Raw_Data!D1643))="Gb",PROPER(TRIM(Raw_Data!D1643))="United kingdom"),"United Kingdom",PROPER(TRIM(Raw_Data!D1643)))</f>
        <v>France</v>
      </c>
      <c r="E1643" s="6" t="s">
        <v>52</v>
      </c>
      <c r="F1643" s="6" t="s">
        <v>29</v>
      </c>
      <c r="G1643" s="6" t="str">
        <f>SUBSTITUTE(Raw_Data!G1643,"Ã©","é")</f>
        <v>Trail Softshell</v>
      </c>
      <c r="H1643" s="6">
        <v>3</v>
      </c>
      <c r="I1643" s="6" t="s">
        <v>113</v>
      </c>
      <c r="J1643" s="6" t="s">
        <v>138</v>
      </c>
      <c r="K1643" s="6">
        <v>0.52</v>
      </c>
      <c r="L1643" s="6" t="s">
        <v>42</v>
      </c>
      <c r="M1643" s="6" t="s">
        <v>34</v>
      </c>
      <c r="N1643" s="6"/>
    </row>
    <row r="1644" spans="1:14">
      <c r="A1644" s="6" t="s">
        <v>2952</v>
      </c>
      <c r="B1644" s="7">
        <v>46050</v>
      </c>
      <c r="C1644" s="6" t="s">
        <v>2512</v>
      </c>
      <c r="D1644" s="6" t="str">
        <f>IF(OR(PROPER(TRIM(Raw_Data!D1644))="Uk",PROPER(TRIM(Raw_Data!D1644))="Gb",PROPER(TRIM(Raw_Data!D1644))="United kingdom"),"United Kingdom",PROPER(TRIM(Raw_Data!D1644)))</f>
        <v>United Kingdom</v>
      </c>
      <c r="E1644" s="6" t="s">
        <v>52</v>
      </c>
      <c r="F1644" s="6" t="s">
        <v>85</v>
      </c>
      <c r="G1644" s="6" t="str">
        <f>SUBSTITUTE(Raw_Data!G1644,"Ã©","é")</f>
        <v>Summit Down Gilet</v>
      </c>
      <c r="H1644" s="6">
        <v>2</v>
      </c>
      <c r="I1644" s="6" t="s">
        <v>90</v>
      </c>
      <c r="J1644" s="6" t="s">
        <v>154</v>
      </c>
      <c r="K1644" s="6">
        <v>0.41</v>
      </c>
      <c r="L1644" s="6" t="s">
        <v>42</v>
      </c>
      <c r="M1644" s="6" t="s">
        <v>34</v>
      </c>
      <c r="N1644" s="6"/>
    </row>
    <row r="1645" spans="1:14">
      <c r="A1645" s="6" t="s">
        <v>2953</v>
      </c>
      <c r="B1645" s="7">
        <v>46358</v>
      </c>
      <c r="C1645" s="6" t="s">
        <v>1683</v>
      </c>
      <c r="D1645" s="6" t="str">
        <f>IF(OR(PROPER(TRIM(Raw_Data!D1645))="Uk",PROPER(TRIM(Raw_Data!D1645))="Gb",PROPER(TRIM(Raw_Data!D1645))="United kingdom"),"United Kingdom",PROPER(TRIM(Raw_Data!D1645)))</f>
        <v>Ireland</v>
      </c>
      <c r="E1645" s="6" t="s">
        <v>52</v>
      </c>
      <c r="F1645" s="6" t="s">
        <v>38</v>
      </c>
      <c r="G1645" s="6" t="str">
        <f>SUBSTITUTE(Raw_Data!G1645,"Ã©","é")</f>
        <v>Café Latte Mug</v>
      </c>
      <c r="H1645" s="6">
        <v>1</v>
      </c>
      <c r="I1645" s="6" t="s">
        <v>2954</v>
      </c>
      <c r="J1645" s="6" t="s">
        <v>31</v>
      </c>
      <c r="K1645" s="6">
        <v>0.52</v>
      </c>
      <c r="L1645" s="6" t="s">
        <v>33</v>
      </c>
      <c r="M1645" s="6" t="s">
        <v>34</v>
      </c>
      <c r="N1645" s="6"/>
    </row>
    <row r="1646" spans="1:14">
      <c r="A1646" s="6" t="s">
        <v>2955</v>
      </c>
      <c r="B1646" s="7">
        <v>46117</v>
      </c>
      <c r="C1646" s="6" t="s">
        <v>2956</v>
      </c>
      <c r="D1646" s="6" t="str">
        <f>IF(OR(PROPER(TRIM(Raw_Data!D1646))="Uk",PROPER(TRIM(Raw_Data!D1646))="Gb",PROPER(TRIM(Raw_Data!D1646))="United kingdom"),"United Kingdom",PROPER(TRIM(Raw_Data!D1646)))</f>
        <v>France</v>
      </c>
      <c r="E1646" s="6" t="s">
        <v>52</v>
      </c>
      <c r="F1646" s="6" t="s">
        <v>94</v>
      </c>
      <c r="G1646" s="6" t="str">
        <f>SUBSTITUTE(Raw_Data!G1646,"Ã©","é")</f>
        <v>Trekking Poles</v>
      </c>
      <c r="H1646" s="6">
        <v>1</v>
      </c>
      <c r="I1646" s="6" t="s">
        <v>162</v>
      </c>
      <c r="J1646" s="6" t="s">
        <v>181</v>
      </c>
      <c r="K1646" s="6">
        <v>0.34</v>
      </c>
      <c r="L1646" s="6" t="s">
        <v>42</v>
      </c>
      <c r="M1646" s="6" t="s">
        <v>34</v>
      </c>
      <c r="N1646" s="6"/>
    </row>
    <row r="1647" spans="1:14">
      <c r="A1647" s="6" t="s">
        <v>2957</v>
      </c>
      <c r="B1647" s="7">
        <v>46141</v>
      </c>
      <c r="C1647" s="6" t="s">
        <v>2802</v>
      </c>
      <c r="D1647" s="6" t="str">
        <f>IF(OR(PROPER(TRIM(Raw_Data!D1647))="Uk",PROPER(TRIM(Raw_Data!D1647))="Gb",PROPER(TRIM(Raw_Data!D1647))="United kingdom"),"United Kingdom",PROPER(TRIM(Raw_Data!D1647)))</f>
        <v>United Kingdom</v>
      </c>
      <c r="E1647" s="6" t="s">
        <v>78</v>
      </c>
      <c r="F1647" s="6" t="s">
        <v>85</v>
      </c>
      <c r="G1647" s="6" t="str">
        <f>SUBSTITUTE(Raw_Data!G1647,"Ã©","é")</f>
        <v>Alpine Jacket</v>
      </c>
      <c r="H1647" s="6">
        <v>1</v>
      </c>
      <c r="I1647" s="6" t="s">
        <v>181</v>
      </c>
      <c r="J1647" s="6" t="s">
        <v>181</v>
      </c>
      <c r="K1647" s="6">
        <v>0.41</v>
      </c>
      <c r="L1647" s="6" t="s">
        <v>33</v>
      </c>
      <c r="M1647" s="6" t="s">
        <v>69</v>
      </c>
      <c r="N1647" s="6"/>
    </row>
    <row r="1648" spans="1:14">
      <c r="A1648" s="6" t="s">
        <v>2958</v>
      </c>
      <c r="B1648" s="7">
        <v>46101</v>
      </c>
      <c r="C1648" s="6" t="s">
        <v>711</v>
      </c>
      <c r="D1648" s="6" t="str">
        <f>IF(OR(PROPER(TRIM(Raw_Data!D1648))="Uk",PROPER(TRIM(Raw_Data!D1648))="Gb",PROPER(TRIM(Raw_Data!D1648))="United kingdom"),"United Kingdom",PROPER(TRIM(Raw_Data!D1648)))</f>
        <v>United Kingdom</v>
      </c>
      <c r="E1648" s="6" t="s">
        <v>78</v>
      </c>
      <c r="F1648" s="6" t="s">
        <v>53</v>
      </c>
      <c r="G1648" s="6" t="str">
        <f>SUBSTITUTE(Raw_Data!G1648,"Ã©","é")</f>
        <v>Alpine Jacket</v>
      </c>
      <c r="H1648" s="6">
        <v>1</v>
      </c>
      <c r="I1648" s="6" t="s">
        <v>67</v>
      </c>
      <c r="J1648" s="6" t="s">
        <v>67</v>
      </c>
      <c r="K1648" s="6">
        <v>0.19</v>
      </c>
      <c r="L1648" s="6" t="s">
        <v>42</v>
      </c>
      <c r="M1648" s="6" t="s">
        <v>34</v>
      </c>
      <c r="N1648" s="6"/>
    </row>
    <row r="1649" spans="1:14">
      <c r="A1649" s="6" t="s">
        <v>2959</v>
      </c>
      <c r="B1649" s="7">
        <v>46142</v>
      </c>
      <c r="C1649" s="6" t="s">
        <v>2960</v>
      </c>
      <c r="D1649" s="6" t="str">
        <f>IF(OR(PROPER(TRIM(Raw_Data!D1649))="Uk",PROPER(TRIM(Raw_Data!D1649))="Gb",PROPER(TRIM(Raw_Data!D1649))="United kingdom"),"United Kingdom",PROPER(TRIM(Raw_Data!D1649)))</f>
        <v>United Kingdom</v>
      </c>
      <c r="E1649" s="6" t="s">
        <v>52</v>
      </c>
      <c r="F1649" s="6" t="s">
        <v>29</v>
      </c>
      <c r="G1649" s="6" t="str">
        <f>SUBSTITUTE(Raw_Data!G1649,"Ã©","é")</f>
        <v>Fell Runner Cap</v>
      </c>
      <c r="H1649" s="6">
        <v>3</v>
      </c>
      <c r="I1649" s="6" t="s">
        <v>265</v>
      </c>
      <c r="J1649" s="6" t="s">
        <v>401</v>
      </c>
      <c r="K1649" s="6">
        <v>0.52</v>
      </c>
      <c r="L1649" s="6" t="s">
        <v>42</v>
      </c>
      <c r="M1649" s="6" t="s">
        <v>69</v>
      </c>
      <c r="N1649" s="6"/>
    </row>
    <row r="1650" spans="1:14">
      <c r="A1650" s="6" t="s">
        <v>2961</v>
      </c>
      <c r="B1650" s="7">
        <v>46329</v>
      </c>
      <c r="C1650" s="6" t="s">
        <v>811</v>
      </c>
      <c r="D1650" s="6" t="str">
        <f>IF(OR(PROPER(TRIM(Raw_Data!D1650))="Uk",PROPER(TRIM(Raw_Data!D1650))="Gb",PROPER(TRIM(Raw_Data!D1650))="United kingdom"),"United Kingdom",PROPER(TRIM(Raw_Data!D1650)))</f>
        <v>France</v>
      </c>
      <c r="E1650" s="6" t="s">
        <v>78</v>
      </c>
      <c r="F1650" s="6" t="s">
        <v>94</v>
      </c>
      <c r="G1650" s="6" t="str">
        <f>SUBSTITUTE(Raw_Data!G1650,"Ã©","é")</f>
        <v>Storm Overtrousers</v>
      </c>
      <c r="H1650" s="6">
        <v>2</v>
      </c>
      <c r="I1650" s="6" t="s">
        <v>748</v>
      </c>
      <c r="J1650" s="6" t="s">
        <v>192</v>
      </c>
      <c r="K1650" s="6">
        <v>0.34</v>
      </c>
      <c r="L1650" s="6" t="s">
        <v>42</v>
      </c>
      <c r="M1650" s="6" t="s">
        <v>34</v>
      </c>
      <c r="N1650" s="6"/>
    </row>
    <row r="1651" spans="1:14">
      <c r="A1651" s="6" t="s">
        <v>2962</v>
      </c>
      <c r="B1651" s="7">
        <v>46066</v>
      </c>
      <c r="C1651" s="6" t="s">
        <v>2179</v>
      </c>
      <c r="D1651" s="6" t="str">
        <f>IF(OR(PROPER(TRIM(Raw_Data!D1651))="Uk",PROPER(TRIM(Raw_Data!D1651))="Gb",PROPER(TRIM(Raw_Data!D1651))="United kingdom"),"United Kingdom",PROPER(TRIM(Raw_Data!D1651)))</f>
        <v>United Kingdom</v>
      </c>
      <c r="E1651" s="6" t="s">
        <v>37</v>
      </c>
      <c r="F1651" s="6" t="s">
        <v>58</v>
      </c>
      <c r="G1651" s="6" t="str">
        <f>SUBSTITUTE(Raw_Data!G1651,"Ã©","é")</f>
        <v>Trail Softshell</v>
      </c>
      <c r="H1651" s="6">
        <v>1</v>
      </c>
      <c r="I1651" s="6" t="s">
        <v>147</v>
      </c>
      <c r="J1651" s="6" t="s">
        <v>147</v>
      </c>
      <c r="K1651" s="6">
        <v>0.38</v>
      </c>
      <c r="L1651" s="6" t="s">
        <v>42</v>
      </c>
      <c r="M1651" s="6" t="s">
        <v>34</v>
      </c>
      <c r="N1651" s="6"/>
    </row>
    <row r="1652" spans="1:14">
      <c r="A1652" s="6" t="s">
        <v>2963</v>
      </c>
      <c r="B1652" s="7">
        <v>46328</v>
      </c>
      <c r="C1652" s="6" t="s">
        <v>1371</v>
      </c>
      <c r="D1652" s="6" t="str">
        <f>IF(OR(PROPER(TRIM(Raw_Data!D1652))="Uk",PROPER(TRIM(Raw_Data!D1652))="Gb",PROPER(TRIM(Raw_Data!D1652))="United kingdom"),"United Kingdom",PROPER(TRIM(Raw_Data!D1652)))</f>
        <v>United Kingdom</v>
      </c>
      <c r="E1652" s="6" t="s">
        <v>28</v>
      </c>
      <c r="F1652" s="6" t="s">
        <v>85</v>
      </c>
      <c r="G1652" s="6" t="str">
        <f>SUBSTITUTE(Raw_Data!G1652,"Ã©","é")</f>
        <v>Café Latte Mug</v>
      </c>
      <c r="H1652" s="6">
        <v>2</v>
      </c>
      <c r="I1652" s="6" t="s">
        <v>31</v>
      </c>
      <c r="J1652" s="6" t="s">
        <v>249</v>
      </c>
      <c r="K1652" s="6">
        <v>0.41</v>
      </c>
      <c r="L1652" s="6" t="s">
        <v>42</v>
      </c>
      <c r="M1652" s="6" t="s">
        <v>69</v>
      </c>
      <c r="N1652" s="6"/>
    </row>
    <row r="1653" spans="1:14">
      <c r="A1653" s="6" t="s">
        <v>2964</v>
      </c>
      <c r="B1653" s="7">
        <v>46098</v>
      </c>
      <c r="C1653" s="6" t="s">
        <v>1623</v>
      </c>
      <c r="D1653" s="6" t="str">
        <f>IF(OR(PROPER(TRIM(Raw_Data!D1653))="Uk",PROPER(TRIM(Raw_Data!D1653))="Gb",PROPER(TRIM(Raw_Data!D1653))="United kingdom"),"United Kingdom",PROPER(TRIM(Raw_Data!D1653)))</f>
        <v>United Kingdom</v>
      </c>
      <c r="E1653" s="6" t="s">
        <v>78</v>
      </c>
      <c r="F1653" s="6" t="s">
        <v>100</v>
      </c>
      <c r="G1653" s="6" t="str">
        <f>SUBSTITUTE(Raw_Data!G1653,"Ã©","é")</f>
        <v>Alpine Jacket</v>
      </c>
      <c r="H1653" s="6">
        <v>1</v>
      </c>
      <c r="I1653" s="6" t="s">
        <v>113</v>
      </c>
      <c r="J1653" s="6" t="s">
        <v>113</v>
      </c>
      <c r="K1653" s="6">
        <v>0.64</v>
      </c>
      <c r="L1653" s="6" t="s">
        <v>42</v>
      </c>
      <c r="M1653" s="6" t="s">
        <v>69</v>
      </c>
      <c r="N1653" s="6"/>
    </row>
    <row r="1654" spans="1:14">
      <c r="A1654" s="6" t="s">
        <v>2965</v>
      </c>
      <c r="B1654" s="7">
        <v>46097</v>
      </c>
      <c r="C1654" s="6" t="s">
        <v>853</v>
      </c>
      <c r="D1654" s="6" t="str">
        <f>IF(OR(PROPER(TRIM(Raw_Data!D1654))="Uk",PROPER(TRIM(Raw_Data!D1654))="Gb",PROPER(TRIM(Raw_Data!D1654))="United kingdom"),"United Kingdom",PROPER(TRIM(Raw_Data!D1654)))</f>
        <v>United Kingdom</v>
      </c>
      <c r="E1654" s="6" t="s">
        <v>78</v>
      </c>
      <c r="F1654" s="6" t="s">
        <v>29</v>
      </c>
      <c r="G1654" s="6" t="str">
        <f>SUBSTITUTE(Raw_Data!G1654,"Ã©","é")</f>
        <v>Trekking Poles</v>
      </c>
      <c r="H1654" s="6">
        <v>1</v>
      </c>
      <c r="I1654" s="6" t="s">
        <v>265</v>
      </c>
      <c r="J1654" s="6" t="s">
        <v>265</v>
      </c>
      <c r="K1654" s="6">
        <v>0.52</v>
      </c>
      <c r="L1654" s="6" t="s">
        <v>42</v>
      </c>
      <c r="M1654" s="6" t="s">
        <v>34</v>
      </c>
      <c r="N1654" s="6"/>
    </row>
    <row r="1655" spans="1:14">
      <c r="A1655" s="6" t="s">
        <v>2966</v>
      </c>
      <c r="B1655" s="7">
        <v>46203</v>
      </c>
      <c r="C1655" s="6" t="s">
        <v>1901</v>
      </c>
      <c r="D1655" s="6" t="str">
        <f>IF(OR(PROPER(TRIM(Raw_Data!D1655))="Uk",PROPER(TRIM(Raw_Data!D1655))="Gb",PROPER(TRIM(Raw_Data!D1655))="United kingdom"),"United Kingdom",PROPER(TRIM(Raw_Data!D1655)))</f>
        <v>United Kingdom</v>
      </c>
      <c r="E1655" s="6" t="s">
        <v>28</v>
      </c>
      <c r="F1655" s="6" t="s">
        <v>85</v>
      </c>
      <c r="G1655" s="6" t="str">
        <f>SUBSTITUTE(Raw_Data!G1655,"Ã©","é")</f>
        <v>Storm Overtrousers</v>
      </c>
      <c r="H1655" s="6">
        <v>1</v>
      </c>
      <c r="I1655" s="6" t="s">
        <v>769</v>
      </c>
      <c r="J1655" s="6" t="s">
        <v>60</v>
      </c>
      <c r="K1655" s="6">
        <v>0.41</v>
      </c>
      <c r="L1655" s="6" t="s">
        <v>33</v>
      </c>
      <c r="M1655" s="6" t="s">
        <v>34</v>
      </c>
      <c r="N1655" s="6"/>
    </row>
    <row r="1656" spans="1:14">
      <c r="A1656" s="6" t="s">
        <v>2967</v>
      </c>
      <c r="B1656" s="7">
        <v>46116</v>
      </c>
      <c r="C1656" s="6" t="s">
        <v>1309</v>
      </c>
      <c r="D1656" s="6" t="str">
        <f>IF(OR(PROPER(TRIM(Raw_Data!D1656))="Uk",PROPER(TRIM(Raw_Data!D1656))="Gb",PROPER(TRIM(Raw_Data!D1656))="United kingdom"),"United Kingdom",PROPER(TRIM(Raw_Data!D1656)))</f>
        <v>Ireland</v>
      </c>
      <c r="E1656" s="6" t="s">
        <v>46</v>
      </c>
      <c r="F1656" s="6" t="s">
        <v>58</v>
      </c>
      <c r="G1656" s="6" t="str">
        <f>SUBSTITUTE(Raw_Data!G1656,"Ã©","é")</f>
        <v>Café Latte Mug</v>
      </c>
      <c r="H1656" s="6">
        <v>2</v>
      </c>
      <c r="I1656" s="6" t="s">
        <v>231</v>
      </c>
      <c r="J1656" s="6" t="s">
        <v>232</v>
      </c>
      <c r="K1656" s="6">
        <v>0.38</v>
      </c>
      <c r="L1656" s="6" t="s">
        <v>42</v>
      </c>
      <c r="M1656" s="6" t="s">
        <v>69</v>
      </c>
      <c r="N1656" s="6"/>
    </row>
    <row r="1657" spans="1:14">
      <c r="A1657" s="6" t="s">
        <v>2968</v>
      </c>
      <c r="B1657" s="7">
        <v>46164</v>
      </c>
      <c r="C1657" s="6" t="s">
        <v>1547</v>
      </c>
      <c r="D1657" s="6" t="str">
        <f>IF(OR(PROPER(TRIM(Raw_Data!D1657))="Uk",PROPER(TRIM(Raw_Data!D1657))="Gb",PROPER(TRIM(Raw_Data!D1657))="United kingdom"),"United Kingdom",PROPER(TRIM(Raw_Data!D1657)))</f>
        <v>United Kingdom</v>
      </c>
      <c r="E1657" s="6" t="s">
        <v>46</v>
      </c>
      <c r="F1657" s="6" t="s">
        <v>38</v>
      </c>
      <c r="G1657" s="6" t="str">
        <f>SUBSTITUTE(Raw_Data!G1657,"Ã©","é")</f>
        <v>Alpine Jacket</v>
      </c>
      <c r="H1657" s="6">
        <v>1</v>
      </c>
      <c r="I1657" s="6" t="s">
        <v>90</v>
      </c>
      <c r="J1657" s="6" t="s">
        <v>90</v>
      </c>
      <c r="K1657" s="6">
        <v>0.52</v>
      </c>
      <c r="L1657" s="6" t="s">
        <v>42</v>
      </c>
      <c r="M1657" s="6" t="s">
        <v>34</v>
      </c>
      <c r="N1657" s="6"/>
    </row>
    <row r="1658" spans="1:14">
      <c r="A1658" s="6" t="s">
        <v>2969</v>
      </c>
      <c r="B1658" s="7">
        <v>46174</v>
      </c>
      <c r="C1658" s="6" t="s">
        <v>2233</v>
      </c>
      <c r="D1658" s="6" t="str">
        <f>IF(OR(PROPER(TRIM(Raw_Data!D1658))="Uk",PROPER(TRIM(Raw_Data!D1658))="Gb",PROPER(TRIM(Raw_Data!D1658))="United kingdom"),"United Kingdom",PROPER(TRIM(Raw_Data!D1658)))</f>
        <v>United Kingdom</v>
      </c>
      <c r="E1658" s="6" t="s">
        <v>28</v>
      </c>
      <c r="F1658" s="6" t="s">
        <v>47</v>
      </c>
      <c r="G1658" s="6" t="str">
        <f>SUBSTITUTE(Raw_Data!G1658,"Ã©","é")</f>
        <v>Trekking Poles</v>
      </c>
      <c r="H1658" s="6">
        <v>1</v>
      </c>
      <c r="I1658" s="6" t="s">
        <v>117</v>
      </c>
      <c r="J1658" s="6" t="s">
        <v>117</v>
      </c>
      <c r="K1658" s="6">
        <v>8.5000000000000006E-2</v>
      </c>
      <c r="L1658" s="6" t="s">
        <v>42</v>
      </c>
      <c r="M1658" s="6" t="s">
        <v>69</v>
      </c>
      <c r="N1658" s="6"/>
    </row>
    <row r="1659" spans="1:14">
      <c r="A1659" s="6" t="s">
        <v>2970</v>
      </c>
      <c r="B1659" s="7">
        <v>46027</v>
      </c>
      <c r="C1659" s="6" t="s">
        <v>858</v>
      </c>
      <c r="D1659" s="6" t="str">
        <f>IF(OR(PROPER(TRIM(Raw_Data!D1659))="Uk",PROPER(TRIM(Raw_Data!D1659))="Gb",PROPER(TRIM(Raw_Data!D1659))="United kingdom"),"United Kingdom",PROPER(TRIM(Raw_Data!D1659)))</f>
        <v>United Kingdom</v>
      </c>
      <c r="E1659" s="6" t="s">
        <v>78</v>
      </c>
      <c r="F1659" s="6" t="s">
        <v>58</v>
      </c>
      <c r="G1659" s="6" t="str">
        <f>SUBSTITUTE(Raw_Data!G1659,"Ã©","é")</f>
        <v>Trekking Poles</v>
      </c>
      <c r="H1659" s="6">
        <v>1</v>
      </c>
      <c r="I1659" s="6" t="s">
        <v>265</v>
      </c>
      <c r="J1659" s="6" t="s">
        <v>265</v>
      </c>
      <c r="K1659" s="6">
        <v>0.38</v>
      </c>
      <c r="L1659" s="6" t="s">
        <v>42</v>
      </c>
      <c r="M1659" s="6" t="s">
        <v>34</v>
      </c>
      <c r="N1659" s="6"/>
    </row>
    <row r="1660" spans="1:14">
      <c r="A1660" s="6" t="s">
        <v>2971</v>
      </c>
      <c r="B1660" s="7">
        <v>46360</v>
      </c>
      <c r="C1660" s="6" t="s">
        <v>2972</v>
      </c>
      <c r="D1660" s="6" t="str">
        <f>IF(OR(PROPER(TRIM(Raw_Data!D1660))="Uk",PROPER(TRIM(Raw_Data!D1660))="Gb",PROPER(TRIM(Raw_Data!D1660))="United kingdom"),"United Kingdom",PROPER(TRIM(Raw_Data!D1660)))</f>
        <v>United Kingdom</v>
      </c>
      <c r="E1660" s="6" t="s">
        <v>52</v>
      </c>
      <c r="F1660" s="6" t="s">
        <v>94</v>
      </c>
      <c r="G1660" s="6" t="str">
        <f>SUBSTITUTE(Raw_Data!G1660,"Ã©","é")</f>
        <v>Storm Overtrousers</v>
      </c>
      <c r="H1660" s="6">
        <v>2</v>
      </c>
      <c r="I1660" s="6" t="s">
        <v>60</v>
      </c>
      <c r="J1660" s="6" t="s">
        <v>2973</v>
      </c>
      <c r="K1660" s="6">
        <v>0.34</v>
      </c>
      <c r="L1660" s="6" t="s">
        <v>33</v>
      </c>
      <c r="M1660" s="6" t="s">
        <v>34</v>
      </c>
      <c r="N1660" s="6"/>
    </row>
    <row r="1661" spans="1:14">
      <c r="A1661" s="6" t="s">
        <v>2974</v>
      </c>
      <c r="B1661" s="7">
        <v>46101</v>
      </c>
      <c r="C1661" s="6" t="s">
        <v>2975</v>
      </c>
      <c r="D1661" s="6" t="str">
        <f>IF(OR(PROPER(TRIM(Raw_Data!D1661))="Uk",PROPER(TRIM(Raw_Data!D1661))="Gb",PROPER(TRIM(Raw_Data!D1661))="United kingdom"),"United Kingdom",PROPER(TRIM(Raw_Data!D1661)))</f>
        <v>United Kingdom</v>
      </c>
      <c r="E1661" s="6" t="s">
        <v>46</v>
      </c>
      <c r="F1661" s="6" t="s">
        <v>53</v>
      </c>
      <c r="G1661" s="6" t="str">
        <f>SUBSTITUTE(Raw_Data!G1661,"Ã©","é")</f>
        <v>Trail Softshell</v>
      </c>
      <c r="H1661" s="6">
        <v>2</v>
      </c>
      <c r="I1661" s="6" t="s">
        <v>437</v>
      </c>
      <c r="J1661" s="6" t="s">
        <v>327</v>
      </c>
      <c r="K1661" s="6">
        <v>0.19</v>
      </c>
      <c r="L1661" s="6" t="s">
        <v>33</v>
      </c>
      <c r="M1661" s="6" t="s">
        <v>34</v>
      </c>
      <c r="N1661" s="6"/>
    </row>
    <row r="1662" spans="1:14">
      <c r="A1662" s="6" t="s">
        <v>2976</v>
      </c>
      <c r="B1662" s="7">
        <v>46125</v>
      </c>
      <c r="C1662" s="6" t="s">
        <v>879</v>
      </c>
      <c r="D1662" s="6" t="str">
        <f>IF(OR(PROPER(TRIM(Raw_Data!D1662))="Uk",PROPER(TRIM(Raw_Data!D1662))="Gb",PROPER(TRIM(Raw_Data!D1662))="United kingdom"),"United Kingdom",PROPER(TRIM(Raw_Data!D1662)))</f>
        <v>Ireland</v>
      </c>
      <c r="E1662" s="6" t="s">
        <v>28</v>
      </c>
      <c r="F1662" s="6" t="s">
        <v>53</v>
      </c>
      <c r="G1662" s="6" t="str">
        <f>SUBSTITUTE(Raw_Data!G1662,"Ã©","é")</f>
        <v>Café Latte Mug</v>
      </c>
      <c r="H1662" s="6">
        <v>1</v>
      </c>
      <c r="I1662" s="6" t="s">
        <v>96</v>
      </c>
      <c r="J1662" s="6" t="s">
        <v>96</v>
      </c>
      <c r="K1662" s="6">
        <v>0.19</v>
      </c>
      <c r="L1662" s="6" t="s">
        <v>42</v>
      </c>
      <c r="M1662" s="6" t="s">
        <v>69</v>
      </c>
      <c r="N1662" s="6"/>
    </row>
    <row r="1663" spans="1:14">
      <c r="A1663" s="6" t="s">
        <v>2977</v>
      </c>
      <c r="B1663" s="7">
        <v>46112</v>
      </c>
      <c r="C1663" s="6" t="s">
        <v>240</v>
      </c>
      <c r="D1663" s="6" t="str">
        <f>IF(OR(PROPER(TRIM(Raw_Data!D1663))="Uk",PROPER(TRIM(Raw_Data!D1663))="Gb",PROPER(TRIM(Raw_Data!D1663))="United kingdom"),"United Kingdom",PROPER(TRIM(Raw_Data!D1663)))</f>
        <v>United Kingdom</v>
      </c>
      <c r="E1663" s="6" t="s">
        <v>78</v>
      </c>
      <c r="F1663" s="6" t="s">
        <v>94</v>
      </c>
      <c r="G1663" s="6" t="str">
        <f>SUBSTITUTE(Raw_Data!G1663,"Ã©","é")</f>
        <v>Storm Overtrousers</v>
      </c>
      <c r="H1663" s="6">
        <v>2</v>
      </c>
      <c r="I1663" s="6" t="s">
        <v>117</v>
      </c>
      <c r="J1663" s="6" t="s">
        <v>1391</v>
      </c>
      <c r="K1663" s="6">
        <v>0.34</v>
      </c>
      <c r="L1663" s="6" t="s">
        <v>33</v>
      </c>
      <c r="M1663" s="6" t="s">
        <v>34</v>
      </c>
      <c r="N1663" s="6"/>
    </row>
    <row r="1664" spans="1:14">
      <c r="A1664" s="6" t="s">
        <v>2978</v>
      </c>
      <c r="B1664" s="7">
        <v>46122</v>
      </c>
      <c r="C1664" s="6" t="s">
        <v>2979</v>
      </c>
      <c r="D1664" s="6" t="str">
        <f>IF(OR(PROPER(TRIM(Raw_Data!D1664))="Uk",PROPER(TRIM(Raw_Data!D1664))="Gb",PROPER(TRIM(Raw_Data!D1664))="United kingdom"),"United Kingdom",PROPER(TRIM(Raw_Data!D1664)))</f>
        <v>France</v>
      </c>
      <c r="E1664" s="6" t="s">
        <v>28</v>
      </c>
      <c r="F1664" s="6" t="s">
        <v>94</v>
      </c>
      <c r="G1664" s="6" t="str">
        <f>SUBSTITUTE(Raw_Data!G1664,"Ã©","é")</f>
        <v>Merino Base Layer</v>
      </c>
      <c r="H1664" s="6">
        <v>1</v>
      </c>
      <c r="I1664" s="6" t="s">
        <v>82</v>
      </c>
      <c r="J1664" s="6" t="s">
        <v>82</v>
      </c>
      <c r="K1664" s="6">
        <v>0.34</v>
      </c>
      <c r="L1664" s="6" t="s">
        <v>42</v>
      </c>
      <c r="M1664" s="6" t="s">
        <v>34</v>
      </c>
      <c r="N1664" s="6"/>
    </row>
    <row r="1665" spans="1:14">
      <c r="A1665" s="6" t="s">
        <v>2980</v>
      </c>
      <c r="B1665" s="7">
        <v>46087</v>
      </c>
      <c r="C1665" s="6" t="s">
        <v>2375</v>
      </c>
      <c r="D1665" s="6" t="str">
        <f>IF(OR(PROPER(TRIM(Raw_Data!D1665))="Uk",PROPER(TRIM(Raw_Data!D1665))="Gb",PROPER(TRIM(Raw_Data!D1665))="United kingdom"),"United Kingdom",PROPER(TRIM(Raw_Data!D1665)))</f>
        <v>Ireland</v>
      </c>
      <c r="E1665" s="6" t="s">
        <v>37</v>
      </c>
      <c r="F1665" s="6" t="s">
        <v>53</v>
      </c>
      <c r="G1665" s="6" t="str">
        <f>SUBSTITUTE(Raw_Data!G1665,"Ã©","é")</f>
        <v>Trekking Poles</v>
      </c>
      <c r="H1665" s="6">
        <v>2</v>
      </c>
      <c r="I1665" s="6" t="s">
        <v>67</v>
      </c>
      <c r="J1665" s="6" t="s">
        <v>204</v>
      </c>
      <c r="K1665" s="6">
        <v>0.19</v>
      </c>
      <c r="L1665" s="6" t="s">
        <v>42</v>
      </c>
      <c r="M1665" s="6" t="s">
        <v>34</v>
      </c>
      <c r="N1665" s="6"/>
    </row>
    <row r="1666" spans="1:14">
      <c r="A1666" s="6" t="s">
        <v>2981</v>
      </c>
      <c r="B1666" s="7">
        <v>46236</v>
      </c>
      <c r="C1666" s="6" t="s">
        <v>2982</v>
      </c>
      <c r="D1666" s="6" t="str">
        <f>IF(OR(PROPER(TRIM(Raw_Data!D1666))="Uk",PROPER(TRIM(Raw_Data!D1666))="Gb",PROPER(TRIM(Raw_Data!D1666))="United kingdom"),"United Kingdom",PROPER(TRIM(Raw_Data!D1666)))</f>
        <v>United Kingdom</v>
      </c>
      <c r="E1666" s="6" t="s">
        <v>46</v>
      </c>
      <c r="F1666" s="6" t="s">
        <v>100</v>
      </c>
      <c r="G1666" s="6" t="str">
        <f>SUBSTITUTE(Raw_Data!G1666,"Ã©","é")</f>
        <v>Café Latte Mug</v>
      </c>
      <c r="H1666" s="6">
        <v>1</v>
      </c>
      <c r="I1666" s="6" t="s">
        <v>143</v>
      </c>
      <c r="J1666" s="6" t="s">
        <v>143</v>
      </c>
      <c r="K1666" s="6">
        <v>0.64</v>
      </c>
      <c r="L1666" s="6" t="s">
        <v>42</v>
      </c>
      <c r="M1666" s="6" t="s">
        <v>69</v>
      </c>
      <c r="N1666" s="6"/>
    </row>
    <row r="1667" spans="1:14">
      <c r="A1667" s="6" t="s">
        <v>2983</v>
      </c>
      <c r="B1667" s="7">
        <v>46198</v>
      </c>
      <c r="C1667" s="6" t="s">
        <v>2984</v>
      </c>
      <c r="D1667" s="6" t="str">
        <f>IF(OR(PROPER(TRIM(Raw_Data!D1667))="Uk",PROPER(TRIM(Raw_Data!D1667))="Gb",PROPER(TRIM(Raw_Data!D1667))="United kingdom"),"United Kingdom",PROPER(TRIM(Raw_Data!D1667)))</f>
        <v>United Kingdom</v>
      </c>
      <c r="E1667" s="6" t="s">
        <v>28</v>
      </c>
      <c r="F1667" s="6" t="s">
        <v>58</v>
      </c>
      <c r="G1667" s="6" t="str">
        <f>SUBSTITUTE(Raw_Data!G1667,"Ã©","é")</f>
        <v>Summit Down Gilet</v>
      </c>
      <c r="H1667" s="6">
        <v>2</v>
      </c>
      <c r="I1667" s="6" t="s">
        <v>96</v>
      </c>
      <c r="J1667" s="6" t="s">
        <v>278</v>
      </c>
      <c r="K1667" s="6">
        <v>0.38</v>
      </c>
      <c r="L1667" s="6" t="s">
        <v>42</v>
      </c>
      <c r="M1667" s="6" t="s">
        <v>69</v>
      </c>
      <c r="N1667" s="6"/>
    </row>
    <row r="1668" spans="1:14">
      <c r="A1668" s="6" t="s">
        <v>2985</v>
      </c>
      <c r="B1668" s="7">
        <v>46041</v>
      </c>
      <c r="C1668" s="6" t="s">
        <v>184</v>
      </c>
      <c r="D1668" s="6" t="str">
        <f>IF(OR(PROPER(TRIM(Raw_Data!D1668))="Uk",PROPER(TRIM(Raw_Data!D1668))="Gb",PROPER(TRIM(Raw_Data!D1668))="United kingdom"),"United Kingdom",PROPER(TRIM(Raw_Data!D1668)))</f>
        <v>United Kingdom</v>
      </c>
      <c r="E1668" s="6" t="s">
        <v>52</v>
      </c>
      <c r="F1668" s="6" t="s">
        <v>85</v>
      </c>
      <c r="G1668" s="6" t="str">
        <f>SUBSTITUTE(Raw_Data!G1668,"Ã©","é")</f>
        <v>Storm Overtrousers</v>
      </c>
      <c r="H1668" s="6">
        <v>1</v>
      </c>
      <c r="I1668" s="6" t="s">
        <v>117</v>
      </c>
      <c r="J1668" s="6" t="s">
        <v>117</v>
      </c>
      <c r="K1668" s="6">
        <v>0.41</v>
      </c>
      <c r="L1668" s="6" t="s">
        <v>42</v>
      </c>
      <c r="M1668" s="6" t="s">
        <v>34</v>
      </c>
      <c r="N1668" s="6"/>
    </row>
    <row r="1669" spans="1:14">
      <c r="A1669" s="6" t="s">
        <v>2986</v>
      </c>
      <c r="B1669" s="7">
        <v>46043</v>
      </c>
      <c r="C1669" s="6" t="s">
        <v>881</v>
      </c>
      <c r="D1669" s="6" t="str">
        <f>IF(OR(PROPER(TRIM(Raw_Data!D1669))="Uk",PROPER(TRIM(Raw_Data!D1669))="Gb",PROPER(TRIM(Raw_Data!D1669))="United kingdom"),"United Kingdom",PROPER(TRIM(Raw_Data!D1669)))</f>
        <v>United Kingdom</v>
      </c>
      <c r="E1669" s="6" t="s">
        <v>52</v>
      </c>
      <c r="F1669" s="6" t="s">
        <v>94</v>
      </c>
      <c r="G1669" s="6" t="str">
        <f>SUBSTITUTE(Raw_Data!G1669,"Ã©","é")</f>
        <v>Alpine Jacket</v>
      </c>
      <c r="H1669" s="6">
        <v>3</v>
      </c>
      <c r="I1669" s="6" t="s">
        <v>113</v>
      </c>
      <c r="J1669" s="6" t="s">
        <v>138</v>
      </c>
      <c r="K1669" s="6">
        <v>0.34</v>
      </c>
      <c r="L1669" s="6" t="s">
        <v>42</v>
      </c>
      <c r="M1669" s="6" t="s">
        <v>34</v>
      </c>
      <c r="N1669" s="6"/>
    </row>
    <row r="1670" spans="1:14">
      <c r="A1670" s="6" t="s">
        <v>2987</v>
      </c>
      <c r="B1670" s="7">
        <v>46194</v>
      </c>
      <c r="C1670" s="6" t="s">
        <v>2988</v>
      </c>
      <c r="D1670" s="6" t="str">
        <f>IF(OR(PROPER(TRIM(Raw_Data!D1670))="Uk",PROPER(TRIM(Raw_Data!D1670))="Gb",PROPER(TRIM(Raw_Data!D1670))="United kingdom"),"United Kingdom",PROPER(TRIM(Raw_Data!D1670)))</f>
        <v>United Kingdom</v>
      </c>
      <c r="E1670" s="6" t="s">
        <v>78</v>
      </c>
      <c r="F1670" s="6" t="s">
        <v>53</v>
      </c>
      <c r="G1670" s="6" t="str">
        <f>SUBSTITUTE(Raw_Data!G1670,"Ã©","é")</f>
        <v>Trekking Poles</v>
      </c>
      <c r="H1670" s="6">
        <v>1</v>
      </c>
      <c r="I1670" s="6" t="s">
        <v>73</v>
      </c>
      <c r="J1670" s="6" t="s">
        <v>73</v>
      </c>
      <c r="K1670" s="6">
        <v>0.19</v>
      </c>
      <c r="L1670" s="6" t="s">
        <v>33</v>
      </c>
      <c r="M1670" s="6" t="s">
        <v>34</v>
      </c>
      <c r="N1670" s="6"/>
    </row>
    <row r="1671" spans="1:14">
      <c r="A1671" s="6" t="s">
        <v>2989</v>
      </c>
      <c r="B1671" s="7">
        <v>46188</v>
      </c>
      <c r="C1671" s="6" t="s">
        <v>2990</v>
      </c>
      <c r="D1671" s="6" t="str">
        <f>IF(OR(PROPER(TRIM(Raw_Data!D1671))="Uk",PROPER(TRIM(Raw_Data!D1671))="Gb",PROPER(TRIM(Raw_Data!D1671))="United kingdom"),"United Kingdom",PROPER(TRIM(Raw_Data!D1671)))</f>
        <v>United Kingdom</v>
      </c>
      <c r="E1671" s="6" t="s">
        <v>52</v>
      </c>
      <c r="F1671" s="6" t="s">
        <v>100</v>
      </c>
      <c r="G1671" s="6" t="str">
        <f>SUBSTITUTE(Raw_Data!G1671,"Ã©","é")</f>
        <v>Storm Overtrousers</v>
      </c>
      <c r="H1671" s="6">
        <v>1</v>
      </c>
      <c r="I1671" s="6" t="s">
        <v>96</v>
      </c>
      <c r="J1671" s="6" t="s">
        <v>96</v>
      </c>
      <c r="K1671" s="6">
        <v>0.64</v>
      </c>
      <c r="L1671" s="6" t="s">
        <v>42</v>
      </c>
      <c r="M1671" s="6" t="s">
        <v>69</v>
      </c>
      <c r="N1671" s="6"/>
    </row>
    <row r="1672" spans="1:14">
      <c r="A1672" s="6" t="s">
        <v>2991</v>
      </c>
      <c r="B1672" s="7">
        <v>46299</v>
      </c>
      <c r="C1672" s="6" t="s">
        <v>727</v>
      </c>
      <c r="D1672" s="6" t="str">
        <f>IF(OR(PROPER(TRIM(Raw_Data!D1672))="Uk",PROPER(TRIM(Raw_Data!D1672))="Gb",PROPER(TRIM(Raw_Data!D1672))="United kingdom"),"United Kingdom",PROPER(TRIM(Raw_Data!D1672)))</f>
        <v>United Kingdom</v>
      </c>
      <c r="E1672" s="6" t="s">
        <v>37</v>
      </c>
      <c r="F1672" s="6" t="s">
        <v>53</v>
      </c>
      <c r="G1672" s="6" t="str">
        <f>SUBSTITUTE(Raw_Data!G1672,"Ã©","é")</f>
        <v>Summit Down Gilet</v>
      </c>
      <c r="H1672" s="6">
        <v>3</v>
      </c>
      <c r="I1672" s="6" t="s">
        <v>79</v>
      </c>
      <c r="J1672" s="6" t="s">
        <v>216</v>
      </c>
      <c r="K1672" s="6">
        <v>0.19</v>
      </c>
      <c r="L1672" s="6" t="s">
        <v>42</v>
      </c>
      <c r="M1672" s="6" t="s">
        <v>69</v>
      </c>
      <c r="N1672" s="6"/>
    </row>
    <row r="1673" spans="1:14">
      <c r="A1673" s="6" t="s">
        <v>2992</v>
      </c>
      <c r="B1673" s="7">
        <v>46195</v>
      </c>
      <c r="C1673" s="6" t="s">
        <v>674</v>
      </c>
      <c r="D1673" s="6" t="str">
        <f>IF(OR(PROPER(TRIM(Raw_Data!D1673))="Uk",PROPER(TRIM(Raw_Data!D1673))="Gb",PROPER(TRIM(Raw_Data!D1673))="United kingdom"),"United Kingdom",PROPER(TRIM(Raw_Data!D1673)))</f>
        <v>United Kingdom</v>
      </c>
      <c r="E1673" s="6" t="s">
        <v>37</v>
      </c>
      <c r="F1673" s="6" t="s">
        <v>47</v>
      </c>
      <c r="G1673" s="6" t="str">
        <f>SUBSTITUTE(Raw_Data!G1673,"Ã©","é")</f>
        <v>Trail Softshell</v>
      </c>
      <c r="H1673" s="6">
        <v>1</v>
      </c>
      <c r="I1673" s="6" t="s">
        <v>96</v>
      </c>
      <c r="J1673" s="6" t="s">
        <v>96</v>
      </c>
      <c r="K1673" s="6">
        <v>8.5000000000000006E-2</v>
      </c>
      <c r="L1673" s="6" t="s">
        <v>42</v>
      </c>
      <c r="M1673" s="6" t="s">
        <v>34</v>
      </c>
      <c r="N1673" s="6"/>
    </row>
    <row r="1674" spans="1:14">
      <c r="A1674" s="6" t="s">
        <v>2993</v>
      </c>
      <c r="B1674" s="7">
        <v>46060</v>
      </c>
      <c r="C1674" s="6" t="s">
        <v>2994</v>
      </c>
      <c r="D1674" s="6" t="str">
        <f>IF(OR(PROPER(TRIM(Raw_Data!D1674))="Uk",PROPER(TRIM(Raw_Data!D1674))="Gb",PROPER(TRIM(Raw_Data!D1674))="United kingdom"),"United Kingdom",PROPER(TRIM(Raw_Data!D1674)))</f>
        <v>Ireland</v>
      </c>
      <c r="E1674" s="6" t="s">
        <v>46</v>
      </c>
      <c r="F1674" s="6" t="s">
        <v>100</v>
      </c>
      <c r="G1674" s="6" t="str">
        <f>SUBSTITUTE(Raw_Data!G1674,"Ã©","é")</f>
        <v>Fell Runner Cap</v>
      </c>
      <c r="H1674" s="6">
        <v>3</v>
      </c>
      <c r="I1674" s="6" t="s">
        <v>82</v>
      </c>
      <c r="J1674" s="6" t="s">
        <v>390</v>
      </c>
      <c r="K1674" s="6">
        <v>0.64</v>
      </c>
      <c r="L1674" s="6" t="s">
        <v>42</v>
      </c>
      <c r="M1674" s="6" t="s">
        <v>34</v>
      </c>
      <c r="N1674" s="6"/>
    </row>
    <row r="1675" spans="1:14">
      <c r="A1675" s="6" t="s">
        <v>2995</v>
      </c>
      <c r="B1675" s="7">
        <v>46037</v>
      </c>
      <c r="C1675" s="6" t="s">
        <v>1174</v>
      </c>
      <c r="D1675" s="6" t="str">
        <f>IF(OR(PROPER(TRIM(Raw_Data!D1675))="Uk",PROPER(TRIM(Raw_Data!D1675))="Gb",PROPER(TRIM(Raw_Data!D1675))="United kingdom"),"United Kingdom",PROPER(TRIM(Raw_Data!D1675)))</f>
        <v>Ireland</v>
      </c>
      <c r="E1675" s="6" t="s">
        <v>78</v>
      </c>
      <c r="F1675" s="6" t="s">
        <v>47</v>
      </c>
      <c r="G1675" s="6" t="str">
        <f>SUBSTITUTE(Raw_Data!G1675,"Ã©","é")</f>
        <v>Summit Down Gilet</v>
      </c>
      <c r="H1675" s="6">
        <v>2</v>
      </c>
      <c r="I1675" s="6" t="s">
        <v>143</v>
      </c>
      <c r="J1675" s="6" t="s">
        <v>144</v>
      </c>
      <c r="K1675" s="6">
        <v>8.5000000000000006E-2</v>
      </c>
      <c r="L1675" s="6" t="s">
        <v>33</v>
      </c>
      <c r="M1675" s="6" t="s">
        <v>34</v>
      </c>
      <c r="N1675" s="6"/>
    </row>
    <row r="1676" spans="1:14">
      <c r="A1676" s="6" t="s">
        <v>2996</v>
      </c>
      <c r="B1676" s="7">
        <v>46195</v>
      </c>
      <c r="C1676" s="6" t="s">
        <v>536</v>
      </c>
      <c r="D1676" s="6" t="str">
        <f>IF(OR(PROPER(TRIM(Raw_Data!D1676))="Uk",PROPER(TRIM(Raw_Data!D1676))="Gb",PROPER(TRIM(Raw_Data!D1676))="United kingdom"),"United Kingdom",PROPER(TRIM(Raw_Data!D1676)))</f>
        <v>United Kingdom</v>
      </c>
      <c r="E1676" s="6" t="s">
        <v>37</v>
      </c>
      <c r="F1676" s="6" t="s">
        <v>53</v>
      </c>
      <c r="G1676" s="6" t="str">
        <f>SUBSTITUTE(Raw_Data!G1676,"Ã©","é")</f>
        <v>Café Latte Mug</v>
      </c>
      <c r="H1676" s="6">
        <v>1</v>
      </c>
      <c r="I1676" s="6" t="s">
        <v>113</v>
      </c>
      <c r="J1676" s="6" t="s">
        <v>113</v>
      </c>
      <c r="K1676" s="6">
        <v>0.19</v>
      </c>
      <c r="L1676" s="6" t="s">
        <v>33</v>
      </c>
      <c r="M1676" s="6" t="s">
        <v>34</v>
      </c>
      <c r="N1676" s="6"/>
    </row>
    <row r="1677" spans="1:14">
      <c r="A1677" s="6" t="s">
        <v>2997</v>
      </c>
      <c r="B1677" s="7">
        <v>46053</v>
      </c>
      <c r="C1677" s="6" t="s">
        <v>2998</v>
      </c>
      <c r="D1677" s="6" t="str">
        <f>IF(OR(PROPER(TRIM(Raw_Data!D1677))="Uk",PROPER(TRIM(Raw_Data!D1677))="Gb",PROPER(TRIM(Raw_Data!D1677))="United kingdom"),"United Kingdom",PROPER(TRIM(Raw_Data!D1677)))</f>
        <v>France</v>
      </c>
      <c r="E1677" s="6" t="s">
        <v>78</v>
      </c>
      <c r="F1677" s="6" t="s">
        <v>29</v>
      </c>
      <c r="G1677" s="6" t="str">
        <f>SUBSTITUTE(Raw_Data!G1677,"Ã©","é")</f>
        <v>Merino Base Layer</v>
      </c>
      <c r="H1677" s="6">
        <v>2</v>
      </c>
      <c r="I1677" s="6" t="s">
        <v>113</v>
      </c>
      <c r="J1677" s="6" t="s">
        <v>1576</v>
      </c>
      <c r="K1677" s="6">
        <v>0.52</v>
      </c>
      <c r="L1677" s="6" t="s">
        <v>42</v>
      </c>
      <c r="M1677" s="6" t="s">
        <v>34</v>
      </c>
      <c r="N1677" s="6"/>
    </row>
    <row r="1678" spans="1:14">
      <c r="A1678" s="6" t="s">
        <v>2999</v>
      </c>
      <c r="B1678" s="7">
        <v>46069</v>
      </c>
      <c r="C1678" s="6" t="s">
        <v>2097</v>
      </c>
      <c r="D1678" s="6" t="str">
        <f>IF(OR(PROPER(TRIM(Raw_Data!D1678))="Uk",PROPER(TRIM(Raw_Data!D1678))="Gb",PROPER(TRIM(Raw_Data!D1678))="United kingdom"),"United Kingdom",PROPER(TRIM(Raw_Data!D1678)))</f>
        <v>United Kingdom</v>
      </c>
      <c r="E1678" s="6" t="s">
        <v>78</v>
      </c>
      <c r="F1678" s="6" t="s">
        <v>29</v>
      </c>
      <c r="G1678" s="6" t="str">
        <f>SUBSTITUTE(Raw_Data!G1678,"Ã©","é")</f>
        <v>Merino Base Layer</v>
      </c>
      <c r="H1678" s="6">
        <v>2</v>
      </c>
      <c r="I1678" s="6" t="s">
        <v>113</v>
      </c>
      <c r="J1678" s="6" t="s">
        <v>192</v>
      </c>
      <c r="K1678" s="6">
        <v>0.52</v>
      </c>
      <c r="L1678" s="6" t="s">
        <v>42</v>
      </c>
      <c r="M1678" s="6" t="s">
        <v>34</v>
      </c>
      <c r="N1678" s="6"/>
    </row>
    <row r="1679" spans="1:14">
      <c r="A1679" s="6" t="s">
        <v>3000</v>
      </c>
      <c r="B1679" s="7">
        <v>46079</v>
      </c>
      <c r="C1679" s="6" t="s">
        <v>336</v>
      </c>
      <c r="D1679" s="6" t="str">
        <f>IF(OR(PROPER(TRIM(Raw_Data!D1679))="Uk",PROPER(TRIM(Raw_Data!D1679))="Gb",PROPER(TRIM(Raw_Data!D1679))="United kingdom"),"United Kingdom",PROPER(TRIM(Raw_Data!D1679)))</f>
        <v>United Kingdom</v>
      </c>
      <c r="E1679" s="6" t="s">
        <v>78</v>
      </c>
      <c r="F1679" s="6" t="s">
        <v>47</v>
      </c>
      <c r="G1679" s="6" t="str">
        <f>SUBSTITUTE(Raw_Data!G1679,"Ã©","é")</f>
        <v>Storm Overtrousers</v>
      </c>
      <c r="H1679" s="6">
        <v>3</v>
      </c>
      <c r="I1679" s="6" t="s">
        <v>147</v>
      </c>
      <c r="J1679" s="6" t="s">
        <v>148</v>
      </c>
      <c r="K1679" s="6">
        <v>8.5000000000000006E-2</v>
      </c>
      <c r="L1679" s="6" t="s">
        <v>33</v>
      </c>
      <c r="M1679" s="6" t="s">
        <v>34</v>
      </c>
      <c r="N1679" s="6"/>
    </row>
    <row r="1680" spans="1:14">
      <c r="A1680" s="6" t="s">
        <v>3001</v>
      </c>
      <c r="B1680" s="7">
        <v>46100</v>
      </c>
      <c r="C1680" s="6" t="s">
        <v>594</v>
      </c>
      <c r="D1680" s="6" t="str">
        <f>IF(OR(PROPER(TRIM(Raw_Data!D1680))="Uk",PROPER(TRIM(Raw_Data!D1680))="Gb",PROPER(TRIM(Raw_Data!D1680))="United kingdom"),"United Kingdom",PROPER(TRIM(Raw_Data!D1680)))</f>
        <v>Germany</v>
      </c>
      <c r="E1680" s="6" t="s">
        <v>28</v>
      </c>
      <c r="F1680" s="6" t="s">
        <v>29</v>
      </c>
      <c r="G1680" s="6" t="str">
        <f>SUBSTITUTE(Raw_Data!G1680,"Ã©","é")</f>
        <v>Café Latte Mug</v>
      </c>
      <c r="H1680" s="6">
        <v>1</v>
      </c>
      <c r="I1680" s="6" t="s">
        <v>67</v>
      </c>
      <c r="J1680" s="6" t="s">
        <v>67</v>
      </c>
      <c r="K1680" s="6">
        <v>0.52</v>
      </c>
      <c r="L1680" s="6" t="s">
        <v>42</v>
      </c>
      <c r="M1680" s="6" t="s">
        <v>34</v>
      </c>
      <c r="N1680" s="6"/>
    </row>
    <row r="1681" spans="1:14">
      <c r="A1681" s="6" t="s">
        <v>3002</v>
      </c>
      <c r="B1681" s="7">
        <v>46328</v>
      </c>
      <c r="C1681" s="6" t="s">
        <v>1942</v>
      </c>
      <c r="D1681" s="6" t="str">
        <f>IF(OR(PROPER(TRIM(Raw_Data!D1681))="Uk",PROPER(TRIM(Raw_Data!D1681))="Gb",PROPER(TRIM(Raw_Data!D1681))="United kingdom"),"United Kingdom",PROPER(TRIM(Raw_Data!D1681)))</f>
        <v>Ireland</v>
      </c>
      <c r="E1681" s="6" t="s">
        <v>28</v>
      </c>
      <c r="F1681" s="6" t="s">
        <v>29</v>
      </c>
      <c r="G1681" s="6" t="str">
        <f>SUBSTITUTE(Raw_Data!G1681,"Ã©","é")</f>
        <v>Café Latte Mug</v>
      </c>
      <c r="H1681" s="6">
        <v>2</v>
      </c>
      <c r="I1681" s="6" t="s">
        <v>60</v>
      </c>
      <c r="J1681" s="6" t="s">
        <v>189</v>
      </c>
      <c r="K1681" s="6">
        <v>0.52</v>
      </c>
      <c r="L1681" s="6" t="s">
        <v>42</v>
      </c>
      <c r="M1681" s="6" t="s">
        <v>34</v>
      </c>
      <c r="N1681" s="6"/>
    </row>
    <row r="1682" spans="1:14">
      <c r="A1682" s="6" t="s">
        <v>3003</v>
      </c>
      <c r="B1682" s="7">
        <v>46148</v>
      </c>
      <c r="C1682" s="6" t="s">
        <v>3004</v>
      </c>
      <c r="D1682" s="6" t="str">
        <f>IF(OR(PROPER(TRIM(Raw_Data!D1682))="Uk",PROPER(TRIM(Raw_Data!D1682))="Gb",PROPER(TRIM(Raw_Data!D1682))="United kingdom"),"United Kingdom",PROPER(TRIM(Raw_Data!D1682)))</f>
        <v>United Kingdom</v>
      </c>
      <c r="E1682" s="6" t="s">
        <v>46</v>
      </c>
      <c r="F1682" s="6" t="s">
        <v>29</v>
      </c>
      <c r="G1682" s="6" t="str">
        <f>SUBSTITUTE(Raw_Data!G1682,"Ã©","é")</f>
        <v>Merino Base Layer</v>
      </c>
      <c r="H1682" s="6">
        <v>2</v>
      </c>
      <c r="I1682" s="6" t="s">
        <v>31</v>
      </c>
      <c r="J1682" s="6" t="s">
        <v>249</v>
      </c>
      <c r="K1682" s="6">
        <v>0.52</v>
      </c>
      <c r="L1682" s="6" t="s">
        <v>42</v>
      </c>
      <c r="M1682" s="6" t="s">
        <v>34</v>
      </c>
      <c r="N1682" s="6"/>
    </row>
    <row r="1683" spans="1:14">
      <c r="A1683" s="6" t="s">
        <v>3005</v>
      </c>
      <c r="B1683" s="7">
        <v>46133</v>
      </c>
      <c r="C1683" s="6" t="s">
        <v>3006</v>
      </c>
      <c r="D1683" s="6" t="str">
        <f>IF(OR(PROPER(TRIM(Raw_Data!D1683))="Uk",PROPER(TRIM(Raw_Data!D1683))="Gb",PROPER(TRIM(Raw_Data!D1683))="United kingdom"),"United Kingdom",PROPER(TRIM(Raw_Data!D1683)))</f>
        <v>United Kingdom</v>
      </c>
      <c r="E1683" s="6" t="s">
        <v>28</v>
      </c>
      <c r="F1683" s="6" t="s">
        <v>38</v>
      </c>
      <c r="G1683" s="6" t="str">
        <f>SUBSTITUTE(Raw_Data!G1683,"Ã©","é")</f>
        <v>Alpine Jacket</v>
      </c>
      <c r="H1683" s="6">
        <v>1</v>
      </c>
      <c r="I1683" s="6" t="s">
        <v>147</v>
      </c>
      <c r="J1683" s="6" t="s">
        <v>147</v>
      </c>
      <c r="K1683" s="6">
        <v>0.52</v>
      </c>
      <c r="L1683" s="6" t="s">
        <v>33</v>
      </c>
      <c r="M1683" s="6" t="s">
        <v>69</v>
      </c>
      <c r="N1683" s="6"/>
    </row>
    <row r="1684" spans="1:14">
      <c r="A1684" s="6" t="s">
        <v>3007</v>
      </c>
      <c r="B1684" s="7">
        <v>46076</v>
      </c>
      <c r="C1684" s="6" t="s">
        <v>191</v>
      </c>
      <c r="D1684" s="6" t="str">
        <f>IF(OR(PROPER(TRIM(Raw_Data!D1684))="Uk",PROPER(TRIM(Raw_Data!D1684))="Gb",PROPER(TRIM(Raw_Data!D1684))="United kingdom"),"United Kingdom",PROPER(TRIM(Raw_Data!D1684)))</f>
        <v>United Kingdom</v>
      </c>
      <c r="E1684" s="6" t="s">
        <v>28</v>
      </c>
      <c r="F1684" s="6" t="s">
        <v>100</v>
      </c>
      <c r="G1684" s="6" t="str">
        <f>SUBSTITUTE(Raw_Data!G1684,"Ã©","é")</f>
        <v>Summit Down Gilet</v>
      </c>
      <c r="H1684" s="6">
        <v>1</v>
      </c>
      <c r="I1684" s="6" t="s">
        <v>265</v>
      </c>
      <c r="J1684" s="6" t="s">
        <v>265</v>
      </c>
      <c r="K1684" s="6">
        <v>0.64</v>
      </c>
      <c r="L1684" s="6" t="s">
        <v>42</v>
      </c>
      <c r="M1684" s="6" t="s">
        <v>34</v>
      </c>
      <c r="N1684" s="6"/>
    </row>
    <row r="1685" spans="1:14">
      <c r="A1685" s="6" t="s">
        <v>3008</v>
      </c>
      <c r="B1685" s="7">
        <v>46165</v>
      </c>
      <c r="C1685" s="6" t="s">
        <v>3009</v>
      </c>
      <c r="D1685" s="6" t="str">
        <f>IF(OR(PROPER(TRIM(Raw_Data!D1685))="Uk",PROPER(TRIM(Raw_Data!D1685))="Gb",PROPER(TRIM(Raw_Data!D1685))="United kingdom"),"United Kingdom",PROPER(TRIM(Raw_Data!D1685)))</f>
        <v>France</v>
      </c>
      <c r="E1685" s="6" t="s">
        <v>28</v>
      </c>
      <c r="F1685" s="6" t="s">
        <v>29</v>
      </c>
      <c r="G1685" s="6" t="str">
        <f>SUBSTITUTE(Raw_Data!G1685,"Ã©","é")</f>
        <v>Storm Overtrousers</v>
      </c>
      <c r="H1685" s="6">
        <v>1</v>
      </c>
      <c r="I1685" s="6" t="s">
        <v>82</v>
      </c>
      <c r="J1685" s="6" t="s">
        <v>82</v>
      </c>
      <c r="K1685" s="6">
        <v>0.52</v>
      </c>
      <c r="L1685" s="6" t="s">
        <v>42</v>
      </c>
      <c r="M1685" s="6" t="s">
        <v>69</v>
      </c>
      <c r="N1685" s="6"/>
    </row>
    <row r="1686" spans="1:14">
      <c r="A1686" s="6" t="s">
        <v>3010</v>
      </c>
      <c r="B1686" s="7">
        <v>46187</v>
      </c>
      <c r="C1686" s="6" t="s">
        <v>256</v>
      </c>
      <c r="D1686" s="6" t="str">
        <f>IF(OR(PROPER(TRIM(Raw_Data!D1686))="Uk",PROPER(TRIM(Raw_Data!D1686))="Gb",PROPER(TRIM(Raw_Data!D1686))="United kingdom"),"United Kingdom",PROPER(TRIM(Raw_Data!D1686)))</f>
        <v>United Kingdom</v>
      </c>
      <c r="E1686" s="6" t="s">
        <v>28</v>
      </c>
      <c r="F1686" s="6" t="s">
        <v>29</v>
      </c>
      <c r="G1686" s="6" t="str">
        <f>SUBSTITUTE(Raw_Data!G1686,"Ã©","é")</f>
        <v>Café Latte Mug</v>
      </c>
      <c r="H1686" s="6">
        <v>1</v>
      </c>
      <c r="I1686" s="6" t="s">
        <v>143</v>
      </c>
      <c r="J1686" s="6" t="s">
        <v>3011</v>
      </c>
      <c r="K1686" s="6">
        <v>0.52</v>
      </c>
      <c r="L1686" s="6" t="s">
        <v>42</v>
      </c>
      <c r="M1686" s="6" t="s">
        <v>34</v>
      </c>
      <c r="N1686" s="6"/>
    </row>
    <row r="1687" spans="1:14">
      <c r="A1687" s="6" t="s">
        <v>3012</v>
      </c>
      <c r="B1687" s="7">
        <v>46055</v>
      </c>
      <c r="C1687" s="6" t="s">
        <v>1192</v>
      </c>
      <c r="D1687" s="6" t="str">
        <f>IF(OR(PROPER(TRIM(Raw_Data!D1687))="Uk",PROPER(TRIM(Raw_Data!D1687))="Gb",PROPER(TRIM(Raw_Data!D1687))="United kingdom"),"United Kingdom",PROPER(TRIM(Raw_Data!D1687)))</f>
        <v>United Kingdom</v>
      </c>
      <c r="E1687" s="6" t="s">
        <v>78</v>
      </c>
      <c r="F1687" s="6" t="s">
        <v>58</v>
      </c>
      <c r="G1687" s="6" t="str">
        <f>SUBSTITUTE(Raw_Data!G1687,"Ã©","é")</f>
        <v>Merino Base Layer</v>
      </c>
      <c r="H1687" s="6">
        <v>2</v>
      </c>
      <c r="I1687" s="6" t="s">
        <v>113</v>
      </c>
      <c r="J1687" s="6" t="s">
        <v>192</v>
      </c>
      <c r="K1687" s="6">
        <v>0.38</v>
      </c>
      <c r="L1687" s="6" t="s">
        <v>42</v>
      </c>
      <c r="M1687" s="6" t="s">
        <v>34</v>
      </c>
      <c r="N1687" s="6"/>
    </row>
    <row r="1688" spans="1:14">
      <c r="A1688" s="6" t="s">
        <v>3013</v>
      </c>
      <c r="B1688" s="7">
        <v>46239</v>
      </c>
      <c r="C1688" s="6" t="s">
        <v>242</v>
      </c>
      <c r="D1688" s="6" t="str">
        <f>IF(OR(PROPER(TRIM(Raw_Data!D1688))="Uk",PROPER(TRIM(Raw_Data!D1688))="Gb",PROPER(TRIM(Raw_Data!D1688))="United kingdom"),"United Kingdom",PROPER(TRIM(Raw_Data!D1688)))</f>
        <v>United Kingdom</v>
      </c>
      <c r="E1688" s="6" t="s">
        <v>46</v>
      </c>
      <c r="F1688" s="6" t="s">
        <v>38</v>
      </c>
      <c r="G1688" s="6" t="str">
        <f>SUBSTITUTE(Raw_Data!G1688,"Ã©","é")</f>
        <v>Alpine Jacket</v>
      </c>
      <c r="H1688" s="6">
        <v>-1</v>
      </c>
      <c r="I1688" s="6" t="s">
        <v>60</v>
      </c>
      <c r="J1688" s="8" t="s">
        <v>3014</v>
      </c>
      <c r="K1688" s="6">
        <v>0.52</v>
      </c>
      <c r="L1688" s="6" t="s">
        <v>42</v>
      </c>
      <c r="M1688" s="6" t="s">
        <v>34</v>
      </c>
      <c r="N1688" s="6"/>
    </row>
    <row r="1689" spans="1:14">
      <c r="A1689" s="6" t="s">
        <v>3015</v>
      </c>
      <c r="B1689" s="7">
        <v>46057</v>
      </c>
      <c r="C1689" s="6" t="s">
        <v>3016</v>
      </c>
      <c r="D1689" s="6" t="str">
        <f>IF(OR(PROPER(TRIM(Raw_Data!D1689))="Uk",PROPER(TRIM(Raw_Data!D1689))="Gb",PROPER(TRIM(Raw_Data!D1689))="United kingdom"),"United Kingdom",PROPER(TRIM(Raw_Data!D1689)))</f>
        <v>United Kingdom</v>
      </c>
      <c r="E1689" s="6" t="s">
        <v>52</v>
      </c>
      <c r="F1689" s="6" t="s">
        <v>100</v>
      </c>
      <c r="G1689" s="6" t="str">
        <f>SUBSTITUTE(Raw_Data!G1689,"Ã©","é")</f>
        <v>Merino Base Layer</v>
      </c>
      <c r="H1689" s="6">
        <v>-2</v>
      </c>
      <c r="I1689" s="6" t="s">
        <v>79</v>
      </c>
      <c r="J1689" s="8" t="s">
        <v>1095</v>
      </c>
      <c r="K1689" s="6">
        <v>0.64</v>
      </c>
      <c r="L1689" s="6" t="s">
        <v>42</v>
      </c>
      <c r="M1689" s="6" t="s">
        <v>34</v>
      </c>
      <c r="N1689" s="6"/>
    </row>
    <row r="1690" spans="1:14">
      <c r="A1690" s="6" t="s">
        <v>3017</v>
      </c>
      <c r="B1690" s="7">
        <v>46055</v>
      </c>
      <c r="C1690" s="6" t="s">
        <v>515</v>
      </c>
      <c r="D1690" s="6" t="str">
        <f>IF(OR(PROPER(TRIM(Raw_Data!D1690))="Uk",PROPER(TRIM(Raw_Data!D1690))="Gb",PROPER(TRIM(Raw_Data!D1690))="United kingdom"),"United Kingdom",PROPER(TRIM(Raw_Data!D1690)))</f>
        <v>United Kingdom</v>
      </c>
      <c r="E1690" s="6" t="s">
        <v>37</v>
      </c>
      <c r="F1690" s="6" t="s">
        <v>47</v>
      </c>
      <c r="G1690" s="6" t="str">
        <f>SUBSTITUTE(Raw_Data!G1690,"Ã©","é")</f>
        <v>Fell Runner Cap</v>
      </c>
      <c r="H1690" s="6">
        <v>1</v>
      </c>
      <c r="I1690" s="6" t="s">
        <v>143</v>
      </c>
      <c r="J1690" s="6" t="s">
        <v>143</v>
      </c>
      <c r="K1690" s="6">
        <v>8.5000000000000006E-2</v>
      </c>
      <c r="L1690" s="6" t="s">
        <v>42</v>
      </c>
      <c r="M1690" s="6" t="s">
        <v>69</v>
      </c>
      <c r="N1690" s="6"/>
    </row>
    <row r="1691" spans="1:14">
      <c r="A1691" s="6" t="s">
        <v>3018</v>
      </c>
      <c r="B1691" s="7">
        <v>46128</v>
      </c>
      <c r="C1691" s="6" t="s">
        <v>3019</v>
      </c>
      <c r="D1691" s="6" t="str">
        <f>IF(OR(PROPER(TRIM(Raw_Data!D1691))="Uk",PROPER(TRIM(Raw_Data!D1691))="Gb",PROPER(TRIM(Raw_Data!D1691))="United kingdom"),"United Kingdom",PROPER(TRIM(Raw_Data!D1691)))</f>
        <v>Ireland</v>
      </c>
      <c r="E1691" s="6" t="s">
        <v>52</v>
      </c>
      <c r="F1691" s="6" t="s">
        <v>29</v>
      </c>
      <c r="G1691" s="6" t="str">
        <f>SUBSTITUTE(Raw_Data!G1691,"Ã©","é")</f>
        <v>Alpine Jacket</v>
      </c>
      <c r="H1691" s="6">
        <v>1</v>
      </c>
      <c r="I1691" s="6" t="s">
        <v>90</v>
      </c>
      <c r="J1691" s="6" t="s">
        <v>90</v>
      </c>
      <c r="K1691" s="6">
        <v>0.52</v>
      </c>
      <c r="L1691" s="6" t="s">
        <v>42</v>
      </c>
      <c r="M1691" s="6" t="s">
        <v>34</v>
      </c>
      <c r="N1691" s="6"/>
    </row>
    <row r="1692" spans="1:14">
      <c r="A1692" s="6" t="s">
        <v>3020</v>
      </c>
      <c r="B1692" s="7">
        <v>46198</v>
      </c>
      <c r="C1692" s="6" t="s">
        <v>979</v>
      </c>
      <c r="D1692" s="6" t="str">
        <f>IF(OR(PROPER(TRIM(Raw_Data!D1692))="Uk",PROPER(TRIM(Raw_Data!D1692))="Gb",PROPER(TRIM(Raw_Data!D1692))="United kingdom"),"United Kingdom",PROPER(TRIM(Raw_Data!D1692)))</f>
        <v>United Kingdom</v>
      </c>
      <c r="E1692" s="6" t="s">
        <v>28</v>
      </c>
      <c r="F1692" s="6" t="s">
        <v>58</v>
      </c>
      <c r="G1692" s="6" t="str">
        <f>SUBSTITUTE(Raw_Data!G1692,"Ã©","é")</f>
        <v>Fell Runner Cap</v>
      </c>
      <c r="H1692" s="6">
        <v>2</v>
      </c>
      <c r="I1692" s="6" t="s">
        <v>511</v>
      </c>
      <c r="J1692" s="6" t="s">
        <v>232</v>
      </c>
      <c r="K1692" s="6">
        <v>0.38</v>
      </c>
      <c r="L1692" s="6" t="s">
        <v>33</v>
      </c>
      <c r="M1692" s="6" t="s">
        <v>34</v>
      </c>
      <c r="N1692" s="6"/>
    </row>
    <row r="1693" spans="1:14">
      <c r="A1693" s="6" t="s">
        <v>3021</v>
      </c>
      <c r="B1693" s="7">
        <v>46036</v>
      </c>
      <c r="C1693" s="6" t="s">
        <v>3022</v>
      </c>
      <c r="D1693" s="6" t="str">
        <f>IF(OR(PROPER(TRIM(Raw_Data!D1693))="Uk",PROPER(TRIM(Raw_Data!D1693))="Gb",PROPER(TRIM(Raw_Data!D1693))="United kingdom"),"United Kingdom",PROPER(TRIM(Raw_Data!D1693)))</f>
        <v>United Kingdom</v>
      </c>
      <c r="E1693" s="6" t="s">
        <v>28</v>
      </c>
      <c r="F1693" s="6" t="s">
        <v>94</v>
      </c>
      <c r="G1693" s="6" t="str">
        <f>SUBSTITUTE(Raw_Data!G1693,"Ã©","é")</f>
        <v>Merino Base Layer</v>
      </c>
      <c r="H1693" s="6">
        <v>2</v>
      </c>
      <c r="I1693" s="6" t="s">
        <v>113</v>
      </c>
      <c r="J1693" s="6" t="s">
        <v>192</v>
      </c>
      <c r="K1693" s="6">
        <v>0.34</v>
      </c>
      <c r="L1693" s="6" t="s">
        <v>42</v>
      </c>
      <c r="M1693" s="6" t="s">
        <v>69</v>
      </c>
      <c r="N1693" s="6"/>
    </row>
    <row r="1694" spans="1:14">
      <c r="A1694" s="6" t="s">
        <v>3023</v>
      </c>
      <c r="B1694" s="7">
        <v>46182</v>
      </c>
      <c r="C1694" s="6" t="s">
        <v>2025</v>
      </c>
      <c r="D1694" s="6" t="str">
        <f>IF(OR(PROPER(TRIM(Raw_Data!D1694))="Uk",PROPER(TRIM(Raw_Data!D1694))="Gb",PROPER(TRIM(Raw_Data!D1694))="United kingdom"),"United Kingdom",PROPER(TRIM(Raw_Data!D1694)))</f>
        <v>France</v>
      </c>
      <c r="E1694" s="6" t="s">
        <v>78</v>
      </c>
      <c r="F1694" s="6" t="s">
        <v>100</v>
      </c>
      <c r="G1694" s="6" t="str">
        <f>SUBSTITUTE(Raw_Data!G1694,"Ã©","é")</f>
        <v>Trekking Poles</v>
      </c>
      <c r="H1694" s="6">
        <v>1</v>
      </c>
      <c r="I1694" s="6" t="s">
        <v>113</v>
      </c>
      <c r="J1694" s="6" t="s">
        <v>113</v>
      </c>
      <c r="K1694" s="6">
        <v>0.64</v>
      </c>
      <c r="L1694" s="6" t="s">
        <v>42</v>
      </c>
      <c r="M1694" s="6" t="s">
        <v>34</v>
      </c>
      <c r="N1694" s="6"/>
    </row>
    <row r="1695" spans="1:14">
      <c r="A1695" s="6" t="s">
        <v>3024</v>
      </c>
      <c r="B1695" s="7">
        <v>46271</v>
      </c>
      <c r="C1695" s="6" t="s">
        <v>3025</v>
      </c>
      <c r="D1695" s="6" t="str">
        <f>IF(OR(PROPER(TRIM(Raw_Data!D1695))="Uk",PROPER(TRIM(Raw_Data!D1695))="Gb",PROPER(TRIM(Raw_Data!D1695))="United kingdom"),"United Kingdom",PROPER(TRIM(Raw_Data!D1695)))</f>
        <v>Ireland</v>
      </c>
      <c r="E1695" s="6" t="s">
        <v>52</v>
      </c>
      <c r="F1695" s="6" t="s">
        <v>85</v>
      </c>
      <c r="G1695" s="6" t="str">
        <f>SUBSTITUTE(Raw_Data!G1695,"Ã©","é")</f>
        <v>Trekking Poles</v>
      </c>
      <c r="H1695" s="6">
        <v>1</v>
      </c>
      <c r="I1695" s="6" t="s">
        <v>147</v>
      </c>
      <c r="J1695" s="6" t="s">
        <v>147</v>
      </c>
      <c r="K1695" s="6">
        <v>0.41</v>
      </c>
      <c r="L1695" s="6" t="s">
        <v>42</v>
      </c>
      <c r="M1695" s="6" t="s">
        <v>34</v>
      </c>
      <c r="N1695" s="6"/>
    </row>
    <row r="1696" spans="1:14">
      <c r="A1696" s="6" t="s">
        <v>3026</v>
      </c>
      <c r="B1696" s="7">
        <v>46111</v>
      </c>
      <c r="C1696" s="6" t="s">
        <v>1844</v>
      </c>
      <c r="D1696" s="6" t="str">
        <f>IF(OR(PROPER(TRIM(Raw_Data!D1696))="Uk",PROPER(TRIM(Raw_Data!D1696))="Gb",PROPER(TRIM(Raw_Data!D1696))="United kingdom"),"United Kingdom",PROPER(TRIM(Raw_Data!D1696)))</f>
        <v>Ireland</v>
      </c>
      <c r="E1696" s="6" t="s">
        <v>78</v>
      </c>
      <c r="F1696" s="6" t="s">
        <v>100</v>
      </c>
      <c r="G1696" s="6" t="str">
        <f>SUBSTITUTE(Raw_Data!G1696,"Ã©","é")</f>
        <v>Fell Runner Cap</v>
      </c>
      <c r="H1696" s="6">
        <v>2</v>
      </c>
      <c r="I1696" s="6" t="s">
        <v>231</v>
      </c>
      <c r="J1696" s="6" t="s">
        <v>232</v>
      </c>
      <c r="K1696" s="6">
        <v>0.64</v>
      </c>
      <c r="L1696" s="6" t="s">
        <v>42</v>
      </c>
      <c r="M1696" s="6" t="s">
        <v>69</v>
      </c>
      <c r="N1696" s="6"/>
    </row>
    <row r="1697" spans="1:14">
      <c r="A1697" s="6" t="s">
        <v>3027</v>
      </c>
      <c r="B1697" s="7">
        <v>46086</v>
      </c>
      <c r="C1697" s="6" t="s">
        <v>2412</v>
      </c>
      <c r="D1697" s="6" t="str">
        <f>IF(OR(PROPER(TRIM(Raw_Data!D1697))="Uk",PROPER(TRIM(Raw_Data!D1697))="Gb",PROPER(TRIM(Raw_Data!D1697))="United kingdom"),"United Kingdom",PROPER(TRIM(Raw_Data!D1697)))</f>
        <v>United Kingdom</v>
      </c>
      <c r="E1697" s="6" t="s">
        <v>78</v>
      </c>
      <c r="F1697" s="6" t="s">
        <v>47</v>
      </c>
      <c r="G1697" s="6" t="str">
        <f>SUBSTITUTE(Raw_Data!G1697,"Ã©","é")</f>
        <v>Trekking Poles</v>
      </c>
      <c r="H1697" s="6">
        <v>1</v>
      </c>
      <c r="I1697" s="6" t="s">
        <v>90</v>
      </c>
      <c r="J1697" s="6" t="s">
        <v>96</v>
      </c>
      <c r="K1697" s="6">
        <v>8.5000000000000006E-2</v>
      </c>
      <c r="L1697" s="6" t="s">
        <v>42</v>
      </c>
      <c r="M1697" s="6" t="s">
        <v>69</v>
      </c>
      <c r="N1697" s="6"/>
    </row>
    <row r="1698" spans="1:14">
      <c r="A1698" s="6" t="s">
        <v>3028</v>
      </c>
      <c r="B1698" s="7">
        <v>46080</v>
      </c>
      <c r="C1698" s="6" t="s">
        <v>3029</v>
      </c>
      <c r="D1698" s="6" t="str">
        <f>IF(OR(PROPER(TRIM(Raw_Data!D1698))="Uk",PROPER(TRIM(Raw_Data!D1698))="Gb",PROPER(TRIM(Raw_Data!D1698))="United kingdom"),"United Kingdom",PROPER(TRIM(Raw_Data!D1698)))</f>
        <v>United Kingdom</v>
      </c>
      <c r="E1698" s="6" t="s">
        <v>46</v>
      </c>
      <c r="F1698" s="6" t="s">
        <v>100</v>
      </c>
      <c r="G1698" s="6" t="str">
        <f>SUBSTITUTE(Raw_Data!G1698,"Ã©","é")</f>
        <v>Trekking Poles</v>
      </c>
      <c r="H1698" s="6">
        <v>-1</v>
      </c>
      <c r="I1698" s="6" t="s">
        <v>143</v>
      </c>
      <c r="J1698" s="8" t="s">
        <v>1884</v>
      </c>
      <c r="K1698" s="6">
        <v>0.64</v>
      </c>
      <c r="L1698" s="6" t="s">
        <v>42</v>
      </c>
      <c r="M1698" s="6" t="s">
        <v>69</v>
      </c>
      <c r="N1698" s="6"/>
    </row>
    <row r="1699" spans="1:14">
      <c r="A1699" s="6" t="s">
        <v>3030</v>
      </c>
      <c r="B1699" s="7">
        <v>46172</v>
      </c>
      <c r="C1699" s="6" t="s">
        <v>799</v>
      </c>
      <c r="D1699" s="6" t="str">
        <f>IF(OR(PROPER(TRIM(Raw_Data!D1699))="Uk",PROPER(TRIM(Raw_Data!D1699))="Gb",PROPER(TRIM(Raw_Data!D1699))="United kingdom"),"United Kingdom",PROPER(TRIM(Raw_Data!D1699)))</f>
        <v>France</v>
      </c>
      <c r="E1699" s="6" t="s">
        <v>46</v>
      </c>
      <c r="F1699" s="6" t="s">
        <v>53</v>
      </c>
      <c r="G1699" s="6" t="str">
        <f>SUBSTITUTE(Raw_Data!G1699,"Ã©","é")</f>
        <v>Trekking Poles</v>
      </c>
      <c r="H1699" s="6">
        <v>1</v>
      </c>
      <c r="I1699" s="6" t="s">
        <v>82</v>
      </c>
      <c r="J1699" s="6" t="s">
        <v>82</v>
      </c>
      <c r="K1699" s="6">
        <v>0.19</v>
      </c>
      <c r="L1699" s="6" t="s">
        <v>42</v>
      </c>
      <c r="M1699" s="6" t="s">
        <v>34</v>
      </c>
      <c r="N1699" s="6"/>
    </row>
    <row r="1700" spans="1:14">
      <c r="A1700" s="6" t="s">
        <v>3031</v>
      </c>
      <c r="B1700" s="7">
        <v>46158</v>
      </c>
      <c r="C1700" s="6" t="s">
        <v>3032</v>
      </c>
      <c r="D1700" s="6" t="str">
        <f>IF(OR(PROPER(TRIM(Raw_Data!D1700))="Uk",PROPER(TRIM(Raw_Data!D1700))="Gb",PROPER(TRIM(Raw_Data!D1700))="United kingdom"),"United Kingdom",PROPER(TRIM(Raw_Data!D1700)))</f>
        <v>United Kingdom</v>
      </c>
      <c r="E1700" s="6" t="s">
        <v>78</v>
      </c>
      <c r="F1700" s="6" t="s">
        <v>53</v>
      </c>
      <c r="G1700" s="6" t="str">
        <f>SUBSTITUTE(Raw_Data!G1700,"Ã©","é")</f>
        <v>Trail Softshell</v>
      </c>
      <c r="H1700" s="6">
        <v>1</v>
      </c>
      <c r="I1700" s="6" t="s">
        <v>82</v>
      </c>
      <c r="J1700" s="6" t="s">
        <v>82</v>
      </c>
      <c r="K1700" s="6">
        <v>0.19</v>
      </c>
      <c r="L1700" s="6" t="s">
        <v>33</v>
      </c>
      <c r="M1700" s="6" t="s">
        <v>34</v>
      </c>
      <c r="N1700" s="6"/>
    </row>
    <row r="1701" spans="1:14">
      <c r="A1701" s="6" t="s">
        <v>3033</v>
      </c>
      <c r="B1701" s="7">
        <v>46270</v>
      </c>
      <c r="C1701" s="6" t="s">
        <v>2385</v>
      </c>
      <c r="D1701" s="6" t="str">
        <f>IF(OR(PROPER(TRIM(Raw_Data!D1701))="Uk",PROPER(TRIM(Raw_Data!D1701))="Gb",PROPER(TRIM(Raw_Data!D1701))="United kingdom"),"United Kingdom",PROPER(TRIM(Raw_Data!D1701)))</f>
        <v>France</v>
      </c>
      <c r="E1701" s="6" t="s">
        <v>46</v>
      </c>
      <c r="F1701" s="6" t="s">
        <v>85</v>
      </c>
      <c r="G1701" s="6" t="str">
        <f>SUBSTITUTE(Raw_Data!G1701,"Ã©","é")</f>
        <v>Alpine Jacket</v>
      </c>
      <c r="H1701" s="6">
        <v>-2</v>
      </c>
      <c r="I1701" s="6" t="s">
        <v>90</v>
      </c>
      <c r="J1701" s="8" t="s">
        <v>292</v>
      </c>
      <c r="K1701" s="6">
        <v>0.41</v>
      </c>
      <c r="L1701" s="6" t="s">
        <v>42</v>
      </c>
      <c r="M1701" s="6" t="s">
        <v>34</v>
      </c>
      <c r="N1701" s="6"/>
    </row>
    <row r="1702" spans="1:14">
      <c r="A1702" s="6" t="s">
        <v>3034</v>
      </c>
      <c r="B1702" s="7">
        <v>46332</v>
      </c>
      <c r="C1702" s="6" t="s">
        <v>3035</v>
      </c>
      <c r="D1702" s="6" t="str">
        <f>IF(OR(PROPER(TRIM(Raw_Data!D1702))="Uk",PROPER(TRIM(Raw_Data!D1702))="Gb",PROPER(TRIM(Raw_Data!D1702))="United kingdom"),"United Kingdom",PROPER(TRIM(Raw_Data!D1702)))</f>
        <v>United Kingdom</v>
      </c>
      <c r="E1702" s="6" t="s">
        <v>37</v>
      </c>
      <c r="F1702" s="6" t="s">
        <v>100</v>
      </c>
      <c r="G1702" s="6" t="str">
        <f>SUBSTITUTE(Raw_Data!G1702,"Ã©","é")</f>
        <v>Trekking Poles</v>
      </c>
      <c r="H1702" s="6">
        <v>3</v>
      </c>
      <c r="I1702" s="6" t="s">
        <v>96</v>
      </c>
      <c r="J1702" s="6" t="s">
        <v>97</v>
      </c>
      <c r="K1702" s="6">
        <v>0.64</v>
      </c>
      <c r="L1702" s="6" t="s">
        <v>42</v>
      </c>
      <c r="M1702" s="6" t="s">
        <v>34</v>
      </c>
      <c r="N1702" s="6"/>
    </row>
    <row r="1703" spans="1:14">
      <c r="A1703" s="6" t="s">
        <v>3036</v>
      </c>
      <c r="B1703" s="7">
        <v>46357</v>
      </c>
      <c r="C1703" s="6" t="s">
        <v>731</v>
      </c>
      <c r="D1703" s="6" t="str">
        <f>IF(OR(PROPER(TRIM(Raw_Data!D1703))="Uk",PROPER(TRIM(Raw_Data!D1703))="Gb",PROPER(TRIM(Raw_Data!D1703))="United kingdom"),"United Kingdom",PROPER(TRIM(Raw_Data!D1703)))</f>
        <v>United Kingdom</v>
      </c>
      <c r="E1703" s="6" t="s">
        <v>78</v>
      </c>
      <c r="F1703" s="6" t="s">
        <v>58</v>
      </c>
      <c r="G1703" s="6" t="str">
        <f>SUBSTITUTE(Raw_Data!G1703,"Ã©","é")</f>
        <v>Trekking Poles</v>
      </c>
      <c r="H1703" s="6">
        <v>3</v>
      </c>
      <c r="I1703" s="6" t="s">
        <v>40</v>
      </c>
      <c r="J1703" s="6" t="s">
        <v>579</v>
      </c>
      <c r="K1703" s="6">
        <v>0.38</v>
      </c>
      <c r="L1703" s="6" t="s">
        <v>33</v>
      </c>
      <c r="M1703" s="6" t="s">
        <v>34</v>
      </c>
      <c r="N1703" s="6"/>
    </row>
    <row r="1704" spans="1:14">
      <c r="A1704" s="6" t="s">
        <v>3037</v>
      </c>
      <c r="B1704" s="7">
        <v>46296</v>
      </c>
      <c r="C1704" s="6" t="s">
        <v>996</v>
      </c>
      <c r="D1704" s="6" t="str">
        <f>IF(OR(PROPER(TRIM(Raw_Data!D1704))="Uk",PROPER(TRIM(Raw_Data!D1704))="Gb",PROPER(TRIM(Raw_Data!D1704))="United kingdom"),"United Kingdom",PROPER(TRIM(Raw_Data!D1704)))</f>
        <v>United Kingdom</v>
      </c>
      <c r="E1704" s="6" t="s">
        <v>52</v>
      </c>
      <c r="F1704" s="6" t="s">
        <v>94</v>
      </c>
      <c r="G1704" s="6" t="str">
        <f>SUBSTITUTE(Raw_Data!G1704,"Ã©","é")</f>
        <v>Summit Down Gilet</v>
      </c>
      <c r="H1704" s="6">
        <v>2</v>
      </c>
      <c r="I1704" s="6" t="s">
        <v>90</v>
      </c>
      <c r="J1704" s="6" t="s">
        <v>154</v>
      </c>
      <c r="K1704" s="6">
        <v>0.34</v>
      </c>
      <c r="L1704" s="6" t="s">
        <v>42</v>
      </c>
      <c r="M1704" s="6" t="s">
        <v>34</v>
      </c>
      <c r="N1704" s="6"/>
    </row>
    <row r="1705" spans="1:14">
      <c r="A1705" s="6" t="s">
        <v>3038</v>
      </c>
      <c r="B1705" s="7">
        <v>46137</v>
      </c>
      <c r="C1705" s="6" t="s">
        <v>2193</v>
      </c>
      <c r="D1705" s="6" t="str">
        <f>IF(OR(PROPER(TRIM(Raw_Data!D1705))="Uk",PROPER(TRIM(Raw_Data!D1705))="Gb",PROPER(TRIM(Raw_Data!D1705))="United kingdom"),"United Kingdom",PROPER(TRIM(Raw_Data!D1705)))</f>
        <v>United Kingdom</v>
      </c>
      <c r="E1705" s="6" t="s">
        <v>52</v>
      </c>
      <c r="F1705" s="6" t="s">
        <v>53</v>
      </c>
      <c r="G1705" s="6" t="str">
        <f>SUBSTITUTE(Raw_Data!G1705,"Ã©","é")</f>
        <v>Trail Softshell</v>
      </c>
      <c r="H1705" s="6">
        <v>2</v>
      </c>
      <c r="I1705" s="6" t="s">
        <v>79</v>
      </c>
      <c r="J1705" s="6" t="s">
        <v>259</v>
      </c>
      <c r="K1705" s="6">
        <v>0.19</v>
      </c>
      <c r="L1705" s="6" t="s">
        <v>42</v>
      </c>
      <c r="M1705" s="6" t="s">
        <v>69</v>
      </c>
      <c r="N1705" s="6"/>
    </row>
    <row r="1706" spans="1:14">
      <c r="A1706" s="6" t="s">
        <v>3039</v>
      </c>
      <c r="B1706" s="7">
        <v>46036</v>
      </c>
      <c r="C1706" s="6" t="s">
        <v>3040</v>
      </c>
      <c r="D1706" s="6" t="str">
        <f>IF(OR(PROPER(TRIM(Raw_Data!D1706))="Uk",PROPER(TRIM(Raw_Data!D1706))="Gb",PROPER(TRIM(Raw_Data!D1706))="United kingdom"),"United Kingdom",PROPER(TRIM(Raw_Data!D1706)))</f>
        <v>United Kingdom</v>
      </c>
      <c r="E1706" s="6" t="s">
        <v>78</v>
      </c>
      <c r="F1706" s="6" t="s">
        <v>100</v>
      </c>
      <c r="G1706" s="6" t="str">
        <f>SUBSTITUTE(Raw_Data!G1706,"Ã©","é")</f>
        <v>Alpine Jacket</v>
      </c>
      <c r="H1706" s="6">
        <v>2</v>
      </c>
      <c r="I1706" s="6" t="s">
        <v>117</v>
      </c>
      <c r="J1706" s="6" t="s">
        <v>118</v>
      </c>
      <c r="K1706" s="6">
        <v>0.64</v>
      </c>
      <c r="L1706" s="6" t="s">
        <v>42</v>
      </c>
      <c r="M1706" s="6" t="s">
        <v>34</v>
      </c>
      <c r="N1706" s="6"/>
    </row>
    <row r="1707" spans="1:14">
      <c r="A1707" s="6" t="s">
        <v>3041</v>
      </c>
      <c r="B1707" s="7">
        <v>46266</v>
      </c>
      <c r="C1707" s="6" t="s">
        <v>3042</v>
      </c>
      <c r="D1707" s="6" t="str">
        <f>IF(OR(PROPER(TRIM(Raw_Data!D1707))="Uk",PROPER(TRIM(Raw_Data!D1707))="Gb",PROPER(TRIM(Raw_Data!D1707))="United kingdom"),"United Kingdom",PROPER(TRIM(Raw_Data!D1707)))</f>
        <v>Germany</v>
      </c>
      <c r="E1707" s="6" t="s">
        <v>52</v>
      </c>
      <c r="F1707" s="6" t="s">
        <v>47</v>
      </c>
      <c r="G1707" s="6" t="str">
        <f>SUBSTITUTE(Raw_Data!G1707,"Ã©","é")</f>
        <v>Fell Runner Cap</v>
      </c>
      <c r="H1707" s="6">
        <v>3</v>
      </c>
      <c r="I1707" s="6" t="s">
        <v>82</v>
      </c>
      <c r="J1707" s="6" t="s">
        <v>390</v>
      </c>
      <c r="K1707" s="6">
        <v>8.5000000000000006E-2</v>
      </c>
      <c r="L1707" s="6" t="s">
        <v>42</v>
      </c>
      <c r="M1707" s="6" t="s">
        <v>34</v>
      </c>
      <c r="N1707" s="6"/>
    </row>
    <row r="1708" spans="1:14">
      <c r="A1708" s="6" t="s">
        <v>3043</v>
      </c>
      <c r="B1708" s="7">
        <v>46197</v>
      </c>
      <c r="C1708" s="6" t="s">
        <v>3044</v>
      </c>
      <c r="D1708" s="6" t="str">
        <f>IF(OR(PROPER(TRIM(Raw_Data!D1708))="Uk",PROPER(TRIM(Raw_Data!D1708))="Gb",PROPER(TRIM(Raw_Data!D1708))="United kingdom"),"United Kingdom",PROPER(TRIM(Raw_Data!D1708)))</f>
        <v>United Kingdom</v>
      </c>
      <c r="E1708" s="6" t="s">
        <v>46</v>
      </c>
      <c r="F1708" s="6" t="s">
        <v>94</v>
      </c>
      <c r="G1708" s="6" t="str">
        <f>SUBSTITUTE(Raw_Data!G1708,"Ã©","é")</f>
        <v>Trekking Poles</v>
      </c>
      <c r="H1708" s="6">
        <v>3</v>
      </c>
      <c r="I1708" s="6" t="s">
        <v>60</v>
      </c>
      <c r="J1708" s="6" t="s">
        <v>268</v>
      </c>
      <c r="K1708" s="6">
        <v>0.34</v>
      </c>
      <c r="L1708" s="6" t="s">
        <v>33</v>
      </c>
      <c r="M1708" s="6" t="s">
        <v>34</v>
      </c>
      <c r="N1708" s="6"/>
    </row>
    <row r="1709" spans="1:14">
      <c r="A1709" s="6" t="s">
        <v>3045</v>
      </c>
      <c r="B1709" s="7">
        <v>46154</v>
      </c>
      <c r="C1709" s="6" t="s">
        <v>1748</v>
      </c>
      <c r="D1709" s="6" t="str">
        <f>IF(OR(PROPER(TRIM(Raw_Data!D1709))="Uk",PROPER(TRIM(Raw_Data!D1709))="Gb",PROPER(TRIM(Raw_Data!D1709))="United kingdom"),"United Kingdom",PROPER(TRIM(Raw_Data!D1709)))</f>
        <v>United Kingdom</v>
      </c>
      <c r="E1709" s="6" t="s">
        <v>28</v>
      </c>
      <c r="F1709" s="6" t="s">
        <v>38</v>
      </c>
      <c r="G1709" s="6" t="str">
        <f>SUBSTITUTE(Raw_Data!G1709,"Ã©","é")</f>
        <v>Summit Down Gilet</v>
      </c>
      <c r="H1709" s="6">
        <v>1</v>
      </c>
      <c r="I1709" s="6" t="s">
        <v>265</v>
      </c>
      <c r="J1709" s="6" t="s">
        <v>265</v>
      </c>
      <c r="K1709" s="6">
        <v>0.52</v>
      </c>
      <c r="L1709" s="6" t="s">
        <v>42</v>
      </c>
      <c r="M1709" s="6" t="s">
        <v>69</v>
      </c>
      <c r="N1709" s="6"/>
    </row>
    <row r="1710" spans="1:14">
      <c r="A1710" s="6" t="s">
        <v>3046</v>
      </c>
      <c r="B1710" s="7">
        <v>46104</v>
      </c>
      <c r="C1710" s="6" t="s">
        <v>1539</v>
      </c>
      <c r="D1710" s="6" t="str">
        <f>IF(OR(PROPER(TRIM(Raw_Data!D1710))="Uk",PROPER(TRIM(Raw_Data!D1710))="Gb",PROPER(TRIM(Raw_Data!D1710))="United kingdom"),"United Kingdom",PROPER(TRIM(Raw_Data!D1710)))</f>
        <v>Germany</v>
      </c>
      <c r="E1710" s="6" t="s">
        <v>78</v>
      </c>
      <c r="F1710" s="6" t="s">
        <v>58</v>
      </c>
      <c r="G1710" s="6" t="str">
        <f>SUBSTITUTE(Raw_Data!G1710,"Ã©","é")</f>
        <v>Café Latte Mug</v>
      </c>
      <c r="H1710" s="6">
        <v>2</v>
      </c>
      <c r="I1710" s="6" t="s">
        <v>143</v>
      </c>
      <c r="J1710" s="6" t="s">
        <v>3047</v>
      </c>
      <c r="K1710" s="6">
        <v>0.38</v>
      </c>
      <c r="L1710" s="6" t="s">
        <v>42</v>
      </c>
      <c r="M1710" s="6" t="s">
        <v>34</v>
      </c>
      <c r="N1710" s="6"/>
    </row>
    <row r="1711" spans="1:14">
      <c r="A1711" s="6" t="s">
        <v>3048</v>
      </c>
      <c r="B1711" s="7">
        <v>46096</v>
      </c>
      <c r="C1711" s="6" t="s">
        <v>2412</v>
      </c>
      <c r="D1711" s="6" t="str">
        <f>IF(OR(PROPER(TRIM(Raw_Data!D1711))="Uk",PROPER(TRIM(Raw_Data!D1711))="Gb",PROPER(TRIM(Raw_Data!D1711))="United kingdom"),"United Kingdom",PROPER(TRIM(Raw_Data!D1711)))</f>
        <v>United Kingdom</v>
      </c>
      <c r="E1711" s="6" t="s">
        <v>28</v>
      </c>
      <c r="F1711" s="6" t="s">
        <v>53</v>
      </c>
      <c r="G1711" s="6" t="str">
        <f>SUBSTITUTE(Raw_Data!G1711,"Ã©","é")</f>
        <v>Alpine Jacket</v>
      </c>
      <c r="H1711" s="6">
        <v>1</v>
      </c>
      <c r="I1711" s="6" t="s">
        <v>79</v>
      </c>
      <c r="J1711" s="6" t="s">
        <v>79</v>
      </c>
      <c r="K1711" s="6">
        <v>0.19</v>
      </c>
      <c r="L1711" s="6" t="s">
        <v>42</v>
      </c>
      <c r="M1711" s="6" t="s">
        <v>69</v>
      </c>
      <c r="N1711" s="6"/>
    </row>
    <row r="1712" spans="1:14">
      <c r="A1712" s="6" t="s">
        <v>3049</v>
      </c>
      <c r="B1712" s="7">
        <v>46091</v>
      </c>
      <c r="C1712" s="6" t="s">
        <v>992</v>
      </c>
      <c r="D1712" s="6" t="str">
        <f>IF(OR(PROPER(TRIM(Raw_Data!D1712))="Uk",PROPER(TRIM(Raw_Data!D1712))="Gb",PROPER(TRIM(Raw_Data!D1712))="United kingdom"),"United Kingdom",PROPER(TRIM(Raw_Data!D1712)))</f>
        <v>United Kingdom</v>
      </c>
      <c r="E1712" s="6" t="s">
        <v>28</v>
      </c>
      <c r="F1712" s="6" t="s">
        <v>38</v>
      </c>
      <c r="G1712" s="6" t="str">
        <f>SUBSTITUTE(Raw_Data!G1712,"Ã©","é")</f>
        <v>Storm Overtrousers</v>
      </c>
      <c r="H1712" s="6">
        <v>2</v>
      </c>
      <c r="I1712" s="6" t="s">
        <v>117</v>
      </c>
      <c r="J1712" s="6" t="s">
        <v>118</v>
      </c>
      <c r="K1712" s="6">
        <v>0.52</v>
      </c>
      <c r="L1712" s="6" t="s">
        <v>42</v>
      </c>
      <c r="M1712" s="6" t="s">
        <v>34</v>
      </c>
      <c r="N1712" s="6"/>
    </row>
    <row r="1713" spans="1:14">
      <c r="A1713" s="6" t="s">
        <v>3050</v>
      </c>
      <c r="B1713" s="7">
        <v>46101</v>
      </c>
      <c r="C1713" s="6" t="s">
        <v>2111</v>
      </c>
      <c r="D1713" s="6" t="str">
        <f>IF(OR(PROPER(TRIM(Raw_Data!D1713))="Uk",PROPER(TRIM(Raw_Data!D1713))="Gb",PROPER(TRIM(Raw_Data!D1713))="United kingdom"),"United Kingdom",PROPER(TRIM(Raw_Data!D1713)))</f>
        <v>Germany</v>
      </c>
      <c r="E1713" s="6" t="s">
        <v>78</v>
      </c>
      <c r="F1713" s="6" t="s">
        <v>58</v>
      </c>
      <c r="G1713" s="6" t="str">
        <f>SUBSTITUTE(Raw_Data!G1713,"Ã©","é")</f>
        <v>Alpine Jacket</v>
      </c>
      <c r="H1713" s="6">
        <v>3</v>
      </c>
      <c r="I1713" s="6" t="s">
        <v>31</v>
      </c>
      <c r="J1713" s="6" t="s">
        <v>337</v>
      </c>
      <c r="K1713" s="6">
        <v>0.38</v>
      </c>
      <c r="L1713" s="6" t="s">
        <v>42</v>
      </c>
      <c r="M1713" s="6" t="s">
        <v>69</v>
      </c>
      <c r="N1713" s="6"/>
    </row>
    <row r="1714" spans="1:14">
      <c r="A1714" s="6" t="s">
        <v>3051</v>
      </c>
      <c r="B1714" s="7">
        <v>46107</v>
      </c>
      <c r="C1714" s="6" t="s">
        <v>1935</v>
      </c>
      <c r="D1714" s="6" t="str">
        <f>IF(OR(PROPER(TRIM(Raw_Data!D1714))="Uk",PROPER(TRIM(Raw_Data!D1714))="Gb",PROPER(TRIM(Raw_Data!D1714))="United kingdom"),"United Kingdom",PROPER(TRIM(Raw_Data!D1714)))</f>
        <v>Ireland</v>
      </c>
      <c r="E1714" s="6" t="s">
        <v>37</v>
      </c>
      <c r="F1714" s="6" t="s">
        <v>100</v>
      </c>
      <c r="G1714" s="6" t="str">
        <f>SUBSTITUTE(Raw_Data!G1714,"Ã©","é")</f>
        <v>Fell Runner Cap</v>
      </c>
      <c r="H1714" s="6">
        <v>1</v>
      </c>
      <c r="I1714" s="6" t="s">
        <v>40</v>
      </c>
      <c r="J1714" s="6" t="s">
        <v>40</v>
      </c>
      <c r="K1714" s="6">
        <v>0.64</v>
      </c>
      <c r="L1714" s="6" t="s">
        <v>33</v>
      </c>
      <c r="M1714" s="6" t="s">
        <v>69</v>
      </c>
      <c r="N1714" s="6"/>
    </row>
    <row r="1715" spans="1:14">
      <c r="A1715" s="6" t="s">
        <v>3052</v>
      </c>
      <c r="B1715" s="7">
        <v>46128</v>
      </c>
      <c r="C1715" s="6" t="s">
        <v>439</v>
      </c>
      <c r="D1715" s="6" t="str">
        <f>IF(OR(PROPER(TRIM(Raw_Data!D1715))="Uk",PROPER(TRIM(Raw_Data!D1715))="Gb",PROPER(TRIM(Raw_Data!D1715))="United kingdom"),"United Kingdom",PROPER(TRIM(Raw_Data!D1715)))</f>
        <v>United Kingdom</v>
      </c>
      <c r="E1715" s="6" t="s">
        <v>78</v>
      </c>
      <c r="F1715" s="6" t="s">
        <v>94</v>
      </c>
      <c r="G1715" s="6" t="str">
        <f>SUBSTITUTE(Raw_Data!G1715,"Ã©","é")</f>
        <v>Alpine Jacket</v>
      </c>
      <c r="H1715" s="6">
        <v>1</v>
      </c>
      <c r="I1715" s="6" t="s">
        <v>143</v>
      </c>
      <c r="J1715" s="6" t="s">
        <v>143</v>
      </c>
      <c r="K1715" s="6">
        <v>0.34</v>
      </c>
      <c r="L1715" s="6" t="s">
        <v>42</v>
      </c>
      <c r="M1715" s="6" t="s">
        <v>69</v>
      </c>
      <c r="N1715" s="6"/>
    </row>
    <row r="1716" spans="1:14">
      <c r="A1716" s="6" t="s">
        <v>3053</v>
      </c>
      <c r="B1716" s="7">
        <v>46079</v>
      </c>
      <c r="C1716" s="6" t="s">
        <v>1259</v>
      </c>
      <c r="D1716" s="6" t="str">
        <f>IF(OR(PROPER(TRIM(Raw_Data!D1716))="Uk",PROPER(TRIM(Raw_Data!D1716))="Gb",PROPER(TRIM(Raw_Data!D1716))="United kingdom"),"United Kingdom",PROPER(TRIM(Raw_Data!D1716)))</f>
        <v>Ireland</v>
      </c>
      <c r="E1716" s="6" t="s">
        <v>78</v>
      </c>
      <c r="F1716" s="6" t="s">
        <v>100</v>
      </c>
      <c r="G1716" s="6" t="str">
        <f>SUBSTITUTE(Raw_Data!G1716,"Ã©","é")</f>
        <v>Merino Base Layer</v>
      </c>
      <c r="H1716" s="6">
        <v>3</v>
      </c>
      <c r="I1716" s="6" t="s">
        <v>79</v>
      </c>
      <c r="J1716" s="6" t="s">
        <v>216</v>
      </c>
      <c r="K1716" s="6">
        <v>0.64</v>
      </c>
      <c r="L1716" s="6" t="s">
        <v>42</v>
      </c>
      <c r="M1716" s="6" t="s">
        <v>34</v>
      </c>
      <c r="N1716" s="6"/>
    </row>
    <row r="1717" spans="1:14">
      <c r="A1717" s="6" t="s">
        <v>3054</v>
      </c>
      <c r="B1717" s="7">
        <v>46057</v>
      </c>
      <c r="C1717" s="6" t="s">
        <v>771</v>
      </c>
      <c r="D1717" s="6" t="str">
        <f>IF(OR(PROPER(TRIM(Raw_Data!D1717))="Uk",PROPER(TRIM(Raw_Data!D1717))="Gb",PROPER(TRIM(Raw_Data!D1717))="United kingdom"),"United Kingdom",PROPER(TRIM(Raw_Data!D1717)))</f>
        <v>Germany</v>
      </c>
      <c r="E1717" s="6" t="s">
        <v>78</v>
      </c>
      <c r="F1717" s="6" t="s">
        <v>85</v>
      </c>
      <c r="G1717" s="6" t="str">
        <f>SUBSTITUTE(Raw_Data!G1717,"Ã©","é")</f>
        <v>Merino Base Layer</v>
      </c>
      <c r="H1717" s="6">
        <v>2</v>
      </c>
      <c r="I1717" s="6" t="s">
        <v>79</v>
      </c>
      <c r="J1717" s="6" t="s">
        <v>259</v>
      </c>
      <c r="K1717" s="6">
        <v>0.41</v>
      </c>
      <c r="L1717" s="6" t="s">
        <v>42</v>
      </c>
      <c r="M1717" s="6" t="s">
        <v>34</v>
      </c>
      <c r="N1717" s="6"/>
    </row>
    <row r="1718" spans="1:14">
      <c r="A1718" s="6" t="s">
        <v>3055</v>
      </c>
      <c r="B1718" s="7">
        <v>46131</v>
      </c>
      <c r="C1718" s="6" t="s">
        <v>142</v>
      </c>
      <c r="D1718" s="6" t="str">
        <f>IF(OR(PROPER(TRIM(Raw_Data!D1718))="Uk",PROPER(TRIM(Raw_Data!D1718))="Gb",PROPER(TRIM(Raw_Data!D1718))="United kingdom"),"United Kingdom",PROPER(TRIM(Raw_Data!D1718)))</f>
        <v>France</v>
      </c>
      <c r="E1718" s="6" t="s">
        <v>52</v>
      </c>
      <c r="F1718" s="6" t="s">
        <v>47</v>
      </c>
      <c r="G1718" s="6" t="str">
        <f>SUBSTITUTE(Raw_Data!G1718,"Ã©","é")</f>
        <v>Storm Overtrousers</v>
      </c>
      <c r="H1718" s="6">
        <v>1</v>
      </c>
      <c r="I1718" s="6" t="s">
        <v>143</v>
      </c>
      <c r="J1718" s="6" t="s">
        <v>143</v>
      </c>
      <c r="K1718" s="6">
        <v>8.5000000000000006E-2</v>
      </c>
      <c r="L1718" s="6" t="s">
        <v>42</v>
      </c>
      <c r="M1718" s="6" t="s">
        <v>34</v>
      </c>
      <c r="N1718" s="6"/>
    </row>
    <row r="1719" spans="1:14">
      <c r="A1719" s="6" t="s">
        <v>3056</v>
      </c>
      <c r="B1719" s="7">
        <v>46174</v>
      </c>
      <c r="C1719" s="6" t="s">
        <v>3057</v>
      </c>
      <c r="D1719" s="6" t="str">
        <f>IF(OR(PROPER(TRIM(Raw_Data!D1719))="Uk",PROPER(TRIM(Raw_Data!D1719))="Gb",PROPER(TRIM(Raw_Data!D1719))="United kingdom"),"United Kingdom",PROPER(TRIM(Raw_Data!D1719)))</f>
        <v>United Kingdom</v>
      </c>
      <c r="E1719" s="6" t="s">
        <v>46</v>
      </c>
      <c r="F1719" s="6" t="s">
        <v>29</v>
      </c>
      <c r="G1719" s="6" t="str">
        <f>SUBSTITUTE(Raw_Data!G1719,"Ã©","é")</f>
        <v>Alpine Jacket</v>
      </c>
      <c r="H1719" s="6">
        <v>1</v>
      </c>
      <c r="I1719" s="6" t="s">
        <v>117</v>
      </c>
      <c r="J1719" s="6" t="s">
        <v>1281</v>
      </c>
      <c r="K1719" s="6">
        <v>0.52</v>
      </c>
      <c r="L1719" s="6" t="s">
        <v>42</v>
      </c>
      <c r="M1719" s="6" t="s">
        <v>34</v>
      </c>
      <c r="N1719" s="6"/>
    </row>
    <row r="1720" spans="1:14">
      <c r="A1720" s="6" t="s">
        <v>3058</v>
      </c>
      <c r="B1720" s="7">
        <v>46171</v>
      </c>
      <c r="C1720" s="6" t="s">
        <v>1386</v>
      </c>
      <c r="D1720" s="6" t="str">
        <f>IF(OR(PROPER(TRIM(Raw_Data!D1720))="Uk",PROPER(TRIM(Raw_Data!D1720))="Gb",PROPER(TRIM(Raw_Data!D1720))="United kingdom"),"United Kingdom",PROPER(TRIM(Raw_Data!D1720)))</f>
        <v>United Kingdom</v>
      </c>
      <c r="E1720" s="6" t="s">
        <v>37</v>
      </c>
      <c r="F1720" s="6" t="s">
        <v>58</v>
      </c>
      <c r="G1720" s="6" t="str">
        <f>SUBSTITUTE(Raw_Data!G1720,"Ã©","é")</f>
        <v>Summit Down Gilet</v>
      </c>
      <c r="H1720" s="6">
        <v>3</v>
      </c>
      <c r="I1720" s="6" t="s">
        <v>113</v>
      </c>
      <c r="J1720" s="6" t="s">
        <v>138</v>
      </c>
      <c r="K1720" s="6">
        <v>0.38</v>
      </c>
      <c r="L1720" s="6" t="s">
        <v>33</v>
      </c>
      <c r="M1720" s="6" t="s">
        <v>34</v>
      </c>
      <c r="N1720" s="6"/>
    </row>
    <row r="1721" spans="1:14">
      <c r="A1721" s="6" t="s">
        <v>3059</v>
      </c>
      <c r="B1721" s="7">
        <v>46088</v>
      </c>
      <c r="C1721" s="6" t="s">
        <v>475</v>
      </c>
      <c r="D1721" s="6" t="str">
        <f>IF(OR(PROPER(TRIM(Raw_Data!D1721))="Uk",PROPER(TRIM(Raw_Data!D1721))="Gb",PROPER(TRIM(Raw_Data!D1721))="United kingdom"),"United Kingdom",PROPER(TRIM(Raw_Data!D1721)))</f>
        <v>United Kingdom</v>
      </c>
      <c r="E1721" s="6" t="s">
        <v>52</v>
      </c>
      <c r="F1721" s="6" t="s">
        <v>38</v>
      </c>
      <c r="G1721" s="6" t="str">
        <f>SUBSTITUTE(Raw_Data!G1721,"Ã©","é")</f>
        <v>Café Latte Mug</v>
      </c>
      <c r="H1721" s="6">
        <v>3</v>
      </c>
      <c r="I1721" s="6" t="s">
        <v>113</v>
      </c>
      <c r="J1721" s="6" t="s">
        <v>138</v>
      </c>
      <c r="K1721" s="6">
        <v>0.52</v>
      </c>
      <c r="L1721" s="6" t="s">
        <v>42</v>
      </c>
      <c r="M1721" s="6" t="s">
        <v>34</v>
      </c>
      <c r="N1721" s="6"/>
    </row>
    <row r="1722" spans="1:14">
      <c r="A1722" s="6" t="s">
        <v>3060</v>
      </c>
      <c r="B1722" s="7">
        <v>46186</v>
      </c>
      <c r="C1722" s="6" t="s">
        <v>2520</v>
      </c>
      <c r="D1722" s="6" t="str">
        <f>IF(OR(PROPER(TRIM(Raw_Data!D1722))="Uk",PROPER(TRIM(Raw_Data!D1722))="Gb",PROPER(TRIM(Raw_Data!D1722))="United kingdom"),"United Kingdom",PROPER(TRIM(Raw_Data!D1722)))</f>
        <v>United Kingdom</v>
      </c>
      <c r="E1722" s="6" t="s">
        <v>28</v>
      </c>
      <c r="F1722" s="6" t="s">
        <v>100</v>
      </c>
      <c r="G1722" s="6" t="str">
        <f>SUBSTITUTE(Raw_Data!G1722,"Ã©","é")</f>
        <v>Merino Base Layer</v>
      </c>
      <c r="H1722" s="6">
        <v>2</v>
      </c>
      <c r="I1722" s="6" t="s">
        <v>90</v>
      </c>
      <c r="J1722" s="6" t="s">
        <v>154</v>
      </c>
      <c r="K1722" s="6">
        <v>0.64</v>
      </c>
      <c r="L1722" s="6" t="s">
        <v>42</v>
      </c>
      <c r="M1722" s="6" t="s">
        <v>34</v>
      </c>
      <c r="N1722" s="6"/>
    </row>
    <row r="1723" spans="1:14">
      <c r="A1723" s="6" t="s">
        <v>3061</v>
      </c>
      <c r="B1723" s="7">
        <v>46079</v>
      </c>
      <c r="C1723" s="6" t="s">
        <v>1746</v>
      </c>
      <c r="D1723" s="6" t="str">
        <f>IF(OR(PROPER(TRIM(Raw_Data!D1723))="Uk",PROPER(TRIM(Raw_Data!D1723))="Gb",PROPER(TRIM(Raw_Data!D1723))="United kingdom"),"United Kingdom",PROPER(TRIM(Raw_Data!D1723)))</f>
        <v>Ireland</v>
      </c>
      <c r="E1723" s="6" t="s">
        <v>37</v>
      </c>
      <c r="F1723" s="6" t="s">
        <v>94</v>
      </c>
      <c r="G1723" s="6" t="str">
        <f>SUBSTITUTE(Raw_Data!G1723,"Ã©","é")</f>
        <v>Alpine Jacket</v>
      </c>
      <c r="H1723" s="6">
        <v>3</v>
      </c>
      <c r="I1723" s="6" t="s">
        <v>96</v>
      </c>
      <c r="J1723" s="6" t="s">
        <v>97</v>
      </c>
      <c r="K1723" s="6">
        <v>0.34</v>
      </c>
      <c r="L1723" s="6" t="s">
        <v>33</v>
      </c>
      <c r="M1723" s="6" t="s">
        <v>34</v>
      </c>
      <c r="N1723" s="6"/>
    </row>
    <row r="1724" spans="1:14">
      <c r="A1724" s="6" t="s">
        <v>3062</v>
      </c>
      <c r="B1724" s="7">
        <v>46167</v>
      </c>
      <c r="C1724" s="6" t="s">
        <v>212</v>
      </c>
      <c r="D1724" s="6" t="str">
        <f>IF(OR(PROPER(TRIM(Raw_Data!D1724))="Uk",PROPER(TRIM(Raw_Data!D1724))="Gb",PROPER(TRIM(Raw_Data!D1724))="United kingdom"),"United Kingdom",PROPER(TRIM(Raw_Data!D1724)))</f>
        <v>United Kingdom</v>
      </c>
      <c r="E1724" s="6" t="s">
        <v>46</v>
      </c>
      <c r="F1724" s="6" t="s">
        <v>100</v>
      </c>
      <c r="G1724" s="6" t="str">
        <f>SUBSTITUTE(Raw_Data!G1724,"Ã©","é")</f>
        <v>Fell Runner Cap</v>
      </c>
      <c r="H1724" s="6">
        <v>-1</v>
      </c>
      <c r="I1724" s="6" t="s">
        <v>490</v>
      </c>
      <c r="J1724" s="8" t="s">
        <v>1415</v>
      </c>
      <c r="K1724" s="6">
        <v>0.64</v>
      </c>
      <c r="L1724" s="6" t="s">
        <v>42</v>
      </c>
      <c r="M1724" s="6" t="s">
        <v>34</v>
      </c>
      <c r="N1724" s="6"/>
    </row>
    <row r="1725" spans="1:14">
      <c r="A1725" s="6" t="s">
        <v>3063</v>
      </c>
      <c r="B1725" s="7">
        <v>46054</v>
      </c>
      <c r="C1725" s="6" t="s">
        <v>2063</v>
      </c>
      <c r="D1725" s="6" t="str">
        <f>IF(OR(PROPER(TRIM(Raw_Data!D1725))="Uk",PROPER(TRIM(Raw_Data!D1725))="Gb",PROPER(TRIM(Raw_Data!D1725))="United kingdom"),"United Kingdom",PROPER(TRIM(Raw_Data!D1725)))</f>
        <v>Ireland</v>
      </c>
      <c r="E1725" s="6" t="s">
        <v>52</v>
      </c>
      <c r="F1725" s="6" t="s">
        <v>94</v>
      </c>
      <c r="G1725" s="6" t="str">
        <f>SUBSTITUTE(Raw_Data!G1725,"Ã©","é")</f>
        <v>Café Latte Mug</v>
      </c>
      <c r="H1725" s="6">
        <v>2</v>
      </c>
      <c r="I1725" s="6" t="s">
        <v>265</v>
      </c>
      <c r="J1725" s="6" t="s">
        <v>167</v>
      </c>
      <c r="K1725" s="6">
        <v>0.34</v>
      </c>
      <c r="L1725" s="6" t="s">
        <v>42</v>
      </c>
      <c r="M1725" s="6" t="s">
        <v>34</v>
      </c>
      <c r="N1725" s="6"/>
    </row>
    <row r="1726" spans="1:14">
      <c r="A1726" s="6" t="s">
        <v>3064</v>
      </c>
      <c r="B1726" s="7">
        <v>46200</v>
      </c>
      <c r="C1726" s="6" t="s">
        <v>3065</v>
      </c>
      <c r="D1726" s="6" t="str">
        <f>IF(OR(PROPER(TRIM(Raw_Data!D1726))="Uk",PROPER(TRIM(Raw_Data!D1726))="Gb",PROPER(TRIM(Raw_Data!D1726))="United kingdom"),"United Kingdom",PROPER(TRIM(Raw_Data!D1726)))</f>
        <v>United Kingdom</v>
      </c>
      <c r="E1726" s="6" t="s">
        <v>46</v>
      </c>
      <c r="F1726" s="6" t="s">
        <v>29</v>
      </c>
      <c r="G1726" s="6" t="str">
        <f>SUBSTITUTE(Raw_Data!G1726,"Ã©","é")</f>
        <v>Trail Softshell</v>
      </c>
      <c r="H1726" s="6">
        <v>1</v>
      </c>
      <c r="I1726" s="6" t="s">
        <v>40</v>
      </c>
      <c r="J1726" s="6" t="s">
        <v>40</v>
      </c>
      <c r="K1726" s="6">
        <v>0.52</v>
      </c>
      <c r="L1726" s="6" t="s">
        <v>42</v>
      </c>
      <c r="M1726" s="6" t="s">
        <v>34</v>
      </c>
      <c r="N1726" s="6"/>
    </row>
    <row r="1727" spans="1:14">
      <c r="A1727" s="6" t="s">
        <v>3066</v>
      </c>
      <c r="B1727" s="7">
        <v>46041</v>
      </c>
      <c r="C1727" s="6" t="s">
        <v>2331</v>
      </c>
      <c r="D1727" s="6" t="str">
        <f>IF(OR(PROPER(TRIM(Raw_Data!D1727))="Uk",PROPER(TRIM(Raw_Data!D1727))="Gb",PROPER(TRIM(Raw_Data!D1727))="United kingdom"),"United Kingdom",PROPER(TRIM(Raw_Data!D1727)))</f>
        <v>Ireland</v>
      </c>
      <c r="E1727" s="6" t="s">
        <v>37</v>
      </c>
      <c r="F1727" s="6" t="s">
        <v>29</v>
      </c>
      <c r="G1727" s="6" t="str">
        <f>SUBSTITUTE(Raw_Data!G1727,"Ã©","é")</f>
        <v>Summit Down Gilet</v>
      </c>
      <c r="H1727" s="6">
        <v>1</v>
      </c>
      <c r="I1727" s="6" t="s">
        <v>96</v>
      </c>
      <c r="J1727" s="6" t="s">
        <v>96</v>
      </c>
      <c r="K1727" s="6">
        <v>0.52</v>
      </c>
      <c r="L1727" s="6" t="s">
        <v>33</v>
      </c>
      <c r="M1727" s="6" t="s">
        <v>34</v>
      </c>
      <c r="N1727" s="6"/>
    </row>
    <row r="1728" spans="1:14">
      <c r="A1728" s="6" t="s">
        <v>3067</v>
      </c>
      <c r="B1728" s="7">
        <v>46301</v>
      </c>
      <c r="C1728" s="6" t="s">
        <v>1835</v>
      </c>
      <c r="D1728" s="6" t="str">
        <f>IF(OR(PROPER(TRIM(Raw_Data!D1728))="Uk",PROPER(TRIM(Raw_Data!D1728))="Gb",PROPER(TRIM(Raw_Data!D1728))="United kingdom"),"United Kingdom",PROPER(TRIM(Raw_Data!D1728)))</f>
        <v>France</v>
      </c>
      <c r="E1728" s="6" t="s">
        <v>52</v>
      </c>
      <c r="F1728" s="6" t="s">
        <v>38</v>
      </c>
      <c r="G1728" s="6" t="str">
        <f>SUBSTITUTE(Raw_Data!G1728,"Ã©","é")</f>
        <v>Merino Base Layer</v>
      </c>
      <c r="H1728" s="6">
        <v>2</v>
      </c>
      <c r="I1728" s="6" t="s">
        <v>73</v>
      </c>
      <c r="J1728" s="6" t="s">
        <v>74</v>
      </c>
      <c r="K1728" s="6">
        <v>0.52</v>
      </c>
      <c r="L1728" s="6" t="s">
        <v>42</v>
      </c>
      <c r="M1728" s="6" t="s">
        <v>34</v>
      </c>
      <c r="N1728" s="6"/>
    </row>
    <row r="1729" spans="1:14">
      <c r="A1729" s="6" t="s">
        <v>3068</v>
      </c>
      <c r="B1729" s="7">
        <v>46042</v>
      </c>
      <c r="C1729" s="6" t="s">
        <v>707</v>
      </c>
      <c r="D1729" s="6" t="str">
        <f>IF(OR(PROPER(TRIM(Raw_Data!D1729))="Uk",PROPER(TRIM(Raw_Data!D1729))="Gb",PROPER(TRIM(Raw_Data!D1729))="United kingdom"),"United Kingdom",PROPER(TRIM(Raw_Data!D1729)))</f>
        <v>United Kingdom</v>
      </c>
      <c r="E1729" s="6" t="s">
        <v>52</v>
      </c>
      <c r="F1729" s="6" t="s">
        <v>47</v>
      </c>
      <c r="G1729" s="6" t="str">
        <f>SUBSTITUTE(Raw_Data!G1729,"Ã©","é")</f>
        <v>Trail Softshell</v>
      </c>
      <c r="H1729" s="6">
        <v>1</v>
      </c>
      <c r="I1729" s="6" t="s">
        <v>96</v>
      </c>
      <c r="J1729" s="6" t="s">
        <v>96</v>
      </c>
      <c r="K1729" s="6">
        <v>8.5000000000000006E-2</v>
      </c>
      <c r="L1729" s="6" t="s">
        <v>42</v>
      </c>
      <c r="M1729" s="6" t="s">
        <v>34</v>
      </c>
      <c r="N1729" s="6"/>
    </row>
    <row r="1730" spans="1:14">
      <c r="A1730" s="6" t="s">
        <v>3070</v>
      </c>
      <c r="B1730" s="7">
        <v>46189</v>
      </c>
      <c r="C1730" s="6" t="s">
        <v>1732</v>
      </c>
      <c r="D1730" s="6" t="str">
        <f>IF(OR(PROPER(TRIM(Raw_Data!D1730))="Uk",PROPER(TRIM(Raw_Data!D1730))="Gb",PROPER(TRIM(Raw_Data!D1730))="United kingdom"),"United Kingdom",PROPER(TRIM(Raw_Data!D1730)))</f>
        <v>Ireland</v>
      </c>
      <c r="E1730" s="6" t="s">
        <v>46</v>
      </c>
      <c r="F1730" s="6" t="s">
        <v>29</v>
      </c>
      <c r="G1730" s="6" t="str">
        <f>SUBSTITUTE(Raw_Data!G1730,"Ã©","é")</f>
        <v>Summit Down Gilet</v>
      </c>
      <c r="H1730" s="6">
        <v>2</v>
      </c>
      <c r="I1730" s="6" t="s">
        <v>60</v>
      </c>
      <c r="J1730" s="6" t="s">
        <v>189</v>
      </c>
      <c r="K1730" s="6">
        <v>0.52</v>
      </c>
      <c r="L1730" s="6" t="s">
        <v>42</v>
      </c>
      <c r="M1730" s="6" t="s">
        <v>69</v>
      </c>
      <c r="N1730" s="6"/>
    </row>
    <row r="1731" spans="1:14">
      <c r="A1731" s="6" t="s">
        <v>3071</v>
      </c>
      <c r="B1731" s="7">
        <v>46162</v>
      </c>
      <c r="C1731" s="6" t="s">
        <v>520</v>
      </c>
      <c r="D1731" s="6" t="str">
        <f>IF(OR(PROPER(TRIM(Raw_Data!D1731))="Uk",PROPER(TRIM(Raw_Data!D1731))="Gb",PROPER(TRIM(Raw_Data!D1731))="United kingdom"),"United Kingdom",PROPER(TRIM(Raw_Data!D1731)))</f>
        <v>United Kingdom</v>
      </c>
      <c r="E1731" s="6" t="s">
        <v>28</v>
      </c>
      <c r="F1731" s="6" t="s">
        <v>38</v>
      </c>
      <c r="G1731" s="6" t="str">
        <f>SUBSTITUTE(Raw_Data!G1731,"Ã©","é")</f>
        <v>Alpine Jacket</v>
      </c>
      <c r="H1731" s="6">
        <v>1</v>
      </c>
      <c r="I1731" s="6" t="s">
        <v>79</v>
      </c>
      <c r="J1731" s="6" t="s">
        <v>79</v>
      </c>
      <c r="K1731" s="6">
        <v>0.52</v>
      </c>
      <c r="L1731" s="6" t="s">
        <v>42</v>
      </c>
      <c r="M1731" s="6" t="s">
        <v>69</v>
      </c>
      <c r="N1731" s="6"/>
    </row>
    <row r="1732" spans="1:14">
      <c r="A1732" s="6" t="s">
        <v>3072</v>
      </c>
      <c r="B1732" s="7">
        <v>46046</v>
      </c>
      <c r="C1732" s="6" t="s">
        <v>206</v>
      </c>
      <c r="D1732" s="6" t="str">
        <f>IF(OR(PROPER(TRIM(Raw_Data!D1732))="Uk",PROPER(TRIM(Raw_Data!D1732))="Gb",PROPER(TRIM(Raw_Data!D1732))="United kingdom"),"United Kingdom",PROPER(TRIM(Raw_Data!D1732)))</f>
        <v>Germany</v>
      </c>
      <c r="E1732" s="6" t="s">
        <v>52</v>
      </c>
      <c r="F1732" s="6" t="s">
        <v>85</v>
      </c>
      <c r="G1732" s="6" t="str">
        <f>SUBSTITUTE(Raw_Data!G1732,"Ã©","é")</f>
        <v>Café Latte Mug</v>
      </c>
      <c r="H1732" s="6">
        <v>1</v>
      </c>
      <c r="I1732" s="6" t="s">
        <v>117</v>
      </c>
      <c r="J1732" s="6" t="s">
        <v>117</v>
      </c>
      <c r="K1732" s="6">
        <v>0.41</v>
      </c>
      <c r="L1732" s="6" t="s">
        <v>42</v>
      </c>
      <c r="M1732" s="6" t="s">
        <v>34</v>
      </c>
      <c r="N1732" s="6"/>
    </row>
    <row r="1733" spans="1:14">
      <c r="A1733" s="6" t="s">
        <v>3073</v>
      </c>
      <c r="B1733" s="7">
        <v>46161</v>
      </c>
      <c r="C1733" s="6" t="s">
        <v>146</v>
      </c>
      <c r="D1733" s="6" t="str">
        <f>IF(OR(PROPER(TRIM(Raw_Data!D1733))="Uk",PROPER(TRIM(Raw_Data!D1733))="Gb",PROPER(TRIM(Raw_Data!D1733))="United kingdom"),"United Kingdom",PROPER(TRIM(Raw_Data!D1733)))</f>
        <v>United Kingdom</v>
      </c>
      <c r="E1733" s="6" t="s">
        <v>52</v>
      </c>
      <c r="F1733" s="6" t="s">
        <v>38</v>
      </c>
      <c r="G1733" s="6" t="str">
        <f>SUBSTITUTE(Raw_Data!G1733,"Ã©","é")</f>
        <v>Alpine Jacket</v>
      </c>
      <c r="H1733" s="6">
        <v>1</v>
      </c>
      <c r="I1733" s="6" t="s">
        <v>90</v>
      </c>
      <c r="J1733" s="6" t="s">
        <v>90</v>
      </c>
      <c r="K1733" s="6">
        <v>0.52</v>
      </c>
      <c r="L1733" s="6" t="s">
        <v>42</v>
      </c>
      <c r="M1733" s="6" t="s">
        <v>34</v>
      </c>
      <c r="N1733" s="6"/>
    </row>
    <row r="1734" spans="1:14">
      <c r="A1734" s="6" t="s">
        <v>3074</v>
      </c>
      <c r="B1734" s="7">
        <v>46067</v>
      </c>
      <c r="C1734" s="6" t="s">
        <v>3075</v>
      </c>
      <c r="D1734" s="6" t="str">
        <f>IF(OR(PROPER(TRIM(Raw_Data!D1734))="Uk",PROPER(TRIM(Raw_Data!D1734))="Gb",PROPER(TRIM(Raw_Data!D1734))="United kingdom"),"United Kingdom",PROPER(TRIM(Raw_Data!D1734)))</f>
        <v>United Kingdom</v>
      </c>
      <c r="E1734" s="6" t="s">
        <v>52</v>
      </c>
      <c r="F1734" s="6" t="s">
        <v>85</v>
      </c>
      <c r="G1734" s="6" t="str">
        <f>SUBSTITUTE(Raw_Data!G1734,"Ã©","é")</f>
        <v>Storm Overtrousers</v>
      </c>
      <c r="H1734" s="6">
        <v>2</v>
      </c>
      <c r="I1734" s="6" t="s">
        <v>113</v>
      </c>
      <c r="J1734" s="6" t="s">
        <v>192</v>
      </c>
      <c r="K1734" s="6">
        <v>0.41</v>
      </c>
      <c r="L1734" s="6" t="s">
        <v>42</v>
      </c>
      <c r="M1734" s="6" t="s">
        <v>34</v>
      </c>
      <c r="N1734" s="6"/>
    </row>
    <row r="1735" spans="1:14">
      <c r="A1735" s="6" t="s">
        <v>3076</v>
      </c>
      <c r="B1735" s="7">
        <v>46068</v>
      </c>
      <c r="C1735" s="6" t="s">
        <v>3077</v>
      </c>
      <c r="D1735" s="6" t="str">
        <f>IF(OR(PROPER(TRIM(Raw_Data!D1735))="Uk",PROPER(TRIM(Raw_Data!D1735))="Gb",PROPER(TRIM(Raw_Data!D1735))="United kingdom"),"United Kingdom",PROPER(TRIM(Raw_Data!D1735)))</f>
        <v>Ireland</v>
      </c>
      <c r="E1735" s="6" t="s">
        <v>37</v>
      </c>
      <c r="F1735" s="6" t="s">
        <v>29</v>
      </c>
      <c r="G1735" s="6" t="str">
        <f>SUBSTITUTE(Raw_Data!G1735,"Ã©","é")</f>
        <v>Fell Runner Cap</v>
      </c>
      <c r="H1735" s="6">
        <v>1</v>
      </c>
      <c r="I1735" s="6" t="s">
        <v>82</v>
      </c>
      <c r="J1735" s="6" t="s">
        <v>82</v>
      </c>
      <c r="K1735" s="6">
        <v>0.52</v>
      </c>
      <c r="L1735" s="6" t="s">
        <v>42</v>
      </c>
      <c r="M1735" s="6" t="s">
        <v>34</v>
      </c>
      <c r="N1735" s="6"/>
    </row>
    <row r="1736" spans="1:14">
      <c r="A1736" s="6" t="s">
        <v>3078</v>
      </c>
      <c r="B1736" s="7">
        <v>46036</v>
      </c>
      <c r="C1736" s="6" t="s">
        <v>1343</v>
      </c>
      <c r="D1736" s="6" t="str">
        <f>IF(OR(PROPER(TRIM(Raw_Data!D1736))="Uk",PROPER(TRIM(Raw_Data!D1736))="Gb",PROPER(TRIM(Raw_Data!D1736))="United kingdom"),"United Kingdom",PROPER(TRIM(Raw_Data!D1736)))</f>
        <v>United Kingdom</v>
      </c>
      <c r="E1736" s="6" t="s">
        <v>28</v>
      </c>
      <c r="F1736" s="6" t="s">
        <v>85</v>
      </c>
      <c r="G1736" s="6" t="str">
        <f>SUBSTITUTE(Raw_Data!G1736,"Ã©","é")</f>
        <v>Trekking Poles</v>
      </c>
      <c r="H1736" s="6">
        <v>1</v>
      </c>
      <c r="I1736" s="6" t="s">
        <v>113</v>
      </c>
      <c r="J1736" s="6" t="s">
        <v>113</v>
      </c>
      <c r="K1736" s="6">
        <v>0.41</v>
      </c>
      <c r="L1736" s="6" t="s">
        <v>33</v>
      </c>
      <c r="M1736" s="6" t="s">
        <v>69</v>
      </c>
      <c r="N1736" s="6"/>
    </row>
    <row r="1737" spans="1:14">
      <c r="A1737" s="6" t="s">
        <v>3079</v>
      </c>
      <c r="B1737" s="7">
        <v>46206</v>
      </c>
      <c r="C1737" s="6" t="s">
        <v>1989</v>
      </c>
      <c r="D1737" s="6" t="str">
        <f>IF(OR(PROPER(TRIM(Raw_Data!D1737))="Uk",PROPER(TRIM(Raw_Data!D1737))="Gb",PROPER(TRIM(Raw_Data!D1737))="United kingdom"),"United Kingdom",PROPER(TRIM(Raw_Data!D1737)))</f>
        <v>France</v>
      </c>
      <c r="E1737" s="6" t="s">
        <v>37</v>
      </c>
      <c r="F1737" s="6" t="s">
        <v>38</v>
      </c>
      <c r="G1737" s="6" t="str">
        <f>SUBSTITUTE(Raw_Data!G1737,"Ã©","é")</f>
        <v>Summit Down Gilet</v>
      </c>
      <c r="H1737" s="6">
        <v>1</v>
      </c>
      <c r="I1737" s="6" t="s">
        <v>82</v>
      </c>
      <c r="J1737" s="6" t="s">
        <v>82</v>
      </c>
      <c r="K1737" s="6">
        <v>0.52</v>
      </c>
      <c r="L1737" s="6" t="s">
        <v>42</v>
      </c>
      <c r="M1737" s="6" t="s">
        <v>69</v>
      </c>
      <c r="N1737" s="6"/>
    </row>
    <row r="1738" spans="1:14">
      <c r="A1738" s="6" t="s">
        <v>3080</v>
      </c>
      <c r="B1738" s="7">
        <v>46157</v>
      </c>
      <c r="C1738" s="6" t="s">
        <v>2179</v>
      </c>
      <c r="D1738" s="6" t="str">
        <f>IF(OR(PROPER(TRIM(Raw_Data!D1738))="Uk",PROPER(TRIM(Raw_Data!D1738))="Gb",PROPER(TRIM(Raw_Data!D1738))="United kingdom"),"United Kingdom",PROPER(TRIM(Raw_Data!D1738)))</f>
        <v>United Kingdom</v>
      </c>
      <c r="E1738" s="6" t="s">
        <v>37</v>
      </c>
      <c r="F1738" s="6" t="s">
        <v>94</v>
      </c>
      <c r="G1738" s="6" t="str">
        <f>SUBSTITUTE(Raw_Data!G1738,"Ã©","é")</f>
        <v>Trail Softshell</v>
      </c>
      <c r="H1738" s="6">
        <v>1</v>
      </c>
      <c r="I1738" s="6" t="s">
        <v>90</v>
      </c>
      <c r="J1738" s="6" t="s">
        <v>90</v>
      </c>
      <c r="K1738" s="6">
        <v>0.34</v>
      </c>
      <c r="L1738" s="6" t="s">
        <v>42</v>
      </c>
      <c r="M1738" s="6" t="s">
        <v>34</v>
      </c>
      <c r="N1738" s="6"/>
    </row>
    <row r="1739" spans="1:14">
      <c r="A1739" s="6" t="s">
        <v>3081</v>
      </c>
      <c r="B1739" s="7">
        <v>46298</v>
      </c>
      <c r="C1739" s="6" t="s">
        <v>3082</v>
      </c>
      <c r="D1739" s="6" t="str">
        <f>IF(OR(PROPER(TRIM(Raw_Data!D1739))="Uk",PROPER(TRIM(Raw_Data!D1739))="Gb",PROPER(TRIM(Raw_Data!D1739))="United kingdom"),"United Kingdom",PROPER(TRIM(Raw_Data!D1739)))</f>
        <v>United Kingdom</v>
      </c>
      <c r="E1739" s="6" t="s">
        <v>78</v>
      </c>
      <c r="F1739" s="6" t="s">
        <v>29</v>
      </c>
      <c r="G1739" s="6" t="str">
        <f>SUBSTITUTE(Raw_Data!G1739,"Ã©","é")</f>
        <v>Alpine Jacket</v>
      </c>
      <c r="H1739" s="6">
        <v>2</v>
      </c>
      <c r="I1739" s="6" t="s">
        <v>60</v>
      </c>
      <c r="J1739" s="6" t="s">
        <v>189</v>
      </c>
      <c r="K1739" s="6">
        <v>0.52</v>
      </c>
      <c r="L1739" s="6" t="s">
        <v>42</v>
      </c>
      <c r="M1739" s="6" t="s">
        <v>34</v>
      </c>
      <c r="N1739" s="6"/>
    </row>
    <row r="1740" spans="1:14">
      <c r="A1740" s="6" t="s">
        <v>3083</v>
      </c>
      <c r="B1740" s="7">
        <v>46147</v>
      </c>
      <c r="C1740" s="6" t="s">
        <v>1139</v>
      </c>
      <c r="D1740" s="6" t="str">
        <f>IF(OR(PROPER(TRIM(Raw_Data!D1740))="Uk",PROPER(TRIM(Raw_Data!D1740))="Gb",PROPER(TRIM(Raw_Data!D1740))="United kingdom"),"United Kingdom",PROPER(TRIM(Raw_Data!D1740)))</f>
        <v>United Kingdom</v>
      </c>
      <c r="E1740" s="6" t="s">
        <v>46</v>
      </c>
      <c r="F1740" s="6" t="s">
        <v>38</v>
      </c>
      <c r="G1740" s="6" t="str">
        <f>SUBSTITUTE(Raw_Data!G1740,"Ã©","é")</f>
        <v>Café Latte Mug</v>
      </c>
      <c r="H1740" s="6">
        <v>1</v>
      </c>
      <c r="I1740" s="6" t="s">
        <v>147</v>
      </c>
      <c r="J1740" s="6" t="s">
        <v>147</v>
      </c>
      <c r="K1740" s="6">
        <v>0.52</v>
      </c>
      <c r="L1740" s="6" t="s">
        <v>42</v>
      </c>
      <c r="M1740" s="6" t="s">
        <v>34</v>
      </c>
      <c r="N1740" s="6"/>
    </row>
    <row r="1741" spans="1:14">
      <c r="A1741" s="6" t="s">
        <v>3084</v>
      </c>
      <c r="B1741" s="7">
        <v>46036</v>
      </c>
      <c r="C1741" s="6" t="s">
        <v>3085</v>
      </c>
      <c r="D1741" s="6" t="str">
        <f>IF(OR(PROPER(TRIM(Raw_Data!D1741))="Uk",PROPER(TRIM(Raw_Data!D1741))="Gb",PROPER(TRIM(Raw_Data!D1741))="United kingdom"),"United Kingdom",PROPER(TRIM(Raw_Data!D1741)))</f>
        <v>United Kingdom</v>
      </c>
      <c r="E1741" s="6" t="s">
        <v>37</v>
      </c>
      <c r="F1741" s="6" t="s">
        <v>100</v>
      </c>
      <c r="G1741" s="6" t="str">
        <f>SUBSTITUTE(Raw_Data!G1741,"Ã©","é")</f>
        <v>Alpine Jacket</v>
      </c>
      <c r="H1741" s="6">
        <v>1</v>
      </c>
      <c r="I1741" s="6" t="s">
        <v>82</v>
      </c>
      <c r="J1741" s="6" t="s">
        <v>82</v>
      </c>
      <c r="K1741" s="6">
        <v>0.64</v>
      </c>
      <c r="L1741" s="6" t="s">
        <v>42</v>
      </c>
      <c r="M1741" s="6" t="s">
        <v>34</v>
      </c>
      <c r="N1741" s="6"/>
    </row>
    <row r="1742" spans="1:14">
      <c r="A1742" s="6" t="s">
        <v>3086</v>
      </c>
      <c r="B1742" s="7">
        <v>46042</v>
      </c>
      <c r="C1742" s="6" t="s">
        <v>564</v>
      </c>
      <c r="D1742" s="6" t="str">
        <f>IF(OR(PROPER(TRIM(Raw_Data!D1742))="Uk",PROPER(TRIM(Raw_Data!D1742))="Gb",PROPER(TRIM(Raw_Data!D1742))="United kingdom"),"United Kingdom",PROPER(TRIM(Raw_Data!D1742)))</f>
        <v>United Kingdom</v>
      </c>
      <c r="E1742" s="6" t="s">
        <v>78</v>
      </c>
      <c r="F1742" s="6" t="s">
        <v>94</v>
      </c>
      <c r="G1742" s="6" t="str">
        <f>SUBSTITUTE(Raw_Data!G1742,"Ã©","é")</f>
        <v>Café Latte Mug</v>
      </c>
      <c r="H1742" s="6">
        <v>2</v>
      </c>
      <c r="I1742" s="6" t="s">
        <v>147</v>
      </c>
      <c r="J1742" s="6" t="s">
        <v>3087</v>
      </c>
      <c r="K1742" s="6">
        <v>0.34</v>
      </c>
      <c r="L1742" s="6" t="s">
        <v>42</v>
      </c>
      <c r="M1742" s="6" t="s">
        <v>34</v>
      </c>
      <c r="N1742" s="6"/>
    </row>
    <row r="1743" spans="1:14">
      <c r="A1743" s="6" t="s">
        <v>3088</v>
      </c>
      <c r="B1743" s="7">
        <v>46194</v>
      </c>
      <c r="C1743" s="6" t="s">
        <v>2153</v>
      </c>
      <c r="D1743" s="6" t="str">
        <f>IF(OR(PROPER(TRIM(Raw_Data!D1743))="Uk",PROPER(TRIM(Raw_Data!D1743))="Gb",PROPER(TRIM(Raw_Data!D1743))="United kingdom"),"United Kingdom",PROPER(TRIM(Raw_Data!D1743)))</f>
        <v>United Kingdom</v>
      </c>
      <c r="E1743" s="6" t="s">
        <v>52</v>
      </c>
      <c r="F1743" s="6" t="s">
        <v>85</v>
      </c>
      <c r="G1743" s="6" t="str">
        <f>SUBSTITUTE(Raw_Data!G1743,"Ã©","é")</f>
        <v>Trekking Poles</v>
      </c>
      <c r="H1743" s="6">
        <v>1</v>
      </c>
      <c r="I1743" s="6" t="s">
        <v>117</v>
      </c>
      <c r="J1743" s="6" t="s">
        <v>117</v>
      </c>
      <c r="K1743" s="6">
        <v>0.41</v>
      </c>
      <c r="L1743" s="6" t="s">
        <v>33</v>
      </c>
      <c r="M1743" s="6" t="s">
        <v>69</v>
      </c>
      <c r="N1743" s="6"/>
    </row>
    <row r="1744" spans="1:14">
      <c r="A1744" s="6" t="s">
        <v>3089</v>
      </c>
      <c r="B1744" s="7">
        <v>46032</v>
      </c>
      <c r="C1744" s="6" t="s">
        <v>3090</v>
      </c>
      <c r="D1744" s="6" t="str">
        <f>IF(OR(PROPER(TRIM(Raw_Data!D1744))="Uk",PROPER(TRIM(Raw_Data!D1744))="Gb",PROPER(TRIM(Raw_Data!D1744))="United kingdom"),"United Kingdom",PROPER(TRIM(Raw_Data!D1744)))</f>
        <v>United Kingdom</v>
      </c>
      <c r="E1744" s="6" t="s">
        <v>52</v>
      </c>
      <c r="F1744" s="6" t="s">
        <v>58</v>
      </c>
      <c r="G1744" s="6" t="str">
        <f>SUBSTITUTE(Raw_Data!G1744,"Ã©","é")</f>
        <v>Trekking Poles</v>
      </c>
      <c r="H1744" s="6">
        <v>1</v>
      </c>
      <c r="I1744" s="6" t="s">
        <v>79</v>
      </c>
      <c r="J1744" s="6" t="s">
        <v>79</v>
      </c>
      <c r="K1744" s="6">
        <v>0.38</v>
      </c>
      <c r="L1744" s="6" t="s">
        <v>42</v>
      </c>
      <c r="M1744" s="6" t="s">
        <v>69</v>
      </c>
      <c r="N1744" s="6"/>
    </row>
    <row r="1745" spans="1:14">
      <c r="A1745" s="6" t="s">
        <v>3091</v>
      </c>
      <c r="B1745" s="7">
        <v>46192</v>
      </c>
      <c r="C1745" s="6" t="s">
        <v>1997</v>
      </c>
      <c r="D1745" s="6" t="str">
        <f>IF(OR(PROPER(TRIM(Raw_Data!D1745))="Uk",PROPER(TRIM(Raw_Data!D1745))="Gb",PROPER(TRIM(Raw_Data!D1745))="United kingdom"),"United Kingdom",PROPER(TRIM(Raw_Data!D1745)))</f>
        <v>France</v>
      </c>
      <c r="E1745" s="6" t="s">
        <v>78</v>
      </c>
      <c r="F1745" s="6" t="s">
        <v>53</v>
      </c>
      <c r="G1745" s="6" t="str">
        <f>SUBSTITUTE(Raw_Data!G1745,"Ã©","é")</f>
        <v>Trail Softshell</v>
      </c>
      <c r="H1745" s="6">
        <v>2</v>
      </c>
      <c r="I1745" s="6" t="s">
        <v>31</v>
      </c>
      <c r="J1745" s="6" t="s">
        <v>249</v>
      </c>
      <c r="K1745" s="6">
        <v>0.19</v>
      </c>
      <c r="L1745" s="6" t="s">
        <v>42</v>
      </c>
      <c r="M1745" s="6" t="s">
        <v>34</v>
      </c>
      <c r="N1745" s="6"/>
    </row>
    <row r="1746" spans="1:14">
      <c r="A1746" s="6" t="s">
        <v>3092</v>
      </c>
      <c r="B1746" s="7">
        <v>46267</v>
      </c>
      <c r="C1746" s="6" t="s">
        <v>3093</v>
      </c>
      <c r="D1746" s="6" t="str">
        <f>IF(OR(PROPER(TRIM(Raw_Data!D1746))="Uk",PROPER(TRIM(Raw_Data!D1746))="Gb",PROPER(TRIM(Raw_Data!D1746))="United kingdom"),"United Kingdom",PROPER(TRIM(Raw_Data!D1746)))</f>
        <v>Ireland</v>
      </c>
      <c r="E1746" s="6" t="s">
        <v>46</v>
      </c>
      <c r="F1746" s="6" t="s">
        <v>47</v>
      </c>
      <c r="G1746" s="6" t="str">
        <f>SUBSTITUTE(Raw_Data!G1746,"Ã©","é")</f>
        <v>Fell Runner Cap</v>
      </c>
      <c r="H1746" s="6">
        <v>3</v>
      </c>
      <c r="I1746" s="6" t="s">
        <v>96</v>
      </c>
      <c r="J1746" s="6" t="s">
        <v>97</v>
      </c>
      <c r="K1746" s="6">
        <v>8.5000000000000006E-2</v>
      </c>
      <c r="L1746" s="6" t="s">
        <v>42</v>
      </c>
      <c r="M1746" s="6" t="s">
        <v>34</v>
      </c>
      <c r="N1746" s="6"/>
    </row>
    <row r="1747" spans="1:14">
      <c r="A1747" s="6" t="s">
        <v>3094</v>
      </c>
      <c r="B1747" s="7">
        <v>46024</v>
      </c>
      <c r="C1747" s="6" t="s">
        <v>3095</v>
      </c>
      <c r="D1747" s="6" t="str">
        <f>IF(OR(PROPER(TRIM(Raw_Data!D1747))="Uk",PROPER(TRIM(Raw_Data!D1747))="Gb",PROPER(TRIM(Raw_Data!D1747))="United kingdom"),"United Kingdom",PROPER(TRIM(Raw_Data!D1747)))</f>
        <v>France</v>
      </c>
      <c r="E1747" s="6" t="s">
        <v>46</v>
      </c>
      <c r="F1747" s="6" t="s">
        <v>53</v>
      </c>
      <c r="G1747" s="6" t="str">
        <f>SUBSTITUTE(Raw_Data!G1747,"Ã©","é")</f>
        <v>Trekking Poles</v>
      </c>
      <c r="H1747" s="6">
        <v>1</v>
      </c>
      <c r="I1747" s="6" t="s">
        <v>265</v>
      </c>
      <c r="J1747" s="6" t="s">
        <v>265</v>
      </c>
      <c r="K1747" s="6">
        <v>0.19</v>
      </c>
      <c r="L1747" s="6" t="s">
        <v>42</v>
      </c>
      <c r="M1747" s="6" t="s">
        <v>69</v>
      </c>
      <c r="N1747" s="6"/>
    </row>
    <row r="1748" spans="1:14">
      <c r="A1748" s="6" t="s">
        <v>3096</v>
      </c>
      <c r="B1748" s="7">
        <v>46071</v>
      </c>
      <c r="C1748" s="6" t="s">
        <v>2975</v>
      </c>
      <c r="D1748" s="6" t="str">
        <f>IF(OR(PROPER(TRIM(Raw_Data!D1748))="Uk",PROPER(TRIM(Raw_Data!D1748))="Gb",PROPER(TRIM(Raw_Data!D1748))="United kingdom"),"United Kingdom",PROPER(TRIM(Raw_Data!D1748)))</f>
        <v>United Kingdom</v>
      </c>
      <c r="E1748" s="6" t="s">
        <v>46</v>
      </c>
      <c r="F1748" s="6" t="s">
        <v>53</v>
      </c>
      <c r="G1748" s="6" t="str">
        <f>SUBSTITUTE(Raw_Data!G1748,"Ã©","é")</f>
        <v>Trail Softshell</v>
      </c>
      <c r="H1748" s="6">
        <v>1</v>
      </c>
      <c r="I1748" s="6" t="s">
        <v>79</v>
      </c>
      <c r="J1748" s="6" t="s">
        <v>79</v>
      </c>
      <c r="K1748" s="6">
        <v>0.19</v>
      </c>
      <c r="L1748" s="6" t="s">
        <v>42</v>
      </c>
      <c r="M1748" s="6" t="s">
        <v>34</v>
      </c>
      <c r="N1748" s="6"/>
    </row>
    <row r="1749" spans="1:14">
      <c r="A1749" s="6" t="s">
        <v>3097</v>
      </c>
      <c r="B1749" s="7">
        <v>46141</v>
      </c>
      <c r="C1749" s="6" t="s">
        <v>2111</v>
      </c>
      <c r="D1749" s="6" t="str">
        <f>IF(OR(PROPER(TRIM(Raw_Data!D1749))="Uk",PROPER(TRIM(Raw_Data!D1749))="Gb",PROPER(TRIM(Raw_Data!D1749))="United kingdom"),"United Kingdom",PROPER(TRIM(Raw_Data!D1749)))</f>
        <v>United Kingdom</v>
      </c>
      <c r="E1749" s="6" t="s">
        <v>46</v>
      </c>
      <c r="F1749" s="6" t="s">
        <v>47</v>
      </c>
      <c r="G1749" s="6" t="str">
        <f>SUBSTITUTE(Raw_Data!G1749,"Ã©","é")</f>
        <v>Storm Overtrousers</v>
      </c>
      <c r="H1749" s="6">
        <v>1</v>
      </c>
      <c r="I1749" s="6" t="s">
        <v>117</v>
      </c>
      <c r="J1749" s="6" t="s">
        <v>117</v>
      </c>
      <c r="K1749" s="6">
        <v>8.5000000000000006E-2</v>
      </c>
      <c r="L1749" s="6" t="s">
        <v>42</v>
      </c>
      <c r="M1749" s="6" t="s">
        <v>34</v>
      </c>
      <c r="N1749" s="6"/>
    </row>
    <row r="1750" spans="1:14">
      <c r="A1750" s="6" t="s">
        <v>3098</v>
      </c>
      <c r="B1750" s="7">
        <v>46301</v>
      </c>
      <c r="C1750" s="6" t="s">
        <v>509</v>
      </c>
      <c r="D1750" s="6" t="str">
        <f>IF(OR(PROPER(TRIM(Raw_Data!D1750))="Uk",PROPER(TRIM(Raw_Data!D1750))="Gb",PROPER(TRIM(Raw_Data!D1750))="United kingdom"),"United Kingdom",PROPER(TRIM(Raw_Data!D1750)))</f>
        <v>Ireland</v>
      </c>
      <c r="E1750" s="6" t="s">
        <v>52</v>
      </c>
      <c r="F1750" s="6" t="s">
        <v>58</v>
      </c>
      <c r="G1750" s="6" t="str">
        <f>SUBSTITUTE(Raw_Data!G1750,"Ã©","é")</f>
        <v>Trail Softshell</v>
      </c>
      <c r="H1750" s="6">
        <v>1</v>
      </c>
      <c r="I1750" s="6" t="s">
        <v>181</v>
      </c>
      <c r="J1750" s="6" t="s">
        <v>181</v>
      </c>
      <c r="K1750" s="6">
        <v>0.38</v>
      </c>
      <c r="L1750" s="6" t="s">
        <v>42</v>
      </c>
      <c r="M1750" s="6" t="s">
        <v>34</v>
      </c>
      <c r="N1750" s="6"/>
    </row>
    <row r="1751" spans="1:14">
      <c r="A1751" s="6" t="s">
        <v>3099</v>
      </c>
      <c r="B1751" s="7">
        <v>46162</v>
      </c>
      <c r="C1751" s="6" t="s">
        <v>210</v>
      </c>
      <c r="D1751" s="6" t="str">
        <f>IF(OR(PROPER(TRIM(Raw_Data!D1751))="Uk",PROPER(TRIM(Raw_Data!D1751))="Gb",PROPER(TRIM(Raw_Data!D1751))="United kingdom"),"United Kingdom",PROPER(TRIM(Raw_Data!D1751)))</f>
        <v>United Kingdom</v>
      </c>
      <c r="E1751" s="6" t="s">
        <v>78</v>
      </c>
      <c r="F1751" s="6" t="s">
        <v>47</v>
      </c>
      <c r="G1751" s="6" t="str">
        <f>SUBSTITUTE(Raw_Data!G1751,"Ã©","é")</f>
        <v>Storm Overtrousers</v>
      </c>
      <c r="H1751" s="6">
        <v>1</v>
      </c>
      <c r="I1751" s="6" t="s">
        <v>60</v>
      </c>
      <c r="J1751" s="6" t="s">
        <v>60</v>
      </c>
      <c r="K1751" s="6">
        <v>8.5000000000000006E-2</v>
      </c>
      <c r="L1751" s="6" t="s">
        <v>42</v>
      </c>
      <c r="M1751" s="6" t="s">
        <v>34</v>
      </c>
      <c r="N1751" s="6"/>
    </row>
    <row r="1752" spans="1:14">
      <c r="A1752" s="6" t="s">
        <v>3100</v>
      </c>
      <c r="B1752" s="7">
        <v>46201</v>
      </c>
      <c r="C1752" s="6" t="s">
        <v>2214</v>
      </c>
      <c r="D1752" s="6" t="str">
        <f>IF(OR(PROPER(TRIM(Raw_Data!D1752))="Uk",PROPER(TRIM(Raw_Data!D1752))="Gb",PROPER(TRIM(Raw_Data!D1752))="United kingdom"),"United Kingdom",PROPER(TRIM(Raw_Data!D1752)))</f>
        <v>United Kingdom</v>
      </c>
      <c r="E1752" s="6" t="s">
        <v>46</v>
      </c>
      <c r="F1752" s="6" t="s">
        <v>100</v>
      </c>
      <c r="G1752" s="6" t="str">
        <f>SUBSTITUTE(Raw_Data!G1752,"Ã©","é")</f>
        <v>Trekking Poles</v>
      </c>
      <c r="H1752" s="6">
        <v>1</v>
      </c>
      <c r="I1752" s="6" t="s">
        <v>265</v>
      </c>
      <c r="J1752" s="6" t="s">
        <v>265</v>
      </c>
      <c r="K1752" s="6">
        <v>0.64</v>
      </c>
      <c r="L1752" s="6" t="s">
        <v>42</v>
      </c>
      <c r="M1752" s="6" t="s">
        <v>69</v>
      </c>
      <c r="N1752" s="6"/>
    </row>
    <row r="1753" spans="1:14">
      <c r="A1753" s="6" t="s">
        <v>3101</v>
      </c>
      <c r="B1753" s="7">
        <v>46088</v>
      </c>
      <c r="C1753" s="6" t="s">
        <v>2202</v>
      </c>
      <c r="D1753" s="6" t="str">
        <f>IF(OR(PROPER(TRIM(Raw_Data!D1753))="Uk",PROPER(TRIM(Raw_Data!D1753))="Gb",PROPER(TRIM(Raw_Data!D1753))="United kingdom"),"United Kingdom",PROPER(TRIM(Raw_Data!D1753)))</f>
        <v>Ireland</v>
      </c>
      <c r="E1753" s="6" t="s">
        <v>78</v>
      </c>
      <c r="F1753" s="6" t="s">
        <v>47</v>
      </c>
      <c r="G1753" s="6" t="str">
        <f>SUBSTITUTE(Raw_Data!G1753,"Ã©","é")</f>
        <v>Storm Overtrousers</v>
      </c>
      <c r="H1753" s="6">
        <v>2</v>
      </c>
      <c r="I1753" s="6" t="s">
        <v>60</v>
      </c>
      <c r="J1753" s="6" t="s">
        <v>2973</v>
      </c>
      <c r="K1753" s="6">
        <v>8.5000000000000006E-2</v>
      </c>
      <c r="L1753" s="6" t="s">
        <v>42</v>
      </c>
      <c r="M1753" s="6" t="s">
        <v>34</v>
      </c>
      <c r="N1753" s="6"/>
    </row>
    <row r="1754" spans="1:14">
      <c r="A1754" s="6" t="s">
        <v>3102</v>
      </c>
      <c r="B1754" s="7">
        <v>46045</v>
      </c>
      <c r="C1754" s="6" t="s">
        <v>3103</v>
      </c>
      <c r="D1754" s="6" t="str">
        <f>IF(OR(PROPER(TRIM(Raw_Data!D1754))="Uk",PROPER(TRIM(Raw_Data!D1754))="Gb",PROPER(TRIM(Raw_Data!D1754))="United kingdom"),"United Kingdom",PROPER(TRIM(Raw_Data!D1754)))</f>
        <v>United Kingdom</v>
      </c>
      <c r="E1754" s="6" t="s">
        <v>37</v>
      </c>
      <c r="F1754" s="6" t="s">
        <v>53</v>
      </c>
      <c r="G1754" s="6" t="str">
        <f>SUBSTITUTE(Raw_Data!G1754,"Ã©","é")</f>
        <v>Trail Softshell</v>
      </c>
      <c r="H1754" s="6">
        <v>3</v>
      </c>
      <c r="I1754" s="6" t="s">
        <v>79</v>
      </c>
      <c r="J1754" s="6" t="s">
        <v>3104</v>
      </c>
      <c r="K1754" s="6">
        <v>0.19</v>
      </c>
      <c r="L1754" s="6" t="s">
        <v>33</v>
      </c>
      <c r="M1754" s="6" t="s">
        <v>34</v>
      </c>
      <c r="N1754" s="6"/>
    </row>
    <row r="1755" spans="1:14">
      <c r="A1755" s="6" t="s">
        <v>3105</v>
      </c>
      <c r="B1755" s="7">
        <v>46130</v>
      </c>
      <c r="C1755" s="6" t="s">
        <v>1809</v>
      </c>
      <c r="D1755" s="6" t="str">
        <f>IF(OR(PROPER(TRIM(Raw_Data!D1755))="Uk",PROPER(TRIM(Raw_Data!D1755))="Gb",PROPER(TRIM(Raw_Data!D1755))="United kingdom"),"United Kingdom",PROPER(TRIM(Raw_Data!D1755)))</f>
        <v>United Kingdom</v>
      </c>
      <c r="E1755" s="6" t="s">
        <v>37</v>
      </c>
      <c r="F1755" s="6" t="s">
        <v>94</v>
      </c>
      <c r="G1755" s="6" t="str">
        <f>SUBSTITUTE(Raw_Data!G1755,"Ã©","é")</f>
        <v>Café Latte Mug</v>
      </c>
      <c r="H1755" s="6">
        <v>2</v>
      </c>
      <c r="I1755" s="6" t="s">
        <v>231</v>
      </c>
      <c r="J1755" s="6" t="s">
        <v>232</v>
      </c>
      <c r="K1755" s="6">
        <v>0.34</v>
      </c>
      <c r="L1755" s="6" t="s">
        <v>42</v>
      </c>
      <c r="M1755" s="6" t="s">
        <v>69</v>
      </c>
      <c r="N1755" s="6"/>
    </row>
    <row r="1756" spans="1:14">
      <c r="A1756" s="6" t="s">
        <v>3106</v>
      </c>
      <c r="B1756" s="7">
        <v>46236</v>
      </c>
      <c r="C1756" s="6" t="s">
        <v>1670</v>
      </c>
      <c r="D1756" s="6" t="str">
        <f>IF(OR(PROPER(TRIM(Raw_Data!D1756))="Uk",PROPER(TRIM(Raw_Data!D1756))="Gb",PROPER(TRIM(Raw_Data!D1756))="United kingdom"),"United Kingdom",PROPER(TRIM(Raw_Data!D1756)))</f>
        <v>United Kingdom</v>
      </c>
      <c r="E1756" s="6" t="s">
        <v>46</v>
      </c>
      <c r="F1756" s="6" t="s">
        <v>100</v>
      </c>
      <c r="G1756" s="6" t="str">
        <f>SUBSTITUTE(Raw_Data!G1756,"Ã©","é")</f>
        <v>Trekking Poles</v>
      </c>
      <c r="H1756" s="6">
        <v>3</v>
      </c>
      <c r="I1756" s="6" t="s">
        <v>265</v>
      </c>
      <c r="J1756" s="6" t="s">
        <v>401</v>
      </c>
      <c r="K1756" s="6">
        <v>0.64</v>
      </c>
      <c r="L1756" s="6" t="s">
        <v>33</v>
      </c>
      <c r="M1756" s="6" t="s">
        <v>34</v>
      </c>
      <c r="N1756" s="6"/>
    </row>
    <row r="1757" spans="1:14">
      <c r="A1757" s="6" t="s">
        <v>3107</v>
      </c>
      <c r="B1757" s="7">
        <v>46193</v>
      </c>
      <c r="C1757" s="6" t="s">
        <v>596</v>
      </c>
      <c r="D1757" s="6" t="str">
        <f>IF(OR(PROPER(TRIM(Raw_Data!D1757))="Uk",PROPER(TRIM(Raw_Data!D1757))="Gb",PROPER(TRIM(Raw_Data!D1757))="United kingdom"),"United Kingdom",PROPER(TRIM(Raw_Data!D1757)))</f>
        <v>United Kingdom</v>
      </c>
      <c r="E1757" s="6" t="s">
        <v>28</v>
      </c>
      <c r="F1757" s="6" t="s">
        <v>100</v>
      </c>
      <c r="G1757" s="6" t="str">
        <f>SUBSTITUTE(Raw_Data!G1757,"Ã©","é")</f>
        <v>Trail Softshell</v>
      </c>
      <c r="H1757" s="6">
        <v>1</v>
      </c>
      <c r="I1757" s="6" t="s">
        <v>73</v>
      </c>
      <c r="J1757" s="6" t="s">
        <v>73</v>
      </c>
      <c r="K1757" s="6">
        <v>0.64</v>
      </c>
      <c r="L1757" s="6" t="s">
        <v>42</v>
      </c>
      <c r="M1757" s="6" t="s">
        <v>34</v>
      </c>
      <c r="N1757" s="6"/>
    </row>
    <row r="1758" spans="1:14">
      <c r="A1758" s="6" t="s">
        <v>3108</v>
      </c>
      <c r="B1758" s="7">
        <v>46115</v>
      </c>
      <c r="C1758" s="6" t="s">
        <v>2344</v>
      </c>
      <c r="D1758" s="6" t="str">
        <f>IF(OR(PROPER(TRIM(Raw_Data!D1758))="Uk",PROPER(TRIM(Raw_Data!D1758))="Gb",PROPER(TRIM(Raw_Data!D1758))="United kingdom"),"United Kingdom",PROPER(TRIM(Raw_Data!D1758)))</f>
        <v>United Kingdom</v>
      </c>
      <c r="E1758" s="6" t="s">
        <v>28</v>
      </c>
      <c r="F1758" s="6" t="s">
        <v>58</v>
      </c>
      <c r="G1758" s="6" t="str">
        <f>SUBSTITUTE(Raw_Data!G1758,"Ã©","é")</f>
        <v>Alpine Jacket</v>
      </c>
      <c r="H1758" s="6">
        <v>3</v>
      </c>
      <c r="I1758" s="6" t="s">
        <v>90</v>
      </c>
      <c r="J1758" s="6" t="s">
        <v>102</v>
      </c>
      <c r="K1758" s="6">
        <v>0.38</v>
      </c>
      <c r="L1758" s="6" t="s">
        <v>42</v>
      </c>
      <c r="M1758" s="6" t="s">
        <v>34</v>
      </c>
      <c r="N1758" s="6"/>
    </row>
    <row r="1759" spans="1:14">
      <c r="A1759" s="6" t="s">
        <v>3109</v>
      </c>
      <c r="B1759" s="7">
        <v>46155</v>
      </c>
      <c r="C1759" s="6" t="s">
        <v>3110</v>
      </c>
      <c r="D1759" s="6" t="str">
        <f>IF(OR(PROPER(TRIM(Raw_Data!D1759))="Uk",PROPER(TRIM(Raw_Data!D1759))="Gb",PROPER(TRIM(Raw_Data!D1759))="United kingdom"),"United Kingdom",PROPER(TRIM(Raw_Data!D1759)))</f>
        <v>United Kingdom</v>
      </c>
      <c r="E1759" s="6" t="s">
        <v>46</v>
      </c>
      <c r="F1759" s="6" t="s">
        <v>38</v>
      </c>
      <c r="G1759" s="6" t="str">
        <f>SUBSTITUTE(Raw_Data!G1759,"Ã©","é")</f>
        <v>Café Latte Mug</v>
      </c>
      <c r="H1759" s="6">
        <v>1</v>
      </c>
      <c r="I1759" s="6" t="s">
        <v>265</v>
      </c>
      <c r="J1759" s="6" t="s">
        <v>2761</v>
      </c>
      <c r="K1759" s="6">
        <v>0.52</v>
      </c>
      <c r="L1759" s="6" t="s">
        <v>42</v>
      </c>
      <c r="M1759" s="6" t="s">
        <v>34</v>
      </c>
      <c r="N1759" s="6"/>
    </row>
    <row r="1760" spans="1:14">
      <c r="A1760" s="6" t="s">
        <v>3111</v>
      </c>
      <c r="B1760" s="7">
        <v>46196</v>
      </c>
      <c r="C1760" s="6" t="s">
        <v>1923</v>
      </c>
      <c r="D1760" s="6" t="str">
        <f>IF(OR(PROPER(TRIM(Raw_Data!D1760))="Uk",PROPER(TRIM(Raw_Data!D1760))="Gb",PROPER(TRIM(Raw_Data!D1760))="United kingdom"),"United Kingdom",PROPER(TRIM(Raw_Data!D1760)))</f>
        <v>France</v>
      </c>
      <c r="E1760" s="6" t="s">
        <v>78</v>
      </c>
      <c r="F1760" s="6" t="s">
        <v>29</v>
      </c>
      <c r="G1760" s="6" t="str">
        <f>SUBSTITUTE(Raw_Data!G1760,"Ã©","é")</f>
        <v>Storm Overtrousers</v>
      </c>
      <c r="H1760" s="6">
        <v>2</v>
      </c>
      <c r="I1760" s="6" t="s">
        <v>96</v>
      </c>
      <c r="J1760" s="6" t="s">
        <v>797</v>
      </c>
      <c r="K1760" s="6">
        <v>0.52</v>
      </c>
      <c r="L1760" s="6" t="s">
        <v>33</v>
      </c>
      <c r="M1760" s="6" t="s">
        <v>69</v>
      </c>
      <c r="N1760" s="6"/>
    </row>
    <row r="1761" spans="1:14">
      <c r="A1761" s="6" t="s">
        <v>3112</v>
      </c>
      <c r="B1761" s="7">
        <v>46209</v>
      </c>
      <c r="C1761" s="6" t="s">
        <v>3113</v>
      </c>
      <c r="D1761" s="6" t="str">
        <f>IF(OR(PROPER(TRIM(Raw_Data!D1761))="Uk",PROPER(TRIM(Raw_Data!D1761))="Gb",PROPER(TRIM(Raw_Data!D1761))="United kingdom"),"United Kingdom",PROPER(TRIM(Raw_Data!D1761)))</f>
        <v>United Kingdom</v>
      </c>
      <c r="E1761" s="6" t="s">
        <v>52</v>
      </c>
      <c r="F1761" s="6" t="s">
        <v>100</v>
      </c>
      <c r="G1761" s="6" t="str">
        <f>SUBSTITUTE(Raw_Data!G1761,"Ã©","é")</f>
        <v>Summit Down Gilet</v>
      </c>
      <c r="H1761" s="6">
        <v>2</v>
      </c>
      <c r="I1761" s="6" t="s">
        <v>31</v>
      </c>
      <c r="J1761" s="6" t="s">
        <v>249</v>
      </c>
      <c r="K1761" s="6">
        <v>0.64</v>
      </c>
      <c r="L1761" s="6" t="s">
        <v>42</v>
      </c>
      <c r="M1761" s="6" t="s">
        <v>34</v>
      </c>
      <c r="N1761" s="6"/>
    </row>
    <row r="1762" spans="1:14">
      <c r="A1762" s="6" t="s">
        <v>3114</v>
      </c>
      <c r="B1762" s="7">
        <v>46098</v>
      </c>
      <c r="C1762" s="6" t="s">
        <v>3115</v>
      </c>
      <c r="D1762" s="6" t="str">
        <f>IF(OR(PROPER(TRIM(Raw_Data!D1762))="Uk",PROPER(TRIM(Raw_Data!D1762))="Gb",PROPER(TRIM(Raw_Data!D1762))="United kingdom"),"United Kingdom",PROPER(TRIM(Raw_Data!D1762)))</f>
        <v>United Kingdom</v>
      </c>
      <c r="E1762" s="6" t="s">
        <v>78</v>
      </c>
      <c r="F1762" s="6" t="s">
        <v>29</v>
      </c>
      <c r="G1762" s="6" t="str">
        <f>SUBSTITUTE(Raw_Data!G1762,"Ã©","é")</f>
        <v>Merino Base Layer</v>
      </c>
      <c r="H1762" s="6">
        <v>1</v>
      </c>
      <c r="I1762" s="6" t="s">
        <v>117</v>
      </c>
      <c r="J1762" s="6" t="s">
        <v>117</v>
      </c>
      <c r="K1762" s="6">
        <v>0.52</v>
      </c>
      <c r="L1762" s="6" t="s">
        <v>42</v>
      </c>
      <c r="M1762" s="6" t="s">
        <v>34</v>
      </c>
      <c r="N1762" s="6"/>
    </row>
    <row r="1763" spans="1:14">
      <c r="A1763" s="6" t="s">
        <v>3116</v>
      </c>
      <c r="B1763" s="7">
        <v>46176</v>
      </c>
      <c r="C1763" s="6" t="s">
        <v>1726</v>
      </c>
      <c r="D1763" s="6" t="str">
        <f>IF(OR(PROPER(TRIM(Raw_Data!D1763))="Uk",PROPER(TRIM(Raw_Data!D1763))="Gb",PROPER(TRIM(Raw_Data!D1763))="United kingdom"),"United Kingdom",PROPER(TRIM(Raw_Data!D1763)))</f>
        <v>France</v>
      </c>
      <c r="E1763" s="6" t="s">
        <v>28</v>
      </c>
      <c r="F1763" s="6" t="s">
        <v>38</v>
      </c>
      <c r="G1763" s="6" t="str">
        <f>SUBSTITUTE(Raw_Data!G1763,"Ã©","é")</f>
        <v>Fell Runner Cap</v>
      </c>
      <c r="H1763" s="6">
        <v>2</v>
      </c>
      <c r="I1763" s="6" t="s">
        <v>79</v>
      </c>
      <c r="J1763" s="6" t="s">
        <v>259</v>
      </c>
      <c r="K1763" s="6">
        <v>0.52</v>
      </c>
      <c r="L1763" s="6" t="s">
        <v>42</v>
      </c>
      <c r="M1763" s="6" t="s">
        <v>69</v>
      </c>
      <c r="N1763" s="6"/>
    </row>
    <row r="1764" spans="1:14">
      <c r="A1764" s="6" t="s">
        <v>3117</v>
      </c>
      <c r="B1764" s="7">
        <v>46098</v>
      </c>
      <c r="C1764" s="6" t="s">
        <v>2822</v>
      </c>
      <c r="D1764" s="6" t="str">
        <f>IF(OR(PROPER(TRIM(Raw_Data!D1764))="Uk",PROPER(TRIM(Raw_Data!D1764))="Gb",PROPER(TRIM(Raw_Data!D1764))="United kingdom"),"United Kingdom",PROPER(TRIM(Raw_Data!D1764)))</f>
        <v>Ireland</v>
      </c>
      <c r="E1764" s="6" t="s">
        <v>52</v>
      </c>
      <c r="F1764" s="6" t="s">
        <v>94</v>
      </c>
      <c r="G1764" s="6" t="str">
        <f>SUBSTITUTE(Raw_Data!G1764,"Ã©","é")</f>
        <v>Merino Base Layer</v>
      </c>
      <c r="H1764" s="6">
        <v>2</v>
      </c>
      <c r="I1764" s="6" t="s">
        <v>231</v>
      </c>
      <c r="J1764" s="6" t="s">
        <v>232</v>
      </c>
      <c r="K1764" s="6">
        <v>0.34</v>
      </c>
      <c r="L1764" s="6" t="s">
        <v>42</v>
      </c>
      <c r="M1764" s="6" t="s">
        <v>34</v>
      </c>
      <c r="N1764" s="6"/>
    </row>
    <row r="1765" spans="1:14">
      <c r="A1765" s="6" t="s">
        <v>3118</v>
      </c>
      <c r="B1765" s="7">
        <v>46132</v>
      </c>
      <c r="C1765" s="6" t="s">
        <v>3119</v>
      </c>
      <c r="D1765" s="6" t="str">
        <f>IF(OR(PROPER(TRIM(Raw_Data!D1765))="Uk",PROPER(TRIM(Raw_Data!D1765))="Gb",PROPER(TRIM(Raw_Data!D1765))="United kingdom"),"United Kingdom",PROPER(TRIM(Raw_Data!D1765)))</f>
        <v>Germany</v>
      </c>
      <c r="E1765" s="6" t="s">
        <v>46</v>
      </c>
      <c r="F1765" s="6" t="s">
        <v>29</v>
      </c>
      <c r="G1765" s="6" t="str">
        <f>SUBSTITUTE(Raw_Data!G1765,"Ã©","é")</f>
        <v>Merino Base Layer</v>
      </c>
      <c r="H1765" s="6">
        <v>1</v>
      </c>
      <c r="I1765" s="6" t="s">
        <v>82</v>
      </c>
      <c r="J1765" s="6" t="s">
        <v>82</v>
      </c>
      <c r="K1765" s="6">
        <v>0.52</v>
      </c>
      <c r="L1765" s="6" t="s">
        <v>42</v>
      </c>
      <c r="M1765" s="6" t="s">
        <v>34</v>
      </c>
      <c r="N1765" s="6"/>
    </row>
    <row r="1766" spans="1:14">
      <c r="A1766" s="6" t="s">
        <v>3120</v>
      </c>
      <c r="B1766" s="7">
        <v>46140</v>
      </c>
      <c r="C1766" s="6" t="s">
        <v>573</v>
      </c>
      <c r="D1766" s="6" t="str">
        <f>IF(OR(PROPER(TRIM(Raw_Data!D1766))="Uk",PROPER(TRIM(Raw_Data!D1766))="Gb",PROPER(TRIM(Raw_Data!D1766))="United kingdom"),"United Kingdom",PROPER(TRIM(Raw_Data!D1766)))</f>
        <v>Ireland</v>
      </c>
      <c r="E1766" s="6" t="s">
        <v>28</v>
      </c>
      <c r="F1766" s="6" t="s">
        <v>94</v>
      </c>
      <c r="G1766" s="6" t="str">
        <f>SUBSTITUTE(Raw_Data!G1766,"Ã©","é")</f>
        <v>Fell Runner Cap</v>
      </c>
      <c r="H1766" s="6">
        <v>1</v>
      </c>
      <c r="I1766" s="6" t="s">
        <v>40</v>
      </c>
      <c r="J1766" s="6" t="s">
        <v>40</v>
      </c>
      <c r="K1766" s="6">
        <v>0.34</v>
      </c>
      <c r="L1766" s="6" t="s">
        <v>42</v>
      </c>
      <c r="M1766" s="6" t="s">
        <v>34</v>
      </c>
      <c r="N1766" s="6"/>
    </row>
    <row r="1767" spans="1:14">
      <c r="A1767" s="6" t="s">
        <v>3121</v>
      </c>
      <c r="B1767" s="7">
        <v>46125</v>
      </c>
      <c r="C1767" s="6" t="s">
        <v>2229</v>
      </c>
      <c r="D1767" s="6" t="str">
        <f>IF(OR(PROPER(TRIM(Raw_Data!D1767))="Uk",PROPER(TRIM(Raw_Data!D1767))="Gb",PROPER(TRIM(Raw_Data!D1767))="United kingdom"),"United Kingdom",PROPER(TRIM(Raw_Data!D1767)))</f>
        <v>Ireland</v>
      </c>
      <c r="E1767" s="6" t="s">
        <v>37</v>
      </c>
      <c r="F1767" s="6" t="s">
        <v>47</v>
      </c>
      <c r="G1767" s="6" t="str">
        <f>SUBSTITUTE(Raw_Data!G1767,"Ã©","é")</f>
        <v>Summit Down Gilet</v>
      </c>
      <c r="H1767" s="6">
        <v>2</v>
      </c>
      <c r="I1767" s="6" t="s">
        <v>79</v>
      </c>
      <c r="J1767" s="6" t="s">
        <v>259</v>
      </c>
      <c r="K1767" s="6">
        <v>8.5000000000000006E-2</v>
      </c>
      <c r="L1767" s="6" t="s">
        <v>42</v>
      </c>
      <c r="M1767" s="6" t="s">
        <v>34</v>
      </c>
      <c r="N1767" s="6"/>
    </row>
    <row r="1768" spans="1:14">
      <c r="A1768" s="6" t="s">
        <v>3122</v>
      </c>
      <c r="B1768" s="7">
        <v>46359</v>
      </c>
      <c r="C1768" s="6" t="s">
        <v>3123</v>
      </c>
      <c r="D1768" s="6" t="str">
        <f>IF(OR(PROPER(TRIM(Raw_Data!D1768))="Uk",PROPER(TRIM(Raw_Data!D1768))="Gb",PROPER(TRIM(Raw_Data!D1768))="United kingdom"),"United Kingdom",PROPER(TRIM(Raw_Data!D1768)))</f>
        <v>United Kingdom</v>
      </c>
      <c r="E1768" s="6" t="s">
        <v>28</v>
      </c>
      <c r="F1768" s="6" t="s">
        <v>85</v>
      </c>
      <c r="G1768" s="6" t="str">
        <f>SUBSTITUTE(Raw_Data!G1768,"Ã©","é")</f>
        <v>Fell Runner Cap</v>
      </c>
      <c r="H1768" s="6">
        <v>1</v>
      </c>
      <c r="I1768" s="6" t="s">
        <v>82</v>
      </c>
      <c r="J1768" s="6" t="s">
        <v>82</v>
      </c>
      <c r="K1768" s="6">
        <v>0.41</v>
      </c>
      <c r="L1768" s="6" t="s">
        <v>42</v>
      </c>
      <c r="M1768" s="6" t="s">
        <v>69</v>
      </c>
      <c r="N1768" s="6"/>
    </row>
    <row r="1769" spans="1:14">
      <c r="A1769" s="6" t="s">
        <v>3124</v>
      </c>
      <c r="B1769" s="7">
        <v>46204</v>
      </c>
      <c r="C1769" s="6" t="s">
        <v>3125</v>
      </c>
      <c r="D1769" s="6" t="str">
        <f>IF(OR(PROPER(TRIM(Raw_Data!D1769))="Uk",PROPER(TRIM(Raw_Data!D1769))="Gb",PROPER(TRIM(Raw_Data!D1769))="United kingdom"),"United Kingdom",PROPER(TRIM(Raw_Data!D1769)))</f>
        <v>Ireland</v>
      </c>
      <c r="E1769" s="6" t="s">
        <v>78</v>
      </c>
      <c r="F1769" s="6" t="s">
        <v>85</v>
      </c>
      <c r="G1769" s="6" t="str">
        <f>SUBSTITUTE(Raw_Data!G1769,"Ã©","é")</f>
        <v>Alpine Jacket</v>
      </c>
      <c r="H1769" s="6">
        <v>2</v>
      </c>
      <c r="I1769" s="6" t="s">
        <v>265</v>
      </c>
      <c r="J1769" s="6" t="s">
        <v>167</v>
      </c>
      <c r="K1769" s="6">
        <v>0.41</v>
      </c>
      <c r="L1769" s="6" t="s">
        <v>42</v>
      </c>
      <c r="M1769" s="6" t="s">
        <v>34</v>
      </c>
      <c r="N1769" s="6"/>
    </row>
    <row r="1770" spans="1:14">
      <c r="A1770" s="6" t="s">
        <v>3126</v>
      </c>
      <c r="B1770" s="7">
        <v>46332</v>
      </c>
      <c r="C1770" s="6" t="s">
        <v>3127</v>
      </c>
      <c r="D1770" s="6" t="str">
        <f>IF(OR(PROPER(TRIM(Raw_Data!D1770))="Uk",PROPER(TRIM(Raw_Data!D1770))="Gb",PROPER(TRIM(Raw_Data!D1770))="United kingdom"),"United Kingdom",PROPER(TRIM(Raw_Data!D1770)))</f>
        <v>United Kingdom</v>
      </c>
      <c r="E1770" s="6" t="s">
        <v>78</v>
      </c>
      <c r="F1770" s="6" t="s">
        <v>58</v>
      </c>
      <c r="G1770" s="6" t="str">
        <f>SUBSTITUTE(Raw_Data!G1770,"Ã©","é")</f>
        <v>Fell Runner Cap</v>
      </c>
      <c r="H1770" s="6">
        <v>2</v>
      </c>
      <c r="I1770" s="6" t="s">
        <v>90</v>
      </c>
      <c r="J1770" s="6" t="s">
        <v>154</v>
      </c>
      <c r="K1770" s="6">
        <v>0.38</v>
      </c>
      <c r="L1770" s="6" t="s">
        <v>42</v>
      </c>
      <c r="M1770" s="6" t="s">
        <v>69</v>
      </c>
      <c r="N1770" s="6"/>
    </row>
    <row r="1771" spans="1:14">
      <c r="A1771" s="6" t="s">
        <v>3128</v>
      </c>
      <c r="B1771" s="7">
        <v>46187</v>
      </c>
      <c r="C1771" s="6" t="s">
        <v>2815</v>
      </c>
      <c r="D1771" s="6" t="str">
        <f>IF(OR(PROPER(TRIM(Raw_Data!D1771))="Uk",PROPER(TRIM(Raw_Data!D1771))="Gb",PROPER(TRIM(Raw_Data!D1771))="United kingdom"),"United Kingdom",PROPER(TRIM(Raw_Data!D1771)))</f>
        <v>United Kingdom</v>
      </c>
      <c r="E1771" s="6" t="s">
        <v>52</v>
      </c>
      <c r="F1771" s="6" t="s">
        <v>38</v>
      </c>
      <c r="G1771" s="6" t="str">
        <f>SUBSTITUTE(Raw_Data!G1771,"Ã©","é")</f>
        <v>Merino Base Layer</v>
      </c>
      <c r="H1771" s="6">
        <v>2</v>
      </c>
      <c r="I1771" s="6" t="s">
        <v>231</v>
      </c>
      <c r="J1771" s="6" t="s">
        <v>232</v>
      </c>
      <c r="K1771" s="6">
        <v>0.52</v>
      </c>
      <c r="L1771" s="6" t="s">
        <v>42</v>
      </c>
      <c r="M1771" s="6" t="s">
        <v>34</v>
      </c>
      <c r="N1771" s="6"/>
    </row>
    <row r="1772" spans="1:14">
      <c r="A1772" s="6" t="s">
        <v>3129</v>
      </c>
      <c r="B1772" s="7">
        <v>46167</v>
      </c>
      <c r="C1772" s="6" t="s">
        <v>873</v>
      </c>
      <c r="D1772" s="6" t="str">
        <f>IF(OR(PROPER(TRIM(Raw_Data!D1772))="Uk",PROPER(TRIM(Raw_Data!D1772))="Gb",PROPER(TRIM(Raw_Data!D1772))="United kingdom"),"United Kingdom",PROPER(TRIM(Raw_Data!D1772)))</f>
        <v>Ireland</v>
      </c>
      <c r="E1772" s="6" t="s">
        <v>37</v>
      </c>
      <c r="F1772" s="6" t="s">
        <v>100</v>
      </c>
      <c r="G1772" s="6" t="str">
        <f>SUBSTITUTE(Raw_Data!G1772,"Ã©","é")</f>
        <v>Café Latte Mug</v>
      </c>
      <c r="H1772" s="6">
        <v>3</v>
      </c>
      <c r="I1772" s="6" t="s">
        <v>31</v>
      </c>
      <c r="J1772" s="6" t="s">
        <v>337</v>
      </c>
      <c r="K1772" s="6">
        <v>0.64</v>
      </c>
      <c r="L1772" s="6" t="s">
        <v>42</v>
      </c>
      <c r="M1772" s="6" t="s">
        <v>34</v>
      </c>
      <c r="N1772" s="6"/>
    </row>
    <row r="1773" spans="1:14">
      <c r="A1773" s="6" t="s">
        <v>3130</v>
      </c>
      <c r="B1773" s="7">
        <v>46083</v>
      </c>
      <c r="C1773" s="6" t="s">
        <v>170</v>
      </c>
      <c r="D1773" s="6" t="str">
        <f>IF(OR(PROPER(TRIM(Raw_Data!D1773))="Uk",PROPER(TRIM(Raw_Data!D1773))="Gb",PROPER(TRIM(Raw_Data!D1773))="United kingdom"),"United Kingdom",PROPER(TRIM(Raw_Data!D1773)))</f>
        <v>United Kingdom</v>
      </c>
      <c r="E1773" s="6" t="s">
        <v>46</v>
      </c>
      <c r="F1773" s="6" t="s">
        <v>47</v>
      </c>
      <c r="G1773" s="6" t="str">
        <f>SUBSTITUTE(Raw_Data!G1773,"Ã©","é")</f>
        <v>Alpine Jacket</v>
      </c>
      <c r="H1773" s="6">
        <v>1</v>
      </c>
      <c r="I1773" s="6" t="s">
        <v>143</v>
      </c>
      <c r="J1773" s="6" t="s">
        <v>143</v>
      </c>
      <c r="K1773" s="6">
        <v>8.5000000000000006E-2</v>
      </c>
      <c r="L1773" s="6" t="s">
        <v>42</v>
      </c>
      <c r="M1773" s="6" t="s">
        <v>34</v>
      </c>
      <c r="N1773" s="6"/>
    </row>
    <row r="1774" spans="1:14">
      <c r="A1774" s="6" t="s">
        <v>3131</v>
      </c>
      <c r="B1774" s="7">
        <v>46129</v>
      </c>
      <c r="C1774" s="6" t="s">
        <v>345</v>
      </c>
      <c r="D1774" s="6" t="str">
        <f>IF(OR(PROPER(TRIM(Raw_Data!D1774))="Uk",PROPER(TRIM(Raw_Data!D1774))="Gb",PROPER(TRIM(Raw_Data!D1774))="United kingdom"),"United Kingdom",PROPER(TRIM(Raw_Data!D1774)))</f>
        <v>United Kingdom</v>
      </c>
      <c r="E1774" s="6" t="s">
        <v>28</v>
      </c>
      <c r="F1774" s="6" t="s">
        <v>94</v>
      </c>
      <c r="G1774" s="6" t="str">
        <f>SUBSTITUTE(Raw_Data!G1774,"Ã©","é")</f>
        <v>Alpine Jacket</v>
      </c>
      <c r="H1774" s="6">
        <v>1</v>
      </c>
      <c r="I1774" s="6" t="s">
        <v>147</v>
      </c>
      <c r="J1774" s="6" t="s">
        <v>147</v>
      </c>
      <c r="K1774" s="6">
        <v>0.34</v>
      </c>
      <c r="L1774" s="6" t="s">
        <v>42</v>
      </c>
      <c r="M1774" s="6" t="s">
        <v>34</v>
      </c>
      <c r="N1774" s="6"/>
    </row>
    <row r="1775" spans="1:14">
      <c r="A1775" s="6" t="s">
        <v>3132</v>
      </c>
      <c r="B1775" s="7">
        <v>46167</v>
      </c>
      <c r="C1775" s="6" t="s">
        <v>1923</v>
      </c>
      <c r="D1775" s="6" t="str">
        <f>IF(OR(PROPER(TRIM(Raw_Data!D1775))="Uk",PROPER(TRIM(Raw_Data!D1775))="Gb",PROPER(TRIM(Raw_Data!D1775))="United kingdom"),"United Kingdom",PROPER(TRIM(Raw_Data!D1775)))</f>
        <v>United Kingdom</v>
      </c>
      <c r="E1775" s="6" t="s">
        <v>52</v>
      </c>
      <c r="F1775" s="6" t="s">
        <v>85</v>
      </c>
      <c r="G1775" s="6" t="str">
        <f>SUBSTITUTE(Raw_Data!G1775,"Ã©","é")</f>
        <v>Summit Down Gilet</v>
      </c>
      <c r="H1775" s="6">
        <v>2</v>
      </c>
      <c r="I1775" s="6" t="s">
        <v>231</v>
      </c>
      <c r="J1775" s="6" t="s">
        <v>232</v>
      </c>
      <c r="K1775" s="6">
        <v>0.41</v>
      </c>
      <c r="L1775" s="6" t="s">
        <v>42</v>
      </c>
      <c r="M1775" s="6" t="s">
        <v>34</v>
      </c>
      <c r="N1775" s="6"/>
    </row>
    <row r="1776" spans="1:14">
      <c r="A1776" s="6" t="s">
        <v>3133</v>
      </c>
      <c r="B1776" s="7">
        <v>46164</v>
      </c>
      <c r="C1776" s="6" t="s">
        <v>3134</v>
      </c>
      <c r="D1776" s="6" t="str">
        <f>IF(OR(PROPER(TRIM(Raw_Data!D1776))="Uk",PROPER(TRIM(Raw_Data!D1776))="Gb",PROPER(TRIM(Raw_Data!D1776))="United kingdom"),"United Kingdom",PROPER(TRIM(Raw_Data!D1776)))</f>
        <v>Germany</v>
      </c>
      <c r="E1776" s="6" t="s">
        <v>78</v>
      </c>
      <c r="F1776" s="6" t="s">
        <v>47</v>
      </c>
      <c r="G1776" s="6" t="str">
        <f>SUBSTITUTE(Raw_Data!G1776,"Ã©","é")</f>
        <v>Merino Base Layer</v>
      </c>
      <c r="H1776" s="6">
        <v>1</v>
      </c>
      <c r="I1776" s="6" t="s">
        <v>143</v>
      </c>
      <c r="J1776" s="6" t="s">
        <v>143</v>
      </c>
      <c r="K1776" s="6">
        <v>8.5000000000000006E-2</v>
      </c>
      <c r="L1776" s="6" t="s">
        <v>42</v>
      </c>
      <c r="M1776" s="6" t="s">
        <v>34</v>
      </c>
      <c r="N1776" s="6"/>
    </row>
    <row r="1777" spans="1:14">
      <c r="A1777" s="6" t="s">
        <v>3135</v>
      </c>
      <c r="B1777" s="7">
        <v>46178</v>
      </c>
      <c r="C1777" s="6" t="s">
        <v>458</v>
      </c>
      <c r="D1777" s="6" t="str">
        <f>IF(OR(PROPER(TRIM(Raw_Data!D1777))="Uk",PROPER(TRIM(Raw_Data!D1777))="Gb",PROPER(TRIM(Raw_Data!D1777))="United kingdom"),"United Kingdom",PROPER(TRIM(Raw_Data!D1777)))</f>
        <v>United Kingdom</v>
      </c>
      <c r="E1777" s="6" t="s">
        <v>52</v>
      </c>
      <c r="F1777" s="6" t="s">
        <v>29</v>
      </c>
      <c r="G1777" s="6" t="str">
        <f>SUBSTITUTE(Raw_Data!G1777,"Ã©","é")</f>
        <v>Trail Softshell</v>
      </c>
      <c r="H1777" s="6">
        <v>3</v>
      </c>
      <c r="I1777" s="6" t="s">
        <v>79</v>
      </c>
      <c r="J1777" s="6" t="s">
        <v>216</v>
      </c>
      <c r="K1777" s="6">
        <v>0.52</v>
      </c>
      <c r="L1777" s="6" t="s">
        <v>42</v>
      </c>
      <c r="M1777" s="6" t="s">
        <v>34</v>
      </c>
      <c r="N1777" s="6"/>
    </row>
    <row r="1778" spans="1:14">
      <c r="A1778" s="6" t="s">
        <v>3136</v>
      </c>
      <c r="B1778" s="7">
        <v>46361</v>
      </c>
      <c r="C1778" s="6" t="s">
        <v>1795</v>
      </c>
      <c r="D1778" s="6" t="str">
        <f>IF(OR(PROPER(TRIM(Raw_Data!D1778))="Uk",PROPER(TRIM(Raw_Data!D1778))="Gb",PROPER(TRIM(Raw_Data!D1778))="United kingdom"),"United Kingdom",PROPER(TRIM(Raw_Data!D1778)))</f>
        <v>Ireland</v>
      </c>
      <c r="E1778" s="6" t="s">
        <v>78</v>
      </c>
      <c r="F1778" s="6" t="s">
        <v>29</v>
      </c>
      <c r="G1778" s="6" t="str">
        <f>SUBSTITUTE(Raw_Data!G1778,"Ã©","é")</f>
        <v>Trekking Poles</v>
      </c>
      <c r="H1778" s="6">
        <v>3</v>
      </c>
      <c r="I1778" s="6" t="s">
        <v>117</v>
      </c>
      <c r="J1778" s="6" t="s">
        <v>171</v>
      </c>
      <c r="K1778" s="6">
        <v>0.52</v>
      </c>
      <c r="L1778" s="6" t="s">
        <v>42</v>
      </c>
      <c r="M1778" s="6" t="s">
        <v>34</v>
      </c>
      <c r="N1778" s="6"/>
    </row>
    <row r="1779" spans="1:14">
      <c r="A1779" s="6" t="s">
        <v>3137</v>
      </c>
      <c r="B1779" s="7">
        <v>46046</v>
      </c>
      <c r="C1779" s="6" t="s">
        <v>2085</v>
      </c>
      <c r="D1779" s="6" t="str">
        <f>IF(OR(PROPER(TRIM(Raw_Data!D1779))="Uk",PROPER(TRIM(Raw_Data!D1779))="Gb",PROPER(TRIM(Raw_Data!D1779))="United kingdom"),"United Kingdom",PROPER(TRIM(Raw_Data!D1779)))</f>
        <v>United Kingdom</v>
      </c>
      <c r="E1779" s="6" t="s">
        <v>52</v>
      </c>
      <c r="F1779" s="6" t="s">
        <v>85</v>
      </c>
      <c r="G1779" s="6" t="str">
        <f>SUBSTITUTE(Raw_Data!G1779,"Ã©","é")</f>
        <v>Alpine Jacket</v>
      </c>
      <c r="H1779" s="6">
        <v>3</v>
      </c>
      <c r="I1779" s="6" t="s">
        <v>90</v>
      </c>
      <c r="J1779" s="6" t="s">
        <v>102</v>
      </c>
      <c r="K1779" s="6">
        <v>0.41</v>
      </c>
      <c r="L1779" s="6" t="s">
        <v>33</v>
      </c>
      <c r="M1779" s="6" t="s">
        <v>34</v>
      </c>
      <c r="N1779" s="6"/>
    </row>
    <row r="1780" spans="1:14">
      <c r="A1780" s="6" t="s">
        <v>3138</v>
      </c>
      <c r="B1780" s="7">
        <v>46131</v>
      </c>
      <c r="C1780" s="6" t="s">
        <v>3140</v>
      </c>
      <c r="D1780" s="6" t="str">
        <f>IF(OR(PROPER(TRIM(Raw_Data!D1780))="Uk",PROPER(TRIM(Raw_Data!D1780))="Gb",PROPER(TRIM(Raw_Data!D1780))="United kingdom"),"United Kingdom",PROPER(TRIM(Raw_Data!D1780)))</f>
        <v>United Kingdom</v>
      </c>
      <c r="E1780" s="6" t="s">
        <v>52</v>
      </c>
      <c r="F1780" s="6" t="s">
        <v>58</v>
      </c>
      <c r="G1780" s="6" t="str">
        <f>SUBSTITUTE(Raw_Data!G1780,"Ã©","é")</f>
        <v>Trekking Poles</v>
      </c>
      <c r="H1780" s="6">
        <v>2</v>
      </c>
      <c r="I1780" s="6" t="s">
        <v>67</v>
      </c>
      <c r="J1780" s="6" t="s">
        <v>204</v>
      </c>
      <c r="K1780" s="6">
        <v>0.38</v>
      </c>
      <c r="L1780" s="6" t="s">
        <v>42</v>
      </c>
      <c r="M1780" s="6" t="s">
        <v>34</v>
      </c>
      <c r="N1780" s="6"/>
    </row>
    <row r="1781" spans="1:14">
      <c r="A1781" s="6" t="s">
        <v>3141</v>
      </c>
      <c r="B1781" s="7">
        <v>46114</v>
      </c>
      <c r="C1781" s="6" t="s">
        <v>2975</v>
      </c>
      <c r="D1781" s="6" t="str">
        <f>IF(OR(PROPER(TRIM(Raw_Data!D1781))="Uk",PROPER(TRIM(Raw_Data!D1781))="Gb",PROPER(TRIM(Raw_Data!D1781))="United kingdom"),"United Kingdom",PROPER(TRIM(Raw_Data!D1781)))</f>
        <v>United Kingdom</v>
      </c>
      <c r="E1781" s="6" t="s">
        <v>78</v>
      </c>
      <c r="F1781" s="6" t="s">
        <v>85</v>
      </c>
      <c r="G1781" s="6" t="str">
        <f>SUBSTITUTE(Raw_Data!G1781,"Ã©","é")</f>
        <v>Trail Softshell</v>
      </c>
      <c r="H1781" s="6">
        <v>-1</v>
      </c>
      <c r="I1781" s="6" t="s">
        <v>113</v>
      </c>
      <c r="J1781" s="8" t="s">
        <v>1147</v>
      </c>
      <c r="K1781" s="6">
        <v>0.41</v>
      </c>
      <c r="L1781" s="6" t="s">
        <v>42</v>
      </c>
      <c r="M1781" s="6" t="s">
        <v>34</v>
      </c>
      <c r="N1781" s="6"/>
    </row>
    <row r="1782" spans="1:14">
      <c r="A1782" s="6" t="s">
        <v>3142</v>
      </c>
      <c r="B1782" s="7">
        <v>46053</v>
      </c>
      <c r="C1782" s="6" t="s">
        <v>1396</v>
      </c>
      <c r="D1782" s="6" t="str">
        <f>IF(OR(PROPER(TRIM(Raw_Data!D1782))="Uk",PROPER(TRIM(Raw_Data!D1782))="Gb",PROPER(TRIM(Raw_Data!D1782))="United kingdom"),"United Kingdom",PROPER(TRIM(Raw_Data!D1782)))</f>
        <v>France</v>
      </c>
      <c r="E1782" s="6" t="s">
        <v>28</v>
      </c>
      <c r="F1782" s="6" t="s">
        <v>38</v>
      </c>
      <c r="G1782" s="6" t="str">
        <f>SUBSTITUTE(Raw_Data!G1782,"Ã©","é")</f>
        <v>Café Latte Mug</v>
      </c>
      <c r="H1782" s="6">
        <v>2</v>
      </c>
      <c r="I1782" s="6" t="s">
        <v>1519</v>
      </c>
      <c r="J1782" s="6" t="s">
        <v>232</v>
      </c>
      <c r="K1782" s="6">
        <v>0.52</v>
      </c>
      <c r="L1782" s="6" t="s">
        <v>42</v>
      </c>
      <c r="M1782" s="6" t="s">
        <v>34</v>
      </c>
      <c r="N1782" s="6"/>
    </row>
    <row r="1783" spans="1:14">
      <c r="A1783" s="6" t="s">
        <v>3143</v>
      </c>
      <c r="B1783" s="7">
        <v>46073</v>
      </c>
      <c r="C1783" s="6" t="s">
        <v>3144</v>
      </c>
      <c r="D1783" s="6" t="str">
        <f>IF(OR(PROPER(TRIM(Raw_Data!D1783))="Uk",PROPER(TRIM(Raw_Data!D1783))="Gb",PROPER(TRIM(Raw_Data!D1783))="United kingdom"),"United Kingdom",PROPER(TRIM(Raw_Data!D1783)))</f>
        <v>United Kingdom</v>
      </c>
      <c r="E1783" s="6" t="s">
        <v>37</v>
      </c>
      <c r="F1783" s="6" t="s">
        <v>29</v>
      </c>
      <c r="G1783" s="6" t="str">
        <f>SUBSTITUTE(Raw_Data!G1783,"Ã©","é")</f>
        <v>Trekking Poles</v>
      </c>
      <c r="H1783" s="6">
        <v>3</v>
      </c>
      <c r="I1783" s="6" t="s">
        <v>82</v>
      </c>
      <c r="J1783" s="6" t="s">
        <v>390</v>
      </c>
      <c r="K1783" s="6">
        <v>0.52</v>
      </c>
      <c r="L1783" s="6" t="s">
        <v>42</v>
      </c>
      <c r="M1783" s="6" t="s">
        <v>34</v>
      </c>
      <c r="N1783" s="6"/>
    </row>
    <row r="1784" spans="1:14">
      <c r="A1784" s="6" t="s">
        <v>3145</v>
      </c>
      <c r="B1784" s="7">
        <v>46142</v>
      </c>
      <c r="C1784" s="6" t="s">
        <v>1971</v>
      </c>
      <c r="D1784" s="6" t="str">
        <f>IF(OR(PROPER(TRIM(Raw_Data!D1784))="Uk",PROPER(TRIM(Raw_Data!D1784))="Gb",PROPER(TRIM(Raw_Data!D1784))="United kingdom"),"United Kingdom",PROPER(TRIM(Raw_Data!D1784)))</f>
        <v>United Kingdom</v>
      </c>
      <c r="E1784" s="6" t="s">
        <v>78</v>
      </c>
      <c r="F1784" s="6" t="s">
        <v>38</v>
      </c>
      <c r="G1784" s="6" t="str">
        <f>SUBSTITUTE(Raw_Data!G1784,"Ã©","é")</f>
        <v>Café Latte Mug</v>
      </c>
      <c r="H1784" s="6">
        <v>3</v>
      </c>
      <c r="I1784" s="6" t="s">
        <v>96</v>
      </c>
      <c r="J1784" s="6" t="s">
        <v>97</v>
      </c>
      <c r="K1784" s="6">
        <v>0.52</v>
      </c>
      <c r="L1784" s="6" t="s">
        <v>42</v>
      </c>
      <c r="M1784" s="6" t="s">
        <v>34</v>
      </c>
      <c r="N1784" s="6"/>
    </row>
    <row r="1785" spans="1:14">
      <c r="A1785" s="6" t="s">
        <v>3146</v>
      </c>
      <c r="B1785" s="7">
        <v>46196</v>
      </c>
      <c r="C1785" s="6" t="s">
        <v>1507</v>
      </c>
      <c r="D1785" s="6" t="str">
        <f>IF(OR(PROPER(TRIM(Raw_Data!D1785))="Uk",PROPER(TRIM(Raw_Data!D1785))="Gb",PROPER(TRIM(Raw_Data!D1785))="United kingdom"),"United Kingdom",PROPER(TRIM(Raw_Data!D1785)))</f>
        <v>United Kingdom</v>
      </c>
      <c r="E1785" s="6" t="s">
        <v>46</v>
      </c>
      <c r="F1785" s="6" t="s">
        <v>47</v>
      </c>
      <c r="G1785" s="6" t="str">
        <f>SUBSTITUTE(Raw_Data!G1785,"Ã©","é")</f>
        <v>Fell Runner Cap</v>
      </c>
      <c r="H1785" s="6">
        <v>2</v>
      </c>
      <c r="I1785" s="6" t="s">
        <v>265</v>
      </c>
      <c r="J1785" s="6" t="s">
        <v>167</v>
      </c>
      <c r="K1785" s="6">
        <v>8.5000000000000006E-2</v>
      </c>
      <c r="L1785" s="6" t="s">
        <v>42</v>
      </c>
      <c r="M1785" s="6" t="s">
        <v>34</v>
      </c>
      <c r="N1785" s="6"/>
    </row>
    <row r="1786" spans="1:14">
      <c r="A1786" s="6" t="s">
        <v>3147</v>
      </c>
      <c r="B1786" s="7">
        <v>46140</v>
      </c>
      <c r="C1786" s="6" t="s">
        <v>2031</v>
      </c>
      <c r="D1786" s="6" t="str">
        <f>IF(OR(PROPER(TRIM(Raw_Data!D1786))="Uk",PROPER(TRIM(Raw_Data!D1786))="Gb",PROPER(TRIM(Raw_Data!D1786))="United kingdom"),"United Kingdom",PROPER(TRIM(Raw_Data!D1786)))</f>
        <v>France</v>
      </c>
      <c r="E1786" s="6" t="s">
        <v>28</v>
      </c>
      <c r="F1786" s="6" t="s">
        <v>47</v>
      </c>
      <c r="G1786" s="6" t="str">
        <f>SUBSTITUTE(Raw_Data!G1786,"Ã©","é")</f>
        <v>Storm Overtrousers</v>
      </c>
      <c r="H1786" s="6">
        <v>2</v>
      </c>
      <c r="I1786" s="6" t="s">
        <v>181</v>
      </c>
      <c r="J1786" s="6" t="s">
        <v>163</v>
      </c>
      <c r="K1786" s="6">
        <v>8.5000000000000006E-2</v>
      </c>
      <c r="L1786" s="6" t="s">
        <v>42</v>
      </c>
      <c r="M1786" s="6" t="s">
        <v>34</v>
      </c>
      <c r="N1786" s="6"/>
    </row>
    <row r="1787" spans="1:14">
      <c r="A1787" s="6" t="s">
        <v>3148</v>
      </c>
      <c r="B1787" s="7">
        <v>46129</v>
      </c>
      <c r="C1787" s="6" t="s">
        <v>3149</v>
      </c>
      <c r="D1787" s="6" t="str">
        <f>IF(OR(PROPER(TRIM(Raw_Data!D1787))="Uk",PROPER(TRIM(Raw_Data!D1787))="Gb",PROPER(TRIM(Raw_Data!D1787))="United kingdom"),"United Kingdom",PROPER(TRIM(Raw_Data!D1787)))</f>
        <v>Ireland</v>
      </c>
      <c r="E1787" s="6" t="s">
        <v>37</v>
      </c>
      <c r="F1787" s="6" t="s">
        <v>85</v>
      </c>
      <c r="G1787" s="6" t="str">
        <f>SUBSTITUTE(Raw_Data!G1787,"Ã©","é")</f>
        <v>Storm Overtrousers</v>
      </c>
      <c r="H1787" s="6">
        <v>1</v>
      </c>
      <c r="I1787" s="6" t="s">
        <v>73</v>
      </c>
      <c r="J1787" s="6" t="s">
        <v>73</v>
      </c>
      <c r="K1787" s="6">
        <v>0.41</v>
      </c>
      <c r="L1787" s="6" t="s">
        <v>42</v>
      </c>
      <c r="M1787" s="6" t="s">
        <v>34</v>
      </c>
      <c r="N1787" s="6"/>
    </row>
    <row r="1788" spans="1:14">
      <c r="A1788" s="6" t="s">
        <v>3150</v>
      </c>
      <c r="B1788" s="7">
        <v>46109</v>
      </c>
      <c r="C1788" s="6" t="s">
        <v>2919</v>
      </c>
      <c r="D1788" s="6" t="str">
        <f>IF(OR(PROPER(TRIM(Raw_Data!D1788))="Uk",PROPER(TRIM(Raw_Data!D1788))="Gb",PROPER(TRIM(Raw_Data!D1788))="United kingdom"),"United Kingdom",PROPER(TRIM(Raw_Data!D1788)))</f>
        <v>United Kingdom</v>
      </c>
      <c r="E1788" s="6" t="s">
        <v>78</v>
      </c>
      <c r="F1788" s="6" t="s">
        <v>94</v>
      </c>
      <c r="G1788" s="6" t="str">
        <f>SUBSTITUTE(Raw_Data!G1788,"Ã©","é")</f>
        <v>Summit Down Gilet</v>
      </c>
      <c r="H1788" s="6">
        <v>1</v>
      </c>
      <c r="I1788" s="6" t="s">
        <v>113</v>
      </c>
      <c r="J1788" s="6" t="s">
        <v>113</v>
      </c>
      <c r="K1788" s="6">
        <v>0.34</v>
      </c>
      <c r="L1788" s="6" t="s">
        <v>33</v>
      </c>
      <c r="M1788" s="6" t="s">
        <v>34</v>
      </c>
      <c r="N1788" s="6"/>
    </row>
    <row r="1789" spans="1:14">
      <c r="A1789" s="6" t="s">
        <v>3151</v>
      </c>
      <c r="B1789" s="7">
        <v>46146</v>
      </c>
      <c r="C1789" s="6" t="s">
        <v>1403</v>
      </c>
      <c r="D1789" s="6" t="str">
        <f>IF(OR(PROPER(TRIM(Raw_Data!D1789))="Uk",PROPER(TRIM(Raw_Data!D1789))="Gb",PROPER(TRIM(Raw_Data!D1789))="United kingdom"),"United Kingdom",PROPER(TRIM(Raw_Data!D1789)))</f>
        <v>United Kingdom</v>
      </c>
      <c r="E1789" s="6" t="s">
        <v>37</v>
      </c>
      <c r="F1789" s="6" t="s">
        <v>38</v>
      </c>
      <c r="G1789" s="6" t="str">
        <f>SUBSTITUTE(Raw_Data!G1789,"Ã©","é")</f>
        <v>Trail Softshell</v>
      </c>
      <c r="H1789" s="6">
        <v>1</v>
      </c>
      <c r="I1789" s="6" t="s">
        <v>143</v>
      </c>
      <c r="J1789" s="6" t="s">
        <v>3011</v>
      </c>
      <c r="K1789" s="6">
        <v>0.52</v>
      </c>
      <c r="L1789" s="6" t="s">
        <v>42</v>
      </c>
      <c r="M1789" s="6" t="s">
        <v>34</v>
      </c>
      <c r="N1789" s="6"/>
    </row>
    <row r="1790" spans="1:14">
      <c r="A1790" s="6" t="s">
        <v>3152</v>
      </c>
      <c r="B1790" s="7">
        <v>46056</v>
      </c>
      <c r="C1790" s="6" t="s">
        <v>1118</v>
      </c>
      <c r="D1790" s="6" t="str">
        <f>IF(OR(PROPER(TRIM(Raw_Data!D1790))="Uk",PROPER(TRIM(Raw_Data!D1790))="Gb",PROPER(TRIM(Raw_Data!D1790))="United kingdom"),"United Kingdom",PROPER(TRIM(Raw_Data!D1790)))</f>
        <v>Germany</v>
      </c>
      <c r="E1790" s="6" t="s">
        <v>78</v>
      </c>
      <c r="F1790" s="6" t="s">
        <v>100</v>
      </c>
      <c r="G1790" s="6" t="str">
        <f>SUBSTITUTE(Raw_Data!G1790,"Ã©","é")</f>
        <v>Alpine Jacket</v>
      </c>
      <c r="H1790" s="6">
        <v>1</v>
      </c>
      <c r="I1790" s="6" t="s">
        <v>96</v>
      </c>
      <c r="J1790" s="6" t="s">
        <v>561</v>
      </c>
      <c r="K1790" s="6">
        <v>0.64</v>
      </c>
      <c r="L1790" s="6" t="s">
        <v>42</v>
      </c>
      <c r="M1790" s="6" t="s">
        <v>34</v>
      </c>
      <c r="N1790" s="6"/>
    </row>
    <row r="1791" spans="1:14">
      <c r="A1791" s="6" t="s">
        <v>3153</v>
      </c>
      <c r="B1791" s="7">
        <v>46271</v>
      </c>
      <c r="C1791" s="6" t="s">
        <v>2622</v>
      </c>
      <c r="D1791" s="6" t="str">
        <f>IF(OR(PROPER(TRIM(Raw_Data!D1791))="Uk",PROPER(TRIM(Raw_Data!D1791))="Gb",PROPER(TRIM(Raw_Data!D1791))="United kingdom"),"United Kingdom",PROPER(TRIM(Raw_Data!D1791)))</f>
        <v>United Kingdom</v>
      </c>
      <c r="E1791" s="6" t="s">
        <v>46</v>
      </c>
      <c r="F1791" s="6" t="s">
        <v>58</v>
      </c>
      <c r="G1791" s="6" t="str">
        <f>SUBSTITUTE(Raw_Data!G1791,"Ã©","é")</f>
        <v>Fell Runner Cap</v>
      </c>
      <c r="H1791" s="6">
        <v>3</v>
      </c>
      <c r="I1791" s="6" t="s">
        <v>90</v>
      </c>
      <c r="J1791" s="6" t="s">
        <v>102</v>
      </c>
      <c r="K1791" s="6">
        <v>0.38</v>
      </c>
      <c r="L1791" s="6" t="s">
        <v>42</v>
      </c>
      <c r="M1791" s="6" t="s">
        <v>69</v>
      </c>
      <c r="N1791" s="6"/>
    </row>
    <row r="1792" spans="1:14">
      <c r="A1792" s="6" t="s">
        <v>3154</v>
      </c>
      <c r="B1792" s="7">
        <v>46209</v>
      </c>
      <c r="C1792" s="6" t="s">
        <v>2067</v>
      </c>
      <c r="D1792" s="6" t="str">
        <f>IF(OR(PROPER(TRIM(Raw_Data!D1792))="Uk",PROPER(TRIM(Raw_Data!D1792))="Gb",PROPER(TRIM(Raw_Data!D1792))="United kingdom"),"United Kingdom",PROPER(TRIM(Raw_Data!D1792)))</f>
        <v>United Kingdom</v>
      </c>
      <c r="E1792" s="6" t="s">
        <v>46</v>
      </c>
      <c r="F1792" s="6" t="s">
        <v>53</v>
      </c>
      <c r="G1792" s="6" t="str">
        <f>SUBSTITUTE(Raw_Data!G1792,"Ã©","é")</f>
        <v>Café Latte Mug</v>
      </c>
      <c r="H1792" s="6">
        <v>3</v>
      </c>
      <c r="I1792" s="6" t="s">
        <v>265</v>
      </c>
      <c r="J1792" s="6" t="s">
        <v>401</v>
      </c>
      <c r="K1792" s="6">
        <v>0.19</v>
      </c>
      <c r="L1792" s="6" t="s">
        <v>42</v>
      </c>
      <c r="M1792" s="6" t="s">
        <v>34</v>
      </c>
      <c r="N1792" s="6"/>
    </row>
    <row r="1793" spans="1:14">
      <c r="A1793" s="6" t="s">
        <v>3155</v>
      </c>
      <c r="B1793" s="7">
        <v>46048</v>
      </c>
      <c r="C1793" s="6" t="s">
        <v>140</v>
      </c>
      <c r="D1793" s="6" t="str">
        <f>IF(OR(PROPER(TRIM(Raw_Data!D1793))="Uk",PROPER(TRIM(Raw_Data!D1793))="Gb",PROPER(TRIM(Raw_Data!D1793))="United kingdom"),"United Kingdom",PROPER(TRIM(Raw_Data!D1793)))</f>
        <v>Ireland</v>
      </c>
      <c r="E1793" s="6" t="s">
        <v>78</v>
      </c>
      <c r="F1793" s="6" t="s">
        <v>38</v>
      </c>
      <c r="G1793" s="6" t="str">
        <f>SUBSTITUTE(Raw_Data!G1793,"Ã©","é")</f>
        <v>Storm Overtrousers</v>
      </c>
      <c r="H1793" s="6">
        <v>2</v>
      </c>
      <c r="I1793" s="6" t="s">
        <v>147</v>
      </c>
      <c r="J1793" s="6" t="s">
        <v>175</v>
      </c>
      <c r="K1793" s="6">
        <v>0.52</v>
      </c>
      <c r="L1793" s="6" t="s">
        <v>33</v>
      </c>
      <c r="M1793" s="6" t="s">
        <v>34</v>
      </c>
      <c r="N1793" s="6"/>
    </row>
    <row r="1794" spans="1:14">
      <c r="A1794" s="6" t="s">
        <v>3156</v>
      </c>
      <c r="B1794" s="7">
        <v>46067</v>
      </c>
      <c r="C1794" s="6" t="s">
        <v>701</v>
      </c>
      <c r="D1794" s="6" t="str">
        <f>IF(OR(PROPER(TRIM(Raw_Data!D1794))="Uk",PROPER(TRIM(Raw_Data!D1794))="Gb",PROPER(TRIM(Raw_Data!D1794))="United kingdom"),"United Kingdom",PROPER(TRIM(Raw_Data!D1794)))</f>
        <v>United Kingdom</v>
      </c>
      <c r="E1794" s="6" t="s">
        <v>28</v>
      </c>
      <c r="F1794" s="6" t="s">
        <v>100</v>
      </c>
      <c r="G1794" s="6" t="str">
        <f>SUBSTITUTE(Raw_Data!G1794,"Ã©","é")</f>
        <v>Fell Runner Cap</v>
      </c>
      <c r="H1794" s="6">
        <v>2</v>
      </c>
      <c r="I1794" s="6" t="s">
        <v>143</v>
      </c>
      <c r="J1794" s="6" t="s">
        <v>144</v>
      </c>
      <c r="K1794" s="6">
        <v>0.64</v>
      </c>
      <c r="L1794" s="6" t="s">
        <v>42</v>
      </c>
      <c r="M1794" s="6" t="s">
        <v>34</v>
      </c>
      <c r="N1794" s="6"/>
    </row>
    <row r="1795" spans="1:14">
      <c r="A1795" s="6" t="s">
        <v>3157</v>
      </c>
      <c r="B1795" s="7">
        <v>46126</v>
      </c>
      <c r="C1795" s="6" t="s">
        <v>51</v>
      </c>
      <c r="D1795" s="6" t="str">
        <f>IF(OR(PROPER(TRIM(Raw_Data!D1795))="Uk",PROPER(TRIM(Raw_Data!D1795))="Gb",PROPER(TRIM(Raw_Data!D1795))="United kingdom"),"United Kingdom",PROPER(TRIM(Raw_Data!D1795)))</f>
        <v>United Kingdom</v>
      </c>
      <c r="E1795" s="6" t="s">
        <v>28</v>
      </c>
      <c r="F1795" s="6" t="s">
        <v>94</v>
      </c>
      <c r="G1795" s="6" t="str">
        <f>SUBSTITUTE(Raw_Data!G1795,"Ã©","é")</f>
        <v>Trekking Poles</v>
      </c>
      <c r="H1795" s="6">
        <v>3</v>
      </c>
      <c r="I1795" s="6" t="s">
        <v>265</v>
      </c>
      <c r="J1795" s="6" t="s">
        <v>401</v>
      </c>
      <c r="K1795" s="6">
        <v>0.34</v>
      </c>
      <c r="L1795" s="6" t="s">
        <v>42</v>
      </c>
      <c r="M1795" s="6" t="s">
        <v>34</v>
      </c>
      <c r="N1795" s="6"/>
    </row>
    <row r="1796" spans="1:14">
      <c r="A1796" s="6" t="s">
        <v>3158</v>
      </c>
      <c r="B1796" s="7">
        <v>46084</v>
      </c>
      <c r="C1796" s="6" t="s">
        <v>1015</v>
      </c>
      <c r="D1796" s="6" t="str">
        <f>IF(OR(PROPER(TRIM(Raw_Data!D1796))="Uk",PROPER(TRIM(Raw_Data!D1796))="Gb",PROPER(TRIM(Raw_Data!D1796))="United kingdom"),"United Kingdom",PROPER(TRIM(Raw_Data!D1796)))</f>
        <v>United Kingdom</v>
      </c>
      <c r="E1796" s="6" t="s">
        <v>28</v>
      </c>
      <c r="F1796" s="6" t="s">
        <v>94</v>
      </c>
      <c r="G1796" s="6" t="str">
        <f>SUBSTITUTE(Raw_Data!G1796,"Ã©","é")</f>
        <v>Trekking Poles</v>
      </c>
      <c r="H1796" s="6">
        <v>1</v>
      </c>
      <c r="I1796" s="6" t="s">
        <v>67</v>
      </c>
      <c r="J1796" s="6" t="s">
        <v>67</v>
      </c>
      <c r="K1796" s="6">
        <v>0.34</v>
      </c>
      <c r="L1796" s="6" t="s">
        <v>42</v>
      </c>
      <c r="M1796" s="6" t="s">
        <v>34</v>
      </c>
      <c r="N1796" s="6"/>
    </row>
    <row r="1797" spans="1:14">
      <c r="A1797" s="6" t="s">
        <v>3159</v>
      </c>
      <c r="B1797" s="7">
        <v>46144</v>
      </c>
      <c r="C1797" s="6" t="s">
        <v>3160</v>
      </c>
      <c r="D1797" s="6" t="str">
        <f>IF(OR(PROPER(TRIM(Raw_Data!D1797))="Uk",PROPER(TRIM(Raw_Data!D1797))="Gb",PROPER(TRIM(Raw_Data!D1797))="United kingdom"),"United Kingdom",PROPER(TRIM(Raw_Data!D1797)))</f>
        <v>Ireland</v>
      </c>
      <c r="E1797" s="6" t="s">
        <v>46</v>
      </c>
      <c r="F1797" s="6" t="s">
        <v>53</v>
      </c>
      <c r="G1797" s="6" t="str">
        <f>SUBSTITUTE(Raw_Data!G1797,"Ã©","é")</f>
        <v>Summit Down Gilet</v>
      </c>
      <c r="H1797" s="6">
        <v>3</v>
      </c>
      <c r="I1797" s="6" t="s">
        <v>231</v>
      </c>
      <c r="J1797" s="6" t="s">
        <v>3161</v>
      </c>
      <c r="K1797" s="6">
        <v>0.19</v>
      </c>
      <c r="L1797" s="6" t="s">
        <v>42</v>
      </c>
      <c r="M1797" s="6" t="s">
        <v>34</v>
      </c>
      <c r="N1797" s="6"/>
    </row>
    <row r="1798" spans="1:14">
      <c r="A1798" s="6" t="s">
        <v>3162</v>
      </c>
      <c r="B1798" s="7">
        <v>46237</v>
      </c>
      <c r="C1798" s="6" t="s">
        <v>3163</v>
      </c>
      <c r="D1798" s="6" t="str">
        <f>IF(OR(PROPER(TRIM(Raw_Data!D1798))="Uk",PROPER(TRIM(Raw_Data!D1798))="Gb",PROPER(TRIM(Raw_Data!D1798))="United kingdom"),"United Kingdom",PROPER(TRIM(Raw_Data!D1798)))</f>
        <v>United Kingdom</v>
      </c>
      <c r="E1798" s="6" t="s">
        <v>78</v>
      </c>
      <c r="F1798" s="6" t="s">
        <v>94</v>
      </c>
      <c r="G1798" s="6" t="str">
        <f>SUBSTITUTE(Raw_Data!G1798,"Ã©","é")</f>
        <v>Storm Overtrousers</v>
      </c>
      <c r="H1798" s="6">
        <v>1</v>
      </c>
      <c r="I1798" s="6" t="s">
        <v>117</v>
      </c>
      <c r="J1798" s="6" t="s">
        <v>117</v>
      </c>
      <c r="K1798" s="6">
        <v>0.34</v>
      </c>
      <c r="L1798" s="6" t="s">
        <v>33</v>
      </c>
      <c r="M1798" s="6" t="s">
        <v>34</v>
      </c>
      <c r="N1798" s="6"/>
    </row>
    <row r="1799" spans="1:14">
      <c r="A1799" s="6" t="s">
        <v>3164</v>
      </c>
      <c r="B1799" s="7">
        <v>46194</v>
      </c>
      <c r="C1799" s="6" t="s">
        <v>3165</v>
      </c>
      <c r="D1799" s="6" t="str">
        <f>IF(OR(PROPER(TRIM(Raw_Data!D1799))="Uk",PROPER(TRIM(Raw_Data!D1799))="Gb",PROPER(TRIM(Raw_Data!D1799))="United kingdom"),"United Kingdom",PROPER(TRIM(Raw_Data!D1799)))</f>
        <v>Ireland</v>
      </c>
      <c r="E1799" s="6" t="s">
        <v>46</v>
      </c>
      <c r="F1799" s="6" t="s">
        <v>85</v>
      </c>
      <c r="G1799" s="6" t="str">
        <f>SUBSTITUTE(Raw_Data!G1799,"Ã©","é")</f>
        <v>Summit Down Gilet</v>
      </c>
      <c r="H1799" s="6">
        <v>1</v>
      </c>
      <c r="I1799" s="6" t="s">
        <v>90</v>
      </c>
      <c r="J1799" s="6" t="s">
        <v>90</v>
      </c>
      <c r="K1799" s="6">
        <v>0.41</v>
      </c>
      <c r="L1799" s="6" t="s">
        <v>33</v>
      </c>
      <c r="M1799" s="6" t="s">
        <v>34</v>
      </c>
      <c r="N1799" s="6"/>
    </row>
    <row r="1800" spans="1:14">
      <c r="A1800" s="6" t="s">
        <v>3166</v>
      </c>
      <c r="B1800" s="7">
        <v>46327</v>
      </c>
      <c r="C1800" s="6" t="s">
        <v>1678</v>
      </c>
      <c r="D1800" s="6" t="str">
        <f>IF(OR(PROPER(TRIM(Raw_Data!D1800))="Uk",PROPER(TRIM(Raw_Data!D1800))="Gb",PROPER(TRIM(Raw_Data!D1800))="United kingdom"),"United Kingdom",PROPER(TRIM(Raw_Data!D1800)))</f>
        <v>United Kingdom</v>
      </c>
      <c r="E1800" s="6" t="s">
        <v>37</v>
      </c>
      <c r="F1800" s="6" t="s">
        <v>47</v>
      </c>
      <c r="G1800" s="6" t="str">
        <f>SUBSTITUTE(Raw_Data!G1800,"Ã©","é")</f>
        <v>Storm Overtrousers</v>
      </c>
      <c r="H1800" s="6">
        <v>1</v>
      </c>
      <c r="I1800" s="6" t="s">
        <v>31</v>
      </c>
      <c r="J1800" s="6" t="s">
        <v>31</v>
      </c>
      <c r="K1800" s="6">
        <v>8.5000000000000006E-2</v>
      </c>
      <c r="L1800" s="6" t="s">
        <v>42</v>
      </c>
      <c r="M1800" s="6" t="s">
        <v>34</v>
      </c>
      <c r="N1800" s="6"/>
    </row>
    <row r="1801" spans="1:14">
      <c r="A1801" s="6" t="s">
        <v>3167</v>
      </c>
      <c r="B1801" s="7">
        <v>46109</v>
      </c>
      <c r="C1801" s="6" t="s">
        <v>482</v>
      </c>
      <c r="D1801" s="6" t="str">
        <f>IF(OR(PROPER(TRIM(Raw_Data!D1801))="Uk",PROPER(TRIM(Raw_Data!D1801))="Gb",PROPER(TRIM(Raw_Data!D1801))="United kingdom"),"United Kingdom",PROPER(TRIM(Raw_Data!D1801)))</f>
        <v>Ireland</v>
      </c>
      <c r="E1801" s="6" t="s">
        <v>37</v>
      </c>
      <c r="F1801" s="6" t="s">
        <v>85</v>
      </c>
      <c r="G1801" s="6" t="str">
        <f>SUBSTITUTE(Raw_Data!G1801,"Ã©","é")</f>
        <v>Trail Softshell</v>
      </c>
      <c r="H1801" s="6">
        <v>3</v>
      </c>
      <c r="I1801" s="6" t="s">
        <v>82</v>
      </c>
      <c r="J1801" s="6" t="s">
        <v>390</v>
      </c>
      <c r="K1801" s="6">
        <v>0.41</v>
      </c>
      <c r="L1801" s="6" t="s">
        <v>42</v>
      </c>
      <c r="M1801" s="6" t="s">
        <v>69</v>
      </c>
      <c r="N1801" s="6"/>
    </row>
    <row r="1802" spans="1:14">
      <c r="A1802" s="6" t="s">
        <v>3168</v>
      </c>
      <c r="B1802" s="7">
        <v>46270</v>
      </c>
      <c r="C1802" s="6" t="s">
        <v>3169</v>
      </c>
      <c r="D1802" s="6" t="str">
        <f>IF(OR(PROPER(TRIM(Raw_Data!D1802))="Uk",PROPER(TRIM(Raw_Data!D1802))="Gb",PROPER(TRIM(Raw_Data!D1802))="United kingdom"),"United Kingdom",PROPER(TRIM(Raw_Data!D1802)))</f>
        <v>United Kingdom</v>
      </c>
      <c r="E1802" s="6" t="s">
        <v>52</v>
      </c>
      <c r="F1802" s="6" t="s">
        <v>100</v>
      </c>
      <c r="G1802" s="6" t="str">
        <f>SUBSTITUTE(Raw_Data!G1802,"Ã©","é")</f>
        <v>Trekking Poles</v>
      </c>
      <c r="H1802" s="6">
        <v>1</v>
      </c>
      <c r="I1802" s="6" t="s">
        <v>143</v>
      </c>
      <c r="J1802" s="6" t="s">
        <v>3170</v>
      </c>
      <c r="K1802" s="6">
        <v>0.64</v>
      </c>
      <c r="L1802" s="6" t="s">
        <v>42</v>
      </c>
      <c r="M1802" s="6" t="s">
        <v>34</v>
      </c>
      <c r="N1802" s="6"/>
    </row>
    <row r="1803" spans="1:14">
      <c r="A1803" s="6" t="s">
        <v>3171</v>
      </c>
      <c r="B1803" s="7">
        <v>46034</v>
      </c>
      <c r="C1803" s="6" t="s">
        <v>2668</v>
      </c>
      <c r="D1803" s="6" t="str">
        <f>IF(OR(PROPER(TRIM(Raw_Data!D1803))="Uk",PROPER(TRIM(Raw_Data!D1803))="Gb",PROPER(TRIM(Raw_Data!D1803))="United kingdom"),"United Kingdom",PROPER(TRIM(Raw_Data!D1803)))</f>
        <v>United Kingdom</v>
      </c>
      <c r="E1803" s="6" t="s">
        <v>37</v>
      </c>
      <c r="F1803" s="6" t="s">
        <v>38</v>
      </c>
      <c r="G1803" s="6" t="str">
        <f>SUBSTITUTE(Raw_Data!G1803,"Ã©","é")</f>
        <v>Trail Softshell</v>
      </c>
      <c r="H1803" s="6">
        <v>1</v>
      </c>
      <c r="I1803" s="6" t="s">
        <v>82</v>
      </c>
      <c r="J1803" s="6" t="s">
        <v>82</v>
      </c>
      <c r="K1803" s="6">
        <v>0.52</v>
      </c>
      <c r="L1803" s="6" t="s">
        <v>42</v>
      </c>
      <c r="M1803" s="6" t="s">
        <v>34</v>
      </c>
      <c r="N1803" s="6"/>
    </row>
    <row r="1804" spans="1:14">
      <c r="A1804" s="6" t="s">
        <v>3172</v>
      </c>
      <c r="B1804" s="7">
        <v>46114</v>
      </c>
      <c r="C1804" s="6" t="s">
        <v>646</v>
      </c>
      <c r="D1804" s="6" t="str">
        <f>IF(OR(PROPER(TRIM(Raw_Data!D1804))="Uk",PROPER(TRIM(Raw_Data!D1804))="Gb",PROPER(TRIM(Raw_Data!D1804))="United kingdom"),"United Kingdom",PROPER(TRIM(Raw_Data!D1804)))</f>
        <v>United Kingdom</v>
      </c>
      <c r="E1804" s="6" t="s">
        <v>78</v>
      </c>
      <c r="F1804" s="6" t="s">
        <v>29</v>
      </c>
      <c r="G1804" s="6" t="str">
        <f>SUBSTITUTE(Raw_Data!G1804,"Ã©","é")</f>
        <v>Fell Runner Cap</v>
      </c>
      <c r="H1804" s="6">
        <v>1</v>
      </c>
      <c r="I1804" s="6" t="s">
        <v>113</v>
      </c>
      <c r="J1804" s="6" t="s">
        <v>113</v>
      </c>
      <c r="K1804" s="6">
        <v>0.52</v>
      </c>
      <c r="L1804" s="6" t="s">
        <v>42</v>
      </c>
      <c r="M1804" s="6" t="s">
        <v>34</v>
      </c>
      <c r="N1804" s="6"/>
    </row>
    <row r="1805" spans="1:14">
      <c r="A1805" s="6" t="s">
        <v>3173</v>
      </c>
      <c r="B1805" s="7">
        <v>46202</v>
      </c>
      <c r="C1805" s="6" t="s">
        <v>587</v>
      </c>
      <c r="D1805" s="6" t="str">
        <f>IF(OR(PROPER(TRIM(Raw_Data!D1805))="Uk",PROPER(TRIM(Raw_Data!D1805))="Gb",PROPER(TRIM(Raw_Data!D1805))="United kingdom"),"United Kingdom",PROPER(TRIM(Raw_Data!D1805)))</f>
        <v>United Kingdom</v>
      </c>
      <c r="E1805" s="6" t="s">
        <v>52</v>
      </c>
      <c r="F1805" s="6" t="s">
        <v>38</v>
      </c>
      <c r="G1805" s="6" t="str">
        <f>SUBSTITUTE(Raw_Data!G1805,"Ã©","é")</f>
        <v>Fell Runner Cap</v>
      </c>
      <c r="H1805" s="6">
        <v>1</v>
      </c>
      <c r="I1805" s="6" t="s">
        <v>31</v>
      </c>
      <c r="J1805" s="6" t="s">
        <v>31</v>
      </c>
      <c r="K1805" s="6">
        <v>0.52</v>
      </c>
      <c r="L1805" s="6" t="s">
        <v>42</v>
      </c>
      <c r="M1805" s="6" t="s">
        <v>69</v>
      </c>
      <c r="N1805" s="6"/>
    </row>
    <row r="1806" spans="1:14">
      <c r="A1806" s="6" t="s">
        <v>3174</v>
      </c>
      <c r="B1806" s="7">
        <v>46128</v>
      </c>
      <c r="C1806" s="6" t="s">
        <v>3175</v>
      </c>
      <c r="D1806" s="6" t="str">
        <f>IF(OR(PROPER(TRIM(Raw_Data!D1806))="Uk",PROPER(TRIM(Raw_Data!D1806))="Gb",PROPER(TRIM(Raw_Data!D1806))="United kingdom"),"United Kingdom",PROPER(TRIM(Raw_Data!D1806)))</f>
        <v>Germany</v>
      </c>
      <c r="E1806" s="6" t="s">
        <v>46</v>
      </c>
      <c r="F1806" s="6" t="s">
        <v>85</v>
      </c>
      <c r="G1806" s="6" t="str">
        <f>SUBSTITUTE(Raw_Data!G1806,"Ã©","é")</f>
        <v>Storm Overtrousers</v>
      </c>
      <c r="H1806" s="6">
        <v>1</v>
      </c>
      <c r="I1806" s="6" t="s">
        <v>755</v>
      </c>
      <c r="J1806" s="6" t="s">
        <v>117</v>
      </c>
      <c r="K1806" s="6">
        <v>0.41</v>
      </c>
      <c r="L1806" s="6" t="s">
        <v>33</v>
      </c>
      <c r="M1806" s="6" t="s">
        <v>34</v>
      </c>
      <c r="N1806" s="6"/>
    </row>
    <row r="1807" spans="1:14">
      <c r="A1807" s="6" t="s">
        <v>3176</v>
      </c>
      <c r="B1807" s="7">
        <v>46125</v>
      </c>
      <c r="C1807" s="6" t="s">
        <v>3177</v>
      </c>
      <c r="D1807" s="6" t="str">
        <f>IF(OR(PROPER(TRIM(Raw_Data!D1807))="Uk",PROPER(TRIM(Raw_Data!D1807))="Gb",PROPER(TRIM(Raw_Data!D1807))="United kingdom"),"United Kingdom",PROPER(TRIM(Raw_Data!D1807)))</f>
        <v>United Kingdom</v>
      </c>
      <c r="E1807" s="6" t="s">
        <v>28</v>
      </c>
      <c r="F1807" s="6" t="s">
        <v>94</v>
      </c>
      <c r="G1807" s="6" t="str">
        <f>SUBSTITUTE(Raw_Data!G1807,"Ã©","é")</f>
        <v>Café Latte Mug</v>
      </c>
      <c r="H1807" s="6">
        <v>2</v>
      </c>
      <c r="I1807" s="6" t="s">
        <v>1430</v>
      </c>
      <c r="J1807" s="6" t="s">
        <v>144</v>
      </c>
      <c r="K1807" s="6">
        <v>0.34</v>
      </c>
      <c r="L1807" s="6" t="s">
        <v>42</v>
      </c>
      <c r="M1807" s="6" t="s">
        <v>34</v>
      </c>
      <c r="N1807" s="6"/>
    </row>
    <row r="1808" spans="1:14">
      <c r="A1808" s="6" t="s">
        <v>3178</v>
      </c>
      <c r="B1808" s="7">
        <v>46184</v>
      </c>
      <c r="C1808" s="6" t="s">
        <v>3179</v>
      </c>
      <c r="D1808" s="6" t="str">
        <f>IF(OR(PROPER(TRIM(Raw_Data!D1808))="Uk",PROPER(TRIM(Raw_Data!D1808))="Gb",PROPER(TRIM(Raw_Data!D1808))="United kingdom"),"United Kingdom",PROPER(TRIM(Raw_Data!D1808)))</f>
        <v>United Kingdom</v>
      </c>
      <c r="E1808" s="6" t="s">
        <v>78</v>
      </c>
      <c r="F1808" s="6" t="s">
        <v>94</v>
      </c>
      <c r="G1808" s="6" t="str">
        <f>SUBSTITUTE(Raw_Data!G1808,"Ã©","é")</f>
        <v>Trail Softshell</v>
      </c>
      <c r="H1808" s="6">
        <v>1</v>
      </c>
      <c r="I1808" s="6" t="s">
        <v>113</v>
      </c>
      <c r="J1808" s="6" t="s">
        <v>113</v>
      </c>
      <c r="K1808" s="6">
        <v>0.34</v>
      </c>
      <c r="L1808" s="6" t="s">
        <v>33</v>
      </c>
      <c r="M1808" s="6" t="s">
        <v>34</v>
      </c>
      <c r="N1808" s="6"/>
    </row>
    <row r="1809" spans="1:14">
      <c r="A1809" s="6" t="s">
        <v>3180</v>
      </c>
      <c r="B1809" s="7">
        <v>46041</v>
      </c>
      <c r="C1809" s="6" t="s">
        <v>3181</v>
      </c>
      <c r="D1809" s="6" t="str">
        <f>IF(OR(PROPER(TRIM(Raw_Data!D1809))="Uk",PROPER(TRIM(Raw_Data!D1809))="Gb",PROPER(TRIM(Raw_Data!D1809))="United kingdom"),"United Kingdom",PROPER(TRIM(Raw_Data!D1809)))</f>
        <v>United Kingdom</v>
      </c>
      <c r="E1809" s="6" t="s">
        <v>46</v>
      </c>
      <c r="F1809" s="6" t="s">
        <v>38</v>
      </c>
      <c r="G1809" s="6" t="str">
        <f>SUBSTITUTE(Raw_Data!G1809,"Ã©","é")</f>
        <v>Alpine Jacket</v>
      </c>
      <c r="H1809" s="6">
        <v>1</v>
      </c>
      <c r="I1809" s="6" t="s">
        <v>667</v>
      </c>
      <c r="J1809" s="6" t="s">
        <v>40</v>
      </c>
      <c r="K1809" s="6">
        <v>0.52</v>
      </c>
      <c r="L1809" s="6" t="s">
        <v>42</v>
      </c>
      <c r="M1809" s="6" t="s">
        <v>34</v>
      </c>
      <c r="N1809" s="6"/>
    </row>
    <row r="1810" spans="1:14">
      <c r="A1810" s="6" t="s">
        <v>3182</v>
      </c>
      <c r="B1810" s="7">
        <v>46176</v>
      </c>
      <c r="C1810" s="6" t="s">
        <v>3183</v>
      </c>
      <c r="D1810" s="6" t="str">
        <f>IF(OR(PROPER(TRIM(Raw_Data!D1810))="Uk",PROPER(TRIM(Raw_Data!D1810))="Gb",PROPER(TRIM(Raw_Data!D1810))="United kingdom"),"United Kingdom",PROPER(TRIM(Raw_Data!D1810)))</f>
        <v>France</v>
      </c>
      <c r="E1810" s="6" t="s">
        <v>28</v>
      </c>
      <c r="F1810" s="6" t="s">
        <v>58</v>
      </c>
      <c r="G1810" s="6" t="str">
        <f>SUBSTITUTE(Raw_Data!G1810,"Ã©","é")</f>
        <v>Summit Down Gilet</v>
      </c>
      <c r="H1810" s="6">
        <v>-1</v>
      </c>
      <c r="I1810" s="6" t="s">
        <v>373</v>
      </c>
      <c r="J1810" s="8" t="s">
        <v>1737</v>
      </c>
      <c r="K1810" s="6">
        <v>0.38</v>
      </c>
      <c r="L1810" s="6" t="s">
        <v>42</v>
      </c>
      <c r="M1810" s="6" t="s">
        <v>34</v>
      </c>
      <c r="N1810" s="6"/>
    </row>
    <row r="1811" spans="1:14">
      <c r="A1811" s="6" t="s">
        <v>3184</v>
      </c>
      <c r="B1811" s="7">
        <v>46112</v>
      </c>
      <c r="C1811" s="6" t="s">
        <v>1194</v>
      </c>
      <c r="D1811" s="6" t="str">
        <f>IF(OR(PROPER(TRIM(Raw_Data!D1811))="Uk",PROPER(TRIM(Raw_Data!D1811))="Gb",PROPER(TRIM(Raw_Data!D1811))="United kingdom"),"United Kingdom",PROPER(TRIM(Raw_Data!D1811)))</f>
        <v>United Kingdom</v>
      </c>
      <c r="E1811" s="6" t="s">
        <v>28</v>
      </c>
      <c r="F1811" s="6" t="s">
        <v>38</v>
      </c>
      <c r="G1811" s="6" t="str">
        <f>SUBSTITUTE(Raw_Data!G1811,"Ã©","é")</f>
        <v>Merino Base Layer</v>
      </c>
      <c r="H1811" s="6">
        <v>2</v>
      </c>
      <c r="I1811" s="6" t="s">
        <v>113</v>
      </c>
      <c r="J1811" s="6" t="s">
        <v>192</v>
      </c>
      <c r="K1811" s="6">
        <v>0.52</v>
      </c>
      <c r="L1811" s="6" t="s">
        <v>33</v>
      </c>
      <c r="M1811" s="6" t="s">
        <v>34</v>
      </c>
      <c r="N1811" s="6"/>
    </row>
    <row r="1812" spans="1:14">
      <c r="A1812" s="6" t="s">
        <v>3185</v>
      </c>
      <c r="B1812" s="7">
        <v>46166</v>
      </c>
      <c r="C1812" s="6" t="s">
        <v>826</v>
      </c>
      <c r="D1812" s="6" t="str">
        <f>IF(OR(PROPER(TRIM(Raw_Data!D1812))="Uk",PROPER(TRIM(Raw_Data!D1812))="Gb",PROPER(TRIM(Raw_Data!D1812))="United kingdom"),"United Kingdom",PROPER(TRIM(Raw_Data!D1812)))</f>
        <v>United Kingdom</v>
      </c>
      <c r="E1812" s="6" t="s">
        <v>37</v>
      </c>
      <c r="F1812" s="6" t="s">
        <v>38</v>
      </c>
      <c r="G1812" s="6" t="str">
        <f>SUBSTITUTE(Raw_Data!G1812,"Ã©","é")</f>
        <v>Trail Softshell</v>
      </c>
      <c r="H1812" s="6">
        <v>-2</v>
      </c>
      <c r="I1812" s="6" t="s">
        <v>31</v>
      </c>
      <c r="J1812" s="8" t="s">
        <v>159</v>
      </c>
      <c r="K1812" s="6">
        <v>0.52</v>
      </c>
      <c r="L1812" s="6" t="s">
        <v>33</v>
      </c>
      <c r="M1812" s="6" t="s">
        <v>34</v>
      </c>
      <c r="N1812" s="6"/>
    </row>
    <row r="1813" spans="1:14">
      <c r="A1813" s="6" t="s">
        <v>3186</v>
      </c>
      <c r="B1813" s="7">
        <v>46161</v>
      </c>
      <c r="C1813" s="6" t="s">
        <v>3187</v>
      </c>
      <c r="D1813" s="6" t="str">
        <f>IF(OR(PROPER(TRIM(Raw_Data!D1813))="Uk",PROPER(TRIM(Raw_Data!D1813))="Gb",PROPER(TRIM(Raw_Data!D1813))="United kingdom"),"United Kingdom",PROPER(TRIM(Raw_Data!D1813)))</f>
        <v>United Kingdom</v>
      </c>
      <c r="E1813" s="6" t="s">
        <v>28</v>
      </c>
      <c r="F1813" s="6" t="s">
        <v>47</v>
      </c>
      <c r="G1813" s="6" t="str">
        <f>SUBSTITUTE(Raw_Data!G1813,"Ã©","é")</f>
        <v>Alpine Jacket</v>
      </c>
      <c r="H1813" s="6">
        <v>2</v>
      </c>
      <c r="I1813" s="6" t="s">
        <v>231</v>
      </c>
      <c r="J1813" s="6" t="s">
        <v>232</v>
      </c>
      <c r="K1813" s="6">
        <v>8.5000000000000006E-2</v>
      </c>
      <c r="L1813" s="6" t="s">
        <v>33</v>
      </c>
      <c r="M1813" s="6" t="s">
        <v>34</v>
      </c>
      <c r="N1813" s="6"/>
    </row>
    <row r="1814" spans="1:14">
      <c r="A1814" s="6" t="s">
        <v>3188</v>
      </c>
      <c r="B1814" s="7">
        <v>46360</v>
      </c>
      <c r="C1814" s="6" t="s">
        <v>3189</v>
      </c>
      <c r="D1814" s="6" t="str">
        <f>IF(OR(PROPER(TRIM(Raw_Data!D1814))="Uk",PROPER(TRIM(Raw_Data!D1814))="Gb",PROPER(TRIM(Raw_Data!D1814))="United kingdom"),"United Kingdom",PROPER(TRIM(Raw_Data!D1814)))</f>
        <v>United Kingdom</v>
      </c>
      <c r="E1814" s="6" t="s">
        <v>52</v>
      </c>
      <c r="F1814" s="6" t="s">
        <v>85</v>
      </c>
      <c r="G1814" s="6" t="str">
        <f>SUBSTITUTE(Raw_Data!G1814,"Ã©","é")</f>
        <v>Café Latte Mug</v>
      </c>
      <c r="H1814" s="6">
        <v>1</v>
      </c>
      <c r="I1814" s="6" t="s">
        <v>117</v>
      </c>
      <c r="J1814" s="6" t="s">
        <v>117</v>
      </c>
      <c r="K1814" s="6">
        <v>0.41</v>
      </c>
      <c r="L1814" s="6" t="s">
        <v>42</v>
      </c>
      <c r="M1814" s="6" t="s">
        <v>69</v>
      </c>
      <c r="N1814" s="6"/>
    </row>
    <row r="1815" spans="1:14">
      <c r="A1815" s="6" t="s">
        <v>3190</v>
      </c>
      <c r="B1815" s="7">
        <v>46329</v>
      </c>
      <c r="C1815" s="6" t="s">
        <v>2717</v>
      </c>
      <c r="D1815" s="6" t="str">
        <f>IF(OR(PROPER(TRIM(Raw_Data!D1815))="Uk",PROPER(TRIM(Raw_Data!D1815))="Gb",PROPER(TRIM(Raw_Data!D1815))="United kingdom"),"United Kingdom",PROPER(TRIM(Raw_Data!D1815)))</f>
        <v>France</v>
      </c>
      <c r="E1815" s="6" t="s">
        <v>46</v>
      </c>
      <c r="F1815" s="6" t="s">
        <v>100</v>
      </c>
      <c r="G1815" s="6" t="str">
        <f>SUBSTITUTE(Raw_Data!G1815,"Ã©","é")</f>
        <v>Café Latte Mug</v>
      </c>
      <c r="H1815" s="6">
        <v>1</v>
      </c>
      <c r="I1815" s="6" t="s">
        <v>67</v>
      </c>
      <c r="J1815" s="6" t="s">
        <v>67</v>
      </c>
      <c r="K1815" s="6">
        <v>0.64</v>
      </c>
      <c r="L1815" s="6" t="s">
        <v>42</v>
      </c>
      <c r="M1815" s="6" t="s">
        <v>34</v>
      </c>
      <c r="N1815" s="6"/>
    </row>
    <row r="1816" spans="1:14">
      <c r="A1816" s="6" t="s">
        <v>3191</v>
      </c>
      <c r="B1816" s="7">
        <v>46112</v>
      </c>
      <c r="C1816" s="6" t="s">
        <v>1130</v>
      </c>
      <c r="D1816" s="6" t="str">
        <f>IF(OR(PROPER(TRIM(Raw_Data!D1816))="Uk",PROPER(TRIM(Raw_Data!D1816))="Gb",PROPER(TRIM(Raw_Data!D1816))="United kingdom"),"United Kingdom",PROPER(TRIM(Raw_Data!D1816)))</f>
        <v>United Kingdom</v>
      </c>
      <c r="E1816" s="6" t="s">
        <v>78</v>
      </c>
      <c r="F1816" s="6" t="s">
        <v>53</v>
      </c>
      <c r="G1816" s="6" t="str">
        <f>SUBSTITUTE(Raw_Data!G1816,"Ã©","é")</f>
        <v>Merino Base Layer</v>
      </c>
      <c r="H1816" s="6">
        <v>1</v>
      </c>
      <c r="I1816" s="6" t="s">
        <v>113</v>
      </c>
      <c r="J1816" s="6" t="s">
        <v>113</v>
      </c>
      <c r="K1816" s="6">
        <v>0.19</v>
      </c>
      <c r="L1816" s="6" t="s">
        <v>42</v>
      </c>
      <c r="M1816" s="6" t="s">
        <v>34</v>
      </c>
      <c r="N1816" s="6"/>
    </row>
    <row r="1817" spans="1:14">
      <c r="A1817" s="6" t="s">
        <v>3192</v>
      </c>
      <c r="B1817" s="7">
        <v>46068</v>
      </c>
      <c r="C1817" s="6" t="s">
        <v>2280</v>
      </c>
      <c r="D1817" s="6" t="str">
        <f>IF(OR(PROPER(TRIM(Raw_Data!D1817))="Uk",PROPER(TRIM(Raw_Data!D1817))="Gb",PROPER(TRIM(Raw_Data!D1817))="United kingdom"),"United Kingdom",PROPER(TRIM(Raw_Data!D1817)))</f>
        <v>United Kingdom</v>
      </c>
      <c r="E1817" s="6" t="s">
        <v>52</v>
      </c>
      <c r="F1817" s="6" t="s">
        <v>100</v>
      </c>
      <c r="G1817" s="6" t="str">
        <f>SUBSTITUTE(Raw_Data!G1817,"Ã©","é")</f>
        <v>Café Latte Mug</v>
      </c>
      <c r="H1817" s="6">
        <v>2</v>
      </c>
      <c r="I1817" s="6" t="s">
        <v>231</v>
      </c>
      <c r="J1817" s="6" t="s">
        <v>232</v>
      </c>
      <c r="K1817" s="6">
        <v>0.64</v>
      </c>
      <c r="L1817" s="6" t="s">
        <v>42</v>
      </c>
      <c r="M1817" s="6" t="s">
        <v>34</v>
      </c>
      <c r="N1817" s="6"/>
    </row>
    <row r="1818" spans="1:14">
      <c r="A1818" s="6" t="s">
        <v>3193</v>
      </c>
      <c r="B1818" s="7">
        <v>46298</v>
      </c>
      <c r="C1818" s="6" t="s">
        <v>408</v>
      </c>
      <c r="D1818" s="6" t="str">
        <f>IF(OR(PROPER(TRIM(Raw_Data!D1818))="Uk",PROPER(TRIM(Raw_Data!D1818))="Gb",PROPER(TRIM(Raw_Data!D1818))="United kingdom"),"United Kingdom",PROPER(TRIM(Raw_Data!D1818)))</f>
        <v>France</v>
      </c>
      <c r="E1818" s="6" t="s">
        <v>46</v>
      </c>
      <c r="F1818" s="6" t="s">
        <v>38</v>
      </c>
      <c r="G1818" s="6" t="str">
        <f>SUBSTITUTE(Raw_Data!G1818,"Ã©","é")</f>
        <v>Storm Overtrousers</v>
      </c>
      <c r="H1818" s="6">
        <v>1</v>
      </c>
      <c r="I1818" s="6" t="s">
        <v>82</v>
      </c>
      <c r="J1818" s="6" t="s">
        <v>82</v>
      </c>
      <c r="K1818" s="6">
        <v>0.52</v>
      </c>
      <c r="L1818" s="6" t="s">
        <v>42</v>
      </c>
      <c r="M1818" s="6" t="s">
        <v>69</v>
      </c>
      <c r="N1818" s="6"/>
    </row>
    <row r="1819" spans="1:14">
      <c r="A1819" s="6" t="s">
        <v>3194</v>
      </c>
      <c r="B1819" s="7">
        <v>46151</v>
      </c>
      <c r="C1819" s="6" t="s">
        <v>1594</v>
      </c>
      <c r="D1819" s="6" t="str">
        <f>IF(OR(PROPER(TRIM(Raw_Data!D1819))="Uk",PROPER(TRIM(Raw_Data!D1819))="Gb",PROPER(TRIM(Raw_Data!D1819))="United kingdom"),"United Kingdom",PROPER(TRIM(Raw_Data!D1819)))</f>
        <v>United Kingdom</v>
      </c>
      <c r="E1819" s="6" t="s">
        <v>28</v>
      </c>
      <c r="F1819" s="6" t="s">
        <v>38</v>
      </c>
      <c r="G1819" s="6" t="str">
        <f>SUBSTITUTE(Raw_Data!G1819,"Ã©","é")</f>
        <v>Fell Runner Cap</v>
      </c>
      <c r="H1819" s="6">
        <v>1</v>
      </c>
      <c r="I1819" s="6" t="s">
        <v>82</v>
      </c>
      <c r="J1819" s="6" t="s">
        <v>82</v>
      </c>
      <c r="K1819" s="6">
        <v>0.52</v>
      </c>
      <c r="L1819" s="6" t="s">
        <v>42</v>
      </c>
      <c r="M1819" s="6" t="s">
        <v>34</v>
      </c>
      <c r="N1819" s="6"/>
    </row>
    <row r="1820" spans="1:14">
      <c r="A1820" s="6" t="s">
        <v>3195</v>
      </c>
      <c r="B1820" s="7">
        <v>46037</v>
      </c>
      <c r="C1820" s="6" t="s">
        <v>610</v>
      </c>
      <c r="D1820" s="6" t="str">
        <f>IF(OR(PROPER(TRIM(Raw_Data!D1820))="Uk",PROPER(TRIM(Raw_Data!D1820))="Gb",PROPER(TRIM(Raw_Data!D1820))="United kingdom"),"United Kingdom",PROPER(TRIM(Raw_Data!D1820)))</f>
        <v>United Kingdom</v>
      </c>
      <c r="E1820" s="6" t="s">
        <v>46</v>
      </c>
      <c r="F1820" s="6" t="s">
        <v>94</v>
      </c>
      <c r="G1820" s="6" t="str">
        <f>SUBSTITUTE(Raw_Data!G1820,"Ã©","é")</f>
        <v>Storm Overtrousers</v>
      </c>
      <c r="H1820" s="6">
        <v>1</v>
      </c>
      <c r="I1820" s="6" t="s">
        <v>113</v>
      </c>
      <c r="J1820" s="6" t="s">
        <v>181</v>
      </c>
      <c r="K1820" s="6">
        <v>0.34</v>
      </c>
      <c r="L1820" s="6" t="s">
        <v>42</v>
      </c>
      <c r="M1820" s="6" t="s">
        <v>34</v>
      </c>
      <c r="N1820" s="6"/>
    </row>
    <row r="1821" spans="1:14">
      <c r="A1821" s="6" t="s">
        <v>3196</v>
      </c>
      <c r="B1821" s="7">
        <v>46174</v>
      </c>
      <c r="C1821" s="6" t="s">
        <v>3197</v>
      </c>
      <c r="D1821" s="6" t="str">
        <f>IF(OR(PROPER(TRIM(Raw_Data!D1821))="Uk",PROPER(TRIM(Raw_Data!D1821))="Gb",PROPER(TRIM(Raw_Data!D1821))="United kingdom"),"United Kingdom",PROPER(TRIM(Raw_Data!D1821)))</f>
        <v>United Kingdom</v>
      </c>
      <c r="E1821" s="6" t="s">
        <v>52</v>
      </c>
      <c r="F1821" s="6" t="s">
        <v>94</v>
      </c>
      <c r="G1821" s="6" t="str">
        <f>SUBSTITUTE(Raw_Data!G1821,"Ã©","é")</f>
        <v>Alpine Jacket</v>
      </c>
      <c r="H1821" s="6">
        <v>3</v>
      </c>
      <c r="I1821" s="6" t="s">
        <v>40</v>
      </c>
      <c r="J1821" s="6" t="s">
        <v>2767</v>
      </c>
      <c r="K1821" s="6">
        <v>0.34</v>
      </c>
      <c r="L1821" s="6" t="s">
        <v>42</v>
      </c>
      <c r="M1821" s="6" t="s">
        <v>69</v>
      </c>
      <c r="N1821" s="6"/>
    </row>
    <row r="1822" spans="1:14">
      <c r="A1822" s="6" t="s">
        <v>3198</v>
      </c>
      <c r="B1822" s="7">
        <v>46060</v>
      </c>
      <c r="C1822" s="6" t="s">
        <v>1163</v>
      </c>
      <c r="D1822" s="6" t="str">
        <f>IF(OR(PROPER(TRIM(Raw_Data!D1822))="Uk",PROPER(TRIM(Raw_Data!D1822))="Gb",PROPER(TRIM(Raw_Data!D1822))="United kingdom"),"United Kingdom",PROPER(TRIM(Raw_Data!D1822)))</f>
        <v>United Kingdom</v>
      </c>
      <c r="E1822" s="6" t="s">
        <v>37</v>
      </c>
      <c r="F1822" s="6" t="s">
        <v>94</v>
      </c>
      <c r="G1822" s="6" t="str">
        <f>SUBSTITUTE(Raw_Data!G1822,"Ã©","é")</f>
        <v>Trail Softshell</v>
      </c>
      <c r="H1822" s="6">
        <v>2</v>
      </c>
      <c r="I1822" s="6" t="s">
        <v>40</v>
      </c>
      <c r="J1822" s="6" t="s">
        <v>3199</v>
      </c>
      <c r="K1822" s="6">
        <v>0.34</v>
      </c>
      <c r="L1822" s="6" t="s">
        <v>42</v>
      </c>
      <c r="M1822" s="6" t="s">
        <v>34</v>
      </c>
      <c r="N1822" s="6"/>
    </row>
    <row r="1823" spans="1:14">
      <c r="A1823" s="6" t="s">
        <v>3200</v>
      </c>
      <c r="B1823" s="7">
        <v>46166</v>
      </c>
      <c r="C1823" s="6" t="s">
        <v>714</v>
      </c>
      <c r="D1823" s="6" t="str">
        <f>IF(OR(PROPER(TRIM(Raw_Data!D1823))="Uk",PROPER(TRIM(Raw_Data!D1823))="Gb",PROPER(TRIM(Raw_Data!D1823))="United kingdom"),"United Kingdom",PROPER(TRIM(Raw_Data!D1823)))</f>
        <v>Germany</v>
      </c>
      <c r="E1823" s="6" t="s">
        <v>52</v>
      </c>
      <c r="F1823" s="6" t="s">
        <v>94</v>
      </c>
      <c r="G1823" s="6" t="str">
        <f>SUBSTITUTE(Raw_Data!G1823,"Ã©","é")</f>
        <v>Trekking Poles</v>
      </c>
      <c r="H1823" s="6">
        <v>1</v>
      </c>
      <c r="I1823" s="6" t="s">
        <v>79</v>
      </c>
      <c r="J1823" s="6" t="s">
        <v>79</v>
      </c>
      <c r="K1823" s="6">
        <v>0.34</v>
      </c>
      <c r="L1823" s="6" t="s">
        <v>42</v>
      </c>
      <c r="M1823" s="6" t="s">
        <v>34</v>
      </c>
      <c r="N1823" s="6"/>
    </row>
    <row r="1824" spans="1:14">
      <c r="A1824" s="6" t="s">
        <v>3201</v>
      </c>
      <c r="B1824" s="7">
        <v>46144</v>
      </c>
      <c r="C1824" s="6" t="s">
        <v>2333</v>
      </c>
      <c r="D1824" s="6" t="str">
        <f>IF(OR(PROPER(TRIM(Raw_Data!D1824))="Uk",PROPER(TRIM(Raw_Data!D1824))="Gb",PROPER(TRIM(Raw_Data!D1824))="United kingdom"),"United Kingdom",PROPER(TRIM(Raw_Data!D1824)))</f>
        <v>United Kingdom</v>
      </c>
      <c r="E1824" s="6" t="s">
        <v>28</v>
      </c>
      <c r="F1824" s="6" t="s">
        <v>53</v>
      </c>
      <c r="G1824" s="6" t="str">
        <f>SUBSTITUTE(Raw_Data!G1824,"Ã©","é")</f>
        <v>Trail Softshell</v>
      </c>
      <c r="H1824" s="6">
        <v>1</v>
      </c>
      <c r="I1824" s="6" t="s">
        <v>143</v>
      </c>
      <c r="J1824" s="6" t="s">
        <v>143</v>
      </c>
      <c r="K1824" s="6">
        <v>0.19</v>
      </c>
      <c r="L1824" s="6" t="s">
        <v>42</v>
      </c>
      <c r="M1824" s="6" t="s">
        <v>69</v>
      </c>
      <c r="N1824" s="6"/>
    </row>
    <row r="1825" spans="1:14">
      <c r="A1825" s="6" t="s">
        <v>3202</v>
      </c>
      <c r="B1825" s="7">
        <v>46134</v>
      </c>
      <c r="C1825" s="6" t="s">
        <v>2137</v>
      </c>
      <c r="D1825" s="6" t="str">
        <f>IF(OR(PROPER(TRIM(Raw_Data!D1825))="Uk",PROPER(TRIM(Raw_Data!D1825))="Gb",PROPER(TRIM(Raw_Data!D1825))="United kingdom"),"United Kingdom",PROPER(TRIM(Raw_Data!D1825)))</f>
        <v>United Kingdom</v>
      </c>
      <c r="E1825" s="6" t="s">
        <v>46</v>
      </c>
      <c r="F1825" s="6" t="s">
        <v>94</v>
      </c>
      <c r="G1825" s="6" t="str">
        <f>SUBSTITUTE(Raw_Data!G1825,"Ã©","é")</f>
        <v>Storm Overtrousers</v>
      </c>
      <c r="H1825" s="6">
        <v>1</v>
      </c>
      <c r="I1825" s="6" t="s">
        <v>60</v>
      </c>
      <c r="J1825" s="6" t="s">
        <v>60</v>
      </c>
      <c r="K1825" s="6">
        <v>0.34</v>
      </c>
      <c r="L1825" s="6" t="s">
        <v>42</v>
      </c>
      <c r="M1825" s="6" t="s">
        <v>34</v>
      </c>
      <c r="N1825" s="6"/>
    </row>
    <row r="1826" spans="1:14">
      <c r="A1826" s="6" t="s">
        <v>3203</v>
      </c>
      <c r="B1826" s="7">
        <v>46045</v>
      </c>
      <c r="C1826" s="6" t="s">
        <v>1742</v>
      </c>
      <c r="D1826" s="6" t="str">
        <f>IF(OR(PROPER(TRIM(Raw_Data!D1826))="Uk",PROPER(TRIM(Raw_Data!D1826))="Gb",PROPER(TRIM(Raw_Data!D1826))="United kingdom"),"United Kingdom",PROPER(TRIM(Raw_Data!D1826)))</f>
        <v>United Kingdom</v>
      </c>
      <c r="E1826" s="6" t="s">
        <v>28</v>
      </c>
      <c r="F1826" s="6" t="s">
        <v>29</v>
      </c>
      <c r="G1826" s="6" t="str">
        <f>SUBSTITUTE(Raw_Data!G1826,"Ã©","é")</f>
        <v>Café Latte Mug</v>
      </c>
      <c r="H1826" s="6">
        <v>1</v>
      </c>
      <c r="I1826" s="6" t="s">
        <v>231</v>
      </c>
      <c r="J1826" s="6" t="s">
        <v>231</v>
      </c>
      <c r="K1826" s="6">
        <v>0.52</v>
      </c>
      <c r="L1826" s="6" t="s">
        <v>42</v>
      </c>
      <c r="M1826" s="6" t="s">
        <v>34</v>
      </c>
      <c r="N1826" s="6"/>
    </row>
    <row r="1827" spans="1:14">
      <c r="A1827" s="6" t="s">
        <v>3204</v>
      </c>
      <c r="B1827" s="7">
        <v>46167</v>
      </c>
      <c r="C1827" s="6" t="s">
        <v>1651</v>
      </c>
      <c r="D1827" s="6" t="str">
        <f>IF(OR(PROPER(TRIM(Raw_Data!D1827))="Uk",PROPER(TRIM(Raw_Data!D1827))="Gb",PROPER(TRIM(Raw_Data!D1827))="United kingdom"),"United Kingdom",PROPER(TRIM(Raw_Data!D1827)))</f>
        <v>United Kingdom</v>
      </c>
      <c r="E1827" s="6" t="s">
        <v>78</v>
      </c>
      <c r="F1827" s="6" t="s">
        <v>38</v>
      </c>
      <c r="G1827" s="6" t="str">
        <f>SUBSTITUTE(Raw_Data!G1827,"Ã©","é")</f>
        <v>Café Latte Mug</v>
      </c>
      <c r="H1827" s="6">
        <v>1</v>
      </c>
      <c r="I1827" s="6" t="s">
        <v>79</v>
      </c>
      <c r="J1827" s="6" t="s">
        <v>79</v>
      </c>
      <c r="K1827" s="6">
        <v>0.52</v>
      </c>
      <c r="L1827" s="6" t="s">
        <v>42</v>
      </c>
      <c r="M1827" s="6" t="s">
        <v>34</v>
      </c>
      <c r="N1827" s="6"/>
    </row>
    <row r="1828" spans="1:14">
      <c r="A1828" s="6" t="s">
        <v>3205</v>
      </c>
      <c r="B1828" s="7">
        <v>46331</v>
      </c>
      <c r="C1828" s="6" t="s">
        <v>869</v>
      </c>
      <c r="D1828" s="6" t="str">
        <f>IF(OR(PROPER(TRIM(Raw_Data!D1828))="Uk",PROPER(TRIM(Raw_Data!D1828))="Gb",PROPER(TRIM(Raw_Data!D1828))="United kingdom"),"United Kingdom",PROPER(TRIM(Raw_Data!D1828)))</f>
        <v>Ireland</v>
      </c>
      <c r="E1828" s="6" t="s">
        <v>52</v>
      </c>
      <c r="F1828" s="6" t="s">
        <v>85</v>
      </c>
      <c r="G1828" s="6" t="str">
        <f>SUBSTITUTE(Raw_Data!G1828,"Ã©","é")</f>
        <v>Trail Softshell</v>
      </c>
      <c r="H1828" s="6">
        <v>2</v>
      </c>
      <c r="I1828" s="6" t="s">
        <v>231</v>
      </c>
      <c r="J1828" s="6" t="s">
        <v>232</v>
      </c>
      <c r="K1828" s="6">
        <v>0.41</v>
      </c>
      <c r="L1828" s="6" t="s">
        <v>42</v>
      </c>
      <c r="M1828" s="6" t="s">
        <v>34</v>
      </c>
      <c r="N1828" s="6"/>
    </row>
    <row r="1829" spans="1:14">
      <c r="A1829" s="6" t="s">
        <v>3206</v>
      </c>
      <c r="B1829" s="7">
        <v>46076</v>
      </c>
      <c r="C1829" s="6" t="s">
        <v>1369</v>
      </c>
      <c r="D1829" s="6" t="str">
        <f>IF(OR(PROPER(TRIM(Raw_Data!D1829))="Uk",PROPER(TRIM(Raw_Data!D1829))="Gb",PROPER(TRIM(Raw_Data!D1829))="United kingdom"),"United Kingdom",PROPER(TRIM(Raw_Data!D1829)))</f>
        <v>United Kingdom</v>
      </c>
      <c r="E1829" s="6" t="s">
        <v>37</v>
      </c>
      <c r="F1829" s="6" t="s">
        <v>94</v>
      </c>
      <c r="G1829" s="6" t="str">
        <f>SUBSTITUTE(Raw_Data!G1829,"Ã©","é")</f>
        <v>Summit Down Gilet</v>
      </c>
      <c r="H1829" s="6">
        <v>2</v>
      </c>
      <c r="I1829" s="6" t="s">
        <v>82</v>
      </c>
      <c r="J1829" s="6" t="s">
        <v>297</v>
      </c>
      <c r="K1829" s="6">
        <v>0.34</v>
      </c>
      <c r="L1829" s="6" t="s">
        <v>42</v>
      </c>
      <c r="M1829" s="6" t="s">
        <v>69</v>
      </c>
      <c r="N1829" s="6"/>
    </row>
    <row r="1830" spans="1:14">
      <c r="A1830" s="6" t="s">
        <v>3207</v>
      </c>
      <c r="B1830" s="7">
        <v>46165</v>
      </c>
      <c r="C1830" s="6" t="s">
        <v>3208</v>
      </c>
      <c r="D1830" s="6" t="str">
        <f>IF(OR(PROPER(TRIM(Raw_Data!D1830))="Uk",PROPER(TRIM(Raw_Data!D1830))="Gb",PROPER(TRIM(Raw_Data!D1830))="United kingdom"),"United Kingdom",PROPER(TRIM(Raw_Data!D1830)))</f>
        <v>United Kingdom</v>
      </c>
      <c r="E1830" s="6" t="s">
        <v>52</v>
      </c>
      <c r="F1830" s="6" t="s">
        <v>47</v>
      </c>
      <c r="G1830" s="6" t="str">
        <f>SUBSTITUTE(Raw_Data!G1830,"Ã©","é")</f>
        <v>Trail Softshell</v>
      </c>
      <c r="H1830" s="6">
        <v>1</v>
      </c>
      <c r="I1830" s="6" t="s">
        <v>90</v>
      </c>
      <c r="J1830" s="6" t="s">
        <v>90</v>
      </c>
      <c r="K1830" s="6">
        <v>8.5000000000000006E-2</v>
      </c>
      <c r="L1830" s="6" t="s">
        <v>42</v>
      </c>
      <c r="M1830" s="6" t="s">
        <v>34</v>
      </c>
      <c r="N1830" s="6"/>
    </row>
    <row r="1831" spans="1:14">
      <c r="A1831" s="6" t="s">
        <v>3209</v>
      </c>
      <c r="B1831" s="7">
        <v>46079</v>
      </c>
      <c r="C1831" s="6" t="s">
        <v>2802</v>
      </c>
      <c r="D1831" s="6" t="str">
        <f>IF(OR(PROPER(TRIM(Raw_Data!D1831))="Uk",PROPER(TRIM(Raw_Data!D1831))="Gb",PROPER(TRIM(Raw_Data!D1831))="United kingdom"),"United Kingdom",PROPER(TRIM(Raw_Data!D1831)))</f>
        <v>France</v>
      </c>
      <c r="E1831" s="6" t="s">
        <v>46</v>
      </c>
      <c r="F1831" s="6" t="s">
        <v>53</v>
      </c>
      <c r="G1831" s="6" t="str">
        <f>SUBSTITUTE(Raw_Data!G1831,"Ã©","é")</f>
        <v>Trail Softshell</v>
      </c>
      <c r="H1831" s="6">
        <v>3</v>
      </c>
      <c r="I1831" s="6" t="s">
        <v>117</v>
      </c>
      <c r="J1831" s="6" t="s">
        <v>171</v>
      </c>
      <c r="K1831" s="6">
        <v>0.19</v>
      </c>
      <c r="L1831" s="6" t="s">
        <v>42</v>
      </c>
      <c r="M1831" s="6" t="s">
        <v>34</v>
      </c>
      <c r="N1831" s="6"/>
    </row>
    <row r="1832" spans="1:14">
      <c r="A1832" s="6" t="s">
        <v>3210</v>
      </c>
      <c r="B1832" s="7">
        <v>46028</v>
      </c>
      <c r="C1832" s="6" t="s">
        <v>3211</v>
      </c>
      <c r="D1832" s="6" t="str">
        <f>IF(OR(PROPER(TRIM(Raw_Data!D1832))="Uk",PROPER(TRIM(Raw_Data!D1832))="Gb",PROPER(TRIM(Raw_Data!D1832))="United kingdom"),"United Kingdom",PROPER(TRIM(Raw_Data!D1832)))</f>
        <v>United Kingdom</v>
      </c>
      <c r="E1832" s="6" t="s">
        <v>52</v>
      </c>
      <c r="F1832" s="6" t="s">
        <v>58</v>
      </c>
      <c r="G1832" s="6" t="str">
        <f>SUBSTITUTE(Raw_Data!G1832,"Ã©","é")</f>
        <v>Fell Runner Cap</v>
      </c>
      <c r="H1832" s="6">
        <v>2</v>
      </c>
      <c r="I1832" s="6" t="s">
        <v>113</v>
      </c>
      <c r="J1832" s="6" t="s">
        <v>192</v>
      </c>
      <c r="K1832" s="6">
        <v>0.38</v>
      </c>
      <c r="L1832" s="6" t="s">
        <v>42</v>
      </c>
      <c r="M1832" s="6" t="s">
        <v>34</v>
      </c>
      <c r="N1832" s="6"/>
    </row>
    <row r="1833" spans="1:14">
      <c r="A1833" s="6" t="s">
        <v>3212</v>
      </c>
      <c r="B1833" s="7">
        <v>46133</v>
      </c>
      <c r="C1833" s="6" t="s">
        <v>1769</v>
      </c>
      <c r="D1833" s="6" t="str">
        <f>IF(OR(PROPER(TRIM(Raw_Data!D1833))="Uk",PROPER(TRIM(Raw_Data!D1833))="Gb",PROPER(TRIM(Raw_Data!D1833))="United kingdom"),"United Kingdom",PROPER(TRIM(Raw_Data!D1833)))</f>
        <v>United Kingdom</v>
      </c>
      <c r="E1833" s="6" t="s">
        <v>46</v>
      </c>
      <c r="F1833" s="6" t="s">
        <v>100</v>
      </c>
      <c r="G1833" s="6" t="str">
        <f>SUBSTITUTE(Raw_Data!G1833,"Ã©","é")</f>
        <v>Storm Overtrousers</v>
      </c>
      <c r="H1833" s="6">
        <v>2</v>
      </c>
      <c r="I1833" s="6" t="s">
        <v>40</v>
      </c>
      <c r="J1833" s="6" t="s">
        <v>3199</v>
      </c>
      <c r="K1833" s="6">
        <v>0.64</v>
      </c>
      <c r="L1833" s="6" t="s">
        <v>33</v>
      </c>
      <c r="M1833" s="6" t="s">
        <v>34</v>
      </c>
      <c r="N1833" s="6"/>
    </row>
    <row r="1834" spans="1:14">
      <c r="A1834" s="6" t="s">
        <v>3213</v>
      </c>
      <c r="B1834" s="7">
        <v>46053</v>
      </c>
      <c r="C1834" s="6" t="s">
        <v>1557</v>
      </c>
      <c r="D1834" s="6" t="str">
        <f>IF(OR(PROPER(TRIM(Raw_Data!D1834))="Uk",PROPER(TRIM(Raw_Data!D1834))="Gb",PROPER(TRIM(Raw_Data!D1834))="United kingdom"),"United Kingdom",PROPER(TRIM(Raw_Data!D1834)))</f>
        <v>Ireland</v>
      </c>
      <c r="E1834" s="6" t="s">
        <v>46</v>
      </c>
      <c r="F1834" s="6" t="s">
        <v>58</v>
      </c>
      <c r="G1834" s="6" t="str">
        <f>SUBSTITUTE(Raw_Data!G1834,"Ã©","é")</f>
        <v>Alpine Jacket</v>
      </c>
      <c r="H1834" s="6">
        <v>1</v>
      </c>
      <c r="I1834" s="6" t="s">
        <v>143</v>
      </c>
      <c r="J1834" s="6" t="s">
        <v>143</v>
      </c>
      <c r="K1834" s="6">
        <v>0.38</v>
      </c>
      <c r="L1834" s="6" t="s">
        <v>42</v>
      </c>
      <c r="M1834" s="6" t="s">
        <v>34</v>
      </c>
      <c r="N1834" s="6"/>
    </row>
    <row r="1835" spans="1:14">
      <c r="A1835" s="6" t="s">
        <v>3214</v>
      </c>
      <c r="B1835" s="7">
        <v>46042</v>
      </c>
      <c r="C1835" s="6" t="s">
        <v>3215</v>
      </c>
      <c r="D1835" s="6" t="str">
        <f>IF(OR(PROPER(TRIM(Raw_Data!D1835))="Uk",PROPER(TRIM(Raw_Data!D1835))="Gb",PROPER(TRIM(Raw_Data!D1835))="United kingdom"),"United Kingdom",PROPER(TRIM(Raw_Data!D1835)))</f>
        <v>United Kingdom</v>
      </c>
      <c r="E1835" s="6" t="s">
        <v>46</v>
      </c>
      <c r="F1835" s="6" t="s">
        <v>85</v>
      </c>
      <c r="G1835" s="6" t="str">
        <f>SUBSTITUTE(Raw_Data!G1835,"Ã©","é")</f>
        <v>Merino Base Layer</v>
      </c>
      <c r="H1835" s="6">
        <v>2</v>
      </c>
      <c r="I1835" s="6" t="s">
        <v>90</v>
      </c>
      <c r="J1835" s="6" t="s">
        <v>154</v>
      </c>
      <c r="K1835" s="6">
        <v>0.41</v>
      </c>
      <c r="L1835" s="6" t="s">
        <v>33</v>
      </c>
      <c r="M1835" s="6" t="s">
        <v>34</v>
      </c>
      <c r="N1835" s="6"/>
    </row>
    <row r="1836" spans="1:14">
      <c r="A1836" s="6" t="s">
        <v>3216</v>
      </c>
      <c r="B1836" s="7">
        <v>46197</v>
      </c>
      <c r="C1836" s="6" t="s">
        <v>2923</v>
      </c>
      <c r="D1836" s="6" t="str">
        <f>IF(OR(PROPER(TRIM(Raw_Data!D1836))="Uk",PROPER(TRIM(Raw_Data!D1836))="Gb",PROPER(TRIM(Raw_Data!D1836))="United kingdom"),"United Kingdom",PROPER(TRIM(Raw_Data!D1836)))</f>
        <v>United Kingdom</v>
      </c>
      <c r="E1836" s="6" t="s">
        <v>46</v>
      </c>
      <c r="F1836" s="6" t="s">
        <v>94</v>
      </c>
      <c r="G1836" s="6" t="str">
        <f>SUBSTITUTE(Raw_Data!G1836,"Ã©","é")</f>
        <v>Storm Overtrousers</v>
      </c>
      <c r="H1836" s="6">
        <v>2</v>
      </c>
      <c r="I1836" s="6" t="s">
        <v>147</v>
      </c>
      <c r="J1836" s="6" t="s">
        <v>175</v>
      </c>
      <c r="K1836" s="6">
        <v>0.34</v>
      </c>
      <c r="L1836" s="6" t="s">
        <v>42</v>
      </c>
      <c r="M1836" s="6" t="s">
        <v>34</v>
      </c>
      <c r="N1836" s="6"/>
    </row>
    <row r="1837" spans="1:14">
      <c r="A1837" s="6" t="s">
        <v>3217</v>
      </c>
      <c r="B1837" s="7">
        <v>46149</v>
      </c>
      <c r="C1837" s="6" t="s">
        <v>3218</v>
      </c>
      <c r="D1837" s="6" t="str">
        <f>IF(OR(PROPER(TRIM(Raw_Data!D1837))="Uk",PROPER(TRIM(Raw_Data!D1837))="Gb",PROPER(TRIM(Raw_Data!D1837))="United kingdom"),"United Kingdom",PROPER(TRIM(Raw_Data!D1837)))</f>
        <v>United Kingdom</v>
      </c>
      <c r="E1837" s="6" t="s">
        <v>78</v>
      </c>
      <c r="F1837" s="6" t="s">
        <v>38</v>
      </c>
      <c r="G1837" s="6" t="str">
        <f>SUBSTITUTE(Raw_Data!G1837,"Ã©","é")</f>
        <v>Alpine Jacket</v>
      </c>
      <c r="H1837" s="6">
        <v>1</v>
      </c>
      <c r="I1837" s="6" t="s">
        <v>82</v>
      </c>
      <c r="J1837" s="6" t="s">
        <v>82</v>
      </c>
      <c r="K1837" s="6">
        <v>0.52</v>
      </c>
      <c r="L1837" s="6" t="s">
        <v>42</v>
      </c>
      <c r="M1837" s="6" t="s">
        <v>34</v>
      </c>
      <c r="N1837" s="6"/>
    </row>
    <row r="1838" spans="1:14">
      <c r="A1838" s="6" t="s">
        <v>3219</v>
      </c>
      <c r="B1838" s="7">
        <v>46073</v>
      </c>
      <c r="C1838" s="6" t="s">
        <v>585</v>
      </c>
      <c r="D1838" s="6" t="str">
        <f>IF(OR(PROPER(TRIM(Raw_Data!D1838))="Uk",PROPER(TRIM(Raw_Data!D1838))="Gb",PROPER(TRIM(Raw_Data!D1838))="United kingdom"),"United Kingdom",PROPER(TRIM(Raw_Data!D1838)))</f>
        <v>Germany</v>
      </c>
      <c r="E1838" s="6" t="s">
        <v>52</v>
      </c>
      <c r="F1838" s="6" t="s">
        <v>100</v>
      </c>
      <c r="G1838" s="6" t="str">
        <f>SUBSTITUTE(Raw_Data!G1838,"Ã©","é")</f>
        <v>Trail Softshell</v>
      </c>
      <c r="H1838" s="6">
        <v>2</v>
      </c>
      <c r="I1838" s="6" t="s">
        <v>265</v>
      </c>
      <c r="J1838" s="6" t="s">
        <v>636</v>
      </c>
      <c r="K1838" s="6">
        <v>0.64</v>
      </c>
      <c r="L1838" s="6" t="s">
        <v>42</v>
      </c>
      <c r="M1838" s="6" t="s">
        <v>34</v>
      </c>
      <c r="N1838" s="6"/>
    </row>
    <row r="1839" spans="1:14">
      <c r="A1839" s="6" t="s">
        <v>3220</v>
      </c>
      <c r="B1839" s="7">
        <v>46196</v>
      </c>
      <c r="C1839" s="6" t="s">
        <v>881</v>
      </c>
      <c r="D1839" s="6" t="str">
        <f>IF(OR(PROPER(TRIM(Raw_Data!D1839))="Uk",PROPER(TRIM(Raw_Data!D1839))="Gb",PROPER(TRIM(Raw_Data!D1839))="United kingdom"),"United Kingdom",PROPER(TRIM(Raw_Data!D1839)))</f>
        <v>United Kingdom</v>
      </c>
      <c r="E1839" s="6" t="s">
        <v>52</v>
      </c>
      <c r="F1839" s="6" t="s">
        <v>94</v>
      </c>
      <c r="G1839" s="6" t="str">
        <f>SUBSTITUTE(Raw_Data!G1839,"Ã©","é")</f>
        <v>Trail Softshell</v>
      </c>
      <c r="H1839" s="6">
        <v>1</v>
      </c>
      <c r="I1839" s="6" t="s">
        <v>117</v>
      </c>
      <c r="J1839" s="6" t="s">
        <v>117</v>
      </c>
      <c r="K1839" s="6">
        <v>0.34</v>
      </c>
      <c r="L1839" s="6" t="s">
        <v>42</v>
      </c>
      <c r="M1839" s="6" t="s">
        <v>34</v>
      </c>
      <c r="N1839" s="6"/>
    </row>
    <row r="1840" spans="1:14">
      <c r="A1840" s="6" t="s">
        <v>3221</v>
      </c>
      <c r="B1840" s="7">
        <v>46044</v>
      </c>
      <c r="C1840" s="6" t="s">
        <v>2475</v>
      </c>
      <c r="D1840" s="6" t="str">
        <f>IF(OR(PROPER(TRIM(Raw_Data!D1840))="Uk",PROPER(TRIM(Raw_Data!D1840))="Gb",PROPER(TRIM(Raw_Data!D1840))="United kingdom"),"United Kingdom",PROPER(TRIM(Raw_Data!D1840)))</f>
        <v>Ireland</v>
      </c>
      <c r="E1840" s="6" t="s">
        <v>52</v>
      </c>
      <c r="F1840" s="6" t="s">
        <v>38</v>
      </c>
      <c r="G1840" s="6" t="str">
        <f>SUBSTITUTE(Raw_Data!G1840,"Ã©","é")</f>
        <v>Café Latte Mug</v>
      </c>
      <c r="H1840" s="6">
        <v>1</v>
      </c>
      <c r="I1840" s="6" t="s">
        <v>73</v>
      </c>
      <c r="J1840" s="6" t="s">
        <v>73</v>
      </c>
      <c r="K1840" s="6">
        <v>0.52</v>
      </c>
      <c r="L1840" s="6" t="s">
        <v>33</v>
      </c>
      <c r="M1840" s="6" t="s">
        <v>69</v>
      </c>
      <c r="N1840" s="6"/>
    </row>
    <row r="1841" spans="1:14">
      <c r="A1841" s="6" t="s">
        <v>3222</v>
      </c>
      <c r="B1841" s="7">
        <v>46045</v>
      </c>
      <c r="C1841" s="6" t="s">
        <v>3223</v>
      </c>
      <c r="D1841" s="6" t="str">
        <f>IF(OR(PROPER(TRIM(Raw_Data!D1841))="Uk",PROPER(TRIM(Raw_Data!D1841))="Gb",PROPER(TRIM(Raw_Data!D1841))="United kingdom"),"United Kingdom",PROPER(TRIM(Raw_Data!D1841)))</f>
        <v>United Kingdom</v>
      </c>
      <c r="E1841" s="6" t="s">
        <v>46</v>
      </c>
      <c r="F1841" s="6" t="s">
        <v>29</v>
      </c>
      <c r="G1841" s="6" t="str">
        <f>SUBSTITUTE(Raw_Data!G1841,"Ã©","é")</f>
        <v>Café Latte Mug</v>
      </c>
      <c r="H1841" s="6">
        <v>2</v>
      </c>
      <c r="I1841" s="6" t="s">
        <v>113</v>
      </c>
      <c r="J1841" s="6" t="s">
        <v>192</v>
      </c>
      <c r="K1841" s="6">
        <v>0.52</v>
      </c>
      <c r="L1841" s="6" t="s">
        <v>42</v>
      </c>
      <c r="M1841" s="6" t="s">
        <v>34</v>
      </c>
      <c r="N1841" s="6"/>
    </row>
    <row r="1842" spans="1:14">
      <c r="A1842" s="6" t="s">
        <v>3224</v>
      </c>
      <c r="B1842" s="7">
        <v>46238</v>
      </c>
      <c r="C1842" s="6" t="s">
        <v>1373</v>
      </c>
      <c r="D1842" s="6" t="str">
        <f>IF(OR(PROPER(TRIM(Raw_Data!D1842))="Uk",PROPER(TRIM(Raw_Data!D1842))="Gb",PROPER(TRIM(Raw_Data!D1842))="United kingdom"),"United Kingdom",PROPER(TRIM(Raw_Data!D1842)))</f>
        <v>Germany</v>
      </c>
      <c r="E1842" s="6" t="s">
        <v>52</v>
      </c>
      <c r="F1842" s="6" t="s">
        <v>94</v>
      </c>
      <c r="G1842" s="6" t="str">
        <f>SUBSTITUTE(Raw_Data!G1842,"Ã©","é")</f>
        <v>Café Latte Mug</v>
      </c>
      <c r="H1842" s="6">
        <v>2</v>
      </c>
      <c r="I1842" s="6" t="s">
        <v>31</v>
      </c>
      <c r="J1842" s="6" t="s">
        <v>249</v>
      </c>
      <c r="K1842" s="6">
        <v>0.34</v>
      </c>
      <c r="L1842" s="6" t="s">
        <v>42</v>
      </c>
      <c r="M1842" s="6" t="s">
        <v>34</v>
      </c>
      <c r="N1842" s="6"/>
    </row>
    <row r="1843" spans="1:14">
      <c r="A1843" s="6" t="s">
        <v>3225</v>
      </c>
      <c r="B1843" s="7">
        <v>46062</v>
      </c>
      <c r="C1843" s="6" t="s">
        <v>153</v>
      </c>
      <c r="D1843" s="6" t="str">
        <f>IF(OR(PROPER(TRIM(Raw_Data!D1843))="Uk",PROPER(TRIM(Raw_Data!D1843))="Gb",PROPER(TRIM(Raw_Data!D1843))="United kingdom"),"United Kingdom",PROPER(TRIM(Raw_Data!D1843)))</f>
        <v>United Kingdom</v>
      </c>
      <c r="E1843" s="6" t="s">
        <v>37</v>
      </c>
      <c r="F1843" s="6" t="s">
        <v>29</v>
      </c>
      <c r="G1843" s="6" t="str">
        <f>SUBSTITUTE(Raw_Data!G1843,"Ã©","é")</f>
        <v>Café Latte Mug</v>
      </c>
      <c r="H1843" s="6">
        <v>2</v>
      </c>
      <c r="I1843" s="6" t="s">
        <v>31</v>
      </c>
      <c r="J1843" s="6" t="s">
        <v>249</v>
      </c>
      <c r="K1843" s="6">
        <v>0.52</v>
      </c>
      <c r="L1843" s="6" t="s">
        <v>42</v>
      </c>
      <c r="M1843" s="6" t="s">
        <v>34</v>
      </c>
      <c r="N1843" s="6"/>
    </row>
    <row r="1844" spans="1:14">
      <c r="A1844" s="6" t="s">
        <v>3226</v>
      </c>
      <c r="B1844" s="7">
        <v>46078</v>
      </c>
      <c r="C1844" s="6" t="s">
        <v>3006</v>
      </c>
      <c r="D1844" s="6" t="str">
        <f>IF(OR(PROPER(TRIM(Raw_Data!D1844))="Uk",PROPER(TRIM(Raw_Data!D1844))="Gb",PROPER(TRIM(Raw_Data!D1844))="United kingdom"),"United Kingdom",PROPER(TRIM(Raw_Data!D1844)))</f>
        <v>United Kingdom</v>
      </c>
      <c r="E1844" s="6" t="s">
        <v>37</v>
      </c>
      <c r="F1844" s="6" t="s">
        <v>53</v>
      </c>
      <c r="G1844" s="6" t="str">
        <f>SUBSTITUTE(Raw_Data!G1844,"Ã©","é")</f>
        <v>Merino Base Layer</v>
      </c>
      <c r="H1844" s="6">
        <v>2</v>
      </c>
      <c r="I1844" s="6" t="s">
        <v>67</v>
      </c>
      <c r="J1844" s="6" t="s">
        <v>204</v>
      </c>
      <c r="K1844" s="6">
        <v>0.19</v>
      </c>
      <c r="L1844" s="6" t="s">
        <v>42</v>
      </c>
      <c r="M1844" s="6" t="s">
        <v>34</v>
      </c>
      <c r="N1844" s="6"/>
    </row>
    <row r="1845" spans="1:14">
      <c r="A1845" s="6" t="s">
        <v>3227</v>
      </c>
      <c r="B1845" s="7">
        <v>46239</v>
      </c>
      <c r="C1845" s="6" t="s">
        <v>1104</v>
      </c>
      <c r="D1845" s="6" t="str">
        <f>IF(OR(PROPER(TRIM(Raw_Data!D1845))="Uk",PROPER(TRIM(Raw_Data!D1845))="Gb",PROPER(TRIM(Raw_Data!D1845))="United kingdom"),"United Kingdom",PROPER(TRIM(Raw_Data!D1845)))</f>
        <v>United Kingdom</v>
      </c>
      <c r="E1845" s="6" t="s">
        <v>46</v>
      </c>
      <c r="F1845" s="6" t="s">
        <v>53</v>
      </c>
      <c r="G1845" s="6" t="str">
        <f>SUBSTITUTE(Raw_Data!G1845,"Ã©","é")</f>
        <v>Café Latte Mug</v>
      </c>
      <c r="H1845" s="6">
        <v>-1</v>
      </c>
      <c r="I1845" s="6" t="s">
        <v>79</v>
      </c>
      <c r="J1845" s="8" t="s">
        <v>1737</v>
      </c>
      <c r="K1845" s="6">
        <v>0.19</v>
      </c>
      <c r="L1845" s="6" t="s">
        <v>42</v>
      </c>
      <c r="M1845" s="6" t="s">
        <v>34</v>
      </c>
      <c r="N1845" s="6"/>
    </row>
    <row r="1846" spans="1:14">
      <c r="A1846" s="6" t="s">
        <v>3228</v>
      </c>
      <c r="B1846" s="7">
        <v>46044</v>
      </c>
      <c r="C1846" s="6" t="s">
        <v>723</v>
      </c>
      <c r="D1846" s="6" t="str">
        <f>IF(OR(PROPER(TRIM(Raw_Data!D1846))="Uk",PROPER(TRIM(Raw_Data!D1846))="Gb",PROPER(TRIM(Raw_Data!D1846))="United kingdom"),"United Kingdom",PROPER(TRIM(Raw_Data!D1846)))</f>
        <v>United Kingdom</v>
      </c>
      <c r="E1846" s="6" t="s">
        <v>52</v>
      </c>
      <c r="F1846" s="6" t="s">
        <v>53</v>
      </c>
      <c r="G1846" s="6" t="str">
        <f>SUBSTITUTE(Raw_Data!G1846,"Ã©","é")</f>
        <v>Trekking Poles</v>
      </c>
      <c r="H1846" s="6">
        <v>1</v>
      </c>
      <c r="I1846" s="6" t="s">
        <v>31</v>
      </c>
      <c r="J1846" s="6" t="s">
        <v>31</v>
      </c>
      <c r="K1846" s="6">
        <v>0.19</v>
      </c>
      <c r="L1846" s="6" t="s">
        <v>42</v>
      </c>
      <c r="M1846" s="6" t="s">
        <v>34</v>
      </c>
      <c r="N1846" s="6"/>
    </row>
    <row r="1847" spans="1:14">
      <c r="A1847" s="6" t="s">
        <v>3229</v>
      </c>
      <c r="B1847" s="7">
        <v>46056</v>
      </c>
      <c r="C1847" s="6" t="s">
        <v>626</v>
      </c>
      <c r="D1847" s="6" t="str">
        <f>IF(OR(PROPER(TRIM(Raw_Data!D1847))="Uk",PROPER(TRIM(Raw_Data!D1847))="Gb",PROPER(TRIM(Raw_Data!D1847))="United kingdom"),"United Kingdom",PROPER(TRIM(Raw_Data!D1847)))</f>
        <v>United Kingdom</v>
      </c>
      <c r="E1847" s="6" t="s">
        <v>78</v>
      </c>
      <c r="F1847" s="6" t="s">
        <v>38</v>
      </c>
      <c r="G1847" s="6" t="str">
        <f>SUBSTITUTE(Raw_Data!G1847,"Ã©","é")</f>
        <v>Trail Softshell</v>
      </c>
      <c r="H1847" s="6">
        <v>1</v>
      </c>
      <c r="I1847" s="6" t="s">
        <v>265</v>
      </c>
      <c r="J1847" s="6" t="s">
        <v>265</v>
      </c>
      <c r="K1847" s="6">
        <v>0.52</v>
      </c>
      <c r="L1847" s="6" t="s">
        <v>42</v>
      </c>
      <c r="M1847" s="6" t="s">
        <v>34</v>
      </c>
      <c r="N1847" s="6"/>
    </row>
    <row r="1848" spans="1:14">
      <c r="A1848" s="6" t="s">
        <v>3230</v>
      </c>
      <c r="B1848" s="7">
        <v>46040</v>
      </c>
      <c r="C1848" s="6" t="s">
        <v>2137</v>
      </c>
      <c r="D1848" s="6" t="str">
        <f>IF(OR(PROPER(TRIM(Raw_Data!D1848))="Uk",PROPER(TRIM(Raw_Data!D1848))="Gb",PROPER(TRIM(Raw_Data!D1848))="United kingdom"),"United Kingdom",PROPER(TRIM(Raw_Data!D1848)))</f>
        <v>United Kingdom</v>
      </c>
      <c r="E1848" s="6" t="s">
        <v>78</v>
      </c>
      <c r="F1848" s="6" t="s">
        <v>53</v>
      </c>
      <c r="G1848" s="6" t="str">
        <f>SUBSTITUTE(Raw_Data!G1848,"Ã©","é")</f>
        <v>Storm Overtrousers</v>
      </c>
      <c r="H1848" s="6">
        <v>2</v>
      </c>
      <c r="I1848" s="6" t="s">
        <v>67</v>
      </c>
      <c r="J1848" s="6" t="s">
        <v>204</v>
      </c>
      <c r="K1848" s="6">
        <v>0.19</v>
      </c>
      <c r="L1848" s="6" t="s">
        <v>42</v>
      </c>
      <c r="M1848" s="6" t="s">
        <v>69</v>
      </c>
      <c r="N1848" s="6"/>
    </row>
    <row r="1849" spans="1:14">
      <c r="A1849" s="6" t="s">
        <v>3231</v>
      </c>
      <c r="B1849" s="7">
        <v>46056</v>
      </c>
      <c r="C1849" s="6" t="s">
        <v>3232</v>
      </c>
      <c r="D1849" s="6" t="str">
        <f>IF(OR(PROPER(TRIM(Raw_Data!D1849))="Uk",PROPER(TRIM(Raw_Data!D1849))="Gb",PROPER(TRIM(Raw_Data!D1849))="United kingdom"),"United Kingdom",PROPER(TRIM(Raw_Data!D1849)))</f>
        <v>United Kingdom</v>
      </c>
      <c r="E1849" s="6" t="s">
        <v>37</v>
      </c>
      <c r="F1849" s="6" t="s">
        <v>94</v>
      </c>
      <c r="G1849" s="6" t="str">
        <f>SUBSTITUTE(Raw_Data!G1849,"Ã©","é")</f>
        <v>Café Latte Mug</v>
      </c>
      <c r="H1849" s="6">
        <v>2</v>
      </c>
      <c r="I1849" s="6" t="s">
        <v>79</v>
      </c>
      <c r="J1849" s="6" t="s">
        <v>259</v>
      </c>
      <c r="K1849" s="6">
        <v>0.34</v>
      </c>
      <c r="L1849" s="6" t="s">
        <v>42</v>
      </c>
      <c r="M1849" s="6" t="s">
        <v>34</v>
      </c>
      <c r="N1849" s="6"/>
    </row>
    <row r="1850" spans="1:14">
      <c r="A1850" s="6" t="s">
        <v>3233</v>
      </c>
      <c r="B1850" s="7">
        <v>46079</v>
      </c>
      <c r="C1850" s="6" t="s">
        <v>3234</v>
      </c>
      <c r="D1850" s="6" t="str">
        <f>IF(OR(PROPER(TRIM(Raw_Data!D1850))="Uk",PROPER(TRIM(Raw_Data!D1850))="Gb",PROPER(TRIM(Raw_Data!D1850))="United kingdom"),"United Kingdom",PROPER(TRIM(Raw_Data!D1850)))</f>
        <v>United Kingdom</v>
      </c>
      <c r="E1850" s="6" t="s">
        <v>46</v>
      </c>
      <c r="F1850" s="6" t="s">
        <v>47</v>
      </c>
      <c r="G1850" s="6" t="str">
        <f>SUBSTITUTE(Raw_Data!G1850,"Ã©","é")</f>
        <v>Fell Runner Cap</v>
      </c>
      <c r="H1850" s="6">
        <v>1</v>
      </c>
      <c r="I1850" s="6" t="s">
        <v>73</v>
      </c>
      <c r="J1850" s="6" t="s">
        <v>73</v>
      </c>
      <c r="K1850" s="6">
        <v>8.5000000000000006E-2</v>
      </c>
      <c r="L1850" s="6" t="s">
        <v>42</v>
      </c>
      <c r="M1850" s="6" t="s">
        <v>34</v>
      </c>
      <c r="N1850" s="6"/>
    </row>
    <row r="1851" spans="1:14">
      <c r="A1851" s="6" t="s">
        <v>3235</v>
      </c>
      <c r="B1851" s="7">
        <v>46071</v>
      </c>
      <c r="C1851" s="6" t="s">
        <v>2467</v>
      </c>
      <c r="D1851" s="6" t="str">
        <f>IF(OR(PROPER(TRIM(Raw_Data!D1851))="Uk",PROPER(TRIM(Raw_Data!D1851))="Gb",PROPER(TRIM(Raw_Data!D1851))="United kingdom"),"United Kingdom",PROPER(TRIM(Raw_Data!D1851)))</f>
        <v>France</v>
      </c>
      <c r="E1851" s="6" t="s">
        <v>37</v>
      </c>
      <c r="F1851" s="6" t="s">
        <v>38</v>
      </c>
      <c r="G1851" s="6" t="str">
        <f>SUBSTITUTE(Raw_Data!G1851,"Ã©","é")</f>
        <v>Merino Base Layer</v>
      </c>
      <c r="H1851" s="6">
        <v>2</v>
      </c>
      <c r="I1851" s="6" t="s">
        <v>31</v>
      </c>
      <c r="J1851" s="6" t="s">
        <v>249</v>
      </c>
      <c r="K1851" s="6">
        <v>0.52</v>
      </c>
      <c r="L1851" s="6" t="s">
        <v>33</v>
      </c>
      <c r="M1851" s="6" t="s">
        <v>34</v>
      </c>
      <c r="N1851" s="6"/>
    </row>
    <row r="1852" spans="1:14">
      <c r="A1852" s="6" t="s">
        <v>3236</v>
      </c>
      <c r="B1852" s="7">
        <v>46067</v>
      </c>
      <c r="C1852" s="6" t="s">
        <v>2352</v>
      </c>
      <c r="D1852" s="6" t="str">
        <f>IF(OR(PROPER(TRIM(Raw_Data!D1852))="Uk",PROPER(TRIM(Raw_Data!D1852))="Gb",PROPER(TRIM(Raw_Data!D1852))="United kingdom"),"United Kingdom",PROPER(TRIM(Raw_Data!D1852)))</f>
        <v>Ireland</v>
      </c>
      <c r="E1852" s="6" t="s">
        <v>46</v>
      </c>
      <c r="F1852" s="6" t="s">
        <v>94</v>
      </c>
      <c r="G1852" s="6" t="str">
        <f>SUBSTITUTE(Raw_Data!G1852,"Ã©","é")</f>
        <v>Summit Down Gilet</v>
      </c>
      <c r="H1852" s="6">
        <v>2</v>
      </c>
      <c r="I1852" s="6" t="s">
        <v>113</v>
      </c>
      <c r="J1852" s="6" t="s">
        <v>192</v>
      </c>
      <c r="K1852" s="6">
        <v>0.34</v>
      </c>
      <c r="L1852" s="6" t="s">
        <v>42</v>
      </c>
      <c r="M1852" s="6" t="s">
        <v>34</v>
      </c>
      <c r="N1852" s="6"/>
    </row>
    <row r="1853" spans="1:14">
      <c r="A1853" s="6" t="s">
        <v>3237</v>
      </c>
      <c r="B1853" s="7">
        <v>46070</v>
      </c>
      <c r="C1853" s="6" t="s">
        <v>345</v>
      </c>
      <c r="D1853" s="6" t="str">
        <f>IF(OR(PROPER(TRIM(Raw_Data!D1853))="Uk",PROPER(TRIM(Raw_Data!D1853))="Gb",PROPER(TRIM(Raw_Data!D1853))="United kingdom"),"United Kingdom",PROPER(TRIM(Raw_Data!D1853)))</f>
        <v>United Kingdom</v>
      </c>
      <c r="E1853" s="6" t="s">
        <v>28</v>
      </c>
      <c r="F1853" s="6" t="s">
        <v>47</v>
      </c>
      <c r="G1853" s="6" t="str">
        <f>SUBSTITUTE(Raw_Data!G1853,"Ã©","é")</f>
        <v>Alpine Jacket</v>
      </c>
      <c r="H1853" s="6">
        <v>1</v>
      </c>
      <c r="I1853" s="6" t="s">
        <v>373</v>
      </c>
      <c r="J1853" s="6" t="s">
        <v>79</v>
      </c>
      <c r="K1853" s="6">
        <v>8.5000000000000006E-2</v>
      </c>
      <c r="L1853" s="6" t="s">
        <v>33</v>
      </c>
      <c r="M1853" s="6" t="s">
        <v>69</v>
      </c>
      <c r="N1853" s="6"/>
    </row>
    <row r="1854" spans="1:14">
      <c r="A1854" s="6" t="s">
        <v>3238</v>
      </c>
      <c r="B1854" s="7">
        <v>46178</v>
      </c>
      <c r="C1854" s="6" t="s">
        <v>150</v>
      </c>
      <c r="D1854" s="6" t="str">
        <f>IF(OR(PROPER(TRIM(Raw_Data!D1854))="Uk",PROPER(TRIM(Raw_Data!D1854))="Gb",PROPER(TRIM(Raw_Data!D1854))="United kingdom"),"United Kingdom",PROPER(TRIM(Raw_Data!D1854)))</f>
        <v>Germany</v>
      </c>
      <c r="E1854" s="6" t="s">
        <v>46</v>
      </c>
      <c r="F1854" s="6" t="s">
        <v>53</v>
      </c>
      <c r="G1854" s="6" t="str">
        <f>SUBSTITUTE(Raw_Data!G1854,"Ã©","é")</f>
        <v>Summit Down Gilet</v>
      </c>
      <c r="H1854" s="6">
        <v>1</v>
      </c>
      <c r="I1854" s="6" t="s">
        <v>143</v>
      </c>
      <c r="J1854" s="6" t="s">
        <v>143</v>
      </c>
      <c r="K1854" s="6">
        <v>0.19</v>
      </c>
      <c r="L1854" s="6" t="s">
        <v>42</v>
      </c>
      <c r="M1854" s="6" t="s">
        <v>69</v>
      </c>
      <c r="N1854" s="6"/>
    </row>
    <row r="1855" spans="1:14">
      <c r="A1855" s="6" t="s">
        <v>3239</v>
      </c>
      <c r="B1855" s="7">
        <v>46111</v>
      </c>
      <c r="C1855" s="6" t="s">
        <v>3240</v>
      </c>
      <c r="D1855" s="6" t="str">
        <f>IF(OR(PROPER(TRIM(Raw_Data!D1855))="Uk",PROPER(TRIM(Raw_Data!D1855))="Gb",PROPER(TRIM(Raw_Data!D1855))="United kingdom"),"United Kingdom",PROPER(TRIM(Raw_Data!D1855)))</f>
        <v>Ireland</v>
      </c>
      <c r="E1855" s="6" t="s">
        <v>37</v>
      </c>
      <c r="F1855" s="6" t="s">
        <v>100</v>
      </c>
      <c r="G1855" s="6" t="str">
        <f>SUBSTITUTE(Raw_Data!G1855,"Ã©","é")</f>
        <v>Storm Overtrousers</v>
      </c>
      <c r="H1855" s="6">
        <v>2</v>
      </c>
      <c r="I1855" s="6" t="s">
        <v>113</v>
      </c>
      <c r="J1855" s="6" t="s">
        <v>192</v>
      </c>
      <c r="K1855" s="6">
        <v>0.64</v>
      </c>
      <c r="L1855" s="6" t="s">
        <v>33</v>
      </c>
      <c r="M1855" s="6" t="s">
        <v>34</v>
      </c>
      <c r="N1855" s="6"/>
    </row>
    <row r="1856" spans="1:14">
      <c r="A1856" s="6" t="s">
        <v>3241</v>
      </c>
      <c r="B1856" s="7">
        <v>46052</v>
      </c>
      <c r="C1856" s="6" t="s">
        <v>466</v>
      </c>
      <c r="D1856" s="6" t="str">
        <f>IF(OR(PROPER(TRIM(Raw_Data!D1856))="Uk",PROPER(TRIM(Raw_Data!D1856))="Gb",PROPER(TRIM(Raw_Data!D1856))="United kingdom"),"United Kingdom",PROPER(TRIM(Raw_Data!D1856)))</f>
        <v>France</v>
      </c>
      <c r="E1856" s="6" t="s">
        <v>28</v>
      </c>
      <c r="F1856" s="6" t="s">
        <v>94</v>
      </c>
      <c r="G1856" s="6" t="str">
        <f>SUBSTITUTE(Raw_Data!G1856,"Ã©","é")</f>
        <v>Summit Down Gilet</v>
      </c>
      <c r="H1856" s="6">
        <v>2</v>
      </c>
      <c r="I1856" s="6" t="s">
        <v>117</v>
      </c>
      <c r="J1856" s="6" t="s">
        <v>118</v>
      </c>
      <c r="K1856" s="6">
        <v>0.34</v>
      </c>
      <c r="L1856" s="6" t="s">
        <v>42</v>
      </c>
      <c r="M1856" s="6" t="s">
        <v>34</v>
      </c>
      <c r="N1856" s="6"/>
    </row>
    <row r="1857" spans="1:14">
      <c r="A1857" s="6" t="s">
        <v>3242</v>
      </c>
      <c r="B1857" s="7">
        <v>46190</v>
      </c>
      <c r="C1857" s="6" t="s">
        <v>1713</v>
      </c>
      <c r="D1857" s="6" t="str">
        <f>IF(OR(PROPER(TRIM(Raw_Data!D1857))="Uk",PROPER(TRIM(Raw_Data!D1857))="Gb",PROPER(TRIM(Raw_Data!D1857))="United kingdom"),"United Kingdom",PROPER(TRIM(Raw_Data!D1857)))</f>
        <v>United Kingdom</v>
      </c>
      <c r="E1857" s="6" t="s">
        <v>37</v>
      </c>
      <c r="F1857" s="6" t="s">
        <v>29</v>
      </c>
      <c r="G1857" s="6" t="str">
        <f>SUBSTITUTE(Raw_Data!G1857,"Ã©","é")</f>
        <v>Café Latte Mug</v>
      </c>
      <c r="H1857" s="6">
        <v>2</v>
      </c>
      <c r="I1857" s="6" t="s">
        <v>67</v>
      </c>
      <c r="J1857" s="6" t="s">
        <v>204</v>
      </c>
      <c r="K1857" s="6">
        <v>0.52</v>
      </c>
      <c r="L1857" s="6" t="s">
        <v>42</v>
      </c>
      <c r="M1857" s="6" t="s">
        <v>34</v>
      </c>
      <c r="N1857" s="6"/>
    </row>
    <row r="1858" spans="1:14">
      <c r="A1858" s="6" t="s">
        <v>3243</v>
      </c>
      <c r="B1858" s="7">
        <v>46146</v>
      </c>
      <c r="C1858" s="6" t="s">
        <v>3244</v>
      </c>
      <c r="D1858" s="6" t="str">
        <f>IF(OR(PROPER(TRIM(Raw_Data!D1858))="Uk",PROPER(TRIM(Raw_Data!D1858))="Gb",PROPER(TRIM(Raw_Data!D1858))="United kingdom"),"United Kingdom",PROPER(TRIM(Raw_Data!D1858)))</f>
        <v>United Kingdom</v>
      </c>
      <c r="E1858" s="6" t="s">
        <v>52</v>
      </c>
      <c r="F1858" s="6" t="s">
        <v>29</v>
      </c>
      <c r="G1858" s="6" t="str">
        <f>SUBSTITUTE(Raw_Data!G1858,"Ã©","é")</f>
        <v>Trail Softshell</v>
      </c>
      <c r="H1858" s="6">
        <v>1</v>
      </c>
      <c r="I1858" s="6" t="s">
        <v>181</v>
      </c>
      <c r="J1858" s="6" t="s">
        <v>181</v>
      </c>
      <c r="K1858" s="6">
        <v>0.52</v>
      </c>
      <c r="L1858" s="6" t="s">
        <v>42</v>
      </c>
      <c r="M1858" s="6" t="s">
        <v>34</v>
      </c>
      <c r="N1858" s="6"/>
    </row>
    <row r="1859" spans="1:14">
      <c r="A1859" s="6" t="s">
        <v>3245</v>
      </c>
      <c r="B1859" s="7">
        <v>46072</v>
      </c>
      <c r="C1859" s="6" t="s">
        <v>1032</v>
      </c>
      <c r="D1859" s="6" t="str">
        <f>IF(OR(PROPER(TRIM(Raw_Data!D1859))="Uk",PROPER(TRIM(Raw_Data!D1859))="Gb",PROPER(TRIM(Raw_Data!D1859))="United kingdom"),"United Kingdom",PROPER(TRIM(Raw_Data!D1859)))</f>
        <v>United Kingdom</v>
      </c>
      <c r="E1859" s="6" t="s">
        <v>52</v>
      </c>
      <c r="F1859" s="6" t="s">
        <v>94</v>
      </c>
      <c r="G1859" s="6" t="str">
        <f>SUBSTITUTE(Raw_Data!G1859,"Ã©","é")</f>
        <v>Alpine Jacket</v>
      </c>
      <c r="H1859" s="6">
        <v>1</v>
      </c>
      <c r="I1859" s="6" t="s">
        <v>181</v>
      </c>
      <c r="J1859" s="6" t="s">
        <v>1715</v>
      </c>
      <c r="K1859" s="6">
        <v>0.34</v>
      </c>
      <c r="L1859" s="6" t="s">
        <v>42</v>
      </c>
      <c r="M1859" s="6" t="s">
        <v>34</v>
      </c>
      <c r="N1859" s="6"/>
    </row>
    <row r="1860" spans="1:14">
      <c r="A1860" s="6" t="s">
        <v>3246</v>
      </c>
      <c r="B1860" s="7">
        <v>46041</v>
      </c>
      <c r="C1860" s="6" t="s">
        <v>2567</v>
      </c>
      <c r="D1860" s="6" t="str">
        <f>IF(OR(PROPER(TRIM(Raw_Data!D1860))="Uk",PROPER(TRIM(Raw_Data!D1860))="Gb",PROPER(TRIM(Raw_Data!D1860))="United kingdom"),"United Kingdom",PROPER(TRIM(Raw_Data!D1860)))</f>
        <v>United Kingdom</v>
      </c>
      <c r="E1860" s="6" t="s">
        <v>52</v>
      </c>
      <c r="F1860" s="6" t="s">
        <v>58</v>
      </c>
      <c r="G1860" s="6" t="str">
        <f>SUBSTITUTE(Raw_Data!G1860,"Ã©","é")</f>
        <v>Café Latte Mug</v>
      </c>
      <c r="H1860" s="6">
        <v>3</v>
      </c>
      <c r="I1860" s="6" t="s">
        <v>117</v>
      </c>
      <c r="J1860" s="6" t="s">
        <v>171</v>
      </c>
      <c r="K1860" s="6">
        <v>0.38</v>
      </c>
      <c r="L1860" s="6" t="s">
        <v>42</v>
      </c>
      <c r="M1860" s="6" t="s">
        <v>34</v>
      </c>
      <c r="N1860" s="6"/>
    </row>
    <row r="1861" spans="1:14">
      <c r="A1861" s="6" t="s">
        <v>3247</v>
      </c>
      <c r="B1861" s="7">
        <v>46085</v>
      </c>
      <c r="C1861" s="6" t="s">
        <v>2726</v>
      </c>
      <c r="D1861" s="6" t="str">
        <f>IF(OR(PROPER(TRIM(Raw_Data!D1861))="Uk",PROPER(TRIM(Raw_Data!D1861))="Gb",PROPER(TRIM(Raw_Data!D1861))="United kingdom"),"United Kingdom",PROPER(TRIM(Raw_Data!D1861)))</f>
        <v>United Kingdom</v>
      </c>
      <c r="E1861" s="6" t="s">
        <v>37</v>
      </c>
      <c r="F1861" s="6" t="s">
        <v>94</v>
      </c>
      <c r="G1861" s="6" t="str">
        <f>SUBSTITUTE(Raw_Data!G1861,"Ã©","é")</f>
        <v>Trail Softshell</v>
      </c>
      <c r="H1861" s="6">
        <v>1</v>
      </c>
      <c r="I1861" s="6" t="s">
        <v>31</v>
      </c>
      <c r="J1861" s="6" t="s">
        <v>31</v>
      </c>
      <c r="K1861" s="6">
        <v>0.34</v>
      </c>
      <c r="L1861" s="6" t="s">
        <v>42</v>
      </c>
      <c r="M1861" s="6" t="s">
        <v>34</v>
      </c>
      <c r="N1861" s="6"/>
    </row>
    <row r="1862" spans="1:14">
      <c r="A1862" s="6" t="s">
        <v>3248</v>
      </c>
      <c r="B1862" s="7">
        <v>46033</v>
      </c>
      <c r="C1862" s="6" t="s">
        <v>2171</v>
      </c>
      <c r="D1862" s="6" t="str">
        <f>IF(OR(PROPER(TRIM(Raw_Data!D1862))="Uk",PROPER(TRIM(Raw_Data!D1862))="Gb",PROPER(TRIM(Raw_Data!D1862))="United kingdom"),"United Kingdom",PROPER(TRIM(Raw_Data!D1862)))</f>
        <v>Germany</v>
      </c>
      <c r="E1862" s="6" t="s">
        <v>78</v>
      </c>
      <c r="F1862" s="6" t="s">
        <v>29</v>
      </c>
      <c r="G1862" s="6" t="str">
        <f>SUBSTITUTE(Raw_Data!G1862,"Ã©","é")</f>
        <v>Trekking Poles</v>
      </c>
      <c r="H1862" s="6">
        <v>1</v>
      </c>
      <c r="I1862" s="6" t="s">
        <v>79</v>
      </c>
      <c r="J1862" s="6" t="s">
        <v>79</v>
      </c>
      <c r="K1862" s="6">
        <v>0.52</v>
      </c>
      <c r="L1862" s="6" t="s">
        <v>42</v>
      </c>
      <c r="M1862" s="6" t="s">
        <v>69</v>
      </c>
      <c r="N1862" s="6"/>
    </row>
    <row r="1863" spans="1:14">
      <c r="A1863" s="6" t="s">
        <v>3249</v>
      </c>
      <c r="B1863" s="7">
        <v>46104</v>
      </c>
      <c r="C1863" s="6" t="s">
        <v>888</v>
      </c>
      <c r="D1863" s="6" t="str">
        <f>IF(OR(PROPER(TRIM(Raw_Data!D1863))="Uk",PROPER(TRIM(Raw_Data!D1863))="Gb",PROPER(TRIM(Raw_Data!D1863))="United kingdom"),"United Kingdom",PROPER(TRIM(Raw_Data!D1863)))</f>
        <v>United Kingdom</v>
      </c>
      <c r="E1863" s="6" t="s">
        <v>28</v>
      </c>
      <c r="F1863" s="6" t="s">
        <v>47</v>
      </c>
      <c r="G1863" s="6" t="str">
        <f>SUBSTITUTE(Raw_Data!G1863,"Ã©","é")</f>
        <v>Trekking Poles</v>
      </c>
      <c r="H1863" s="6">
        <v>3</v>
      </c>
      <c r="I1863" s="6" t="s">
        <v>113</v>
      </c>
      <c r="J1863" s="6" t="s">
        <v>138</v>
      </c>
      <c r="K1863" s="6">
        <v>8.5000000000000006E-2</v>
      </c>
      <c r="L1863" s="6" t="s">
        <v>33</v>
      </c>
      <c r="M1863" s="6" t="s">
        <v>69</v>
      </c>
      <c r="N1863" s="6"/>
    </row>
    <row r="1864" spans="1:14">
      <c r="A1864" s="6" t="s">
        <v>3250</v>
      </c>
      <c r="B1864" s="7">
        <v>46095</v>
      </c>
      <c r="C1864" s="6" t="s">
        <v>3029</v>
      </c>
      <c r="D1864" s="6" t="str">
        <f>IF(OR(PROPER(TRIM(Raw_Data!D1864))="Uk",PROPER(TRIM(Raw_Data!D1864))="Gb",PROPER(TRIM(Raw_Data!D1864))="United kingdom"),"United Kingdom",PROPER(TRIM(Raw_Data!D1864)))</f>
        <v>Germany</v>
      </c>
      <c r="E1864" s="6" t="s">
        <v>28</v>
      </c>
      <c r="F1864" s="6" t="s">
        <v>94</v>
      </c>
      <c r="G1864" s="6" t="str">
        <f>SUBSTITUTE(Raw_Data!G1864,"Ã©","é")</f>
        <v>Café Latte Mug</v>
      </c>
      <c r="H1864" s="6">
        <v>1</v>
      </c>
      <c r="I1864" s="6" t="s">
        <v>31</v>
      </c>
      <c r="J1864" s="6" t="s">
        <v>31</v>
      </c>
      <c r="K1864" s="6">
        <v>0.34</v>
      </c>
      <c r="L1864" s="6" t="s">
        <v>42</v>
      </c>
      <c r="M1864" s="6" t="s">
        <v>69</v>
      </c>
      <c r="N1864" s="6"/>
    </row>
    <row r="1865" spans="1:14">
      <c r="A1865" s="6" t="s">
        <v>3251</v>
      </c>
      <c r="B1865" s="7">
        <v>46026</v>
      </c>
      <c r="C1865" s="6" t="s">
        <v>2741</v>
      </c>
      <c r="D1865" s="6" t="str">
        <f>IF(OR(PROPER(TRIM(Raw_Data!D1865))="Uk",PROPER(TRIM(Raw_Data!D1865))="Gb",PROPER(TRIM(Raw_Data!D1865))="United kingdom"),"United Kingdom",PROPER(TRIM(Raw_Data!D1865)))</f>
        <v>United Kingdom</v>
      </c>
      <c r="E1865" s="6" t="s">
        <v>52</v>
      </c>
      <c r="F1865" s="6" t="s">
        <v>58</v>
      </c>
      <c r="G1865" s="6" t="str">
        <f>SUBSTITUTE(Raw_Data!G1865,"Ã©","é")</f>
        <v>Trekking Poles</v>
      </c>
      <c r="H1865" s="6">
        <v>-1</v>
      </c>
      <c r="I1865" s="6" t="s">
        <v>599</v>
      </c>
      <c r="J1865" s="8" t="s">
        <v>3252</v>
      </c>
      <c r="K1865" s="6">
        <v>0.38</v>
      </c>
      <c r="L1865" s="6" t="s">
        <v>42</v>
      </c>
      <c r="M1865" s="6" t="s">
        <v>34</v>
      </c>
      <c r="N1865" s="6"/>
    </row>
    <row r="1866" spans="1:14">
      <c r="A1866" s="6" t="s">
        <v>3253</v>
      </c>
      <c r="B1866" s="7">
        <v>46172</v>
      </c>
      <c r="C1866" s="6" t="s">
        <v>2994</v>
      </c>
      <c r="D1866" s="6" t="str">
        <f>IF(OR(PROPER(TRIM(Raw_Data!D1866))="Uk",PROPER(TRIM(Raw_Data!D1866))="Gb",PROPER(TRIM(Raw_Data!D1866))="United kingdom"),"United Kingdom",PROPER(TRIM(Raw_Data!D1866)))</f>
        <v>United Kingdom</v>
      </c>
      <c r="E1866" s="6" t="s">
        <v>78</v>
      </c>
      <c r="F1866" s="6" t="s">
        <v>100</v>
      </c>
      <c r="G1866" s="6" t="str">
        <f>SUBSTITUTE(Raw_Data!G1866,"Ã©","é")</f>
        <v>Merino Base Layer</v>
      </c>
      <c r="H1866" s="6">
        <v>1</v>
      </c>
      <c r="I1866" s="6" t="s">
        <v>40</v>
      </c>
      <c r="J1866" s="6" t="s">
        <v>40</v>
      </c>
      <c r="K1866" s="6">
        <v>0.64</v>
      </c>
      <c r="L1866" s="6" t="s">
        <v>42</v>
      </c>
      <c r="M1866" s="6" t="s">
        <v>69</v>
      </c>
      <c r="N1866" s="6"/>
    </row>
    <row r="1867" spans="1:14">
      <c r="A1867" s="6" t="s">
        <v>3254</v>
      </c>
      <c r="B1867" s="7">
        <v>46271</v>
      </c>
      <c r="C1867" s="6" t="s">
        <v>3255</v>
      </c>
      <c r="D1867" s="6" t="str">
        <f>IF(OR(PROPER(TRIM(Raw_Data!D1867))="Uk",PROPER(TRIM(Raw_Data!D1867))="Gb",PROPER(TRIM(Raw_Data!D1867))="United kingdom"),"United Kingdom",PROPER(TRIM(Raw_Data!D1867)))</f>
        <v>United Kingdom</v>
      </c>
      <c r="E1867" s="6" t="s">
        <v>37</v>
      </c>
      <c r="F1867" s="6" t="s">
        <v>100</v>
      </c>
      <c r="G1867" s="6" t="str">
        <f>SUBSTITUTE(Raw_Data!G1867,"Ã©","é")</f>
        <v>Merino Base Layer</v>
      </c>
      <c r="H1867" s="6">
        <v>1</v>
      </c>
      <c r="I1867" s="6" t="s">
        <v>90</v>
      </c>
      <c r="J1867" s="6" t="s">
        <v>1182</v>
      </c>
      <c r="K1867" s="6">
        <v>0.64</v>
      </c>
      <c r="L1867" s="6" t="s">
        <v>42</v>
      </c>
      <c r="M1867" s="6" t="s">
        <v>34</v>
      </c>
      <c r="N1867" s="6"/>
    </row>
    <row r="1868" spans="1:14">
      <c r="A1868" s="6" t="s">
        <v>3256</v>
      </c>
      <c r="B1868" s="7">
        <v>46081</v>
      </c>
      <c r="C1868" s="6" t="s">
        <v>302</v>
      </c>
      <c r="D1868" s="6" t="str">
        <f>IF(OR(PROPER(TRIM(Raw_Data!D1868))="Uk",PROPER(TRIM(Raw_Data!D1868))="Gb",PROPER(TRIM(Raw_Data!D1868))="United kingdom"),"United Kingdom",PROPER(TRIM(Raw_Data!D1868)))</f>
        <v>United Kingdom</v>
      </c>
      <c r="E1868" s="6" t="s">
        <v>52</v>
      </c>
      <c r="F1868" s="6" t="s">
        <v>58</v>
      </c>
      <c r="G1868" s="6" t="str">
        <f>SUBSTITUTE(Raw_Data!G1868,"Ã©","é")</f>
        <v>Merino Base Layer</v>
      </c>
      <c r="H1868" s="6">
        <v>1</v>
      </c>
      <c r="I1868" s="6" t="s">
        <v>143</v>
      </c>
      <c r="J1868" s="6" t="s">
        <v>143</v>
      </c>
      <c r="K1868" s="6">
        <v>0.38</v>
      </c>
      <c r="L1868" s="6" t="s">
        <v>42</v>
      </c>
      <c r="M1868" s="6" t="s">
        <v>34</v>
      </c>
      <c r="N1868" s="6"/>
    </row>
    <row r="1869" spans="1:14">
      <c r="A1869" s="6" t="s">
        <v>3257</v>
      </c>
      <c r="B1869" s="7">
        <v>46066</v>
      </c>
      <c r="C1869" s="6" t="s">
        <v>3258</v>
      </c>
      <c r="D1869" s="6" t="str">
        <f>IF(OR(PROPER(TRIM(Raw_Data!D1869))="Uk",PROPER(TRIM(Raw_Data!D1869))="Gb",PROPER(TRIM(Raw_Data!D1869))="United kingdom"),"United Kingdom",PROPER(TRIM(Raw_Data!D1869)))</f>
        <v>United Kingdom</v>
      </c>
      <c r="E1869" s="6" t="s">
        <v>52</v>
      </c>
      <c r="F1869" s="6" t="s">
        <v>53</v>
      </c>
      <c r="G1869" s="6" t="str">
        <f>SUBSTITUTE(Raw_Data!G1869,"Ã©","é")</f>
        <v>Trail Softshell</v>
      </c>
      <c r="H1869" s="6">
        <v>1</v>
      </c>
      <c r="I1869" s="6" t="s">
        <v>96</v>
      </c>
      <c r="J1869" s="6" t="s">
        <v>96</v>
      </c>
      <c r="K1869" s="6">
        <v>0.19</v>
      </c>
      <c r="L1869" s="6" t="s">
        <v>33</v>
      </c>
      <c r="M1869" s="6" t="s">
        <v>34</v>
      </c>
      <c r="N1869" s="6"/>
    </row>
    <row r="1870" spans="1:14">
      <c r="A1870" s="6" t="s">
        <v>3259</v>
      </c>
      <c r="B1870" s="7">
        <v>46359</v>
      </c>
      <c r="C1870" s="6" t="s">
        <v>3260</v>
      </c>
      <c r="D1870" s="6" t="str">
        <f>IF(OR(PROPER(TRIM(Raw_Data!D1870))="Uk",PROPER(TRIM(Raw_Data!D1870))="Gb",PROPER(TRIM(Raw_Data!D1870))="United kingdom"),"United Kingdom",PROPER(TRIM(Raw_Data!D1870)))</f>
        <v>United Kingdom</v>
      </c>
      <c r="E1870" s="6" t="s">
        <v>28</v>
      </c>
      <c r="F1870" s="6" t="s">
        <v>100</v>
      </c>
      <c r="G1870" s="6" t="str">
        <f>SUBSTITUTE(Raw_Data!G1870,"Ã©","é")</f>
        <v>Merino Base Layer</v>
      </c>
      <c r="H1870" s="6">
        <v>1</v>
      </c>
      <c r="I1870" s="6" t="s">
        <v>1004</v>
      </c>
      <c r="J1870" s="6" t="s">
        <v>265</v>
      </c>
      <c r="K1870" s="6">
        <v>0.64</v>
      </c>
      <c r="L1870" s="6" t="s">
        <v>42</v>
      </c>
      <c r="M1870" s="6" t="s">
        <v>34</v>
      </c>
      <c r="N1870" s="6"/>
    </row>
    <row r="1871" spans="1:14">
      <c r="A1871" s="6" t="s">
        <v>3261</v>
      </c>
      <c r="B1871" s="7">
        <v>46188</v>
      </c>
      <c r="C1871" s="6" t="s">
        <v>3262</v>
      </c>
      <c r="D1871" s="6" t="str">
        <f>IF(OR(PROPER(TRIM(Raw_Data!D1871))="Uk",PROPER(TRIM(Raw_Data!D1871))="Gb",PROPER(TRIM(Raw_Data!D1871))="United kingdom"),"United Kingdom",PROPER(TRIM(Raw_Data!D1871)))</f>
        <v>United Kingdom</v>
      </c>
      <c r="E1871" s="6" t="s">
        <v>78</v>
      </c>
      <c r="F1871" s="6" t="s">
        <v>100</v>
      </c>
      <c r="G1871" s="6" t="str">
        <f>SUBSTITUTE(Raw_Data!G1871,"Ã©","é")</f>
        <v>Café Latte Mug</v>
      </c>
      <c r="H1871" s="6">
        <v>1</v>
      </c>
      <c r="I1871" s="6" t="s">
        <v>265</v>
      </c>
      <c r="J1871" s="6" t="s">
        <v>265</v>
      </c>
      <c r="K1871" s="6">
        <v>0.64</v>
      </c>
      <c r="L1871" s="6" t="s">
        <v>42</v>
      </c>
      <c r="M1871" s="6" t="s">
        <v>34</v>
      </c>
      <c r="N1871" s="6"/>
    </row>
    <row r="1872" spans="1:14">
      <c r="A1872" s="6" t="s">
        <v>3263</v>
      </c>
      <c r="B1872" s="7">
        <v>46172</v>
      </c>
      <c r="C1872" s="6" t="s">
        <v>1362</v>
      </c>
      <c r="D1872" s="6" t="str">
        <f>IF(OR(PROPER(TRIM(Raw_Data!D1872))="Uk",PROPER(TRIM(Raw_Data!D1872))="Gb",PROPER(TRIM(Raw_Data!D1872))="United kingdom"),"United Kingdom",PROPER(TRIM(Raw_Data!D1872)))</f>
        <v>United Kingdom</v>
      </c>
      <c r="E1872" s="6" t="s">
        <v>52</v>
      </c>
      <c r="F1872" s="6" t="s">
        <v>29</v>
      </c>
      <c r="G1872" s="6" t="str">
        <f>SUBSTITUTE(Raw_Data!G1872,"Ã©","é")</f>
        <v>Fell Runner Cap</v>
      </c>
      <c r="H1872" s="6">
        <v>2</v>
      </c>
      <c r="I1872" s="6" t="s">
        <v>67</v>
      </c>
      <c r="J1872" s="6" t="s">
        <v>708</v>
      </c>
      <c r="K1872" s="6">
        <v>0.52</v>
      </c>
      <c r="L1872" s="6" t="s">
        <v>33</v>
      </c>
      <c r="M1872" s="6" t="s">
        <v>34</v>
      </c>
      <c r="N1872" s="6"/>
    </row>
    <row r="1873" spans="1:14">
      <c r="A1873" s="6" t="s">
        <v>3264</v>
      </c>
      <c r="B1873" s="7">
        <v>46299</v>
      </c>
      <c r="C1873" s="6" t="s">
        <v>2171</v>
      </c>
      <c r="D1873" s="6" t="str">
        <f>IF(OR(PROPER(TRIM(Raw_Data!D1873))="Uk",PROPER(TRIM(Raw_Data!D1873))="Gb",PROPER(TRIM(Raw_Data!D1873))="United kingdom"),"United Kingdom",PROPER(TRIM(Raw_Data!D1873)))</f>
        <v>United Kingdom</v>
      </c>
      <c r="E1873" s="6" t="s">
        <v>46</v>
      </c>
      <c r="F1873" s="6" t="s">
        <v>38</v>
      </c>
      <c r="G1873" s="6" t="str">
        <f>SUBSTITUTE(Raw_Data!G1873,"Ã©","é")</f>
        <v>Trail Softshell</v>
      </c>
      <c r="H1873" s="6">
        <v>1</v>
      </c>
      <c r="I1873" s="6" t="s">
        <v>143</v>
      </c>
      <c r="J1873" s="6" t="s">
        <v>143</v>
      </c>
      <c r="K1873" s="6">
        <v>0.52</v>
      </c>
      <c r="L1873" s="6" t="s">
        <v>42</v>
      </c>
      <c r="M1873" s="6" t="s">
        <v>34</v>
      </c>
      <c r="N1873" s="6"/>
    </row>
    <row r="1874" spans="1:14">
      <c r="A1874" s="6" t="s">
        <v>3265</v>
      </c>
      <c r="B1874" s="7">
        <v>46138</v>
      </c>
      <c r="C1874" s="6" t="s">
        <v>2671</v>
      </c>
      <c r="D1874" s="6" t="str">
        <f>IF(OR(PROPER(TRIM(Raw_Data!D1874))="Uk",PROPER(TRIM(Raw_Data!D1874))="Gb",PROPER(TRIM(Raw_Data!D1874))="United kingdom"),"United Kingdom",PROPER(TRIM(Raw_Data!D1874)))</f>
        <v>United Kingdom</v>
      </c>
      <c r="E1874" s="6" t="s">
        <v>52</v>
      </c>
      <c r="F1874" s="6" t="s">
        <v>53</v>
      </c>
      <c r="G1874" s="6" t="str">
        <f>SUBSTITUTE(Raw_Data!G1874,"Ã©","é")</f>
        <v>Café Latte Mug</v>
      </c>
      <c r="H1874" s="6">
        <v>2</v>
      </c>
      <c r="I1874" s="6" t="s">
        <v>2666</v>
      </c>
      <c r="J1874" s="6" t="s">
        <v>204</v>
      </c>
      <c r="K1874" s="6">
        <v>0.19</v>
      </c>
      <c r="L1874" s="6" t="s">
        <v>42</v>
      </c>
      <c r="M1874" s="6" t="s">
        <v>34</v>
      </c>
      <c r="N1874" s="6"/>
    </row>
    <row r="1875" spans="1:14">
      <c r="A1875" s="6" t="s">
        <v>3266</v>
      </c>
      <c r="B1875" s="7">
        <v>46208</v>
      </c>
      <c r="C1875" s="6" t="s">
        <v>1539</v>
      </c>
      <c r="D1875" s="6" t="str">
        <f>IF(OR(PROPER(TRIM(Raw_Data!D1875))="Uk",PROPER(TRIM(Raw_Data!D1875))="Gb",PROPER(TRIM(Raw_Data!D1875))="United kingdom"),"United Kingdom",PROPER(TRIM(Raw_Data!D1875)))</f>
        <v>United Kingdom</v>
      </c>
      <c r="E1875" s="6" t="s">
        <v>46</v>
      </c>
      <c r="F1875" s="6" t="s">
        <v>58</v>
      </c>
      <c r="G1875" s="6" t="str">
        <f>SUBSTITUTE(Raw_Data!G1875,"Ã©","é")</f>
        <v>Fell Runner Cap</v>
      </c>
      <c r="H1875" s="6">
        <v>3</v>
      </c>
      <c r="I1875" s="6" t="s">
        <v>231</v>
      </c>
      <c r="J1875" s="6" t="s">
        <v>505</v>
      </c>
      <c r="K1875" s="6">
        <v>0.38</v>
      </c>
      <c r="L1875" s="6" t="s">
        <v>42</v>
      </c>
      <c r="M1875" s="6" t="s">
        <v>34</v>
      </c>
      <c r="N1875" s="6"/>
    </row>
    <row r="1876" spans="1:14">
      <c r="A1876" s="6" t="s">
        <v>3267</v>
      </c>
      <c r="B1876" s="7">
        <v>46199</v>
      </c>
      <c r="C1876" s="6" t="s">
        <v>3268</v>
      </c>
      <c r="D1876" s="6" t="str">
        <f>IF(OR(PROPER(TRIM(Raw_Data!D1876))="Uk",PROPER(TRIM(Raw_Data!D1876))="Gb",PROPER(TRIM(Raw_Data!D1876))="United kingdom"),"United Kingdom",PROPER(TRIM(Raw_Data!D1876)))</f>
        <v>United Kingdom</v>
      </c>
      <c r="E1876" s="6" t="s">
        <v>78</v>
      </c>
      <c r="F1876" s="6" t="s">
        <v>85</v>
      </c>
      <c r="G1876" s="6" t="str">
        <f>SUBSTITUTE(Raw_Data!G1876,"Ã©","é")</f>
        <v>Merino Base Layer</v>
      </c>
      <c r="H1876" s="6">
        <v>1</v>
      </c>
      <c r="I1876" s="6" t="s">
        <v>79</v>
      </c>
      <c r="J1876" s="6" t="s">
        <v>79</v>
      </c>
      <c r="K1876" s="6">
        <v>0.41</v>
      </c>
      <c r="L1876" s="6" t="s">
        <v>42</v>
      </c>
      <c r="M1876" s="6" t="s">
        <v>69</v>
      </c>
      <c r="N1876" s="6"/>
    </row>
    <row r="1877" spans="1:14">
      <c r="A1877" s="6" t="s">
        <v>3269</v>
      </c>
      <c r="B1877" s="7">
        <v>46058</v>
      </c>
      <c r="C1877" s="6" t="s">
        <v>1215</v>
      </c>
      <c r="D1877" s="6" t="str">
        <f>IF(OR(PROPER(TRIM(Raw_Data!D1877))="Uk",PROPER(TRIM(Raw_Data!D1877))="Gb",PROPER(TRIM(Raw_Data!D1877))="United kingdom"),"United Kingdom",PROPER(TRIM(Raw_Data!D1877)))</f>
        <v>United Kingdom</v>
      </c>
      <c r="E1877" s="6" t="s">
        <v>46</v>
      </c>
      <c r="F1877" s="6" t="s">
        <v>58</v>
      </c>
      <c r="G1877" s="6" t="str">
        <f>SUBSTITUTE(Raw_Data!G1877,"Ã©","é")</f>
        <v>Alpine Jacket</v>
      </c>
      <c r="H1877" s="6">
        <v>1</v>
      </c>
      <c r="I1877" s="6" t="s">
        <v>113</v>
      </c>
      <c r="J1877" s="6" t="s">
        <v>113</v>
      </c>
      <c r="K1877" s="6">
        <v>0.38</v>
      </c>
      <c r="L1877" s="6" t="s">
        <v>33</v>
      </c>
      <c r="M1877" s="6" t="s">
        <v>34</v>
      </c>
      <c r="N1877" s="6"/>
    </row>
    <row r="1878" spans="1:14">
      <c r="A1878" s="6" t="s">
        <v>3270</v>
      </c>
      <c r="B1878" s="7">
        <v>46083</v>
      </c>
      <c r="C1878" s="6" t="s">
        <v>1390</v>
      </c>
      <c r="D1878" s="6" t="str">
        <f>IF(OR(PROPER(TRIM(Raw_Data!D1878))="Uk",PROPER(TRIM(Raw_Data!D1878))="Gb",PROPER(TRIM(Raw_Data!D1878))="United kingdom"),"United Kingdom",PROPER(TRIM(Raw_Data!D1878)))</f>
        <v>United Kingdom</v>
      </c>
      <c r="E1878" s="6" t="s">
        <v>37</v>
      </c>
      <c r="F1878" s="6" t="s">
        <v>85</v>
      </c>
      <c r="G1878" s="6" t="str">
        <f>SUBSTITUTE(Raw_Data!G1878,"Ã©","é")</f>
        <v>Café Latte Mug</v>
      </c>
      <c r="H1878" s="6">
        <v>1</v>
      </c>
      <c r="I1878" s="6" t="s">
        <v>79</v>
      </c>
      <c r="J1878" s="6" t="s">
        <v>79</v>
      </c>
      <c r="K1878" s="6">
        <v>0.41</v>
      </c>
      <c r="L1878" s="6" t="s">
        <v>42</v>
      </c>
      <c r="M1878" s="6" t="s">
        <v>34</v>
      </c>
      <c r="N1878" s="6"/>
    </row>
    <row r="1879" spans="1:14">
      <c r="A1879" s="6" t="s">
        <v>3271</v>
      </c>
      <c r="B1879" s="7">
        <v>46041</v>
      </c>
      <c r="C1879" s="6" t="s">
        <v>2861</v>
      </c>
      <c r="D1879" s="6" t="str">
        <f>IF(OR(PROPER(TRIM(Raw_Data!D1879))="Uk",PROPER(TRIM(Raw_Data!D1879))="Gb",PROPER(TRIM(Raw_Data!D1879))="United kingdom"),"United Kingdom",PROPER(TRIM(Raw_Data!D1879)))</f>
        <v>United Kingdom</v>
      </c>
      <c r="E1879" s="6" t="s">
        <v>46</v>
      </c>
      <c r="F1879" s="6" t="s">
        <v>47</v>
      </c>
      <c r="G1879" s="6" t="str">
        <f>SUBSTITUTE(Raw_Data!G1879,"Ã©","é")</f>
        <v>Trekking Poles</v>
      </c>
      <c r="H1879" s="6">
        <v>1</v>
      </c>
      <c r="I1879" s="6" t="s">
        <v>67</v>
      </c>
      <c r="J1879" s="6" t="s">
        <v>67</v>
      </c>
      <c r="K1879" s="6">
        <v>8.5000000000000006E-2</v>
      </c>
      <c r="L1879" s="6" t="s">
        <v>42</v>
      </c>
      <c r="M1879" s="6" t="s">
        <v>34</v>
      </c>
      <c r="N1879" s="6"/>
    </row>
    <row r="1880" spans="1:14">
      <c r="A1880" s="6" t="s">
        <v>3272</v>
      </c>
      <c r="B1880" s="7">
        <v>46358</v>
      </c>
      <c r="C1880" s="6" t="s">
        <v>2121</v>
      </c>
      <c r="D1880" s="6" t="str">
        <f>IF(OR(PROPER(TRIM(Raw_Data!D1880))="Uk",PROPER(TRIM(Raw_Data!D1880))="Gb",PROPER(TRIM(Raw_Data!D1880))="United kingdom"),"United Kingdom",PROPER(TRIM(Raw_Data!D1880)))</f>
        <v>United Kingdom</v>
      </c>
      <c r="E1880" s="6" t="s">
        <v>52</v>
      </c>
      <c r="F1880" s="6" t="s">
        <v>85</v>
      </c>
      <c r="G1880" s="6" t="str">
        <f>SUBSTITUTE(Raw_Data!G1880,"Ã©","é")</f>
        <v>Trekking Poles</v>
      </c>
      <c r="H1880" s="6">
        <v>1</v>
      </c>
      <c r="I1880" s="6" t="s">
        <v>67</v>
      </c>
      <c r="J1880" s="6" t="s">
        <v>67</v>
      </c>
      <c r="K1880" s="6">
        <v>0.41</v>
      </c>
      <c r="L1880" s="6" t="s">
        <v>33</v>
      </c>
      <c r="M1880" s="6" t="s">
        <v>34</v>
      </c>
      <c r="N1880" s="6"/>
    </row>
    <row r="1881" spans="1:14">
      <c r="A1881" s="6" t="s">
        <v>3273</v>
      </c>
      <c r="B1881" s="7">
        <v>46175</v>
      </c>
      <c r="C1881" s="6" t="s">
        <v>3035</v>
      </c>
      <c r="D1881" s="6" t="str">
        <f>IF(OR(PROPER(TRIM(Raw_Data!D1881))="Uk",PROPER(TRIM(Raw_Data!D1881))="Gb",PROPER(TRIM(Raw_Data!D1881))="United kingdom"),"United Kingdom",PROPER(TRIM(Raw_Data!D1881)))</f>
        <v>United Kingdom</v>
      </c>
      <c r="E1881" s="6" t="s">
        <v>28</v>
      </c>
      <c r="F1881" s="6" t="s">
        <v>38</v>
      </c>
      <c r="G1881" s="6" t="str">
        <f>SUBSTITUTE(Raw_Data!G1881,"Ã©","é")</f>
        <v>Café Latte Mug</v>
      </c>
      <c r="H1881" s="6">
        <v>1</v>
      </c>
      <c r="I1881" s="6" t="s">
        <v>231</v>
      </c>
      <c r="J1881" s="6" t="s">
        <v>231</v>
      </c>
      <c r="K1881" s="6">
        <v>0.52</v>
      </c>
      <c r="L1881" s="6" t="s">
        <v>42</v>
      </c>
      <c r="M1881" s="6" t="s">
        <v>34</v>
      </c>
      <c r="N1881" s="6"/>
    </row>
    <row r="1882" spans="1:14">
      <c r="A1882" s="6" t="s">
        <v>3274</v>
      </c>
      <c r="B1882" s="7">
        <v>46047</v>
      </c>
      <c r="C1882" s="6" t="s">
        <v>1925</v>
      </c>
      <c r="D1882" s="6" t="str">
        <f>IF(OR(PROPER(TRIM(Raw_Data!D1882))="Uk",PROPER(TRIM(Raw_Data!D1882))="Gb",PROPER(TRIM(Raw_Data!D1882))="United kingdom"),"United Kingdom",PROPER(TRIM(Raw_Data!D1882)))</f>
        <v>United Kingdom</v>
      </c>
      <c r="E1882" s="6" t="s">
        <v>46</v>
      </c>
      <c r="F1882" s="6" t="s">
        <v>58</v>
      </c>
      <c r="G1882" s="6" t="str">
        <f>SUBSTITUTE(Raw_Data!G1882,"Ã©","é")</f>
        <v>Summit Down Gilet</v>
      </c>
      <c r="H1882" s="6">
        <v>1</v>
      </c>
      <c r="I1882" s="6" t="s">
        <v>231</v>
      </c>
      <c r="J1882" s="6" t="s">
        <v>231</v>
      </c>
      <c r="K1882" s="6">
        <v>0.38</v>
      </c>
      <c r="L1882" s="6" t="s">
        <v>42</v>
      </c>
      <c r="M1882" s="6" t="s">
        <v>34</v>
      </c>
      <c r="N1882" s="6"/>
    </row>
    <row r="1883" spans="1:14">
      <c r="A1883" s="6" t="s">
        <v>3275</v>
      </c>
      <c r="B1883" s="7">
        <v>46119</v>
      </c>
      <c r="C1883" s="6" t="s">
        <v>3160</v>
      </c>
      <c r="D1883" s="6" t="str">
        <f>IF(OR(PROPER(TRIM(Raw_Data!D1883))="Uk",PROPER(TRIM(Raw_Data!D1883))="Gb",PROPER(TRIM(Raw_Data!D1883))="United kingdom"),"United Kingdom",PROPER(TRIM(Raw_Data!D1883)))</f>
        <v>Germany</v>
      </c>
      <c r="E1883" s="6" t="s">
        <v>46</v>
      </c>
      <c r="F1883" s="6" t="s">
        <v>100</v>
      </c>
      <c r="G1883" s="6" t="str">
        <f>SUBSTITUTE(Raw_Data!G1883,"Ã©","é")</f>
        <v>Café Latte Mug</v>
      </c>
      <c r="H1883" s="6">
        <v>-2</v>
      </c>
      <c r="I1883" s="6" t="s">
        <v>82</v>
      </c>
      <c r="J1883" s="8" t="s">
        <v>616</v>
      </c>
      <c r="K1883" s="6">
        <v>0.64</v>
      </c>
      <c r="L1883" s="6" t="s">
        <v>42</v>
      </c>
      <c r="M1883" s="6" t="s">
        <v>34</v>
      </c>
      <c r="N1883" s="6"/>
    </row>
    <row r="1884" spans="1:14">
      <c r="A1884" s="6" t="s">
        <v>3276</v>
      </c>
      <c r="B1884" s="7">
        <v>46127</v>
      </c>
      <c r="C1884" s="6" t="s">
        <v>1139</v>
      </c>
      <c r="D1884" s="6" t="str">
        <f>IF(OR(PROPER(TRIM(Raw_Data!D1884))="Uk",PROPER(TRIM(Raw_Data!D1884))="Gb",PROPER(TRIM(Raw_Data!D1884))="United kingdom"),"United Kingdom",PROPER(TRIM(Raw_Data!D1884)))</f>
        <v>United Kingdom</v>
      </c>
      <c r="E1884" s="6" t="s">
        <v>28</v>
      </c>
      <c r="F1884" s="6" t="s">
        <v>58</v>
      </c>
      <c r="G1884" s="6" t="str">
        <f>SUBSTITUTE(Raw_Data!G1884,"Ã©","é")</f>
        <v>Trekking Poles</v>
      </c>
      <c r="H1884" s="6">
        <v>2</v>
      </c>
      <c r="I1884" s="6" t="s">
        <v>265</v>
      </c>
      <c r="J1884" s="6" t="s">
        <v>167</v>
      </c>
      <c r="K1884" s="6">
        <v>0.38</v>
      </c>
      <c r="L1884" s="6" t="s">
        <v>42</v>
      </c>
      <c r="M1884" s="6" t="s">
        <v>34</v>
      </c>
      <c r="N1884" s="6"/>
    </row>
    <row r="1885" spans="1:14">
      <c r="A1885" s="6" t="s">
        <v>3277</v>
      </c>
      <c r="B1885" s="7">
        <v>46078</v>
      </c>
      <c r="C1885" s="6" t="s">
        <v>2065</v>
      </c>
      <c r="D1885" s="6" t="str">
        <f>IF(OR(PROPER(TRIM(Raw_Data!D1885))="Uk",PROPER(TRIM(Raw_Data!D1885))="Gb",PROPER(TRIM(Raw_Data!D1885))="United kingdom"),"United Kingdom",PROPER(TRIM(Raw_Data!D1885)))</f>
        <v>United Kingdom</v>
      </c>
      <c r="E1885" s="6" t="s">
        <v>37</v>
      </c>
      <c r="F1885" s="6" t="s">
        <v>100</v>
      </c>
      <c r="G1885" s="6" t="str">
        <f>SUBSTITUTE(Raw_Data!G1885,"Ã©","é")</f>
        <v>Fell Runner Cap</v>
      </c>
      <c r="H1885" s="6">
        <v>1</v>
      </c>
      <c r="I1885" s="6" t="s">
        <v>90</v>
      </c>
      <c r="J1885" s="6" t="s">
        <v>90</v>
      </c>
      <c r="K1885" s="6">
        <v>0.64</v>
      </c>
      <c r="L1885" s="6" t="s">
        <v>42</v>
      </c>
      <c r="M1885" s="6" t="s">
        <v>34</v>
      </c>
      <c r="N1885" s="6"/>
    </row>
    <row r="1886" spans="1:14">
      <c r="A1886" s="6" t="s">
        <v>3278</v>
      </c>
      <c r="B1886" s="7">
        <v>46056</v>
      </c>
      <c r="C1886" s="6" t="s">
        <v>2280</v>
      </c>
      <c r="D1886" s="6" t="str">
        <f>IF(OR(PROPER(TRIM(Raw_Data!D1886))="Uk",PROPER(TRIM(Raw_Data!D1886))="Gb",PROPER(TRIM(Raw_Data!D1886))="United kingdom"),"United Kingdom",PROPER(TRIM(Raw_Data!D1886)))</f>
        <v>United Kingdom</v>
      </c>
      <c r="E1886" s="6" t="s">
        <v>78</v>
      </c>
      <c r="F1886" s="6" t="s">
        <v>85</v>
      </c>
      <c r="G1886" s="6" t="str">
        <f>SUBSTITUTE(Raw_Data!G1886,"Ã©","é")</f>
        <v>Café Latte Mug</v>
      </c>
      <c r="H1886" s="6">
        <v>1</v>
      </c>
      <c r="I1886" s="6" t="s">
        <v>117</v>
      </c>
      <c r="J1886" s="6" t="s">
        <v>1281</v>
      </c>
      <c r="K1886" s="6">
        <v>0.41</v>
      </c>
      <c r="L1886" s="6" t="s">
        <v>42</v>
      </c>
      <c r="M1886" s="6" t="s">
        <v>69</v>
      </c>
      <c r="N1886" s="6"/>
    </row>
    <row r="1887" spans="1:14">
      <c r="A1887" s="6" t="s">
        <v>3279</v>
      </c>
      <c r="B1887" s="7">
        <v>46053</v>
      </c>
      <c r="C1887" s="6" t="s">
        <v>1775</v>
      </c>
      <c r="D1887" s="6" t="str">
        <f>IF(OR(PROPER(TRIM(Raw_Data!D1887))="Uk",PROPER(TRIM(Raw_Data!D1887))="Gb",PROPER(TRIM(Raw_Data!D1887))="United kingdom"),"United Kingdom",PROPER(TRIM(Raw_Data!D1887)))</f>
        <v>Germany</v>
      </c>
      <c r="E1887" s="6" t="s">
        <v>46</v>
      </c>
      <c r="F1887" s="6" t="s">
        <v>85</v>
      </c>
      <c r="G1887" s="6" t="str">
        <f>SUBSTITUTE(Raw_Data!G1887,"Ã©","é")</f>
        <v>Summit Down Gilet</v>
      </c>
      <c r="H1887" s="6">
        <v>1</v>
      </c>
      <c r="I1887" s="6" t="s">
        <v>147</v>
      </c>
      <c r="J1887" s="6" t="s">
        <v>2364</v>
      </c>
      <c r="K1887" s="6">
        <v>0.41</v>
      </c>
      <c r="L1887" s="6" t="s">
        <v>42</v>
      </c>
      <c r="M1887" s="6" t="s">
        <v>34</v>
      </c>
      <c r="N1887" s="6"/>
    </row>
    <row r="1888" spans="1:14">
      <c r="A1888" s="6" t="s">
        <v>3280</v>
      </c>
      <c r="B1888" s="7">
        <v>46088</v>
      </c>
      <c r="C1888" s="6" t="s">
        <v>3281</v>
      </c>
      <c r="D1888" s="6" t="str">
        <f>IF(OR(PROPER(TRIM(Raw_Data!D1888))="Uk",PROPER(TRIM(Raw_Data!D1888))="Gb",PROPER(TRIM(Raw_Data!D1888))="United kingdom"),"United Kingdom",PROPER(TRIM(Raw_Data!D1888)))</f>
        <v>United Kingdom</v>
      </c>
      <c r="E1888" s="6" t="s">
        <v>37</v>
      </c>
      <c r="F1888" s="6" t="s">
        <v>47</v>
      </c>
      <c r="G1888" s="6" t="str">
        <f>SUBSTITUTE(Raw_Data!G1888,"Ã©","é")</f>
        <v>Alpine Jacket</v>
      </c>
      <c r="H1888" s="6">
        <v>1</v>
      </c>
      <c r="I1888" s="6" t="s">
        <v>73</v>
      </c>
      <c r="J1888" s="6" t="s">
        <v>73</v>
      </c>
      <c r="K1888" s="6">
        <v>8.5000000000000006E-2</v>
      </c>
      <c r="L1888" s="6" t="s">
        <v>42</v>
      </c>
      <c r="M1888" s="6" t="s">
        <v>69</v>
      </c>
      <c r="N1888" s="6"/>
    </row>
    <row r="1889" spans="1:14">
      <c r="A1889" s="6" t="s">
        <v>3282</v>
      </c>
      <c r="B1889" s="7">
        <v>46157</v>
      </c>
      <c r="C1889" s="6" t="s">
        <v>3197</v>
      </c>
      <c r="D1889" s="6" t="str">
        <f>IF(OR(PROPER(TRIM(Raw_Data!D1889))="Uk",PROPER(TRIM(Raw_Data!D1889))="Gb",PROPER(TRIM(Raw_Data!D1889))="United kingdom"),"United Kingdom",PROPER(TRIM(Raw_Data!D1889)))</f>
        <v>Ireland</v>
      </c>
      <c r="E1889" s="6" t="s">
        <v>28</v>
      </c>
      <c r="F1889" s="6" t="s">
        <v>100</v>
      </c>
      <c r="G1889" s="6" t="str">
        <f>SUBSTITUTE(Raw_Data!G1889,"Ã©","é")</f>
        <v>Alpine Jacket</v>
      </c>
      <c r="H1889" s="6">
        <v>2</v>
      </c>
      <c r="I1889" s="6" t="s">
        <v>113</v>
      </c>
      <c r="J1889" s="6" t="s">
        <v>192</v>
      </c>
      <c r="K1889" s="6">
        <v>0.64</v>
      </c>
      <c r="L1889" s="6" t="s">
        <v>42</v>
      </c>
      <c r="M1889" s="6" t="s">
        <v>34</v>
      </c>
      <c r="N1889" s="6"/>
    </row>
    <row r="1890" spans="1:14">
      <c r="A1890" s="6" t="s">
        <v>3283</v>
      </c>
      <c r="B1890" s="7">
        <v>46086</v>
      </c>
      <c r="C1890" s="6" t="s">
        <v>3093</v>
      </c>
      <c r="D1890" s="6" t="str">
        <f>IF(OR(PROPER(TRIM(Raw_Data!D1890))="Uk",PROPER(TRIM(Raw_Data!D1890))="Gb",PROPER(TRIM(Raw_Data!D1890))="United kingdom"),"United Kingdom",PROPER(TRIM(Raw_Data!D1890)))</f>
        <v>United Kingdom</v>
      </c>
      <c r="E1890" s="6" t="s">
        <v>28</v>
      </c>
      <c r="F1890" s="6" t="s">
        <v>53</v>
      </c>
      <c r="G1890" s="6" t="str">
        <f>SUBSTITUTE(Raw_Data!G1890,"Ã©","é")</f>
        <v>Summit Down Gilet</v>
      </c>
      <c r="H1890" s="6">
        <v>3</v>
      </c>
      <c r="I1890" s="6" t="s">
        <v>113</v>
      </c>
      <c r="J1890" s="6" t="s">
        <v>138</v>
      </c>
      <c r="K1890" s="6">
        <v>0.19</v>
      </c>
      <c r="L1890" s="6" t="s">
        <v>42</v>
      </c>
      <c r="M1890" s="6" t="s">
        <v>34</v>
      </c>
      <c r="N1890" s="6"/>
    </row>
    <row r="1891" spans="1:14">
      <c r="A1891" s="6" t="s">
        <v>3284</v>
      </c>
      <c r="B1891" s="7">
        <v>46157</v>
      </c>
      <c r="C1891" s="6" t="s">
        <v>1795</v>
      </c>
      <c r="D1891" s="6" t="str">
        <f>IF(OR(PROPER(TRIM(Raw_Data!D1891))="Uk",PROPER(TRIM(Raw_Data!D1891))="Gb",PROPER(TRIM(Raw_Data!D1891))="United kingdom"),"United Kingdom",PROPER(TRIM(Raw_Data!D1891)))</f>
        <v>Ireland</v>
      </c>
      <c r="E1891" s="6" t="s">
        <v>78</v>
      </c>
      <c r="F1891" s="6" t="s">
        <v>100</v>
      </c>
      <c r="G1891" s="6" t="str">
        <f>SUBSTITUTE(Raw_Data!G1891,"Ã©","é")</f>
        <v>Merino Base Layer</v>
      </c>
      <c r="H1891" s="6">
        <v>1</v>
      </c>
      <c r="I1891" s="6" t="s">
        <v>143</v>
      </c>
      <c r="J1891" s="6" t="s">
        <v>143</v>
      </c>
      <c r="K1891" s="6">
        <v>0.64</v>
      </c>
      <c r="L1891" s="6" t="s">
        <v>42</v>
      </c>
      <c r="M1891" s="6" t="s">
        <v>34</v>
      </c>
      <c r="N1891" s="6"/>
    </row>
    <row r="1892" spans="1:14">
      <c r="A1892" s="6" t="s">
        <v>3285</v>
      </c>
      <c r="B1892" s="7">
        <v>46024</v>
      </c>
      <c r="C1892" s="6" t="s">
        <v>2280</v>
      </c>
      <c r="D1892" s="6" t="str">
        <f>IF(OR(PROPER(TRIM(Raw_Data!D1892))="Uk",PROPER(TRIM(Raw_Data!D1892))="Gb",PROPER(TRIM(Raw_Data!D1892))="United kingdom"),"United Kingdom",PROPER(TRIM(Raw_Data!D1892)))</f>
        <v>United Kingdom</v>
      </c>
      <c r="E1892" s="6" t="s">
        <v>52</v>
      </c>
      <c r="F1892" s="6" t="s">
        <v>85</v>
      </c>
      <c r="G1892" s="6" t="str">
        <f>SUBSTITUTE(Raw_Data!G1892,"Ã©","é")</f>
        <v>Alpine Jacket</v>
      </c>
      <c r="H1892" s="6">
        <v>3</v>
      </c>
      <c r="I1892" s="6" t="s">
        <v>147</v>
      </c>
      <c r="J1892" s="6" t="s">
        <v>148</v>
      </c>
      <c r="K1892" s="6">
        <v>0.41</v>
      </c>
      <c r="L1892" s="6" t="s">
        <v>42</v>
      </c>
      <c r="M1892" s="6" t="s">
        <v>69</v>
      </c>
      <c r="N1892" s="6"/>
    </row>
    <row r="1893" spans="1:14">
      <c r="A1893" s="6" t="s">
        <v>3286</v>
      </c>
      <c r="B1893" s="7">
        <v>46166</v>
      </c>
      <c r="C1893" s="6" t="s">
        <v>153</v>
      </c>
      <c r="D1893" s="6" t="str">
        <f>IF(OR(PROPER(TRIM(Raw_Data!D1893))="Uk",PROPER(TRIM(Raw_Data!D1893))="Gb",PROPER(TRIM(Raw_Data!D1893))="United kingdom"),"United Kingdom",PROPER(TRIM(Raw_Data!D1893)))</f>
        <v>United Kingdom</v>
      </c>
      <c r="E1893" s="6" t="s">
        <v>78</v>
      </c>
      <c r="F1893" s="6" t="s">
        <v>53</v>
      </c>
      <c r="G1893" s="6" t="str">
        <f>SUBSTITUTE(Raw_Data!G1893,"Ã©","é")</f>
        <v>Alpine Jacket</v>
      </c>
      <c r="H1893" s="6">
        <v>3</v>
      </c>
      <c r="I1893" s="6" t="s">
        <v>265</v>
      </c>
      <c r="J1893" s="6" t="s">
        <v>401</v>
      </c>
      <c r="K1893" s="6">
        <v>0.19</v>
      </c>
      <c r="L1893" s="6" t="s">
        <v>33</v>
      </c>
      <c r="M1893" s="6" t="s">
        <v>34</v>
      </c>
      <c r="N1893" s="6"/>
    </row>
    <row r="1894" spans="1:14">
      <c r="A1894" s="6" t="s">
        <v>3287</v>
      </c>
      <c r="B1894" s="7">
        <v>46107</v>
      </c>
      <c r="C1894" s="6" t="s">
        <v>3288</v>
      </c>
      <c r="D1894" s="6" t="str">
        <f>IF(OR(PROPER(TRIM(Raw_Data!D1894))="Uk",PROPER(TRIM(Raw_Data!D1894))="Gb",PROPER(TRIM(Raw_Data!D1894))="United kingdom"),"United Kingdom",PROPER(TRIM(Raw_Data!D1894)))</f>
        <v>Germany</v>
      </c>
      <c r="E1894" s="6" t="s">
        <v>78</v>
      </c>
      <c r="F1894" s="6" t="s">
        <v>100</v>
      </c>
      <c r="G1894" s="6" t="str">
        <f>SUBSTITUTE(Raw_Data!G1894,"Ã©","é")</f>
        <v>Trekking Poles</v>
      </c>
      <c r="H1894" s="6">
        <v>1</v>
      </c>
      <c r="I1894" s="6" t="s">
        <v>67</v>
      </c>
      <c r="J1894" s="6" t="s">
        <v>67</v>
      </c>
      <c r="K1894" s="6">
        <v>0.64</v>
      </c>
      <c r="L1894" s="6" t="s">
        <v>42</v>
      </c>
      <c r="M1894" s="6" t="s">
        <v>34</v>
      </c>
      <c r="N1894" s="6"/>
    </row>
    <row r="1895" spans="1:14">
      <c r="A1895" s="6" t="s">
        <v>3289</v>
      </c>
      <c r="B1895" s="7">
        <v>46132</v>
      </c>
      <c r="C1895" s="6" t="s">
        <v>412</v>
      </c>
      <c r="D1895" s="6" t="str">
        <f>IF(OR(PROPER(TRIM(Raw_Data!D1895))="Uk",PROPER(TRIM(Raw_Data!D1895))="Gb",PROPER(TRIM(Raw_Data!D1895))="United kingdom"),"United Kingdom",PROPER(TRIM(Raw_Data!D1895)))</f>
        <v>United Kingdom</v>
      </c>
      <c r="E1895" s="6" t="s">
        <v>28</v>
      </c>
      <c r="F1895" s="6" t="s">
        <v>58</v>
      </c>
      <c r="G1895" s="6" t="str">
        <f>SUBSTITUTE(Raw_Data!G1895,"Ã©","é")</f>
        <v>Trail Softshell</v>
      </c>
      <c r="H1895" s="6">
        <v>2</v>
      </c>
      <c r="I1895" s="6" t="s">
        <v>181</v>
      </c>
      <c r="J1895" s="6" t="s">
        <v>163</v>
      </c>
      <c r="K1895" s="6">
        <v>0.38</v>
      </c>
      <c r="L1895" s="6" t="s">
        <v>42</v>
      </c>
      <c r="M1895" s="6" t="s">
        <v>69</v>
      </c>
      <c r="N1895" s="6"/>
    </row>
    <row r="1896" spans="1:14">
      <c r="A1896" s="6" t="s">
        <v>3290</v>
      </c>
      <c r="B1896" s="7">
        <v>46126</v>
      </c>
      <c r="C1896" s="6" t="s">
        <v>3181</v>
      </c>
      <c r="D1896" s="6" t="str">
        <f>IF(OR(PROPER(TRIM(Raw_Data!D1896))="Uk",PROPER(TRIM(Raw_Data!D1896))="Gb",PROPER(TRIM(Raw_Data!D1896))="United kingdom"),"United Kingdom",PROPER(TRIM(Raw_Data!D1896)))</f>
        <v>Germany</v>
      </c>
      <c r="E1896" s="6" t="s">
        <v>46</v>
      </c>
      <c r="F1896" s="6" t="s">
        <v>29</v>
      </c>
      <c r="G1896" s="6" t="str">
        <f>SUBSTITUTE(Raw_Data!G1896,"Ã©","é")</f>
        <v>Merino Base Layer</v>
      </c>
      <c r="H1896" s="6">
        <v>2</v>
      </c>
      <c r="I1896" s="6" t="s">
        <v>265</v>
      </c>
      <c r="J1896" s="6" t="s">
        <v>167</v>
      </c>
      <c r="K1896" s="6">
        <v>0.52</v>
      </c>
      <c r="L1896" s="6" t="s">
        <v>42</v>
      </c>
      <c r="M1896" s="6" t="s">
        <v>34</v>
      </c>
      <c r="N1896" s="6"/>
    </row>
    <row r="1897" spans="1:14">
      <c r="A1897" s="6" t="s">
        <v>3291</v>
      </c>
      <c r="B1897" s="7">
        <v>46134</v>
      </c>
      <c r="C1897" s="6" t="s">
        <v>2126</v>
      </c>
      <c r="D1897" s="6" t="str">
        <f>IF(OR(PROPER(TRIM(Raw_Data!D1897))="Uk",PROPER(TRIM(Raw_Data!D1897))="Gb",PROPER(TRIM(Raw_Data!D1897))="United kingdom"),"United Kingdom",PROPER(TRIM(Raw_Data!D1897)))</f>
        <v>United Kingdom</v>
      </c>
      <c r="E1897" s="6" t="s">
        <v>37</v>
      </c>
      <c r="F1897" s="6" t="s">
        <v>100</v>
      </c>
      <c r="G1897" s="6" t="str">
        <f>SUBSTITUTE(Raw_Data!G1897,"Ã©","é")</f>
        <v>Summit Down Gilet</v>
      </c>
      <c r="H1897" s="6">
        <v>1</v>
      </c>
      <c r="I1897" s="6" t="s">
        <v>60</v>
      </c>
      <c r="J1897" s="6" t="s">
        <v>60</v>
      </c>
      <c r="K1897" s="6">
        <v>0.64</v>
      </c>
      <c r="L1897" s="6" t="s">
        <v>42</v>
      </c>
      <c r="M1897" s="6" t="s">
        <v>34</v>
      </c>
      <c r="N1897" s="6"/>
    </row>
    <row r="1898" spans="1:14">
      <c r="A1898" s="6" t="s">
        <v>3292</v>
      </c>
      <c r="B1898" s="7">
        <v>46083</v>
      </c>
      <c r="C1898" s="6" t="s">
        <v>3293</v>
      </c>
      <c r="D1898" s="6" t="str">
        <f>IF(OR(PROPER(TRIM(Raw_Data!D1898))="Uk",PROPER(TRIM(Raw_Data!D1898))="Gb",PROPER(TRIM(Raw_Data!D1898))="United kingdom"),"United Kingdom",PROPER(TRIM(Raw_Data!D1898)))</f>
        <v>France</v>
      </c>
      <c r="E1898" s="6" t="s">
        <v>37</v>
      </c>
      <c r="F1898" s="6" t="s">
        <v>38</v>
      </c>
      <c r="G1898" s="6" t="str">
        <f>SUBSTITUTE(Raw_Data!G1898,"Ã©","é")</f>
        <v>Storm Overtrousers</v>
      </c>
      <c r="H1898" s="6">
        <v>-3</v>
      </c>
      <c r="I1898" s="6" t="s">
        <v>231</v>
      </c>
      <c r="J1898" s="8" t="s">
        <v>3294</v>
      </c>
      <c r="K1898" s="6">
        <v>0.52</v>
      </c>
      <c r="L1898" s="6" t="s">
        <v>42</v>
      </c>
      <c r="M1898" s="6" t="s">
        <v>34</v>
      </c>
      <c r="N1898" s="6"/>
    </row>
    <row r="1899" spans="1:14">
      <c r="A1899" s="6" t="s">
        <v>3295</v>
      </c>
      <c r="B1899" s="7">
        <v>46053</v>
      </c>
      <c r="C1899" s="6" t="s">
        <v>761</v>
      </c>
      <c r="D1899" s="6" t="str">
        <f>IF(OR(PROPER(TRIM(Raw_Data!D1899))="Uk",PROPER(TRIM(Raw_Data!D1899))="Gb",PROPER(TRIM(Raw_Data!D1899))="United kingdom"),"United Kingdom",PROPER(TRIM(Raw_Data!D1899)))</f>
        <v>Ireland</v>
      </c>
      <c r="E1899" s="6" t="s">
        <v>37</v>
      </c>
      <c r="F1899" s="6" t="s">
        <v>100</v>
      </c>
      <c r="G1899" s="6" t="str">
        <f>SUBSTITUTE(Raw_Data!G1899,"Ã©","é")</f>
        <v>Summit Down Gilet</v>
      </c>
      <c r="H1899" s="6">
        <v>3</v>
      </c>
      <c r="I1899" s="6" t="s">
        <v>143</v>
      </c>
      <c r="J1899" s="6" t="s">
        <v>243</v>
      </c>
      <c r="K1899" s="6">
        <v>0.64</v>
      </c>
      <c r="L1899" s="6" t="s">
        <v>42</v>
      </c>
      <c r="M1899" s="6" t="s">
        <v>69</v>
      </c>
      <c r="N1899" s="6"/>
    </row>
    <row r="1900" spans="1:14">
      <c r="A1900" s="6" t="s">
        <v>3296</v>
      </c>
      <c r="B1900" s="7">
        <v>46298</v>
      </c>
      <c r="C1900" s="6" t="s">
        <v>873</v>
      </c>
      <c r="D1900" s="6" t="str">
        <f>IF(OR(PROPER(TRIM(Raw_Data!D1900))="Uk",PROPER(TRIM(Raw_Data!D1900))="Gb",PROPER(TRIM(Raw_Data!D1900))="United kingdom"),"United Kingdom",PROPER(TRIM(Raw_Data!D1900)))</f>
        <v>France</v>
      </c>
      <c r="E1900" s="6" t="s">
        <v>46</v>
      </c>
      <c r="F1900" s="6" t="s">
        <v>53</v>
      </c>
      <c r="G1900" s="6" t="str">
        <f>SUBSTITUTE(Raw_Data!G1900,"Ã©","é")</f>
        <v>Storm Overtrousers</v>
      </c>
      <c r="H1900" s="6">
        <v>1</v>
      </c>
      <c r="I1900" s="6" t="s">
        <v>143</v>
      </c>
      <c r="J1900" s="6" t="s">
        <v>143</v>
      </c>
      <c r="K1900" s="6">
        <v>0.19</v>
      </c>
      <c r="L1900" s="6" t="s">
        <v>42</v>
      </c>
      <c r="M1900" s="6" t="s">
        <v>34</v>
      </c>
      <c r="N1900" s="6"/>
    </row>
    <row r="1901" spans="1:14">
      <c r="A1901" s="6" t="s">
        <v>3297</v>
      </c>
      <c r="B1901" s="7">
        <v>46050</v>
      </c>
      <c r="C1901" s="6" t="s">
        <v>2534</v>
      </c>
      <c r="D1901" s="6" t="str">
        <f>IF(OR(PROPER(TRIM(Raw_Data!D1901))="Uk",PROPER(TRIM(Raw_Data!D1901))="Gb",PROPER(TRIM(Raw_Data!D1901))="United kingdom"),"United Kingdom",PROPER(TRIM(Raw_Data!D1901)))</f>
        <v>United Kingdom</v>
      </c>
      <c r="E1901" s="6" t="s">
        <v>52</v>
      </c>
      <c r="F1901" s="6" t="s">
        <v>53</v>
      </c>
      <c r="G1901" s="6" t="str">
        <f>SUBSTITUTE(Raw_Data!G1901,"Ã©","é")</f>
        <v>Fell Runner Cap</v>
      </c>
      <c r="H1901" s="6">
        <v>1</v>
      </c>
      <c r="I1901" s="6" t="s">
        <v>113</v>
      </c>
      <c r="J1901" s="6" t="s">
        <v>113</v>
      </c>
      <c r="K1901" s="6">
        <v>0.19</v>
      </c>
      <c r="L1901" s="6" t="s">
        <v>42</v>
      </c>
      <c r="M1901" s="6" t="s">
        <v>34</v>
      </c>
      <c r="N1901" s="6"/>
    </row>
    <row r="1902" spans="1:14">
      <c r="A1902" s="6" t="s">
        <v>3298</v>
      </c>
      <c r="B1902" s="7">
        <v>46051</v>
      </c>
      <c r="C1902" s="6" t="s">
        <v>3299</v>
      </c>
      <c r="D1902" s="6" t="str">
        <f>IF(OR(PROPER(TRIM(Raw_Data!D1902))="Uk",PROPER(TRIM(Raw_Data!D1902))="Gb",PROPER(TRIM(Raw_Data!D1902))="United kingdom"),"United Kingdom",PROPER(TRIM(Raw_Data!D1902)))</f>
        <v>United Kingdom</v>
      </c>
      <c r="E1902" s="6" t="s">
        <v>78</v>
      </c>
      <c r="F1902" s="6" t="s">
        <v>29</v>
      </c>
      <c r="G1902" s="6" t="str">
        <f>SUBSTITUTE(Raw_Data!G1902,"Ã©","é")</f>
        <v>Storm Overtrousers</v>
      </c>
      <c r="H1902" s="6">
        <v>1</v>
      </c>
      <c r="I1902" s="6" t="s">
        <v>113</v>
      </c>
      <c r="J1902" s="6" t="s">
        <v>113</v>
      </c>
      <c r="K1902" s="6">
        <v>0.52</v>
      </c>
      <c r="L1902" s="6" t="s">
        <v>42</v>
      </c>
      <c r="M1902" s="6" t="s">
        <v>34</v>
      </c>
      <c r="N1902" s="6"/>
    </row>
    <row r="1903" spans="1:14">
      <c r="A1903" s="6" t="s">
        <v>3300</v>
      </c>
      <c r="B1903" s="7">
        <v>46059</v>
      </c>
      <c r="C1903" s="6" t="s">
        <v>2247</v>
      </c>
      <c r="D1903" s="6" t="str">
        <f>IF(OR(PROPER(TRIM(Raw_Data!D1903))="Uk",PROPER(TRIM(Raw_Data!D1903))="Gb",PROPER(TRIM(Raw_Data!D1903))="United kingdom"),"United Kingdom",PROPER(TRIM(Raw_Data!D1903)))</f>
        <v>Germany</v>
      </c>
      <c r="E1903" s="6" t="s">
        <v>37</v>
      </c>
      <c r="F1903" s="6" t="s">
        <v>38</v>
      </c>
      <c r="G1903" s="6" t="str">
        <f>SUBSTITUTE(Raw_Data!G1903,"Ã©","é")</f>
        <v>Trail Softshell</v>
      </c>
      <c r="H1903" s="6">
        <v>1</v>
      </c>
      <c r="I1903" s="6" t="s">
        <v>117</v>
      </c>
      <c r="J1903" s="6" t="s">
        <v>117</v>
      </c>
      <c r="K1903" s="6">
        <v>0.52</v>
      </c>
      <c r="L1903" s="6" t="s">
        <v>42</v>
      </c>
      <c r="M1903" s="6" t="s">
        <v>34</v>
      </c>
      <c r="N1903" s="6"/>
    </row>
    <row r="1904" spans="1:14">
      <c r="A1904" s="6" t="s">
        <v>3301</v>
      </c>
      <c r="B1904" s="7">
        <v>46167</v>
      </c>
      <c r="C1904" s="6" t="s">
        <v>938</v>
      </c>
      <c r="D1904" s="6" t="str">
        <f>IF(OR(PROPER(TRIM(Raw_Data!D1904))="Uk",PROPER(TRIM(Raw_Data!D1904))="Gb",PROPER(TRIM(Raw_Data!D1904))="United kingdom"),"United Kingdom",PROPER(TRIM(Raw_Data!D1904)))</f>
        <v>United Kingdom</v>
      </c>
      <c r="E1904" s="6" t="s">
        <v>37</v>
      </c>
      <c r="F1904" s="6" t="s">
        <v>94</v>
      </c>
      <c r="G1904" s="6" t="str">
        <f>SUBSTITUTE(Raw_Data!G1904,"Ã©","é")</f>
        <v>Summit Down Gilet</v>
      </c>
      <c r="H1904" s="6">
        <v>1</v>
      </c>
      <c r="I1904" s="6" t="s">
        <v>73</v>
      </c>
      <c r="J1904" s="6" t="s">
        <v>73</v>
      </c>
      <c r="K1904" s="6">
        <v>0.34</v>
      </c>
      <c r="L1904" s="6" t="s">
        <v>42</v>
      </c>
      <c r="M1904" s="6" t="s">
        <v>34</v>
      </c>
      <c r="N1904" s="6"/>
    </row>
    <row r="1905" spans="1:14">
      <c r="A1905" s="6" t="s">
        <v>3303</v>
      </c>
      <c r="B1905" s="7">
        <v>46175</v>
      </c>
      <c r="C1905" s="6" t="s">
        <v>3304</v>
      </c>
      <c r="D1905" s="6" t="str">
        <f>IF(OR(PROPER(TRIM(Raw_Data!D1905))="Uk",PROPER(TRIM(Raw_Data!D1905))="Gb",PROPER(TRIM(Raw_Data!D1905))="United kingdom"),"United Kingdom",PROPER(TRIM(Raw_Data!D1905)))</f>
        <v>Ireland</v>
      </c>
      <c r="E1905" s="6" t="s">
        <v>52</v>
      </c>
      <c r="F1905" s="6" t="s">
        <v>29</v>
      </c>
      <c r="G1905" s="6" t="str">
        <f>SUBSTITUTE(Raw_Data!G1905,"Ã©","é")</f>
        <v>Alpine Jacket</v>
      </c>
      <c r="H1905" s="6">
        <v>1</v>
      </c>
      <c r="I1905" s="6" t="s">
        <v>90</v>
      </c>
      <c r="J1905" s="6" t="s">
        <v>90</v>
      </c>
      <c r="K1905" s="6">
        <v>0.52</v>
      </c>
      <c r="L1905" s="6" t="s">
        <v>33</v>
      </c>
      <c r="M1905" s="6" t="s">
        <v>34</v>
      </c>
      <c r="N1905" s="6"/>
    </row>
    <row r="1906" spans="1:14">
      <c r="A1906" s="6" t="s">
        <v>3305</v>
      </c>
      <c r="B1906" s="7">
        <v>46177</v>
      </c>
      <c r="C1906" s="6" t="s">
        <v>191</v>
      </c>
      <c r="D1906" s="6" t="str">
        <f>IF(OR(PROPER(TRIM(Raw_Data!D1906))="Uk",PROPER(TRIM(Raw_Data!D1906))="Gb",PROPER(TRIM(Raw_Data!D1906))="United kingdom"),"United Kingdom",PROPER(TRIM(Raw_Data!D1906)))</f>
        <v>Ireland</v>
      </c>
      <c r="E1906" s="6" t="s">
        <v>28</v>
      </c>
      <c r="F1906" s="6" t="s">
        <v>38</v>
      </c>
      <c r="G1906" s="6" t="str">
        <f>SUBSTITUTE(Raw_Data!G1906,"Ã©","é")</f>
        <v>Summit Down Gilet</v>
      </c>
      <c r="H1906" s="6">
        <v>2</v>
      </c>
      <c r="I1906" s="6" t="s">
        <v>143</v>
      </c>
      <c r="J1906" s="6" t="s">
        <v>144</v>
      </c>
      <c r="K1906" s="6">
        <v>0.52</v>
      </c>
      <c r="L1906" s="6" t="s">
        <v>33</v>
      </c>
      <c r="M1906" s="6" t="s">
        <v>34</v>
      </c>
      <c r="N1906" s="6"/>
    </row>
    <row r="1907" spans="1:14">
      <c r="A1907" s="6" t="s">
        <v>3306</v>
      </c>
      <c r="B1907" s="7">
        <v>46125</v>
      </c>
      <c r="C1907" s="6" t="s">
        <v>186</v>
      </c>
      <c r="D1907" s="6" t="str">
        <f>IF(OR(PROPER(TRIM(Raw_Data!D1907))="Uk",PROPER(TRIM(Raw_Data!D1907))="Gb",PROPER(TRIM(Raw_Data!D1907))="United kingdom"),"United Kingdom",PROPER(TRIM(Raw_Data!D1907)))</f>
        <v>Germany</v>
      </c>
      <c r="E1907" s="6" t="s">
        <v>46</v>
      </c>
      <c r="F1907" s="6" t="s">
        <v>94</v>
      </c>
      <c r="G1907" s="6" t="str">
        <f>SUBSTITUTE(Raw_Data!G1907,"Ã©","é")</f>
        <v>Alpine Jacket</v>
      </c>
      <c r="H1907" s="6">
        <v>1</v>
      </c>
      <c r="I1907" s="6" t="s">
        <v>265</v>
      </c>
      <c r="J1907" s="6" t="s">
        <v>265</v>
      </c>
      <c r="K1907" s="6">
        <v>0.34</v>
      </c>
      <c r="L1907" s="6" t="s">
        <v>42</v>
      </c>
      <c r="M1907" s="6" t="s">
        <v>34</v>
      </c>
      <c r="N1907" s="6"/>
    </row>
    <row r="1908" spans="1:14">
      <c r="A1908" s="6" t="s">
        <v>3307</v>
      </c>
      <c r="B1908" s="7">
        <v>46194</v>
      </c>
      <c r="C1908" s="6" t="s">
        <v>696</v>
      </c>
      <c r="D1908" s="6" t="str">
        <f>IF(OR(PROPER(TRIM(Raw_Data!D1908))="Uk",PROPER(TRIM(Raw_Data!D1908))="Gb",PROPER(TRIM(Raw_Data!D1908))="United kingdom"),"United Kingdom",PROPER(TRIM(Raw_Data!D1908)))</f>
        <v>France</v>
      </c>
      <c r="E1908" s="6" t="s">
        <v>28</v>
      </c>
      <c r="F1908" s="6" t="s">
        <v>85</v>
      </c>
      <c r="G1908" s="6" t="str">
        <f>SUBSTITUTE(Raw_Data!G1908,"Ã©","é")</f>
        <v>Storm Overtrousers</v>
      </c>
      <c r="H1908" s="6">
        <v>1</v>
      </c>
      <c r="I1908" s="6" t="s">
        <v>60</v>
      </c>
      <c r="J1908" s="6" t="s">
        <v>60</v>
      </c>
      <c r="K1908" s="6">
        <v>0.41</v>
      </c>
      <c r="L1908" s="6" t="s">
        <v>42</v>
      </c>
      <c r="M1908" s="6" t="s">
        <v>34</v>
      </c>
      <c r="N1908" s="6"/>
    </row>
    <row r="1909" spans="1:14">
      <c r="A1909" s="6" t="s">
        <v>3308</v>
      </c>
      <c r="B1909" s="7">
        <v>46028</v>
      </c>
      <c r="C1909" s="6" t="s">
        <v>2016</v>
      </c>
      <c r="D1909" s="6" t="str">
        <f>IF(OR(PROPER(TRIM(Raw_Data!D1909))="Uk",PROPER(TRIM(Raw_Data!D1909))="Gb",PROPER(TRIM(Raw_Data!D1909))="United kingdom"),"United Kingdom",PROPER(TRIM(Raw_Data!D1909)))</f>
        <v>United Kingdom</v>
      </c>
      <c r="E1909" s="6" t="s">
        <v>78</v>
      </c>
      <c r="F1909" s="6" t="s">
        <v>38</v>
      </c>
      <c r="G1909" s="6" t="str">
        <f>SUBSTITUTE(Raw_Data!G1909,"Ã©","é")</f>
        <v>Storm Overtrousers</v>
      </c>
      <c r="H1909" s="6">
        <v>1</v>
      </c>
      <c r="I1909" s="6" t="s">
        <v>79</v>
      </c>
      <c r="J1909" s="6" t="s">
        <v>79</v>
      </c>
      <c r="K1909" s="6">
        <v>0.52</v>
      </c>
      <c r="L1909" s="6" t="s">
        <v>33</v>
      </c>
      <c r="M1909" s="6" t="s">
        <v>34</v>
      </c>
      <c r="N1909" s="6"/>
    </row>
    <row r="1910" spans="1:14">
      <c r="A1910" s="6" t="s">
        <v>3309</v>
      </c>
      <c r="B1910" s="7">
        <v>46106</v>
      </c>
      <c r="C1910" s="6" t="s">
        <v>735</v>
      </c>
      <c r="D1910" s="6" t="str">
        <f>IF(OR(PROPER(TRIM(Raw_Data!D1910))="Uk",PROPER(TRIM(Raw_Data!D1910))="Gb",PROPER(TRIM(Raw_Data!D1910))="United kingdom"),"United Kingdom",PROPER(TRIM(Raw_Data!D1910)))</f>
        <v>United Kingdom</v>
      </c>
      <c r="E1910" s="6" t="s">
        <v>28</v>
      </c>
      <c r="F1910" s="6" t="s">
        <v>53</v>
      </c>
      <c r="G1910" s="6" t="str">
        <f>SUBSTITUTE(Raw_Data!G1910,"Ã©","é")</f>
        <v>Fell Runner Cap</v>
      </c>
      <c r="H1910" s="6">
        <v>2</v>
      </c>
      <c r="I1910" s="6" t="s">
        <v>143</v>
      </c>
      <c r="J1910" s="6" t="s">
        <v>144</v>
      </c>
      <c r="K1910" s="6">
        <v>0.19</v>
      </c>
      <c r="L1910" s="6" t="s">
        <v>42</v>
      </c>
      <c r="M1910" s="6" t="s">
        <v>69</v>
      </c>
      <c r="N1910" s="6"/>
    </row>
    <row r="1911" spans="1:14">
      <c r="A1911" s="6" t="s">
        <v>3310</v>
      </c>
      <c r="B1911" s="7">
        <v>46043</v>
      </c>
      <c r="C1911" s="6" t="s">
        <v>1889</v>
      </c>
      <c r="D1911" s="6" t="str">
        <f>IF(OR(PROPER(TRIM(Raw_Data!D1911))="Uk",PROPER(TRIM(Raw_Data!D1911))="Gb",PROPER(TRIM(Raw_Data!D1911))="United kingdom"),"United Kingdom",PROPER(TRIM(Raw_Data!D1911)))</f>
        <v>United Kingdom</v>
      </c>
      <c r="E1911" s="6" t="s">
        <v>78</v>
      </c>
      <c r="F1911" s="6" t="s">
        <v>29</v>
      </c>
      <c r="G1911" s="6" t="str">
        <f>SUBSTITUTE(Raw_Data!G1911,"Ã©","é")</f>
        <v>Alpine Jacket</v>
      </c>
      <c r="H1911" s="6">
        <v>1</v>
      </c>
      <c r="I1911" s="6" t="s">
        <v>73</v>
      </c>
      <c r="J1911" s="6" t="s">
        <v>73</v>
      </c>
      <c r="K1911" s="6">
        <v>0.52</v>
      </c>
      <c r="L1911" s="6" t="s">
        <v>42</v>
      </c>
      <c r="M1911" s="6" t="s">
        <v>34</v>
      </c>
      <c r="N1911" s="6"/>
    </row>
    <row r="1912" spans="1:14">
      <c r="A1912" s="6" t="s">
        <v>3311</v>
      </c>
      <c r="B1912" s="7">
        <v>46239</v>
      </c>
      <c r="C1912" s="6" t="s">
        <v>3312</v>
      </c>
      <c r="D1912" s="6" t="str">
        <f>IF(OR(PROPER(TRIM(Raw_Data!D1912))="Uk",PROPER(TRIM(Raw_Data!D1912))="Gb",PROPER(TRIM(Raw_Data!D1912))="United kingdom"),"United Kingdom",PROPER(TRIM(Raw_Data!D1912)))</f>
        <v>United Kingdom</v>
      </c>
      <c r="E1912" s="6" t="s">
        <v>78</v>
      </c>
      <c r="F1912" s="6" t="s">
        <v>47</v>
      </c>
      <c r="G1912" s="6" t="str">
        <f>SUBSTITUTE(Raw_Data!G1912,"Ã©","é")</f>
        <v>Merino Base Layer</v>
      </c>
      <c r="H1912" s="6">
        <v>1</v>
      </c>
      <c r="I1912" s="6" t="s">
        <v>79</v>
      </c>
      <c r="J1912" s="6" t="s">
        <v>79</v>
      </c>
      <c r="K1912" s="6">
        <v>8.5000000000000006E-2</v>
      </c>
      <c r="L1912" s="6" t="s">
        <v>42</v>
      </c>
      <c r="M1912" s="6" t="s">
        <v>69</v>
      </c>
      <c r="N1912" s="6"/>
    </row>
    <row r="1913" spans="1:14">
      <c r="A1913" s="6" t="s">
        <v>3313</v>
      </c>
      <c r="B1913" s="7">
        <v>46207</v>
      </c>
      <c r="C1913" s="6" t="s">
        <v>3314</v>
      </c>
      <c r="D1913" s="6" t="str">
        <f>IF(OR(PROPER(TRIM(Raw_Data!D1913))="Uk",PROPER(TRIM(Raw_Data!D1913))="Gb",PROPER(TRIM(Raw_Data!D1913))="United kingdom"),"United Kingdom",PROPER(TRIM(Raw_Data!D1913)))</f>
        <v>France</v>
      </c>
      <c r="E1913" s="6" t="s">
        <v>78</v>
      </c>
      <c r="F1913" s="6" t="s">
        <v>100</v>
      </c>
      <c r="G1913" s="6" t="str">
        <f>SUBSTITUTE(Raw_Data!G1913,"Ã©","é")</f>
        <v>Alpine Jacket</v>
      </c>
      <c r="H1913" s="6">
        <v>1</v>
      </c>
      <c r="I1913" s="6" t="s">
        <v>67</v>
      </c>
      <c r="J1913" s="6" t="s">
        <v>67</v>
      </c>
      <c r="K1913" s="6">
        <v>0.64</v>
      </c>
      <c r="L1913" s="6" t="s">
        <v>42</v>
      </c>
      <c r="M1913" s="6" t="s">
        <v>69</v>
      </c>
      <c r="N1913" s="6"/>
    </row>
    <row r="1914" spans="1:14">
      <c r="A1914" s="6" t="s">
        <v>3315</v>
      </c>
      <c r="B1914" s="7">
        <v>46102</v>
      </c>
      <c r="C1914" s="6" t="s">
        <v>3316</v>
      </c>
      <c r="D1914" s="6" t="str">
        <f>IF(OR(PROPER(TRIM(Raw_Data!D1914))="Uk",PROPER(TRIM(Raw_Data!D1914))="Gb",PROPER(TRIM(Raw_Data!D1914))="United kingdom"),"United Kingdom",PROPER(TRIM(Raw_Data!D1914)))</f>
        <v>Ireland</v>
      </c>
      <c r="E1914" s="6" t="s">
        <v>52</v>
      </c>
      <c r="F1914" s="6" t="s">
        <v>29</v>
      </c>
      <c r="G1914" s="6" t="str">
        <f>SUBSTITUTE(Raw_Data!G1914,"Ã©","é")</f>
        <v>Storm Overtrousers</v>
      </c>
      <c r="H1914" s="6">
        <v>3</v>
      </c>
      <c r="I1914" s="6" t="s">
        <v>117</v>
      </c>
      <c r="J1914" s="6" t="s">
        <v>171</v>
      </c>
      <c r="K1914" s="6">
        <v>0.52</v>
      </c>
      <c r="L1914" s="6" t="s">
        <v>42</v>
      </c>
      <c r="M1914" s="6" t="s">
        <v>34</v>
      </c>
      <c r="N1914" s="6"/>
    </row>
    <row r="1915" spans="1:14">
      <c r="A1915" s="6" t="s">
        <v>3317</v>
      </c>
      <c r="B1915" s="7">
        <v>46080</v>
      </c>
      <c r="C1915" s="6" t="s">
        <v>573</v>
      </c>
      <c r="D1915" s="6" t="str">
        <f>IF(OR(PROPER(TRIM(Raw_Data!D1915))="Uk",PROPER(TRIM(Raw_Data!D1915))="Gb",PROPER(TRIM(Raw_Data!D1915))="United kingdom"),"United Kingdom",PROPER(TRIM(Raw_Data!D1915)))</f>
        <v>United Kingdom</v>
      </c>
      <c r="E1915" s="6" t="s">
        <v>52</v>
      </c>
      <c r="F1915" s="6" t="s">
        <v>85</v>
      </c>
      <c r="G1915" s="6" t="str">
        <f>SUBSTITUTE(Raw_Data!G1915,"Ã©","é")</f>
        <v>Merino Base Layer</v>
      </c>
      <c r="H1915" s="6">
        <v>3</v>
      </c>
      <c r="I1915" s="6" t="s">
        <v>79</v>
      </c>
      <c r="J1915" s="6" t="s">
        <v>216</v>
      </c>
      <c r="K1915" s="6">
        <v>0.41</v>
      </c>
      <c r="L1915" s="6" t="s">
        <v>42</v>
      </c>
      <c r="M1915" s="6" t="s">
        <v>34</v>
      </c>
      <c r="N1915" s="6"/>
    </row>
    <row r="1916" spans="1:14">
      <c r="A1916" s="6" t="s">
        <v>3318</v>
      </c>
      <c r="B1916" s="7">
        <v>46328</v>
      </c>
      <c r="C1916" s="6" t="s">
        <v>219</v>
      </c>
      <c r="D1916" s="6" t="str">
        <f>IF(OR(PROPER(TRIM(Raw_Data!D1916))="Uk",PROPER(TRIM(Raw_Data!D1916))="Gb",PROPER(TRIM(Raw_Data!D1916))="United kingdom"),"United Kingdom",PROPER(TRIM(Raw_Data!D1916)))</f>
        <v>Germany</v>
      </c>
      <c r="E1916" s="6" t="s">
        <v>52</v>
      </c>
      <c r="F1916" s="6" t="s">
        <v>94</v>
      </c>
      <c r="G1916" s="6" t="str">
        <f>SUBSTITUTE(Raw_Data!G1916,"Ã©","é")</f>
        <v>Alpine Jacket</v>
      </c>
      <c r="H1916" s="6">
        <v>1</v>
      </c>
      <c r="I1916" s="6" t="s">
        <v>82</v>
      </c>
      <c r="J1916" s="6" t="s">
        <v>82</v>
      </c>
      <c r="K1916" s="6">
        <v>0.34</v>
      </c>
      <c r="L1916" s="6" t="s">
        <v>42</v>
      </c>
      <c r="M1916" s="6" t="s">
        <v>34</v>
      </c>
      <c r="N1916" s="6"/>
    </row>
    <row r="1917" spans="1:14">
      <c r="A1917" s="6" t="s">
        <v>3319</v>
      </c>
      <c r="B1917" s="7">
        <v>46024</v>
      </c>
      <c r="C1917" s="6" t="s">
        <v>1554</v>
      </c>
      <c r="D1917" s="6" t="str">
        <f>IF(OR(PROPER(TRIM(Raw_Data!D1917))="Uk",PROPER(TRIM(Raw_Data!D1917))="Gb",PROPER(TRIM(Raw_Data!D1917))="United kingdom"),"United Kingdom",PROPER(TRIM(Raw_Data!D1917)))</f>
        <v>United Kingdom</v>
      </c>
      <c r="E1917" s="6" t="s">
        <v>28</v>
      </c>
      <c r="F1917" s="6" t="s">
        <v>29</v>
      </c>
      <c r="G1917" s="6" t="str">
        <f>SUBSTITUTE(Raw_Data!G1917,"Ã©","é")</f>
        <v>Summit Down Gilet</v>
      </c>
      <c r="H1917" s="6">
        <v>3</v>
      </c>
      <c r="I1917" s="6" t="s">
        <v>40</v>
      </c>
      <c r="J1917" s="6" t="s">
        <v>579</v>
      </c>
      <c r="K1917" s="6">
        <v>0.52</v>
      </c>
      <c r="L1917" s="6" t="s">
        <v>42</v>
      </c>
      <c r="M1917" s="6" t="s">
        <v>69</v>
      </c>
      <c r="N1917" s="6"/>
    </row>
    <row r="1918" spans="1:14">
      <c r="A1918" s="6" t="s">
        <v>3320</v>
      </c>
      <c r="B1918" s="7">
        <v>46077</v>
      </c>
      <c r="C1918" s="6" t="s">
        <v>1666</v>
      </c>
      <c r="D1918" s="6" t="str">
        <f>IF(OR(PROPER(TRIM(Raw_Data!D1918))="Uk",PROPER(TRIM(Raw_Data!D1918))="Gb",PROPER(TRIM(Raw_Data!D1918))="United kingdom"),"United Kingdom",PROPER(TRIM(Raw_Data!D1918)))</f>
        <v>France</v>
      </c>
      <c r="E1918" s="6" t="s">
        <v>52</v>
      </c>
      <c r="F1918" s="6" t="s">
        <v>100</v>
      </c>
      <c r="G1918" s="6" t="str">
        <f>SUBSTITUTE(Raw_Data!G1918,"Ã©","é")</f>
        <v>Trekking Poles</v>
      </c>
      <c r="H1918" s="6">
        <v>3</v>
      </c>
      <c r="I1918" s="6" t="s">
        <v>90</v>
      </c>
      <c r="J1918" s="6" t="s">
        <v>2521</v>
      </c>
      <c r="K1918" s="6">
        <v>0.64</v>
      </c>
      <c r="L1918" s="6" t="s">
        <v>42</v>
      </c>
      <c r="M1918" s="6" t="s">
        <v>34</v>
      </c>
      <c r="N1918" s="6"/>
    </row>
    <row r="1919" spans="1:14">
      <c r="A1919" s="6" t="s">
        <v>3321</v>
      </c>
      <c r="B1919" s="7">
        <v>46187</v>
      </c>
      <c r="C1919" s="6" t="s">
        <v>2071</v>
      </c>
      <c r="D1919" s="6" t="str">
        <f>IF(OR(PROPER(TRIM(Raw_Data!D1919))="Uk",PROPER(TRIM(Raw_Data!D1919))="Gb",PROPER(TRIM(Raw_Data!D1919))="United kingdom"),"United Kingdom",PROPER(TRIM(Raw_Data!D1919)))</f>
        <v>United Kingdom</v>
      </c>
      <c r="E1919" s="6" t="s">
        <v>28</v>
      </c>
      <c r="F1919" s="6" t="s">
        <v>53</v>
      </c>
      <c r="G1919" s="6" t="str">
        <f>SUBSTITUTE(Raw_Data!G1919,"Ã©","é")</f>
        <v>Alpine Jacket</v>
      </c>
      <c r="H1919" s="6">
        <v>3</v>
      </c>
      <c r="I1919" s="6" t="s">
        <v>231</v>
      </c>
      <c r="J1919" s="6" t="s">
        <v>505</v>
      </c>
      <c r="K1919" s="6">
        <v>0.19</v>
      </c>
      <c r="L1919" s="6" t="s">
        <v>42</v>
      </c>
      <c r="M1919" s="6" t="s">
        <v>34</v>
      </c>
      <c r="N1919" s="6"/>
    </row>
    <row r="1920" spans="1:14">
      <c r="A1920" s="6" t="s">
        <v>3322</v>
      </c>
      <c r="B1920" s="7">
        <v>46117</v>
      </c>
      <c r="C1920" s="6" t="s">
        <v>184</v>
      </c>
      <c r="D1920" s="6" t="str">
        <f>IF(OR(PROPER(TRIM(Raw_Data!D1920))="Uk",PROPER(TRIM(Raw_Data!D1920))="Gb",PROPER(TRIM(Raw_Data!D1920))="United kingdom"),"United Kingdom",PROPER(TRIM(Raw_Data!D1920)))</f>
        <v>United Kingdom</v>
      </c>
      <c r="E1920" s="6" t="s">
        <v>52</v>
      </c>
      <c r="F1920" s="6" t="s">
        <v>53</v>
      </c>
      <c r="G1920" s="6" t="str">
        <f>SUBSTITUTE(Raw_Data!G1920,"Ã©","é")</f>
        <v>Trail Softshell</v>
      </c>
      <c r="H1920" s="6">
        <v>2</v>
      </c>
      <c r="I1920" s="6" t="s">
        <v>231</v>
      </c>
      <c r="J1920" s="6" t="s">
        <v>268</v>
      </c>
      <c r="K1920" s="6">
        <v>0.19</v>
      </c>
      <c r="L1920" s="6" t="s">
        <v>33</v>
      </c>
      <c r="M1920" s="6" t="s">
        <v>34</v>
      </c>
      <c r="N1920" s="6"/>
    </row>
    <row r="1921" spans="1:14">
      <c r="A1921" s="6" t="s">
        <v>3323</v>
      </c>
      <c r="B1921" s="7">
        <v>46148</v>
      </c>
      <c r="C1921" s="6" t="s">
        <v>475</v>
      </c>
      <c r="D1921" s="6" t="str">
        <f>IF(OR(PROPER(TRIM(Raw_Data!D1921))="Uk",PROPER(TRIM(Raw_Data!D1921))="Gb",PROPER(TRIM(Raw_Data!D1921))="United kingdom"),"United Kingdom",PROPER(TRIM(Raw_Data!D1921)))</f>
        <v>United Kingdom</v>
      </c>
      <c r="E1921" s="6" t="s">
        <v>37</v>
      </c>
      <c r="F1921" s="6" t="s">
        <v>53</v>
      </c>
      <c r="G1921" s="6" t="str">
        <f>SUBSTITUTE(Raw_Data!G1921,"Ã©","é")</f>
        <v>Alpine Jacket</v>
      </c>
      <c r="H1921" s="6">
        <v>1</v>
      </c>
      <c r="I1921" s="6" t="s">
        <v>511</v>
      </c>
      <c r="J1921" s="6" t="s">
        <v>231</v>
      </c>
      <c r="K1921" s="6">
        <v>0.19</v>
      </c>
      <c r="L1921" s="6" t="s">
        <v>42</v>
      </c>
      <c r="M1921" s="6" t="s">
        <v>69</v>
      </c>
      <c r="N1921" s="6"/>
    </row>
    <row r="1922" spans="1:14">
      <c r="A1922" s="6" t="s">
        <v>3324</v>
      </c>
      <c r="B1922" s="7">
        <v>46038</v>
      </c>
      <c r="C1922" s="6" t="s">
        <v>146</v>
      </c>
      <c r="D1922" s="6" t="str">
        <f>IF(OR(PROPER(TRIM(Raw_Data!D1922))="Uk",PROPER(TRIM(Raw_Data!D1922))="Gb",PROPER(TRIM(Raw_Data!D1922))="United kingdom"),"United Kingdom",PROPER(TRIM(Raw_Data!D1922)))</f>
        <v>United Kingdom</v>
      </c>
      <c r="E1922" s="6" t="s">
        <v>37</v>
      </c>
      <c r="F1922" s="6" t="s">
        <v>100</v>
      </c>
      <c r="G1922" s="6" t="str">
        <f>SUBSTITUTE(Raw_Data!G1922,"Ã©","é")</f>
        <v>Merino Base Layer</v>
      </c>
      <c r="H1922" s="6">
        <v>2</v>
      </c>
      <c r="I1922" s="6" t="s">
        <v>40</v>
      </c>
      <c r="J1922" s="6" t="s">
        <v>327</v>
      </c>
      <c r="K1922" s="6">
        <v>0.64</v>
      </c>
      <c r="L1922" s="6" t="s">
        <v>42</v>
      </c>
      <c r="M1922" s="6" t="s">
        <v>34</v>
      </c>
      <c r="N1922" s="6"/>
    </row>
    <row r="1923" spans="1:14">
      <c r="A1923" s="6" t="s">
        <v>3325</v>
      </c>
      <c r="B1923" s="7">
        <v>46359</v>
      </c>
      <c r="C1923" s="6" t="s">
        <v>903</v>
      </c>
      <c r="D1923" s="6" t="str">
        <f>IF(OR(PROPER(TRIM(Raw_Data!D1923))="Uk",PROPER(TRIM(Raw_Data!D1923))="Gb",PROPER(TRIM(Raw_Data!D1923))="United kingdom"),"United Kingdom",PROPER(TRIM(Raw_Data!D1923)))</f>
        <v>United Kingdom</v>
      </c>
      <c r="E1923" s="6" t="s">
        <v>28</v>
      </c>
      <c r="F1923" s="6" t="s">
        <v>47</v>
      </c>
      <c r="G1923" s="6" t="str">
        <f>SUBSTITUTE(Raw_Data!G1923,"Ã©","é")</f>
        <v>Merino Base Layer</v>
      </c>
      <c r="H1923" s="6">
        <v>1</v>
      </c>
      <c r="I1923" s="6" t="s">
        <v>82</v>
      </c>
      <c r="J1923" s="6" t="s">
        <v>82</v>
      </c>
      <c r="K1923" s="6">
        <v>8.5000000000000006E-2</v>
      </c>
      <c r="L1923" s="6" t="s">
        <v>42</v>
      </c>
      <c r="M1923" s="6" t="s">
        <v>34</v>
      </c>
      <c r="N1923" s="6"/>
    </row>
    <row r="1924" spans="1:14">
      <c r="A1924" s="6" t="s">
        <v>3326</v>
      </c>
      <c r="B1924" s="7">
        <v>46165</v>
      </c>
      <c r="C1924" s="6" t="s">
        <v>648</v>
      </c>
      <c r="D1924" s="6" t="str">
        <f>IF(OR(PROPER(TRIM(Raw_Data!D1924))="Uk",PROPER(TRIM(Raw_Data!D1924))="Gb",PROPER(TRIM(Raw_Data!D1924))="United kingdom"),"United Kingdom",PROPER(TRIM(Raw_Data!D1924)))</f>
        <v>United Kingdom</v>
      </c>
      <c r="E1924" s="6" t="s">
        <v>78</v>
      </c>
      <c r="F1924" s="6" t="s">
        <v>38</v>
      </c>
      <c r="G1924" s="6" t="str">
        <f>SUBSTITUTE(Raw_Data!G1924,"Ã©","é")</f>
        <v>Trekking Poles</v>
      </c>
      <c r="H1924" s="6">
        <v>1</v>
      </c>
      <c r="I1924" s="6" t="s">
        <v>143</v>
      </c>
      <c r="J1924" s="6" t="s">
        <v>143</v>
      </c>
      <c r="K1924" s="6">
        <v>0.52</v>
      </c>
      <c r="L1924" s="6" t="s">
        <v>33</v>
      </c>
      <c r="M1924" s="6" t="s">
        <v>69</v>
      </c>
      <c r="N1924" s="6"/>
    </row>
    <row r="1925" spans="1:14">
      <c r="A1925" s="6" t="s">
        <v>3327</v>
      </c>
      <c r="B1925" s="7">
        <v>46110</v>
      </c>
      <c r="C1925" s="6" t="s">
        <v>454</v>
      </c>
      <c r="D1925" s="6" t="str">
        <f>IF(OR(PROPER(TRIM(Raw_Data!D1925))="Uk",PROPER(TRIM(Raw_Data!D1925))="Gb",PROPER(TRIM(Raw_Data!D1925))="United kingdom"),"United Kingdom",PROPER(TRIM(Raw_Data!D1925)))</f>
        <v>Germany</v>
      </c>
      <c r="E1925" s="6" t="s">
        <v>46</v>
      </c>
      <c r="F1925" s="6" t="s">
        <v>85</v>
      </c>
      <c r="G1925" s="6" t="str">
        <f>SUBSTITUTE(Raw_Data!G1925,"Ã©","é")</f>
        <v>Trail Softshell</v>
      </c>
      <c r="H1925" s="6">
        <v>1</v>
      </c>
      <c r="I1925" s="6" t="s">
        <v>90</v>
      </c>
      <c r="J1925" s="6" t="s">
        <v>90</v>
      </c>
      <c r="K1925" s="6">
        <v>0.41</v>
      </c>
      <c r="L1925" s="6" t="s">
        <v>42</v>
      </c>
      <c r="M1925" s="6" t="s">
        <v>34</v>
      </c>
      <c r="N1925" s="6"/>
    </row>
    <row r="1926" spans="1:14">
      <c r="A1926" s="6" t="s">
        <v>3328</v>
      </c>
      <c r="B1926" s="7">
        <v>46147</v>
      </c>
      <c r="C1926" s="6" t="s">
        <v>1859</v>
      </c>
      <c r="D1926" s="6" t="str">
        <f>IF(OR(PROPER(TRIM(Raw_Data!D1926))="Uk",PROPER(TRIM(Raw_Data!D1926))="Gb",PROPER(TRIM(Raw_Data!D1926))="United kingdom"),"United Kingdom",PROPER(TRIM(Raw_Data!D1926)))</f>
        <v>Ireland</v>
      </c>
      <c r="E1926" s="6" t="s">
        <v>37</v>
      </c>
      <c r="F1926" s="6" t="s">
        <v>85</v>
      </c>
      <c r="G1926" s="6" t="str">
        <f>SUBSTITUTE(Raw_Data!G1926,"Ã©","é")</f>
        <v>Café Latte Mug</v>
      </c>
      <c r="H1926" s="6">
        <v>1</v>
      </c>
      <c r="I1926" s="6" t="s">
        <v>79</v>
      </c>
      <c r="J1926" s="6" t="s">
        <v>79</v>
      </c>
      <c r="K1926" s="6">
        <v>0.41</v>
      </c>
      <c r="L1926" s="6" t="s">
        <v>42</v>
      </c>
      <c r="M1926" s="6" t="s">
        <v>34</v>
      </c>
      <c r="N1926" s="6"/>
    </row>
    <row r="1927" spans="1:14">
      <c r="A1927" s="6" t="s">
        <v>3329</v>
      </c>
      <c r="B1927" s="7">
        <v>46171</v>
      </c>
      <c r="C1927" s="6" t="s">
        <v>3330</v>
      </c>
      <c r="D1927" s="6" t="str">
        <f>IF(OR(PROPER(TRIM(Raw_Data!D1927))="Uk",PROPER(TRIM(Raw_Data!D1927))="Gb",PROPER(TRIM(Raw_Data!D1927))="United kingdom"),"United Kingdom",PROPER(TRIM(Raw_Data!D1927)))</f>
        <v>Ireland</v>
      </c>
      <c r="E1927" s="6" t="s">
        <v>37</v>
      </c>
      <c r="F1927" s="6" t="s">
        <v>47</v>
      </c>
      <c r="G1927" s="6" t="str">
        <f>SUBSTITUTE(Raw_Data!G1927,"Ã©","é")</f>
        <v>Trekking Poles</v>
      </c>
      <c r="H1927" s="6">
        <v>1</v>
      </c>
      <c r="I1927" s="6" t="s">
        <v>147</v>
      </c>
      <c r="J1927" s="6" t="s">
        <v>147</v>
      </c>
      <c r="K1927" s="6">
        <v>8.5000000000000006E-2</v>
      </c>
      <c r="L1927" s="6" t="s">
        <v>33</v>
      </c>
      <c r="M1927" s="6" t="s">
        <v>34</v>
      </c>
      <c r="N1927" s="6"/>
    </row>
    <row r="1928" spans="1:14">
      <c r="A1928" s="6" t="s">
        <v>3331</v>
      </c>
      <c r="B1928" s="7">
        <v>46045</v>
      </c>
      <c r="C1928" s="6" t="s">
        <v>3332</v>
      </c>
      <c r="D1928" s="6" t="str">
        <f>IF(OR(PROPER(TRIM(Raw_Data!D1928))="Uk",PROPER(TRIM(Raw_Data!D1928))="Gb",PROPER(TRIM(Raw_Data!D1928))="United kingdom"),"United Kingdom",PROPER(TRIM(Raw_Data!D1928)))</f>
        <v>France</v>
      </c>
      <c r="E1928" s="6" t="s">
        <v>28</v>
      </c>
      <c r="F1928" s="6" t="s">
        <v>38</v>
      </c>
      <c r="G1928" s="6" t="str">
        <f>SUBSTITUTE(Raw_Data!G1928,"Ã©","é")</f>
        <v>Trail Softshell</v>
      </c>
      <c r="H1928" s="6">
        <v>3</v>
      </c>
      <c r="I1928" s="6" t="s">
        <v>31</v>
      </c>
      <c r="J1928" s="6" t="s">
        <v>337</v>
      </c>
      <c r="K1928" s="6">
        <v>0.52</v>
      </c>
      <c r="L1928" s="6" t="s">
        <v>42</v>
      </c>
      <c r="M1928" s="6" t="s">
        <v>34</v>
      </c>
      <c r="N1928" s="6"/>
    </row>
    <row r="1929" spans="1:14">
      <c r="A1929" s="6" t="s">
        <v>3333</v>
      </c>
      <c r="B1929" s="7">
        <v>46195</v>
      </c>
      <c r="C1929" s="6" t="s">
        <v>3334</v>
      </c>
      <c r="D1929" s="6" t="str">
        <f>IF(OR(PROPER(TRIM(Raw_Data!D1929))="Uk",PROPER(TRIM(Raw_Data!D1929))="Gb",PROPER(TRIM(Raw_Data!D1929))="United kingdom"),"United Kingdom",PROPER(TRIM(Raw_Data!D1929)))</f>
        <v>United Kingdom</v>
      </c>
      <c r="E1929" s="6" t="s">
        <v>78</v>
      </c>
      <c r="F1929" s="6" t="s">
        <v>29</v>
      </c>
      <c r="G1929" s="6" t="str">
        <f>SUBSTITUTE(Raw_Data!G1929,"Ã©","é")</f>
        <v>Café Latte Mug</v>
      </c>
      <c r="H1929" s="6">
        <v>1</v>
      </c>
      <c r="I1929" s="6" t="s">
        <v>60</v>
      </c>
      <c r="J1929" s="6" t="s">
        <v>60</v>
      </c>
      <c r="K1929" s="6">
        <v>0.52</v>
      </c>
      <c r="L1929" s="6" t="s">
        <v>33</v>
      </c>
      <c r="M1929" s="6" t="s">
        <v>34</v>
      </c>
      <c r="N1929" s="6"/>
    </row>
    <row r="1930" spans="1:14">
      <c r="A1930" s="6" t="s">
        <v>3335</v>
      </c>
      <c r="B1930" s="7">
        <v>46145</v>
      </c>
      <c r="C1930" s="6" t="s">
        <v>3299</v>
      </c>
      <c r="D1930" s="6" t="str">
        <f>IF(OR(PROPER(TRIM(Raw_Data!D1930))="Uk",PROPER(TRIM(Raw_Data!D1930))="Gb",PROPER(TRIM(Raw_Data!D1930))="United kingdom"),"United Kingdom",PROPER(TRIM(Raw_Data!D1930)))</f>
        <v>United Kingdom</v>
      </c>
      <c r="E1930" s="6" t="s">
        <v>28</v>
      </c>
      <c r="F1930" s="6" t="s">
        <v>38</v>
      </c>
      <c r="G1930" s="6" t="str">
        <f>SUBSTITUTE(Raw_Data!G1930,"Ã©","é")</f>
        <v>Storm Overtrousers</v>
      </c>
      <c r="H1930" s="6">
        <v>3</v>
      </c>
      <c r="I1930" s="6" t="s">
        <v>67</v>
      </c>
      <c r="J1930" s="6" t="s">
        <v>68</v>
      </c>
      <c r="K1930" s="6">
        <v>0.52</v>
      </c>
      <c r="L1930" s="6" t="s">
        <v>42</v>
      </c>
      <c r="M1930" s="6" t="s">
        <v>69</v>
      </c>
      <c r="N1930" s="6"/>
    </row>
    <row r="1931" spans="1:14">
      <c r="A1931" s="6" t="s">
        <v>3336</v>
      </c>
      <c r="B1931" s="7">
        <v>46043</v>
      </c>
      <c r="C1931" s="6" t="s">
        <v>2288</v>
      </c>
      <c r="D1931" s="6" t="str">
        <f>IF(OR(PROPER(TRIM(Raw_Data!D1931))="Uk",PROPER(TRIM(Raw_Data!D1931))="Gb",PROPER(TRIM(Raw_Data!D1931))="United kingdom"),"United Kingdom",PROPER(TRIM(Raw_Data!D1931)))</f>
        <v>United Kingdom</v>
      </c>
      <c r="E1931" s="6" t="s">
        <v>37</v>
      </c>
      <c r="F1931" s="6" t="s">
        <v>100</v>
      </c>
      <c r="G1931" s="6" t="str">
        <f>SUBSTITUTE(Raw_Data!G1931,"Ã©","é")</f>
        <v>Trail Softshell</v>
      </c>
      <c r="H1931" s="6">
        <v>1</v>
      </c>
      <c r="I1931" s="6" t="s">
        <v>73</v>
      </c>
      <c r="J1931" s="6" t="s">
        <v>73</v>
      </c>
      <c r="K1931" s="6">
        <v>0.64</v>
      </c>
      <c r="L1931" s="6" t="s">
        <v>42</v>
      </c>
      <c r="M1931" s="6" t="s">
        <v>69</v>
      </c>
      <c r="N1931" s="6"/>
    </row>
    <row r="1932" spans="1:14">
      <c r="A1932" s="6" t="s">
        <v>3337</v>
      </c>
      <c r="B1932" s="7">
        <v>46192</v>
      </c>
      <c r="C1932" s="6" t="s">
        <v>2055</v>
      </c>
      <c r="D1932" s="6" t="str">
        <f>IF(OR(PROPER(TRIM(Raw_Data!D1932))="Uk",PROPER(TRIM(Raw_Data!D1932))="Gb",PROPER(TRIM(Raw_Data!D1932))="United kingdom"),"United Kingdom",PROPER(TRIM(Raw_Data!D1932)))</f>
        <v>Ireland</v>
      </c>
      <c r="E1932" s="6" t="s">
        <v>52</v>
      </c>
      <c r="F1932" s="6" t="s">
        <v>100</v>
      </c>
      <c r="G1932" s="6" t="str">
        <f>SUBSTITUTE(Raw_Data!G1932,"Ã©","é")</f>
        <v>Merino Base Layer</v>
      </c>
      <c r="H1932" s="6">
        <v>2</v>
      </c>
      <c r="I1932" s="6" t="s">
        <v>79</v>
      </c>
      <c r="J1932" s="6" t="s">
        <v>259</v>
      </c>
      <c r="K1932" s="6">
        <v>0.64</v>
      </c>
      <c r="L1932" s="6" t="s">
        <v>42</v>
      </c>
      <c r="M1932" s="6" t="s">
        <v>34</v>
      </c>
      <c r="N1932" s="6"/>
    </row>
    <row r="1933" spans="1:14">
      <c r="A1933" s="6" t="s">
        <v>3338</v>
      </c>
      <c r="B1933" s="7">
        <v>46060</v>
      </c>
      <c r="C1933" s="6" t="s">
        <v>2022</v>
      </c>
      <c r="D1933" s="6" t="str">
        <f>IF(OR(PROPER(TRIM(Raw_Data!D1933))="Uk",PROPER(TRIM(Raw_Data!D1933))="Gb",PROPER(TRIM(Raw_Data!D1933))="United kingdom"),"United Kingdom",PROPER(TRIM(Raw_Data!D1933)))</f>
        <v>United Kingdom</v>
      </c>
      <c r="E1933" s="6" t="s">
        <v>78</v>
      </c>
      <c r="F1933" s="6" t="s">
        <v>58</v>
      </c>
      <c r="G1933" s="6" t="str">
        <f>SUBSTITUTE(Raw_Data!G1933,"Ã©","é")</f>
        <v>Trekking Poles</v>
      </c>
      <c r="H1933" s="6">
        <v>3</v>
      </c>
      <c r="I1933" s="6" t="s">
        <v>117</v>
      </c>
      <c r="J1933" s="6" t="s">
        <v>171</v>
      </c>
      <c r="K1933" s="6">
        <v>0.38</v>
      </c>
      <c r="L1933" s="6" t="s">
        <v>42</v>
      </c>
      <c r="M1933" s="6" t="s">
        <v>34</v>
      </c>
      <c r="N1933" s="6"/>
    </row>
    <row r="1934" spans="1:14">
      <c r="A1934" s="6" t="s">
        <v>3339</v>
      </c>
      <c r="B1934" s="7">
        <v>46163</v>
      </c>
      <c r="C1934" s="6" t="s">
        <v>3340</v>
      </c>
      <c r="D1934" s="6" t="str">
        <f>IF(OR(PROPER(TRIM(Raw_Data!D1934))="Uk",PROPER(TRIM(Raw_Data!D1934))="Gb",PROPER(TRIM(Raw_Data!D1934))="United kingdom"),"United Kingdom",PROPER(TRIM(Raw_Data!D1934)))</f>
        <v>Germany</v>
      </c>
      <c r="E1934" s="6" t="s">
        <v>28</v>
      </c>
      <c r="F1934" s="6" t="s">
        <v>85</v>
      </c>
      <c r="G1934" s="6" t="str">
        <f>SUBSTITUTE(Raw_Data!G1934,"Ã©","é")</f>
        <v>Fell Runner Cap</v>
      </c>
      <c r="H1934" s="6">
        <v>2</v>
      </c>
      <c r="I1934" s="6" t="s">
        <v>181</v>
      </c>
      <c r="J1934" s="6" t="s">
        <v>163</v>
      </c>
      <c r="K1934" s="6">
        <v>0.41</v>
      </c>
      <c r="L1934" s="6" t="s">
        <v>42</v>
      </c>
      <c r="M1934" s="6" t="s">
        <v>34</v>
      </c>
      <c r="N1934" s="6"/>
    </row>
    <row r="1935" spans="1:14">
      <c r="A1935" s="6" t="s">
        <v>3341</v>
      </c>
      <c r="B1935" s="7">
        <v>46266</v>
      </c>
      <c r="C1935" s="6" t="s">
        <v>3342</v>
      </c>
      <c r="D1935" s="6" t="str">
        <f>IF(OR(PROPER(TRIM(Raw_Data!D1935))="Uk",PROPER(TRIM(Raw_Data!D1935))="Gb",PROPER(TRIM(Raw_Data!D1935))="United kingdom"),"United Kingdom",PROPER(TRIM(Raw_Data!D1935)))</f>
        <v>United Kingdom</v>
      </c>
      <c r="E1935" s="6" t="s">
        <v>37</v>
      </c>
      <c r="F1935" s="6" t="s">
        <v>38</v>
      </c>
      <c r="G1935" s="6" t="str">
        <f>SUBSTITUTE(Raw_Data!G1935,"Ã©","é")</f>
        <v>Alpine Jacket</v>
      </c>
      <c r="H1935" s="6">
        <v>2</v>
      </c>
      <c r="I1935" s="6" t="s">
        <v>60</v>
      </c>
      <c r="J1935" s="6" t="s">
        <v>189</v>
      </c>
      <c r="K1935" s="6">
        <v>0.52</v>
      </c>
      <c r="L1935" s="6" t="s">
        <v>33</v>
      </c>
      <c r="M1935" s="6" t="s">
        <v>34</v>
      </c>
      <c r="N1935" s="6"/>
    </row>
    <row r="1936" spans="1:14">
      <c r="A1936" s="6" t="s">
        <v>3343</v>
      </c>
      <c r="B1936" s="7">
        <v>46069</v>
      </c>
      <c r="C1936" s="6" t="s">
        <v>3344</v>
      </c>
      <c r="D1936" s="6" t="str">
        <f>IF(OR(PROPER(TRIM(Raw_Data!D1936))="Uk",PROPER(TRIM(Raw_Data!D1936))="Gb",PROPER(TRIM(Raw_Data!D1936))="United kingdom"),"United Kingdom",PROPER(TRIM(Raw_Data!D1936)))</f>
        <v>United Kingdom</v>
      </c>
      <c r="E1936" s="6" t="s">
        <v>37</v>
      </c>
      <c r="F1936" s="6" t="s">
        <v>47</v>
      </c>
      <c r="G1936" s="6" t="str">
        <f>SUBSTITUTE(Raw_Data!G1936,"Ã©","é")</f>
        <v>Trekking Poles</v>
      </c>
      <c r="H1936" s="6">
        <v>1</v>
      </c>
      <c r="I1936" s="6" t="s">
        <v>67</v>
      </c>
      <c r="J1936" s="6" t="s">
        <v>67</v>
      </c>
      <c r="K1936" s="6">
        <v>8.5000000000000006E-2</v>
      </c>
      <c r="L1936" s="6" t="s">
        <v>42</v>
      </c>
      <c r="M1936" s="6" t="s">
        <v>34</v>
      </c>
      <c r="N1936" s="6"/>
    </row>
    <row r="1937" spans="1:14">
      <c r="A1937" s="6" t="s">
        <v>3345</v>
      </c>
      <c r="B1937" s="7">
        <v>46331</v>
      </c>
      <c r="C1937" s="6" t="s">
        <v>2879</v>
      </c>
      <c r="D1937" s="6" t="str">
        <f>IF(OR(PROPER(TRIM(Raw_Data!D1937))="Uk",PROPER(TRIM(Raw_Data!D1937))="Gb",PROPER(TRIM(Raw_Data!D1937))="United kingdom"),"United Kingdom",PROPER(TRIM(Raw_Data!D1937)))</f>
        <v>United Kingdom</v>
      </c>
      <c r="E1937" s="6" t="s">
        <v>28</v>
      </c>
      <c r="F1937" s="6" t="s">
        <v>58</v>
      </c>
      <c r="G1937" s="6" t="str">
        <f>SUBSTITUTE(Raw_Data!G1937,"Ã©","é")</f>
        <v>Storm Overtrousers</v>
      </c>
      <c r="H1937" s="6">
        <v>1</v>
      </c>
      <c r="I1937" s="6" t="s">
        <v>82</v>
      </c>
      <c r="J1937" s="6" t="s">
        <v>82</v>
      </c>
      <c r="K1937" s="6">
        <v>0.38</v>
      </c>
      <c r="L1937" s="6" t="s">
        <v>42</v>
      </c>
      <c r="M1937" s="6" t="s">
        <v>69</v>
      </c>
      <c r="N1937" s="6"/>
    </row>
    <row r="1938" spans="1:14">
      <c r="A1938" s="6" t="s">
        <v>3346</v>
      </c>
      <c r="B1938" s="7">
        <v>46149</v>
      </c>
      <c r="C1938" s="6" t="s">
        <v>794</v>
      </c>
      <c r="D1938" s="6" t="str">
        <f>IF(OR(PROPER(TRIM(Raw_Data!D1938))="Uk",PROPER(TRIM(Raw_Data!D1938))="Gb",PROPER(TRIM(Raw_Data!D1938))="United kingdom"),"United Kingdom",PROPER(TRIM(Raw_Data!D1938)))</f>
        <v>United Kingdom</v>
      </c>
      <c r="E1938" s="6" t="s">
        <v>46</v>
      </c>
      <c r="F1938" s="6" t="s">
        <v>53</v>
      </c>
      <c r="G1938" s="6" t="str">
        <f>SUBSTITUTE(Raw_Data!G1938,"Ã©","é")</f>
        <v>Café Latte Mug</v>
      </c>
      <c r="H1938" s="6">
        <v>1</v>
      </c>
      <c r="I1938" s="6" t="s">
        <v>40</v>
      </c>
      <c r="J1938" s="6" t="s">
        <v>40</v>
      </c>
      <c r="K1938" s="6">
        <v>0.19</v>
      </c>
      <c r="L1938" s="6" t="s">
        <v>33</v>
      </c>
      <c r="M1938" s="6" t="s">
        <v>69</v>
      </c>
      <c r="N1938" s="6"/>
    </row>
    <row r="1939" spans="1:14">
      <c r="A1939" s="6" t="s">
        <v>3347</v>
      </c>
      <c r="B1939" s="7">
        <v>46050</v>
      </c>
      <c r="C1939" s="6" t="s">
        <v>1001</v>
      </c>
      <c r="D1939" s="6" t="str">
        <f>IF(OR(PROPER(TRIM(Raw_Data!D1939))="Uk",PROPER(TRIM(Raw_Data!D1939))="Gb",PROPER(TRIM(Raw_Data!D1939))="United kingdom"),"United Kingdom",PROPER(TRIM(Raw_Data!D1939)))</f>
        <v>Germany</v>
      </c>
      <c r="E1939" s="6" t="s">
        <v>52</v>
      </c>
      <c r="F1939" s="6" t="s">
        <v>58</v>
      </c>
      <c r="G1939" s="6" t="str">
        <f>SUBSTITUTE(Raw_Data!G1939,"Ã©","é")</f>
        <v>Trekking Poles</v>
      </c>
      <c r="H1939" s="6">
        <v>1</v>
      </c>
      <c r="I1939" s="6" t="s">
        <v>60</v>
      </c>
      <c r="J1939" s="6" t="s">
        <v>60</v>
      </c>
      <c r="K1939" s="6">
        <v>0.38</v>
      </c>
      <c r="L1939" s="6" t="s">
        <v>33</v>
      </c>
      <c r="M1939" s="6" t="s">
        <v>34</v>
      </c>
      <c r="N1939" s="6"/>
    </row>
    <row r="1940" spans="1:14">
      <c r="A1940" s="6" t="s">
        <v>3348</v>
      </c>
      <c r="B1940" s="7">
        <v>46038</v>
      </c>
      <c r="C1940" s="6" t="s">
        <v>3349</v>
      </c>
      <c r="D1940" s="6" t="str">
        <f>IF(OR(PROPER(TRIM(Raw_Data!D1940))="Uk",PROPER(TRIM(Raw_Data!D1940))="Gb",PROPER(TRIM(Raw_Data!D1940))="United kingdom"),"United Kingdom",PROPER(TRIM(Raw_Data!D1940)))</f>
        <v>United Kingdom</v>
      </c>
      <c r="E1940" s="6" t="s">
        <v>46</v>
      </c>
      <c r="F1940" s="6" t="s">
        <v>38</v>
      </c>
      <c r="G1940" s="6" t="str">
        <f>SUBSTITUTE(Raw_Data!G1940,"Ã©","é")</f>
        <v>Alpine Jacket</v>
      </c>
      <c r="H1940" s="6">
        <v>3</v>
      </c>
      <c r="I1940" s="6" t="s">
        <v>40</v>
      </c>
      <c r="J1940" s="6" t="s">
        <v>579</v>
      </c>
      <c r="K1940" s="6">
        <v>0.52</v>
      </c>
      <c r="L1940" s="6" t="s">
        <v>42</v>
      </c>
      <c r="M1940" s="6" t="s">
        <v>34</v>
      </c>
      <c r="N1940" s="6"/>
    </row>
    <row r="1941" spans="1:14">
      <c r="A1941" s="6" t="s">
        <v>3350</v>
      </c>
      <c r="B1941" s="7">
        <v>46165</v>
      </c>
      <c r="C1941" s="6" t="s">
        <v>251</v>
      </c>
      <c r="D1941" s="6" t="str">
        <f>IF(OR(PROPER(TRIM(Raw_Data!D1941))="Uk",PROPER(TRIM(Raw_Data!D1941))="Gb",PROPER(TRIM(Raw_Data!D1941))="United kingdom"),"United Kingdom",PROPER(TRIM(Raw_Data!D1941)))</f>
        <v>United Kingdom</v>
      </c>
      <c r="E1941" s="6" t="s">
        <v>52</v>
      </c>
      <c r="F1941" s="6" t="s">
        <v>94</v>
      </c>
      <c r="G1941" s="6" t="str">
        <f>SUBSTITUTE(Raw_Data!G1941,"Ã©","é")</f>
        <v>Merino Base Layer</v>
      </c>
      <c r="H1941" s="6">
        <v>2</v>
      </c>
      <c r="I1941" s="6" t="s">
        <v>265</v>
      </c>
      <c r="J1941" s="6" t="s">
        <v>3351</v>
      </c>
      <c r="K1941" s="6">
        <v>0.34</v>
      </c>
      <c r="L1941" s="6" t="s">
        <v>42</v>
      </c>
      <c r="M1941" s="6" t="s">
        <v>69</v>
      </c>
      <c r="N1941" s="6"/>
    </row>
    <row r="1942" spans="1:14">
      <c r="A1942" s="6" t="s">
        <v>3352</v>
      </c>
      <c r="B1942" s="7">
        <v>46164</v>
      </c>
      <c r="C1942" s="6" t="s">
        <v>847</v>
      </c>
      <c r="D1942" s="6" t="str">
        <f>IF(OR(PROPER(TRIM(Raw_Data!D1942))="Uk",PROPER(TRIM(Raw_Data!D1942))="Gb",PROPER(TRIM(Raw_Data!D1942))="United kingdom"),"United Kingdom",PROPER(TRIM(Raw_Data!D1942)))</f>
        <v>United Kingdom</v>
      </c>
      <c r="E1942" s="6" t="s">
        <v>46</v>
      </c>
      <c r="F1942" s="6" t="s">
        <v>85</v>
      </c>
      <c r="G1942" s="6" t="str">
        <f>SUBSTITUTE(Raw_Data!G1942,"Ã©","é")</f>
        <v>Merino Base Layer</v>
      </c>
      <c r="H1942" s="6">
        <v>1</v>
      </c>
      <c r="I1942" s="6" t="s">
        <v>181</v>
      </c>
      <c r="J1942" s="6" t="s">
        <v>181</v>
      </c>
      <c r="K1942" s="6">
        <v>0.41</v>
      </c>
      <c r="L1942" s="6" t="s">
        <v>42</v>
      </c>
      <c r="M1942" s="6" t="s">
        <v>69</v>
      </c>
      <c r="N1942" s="6"/>
    </row>
    <row r="1943" spans="1:14">
      <c r="A1943" s="6" t="s">
        <v>3353</v>
      </c>
      <c r="B1943" s="7">
        <v>46200</v>
      </c>
      <c r="C1943" s="6" t="s">
        <v>560</v>
      </c>
      <c r="D1943" s="6" t="str">
        <f>IF(OR(PROPER(TRIM(Raw_Data!D1943))="Uk",PROPER(TRIM(Raw_Data!D1943))="Gb",PROPER(TRIM(Raw_Data!D1943))="United kingdom"),"United Kingdom",PROPER(TRIM(Raw_Data!D1943)))</f>
        <v>United Kingdom</v>
      </c>
      <c r="E1943" s="6" t="s">
        <v>52</v>
      </c>
      <c r="F1943" s="6" t="s">
        <v>38</v>
      </c>
      <c r="G1943" s="6" t="str">
        <f>SUBSTITUTE(Raw_Data!G1943,"Ã©","é")</f>
        <v>Merino Base Layer</v>
      </c>
      <c r="H1943" s="6">
        <v>1</v>
      </c>
      <c r="I1943" s="6" t="s">
        <v>117</v>
      </c>
      <c r="J1943" s="6" t="s">
        <v>73</v>
      </c>
      <c r="K1943" s="6">
        <v>0.52</v>
      </c>
      <c r="L1943" s="6" t="s">
        <v>42</v>
      </c>
      <c r="M1943" s="6" t="s">
        <v>69</v>
      </c>
      <c r="N1943" s="6"/>
    </row>
    <row r="1944" spans="1:14">
      <c r="A1944" s="6" t="s">
        <v>3354</v>
      </c>
      <c r="B1944" s="7">
        <v>46112</v>
      </c>
      <c r="C1944" s="6" t="s">
        <v>3355</v>
      </c>
      <c r="D1944" s="6" t="str">
        <f>IF(OR(PROPER(TRIM(Raw_Data!D1944))="Uk",PROPER(TRIM(Raw_Data!D1944))="Gb",PROPER(TRIM(Raw_Data!D1944))="United kingdom"),"United Kingdom",PROPER(TRIM(Raw_Data!D1944)))</f>
        <v>United Kingdom</v>
      </c>
      <c r="E1944" s="6" t="s">
        <v>78</v>
      </c>
      <c r="F1944" s="6" t="s">
        <v>38</v>
      </c>
      <c r="G1944" s="6" t="str">
        <f>SUBSTITUTE(Raw_Data!G1944,"Ã©","é")</f>
        <v>Alpine Jacket</v>
      </c>
      <c r="H1944" s="6">
        <v>1</v>
      </c>
      <c r="I1944" s="6" t="s">
        <v>79</v>
      </c>
      <c r="J1944" s="6" t="s">
        <v>79</v>
      </c>
      <c r="K1944" s="6">
        <v>0.52</v>
      </c>
      <c r="L1944" s="6" t="s">
        <v>33</v>
      </c>
      <c r="M1944" s="6" t="s">
        <v>34</v>
      </c>
      <c r="N1944" s="6"/>
    </row>
    <row r="1945" spans="1:14">
      <c r="A1945" s="6" t="s">
        <v>3356</v>
      </c>
      <c r="B1945" s="7">
        <v>46117</v>
      </c>
      <c r="C1945" s="6" t="s">
        <v>2944</v>
      </c>
      <c r="D1945" s="6" t="str">
        <f>IF(OR(PROPER(TRIM(Raw_Data!D1945))="Uk",PROPER(TRIM(Raw_Data!D1945))="Gb",PROPER(TRIM(Raw_Data!D1945))="United kingdom"),"United Kingdom",PROPER(TRIM(Raw_Data!D1945)))</f>
        <v>France</v>
      </c>
      <c r="E1945" s="6" t="s">
        <v>37</v>
      </c>
      <c r="F1945" s="6" t="s">
        <v>85</v>
      </c>
      <c r="G1945" s="6" t="str">
        <f>SUBSTITUTE(Raw_Data!G1945,"Ã©","é")</f>
        <v>Fell Runner Cap</v>
      </c>
      <c r="H1945" s="6">
        <v>1</v>
      </c>
      <c r="I1945" s="6" t="s">
        <v>82</v>
      </c>
      <c r="J1945" s="6" t="s">
        <v>82</v>
      </c>
      <c r="K1945" s="6">
        <v>0.41</v>
      </c>
      <c r="L1945" s="6" t="s">
        <v>42</v>
      </c>
      <c r="M1945" s="6" t="s">
        <v>69</v>
      </c>
      <c r="N1945" s="6"/>
    </row>
    <row r="1946" spans="1:14">
      <c r="A1946" s="6" t="s">
        <v>3357</v>
      </c>
      <c r="B1946" s="7">
        <v>46332</v>
      </c>
      <c r="C1946" s="6" t="s">
        <v>242</v>
      </c>
      <c r="D1946" s="6" t="str">
        <f>IF(OR(PROPER(TRIM(Raw_Data!D1946))="Uk",PROPER(TRIM(Raw_Data!D1946))="Gb",PROPER(TRIM(Raw_Data!D1946))="United kingdom"),"United Kingdom",PROPER(TRIM(Raw_Data!D1946)))</f>
        <v>Germany</v>
      </c>
      <c r="E1946" s="6" t="s">
        <v>46</v>
      </c>
      <c r="F1946" s="6" t="s">
        <v>100</v>
      </c>
      <c r="G1946" s="6" t="str">
        <f>SUBSTITUTE(Raw_Data!G1946,"Ã©","é")</f>
        <v>Trail Softshell</v>
      </c>
      <c r="H1946" s="6">
        <v>1</v>
      </c>
      <c r="I1946" s="6" t="s">
        <v>90</v>
      </c>
      <c r="J1946" s="6" t="s">
        <v>90</v>
      </c>
      <c r="K1946" s="6">
        <v>0.64</v>
      </c>
      <c r="L1946" s="6" t="s">
        <v>42</v>
      </c>
      <c r="M1946" s="6" t="s">
        <v>34</v>
      </c>
      <c r="N1946" s="6"/>
    </row>
    <row r="1947" spans="1:14">
      <c r="A1947" s="6" t="s">
        <v>3358</v>
      </c>
      <c r="B1947" s="7">
        <v>46029</v>
      </c>
      <c r="C1947" s="6" t="s">
        <v>387</v>
      </c>
      <c r="D1947" s="6" t="str">
        <f>IF(OR(PROPER(TRIM(Raw_Data!D1947))="Uk",PROPER(TRIM(Raw_Data!D1947))="Gb",PROPER(TRIM(Raw_Data!D1947))="United kingdom"),"United Kingdom",PROPER(TRIM(Raw_Data!D1947)))</f>
        <v>Germany</v>
      </c>
      <c r="E1947" s="6" t="s">
        <v>52</v>
      </c>
      <c r="F1947" s="6" t="s">
        <v>94</v>
      </c>
      <c r="G1947" s="6" t="str">
        <f>SUBSTITUTE(Raw_Data!G1947,"Ã©","é")</f>
        <v>Storm Overtrousers</v>
      </c>
      <c r="H1947" s="6">
        <v>3</v>
      </c>
      <c r="I1947" s="6" t="s">
        <v>143</v>
      </c>
      <c r="J1947" s="6" t="s">
        <v>243</v>
      </c>
      <c r="K1947" s="6">
        <v>0.34</v>
      </c>
      <c r="L1947" s="6" t="s">
        <v>42</v>
      </c>
      <c r="M1947" s="6" t="s">
        <v>69</v>
      </c>
      <c r="N1947" s="6"/>
    </row>
    <row r="1948" spans="1:14">
      <c r="A1948" s="6" t="s">
        <v>3359</v>
      </c>
      <c r="B1948" s="7">
        <v>46071</v>
      </c>
      <c r="C1948" s="6" t="s">
        <v>258</v>
      </c>
      <c r="D1948" s="6" t="str">
        <f>IF(OR(PROPER(TRIM(Raw_Data!D1948))="Uk",PROPER(TRIM(Raw_Data!D1948))="Gb",PROPER(TRIM(Raw_Data!D1948))="United kingdom"),"United Kingdom",PROPER(TRIM(Raw_Data!D1948)))</f>
        <v>United Kingdom</v>
      </c>
      <c r="E1948" s="6" t="s">
        <v>78</v>
      </c>
      <c r="F1948" s="6" t="s">
        <v>100</v>
      </c>
      <c r="G1948" s="6" t="str">
        <f>SUBSTITUTE(Raw_Data!G1948,"Ã©","é")</f>
        <v>Storm Overtrousers</v>
      </c>
      <c r="H1948" s="6">
        <v>1</v>
      </c>
      <c r="I1948" s="6" t="s">
        <v>117</v>
      </c>
      <c r="J1948" s="6" t="s">
        <v>117</v>
      </c>
      <c r="K1948" s="6">
        <v>0.64</v>
      </c>
      <c r="L1948" s="6" t="s">
        <v>42</v>
      </c>
      <c r="M1948" s="6" t="s">
        <v>34</v>
      </c>
      <c r="N1948" s="6"/>
    </row>
    <row r="1949" spans="1:14">
      <c r="A1949" s="6" t="s">
        <v>3360</v>
      </c>
      <c r="B1949" s="7">
        <v>46202</v>
      </c>
      <c r="C1949" s="6" t="s">
        <v>777</v>
      </c>
      <c r="D1949" s="6" t="str">
        <f>IF(OR(PROPER(TRIM(Raw_Data!D1949))="Uk",PROPER(TRIM(Raw_Data!D1949))="Gb",PROPER(TRIM(Raw_Data!D1949))="United kingdom"),"United Kingdom",PROPER(TRIM(Raw_Data!D1949)))</f>
        <v>United Kingdom</v>
      </c>
      <c r="E1949" s="6" t="s">
        <v>28</v>
      </c>
      <c r="F1949" s="6" t="s">
        <v>100</v>
      </c>
      <c r="G1949" s="6" t="str">
        <f>SUBSTITUTE(Raw_Data!G1949,"Ã©","é")</f>
        <v>Fell Runner Cap</v>
      </c>
      <c r="H1949" s="6">
        <v>2</v>
      </c>
      <c r="I1949" s="6" t="s">
        <v>143</v>
      </c>
      <c r="J1949" s="6" t="s">
        <v>144</v>
      </c>
      <c r="K1949" s="6">
        <v>0.64</v>
      </c>
      <c r="L1949" s="6" t="s">
        <v>33</v>
      </c>
      <c r="M1949" s="6" t="s">
        <v>34</v>
      </c>
      <c r="N1949" s="6"/>
    </row>
    <row r="1950" spans="1:14">
      <c r="A1950" s="6" t="s">
        <v>3361</v>
      </c>
      <c r="B1950" s="7">
        <v>46201</v>
      </c>
      <c r="C1950" s="6" t="s">
        <v>3110</v>
      </c>
      <c r="D1950" s="6" t="str">
        <f>IF(OR(PROPER(TRIM(Raw_Data!D1950))="Uk",PROPER(TRIM(Raw_Data!D1950))="Gb",PROPER(TRIM(Raw_Data!D1950))="United kingdom"),"United Kingdom",PROPER(TRIM(Raw_Data!D1950)))</f>
        <v>United Kingdom</v>
      </c>
      <c r="E1950" s="6" t="s">
        <v>52</v>
      </c>
      <c r="F1950" s="6" t="s">
        <v>100</v>
      </c>
      <c r="G1950" s="6" t="str">
        <f>SUBSTITUTE(Raw_Data!G1950,"Ã©","é")</f>
        <v>Trail Softshell</v>
      </c>
      <c r="H1950" s="6">
        <v>1</v>
      </c>
      <c r="I1950" s="6" t="s">
        <v>82</v>
      </c>
      <c r="J1950" s="6" t="s">
        <v>82</v>
      </c>
      <c r="K1950" s="6">
        <v>0.64</v>
      </c>
      <c r="L1950" s="6" t="s">
        <v>42</v>
      </c>
      <c r="M1950" s="6" t="s">
        <v>34</v>
      </c>
      <c r="N1950" s="6"/>
    </row>
    <row r="1951" spans="1:14">
      <c r="A1951" s="6" t="s">
        <v>3362</v>
      </c>
      <c r="B1951" s="7">
        <v>46115</v>
      </c>
      <c r="C1951" s="6" t="s">
        <v>815</v>
      </c>
      <c r="D1951" s="6" t="str">
        <f>IF(OR(PROPER(TRIM(Raw_Data!D1951))="Uk",PROPER(TRIM(Raw_Data!D1951))="Gb",PROPER(TRIM(Raw_Data!D1951))="United kingdom"),"United Kingdom",PROPER(TRIM(Raw_Data!D1951)))</f>
        <v>France</v>
      </c>
      <c r="E1951" s="6" t="s">
        <v>78</v>
      </c>
      <c r="F1951" s="6" t="s">
        <v>38</v>
      </c>
      <c r="G1951" s="6" t="str">
        <f>SUBSTITUTE(Raw_Data!G1951,"Ã©","é")</f>
        <v>Trail Softshell</v>
      </c>
      <c r="H1951" s="6">
        <v>1</v>
      </c>
      <c r="I1951" s="6" t="s">
        <v>60</v>
      </c>
      <c r="J1951" s="6" t="s">
        <v>60</v>
      </c>
      <c r="K1951" s="6">
        <v>0.52</v>
      </c>
      <c r="L1951" s="6" t="s">
        <v>42</v>
      </c>
      <c r="M1951" s="6" t="s">
        <v>34</v>
      </c>
      <c r="N1951" s="6"/>
    </row>
    <row r="1952" spans="1:14">
      <c r="A1952" s="6" t="s">
        <v>3363</v>
      </c>
      <c r="B1952" s="7">
        <v>46077</v>
      </c>
      <c r="C1952" s="6" t="s">
        <v>456</v>
      </c>
      <c r="D1952" s="6" t="str">
        <f>IF(OR(PROPER(TRIM(Raw_Data!D1952))="Uk",PROPER(TRIM(Raw_Data!D1952))="Gb",PROPER(TRIM(Raw_Data!D1952))="United kingdom"),"United Kingdom",PROPER(TRIM(Raw_Data!D1952)))</f>
        <v>United Kingdom</v>
      </c>
      <c r="E1952" s="6" t="s">
        <v>78</v>
      </c>
      <c r="F1952" s="6" t="s">
        <v>100</v>
      </c>
      <c r="G1952" s="6" t="str">
        <f>SUBSTITUTE(Raw_Data!G1952,"Ã©","é")</f>
        <v>Trekking Poles</v>
      </c>
      <c r="H1952" s="6">
        <v>1</v>
      </c>
      <c r="I1952" s="6" t="s">
        <v>79</v>
      </c>
      <c r="J1952" s="6" t="s">
        <v>79</v>
      </c>
      <c r="K1952" s="6">
        <v>0.64</v>
      </c>
      <c r="L1952" s="6" t="s">
        <v>42</v>
      </c>
      <c r="M1952" s="6" t="s">
        <v>34</v>
      </c>
      <c r="N1952" s="6"/>
    </row>
    <row r="1953" spans="1:14">
      <c r="A1953" s="6" t="s">
        <v>3365</v>
      </c>
      <c r="B1953" s="7">
        <v>46066</v>
      </c>
      <c r="C1953" s="6" t="s">
        <v>379</v>
      </c>
      <c r="D1953" s="6" t="str">
        <f>IF(OR(PROPER(TRIM(Raw_Data!D1953))="Uk",PROPER(TRIM(Raw_Data!D1953))="Gb",PROPER(TRIM(Raw_Data!D1953))="United kingdom"),"United Kingdom",PROPER(TRIM(Raw_Data!D1953)))</f>
        <v>Ireland</v>
      </c>
      <c r="E1953" s="6" t="s">
        <v>78</v>
      </c>
      <c r="F1953" s="6" t="s">
        <v>29</v>
      </c>
      <c r="G1953" s="6" t="str">
        <f>SUBSTITUTE(Raw_Data!G1953,"Ã©","é")</f>
        <v>Trail Softshell</v>
      </c>
      <c r="H1953" s="6">
        <v>3</v>
      </c>
      <c r="I1953" s="6" t="s">
        <v>96</v>
      </c>
      <c r="J1953" s="6" t="s">
        <v>2068</v>
      </c>
      <c r="K1953" s="6">
        <v>0.52</v>
      </c>
      <c r="L1953" s="6" t="s">
        <v>42</v>
      </c>
      <c r="M1953" s="6" t="s">
        <v>69</v>
      </c>
      <c r="N1953" s="6"/>
    </row>
    <row r="1954" spans="1:14">
      <c r="A1954" s="6" t="s">
        <v>3366</v>
      </c>
      <c r="B1954" s="7">
        <v>46114</v>
      </c>
      <c r="C1954" s="6" t="s">
        <v>2668</v>
      </c>
      <c r="D1954" s="6" t="str">
        <f>IF(OR(PROPER(TRIM(Raw_Data!D1954))="Uk",PROPER(TRIM(Raw_Data!D1954))="Gb",PROPER(TRIM(Raw_Data!D1954))="United kingdom"),"United Kingdom",PROPER(TRIM(Raw_Data!D1954)))</f>
        <v>United Kingdom</v>
      </c>
      <c r="E1954" s="6" t="s">
        <v>52</v>
      </c>
      <c r="F1954" s="6" t="s">
        <v>58</v>
      </c>
      <c r="G1954" s="6" t="str">
        <f>SUBSTITUTE(Raw_Data!G1954,"Ã©","é")</f>
        <v>Alpine Jacket</v>
      </c>
      <c r="H1954" s="6">
        <v>1</v>
      </c>
      <c r="I1954" s="6" t="s">
        <v>147</v>
      </c>
      <c r="J1954" s="6" t="s">
        <v>147</v>
      </c>
      <c r="K1954" s="6">
        <v>0.38</v>
      </c>
      <c r="L1954" s="6" t="s">
        <v>33</v>
      </c>
      <c r="M1954" s="6" t="s">
        <v>34</v>
      </c>
      <c r="N1954" s="6"/>
    </row>
    <row r="1955" spans="1:14">
      <c r="A1955" s="6" t="s">
        <v>3367</v>
      </c>
      <c r="B1955" s="7">
        <v>46134</v>
      </c>
      <c r="C1955" s="6" t="s">
        <v>236</v>
      </c>
      <c r="D1955" s="6" t="str">
        <f>IF(OR(PROPER(TRIM(Raw_Data!D1955))="Uk",PROPER(TRIM(Raw_Data!D1955))="Gb",PROPER(TRIM(Raw_Data!D1955))="United kingdom"),"United Kingdom",PROPER(TRIM(Raw_Data!D1955)))</f>
        <v>United Kingdom</v>
      </c>
      <c r="E1955" s="6" t="s">
        <v>78</v>
      </c>
      <c r="F1955" s="6" t="s">
        <v>38</v>
      </c>
      <c r="G1955" s="6" t="str">
        <f>SUBSTITUTE(Raw_Data!G1955,"Ã©","é")</f>
        <v>Alpine Jacket</v>
      </c>
      <c r="H1955" s="6">
        <v>2</v>
      </c>
      <c r="I1955" s="6" t="s">
        <v>31</v>
      </c>
      <c r="J1955" s="6" t="s">
        <v>249</v>
      </c>
      <c r="K1955" s="6">
        <v>0.52</v>
      </c>
      <c r="L1955" s="6" t="s">
        <v>33</v>
      </c>
      <c r="M1955" s="6" t="s">
        <v>34</v>
      </c>
      <c r="N1955" s="6"/>
    </row>
    <row r="1956" spans="1:14">
      <c r="A1956" s="6" t="s">
        <v>3368</v>
      </c>
      <c r="B1956" s="7">
        <v>46191</v>
      </c>
      <c r="C1956" s="6" t="s">
        <v>3369</v>
      </c>
      <c r="D1956" s="6" t="str">
        <f>IF(OR(PROPER(TRIM(Raw_Data!D1956))="Uk",PROPER(TRIM(Raw_Data!D1956))="Gb",PROPER(TRIM(Raw_Data!D1956))="United kingdom"),"United Kingdom",PROPER(TRIM(Raw_Data!D1956)))</f>
        <v>United Kingdom</v>
      </c>
      <c r="E1956" s="6" t="s">
        <v>78</v>
      </c>
      <c r="F1956" s="6" t="s">
        <v>53</v>
      </c>
      <c r="G1956" s="6" t="str">
        <f>SUBSTITUTE(Raw_Data!G1956,"Ã©","é")</f>
        <v>Summit Down Gilet</v>
      </c>
      <c r="H1956" s="6">
        <v>1</v>
      </c>
      <c r="I1956" s="6" t="s">
        <v>265</v>
      </c>
      <c r="J1956" s="6" t="s">
        <v>265</v>
      </c>
      <c r="K1956" s="6">
        <v>0.19</v>
      </c>
      <c r="L1956" s="6" t="s">
        <v>42</v>
      </c>
      <c r="M1956" s="6" t="s">
        <v>34</v>
      </c>
      <c r="N1956" s="6"/>
    </row>
    <row r="1957" spans="1:14">
      <c r="A1957" s="6" t="s">
        <v>3370</v>
      </c>
      <c r="B1957" s="7">
        <v>46135</v>
      </c>
      <c r="C1957" s="6" t="s">
        <v>515</v>
      </c>
      <c r="D1957" s="6" t="str">
        <f>IF(OR(PROPER(TRIM(Raw_Data!D1957))="Uk",PROPER(TRIM(Raw_Data!D1957))="Gb",PROPER(TRIM(Raw_Data!D1957))="United kingdom"),"United Kingdom",PROPER(TRIM(Raw_Data!D1957)))</f>
        <v>Ireland</v>
      </c>
      <c r="E1957" s="6" t="s">
        <v>52</v>
      </c>
      <c r="F1957" s="6" t="s">
        <v>100</v>
      </c>
      <c r="G1957" s="6" t="str">
        <f>SUBSTITUTE(Raw_Data!G1957,"Ã©","é")</f>
        <v>Storm Overtrousers</v>
      </c>
      <c r="H1957" s="6">
        <v>-1</v>
      </c>
      <c r="I1957" s="6" t="s">
        <v>82</v>
      </c>
      <c r="J1957" s="8" t="s">
        <v>1415</v>
      </c>
      <c r="K1957" s="6">
        <v>0.64</v>
      </c>
      <c r="L1957" s="6" t="s">
        <v>42</v>
      </c>
      <c r="M1957" s="6" t="s">
        <v>34</v>
      </c>
      <c r="N1957" s="6"/>
    </row>
    <row r="1958" spans="1:14">
      <c r="A1958" s="6" t="s">
        <v>3372</v>
      </c>
      <c r="B1958" s="7">
        <v>46199</v>
      </c>
      <c r="C1958" s="6" t="s">
        <v>1383</v>
      </c>
      <c r="D1958" s="6" t="str">
        <f>IF(OR(PROPER(TRIM(Raw_Data!D1958))="Uk",PROPER(TRIM(Raw_Data!D1958))="Gb",PROPER(TRIM(Raw_Data!D1958))="United kingdom"),"United Kingdom",PROPER(TRIM(Raw_Data!D1958)))</f>
        <v>United Kingdom</v>
      </c>
      <c r="E1958" s="6" t="s">
        <v>28</v>
      </c>
      <c r="F1958" s="6" t="s">
        <v>85</v>
      </c>
      <c r="G1958" s="6" t="str">
        <f>SUBSTITUTE(Raw_Data!G1958,"Ã©","é")</f>
        <v>Trail Softshell</v>
      </c>
      <c r="H1958" s="6">
        <v>2</v>
      </c>
      <c r="I1958" s="6" t="s">
        <v>40</v>
      </c>
      <c r="J1958" s="6" t="s">
        <v>327</v>
      </c>
      <c r="K1958" s="6">
        <v>0.41</v>
      </c>
      <c r="L1958" s="6" t="s">
        <v>42</v>
      </c>
      <c r="M1958" s="6" t="s">
        <v>69</v>
      </c>
      <c r="N1958" s="6"/>
    </row>
    <row r="1959" spans="1:14">
      <c r="A1959" s="6" t="s">
        <v>3373</v>
      </c>
      <c r="B1959" s="7">
        <v>46132</v>
      </c>
      <c r="C1959" s="6" t="s">
        <v>2467</v>
      </c>
      <c r="D1959" s="6" t="str">
        <f>IF(OR(PROPER(TRIM(Raw_Data!D1959))="Uk",PROPER(TRIM(Raw_Data!D1959))="Gb",PROPER(TRIM(Raw_Data!D1959))="United kingdom"),"United Kingdom",PROPER(TRIM(Raw_Data!D1959)))</f>
        <v>United Kingdom</v>
      </c>
      <c r="E1959" s="6" t="s">
        <v>37</v>
      </c>
      <c r="F1959" s="6" t="s">
        <v>58</v>
      </c>
      <c r="G1959" s="6" t="str">
        <f>SUBSTITUTE(Raw_Data!G1959,"Ã©","é")</f>
        <v>Fell Runner Cap</v>
      </c>
      <c r="H1959" s="6">
        <v>3</v>
      </c>
      <c r="I1959" s="6" t="s">
        <v>60</v>
      </c>
      <c r="J1959" s="6" t="s">
        <v>268</v>
      </c>
      <c r="K1959" s="6">
        <v>0.38</v>
      </c>
      <c r="L1959" s="6" t="s">
        <v>42</v>
      </c>
      <c r="M1959" s="6" t="s">
        <v>69</v>
      </c>
      <c r="N1959" s="6"/>
    </row>
    <row r="1960" spans="1:14">
      <c r="A1960" s="6" t="s">
        <v>3374</v>
      </c>
      <c r="B1960" s="7">
        <v>46158</v>
      </c>
      <c r="C1960" s="6" t="s">
        <v>2016</v>
      </c>
      <c r="D1960" s="6" t="str">
        <f>IF(OR(PROPER(TRIM(Raw_Data!D1960))="Uk",PROPER(TRIM(Raw_Data!D1960))="Gb",PROPER(TRIM(Raw_Data!D1960))="United kingdom"),"United Kingdom",PROPER(TRIM(Raw_Data!D1960)))</f>
        <v>Ireland</v>
      </c>
      <c r="E1960" s="6" t="s">
        <v>78</v>
      </c>
      <c r="F1960" s="6" t="s">
        <v>85</v>
      </c>
      <c r="G1960" s="6" t="str">
        <f>SUBSTITUTE(Raw_Data!G1960,"Ã©","é")</f>
        <v>Summit Down Gilet</v>
      </c>
      <c r="H1960" s="6">
        <v>1</v>
      </c>
      <c r="I1960" s="6" t="s">
        <v>265</v>
      </c>
      <c r="J1960" s="6" t="s">
        <v>265</v>
      </c>
      <c r="K1960" s="6">
        <v>0.41</v>
      </c>
      <c r="L1960" s="6" t="s">
        <v>42</v>
      </c>
      <c r="M1960" s="6" t="s">
        <v>34</v>
      </c>
      <c r="N1960" s="6"/>
    </row>
    <row r="1961" spans="1:14">
      <c r="A1961" s="6" t="s">
        <v>3375</v>
      </c>
      <c r="B1961" s="7">
        <v>46074</v>
      </c>
      <c r="C1961" s="6" t="s">
        <v>1135</v>
      </c>
      <c r="D1961" s="6" t="str">
        <f>IF(OR(PROPER(TRIM(Raw_Data!D1961))="Uk",PROPER(TRIM(Raw_Data!D1961))="Gb",PROPER(TRIM(Raw_Data!D1961))="United kingdom"),"United Kingdom",PROPER(TRIM(Raw_Data!D1961)))</f>
        <v>Ireland</v>
      </c>
      <c r="E1961" s="6" t="s">
        <v>37</v>
      </c>
      <c r="F1961" s="6" t="s">
        <v>38</v>
      </c>
      <c r="G1961" s="6" t="str">
        <f>SUBSTITUTE(Raw_Data!G1961,"Ã©","é")</f>
        <v>Merino Base Layer</v>
      </c>
      <c r="H1961" s="6">
        <v>2</v>
      </c>
      <c r="I1961" s="6" t="s">
        <v>117</v>
      </c>
      <c r="J1961" s="6" t="s">
        <v>118</v>
      </c>
      <c r="K1961" s="6">
        <v>0.52</v>
      </c>
      <c r="L1961" s="6" t="s">
        <v>42</v>
      </c>
      <c r="M1961" s="6" t="s">
        <v>69</v>
      </c>
      <c r="N1961" s="6"/>
    </row>
    <row r="1962" spans="1:14">
      <c r="A1962" s="6" t="s">
        <v>3376</v>
      </c>
      <c r="B1962" s="7">
        <v>46266</v>
      </c>
      <c r="C1962" s="6" t="s">
        <v>446</v>
      </c>
      <c r="D1962" s="6" t="str">
        <f>IF(OR(PROPER(TRIM(Raw_Data!D1962))="Uk",PROPER(TRIM(Raw_Data!D1962))="Gb",PROPER(TRIM(Raw_Data!D1962))="United kingdom"),"United Kingdom",PROPER(TRIM(Raw_Data!D1962)))</f>
        <v>United Kingdom</v>
      </c>
      <c r="E1962" s="6" t="s">
        <v>28</v>
      </c>
      <c r="F1962" s="6" t="s">
        <v>85</v>
      </c>
      <c r="G1962" s="6" t="str">
        <f>SUBSTITUTE(Raw_Data!G1962,"Ã©","é")</f>
        <v>Summit Down Gilet</v>
      </c>
      <c r="H1962" s="6">
        <v>1</v>
      </c>
      <c r="I1962" s="6" t="s">
        <v>117</v>
      </c>
      <c r="J1962" s="6" t="s">
        <v>117</v>
      </c>
      <c r="K1962" s="6">
        <v>0.41</v>
      </c>
      <c r="L1962" s="6" t="s">
        <v>42</v>
      </c>
      <c r="M1962" s="6" t="s">
        <v>34</v>
      </c>
      <c r="N1962" s="6"/>
    </row>
    <row r="1963" spans="1:14">
      <c r="A1963" s="6" t="s">
        <v>3377</v>
      </c>
      <c r="B1963" s="7">
        <v>46033</v>
      </c>
      <c r="C1963" s="6" t="s">
        <v>3378</v>
      </c>
      <c r="D1963" s="6" t="str">
        <f>IF(OR(PROPER(TRIM(Raw_Data!D1963))="Uk",PROPER(TRIM(Raw_Data!D1963))="Gb",PROPER(TRIM(Raw_Data!D1963))="United kingdom"),"United Kingdom",PROPER(TRIM(Raw_Data!D1963)))</f>
        <v>Germany</v>
      </c>
      <c r="E1963" s="6" t="s">
        <v>46</v>
      </c>
      <c r="F1963" s="6" t="s">
        <v>58</v>
      </c>
      <c r="G1963" s="6" t="str">
        <f>SUBSTITUTE(Raw_Data!G1963,"Ã©","é")</f>
        <v>Trail Softshell</v>
      </c>
      <c r="H1963" s="6">
        <v>2</v>
      </c>
      <c r="I1963" s="6" t="s">
        <v>117</v>
      </c>
      <c r="J1963" s="6" t="s">
        <v>118</v>
      </c>
      <c r="K1963" s="6">
        <v>0.38</v>
      </c>
      <c r="L1963" s="6" t="s">
        <v>42</v>
      </c>
      <c r="M1963" s="6" t="s">
        <v>34</v>
      </c>
      <c r="N1963" s="6"/>
    </row>
    <row r="1964" spans="1:14">
      <c r="A1964" s="6" t="s">
        <v>3379</v>
      </c>
      <c r="B1964" s="7">
        <v>46128</v>
      </c>
      <c r="C1964" s="6" t="s">
        <v>3380</v>
      </c>
      <c r="D1964" s="6" t="str">
        <f>IF(OR(PROPER(TRIM(Raw_Data!D1964))="Uk",PROPER(TRIM(Raw_Data!D1964))="Gb",PROPER(TRIM(Raw_Data!D1964))="United kingdom"),"United Kingdom",PROPER(TRIM(Raw_Data!D1964)))</f>
        <v>Germany</v>
      </c>
      <c r="E1964" s="6" t="s">
        <v>78</v>
      </c>
      <c r="F1964" s="6" t="s">
        <v>47</v>
      </c>
      <c r="G1964" s="6" t="str">
        <f>SUBSTITUTE(Raw_Data!G1964,"Ã©","é")</f>
        <v>Café Latte Mug</v>
      </c>
      <c r="H1964" s="6">
        <v>2</v>
      </c>
      <c r="I1964" s="6" t="s">
        <v>117</v>
      </c>
      <c r="J1964" s="6" t="s">
        <v>118</v>
      </c>
      <c r="K1964" s="6">
        <v>8.5000000000000006E-2</v>
      </c>
      <c r="L1964" s="6" t="s">
        <v>42</v>
      </c>
      <c r="M1964" s="6" t="s">
        <v>34</v>
      </c>
      <c r="N1964" s="6"/>
    </row>
    <row r="1965" spans="1:14">
      <c r="A1965" s="6" t="s">
        <v>3381</v>
      </c>
      <c r="B1965" s="7">
        <v>46075</v>
      </c>
      <c r="C1965" s="6" t="s">
        <v>3382</v>
      </c>
      <c r="D1965" s="6" t="str">
        <f>IF(OR(PROPER(TRIM(Raw_Data!D1965))="Uk",PROPER(TRIM(Raw_Data!D1965))="Gb",PROPER(TRIM(Raw_Data!D1965))="United kingdom"),"United Kingdom",PROPER(TRIM(Raw_Data!D1965)))</f>
        <v>Ireland</v>
      </c>
      <c r="E1965" s="6" t="s">
        <v>37</v>
      </c>
      <c r="F1965" s="6" t="s">
        <v>100</v>
      </c>
      <c r="G1965" s="6" t="str">
        <f>SUBSTITUTE(Raw_Data!G1965,"Ã©","é")</f>
        <v>Storm Overtrousers</v>
      </c>
      <c r="H1965" s="6">
        <v>1</v>
      </c>
      <c r="I1965" s="6" t="s">
        <v>143</v>
      </c>
      <c r="J1965" s="6" t="s">
        <v>143</v>
      </c>
      <c r="K1965" s="6">
        <v>0.64</v>
      </c>
      <c r="L1965" s="6" t="s">
        <v>33</v>
      </c>
      <c r="M1965" s="6" t="s">
        <v>34</v>
      </c>
      <c r="N1965" s="6"/>
    </row>
    <row r="1966" spans="1:14">
      <c r="A1966" s="6" t="s">
        <v>3383</v>
      </c>
      <c r="B1966" s="7">
        <v>46194</v>
      </c>
      <c r="C1966" s="6" t="s">
        <v>1495</v>
      </c>
      <c r="D1966" s="6" t="str">
        <f>IF(OR(PROPER(TRIM(Raw_Data!D1966))="Uk",PROPER(TRIM(Raw_Data!D1966))="Gb",PROPER(TRIM(Raw_Data!D1966))="United kingdom"),"United Kingdom",PROPER(TRIM(Raw_Data!D1966)))</f>
        <v>France</v>
      </c>
      <c r="E1966" s="6" t="s">
        <v>28</v>
      </c>
      <c r="F1966" s="6" t="s">
        <v>47</v>
      </c>
      <c r="G1966" s="6" t="str">
        <f>SUBSTITUTE(Raw_Data!G1966,"Ã©","é")</f>
        <v>Trail Softshell</v>
      </c>
      <c r="H1966" s="6">
        <v>2</v>
      </c>
      <c r="I1966" s="6" t="s">
        <v>181</v>
      </c>
      <c r="J1966" s="6" t="s">
        <v>163</v>
      </c>
      <c r="K1966" s="6">
        <v>8.5000000000000006E-2</v>
      </c>
      <c r="L1966" s="6" t="s">
        <v>42</v>
      </c>
      <c r="M1966" s="6" t="s">
        <v>34</v>
      </c>
      <c r="N1966" s="6"/>
    </row>
    <row r="1967" spans="1:14">
      <c r="A1967" s="6" t="s">
        <v>3384</v>
      </c>
      <c r="B1967" s="7">
        <v>46197</v>
      </c>
      <c r="C1967" s="6" t="s">
        <v>1030</v>
      </c>
      <c r="D1967" s="6" t="str">
        <f>IF(OR(PROPER(TRIM(Raw_Data!D1967))="Uk",PROPER(TRIM(Raw_Data!D1967))="Gb",PROPER(TRIM(Raw_Data!D1967))="United kingdom"),"United Kingdom",PROPER(TRIM(Raw_Data!D1967)))</f>
        <v>Germany</v>
      </c>
      <c r="E1967" s="6" t="s">
        <v>37</v>
      </c>
      <c r="F1967" s="6" t="s">
        <v>47</v>
      </c>
      <c r="G1967" s="6" t="str">
        <f>SUBSTITUTE(Raw_Data!G1967,"Ã©","é")</f>
        <v>Trail Softshell</v>
      </c>
      <c r="H1967" s="6">
        <v>1</v>
      </c>
      <c r="I1967" s="6" t="s">
        <v>1430</v>
      </c>
      <c r="J1967" s="6" t="s">
        <v>143</v>
      </c>
      <c r="K1967" s="6">
        <v>8.5000000000000006E-2</v>
      </c>
      <c r="L1967" s="6" t="s">
        <v>42</v>
      </c>
      <c r="M1967" s="6" t="s">
        <v>69</v>
      </c>
      <c r="N1967" s="6"/>
    </row>
    <row r="1968" spans="1:14">
      <c r="A1968" s="6" t="s">
        <v>3385</v>
      </c>
      <c r="B1968" s="7">
        <v>46157</v>
      </c>
      <c r="C1968" s="6" t="s">
        <v>150</v>
      </c>
      <c r="D1968" s="6" t="str">
        <f>IF(OR(PROPER(TRIM(Raw_Data!D1968))="Uk",PROPER(TRIM(Raw_Data!D1968))="Gb",PROPER(TRIM(Raw_Data!D1968))="United kingdom"),"United Kingdom",PROPER(TRIM(Raw_Data!D1968)))</f>
        <v>United Kingdom</v>
      </c>
      <c r="E1968" s="6" t="s">
        <v>28</v>
      </c>
      <c r="F1968" s="6" t="s">
        <v>85</v>
      </c>
      <c r="G1968" s="6" t="str">
        <f>SUBSTITUTE(Raw_Data!G1968,"Ã©","é")</f>
        <v>Storm Overtrousers</v>
      </c>
      <c r="H1968" s="6">
        <v>2</v>
      </c>
      <c r="I1968" s="6" t="s">
        <v>769</v>
      </c>
      <c r="J1968" s="6" t="s">
        <v>189</v>
      </c>
      <c r="K1968" s="6">
        <v>0.41</v>
      </c>
      <c r="L1968" s="6" t="s">
        <v>42</v>
      </c>
      <c r="M1968" s="6" t="s">
        <v>34</v>
      </c>
      <c r="N1968" s="6"/>
    </row>
    <row r="1969" spans="1:14">
      <c r="A1969" s="6" t="s">
        <v>3386</v>
      </c>
      <c r="B1969" s="7">
        <v>46197</v>
      </c>
      <c r="C1969" s="6" t="s">
        <v>1515</v>
      </c>
      <c r="D1969" s="6" t="str">
        <f>IF(OR(PROPER(TRIM(Raw_Data!D1969))="Uk",PROPER(TRIM(Raw_Data!D1969))="Gb",PROPER(TRIM(Raw_Data!D1969))="United kingdom"),"United Kingdom",PROPER(TRIM(Raw_Data!D1969)))</f>
        <v>France</v>
      </c>
      <c r="E1969" s="6" t="s">
        <v>78</v>
      </c>
      <c r="F1969" s="6" t="s">
        <v>100</v>
      </c>
      <c r="G1969" s="6" t="str">
        <f>SUBSTITUTE(Raw_Data!G1969,"Ã©","é")</f>
        <v>Alpine Jacket</v>
      </c>
      <c r="H1969" s="6">
        <v>2</v>
      </c>
      <c r="I1969" s="6" t="s">
        <v>96</v>
      </c>
      <c r="J1969" s="6" t="s">
        <v>278</v>
      </c>
      <c r="K1969" s="6">
        <v>0.64</v>
      </c>
      <c r="L1969" s="6" t="s">
        <v>42</v>
      </c>
      <c r="M1969" s="6" t="s">
        <v>34</v>
      </c>
      <c r="N1969" s="6"/>
    </row>
    <row r="1970" spans="1:14">
      <c r="A1970" s="6" t="s">
        <v>3387</v>
      </c>
      <c r="B1970" s="7">
        <v>46116</v>
      </c>
      <c r="C1970" s="6" t="s">
        <v>3388</v>
      </c>
      <c r="D1970" s="6" t="str">
        <f>IF(OR(PROPER(TRIM(Raw_Data!D1970))="Uk",PROPER(TRIM(Raw_Data!D1970))="Gb",PROPER(TRIM(Raw_Data!D1970))="United kingdom"),"United Kingdom",PROPER(TRIM(Raw_Data!D1970)))</f>
        <v>Ireland</v>
      </c>
      <c r="E1970" s="6" t="s">
        <v>37</v>
      </c>
      <c r="F1970" s="6" t="s">
        <v>29</v>
      </c>
      <c r="G1970" s="6" t="str">
        <f>SUBSTITUTE(Raw_Data!G1970,"Ã©","é")</f>
        <v>Café Latte Mug</v>
      </c>
      <c r="H1970" s="6">
        <v>3</v>
      </c>
      <c r="I1970" s="6" t="s">
        <v>60</v>
      </c>
      <c r="J1970" s="6" t="s">
        <v>268</v>
      </c>
      <c r="K1970" s="6">
        <v>0.52</v>
      </c>
      <c r="L1970" s="6" t="s">
        <v>33</v>
      </c>
      <c r="M1970" s="6" t="s">
        <v>34</v>
      </c>
      <c r="N1970" s="6"/>
    </row>
    <row r="1971" spans="1:14">
      <c r="A1971" s="6" t="s">
        <v>3389</v>
      </c>
      <c r="B1971" s="7">
        <v>46142</v>
      </c>
      <c r="C1971" s="6" t="s">
        <v>2500</v>
      </c>
      <c r="D1971" s="6" t="str">
        <f>IF(OR(PROPER(TRIM(Raw_Data!D1971))="Uk",PROPER(TRIM(Raw_Data!D1971))="Gb",PROPER(TRIM(Raw_Data!D1971))="United kingdom"),"United Kingdom",PROPER(TRIM(Raw_Data!D1971)))</f>
        <v>United Kingdom</v>
      </c>
      <c r="E1971" s="6" t="s">
        <v>78</v>
      </c>
      <c r="F1971" s="6" t="s">
        <v>47</v>
      </c>
      <c r="G1971" s="6" t="str">
        <f>SUBSTITUTE(Raw_Data!G1971,"Ã©","é")</f>
        <v>Alpine Jacket</v>
      </c>
      <c r="H1971" s="6">
        <v>2</v>
      </c>
      <c r="I1971" s="6" t="s">
        <v>143</v>
      </c>
      <c r="J1971" s="6" t="s">
        <v>144</v>
      </c>
      <c r="K1971" s="6">
        <v>8.5000000000000006E-2</v>
      </c>
      <c r="L1971" s="6" t="s">
        <v>33</v>
      </c>
      <c r="M1971" s="6" t="s">
        <v>69</v>
      </c>
      <c r="N1971" s="6"/>
    </row>
    <row r="1972" spans="1:14">
      <c r="A1972" s="6" t="s">
        <v>3390</v>
      </c>
      <c r="B1972" s="7">
        <v>46187</v>
      </c>
      <c r="C1972" s="6" t="s">
        <v>3391</v>
      </c>
      <c r="D1972" s="6" t="str">
        <f>IF(OR(PROPER(TRIM(Raw_Data!D1972))="Uk",PROPER(TRIM(Raw_Data!D1972))="Gb",PROPER(TRIM(Raw_Data!D1972))="United kingdom"),"United Kingdom",PROPER(TRIM(Raw_Data!D1972)))</f>
        <v>Ireland</v>
      </c>
      <c r="E1972" s="6" t="s">
        <v>37</v>
      </c>
      <c r="F1972" s="6" t="s">
        <v>38</v>
      </c>
      <c r="G1972" s="6" t="str">
        <f>SUBSTITUTE(Raw_Data!G1972,"Ã©","é")</f>
        <v>Alpine Jacket</v>
      </c>
      <c r="H1972" s="6">
        <v>2</v>
      </c>
      <c r="I1972" s="6" t="s">
        <v>113</v>
      </c>
      <c r="J1972" s="6" t="s">
        <v>192</v>
      </c>
      <c r="K1972" s="6">
        <v>0.52</v>
      </c>
      <c r="L1972" s="6" t="s">
        <v>42</v>
      </c>
      <c r="M1972" s="6" t="s">
        <v>34</v>
      </c>
      <c r="N1972" s="6"/>
    </row>
    <row r="1973" spans="1:14">
      <c r="A1973" s="6" t="s">
        <v>3392</v>
      </c>
      <c r="B1973" s="7">
        <v>46055</v>
      </c>
      <c r="C1973" s="6" t="s">
        <v>2585</v>
      </c>
      <c r="D1973" s="6" t="str">
        <f>IF(OR(PROPER(TRIM(Raw_Data!D1973))="Uk",PROPER(TRIM(Raw_Data!D1973))="Gb",PROPER(TRIM(Raw_Data!D1973))="United kingdom"),"United Kingdom",PROPER(TRIM(Raw_Data!D1973)))</f>
        <v>United Kingdom</v>
      </c>
      <c r="E1973" s="6" t="s">
        <v>37</v>
      </c>
      <c r="F1973" s="6" t="s">
        <v>58</v>
      </c>
      <c r="G1973" s="6" t="str">
        <f>SUBSTITUTE(Raw_Data!G1973,"Ã©","é")</f>
        <v>Alpine Jacket</v>
      </c>
      <c r="H1973" s="6">
        <v>2</v>
      </c>
      <c r="I1973" s="6" t="s">
        <v>181</v>
      </c>
      <c r="J1973" s="6" t="s">
        <v>163</v>
      </c>
      <c r="K1973" s="6">
        <v>0.38</v>
      </c>
      <c r="L1973" s="6" t="s">
        <v>42</v>
      </c>
      <c r="M1973" s="6" t="s">
        <v>69</v>
      </c>
      <c r="N1973" s="6"/>
    </row>
    <row r="1974" spans="1:14">
      <c r="A1974" s="6" t="s">
        <v>3393</v>
      </c>
      <c r="B1974" s="7">
        <v>46176</v>
      </c>
      <c r="C1974" s="6" t="s">
        <v>3394</v>
      </c>
      <c r="D1974" s="6" t="str">
        <f>IF(OR(PROPER(TRIM(Raw_Data!D1974))="Uk",PROPER(TRIM(Raw_Data!D1974))="Gb",PROPER(TRIM(Raw_Data!D1974))="United kingdom"),"United Kingdom",PROPER(TRIM(Raw_Data!D1974)))</f>
        <v>United Kingdom</v>
      </c>
      <c r="E1974" s="6" t="s">
        <v>28</v>
      </c>
      <c r="F1974" s="6" t="s">
        <v>58</v>
      </c>
      <c r="G1974" s="6" t="str">
        <f>SUBSTITUTE(Raw_Data!G1974,"Ã©","é")</f>
        <v>Trail Softshell</v>
      </c>
      <c r="H1974" s="6">
        <v>1</v>
      </c>
      <c r="I1974" s="6" t="s">
        <v>73</v>
      </c>
      <c r="J1974" s="6" t="s">
        <v>73</v>
      </c>
      <c r="K1974" s="6">
        <v>0.38</v>
      </c>
      <c r="L1974" s="6" t="s">
        <v>42</v>
      </c>
      <c r="M1974" s="6" t="s">
        <v>34</v>
      </c>
      <c r="N1974" s="6"/>
    </row>
    <row r="1975" spans="1:14">
      <c r="A1975" s="6" t="s">
        <v>3395</v>
      </c>
      <c r="B1975" s="7">
        <v>46358</v>
      </c>
      <c r="C1975" s="6" t="s">
        <v>2470</v>
      </c>
      <c r="D1975" s="6" t="str">
        <f>IF(OR(PROPER(TRIM(Raw_Data!D1975))="Uk",PROPER(TRIM(Raw_Data!D1975))="Gb",PROPER(TRIM(Raw_Data!D1975))="United kingdom"),"United Kingdom",PROPER(TRIM(Raw_Data!D1975)))</f>
        <v>United Kingdom</v>
      </c>
      <c r="E1975" s="6" t="s">
        <v>78</v>
      </c>
      <c r="F1975" s="6" t="s">
        <v>58</v>
      </c>
      <c r="G1975" s="6" t="str">
        <f>SUBSTITUTE(Raw_Data!G1975,"Ã©","é")</f>
        <v>Alpine Jacket</v>
      </c>
      <c r="H1975" s="6">
        <v>1</v>
      </c>
      <c r="I1975" s="6" t="s">
        <v>96</v>
      </c>
      <c r="J1975" s="6" t="s">
        <v>96</v>
      </c>
      <c r="K1975" s="6">
        <v>0.38</v>
      </c>
      <c r="L1975" s="6" t="s">
        <v>42</v>
      </c>
      <c r="M1975" s="6" t="s">
        <v>34</v>
      </c>
      <c r="N1975" s="6"/>
    </row>
    <row r="1976" spans="1:14">
      <c r="A1976" s="6" t="s">
        <v>3396</v>
      </c>
      <c r="B1976" s="7">
        <v>46236</v>
      </c>
      <c r="C1976" s="6" t="s">
        <v>2988</v>
      </c>
      <c r="D1976" s="6" t="str">
        <f>IF(OR(PROPER(TRIM(Raw_Data!D1976))="Uk",PROPER(TRIM(Raw_Data!D1976))="Gb",PROPER(TRIM(Raw_Data!D1976))="United kingdom"),"United Kingdom",PROPER(TRIM(Raw_Data!D1976)))</f>
        <v>United Kingdom</v>
      </c>
      <c r="E1976" s="6" t="s">
        <v>46</v>
      </c>
      <c r="F1976" s="6" t="s">
        <v>100</v>
      </c>
      <c r="G1976" s="6" t="str">
        <f>SUBSTITUTE(Raw_Data!G1976,"Ã©","é")</f>
        <v>Trekking Poles</v>
      </c>
      <c r="H1976" s="6">
        <v>1</v>
      </c>
      <c r="I1976" s="6" t="s">
        <v>31</v>
      </c>
      <c r="J1976" s="6" t="s">
        <v>31</v>
      </c>
      <c r="K1976" s="6">
        <v>0.64</v>
      </c>
      <c r="L1976" s="6" t="s">
        <v>42</v>
      </c>
      <c r="M1976" s="6" t="s">
        <v>69</v>
      </c>
      <c r="N1976" s="6"/>
    </row>
    <row r="1977" spans="1:14">
      <c r="A1977" s="6" t="s">
        <v>3397</v>
      </c>
      <c r="B1977" s="7">
        <v>46359</v>
      </c>
      <c r="C1977" s="6" t="s">
        <v>389</v>
      </c>
      <c r="D1977" s="6" t="str">
        <f>IF(OR(PROPER(TRIM(Raw_Data!D1977))="Uk",PROPER(TRIM(Raw_Data!D1977))="Gb",PROPER(TRIM(Raw_Data!D1977))="United kingdom"),"United Kingdom",PROPER(TRIM(Raw_Data!D1977)))</f>
        <v>Germany</v>
      </c>
      <c r="E1977" s="6" t="s">
        <v>37</v>
      </c>
      <c r="F1977" s="6" t="s">
        <v>29</v>
      </c>
      <c r="G1977" s="6" t="str">
        <f>SUBSTITUTE(Raw_Data!G1977,"Ã©","é")</f>
        <v>Summit Down Gilet</v>
      </c>
      <c r="H1977" s="6">
        <v>3</v>
      </c>
      <c r="I1977" s="6" t="s">
        <v>265</v>
      </c>
      <c r="J1977" s="6" t="s">
        <v>401</v>
      </c>
      <c r="K1977" s="6">
        <v>0.52</v>
      </c>
      <c r="L1977" s="6" t="s">
        <v>42</v>
      </c>
      <c r="M1977" s="6" t="s">
        <v>34</v>
      </c>
      <c r="N1977" s="6"/>
    </row>
    <row r="1978" spans="1:14">
      <c r="A1978" s="6" t="s">
        <v>3398</v>
      </c>
      <c r="B1978" s="7">
        <v>46058</v>
      </c>
      <c r="C1978" s="6" t="s">
        <v>1349</v>
      </c>
      <c r="D1978" s="6" t="str">
        <f>IF(OR(PROPER(TRIM(Raw_Data!D1978))="Uk",PROPER(TRIM(Raw_Data!D1978))="Gb",PROPER(TRIM(Raw_Data!D1978))="United kingdom"),"United Kingdom",PROPER(TRIM(Raw_Data!D1978)))</f>
        <v>United Kingdom</v>
      </c>
      <c r="E1978" s="6" t="s">
        <v>46</v>
      </c>
      <c r="F1978" s="6" t="s">
        <v>94</v>
      </c>
      <c r="G1978" s="6" t="str">
        <f>SUBSTITUTE(Raw_Data!G1978,"Ã©","é")</f>
        <v>Trail Softshell</v>
      </c>
      <c r="H1978" s="6">
        <v>2</v>
      </c>
      <c r="I1978" s="6" t="s">
        <v>31</v>
      </c>
      <c r="J1978" s="6" t="s">
        <v>249</v>
      </c>
      <c r="K1978" s="6">
        <v>0.34</v>
      </c>
      <c r="L1978" s="6" t="s">
        <v>33</v>
      </c>
      <c r="M1978" s="6" t="s">
        <v>34</v>
      </c>
      <c r="N1978" s="6"/>
    </row>
    <row r="1979" spans="1:14">
      <c r="A1979" s="6" t="s">
        <v>3399</v>
      </c>
      <c r="B1979" s="7">
        <v>46133</v>
      </c>
      <c r="C1979" s="6" t="s">
        <v>3400</v>
      </c>
      <c r="D1979" s="6" t="str">
        <f>IF(OR(PROPER(TRIM(Raw_Data!D1979))="Uk",PROPER(TRIM(Raw_Data!D1979))="Gb",PROPER(TRIM(Raw_Data!D1979))="United kingdom"),"United Kingdom",PROPER(TRIM(Raw_Data!D1979)))</f>
        <v>United Kingdom</v>
      </c>
      <c r="E1979" s="6" t="s">
        <v>52</v>
      </c>
      <c r="F1979" s="6" t="s">
        <v>100</v>
      </c>
      <c r="G1979" s="6" t="str">
        <f>SUBSTITUTE(Raw_Data!G1979,"Ã©","é")</f>
        <v>Merino Base Layer</v>
      </c>
      <c r="H1979" s="6">
        <v>2</v>
      </c>
      <c r="I1979" s="6" t="s">
        <v>143</v>
      </c>
      <c r="J1979" s="6" t="s">
        <v>3401</v>
      </c>
      <c r="K1979" s="6">
        <v>0.64</v>
      </c>
      <c r="L1979" s="6" t="s">
        <v>42</v>
      </c>
      <c r="M1979" s="6" t="s">
        <v>34</v>
      </c>
      <c r="N1979" s="6"/>
    </row>
    <row r="1980" spans="1:14">
      <c r="A1980" s="6" t="s">
        <v>3402</v>
      </c>
      <c r="B1980" s="7">
        <v>46131</v>
      </c>
      <c r="C1980" s="6" t="s">
        <v>3403</v>
      </c>
      <c r="D1980" s="6" t="str">
        <f>IF(OR(PROPER(TRIM(Raw_Data!D1980))="Uk",PROPER(TRIM(Raw_Data!D1980))="Gb",PROPER(TRIM(Raw_Data!D1980))="United kingdom"),"United Kingdom",PROPER(TRIM(Raw_Data!D1980)))</f>
        <v>United Kingdom</v>
      </c>
      <c r="E1980" s="6" t="s">
        <v>28</v>
      </c>
      <c r="F1980" s="6" t="s">
        <v>58</v>
      </c>
      <c r="G1980" s="6" t="str">
        <f>SUBSTITUTE(Raw_Data!G1980,"Ã©","é")</f>
        <v>Alpine Jacket</v>
      </c>
      <c r="H1980" s="6">
        <v>1</v>
      </c>
      <c r="I1980" s="6" t="s">
        <v>90</v>
      </c>
      <c r="J1980" s="6" t="s">
        <v>90</v>
      </c>
      <c r="K1980" s="6">
        <v>0.38</v>
      </c>
      <c r="L1980" s="6" t="s">
        <v>42</v>
      </c>
      <c r="M1980" s="6" t="s">
        <v>69</v>
      </c>
      <c r="N1980" s="6"/>
    </row>
    <row r="1981" spans="1:14">
      <c r="A1981" s="6" t="s">
        <v>3404</v>
      </c>
      <c r="B1981" s="7">
        <v>46071</v>
      </c>
      <c r="C1981" s="6" t="s">
        <v>1793</v>
      </c>
      <c r="D1981" s="6" t="str">
        <f>IF(OR(PROPER(TRIM(Raw_Data!D1981))="Uk",PROPER(TRIM(Raw_Data!D1981))="Gb",PROPER(TRIM(Raw_Data!D1981))="United kingdom"),"United Kingdom",PROPER(TRIM(Raw_Data!D1981)))</f>
        <v>United Kingdom</v>
      </c>
      <c r="E1981" s="6" t="s">
        <v>37</v>
      </c>
      <c r="F1981" s="6" t="s">
        <v>53</v>
      </c>
      <c r="G1981" s="6" t="str">
        <f>SUBSTITUTE(Raw_Data!G1981,"Ã©","é")</f>
        <v>Storm Overtrousers</v>
      </c>
      <c r="H1981" s="6">
        <v>1</v>
      </c>
      <c r="I1981" s="6" t="s">
        <v>96</v>
      </c>
      <c r="J1981" s="6" t="s">
        <v>96</v>
      </c>
      <c r="K1981" s="6">
        <v>0.19</v>
      </c>
      <c r="L1981" s="6" t="s">
        <v>42</v>
      </c>
      <c r="M1981" s="6" t="s">
        <v>34</v>
      </c>
      <c r="N1981" s="6"/>
    </row>
    <row r="1982" spans="1:14">
      <c r="A1982" s="6" t="s">
        <v>3405</v>
      </c>
      <c r="B1982" s="7">
        <v>46080</v>
      </c>
      <c r="C1982" s="6" t="s">
        <v>2613</v>
      </c>
      <c r="D1982" s="6" t="str">
        <f>IF(OR(PROPER(TRIM(Raw_Data!D1982))="Uk",PROPER(TRIM(Raw_Data!D1982))="Gb",PROPER(TRIM(Raw_Data!D1982))="United kingdom"),"United Kingdom",PROPER(TRIM(Raw_Data!D1982)))</f>
        <v>Ireland</v>
      </c>
      <c r="E1982" s="6" t="s">
        <v>52</v>
      </c>
      <c r="F1982" s="6" t="s">
        <v>85</v>
      </c>
      <c r="G1982" s="6" t="str">
        <f>SUBSTITUTE(Raw_Data!G1982,"Ã©","é")</f>
        <v>Summit Down Gilet</v>
      </c>
      <c r="H1982" s="6">
        <v>1</v>
      </c>
      <c r="I1982" s="6" t="s">
        <v>73</v>
      </c>
      <c r="J1982" s="6" t="s">
        <v>73</v>
      </c>
      <c r="K1982" s="6">
        <v>0.41</v>
      </c>
      <c r="L1982" s="6" t="s">
        <v>42</v>
      </c>
      <c r="M1982" s="6" t="s">
        <v>69</v>
      </c>
      <c r="N1982" s="6"/>
    </row>
    <row r="1983" spans="1:14">
      <c r="A1983" s="6" t="s">
        <v>3406</v>
      </c>
      <c r="B1983" s="7">
        <v>46066</v>
      </c>
      <c r="C1983" s="6" t="s">
        <v>3349</v>
      </c>
      <c r="D1983" s="6" t="str">
        <f>IF(OR(PROPER(TRIM(Raw_Data!D1983))="Uk",PROPER(TRIM(Raw_Data!D1983))="Gb",PROPER(TRIM(Raw_Data!D1983))="United kingdom"),"United Kingdom",PROPER(TRIM(Raw_Data!D1983)))</f>
        <v>Ireland</v>
      </c>
      <c r="E1983" s="6" t="s">
        <v>78</v>
      </c>
      <c r="F1983" s="6" t="s">
        <v>58</v>
      </c>
      <c r="G1983" s="6" t="str">
        <f>SUBSTITUTE(Raw_Data!G1983,"Ã©","é")</f>
        <v>Storm Overtrousers</v>
      </c>
      <c r="H1983" s="6">
        <v>-1</v>
      </c>
      <c r="I1983" s="6" t="s">
        <v>96</v>
      </c>
      <c r="J1983" s="8" t="s">
        <v>3407</v>
      </c>
      <c r="K1983" s="6">
        <v>0.38</v>
      </c>
      <c r="L1983" s="6" t="s">
        <v>42</v>
      </c>
      <c r="M1983" s="6" t="s">
        <v>34</v>
      </c>
      <c r="N1983" s="6"/>
    </row>
    <row r="1984" spans="1:14">
      <c r="A1984" s="6" t="s">
        <v>3408</v>
      </c>
      <c r="B1984" s="7">
        <v>46060</v>
      </c>
      <c r="C1984" s="6" t="s">
        <v>3409</v>
      </c>
      <c r="D1984" s="6" t="str">
        <f>IF(OR(PROPER(TRIM(Raw_Data!D1984))="Uk",PROPER(TRIM(Raw_Data!D1984))="Gb",PROPER(TRIM(Raw_Data!D1984))="United kingdom"),"United Kingdom",PROPER(TRIM(Raw_Data!D1984)))</f>
        <v>Germany</v>
      </c>
      <c r="E1984" s="6" t="s">
        <v>52</v>
      </c>
      <c r="F1984" s="6" t="s">
        <v>94</v>
      </c>
      <c r="G1984" s="6" t="str">
        <f>SUBSTITUTE(Raw_Data!G1984,"Ã©","é")</f>
        <v>Trail Softshell</v>
      </c>
      <c r="H1984" s="6">
        <v>3</v>
      </c>
      <c r="I1984" s="6" t="s">
        <v>90</v>
      </c>
      <c r="J1984" s="6" t="s">
        <v>102</v>
      </c>
      <c r="K1984" s="6">
        <v>0.34</v>
      </c>
      <c r="L1984" s="6" t="s">
        <v>42</v>
      </c>
      <c r="M1984" s="6" t="s">
        <v>34</v>
      </c>
      <c r="N1984" s="6"/>
    </row>
    <row r="1985" spans="1:14">
      <c r="A1985" s="6" t="s">
        <v>3410</v>
      </c>
      <c r="B1985" s="7">
        <v>46239</v>
      </c>
      <c r="C1985" s="6" t="s">
        <v>1371</v>
      </c>
      <c r="D1985" s="6" t="str">
        <f>IF(OR(PROPER(TRIM(Raw_Data!D1985))="Uk",PROPER(TRIM(Raw_Data!D1985))="Gb",PROPER(TRIM(Raw_Data!D1985))="United kingdom"),"United Kingdom",PROPER(TRIM(Raw_Data!D1985)))</f>
        <v>United Kingdom</v>
      </c>
      <c r="E1985" s="6" t="s">
        <v>37</v>
      </c>
      <c r="F1985" s="6" t="s">
        <v>100</v>
      </c>
      <c r="G1985" s="6" t="str">
        <f>SUBSTITUTE(Raw_Data!G1985,"Ã©","é")</f>
        <v>Storm Overtrousers</v>
      </c>
      <c r="H1985" s="6">
        <v>2</v>
      </c>
      <c r="I1985" s="6" t="s">
        <v>231</v>
      </c>
      <c r="J1985" s="6" t="s">
        <v>232</v>
      </c>
      <c r="K1985" s="6">
        <v>0.64</v>
      </c>
      <c r="L1985" s="6" t="s">
        <v>42</v>
      </c>
      <c r="M1985" s="6" t="s">
        <v>34</v>
      </c>
      <c r="N1985" s="6"/>
    </row>
    <row r="1986" spans="1:14">
      <c r="A1986" s="6" t="s">
        <v>3411</v>
      </c>
      <c r="B1986" s="7">
        <v>46194</v>
      </c>
      <c r="C1986" s="6" t="s">
        <v>1100</v>
      </c>
      <c r="D1986" s="6" t="str">
        <f>IF(OR(PROPER(TRIM(Raw_Data!D1986))="Uk",PROPER(TRIM(Raw_Data!D1986))="Gb",PROPER(TRIM(Raw_Data!D1986))="United kingdom"),"United Kingdom",PROPER(TRIM(Raw_Data!D1986)))</f>
        <v>United Kingdom</v>
      </c>
      <c r="E1986" s="6" t="s">
        <v>37</v>
      </c>
      <c r="F1986" s="6" t="s">
        <v>38</v>
      </c>
      <c r="G1986" s="6" t="str">
        <f>SUBSTITUTE(Raw_Data!G1986,"Ã©","é")</f>
        <v>Summit Down Gilet</v>
      </c>
      <c r="H1986" s="6">
        <v>3</v>
      </c>
      <c r="I1986" s="6" t="s">
        <v>113</v>
      </c>
      <c r="J1986" s="6" t="s">
        <v>138</v>
      </c>
      <c r="K1986" s="6">
        <v>0.52</v>
      </c>
      <c r="L1986" s="6" t="s">
        <v>42</v>
      </c>
      <c r="M1986" s="6" t="s">
        <v>34</v>
      </c>
      <c r="N1986" s="6"/>
    </row>
    <row r="1987" spans="1:14">
      <c r="A1987" s="6" t="s">
        <v>3412</v>
      </c>
      <c r="B1987" s="7">
        <v>46194</v>
      </c>
      <c r="C1987" s="6" t="s">
        <v>1265</v>
      </c>
      <c r="D1987" s="6" t="str">
        <f>IF(OR(PROPER(TRIM(Raw_Data!D1987))="Uk",PROPER(TRIM(Raw_Data!D1987))="Gb",PROPER(TRIM(Raw_Data!D1987))="United kingdom"),"United Kingdom",PROPER(TRIM(Raw_Data!D1987)))</f>
        <v>Ireland</v>
      </c>
      <c r="E1987" s="6" t="s">
        <v>46</v>
      </c>
      <c r="F1987" s="6" t="s">
        <v>53</v>
      </c>
      <c r="G1987" s="6" t="str">
        <f>SUBSTITUTE(Raw_Data!G1987,"Ã©","é")</f>
        <v>Fell Runner Cap</v>
      </c>
      <c r="H1987" s="6">
        <v>2</v>
      </c>
      <c r="I1987" s="6" t="s">
        <v>79</v>
      </c>
      <c r="J1987" s="6" t="s">
        <v>259</v>
      </c>
      <c r="K1987" s="6">
        <v>0.19</v>
      </c>
      <c r="L1987" s="6" t="s">
        <v>42</v>
      </c>
      <c r="M1987" s="6" t="s">
        <v>34</v>
      </c>
      <c r="N1987" s="6"/>
    </row>
    <row r="1988" spans="1:14">
      <c r="A1988" s="6" t="s">
        <v>3413</v>
      </c>
      <c r="B1988" s="7">
        <v>46070</v>
      </c>
      <c r="C1988" s="6" t="s">
        <v>2661</v>
      </c>
      <c r="D1988" s="6" t="str">
        <f>IF(OR(PROPER(TRIM(Raw_Data!D1988))="Uk",PROPER(TRIM(Raw_Data!D1988))="Gb",PROPER(TRIM(Raw_Data!D1988))="United kingdom"),"United Kingdom",PROPER(TRIM(Raw_Data!D1988)))</f>
        <v>United Kingdom</v>
      </c>
      <c r="E1988" s="6" t="s">
        <v>28</v>
      </c>
      <c r="F1988" s="6" t="s">
        <v>58</v>
      </c>
      <c r="G1988" s="6" t="str">
        <f>SUBSTITUTE(Raw_Data!G1988,"Ã©","é")</f>
        <v>Alpine Jacket</v>
      </c>
      <c r="H1988" s="6">
        <v>1</v>
      </c>
      <c r="I1988" s="6" t="s">
        <v>79</v>
      </c>
      <c r="J1988" s="6" t="s">
        <v>3414</v>
      </c>
      <c r="K1988" s="6">
        <v>0.38</v>
      </c>
      <c r="L1988" s="6" t="s">
        <v>42</v>
      </c>
      <c r="M1988" s="6" t="s">
        <v>34</v>
      </c>
      <c r="N1988" s="6"/>
    </row>
    <row r="1989" spans="1:14">
      <c r="A1989" s="6" t="s">
        <v>3415</v>
      </c>
      <c r="B1989" s="7">
        <v>46188</v>
      </c>
      <c r="C1989" s="6" t="s">
        <v>3416</v>
      </c>
      <c r="D1989" s="6" t="str">
        <f>IF(OR(PROPER(TRIM(Raw_Data!D1989))="Uk",PROPER(TRIM(Raw_Data!D1989))="Gb",PROPER(TRIM(Raw_Data!D1989))="United kingdom"),"United Kingdom",PROPER(TRIM(Raw_Data!D1989)))</f>
        <v>Ireland</v>
      </c>
      <c r="E1989" s="6" t="s">
        <v>37</v>
      </c>
      <c r="F1989" s="6" t="s">
        <v>100</v>
      </c>
      <c r="G1989" s="6" t="str">
        <f>SUBSTITUTE(Raw_Data!G1989,"Ã©","é")</f>
        <v>Fell Runner Cap</v>
      </c>
      <c r="H1989" s="6">
        <v>2</v>
      </c>
      <c r="I1989" s="6" t="s">
        <v>79</v>
      </c>
      <c r="J1989" s="6" t="s">
        <v>259</v>
      </c>
      <c r="K1989" s="6">
        <v>0.64</v>
      </c>
      <c r="L1989" s="6" t="s">
        <v>42</v>
      </c>
      <c r="M1989" s="6" t="s">
        <v>34</v>
      </c>
      <c r="N1989" s="6"/>
    </row>
    <row r="1990" spans="1:14">
      <c r="A1990" s="6" t="s">
        <v>3417</v>
      </c>
      <c r="B1990" s="7">
        <v>46128</v>
      </c>
      <c r="C1990" s="6" t="s">
        <v>3418</v>
      </c>
      <c r="D1990" s="6" t="str">
        <f>IF(OR(PROPER(TRIM(Raw_Data!D1990))="Uk",PROPER(TRIM(Raw_Data!D1990))="Gb",PROPER(TRIM(Raw_Data!D1990))="United kingdom"),"United Kingdom",PROPER(TRIM(Raw_Data!D1990)))</f>
        <v>United Kingdom</v>
      </c>
      <c r="E1990" s="6" t="s">
        <v>37</v>
      </c>
      <c r="F1990" s="6" t="s">
        <v>53</v>
      </c>
      <c r="G1990" s="6" t="str">
        <f>SUBSTITUTE(Raw_Data!G1990,"Ã©","é")</f>
        <v>Fell Runner Cap</v>
      </c>
      <c r="H1990" s="6">
        <v>1</v>
      </c>
      <c r="I1990" s="6" t="s">
        <v>147</v>
      </c>
      <c r="J1990" s="6" t="s">
        <v>147</v>
      </c>
      <c r="K1990" s="6">
        <v>0.19</v>
      </c>
      <c r="L1990" s="6" t="s">
        <v>33</v>
      </c>
      <c r="M1990" s="6" t="s">
        <v>69</v>
      </c>
      <c r="N1990" s="6"/>
    </row>
    <row r="1991" spans="1:14">
      <c r="A1991" s="6" t="s">
        <v>3419</v>
      </c>
      <c r="B1991" s="7">
        <v>46119</v>
      </c>
      <c r="C1991" s="6" t="s">
        <v>2123</v>
      </c>
      <c r="D1991" s="6" t="str">
        <f>IF(OR(PROPER(TRIM(Raw_Data!D1991))="Uk",PROPER(TRIM(Raw_Data!D1991))="Gb",PROPER(TRIM(Raw_Data!D1991))="United kingdom"),"United Kingdom",PROPER(TRIM(Raw_Data!D1991)))</f>
        <v>United Kingdom</v>
      </c>
      <c r="E1991" s="6" t="s">
        <v>28</v>
      </c>
      <c r="F1991" s="6" t="s">
        <v>53</v>
      </c>
      <c r="G1991" s="6" t="str">
        <f>SUBSTITUTE(Raw_Data!G1991,"Ã©","é")</f>
        <v>Storm Overtrousers</v>
      </c>
      <c r="H1991" s="6">
        <v>3</v>
      </c>
      <c r="I1991" s="6" t="s">
        <v>31</v>
      </c>
      <c r="J1991" s="6" t="s">
        <v>337</v>
      </c>
      <c r="K1991" s="6">
        <v>0.19</v>
      </c>
      <c r="L1991" s="6" t="s">
        <v>33</v>
      </c>
      <c r="M1991" s="6" t="s">
        <v>34</v>
      </c>
      <c r="N1991" s="6"/>
    </row>
    <row r="1992" spans="1:14">
      <c r="A1992" s="6" t="s">
        <v>3420</v>
      </c>
      <c r="B1992" s="7">
        <v>46178</v>
      </c>
      <c r="C1992" s="6" t="s">
        <v>1386</v>
      </c>
      <c r="D1992" s="6" t="str">
        <f>IF(OR(PROPER(TRIM(Raw_Data!D1992))="Uk",PROPER(TRIM(Raw_Data!D1992))="Gb",PROPER(TRIM(Raw_Data!D1992))="United kingdom"),"United Kingdom",PROPER(TRIM(Raw_Data!D1992)))</f>
        <v>United Kingdom</v>
      </c>
      <c r="E1992" s="6" t="s">
        <v>52</v>
      </c>
      <c r="F1992" s="6" t="s">
        <v>94</v>
      </c>
      <c r="G1992" s="6" t="str">
        <f>SUBSTITUTE(Raw_Data!G1992,"Ã©","é")</f>
        <v>Alpine Jacket</v>
      </c>
      <c r="H1992" s="6">
        <v>2</v>
      </c>
      <c r="I1992" s="6" t="s">
        <v>73</v>
      </c>
      <c r="J1992" s="6" t="s">
        <v>74</v>
      </c>
      <c r="K1992" s="6">
        <v>0.34</v>
      </c>
      <c r="L1992" s="6" t="s">
        <v>42</v>
      </c>
      <c r="M1992" s="6" t="s">
        <v>34</v>
      </c>
      <c r="N1992" s="6"/>
    </row>
    <row r="1993" spans="1:14">
      <c r="A1993" s="6" t="s">
        <v>3421</v>
      </c>
      <c r="B1993" s="7">
        <v>46206</v>
      </c>
      <c r="C1993" s="6" t="s">
        <v>2375</v>
      </c>
      <c r="D1993" s="6" t="str">
        <f>IF(OR(PROPER(TRIM(Raw_Data!D1993))="Uk",PROPER(TRIM(Raw_Data!D1993))="Gb",PROPER(TRIM(Raw_Data!D1993))="United kingdom"),"United Kingdom",PROPER(TRIM(Raw_Data!D1993)))</f>
        <v>United Kingdom</v>
      </c>
      <c r="E1993" s="6" t="s">
        <v>28</v>
      </c>
      <c r="F1993" s="6" t="s">
        <v>85</v>
      </c>
      <c r="G1993" s="6" t="str">
        <f>SUBSTITUTE(Raw_Data!G1993,"Ã©","é")</f>
        <v>Trekking Poles</v>
      </c>
      <c r="H1993" s="6">
        <v>1</v>
      </c>
      <c r="I1993" s="6" t="s">
        <v>67</v>
      </c>
      <c r="J1993" s="6" t="s">
        <v>67</v>
      </c>
      <c r="K1993" s="6">
        <v>0.41</v>
      </c>
      <c r="L1993" s="6" t="s">
        <v>42</v>
      </c>
      <c r="M1993" s="6" t="s">
        <v>34</v>
      </c>
      <c r="N1993" s="6"/>
    </row>
    <row r="1994" spans="1:14">
      <c r="A1994" s="6" t="s">
        <v>3422</v>
      </c>
      <c r="B1994" s="7">
        <v>46087</v>
      </c>
      <c r="C1994" s="6" t="s">
        <v>202</v>
      </c>
      <c r="D1994" s="6" t="str">
        <f>IF(OR(PROPER(TRIM(Raw_Data!D1994))="Uk",PROPER(TRIM(Raw_Data!D1994))="Gb",PROPER(TRIM(Raw_Data!D1994))="United kingdom"),"United Kingdom",PROPER(TRIM(Raw_Data!D1994)))</f>
        <v>Germany</v>
      </c>
      <c r="E1994" s="6" t="s">
        <v>78</v>
      </c>
      <c r="F1994" s="6" t="s">
        <v>29</v>
      </c>
      <c r="G1994" s="6" t="str">
        <f>SUBSTITUTE(Raw_Data!G1994,"Ã©","é")</f>
        <v>Fell Runner Cap</v>
      </c>
      <c r="H1994" s="6">
        <v>2</v>
      </c>
      <c r="I1994" s="6" t="s">
        <v>79</v>
      </c>
      <c r="J1994" s="6" t="s">
        <v>259</v>
      </c>
      <c r="K1994" s="6">
        <v>0.52</v>
      </c>
      <c r="L1994" s="6" t="s">
        <v>42</v>
      </c>
      <c r="M1994" s="6" t="s">
        <v>34</v>
      </c>
      <c r="N1994" s="6"/>
    </row>
    <row r="1995" spans="1:14">
      <c r="A1995" s="6" t="s">
        <v>3423</v>
      </c>
      <c r="B1995" s="7">
        <v>46116</v>
      </c>
      <c r="C1995" s="6" t="s">
        <v>1386</v>
      </c>
      <c r="D1995" s="6" t="str">
        <f>IF(OR(PROPER(TRIM(Raw_Data!D1995))="Uk",PROPER(TRIM(Raw_Data!D1995))="Gb",PROPER(TRIM(Raw_Data!D1995))="United kingdom"),"United Kingdom",PROPER(TRIM(Raw_Data!D1995)))</f>
        <v>Germany</v>
      </c>
      <c r="E1995" s="6" t="s">
        <v>52</v>
      </c>
      <c r="F1995" s="6" t="s">
        <v>94</v>
      </c>
      <c r="G1995" s="6" t="str">
        <f>SUBSTITUTE(Raw_Data!G1995,"Ã©","é")</f>
        <v>Trail Softshell</v>
      </c>
      <c r="H1995" s="6">
        <v>3</v>
      </c>
      <c r="I1995" s="6" t="s">
        <v>447</v>
      </c>
      <c r="J1995" s="6" t="s">
        <v>102</v>
      </c>
      <c r="K1995" s="6">
        <v>0.34</v>
      </c>
      <c r="L1995" s="6" t="s">
        <v>33</v>
      </c>
      <c r="M1995" s="6" t="s">
        <v>34</v>
      </c>
      <c r="N1995" s="6"/>
    </row>
    <row r="1996" spans="1:14">
      <c r="A1996" s="6" t="s">
        <v>3424</v>
      </c>
      <c r="B1996" s="7">
        <v>46073</v>
      </c>
      <c r="C1996" s="6" t="s">
        <v>1971</v>
      </c>
      <c r="D1996" s="6" t="str">
        <f>IF(OR(PROPER(TRIM(Raw_Data!D1996))="Uk",PROPER(TRIM(Raw_Data!D1996))="Gb",PROPER(TRIM(Raw_Data!D1996))="United kingdom"),"United Kingdom",PROPER(TRIM(Raw_Data!D1996)))</f>
        <v>United Kingdom</v>
      </c>
      <c r="E1996" s="6" t="s">
        <v>46</v>
      </c>
      <c r="F1996" s="6" t="s">
        <v>29</v>
      </c>
      <c r="G1996" s="6" t="str">
        <f>SUBSTITUTE(Raw_Data!G1996,"Ã©","é")</f>
        <v>Summit Down Gilet</v>
      </c>
      <c r="H1996" s="6">
        <v>1</v>
      </c>
      <c r="I1996" s="6" t="s">
        <v>231</v>
      </c>
      <c r="J1996" s="6" t="s">
        <v>231</v>
      </c>
      <c r="K1996" s="6">
        <v>0.52</v>
      </c>
      <c r="L1996" s="6" t="s">
        <v>33</v>
      </c>
      <c r="M1996" s="6" t="s">
        <v>34</v>
      </c>
      <c r="N1996" s="6"/>
    </row>
    <row r="1997" spans="1:14">
      <c r="A1997" s="6" t="s">
        <v>3425</v>
      </c>
      <c r="B1997" s="7">
        <v>46024</v>
      </c>
      <c r="C1997" s="6" t="s">
        <v>2919</v>
      </c>
      <c r="D1997" s="6" t="str">
        <f>IF(OR(PROPER(TRIM(Raw_Data!D1997))="Uk",PROPER(TRIM(Raw_Data!D1997))="Gb",PROPER(TRIM(Raw_Data!D1997))="United kingdom"),"United Kingdom",PROPER(TRIM(Raw_Data!D1997)))</f>
        <v>United Kingdom</v>
      </c>
      <c r="E1997" s="6" t="s">
        <v>52</v>
      </c>
      <c r="F1997" s="6" t="s">
        <v>58</v>
      </c>
      <c r="G1997" s="6" t="str">
        <f>SUBSTITUTE(Raw_Data!G1997,"Ã©","é")</f>
        <v>Summit Down Gilet</v>
      </c>
      <c r="H1997" s="6">
        <v>2</v>
      </c>
      <c r="I1997" s="6" t="s">
        <v>31</v>
      </c>
      <c r="J1997" s="6" t="s">
        <v>249</v>
      </c>
      <c r="K1997" s="6">
        <v>0.38</v>
      </c>
      <c r="L1997" s="6" t="s">
        <v>42</v>
      </c>
      <c r="M1997" s="6" t="s">
        <v>34</v>
      </c>
      <c r="N1997" s="6"/>
    </row>
    <row r="1998" spans="1:14">
      <c r="A1998" s="6" t="s">
        <v>3426</v>
      </c>
      <c r="B1998" s="7">
        <v>46081</v>
      </c>
      <c r="C1998" s="6" t="s">
        <v>1139</v>
      </c>
      <c r="D1998" s="6" t="str">
        <f>IF(OR(PROPER(TRIM(Raw_Data!D1998))="Uk",PROPER(TRIM(Raw_Data!D1998))="Gb",PROPER(TRIM(Raw_Data!D1998))="United kingdom"),"United Kingdom",PROPER(TRIM(Raw_Data!D1998)))</f>
        <v>United Kingdom</v>
      </c>
      <c r="E1998" s="6" t="s">
        <v>52</v>
      </c>
      <c r="F1998" s="6" t="s">
        <v>58</v>
      </c>
      <c r="G1998" s="6" t="str">
        <f>SUBSTITUTE(Raw_Data!G1998,"Ã©","é")</f>
        <v>Summit Down Gilet</v>
      </c>
      <c r="H1998" s="6">
        <v>2</v>
      </c>
      <c r="I1998" s="6" t="s">
        <v>31</v>
      </c>
      <c r="J1998" s="6" t="s">
        <v>249</v>
      </c>
      <c r="K1998" s="6">
        <v>0.38</v>
      </c>
      <c r="L1998" s="6" t="s">
        <v>42</v>
      </c>
      <c r="M1998" s="6" t="s">
        <v>69</v>
      </c>
      <c r="N1998" s="6"/>
    </row>
    <row r="1999" spans="1:14">
      <c r="A1999" s="6" t="s">
        <v>3427</v>
      </c>
      <c r="B1999" s="7">
        <v>46204</v>
      </c>
      <c r="C1999" s="6" t="s">
        <v>2838</v>
      </c>
      <c r="D1999" s="6" t="str">
        <f>IF(OR(PROPER(TRIM(Raw_Data!D1999))="Uk",PROPER(TRIM(Raw_Data!D1999))="Gb",PROPER(TRIM(Raw_Data!D1999))="United kingdom"),"United Kingdom",PROPER(TRIM(Raw_Data!D1999)))</f>
        <v>United Kingdom</v>
      </c>
      <c r="E1999" s="6" t="s">
        <v>78</v>
      </c>
      <c r="F1999" s="6" t="s">
        <v>29</v>
      </c>
      <c r="G1999" s="6" t="str">
        <f>SUBSTITUTE(Raw_Data!G1999,"Ã©","é")</f>
        <v>Alpine Jacket</v>
      </c>
      <c r="H1999" s="6">
        <v>2</v>
      </c>
      <c r="I1999" s="6" t="s">
        <v>113</v>
      </c>
      <c r="J1999" s="6" t="s">
        <v>192</v>
      </c>
      <c r="K1999" s="6">
        <v>0.52</v>
      </c>
      <c r="L1999" s="6" t="s">
        <v>42</v>
      </c>
      <c r="M1999" s="6" t="s">
        <v>34</v>
      </c>
      <c r="N1999" s="6"/>
    </row>
    <row r="2000" spans="1:14">
      <c r="A2000" s="6" t="s">
        <v>3428</v>
      </c>
      <c r="B2000" s="7">
        <v>46167</v>
      </c>
      <c r="C2000" s="6" t="s">
        <v>2202</v>
      </c>
      <c r="D2000" s="6" t="str">
        <f>IF(OR(PROPER(TRIM(Raw_Data!D2000))="Uk",PROPER(TRIM(Raw_Data!D2000))="Gb",PROPER(TRIM(Raw_Data!D2000))="United kingdom"),"United Kingdom",PROPER(TRIM(Raw_Data!D2000)))</f>
        <v>United Kingdom</v>
      </c>
      <c r="E2000" s="6" t="s">
        <v>37</v>
      </c>
      <c r="F2000" s="6" t="s">
        <v>38</v>
      </c>
      <c r="G2000" s="6" t="str">
        <f>SUBSTITUTE(Raw_Data!G2000,"Ã©","é")</f>
        <v>Trekking Poles</v>
      </c>
      <c r="H2000" s="6">
        <v>2</v>
      </c>
      <c r="I2000" s="6" t="s">
        <v>684</v>
      </c>
      <c r="J2000" s="6" t="s">
        <v>3429</v>
      </c>
      <c r="K2000" s="6">
        <v>0.52</v>
      </c>
      <c r="L2000" s="6" t="s">
        <v>42</v>
      </c>
      <c r="M2000" s="6" t="s">
        <v>34</v>
      </c>
      <c r="N2000" s="6"/>
    </row>
    <row r="2001" spans="1:14">
      <c r="A2001" s="6" t="s">
        <v>3430</v>
      </c>
      <c r="B2001" s="7">
        <v>46055</v>
      </c>
      <c r="C2001" s="6" t="s">
        <v>3431</v>
      </c>
      <c r="D2001" s="6" t="str">
        <f>IF(OR(PROPER(TRIM(Raw_Data!D2001))="Uk",PROPER(TRIM(Raw_Data!D2001))="Gb",PROPER(TRIM(Raw_Data!D2001))="United kingdom"),"United Kingdom",PROPER(TRIM(Raw_Data!D2001)))</f>
        <v>United Kingdom</v>
      </c>
      <c r="E2001" s="6" t="s">
        <v>46</v>
      </c>
      <c r="F2001" s="6" t="s">
        <v>58</v>
      </c>
      <c r="G2001" s="6" t="str">
        <f>SUBSTITUTE(Raw_Data!G2001,"Ã©","é")</f>
        <v>Trekking Poles</v>
      </c>
      <c r="H2001" s="6">
        <v>1</v>
      </c>
      <c r="I2001" s="6" t="s">
        <v>113</v>
      </c>
      <c r="J2001" s="6" t="s">
        <v>113</v>
      </c>
      <c r="K2001" s="6">
        <v>0.38</v>
      </c>
      <c r="L2001" s="6" t="s">
        <v>33</v>
      </c>
      <c r="M2001" s="6" t="s">
        <v>34</v>
      </c>
      <c r="N2001" s="6"/>
    </row>
    <row r="2002" spans="1:14">
      <c r="A2002" s="6" t="s">
        <v>3432</v>
      </c>
      <c r="B2002" s="7">
        <v>46096</v>
      </c>
      <c r="C2002" s="6" t="s">
        <v>3433</v>
      </c>
      <c r="D2002" s="6" t="str">
        <f>IF(OR(PROPER(TRIM(Raw_Data!D2002))="Uk",PROPER(TRIM(Raw_Data!D2002))="Gb",PROPER(TRIM(Raw_Data!D2002))="United kingdom"),"United Kingdom",PROPER(TRIM(Raw_Data!D2002)))</f>
        <v>France</v>
      </c>
      <c r="E2002" s="6" t="s">
        <v>37</v>
      </c>
      <c r="F2002" s="6" t="s">
        <v>100</v>
      </c>
      <c r="G2002" s="6" t="str">
        <f>SUBSTITUTE(Raw_Data!G2002,"Ã©","é")</f>
        <v>Café Latte Mug</v>
      </c>
      <c r="H2002" s="6">
        <v>3</v>
      </c>
      <c r="I2002" s="6" t="s">
        <v>90</v>
      </c>
      <c r="J2002" s="6" t="s">
        <v>448</v>
      </c>
      <c r="K2002" s="6">
        <v>0.64</v>
      </c>
      <c r="L2002" s="6" t="s">
        <v>33</v>
      </c>
      <c r="M2002" s="6" t="s">
        <v>34</v>
      </c>
      <c r="N2002" s="6"/>
    </row>
    <row r="2003" spans="1:14">
      <c r="A2003" s="6" t="s">
        <v>3434</v>
      </c>
      <c r="B2003" s="7">
        <v>46101</v>
      </c>
      <c r="C2003" s="6" t="s">
        <v>1813</v>
      </c>
      <c r="D2003" s="6" t="str">
        <f>IF(OR(PROPER(TRIM(Raw_Data!D2003))="Uk",PROPER(TRIM(Raw_Data!D2003))="Gb",PROPER(TRIM(Raw_Data!D2003))="United kingdom"),"United Kingdom",PROPER(TRIM(Raw_Data!D2003)))</f>
        <v>Ireland</v>
      </c>
      <c r="E2003" s="6" t="s">
        <v>46</v>
      </c>
      <c r="F2003" s="6" t="s">
        <v>85</v>
      </c>
      <c r="G2003" s="6" t="str">
        <f>SUBSTITUTE(Raw_Data!G2003,"Ã©","é")</f>
        <v>Alpine Jacket</v>
      </c>
      <c r="H2003" s="6">
        <v>3</v>
      </c>
      <c r="I2003" s="6" t="s">
        <v>79</v>
      </c>
      <c r="J2003" s="6" t="s">
        <v>216</v>
      </c>
      <c r="K2003" s="6">
        <v>0.41</v>
      </c>
      <c r="L2003" s="6" t="s">
        <v>42</v>
      </c>
      <c r="M2003" s="6" t="s">
        <v>34</v>
      </c>
      <c r="N2003" s="6"/>
    </row>
    <row r="2004" spans="1:14">
      <c r="A2004" s="6" t="s">
        <v>3435</v>
      </c>
      <c r="B2004" s="7">
        <v>46126</v>
      </c>
      <c r="C2004" s="6" t="s">
        <v>3436</v>
      </c>
      <c r="D2004" s="6" t="str">
        <f>IF(OR(PROPER(TRIM(Raw_Data!D2004))="Uk",PROPER(TRIM(Raw_Data!D2004))="Gb",PROPER(TRIM(Raw_Data!D2004))="United kingdom"),"United Kingdom",PROPER(TRIM(Raw_Data!D2004)))</f>
        <v>United Kingdom</v>
      </c>
      <c r="E2004" s="6" t="s">
        <v>28</v>
      </c>
      <c r="F2004" s="6" t="s">
        <v>85</v>
      </c>
      <c r="G2004" s="6" t="str">
        <f>SUBSTITUTE(Raw_Data!G2004,"Ã©","é")</f>
        <v>Summit Down Gilet</v>
      </c>
      <c r="H2004" s="6">
        <v>1</v>
      </c>
      <c r="I2004" s="6" t="s">
        <v>40</v>
      </c>
      <c r="J2004" s="6" t="s">
        <v>40</v>
      </c>
      <c r="K2004" s="6">
        <v>0.41</v>
      </c>
      <c r="L2004" s="6" t="s">
        <v>42</v>
      </c>
      <c r="M2004" s="6" t="s">
        <v>34</v>
      </c>
      <c r="N2004" s="6"/>
    </row>
    <row r="2005" spans="1:14">
      <c r="A2005" s="6" t="s">
        <v>3437</v>
      </c>
      <c r="B2005" s="7">
        <v>46080</v>
      </c>
      <c r="C2005" s="6" t="s">
        <v>3438</v>
      </c>
      <c r="D2005" s="6" t="str">
        <f>IF(OR(PROPER(TRIM(Raw_Data!D2005))="Uk",PROPER(TRIM(Raw_Data!D2005))="Gb",PROPER(TRIM(Raw_Data!D2005))="United kingdom"),"United Kingdom",PROPER(TRIM(Raw_Data!D2005)))</f>
        <v>United Kingdom</v>
      </c>
      <c r="E2005" s="6" t="s">
        <v>52</v>
      </c>
      <c r="F2005" s="6" t="s">
        <v>100</v>
      </c>
      <c r="G2005" s="6" t="str">
        <f>SUBSTITUTE(Raw_Data!G2005,"Ã©","é")</f>
        <v>Merino Base Layer</v>
      </c>
      <c r="H2005" s="6">
        <v>2</v>
      </c>
      <c r="I2005" s="6" t="s">
        <v>82</v>
      </c>
      <c r="J2005" s="6" t="s">
        <v>297</v>
      </c>
      <c r="K2005" s="6">
        <v>0.64</v>
      </c>
      <c r="L2005" s="6" t="s">
        <v>42</v>
      </c>
      <c r="M2005" s="6" t="s">
        <v>69</v>
      </c>
      <c r="N2005" s="6"/>
    </row>
    <row r="2006" spans="1:14">
      <c r="A2006" s="6" t="s">
        <v>3439</v>
      </c>
      <c r="B2006" s="7">
        <v>46296</v>
      </c>
      <c r="C2006" s="6" t="s">
        <v>3440</v>
      </c>
      <c r="D2006" s="6" t="str">
        <f>IF(OR(PROPER(TRIM(Raw_Data!D2006))="Uk",PROPER(TRIM(Raw_Data!D2006))="Gb",PROPER(TRIM(Raw_Data!D2006))="United kingdom"),"United Kingdom",PROPER(TRIM(Raw_Data!D2006)))</f>
        <v>United Kingdom</v>
      </c>
      <c r="E2006" s="6" t="s">
        <v>46</v>
      </c>
      <c r="F2006" s="6" t="s">
        <v>100</v>
      </c>
      <c r="G2006" s="6" t="str">
        <f>SUBSTITUTE(Raw_Data!G2006,"Ã©","é")</f>
        <v>Storm Overtrousers</v>
      </c>
      <c r="H2006" s="6">
        <v>1</v>
      </c>
      <c r="I2006" s="6" t="s">
        <v>67</v>
      </c>
      <c r="J2006" s="6" t="s">
        <v>67</v>
      </c>
      <c r="K2006" s="6">
        <v>0.64</v>
      </c>
      <c r="L2006" s="6" t="s">
        <v>42</v>
      </c>
      <c r="M2006" s="6" t="s">
        <v>69</v>
      </c>
      <c r="N2006" s="6"/>
    </row>
    <row r="2007" spans="1:14">
      <c r="A2007" s="6" t="s">
        <v>3441</v>
      </c>
      <c r="B2007" s="7">
        <v>46044</v>
      </c>
      <c r="C2007" s="6" t="s">
        <v>400</v>
      </c>
      <c r="D2007" s="6" t="str">
        <f>IF(OR(PROPER(TRIM(Raw_Data!D2007))="Uk",PROPER(TRIM(Raw_Data!D2007))="Gb",PROPER(TRIM(Raw_Data!D2007))="United kingdom"),"United Kingdom",PROPER(TRIM(Raw_Data!D2007)))</f>
        <v>Ireland</v>
      </c>
      <c r="E2007" s="6" t="s">
        <v>28</v>
      </c>
      <c r="F2007" s="6" t="s">
        <v>29</v>
      </c>
      <c r="G2007" s="6" t="str">
        <f>SUBSTITUTE(Raw_Data!G2007,"Ã©","é")</f>
        <v>Summit Down Gilet</v>
      </c>
      <c r="H2007" s="6">
        <v>1</v>
      </c>
      <c r="I2007" s="6" t="s">
        <v>96</v>
      </c>
      <c r="J2007" s="6" t="s">
        <v>96</v>
      </c>
      <c r="K2007" s="6">
        <v>0.52</v>
      </c>
      <c r="L2007" s="6" t="s">
        <v>42</v>
      </c>
      <c r="M2007" s="6" t="s">
        <v>34</v>
      </c>
      <c r="N2007" s="6"/>
    </row>
    <row r="2008" spans="1:14">
      <c r="A2008" s="6" t="s">
        <v>3442</v>
      </c>
      <c r="B2008" s="7">
        <v>46202</v>
      </c>
      <c r="C2008" s="6" t="s">
        <v>2382</v>
      </c>
      <c r="D2008" s="6" t="str">
        <f>IF(OR(PROPER(TRIM(Raw_Data!D2008))="Uk",PROPER(TRIM(Raw_Data!D2008))="Gb",PROPER(TRIM(Raw_Data!D2008))="United kingdom"),"United Kingdom",PROPER(TRIM(Raw_Data!D2008)))</f>
        <v>United Kingdom</v>
      </c>
      <c r="E2008" s="6" t="s">
        <v>52</v>
      </c>
      <c r="F2008" s="6" t="s">
        <v>38</v>
      </c>
      <c r="G2008" s="6" t="str">
        <f>SUBSTITUTE(Raw_Data!G2008,"Ã©","é")</f>
        <v>Café Latte Mug</v>
      </c>
      <c r="H2008" s="6">
        <v>1</v>
      </c>
      <c r="I2008" s="6" t="s">
        <v>31</v>
      </c>
      <c r="J2008" s="6" t="s">
        <v>31</v>
      </c>
      <c r="K2008" s="6">
        <v>0.52</v>
      </c>
      <c r="L2008" s="6" t="s">
        <v>42</v>
      </c>
      <c r="M2008" s="6" t="s">
        <v>34</v>
      </c>
      <c r="N2008" s="6"/>
    </row>
    <row r="2009" spans="1:14">
      <c r="A2009" s="6" t="s">
        <v>3443</v>
      </c>
      <c r="B2009" s="7">
        <v>46115</v>
      </c>
      <c r="C2009" s="6" t="s">
        <v>2292</v>
      </c>
      <c r="D2009" s="6" t="str">
        <f>IF(OR(PROPER(TRIM(Raw_Data!D2009))="Uk",PROPER(TRIM(Raw_Data!D2009))="Gb",PROPER(TRIM(Raw_Data!D2009))="United kingdom"),"United Kingdom",PROPER(TRIM(Raw_Data!D2009)))</f>
        <v>United Kingdom</v>
      </c>
      <c r="E2009" s="6" t="s">
        <v>46</v>
      </c>
      <c r="F2009" s="6" t="s">
        <v>85</v>
      </c>
      <c r="G2009" s="6" t="str">
        <f>SUBSTITUTE(Raw_Data!G2009,"Ã©","é")</f>
        <v>Alpine Jacket</v>
      </c>
      <c r="H2009" s="6">
        <v>1</v>
      </c>
      <c r="I2009" s="6" t="s">
        <v>231</v>
      </c>
      <c r="J2009" s="6" t="s">
        <v>231</v>
      </c>
      <c r="K2009" s="6">
        <v>0.41</v>
      </c>
      <c r="L2009" s="6" t="s">
        <v>42</v>
      </c>
      <c r="M2009" s="6" t="s">
        <v>34</v>
      </c>
      <c r="N2009" s="6"/>
    </row>
    <row r="2010" spans="1:14">
      <c r="A2010" s="6" t="s">
        <v>3444</v>
      </c>
      <c r="B2010" s="7">
        <v>46100</v>
      </c>
      <c r="C2010" s="6" t="s">
        <v>3445</v>
      </c>
      <c r="D2010" s="6" t="str">
        <f>IF(OR(PROPER(TRIM(Raw_Data!D2010))="Uk",PROPER(TRIM(Raw_Data!D2010))="Gb",PROPER(TRIM(Raw_Data!D2010))="United kingdom"),"United Kingdom",PROPER(TRIM(Raw_Data!D2010)))</f>
        <v>Ireland</v>
      </c>
      <c r="E2010" s="6" t="s">
        <v>46</v>
      </c>
      <c r="F2010" s="6" t="s">
        <v>29</v>
      </c>
      <c r="G2010" s="6" t="str">
        <f>SUBSTITUTE(Raw_Data!G2010,"Ã©","é")</f>
        <v>Trail Softshell</v>
      </c>
      <c r="H2010" s="6">
        <v>2</v>
      </c>
      <c r="I2010" s="6" t="s">
        <v>82</v>
      </c>
      <c r="J2010" s="6" t="s">
        <v>297</v>
      </c>
      <c r="K2010" s="6">
        <v>0.52</v>
      </c>
      <c r="L2010" s="6" t="s">
        <v>42</v>
      </c>
      <c r="M2010" s="6" t="s">
        <v>69</v>
      </c>
      <c r="N2010" s="6"/>
    </row>
    <row r="2011" spans="1:14">
      <c r="A2011" s="6" t="s">
        <v>3446</v>
      </c>
      <c r="B2011" s="7">
        <v>46235</v>
      </c>
      <c r="C2011" s="6" t="s">
        <v>735</v>
      </c>
      <c r="D2011" s="6" t="str">
        <f>IF(OR(PROPER(TRIM(Raw_Data!D2011))="Uk",PROPER(TRIM(Raw_Data!D2011))="Gb",PROPER(TRIM(Raw_Data!D2011))="United kingdom"),"United Kingdom",PROPER(TRIM(Raw_Data!D2011)))</f>
        <v>United Kingdom</v>
      </c>
      <c r="E2011" s="6" t="s">
        <v>78</v>
      </c>
      <c r="F2011" s="6" t="s">
        <v>29</v>
      </c>
      <c r="G2011" s="6" t="str">
        <f>SUBSTITUTE(Raw_Data!G2011,"Ã©","é")</f>
        <v>Merino Base Layer</v>
      </c>
      <c r="H2011" s="6">
        <v>1</v>
      </c>
      <c r="I2011" s="6" t="s">
        <v>113</v>
      </c>
      <c r="J2011" s="6" t="s">
        <v>113</v>
      </c>
      <c r="K2011" s="6">
        <v>0.52</v>
      </c>
      <c r="L2011" s="6" t="s">
        <v>42</v>
      </c>
      <c r="M2011" s="6" t="s">
        <v>69</v>
      </c>
      <c r="N2011" s="6"/>
    </row>
    <row r="2012" spans="1:14">
      <c r="A2012" s="6" t="s">
        <v>3447</v>
      </c>
      <c r="B2012" s="7">
        <v>46100</v>
      </c>
      <c r="C2012" s="6" t="s">
        <v>1957</v>
      </c>
      <c r="D2012" s="6" t="str">
        <f>IF(OR(PROPER(TRIM(Raw_Data!D2012))="Uk",PROPER(TRIM(Raw_Data!D2012))="Gb",PROPER(TRIM(Raw_Data!D2012))="United kingdom"),"United Kingdom",PROPER(TRIM(Raw_Data!D2012)))</f>
        <v>United Kingdom</v>
      </c>
      <c r="E2012" s="6" t="s">
        <v>78</v>
      </c>
      <c r="F2012" s="6" t="s">
        <v>94</v>
      </c>
      <c r="G2012" s="6" t="str">
        <f>SUBSTITUTE(Raw_Data!G2012,"Ã©","é")</f>
        <v>Summit Down Gilet</v>
      </c>
      <c r="H2012" s="6">
        <v>3</v>
      </c>
      <c r="I2012" s="6" t="s">
        <v>143</v>
      </c>
      <c r="J2012" s="6" t="s">
        <v>243</v>
      </c>
      <c r="K2012" s="6">
        <v>0.34</v>
      </c>
      <c r="L2012" s="6" t="s">
        <v>42</v>
      </c>
      <c r="M2012" s="6" t="s">
        <v>34</v>
      </c>
      <c r="N2012" s="6"/>
    </row>
    <row r="2013" spans="1:14">
      <c r="A2013" s="6" t="s">
        <v>3448</v>
      </c>
      <c r="B2013" s="7">
        <v>46300</v>
      </c>
      <c r="C2013" s="6" t="s">
        <v>635</v>
      </c>
      <c r="D2013" s="6" t="str">
        <f>IF(OR(PROPER(TRIM(Raw_Data!D2013))="Uk",PROPER(TRIM(Raw_Data!D2013))="Gb",PROPER(TRIM(Raw_Data!D2013))="United kingdom"),"United Kingdom",PROPER(TRIM(Raw_Data!D2013)))</f>
        <v>Germany</v>
      </c>
      <c r="E2013" s="6" t="s">
        <v>37</v>
      </c>
      <c r="F2013" s="6" t="s">
        <v>53</v>
      </c>
      <c r="G2013" s="6" t="str">
        <f>SUBSTITUTE(Raw_Data!G2013,"Ã©","é")</f>
        <v>Alpine Jacket</v>
      </c>
      <c r="H2013" s="6">
        <v>2</v>
      </c>
      <c r="I2013" s="6" t="s">
        <v>231</v>
      </c>
      <c r="J2013" s="6" t="s">
        <v>232</v>
      </c>
      <c r="K2013" s="6">
        <v>0.19</v>
      </c>
      <c r="L2013" s="6" t="s">
        <v>42</v>
      </c>
      <c r="M2013" s="6" t="s">
        <v>69</v>
      </c>
      <c r="N2013" s="6"/>
    </row>
    <row r="2014" spans="1:14">
      <c r="A2014" s="6" t="s">
        <v>3449</v>
      </c>
      <c r="B2014" s="7">
        <v>46055</v>
      </c>
      <c r="C2014" s="6" t="s">
        <v>2739</v>
      </c>
      <c r="D2014" s="6" t="str">
        <f>IF(OR(PROPER(TRIM(Raw_Data!D2014))="Uk",PROPER(TRIM(Raw_Data!D2014))="Gb",PROPER(TRIM(Raw_Data!D2014))="United kingdom"),"United Kingdom",PROPER(TRIM(Raw_Data!D2014)))</f>
        <v>Ireland</v>
      </c>
      <c r="E2014" s="6" t="s">
        <v>78</v>
      </c>
      <c r="F2014" s="6" t="s">
        <v>53</v>
      </c>
      <c r="G2014" s="6" t="str">
        <f>SUBSTITUTE(Raw_Data!G2014,"Ã©","é")</f>
        <v>Merino Base Layer</v>
      </c>
      <c r="H2014" s="6">
        <v>1</v>
      </c>
      <c r="I2014" s="6" t="s">
        <v>147</v>
      </c>
      <c r="J2014" s="6" t="s">
        <v>147</v>
      </c>
      <c r="K2014" s="6">
        <v>0.19</v>
      </c>
      <c r="L2014" s="6" t="s">
        <v>42</v>
      </c>
      <c r="M2014" s="6" t="s">
        <v>69</v>
      </c>
      <c r="N2014" s="6"/>
    </row>
    <row r="2015" spans="1:14">
      <c r="A2015" s="6" t="s">
        <v>3450</v>
      </c>
      <c r="B2015" s="7">
        <v>46117</v>
      </c>
      <c r="C2015" s="6" t="s">
        <v>3095</v>
      </c>
      <c r="D2015" s="6" t="str">
        <f>IF(OR(PROPER(TRIM(Raw_Data!D2015))="Uk",PROPER(TRIM(Raw_Data!D2015))="Gb",PROPER(TRIM(Raw_Data!D2015))="United kingdom"),"United Kingdom",PROPER(TRIM(Raw_Data!D2015)))</f>
        <v>United Kingdom</v>
      </c>
      <c r="E2015" s="6" t="s">
        <v>46</v>
      </c>
      <c r="F2015" s="6" t="s">
        <v>47</v>
      </c>
      <c r="G2015" s="6" t="str">
        <f>SUBSTITUTE(Raw_Data!G2015,"Ã©","é")</f>
        <v>Merino Base Layer</v>
      </c>
      <c r="H2015" s="6">
        <v>2</v>
      </c>
      <c r="I2015" s="6" t="s">
        <v>143</v>
      </c>
      <c r="J2015" s="6" t="s">
        <v>144</v>
      </c>
      <c r="K2015" s="6">
        <v>8.5000000000000006E-2</v>
      </c>
      <c r="L2015" s="6" t="s">
        <v>33</v>
      </c>
      <c r="M2015" s="6" t="s">
        <v>34</v>
      </c>
      <c r="N2015" s="6"/>
    </row>
    <row r="2016" spans="1:14">
      <c r="A2016" s="6" t="s">
        <v>3451</v>
      </c>
      <c r="B2016" s="7">
        <v>46098</v>
      </c>
      <c r="C2016" s="6" t="s">
        <v>3452</v>
      </c>
      <c r="D2016" s="6" t="str">
        <f>IF(OR(PROPER(TRIM(Raw_Data!D2016))="Uk",PROPER(TRIM(Raw_Data!D2016))="Gb",PROPER(TRIM(Raw_Data!D2016))="United kingdom"),"United Kingdom",PROPER(TRIM(Raw_Data!D2016)))</f>
        <v>France</v>
      </c>
      <c r="E2016" s="6" t="s">
        <v>37</v>
      </c>
      <c r="F2016" s="6" t="s">
        <v>100</v>
      </c>
      <c r="G2016" s="6" t="str">
        <f>SUBSTITUTE(Raw_Data!G2016,"Ã©","é")</f>
        <v>Café Latte Mug</v>
      </c>
      <c r="H2016" s="6">
        <v>1</v>
      </c>
      <c r="I2016" s="6" t="s">
        <v>96</v>
      </c>
      <c r="J2016" s="6" t="s">
        <v>96</v>
      </c>
      <c r="K2016" s="6">
        <v>0.64</v>
      </c>
      <c r="L2016" s="6" t="s">
        <v>42</v>
      </c>
      <c r="M2016" s="6" t="s">
        <v>34</v>
      </c>
      <c r="N2016" s="6"/>
    </row>
    <row r="2017" spans="1:14">
      <c r="A2017" s="6" t="s">
        <v>3453</v>
      </c>
      <c r="B2017" s="7">
        <v>46156</v>
      </c>
      <c r="C2017" s="6" t="s">
        <v>1907</v>
      </c>
      <c r="D2017" s="6" t="str">
        <f>IF(OR(PROPER(TRIM(Raw_Data!D2017))="Uk",PROPER(TRIM(Raw_Data!D2017))="Gb",PROPER(TRIM(Raw_Data!D2017))="United kingdom"),"United Kingdom",PROPER(TRIM(Raw_Data!D2017)))</f>
        <v>United Kingdom</v>
      </c>
      <c r="E2017" s="6" t="s">
        <v>52</v>
      </c>
      <c r="F2017" s="6" t="s">
        <v>94</v>
      </c>
      <c r="G2017" s="6" t="str">
        <f>SUBSTITUTE(Raw_Data!G2017,"Ã©","é")</f>
        <v>Storm Overtrousers</v>
      </c>
      <c r="H2017" s="6">
        <v>1</v>
      </c>
      <c r="I2017" s="6" t="s">
        <v>96</v>
      </c>
      <c r="J2017" s="6" t="s">
        <v>96</v>
      </c>
      <c r="K2017" s="6">
        <v>0.34</v>
      </c>
      <c r="L2017" s="6" t="s">
        <v>42</v>
      </c>
      <c r="M2017" s="6" t="s">
        <v>34</v>
      </c>
      <c r="N2017" s="6"/>
    </row>
    <row r="2018" spans="1:14">
      <c r="A2018" s="6" t="s">
        <v>3454</v>
      </c>
      <c r="B2018" s="7">
        <v>46026</v>
      </c>
      <c r="C2018" s="6" t="s">
        <v>3455</v>
      </c>
      <c r="D2018" s="6" t="str">
        <f>IF(OR(PROPER(TRIM(Raw_Data!D2018))="Uk",PROPER(TRIM(Raw_Data!D2018))="Gb",PROPER(TRIM(Raw_Data!D2018))="United kingdom"),"United Kingdom",PROPER(TRIM(Raw_Data!D2018)))</f>
        <v>United Kingdom</v>
      </c>
      <c r="E2018" s="6" t="s">
        <v>28</v>
      </c>
      <c r="F2018" s="6" t="s">
        <v>38</v>
      </c>
      <c r="G2018" s="6" t="str">
        <f>SUBSTITUTE(Raw_Data!G2018,"Ã©","é")</f>
        <v>Trekking Poles</v>
      </c>
      <c r="H2018" s="6">
        <v>1</v>
      </c>
      <c r="I2018" s="6" t="s">
        <v>82</v>
      </c>
      <c r="J2018" s="6" t="s">
        <v>82</v>
      </c>
      <c r="K2018" s="6">
        <v>0.52</v>
      </c>
      <c r="L2018" s="6" t="s">
        <v>42</v>
      </c>
      <c r="M2018" s="6" t="s">
        <v>34</v>
      </c>
      <c r="N2018" s="6"/>
    </row>
    <row r="2019" spans="1:14">
      <c r="A2019" s="6" t="s">
        <v>3456</v>
      </c>
      <c r="B2019" s="7">
        <v>46059</v>
      </c>
      <c r="C2019" s="6" t="s">
        <v>320</v>
      </c>
      <c r="D2019" s="6" t="str">
        <f>IF(OR(PROPER(TRIM(Raw_Data!D2019))="Uk",PROPER(TRIM(Raw_Data!D2019))="Gb",PROPER(TRIM(Raw_Data!D2019))="United kingdom"),"United Kingdom",PROPER(TRIM(Raw_Data!D2019)))</f>
        <v>Ireland</v>
      </c>
      <c r="E2019" s="6" t="s">
        <v>37</v>
      </c>
      <c r="F2019" s="6" t="s">
        <v>38</v>
      </c>
      <c r="G2019" s="6" t="str">
        <f>SUBSTITUTE(Raw_Data!G2019,"Ã©","é")</f>
        <v>Café Latte Mug</v>
      </c>
      <c r="H2019" s="6">
        <v>1</v>
      </c>
      <c r="I2019" s="6" t="s">
        <v>113</v>
      </c>
      <c r="J2019" s="6" t="s">
        <v>113</v>
      </c>
      <c r="K2019" s="6">
        <v>0.52</v>
      </c>
      <c r="L2019" s="6" t="s">
        <v>42</v>
      </c>
      <c r="M2019" s="6" t="s">
        <v>34</v>
      </c>
      <c r="N2019" s="6"/>
    </row>
    <row r="2020" spans="1:14">
      <c r="A2020" s="6" t="s">
        <v>3457</v>
      </c>
      <c r="B2020" s="7">
        <v>46160</v>
      </c>
      <c r="C2020" s="6" t="s">
        <v>2668</v>
      </c>
      <c r="D2020" s="6" t="str">
        <f>IF(OR(PROPER(TRIM(Raw_Data!D2020))="Uk",PROPER(TRIM(Raw_Data!D2020))="Gb",PROPER(TRIM(Raw_Data!D2020))="United kingdom"),"United Kingdom",PROPER(TRIM(Raw_Data!D2020)))</f>
        <v>Ireland</v>
      </c>
      <c r="E2020" s="6" t="s">
        <v>46</v>
      </c>
      <c r="F2020" s="6" t="s">
        <v>58</v>
      </c>
      <c r="G2020" s="6" t="str">
        <f>SUBSTITUTE(Raw_Data!G2020,"Ã©","é")</f>
        <v>Trekking Poles</v>
      </c>
      <c r="H2020" s="6">
        <v>-3</v>
      </c>
      <c r="I2020" s="6" t="s">
        <v>265</v>
      </c>
      <c r="J2020" s="8" t="s">
        <v>3458</v>
      </c>
      <c r="K2020" s="6">
        <v>0.38</v>
      </c>
      <c r="L2020" s="6" t="s">
        <v>42</v>
      </c>
      <c r="M2020" s="6" t="s">
        <v>34</v>
      </c>
      <c r="N2020" s="6"/>
    </row>
    <row r="2021" spans="1:14">
      <c r="A2021" s="6" t="s">
        <v>3459</v>
      </c>
      <c r="B2021" s="7">
        <v>46203</v>
      </c>
      <c r="C2021" s="6" t="s">
        <v>3455</v>
      </c>
      <c r="D2021" s="6" t="str">
        <f>IF(OR(PROPER(TRIM(Raw_Data!D2021))="Uk",PROPER(TRIM(Raw_Data!D2021))="Gb",PROPER(TRIM(Raw_Data!D2021))="United kingdom"),"United Kingdom",PROPER(TRIM(Raw_Data!D2021)))</f>
        <v>United Kingdom</v>
      </c>
      <c r="E2021" s="6" t="s">
        <v>52</v>
      </c>
      <c r="F2021" s="6" t="s">
        <v>29</v>
      </c>
      <c r="G2021" s="6" t="str">
        <f>SUBSTITUTE(Raw_Data!G2021,"Ã©","é")</f>
        <v>Summit Down Gilet</v>
      </c>
      <c r="H2021" s="6">
        <v>2</v>
      </c>
      <c r="I2021" s="6" t="s">
        <v>619</v>
      </c>
      <c r="J2021" s="6" t="s">
        <v>144</v>
      </c>
      <c r="K2021" s="6">
        <v>0.52</v>
      </c>
      <c r="L2021" s="6" t="s">
        <v>42</v>
      </c>
      <c r="M2021" s="6" t="s">
        <v>34</v>
      </c>
      <c r="N2021" s="6"/>
    </row>
    <row r="2022" spans="1:14">
      <c r="A2022" s="6" t="s">
        <v>3460</v>
      </c>
      <c r="B2022" s="7">
        <v>46136</v>
      </c>
      <c r="C2022" s="6" t="s">
        <v>583</v>
      </c>
      <c r="D2022" s="6" t="str">
        <f>IF(OR(PROPER(TRIM(Raw_Data!D2022))="Uk",PROPER(TRIM(Raw_Data!D2022))="Gb",PROPER(TRIM(Raw_Data!D2022))="United kingdom"),"United Kingdom",PROPER(TRIM(Raw_Data!D2022)))</f>
        <v>France</v>
      </c>
      <c r="E2022" s="6" t="s">
        <v>52</v>
      </c>
      <c r="F2022" s="6" t="s">
        <v>47</v>
      </c>
      <c r="G2022" s="6" t="str">
        <f>SUBSTITUTE(Raw_Data!G2022,"Ã©","é")</f>
        <v>Summit Down Gilet</v>
      </c>
      <c r="H2022" s="6">
        <v>3</v>
      </c>
      <c r="I2022" s="6" t="s">
        <v>265</v>
      </c>
      <c r="J2022" s="6" t="s">
        <v>401</v>
      </c>
      <c r="K2022" s="6">
        <v>8.5000000000000006E-2</v>
      </c>
      <c r="L2022" s="6" t="s">
        <v>42</v>
      </c>
      <c r="M2022" s="6" t="s">
        <v>69</v>
      </c>
      <c r="N2022" s="6"/>
    </row>
    <row r="2023" spans="1:14">
      <c r="A2023" s="6" t="s">
        <v>3461</v>
      </c>
      <c r="B2023" s="7">
        <v>46095</v>
      </c>
      <c r="C2023" s="6" t="s">
        <v>284</v>
      </c>
      <c r="D2023" s="6" t="str">
        <f>IF(OR(PROPER(TRIM(Raw_Data!D2023))="Uk",PROPER(TRIM(Raw_Data!D2023))="Gb",PROPER(TRIM(Raw_Data!D2023))="United kingdom"),"United Kingdom",PROPER(TRIM(Raw_Data!D2023)))</f>
        <v>United Kingdom</v>
      </c>
      <c r="E2023" s="6" t="s">
        <v>46</v>
      </c>
      <c r="F2023" s="6" t="s">
        <v>53</v>
      </c>
      <c r="G2023" s="6" t="str">
        <f>SUBSTITUTE(Raw_Data!G2023,"Ã©","é")</f>
        <v>Trekking Poles</v>
      </c>
      <c r="H2023" s="6">
        <v>1</v>
      </c>
      <c r="I2023" s="6" t="s">
        <v>113</v>
      </c>
      <c r="J2023" s="6" t="s">
        <v>113</v>
      </c>
      <c r="K2023" s="6">
        <v>0.19</v>
      </c>
      <c r="L2023" s="6" t="s">
        <v>42</v>
      </c>
      <c r="M2023" s="6" t="s">
        <v>69</v>
      </c>
      <c r="N2023" s="6"/>
    </row>
    <row r="2024" spans="1:14">
      <c r="A2024" s="6" t="s">
        <v>3462</v>
      </c>
      <c r="B2024" s="7">
        <v>46147</v>
      </c>
      <c r="C2024" s="6" t="s">
        <v>1655</v>
      </c>
      <c r="D2024" s="6" t="str">
        <f>IF(OR(PROPER(TRIM(Raw_Data!D2024))="Uk",PROPER(TRIM(Raw_Data!D2024))="Gb",PROPER(TRIM(Raw_Data!D2024))="United kingdom"),"United Kingdom",PROPER(TRIM(Raw_Data!D2024)))</f>
        <v>United Kingdom</v>
      </c>
      <c r="E2024" s="6" t="s">
        <v>52</v>
      </c>
      <c r="F2024" s="6" t="s">
        <v>47</v>
      </c>
      <c r="G2024" s="6" t="str">
        <f>SUBSTITUTE(Raw_Data!G2024,"Ã©","é")</f>
        <v>Trail Softshell</v>
      </c>
      <c r="H2024" s="6">
        <v>1</v>
      </c>
      <c r="I2024" s="6" t="s">
        <v>60</v>
      </c>
      <c r="J2024" s="6" t="s">
        <v>60</v>
      </c>
      <c r="K2024" s="6">
        <v>8.5000000000000006E-2</v>
      </c>
      <c r="L2024" s="6" t="s">
        <v>42</v>
      </c>
      <c r="M2024" s="6" t="s">
        <v>34</v>
      </c>
      <c r="N2024" s="6"/>
    </row>
    <row r="2025" spans="1:14">
      <c r="A2025" s="6" t="s">
        <v>3463</v>
      </c>
      <c r="B2025" s="7">
        <v>46094</v>
      </c>
      <c r="C2025" s="6" t="s">
        <v>296</v>
      </c>
      <c r="D2025" s="6" t="str">
        <f>IF(OR(PROPER(TRIM(Raw_Data!D2025))="Uk",PROPER(TRIM(Raw_Data!D2025))="Gb",PROPER(TRIM(Raw_Data!D2025))="United kingdom"),"United Kingdom",PROPER(TRIM(Raw_Data!D2025)))</f>
        <v>United Kingdom</v>
      </c>
      <c r="E2025" s="6" t="s">
        <v>37</v>
      </c>
      <c r="F2025" s="6" t="s">
        <v>47</v>
      </c>
      <c r="G2025" s="6" t="str">
        <f>SUBSTITUTE(Raw_Data!G2025,"Ã©","é")</f>
        <v>Summit Down Gilet</v>
      </c>
      <c r="H2025" s="6">
        <v>3</v>
      </c>
      <c r="I2025" s="6" t="s">
        <v>147</v>
      </c>
      <c r="J2025" s="6" t="s">
        <v>148</v>
      </c>
      <c r="K2025" s="6">
        <v>8.5000000000000006E-2</v>
      </c>
      <c r="L2025" s="6" t="s">
        <v>33</v>
      </c>
      <c r="M2025" s="6" t="s">
        <v>34</v>
      </c>
      <c r="N2025" s="6"/>
    </row>
    <row r="2026" spans="1:14">
      <c r="A2026" s="6" t="s">
        <v>3464</v>
      </c>
      <c r="B2026" s="7">
        <v>46205</v>
      </c>
      <c r="C2026" s="6" t="s">
        <v>3465</v>
      </c>
      <c r="D2026" s="6" t="str">
        <f>IF(OR(PROPER(TRIM(Raw_Data!D2026))="Uk",PROPER(TRIM(Raw_Data!D2026))="Gb",PROPER(TRIM(Raw_Data!D2026))="United kingdom"),"United Kingdom",PROPER(TRIM(Raw_Data!D2026)))</f>
        <v>Ireland</v>
      </c>
      <c r="E2026" s="6" t="s">
        <v>78</v>
      </c>
      <c r="F2026" s="6" t="s">
        <v>38</v>
      </c>
      <c r="G2026" s="6" t="str">
        <f>SUBSTITUTE(Raw_Data!G2026,"Ã©","é")</f>
        <v>Alpine Jacket</v>
      </c>
      <c r="H2026" s="6">
        <v>1</v>
      </c>
      <c r="I2026" s="6" t="s">
        <v>143</v>
      </c>
      <c r="J2026" s="6" t="s">
        <v>143</v>
      </c>
      <c r="K2026" s="6">
        <v>0.52</v>
      </c>
      <c r="L2026" s="6" t="s">
        <v>42</v>
      </c>
      <c r="M2026" s="6" t="s">
        <v>34</v>
      </c>
      <c r="N2026" s="6"/>
    </row>
    <row r="2027" spans="1:14">
      <c r="A2027" s="6" t="s">
        <v>3466</v>
      </c>
      <c r="B2027" s="7">
        <v>46099</v>
      </c>
      <c r="C2027" s="6" t="s">
        <v>648</v>
      </c>
      <c r="D2027" s="6" t="str">
        <f>IF(OR(PROPER(TRIM(Raw_Data!D2027))="Uk",PROPER(TRIM(Raw_Data!D2027))="Gb",PROPER(TRIM(Raw_Data!D2027))="United kingdom"),"United Kingdom",PROPER(TRIM(Raw_Data!D2027)))</f>
        <v>Ireland</v>
      </c>
      <c r="E2027" s="6" t="s">
        <v>52</v>
      </c>
      <c r="F2027" s="6" t="s">
        <v>58</v>
      </c>
      <c r="G2027" s="6" t="str">
        <f>SUBSTITUTE(Raw_Data!G2027,"Ã©","é")</f>
        <v>Storm Overtrousers</v>
      </c>
      <c r="H2027" s="6">
        <v>1</v>
      </c>
      <c r="I2027" s="6" t="s">
        <v>619</v>
      </c>
      <c r="J2027" s="6" t="s">
        <v>143</v>
      </c>
      <c r="K2027" s="6">
        <v>0.38</v>
      </c>
      <c r="L2027" s="6" t="s">
        <v>42</v>
      </c>
      <c r="M2027" s="6" t="s">
        <v>34</v>
      </c>
      <c r="N2027" s="6"/>
    </row>
    <row r="2028" spans="1:14">
      <c r="A2028" s="6" t="s">
        <v>3467</v>
      </c>
      <c r="B2028" s="7">
        <v>46042</v>
      </c>
      <c r="C2028" s="6" t="s">
        <v>389</v>
      </c>
      <c r="D2028" s="6" t="str">
        <f>IF(OR(PROPER(TRIM(Raw_Data!D2028))="Uk",PROPER(TRIM(Raw_Data!D2028))="Gb",PROPER(TRIM(Raw_Data!D2028))="United kingdom"),"United Kingdom",PROPER(TRIM(Raw_Data!D2028)))</f>
        <v>United Kingdom</v>
      </c>
      <c r="E2028" s="6" t="s">
        <v>37</v>
      </c>
      <c r="F2028" s="6" t="s">
        <v>47</v>
      </c>
      <c r="G2028" s="6" t="str">
        <f>SUBSTITUTE(Raw_Data!G2028,"Ã©","é")</f>
        <v>Storm Overtrousers</v>
      </c>
      <c r="H2028" s="6">
        <v>1</v>
      </c>
      <c r="I2028" s="6" t="s">
        <v>82</v>
      </c>
      <c r="J2028" s="6" t="s">
        <v>82</v>
      </c>
      <c r="K2028" s="6">
        <v>8.5000000000000006E-2</v>
      </c>
      <c r="L2028" s="6" t="s">
        <v>42</v>
      </c>
      <c r="M2028" s="6" t="s">
        <v>34</v>
      </c>
      <c r="N2028" s="6"/>
    </row>
    <row r="2029" spans="1:14">
      <c r="A2029" s="6" t="s">
        <v>3468</v>
      </c>
      <c r="B2029" s="7">
        <v>46105</v>
      </c>
      <c r="C2029" s="6" t="s">
        <v>1470</v>
      </c>
      <c r="D2029" s="6" t="str">
        <f>IF(OR(PROPER(TRIM(Raw_Data!D2029))="Uk",PROPER(TRIM(Raw_Data!D2029))="Gb",PROPER(TRIM(Raw_Data!D2029))="United kingdom"),"United Kingdom",PROPER(TRIM(Raw_Data!D2029)))</f>
        <v>Germany</v>
      </c>
      <c r="E2029" s="6" t="s">
        <v>37</v>
      </c>
      <c r="F2029" s="6" t="s">
        <v>38</v>
      </c>
      <c r="G2029" s="6" t="str">
        <f>SUBSTITUTE(Raw_Data!G2029,"Ã©","é")</f>
        <v>Alpine Jacket</v>
      </c>
      <c r="H2029" s="6">
        <v>2</v>
      </c>
      <c r="I2029" s="6" t="s">
        <v>60</v>
      </c>
      <c r="J2029" s="6" t="s">
        <v>189</v>
      </c>
      <c r="K2029" s="6">
        <v>0.52</v>
      </c>
      <c r="L2029" s="6" t="s">
        <v>42</v>
      </c>
      <c r="M2029" s="6" t="s">
        <v>34</v>
      </c>
      <c r="N2029" s="6"/>
    </row>
    <row r="2030" spans="1:14">
      <c r="A2030" s="6" t="s">
        <v>3469</v>
      </c>
      <c r="B2030" s="7">
        <v>46040</v>
      </c>
      <c r="C2030" s="6" t="s">
        <v>932</v>
      </c>
      <c r="D2030" s="6" t="str">
        <f>IF(OR(PROPER(TRIM(Raw_Data!D2030))="Uk",PROPER(TRIM(Raw_Data!D2030))="Gb",PROPER(TRIM(Raw_Data!D2030))="United kingdom"),"United Kingdom",PROPER(TRIM(Raw_Data!D2030)))</f>
        <v>Ireland</v>
      </c>
      <c r="E2030" s="6" t="s">
        <v>46</v>
      </c>
      <c r="F2030" s="6" t="s">
        <v>53</v>
      </c>
      <c r="G2030" s="6" t="str">
        <f>SUBSTITUTE(Raw_Data!G2030,"Ã©","é")</f>
        <v>Alpine Jacket</v>
      </c>
      <c r="H2030" s="6">
        <v>1</v>
      </c>
      <c r="I2030" s="6" t="s">
        <v>31</v>
      </c>
      <c r="J2030" s="6" t="s">
        <v>31</v>
      </c>
      <c r="K2030" s="6">
        <v>0.19</v>
      </c>
      <c r="L2030" s="6" t="s">
        <v>42</v>
      </c>
      <c r="M2030" s="6" t="s">
        <v>34</v>
      </c>
      <c r="N2030" s="6"/>
    </row>
    <row r="2031" spans="1:14">
      <c r="A2031" s="6" t="s">
        <v>3470</v>
      </c>
      <c r="B2031" s="7">
        <v>46070</v>
      </c>
      <c r="C2031" s="6" t="s">
        <v>3471</v>
      </c>
      <c r="D2031" s="6" t="str">
        <f>IF(OR(PROPER(TRIM(Raw_Data!D2031))="Uk",PROPER(TRIM(Raw_Data!D2031))="Gb",PROPER(TRIM(Raw_Data!D2031))="United kingdom"),"United Kingdom",PROPER(TRIM(Raw_Data!D2031)))</f>
        <v>France</v>
      </c>
      <c r="E2031" s="6" t="s">
        <v>37</v>
      </c>
      <c r="F2031" s="6" t="s">
        <v>53</v>
      </c>
      <c r="G2031" s="6" t="str">
        <f>SUBSTITUTE(Raw_Data!G2031,"Ã©","é")</f>
        <v>Trekking Poles</v>
      </c>
      <c r="H2031" s="6">
        <v>2</v>
      </c>
      <c r="I2031" s="6" t="s">
        <v>40</v>
      </c>
      <c r="J2031" s="6" t="s">
        <v>3472</v>
      </c>
      <c r="K2031" s="6">
        <v>0.19</v>
      </c>
      <c r="L2031" s="6" t="s">
        <v>33</v>
      </c>
      <c r="M2031" s="6" t="s">
        <v>34</v>
      </c>
      <c r="N2031" s="6"/>
    </row>
    <row r="2032" spans="1:14">
      <c r="A2032" s="6" t="s">
        <v>3473</v>
      </c>
      <c r="B2032" s="7">
        <v>46125</v>
      </c>
      <c r="C2032" s="6" t="s">
        <v>676</v>
      </c>
      <c r="D2032" s="6" t="str">
        <f>IF(OR(PROPER(TRIM(Raw_Data!D2032))="Uk",PROPER(TRIM(Raw_Data!D2032))="Gb",PROPER(TRIM(Raw_Data!D2032))="United kingdom"),"United Kingdom",PROPER(TRIM(Raw_Data!D2032)))</f>
        <v>United Kingdom</v>
      </c>
      <c r="E2032" s="6" t="s">
        <v>52</v>
      </c>
      <c r="F2032" s="6" t="s">
        <v>47</v>
      </c>
      <c r="G2032" s="6" t="str">
        <f>SUBSTITUTE(Raw_Data!G2032,"Ã©","é")</f>
        <v>Trail Softshell</v>
      </c>
      <c r="H2032" s="6">
        <v>1</v>
      </c>
      <c r="I2032" s="6" t="s">
        <v>82</v>
      </c>
      <c r="J2032" s="6" t="s">
        <v>82</v>
      </c>
      <c r="K2032" s="6">
        <v>8.5000000000000006E-2</v>
      </c>
      <c r="L2032" s="6" t="s">
        <v>42</v>
      </c>
      <c r="M2032" s="6" t="s">
        <v>69</v>
      </c>
      <c r="N2032" s="6"/>
    </row>
    <row r="2033" spans="1:14">
      <c r="A2033" s="6" t="s">
        <v>3474</v>
      </c>
      <c r="B2033" s="7">
        <v>46239</v>
      </c>
      <c r="C2033" s="6" t="s">
        <v>836</v>
      </c>
      <c r="D2033" s="6" t="str">
        <f>IF(OR(PROPER(TRIM(Raw_Data!D2033))="Uk",PROPER(TRIM(Raw_Data!D2033))="Gb",PROPER(TRIM(Raw_Data!D2033))="United kingdom"),"United Kingdom",PROPER(TRIM(Raw_Data!D2033)))</f>
        <v>United Kingdom</v>
      </c>
      <c r="E2033" s="6" t="s">
        <v>78</v>
      </c>
      <c r="F2033" s="6" t="s">
        <v>47</v>
      </c>
      <c r="G2033" s="6" t="str">
        <f>SUBSTITUTE(Raw_Data!G2033,"Ã©","é")</f>
        <v>Storm Overtrousers</v>
      </c>
      <c r="H2033" s="6">
        <v>1</v>
      </c>
      <c r="I2033" s="6" t="s">
        <v>82</v>
      </c>
      <c r="J2033" s="6" t="s">
        <v>82</v>
      </c>
      <c r="K2033" s="6">
        <v>8.5000000000000006E-2</v>
      </c>
      <c r="L2033" s="6" t="s">
        <v>42</v>
      </c>
      <c r="M2033" s="6" t="s">
        <v>34</v>
      </c>
      <c r="N2033" s="6"/>
    </row>
    <row r="2034" spans="1:14">
      <c r="A2034" s="6" t="s">
        <v>3475</v>
      </c>
      <c r="B2034" s="7">
        <v>46198</v>
      </c>
      <c r="C2034" s="6" t="s">
        <v>2001</v>
      </c>
      <c r="D2034" s="6" t="str">
        <f>IF(OR(PROPER(TRIM(Raw_Data!D2034))="Uk",PROPER(TRIM(Raw_Data!D2034))="Gb",PROPER(TRIM(Raw_Data!D2034))="United kingdom"),"United Kingdom",PROPER(TRIM(Raw_Data!D2034)))</f>
        <v>Ireland</v>
      </c>
      <c r="E2034" s="6" t="s">
        <v>37</v>
      </c>
      <c r="F2034" s="6" t="s">
        <v>38</v>
      </c>
      <c r="G2034" s="6" t="str">
        <f>SUBSTITUTE(Raw_Data!G2034,"Ã©","é")</f>
        <v>Trekking Poles</v>
      </c>
      <c r="H2034" s="6">
        <v>1</v>
      </c>
      <c r="I2034" s="6" t="s">
        <v>90</v>
      </c>
      <c r="J2034" s="6" t="s">
        <v>90</v>
      </c>
      <c r="K2034" s="6">
        <v>0.52</v>
      </c>
      <c r="L2034" s="6" t="s">
        <v>42</v>
      </c>
      <c r="M2034" s="6" t="s">
        <v>34</v>
      </c>
      <c r="N2034" s="6"/>
    </row>
    <row r="2035" spans="1:14">
      <c r="A2035" s="6" t="s">
        <v>3476</v>
      </c>
      <c r="B2035" s="7">
        <v>46070</v>
      </c>
      <c r="C2035" s="6" t="s">
        <v>2247</v>
      </c>
      <c r="D2035" s="6" t="str">
        <f>IF(OR(PROPER(TRIM(Raw_Data!D2035))="Uk",PROPER(TRIM(Raw_Data!D2035))="Gb",PROPER(TRIM(Raw_Data!D2035))="United kingdom"),"United Kingdom",PROPER(TRIM(Raw_Data!D2035)))</f>
        <v>United Kingdom</v>
      </c>
      <c r="E2035" s="6" t="s">
        <v>52</v>
      </c>
      <c r="F2035" s="6" t="s">
        <v>29</v>
      </c>
      <c r="G2035" s="6" t="str">
        <f>SUBSTITUTE(Raw_Data!G2035,"Ã©","é")</f>
        <v>Trekking Poles</v>
      </c>
      <c r="H2035" s="6">
        <v>1</v>
      </c>
      <c r="I2035" s="6" t="s">
        <v>31</v>
      </c>
      <c r="J2035" s="6" t="s">
        <v>31</v>
      </c>
      <c r="K2035" s="6">
        <v>0.52</v>
      </c>
      <c r="L2035" s="6" t="s">
        <v>42</v>
      </c>
      <c r="M2035" s="6" t="s">
        <v>34</v>
      </c>
      <c r="N2035" s="6"/>
    </row>
    <row r="2036" spans="1:14">
      <c r="A2036" s="6" t="s">
        <v>3477</v>
      </c>
      <c r="B2036" s="7">
        <v>46101</v>
      </c>
      <c r="C2036" s="6" t="s">
        <v>3478</v>
      </c>
      <c r="D2036" s="6" t="str">
        <f>IF(OR(PROPER(TRIM(Raw_Data!D2036))="Uk",PROPER(TRIM(Raw_Data!D2036))="Gb",PROPER(TRIM(Raw_Data!D2036))="United kingdom"),"United Kingdom",PROPER(TRIM(Raw_Data!D2036)))</f>
        <v>Ireland</v>
      </c>
      <c r="E2036" s="6" t="s">
        <v>28</v>
      </c>
      <c r="F2036" s="6" t="s">
        <v>38</v>
      </c>
      <c r="G2036" s="6" t="str">
        <f>SUBSTITUTE(Raw_Data!G2036,"Ã©","é")</f>
        <v>Café Latte Mug</v>
      </c>
      <c r="H2036" s="6">
        <v>1</v>
      </c>
      <c r="I2036" s="6" t="s">
        <v>113</v>
      </c>
      <c r="J2036" s="6" t="s">
        <v>113</v>
      </c>
      <c r="K2036" s="6">
        <v>0.52</v>
      </c>
      <c r="L2036" s="6" t="s">
        <v>42</v>
      </c>
      <c r="M2036" s="6" t="s">
        <v>34</v>
      </c>
      <c r="N2036" s="6"/>
    </row>
    <row r="2037" spans="1:14">
      <c r="A2037" s="6" t="s">
        <v>3479</v>
      </c>
      <c r="B2037" s="7">
        <v>46067</v>
      </c>
      <c r="C2037" s="6" t="s">
        <v>274</v>
      </c>
      <c r="D2037" s="6" t="str">
        <f>IF(OR(PROPER(TRIM(Raw_Data!D2037))="Uk",PROPER(TRIM(Raw_Data!D2037))="Gb",PROPER(TRIM(Raw_Data!D2037))="United kingdom"),"United Kingdom",PROPER(TRIM(Raw_Data!D2037)))</f>
        <v>United Kingdom</v>
      </c>
      <c r="E2037" s="6" t="s">
        <v>52</v>
      </c>
      <c r="F2037" s="6" t="s">
        <v>38</v>
      </c>
      <c r="G2037" s="6" t="str">
        <f>SUBSTITUTE(Raw_Data!G2037,"Ã©","é")</f>
        <v>Merino Base Layer</v>
      </c>
      <c r="H2037" s="6">
        <v>1</v>
      </c>
      <c r="I2037" s="6" t="s">
        <v>143</v>
      </c>
      <c r="J2037" s="6" t="s">
        <v>143</v>
      </c>
      <c r="K2037" s="6">
        <v>0.52</v>
      </c>
      <c r="L2037" s="6" t="s">
        <v>42</v>
      </c>
      <c r="M2037" s="6" t="s">
        <v>34</v>
      </c>
      <c r="N2037" s="6"/>
    </row>
    <row r="2038" spans="1:14">
      <c r="A2038" s="6" t="s">
        <v>3480</v>
      </c>
      <c r="B2038" s="7">
        <v>46123</v>
      </c>
      <c r="C2038" s="6" t="s">
        <v>841</v>
      </c>
      <c r="D2038" s="6" t="str">
        <f>IF(OR(PROPER(TRIM(Raw_Data!D2038))="Uk",PROPER(TRIM(Raw_Data!D2038))="Gb",PROPER(TRIM(Raw_Data!D2038))="United kingdom"),"United Kingdom",PROPER(TRIM(Raw_Data!D2038)))</f>
        <v>United Kingdom</v>
      </c>
      <c r="E2038" s="6" t="s">
        <v>78</v>
      </c>
      <c r="F2038" s="6" t="s">
        <v>58</v>
      </c>
      <c r="G2038" s="6" t="str">
        <f>SUBSTITUTE(Raw_Data!G2038,"Ã©","é")</f>
        <v>Merino Base Layer</v>
      </c>
      <c r="H2038" s="6">
        <v>2</v>
      </c>
      <c r="I2038" s="6" t="s">
        <v>113</v>
      </c>
      <c r="J2038" s="6" t="s">
        <v>192</v>
      </c>
      <c r="K2038" s="6">
        <v>0.38</v>
      </c>
      <c r="L2038" s="6" t="s">
        <v>42</v>
      </c>
      <c r="M2038" s="6" t="s">
        <v>34</v>
      </c>
      <c r="N2038" s="6"/>
    </row>
    <row r="2039" spans="1:14">
      <c r="A2039" s="6" t="s">
        <v>3481</v>
      </c>
      <c r="B2039" s="7">
        <v>46024</v>
      </c>
      <c r="C2039" s="6" t="s">
        <v>225</v>
      </c>
      <c r="D2039" s="6" t="str">
        <f>IF(OR(PROPER(TRIM(Raw_Data!D2039))="Uk",PROPER(TRIM(Raw_Data!D2039))="Gb",PROPER(TRIM(Raw_Data!D2039))="United kingdom"),"United Kingdom",PROPER(TRIM(Raw_Data!D2039)))</f>
        <v>Ireland</v>
      </c>
      <c r="E2039" s="6" t="s">
        <v>46</v>
      </c>
      <c r="F2039" s="6" t="s">
        <v>85</v>
      </c>
      <c r="G2039" s="6" t="str">
        <f>SUBSTITUTE(Raw_Data!G2039,"Ã©","é")</f>
        <v>Fell Runner Cap</v>
      </c>
      <c r="H2039" s="6">
        <v>1</v>
      </c>
      <c r="I2039" s="6" t="s">
        <v>96</v>
      </c>
      <c r="J2039" s="6" t="s">
        <v>96</v>
      </c>
      <c r="K2039" s="6">
        <v>0.41</v>
      </c>
      <c r="L2039" s="6" t="s">
        <v>42</v>
      </c>
      <c r="M2039" s="6" t="s">
        <v>34</v>
      </c>
      <c r="N2039" s="6"/>
    </row>
    <row r="2040" spans="1:14">
      <c r="A2040" s="6" t="s">
        <v>3482</v>
      </c>
      <c r="B2040" s="7">
        <v>46192</v>
      </c>
      <c r="C2040" s="6" t="s">
        <v>777</v>
      </c>
      <c r="D2040" s="6" t="str">
        <f>IF(OR(PROPER(TRIM(Raw_Data!D2040))="Uk",PROPER(TRIM(Raw_Data!D2040))="Gb",PROPER(TRIM(Raw_Data!D2040))="United kingdom"),"United Kingdom",PROPER(TRIM(Raw_Data!D2040)))</f>
        <v>Ireland</v>
      </c>
      <c r="E2040" s="6" t="s">
        <v>78</v>
      </c>
      <c r="F2040" s="6" t="s">
        <v>85</v>
      </c>
      <c r="G2040" s="6" t="str">
        <f>SUBSTITUTE(Raw_Data!G2040,"Ã©","é")</f>
        <v>Alpine Jacket</v>
      </c>
      <c r="H2040" s="6">
        <v>2</v>
      </c>
      <c r="I2040" s="6" t="s">
        <v>265</v>
      </c>
      <c r="J2040" s="6" t="s">
        <v>167</v>
      </c>
      <c r="K2040" s="6">
        <v>0.41</v>
      </c>
      <c r="L2040" s="6" t="s">
        <v>42</v>
      </c>
      <c r="M2040" s="6" t="s">
        <v>34</v>
      </c>
      <c r="N2040" s="6"/>
    </row>
    <row r="2041" spans="1:14">
      <c r="A2041" s="6" t="s">
        <v>3483</v>
      </c>
      <c r="B2041" s="7">
        <v>46053</v>
      </c>
      <c r="C2041" s="6" t="s">
        <v>258</v>
      </c>
      <c r="D2041" s="6" t="str">
        <f>IF(OR(PROPER(TRIM(Raw_Data!D2041))="Uk",PROPER(TRIM(Raw_Data!D2041))="Gb",PROPER(TRIM(Raw_Data!D2041))="United kingdom"),"United Kingdom",PROPER(TRIM(Raw_Data!D2041)))</f>
        <v>Germany</v>
      </c>
      <c r="E2041" s="6" t="s">
        <v>78</v>
      </c>
      <c r="F2041" s="6" t="s">
        <v>58</v>
      </c>
      <c r="G2041" s="6" t="str">
        <f>SUBSTITUTE(Raw_Data!G2041,"Ã©","é")</f>
        <v>Café Latte Mug</v>
      </c>
      <c r="H2041" s="6">
        <v>1</v>
      </c>
      <c r="I2041" s="6" t="s">
        <v>113</v>
      </c>
      <c r="J2041" s="6" t="s">
        <v>113</v>
      </c>
      <c r="K2041" s="6">
        <v>0.38</v>
      </c>
      <c r="L2041" s="6" t="s">
        <v>42</v>
      </c>
      <c r="M2041" s="6" t="s">
        <v>34</v>
      </c>
      <c r="N2041" s="6"/>
    </row>
    <row r="2042" spans="1:14">
      <c r="A2042" s="6" t="s">
        <v>3484</v>
      </c>
      <c r="B2042" s="7">
        <v>46066</v>
      </c>
      <c r="C2042" s="6" t="s">
        <v>1133</v>
      </c>
      <c r="D2042" s="6" t="str">
        <f>IF(OR(PROPER(TRIM(Raw_Data!D2042))="Uk",PROPER(TRIM(Raw_Data!D2042))="Gb",PROPER(TRIM(Raw_Data!D2042))="United kingdom"),"United Kingdom",PROPER(TRIM(Raw_Data!D2042)))</f>
        <v>United Kingdom</v>
      </c>
      <c r="E2042" s="6" t="s">
        <v>28</v>
      </c>
      <c r="F2042" s="6" t="s">
        <v>100</v>
      </c>
      <c r="G2042" s="6" t="str">
        <f>SUBSTITUTE(Raw_Data!G2042,"Ã©","é")</f>
        <v>Trail Softshell</v>
      </c>
      <c r="H2042" s="6">
        <v>2</v>
      </c>
      <c r="I2042" s="6" t="s">
        <v>181</v>
      </c>
      <c r="J2042" s="6" t="s">
        <v>163</v>
      </c>
      <c r="K2042" s="6">
        <v>0.64</v>
      </c>
      <c r="L2042" s="6" t="s">
        <v>42</v>
      </c>
      <c r="M2042" s="6" t="s">
        <v>69</v>
      </c>
      <c r="N2042" s="6"/>
    </row>
    <row r="2043" spans="1:14">
      <c r="A2043" s="6" t="s">
        <v>3485</v>
      </c>
      <c r="B2043" s="7">
        <v>46149</v>
      </c>
      <c r="C2043" s="6" t="s">
        <v>737</v>
      </c>
      <c r="D2043" s="6" t="str">
        <f>IF(OR(PROPER(TRIM(Raw_Data!D2043))="Uk",PROPER(TRIM(Raw_Data!D2043))="Gb",PROPER(TRIM(Raw_Data!D2043))="United kingdom"),"United Kingdom",PROPER(TRIM(Raw_Data!D2043)))</f>
        <v>United Kingdom</v>
      </c>
      <c r="E2043" s="6" t="s">
        <v>37</v>
      </c>
      <c r="F2043" s="6" t="s">
        <v>94</v>
      </c>
      <c r="G2043" s="6" t="str">
        <f>SUBSTITUTE(Raw_Data!G2043,"Ã©","é")</f>
        <v>Trail Softshell</v>
      </c>
      <c r="H2043" s="6">
        <v>1</v>
      </c>
      <c r="I2043" s="6" t="s">
        <v>265</v>
      </c>
      <c r="J2043" s="6" t="s">
        <v>265</v>
      </c>
      <c r="K2043" s="6">
        <v>0.34</v>
      </c>
      <c r="L2043" s="6" t="s">
        <v>42</v>
      </c>
      <c r="M2043" s="6" t="s">
        <v>69</v>
      </c>
      <c r="N2043" s="6"/>
    </row>
    <row r="2044" spans="1:14">
      <c r="A2044" s="6" t="s">
        <v>3486</v>
      </c>
      <c r="B2044" s="7">
        <v>46174</v>
      </c>
      <c r="C2044" s="6" t="s">
        <v>2901</v>
      </c>
      <c r="D2044" s="6" t="str">
        <f>IF(OR(PROPER(TRIM(Raw_Data!D2044))="Uk",PROPER(TRIM(Raw_Data!D2044))="Gb",PROPER(TRIM(Raw_Data!D2044))="United kingdom"),"United Kingdom",PROPER(TRIM(Raw_Data!D2044)))</f>
        <v>United Kingdom</v>
      </c>
      <c r="E2044" s="6" t="s">
        <v>78</v>
      </c>
      <c r="F2044" s="6" t="s">
        <v>47</v>
      </c>
      <c r="G2044" s="6" t="str">
        <f>SUBSTITUTE(Raw_Data!G2044,"Ã©","é")</f>
        <v>Summit Down Gilet</v>
      </c>
      <c r="H2044" s="6">
        <v>2</v>
      </c>
      <c r="I2044" s="6" t="s">
        <v>656</v>
      </c>
      <c r="J2044" s="6" t="s">
        <v>192</v>
      </c>
      <c r="K2044" s="6">
        <v>8.5000000000000006E-2</v>
      </c>
      <c r="L2044" s="6" t="s">
        <v>33</v>
      </c>
      <c r="M2044" s="6" t="s">
        <v>69</v>
      </c>
      <c r="N2044" s="6"/>
    </row>
    <row r="2045" spans="1:14">
      <c r="A2045" s="6" t="s">
        <v>3487</v>
      </c>
      <c r="B2045" s="7">
        <v>46170</v>
      </c>
      <c r="C2045" s="6" t="s">
        <v>3268</v>
      </c>
      <c r="D2045" s="6" t="str">
        <f>IF(OR(PROPER(TRIM(Raw_Data!D2045))="Uk",PROPER(TRIM(Raw_Data!D2045))="Gb",PROPER(TRIM(Raw_Data!D2045))="United kingdom"),"United Kingdom",PROPER(TRIM(Raw_Data!D2045)))</f>
        <v>United Kingdom</v>
      </c>
      <c r="E2045" s="6" t="s">
        <v>28</v>
      </c>
      <c r="F2045" s="6" t="s">
        <v>94</v>
      </c>
      <c r="G2045" s="6" t="str">
        <f>SUBSTITUTE(Raw_Data!G2045,"Ã©","é")</f>
        <v>Trekking Poles</v>
      </c>
      <c r="H2045" s="6">
        <v>3</v>
      </c>
      <c r="I2045" s="6" t="s">
        <v>265</v>
      </c>
      <c r="J2045" s="6" t="s">
        <v>401</v>
      </c>
      <c r="K2045" s="6">
        <v>0.34</v>
      </c>
      <c r="L2045" s="6" t="s">
        <v>42</v>
      </c>
      <c r="M2045" s="6" t="s">
        <v>34</v>
      </c>
      <c r="N2045" s="6"/>
    </row>
    <row r="2046" spans="1:14">
      <c r="A2046" s="6" t="s">
        <v>3488</v>
      </c>
      <c r="B2046" s="7">
        <v>46160</v>
      </c>
      <c r="C2046" s="6" t="s">
        <v>2333</v>
      </c>
      <c r="D2046" s="6" t="str">
        <f>IF(OR(PROPER(TRIM(Raw_Data!D2046))="Uk",PROPER(TRIM(Raw_Data!D2046))="Gb",PROPER(TRIM(Raw_Data!D2046))="United kingdom"),"United Kingdom",PROPER(TRIM(Raw_Data!D2046)))</f>
        <v>France</v>
      </c>
      <c r="E2046" s="6" t="s">
        <v>28</v>
      </c>
      <c r="F2046" s="6" t="s">
        <v>38</v>
      </c>
      <c r="G2046" s="6" t="str">
        <f>SUBSTITUTE(Raw_Data!G2046,"Ã©","é")</f>
        <v>Fell Runner Cap</v>
      </c>
      <c r="H2046" s="6">
        <v>1</v>
      </c>
      <c r="I2046" s="6" t="s">
        <v>31</v>
      </c>
      <c r="J2046" s="6" t="s">
        <v>31</v>
      </c>
      <c r="K2046" s="6">
        <v>0.52</v>
      </c>
      <c r="L2046" s="6" t="s">
        <v>42</v>
      </c>
      <c r="M2046" s="6" t="s">
        <v>34</v>
      </c>
      <c r="N2046" s="6"/>
    </row>
    <row r="2047" spans="1:14">
      <c r="A2047" s="6" t="s">
        <v>3489</v>
      </c>
      <c r="B2047" s="7">
        <v>46073</v>
      </c>
      <c r="C2047" s="6" t="s">
        <v>3490</v>
      </c>
      <c r="D2047" s="6" t="str">
        <f>IF(OR(PROPER(TRIM(Raw_Data!D2047))="Uk",PROPER(TRIM(Raw_Data!D2047))="Gb",PROPER(TRIM(Raw_Data!D2047))="United kingdom"),"United Kingdom",PROPER(TRIM(Raw_Data!D2047)))</f>
        <v>United Kingdom</v>
      </c>
      <c r="E2047" s="6" t="s">
        <v>78</v>
      </c>
      <c r="F2047" s="6" t="s">
        <v>38</v>
      </c>
      <c r="G2047" s="6" t="str">
        <f>SUBSTITUTE(Raw_Data!G2047,"Ã©","é")</f>
        <v>Merino Base Layer</v>
      </c>
      <c r="H2047" s="6">
        <v>1</v>
      </c>
      <c r="I2047" s="6" t="s">
        <v>181</v>
      </c>
      <c r="J2047" s="6" t="s">
        <v>181</v>
      </c>
      <c r="K2047" s="6">
        <v>0.52</v>
      </c>
      <c r="L2047" s="6" t="s">
        <v>42</v>
      </c>
      <c r="M2047" s="6" t="s">
        <v>34</v>
      </c>
      <c r="N2047" s="6"/>
    </row>
    <row r="2048" spans="1:14">
      <c r="A2048" s="6" t="s">
        <v>3491</v>
      </c>
      <c r="B2048" s="7">
        <v>46056</v>
      </c>
      <c r="C2048" s="6" t="s">
        <v>1497</v>
      </c>
      <c r="D2048" s="6" t="str">
        <f>IF(OR(PROPER(TRIM(Raw_Data!D2048))="Uk",PROPER(TRIM(Raw_Data!D2048))="Gb",PROPER(TRIM(Raw_Data!D2048))="United kingdom"),"United Kingdom",PROPER(TRIM(Raw_Data!D2048)))</f>
        <v>United Kingdom</v>
      </c>
      <c r="E2048" s="6" t="s">
        <v>46</v>
      </c>
      <c r="F2048" s="6" t="s">
        <v>53</v>
      </c>
      <c r="G2048" s="6" t="str">
        <f>SUBSTITUTE(Raw_Data!G2048,"Ã©","é")</f>
        <v>Fell Runner Cap</v>
      </c>
      <c r="H2048" s="6">
        <v>2</v>
      </c>
      <c r="I2048" s="6" t="s">
        <v>31</v>
      </c>
      <c r="J2048" s="6" t="s">
        <v>249</v>
      </c>
      <c r="K2048" s="6">
        <v>0.19</v>
      </c>
      <c r="L2048" s="6" t="s">
        <v>42</v>
      </c>
      <c r="M2048" s="6" t="s">
        <v>69</v>
      </c>
      <c r="N2048" s="6"/>
    </row>
    <row r="2049" spans="1:14">
      <c r="A2049" s="6" t="s">
        <v>3492</v>
      </c>
      <c r="B2049" s="7">
        <v>46195</v>
      </c>
      <c r="C2049" s="6" t="s">
        <v>1161</v>
      </c>
      <c r="D2049" s="6" t="str">
        <f>IF(OR(PROPER(TRIM(Raw_Data!D2049))="Uk",PROPER(TRIM(Raw_Data!D2049))="Gb",PROPER(TRIM(Raw_Data!D2049))="United kingdom"),"United Kingdom",PROPER(TRIM(Raw_Data!D2049)))</f>
        <v>United Kingdom</v>
      </c>
      <c r="E2049" s="6" t="s">
        <v>52</v>
      </c>
      <c r="F2049" s="6" t="s">
        <v>85</v>
      </c>
      <c r="G2049" s="6" t="str">
        <f>SUBSTITUTE(Raw_Data!G2049,"Ã©","é")</f>
        <v>Fell Runner Cap</v>
      </c>
      <c r="H2049" s="6">
        <v>3</v>
      </c>
      <c r="I2049" s="6" t="s">
        <v>113</v>
      </c>
      <c r="J2049" s="6" t="s">
        <v>138</v>
      </c>
      <c r="K2049" s="6">
        <v>0.41</v>
      </c>
      <c r="L2049" s="6" t="s">
        <v>42</v>
      </c>
      <c r="M2049" s="6" t="s">
        <v>34</v>
      </c>
      <c r="N2049" s="6"/>
    </row>
    <row r="2050" spans="1:14">
      <c r="A2050" s="6" t="s">
        <v>3493</v>
      </c>
      <c r="B2050" s="7">
        <v>46024</v>
      </c>
      <c r="C2050" s="6" t="s">
        <v>3494</v>
      </c>
      <c r="D2050" s="6" t="str">
        <f>IF(OR(PROPER(TRIM(Raw_Data!D2050))="Uk",PROPER(TRIM(Raw_Data!D2050))="Gb",PROPER(TRIM(Raw_Data!D2050))="United kingdom"),"United Kingdom",PROPER(TRIM(Raw_Data!D2050)))</f>
        <v>United Kingdom</v>
      </c>
      <c r="E2050" s="6" t="s">
        <v>46</v>
      </c>
      <c r="F2050" s="6" t="s">
        <v>53</v>
      </c>
      <c r="G2050" s="6" t="str">
        <f>SUBSTITUTE(Raw_Data!G2050,"Ã©","é")</f>
        <v>Trail Softshell</v>
      </c>
      <c r="H2050" s="6">
        <v>1</v>
      </c>
      <c r="I2050" s="6" t="s">
        <v>79</v>
      </c>
      <c r="J2050" s="6" t="s">
        <v>79</v>
      </c>
      <c r="K2050" s="6">
        <v>0.19</v>
      </c>
      <c r="L2050" s="6" t="s">
        <v>33</v>
      </c>
      <c r="M2050" s="6" t="s">
        <v>34</v>
      </c>
      <c r="N2050" s="6"/>
    </row>
    <row r="2051" spans="1:14">
      <c r="A2051" s="6" t="s">
        <v>3495</v>
      </c>
      <c r="B2051" s="7">
        <v>46162</v>
      </c>
      <c r="C2051" s="6" t="s">
        <v>3496</v>
      </c>
      <c r="D2051" s="6" t="str">
        <f>IF(OR(PROPER(TRIM(Raw_Data!D2051))="Uk",PROPER(TRIM(Raw_Data!D2051))="Gb",PROPER(TRIM(Raw_Data!D2051))="United kingdom"),"United Kingdom",PROPER(TRIM(Raw_Data!D2051)))</f>
        <v>United Kingdom</v>
      </c>
      <c r="E2051" s="6" t="s">
        <v>52</v>
      </c>
      <c r="F2051" s="6" t="s">
        <v>58</v>
      </c>
      <c r="G2051" s="6" t="str">
        <f>SUBSTITUTE(Raw_Data!G2051,"Ã©","é")</f>
        <v>Summit Down Gilet</v>
      </c>
      <c r="H2051" s="6">
        <v>-1</v>
      </c>
      <c r="I2051" s="6" t="s">
        <v>79</v>
      </c>
      <c r="J2051" s="8" t="s">
        <v>1737</v>
      </c>
      <c r="K2051" s="6">
        <v>0.38</v>
      </c>
      <c r="L2051" s="6" t="s">
        <v>42</v>
      </c>
      <c r="M2051" s="6" t="s">
        <v>34</v>
      </c>
      <c r="N2051" s="6"/>
    </row>
    <row r="2052" spans="1:14">
      <c r="A2052" s="6" t="s">
        <v>3497</v>
      </c>
      <c r="B2052" s="7">
        <v>46042</v>
      </c>
      <c r="C2052" s="6" t="s">
        <v>970</v>
      </c>
      <c r="D2052" s="6" t="str">
        <f>IF(OR(PROPER(TRIM(Raw_Data!D2052))="Uk",PROPER(TRIM(Raw_Data!D2052))="Gb",PROPER(TRIM(Raw_Data!D2052))="United kingdom"),"United Kingdom",PROPER(TRIM(Raw_Data!D2052)))</f>
        <v>Ireland</v>
      </c>
      <c r="E2052" s="6" t="s">
        <v>46</v>
      </c>
      <c r="F2052" s="6" t="s">
        <v>58</v>
      </c>
      <c r="G2052" s="6" t="str">
        <f>SUBSTITUTE(Raw_Data!G2052,"Ã©","é")</f>
        <v>Fell Runner Cap</v>
      </c>
      <c r="H2052" s="6">
        <v>1</v>
      </c>
      <c r="I2052" s="6" t="s">
        <v>40</v>
      </c>
      <c r="J2052" s="6" t="s">
        <v>40</v>
      </c>
      <c r="K2052" s="6">
        <v>0.38</v>
      </c>
      <c r="L2052" s="6" t="s">
        <v>42</v>
      </c>
      <c r="M2052" s="6" t="s">
        <v>34</v>
      </c>
      <c r="N2052" s="6"/>
    </row>
    <row r="2053" spans="1:14">
      <c r="A2053" s="6" t="s">
        <v>3498</v>
      </c>
      <c r="B2053" s="7">
        <v>46094</v>
      </c>
      <c r="C2053" s="6" t="s">
        <v>532</v>
      </c>
      <c r="D2053" s="6" t="str">
        <f>IF(OR(PROPER(TRIM(Raw_Data!D2053))="Uk",PROPER(TRIM(Raw_Data!D2053))="Gb",PROPER(TRIM(Raw_Data!D2053))="United kingdom"),"United Kingdom",PROPER(TRIM(Raw_Data!D2053)))</f>
        <v>Ireland</v>
      </c>
      <c r="E2053" s="6" t="s">
        <v>78</v>
      </c>
      <c r="F2053" s="6" t="s">
        <v>38</v>
      </c>
      <c r="G2053" s="6" t="str">
        <f>SUBSTITUTE(Raw_Data!G2053,"Ã©","é")</f>
        <v>Trail Softshell</v>
      </c>
      <c r="H2053" s="6">
        <v>3</v>
      </c>
      <c r="I2053" s="6" t="s">
        <v>60</v>
      </c>
      <c r="J2053" s="6" t="s">
        <v>268</v>
      </c>
      <c r="K2053" s="6">
        <v>0.52</v>
      </c>
      <c r="L2053" s="6" t="s">
        <v>33</v>
      </c>
      <c r="M2053" s="6" t="s">
        <v>34</v>
      </c>
      <c r="N2053" s="6"/>
    </row>
    <row r="2054" spans="1:14">
      <c r="A2054" s="6" t="s">
        <v>3499</v>
      </c>
      <c r="B2054" s="7">
        <v>46053</v>
      </c>
      <c r="C2054" s="6" t="s">
        <v>2035</v>
      </c>
      <c r="D2054" s="6" t="str">
        <f>IF(OR(PROPER(TRIM(Raw_Data!D2054))="Uk",PROPER(TRIM(Raw_Data!D2054))="Gb",PROPER(TRIM(Raw_Data!D2054))="United kingdom"),"United Kingdom",PROPER(TRIM(Raw_Data!D2054)))</f>
        <v>United Kingdom</v>
      </c>
      <c r="E2054" s="6" t="s">
        <v>52</v>
      </c>
      <c r="F2054" s="6" t="s">
        <v>85</v>
      </c>
      <c r="G2054" s="6" t="str">
        <f>SUBSTITUTE(Raw_Data!G2054,"Ã©","é")</f>
        <v>Merino Base Layer</v>
      </c>
      <c r="H2054" s="6">
        <v>2</v>
      </c>
      <c r="I2054" s="6" t="s">
        <v>90</v>
      </c>
      <c r="J2054" s="6" t="s">
        <v>154</v>
      </c>
      <c r="K2054" s="6">
        <v>0.41</v>
      </c>
      <c r="L2054" s="6" t="s">
        <v>42</v>
      </c>
      <c r="M2054" s="6" t="s">
        <v>69</v>
      </c>
      <c r="N2054" s="6"/>
    </row>
    <row r="2055" spans="1:14">
      <c r="A2055" s="6" t="s">
        <v>3500</v>
      </c>
      <c r="B2055" s="7">
        <v>46041</v>
      </c>
      <c r="C2055" s="6" t="s">
        <v>454</v>
      </c>
      <c r="D2055" s="6" t="str">
        <f>IF(OR(PROPER(TRIM(Raw_Data!D2055))="Uk",PROPER(TRIM(Raw_Data!D2055))="Gb",PROPER(TRIM(Raw_Data!D2055))="United kingdom"),"United Kingdom",PROPER(TRIM(Raw_Data!D2055)))</f>
        <v>United Kingdom</v>
      </c>
      <c r="E2055" s="6" t="s">
        <v>37</v>
      </c>
      <c r="F2055" s="6" t="s">
        <v>58</v>
      </c>
      <c r="G2055" s="6" t="str">
        <f>SUBSTITUTE(Raw_Data!G2055,"Ã©","é")</f>
        <v>Merino Base Layer</v>
      </c>
      <c r="H2055" s="6">
        <v>1</v>
      </c>
      <c r="I2055" s="6" t="s">
        <v>143</v>
      </c>
      <c r="J2055" s="6" t="s">
        <v>143</v>
      </c>
      <c r="K2055" s="6">
        <v>0.38</v>
      </c>
      <c r="L2055" s="6" t="s">
        <v>42</v>
      </c>
      <c r="M2055" s="6" t="s">
        <v>34</v>
      </c>
      <c r="N2055" s="6"/>
    </row>
    <row r="2056" spans="1:14">
      <c r="A2056" s="6" t="s">
        <v>3501</v>
      </c>
      <c r="B2056" s="7">
        <v>46136</v>
      </c>
      <c r="C2056" s="6" t="s">
        <v>513</v>
      </c>
      <c r="D2056" s="6" t="str">
        <f>IF(OR(PROPER(TRIM(Raw_Data!D2056))="Uk",PROPER(TRIM(Raw_Data!D2056))="Gb",PROPER(TRIM(Raw_Data!D2056))="United kingdom"),"United Kingdom",PROPER(TRIM(Raw_Data!D2056)))</f>
        <v>Germany</v>
      </c>
      <c r="E2056" s="6" t="s">
        <v>52</v>
      </c>
      <c r="F2056" s="6" t="s">
        <v>100</v>
      </c>
      <c r="G2056" s="6" t="str">
        <f>SUBSTITUTE(Raw_Data!G2056,"Ã©","é")</f>
        <v>Fell Runner Cap</v>
      </c>
      <c r="H2056" s="6">
        <v>1</v>
      </c>
      <c r="I2056" s="6" t="s">
        <v>113</v>
      </c>
      <c r="J2056" s="6" t="s">
        <v>113</v>
      </c>
      <c r="K2056" s="6">
        <v>0.64</v>
      </c>
      <c r="L2056" s="6" t="s">
        <v>42</v>
      </c>
      <c r="M2056" s="6" t="s">
        <v>34</v>
      </c>
      <c r="N2056" s="6"/>
    </row>
    <row r="2057" spans="1:14">
      <c r="A2057" s="6" t="s">
        <v>3502</v>
      </c>
      <c r="B2057" s="7">
        <v>46268</v>
      </c>
      <c r="C2057" s="6" t="s">
        <v>2687</v>
      </c>
      <c r="D2057" s="6" t="str">
        <f>IF(OR(PROPER(TRIM(Raw_Data!D2057))="Uk",PROPER(TRIM(Raw_Data!D2057))="Gb",PROPER(TRIM(Raw_Data!D2057))="United kingdom"),"United Kingdom",PROPER(TRIM(Raw_Data!D2057)))</f>
        <v>United Kingdom</v>
      </c>
      <c r="E2057" s="6" t="s">
        <v>37</v>
      </c>
      <c r="F2057" s="6" t="s">
        <v>58</v>
      </c>
      <c r="G2057" s="6" t="str">
        <f>SUBSTITUTE(Raw_Data!G2057,"Ã©","é")</f>
        <v>Fell Runner Cap</v>
      </c>
      <c r="H2057" s="6">
        <v>3</v>
      </c>
      <c r="I2057" s="6" t="s">
        <v>73</v>
      </c>
      <c r="J2057" s="6" t="s">
        <v>499</v>
      </c>
      <c r="K2057" s="6">
        <v>0.38</v>
      </c>
      <c r="L2057" s="6" t="s">
        <v>42</v>
      </c>
      <c r="M2057" s="6" t="s">
        <v>69</v>
      </c>
      <c r="N2057" s="6"/>
    </row>
    <row r="2058" spans="1:14">
      <c r="A2058" s="6" t="s">
        <v>3503</v>
      </c>
      <c r="B2058" s="7">
        <v>46136</v>
      </c>
      <c r="C2058" s="6" t="s">
        <v>2339</v>
      </c>
      <c r="D2058" s="6" t="str">
        <f>IF(OR(PROPER(TRIM(Raw_Data!D2058))="Uk",PROPER(TRIM(Raw_Data!D2058))="Gb",PROPER(TRIM(Raw_Data!D2058))="United kingdom"),"United Kingdom",PROPER(TRIM(Raw_Data!D2058)))</f>
        <v>United Kingdom</v>
      </c>
      <c r="E2058" s="6" t="s">
        <v>28</v>
      </c>
      <c r="F2058" s="6" t="s">
        <v>100</v>
      </c>
      <c r="G2058" s="6" t="str">
        <f>SUBSTITUTE(Raw_Data!G2058,"Ã©","é")</f>
        <v>Trail Softshell</v>
      </c>
      <c r="H2058" s="6">
        <v>1</v>
      </c>
      <c r="I2058" s="6" t="s">
        <v>2666</v>
      </c>
      <c r="J2058" s="6" t="s">
        <v>67</v>
      </c>
      <c r="K2058" s="6">
        <v>0.64</v>
      </c>
      <c r="L2058" s="6" t="s">
        <v>33</v>
      </c>
      <c r="M2058" s="6" t="s">
        <v>34</v>
      </c>
      <c r="N2058" s="6"/>
    </row>
    <row r="2059" spans="1:14">
      <c r="A2059" s="6" t="s">
        <v>3504</v>
      </c>
      <c r="B2059" s="7">
        <v>46362</v>
      </c>
      <c r="C2059" s="6" t="s">
        <v>1087</v>
      </c>
      <c r="D2059" s="6" t="str">
        <f>IF(OR(PROPER(TRIM(Raw_Data!D2059))="Uk",PROPER(TRIM(Raw_Data!D2059))="Gb",PROPER(TRIM(Raw_Data!D2059))="United kingdom"),"United Kingdom",PROPER(TRIM(Raw_Data!D2059)))</f>
        <v>Ireland</v>
      </c>
      <c r="E2059" s="6" t="s">
        <v>37</v>
      </c>
      <c r="F2059" s="6" t="s">
        <v>38</v>
      </c>
      <c r="G2059" s="6" t="str">
        <f>SUBSTITUTE(Raw_Data!G2059,"Ã©","é")</f>
        <v>Trekking Poles</v>
      </c>
      <c r="H2059" s="6">
        <v>2</v>
      </c>
      <c r="I2059" s="6" t="s">
        <v>90</v>
      </c>
      <c r="J2059" s="6" t="s">
        <v>154</v>
      </c>
      <c r="K2059" s="6">
        <v>0.52</v>
      </c>
      <c r="L2059" s="6" t="s">
        <v>42</v>
      </c>
      <c r="M2059" s="6" t="s">
        <v>34</v>
      </c>
      <c r="N2059" s="6"/>
    </row>
    <row r="2060" spans="1:14">
      <c r="A2060" s="6" t="s">
        <v>3505</v>
      </c>
      <c r="B2060" s="7">
        <v>46038</v>
      </c>
      <c r="C2060" s="6" t="s">
        <v>3177</v>
      </c>
      <c r="D2060" s="6" t="str">
        <f>IF(OR(PROPER(TRIM(Raw_Data!D2060))="Uk",PROPER(TRIM(Raw_Data!D2060))="Gb",PROPER(TRIM(Raw_Data!D2060))="United kingdom"),"United Kingdom",PROPER(TRIM(Raw_Data!D2060)))</f>
        <v>France</v>
      </c>
      <c r="E2060" s="6" t="s">
        <v>78</v>
      </c>
      <c r="F2060" s="6" t="s">
        <v>47</v>
      </c>
      <c r="G2060" s="6" t="str">
        <f>SUBSTITUTE(Raw_Data!G2060,"Ã©","é")</f>
        <v>Trail Softshell</v>
      </c>
      <c r="H2060" s="6">
        <v>3</v>
      </c>
      <c r="I2060" s="6" t="s">
        <v>113</v>
      </c>
      <c r="J2060" s="6" t="s">
        <v>138</v>
      </c>
      <c r="K2060" s="6">
        <v>8.5000000000000006E-2</v>
      </c>
      <c r="L2060" s="6" t="s">
        <v>42</v>
      </c>
      <c r="M2060" s="6" t="s">
        <v>69</v>
      </c>
      <c r="N2060" s="6"/>
    </row>
    <row r="2061" spans="1:14">
      <c r="A2061" s="6" t="s">
        <v>3506</v>
      </c>
      <c r="B2061" s="7">
        <v>46358</v>
      </c>
      <c r="C2061" s="6" t="s">
        <v>3507</v>
      </c>
      <c r="D2061" s="6" t="str">
        <f>IF(OR(PROPER(TRIM(Raw_Data!D2061))="Uk",PROPER(TRIM(Raw_Data!D2061))="Gb",PROPER(TRIM(Raw_Data!D2061))="United kingdom"),"United Kingdom",PROPER(TRIM(Raw_Data!D2061)))</f>
        <v>France</v>
      </c>
      <c r="E2061" s="6" t="s">
        <v>28</v>
      </c>
      <c r="F2061" s="6" t="s">
        <v>38</v>
      </c>
      <c r="G2061" s="6" t="str">
        <f>SUBSTITUTE(Raw_Data!G2061,"Ã©","é")</f>
        <v>Trail Softshell</v>
      </c>
      <c r="H2061" s="6">
        <v>1</v>
      </c>
      <c r="I2061" s="6" t="s">
        <v>117</v>
      </c>
      <c r="J2061" s="6" t="s">
        <v>1060</v>
      </c>
      <c r="K2061" s="6">
        <v>0.52</v>
      </c>
      <c r="L2061" s="6" t="s">
        <v>42</v>
      </c>
      <c r="M2061" s="6" t="s">
        <v>34</v>
      </c>
      <c r="N2061" s="6"/>
    </row>
    <row r="2062" spans="1:14">
      <c r="A2062" s="6" t="s">
        <v>3508</v>
      </c>
      <c r="B2062" s="7">
        <v>46116</v>
      </c>
      <c r="C2062" s="6" t="s">
        <v>2231</v>
      </c>
      <c r="D2062" s="6" t="str">
        <f>IF(OR(PROPER(TRIM(Raw_Data!D2062))="Uk",PROPER(TRIM(Raw_Data!D2062))="Gb",PROPER(TRIM(Raw_Data!D2062))="United kingdom"),"United Kingdom",PROPER(TRIM(Raw_Data!D2062)))</f>
        <v>United Kingdom</v>
      </c>
      <c r="E2062" s="6" t="s">
        <v>78</v>
      </c>
      <c r="F2062" s="6" t="s">
        <v>29</v>
      </c>
      <c r="G2062" s="6" t="str">
        <f>SUBSTITUTE(Raw_Data!G2062,"Ã©","é")</f>
        <v>Summit Down Gilet</v>
      </c>
      <c r="H2062" s="6">
        <v>1</v>
      </c>
      <c r="I2062" s="6" t="s">
        <v>67</v>
      </c>
      <c r="J2062" s="6" t="s">
        <v>67</v>
      </c>
      <c r="K2062" s="6">
        <v>0.52</v>
      </c>
      <c r="L2062" s="6" t="s">
        <v>42</v>
      </c>
      <c r="M2062" s="6" t="s">
        <v>34</v>
      </c>
      <c r="N2062" s="6"/>
    </row>
    <row r="2063" spans="1:14">
      <c r="A2063" s="6" t="s">
        <v>3509</v>
      </c>
      <c r="B2063" s="7">
        <v>46149</v>
      </c>
      <c r="C2063" s="6" t="s">
        <v>1396</v>
      </c>
      <c r="D2063" s="6" t="str">
        <f>IF(OR(PROPER(TRIM(Raw_Data!D2063))="Uk",PROPER(TRIM(Raw_Data!D2063))="Gb",PROPER(TRIM(Raw_Data!D2063))="United kingdom"),"United Kingdom",PROPER(TRIM(Raw_Data!D2063)))</f>
        <v>Germany</v>
      </c>
      <c r="E2063" s="6" t="s">
        <v>78</v>
      </c>
      <c r="F2063" s="6" t="s">
        <v>85</v>
      </c>
      <c r="G2063" s="6" t="str">
        <f>SUBSTITUTE(Raw_Data!G2063,"Ã©","é")</f>
        <v>Storm Overtrousers</v>
      </c>
      <c r="H2063" s="6">
        <v>2</v>
      </c>
      <c r="I2063" s="6" t="s">
        <v>619</v>
      </c>
      <c r="J2063" s="6" t="s">
        <v>144</v>
      </c>
      <c r="K2063" s="6">
        <v>0.41</v>
      </c>
      <c r="L2063" s="6" t="s">
        <v>42</v>
      </c>
      <c r="M2063" s="6" t="s">
        <v>34</v>
      </c>
      <c r="N2063" s="6"/>
    </row>
    <row r="2064" spans="1:14">
      <c r="A2064" s="6" t="s">
        <v>3510</v>
      </c>
      <c r="B2064" s="7">
        <v>46026</v>
      </c>
      <c r="C2064" s="6" t="s">
        <v>509</v>
      </c>
      <c r="D2064" s="6" t="str">
        <f>IF(OR(PROPER(TRIM(Raw_Data!D2064))="Uk",PROPER(TRIM(Raw_Data!D2064))="Gb",PROPER(TRIM(Raw_Data!D2064))="United kingdom"),"United Kingdom",PROPER(TRIM(Raw_Data!D2064)))</f>
        <v>United Kingdom</v>
      </c>
      <c r="E2064" s="6" t="s">
        <v>46</v>
      </c>
      <c r="F2064" s="6" t="s">
        <v>85</v>
      </c>
      <c r="G2064" s="6" t="str">
        <f>SUBSTITUTE(Raw_Data!G2064,"Ã©","é")</f>
        <v>Storm Overtrousers</v>
      </c>
      <c r="H2064" s="6">
        <v>1</v>
      </c>
      <c r="I2064" s="6" t="s">
        <v>265</v>
      </c>
      <c r="J2064" s="6" t="s">
        <v>265</v>
      </c>
      <c r="K2064" s="6">
        <v>0.41</v>
      </c>
      <c r="L2064" s="6" t="s">
        <v>42</v>
      </c>
      <c r="M2064" s="6" t="s">
        <v>34</v>
      </c>
      <c r="N2064" s="6"/>
    </row>
    <row r="2065" spans="1:14">
      <c r="A2065" s="6" t="s">
        <v>3511</v>
      </c>
      <c r="B2065" s="7">
        <v>46141</v>
      </c>
      <c r="C2065" s="6" t="s">
        <v>3057</v>
      </c>
      <c r="D2065" s="6" t="str">
        <f>IF(OR(PROPER(TRIM(Raw_Data!D2065))="Uk",PROPER(TRIM(Raw_Data!D2065))="Gb",PROPER(TRIM(Raw_Data!D2065))="United kingdom"),"United Kingdom",PROPER(TRIM(Raw_Data!D2065)))</f>
        <v>Ireland</v>
      </c>
      <c r="E2065" s="6" t="s">
        <v>78</v>
      </c>
      <c r="F2065" s="6" t="s">
        <v>38</v>
      </c>
      <c r="G2065" s="6" t="str">
        <f>SUBSTITUTE(Raw_Data!G2065,"Ã©","é")</f>
        <v>Summit Down Gilet</v>
      </c>
      <c r="H2065" s="6">
        <v>1</v>
      </c>
      <c r="I2065" s="6" t="s">
        <v>31</v>
      </c>
      <c r="J2065" s="6" t="s">
        <v>31</v>
      </c>
      <c r="K2065" s="6">
        <v>0.52</v>
      </c>
      <c r="L2065" s="6" t="s">
        <v>42</v>
      </c>
      <c r="M2065" s="6" t="s">
        <v>34</v>
      </c>
      <c r="N2065" s="6"/>
    </row>
    <row r="2066" spans="1:14">
      <c r="A2066" s="6" t="s">
        <v>3512</v>
      </c>
      <c r="B2066" s="7">
        <v>46266</v>
      </c>
      <c r="C2066" s="6" t="s">
        <v>1719</v>
      </c>
      <c r="D2066" s="6" t="str">
        <f>IF(OR(PROPER(TRIM(Raw_Data!D2066))="Uk",PROPER(TRIM(Raw_Data!D2066))="Gb",PROPER(TRIM(Raw_Data!D2066))="United kingdom"),"United Kingdom",PROPER(TRIM(Raw_Data!D2066)))</f>
        <v>France</v>
      </c>
      <c r="E2066" s="6" t="s">
        <v>46</v>
      </c>
      <c r="F2066" s="6" t="s">
        <v>29</v>
      </c>
      <c r="G2066" s="6" t="str">
        <f>SUBSTITUTE(Raw_Data!G2066,"Ã©","é")</f>
        <v>Alpine Jacket</v>
      </c>
      <c r="H2066" s="6">
        <v>2</v>
      </c>
      <c r="I2066" s="6" t="s">
        <v>660</v>
      </c>
      <c r="J2066" s="6" t="s">
        <v>259</v>
      </c>
      <c r="K2066" s="6">
        <v>0.52</v>
      </c>
      <c r="L2066" s="6" t="s">
        <v>33</v>
      </c>
      <c r="M2066" s="6" t="s">
        <v>34</v>
      </c>
      <c r="N2066" s="6"/>
    </row>
    <row r="2067" spans="1:14">
      <c r="A2067" s="6" t="s">
        <v>3513</v>
      </c>
      <c r="B2067" s="7">
        <v>46100</v>
      </c>
      <c r="C2067" s="6" t="s">
        <v>3514</v>
      </c>
      <c r="D2067" s="6" t="str">
        <f>IF(OR(PROPER(TRIM(Raw_Data!D2067))="Uk",PROPER(TRIM(Raw_Data!D2067))="Gb",PROPER(TRIM(Raw_Data!D2067))="United kingdom"),"United Kingdom",PROPER(TRIM(Raw_Data!D2067)))</f>
        <v>Ireland</v>
      </c>
      <c r="E2067" s="6" t="s">
        <v>37</v>
      </c>
      <c r="F2067" s="6" t="s">
        <v>38</v>
      </c>
      <c r="G2067" s="6" t="str">
        <f>SUBSTITUTE(Raw_Data!G2067,"Ã©","é")</f>
        <v>Café Latte Mug</v>
      </c>
      <c r="H2067" s="6">
        <v>1</v>
      </c>
      <c r="I2067" s="6" t="s">
        <v>67</v>
      </c>
      <c r="J2067" s="6" t="s">
        <v>67</v>
      </c>
      <c r="K2067" s="6">
        <v>0.52</v>
      </c>
      <c r="L2067" s="6" t="s">
        <v>42</v>
      </c>
      <c r="M2067" s="6" t="s">
        <v>34</v>
      </c>
      <c r="N2067" s="6"/>
    </row>
    <row r="2068" spans="1:14">
      <c r="A2068" s="6" t="s">
        <v>3515</v>
      </c>
      <c r="B2068" s="7">
        <v>46040</v>
      </c>
      <c r="C2068" s="6" t="s">
        <v>1104</v>
      </c>
      <c r="D2068" s="6" t="str">
        <f>IF(OR(PROPER(TRIM(Raw_Data!D2068))="Uk",PROPER(TRIM(Raw_Data!D2068))="Gb",PROPER(TRIM(Raw_Data!D2068))="United kingdom"),"United Kingdom",PROPER(TRIM(Raw_Data!D2068)))</f>
        <v>Germany</v>
      </c>
      <c r="E2068" s="6" t="s">
        <v>28</v>
      </c>
      <c r="F2068" s="6" t="s">
        <v>38</v>
      </c>
      <c r="G2068" s="6" t="str">
        <f>SUBSTITUTE(Raw_Data!G2068,"Ã©","é")</f>
        <v>Fell Runner Cap</v>
      </c>
      <c r="H2068" s="6">
        <v>2</v>
      </c>
      <c r="I2068" s="6" t="s">
        <v>79</v>
      </c>
      <c r="J2068" s="6" t="s">
        <v>259</v>
      </c>
      <c r="K2068" s="6">
        <v>0.52</v>
      </c>
      <c r="L2068" s="6" t="s">
        <v>42</v>
      </c>
      <c r="M2068" s="6" t="s">
        <v>34</v>
      </c>
      <c r="N2068" s="6"/>
    </row>
    <row r="2069" spans="1:14">
      <c r="A2069" s="6" t="s">
        <v>3516</v>
      </c>
      <c r="B2069" s="7">
        <v>46174</v>
      </c>
      <c r="C2069" s="6" t="s">
        <v>1081</v>
      </c>
      <c r="D2069" s="6" t="str">
        <f>IF(OR(PROPER(TRIM(Raw_Data!D2069))="Uk",PROPER(TRIM(Raw_Data!D2069))="Gb",PROPER(TRIM(Raw_Data!D2069))="United kingdom"),"United Kingdom",PROPER(TRIM(Raw_Data!D2069)))</f>
        <v>France</v>
      </c>
      <c r="E2069" s="6" t="s">
        <v>78</v>
      </c>
      <c r="F2069" s="6" t="s">
        <v>58</v>
      </c>
      <c r="G2069" s="6" t="str">
        <f>SUBSTITUTE(Raw_Data!G2069,"Ã©","é")</f>
        <v>Café Latte Mug</v>
      </c>
      <c r="H2069" s="6">
        <v>1</v>
      </c>
      <c r="I2069" s="6" t="s">
        <v>90</v>
      </c>
      <c r="J2069" s="6" t="s">
        <v>262</v>
      </c>
      <c r="K2069" s="6">
        <v>0.38</v>
      </c>
      <c r="L2069" s="6" t="s">
        <v>42</v>
      </c>
      <c r="M2069" s="6" t="s">
        <v>69</v>
      </c>
      <c r="N2069" s="6"/>
    </row>
    <row r="2070" spans="1:14">
      <c r="A2070" s="6" t="s">
        <v>3517</v>
      </c>
      <c r="B2070" s="7">
        <v>46094</v>
      </c>
      <c r="C2070" s="6" t="s">
        <v>2901</v>
      </c>
      <c r="D2070" s="6" t="str">
        <f>IF(OR(PROPER(TRIM(Raw_Data!D2070))="Uk",PROPER(TRIM(Raw_Data!D2070))="Gb",PROPER(TRIM(Raw_Data!D2070))="United kingdom"),"United Kingdom",PROPER(TRIM(Raw_Data!D2070)))</f>
        <v>Ireland</v>
      </c>
      <c r="E2070" s="6" t="s">
        <v>52</v>
      </c>
      <c r="F2070" s="6" t="s">
        <v>58</v>
      </c>
      <c r="G2070" s="6" t="str">
        <f>SUBSTITUTE(Raw_Data!G2070,"Ã©","é")</f>
        <v>Trail Softshell</v>
      </c>
      <c r="H2070" s="6">
        <v>1</v>
      </c>
      <c r="I2070" s="6" t="s">
        <v>82</v>
      </c>
      <c r="J2070" s="6" t="s">
        <v>82</v>
      </c>
      <c r="K2070" s="6">
        <v>0.38</v>
      </c>
      <c r="L2070" s="6" t="s">
        <v>42</v>
      </c>
      <c r="M2070" s="6" t="s">
        <v>34</v>
      </c>
      <c r="N2070" s="6"/>
    </row>
    <row r="2071" spans="1:14">
      <c r="A2071" s="6" t="s">
        <v>3518</v>
      </c>
      <c r="B2071" s="7">
        <v>46239</v>
      </c>
      <c r="C2071" s="6" t="s">
        <v>1118</v>
      </c>
      <c r="D2071" s="6" t="str">
        <f>IF(OR(PROPER(TRIM(Raw_Data!D2071))="Uk",PROPER(TRIM(Raw_Data!D2071))="Gb",PROPER(TRIM(Raw_Data!D2071))="United kingdom"),"United Kingdom",PROPER(TRIM(Raw_Data!D2071)))</f>
        <v>Ireland</v>
      </c>
      <c r="E2071" s="6" t="s">
        <v>46</v>
      </c>
      <c r="F2071" s="6" t="s">
        <v>47</v>
      </c>
      <c r="G2071" s="6" t="str">
        <f>SUBSTITUTE(Raw_Data!G2071,"Ã©","é")</f>
        <v>Trail Softshell</v>
      </c>
      <c r="H2071" s="6">
        <v>1</v>
      </c>
      <c r="I2071" s="6" t="s">
        <v>265</v>
      </c>
      <c r="J2071" s="6" t="s">
        <v>265</v>
      </c>
      <c r="K2071" s="6">
        <v>8.5000000000000006E-2</v>
      </c>
      <c r="L2071" s="6" t="s">
        <v>42</v>
      </c>
      <c r="M2071" s="6" t="s">
        <v>34</v>
      </c>
      <c r="N2071" s="6"/>
    </row>
    <row r="2072" spans="1:14">
      <c r="A2072" s="6" t="s">
        <v>3519</v>
      </c>
      <c r="B2072" s="7">
        <v>46113</v>
      </c>
      <c r="C2072" s="6" t="s">
        <v>429</v>
      </c>
      <c r="D2072" s="6" t="str">
        <f>IF(OR(PROPER(TRIM(Raw_Data!D2072))="Uk",PROPER(TRIM(Raw_Data!D2072))="Gb",PROPER(TRIM(Raw_Data!D2072))="United kingdom"),"United Kingdom",PROPER(TRIM(Raw_Data!D2072)))</f>
        <v>United Kingdom</v>
      </c>
      <c r="E2072" s="6" t="s">
        <v>78</v>
      </c>
      <c r="F2072" s="6" t="s">
        <v>38</v>
      </c>
      <c r="G2072" s="6" t="str">
        <f>SUBSTITUTE(Raw_Data!G2072,"Ã©","é")</f>
        <v>Storm Overtrousers</v>
      </c>
      <c r="H2072" s="6">
        <v>1</v>
      </c>
      <c r="I2072" s="6" t="s">
        <v>265</v>
      </c>
      <c r="J2072" s="6" t="s">
        <v>265</v>
      </c>
      <c r="K2072" s="6">
        <v>0.52</v>
      </c>
      <c r="L2072" s="6" t="s">
        <v>42</v>
      </c>
      <c r="M2072" s="6" t="s">
        <v>34</v>
      </c>
      <c r="N2072" s="6"/>
    </row>
    <row r="2073" spans="1:14">
      <c r="A2073" s="6" t="s">
        <v>3520</v>
      </c>
      <c r="B2073" s="7">
        <v>46116</v>
      </c>
      <c r="C2073" s="6" t="s">
        <v>3521</v>
      </c>
      <c r="D2073" s="6" t="str">
        <f>IF(OR(PROPER(TRIM(Raw_Data!D2073))="Uk",PROPER(TRIM(Raw_Data!D2073))="Gb",PROPER(TRIM(Raw_Data!D2073))="United kingdom"),"United Kingdom",PROPER(TRIM(Raw_Data!D2073)))</f>
        <v>United Kingdom</v>
      </c>
      <c r="E2073" s="6" t="s">
        <v>37</v>
      </c>
      <c r="F2073" s="6" t="s">
        <v>100</v>
      </c>
      <c r="G2073" s="6" t="str">
        <f>SUBSTITUTE(Raw_Data!G2073,"Ã©","é")</f>
        <v>Merino Base Layer</v>
      </c>
      <c r="H2073" s="6">
        <v>1</v>
      </c>
      <c r="I2073" s="6" t="s">
        <v>40</v>
      </c>
      <c r="J2073" s="6" t="s">
        <v>40</v>
      </c>
      <c r="K2073" s="6">
        <v>0.64</v>
      </c>
      <c r="L2073" s="6" t="s">
        <v>42</v>
      </c>
      <c r="M2073" s="6" t="s">
        <v>34</v>
      </c>
      <c r="N2073" s="6"/>
    </row>
    <row r="2074" spans="1:14">
      <c r="A2074" s="6" t="s">
        <v>3522</v>
      </c>
      <c r="B2074" s="7">
        <v>46170</v>
      </c>
      <c r="C2074" s="6" t="s">
        <v>264</v>
      </c>
      <c r="D2074" s="6" t="str">
        <f>IF(OR(PROPER(TRIM(Raw_Data!D2074))="Uk",PROPER(TRIM(Raw_Data!D2074))="Gb",PROPER(TRIM(Raw_Data!D2074))="United kingdom"),"United Kingdom",PROPER(TRIM(Raw_Data!D2074)))</f>
        <v>United Kingdom</v>
      </c>
      <c r="E2074" s="6" t="s">
        <v>28</v>
      </c>
      <c r="F2074" s="6" t="s">
        <v>53</v>
      </c>
      <c r="G2074" s="6" t="str">
        <f>SUBSTITUTE(Raw_Data!G2074,"Ã©","é")</f>
        <v>Storm Overtrousers</v>
      </c>
      <c r="H2074" s="6">
        <v>1</v>
      </c>
      <c r="I2074" s="6" t="s">
        <v>60</v>
      </c>
      <c r="J2074" s="6" t="s">
        <v>60</v>
      </c>
      <c r="K2074" s="6">
        <v>0.19</v>
      </c>
      <c r="L2074" s="6" t="s">
        <v>42</v>
      </c>
      <c r="M2074" s="6" t="s">
        <v>34</v>
      </c>
      <c r="N2074" s="6"/>
    </row>
    <row r="2075" spans="1:14">
      <c r="A2075" s="6" t="s">
        <v>3523</v>
      </c>
      <c r="B2075" s="7">
        <v>46331</v>
      </c>
      <c r="C2075" s="6" t="s">
        <v>2074</v>
      </c>
      <c r="D2075" s="6" t="str">
        <f>IF(OR(PROPER(TRIM(Raw_Data!D2075))="Uk",PROPER(TRIM(Raw_Data!D2075))="Gb",PROPER(TRIM(Raw_Data!D2075))="United kingdom"),"United Kingdom",PROPER(TRIM(Raw_Data!D2075)))</f>
        <v>Ireland</v>
      </c>
      <c r="E2075" s="6" t="s">
        <v>52</v>
      </c>
      <c r="F2075" s="6" t="s">
        <v>100</v>
      </c>
      <c r="G2075" s="6" t="str">
        <f>SUBSTITUTE(Raw_Data!G2075,"Ã©","é")</f>
        <v>Merino Base Layer</v>
      </c>
      <c r="H2075" s="6">
        <v>3</v>
      </c>
      <c r="I2075" s="6" t="s">
        <v>60</v>
      </c>
      <c r="J2075" s="6" t="s">
        <v>268</v>
      </c>
      <c r="K2075" s="6">
        <v>0.64</v>
      </c>
      <c r="L2075" s="6" t="s">
        <v>33</v>
      </c>
      <c r="M2075" s="6" t="s">
        <v>34</v>
      </c>
      <c r="N2075" s="6"/>
    </row>
    <row r="2076" spans="1:14">
      <c r="A2076" s="6" t="s">
        <v>3524</v>
      </c>
      <c r="B2076" s="7">
        <v>46173</v>
      </c>
      <c r="C2076" s="6" t="s">
        <v>1800</v>
      </c>
      <c r="D2076" s="6" t="str">
        <f>IF(OR(PROPER(TRIM(Raw_Data!D2076))="Uk",PROPER(TRIM(Raw_Data!D2076))="Gb",PROPER(TRIM(Raw_Data!D2076))="United kingdom"),"United Kingdom",PROPER(TRIM(Raw_Data!D2076)))</f>
        <v>United Kingdom</v>
      </c>
      <c r="E2076" s="6" t="s">
        <v>28</v>
      </c>
      <c r="F2076" s="6" t="s">
        <v>47</v>
      </c>
      <c r="G2076" s="6" t="str">
        <f>SUBSTITUTE(Raw_Data!G2076,"Ã©","é")</f>
        <v>Summit Down Gilet</v>
      </c>
      <c r="H2076" s="6">
        <v>2</v>
      </c>
      <c r="I2076" s="6" t="s">
        <v>79</v>
      </c>
      <c r="J2076" s="6" t="s">
        <v>259</v>
      </c>
      <c r="K2076" s="6">
        <v>8.5000000000000006E-2</v>
      </c>
      <c r="L2076" s="6" t="s">
        <v>42</v>
      </c>
      <c r="M2076" s="6" t="s">
        <v>34</v>
      </c>
      <c r="N2076" s="6"/>
    </row>
    <row r="2077" spans="1:14">
      <c r="A2077" s="6" t="s">
        <v>3525</v>
      </c>
      <c r="B2077" s="7">
        <v>46051</v>
      </c>
      <c r="C2077" s="6" t="s">
        <v>3110</v>
      </c>
      <c r="D2077" s="6" t="str">
        <f>IF(OR(PROPER(TRIM(Raw_Data!D2077))="Uk",PROPER(TRIM(Raw_Data!D2077))="Gb",PROPER(TRIM(Raw_Data!D2077))="United kingdom"),"United Kingdom",PROPER(TRIM(Raw_Data!D2077)))</f>
        <v>United Kingdom</v>
      </c>
      <c r="E2077" s="6" t="s">
        <v>46</v>
      </c>
      <c r="F2077" s="6" t="s">
        <v>29</v>
      </c>
      <c r="G2077" s="6" t="str">
        <f>SUBSTITUTE(Raw_Data!G2077,"Ã©","é")</f>
        <v>Summit Down Gilet</v>
      </c>
      <c r="H2077" s="6">
        <v>3</v>
      </c>
      <c r="I2077" s="6" t="s">
        <v>162</v>
      </c>
      <c r="J2077" s="6" t="s">
        <v>867</v>
      </c>
      <c r="K2077" s="6">
        <v>0.52</v>
      </c>
      <c r="L2077" s="6" t="s">
        <v>42</v>
      </c>
      <c r="M2077" s="6" t="s">
        <v>34</v>
      </c>
      <c r="N2077" s="6"/>
    </row>
    <row r="2078" spans="1:14">
      <c r="A2078" s="6" t="s">
        <v>3526</v>
      </c>
      <c r="B2078" s="7">
        <v>46111</v>
      </c>
      <c r="C2078" s="6" t="s">
        <v>355</v>
      </c>
      <c r="D2078" s="6" t="str">
        <f>IF(OR(PROPER(TRIM(Raw_Data!D2078))="Uk",PROPER(TRIM(Raw_Data!D2078))="Gb",PROPER(TRIM(Raw_Data!D2078))="United kingdom"),"United Kingdom",PROPER(TRIM(Raw_Data!D2078)))</f>
        <v>United Kingdom</v>
      </c>
      <c r="E2078" s="6" t="s">
        <v>28</v>
      </c>
      <c r="F2078" s="6" t="s">
        <v>47</v>
      </c>
      <c r="G2078" s="6" t="str">
        <f>SUBSTITUTE(Raw_Data!G2078,"Ã©","é")</f>
        <v>Trail Softshell</v>
      </c>
      <c r="H2078" s="6">
        <v>1</v>
      </c>
      <c r="I2078" s="6" t="s">
        <v>67</v>
      </c>
      <c r="J2078" s="6" t="s">
        <v>67</v>
      </c>
      <c r="K2078" s="6">
        <v>8.5000000000000006E-2</v>
      </c>
      <c r="L2078" s="6" t="s">
        <v>42</v>
      </c>
      <c r="M2078" s="6" t="s">
        <v>69</v>
      </c>
      <c r="N2078" s="6"/>
    </row>
    <row r="2079" spans="1:14">
      <c r="A2079" s="6" t="s">
        <v>3527</v>
      </c>
      <c r="B2079" s="7">
        <v>46073</v>
      </c>
      <c r="C2079" s="6" t="s">
        <v>3528</v>
      </c>
      <c r="D2079" s="6" t="str">
        <f>IF(OR(PROPER(TRIM(Raw_Data!D2079))="Uk",PROPER(TRIM(Raw_Data!D2079))="Gb",PROPER(TRIM(Raw_Data!D2079))="United kingdom"),"United Kingdom",PROPER(TRIM(Raw_Data!D2079)))</f>
        <v>Ireland</v>
      </c>
      <c r="E2079" s="6" t="s">
        <v>28</v>
      </c>
      <c r="F2079" s="6" t="s">
        <v>94</v>
      </c>
      <c r="G2079" s="6" t="str">
        <f>SUBSTITUTE(Raw_Data!G2079,"Ã©","é")</f>
        <v>Storm Overtrousers</v>
      </c>
      <c r="H2079" s="6">
        <v>2</v>
      </c>
      <c r="I2079" s="6" t="s">
        <v>113</v>
      </c>
      <c r="J2079" s="6" t="s">
        <v>192</v>
      </c>
      <c r="K2079" s="6">
        <v>0.34</v>
      </c>
      <c r="L2079" s="6" t="s">
        <v>42</v>
      </c>
      <c r="M2079" s="6" t="s">
        <v>34</v>
      </c>
      <c r="N2079" s="6"/>
    </row>
    <row r="2080" spans="1:14">
      <c r="A2080" s="6" t="s">
        <v>3529</v>
      </c>
      <c r="B2080" s="7">
        <v>46195</v>
      </c>
      <c r="C2080" s="6" t="s">
        <v>466</v>
      </c>
      <c r="D2080" s="6" t="str">
        <f>IF(OR(PROPER(TRIM(Raw_Data!D2080))="Uk",PROPER(TRIM(Raw_Data!D2080))="Gb",PROPER(TRIM(Raw_Data!D2080))="United kingdom"),"United Kingdom",PROPER(TRIM(Raw_Data!D2080)))</f>
        <v>Germany</v>
      </c>
      <c r="E2080" s="6" t="s">
        <v>28</v>
      </c>
      <c r="F2080" s="6" t="s">
        <v>58</v>
      </c>
      <c r="G2080" s="6" t="str">
        <f>SUBSTITUTE(Raw_Data!G2080,"Ã©","é")</f>
        <v>Summit Down Gilet</v>
      </c>
      <c r="H2080" s="6">
        <v>3</v>
      </c>
      <c r="I2080" s="6" t="s">
        <v>31</v>
      </c>
      <c r="J2080" s="6" t="s">
        <v>337</v>
      </c>
      <c r="K2080" s="6">
        <v>0.38</v>
      </c>
      <c r="L2080" s="6" t="s">
        <v>33</v>
      </c>
      <c r="M2080" s="6" t="s">
        <v>69</v>
      </c>
      <c r="N2080" s="6"/>
    </row>
    <row r="2081" spans="1:14">
      <c r="A2081" s="6" t="s">
        <v>3530</v>
      </c>
      <c r="B2081" s="7">
        <v>46042</v>
      </c>
      <c r="C2081" s="6" t="s">
        <v>2994</v>
      </c>
      <c r="D2081" s="6" t="str">
        <f>IF(OR(PROPER(TRIM(Raw_Data!D2081))="Uk",PROPER(TRIM(Raw_Data!D2081))="Gb",PROPER(TRIM(Raw_Data!D2081))="United kingdom"),"United Kingdom",PROPER(TRIM(Raw_Data!D2081)))</f>
        <v>United Kingdom</v>
      </c>
      <c r="E2081" s="6" t="s">
        <v>37</v>
      </c>
      <c r="F2081" s="6" t="s">
        <v>85</v>
      </c>
      <c r="G2081" s="6" t="str">
        <f>SUBSTITUTE(Raw_Data!G2081,"Ã©","é")</f>
        <v>Alpine Jacket</v>
      </c>
      <c r="H2081" s="6">
        <v>2</v>
      </c>
      <c r="I2081" s="6" t="s">
        <v>660</v>
      </c>
      <c r="J2081" s="6" t="s">
        <v>259</v>
      </c>
      <c r="K2081" s="6">
        <v>0.41</v>
      </c>
      <c r="L2081" s="6" t="s">
        <v>42</v>
      </c>
      <c r="M2081" s="6" t="s">
        <v>34</v>
      </c>
      <c r="N2081" s="6"/>
    </row>
    <row r="2082" spans="1:14">
      <c r="A2082" s="6" t="s">
        <v>3531</v>
      </c>
      <c r="B2082" s="7">
        <v>46051</v>
      </c>
      <c r="C2082" s="6" t="s">
        <v>331</v>
      </c>
      <c r="D2082" s="6" t="str">
        <f>IF(OR(PROPER(TRIM(Raw_Data!D2082))="Uk",PROPER(TRIM(Raw_Data!D2082))="Gb",PROPER(TRIM(Raw_Data!D2082))="United kingdom"),"United Kingdom",PROPER(TRIM(Raw_Data!D2082)))</f>
        <v>France</v>
      </c>
      <c r="E2082" s="6" t="s">
        <v>46</v>
      </c>
      <c r="F2082" s="6" t="s">
        <v>100</v>
      </c>
      <c r="G2082" s="6" t="str">
        <f>SUBSTITUTE(Raw_Data!G2082,"Ã©","é")</f>
        <v>Summit Down Gilet</v>
      </c>
      <c r="H2082" s="6">
        <v>1</v>
      </c>
      <c r="I2082" s="6" t="s">
        <v>181</v>
      </c>
      <c r="J2082" s="6" t="s">
        <v>181</v>
      </c>
      <c r="K2082" s="6">
        <v>0.64</v>
      </c>
      <c r="L2082" s="6" t="s">
        <v>42</v>
      </c>
      <c r="M2082" s="6" t="s">
        <v>69</v>
      </c>
      <c r="N2082" s="6"/>
    </row>
    <row r="2083" spans="1:14">
      <c r="A2083" s="6" t="s">
        <v>3532</v>
      </c>
      <c r="B2083" s="7">
        <v>46027</v>
      </c>
      <c r="C2083" s="6" t="s">
        <v>3110</v>
      </c>
      <c r="D2083" s="6" t="str">
        <f>IF(OR(PROPER(TRIM(Raw_Data!D2083))="Uk",PROPER(TRIM(Raw_Data!D2083))="Gb",PROPER(TRIM(Raw_Data!D2083))="United kingdom"),"United Kingdom",PROPER(TRIM(Raw_Data!D2083)))</f>
        <v>United Kingdom</v>
      </c>
      <c r="E2083" s="6" t="s">
        <v>52</v>
      </c>
      <c r="F2083" s="6" t="s">
        <v>94</v>
      </c>
      <c r="G2083" s="6" t="str">
        <f>SUBSTITUTE(Raw_Data!G2083,"Ã©","é")</f>
        <v>Alpine Jacket</v>
      </c>
      <c r="H2083" s="6">
        <v>2</v>
      </c>
      <c r="I2083" s="6" t="s">
        <v>67</v>
      </c>
      <c r="J2083" s="6" t="s">
        <v>204</v>
      </c>
      <c r="K2083" s="6">
        <v>0.34</v>
      </c>
      <c r="L2083" s="6" t="s">
        <v>33</v>
      </c>
      <c r="M2083" s="6" t="s">
        <v>34</v>
      </c>
      <c r="N2083" s="6"/>
    </row>
    <row r="2084" spans="1:14">
      <c r="A2084" s="6" t="s">
        <v>3533</v>
      </c>
      <c r="B2084" s="7">
        <v>46028</v>
      </c>
      <c r="C2084" s="6" t="s">
        <v>1594</v>
      </c>
      <c r="D2084" s="6" t="str">
        <f>IF(OR(PROPER(TRIM(Raw_Data!D2084))="Uk",PROPER(TRIM(Raw_Data!D2084))="Gb",PROPER(TRIM(Raw_Data!D2084))="United kingdom"),"United Kingdom",PROPER(TRIM(Raw_Data!D2084)))</f>
        <v>United Kingdom</v>
      </c>
      <c r="E2084" s="6" t="s">
        <v>28</v>
      </c>
      <c r="F2084" s="6" t="s">
        <v>100</v>
      </c>
      <c r="G2084" s="6" t="str">
        <f>SUBSTITUTE(Raw_Data!G2084,"Ã©","é")</f>
        <v>Trail Softshell</v>
      </c>
      <c r="H2084" s="6">
        <v>1</v>
      </c>
      <c r="I2084" s="6" t="s">
        <v>113</v>
      </c>
      <c r="J2084" s="6" t="s">
        <v>113</v>
      </c>
      <c r="K2084" s="6">
        <v>0.64</v>
      </c>
      <c r="L2084" s="6" t="s">
        <v>42</v>
      </c>
      <c r="M2084" s="6" t="s">
        <v>69</v>
      </c>
      <c r="N2084" s="6"/>
    </row>
    <row r="2085" spans="1:14">
      <c r="A2085" s="6" t="s">
        <v>3534</v>
      </c>
      <c r="B2085" s="7">
        <v>46204</v>
      </c>
      <c r="C2085" s="6" t="s">
        <v>1513</v>
      </c>
      <c r="D2085" s="6" t="str">
        <f>IF(OR(PROPER(TRIM(Raw_Data!D2085))="Uk",PROPER(TRIM(Raw_Data!D2085))="Gb",PROPER(TRIM(Raw_Data!D2085))="United kingdom"),"United Kingdom",PROPER(TRIM(Raw_Data!D2085)))</f>
        <v>France</v>
      </c>
      <c r="E2085" s="6" t="s">
        <v>78</v>
      </c>
      <c r="F2085" s="6" t="s">
        <v>53</v>
      </c>
      <c r="G2085" s="6" t="str">
        <f>SUBSTITUTE(Raw_Data!G2085,"Ã©","é")</f>
        <v>Fell Runner Cap</v>
      </c>
      <c r="H2085" s="6">
        <v>1</v>
      </c>
      <c r="I2085" s="6" t="s">
        <v>181</v>
      </c>
      <c r="J2085" s="6" t="s">
        <v>181</v>
      </c>
      <c r="K2085" s="6">
        <v>0.19</v>
      </c>
      <c r="L2085" s="6" t="s">
        <v>42</v>
      </c>
      <c r="M2085" s="6" t="s">
        <v>34</v>
      </c>
      <c r="N2085" s="6"/>
    </row>
    <row r="2086" spans="1:14">
      <c r="A2086" s="6" t="s">
        <v>3535</v>
      </c>
      <c r="B2086" s="7">
        <v>46060</v>
      </c>
      <c r="C2086" s="6" t="s">
        <v>184</v>
      </c>
      <c r="D2086" s="6" t="str">
        <f>IF(OR(PROPER(TRIM(Raw_Data!D2086))="Uk",PROPER(TRIM(Raw_Data!D2086))="Gb",PROPER(TRIM(Raw_Data!D2086))="United kingdom"),"United Kingdom",PROPER(TRIM(Raw_Data!D2086)))</f>
        <v>United Kingdom</v>
      </c>
      <c r="E2086" s="6" t="s">
        <v>78</v>
      </c>
      <c r="F2086" s="6" t="s">
        <v>53</v>
      </c>
      <c r="G2086" s="6" t="str">
        <f>SUBSTITUTE(Raw_Data!G2086,"Ã©","é")</f>
        <v>Trail Softshell</v>
      </c>
      <c r="H2086" s="6">
        <v>2</v>
      </c>
      <c r="I2086" s="6" t="s">
        <v>79</v>
      </c>
      <c r="J2086" s="6" t="s">
        <v>259</v>
      </c>
      <c r="K2086" s="6">
        <v>0.19</v>
      </c>
      <c r="L2086" s="6" t="s">
        <v>42</v>
      </c>
      <c r="M2086" s="6" t="s">
        <v>34</v>
      </c>
      <c r="N2086" s="6"/>
    </row>
    <row r="2087" spans="1:14">
      <c r="A2087" s="6" t="s">
        <v>3536</v>
      </c>
      <c r="B2087" s="7">
        <v>46079</v>
      </c>
      <c r="C2087" s="6" t="s">
        <v>363</v>
      </c>
      <c r="D2087" s="6" t="str">
        <f>IF(OR(PROPER(TRIM(Raw_Data!D2087))="Uk",PROPER(TRIM(Raw_Data!D2087))="Gb",PROPER(TRIM(Raw_Data!D2087))="United kingdom"),"United Kingdom",PROPER(TRIM(Raw_Data!D2087)))</f>
        <v>Germany</v>
      </c>
      <c r="E2087" s="6" t="s">
        <v>28</v>
      </c>
      <c r="F2087" s="6" t="s">
        <v>58</v>
      </c>
      <c r="G2087" s="6" t="str">
        <f>SUBSTITUTE(Raw_Data!G2087,"Ã©","é")</f>
        <v>Trekking Poles</v>
      </c>
      <c r="H2087" s="6">
        <v>1</v>
      </c>
      <c r="I2087" s="6" t="s">
        <v>656</v>
      </c>
      <c r="J2087" s="6" t="s">
        <v>113</v>
      </c>
      <c r="K2087" s="6">
        <v>0.38</v>
      </c>
      <c r="L2087" s="6" t="s">
        <v>42</v>
      </c>
      <c r="M2087" s="6" t="s">
        <v>34</v>
      </c>
      <c r="N2087" s="6"/>
    </row>
    <row r="2088" spans="1:14">
      <c r="A2088" s="6" t="s">
        <v>3537</v>
      </c>
      <c r="B2088" s="7">
        <v>46057</v>
      </c>
      <c r="C2088" s="6" t="s">
        <v>2536</v>
      </c>
      <c r="D2088" s="6" t="str">
        <f>IF(OR(PROPER(TRIM(Raw_Data!D2088))="Uk",PROPER(TRIM(Raw_Data!D2088))="Gb",PROPER(TRIM(Raw_Data!D2088))="United kingdom"),"United Kingdom",PROPER(TRIM(Raw_Data!D2088)))</f>
        <v>United Kingdom</v>
      </c>
      <c r="E2088" s="6" t="s">
        <v>46</v>
      </c>
      <c r="F2088" s="6" t="s">
        <v>85</v>
      </c>
      <c r="G2088" s="6" t="str">
        <f>SUBSTITUTE(Raw_Data!G2088,"Ã©","é")</f>
        <v>Storm Overtrousers</v>
      </c>
      <c r="H2088" s="6">
        <v>1</v>
      </c>
      <c r="I2088" s="6" t="s">
        <v>60</v>
      </c>
      <c r="J2088" s="6" t="s">
        <v>60</v>
      </c>
      <c r="K2088" s="6">
        <v>0.41</v>
      </c>
      <c r="L2088" s="6" t="s">
        <v>42</v>
      </c>
      <c r="M2088" s="6" t="s">
        <v>34</v>
      </c>
      <c r="N2088" s="6"/>
    </row>
    <row r="2089" spans="1:14">
      <c r="A2089" s="6" t="s">
        <v>3538</v>
      </c>
      <c r="B2089" s="7">
        <v>46085</v>
      </c>
      <c r="C2089" s="6" t="s">
        <v>256</v>
      </c>
      <c r="D2089" s="6" t="str">
        <f>IF(OR(PROPER(TRIM(Raw_Data!D2089))="Uk",PROPER(TRIM(Raw_Data!D2089))="Gb",PROPER(TRIM(Raw_Data!D2089))="United kingdom"),"United Kingdom",PROPER(TRIM(Raw_Data!D2089)))</f>
        <v>United Kingdom</v>
      </c>
      <c r="E2089" s="6" t="s">
        <v>78</v>
      </c>
      <c r="F2089" s="6" t="s">
        <v>58</v>
      </c>
      <c r="G2089" s="6" t="str">
        <f>SUBSTITUTE(Raw_Data!G2089,"Ã©","é")</f>
        <v>Storm Overtrousers</v>
      </c>
      <c r="H2089" s="6">
        <v>2</v>
      </c>
      <c r="I2089" s="6" t="s">
        <v>143</v>
      </c>
      <c r="J2089" s="6" t="s">
        <v>144</v>
      </c>
      <c r="K2089" s="6">
        <v>0.38</v>
      </c>
      <c r="L2089" s="6" t="s">
        <v>42</v>
      </c>
      <c r="M2089" s="6" t="s">
        <v>34</v>
      </c>
      <c r="N2089" s="6"/>
    </row>
    <row r="2090" spans="1:14">
      <c r="A2090" s="6" t="s">
        <v>3539</v>
      </c>
      <c r="B2090" s="7">
        <v>46070</v>
      </c>
      <c r="C2090" s="6" t="s">
        <v>1788</v>
      </c>
      <c r="D2090" s="6" t="str">
        <f>IF(OR(PROPER(TRIM(Raw_Data!D2090))="Uk",PROPER(TRIM(Raw_Data!D2090))="Gb",PROPER(TRIM(Raw_Data!D2090))="United kingdom"),"United Kingdom",PROPER(TRIM(Raw_Data!D2090)))</f>
        <v>France</v>
      </c>
      <c r="E2090" s="6" t="s">
        <v>52</v>
      </c>
      <c r="F2090" s="6" t="s">
        <v>29</v>
      </c>
      <c r="G2090" s="6" t="str">
        <f>SUBSTITUTE(Raw_Data!G2090,"Ã©","é")</f>
        <v>Trail Softshell</v>
      </c>
      <c r="H2090" s="6">
        <v>1</v>
      </c>
      <c r="I2090" s="6" t="s">
        <v>143</v>
      </c>
      <c r="J2090" s="6" t="s">
        <v>143</v>
      </c>
      <c r="K2090" s="6">
        <v>0.52</v>
      </c>
      <c r="L2090" s="6" t="s">
        <v>42</v>
      </c>
      <c r="M2090" s="6" t="s">
        <v>69</v>
      </c>
      <c r="N2090" s="6"/>
    </row>
    <row r="2091" spans="1:14">
      <c r="A2091" s="6" t="s">
        <v>3540</v>
      </c>
      <c r="B2091" s="7">
        <v>46113</v>
      </c>
      <c r="C2091" s="6" t="s">
        <v>2357</v>
      </c>
      <c r="D2091" s="6" t="str">
        <f>IF(OR(PROPER(TRIM(Raw_Data!D2091))="Uk",PROPER(TRIM(Raw_Data!D2091))="Gb",PROPER(TRIM(Raw_Data!D2091))="United kingdom"),"United Kingdom",PROPER(TRIM(Raw_Data!D2091)))</f>
        <v>United Kingdom</v>
      </c>
      <c r="E2091" s="6" t="s">
        <v>37</v>
      </c>
      <c r="F2091" s="6" t="s">
        <v>38</v>
      </c>
      <c r="G2091" s="6" t="str">
        <f>SUBSTITUTE(Raw_Data!G2091,"Ã©","é")</f>
        <v>Trekking Poles</v>
      </c>
      <c r="H2091" s="6">
        <v>1</v>
      </c>
      <c r="I2091" s="6" t="s">
        <v>82</v>
      </c>
      <c r="J2091" s="6" t="s">
        <v>82</v>
      </c>
      <c r="K2091" s="6">
        <v>0.52</v>
      </c>
      <c r="L2091" s="6" t="s">
        <v>33</v>
      </c>
      <c r="M2091" s="6" t="s">
        <v>34</v>
      </c>
      <c r="N2091" s="6"/>
    </row>
    <row r="2092" spans="1:14">
      <c r="A2092" s="6" t="s">
        <v>3541</v>
      </c>
      <c r="B2092" s="7">
        <v>46104</v>
      </c>
      <c r="C2092" s="6" t="s">
        <v>1879</v>
      </c>
      <c r="D2092" s="6" t="str">
        <f>IF(OR(PROPER(TRIM(Raw_Data!D2092))="Uk",PROPER(TRIM(Raw_Data!D2092))="Gb",PROPER(TRIM(Raw_Data!D2092))="United kingdom"),"United Kingdom",PROPER(TRIM(Raw_Data!D2092)))</f>
        <v>United Kingdom</v>
      </c>
      <c r="E2092" s="6" t="s">
        <v>28</v>
      </c>
      <c r="F2092" s="6" t="s">
        <v>53</v>
      </c>
      <c r="G2092" s="6" t="str">
        <f>SUBSTITUTE(Raw_Data!G2092,"Ã©","é")</f>
        <v>Trail Softshell</v>
      </c>
      <c r="H2092" s="6">
        <v>1</v>
      </c>
      <c r="I2092" s="6" t="s">
        <v>143</v>
      </c>
      <c r="J2092" s="6" t="s">
        <v>143</v>
      </c>
      <c r="K2092" s="6">
        <v>0.19</v>
      </c>
      <c r="L2092" s="6" t="s">
        <v>33</v>
      </c>
      <c r="M2092" s="6" t="s">
        <v>69</v>
      </c>
      <c r="N2092" s="6"/>
    </row>
    <row r="2093" spans="1:14">
      <c r="A2093" s="6" t="s">
        <v>3542</v>
      </c>
      <c r="B2093" s="7">
        <v>46058</v>
      </c>
      <c r="C2093" s="6" t="s">
        <v>3543</v>
      </c>
      <c r="D2093" s="6" t="str">
        <f>IF(OR(PROPER(TRIM(Raw_Data!D2093))="Uk",PROPER(TRIM(Raw_Data!D2093))="Gb",PROPER(TRIM(Raw_Data!D2093))="United kingdom"),"United Kingdom",PROPER(TRIM(Raw_Data!D2093)))</f>
        <v>Ireland</v>
      </c>
      <c r="E2093" s="6" t="s">
        <v>52</v>
      </c>
      <c r="F2093" s="6" t="s">
        <v>53</v>
      </c>
      <c r="G2093" s="6" t="str">
        <f>SUBSTITUTE(Raw_Data!G2093,"Ã©","é")</f>
        <v>Trail Softshell</v>
      </c>
      <c r="H2093" s="6">
        <v>1</v>
      </c>
      <c r="I2093" s="6" t="s">
        <v>143</v>
      </c>
      <c r="J2093" s="6" t="s">
        <v>143</v>
      </c>
      <c r="K2093" s="6">
        <v>0.19</v>
      </c>
      <c r="L2093" s="6" t="s">
        <v>42</v>
      </c>
      <c r="M2093" s="6" t="s">
        <v>34</v>
      </c>
      <c r="N2093" s="6"/>
    </row>
    <row r="2094" spans="1:14">
      <c r="A2094" s="6" t="s">
        <v>3544</v>
      </c>
      <c r="B2094" s="7">
        <v>46098</v>
      </c>
      <c r="C2094" s="6" t="s">
        <v>1360</v>
      </c>
      <c r="D2094" s="6" t="str">
        <f>IF(OR(PROPER(TRIM(Raw_Data!D2094))="Uk",PROPER(TRIM(Raw_Data!D2094))="Gb",PROPER(TRIM(Raw_Data!D2094))="United kingdom"),"United Kingdom",PROPER(TRIM(Raw_Data!D2094)))</f>
        <v>United Kingdom</v>
      </c>
      <c r="E2094" s="6" t="s">
        <v>46</v>
      </c>
      <c r="F2094" s="6" t="s">
        <v>29</v>
      </c>
      <c r="G2094" s="6" t="str">
        <f>SUBSTITUTE(Raw_Data!G2094,"Ã©","é")</f>
        <v>Summit Down Gilet</v>
      </c>
      <c r="H2094" s="6">
        <v>2</v>
      </c>
      <c r="I2094" s="6" t="s">
        <v>113</v>
      </c>
      <c r="J2094" s="6" t="s">
        <v>192</v>
      </c>
      <c r="K2094" s="6">
        <v>0.52</v>
      </c>
      <c r="L2094" s="6" t="s">
        <v>33</v>
      </c>
      <c r="M2094" s="6" t="s">
        <v>69</v>
      </c>
      <c r="N2094" s="6"/>
    </row>
    <row r="2095" spans="1:14">
      <c r="A2095" s="6" t="s">
        <v>3545</v>
      </c>
      <c r="B2095" s="7">
        <v>46297</v>
      </c>
      <c r="C2095" s="6" t="s">
        <v>1513</v>
      </c>
      <c r="D2095" s="6" t="str">
        <f>IF(OR(PROPER(TRIM(Raw_Data!D2095))="Uk",PROPER(TRIM(Raw_Data!D2095))="Gb",PROPER(TRIM(Raw_Data!D2095))="United kingdom"),"United Kingdom",PROPER(TRIM(Raw_Data!D2095)))</f>
        <v>United Kingdom</v>
      </c>
      <c r="E2095" s="6" t="s">
        <v>46</v>
      </c>
      <c r="F2095" s="6" t="s">
        <v>94</v>
      </c>
      <c r="G2095" s="6" t="str">
        <f>SUBSTITUTE(Raw_Data!G2095,"Ã©","é")</f>
        <v>Summit Down Gilet</v>
      </c>
      <c r="H2095" s="6">
        <v>2</v>
      </c>
      <c r="I2095" s="6" t="s">
        <v>147</v>
      </c>
      <c r="J2095" s="6" t="s">
        <v>175</v>
      </c>
      <c r="K2095" s="6">
        <v>0.34</v>
      </c>
      <c r="L2095" s="6" t="s">
        <v>33</v>
      </c>
      <c r="M2095" s="6" t="s">
        <v>34</v>
      </c>
      <c r="N2095" s="6"/>
    </row>
    <row r="2096" spans="1:14">
      <c r="A2096" s="6" t="s">
        <v>3546</v>
      </c>
      <c r="B2096" s="7">
        <v>46114</v>
      </c>
      <c r="C2096" s="6" t="s">
        <v>2391</v>
      </c>
      <c r="D2096" s="6" t="str">
        <f>IF(OR(PROPER(TRIM(Raw_Data!D2096))="Uk",PROPER(TRIM(Raw_Data!D2096))="Gb",PROPER(TRIM(Raw_Data!D2096))="United kingdom"),"United Kingdom",PROPER(TRIM(Raw_Data!D2096)))</f>
        <v>United Kingdom</v>
      </c>
      <c r="E2096" s="6" t="s">
        <v>37</v>
      </c>
      <c r="F2096" s="6" t="s">
        <v>58</v>
      </c>
      <c r="G2096" s="6" t="str">
        <f>SUBSTITUTE(Raw_Data!G2096,"Ã©","é")</f>
        <v>Fell Runner Cap</v>
      </c>
      <c r="H2096" s="6">
        <v>1</v>
      </c>
      <c r="I2096" s="6" t="s">
        <v>113</v>
      </c>
      <c r="J2096" s="6" t="s">
        <v>113</v>
      </c>
      <c r="K2096" s="6">
        <v>0.38</v>
      </c>
      <c r="L2096" s="6" t="s">
        <v>42</v>
      </c>
      <c r="M2096" s="6" t="s">
        <v>34</v>
      </c>
      <c r="N2096" s="6"/>
    </row>
    <row r="2097" spans="1:14">
      <c r="A2097" s="6" t="s">
        <v>3547</v>
      </c>
      <c r="B2097" s="7">
        <v>46043</v>
      </c>
      <c r="C2097" s="6" t="s">
        <v>294</v>
      </c>
      <c r="D2097" s="6" t="str">
        <f>IF(OR(PROPER(TRIM(Raw_Data!D2097))="Uk",PROPER(TRIM(Raw_Data!D2097))="Gb",PROPER(TRIM(Raw_Data!D2097))="United kingdom"),"United Kingdom",PROPER(TRIM(Raw_Data!D2097)))</f>
        <v>United Kingdom</v>
      </c>
      <c r="E2097" s="6" t="s">
        <v>28</v>
      </c>
      <c r="F2097" s="6" t="s">
        <v>29</v>
      </c>
      <c r="G2097" s="6" t="str">
        <f>SUBSTITUTE(Raw_Data!G2097,"Ã©","é")</f>
        <v>Trail Softshell</v>
      </c>
      <c r="H2097" s="6">
        <v>2</v>
      </c>
      <c r="I2097" s="6" t="s">
        <v>143</v>
      </c>
      <c r="J2097" s="6" t="s">
        <v>144</v>
      </c>
      <c r="K2097" s="6">
        <v>0.52</v>
      </c>
      <c r="L2097" s="6" t="s">
        <v>33</v>
      </c>
      <c r="M2097" s="6" t="s">
        <v>34</v>
      </c>
      <c r="N2097" s="6"/>
    </row>
    <row r="2098" spans="1:14">
      <c r="A2098" s="6" t="s">
        <v>3548</v>
      </c>
      <c r="B2098" s="7">
        <v>46270</v>
      </c>
      <c r="C2098" s="6" t="s">
        <v>3549</v>
      </c>
      <c r="D2098" s="6" t="str">
        <f>IF(OR(PROPER(TRIM(Raw_Data!D2098))="Uk",PROPER(TRIM(Raw_Data!D2098))="Gb",PROPER(TRIM(Raw_Data!D2098))="United kingdom"),"United Kingdom",PROPER(TRIM(Raw_Data!D2098)))</f>
        <v>Ireland</v>
      </c>
      <c r="E2098" s="6" t="s">
        <v>78</v>
      </c>
      <c r="F2098" s="6" t="s">
        <v>58</v>
      </c>
      <c r="G2098" s="6" t="str">
        <f>SUBSTITUTE(Raw_Data!G2098,"Ã©","é")</f>
        <v>Alpine Jacket</v>
      </c>
      <c r="H2098" s="6">
        <v>1</v>
      </c>
      <c r="I2098" s="6" t="s">
        <v>60</v>
      </c>
      <c r="J2098" s="6" t="s">
        <v>60</v>
      </c>
      <c r="K2098" s="6">
        <v>0.38</v>
      </c>
      <c r="L2098" s="6" t="s">
        <v>42</v>
      </c>
      <c r="M2098" s="6" t="s">
        <v>69</v>
      </c>
      <c r="N2098" s="6"/>
    </row>
    <row r="2099" spans="1:14">
      <c r="A2099" s="6" t="s">
        <v>3550</v>
      </c>
      <c r="B2099" s="7">
        <v>46097</v>
      </c>
      <c r="C2099" s="6" t="s">
        <v>454</v>
      </c>
      <c r="D2099" s="6" t="str">
        <f>IF(OR(PROPER(TRIM(Raw_Data!D2099))="Uk",PROPER(TRIM(Raw_Data!D2099))="Gb",PROPER(TRIM(Raw_Data!D2099))="United kingdom"),"United Kingdom",PROPER(TRIM(Raw_Data!D2099)))</f>
        <v>France</v>
      </c>
      <c r="E2099" s="6" t="s">
        <v>37</v>
      </c>
      <c r="F2099" s="6" t="s">
        <v>47</v>
      </c>
      <c r="G2099" s="6" t="str">
        <f>SUBSTITUTE(Raw_Data!G2099,"Ã©","é")</f>
        <v>Merino Base Layer</v>
      </c>
      <c r="H2099" s="6">
        <v>-1</v>
      </c>
      <c r="I2099" s="6" t="s">
        <v>181</v>
      </c>
      <c r="J2099" s="8" t="s">
        <v>314</v>
      </c>
      <c r="K2099" s="6">
        <v>8.5000000000000006E-2</v>
      </c>
      <c r="L2099" s="6" t="s">
        <v>42</v>
      </c>
      <c r="M2099" s="6" t="s">
        <v>34</v>
      </c>
      <c r="N2099" s="6"/>
    </row>
    <row r="2100" spans="1:14">
      <c r="A2100" s="6" t="s">
        <v>3551</v>
      </c>
      <c r="B2100" s="7">
        <v>46049</v>
      </c>
      <c r="C2100" s="6" t="s">
        <v>3281</v>
      </c>
      <c r="D2100" s="6" t="str">
        <f>IF(OR(PROPER(TRIM(Raw_Data!D2100))="Uk",PROPER(TRIM(Raw_Data!D2100))="Gb",PROPER(TRIM(Raw_Data!D2100))="United kingdom"),"United Kingdom",PROPER(TRIM(Raw_Data!D2100)))</f>
        <v>United Kingdom</v>
      </c>
      <c r="E2100" s="6" t="s">
        <v>52</v>
      </c>
      <c r="F2100" s="6" t="s">
        <v>58</v>
      </c>
      <c r="G2100" s="6" t="str">
        <f>SUBSTITUTE(Raw_Data!G2100,"Ã©","é")</f>
        <v>Alpine Jacket</v>
      </c>
      <c r="H2100" s="6">
        <v>2</v>
      </c>
      <c r="I2100" s="6" t="s">
        <v>82</v>
      </c>
      <c r="J2100" s="6" t="s">
        <v>297</v>
      </c>
      <c r="K2100" s="6">
        <v>0.38</v>
      </c>
      <c r="L2100" s="6" t="s">
        <v>33</v>
      </c>
      <c r="M2100" s="6" t="s">
        <v>69</v>
      </c>
      <c r="N2100" s="6"/>
    </row>
    <row r="2101" spans="1:14">
      <c r="A2101" s="6" t="s">
        <v>3552</v>
      </c>
      <c r="B2101" s="7">
        <v>46189</v>
      </c>
      <c r="C2101" s="6" t="s">
        <v>3553</v>
      </c>
      <c r="D2101" s="6" t="str">
        <f>IF(OR(PROPER(TRIM(Raw_Data!D2101))="Uk",PROPER(TRIM(Raw_Data!D2101))="Gb",PROPER(TRIM(Raw_Data!D2101))="United kingdom"),"United Kingdom",PROPER(TRIM(Raw_Data!D2101)))</f>
        <v>United Kingdom</v>
      </c>
      <c r="E2101" s="6" t="s">
        <v>28</v>
      </c>
      <c r="F2101" s="6" t="s">
        <v>85</v>
      </c>
      <c r="G2101" s="6" t="str">
        <f>SUBSTITUTE(Raw_Data!G2101,"Ã©","é")</f>
        <v>Fell Runner Cap</v>
      </c>
      <c r="H2101" s="6">
        <v>1</v>
      </c>
      <c r="I2101" s="6" t="s">
        <v>181</v>
      </c>
      <c r="J2101" s="6" t="s">
        <v>181</v>
      </c>
      <c r="K2101" s="6">
        <v>0.41</v>
      </c>
      <c r="L2101" s="6" t="s">
        <v>42</v>
      </c>
      <c r="M2101" s="6" t="s">
        <v>34</v>
      </c>
      <c r="N2101" s="6"/>
    </row>
    <row r="2102" spans="1:14">
      <c r="A2102" s="6" t="s">
        <v>3554</v>
      </c>
      <c r="B2102" s="7">
        <v>46029</v>
      </c>
      <c r="C2102" s="6" t="s">
        <v>2475</v>
      </c>
      <c r="D2102" s="6" t="str">
        <f>IF(OR(PROPER(TRIM(Raw_Data!D2102))="Uk",PROPER(TRIM(Raw_Data!D2102))="Gb",PROPER(TRIM(Raw_Data!D2102))="United kingdom"),"United Kingdom",PROPER(TRIM(Raw_Data!D2102)))</f>
        <v>Ireland</v>
      </c>
      <c r="E2102" s="6" t="s">
        <v>37</v>
      </c>
      <c r="F2102" s="6" t="s">
        <v>29</v>
      </c>
      <c r="G2102" s="6" t="str">
        <f>SUBSTITUTE(Raw_Data!G2102,"Ã©","é")</f>
        <v>Trekking Poles</v>
      </c>
      <c r="H2102" s="6">
        <v>1</v>
      </c>
      <c r="I2102" s="6" t="s">
        <v>31</v>
      </c>
      <c r="J2102" s="6" t="s">
        <v>31</v>
      </c>
      <c r="K2102" s="6">
        <v>0.52</v>
      </c>
      <c r="L2102" s="6" t="s">
        <v>42</v>
      </c>
      <c r="M2102" s="6" t="s">
        <v>34</v>
      </c>
      <c r="N2102" s="6"/>
    </row>
    <row r="2103" spans="1:14">
      <c r="A2103" s="6" t="s">
        <v>3555</v>
      </c>
      <c r="B2103" s="7">
        <v>46117</v>
      </c>
      <c r="C2103" s="6" t="s">
        <v>2534</v>
      </c>
      <c r="D2103" s="6" t="str">
        <f>IF(OR(PROPER(TRIM(Raw_Data!D2103))="Uk",PROPER(TRIM(Raw_Data!D2103))="Gb",PROPER(TRIM(Raw_Data!D2103))="United kingdom"),"United Kingdom",PROPER(TRIM(Raw_Data!D2103)))</f>
        <v>Ireland</v>
      </c>
      <c r="E2103" s="6" t="s">
        <v>78</v>
      </c>
      <c r="F2103" s="6" t="s">
        <v>100</v>
      </c>
      <c r="G2103" s="6" t="str">
        <f>SUBSTITUTE(Raw_Data!G2103,"Ã©","é")</f>
        <v>Fell Runner Cap</v>
      </c>
      <c r="H2103" s="6">
        <v>1</v>
      </c>
      <c r="I2103" s="6" t="s">
        <v>31</v>
      </c>
      <c r="J2103" s="6" t="s">
        <v>31</v>
      </c>
      <c r="K2103" s="6">
        <v>0.64</v>
      </c>
      <c r="L2103" s="6" t="s">
        <v>33</v>
      </c>
      <c r="M2103" s="6" t="s">
        <v>34</v>
      </c>
      <c r="N2103" s="6"/>
    </row>
    <row r="2104" spans="1:14">
      <c r="A2104" s="6" t="s">
        <v>3556</v>
      </c>
      <c r="B2104" s="7">
        <v>46074</v>
      </c>
      <c r="C2104" s="6" t="s">
        <v>3557</v>
      </c>
      <c r="D2104" s="6" t="str">
        <f>IF(OR(PROPER(TRIM(Raw_Data!D2104))="Uk",PROPER(TRIM(Raw_Data!D2104))="Gb",PROPER(TRIM(Raw_Data!D2104))="United kingdom"),"United Kingdom",PROPER(TRIM(Raw_Data!D2104)))</f>
        <v>United Kingdom</v>
      </c>
      <c r="E2104" s="6" t="s">
        <v>28</v>
      </c>
      <c r="F2104" s="6" t="s">
        <v>29</v>
      </c>
      <c r="G2104" s="6" t="str">
        <f>SUBSTITUTE(Raw_Data!G2104,"Ã©","é")</f>
        <v>Café Latte Mug</v>
      </c>
      <c r="H2104" s="6">
        <v>2</v>
      </c>
      <c r="I2104" s="6" t="s">
        <v>147</v>
      </c>
      <c r="J2104" s="6" t="s">
        <v>175</v>
      </c>
      <c r="K2104" s="6">
        <v>0.52</v>
      </c>
      <c r="L2104" s="6" t="s">
        <v>42</v>
      </c>
      <c r="M2104" s="6" t="s">
        <v>34</v>
      </c>
      <c r="N2104" s="6"/>
    </row>
    <row r="2105" spans="1:14">
      <c r="A2105" s="6" t="s">
        <v>3558</v>
      </c>
      <c r="B2105" s="7">
        <v>46118</v>
      </c>
      <c r="C2105" s="6" t="s">
        <v>610</v>
      </c>
      <c r="D2105" s="6" t="str">
        <f>IF(OR(PROPER(TRIM(Raw_Data!D2105))="Uk",PROPER(TRIM(Raw_Data!D2105))="Gb",PROPER(TRIM(Raw_Data!D2105))="United kingdom"),"United Kingdom",PROPER(TRIM(Raw_Data!D2105)))</f>
        <v>United Kingdom</v>
      </c>
      <c r="E2105" s="6" t="s">
        <v>28</v>
      </c>
      <c r="F2105" s="6" t="s">
        <v>47</v>
      </c>
      <c r="G2105" s="6" t="str">
        <f>SUBSTITUTE(Raw_Data!G2105,"Ã©","é")</f>
        <v>Summit Down Gilet</v>
      </c>
      <c r="H2105" s="6">
        <v>2</v>
      </c>
      <c r="I2105" s="6" t="s">
        <v>181</v>
      </c>
      <c r="J2105" s="6" t="s">
        <v>163</v>
      </c>
      <c r="K2105" s="6">
        <v>8.5000000000000006E-2</v>
      </c>
      <c r="L2105" s="6" t="s">
        <v>42</v>
      </c>
      <c r="M2105" s="6" t="s">
        <v>34</v>
      </c>
      <c r="N2105" s="6"/>
    </row>
    <row r="2106" spans="1:14">
      <c r="A2106" s="6" t="s">
        <v>3559</v>
      </c>
      <c r="B2106" s="7">
        <v>46070</v>
      </c>
      <c r="C2106" s="6" t="s">
        <v>66</v>
      </c>
      <c r="D2106" s="6" t="str">
        <f>IF(OR(PROPER(TRIM(Raw_Data!D2106))="Uk",PROPER(TRIM(Raw_Data!D2106))="Gb",PROPER(TRIM(Raw_Data!D2106))="United kingdom"),"United Kingdom",PROPER(TRIM(Raw_Data!D2106)))</f>
        <v>Germany</v>
      </c>
      <c r="E2106" s="6" t="s">
        <v>37</v>
      </c>
      <c r="F2106" s="6" t="s">
        <v>58</v>
      </c>
      <c r="G2106" s="6" t="str">
        <f>SUBSTITUTE(Raw_Data!G2106,"Ã©","é")</f>
        <v>Storm Overtrousers</v>
      </c>
      <c r="H2106" s="6">
        <v>1</v>
      </c>
      <c r="I2106" s="6" t="s">
        <v>117</v>
      </c>
      <c r="J2106" s="6" t="s">
        <v>117</v>
      </c>
      <c r="K2106" s="6">
        <v>0.38</v>
      </c>
      <c r="L2106" s="6" t="s">
        <v>42</v>
      </c>
      <c r="M2106" s="6" t="s">
        <v>34</v>
      </c>
      <c r="N2106" s="6"/>
    </row>
    <row r="2107" spans="1:14">
      <c r="A2107" s="6" t="s">
        <v>3560</v>
      </c>
      <c r="B2107" s="7">
        <v>46142</v>
      </c>
      <c r="C2107" s="6" t="s">
        <v>901</v>
      </c>
      <c r="D2107" s="6" t="str">
        <f>IF(OR(PROPER(TRIM(Raw_Data!D2107))="Uk",PROPER(TRIM(Raw_Data!D2107))="Gb",PROPER(TRIM(Raw_Data!D2107))="United kingdom"),"United Kingdom",PROPER(TRIM(Raw_Data!D2107)))</f>
        <v>Germany</v>
      </c>
      <c r="E2107" s="6" t="s">
        <v>78</v>
      </c>
      <c r="F2107" s="6" t="s">
        <v>53</v>
      </c>
      <c r="G2107" s="6" t="str">
        <f>SUBSTITUTE(Raw_Data!G2107,"Ã©","é")</f>
        <v>Alpine Jacket</v>
      </c>
      <c r="H2107" s="6">
        <v>2</v>
      </c>
      <c r="I2107" s="6" t="s">
        <v>265</v>
      </c>
      <c r="J2107" s="6" t="s">
        <v>636</v>
      </c>
      <c r="K2107" s="6">
        <v>0.19</v>
      </c>
      <c r="L2107" s="6" t="s">
        <v>42</v>
      </c>
      <c r="M2107" s="6" t="s">
        <v>34</v>
      </c>
      <c r="N2107" s="6"/>
    </row>
    <row r="2108" spans="1:14">
      <c r="A2108" s="6" t="s">
        <v>3561</v>
      </c>
      <c r="B2108" s="7">
        <v>46142</v>
      </c>
      <c r="C2108" s="6" t="s">
        <v>881</v>
      </c>
      <c r="D2108" s="6" t="str">
        <f>IF(OR(PROPER(TRIM(Raw_Data!D2108))="Uk",PROPER(TRIM(Raw_Data!D2108))="Gb",PROPER(TRIM(Raw_Data!D2108))="United kingdom"),"United Kingdom",PROPER(TRIM(Raw_Data!D2108)))</f>
        <v>Ireland</v>
      </c>
      <c r="E2108" s="6" t="s">
        <v>52</v>
      </c>
      <c r="F2108" s="6" t="s">
        <v>29</v>
      </c>
      <c r="G2108" s="6" t="str">
        <f>SUBSTITUTE(Raw_Data!G2108,"Ã©","é")</f>
        <v>Café Latte Mug</v>
      </c>
      <c r="H2108" s="6">
        <v>1</v>
      </c>
      <c r="I2108" s="6" t="s">
        <v>82</v>
      </c>
      <c r="J2108" s="6" t="s">
        <v>82</v>
      </c>
      <c r="K2108" s="6">
        <v>0.52</v>
      </c>
      <c r="L2108" s="6" t="s">
        <v>42</v>
      </c>
      <c r="M2108" s="6" t="s">
        <v>34</v>
      </c>
      <c r="N2108" s="6"/>
    </row>
    <row r="2109" spans="1:14">
      <c r="A2109" s="6" t="s">
        <v>3562</v>
      </c>
      <c r="B2109" s="7">
        <v>46361</v>
      </c>
      <c r="C2109" s="6" t="s">
        <v>1083</v>
      </c>
      <c r="D2109" s="6" t="str">
        <f>IF(OR(PROPER(TRIM(Raw_Data!D2109))="Uk",PROPER(TRIM(Raw_Data!D2109))="Gb",PROPER(TRIM(Raw_Data!D2109))="United kingdom"),"United Kingdom",PROPER(TRIM(Raw_Data!D2109)))</f>
        <v>Ireland</v>
      </c>
      <c r="E2109" s="6" t="s">
        <v>37</v>
      </c>
      <c r="F2109" s="6" t="s">
        <v>29</v>
      </c>
      <c r="G2109" s="6" t="str">
        <f>SUBSTITUTE(Raw_Data!G2109,"Ã©","é")</f>
        <v>Alpine Jacket</v>
      </c>
      <c r="H2109" s="6">
        <v>3</v>
      </c>
      <c r="I2109" s="6" t="s">
        <v>231</v>
      </c>
      <c r="J2109" s="6" t="s">
        <v>505</v>
      </c>
      <c r="K2109" s="6">
        <v>0.52</v>
      </c>
      <c r="L2109" s="6" t="s">
        <v>42</v>
      </c>
      <c r="M2109" s="6" t="s">
        <v>34</v>
      </c>
      <c r="N2109" s="6"/>
    </row>
    <row r="2110" spans="1:14">
      <c r="A2110" s="6" t="s">
        <v>3563</v>
      </c>
      <c r="B2110" s="7">
        <v>46268</v>
      </c>
      <c r="C2110" s="6" t="s">
        <v>977</v>
      </c>
      <c r="D2110" s="6" t="str">
        <f>IF(OR(PROPER(TRIM(Raw_Data!D2110))="Uk",PROPER(TRIM(Raw_Data!D2110))="Gb",PROPER(TRIM(Raw_Data!D2110))="United kingdom"),"United Kingdom",PROPER(TRIM(Raw_Data!D2110)))</f>
        <v>United Kingdom</v>
      </c>
      <c r="E2110" s="6" t="s">
        <v>46</v>
      </c>
      <c r="F2110" s="6" t="s">
        <v>53</v>
      </c>
      <c r="G2110" s="6" t="str">
        <f>SUBSTITUTE(Raw_Data!G2110,"Ã©","é")</f>
        <v>Merino Base Layer</v>
      </c>
      <c r="H2110" s="6">
        <v>3</v>
      </c>
      <c r="I2110" s="6" t="s">
        <v>265</v>
      </c>
      <c r="J2110" s="6" t="s">
        <v>401</v>
      </c>
      <c r="K2110" s="6">
        <v>0.19</v>
      </c>
      <c r="L2110" s="6" t="s">
        <v>42</v>
      </c>
      <c r="M2110" s="6" t="s">
        <v>69</v>
      </c>
      <c r="N2110" s="6"/>
    </row>
    <row r="2111" spans="1:14">
      <c r="A2111" s="6" t="s">
        <v>3564</v>
      </c>
      <c r="B2111" s="7">
        <v>46200</v>
      </c>
      <c r="C2111" s="6" t="s">
        <v>1499</v>
      </c>
      <c r="D2111" s="6" t="str">
        <f>IF(OR(PROPER(TRIM(Raw_Data!D2111))="Uk",PROPER(TRIM(Raw_Data!D2111))="Gb",PROPER(TRIM(Raw_Data!D2111))="United kingdom"),"United Kingdom",PROPER(TRIM(Raw_Data!D2111)))</f>
        <v>United Kingdom</v>
      </c>
      <c r="E2111" s="6" t="s">
        <v>78</v>
      </c>
      <c r="F2111" s="6" t="s">
        <v>53</v>
      </c>
      <c r="G2111" s="6" t="str">
        <f>SUBSTITUTE(Raw_Data!G2111,"Ã©","é")</f>
        <v>Merino Base Layer</v>
      </c>
      <c r="H2111" s="6">
        <v>1</v>
      </c>
      <c r="I2111" s="6" t="s">
        <v>231</v>
      </c>
      <c r="J2111" s="6" t="s">
        <v>231</v>
      </c>
      <c r="K2111" s="6">
        <v>0.19</v>
      </c>
      <c r="L2111" s="6" t="s">
        <v>42</v>
      </c>
      <c r="M2111" s="6" t="s">
        <v>34</v>
      </c>
      <c r="N2111" s="6"/>
    </row>
    <row r="2112" spans="1:14">
      <c r="A2112" s="6" t="s">
        <v>3565</v>
      </c>
      <c r="B2112" s="7">
        <v>46119</v>
      </c>
      <c r="C2112" s="6" t="s">
        <v>1226</v>
      </c>
      <c r="D2112" s="6" t="str">
        <f>IF(OR(PROPER(TRIM(Raw_Data!D2112))="Uk",PROPER(TRIM(Raw_Data!D2112))="Gb",PROPER(TRIM(Raw_Data!D2112))="United kingdom"),"United Kingdom",PROPER(TRIM(Raw_Data!D2112)))</f>
        <v>United Kingdom</v>
      </c>
      <c r="E2112" s="6" t="s">
        <v>46</v>
      </c>
      <c r="F2112" s="6" t="s">
        <v>100</v>
      </c>
      <c r="G2112" s="6" t="str">
        <f>SUBSTITUTE(Raw_Data!G2112,"Ã©","é")</f>
        <v>Summit Down Gilet</v>
      </c>
      <c r="H2112" s="6">
        <v>2</v>
      </c>
      <c r="I2112" s="6" t="s">
        <v>60</v>
      </c>
      <c r="J2112" s="6" t="s">
        <v>189</v>
      </c>
      <c r="K2112" s="6">
        <v>0.64</v>
      </c>
      <c r="L2112" s="6" t="s">
        <v>33</v>
      </c>
      <c r="M2112" s="6" t="s">
        <v>34</v>
      </c>
      <c r="N2112" s="6"/>
    </row>
    <row r="2113" spans="1:14">
      <c r="A2113" s="6" t="s">
        <v>3566</v>
      </c>
      <c r="B2113" s="7">
        <v>46139</v>
      </c>
      <c r="C2113" s="6" t="s">
        <v>2585</v>
      </c>
      <c r="D2113" s="6" t="str">
        <f>IF(OR(PROPER(TRIM(Raw_Data!D2113))="Uk",PROPER(TRIM(Raw_Data!D2113))="Gb",PROPER(TRIM(Raw_Data!D2113))="United kingdom"),"United Kingdom",PROPER(TRIM(Raw_Data!D2113)))</f>
        <v>United Kingdom</v>
      </c>
      <c r="E2113" s="6" t="s">
        <v>28</v>
      </c>
      <c r="F2113" s="6" t="s">
        <v>47</v>
      </c>
      <c r="G2113" s="6" t="str">
        <f>SUBSTITUTE(Raw_Data!G2113,"Ã©","é")</f>
        <v>Storm Overtrousers</v>
      </c>
      <c r="H2113" s="6">
        <v>1</v>
      </c>
      <c r="I2113" s="6" t="s">
        <v>117</v>
      </c>
      <c r="J2113" s="6" t="s">
        <v>117</v>
      </c>
      <c r="K2113" s="6">
        <v>8.5000000000000006E-2</v>
      </c>
      <c r="L2113" s="6" t="s">
        <v>42</v>
      </c>
      <c r="M2113" s="6" t="s">
        <v>34</v>
      </c>
      <c r="N2113" s="6"/>
    </row>
    <row r="2114" spans="1:14">
      <c r="A2114" s="6" t="s">
        <v>3567</v>
      </c>
      <c r="B2114" s="7">
        <v>46112</v>
      </c>
      <c r="C2114" s="6" t="s">
        <v>1346</v>
      </c>
      <c r="D2114" s="6" t="str">
        <f>IF(OR(PROPER(TRIM(Raw_Data!D2114))="Uk",PROPER(TRIM(Raw_Data!D2114))="Gb",PROPER(TRIM(Raw_Data!D2114))="United kingdom"),"United Kingdom",PROPER(TRIM(Raw_Data!D2114)))</f>
        <v>United Kingdom</v>
      </c>
      <c r="E2114" s="6" t="s">
        <v>78</v>
      </c>
      <c r="F2114" s="6" t="s">
        <v>85</v>
      </c>
      <c r="G2114" s="6" t="str">
        <f>SUBSTITUTE(Raw_Data!G2114,"Ã©","é")</f>
        <v>Summit Down Gilet</v>
      </c>
      <c r="H2114" s="6">
        <v>1</v>
      </c>
      <c r="I2114" s="6" t="s">
        <v>143</v>
      </c>
      <c r="J2114" s="6" t="s">
        <v>143</v>
      </c>
      <c r="K2114" s="6">
        <v>0.41</v>
      </c>
      <c r="L2114" s="6" t="s">
        <v>42</v>
      </c>
      <c r="M2114" s="6" t="s">
        <v>69</v>
      </c>
      <c r="N2114" s="6"/>
    </row>
    <row r="2115" spans="1:14">
      <c r="A2115" s="6" t="s">
        <v>3568</v>
      </c>
      <c r="B2115" s="7">
        <v>46057</v>
      </c>
      <c r="C2115" s="6" t="s">
        <v>369</v>
      </c>
      <c r="D2115" s="6" t="str">
        <f>IF(OR(PROPER(TRIM(Raw_Data!D2115))="Uk",PROPER(TRIM(Raw_Data!D2115))="Gb",PROPER(TRIM(Raw_Data!D2115))="United kingdom"),"United Kingdom",PROPER(TRIM(Raw_Data!D2115)))</f>
        <v>United Kingdom</v>
      </c>
      <c r="E2115" s="6" t="s">
        <v>37</v>
      </c>
      <c r="F2115" s="6" t="s">
        <v>100</v>
      </c>
      <c r="G2115" s="6" t="str">
        <f>SUBSTITUTE(Raw_Data!G2115,"Ã©","é")</f>
        <v>Trekking Poles</v>
      </c>
      <c r="H2115" s="6">
        <v>1</v>
      </c>
      <c r="I2115" s="6" t="s">
        <v>181</v>
      </c>
      <c r="J2115" s="6" t="s">
        <v>181</v>
      </c>
      <c r="K2115" s="6">
        <v>0.64</v>
      </c>
      <c r="L2115" s="6" t="s">
        <v>42</v>
      </c>
      <c r="M2115" s="6" t="s">
        <v>34</v>
      </c>
      <c r="N2115" s="6"/>
    </row>
    <row r="2116" spans="1:14">
      <c r="A2116" s="6" t="s">
        <v>3569</v>
      </c>
      <c r="B2116" s="7">
        <v>46035</v>
      </c>
      <c r="C2116" s="6" t="s">
        <v>805</v>
      </c>
      <c r="D2116" s="6" t="str">
        <f>IF(OR(PROPER(TRIM(Raw_Data!D2116))="Uk",PROPER(TRIM(Raw_Data!D2116))="Gb",PROPER(TRIM(Raw_Data!D2116))="United kingdom"),"United Kingdom",PROPER(TRIM(Raw_Data!D2116)))</f>
        <v>Ireland</v>
      </c>
      <c r="E2116" s="6" t="s">
        <v>46</v>
      </c>
      <c r="F2116" s="6" t="s">
        <v>53</v>
      </c>
      <c r="G2116" s="6" t="str">
        <f>SUBSTITUTE(Raw_Data!G2116,"Ã©","é")</f>
        <v>Trail Softshell</v>
      </c>
      <c r="H2116" s="6">
        <v>3</v>
      </c>
      <c r="I2116" s="6" t="s">
        <v>67</v>
      </c>
      <c r="J2116" s="6" t="s">
        <v>68</v>
      </c>
      <c r="K2116" s="6">
        <v>0.19</v>
      </c>
      <c r="L2116" s="6" t="s">
        <v>42</v>
      </c>
      <c r="M2116" s="6" t="s">
        <v>69</v>
      </c>
      <c r="N2116" s="6"/>
    </row>
    <row r="2117" spans="1:14">
      <c r="A2117" s="6" t="s">
        <v>3570</v>
      </c>
      <c r="B2117" s="7">
        <v>46147</v>
      </c>
      <c r="C2117" s="6" t="s">
        <v>3571</v>
      </c>
      <c r="D2117" s="6" t="str">
        <f>IF(OR(PROPER(TRIM(Raw_Data!D2117))="Uk",PROPER(TRIM(Raw_Data!D2117))="Gb",PROPER(TRIM(Raw_Data!D2117))="United kingdom"),"United Kingdom",PROPER(TRIM(Raw_Data!D2117)))</f>
        <v>United Kingdom</v>
      </c>
      <c r="E2117" s="6" t="s">
        <v>46</v>
      </c>
      <c r="F2117" s="6" t="s">
        <v>29</v>
      </c>
      <c r="G2117" s="6" t="str">
        <f>SUBSTITUTE(Raw_Data!G2117,"Ã©","é")</f>
        <v>Merino Base Layer</v>
      </c>
      <c r="H2117" s="6">
        <v>2</v>
      </c>
      <c r="I2117" s="6" t="s">
        <v>96</v>
      </c>
      <c r="J2117" s="6" t="s">
        <v>278</v>
      </c>
      <c r="K2117" s="6">
        <v>0.52</v>
      </c>
      <c r="L2117" s="6" t="s">
        <v>33</v>
      </c>
      <c r="M2117" s="6" t="s">
        <v>34</v>
      </c>
      <c r="N2117" s="6"/>
    </row>
    <row r="2118" spans="1:14">
      <c r="A2118" s="6" t="s">
        <v>3572</v>
      </c>
      <c r="B2118" s="7">
        <v>46169</v>
      </c>
      <c r="C2118" s="6" t="s">
        <v>963</v>
      </c>
      <c r="D2118" s="6" t="str">
        <f>IF(OR(PROPER(TRIM(Raw_Data!D2118))="Uk",PROPER(TRIM(Raw_Data!D2118))="Gb",PROPER(TRIM(Raw_Data!D2118))="United kingdom"),"United Kingdom",PROPER(TRIM(Raw_Data!D2118)))</f>
        <v>United Kingdom</v>
      </c>
      <c r="E2118" s="6" t="s">
        <v>46</v>
      </c>
      <c r="F2118" s="6" t="s">
        <v>58</v>
      </c>
      <c r="G2118" s="6" t="str">
        <f>SUBSTITUTE(Raw_Data!G2118,"Ã©","é")</f>
        <v>Merino Base Layer</v>
      </c>
      <c r="H2118" s="6">
        <v>1</v>
      </c>
      <c r="I2118" s="6" t="s">
        <v>117</v>
      </c>
      <c r="J2118" s="6" t="s">
        <v>117</v>
      </c>
      <c r="K2118" s="6">
        <v>0.38</v>
      </c>
      <c r="L2118" s="6" t="s">
        <v>42</v>
      </c>
      <c r="M2118" s="6" t="s">
        <v>34</v>
      </c>
      <c r="N2118" s="6"/>
    </row>
    <row r="2119" spans="1:14">
      <c r="A2119" s="6" t="s">
        <v>3573</v>
      </c>
      <c r="B2119" s="7">
        <v>46162</v>
      </c>
      <c r="C2119" s="6" t="s">
        <v>1426</v>
      </c>
      <c r="D2119" s="6" t="str">
        <f>IF(OR(PROPER(TRIM(Raw_Data!D2119))="Uk",PROPER(TRIM(Raw_Data!D2119))="Gb",PROPER(TRIM(Raw_Data!D2119))="United kingdom"),"United Kingdom",PROPER(TRIM(Raw_Data!D2119)))</f>
        <v>Ireland</v>
      </c>
      <c r="E2119" s="6" t="s">
        <v>37</v>
      </c>
      <c r="F2119" s="6" t="s">
        <v>53</v>
      </c>
      <c r="G2119" s="6" t="str">
        <f>SUBSTITUTE(Raw_Data!G2119,"Ã©","é")</f>
        <v>Trekking Poles</v>
      </c>
      <c r="H2119" s="6">
        <v>3</v>
      </c>
      <c r="I2119" s="6" t="s">
        <v>181</v>
      </c>
      <c r="J2119" s="6" t="s">
        <v>867</v>
      </c>
      <c r="K2119" s="6">
        <v>0.19</v>
      </c>
      <c r="L2119" s="6" t="s">
        <v>33</v>
      </c>
      <c r="M2119" s="6" t="s">
        <v>69</v>
      </c>
      <c r="N2119" s="6"/>
    </row>
    <row r="2120" spans="1:14">
      <c r="A2120" s="6" t="s">
        <v>3574</v>
      </c>
      <c r="B2120" s="7">
        <v>46165</v>
      </c>
      <c r="C2120" s="6" t="s">
        <v>3575</v>
      </c>
      <c r="D2120" s="6" t="str">
        <f>IF(OR(PROPER(TRIM(Raw_Data!D2120))="Uk",PROPER(TRIM(Raw_Data!D2120))="Gb",PROPER(TRIM(Raw_Data!D2120))="United kingdom"),"United Kingdom",PROPER(TRIM(Raw_Data!D2120)))</f>
        <v>Ireland</v>
      </c>
      <c r="E2120" s="6" t="s">
        <v>37</v>
      </c>
      <c r="F2120" s="6" t="s">
        <v>100</v>
      </c>
      <c r="G2120" s="6" t="str">
        <f>SUBSTITUTE(Raw_Data!G2120,"Ã©","é")</f>
        <v>Café Latte Mug</v>
      </c>
      <c r="H2120" s="6">
        <v>1</v>
      </c>
      <c r="I2120" s="6" t="s">
        <v>31</v>
      </c>
      <c r="J2120" s="6" t="s">
        <v>31</v>
      </c>
      <c r="K2120" s="6">
        <v>0.64</v>
      </c>
      <c r="L2120" s="6" t="s">
        <v>42</v>
      </c>
      <c r="M2120" s="6" t="s">
        <v>34</v>
      </c>
      <c r="N2120" s="6"/>
    </row>
    <row r="2121" spans="1:14">
      <c r="A2121" s="6" t="s">
        <v>3576</v>
      </c>
      <c r="B2121" s="7">
        <v>46058</v>
      </c>
      <c r="C2121" s="6" t="s">
        <v>367</v>
      </c>
      <c r="D2121" s="6" t="str">
        <f>IF(OR(PROPER(TRIM(Raw_Data!D2121))="Uk",PROPER(TRIM(Raw_Data!D2121))="Gb",PROPER(TRIM(Raw_Data!D2121))="United kingdom"),"United Kingdom",PROPER(TRIM(Raw_Data!D2121)))</f>
        <v>United Kingdom</v>
      </c>
      <c r="E2121" s="6" t="s">
        <v>37</v>
      </c>
      <c r="F2121" s="6" t="s">
        <v>53</v>
      </c>
      <c r="G2121" s="6" t="str">
        <f>SUBSTITUTE(Raw_Data!G2121,"Ã©","é")</f>
        <v>Summit Down Gilet</v>
      </c>
      <c r="H2121" s="6">
        <v>2</v>
      </c>
      <c r="I2121" s="6" t="s">
        <v>231</v>
      </c>
      <c r="J2121" s="6" t="s">
        <v>232</v>
      </c>
      <c r="K2121" s="6">
        <v>0.19</v>
      </c>
      <c r="L2121" s="6" t="s">
        <v>33</v>
      </c>
      <c r="M2121" s="6" t="s">
        <v>34</v>
      </c>
      <c r="N2121" s="6"/>
    </row>
    <row r="2122" spans="1:14">
      <c r="A2122" s="6" t="s">
        <v>3577</v>
      </c>
      <c r="B2122" s="7">
        <v>46299</v>
      </c>
      <c r="C2122" s="6" t="s">
        <v>2018</v>
      </c>
      <c r="D2122" s="6" t="str">
        <f>IF(OR(PROPER(TRIM(Raw_Data!D2122))="Uk",PROPER(TRIM(Raw_Data!D2122))="Gb",PROPER(TRIM(Raw_Data!D2122))="United kingdom"),"United Kingdom",PROPER(TRIM(Raw_Data!D2122)))</f>
        <v>Germany</v>
      </c>
      <c r="E2122" s="6" t="s">
        <v>46</v>
      </c>
      <c r="F2122" s="6" t="s">
        <v>58</v>
      </c>
      <c r="G2122" s="6" t="str">
        <f>SUBSTITUTE(Raw_Data!G2122,"Ã©","é")</f>
        <v>Trekking Poles</v>
      </c>
      <c r="H2122" s="6">
        <v>1</v>
      </c>
      <c r="I2122" s="6" t="s">
        <v>113</v>
      </c>
      <c r="J2122" s="6" t="s">
        <v>113</v>
      </c>
      <c r="K2122" s="6">
        <v>0.38</v>
      </c>
      <c r="L2122" s="6" t="s">
        <v>33</v>
      </c>
      <c r="M2122" s="6" t="s">
        <v>34</v>
      </c>
      <c r="N2122" s="6"/>
    </row>
    <row r="2123" spans="1:14">
      <c r="A2123" s="6" t="s">
        <v>3578</v>
      </c>
      <c r="B2123" s="7">
        <v>46206</v>
      </c>
      <c r="C2123" s="6" t="s">
        <v>2236</v>
      </c>
      <c r="D2123" s="6" t="str">
        <f>IF(OR(PROPER(TRIM(Raw_Data!D2123))="Uk",PROPER(TRIM(Raw_Data!D2123))="Gb",PROPER(TRIM(Raw_Data!D2123))="United kingdom"),"United Kingdom",PROPER(TRIM(Raw_Data!D2123)))</f>
        <v>United Kingdom</v>
      </c>
      <c r="E2123" s="6" t="s">
        <v>52</v>
      </c>
      <c r="F2123" s="6" t="s">
        <v>58</v>
      </c>
      <c r="G2123" s="6" t="str">
        <f>SUBSTITUTE(Raw_Data!G2123,"Ã©","é")</f>
        <v>Summit Down Gilet</v>
      </c>
      <c r="H2123" s="6">
        <v>1</v>
      </c>
      <c r="I2123" s="6" t="s">
        <v>90</v>
      </c>
      <c r="J2123" s="6" t="s">
        <v>90</v>
      </c>
      <c r="K2123" s="6">
        <v>0.38</v>
      </c>
      <c r="L2123" s="6" t="s">
        <v>42</v>
      </c>
      <c r="M2123" s="6" t="s">
        <v>69</v>
      </c>
      <c r="N2123" s="6"/>
    </row>
    <row r="2124" spans="1:14">
      <c r="A2124" s="6" t="s">
        <v>3579</v>
      </c>
      <c r="B2124" s="7">
        <v>46240</v>
      </c>
      <c r="C2124" s="6" t="s">
        <v>2076</v>
      </c>
      <c r="D2124" s="6" t="str">
        <f>IF(OR(PROPER(TRIM(Raw_Data!D2124))="Uk",PROPER(TRIM(Raw_Data!D2124))="Gb",PROPER(TRIM(Raw_Data!D2124))="United kingdom"),"United Kingdom",PROPER(TRIM(Raw_Data!D2124)))</f>
        <v>United Kingdom</v>
      </c>
      <c r="E2124" s="6" t="s">
        <v>78</v>
      </c>
      <c r="F2124" s="6" t="s">
        <v>38</v>
      </c>
      <c r="G2124" s="6" t="str">
        <f>SUBSTITUTE(Raw_Data!G2124,"Ã©","é")</f>
        <v>Fell Runner Cap</v>
      </c>
      <c r="H2124" s="6">
        <v>1</v>
      </c>
      <c r="I2124" s="6" t="s">
        <v>79</v>
      </c>
      <c r="J2124" s="6" t="s">
        <v>79</v>
      </c>
      <c r="K2124" s="6">
        <v>0.52</v>
      </c>
      <c r="L2124" s="6" t="s">
        <v>42</v>
      </c>
      <c r="M2124" s="6" t="s">
        <v>34</v>
      </c>
      <c r="N2124" s="6"/>
    </row>
    <row r="2125" spans="1:14">
      <c r="A2125" s="6" t="s">
        <v>3580</v>
      </c>
      <c r="B2125" s="7">
        <v>46063</v>
      </c>
      <c r="C2125" s="6" t="s">
        <v>1360</v>
      </c>
      <c r="D2125" s="6" t="str">
        <f>IF(OR(PROPER(TRIM(Raw_Data!D2125))="Uk",PROPER(TRIM(Raw_Data!D2125))="Gb",PROPER(TRIM(Raw_Data!D2125))="United kingdom"),"United Kingdom",PROPER(TRIM(Raw_Data!D2125)))</f>
        <v>United Kingdom</v>
      </c>
      <c r="E2125" s="6" t="s">
        <v>78</v>
      </c>
      <c r="F2125" s="6" t="s">
        <v>38</v>
      </c>
      <c r="G2125" s="6" t="str">
        <f>SUBSTITUTE(Raw_Data!G2125,"Ã©","é")</f>
        <v>Summit Down Gilet</v>
      </c>
      <c r="H2125" s="6">
        <v>1</v>
      </c>
      <c r="I2125" s="6" t="s">
        <v>511</v>
      </c>
      <c r="J2125" s="6" t="s">
        <v>231</v>
      </c>
      <c r="K2125" s="6">
        <v>0.52</v>
      </c>
      <c r="L2125" s="6" t="s">
        <v>42</v>
      </c>
      <c r="M2125" s="6" t="s">
        <v>69</v>
      </c>
      <c r="N2125" s="6"/>
    </row>
    <row r="2126" spans="1:14">
      <c r="A2126" s="6" t="s">
        <v>3581</v>
      </c>
      <c r="B2126" s="7">
        <v>46138</v>
      </c>
      <c r="C2126" s="6" t="s">
        <v>3582</v>
      </c>
      <c r="D2126" s="6" t="str">
        <f>IF(OR(PROPER(TRIM(Raw_Data!D2126))="Uk",PROPER(TRIM(Raw_Data!D2126))="Gb",PROPER(TRIM(Raw_Data!D2126))="United kingdom"),"United Kingdom",PROPER(TRIM(Raw_Data!D2126)))</f>
        <v>United Kingdom</v>
      </c>
      <c r="E2126" s="6" t="s">
        <v>37</v>
      </c>
      <c r="F2126" s="6" t="s">
        <v>100</v>
      </c>
      <c r="G2126" s="6" t="str">
        <f>SUBSTITUTE(Raw_Data!G2126,"Ã©","é")</f>
        <v>Storm Overtrousers</v>
      </c>
      <c r="H2126" s="6">
        <v>1</v>
      </c>
      <c r="I2126" s="6" t="s">
        <v>82</v>
      </c>
      <c r="J2126" s="6" t="s">
        <v>82</v>
      </c>
      <c r="K2126" s="6">
        <v>0.64</v>
      </c>
      <c r="L2126" s="6" t="s">
        <v>33</v>
      </c>
      <c r="M2126" s="6" t="s">
        <v>69</v>
      </c>
      <c r="N2126" s="6"/>
    </row>
    <row r="2127" spans="1:14">
      <c r="A2127" s="6" t="s">
        <v>3583</v>
      </c>
      <c r="B2127" s="7">
        <v>46205</v>
      </c>
      <c r="C2127" s="6" t="s">
        <v>626</v>
      </c>
      <c r="D2127" s="6" t="str">
        <f>IF(OR(PROPER(TRIM(Raw_Data!D2127))="Uk",PROPER(TRIM(Raw_Data!D2127))="Gb",PROPER(TRIM(Raw_Data!D2127))="United kingdom"),"United Kingdom",PROPER(TRIM(Raw_Data!D2127)))</f>
        <v>United Kingdom</v>
      </c>
      <c r="E2127" s="6" t="s">
        <v>28</v>
      </c>
      <c r="F2127" s="6" t="s">
        <v>29</v>
      </c>
      <c r="G2127" s="6" t="str">
        <f>SUBSTITUTE(Raw_Data!G2127,"Ã©","é")</f>
        <v>Trekking Poles</v>
      </c>
      <c r="H2127" s="6">
        <v>3</v>
      </c>
      <c r="I2127" s="6" t="s">
        <v>82</v>
      </c>
      <c r="J2127" s="6" t="s">
        <v>390</v>
      </c>
      <c r="K2127" s="6">
        <v>0.52</v>
      </c>
      <c r="L2127" s="6" t="s">
        <v>33</v>
      </c>
      <c r="M2127" s="6" t="s">
        <v>34</v>
      </c>
      <c r="N2127" s="6"/>
    </row>
    <row r="2128" spans="1:14">
      <c r="A2128" s="6" t="s">
        <v>3584</v>
      </c>
      <c r="B2128" s="7">
        <v>46129</v>
      </c>
      <c r="C2128" s="6" t="s">
        <v>3585</v>
      </c>
      <c r="D2128" s="6" t="str">
        <f>IF(OR(PROPER(TRIM(Raw_Data!D2128))="Uk",PROPER(TRIM(Raw_Data!D2128))="Gb",PROPER(TRIM(Raw_Data!D2128))="United kingdom"),"United Kingdom",PROPER(TRIM(Raw_Data!D2128)))</f>
        <v>France</v>
      </c>
      <c r="E2128" s="6" t="s">
        <v>78</v>
      </c>
      <c r="F2128" s="6" t="s">
        <v>58</v>
      </c>
      <c r="G2128" s="6" t="str">
        <f>SUBSTITUTE(Raw_Data!G2128,"Ã©","é")</f>
        <v>Alpine Jacket</v>
      </c>
      <c r="H2128" s="6">
        <v>3</v>
      </c>
      <c r="I2128" s="6" t="s">
        <v>79</v>
      </c>
      <c r="J2128" s="6" t="s">
        <v>216</v>
      </c>
      <c r="K2128" s="6">
        <v>0.38</v>
      </c>
      <c r="L2128" s="6" t="s">
        <v>33</v>
      </c>
      <c r="M2128" s="6" t="s">
        <v>34</v>
      </c>
      <c r="N2128" s="6"/>
    </row>
    <row r="2129" spans="1:14">
      <c r="A2129" s="6" t="s">
        <v>3586</v>
      </c>
      <c r="B2129" s="7">
        <v>46268</v>
      </c>
      <c r="C2129" s="6" t="s">
        <v>2636</v>
      </c>
      <c r="D2129" s="6" t="str">
        <f>IF(OR(PROPER(TRIM(Raw_Data!D2129))="Uk",PROPER(TRIM(Raw_Data!D2129))="Gb",PROPER(TRIM(Raw_Data!D2129))="United kingdom"),"United Kingdom",PROPER(TRIM(Raw_Data!D2129)))</f>
        <v>France</v>
      </c>
      <c r="E2129" s="6" t="s">
        <v>52</v>
      </c>
      <c r="F2129" s="6" t="s">
        <v>58</v>
      </c>
      <c r="G2129" s="6" t="str">
        <f>SUBSTITUTE(Raw_Data!G2129,"Ã©","é")</f>
        <v>Trekking Poles</v>
      </c>
      <c r="H2129" s="6">
        <v>2</v>
      </c>
      <c r="I2129" s="6" t="s">
        <v>143</v>
      </c>
      <c r="J2129" s="6" t="s">
        <v>144</v>
      </c>
      <c r="K2129" s="6">
        <v>0.38</v>
      </c>
      <c r="L2129" s="6" t="s">
        <v>42</v>
      </c>
      <c r="M2129" s="6" t="s">
        <v>34</v>
      </c>
      <c r="N2129" s="6"/>
    </row>
    <row r="2130" spans="1:14">
      <c r="A2130" s="6" t="s">
        <v>3587</v>
      </c>
      <c r="B2130" s="7">
        <v>46033</v>
      </c>
      <c r="C2130" s="6" t="s">
        <v>725</v>
      </c>
      <c r="D2130" s="6" t="str">
        <f>IF(OR(PROPER(TRIM(Raw_Data!D2130))="Uk",PROPER(TRIM(Raw_Data!D2130))="Gb",PROPER(TRIM(Raw_Data!D2130))="United kingdom"),"United Kingdom",PROPER(TRIM(Raw_Data!D2130)))</f>
        <v>United Kingdom</v>
      </c>
      <c r="E2130" s="6" t="s">
        <v>37</v>
      </c>
      <c r="F2130" s="6" t="s">
        <v>100</v>
      </c>
      <c r="G2130" s="6" t="str">
        <f>SUBSTITUTE(Raw_Data!G2130,"Ã©","é")</f>
        <v>Fell Runner Cap</v>
      </c>
      <c r="H2130" s="6">
        <v>2</v>
      </c>
      <c r="I2130" s="6" t="s">
        <v>82</v>
      </c>
      <c r="J2130" s="6" t="s">
        <v>297</v>
      </c>
      <c r="K2130" s="6">
        <v>0.64</v>
      </c>
      <c r="L2130" s="6" t="s">
        <v>42</v>
      </c>
      <c r="M2130" s="6" t="s">
        <v>34</v>
      </c>
      <c r="N2130" s="6"/>
    </row>
    <row r="2131" spans="1:14">
      <c r="A2131" s="6" t="s">
        <v>3588</v>
      </c>
      <c r="B2131" s="7">
        <v>46104</v>
      </c>
      <c r="C2131" s="6" t="s">
        <v>1186</v>
      </c>
      <c r="D2131" s="6" t="str">
        <f>IF(OR(PROPER(TRIM(Raw_Data!D2131))="Uk",PROPER(TRIM(Raw_Data!D2131))="Gb",PROPER(TRIM(Raw_Data!D2131))="United kingdom"),"United Kingdom",PROPER(TRIM(Raw_Data!D2131)))</f>
        <v>France</v>
      </c>
      <c r="E2131" s="6" t="s">
        <v>46</v>
      </c>
      <c r="F2131" s="6" t="s">
        <v>94</v>
      </c>
      <c r="G2131" s="6" t="str">
        <f>SUBSTITUTE(Raw_Data!G2131,"Ã©","é")</f>
        <v>Summit Down Gilet</v>
      </c>
      <c r="H2131" s="6">
        <v>2</v>
      </c>
      <c r="I2131" s="6" t="s">
        <v>447</v>
      </c>
      <c r="J2131" s="6" t="s">
        <v>154</v>
      </c>
      <c r="K2131" s="6">
        <v>0.34</v>
      </c>
      <c r="L2131" s="6" t="s">
        <v>42</v>
      </c>
      <c r="M2131" s="6" t="s">
        <v>34</v>
      </c>
      <c r="N2131" s="6"/>
    </row>
    <row r="2132" spans="1:14">
      <c r="A2132" s="6" t="s">
        <v>3589</v>
      </c>
      <c r="B2132" s="7">
        <v>46041</v>
      </c>
      <c r="C2132" s="6" t="s">
        <v>1439</v>
      </c>
      <c r="D2132" s="6" t="str">
        <f>IF(OR(PROPER(TRIM(Raw_Data!D2132))="Uk",PROPER(TRIM(Raw_Data!D2132))="Gb",PROPER(TRIM(Raw_Data!D2132))="United kingdom"),"United Kingdom",PROPER(TRIM(Raw_Data!D2132)))</f>
        <v>United Kingdom</v>
      </c>
      <c r="E2132" s="6" t="s">
        <v>78</v>
      </c>
      <c r="F2132" s="6" t="s">
        <v>100</v>
      </c>
      <c r="G2132" s="6" t="str">
        <f>SUBSTITUTE(Raw_Data!G2132,"Ã©","é")</f>
        <v>Merino Base Layer</v>
      </c>
      <c r="H2132" s="6">
        <v>3</v>
      </c>
      <c r="I2132" s="6" t="s">
        <v>31</v>
      </c>
      <c r="J2132" s="6" t="s">
        <v>337</v>
      </c>
      <c r="K2132" s="6">
        <v>0.64</v>
      </c>
      <c r="L2132" s="6" t="s">
        <v>42</v>
      </c>
      <c r="M2132" s="6" t="s">
        <v>34</v>
      </c>
      <c r="N2132" s="6"/>
    </row>
    <row r="2133" spans="1:14">
      <c r="A2133" s="6" t="s">
        <v>3590</v>
      </c>
      <c r="B2133" s="7">
        <v>46088</v>
      </c>
      <c r="C2133" s="6" t="s">
        <v>853</v>
      </c>
      <c r="D2133" s="6" t="str">
        <f>IF(OR(PROPER(TRIM(Raw_Data!D2133))="Uk",PROPER(TRIM(Raw_Data!D2133))="Gb",PROPER(TRIM(Raw_Data!D2133))="United kingdom"),"United Kingdom",PROPER(TRIM(Raw_Data!D2133)))</f>
        <v>France</v>
      </c>
      <c r="E2133" s="6" t="s">
        <v>78</v>
      </c>
      <c r="F2133" s="6" t="s">
        <v>94</v>
      </c>
      <c r="G2133" s="6" t="str">
        <f>SUBSTITUTE(Raw_Data!G2133,"Ã©","é")</f>
        <v>Trekking Poles</v>
      </c>
      <c r="H2133" s="6">
        <v>3</v>
      </c>
      <c r="I2133" s="6" t="s">
        <v>79</v>
      </c>
      <c r="J2133" s="6" t="s">
        <v>216</v>
      </c>
      <c r="K2133" s="6">
        <v>0.34</v>
      </c>
      <c r="L2133" s="6" t="s">
        <v>42</v>
      </c>
      <c r="M2133" s="6" t="s">
        <v>34</v>
      </c>
      <c r="N2133" s="6"/>
    </row>
    <row r="2134" spans="1:14">
      <c r="A2134" s="6" t="s">
        <v>3591</v>
      </c>
      <c r="B2134" s="7">
        <v>46236</v>
      </c>
      <c r="C2134" s="6" t="s">
        <v>752</v>
      </c>
      <c r="D2134" s="6" t="str">
        <f>IF(OR(PROPER(TRIM(Raw_Data!D2134))="Uk",PROPER(TRIM(Raw_Data!D2134))="Gb",PROPER(TRIM(Raw_Data!D2134))="United kingdom"),"United Kingdom",PROPER(TRIM(Raw_Data!D2134)))</f>
        <v>United Kingdom</v>
      </c>
      <c r="E2134" s="6" t="s">
        <v>78</v>
      </c>
      <c r="F2134" s="6" t="s">
        <v>38</v>
      </c>
      <c r="G2134" s="6" t="str">
        <f>SUBSTITUTE(Raw_Data!G2134,"Ã©","é")</f>
        <v>Trekking Poles</v>
      </c>
      <c r="H2134" s="6">
        <v>1</v>
      </c>
      <c r="I2134" s="6" t="s">
        <v>90</v>
      </c>
      <c r="J2134" s="6" t="s">
        <v>90</v>
      </c>
      <c r="K2134" s="6">
        <v>0.52</v>
      </c>
      <c r="L2134" s="6" t="s">
        <v>33</v>
      </c>
      <c r="M2134" s="6" t="s">
        <v>69</v>
      </c>
      <c r="N2134" s="6"/>
    </row>
    <row r="2135" spans="1:14">
      <c r="A2135" s="6" t="s">
        <v>3592</v>
      </c>
      <c r="B2135" s="7">
        <v>46117</v>
      </c>
      <c r="C2135" s="6" t="s">
        <v>1321</v>
      </c>
      <c r="D2135" s="6" t="str">
        <f>IF(OR(PROPER(TRIM(Raw_Data!D2135))="Uk",PROPER(TRIM(Raw_Data!D2135))="Gb",PROPER(TRIM(Raw_Data!D2135))="United kingdom"),"United Kingdom",PROPER(TRIM(Raw_Data!D2135)))</f>
        <v>United Kingdom</v>
      </c>
      <c r="E2135" s="6" t="s">
        <v>78</v>
      </c>
      <c r="F2135" s="6" t="s">
        <v>94</v>
      </c>
      <c r="G2135" s="6" t="str">
        <f>SUBSTITUTE(Raw_Data!G2135,"Ã©","é")</f>
        <v>Merino Base Layer</v>
      </c>
      <c r="H2135" s="6">
        <v>1</v>
      </c>
      <c r="I2135" s="6" t="s">
        <v>31</v>
      </c>
      <c r="J2135" s="6" t="s">
        <v>31</v>
      </c>
      <c r="K2135" s="6">
        <v>0.34</v>
      </c>
      <c r="L2135" s="6" t="s">
        <v>42</v>
      </c>
      <c r="M2135" s="6" t="s">
        <v>34</v>
      </c>
      <c r="N2135" s="6"/>
    </row>
    <row r="2136" spans="1:14">
      <c r="A2136" s="6" t="s">
        <v>3593</v>
      </c>
      <c r="B2136" s="7">
        <v>46186</v>
      </c>
      <c r="C2136" s="6" t="s">
        <v>2174</v>
      </c>
      <c r="D2136" s="6" t="str">
        <f>IF(OR(PROPER(TRIM(Raw_Data!D2136))="Uk",PROPER(TRIM(Raw_Data!D2136))="Gb",PROPER(TRIM(Raw_Data!D2136))="United kingdom"),"United Kingdom",PROPER(TRIM(Raw_Data!D2136)))</f>
        <v>Ireland</v>
      </c>
      <c r="E2136" s="6" t="s">
        <v>28</v>
      </c>
      <c r="F2136" s="6" t="s">
        <v>58</v>
      </c>
      <c r="G2136" s="6" t="str">
        <f>SUBSTITUTE(Raw_Data!G2136,"Ã©","é")</f>
        <v>Merino Base Layer</v>
      </c>
      <c r="H2136" s="6">
        <v>1</v>
      </c>
      <c r="I2136" s="6" t="s">
        <v>79</v>
      </c>
      <c r="J2136" s="6" t="s">
        <v>79</v>
      </c>
      <c r="K2136" s="6">
        <v>0.38</v>
      </c>
      <c r="L2136" s="6" t="s">
        <v>33</v>
      </c>
      <c r="M2136" s="6" t="s">
        <v>34</v>
      </c>
      <c r="N2136" s="6"/>
    </row>
    <row r="2137" spans="1:14">
      <c r="A2137" s="6" t="s">
        <v>3594</v>
      </c>
      <c r="B2137" s="7">
        <v>46067</v>
      </c>
      <c r="C2137" s="6" t="s">
        <v>1877</v>
      </c>
      <c r="D2137" s="6" t="str">
        <f>IF(OR(PROPER(TRIM(Raw_Data!D2137))="Uk",PROPER(TRIM(Raw_Data!D2137))="Gb",PROPER(TRIM(Raw_Data!D2137))="United kingdom"),"United Kingdom",PROPER(TRIM(Raw_Data!D2137)))</f>
        <v>United Kingdom</v>
      </c>
      <c r="E2137" s="6" t="s">
        <v>52</v>
      </c>
      <c r="F2137" s="6" t="s">
        <v>94</v>
      </c>
      <c r="G2137" s="6" t="str">
        <f>SUBSTITUTE(Raw_Data!G2137,"Ã©","é")</f>
        <v>Alpine Jacket</v>
      </c>
      <c r="H2137" s="6">
        <v>2</v>
      </c>
      <c r="I2137" s="6" t="s">
        <v>82</v>
      </c>
      <c r="J2137" s="6" t="s">
        <v>297</v>
      </c>
      <c r="K2137" s="6">
        <v>0.34</v>
      </c>
      <c r="L2137" s="6" t="s">
        <v>42</v>
      </c>
      <c r="M2137" s="6" t="s">
        <v>69</v>
      </c>
      <c r="N2137" s="6"/>
    </row>
    <row r="2138" spans="1:14">
      <c r="A2138" s="6" t="s">
        <v>3595</v>
      </c>
      <c r="B2138" s="7">
        <v>46239</v>
      </c>
      <c r="C2138" s="6" t="s">
        <v>236</v>
      </c>
      <c r="D2138" s="6" t="str">
        <f>IF(OR(PROPER(TRIM(Raw_Data!D2138))="Uk",PROPER(TRIM(Raw_Data!D2138))="Gb",PROPER(TRIM(Raw_Data!D2138))="United kingdom"),"United Kingdom",PROPER(TRIM(Raw_Data!D2138)))</f>
        <v>Ireland</v>
      </c>
      <c r="E2138" s="6" t="s">
        <v>28</v>
      </c>
      <c r="F2138" s="6" t="s">
        <v>94</v>
      </c>
      <c r="G2138" s="6" t="str">
        <f>SUBSTITUTE(Raw_Data!G2138,"Ã©","é")</f>
        <v>Fell Runner Cap</v>
      </c>
      <c r="H2138" s="6">
        <v>1</v>
      </c>
      <c r="I2138" s="6" t="s">
        <v>40</v>
      </c>
      <c r="J2138" s="6" t="s">
        <v>40</v>
      </c>
      <c r="K2138" s="6">
        <v>0.34</v>
      </c>
      <c r="L2138" s="6" t="s">
        <v>33</v>
      </c>
      <c r="M2138" s="6" t="s">
        <v>69</v>
      </c>
      <c r="N2138" s="6"/>
    </row>
    <row r="2139" spans="1:14">
      <c r="A2139" s="6" t="s">
        <v>3596</v>
      </c>
      <c r="B2139" s="7">
        <v>46198</v>
      </c>
      <c r="C2139" s="6" t="s">
        <v>1769</v>
      </c>
      <c r="D2139" s="6" t="str">
        <f>IF(OR(PROPER(TRIM(Raw_Data!D2139))="Uk",PROPER(TRIM(Raw_Data!D2139))="Gb",PROPER(TRIM(Raw_Data!D2139))="United kingdom"),"United Kingdom",PROPER(TRIM(Raw_Data!D2139)))</f>
        <v>United Kingdom</v>
      </c>
      <c r="E2139" s="6" t="s">
        <v>46</v>
      </c>
      <c r="F2139" s="6" t="s">
        <v>94</v>
      </c>
      <c r="G2139" s="6" t="str">
        <f>SUBSTITUTE(Raw_Data!G2139,"Ã©","é")</f>
        <v>Storm Overtrousers</v>
      </c>
      <c r="H2139" s="6">
        <v>2</v>
      </c>
      <c r="I2139" s="6" t="s">
        <v>117</v>
      </c>
      <c r="J2139" s="6" t="s">
        <v>118</v>
      </c>
      <c r="K2139" s="6">
        <v>0.34</v>
      </c>
      <c r="L2139" s="6" t="s">
        <v>42</v>
      </c>
      <c r="M2139" s="6" t="s">
        <v>34</v>
      </c>
      <c r="N2139" s="6"/>
    </row>
    <row r="2140" spans="1:14">
      <c r="A2140" s="6" t="s">
        <v>3597</v>
      </c>
      <c r="B2140" s="7">
        <v>46209</v>
      </c>
      <c r="C2140" s="6" t="s">
        <v>568</v>
      </c>
      <c r="D2140" s="6" t="str">
        <f>IF(OR(PROPER(TRIM(Raw_Data!D2140))="Uk",PROPER(TRIM(Raw_Data!D2140))="Gb",PROPER(TRIM(Raw_Data!D2140))="United kingdom"),"United Kingdom",PROPER(TRIM(Raw_Data!D2140)))</f>
        <v>Ireland</v>
      </c>
      <c r="E2140" s="6" t="s">
        <v>46</v>
      </c>
      <c r="F2140" s="6" t="s">
        <v>85</v>
      </c>
      <c r="G2140" s="6" t="str">
        <f>SUBSTITUTE(Raw_Data!G2140,"Ã©","é")</f>
        <v>Alpine Jacket</v>
      </c>
      <c r="H2140" s="6">
        <v>1</v>
      </c>
      <c r="I2140" s="6" t="s">
        <v>143</v>
      </c>
      <c r="J2140" s="6" t="s">
        <v>143</v>
      </c>
      <c r="K2140" s="6">
        <v>0.41</v>
      </c>
      <c r="L2140" s="6" t="s">
        <v>42</v>
      </c>
      <c r="M2140" s="6" t="s">
        <v>34</v>
      </c>
      <c r="N2140" s="6"/>
    </row>
    <row r="2141" spans="1:14">
      <c r="A2141" s="6" t="s">
        <v>3598</v>
      </c>
      <c r="B2141" s="7">
        <v>46055</v>
      </c>
      <c r="C2141" s="6" t="s">
        <v>446</v>
      </c>
      <c r="D2141" s="6" t="str">
        <f>IF(OR(PROPER(TRIM(Raw_Data!D2141))="Uk",PROPER(TRIM(Raw_Data!D2141))="Gb",PROPER(TRIM(Raw_Data!D2141))="United kingdom"),"United Kingdom",PROPER(TRIM(Raw_Data!D2141)))</f>
        <v>United Kingdom</v>
      </c>
      <c r="E2141" s="6" t="s">
        <v>46</v>
      </c>
      <c r="F2141" s="6" t="s">
        <v>29</v>
      </c>
      <c r="G2141" s="6" t="str">
        <f>SUBSTITUTE(Raw_Data!G2141,"Ã©","é")</f>
        <v>Merino Base Layer</v>
      </c>
      <c r="H2141" s="6">
        <v>3</v>
      </c>
      <c r="I2141" s="6" t="s">
        <v>73</v>
      </c>
      <c r="J2141" s="6" t="s">
        <v>499</v>
      </c>
      <c r="K2141" s="6">
        <v>0.52</v>
      </c>
      <c r="L2141" s="6" t="s">
        <v>42</v>
      </c>
      <c r="M2141" s="6" t="s">
        <v>34</v>
      </c>
      <c r="N2141" s="6"/>
    </row>
    <row r="2142" spans="1:14">
      <c r="A2142" s="6" t="s">
        <v>3599</v>
      </c>
      <c r="B2142" s="7">
        <v>46136</v>
      </c>
      <c r="C2142" s="6" t="s">
        <v>3600</v>
      </c>
      <c r="D2142" s="6" t="str">
        <f>IF(OR(PROPER(TRIM(Raw_Data!D2142))="Uk",PROPER(TRIM(Raw_Data!D2142))="Gb",PROPER(TRIM(Raw_Data!D2142))="United kingdom"),"United Kingdom",PROPER(TRIM(Raw_Data!D2142)))</f>
        <v>France</v>
      </c>
      <c r="E2142" s="6" t="s">
        <v>78</v>
      </c>
      <c r="F2142" s="6" t="s">
        <v>100</v>
      </c>
      <c r="G2142" s="6" t="str">
        <f>SUBSTITUTE(Raw_Data!G2142,"Ã©","é")</f>
        <v>Trekking Poles</v>
      </c>
      <c r="H2142" s="6">
        <v>3</v>
      </c>
      <c r="I2142" s="6" t="s">
        <v>117</v>
      </c>
      <c r="J2142" s="6" t="s">
        <v>171</v>
      </c>
      <c r="K2142" s="6">
        <v>0.64</v>
      </c>
      <c r="L2142" s="6" t="s">
        <v>42</v>
      </c>
      <c r="M2142" s="6" t="s">
        <v>34</v>
      </c>
      <c r="N2142" s="6"/>
    </row>
    <row r="2143" spans="1:14">
      <c r="A2143" s="6" t="s">
        <v>3601</v>
      </c>
      <c r="B2143" s="7">
        <v>46163</v>
      </c>
      <c r="C2143" s="6" t="s">
        <v>1883</v>
      </c>
      <c r="D2143" s="6" t="str">
        <f>IF(OR(PROPER(TRIM(Raw_Data!D2143))="Uk",PROPER(TRIM(Raw_Data!D2143))="Gb",PROPER(TRIM(Raw_Data!D2143))="United kingdom"),"United Kingdom",PROPER(TRIM(Raw_Data!D2143)))</f>
        <v>United Kingdom</v>
      </c>
      <c r="E2143" s="6" t="s">
        <v>46</v>
      </c>
      <c r="F2143" s="6" t="s">
        <v>58</v>
      </c>
      <c r="G2143" s="6" t="str">
        <f>SUBSTITUTE(Raw_Data!G2143,"Ã©","é")</f>
        <v>Summit Down Gilet</v>
      </c>
      <c r="H2143" s="6">
        <v>2</v>
      </c>
      <c r="I2143" s="6" t="s">
        <v>113</v>
      </c>
      <c r="J2143" s="6" t="s">
        <v>192</v>
      </c>
      <c r="K2143" s="6">
        <v>0.38</v>
      </c>
      <c r="L2143" s="6" t="s">
        <v>42</v>
      </c>
      <c r="M2143" s="6" t="s">
        <v>34</v>
      </c>
      <c r="N2143" s="6"/>
    </row>
    <row r="2144" spans="1:14">
      <c r="A2144" s="6" t="s">
        <v>3602</v>
      </c>
      <c r="B2144" s="7">
        <v>46117</v>
      </c>
      <c r="C2144" s="6" t="s">
        <v>1349</v>
      </c>
      <c r="D2144" s="6" t="str">
        <f>IF(OR(PROPER(TRIM(Raw_Data!D2144))="Uk",PROPER(TRIM(Raw_Data!D2144))="Gb",PROPER(TRIM(Raw_Data!D2144))="United kingdom"),"United Kingdom",PROPER(TRIM(Raw_Data!D2144)))</f>
        <v>Ireland</v>
      </c>
      <c r="E2144" s="6" t="s">
        <v>46</v>
      </c>
      <c r="F2144" s="6" t="s">
        <v>94</v>
      </c>
      <c r="G2144" s="6" t="str">
        <f>SUBSTITUTE(Raw_Data!G2144,"Ã©","é")</f>
        <v>Merino Base Layer</v>
      </c>
      <c r="H2144" s="6">
        <v>1</v>
      </c>
      <c r="I2144" s="6" t="s">
        <v>96</v>
      </c>
      <c r="J2144" s="6" t="s">
        <v>96</v>
      </c>
      <c r="K2144" s="6">
        <v>0.34</v>
      </c>
      <c r="L2144" s="6" t="s">
        <v>42</v>
      </c>
      <c r="M2144" s="6" t="s">
        <v>34</v>
      </c>
      <c r="N2144" s="6"/>
    </row>
    <row r="2145" spans="1:14">
      <c r="A2145" s="6" t="s">
        <v>3603</v>
      </c>
      <c r="B2145" s="7">
        <v>46146</v>
      </c>
      <c r="C2145" s="6" t="s">
        <v>299</v>
      </c>
      <c r="D2145" s="6" t="str">
        <f>IF(OR(PROPER(TRIM(Raw_Data!D2145))="Uk",PROPER(TRIM(Raw_Data!D2145))="Gb",PROPER(TRIM(Raw_Data!D2145))="United kingdom"),"United Kingdom",PROPER(TRIM(Raw_Data!D2145)))</f>
        <v>Ireland</v>
      </c>
      <c r="E2145" s="6" t="s">
        <v>37</v>
      </c>
      <c r="F2145" s="6" t="s">
        <v>94</v>
      </c>
      <c r="G2145" s="6" t="str">
        <f>SUBSTITUTE(Raw_Data!G2145,"Ã©","é")</f>
        <v>Alpine Jacket</v>
      </c>
      <c r="H2145" s="6">
        <v>2</v>
      </c>
      <c r="I2145" s="6" t="s">
        <v>90</v>
      </c>
      <c r="J2145" s="6" t="s">
        <v>154</v>
      </c>
      <c r="K2145" s="6">
        <v>0.34</v>
      </c>
      <c r="L2145" s="6" t="s">
        <v>42</v>
      </c>
      <c r="M2145" s="6" t="s">
        <v>34</v>
      </c>
      <c r="N2145" s="6"/>
    </row>
    <row r="2146" spans="1:14">
      <c r="A2146" s="6" t="s">
        <v>3604</v>
      </c>
      <c r="B2146" s="7">
        <v>46117</v>
      </c>
      <c r="C2146" s="6" t="s">
        <v>2085</v>
      </c>
      <c r="D2146" s="6" t="str">
        <f>IF(OR(PROPER(TRIM(Raw_Data!D2146))="Uk",PROPER(TRIM(Raw_Data!D2146))="Gb",PROPER(TRIM(Raw_Data!D2146))="United kingdom"),"United Kingdom",PROPER(TRIM(Raw_Data!D2146)))</f>
        <v>United Kingdom</v>
      </c>
      <c r="E2146" s="6" t="s">
        <v>46</v>
      </c>
      <c r="F2146" s="6" t="s">
        <v>94</v>
      </c>
      <c r="G2146" s="6" t="str">
        <f>SUBSTITUTE(Raw_Data!G2146,"Ã©","é")</f>
        <v>Merino Base Layer</v>
      </c>
      <c r="H2146" s="6">
        <v>2</v>
      </c>
      <c r="I2146" s="6" t="s">
        <v>147</v>
      </c>
      <c r="J2146" s="6" t="s">
        <v>175</v>
      </c>
      <c r="K2146" s="6">
        <v>0.34</v>
      </c>
      <c r="L2146" s="6" t="s">
        <v>42</v>
      </c>
      <c r="M2146" s="6" t="s">
        <v>34</v>
      </c>
      <c r="N2146" s="6"/>
    </row>
    <row r="2147" spans="1:14">
      <c r="A2147" s="6" t="s">
        <v>3605</v>
      </c>
      <c r="B2147" s="7">
        <v>46177</v>
      </c>
      <c r="C2147" s="6" t="s">
        <v>66</v>
      </c>
      <c r="D2147" s="6" t="str">
        <f>IF(OR(PROPER(TRIM(Raw_Data!D2147))="Uk",PROPER(TRIM(Raw_Data!D2147))="Gb",PROPER(TRIM(Raw_Data!D2147))="United kingdom"),"United Kingdom",PROPER(TRIM(Raw_Data!D2147)))</f>
        <v>Ireland</v>
      </c>
      <c r="E2147" s="6" t="s">
        <v>37</v>
      </c>
      <c r="F2147" s="6" t="s">
        <v>58</v>
      </c>
      <c r="G2147" s="6" t="str">
        <f>SUBSTITUTE(Raw_Data!G2147,"Ã©","é")</f>
        <v>Summit Down Gilet</v>
      </c>
      <c r="H2147" s="6">
        <v>2</v>
      </c>
      <c r="I2147" s="6" t="s">
        <v>73</v>
      </c>
      <c r="J2147" s="6" t="s">
        <v>74</v>
      </c>
      <c r="K2147" s="6">
        <v>0.38</v>
      </c>
      <c r="L2147" s="6" t="s">
        <v>42</v>
      </c>
      <c r="M2147" s="6" t="s">
        <v>34</v>
      </c>
      <c r="N2147" s="6"/>
    </row>
    <row r="2148" spans="1:14">
      <c r="A2148" s="6" t="s">
        <v>3606</v>
      </c>
      <c r="B2148" s="7">
        <v>46026</v>
      </c>
      <c r="C2148" s="6" t="s">
        <v>3077</v>
      </c>
      <c r="D2148" s="6" t="str">
        <f>IF(OR(PROPER(TRIM(Raw_Data!D2148))="Uk",PROPER(TRIM(Raw_Data!D2148))="Gb",PROPER(TRIM(Raw_Data!D2148))="United kingdom"),"United Kingdom",PROPER(TRIM(Raw_Data!D2148)))</f>
        <v>United Kingdom</v>
      </c>
      <c r="E2148" s="6" t="s">
        <v>28</v>
      </c>
      <c r="F2148" s="6" t="s">
        <v>29</v>
      </c>
      <c r="G2148" s="6" t="str">
        <f>SUBSTITUTE(Raw_Data!G2148,"Ã©","é")</f>
        <v>Trekking Poles</v>
      </c>
      <c r="H2148" s="6">
        <v>3</v>
      </c>
      <c r="I2148" s="6" t="s">
        <v>143</v>
      </c>
      <c r="J2148" s="6" t="s">
        <v>243</v>
      </c>
      <c r="K2148" s="6">
        <v>0.52</v>
      </c>
      <c r="L2148" s="6" t="s">
        <v>42</v>
      </c>
      <c r="M2148" s="6" t="s">
        <v>69</v>
      </c>
      <c r="N2148" s="6"/>
    </row>
    <row r="2149" spans="1:14">
      <c r="A2149" s="6" t="s">
        <v>3607</v>
      </c>
      <c r="B2149" s="7">
        <v>46087</v>
      </c>
      <c r="C2149" s="6" t="s">
        <v>853</v>
      </c>
      <c r="D2149" s="6" t="str">
        <f>IF(OR(PROPER(TRIM(Raw_Data!D2149))="Uk",PROPER(TRIM(Raw_Data!D2149))="Gb",PROPER(TRIM(Raw_Data!D2149))="United kingdom"),"United Kingdom",PROPER(TRIM(Raw_Data!D2149)))</f>
        <v>United Kingdom</v>
      </c>
      <c r="E2149" s="6" t="s">
        <v>37</v>
      </c>
      <c r="F2149" s="6" t="s">
        <v>94</v>
      </c>
      <c r="G2149" s="6" t="str">
        <f>SUBSTITUTE(Raw_Data!G2149,"Ã©","é")</f>
        <v>Summit Down Gilet</v>
      </c>
      <c r="H2149" s="6">
        <v>1</v>
      </c>
      <c r="I2149" s="6" t="s">
        <v>684</v>
      </c>
      <c r="J2149" s="6" t="s">
        <v>73</v>
      </c>
      <c r="K2149" s="6">
        <v>0.34</v>
      </c>
      <c r="L2149" s="6" t="s">
        <v>42</v>
      </c>
      <c r="M2149" s="6" t="s">
        <v>34</v>
      </c>
      <c r="N2149" s="6"/>
    </row>
    <row r="2150" spans="1:14">
      <c r="A2150" s="6" t="s">
        <v>3608</v>
      </c>
      <c r="B2150" s="7">
        <v>46127</v>
      </c>
      <c r="C2150" s="6" t="s">
        <v>618</v>
      </c>
      <c r="D2150" s="6" t="str">
        <f>IF(OR(PROPER(TRIM(Raw_Data!D2150))="Uk",PROPER(TRIM(Raw_Data!D2150))="Gb",PROPER(TRIM(Raw_Data!D2150))="United kingdom"),"United Kingdom",PROPER(TRIM(Raw_Data!D2150)))</f>
        <v>Ireland</v>
      </c>
      <c r="E2150" s="6" t="s">
        <v>52</v>
      </c>
      <c r="F2150" s="6" t="s">
        <v>47</v>
      </c>
      <c r="G2150" s="6" t="str">
        <f>SUBSTITUTE(Raw_Data!G2150,"Ã©","é")</f>
        <v>Trail Softshell</v>
      </c>
      <c r="H2150" s="6">
        <v>2</v>
      </c>
      <c r="I2150" s="6" t="s">
        <v>90</v>
      </c>
      <c r="J2150" s="6" t="s">
        <v>154</v>
      </c>
      <c r="K2150" s="6">
        <v>8.5000000000000006E-2</v>
      </c>
      <c r="L2150" s="6" t="s">
        <v>42</v>
      </c>
      <c r="M2150" s="6" t="s">
        <v>34</v>
      </c>
      <c r="N2150" s="6"/>
    </row>
    <row r="2151" spans="1:14">
      <c r="A2151" s="6" t="s">
        <v>3609</v>
      </c>
      <c r="B2151" s="7">
        <v>46235</v>
      </c>
      <c r="C2151" s="6" t="s">
        <v>1202</v>
      </c>
      <c r="D2151" s="6" t="str">
        <f>IF(OR(PROPER(TRIM(Raw_Data!D2151))="Uk",PROPER(TRIM(Raw_Data!D2151))="Gb",PROPER(TRIM(Raw_Data!D2151))="United kingdom"),"United Kingdom",PROPER(TRIM(Raw_Data!D2151)))</f>
        <v>Ireland</v>
      </c>
      <c r="E2151" s="6" t="s">
        <v>46</v>
      </c>
      <c r="F2151" s="6" t="s">
        <v>94</v>
      </c>
      <c r="G2151" s="6" t="str">
        <f>SUBSTITUTE(Raw_Data!G2151,"Ã©","é")</f>
        <v>Trail Softshell</v>
      </c>
      <c r="H2151" s="6">
        <v>1</v>
      </c>
      <c r="I2151" s="6" t="s">
        <v>73</v>
      </c>
      <c r="J2151" s="6" t="s">
        <v>73</v>
      </c>
      <c r="K2151" s="6">
        <v>0.34</v>
      </c>
      <c r="L2151" s="6" t="s">
        <v>42</v>
      </c>
      <c r="M2151" s="6" t="s">
        <v>34</v>
      </c>
      <c r="N2151" s="6"/>
    </row>
    <row r="2152" spans="1:14">
      <c r="A2152" s="6" t="s">
        <v>3610</v>
      </c>
      <c r="B2152" s="7">
        <v>46299</v>
      </c>
      <c r="C2152" s="6" t="s">
        <v>2793</v>
      </c>
      <c r="D2152" s="6" t="str">
        <f>IF(OR(PROPER(TRIM(Raw_Data!D2152))="Uk",PROPER(TRIM(Raw_Data!D2152))="Gb",PROPER(TRIM(Raw_Data!D2152))="United kingdom"),"United Kingdom",PROPER(TRIM(Raw_Data!D2152)))</f>
        <v>Ireland</v>
      </c>
      <c r="E2152" s="6" t="s">
        <v>52</v>
      </c>
      <c r="F2152" s="6" t="s">
        <v>100</v>
      </c>
      <c r="G2152" s="6" t="str">
        <f>SUBSTITUTE(Raw_Data!G2152,"Ã©","é")</f>
        <v>Alpine Jacket</v>
      </c>
      <c r="H2152" s="6">
        <v>3</v>
      </c>
      <c r="I2152" s="6" t="s">
        <v>117</v>
      </c>
      <c r="J2152" s="6" t="s">
        <v>171</v>
      </c>
      <c r="K2152" s="6">
        <v>0.64</v>
      </c>
      <c r="L2152" s="6" t="s">
        <v>42</v>
      </c>
      <c r="M2152" s="6" t="s">
        <v>34</v>
      </c>
      <c r="N2152" s="6"/>
    </row>
    <row r="2153" spans="1:14">
      <c r="A2153" s="6" t="s">
        <v>3611</v>
      </c>
      <c r="B2153" s="7">
        <v>46067</v>
      </c>
      <c r="C2153" s="6" t="s">
        <v>1842</v>
      </c>
      <c r="D2153" s="6" t="str">
        <f>IF(OR(PROPER(TRIM(Raw_Data!D2153))="Uk",PROPER(TRIM(Raw_Data!D2153))="Gb",PROPER(TRIM(Raw_Data!D2153))="United kingdom"),"United Kingdom",PROPER(TRIM(Raw_Data!D2153)))</f>
        <v>United Kingdom</v>
      </c>
      <c r="E2153" s="6" t="s">
        <v>78</v>
      </c>
      <c r="F2153" s="6" t="s">
        <v>38</v>
      </c>
      <c r="G2153" s="6" t="str">
        <f>SUBSTITUTE(Raw_Data!G2153,"Ã©","é")</f>
        <v>Alpine Jacket</v>
      </c>
      <c r="H2153" s="6">
        <v>1</v>
      </c>
      <c r="I2153" s="6" t="s">
        <v>117</v>
      </c>
      <c r="J2153" s="6" t="s">
        <v>117</v>
      </c>
      <c r="K2153" s="6">
        <v>0.52</v>
      </c>
      <c r="L2153" s="6" t="s">
        <v>42</v>
      </c>
      <c r="M2153" s="6" t="s">
        <v>69</v>
      </c>
      <c r="N2153" s="6"/>
    </row>
    <row r="2154" spans="1:14">
      <c r="A2154" s="6" t="s">
        <v>3612</v>
      </c>
      <c r="B2154" s="7">
        <v>46127</v>
      </c>
      <c r="C2154" s="6" t="s">
        <v>3613</v>
      </c>
      <c r="D2154" s="6" t="str">
        <f>IF(OR(PROPER(TRIM(Raw_Data!D2154))="Uk",PROPER(TRIM(Raw_Data!D2154))="Gb",PROPER(TRIM(Raw_Data!D2154))="United kingdom"),"United Kingdom",PROPER(TRIM(Raw_Data!D2154)))</f>
        <v>Ireland</v>
      </c>
      <c r="E2154" s="6" t="s">
        <v>46</v>
      </c>
      <c r="F2154" s="6" t="s">
        <v>29</v>
      </c>
      <c r="G2154" s="6" t="str">
        <f>SUBSTITUTE(Raw_Data!G2154,"Ã©","é")</f>
        <v>Trekking Poles</v>
      </c>
      <c r="H2154" s="6">
        <v>2</v>
      </c>
      <c r="I2154" s="6" t="s">
        <v>265</v>
      </c>
      <c r="J2154" s="6" t="s">
        <v>167</v>
      </c>
      <c r="K2154" s="6">
        <v>0.52</v>
      </c>
      <c r="L2154" s="6" t="s">
        <v>42</v>
      </c>
      <c r="M2154" s="6" t="s">
        <v>34</v>
      </c>
      <c r="N2154" s="6"/>
    </row>
    <row r="2155" spans="1:14">
      <c r="A2155" s="6" t="s">
        <v>3614</v>
      </c>
      <c r="B2155" s="7">
        <v>46240</v>
      </c>
      <c r="C2155" s="6" t="s">
        <v>1678</v>
      </c>
      <c r="D2155" s="6" t="str">
        <f>IF(OR(PROPER(TRIM(Raw_Data!D2155))="Uk",PROPER(TRIM(Raw_Data!D2155))="Gb",PROPER(TRIM(Raw_Data!D2155))="United kingdom"),"United Kingdom",PROPER(TRIM(Raw_Data!D2155)))</f>
        <v>United Kingdom</v>
      </c>
      <c r="E2155" s="6" t="s">
        <v>52</v>
      </c>
      <c r="F2155" s="6" t="s">
        <v>29</v>
      </c>
      <c r="G2155" s="6" t="str">
        <f>SUBSTITUTE(Raw_Data!G2155,"Ã©","é")</f>
        <v>Summit Down Gilet</v>
      </c>
      <c r="H2155" s="6">
        <v>1</v>
      </c>
      <c r="I2155" s="6" t="s">
        <v>31</v>
      </c>
      <c r="J2155" s="6" t="s">
        <v>31</v>
      </c>
      <c r="K2155" s="6">
        <v>0.52</v>
      </c>
      <c r="L2155" s="6" t="s">
        <v>42</v>
      </c>
      <c r="M2155" s="6" t="s">
        <v>34</v>
      </c>
      <c r="N2155" s="6"/>
    </row>
    <row r="2156" spans="1:14">
      <c r="A2156" s="6" t="s">
        <v>3615</v>
      </c>
      <c r="B2156" s="7">
        <v>46097</v>
      </c>
      <c r="C2156" s="6" t="s">
        <v>3616</v>
      </c>
      <c r="D2156" s="6" t="str">
        <f>IF(OR(PROPER(TRIM(Raw_Data!D2156))="Uk",PROPER(TRIM(Raw_Data!D2156))="Gb",PROPER(TRIM(Raw_Data!D2156))="United kingdom"),"United Kingdom",PROPER(TRIM(Raw_Data!D2156)))</f>
        <v>United Kingdom</v>
      </c>
      <c r="E2156" s="6" t="s">
        <v>52</v>
      </c>
      <c r="F2156" s="6" t="s">
        <v>29</v>
      </c>
      <c r="G2156" s="6" t="str">
        <f>SUBSTITUTE(Raw_Data!G2156,"Ã©","é")</f>
        <v>Summit Down Gilet</v>
      </c>
      <c r="H2156" s="6">
        <v>3</v>
      </c>
      <c r="I2156" s="6" t="s">
        <v>67</v>
      </c>
      <c r="J2156" s="6" t="s">
        <v>68</v>
      </c>
      <c r="K2156" s="6">
        <v>0.52</v>
      </c>
      <c r="L2156" s="6" t="s">
        <v>42</v>
      </c>
      <c r="M2156" s="6" t="s">
        <v>34</v>
      </c>
      <c r="N2156" s="6"/>
    </row>
    <row r="2157" spans="1:14">
      <c r="A2157" s="6" t="s">
        <v>3617</v>
      </c>
      <c r="B2157" s="7">
        <v>46155</v>
      </c>
      <c r="C2157" s="6" t="s">
        <v>291</v>
      </c>
      <c r="D2157" s="6" t="str">
        <f>IF(OR(PROPER(TRIM(Raw_Data!D2157))="Uk",PROPER(TRIM(Raw_Data!D2157))="Gb",PROPER(TRIM(Raw_Data!D2157))="United kingdom"),"United Kingdom",PROPER(TRIM(Raw_Data!D2157)))</f>
        <v>United Kingdom</v>
      </c>
      <c r="E2157" s="6" t="s">
        <v>28</v>
      </c>
      <c r="F2157" s="6" t="s">
        <v>47</v>
      </c>
      <c r="G2157" s="6" t="str">
        <f>SUBSTITUTE(Raw_Data!G2157,"Ã©","é")</f>
        <v>Alpine Jacket</v>
      </c>
      <c r="H2157" s="6">
        <v>3</v>
      </c>
      <c r="I2157" s="6" t="s">
        <v>82</v>
      </c>
      <c r="J2157" s="6" t="s">
        <v>390</v>
      </c>
      <c r="K2157" s="6">
        <v>8.5000000000000006E-2</v>
      </c>
      <c r="L2157" s="6" t="s">
        <v>42</v>
      </c>
      <c r="M2157" s="6" t="s">
        <v>34</v>
      </c>
      <c r="N2157" s="6"/>
    </row>
    <row r="2158" spans="1:14">
      <c r="A2158" s="6" t="s">
        <v>3618</v>
      </c>
      <c r="B2158" s="7">
        <v>46178</v>
      </c>
      <c r="C2158" s="6" t="s">
        <v>3619</v>
      </c>
      <c r="D2158" s="6" t="str">
        <f>IF(OR(PROPER(TRIM(Raw_Data!D2158))="Uk",PROPER(TRIM(Raw_Data!D2158))="Gb",PROPER(TRIM(Raw_Data!D2158))="United kingdom"),"United Kingdom",PROPER(TRIM(Raw_Data!D2158)))</f>
        <v>United Kingdom</v>
      </c>
      <c r="E2158" s="6" t="s">
        <v>46</v>
      </c>
      <c r="F2158" s="6" t="s">
        <v>38</v>
      </c>
      <c r="G2158" s="6" t="str">
        <f>SUBSTITUTE(Raw_Data!G2158,"Ã©","é")</f>
        <v>Café Latte Mug</v>
      </c>
      <c r="H2158" s="6">
        <v>1</v>
      </c>
      <c r="I2158" s="6" t="s">
        <v>40</v>
      </c>
      <c r="J2158" s="6" t="s">
        <v>40</v>
      </c>
      <c r="K2158" s="6">
        <v>0.52</v>
      </c>
      <c r="L2158" s="6" t="s">
        <v>42</v>
      </c>
      <c r="M2158" s="6" t="s">
        <v>34</v>
      </c>
      <c r="N2158" s="6"/>
    </row>
    <row r="2159" spans="1:14">
      <c r="A2159" s="6" t="s">
        <v>3620</v>
      </c>
      <c r="B2159" s="7">
        <v>46266</v>
      </c>
      <c r="C2159" s="6" t="s">
        <v>2475</v>
      </c>
      <c r="D2159" s="6" t="str">
        <f>IF(OR(PROPER(TRIM(Raw_Data!D2159))="Uk",PROPER(TRIM(Raw_Data!D2159))="Gb",PROPER(TRIM(Raw_Data!D2159))="United kingdom"),"United Kingdom",PROPER(TRIM(Raw_Data!D2159)))</f>
        <v>United Kingdom</v>
      </c>
      <c r="E2159" s="6" t="s">
        <v>78</v>
      </c>
      <c r="F2159" s="6" t="s">
        <v>85</v>
      </c>
      <c r="G2159" s="6" t="str">
        <f>SUBSTITUTE(Raw_Data!G2159,"Ã©","é")</f>
        <v>Alpine Jacket</v>
      </c>
      <c r="H2159" s="6">
        <v>1</v>
      </c>
      <c r="I2159" s="6" t="s">
        <v>82</v>
      </c>
      <c r="J2159" s="6" t="s">
        <v>82</v>
      </c>
      <c r="K2159" s="6">
        <v>0.41</v>
      </c>
      <c r="L2159" s="6" t="s">
        <v>42</v>
      </c>
      <c r="M2159" s="6" t="s">
        <v>34</v>
      </c>
      <c r="N2159" s="6"/>
    </row>
    <row r="2160" spans="1:14">
      <c r="A2160" s="6" t="s">
        <v>3621</v>
      </c>
      <c r="B2160" s="7">
        <v>46130</v>
      </c>
      <c r="C2160" s="6" t="s">
        <v>3521</v>
      </c>
      <c r="D2160" s="6" t="str">
        <f>IF(OR(PROPER(TRIM(Raw_Data!D2160))="Uk",PROPER(TRIM(Raw_Data!D2160))="Gb",PROPER(TRIM(Raw_Data!D2160))="United kingdom"),"United Kingdom",PROPER(TRIM(Raw_Data!D2160)))</f>
        <v>United Kingdom</v>
      </c>
      <c r="E2160" s="6" t="s">
        <v>52</v>
      </c>
      <c r="F2160" s="6" t="s">
        <v>29</v>
      </c>
      <c r="G2160" s="6" t="str">
        <f>SUBSTITUTE(Raw_Data!G2160,"Ã©","é")</f>
        <v>Café Latte Mug</v>
      </c>
      <c r="H2160" s="6">
        <v>1</v>
      </c>
      <c r="I2160" s="6" t="s">
        <v>96</v>
      </c>
      <c r="J2160" s="6" t="s">
        <v>96</v>
      </c>
      <c r="K2160" s="6">
        <v>0.52</v>
      </c>
      <c r="L2160" s="6" t="s">
        <v>42</v>
      </c>
      <c r="M2160" s="6" t="s">
        <v>34</v>
      </c>
      <c r="N2160" s="6"/>
    </row>
    <row r="2161" spans="1:14">
      <c r="A2161" s="6" t="s">
        <v>3622</v>
      </c>
      <c r="B2161" s="7">
        <v>46026</v>
      </c>
      <c r="C2161" s="6" t="s">
        <v>2216</v>
      </c>
      <c r="D2161" s="6" t="str">
        <f>IF(OR(PROPER(TRIM(Raw_Data!D2161))="Uk",PROPER(TRIM(Raw_Data!D2161))="Gb",PROPER(TRIM(Raw_Data!D2161))="United kingdom"),"United Kingdom",PROPER(TRIM(Raw_Data!D2161)))</f>
        <v>United Kingdom</v>
      </c>
      <c r="E2161" s="6" t="s">
        <v>52</v>
      </c>
      <c r="F2161" s="6" t="s">
        <v>94</v>
      </c>
      <c r="G2161" s="6" t="str">
        <f>SUBSTITUTE(Raw_Data!G2161,"Ã©","é")</f>
        <v>Trail Softshell</v>
      </c>
      <c r="H2161" s="6">
        <v>2</v>
      </c>
      <c r="I2161" s="6" t="s">
        <v>117</v>
      </c>
      <c r="J2161" s="6" t="s">
        <v>118</v>
      </c>
      <c r="K2161" s="6">
        <v>0.34</v>
      </c>
      <c r="L2161" s="6" t="s">
        <v>33</v>
      </c>
      <c r="M2161" s="6" t="s">
        <v>34</v>
      </c>
      <c r="N2161" s="6"/>
    </row>
    <row r="2162" spans="1:14">
      <c r="A2162" s="6" t="s">
        <v>3623</v>
      </c>
      <c r="B2162" s="7">
        <v>46024</v>
      </c>
      <c r="C2162" s="6" t="s">
        <v>1098</v>
      </c>
      <c r="D2162" s="6" t="str">
        <f>IF(OR(PROPER(TRIM(Raw_Data!D2162))="Uk",PROPER(TRIM(Raw_Data!D2162))="Gb",PROPER(TRIM(Raw_Data!D2162))="United kingdom"),"United Kingdom",PROPER(TRIM(Raw_Data!D2162)))</f>
        <v>United Kingdom</v>
      </c>
      <c r="E2162" s="6" t="s">
        <v>52</v>
      </c>
      <c r="F2162" s="6" t="s">
        <v>47</v>
      </c>
      <c r="G2162" s="6" t="str">
        <f>SUBSTITUTE(Raw_Data!G2162,"Ã©","é")</f>
        <v>Café Latte Mug</v>
      </c>
      <c r="H2162" s="6">
        <v>3</v>
      </c>
      <c r="I2162" s="6" t="s">
        <v>31</v>
      </c>
      <c r="J2162" s="6" t="s">
        <v>337</v>
      </c>
      <c r="K2162" s="6">
        <v>8.5000000000000006E-2</v>
      </c>
      <c r="L2162" s="6" t="s">
        <v>42</v>
      </c>
      <c r="M2162" s="6" t="s">
        <v>34</v>
      </c>
      <c r="N2162" s="6"/>
    </row>
    <row r="2163" spans="1:14">
      <c r="A2163" s="6" t="s">
        <v>3624</v>
      </c>
      <c r="B2163" s="7">
        <v>46204</v>
      </c>
      <c r="C2163" s="6" t="s">
        <v>1453</v>
      </c>
      <c r="D2163" s="6" t="str">
        <f>IF(OR(PROPER(TRIM(Raw_Data!D2163))="Uk",PROPER(TRIM(Raw_Data!D2163))="Gb",PROPER(TRIM(Raw_Data!D2163))="United kingdom"),"United Kingdom",PROPER(TRIM(Raw_Data!D2163)))</f>
        <v>United Kingdom</v>
      </c>
      <c r="E2163" s="6" t="s">
        <v>28</v>
      </c>
      <c r="F2163" s="6" t="s">
        <v>85</v>
      </c>
      <c r="G2163" s="6" t="str">
        <f>SUBSTITUTE(Raw_Data!G2163,"Ã©","é")</f>
        <v>Summit Down Gilet</v>
      </c>
      <c r="H2163" s="6">
        <v>1</v>
      </c>
      <c r="I2163" s="6" t="s">
        <v>40</v>
      </c>
      <c r="J2163" s="6" t="s">
        <v>40</v>
      </c>
      <c r="K2163" s="6">
        <v>0.41</v>
      </c>
      <c r="L2163" s="6" t="s">
        <v>33</v>
      </c>
      <c r="M2163" s="6" t="s">
        <v>34</v>
      </c>
      <c r="N2163" s="6"/>
    </row>
    <row r="2164" spans="1:14">
      <c r="A2164" s="6" t="s">
        <v>3625</v>
      </c>
      <c r="B2164" s="7">
        <v>46071</v>
      </c>
      <c r="C2164" s="6" t="s">
        <v>670</v>
      </c>
      <c r="D2164" s="6" t="str">
        <f>IF(OR(PROPER(TRIM(Raw_Data!D2164))="Uk",PROPER(TRIM(Raw_Data!D2164))="Gb",PROPER(TRIM(Raw_Data!D2164))="United kingdom"),"United Kingdom",PROPER(TRIM(Raw_Data!D2164)))</f>
        <v>United Kingdom</v>
      </c>
      <c r="E2164" s="6" t="s">
        <v>52</v>
      </c>
      <c r="F2164" s="6" t="s">
        <v>29</v>
      </c>
      <c r="G2164" s="6" t="str">
        <f>SUBSTITUTE(Raw_Data!G2164,"Ã©","é")</f>
        <v>Café Latte Mug</v>
      </c>
      <c r="H2164" s="6">
        <v>3</v>
      </c>
      <c r="I2164" s="6" t="s">
        <v>231</v>
      </c>
      <c r="J2164" s="6" t="s">
        <v>505</v>
      </c>
      <c r="K2164" s="6">
        <v>0.52</v>
      </c>
      <c r="L2164" s="6" t="s">
        <v>42</v>
      </c>
      <c r="M2164" s="6" t="s">
        <v>69</v>
      </c>
      <c r="N2164" s="6"/>
    </row>
    <row r="2165" spans="1:14">
      <c r="A2165" s="6" t="s">
        <v>3626</v>
      </c>
      <c r="B2165" s="7">
        <v>46040</v>
      </c>
      <c r="C2165" s="6" t="s">
        <v>2683</v>
      </c>
      <c r="D2165" s="6" t="str">
        <f>IF(OR(PROPER(TRIM(Raw_Data!D2165))="Uk",PROPER(TRIM(Raw_Data!D2165))="Gb",PROPER(TRIM(Raw_Data!D2165))="United kingdom"),"United Kingdom",PROPER(TRIM(Raw_Data!D2165)))</f>
        <v>United Kingdom</v>
      </c>
      <c r="E2165" s="6" t="s">
        <v>52</v>
      </c>
      <c r="F2165" s="6" t="s">
        <v>58</v>
      </c>
      <c r="G2165" s="6" t="str">
        <f>SUBSTITUTE(Raw_Data!G2165,"Ã©","é")</f>
        <v>Café Latte Mug</v>
      </c>
      <c r="H2165" s="6">
        <v>3</v>
      </c>
      <c r="I2165" s="6" t="s">
        <v>265</v>
      </c>
      <c r="J2165" s="6" t="s">
        <v>401</v>
      </c>
      <c r="K2165" s="6">
        <v>0.38</v>
      </c>
      <c r="L2165" s="6" t="s">
        <v>42</v>
      </c>
      <c r="M2165" s="6" t="s">
        <v>34</v>
      </c>
      <c r="N2165" s="6"/>
    </row>
    <row r="2166" spans="1:14">
      <c r="A2166" s="6" t="s">
        <v>3627</v>
      </c>
      <c r="B2166" s="7">
        <v>46164</v>
      </c>
      <c r="C2166" s="6" t="s">
        <v>1600</v>
      </c>
      <c r="D2166" s="6" t="str">
        <f>IF(OR(PROPER(TRIM(Raw_Data!D2166))="Uk",PROPER(TRIM(Raw_Data!D2166))="Gb",PROPER(TRIM(Raw_Data!D2166))="United kingdom"),"United Kingdom",PROPER(TRIM(Raw_Data!D2166)))</f>
        <v>Ireland</v>
      </c>
      <c r="E2166" s="6" t="s">
        <v>52</v>
      </c>
      <c r="F2166" s="6" t="s">
        <v>100</v>
      </c>
      <c r="G2166" s="6" t="str">
        <f>SUBSTITUTE(Raw_Data!G2166,"Ã©","é")</f>
        <v>Café Latte Mug</v>
      </c>
      <c r="H2166" s="6">
        <v>2</v>
      </c>
      <c r="I2166" s="6" t="s">
        <v>96</v>
      </c>
      <c r="J2166" s="6" t="s">
        <v>278</v>
      </c>
      <c r="K2166" s="6">
        <v>0.64</v>
      </c>
      <c r="L2166" s="6" t="s">
        <v>42</v>
      </c>
      <c r="M2166" s="6" t="s">
        <v>69</v>
      </c>
      <c r="N2166" s="6"/>
    </row>
    <row r="2167" spans="1:14">
      <c r="A2167" s="6" t="s">
        <v>3628</v>
      </c>
      <c r="B2167" s="7">
        <v>46142</v>
      </c>
      <c r="C2167" s="6" t="s">
        <v>3629</v>
      </c>
      <c r="D2167" s="6" t="str">
        <f>IF(OR(PROPER(TRIM(Raw_Data!D2167))="Uk",PROPER(TRIM(Raw_Data!D2167))="Gb",PROPER(TRIM(Raw_Data!D2167))="United kingdom"),"United Kingdom",PROPER(TRIM(Raw_Data!D2167)))</f>
        <v>United Kingdom</v>
      </c>
      <c r="E2167" s="6" t="s">
        <v>28</v>
      </c>
      <c r="F2167" s="6" t="s">
        <v>100</v>
      </c>
      <c r="G2167" s="6" t="str">
        <f>SUBSTITUTE(Raw_Data!G2167,"Ã©","é")</f>
        <v>Storm Overtrousers</v>
      </c>
      <c r="H2167" s="6">
        <v>1</v>
      </c>
      <c r="I2167" s="6" t="s">
        <v>31</v>
      </c>
      <c r="J2167" s="6" t="s">
        <v>31</v>
      </c>
      <c r="K2167" s="6">
        <v>0.64</v>
      </c>
      <c r="L2167" s="6" t="s">
        <v>33</v>
      </c>
      <c r="M2167" s="6" t="s">
        <v>34</v>
      </c>
      <c r="N2167" s="6"/>
    </row>
    <row r="2168" spans="1:14">
      <c r="A2168" s="6" t="s">
        <v>3630</v>
      </c>
      <c r="B2168" s="7">
        <v>46058</v>
      </c>
      <c r="C2168" s="6" t="s">
        <v>2744</v>
      </c>
      <c r="D2168" s="6" t="str">
        <f>IF(OR(PROPER(TRIM(Raw_Data!D2168))="Uk",PROPER(TRIM(Raw_Data!D2168))="Gb",PROPER(TRIM(Raw_Data!D2168))="United kingdom"),"United Kingdom",PROPER(TRIM(Raw_Data!D2168)))</f>
        <v>France</v>
      </c>
      <c r="E2168" s="6" t="s">
        <v>37</v>
      </c>
      <c r="F2168" s="6" t="s">
        <v>47</v>
      </c>
      <c r="G2168" s="6" t="str">
        <f>SUBSTITUTE(Raw_Data!G2168,"Ã©","é")</f>
        <v>Trekking Poles</v>
      </c>
      <c r="H2168" s="6">
        <v>1</v>
      </c>
      <c r="I2168" s="6" t="s">
        <v>79</v>
      </c>
      <c r="J2168" s="6" t="s">
        <v>3414</v>
      </c>
      <c r="K2168" s="6">
        <v>8.5000000000000006E-2</v>
      </c>
      <c r="L2168" s="6" t="s">
        <v>42</v>
      </c>
      <c r="M2168" s="6" t="s">
        <v>34</v>
      </c>
      <c r="N2168" s="6"/>
    </row>
    <row r="2169" spans="1:14">
      <c r="A2169" s="6" t="s">
        <v>3631</v>
      </c>
      <c r="B2169" s="7">
        <v>46196</v>
      </c>
      <c r="C2169" s="6" t="s">
        <v>1493</v>
      </c>
      <c r="D2169" s="6" t="str">
        <f>IF(OR(PROPER(TRIM(Raw_Data!D2169))="Uk",PROPER(TRIM(Raw_Data!D2169))="Gb",PROPER(TRIM(Raw_Data!D2169))="United kingdom"),"United Kingdom",PROPER(TRIM(Raw_Data!D2169)))</f>
        <v>United Kingdom</v>
      </c>
      <c r="E2169" s="6" t="s">
        <v>78</v>
      </c>
      <c r="F2169" s="6" t="s">
        <v>29</v>
      </c>
      <c r="G2169" s="6" t="str">
        <f>SUBSTITUTE(Raw_Data!G2169,"Ã©","é")</f>
        <v>Fell Runner Cap</v>
      </c>
      <c r="H2169" s="6">
        <v>1</v>
      </c>
      <c r="I2169" s="6" t="s">
        <v>79</v>
      </c>
      <c r="J2169" s="6" t="s">
        <v>79</v>
      </c>
      <c r="K2169" s="6">
        <v>0.52</v>
      </c>
      <c r="L2169" s="6" t="s">
        <v>42</v>
      </c>
      <c r="M2169" s="6" t="s">
        <v>34</v>
      </c>
      <c r="N2169" s="6"/>
    </row>
    <row r="2170" spans="1:14">
      <c r="A2170" s="6" t="s">
        <v>3632</v>
      </c>
      <c r="B2170" s="7">
        <v>46075</v>
      </c>
      <c r="C2170" s="6" t="s">
        <v>3016</v>
      </c>
      <c r="D2170" s="6" t="str">
        <f>IF(OR(PROPER(TRIM(Raw_Data!D2170))="Uk",PROPER(TRIM(Raw_Data!D2170))="Gb",PROPER(TRIM(Raw_Data!D2170))="United kingdom"),"United Kingdom",PROPER(TRIM(Raw_Data!D2170)))</f>
        <v>Germany</v>
      </c>
      <c r="E2170" s="6" t="s">
        <v>28</v>
      </c>
      <c r="F2170" s="6" t="s">
        <v>53</v>
      </c>
      <c r="G2170" s="6" t="str">
        <f>SUBSTITUTE(Raw_Data!G2170,"Ã©","é")</f>
        <v>Alpine Jacket</v>
      </c>
      <c r="H2170" s="6">
        <v>2</v>
      </c>
      <c r="I2170" s="6" t="s">
        <v>90</v>
      </c>
      <c r="J2170" s="6" t="s">
        <v>154</v>
      </c>
      <c r="K2170" s="6">
        <v>0.19</v>
      </c>
      <c r="L2170" s="6" t="s">
        <v>33</v>
      </c>
      <c r="M2170" s="6" t="s">
        <v>69</v>
      </c>
      <c r="N2170" s="6"/>
    </row>
    <row r="2171" spans="1:14">
      <c r="A2171" s="6" t="s">
        <v>3633</v>
      </c>
      <c r="B2171" s="7">
        <v>46128</v>
      </c>
      <c r="C2171" s="6" t="s">
        <v>1644</v>
      </c>
      <c r="D2171" s="6" t="str">
        <f>IF(OR(PROPER(TRIM(Raw_Data!D2171))="Uk",PROPER(TRIM(Raw_Data!D2171))="Gb",PROPER(TRIM(Raw_Data!D2171))="United kingdom"),"United Kingdom",PROPER(TRIM(Raw_Data!D2171)))</f>
        <v>Ireland</v>
      </c>
      <c r="E2171" s="6" t="s">
        <v>46</v>
      </c>
      <c r="F2171" s="6" t="s">
        <v>29</v>
      </c>
      <c r="G2171" s="6" t="str">
        <f>SUBSTITUTE(Raw_Data!G2171,"Ã©","é")</f>
        <v>Summit Down Gilet</v>
      </c>
      <c r="H2171" s="6">
        <v>2</v>
      </c>
      <c r="I2171" s="6" t="s">
        <v>82</v>
      </c>
      <c r="J2171" s="6" t="s">
        <v>297</v>
      </c>
      <c r="K2171" s="6">
        <v>0.52</v>
      </c>
      <c r="L2171" s="6" t="s">
        <v>33</v>
      </c>
      <c r="M2171" s="6" t="s">
        <v>34</v>
      </c>
      <c r="N2171" s="6"/>
    </row>
    <row r="2172" spans="1:14">
      <c r="A2172" s="6" t="s">
        <v>3634</v>
      </c>
      <c r="B2172" s="7">
        <v>46144</v>
      </c>
      <c r="C2172" s="6" t="s">
        <v>1566</v>
      </c>
      <c r="D2172" s="6" t="str">
        <f>IF(OR(PROPER(TRIM(Raw_Data!D2172))="Uk",PROPER(TRIM(Raw_Data!D2172))="Gb",PROPER(TRIM(Raw_Data!D2172))="United kingdom"),"United Kingdom",PROPER(TRIM(Raw_Data!D2172)))</f>
        <v>United Kingdom</v>
      </c>
      <c r="E2172" s="6" t="s">
        <v>28</v>
      </c>
      <c r="F2172" s="6" t="s">
        <v>38</v>
      </c>
      <c r="G2172" s="6" t="str">
        <f>SUBSTITUTE(Raw_Data!G2172,"Ã©","é")</f>
        <v>Café Latte Mug</v>
      </c>
      <c r="H2172" s="6">
        <v>2</v>
      </c>
      <c r="I2172" s="6" t="s">
        <v>73</v>
      </c>
      <c r="J2172" s="6" t="s">
        <v>74</v>
      </c>
      <c r="K2172" s="6">
        <v>0.52</v>
      </c>
      <c r="L2172" s="6" t="s">
        <v>42</v>
      </c>
      <c r="M2172" s="6" t="s">
        <v>34</v>
      </c>
      <c r="N2172" s="6"/>
    </row>
    <row r="2173" spans="1:14">
      <c r="A2173" s="6" t="s">
        <v>3635</v>
      </c>
      <c r="B2173" s="7">
        <v>46166</v>
      </c>
      <c r="C2173" s="6" t="s">
        <v>2594</v>
      </c>
      <c r="D2173" s="6" t="str">
        <f>IF(OR(PROPER(TRIM(Raw_Data!D2173))="Uk",PROPER(TRIM(Raw_Data!D2173))="Gb",PROPER(TRIM(Raw_Data!D2173))="United kingdom"),"United Kingdom",PROPER(TRIM(Raw_Data!D2173)))</f>
        <v>United Kingdom</v>
      </c>
      <c r="E2173" s="6" t="s">
        <v>52</v>
      </c>
      <c r="F2173" s="6" t="s">
        <v>85</v>
      </c>
      <c r="G2173" s="6" t="str">
        <f>SUBSTITUTE(Raw_Data!G2173,"Ã©","é")</f>
        <v>Café Latte Mug</v>
      </c>
      <c r="H2173" s="6">
        <v>-2</v>
      </c>
      <c r="I2173" s="6" t="s">
        <v>117</v>
      </c>
      <c r="J2173" s="8" t="s">
        <v>2190</v>
      </c>
      <c r="K2173" s="6">
        <v>0.41</v>
      </c>
      <c r="L2173" s="6" t="s">
        <v>42</v>
      </c>
      <c r="M2173" s="6" t="s">
        <v>34</v>
      </c>
      <c r="N2173" s="6"/>
    </row>
    <row r="2174" spans="1:14">
      <c r="A2174" s="6" t="s">
        <v>3636</v>
      </c>
      <c r="B2174" s="7">
        <v>46088</v>
      </c>
      <c r="C2174" s="6" t="s">
        <v>1137</v>
      </c>
      <c r="D2174" s="6" t="str">
        <f>IF(OR(PROPER(TRIM(Raw_Data!D2174))="Uk",PROPER(TRIM(Raw_Data!D2174))="Gb",PROPER(TRIM(Raw_Data!D2174))="United kingdom"),"United Kingdom",PROPER(TRIM(Raw_Data!D2174)))</f>
        <v>United Kingdom</v>
      </c>
      <c r="E2174" s="6" t="s">
        <v>78</v>
      </c>
      <c r="F2174" s="6" t="s">
        <v>85</v>
      </c>
      <c r="G2174" s="6" t="str">
        <f>SUBSTITUTE(Raw_Data!G2174,"Ã©","é")</f>
        <v>Café Latte Mug</v>
      </c>
      <c r="H2174" s="6">
        <v>1</v>
      </c>
      <c r="I2174" s="6" t="s">
        <v>147</v>
      </c>
      <c r="J2174" s="6" t="s">
        <v>147</v>
      </c>
      <c r="K2174" s="6">
        <v>0.41</v>
      </c>
      <c r="L2174" s="6" t="s">
        <v>42</v>
      </c>
      <c r="M2174" s="6" t="s">
        <v>69</v>
      </c>
      <c r="N2174" s="6"/>
    </row>
    <row r="2175" spans="1:14">
      <c r="A2175" s="6" t="s">
        <v>3637</v>
      </c>
      <c r="B2175" s="7">
        <v>46029</v>
      </c>
      <c r="C2175" s="6" t="s">
        <v>1588</v>
      </c>
      <c r="D2175" s="6" t="str">
        <f>IF(OR(PROPER(TRIM(Raw_Data!D2175))="Uk",PROPER(TRIM(Raw_Data!D2175))="Gb",PROPER(TRIM(Raw_Data!D2175))="United kingdom"),"United Kingdom",PROPER(TRIM(Raw_Data!D2175)))</f>
        <v>United Kingdom</v>
      </c>
      <c r="E2175" s="6" t="s">
        <v>28</v>
      </c>
      <c r="F2175" s="6" t="s">
        <v>38</v>
      </c>
      <c r="G2175" s="6" t="str">
        <f>SUBSTITUTE(Raw_Data!G2175,"Ã©","é")</f>
        <v>Summit Down Gilet</v>
      </c>
      <c r="H2175" s="6">
        <v>1</v>
      </c>
      <c r="I2175" s="6" t="s">
        <v>265</v>
      </c>
      <c r="J2175" s="6" t="s">
        <v>265</v>
      </c>
      <c r="K2175" s="6">
        <v>0.52</v>
      </c>
      <c r="L2175" s="6" t="s">
        <v>42</v>
      </c>
      <c r="M2175" s="6" t="s">
        <v>34</v>
      </c>
      <c r="N2175" s="6"/>
    </row>
    <row r="2176" spans="1:14">
      <c r="A2176" s="6" t="s">
        <v>3638</v>
      </c>
      <c r="B2176" s="7">
        <v>46329</v>
      </c>
      <c r="C2176" s="6" t="s">
        <v>2671</v>
      </c>
      <c r="D2176" s="6" t="str">
        <f>IF(OR(PROPER(TRIM(Raw_Data!D2176))="Uk",PROPER(TRIM(Raw_Data!D2176))="Gb",PROPER(TRIM(Raw_Data!D2176))="United kingdom"),"United Kingdom",PROPER(TRIM(Raw_Data!D2176)))</f>
        <v>United Kingdom</v>
      </c>
      <c r="E2176" s="6" t="s">
        <v>52</v>
      </c>
      <c r="F2176" s="6" t="s">
        <v>53</v>
      </c>
      <c r="G2176" s="6" t="str">
        <f>SUBSTITUTE(Raw_Data!G2176,"Ã©","é")</f>
        <v>Trekking Poles</v>
      </c>
      <c r="H2176" s="6">
        <v>1</v>
      </c>
      <c r="I2176" s="6" t="s">
        <v>79</v>
      </c>
      <c r="J2176" s="6" t="s">
        <v>79</v>
      </c>
      <c r="K2176" s="6">
        <v>0.19</v>
      </c>
      <c r="L2176" s="6" t="s">
        <v>33</v>
      </c>
      <c r="M2176" s="6" t="s">
        <v>34</v>
      </c>
      <c r="N2176" s="6"/>
    </row>
    <row r="2177" spans="1:14">
      <c r="A2177" s="6" t="s">
        <v>3639</v>
      </c>
      <c r="B2177" s="7">
        <v>46163</v>
      </c>
      <c r="C2177" s="6" t="s">
        <v>1311</v>
      </c>
      <c r="D2177" s="6" t="str">
        <f>IF(OR(PROPER(TRIM(Raw_Data!D2177))="Uk",PROPER(TRIM(Raw_Data!D2177))="Gb",PROPER(TRIM(Raw_Data!D2177))="United kingdom"),"United Kingdom",PROPER(TRIM(Raw_Data!D2177)))</f>
        <v>Ireland</v>
      </c>
      <c r="E2177" s="6" t="s">
        <v>28</v>
      </c>
      <c r="F2177" s="6" t="s">
        <v>85</v>
      </c>
      <c r="G2177" s="6" t="str">
        <f>SUBSTITUTE(Raw_Data!G2177,"Ã©","é")</f>
        <v>Café Latte Mug</v>
      </c>
      <c r="H2177" s="6">
        <v>2</v>
      </c>
      <c r="I2177" s="6" t="s">
        <v>147</v>
      </c>
      <c r="J2177" s="6" t="s">
        <v>175</v>
      </c>
      <c r="K2177" s="6">
        <v>0.41</v>
      </c>
      <c r="L2177" s="6" t="s">
        <v>42</v>
      </c>
      <c r="M2177" s="6" t="s">
        <v>69</v>
      </c>
      <c r="N2177" s="6"/>
    </row>
    <row r="2178" spans="1:14">
      <c r="A2178" s="6" t="s">
        <v>3640</v>
      </c>
      <c r="B2178" s="7">
        <v>46111</v>
      </c>
      <c r="C2178" s="6" t="s">
        <v>2400</v>
      </c>
      <c r="D2178" s="6" t="str">
        <f>IF(OR(PROPER(TRIM(Raw_Data!D2178))="Uk",PROPER(TRIM(Raw_Data!D2178))="Gb",PROPER(TRIM(Raw_Data!D2178))="United kingdom"),"United Kingdom",PROPER(TRIM(Raw_Data!D2178)))</f>
        <v>Ireland</v>
      </c>
      <c r="E2178" s="6" t="s">
        <v>28</v>
      </c>
      <c r="F2178" s="6" t="s">
        <v>53</v>
      </c>
      <c r="G2178" s="6" t="str">
        <f>SUBSTITUTE(Raw_Data!G2178,"Ã©","é")</f>
        <v>Fell Runner Cap</v>
      </c>
      <c r="H2178" s="6">
        <v>1</v>
      </c>
      <c r="I2178" s="6" t="s">
        <v>31</v>
      </c>
      <c r="J2178" s="6" t="s">
        <v>31</v>
      </c>
      <c r="K2178" s="6">
        <v>0.19</v>
      </c>
      <c r="L2178" s="6" t="s">
        <v>42</v>
      </c>
      <c r="M2178" s="6" t="s">
        <v>34</v>
      </c>
      <c r="N2178" s="6"/>
    </row>
    <row r="2179" spans="1:14">
      <c r="A2179" s="6" t="s">
        <v>3641</v>
      </c>
      <c r="B2179" s="7">
        <v>46198</v>
      </c>
      <c r="C2179" s="6" t="s">
        <v>464</v>
      </c>
      <c r="D2179" s="6" t="str">
        <f>IF(OR(PROPER(TRIM(Raw_Data!D2179))="Uk",PROPER(TRIM(Raw_Data!D2179))="Gb",PROPER(TRIM(Raw_Data!D2179))="United kingdom"),"United Kingdom",PROPER(TRIM(Raw_Data!D2179)))</f>
        <v>France</v>
      </c>
      <c r="E2179" s="6" t="s">
        <v>28</v>
      </c>
      <c r="F2179" s="6" t="s">
        <v>94</v>
      </c>
      <c r="G2179" s="6" t="str">
        <f>SUBSTITUTE(Raw_Data!G2179,"Ã©","é")</f>
        <v>Café Latte Mug</v>
      </c>
      <c r="H2179" s="6">
        <v>2</v>
      </c>
      <c r="I2179" s="6" t="s">
        <v>31</v>
      </c>
      <c r="J2179" s="6" t="s">
        <v>249</v>
      </c>
      <c r="K2179" s="6">
        <v>0.34</v>
      </c>
      <c r="L2179" s="6" t="s">
        <v>42</v>
      </c>
      <c r="M2179" s="6" t="s">
        <v>34</v>
      </c>
      <c r="N2179" s="6"/>
    </row>
    <row r="2180" spans="1:14">
      <c r="A2180" s="6" t="s">
        <v>3642</v>
      </c>
      <c r="B2180" s="7">
        <v>46025</v>
      </c>
      <c r="C2180" s="6" t="s">
        <v>1122</v>
      </c>
      <c r="D2180" s="6" t="str">
        <f>IF(OR(PROPER(TRIM(Raw_Data!D2180))="Uk",PROPER(TRIM(Raw_Data!D2180))="Gb",PROPER(TRIM(Raw_Data!D2180))="United kingdom"),"United Kingdom",PROPER(TRIM(Raw_Data!D2180)))</f>
        <v>Ireland</v>
      </c>
      <c r="E2180" s="6" t="s">
        <v>28</v>
      </c>
      <c r="F2180" s="6" t="s">
        <v>85</v>
      </c>
      <c r="G2180" s="6" t="str">
        <f>SUBSTITUTE(Raw_Data!G2180,"Ã©","é")</f>
        <v>Alpine Jacket</v>
      </c>
      <c r="H2180" s="6">
        <v>1</v>
      </c>
      <c r="I2180" s="6" t="s">
        <v>79</v>
      </c>
      <c r="J2180" s="6" t="s">
        <v>79</v>
      </c>
      <c r="K2180" s="6">
        <v>0.41</v>
      </c>
      <c r="L2180" s="6" t="s">
        <v>33</v>
      </c>
      <c r="M2180" s="6" t="s">
        <v>34</v>
      </c>
      <c r="N2180" s="6"/>
    </row>
    <row r="2181" spans="1:14">
      <c r="A2181" s="6" t="s">
        <v>3643</v>
      </c>
      <c r="B2181" s="7">
        <v>46161</v>
      </c>
      <c r="C2181" s="6" t="s">
        <v>3644</v>
      </c>
      <c r="D2181" s="6" t="str">
        <f>IF(OR(PROPER(TRIM(Raw_Data!D2181))="Uk",PROPER(TRIM(Raw_Data!D2181))="Gb",PROPER(TRIM(Raw_Data!D2181))="United kingdom"),"United Kingdom",PROPER(TRIM(Raw_Data!D2181)))</f>
        <v>United Kingdom</v>
      </c>
      <c r="E2181" s="6" t="s">
        <v>78</v>
      </c>
      <c r="F2181" s="6" t="s">
        <v>29</v>
      </c>
      <c r="G2181" s="6" t="str">
        <f>SUBSTITUTE(Raw_Data!G2181,"Ã©","é")</f>
        <v>Trail Softshell</v>
      </c>
      <c r="H2181" s="6">
        <v>1</v>
      </c>
      <c r="I2181" s="6" t="s">
        <v>79</v>
      </c>
      <c r="J2181" s="6" t="s">
        <v>79</v>
      </c>
      <c r="K2181" s="6">
        <v>0.52</v>
      </c>
      <c r="L2181" s="6" t="s">
        <v>42</v>
      </c>
      <c r="M2181" s="6" t="s">
        <v>69</v>
      </c>
      <c r="N2181" s="6"/>
    </row>
    <row r="2182" spans="1:14">
      <c r="A2182" s="6" t="s">
        <v>3645</v>
      </c>
      <c r="B2182" s="7">
        <v>46115</v>
      </c>
      <c r="C2182" s="6" t="s">
        <v>66</v>
      </c>
      <c r="D2182" s="6" t="str">
        <f>IF(OR(PROPER(TRIM(Raw_Data!D2182))="Uk",PROPER(TRIM(Raw_Data!D2182))="Gb",PROPER(TRIM(Raw_Data!D2182))="United kingdom"),"United Kingdom",PROPER(TRIM(Raw_Data!D2182)))</f>
        <v>United Kingdom</v>
      </c>
      <c r="E2182" s="6" t="s">
        <v>46</v>
      </c>
      <c r="F2182" s="6" t="s">
        <v>58</v>
      </c>
      <c r="G2182" s="6" t="str">
        <f>SUBSTITUTE(Raw_Data!G2182,"Ã©","é")</f>
        <v>Trekking Poles</v>
      </c>
      <c r="H2182" s="6">
        <v>3</v>
      </c>
      <c r="I2182" s="6" t="s">
        <v>113</v>
      </c>
      <c r="J2182" s="6" t="s">
        <v>138</v>
      </c>
      <c r="K2182" s="6">
        <v>0.38</v>
      </c>
      <c r="L2182" s="6" t="s">
        <v>42</v>
      </c>
      <c r="M2182" s="6" t="s">
        <v>69</v>
      </c>
      <c r="N2182" s="6"/>
    </row>
    <row r="2183" spans="1:14">
      <c r="A2183" s="6" t="s">
        <v>3646</v>
      </c>
      <c r="B2183" s="7">
        <v>46088</v>
      </c>
      <c r="C2183" s="6" t="s">
        <v>605</v>
      </c>
      <c r="D2183" s="6" t="str">
        <f>IF(OR(PROPER(TRIM(Raw_Data!D2183))="Uk",PROPER(TRIM(Raw_Data!D2183))="Gb",PROPER(TRIM(Raw_Data!D2183))="United kingdom"),"United Kingdom",PROPER(TRIM(Raw_Data!D2183)))</f>
        <v>Ireland</v>
      </c>
      <c r="E2183" s="6" t="s">
        <v>37</v>
      </c>
      <c r="F2183" s="6" t="s">
        <v>29</v>
      </c>
      <c r="G2183" s="6" t="str">
        <f>SUBSTITUTE(Raw_Data!G2183,"Ã©","é")</f>
        <v>Trekking Poles</v>
      </c>
      <c r="H2183" s="6">
        <v>1</v>
      </c>
      <c r="I2183" s="6" t="s">
        <v>147</v>
      </c>
      <c r="J2183" s="6" t="s">
        <v>147</v>
      </c>
      <c r="K2183" s="6">
        <v>0.52</v>
      </c>
      <c r="L2183" s="6" t="s">
        <v>42</v>
      </c>
      <c r="M2183" s="6" t="s">
        <v>34</v>
      </c>
      <c r="N2183" s="6"/>
    </row>
    <row r="2184" spans="1:14">
      <c r="A2184" s="6" t="s">
        <v>3647</v>
      </c>
      <c r="B2184" s="7">
        <v>46207</v>
      </c>
      <c r="C2184" s="6" t="s">
        <v>107</v>
      </c>
      <c r="D2184" s="6" t="str">
        <f>IF(OR(PROPER(TRIM(Raw_Data!D2184))="Uk",PROPER(TRIM(Raw_Data!D2184))="Gb",PROPER(TRIM(Raw_Data!D2184))="United kingdom"),"United Kingdom",PROPER(TRIM(Raw_Data!D2184)))</f>
        <v>United Kingdom</v>
      </c>
      <c r="E2184" s="6" t="s">
        <v>46</v>
      </c>
      <c r="F2184" s="6" t="s">
        <v>85</v>
      </c>
      <c r="G2184" s="6" t="str">
        <f>SUBSTITUTE(Raw_Data!G2184,"Ã©","é")</f>
        <v>Trekking Poles</v>
      </c>
      <c r="H2184" s="6">
        <v>1</v>
      </c>
      <c r="I2184" s="6" t="s">
        <v>82</v>
      </c>
      <c r="J2184" s="6" t="s">
        <v>82</v>
      </c>
      <c r="K2184" s="6">
        <v>0.41</v>
      </c>
      <c r="L2184" s="6" t="s">
        <v>42</v>
      </c>
      <c r="M2184" s="6" t="s">
        <v>34</v>
      </c>
      <c r="N2184" s="6"/>
    </row>
    <row r="2185" spans="1:14">
      <c r="A2185" s="6" t="s">
        <v>3648</v>
      </c>
      <c r="B2185" s="7">
        <v>46208</v>
      </c>
      <c r="C2185" s="6" t="s">
        <v>701</v>
      </c>
      <c r="D2185" s="6" t="str">
        <f>IF(OR(PROPER(TRIM(Raw_Data!D2185))="Uk",PROPER(TRIM(Raw_Data!D2185))="Gb",PROPER(TRIM(Raw_Data!D2185))="United kingdom"),"United Kingdom",PROPER(TRIM(Raw_Data!D2185)))</f>
        <v>Ireland</v>
      </c>
      <c r="E2185" s="6" t="s">
        <v>78</v>
      </c>
      <c r="F2185" s="6" t="s">
        <v>47</v>
      </c>
      <c r="G2185" s="6" t="str">
        <f>SUBSTITUTE(Raw_Data!G2185,"Ã©","é")</f>
        <v>Fell Runner Cap</v>
      </c>
      <c r="H2185" s="6">
        <v>-2</v>
      </c>
      <c r="I2185" s="6" t="s">
        <v>117</v>
      </c>
      <c r="J2185" s="8" t="s">
        <v>2190</v>
      </c>
      <c r="K2185" s="6">
        <v>8.5000000000000006E-2</v>
      </c>
      <c r="L2185" s="6" t="s">
        <v>42</v>
      </c>
      <c r="M2185" s="6" t="s">
        <v>69</v>
      </c>
      <c r="N2185" s="6"/>
    </row>
    <row r="2186" spans="1:14">
      <c r="A2186" s="6" t="s">
        <v>3649</v>
      </c>
      <c r="B2186" s="7">
        <v>46052</v>
      </c>
      <c r="C2186" s="6" t="s">
        <v>1678</v>
      </c>
      <c r="D2186" s="6" t="str">
        <f>IF(OR(PROPER(TRIM(Raw_Data!D2186))="Uk",PROPER(TRIM(Raw_Data!D2186))="Gb",PROPER(TRIM(Raw_Data!D2186))="United kingdom"),"United Kingdom",PROPER(TRIM(Raw_Data!D2186)))</f>
        <v>United Kingdom</v>
      </c>
      <c r="E2186" s="6" t="s">
        <v>52</v>
      </c>
      <c r="F2186" s="6" t="s">
        <v>85</v>
      </c>
      <c r="G2186" s="6" t="str">
        <f>SUBSTITUTE(Raw_Data!G2186,"Ã©","é")</f>
        <v>Trail Softshell</v>
      </c>
      <c r="H2186" s="6">
        <v>3</v>
      </c>
      <c r="I2186" s="6" t="s">
        <v>143</v>
      </c>
      <c r="J2186" s="6" t="s">
        <v>243</v>
      </c>
      <c r="K2186" s="6">
        <v>0.41</v>
      </c>
      <c r="L2186" s="6" t="s">
        <v>42</v>
      </c>
      <c r="M2186" s="6" t="s">
        <v>69</v>
      </c>
      <c r="N2186" s="6"/>
    </row>
    <row r="2187" spans="1:14">
      <c r="A2187" s="6" t="s">
        <v>3650</v>
      </c>
      <c r="B2187" s="7">
        <v>46203</v>
      </c>
      <c r="C2187" s="6" t="s">
        <v>3165</v>
      </c>
      <c r="D2187" s="6" t="str">
        <f>IF(OR(PROPER(TRIM(Raw_Data!D2187))="Uk",PROPER(TRIM(Raw_Data!D2187))="Gb",PROPER(TRIM(Raw_Data!D2187))="United kingdom"),"United Kingdom",PROPER(TRIM(Raw_Data!D2187)))</f>
        <v>Ireland</v>
      </c>
      <c r="E2187" s="6" t="s">
        <v>78</v>
      </c>
      <c r="F2187" s="6" t="s">
        <v>85</v>
      </c>
      <c r="G2187" s="6" t="str">
        <f>SUBSTITUTE(Raw_Data!G2187,"Ã©","é")</f>
        <v>Storm Overtrousers</v>
      </c>
      <c r="H2187" s="6">
        <v>2</v>
      </c>
      <c r="I2187" s="6" t="s">
        <v>31</v>
      </c>
      <c r="J2187" s="6" t="s">
        <v>249</v>
      </c>
      <c r="K2187" s="6">
        <v>0.41</v>
      </c>
      <c r="L2187" s="6" t="s">
        <v>42</v>
      </c>
      <c r="M2187" s="6" t="s">
        <v>34</v>
      </c>
      <c r="N2187" s="6"/>
    </row>
    <row r="2188" spans="1:14">
      <c r="A2188" s="6" t="s">
        <v>3651</v>
      </c>
      <c r="B2188" s="7">
        <v>46197</v>
      </c>
      <c r="C2188" s="6" t="s">
        <v>1386</v>
      </c>
      <c r="D2188" s="6" t="str">
        <f>IF(OR(PROPER(TRIM(Raw_Data!D2188))="Uk",PROPER(TRIM(Raw_Data!D2188))="Gb",PROPER(TRIM(Raw_Data!D2188))="United kingdom"),"United Kingdom",PROPER(TRIM(Raw_Data!D2188)))</f>
        <v>United Kingdom</v>
      </c>
      <c r="E2188" s="6" t="s">
        <v>28</v>
      </c>
      <c r="F2188" s="6" t="s">
        <v>58</v>
      </c>
      <c r="G2188" s="6" t="str">
        <f>SUBSTITUTE(Raw_Data!G2188,"Ã©","é")</f>
        <v>Trekking Poles</v>
      </c>
      <c r="H2188" s="6">
        <v>3</v>
      </c>
      <c r="I2188" s="6" t="s">
        <v>79</v>
      </c>
      <c r="J2188" s="6" t="s">
        <v>216</v>
      </c>
      <c r="K2188" s="6">
        <v>0.38</v>
      </c>
      <c r="L2188" s="6" t="s">
        <v>33</v>
      </c>
      <c r="M2188" s="6" t="s">
        <v>34</v>
      </c>
      <c r="N2188" s="6"/>
    </row>
    <row r="2189" spans="1:14">
      <c r="A2189" s="6" t="s">
        <v>3652</v>
      </c>
      <c r="B2189" s="7">
        <v>46147</v>
      </c>
      <c r="C2189" s="6" t="s">
        <v>752</v>
      </c>
      <c r="D2189" s="6" t="str">
        <f>IF(OR(PROPER(TRIM(Raw_Data!D2189))="Uk",PROPER(TRIM(Raw_Data!D2189))="Gb",PROPER(TRIM(Raw_Data!D2189))="United kingdom"),"United Kingdom",PROPER(TRIM(Raw_Data!D2189)))</f>
        <v>United Kingdom</v>
      </c>
      <c r="E2189" s="6" t="s">
        <v>28</v>
      </c>
      <c r="F2189" s="6" t="s">
        <v>29</v>
      </c>
      <c r="G2189" s="6" t="str">
        <f>SUBSTITUTE(Raw_Data!G2189,"Ã©","é")</f>
        <v>Café Latte Mug</v>
      </c>
      <c r="H2189" s="6">
        <v>1</v>
      </c>
      <c r="I2189" s="6" t="s">
        <v>82</v>
      </c>
      <c r="J2189" s="6" t="s">
        <v>82</v>
      </c>
      <c r="K2189" s="6">
        <v>0.52</v>
      </c>
      <c r="L2189" s="6" t="s">
        <v>42</v>
      </c>
      <c r="M2189" s="6" t="s">
        <v>34</v>
      </c>
      <c r="N2189" s="6"/>
    </row>
    <row r="2190" spans="1:14">
      <c r="A2190" s="6" t="s">
        <v>3653</v>
      </c>
      <c r="B2190" s="7">
        <v>46067</v>
      </c>
      <c r="C2190" s="6" t="s">
        <v>3654</v>
      </c>
      <c r="D2190" s="6" t="str">
        <f>IF(OR(PROPER(TRIM(Raw_Data!D2190))="Uk",PROPER(TRIM(Raw_Data!D2190))="Gb",PROPER(TRIM(Raw_Data!D2190))="United kingdom"),"United Kingdom",PROPER(TRIM(Raw_Data!D2190)))</f>
        <v>United Kingdom</v>
      </c>
      <c r="E2190" s="6" t="s">
        <v>52</v>
      </c>
      <c r="F2190" s="6" t="s">
        <v>47</v>
      </c>
      <c r="G2190" s="6" t="str">
        <f>SUBSTITUTE(Raw_Data!G2190,"Ã©","é")</f>
        <v>Fell Runner Cap</v>
      </c>
      <c r="H2190" s="6">
        <v>2</v>
      </c>
      <c r="I2190" s="6" t="s">
        <v>96</v>
      </c>
      <c r="J2190" s="6" t="s">
        <v>278</v>
      </c>
      <c r="K2190" s="6">
        <v>8.5000000000000006E-2</v>
      </c>
      <c r="L2190" s="6" t="s">
        <v>42</v>
      </c>
      <c r="M2190" s="6" t="s">
        <v>69</v>
      </c>
      <c r="N2190" s="6"/>
    </row>
    <row r="2191" spans="1:14">
      <c r="A2191" s="6" t="s">
        <v>3655</v>
      </c>
      <c r="B2191" s="7">
        <v>46086</v>
      </c>
      <c r="C2191" s="6" t="s">
        <v>1176</v>
      </c>
      <c r="D2191" s="6" t="str">
        <f>IF(OR(PROPER(TRIM(Raw_Data!D2191))="Uk",PROPER(TRIM(Raw_Data!D2191))="Gb",PROPER(TRIM(Raw_Data!D2191))="United kingdom"),"United Kingdom",PROPER(TRIM(Raw_Data!D2191)))</f>
        <v>Ireland</v>
      </c>
      <c r="E2191" s="6" t="s">
        <v>28</v>
      </c>
      <c r="F2191" s="6" t="s">
        <v>94</v>
      </c>
      <c r="G2191" s="6" t="str">
        <f>SUBSTITUTE(Raw_Data!G2191,"Ã©","é")</f>
        <v>Storm Overtrousers</v>
      </c>
      <c r="H2191" s="6">
        <v>1</v>
      </c>
      <c r="I2191" s="6" t="s">
        <v>82</v>
      </c>
      <c r="J2191" s="6" t="s">
        <v>82</v>
      </c>
      <c r="K2191" s="6">
        <v>0.34</v>
      </c>
      <c r="L2191" s="6" t="s">
        <v>33</v>
      </c>
      <c r="M2191" s="6" t="s">
        <v>69</v>
      </c>
      <c r="N2191" s="6"/>
    </row>
    <row r="2192" spans="1:14">
      <c r="A2192" s="6" t="s">
        <v>3656</v>
      </c>
      <c r="B2192" s="7">
        <v>46103</v>
      </c>
      <c r="C2192" s="6" t="s">
        <v>1658</v>
      </c>
      <c r="D2192" s="6" t="str">
        <f>IF(OR(PROPER(TRIM(Raw_Data!D2192))="Uk",PROPER(TRIM(Raw_Data!D2192))="Gb",PROPER(TRIM(Raw_Data!D2192))="United kingdom"),"United Kingdom",PROPER(TRIM(Raw_Data!D2192)))</f>
        <v>France</v>
      </c>
      <c r="E2192" s="6" t="s">
        <v>46</v>
      </c>
      <c r="F2192" s="6" t="s">
        <v>38</v>
      </c>
      <c r="G2192" s="6" t="str">
        <f>SUBSTITUTE(Raw_Data!G2192,"Ã©","é")</f>
        <v>Trekking Poles</v>
      </c>
      <c r="H2192" s="6">
        <v>1</v>
      </c>
      <c r="I2192" s="6" t="s">
        <v>231</v>
      </c>
      <c r="J2192" s="6" t="s">
        <v>231</v>
      </c>
      <c r="K2192" s="6">
        <v>0.52</v>
      </c>
      <c r="L2192" s="6" t="s">
        <v>42</v>
      </c>
      <c r="M2192" s="6" t="s">
        <v>69</v>
      </c>
      <c r="N2192" s="6"/>
    </row>
    <row r="2193" spans="1:14">
      <c r="A2193" s="6" t="s">
        <v>3657</v>
      </c>
      <c r="B2193" s="7">
        <v>46102</v>
      </c>
      <c r="C2193" s="6" t="s">
        <v>3093</v>
      </c>
      <c r="D2193" s="6" t="str">
        <f>IF(OR(PROPER(TRIM(Raw_Data!D2193))="Uk",PROPER(TRIM(Raw_Data!D2193))="Gb",PROPER(TRIM(Raw_Data!D2193))="United kingdom"),"United Kingdom",PROPER(TRIM(Raw_Data!D2193)))</f>
        <v>Germany</v>
      </c>
      <c r="E2193" s="6" t="s">
        <v>37</v>
      </c>
      <c r="F2193" s="6" t="s">
        <v>85</v>
      </c>
      <c r="G2193" s="6" t="str">
        <f>SUBSTITUTE(Raw_Data!G2193,"Ã©","é")</f>
        <v>Summit Down Gilet</v>
      </c>
      <c r="H2193" s="6">
        <v>1</v>
      </c>
      <c r="I2193" s="6" t="s">
        <v>90</v>
      </c>
      <c r="J2193" s="6" t="s">
        <v>1182</v>
      </c>
      <c r="K2193" s="6">
        <v>0.41</v>
      </c>
      <c r="L2193" s="6" t="s">
        <v>42</v>
      </c>
      <c r="M2193" s="6" t="s">
        <v>69</v>
      </c>
      <c r="N2193" s="6"/>
    </row>
    <row r="2194" spans="1:14">
      <c r="A2194" s="6" t="s">
        <v>3658</v>
      </c>
      <c r="B2194" s="7">
        <v>46039</v>
      </c>
      <c r="C2194" s="6" t="s">
        <v>963</v>
      </c>
      <c r="D2194" s="6" t="str">
        <f>IF(OR(PROPER(TRIM(Raw_Data!D2194))="Uk",PROPER(TRIM(Raw_Data!D2194))="Gb",PROPER(TRIM(Raw_Data!D2194))="United kingdom"),"United Kingdom",PROPER(TRIM(Raw_Data!D2194)))</f>
        <v>United Kingdom</v>
      </c>
      <c r="E2194" s="6" t="s">
        <v>78</v>
      </c>
      <c r="F2194" s="6" t="s">
        <v>58</v>
      </c>
      <c r="G2194" s="6" t="str">
        <f>SUBSTITUTE(Raw_Data!G2194,"Ã©","é")</f>
        <v>Alpine Jacket</v>
      </c>
      <c r="H2194" s="6">
        <v>2</v>
      </c>
      <c r="I2194" s="6" t="s">
        <v>1004</v>
      </c>
      <c r="J2194" s="6" t="s">
        <v>167</v>
      </c>
      <c r="K2194" s="6">
        <v>0.38</v>
      </c>
      <c r="L2194" s="6" t="s">
        <v>42</v>
      </c>
      <c r="M2194" s="6" t="s">
        <v>34</v>
      </c>
      <c r="N2194" s="6"/>
    </row>
    <row r="2195" spans="1:14">
      <c r="A2195" s="6" t="s">
        <v>3659</v>
      </c>
      <c r="B2195" s="7">
        <v>46107</v>
      </c>
      <c r="C2195" s="6" t="s">
        <v>1340</v>
      </c>
      <c r="D2195" s="6" t="str">
        <f>IF(OR(PROPER(TRIM(Raw_Data!D2195))="Uk",PROPER(TRIM(Raw_Data!D2195))="Gb",PROPER(TRIM(Raw_Data!D2195))="United kingdom"),"United Kingdom",PROPER(TRIM(Raw_Data!D2195)))</f>
        <v>Ireland</v>
      </c>
      <c r="E2195" s="6" t="s">
        <v>78</v>
      </c>
      <c r="F2195" s="6" t="s">
        <v>29</v>
      </c>
      <c r="G2195" s="6" t="str">
        <f>SUBSTITUTE(Raw_Data!G2195,"Ã©","é")</f>
        <v>Alpine Jacket</v>
      </c>
      <c r="H2195" s="6">
        <v>1</v>
      </c>
      <c r="I2195" s="6" t="s">
        <v>82</v>
      </c>
      <c r="J2195" s="6" t="s">
        <v>82</v>
      </c>
      <c r="K2195" s="6">
        <v>0.52</v>
      </c>
      <c r="L2195" s="6" t="s">
        <v>42</v>
      </c>
      <c r="M2195" s="6" t="s">
        <v>34</v>
      </c>
      <c r="N2195" s="6"/>
    </row>
    <row r="2196" spans="1:14">
      <c r="A2196" s="6" t="s">
        <v>3660</v>
      </c>
      <c r="B2196" s="7">
        <v>46165</v>
      </c>
      <c r="C2196" s="6" t="s">
        <v>81</v>
      </c>
      <c r="D2196" s="6" t="str">
        <f>IF(OR(PROPER(TRIM(Raw_Data!D2196))="Uk",PROPER(TRIM(Raw_Data!D2196))="Gb",PROPER(TRIM(Raw_Data!D2196))="United kingdom"),"United Kingdom",PROPER(TRIM(Raw_Data!D2196)))</f>
        <v>United Kingdom</v>
      </c>
      <c r="E2196" s="6" t="s">
        <v>28</v>
      </c>
      <c r="F2196" s="6" t="s">
        <v>38</v>
      </c>
      <c r="G2196" s="6" t="str">
        <f>SUBSTITUTE(Raw_Data!G2196,"Ã©","é")</f>
        <v>Fell Runner Cap</v>
      </c>
      <c r="H2196" s="6">
        <v>2</v>
      </c>
      <c r="I2196" s="6" t="s">
        <v>67</v>
      </c>
      <c r="J2196" s="6" t="s">
        <v>204</v>
      </c>
      <c r="K2196" s="6">
        <v>0.52</v>
      </c>
      <c r="L2196" s="6" t="s">
        <v>42</v>
      </c>
      <c r="M2196" s="6" t="s">
        <v>34</v>
      </c>
      <c r="N2196" s="6"/>
    </row>
    <row r="2197" spans="1:14">
      <c r="A2197" s="6" t="s">
        <v>3661</v>
      </c>
      <c r="B2197" s="7">
        <v>46028</v>
      </c>
      <c r="C2197" s="6" t="s">
        <v>2907</v>
      </c>
      <c r="D2197" s="6" t="str">
        <f>IF(OR(PROPER(TRIM(Raw_Data!D2197))="Uk",PROPER(TRIM(Raw_Data!D2197))="Gb",PROPER(TRIM(Raw_Data!D2197))="United kingdom"),"United Kingdom",PROPER(TRIM(Raw_Data!D2197)))</f>
        <v>Germany</v>
      </c>
      <c r="E2197" s="6" t="s">
        <v>46</v>
      </c>
      <c r="F2197" s="6" t="s">
        <v>100</v>
      </c>
      <c r="G2197" s="6" t="str">
        <f>SUBSTITUTE(Raw_Data!G2197,"Ã©","é")</f>
        <v>Trekking Poles</v>
      </c>
      <c r="H2197" s="6">
        <v>2</v>
      </c>
      <c r="I2197" s="6" t="s">
        <v>113</v>
      </c>
      <c r="J2197" s="6" t="s">
        <v>192</v>
      </c>
      <c r="K2197" s="6">
        <v>0.64</v>
      </c>
      <c r="L2197" s="6" t="s">
        <v>42</v>
      </c>
      <c r="M2197" s="6" t="s">
        <v>34</v>
      </c>
      <c r="N2197" s="6"/>
    </row>
    <row r="2198" spans="1:14">
      <c r="A2198" s="6" t="s">
        <v>3662</v>
      </c>
      <c r="B2198" s="7">
        <v>46044</v>
      </c>
      <c r="C2198" s="6" t="s">
        <v>1120</v>
      </c>
      <c r="D2198" s="6" t="str">
        <f>IF(OR(PROPER(TRIM(Raw_Data!D2198))="Uk",PROPER(TRIM(Raw_Data!D2198))="Gb",PROPER(TRIM(Raw_Data!D2198))="United kingdom"),"United Kingdom",PROPER(TRIM(Raw_Data!D2198)))</f>
        <v>United Kingdom</v>
      </c>
      <c r="E2198" s="6" t="s">
        <v>37</v>
      </c>
      <c r="F2198" s="6" t="s">
        <v>53</v>
      </c>
      <c r="G2198" s="6" t="str">
        <f>SUBSTITUTE(Raw_Data!G2198,"Ã©","é")</f>
        <v>Merino Base Layer</v>
      </c>
      <c r="H2198" s="6">
        <v>1</v>
      </c>
      <c r="I2198" s="6" t="s">
        <v>113</v>
      </c>
      <c r="J2198" s="6" t="s">
        <v>113</v>
      </c>
      <c r="K2198" s="6">
        <v>0.19</v>
      </c>
      <c r="L2198" s="6" t="s">
        <v>42</v>
      </c>
      <c r="M2198" s="6" t="s">
        <v>69</v>
      </c>
      <c r="N2198" s="6"/>
    </row>
    <row r="2199" spans="1:14">
      <c r="A2199" s="6" t="s">
        <v>3663</v>
      </c>
      <c r="B2199" s="7">
        <v>46129</v>
      </c>
      <c r="C2199" s="6" t="s">
        <v>3234</v>
      </c>
      <c r="D2199" s="6" t="str">
        <f>IF(OR(PROPER(TRIM(Raw_Data!D2199))="Uk",PROPER(TRIM(Raw_Data!D2199))="Gb",PROPER(TRIM(Raw_Data!D2199))="United kingdom"),"United Kingdom",PROPER(TRIM(Raw_Data!D2199)))</f>
        <v>United Kingdom</v>
      </c>
      <c r="E2199" s="6" t="s">
        <v>37</v>
      </c>
      <c r="F2199" s="6" t="s">
        <v>53</v>
      </c>
      <c r="G2199" s="6" t="str">
        <f>SUBSTITUTE(Raw_Data!G2199,"Ã©","é")</f>
        <v>Trekking Poles</v>
      </c>
      <c r="H2199" s="6">
        <v>2</v>
      </c>
      <c r="I2199" s="6" t="s">
        <v>265</v>
      </c>
      <c r="J2199" s="6" t="s">
        <v>167</v>
      </c>
      <c r="K2199" s="6">
        <v>0.19</v>
      </c>
      <c r="L2199" s="6" t="s">
        <v>42</v>
      </c>
      <c r="M2199" s="6" t="s">
        <v>34</v>
      </c>
      <c r="N2199" s="6"/>
    </row>
    <row r="2200" spans="1:14">
      <c r="A2200" s="6" t="s">
        <v>3664</v>
      </c>
      <c r="B2200" s="7">
        <v>46115</v>
      </c>
      <c r="C2200" s="6" t="s">
        <v>3665</v>
      </c>
      <c r="D2200" s="6" t="str">
        <f>IF(OR(PROPER(TRIM(Raw_Data!D2200))="Uk",PROPER(TRIM(Raw_Data!D2200))="Gb",PROPER(TRIM(Raw_Data!D2200))="United kingdom"),"United Kingdom",PROPER(TRIM(Raw_Data!D2200)))</f>
        <v>France</v>
      </c>
      <c r="E2200" s="6" t="s">
        <v>46</v>
      </c>
      <c r="F2200" s="6" t="s">
        <v>85</v>
      </c>
      <c r="G2200" s="6" t="str">
        <f>SUBSTITUTE(Raw_Data!G2200,"Ã©","é")</f>
        <v>Trail Softshell</v>
      </c>
      <c r="H2200" s="6">
        <v>1</v>
      </c>
      <c r="I2200" s="6" t="s">
        <v>1013</v>
      </c>
      <c r="J2200" s="6" t="s">
        <v>96</v>
      </c>
      <c r="K2200" s="6">
        <v>0.41</v>
      </c>
      <c r="L2200" s="6" t="s">
        <v>42</v>
      </c>
      <c r="M2200" s="6" t="s">
        <v>34</v>
      </c>
      <c r="N2200" s="6"/>
    </row>
    <row r="2201" spans="1:14">
      <c r="A2201" s="6" t="s">
        <v>3666</v>
      </c>
      <c r="B2201" s="7">
        <v>46096</v>
      </c>
      <c r="C2201" s="6" t="s">
        <v>3388</v>
      </c>
      <c r="D2201" s="6" t="str">
        <f>IF(OR(PROPER(TRIM(Raw_Data!D2201))="Uk",PROPER(TRIM(Raw_Data!D2201))="Gb",PROPER(TRIM(Raw_Data!D2201))="United kingdom"),"United Kingdom",PROPER(TRIM(Raw_Data!D2201)))</f>
        <v>United Kingdom</v>
      </c>
      <c r="E2201" s="6" t="s">
        <v>37</v>
      </c>
      <c r="F2201" s="6" t="s">
        <v>58</v>
      </c>
      <c r="G2201" s="6" t="str">
        <f>SUBSTITUTE(Raw_Data!G2201,"Ã©","é")</f>
        <v>Storm Overtrousers</v>
      </c>
      <c r="H2201" s="6">
        <v>1</v>
      </c>
      <c r="I2201" s="6" t="s">
        <v>82</v>
      </c>
      <c r="J2201" s="6" t="s">
        <v>82</v>
      </c>
      <c r="K2201" s="6">
        <v>0.38</v>
      </c>
      <c r="L2201" s="6" t="s">
        <v>33</v>
      </c>
      <c r="M2201" s="6" t="s">
        <v>69</v>
      </c>
      <c r="N2201" s="6"/>
    </row>
    <row r="2202" spans="1:14">
      <c r="A2202" s="6" t="s">
        <v>3667</v>
      </c>
      <c r="B2202" s="7">
        <v>46207</v>
      </c>
      <c r="C2202" s="6" t="s">
        <v>3668</v>
      </c>
      <c r="D2202" s="6" t="str">
        <f>IF(OR(PROPER(TRIM(Raw_Data!D2202))="Uk",PROPER(TRIM(Raw_Data!D2202))="Gb",PROPER(TRIM(Raw_Data!D2202))="United kingdom"),"United Kingdom",PROPER(TRIM(Raw_Data!D2202)))</f>
        <v>Ireland</v>
      </c>
      <c r="E2202" s="6" t="s">
        <v>37</v>
      </c>
      <c r="F2202" s="6" t="s">
        <v>53</v>
      </c>
      <c r="G2202" s="6" t="str">
        <f>SUBSTITUTE(Raw_Data!G2202,"Ã©","é")</f>
        <v>Storm Overtrousers</v>
      </c>
      <c r="H2202" s="6">
        <v>3</v>
      </c>
      <c r="I2202" s="6" t="s">
        <v>265</v>
      </c>
      <c r="J2202" s="6" t="s">
        <v>401</v>
      </c>
      <c r="K2202" s="6">
        <v>0.19</v>
      </c>
      <c r="L2202" s="6" t="s">
        <v>42</v>
      </c>
      <c r="M2202" s="6" t="s">
        <v>34</v>
      </c>
      <c r="N2202" s="6"/>
    </row>
    <row r="2203" spans="1:14">
      <c r="A2203" s="6" t="s">
        <v>3669</v>
      </c>
      <c r="B2203" s="7">
        <v>46192</v>
      </c>
      <c r="C2203" s="6" t="s">
        <v>1476</v>
      </c>
      <c r="D2203" s="6" t="str">
        <f>IF(OR(PROPER(TRIM(Raw_Data!D2203))="Uk",PROPER(TRIM(Raw_Data!D2203))="Gb",PROPER(TRIM(Raw_Data!D2203))="United kingdom"),"United Kingdom",PROPER(TRIM(Raw_Data!D2203)))</f>
        <v>France</v>
      </c>
      <c r="E2203" s="6" t="s">
        <v>28</v>
      </c>
      <c r="F2203" s="6" t="s">
        <v>38</v>
      </c>
      <c r="G2203" s="6" t="str">
        <f>SUBSTITUTE(Raw_Data!G2203,"Ã©","é")</f>
        <v>Trail Softshell</v>
      </c>
      <c r="H2203" s="6">
        <v>1</v>
      </c>
      <c r="I2203" s="6" t="s">
        <v>90</v>
      </c>
      <c r="J2203" s="6" t="s">
        <v>96</v>
      </c>
      <c r="K2203" s="6">
        <v>0.52</v>
      </c>
      <c r="L2203" s="6" t="s">
        <v>33</v>
      </c>
      <c r="M2203" s="6" t="s">
        <v>34</v>
      </c>
      <c r="N2203" s="6"/>
    </row>
    <row r="2204" spans="1:14">
      <c r="A2204" s="6" t="s">
        <v>3670</v>
      </c>
      <c r="B2204" s="7">
        <v>46189</v>
      </c>
      <c r="C2204" s="6" t="s">
        <v>1149</v>
      </c>
      <c r="D2204" s="6" t="str">
        <f>IF(OR(PROPER(TRIM(Raw_Data!D2204))="Uk",PROPER(TRIM(Raw_Data!D2204))="Gb",PROPER(TRIM(Raw_Data!D2204))="United kingdom"),"United Kingdom",PROPER(TRIM(Raw_Data!D2204)))</f>
        <v>Germany</v>
      </c>
      <c r="E2204" s="6" t="s">
        <v>46</v>
      </c>
      <c r="F2204" s="6" t="s">
        <v>53</v>
      </c>
      <c r="G2204" s="6" t="str">
        <f>SUBSTITUTE(Raw_Data!G2204,"Ã©","é")</f>
        <v>Merino Base Layer</v>
      </c>
      <c r="H2204" s="6">
        <v>2</v>
      </c>
      <c r="I2204" s="6" t="s">
        <v>79</v>
      </c>
      <c r="J2204" s="6" t="s">
        <v>259</v>
      </c>
      <c r="K2204" s="6">
        <v>0.19</v>
      </c>
      <c r="L2204" s="6" t="s">
        <v>42</v>
      </c>
      <c r="M2204" s="6" t="s">
        <v>69</v>
      </c>
      <c r="N2204" s="6"/>
    </row>
    <row r="2205" spans="1:14">
      <c r="A2205" s="6" t="s">
        <v>3671</v>
      </c>
      <c r="B2205" s="7">
        <v>46084</v>
      </c>
      <c r="C2205" s="6" t="s">
        <v>3672</v>
      </c>
      <c r="D2205" s="6" t="str">
        <f>IF(OR(PROPER(TRIM(Raw_Data!D2205))="Uk",PROPER(TRIM(Raw_Data!D2205))="Gb",PROPER(TRIM(Raw_Data!D2205))="United kingdom"),"United Kingdom",PROPER(TRIM(Raw_Data!D2205)))</f>
        <v>Germany</v>
      </c>
      <c r="E2205" s="6" t="s">
        <v>46</v>
      </c>
      <c r="F2205" s="6" t="s">
        <v>38</v>
      </c>
      <c r="G2205" s="6" t="str">
        <f>SUBSTITUTE(Raw_Data!G2205,"Ã©","é")</f>
        <v>Storm Overtrousers</v>
      </c>
      <c r="H2205" s="6">
        <v>1</v>
      </c>
      <c r="I2205" s="6" t="s">
        <v>67</v>
      </c>
      <c r="J2205" s="6" t="s">
        <v>3673</v>
      </c>
      <c r="K2205" s="6">
        <v>0.52</v>
      </c>
      <c r="L2205" s="6" t="s">
        <v>42</v>
      </c>
      <c r="M2205" s="6" t="s">
        <v>34</v>
      </c>
      <c r="N2205" s="6"/>
    </row>
    <row r="2206" spans="1:14">
      <c r="A2206" s="6" t="s">
        <v>3674</v>
      </c>
      <c r="B2206" s="7">
        <v>46157</v>
      </c>
      <c r="C2206" s="6" t="s">
        <v>3675</v>
      </c>
      <c r="D2206" s="6" t="str">
        <f>IF(OR(PROPER(TRIM(Raw_Data!D2206))="Uk",PROPER(TRIM(Raw_Data!D2206))="Gb",PROPER(TRIM(Raw_Data!D2206))="United kingdom"),"United Kingdom",PROPER(TRIM(Raw_Data!D2206)))</f>
        <v>Germany</v>
      </c>
      <c r="E2206" s="6" t="s">
        <v>52</v>
      </c>
      <c r="F2206" s="6" t="s">
        <v>94</v>
      </c>
      <c r="G2206" s="6" t="str">
        <f>SUBSTITUTE(Raw_Data!G2206,"Ã©","é")</f>
        <v>Merino Base Layer</v>
      </c>
      <c r="H2206" s="6">
        <v>1</v>
      </c>
      <c r="I2206" s="6" t="s">
        <v>79</v>
      </c>
      <c r="J2206" s="6" t="s">
        <v>79</v>
      </c>
      <c r="K2206" s="6">
        <v>0.34</v>
      </c>
      <c r="L2206" s="6" t="s">
        <v>33</v>
      </c>
      <c r="M2206" s="6" t="s">
        <v>34</v>
      </c>
      <c r="N2206" s="6"/>
    </row>
    <row r="2207" spans="1:14">
      <c r="A2207" s="6" t="s">
        <v>3676</v>
      </c>
      <c r="B2207" s="7">
        <v>46179</v>
      </c>
      <c r="C2207" s="6" t="s">
        <v>602</v>
      </c>
      <c r="D2207" s="6" t="str">
        <f>IF(OR(PROPER(TRIM(Raw_Data!D2207))="Uk",PROPER(TRIM(Raw_Data!D2207))="Gb",PROPER(TRIM(Raw_Data!D2207))="United kingdom"),"United Kingdom",PROPER(TRIM(Raw_Data!D2207)))</f>
        <v>Ireland</v>
      </c>
      <c r="E2207" s="6" t="s">
        <v>46</v>
      </c>
      <c r="F2207" s="6" t="s">
        <v>58</v>
      </c>
      <c r="G2207" s="6" t="str">
        <f>SUBSTITUTE(Raw_Data!G2207,"Ã©","é")</f>
        <v>Café Latte Mug</v>
      </c>
      <c r="H2207" s="6">
        <v>1</v>
      </c>
      <c r="I2207" s="6" t="s">
        <v>113</v>
      </c>
      <c r="J2207" s="6" t="s">
        <v>113</v>
      </c>
      <c r="K2207" s="6">
        <v>0.38</v>
      </c>
      <c r="L2207" s="6" t="s">
        <v>42</v>
      </c>
      <c r="M2207" s="6" t="s">
        <v>34</v>
      </c>
      <c r="N2207" s="6"/>
    </row>
    <row r="2208" spans="1:14">
      <c r="A2208" s="6" t="s">
        <v>3677</v>
      </c>
      <c r="B2208" s="7">
        <v>46164</v>
      </c>
      <c r="C2208" s="6" t="s">
        <v>768</v>
      </c>
      <c r="D2208" s="6" t="str">
        <f>IF(OR(PROPER(TRIM(Raw_Data!D2208))="Uk",PROPER(TRIM(Raw_Data!D2208))="Gb",PROPER(TRIM(Raw_Data!D2208))="United kingdom"),"United Kingdom",PROPER(TRIM(Raw_Data!D2208)))</f>
        <v>Germany</v>
      </c>
      <c r="E2208" s="6" t="s">
        <v>78</v>
      </c>
      <c r="F2208" s="6" t="s">
        <v>58</v>
      </c>
      <c r="G2208" s="6" t="str">
        <f>SUBSTITUTE(Raw_Data!G2208,"Ã©","é")</f>
        <v>Storm Overtrousers</v>
      </c>
      <c r="H2208" s="6">
        <v>-3</v>
      </c>
      <c r="I2208" s="6" t="s">
        <v>82</v>
      </c>
      <c r="J2208" s="8" t="s">
        <v>3678</v>
      </c>
      <c r="K2208" s="6">
        <v>0.38</v>
      </c>
      <c r="L2208" s="6" t="s">
        <v>42</v>
      </c>
      <c r="M2208" s="6" t="s">
        <v>34</v>
      </c>
      <c r="N2208" s="6"/>
    </row>
    <row r="2209" spans="1:14">
      <c r="A2209" s="6" t="s">
        <v>3679</v>
      </c>
      <c r="B2209" s="7">
        <v>46138</v>
      </c>
      <c r="C2209" s="6" t="s">
        <v>3680</v>
      </c>
      <c r="D2209" s="6" t="str">
        <f>IF(OR(PROPER(TRIM(Raw_Data!D2209))="Uk",PROPER(TRIM(Raw_Data!D2209))="Gb",PROPER(TRIM(Raw_Data!D2209))="United kingdom"),"United Kingdom",PROPER(TRIM(Raw_Data!D2209)))</f>
        <v>France</v>
      </c>
      <c r="E2209" s="6" t="s">
        <v>28</v>
      </c>
      <c r="F2209" s="6" t="s">
        <v>58</v>
      </c>
      <c r="G2209" s="6" t="str">
        <f>SUBSTITUTE(Raw_Data!G2209,"Ã©","é")</f>
        <v>Trekking Poles</v>
      </c>
      <c r="H2209" s="6">
        <v>3</v>
      </c>
      <c r="I2209" s="6" t="s">
        <v>113</v>
      </c>
      <c r="J2209" s="6" t="s">
        <v>138</v>
      </c>
      <c r="K2209" s="6">
        <v>0.38</v>
      </c>
      <c r="L2209" s="6" t="s">
        <v>42</v>
      </c>
      <c r="M2209" s="6" t="s">
        <v>34</v>
      </c>
      <c r="N2209" s="6"/>
    </row>
    <row r="2210" spans="1:14">
      <c r="A2210" s="6" t="s">
        <v>3681</v>
      </c>
      <c r="B2210" s="7">
        <v>46055</v>
      </c>
      <c r="C2210" s="6" t="s">
        <v>2371</v>
      </c>
      <c r="D2210" s="6" t="str">
        <f>IF(OR(PROPER(TRIM(Raw_Data!D2210))="Uk",PROPER(TRIM(Raw_Data!D2210))="Gb",PROPER(TRIM(Raw_Data!D2210))="United kingdom"),"United Kingdom",PROPER(TRIM(Raw_Data!D2210)))</f>
        <v>Ireland</v>
      </c>
      <c r="E2210" s="6" t="s">
        <v>46</v>
      </c>
      <c r="F2210" s="6" t="s">
        <v>85</v>
      </c>
      <c r="G2210" s="6" t="str">
        <f>SUBSTITUTE(Raw_Data!G2210,"Ã©","é")</f>
        <v>Summit Down Gilet</v>
      </c>
      <c r="H2210" s="6">
        <v>1</v>
      </c>
      <c r="I2210" s="6" t="s">
        <v>265</v>
      </c>
      <c r="J2210" s="6" t="s">
        <v>265</v>
      </c>
      <c r="K2210" s="6">
        <v>0.41</v>
      </c>
      <c r="L2210" s="6" t="s">
        <v>42</v>
      </c>
      <c r="M2210" s="6" t="s">
        <v>34</v>
      </c>
      <c r="N2210" s="6"/>
    </row>
    <row r="2211" spans="1:14">
      <c r="A2211" s="6" t="s">
        <v>3682</v>
      </c>
      <c r="B2211" s="7">
        <v>46362</v>
      </c>
      <c r="C2211" s="6" t="s">
        <v>2050</v>
      </c>
      <c r="D2211" s="6" t="str">
        <f>IF(OR(PROPER(TRIM(Raw_Data!D2211))="Uk",PROPER(TRIM(Raw_Data!D2211))="Gb",PROPER(TRIM(Raw_Data!D2211))="United kingdom"),"United Kingdom",PROPER(TRIM(Raw_Data!D2211)))</f>
        <v>United Kingdom</v>
      </c>
      <c r="E2211" s="6" t="s">
        <v>37</v>
      </c>
      <c r="F2211" s="6" t="s">
        <v>85</v>
      </c>
      <c r="G2211" s="6" t="str">
        <f>SUBSTITUTE(Raw_Data!G2211,"Ã©","é")</f>
        <v>Trekking Poles</v>
      </c>
      <c r="H2211" s="6">
        <v>1</v>
      </c>
      <c r="I2211" s="6" t="s">
        <v>143</v>
      </c>
      <c r="J2211" s="6" t="s">
        <v>143</v>
      </c>
      <c r="K2211" s="6">
        <v>0.41</v>
      </c>
      <c r="L2211" s="6" t="s">
        <v>42</v>
      </c>
      <c r="M2211" s="6" t="s">
        <v>34</v>
      </c>
      <c r="N2211" s="6"/>
    </row>
    <row r="2212" spans="1:14">
      <c r="A2212" s="6" t="s">
        <v>3683</v>
      </c>
      <c r="B2212" s="7">
        <v>46132</v>
      </c>
      <c r="C2212" s="6" t="s">
        <v>3684</v>
      </c>
      <c r="D2212" s="6" t="str">
        <f>IF(OR(PROPER(TRIM(Raw_Data!D2212))="Uk",PROPER(TRIM(Raw_Data!D2212))="Gb",PROPER(TRIM(Raw_Data!D2212))="United kingdom"),"United Kingdom",PROPER(TRIM(Raw_Data!D2212)))</f>
        <v>France</v>
      </c>
      <c r="E2212" s="6" t="s">
        <v>46</v>
      </c>
      <c r="F2212" s="6" t="s">
        <v>100</v>
      </c>
      <c r="G2212" s="6" t="str">
        <f>SUBSTITUTE(Raw_Data!G2212,"Ã©","é")</f>
        <v>Storm Overtrousers</v>
      </c>
      <c r="H2212" s="6">
        <v>3</v>
      </c>
      <c r="I2212" s="6" t="s">
        <v>113</v>
      </c>
      <c r="J2212" s="6" t="s">
        <v>138</v>
      </c>
      <c r="K2212" s="6">
        <v>0.64</v>
      </c>
      <c r="L2212" s="6" t="s">
        <v>33</v>
      </c>
      <c r="M2212" s="6" t="s">
        <v>69</v>
      </c>
      <c r="N2212" s="6"/>
    </row>
    <row r="2213" spans="1:14">
      <c r="A2213" s="6" t="s">
        <v>3685</v>
      </c>
      <c r="B2213" s="7">
        <v>46105</v>
      </c>
      <c r="C2213" s="6" t="s">
        <v>3686</v>
      </c>
      <c r="D2213" s="6" t="str">
        <f>IF(OR(PROPER(TRIM(Raw_Data!D2213))="Uk",PROPER(TRIM(Raw_Data!D2213))="Gb",PROPER(TRIM(Raw_Data!D2213))="United kingdom"),"United Kingdom",PROPER(TRIM(Raw_Data!D2213)))</f>
        <v>United Kingdom</v>
      </c>
      <c r="E2213" s="6" t="s">
        <v>46</v>
      </c>
      <c r="F2213" s="6" t="s">
        <v>29</v>
      </c>
      <c r="G2213" s="6" t="str">
        <f>SUBSTITUTE(Raw_Data!G2213,"Ã©","é")</f>
        <v>Fell Runner Cap</v>
      </c>
      <c r="H2213" s="6">
        <v>2</v>
      </c>
      <c r="I2213" s="6" t="s">
        <v>117</v>
      </c>
      <c r="J2213" s="6" t="s">
        <v>118</v>
      </c>
      <c r="K2213" s="6">
        <v>0.52</v>
      </c>
      <c r="L2213" s="6" t="s">
        <v>42</v>
      </c>
      <c r="M2213" s="6" t="s">
        <v>34</v>
      </c>
      <c r="N2213" s="6"/>
    </row>
    <row r="2214" spans="1:14">
      <c r="A2214" s="6" t="s">
        <v>3687</v>
      </c>
      <c r="B2214" s="7">
        <v>46301</v>
      </c>
      <c r="C2214" s="6" t="s">
        <v>771</v>
      </c>
      <c r="D2214" s="6" t="str">
        <f>IF(OR(PROPER(TRIM(Raw_Data!D2214))="Uk",PROPER(TRIM(Raw_Data!D2214))="Gb",PROPER(TRIM(Raw_Data!D2214))="United kingdom"),"United Kingdom",PROPER(TRIM(Raw_Data!D2214)))</f>
        <v>United Kingdom</v>
      </c>
      <c r="E2214" s="6" t="s">
        <v>78</v>
      </c>
      <c r="F2214" s="6" t="s">
        <v>47</v>
      </c>
      <c r="G2214" s="6" t="str">
        <f>SUBSTITUTE(Raw_Data!G2214,"Ã©","é")</f>
        <v>Storm Overtrousers</v>
      </c>
      <c r="H2214" s="6">
        <v>2</v>
      </c>
      <c r="I2214" s="6" t="s">
        <v>113</v>
      </c>
      <c r="J2214" s="6" t="s">
        <v>192</v>
      </c>
      <c r="K2214" s="6">
        <v>8.5000000000000006E-2</v>
      </c>
      <c r="L2214" s="6" t="s">
        <v>42</v>
      </c>
      <c r="M2214" s="6" t="s">
        <v>34</v>
      </c>
      <c r="N2214" s="6"/>
    </row>
    <row r="2215" spans="1:14">
      <c r="A2215" s="6" t="s">
        <v>3688</v>
      </c>
      <c r="B2215" s="7">
        <v>46175</v>
      </c>
      <c r="C2215" s="6" t="s">
        <v>355</v>
      </c>
      <c r="D2215" s="6" t="str">
        <f>IF(OR(PROPER(TRIM(Raw_Data!D2215))="Uk",PROPER(TRIM(Raw_Data!D2215))="Gb",PROPER(TRIM(Raw_Data!D2215))="United kingdom"),"United Kingdom",PROPER(TRIM(Raw_Data!D2215)))</f>
        <v>United Kingdom</v>
      </c>
      <c r="E2215" s="6" t="s">
        <v>46</v>
      </c>
      <c r="F2215" s="6" t="s">
        <v>47</v>
      </c>
      <c r="G2215" s="6" t="str">
        <f>SUBSTITUTE(Raw_Data!G2215,"Ã©","é")</f>
        <v>Storm Overtrousers</v>
      </c>
      <c r="H2215" s="6">
        <v>1</v>
      </c>
      <c r="I2215" s="6" t="s">
        <v>82</v>
      </c>
      <c r="J2215" s="6" t="s">
        <v>82</v>
      </c>
      <c r="K2215" s="6">
        <v>8.5000000000000006E-2</v>
      </c>
      <c r="L2215" s="6" t="s">
        <v>42</v>
      </c>
      <c r="M2215" s="6" t="s">
        <v>69</v>
      </c>
      <c r="N2215" s="6"/>
    </row>
    <row r="2216" spans="1:14">
      <c r="A2216" s="6" t="s">
        <v>3689</v>
      </c>
      <c r="B2216" s="7">
        <v>46156</v>
      </c>
      <c r="C2216" s="6" t="s">
        <v>3690</v>
      </c>
      <c r="D2216" s="6" t="str">
        <f>IF(OR(PROPER(TRIM(Raw_Data!D2216))="Uk",PROPER(TRIM(Raw_Data!D2216))="Gb",PROPER(TRIM(Raw_Data!D2216))="United kingdom"),"United Kingdom",PROPER(TRIM(Raw_Data!D2216)))</f>
        <v>United Kingdom</v>
      </c>
      <c r="E2216" s="6" t="s">
        <v>52</v>
      </c>
      <c r="F2216" s="6" t="s">
        <v>53</v>
      </c>
      <c r="G2216" s="6" t="str">
        <f>SUBSTITUTE(Raw_Data!G2216,"Ã©","é")</f>
        <v>Summit Down Gilet</v>
      </c>
      <c r="H2216" s="6">
        <v>1</v>
      </c>
      <c r="I2216" s="6" t="s">
        <v>90</v>
      </c>
      <c r="J2216" s="6" t="s">
        <v>90</v>
      </c>
      <c r="K2216" s="6">
        <v>0.19</v>
      </c>
      <c r="L2216" s="6" t="s">
        <v>33</v>
      </c>
      <c r="M2216" s="6" t="s">
        <v>34</v>
      </c>
      <c r="N2216" s="6"/>
    </row>
    <row r="2217" spans="1:14">
      <c r="A2217" s="6" t="s">
        <v>3691</v>
      </c>
      <c r="B2217" s="7">
        <v>46164</v>
      </c>
      <c r="C2217" s="6" t="s">
        <v>355</v>
      </c>
      <c r="D2217" s="6" t="str">
        <f>IF(OR(PROPER(TRIM(Raw_Data!D2217))="Uk",PROPER(TRIM(Raw_Data!D2217))="Gb",PROPER(TRIM(Raw_Data!D2217))="United kingdom"),"United Kingdom",PROPER(TRIM(Raw_Data!D2217)))</f>
        <v>United Kingdom</v>
      </c>
      <c r="E2217" s="6" t="s">
        <v>46</v>
      </c>
      <c r="F2217" s="6" t="s">
        <v>58</v>
      </c>
      <c r="G2217" s="6" t="str">
        <f>SUBSTITUTE(Raw_Data!G2217,"Ã©","é")</f>
        <v>Trekking Poles</v>
      </c>
      <c r="H2217" s="6">
        <v>2</v>
      </c>
      <c r="I2217" s="6" t="s">
        <v>755</v>
      </c>
      <c r="J2217" s="6" t="s">
        <v>118</v>
      </c>
      <c r="K2217" s="6">
        <v>0.38</v>
      </c>
      <c r="L2217" s="6" t="s">
        <v>33</v>
      </c>
      <c r="M2217" s="6" t="s">
        <v>34</v>
      </c>
      <c r="N2217" s="6"/>
    </row>
    <row r="2218" spans="1:14">
      <c r="A2218" s="6" t="s">
        <v>3692</v>
      </c>
      <c r="B2218" s="7">
        <v>46035</v>
      </c>
      <c r="C2218" s="6" t="s">
        <v>3140</v>
      </c>
      <c r="D2218" s="6" t="str">
        <f>IF(OR(PROPER(TRIM(Raw_Data!D2218))="Uk",PROPER(TRIM(Raw_Data!D2218))="Gb",PROPER(TRIM(Raw_Data!D2218))="United kingdom"),"United Kingdom",PROPER(TRIM(Raw_Data!D2218)))</f>
        <v>Ireland</v>
      </c>
      <c r="E2218" s="6" t="s">
        <v>78</v>
      </c>
      <c r="F2218" s="6" t="s">
        <v>85</v>
      </c>
      <c r="G2218" s="6" t="str">
        <f>SUBSTITUTE(Raw_Data!G2218,"Ã©","é")</f>
        <v>Storm Overtrousers</v>
      </c>
      <c r="H2218" s="6">
        <v>1</v>
      </c>
      <c r="I2218" s="6" t="s">
        <v>748</v>
      </c>
      <c r="J2218" s="6" t="s">
        <v>113</v>
      </c>
      <c r="K2218" s="6">
        <v>0.41</v>
      </c>
      <c r="L2218" s="6" t="s">
        <v>42</v>
      </c>
      <c r="M2218" s="6" t="s">
        <v>34</v>
      </c>
      <c r="N2218" s="6"/>
    </row>
    <row r="2219" spans="1:14">
      <c r="A2219" s="6" t="s">
        <v>3693</v>
      </c>
      <c r="B2219" s="7">
        <v>46202</v>
      </c>
      <c r="C2219" s="6" t="s">
        <v>326</v>
      </c>
      <c r="D2219" s="6" t="str">
        <f>IF(OR(PROPER(TRIM(Raw_Data!D2219))="Uk",PROPER(TRIM(Raw_Data!D2219))="Gb",PROPER(TRIM(Raw_Data!D2219))="United kingdom"),"United Kingdom",PROPER(TRIM(Raw_Data!D2219)))</f>
        <v>United Kingdom</v>
      </c>
      <c r="E2219" s="6" t="s">
        <v>28</v>
      </c>
      <c r="F2219" s="6" t="s">
        <v>29</v>
      </c>
      <c r="G2219" s="6" t="str">
        <f>SUBSTITUTE(Raw_Data!G2219,"Ã©","é")</f>
        <v>Fell Runner Cap</v>
      </c>
      <c r="H2219" s="6">
        <v>2</v>
      </c>
      <c r="I2219" s="6" t="s">
        <v>90</v>
      </c>
      <c r="J2219" s="6" t="s">
        <v>154</v>
      </c>
      <c r="K2219" s="6">
        <v>0.52</v>
      </c>
      <c r="L2219" s="6" t="s">
        <v>42</v>
      </c>
      <c r="M2219" s="6" t="s">
        <v>69</v>
      </c>
      <c r="N2219" s="6"/>
    </row>
    <row r="2220" spans="1:14">
      <c r="A2220" s="6" t="s">
        <v>3694</v>
      </c>
      <c r="B2220" s="7">
        <v>46203</v>
      </c>
      <c r="C2220" s="6" t="s">
        <v>280</v>
      </c>
      <c r="D2220" s="6" t="str">
        <f>IF(OR(PROPER(TRIM(Raw_Data!D2220))="Uk",PROPER(TRIM(Raw_Data!D2220))="Gb",PROPER(TRIM(Raw_Data!D2220))="United kingdom"),"United Kingdom",PROPER(TRIM(Raw_Data!D2220)))</f>
        <v>United Kingdom</v>
      </c>
      <c r="E2220" s="6" t="s">
        <v>46</v>
      </c>
      <c r="F2220" s="6" t="s">
        <v>100</v>
      </c>
      <c r="G2220" s="6" t="str">
        <f>SUBSTITUTE(Raw_Data!G2220,"Ã©","é")</f>
        <v>Café Latte Mug</v>
      </c>
      <c r="H2220" s="6">
        <v>3</v>
      </c>
      <c r="I2220" s="6" t="s">
        <v>73</v>
      </c>
      <c r="J2220" s="6" t="s">
        <v>3695</v>
      </c>
      <c r="K2220" s="6">
        <v>0.64</v>
      </c>
      <c r="L2220" s="6" t="s">
        <v>42</v>
      </c>
      <c r="M2220" s="6" t="s">
        <v>34</v>
      </c>
      <c r="N2220" s="6"/>
    </row>
    <row r="2221" spans="1:14">
      <c r="A2221" s="6" t="s">
        <v>3696</v>
      </c>
      <c r="B2221" s="7">
        <v>46073</v>
      </c>
      <c r="C2221" s="6" t="s">
        <v>524</v>
      </c>
      <c r="D2221" s="6" t="str">
        <f>IF(OR(PROPER(TRIM(Raw_Data!D2221))="Uk",PROPER(TRIM(Raw_Data!D2221))="Gb",PROPER(TRIM(Raw_Data!D2221))="United kingdom"),"United Kingdom",PROPER(TRIM(Raw_Data!D2221)))</f>
        <v>United Kingdom</v>
      </c>
      <c r="E2221" s="6" t="s">
        <v>52</v>
      </c>
      <c r="F2221" s="6" t="s">
        <v>100</v>
      </c>
      <c r="G2221" s="6" t="str">
        <f>SUBSTITUTE(Raw_Data!G2221,"Ã©","é")</f>
        <v>Trail Softshell</v>
      </c>
      <c r="H2221" s="6">
        <v>3</v>
      </c>
      <c r="I2221" s="6" t="s">
        <v>67</v>
      </c>
      <c r="J2221" s="6" t="s">
        <v>68</v>
      </c>
      <c r="K2221" s="6">
        <v>0.64</v>
      </c>
      <c r="L2221" s="6" t="s">
        <v>42</v>
      </c>
      <c r="M2221" s="6" t="s">
        <v>69</v>
      </c>
      <c r="N2221" s="6"/>
    </row>
    <row r="2222" spans="1:14">
      <c r="A2222" s="6" t="s">
        <v>3697</v>
      </c>
      <c r="B2222" s="7">
        <v>46145</v>
      </c>
      <c r="C2222" s="6" t="s">
        <v>784</v>
      </c>
      <c r="D2222" s="6" t="str">
        <f>IF(OR(PROPER(TRIM(Raw_Data!D2222))="Uk",PROPER(TRIM(Raw_Data!D2222))="Gb",PROPER(TRIM(Raw_Data!D2222))="United kingdom"),"United Kingdom",PROPER(TRIM(Raw_Data!D2222)))</f>
        <v>United Kingdom</v>
      </c>
      <c r="E2222" s="6" t="s">
        <v>46</v>
      </c>
      <c r="F2222" s="6" t="s">
        <v>100</v>
      </c>
      <c r="G2222" s="6" t="str">
        <f>SUBSTITUTE(Raw_Data!G2222,"Ã©","é")</f>
        <v>Storm Overtrousers</v>
      </c>
      <c r="H2222" s="6">
        <v>-1</v>
      </c>
      <c r="I2222" s="6" t="s">
        <v>265</v>
      </c>
      <c r="J2222" s="8" t="s">
        <v>311</v>
      </c>
      <c r="K2222" s="6">
        <v>0.64</v>
      </c>
      <c r="L2222" s="6" t="s">
        <v>42</v>
      </c>
      <c r="M2222" s="6" t="s">
        <v>34</v>
      </c>
      <c r="N2222" s="6"/>
    </row>
    <row r="2223" spans="1:14">
      <c r="A2223" s="6" t="s">
        <v>3698</v>
      </c>
      <c r="B2223" s="7">
        <v>46086</v>
      </c>
      <c r="C2223" s="6" t="s">
        <v>2778</v>
      </c>
      <c r="D2223" s="6" t="str">
        <f>IF(OR(PROPER(TRIM(Raw_Data!D2223))="Uk",PROPER(TRIM(Raw_Data!D2223))="Gb",PROPER(TRIM(Raw_Data!D2223))="United kingdom"),"United Kingdom",PROPER(TRIM(Raw_Data!D2223)))</f>
        <v>France</v>
      </c>
      <c r="E2223" s="6" t="s">
        <v>46</v>
      </c>
      <c r="F2223" s="6" t="s">
        <v>38</v>
      </c>
      <c r="G2223" s="6" t="str">
        <f>SUBSTITUTE(Raw_Data!G2223,"Ã©","é")</f>
        <v>Summit Down Gilet</v>
      </c>
      <c r="H2223" s="6">
        <v>2</v>
      </c>
      <c r="I2223" s="6" t="s">
        <v>79</v>
      </c>
      <c r="J2223" s="6" t="s">
        <v>259</v>
      </c>
      <c r="K2223" s="6">
        <v>0.52</v>
      </c>
      <c r="L2223" s="6" t="s">
        <v>42</v>
      </c>
      <c r="M2223" s="6" t="s">
        <v>34</v>
      </c>
      <c r="N2223" s="6"/>
    </row>
    <row r="2224" spans="1:14">
      <c r="A2224" s="6" t="s">
        <v>3699</v>
      </c>
      <c r="B2224" s="7">
        <v>46103</v>
      </c>
      <c r="C2224" s="6" t="s">
        <v>3521</v>
      </c>
      <c r="D2224" s="6" t="str">
        <f>IF(OR(PROPER(TRIM(Raw_Data!D2224))="Uk",PROPER(TRIM(Raw_Data!D2224))="Gb",PROPER(TRIM(Raw_Data!D2224))="United kingdom"),"United Kingdom",PROPER(TRIM(Raw_Data!D2224)))</f>
        <v>United Kingdom</v>
      </c>
      <c r="E2224" s="6" t="s">
        <v>46</v>
      </c>
      <c r="F2224" s="6" t="s">
        <v>100</v>
      </c>
      <c r="G2224" s="6" t="str">
        <f>SUBSTITUTE(Raw_Data!G2224,"Ã©","é")</f>
        <v>Trekking Poles</v>
      </c>
      <c r="H2224" s="6">
        <v>2</v>
      </c>
      <c r="I2224" s="6" t="s">
        <v>117</v>
      </c>
      <c r="J2224" s="6" t="s">
        <v>118</v>
      </c>
      <c r="K2224" s="6">
        <v>0.64</v>
      </c>
      <c r="L2224" s="6" t="s">
        <v>33</v>
      </c>
      <c r="M2224" s="6" t="s">
        <v>34</v>
      </c>
      <c r="N2224" s="6"/>
    </row>
    <row r="2225" spans="1:14">
      <c r="A2225" s="6" t="s">
        <v>3700</v>
      </c>
      <c r="B2225" s="7">
        <v>46075</v>
      </c>
      <c r="C2225" s="6" t="s">
        <v>2308</v>
      </c>
      <c r="D2225" s="6" t="str">
        <f>IF(OR(PROPER(TRIM(Raw_Data!D2225))="Uk",PROPER(TRIM(Raw_Data!D2225))="Gb",PROPER(TRIM(Raw_Data!D2225))="United kingdom"),"United Kingdom",PROPER(TRIM(Raw_Data!D2225)))</f>
        <v>United Kingdom</v>
      </c>
      <c r="E2225" s="6" t="s">
        <v>52</v>
      </c>
      <c r="F2225" s="6" t="s">
        <v>29</v>
      </c>
      <c r="G2225" s="6" t="str">
        <f>SUBSTITUTE(Raw_Data!G2225,"Ã©","é")</f>
        <v>Trail Softshell</v>
      </c>
      <c r="H2225" s="6">
        <v>1</v>
      </c>
      <c r="I2225" s="6" t="s">
        <v>181</v>
      </c>
      <c r="J2225" s="6" t="s">
        <v>181</v>
      </c>
      <c r="K2225" s="6">
        <v>0.52</v>
      </c>
      <c r="L2225" s="6" t="s">
        <v>33</v>
      </c>
      <c r="M2225" s="6" t="s">
        <v>34</v>
      </c>
      <c r="N2225" s="6"/>
    </row>
    <row r="2226" spans="1:14">
      <c r="A2226" s="6" t="s">
        <v>3701</v>
      </c>
      <c r="B2226" s="7">
        <v>46207</v>
      </c>
      <c r="C2226" s="6" t="s">
        <v>381</v>
      </c>
      <c r="D2226" s="6" t="str">
        <f>IF(OR(PROPER(TRIM(Raw_Data!D2226))="Uk",PROPER(TRIM(Raw_Data!D2226))="Gb",PROPER(TRIM(Raw_Data!D2226))="United kingdom"),"United Kingdom",PROPER(TRIM(Raw_Data!D2226)))</f>
        <v>United Kingdom</v>
      </c>
      <c r="E2226" s="6" t="s">
        <v>78</v>
      </c>
      <c r="F2226" s="6" t="s">
        <v>58</v>
      </c>
      <c r="G2226" s="6" t="str">
        <f>SUBSTITUTE(Raw_Data!G2226,"Ã©","é")</f>
        <v>Alpine Jacket</v>
      </c>
      <c r="H2226" s="6">
        <v>1</v>
      </c>
      <c r="I2226" s="6" t="s">
        <v>265</v>
      </c>
      <c r="J2226" s="6" t="s">
        <v>265</v>
      </c>
      <c r="K2226" s="6">
        <v>0.38</v>
      </c>
      <c r="L2226" s="6" t="s">
        <v>42</v>
      </c>
      <c r="M2226" s="6" t="s">
        <v>69</v>
      </c>
      <c r="N2226" s="6"/>
    </row>
    <row r="2227" spans="1:14">
      <c r="A2227" s="6" t="s">
        <v>3702</v>
      </c>
      <c r="B2227" s="7">
        <v>46035</v>
      </c>
      <c r="C2227" s="6" t="s">
        <v>2881</v>
      </c>
      <c r="D2227" s="6" t="str">
        <f>IF(OR(PROPER(TRIM(Raw_Data!D2227))="Uk",PROPER(TRIM(Raw_Data!D2227))="Gb",PROPER(TRIM(Raw_Data!D2227))="United kingdom"),"United Kingdom",PROPER(TRIM(Raw_Data!D2227)))</f>
        <v>United Kingdom</v>
      </c>
      <c r="E2227" s="6" t="s">
        <v>46</v>
      </c>
      <c r="F2227" s="6" t="s">
        <v>58</v>
      </c>
      <c r="G2227" s="6" t="str">
        <f>SUBSTITUTE(Raw_Data!G2227,"Ã©","é")</f>
        <v>Merino Base Layer</v>
      </c>
      <c r="H2227" s="6">
        <v>1</v>
      </c>
      <c r="I2227" s="6" t="s">
        <v>181</v>
      </c>
      <c r="J2227" s="6" t="s">
        <v>181</v>
      </c>
      <c r="K2227" s="6">
        <v>0.38</v>
      </c>
      <c r="L2227" s="6" t="s">
        <v>42</v>
      </c>
      <c r="M2227" s="6" t="s">
        <v>34</v>
      </c>
      <c r="N2227" s="6"/>
    </row>
    <row r="2228" spans="1:14">
      <c r="A2228" s="6" t="s">
        <v>3703</v>
      </c>
      <c r="B2228" s="7">
        <v>46155</v>
      </c>
      <c r="C2228" s="6" t="s">
        <v>1894</v>
      </c>
      <c r="D2228" s="6" t="str">
        <f>IF(OR(PROPER(TRIM(Raw_Data!D2228))="Uk",PROPER(TRIM(Raw_Data!D2228))="Gb",PROPER(TRIM(Raw_Data!D2228))="United kingdom"),"United Kingdom",PROPER(TRIM(Raw_Data!D2228)))</f>
        <v>France</v>
      </c>
      <c r="E2228" s="6" t="s">
        <v>46</v>
      </c>
      <c r="F2228" s="6" t="s">
        <v>58</v>
      </c>
      <c r="G2228" s="6" t="str">
        <f>SUBSTITUTE(Raw_Data!G2228,"Ã©","é")</f>
        <v>Merino Base Layer</v>
      </c>
      <c r="H2228" s="6">
        <v>1</v>
      </c>
      <c r="I2228" s="6" t="s">
        <v>166</v>
      </c>
      <c r="J2228" s="6" t="s">
        <v>265</v>
      </c>
      <c r="K2228" s="6">
        <v>0.38</v>
      </c>
      <c r="L2228" s="6" t="s">
        <v>33</v>
      </c>
      <c r="M2228" s="6" t="s">
        <v>34</v>
      </c>
      <c r="N2228" s="6"/>
    </row>
    <row r="2229" spans="1:14">
      <c r="A2229" s="6" t="s">
        <v>3704</v>
      </c>
      <c r="B2229" s="7">
        <v>46266</v>
      </c>
      <c r="C2229" s="6" t="s">
        <v>206</v>
      </c>
      <c r="D2229" s="6" t="str">
        <f>IF(OR(PROPER(TRIM(Raw_Data!D2229))="Uk",PROPER(TRIM(Raw_Data!D2229))="Gb",PROPER(TRIM(Raw_Data!D2229))="United kingdom"),"United Kingdom",PROPER(TRIM(Raw_Data!D2229)))</f>
        <v>Ireland</v>
      </c>
      <c r="E2229" s="6" t="s">
        <v>37</v>
      </c>
      <c r="F2229" s="6" t="s">
        <v>100</v>
      </c>
      <c r="G2229" s="6" t="str">
        <f>SUBSTITUTE(Raw_Data!G2229,"Ã©","é")</f>
        <v>Storm Overtrousers</v>
      </c>
      <c r="H2229" s="6">
        <v>1</v>
      </c>
      <c r="I2229" s="6" t="s">
        <v>265</v>
      </c>
      <c r="J2229" s="6" t="s">
        <v>265</v>
      </c>
      <c r="K2229" s="6">
        <v>0.64</v>
      </c>
      <c r="L2229" s="6" t="s">
        <v>33</v>
      </c>
      <c r="M2229" s="6" t="s">
        <v>34</v>
      </c>
      <c r="N2229" s="6"/>
    </row>
    <row r="2230" spans="1:14">
      <c r="A2230" s="6" t="s">
        <v>3705</v>
      </c>
      <c r="B2230" s="7">
        <v>46237</v>
      </c>
      <c r="C2230" s="6" t="s">
        <v>3706</v>
      </c>
      <c r="D2230" s="6" t="str">
        <f>IF(OR(PROPER(TRIM(Raw_Data!D2230))="Uk",PROPER(TRIM(Raw_Data!D2230))="Gb",PROPER(TRIM(Raw_Data!D2230))="United kingdom"),"United Kingdom",PROPER(TRIM(Raw_Data!D2230)))</f>
        <v>Ireland</v>
      </c>
      <c r="E2230" s="6" t="s">
        <v>52</v>
      </c>
      <c r="F2230" s="6" t="s">
        <v>47</v>
      </c>
      <c r="G2230" s="6" t="str">
        <f>SUBSTITUTE(Raw_Data!G2230,"Ã©","é")</f>
        <v>Summit Down Gilet</v>
      </c>
      <c r="H2230" s="6">
        <v>1</v>
      </c>
      <c r="I2230" s="6" t="s">
        <v>147</v>
      </c>
      <c r="J2230" s="6" t="s">
        <v>147</v>
      </c>
      <c r="K2230" s="6">
        <v>8.5000000000000006E-2</v>
      </c>
      <c r="L2230" s="6" t="s">
        <v>33</v>
      </c>
      <c r="M2230" s="6" t="s">
        <v>69</v>
      </c>
      <c r="N2230" s="6"/>
    </row>
    <row r="2231" spans="1:14">
      <c r="A2231" s="6" t="s">
        <v>3707</v>
      </c>
      <c r="B2231" s="7">
        <v>46055</v>
      </c>
      <c r="C2231" s="6" t="s">
        <v>3708</v>
      </c>
      <c r="D2231" s="6" t="str">
        <f>IF(OR(PROPER(TRIM(Raw_Data!D2231))="Uk",PROPER(TRIM(Raw_Data!D2231))="Gb",PROPER(TRIM(Raw_Data!D2231))="United kingdom"),"United Kingdom",PROPER(TRIM(Raw_Data!D2231)))</f>
        <v>Ireland</v>
      </c>
      <c r="E2231" s="6" t="s">
        <v>52</v>
      </c>
      <c r="F2231" s="6" t="s">
        <v>85</v>
      </c>
      <c r="G2231" s="6" t="str">
        <f>SUBSTITUTE(Raw_Data!G2231,"Ã©","é")</f>
        <v>Merino Base Layer</v>
      </c>
      <c r="H2231" s="6">
        <v>1</v>
      </c>
      <c r="I2231" s="6" t="s">
        <v>90</v>
      </c>
      <c r="J2231" s="6" t="s">
        <v>90</v>
      </c>
      <c r="K2231" s="6">
        <v>0.41</v>
      </c>
      <c r="L2231" s="6" t="s">
        <v>42</v>
      </c>
      <c r="M2231" s="6" t="s">
        <v>69</v>
      </c>
      <c r="N2231" s="6"/>
    </row>
    <row r="2232" spans="1:14">
      <c r="A2232" s="6" t="s">
        <v>3709</v>
      </c>
      <c r="B2232" s="7">
        <v>46166</v>
      </c>
      <c r="C2232" s="6" t="s">
        <v>351</v>
      </c>
      <c r="D2232" s="6" t="str">
        <f>IF(OR(PROPER(TRIM(Raw_Data!D2232))="Uk",PROPER(TRIM(Raw_Data!D2232))="Gb",PROPER(TRIM(Raw_Data!D2232))="United kingdom"),"United Kingdom",PROPER(TRIM(Raw_Data!D2232)))</f>
        <v>United Kingdom</v>
      </c>
      <c r="E2232" s="6" t="s">
        <v>28</v>
      </c>
      <c r="F2232" s="6" t="s">
        <v>85</v>
      </c>
      <c r="G2232" s="6" t="str">
        <f>SUBSTITUTE(Raw_Data!G2232,"Ã©","é")</f>
        <v>Trail Softshell</v>
      </c>
      <c r="H2232" s="6">
        <v>1</v>
      </c>
      <c r="I2232" s="6" t="s">
        <v>31</v>
      </c>
      <c r="J2232" s="6" t="s">
        <v>31</v>
      </c>
      <c r="K2232" s="6">
        <v>0.41</v>
      </c>
      <c r="L2232" s="6" t="s">
        <v>42</v>
      </c>
      <c r="M2232" s="6" t="s">
        <v>34</v>
      </c>
      <c r="N2232" s="6"/>
    </row>
    <row r="2233" spans="1:14">
      <c r="A2233" s="6" t="s">
        <v>3710</v>
      </c>
      <c r="B2233" s="7">
        <v>46056</v>
      </c>
      <c r="C2233" s="6" t="s">
        <v>2284</v>
      </c>
      <c r="D2233" s="6" t="str">
        <f>IF(OR(PROPER(TRIM(Raw_Data!D2233))="Uk",PROPER(TRIM(Raw_Data!D2233))="Gb",PROPER(TRIM(Raw_Data!D2233))="United kingdom"),"United Kingdom",PROPER(TRIM(Raw_Data!D2233)))</f>
        <v>United Kingdom</v>
      </c>
      <c r="E2233" s="6" t="s">
        <v>78</v>
      </c>
      <c r="F2233" s="6" t="s">
        <v>38</v>
      </c>
      <c r="G2233" s="6" t="str">
        <f>SUBSTITUTE(Raw_Data!G2233,"Ã©","é")</f>
        <v>Merino Base Layer</v>
      </c>
      <c r="H2233" s="6">
        <v>2</v>
      </c>
      <c r="I2233" s="6" t="s">
        <v>143</v>
      </c>
      <c r="J2233" s="6" t="s">
        <v>327</v>
      </c>
      <c r="K2233" s="6">
        <v>0.52</v>
      </c>
      <c r="L2233" s="6" t="s">
        <v>42</v>
      </c>
      <c r="M2233" s="6" t="s">
        <v>69</v>
      </c>
      <c r="N2233" s="6"/>
    </row>
    <row r="2234" spans="1:14">
      <c r="A2234" s="6" t="s">
        <v>3711</v>
      </c>
      <c r="B2234" s="7">
        <v>46359</v>
      </c>
      <c r="C2234" s="6" t="s">
        <v>1929</v>
      </c>
      <c r="D2234" s="6" t="str">
        <f>IF(OR(PROPER(TRIM(Raw_Data!D2234))="Uk",PROPER(TRIM(Raw_Data!D2234))="Gb",PROPER(TRIM(Raw_Data!D2234))="United kingdom"),"United Kingdom",PROPER(TRIM(Raw_Data!D2234)))</f>
        <v>United Kingdom</v>
      </c>
      <c r="E2234" s="6" t="s">
        <v>78</v>
      </c>
      <c r="F2234" s="6" t="s">
        <v>38</v>
      </c>
      <c r="G2234" s="6" t="str">
        <f>SUBSTITUTE(Raw_Data!G2234,"Ã©","é")</f>
        <v>Trail Softshell</v>
      </c>
      <c r="H2234" s="6">
        <v>2</v>
      </c>
      <c r="I2234" s="6" t="s">
        <v>96</v>
      </c>
      <c r="J2234" s="6" t="s">
        <v>278</v>
      </c>
      <c r="K2234" s="6">
        <v>0.52</v>
      </c>
      <c r="L2234" s="6" t="s">
        <v>42</v>
      </c>
      <c r="M2234" s="6" t="s">
        <v>34</v>
      </c>
      <c r="N2234" s="6"/>
    </row>
    <row r="2235" spans="1:14">
      <c r="A2235" s="6" t="s">
        <v>3712</v>
      </c>
      <c r="B2235" s="7">
        <v>46169</v>
      </c>
      <c r="C2235" s="6" t="s">
        <v>1861</v>
      </c>
      <c r="D2235" s="6" t="str">
        <f>IF(OR(PROPER(TRIM(Raw_Data!D2235))="Uk",PROPER(TRIM(Raw_Data!D2235))="Gb",PROPER(TRIM(Raw_Data!D2235))="United kingdom"),"United Kingdom",PROPER(TRIM(Raw_Data!D2235)))</f>
        <v>Germany</v>
      </c>
      <c r="E2235" s="6" t="s">
        <v>52</v>
      </c>
      <c r="F2235" s="6" t="s">
        <v>47</v>
      </c>
      <c r="G2235" s="6" t="str">
        <f>SUBSTITUTE(Raw_Data!G2235,"Ã©","é")</f>
        <v>Café Latte Mug</v>
      </c>
      <c r="H2235" s="6">
        <v>2</v>
      </c>
      <c r="I2235" s="6" t="s">
        <v>113</v>
      </c>
      <c r="J2235" s="6" t="s">
        <v>192</v>
      </c>
      <c r="K2235" s="6">
        <v>8.5000000000000006E-2</v>
      </c>
      <c r="L2235" s="6" t="s">
        <v>42</v>
      </c>
      <c r="M2235" s="6" t="s">
        <v>34</v>
      </c>
      <c r="N2235" s="6"/>
    </row>
    <row r="2236" spans="1:14">
      <c r="A2236" s="6" t="s">
        <v>3713</v>
      </c>
      <c r="B2236" s="7">
        <v>46069</v>
      </c>
      <c r="C2236" s="6" t="s">
        <v>1257</v>
      </c>
      <c r="D2236" s="6" t="str">
        <f>IF(OR(PROPER(TRIM(Raw_Data!D2236))="Uk",PROPER(TRIM(Raw_Data!D2236))="Gb",PROPER(TRIM(Raw_Data!D2236))="United kingdom"),"United Kingdom",PROPER(TRIM(Raw_Data!D2236)))</f>
        <v>United Kingdom</v>
      </c>
      <c r="E2236" s="6" t="s">
        <v>78</v>
      </c>
      <c r="F2236" s="6" t="s">
        <v>58</v>
      </c>
      <c r="G2236" s="6" t="str">
        <f>SUBSTITUTE(Raw_Data!G2236,"Ã©","é")</f>
        <v>Summit Down Gilet</v>
      </c>
      <c r="H2236" s="6">
        <v>3</v>
      </c>
      <c r="I2236" s="6" t="s">
        <v>90</v>
      </c>
      <c r="J2236" s="6" t="s">
        <v>102</v>
      </c>
      <c r="K2236" s="6">
        <v>0.38</v>
      </c>
      <c r="L2236" s="6" t="s">
        <v>33</v>
      </c>
      <c r="M2236" s="6" t="s">
        <v>34</v>
      </c>
      <c r="N2236" s="6"/>
    </row>
    <row r="2237" spans="1:14">
      <c r="A2237" s="6" t="s">
        <v>3714</v>
      </c>
      <c r="B2237" s="7">
        <v>46036</v>
      </c>
      <c r="C2237" s="6" t="s">
        <v>318</v>
      </c>
      <c r="D2237" s="6" t="str">
        <f>IF(OR(PROPER(TRIM(Raw_Data!D2237))="Uk",PROPER(TRIM(Raw_Data!D2237))="Gb",PROPER(TRIM(Raw_Data!D2237))="United kingdom"),"United Kingdom",PROPER(TRIM(Raw_Data!D2237)))</f>
        <v>Germany</v>
      </c>
      <c r="E2237" s="6" t="s">
        <v>37</v>
      </c>
      <c r="F2237" s="6" t="s">
        <v>58</v>
      </c>
      <c r="G2237" s="6" t="str">
        <f>SUBSTITUTE(Raw_Data!G2237,"Ã©","é")</f>
        <v>Summit Down Gilet</v>
      </c>
      <c r="H2237" s="6">
        <v>1</v>
      </c>
      <c r="I2237" s="6" t="s">
        <v>143</v>
      </c>
      <c r="J2237" s="6" t="s">
        <v>143</v>
      </c>
      <c r="K2237" s="6">
        <v>0.38</v>
      </c>
      <c r="L2237" s="6" t="s">
        <v>42</v>
      </c>
      <c r="M2237" s="6" t="s">
        <v>34</v>
      </c>
      <c r="N2237" s="6"/>
    </row>
    <row r="2238" spans="1:14">
      <c r="A2238" s="6" t="s">
        <v>3715</v>
      </c>
      <c r="B2238" s="7">
        <v>46268</v>
      </c>
      <c r="C2238" s="6" t="s">
        <v>970</v>
      </c>
      <c r="D2238" s="6" t="str">
        <f>IF(OR(PROPER(TRIM(Raw_Data!D2238))="Uk",PROPER(TRIM(Raw_Data!D2238))="Gb",PROPER(TRIM(Raw_Data!D2238))="United kingdom"),"United Kingdom",PROPER(TRIM(Raw_Data!D2238)))</f>
        <v>United Kingdom</v>
      </c>
      <c r="E2238" s="6" t="s">
        <v>78</v>
      </c>
      <c r="F2238" s="6" t="s">
        <v>29</v>
      </c>
      <c r="G2238" s="6" t="str">
        <f>SUBSTITUTE(Raw_Data!G2238,"Ã©","é")</f>
        <v>Summit Down Gilet</v>
      </c>
      <c r="H2238" s="6">
        <v>1</v>
      </c>
      <c r="I2238" s="6" t="s">
        <v>265</v>
      </c>
      <c r="J2238" s="6" t="s">
        <v>265</v>
      </c>
      <c r="K2238" s="6">
        <v>0.52</v>
      </c>
      <c r="L2238" s="6" t="s">
        <v>33</v>
      </c>
      <c r="M2238" s="6" t="s">
        <v>34</v>
      </c>
      <c r="N2238" s="6"/>
    </row>
    <row r="2239" spans="1:14">
      <c r="A2239" s="6" t="s">
        <v>3716</v>
      </c>
      <c r="B2239" s="7">
        <v>46162</v>
      </c>
      <c r="C2239" s="6" t="s">
        <v>2320</v>
      </c>
      <c r="D2239" s="6" t="str">
        <f>IF(OR(PROPER(TRIM(Raw_Data!D2239))="Uk",PROPER(TRIM(Raw_Data!D2239))="Gb",PROPER(TRIM(Raw_Data!D2239))="United kingdom"),"United Kingdom",PROPER(TRIM(Raw_Data!D2239)))</f>
        <v>Ireland</v>
      </c>
      <c r="E2239" s="6" t="s">
        <v>28</v>
      </c>
      <c r="F2239" s="6" t="s">
        <v>53</v>
      </c>
      <c r="G2239" s="6" t="str">
        <f>SUBSTITUTE(Raw_Data!G2239,"Ã©","é")</f>
        <v>Storm Overtrousers</v>
      </c>
      <c r="H2239" s="6">
        <v>3</v>
      </c>
      <c r="I2239" s="6" t="s">
        <v>147</v>
      </c>
      <c r="J2239" s="6" t="s">
        <v>148</v>
      </c>
      <c r="K2239" s="6">
        <v>0.19</v>
      </c>
      <c r="L2239" s="6" t="s">
        <v>33</v>
      </c>
      <c r="M2239" s="6" t="s">
        <v>34</v>
      </c>
      <c r="N2239" s="6"/>
    </row>
    <row r="2240" spans="1:14">
      <c r="A2240" s="6" t="s">
        <v>3717</v>
      </c>
      <c r="B2240" s="7">
        <v>46097</v>
      </c>
      <c r="C2240" s="6" t="s">
        <v>683</v>
      </c>
      <c r="D2240" s="6" t="str">
        <f>IF(OR(PROPER(TRIM(Raw_Data!D2240))="Uk",PROPER(TRIM(Raw_Data!D2240))="Gb",PROPER(TRIM(Raw_Data!D2240))="United kingdom"),"United Kingdom",PROPER(TRIM(Raw_Data!D2240)))</f>
        <v>United Kingdom</v>
      </c>
      <c r="E2240" s="6" t="s">
        <v>28</v>
      </c>
      <c r="F2240" s="6" t="s">
        <v>29</v>
      </c>
      <c r="G2240" s="6" t="str">
        <f>SUBSTITUTE(Raw_Data!G2240,"Ã©","é")</f>
        <v>Storm Overtrousers</v>
      </c>
      <c r="H2240" s="6">
        <v>2</v>
      </c>
      <c r="I2240" s="6" t="s">
        <v>181</v>
      </c>
      <c r="J2240" s="6" t="s">
        <v>163</v>
      </c>
      <c r="K2240" s="6">
        <v>0.52</v>
      </c>
      <c r="L2240" s="6" t="s">
        <v>42</v>
      </c>
      <c r="M2240" s="6" t="s">
        <v>69</v>
      </c>
      <c r="N2240" s="6"/>
    </row>
    <row r="2241" spans="1:14">
      <c r="A2241" s="6" t="s">
        <v>3718</v>
      </c>
      <c r="B2241" s="7">
        <v>46133</v>
      </c>
      <c r="C2241" s="6" t="s">
        <v>3719</v>
      </c>
      <c r="D2241" s="6" t="str">
        <f>IF(OR(PROPER(TRIM(Raw_Data!D2241))="Uk",PROPER(TRIM(Raw_Data!D2241))="Gb",PROPER(TRIM(Raw_Data!D2241))="United kingdom"),"United Kingdom",PROPER(TRIM(Raw_Data!D2241)))</f>
        <v>United Kingdom</v>
      </c>
      <c r="E2241" s="6" t="s">
        <v>78</v>
      </c>
      <c r="F2241" s="6" t="s">
        <v>85</v>
      </c>
      <c r="G2241" s="6" t="str">
        <f>SUBSTITUTE(Raw_Data!G2241,"Ã©","é")</f>
        <v>Alpine Jacket</v>
      </c>
      <c r="H2241" s="6">
        <v>1</v>
      </c>
      <c r="I2241" s="6" t="s">
        <v>90</v>
      </c>
      <c r="J2241" s="6" t="s">
        <v>90</v>
      </c>
      <c r="K2241" s="6">
        <v>0.41</v>
      </c>
      <c r="L2241" s="6" t="s">
        <v>42</v>
      </c>
      <c r="M2241" s="6" t="s">
        <v>34</v>
      </c>
      <c r="N2241" s="6"/>
    </row>
    <row r="2242" spans="1:14">
      <c r="A2242" s="6" t="s">
        <v>3720</v>
      </c>
      <c r="B2242" s="7">
        <v>46195</v>
      </c>
      <c r="C2242" s="6" t="s">
        <v>1877</v>
      </c>
      <c r="D2242" s="6" t="str">
        <f>IF(OR(PROPER(TRIM(Raw_Data!D2242))="Uk",PROPER(TRIM(Raw_Data!D2242))="Gb",PROPER(TRIM(Raw_Data!D2242))="United kingdom"),"United Kingdom",PROPER(TRIM(Raw_Data!D2242)))</f>
        <v>United Kingdom</v>
      </c>
      <c r="E2242" s="6" t="s">
        <v>52</v>
      </c>
      <c r="F2242" s="6" t="s">
        <v>29</v>
      </c>
      <c r="G2242" s="6" t="str">
        <f>SUBSTITUTE(Raw_Data!G2242,"Ã©","é")</f>
        <v>Trekking Poles</v>
      </c>
      <c r="H2242" s="6">
        <v>2</v>
      </c>
      <c r="I2242" s="6" t="s">
        <v>31</v>
      </c>
      <c r="J2242" s="6" t="s">
        <v>249</v>
      </c>
      <c r="K2242" s="6">
        <v>0.52</v>
      </c>
      <c r="L2242" s="6" t="s">
        <v>42</v>
      </c>
      <c r="M2242" s="6" t="s">
        <v>69</v>
      </c>
      <c r="N2242" s="6"/>
    </row>
    <row r="2243" spans="1:14">
      <c r="A2243" s="6" t="s">
        <v>3721</v>
      </c>
      <c r="B2243" s="7">
        <v>46194</v>
      </c>
      <c r="C2243" s="6" t="s">
        <v>1547</v>
      </c>
      <c r="D2243" s="6" t="str">
        <f>IF(OR(PROPER(TRIM(Raw_Data!D2243))="Uk",PROPER(TRIM(Raw_Data!D2243))="Gb",PROPER(TRIM(Raw_Data!D2243))="United kingdom"),"United Kingdom",PROPER(TRIM(Raw_Data!D2243)))</f>
        <v>United Kingdom</v>
      </c>
      <c r="E2243" s="6" t="s">
        <v>52</v>
      </c>
      <c r="F2243" s="6" t="s">
        <v>53</v>
      </c>
      <c r="G2243" s="6" t="str">
        <f>SUBSTITUTE(Raw_Data!G2243,"Ã©","é")</f>
        <v>Fell Runner Cap</v>
      </c>
      <c r="H2243" s="6">
        <v>1</v>
      </c>
      <c r="I2243" s="6" t="s">
        <v>90</v>
      </c>
      <c r="J2243" s="6" t="s">
        <v>90</v>
      </c>
      <c r="K2243" s="6">
        <v>0.19</v>
      </c>
      <c r="L2243" s="6" t="s">
        <v>33</v>
      </c>
      <c r="M2243" s="6" t="s">
        <v>34</v>
      </c>
      <c r="N2243" s="6"/>
    </row>
    <row r="2244" spans="1:14">
      <c r="A2244" s="6" t="s">
        <v>3722</v>
      </c>
      <c r="B2244" s="7">
        <v>46087</v>
      </c>
      <c r="C2244" s="6" t="s">
        <v>2739</v>
      </c>
      <c r="D2244" s="6" t="str">
        <f>IF(OR(PROPER(TRIM(Raw_Data!D2244))="Uk",PROPER(TRIM(Raw_Data!D2244))="Gb",PROPER(TRIM(Raw_Data!D2244))="United kingdom"),"United Kingdom",PROPER(TRIM(Raw_Data!D2244)))</f>
        <v>United Kingdom</v>
      </c>
      <c r="E2244" s="6" t="s">
        <v>37</v>
      </c>
      <c r="F2244" s="6" t="s">
        <v>58</v>
      </c>
      <c r="G2244" s="6" t="str">
        <f>SUBSTITUTE(Raw_Data!G2244,"Ã©","é")</f>
        <v>Fell Runner Cap</v>
      </c>
      <c r="H2244" s="6">
        <v>3</v>
      </c>
      <c r="I2244" s="6" t="s">
        <v>31</v>
      </c>
      <c r="J2244" s="6" t="s">
        <v>337</v>
      </c>
      <c r="K2244" s="6">
        <v>0.38</v>
      </c>
      <c r="L2244" s="6" t="s">
        <v>42</v>
      </c>
      <c r="M2244" s="6" t="s">
        <v>34</v>
      </c>
      <c r="N2244" s="6"/>
    </row>
    <row r="2245" spans="1:14">
      <c r="A2245" s="6" t="s">
        <v>3723</v>
      </c>
      <c r="B2245" s="7">
        <v>46162</v>
      </c>
      <c r="C2245" s="6" t="s">
        <v>3409</v>
      </c>
      <c r="D2245" s="6" t="str">
        <f>IF(OR(PROPER(TRIM(Raw_Data!D2245))="Uk",PROPER(TRIM(Raw_Data!D2245))="Gb",PROPER(TRIM(Raw_Data!D2245))="United kingdom"),"United Kingdom",PROPER(TRIM(Raw_Data!D2245)))</f>
        <v>United Kingdom</v>
      </c>
      <c r="E2245" s="6" t="s">
        <v>46</v>
      </c>
      <c r="F2245" s="6" t="s">
        <v>29</v>
      </c>
      <c r="G2245" s="6" t="str">
        <f>SUBSTITUTE(Raw_Data!G2245,"Ã©","é")</f>
        <v>Merino Base Layer</v>
      </c>
      <c r="H2245" s="6">
        <v>-1</v>
      </c>
      <c r="I2245" s="6" t="s">
        <v>40</v>
      </c>
      <c r="J2245" s="8" t="s">
        <v>1635</v>
      </c>
      <c r="K2245" s="6">
        <v>0.52</v>
      </c>
      <c r="L2245" s="6" t="s">
        <v>33</v>
      </c>
      <c r="M2245" s="6" t="s">
        <v>34</v>
      </c>
      <c r="N2245" s="6"/>
    </row>
    <row r="2246" spans="1:14">
      <c r="A2246" s="6" t="s">
        <v>3724</v>
      </c>
      <c r="B2246" s="7">
        <v>46168</v>
      </c>
      <c r="C2246" s="6" t="s">
        <v>427</v>
      </c>
      <c r="D2246" s="6" t="str">
        <f>IF(OR(PROPER(TRIM(Raw_Data!D2246))="Uk",PROPER(TRIM(Raw_Data!D2246))="Gb",PROPER(TRIM(Raw_Data!D2246))="United kingdom"),"United Kingdom",PROPER(TRIM(Raw_Data!D2246)))</f>
        <v>France</v>
      </c>
      <c r="E2246" s="6" t="s">
        <v>46</v>
      </c>
      <c r="F2246" s="6" t="s">
        <v>38</v>
      </c>
      <c r="G2246" s="6" t="str">
        <f>SUBSTITUTE(Raw_Data!G2246,"Ã©","é")</f>
        <v>Summit Down Gilet</v>
      </c>
      <c r="H2246" s="6">
        <v>1</v>
      </c>
      <c r="I2246" s="6" t="s">
        <v>147</v>
      </c>
      <c r="J2246" s="6" t="s">
        <v>147</v>
      </c>
      <c r="K2246" s="6">
        <v>0.52</v>
      </c>
      <c r="L2246" s="6" t="s">
        <v>33</v>
      </c>
      <c r="M2246" s="6" t="s">
        <v>69</v>
      </c>
      <c r="N2246" s="6"/>
    </row>
    <row r="2247" spans="1:14">
      <c r="A2247" s="6" t="s">
        <v>3725</v>
      </c>
      <c r="B2247" s="7">
        <v>46137</v>
      </c>
      <c r="C2247" s="6" t="s">
        <v>1309</v>
      </c>
      <c r="D2247" s="6" t="str">
        <f>IF(OR(PROPER(TRIM(Raw_Data!D2247))="Uk",PROPER(TRIM(Raw_Data!D2247))="Gb",PROPER(TRIM(Raw_Data!D2247))="United kingdom"),"United Kingdom",PROPER(TRIM(Raw_Data!D2247)))</f>
        <v>France</v>
      </c>
      <c r="E2247" s="6" t="s">
        <v>28</v>
      </c>
      <c r="F2247" s="6" t="s">
        <v>47</v>
      </c>
      <c r="G2247" s="6" t="str">
        <f>SUBSTITUTE(Raw_Data!G2247,"Ã©","é")</f>
        <v>Storm Overtrousers</v>
      </c>
      <c r="H2247" s="6">
        <v>2</v>
      </c>
      <c r="I2247" s="6" t="s">
        <v>113</v>
      </c>
      <c r="J2247" s="6" t="s">
        <v>192</v>
      </c>
      <c r="K2247" s="6">
        <v>8.5000000000000006E-2</v>
      </c>
      <c r="L2247" s="6" t="s">
        <v>42</v>
      </c>
      <c r="M2247" s="6" t="s">
        <v>34</v>
      </c>
      <c r="N2247" s="6"/>
    </row>
    <row r="2248" spans="1:14">
      <c r="A2248" s="6" t="s">
        <v>3726</v>
      </c>
      <c r="B2248" s="7">
        <v>46147</v>
      </c>
      <c r="C2248" s="6" t="s">
        <v>1702</v>
      </c>
      <c r="D2248" s="6" t="str">
        <f>IF(OR(PROPER(TRIM(Raw_Data!D2248))="Uk",PROPER(TRIM(Raw_Data!D2248))="Gb",PROPER(TRIM(Raw_Data!D2248))="United kingdom"),"United Kingdom",PROPER(TRIM(Raw_Data!D2248)))</f>
        <v>United Kingdom</v>
      </c>
      <c r="E2248" s="6" t="s">
        <v>52</v>
      </c>
      <c r="F2248" s="6" t="s">
        <v>29</v>
      </c>
      <c r="G2248" s="6" t="str">
        <f>SUBSTITUTE(Raw_Data!G2248,"Ã©","é")</f>
        <v>Trekking Poles</v>
      </c>
      <c r="H2248" s="6">
        <v>1</v>
      </c>
      <c r="I2248" s="6" t="s">
        <v>96</v>
      </c>
      <c r="J2248" s="6" t="s">
        <v>96</v>
      </c>
      <c r="K2248" s="6">
        <v>0.52</v>
      </c>
      <c r="L2248" s="6" t="s">
        <v>33</v>
      </c>
      <c r="M2248" s="6" t="s">
        <v>69</v>
      </c>
      <c r="N2248" s="6"/>
    </row>
    <row r="2249" spans="1:14">
      <c r="A2249" s="6" t="s">
        <v>3727</v>
      </c>
      <c r="B2249" s="7">
        <v>46042</v>
      </c>
      <c r="C2249" s="6" t="s">
        <v>1001</v>
      </c>
      <c r="D2249" s="6" t="str">
        <f>IF(OR(PROPER(TRIM(Raw_Data!D2249))="Uk",PROPER(TRIM(Raw_Data!D2249))="Gb",PROPER(TRIM(Raw_Data!D2249))="United kingdom"),"United Kingdom",PROPER(TRIM(Raw_Data!D2249)))</f>
        <v>United Kingdom</v>
      </c>
      <c r="E2249" s="6" t="s">
        <v>46</v>
      </c>
      <c r="F2249" s="6" t="s">
        <v>47</v>
      </c>
      <c r="G2249" s="6" t="str">
        <f>SUBSTITUTE(Raw_Data!G2249,"Ã©","é")</f>
        <v>Alpine Jacket</v>
      </c>
      <c r="H2249" s="6">
        <v>3</v>
      </c>
      <c r="I2249" s="6" t="s">
        <v>31</v>
      </c>
      <c r="J2249" s="6" t="s">
        <v>337</v>
      </c>
      <c r="K2249" s="6">
        <v>8.5000000000000006E-2</v>
      </c>
      <c r="L2249" s="6" t="s">
        <v>33</v>
      </c>
      <c r="M2249" s="6" t="s">
        <v>34</v>
      </c>
      <c r="N2249" s="6"/>
    </row>
    <row r="2250" spans="1:14">
      <c r="A2250" s="6" t="s">
        <v>3728</v>
      </c>
      <c r="B2250" s="7">
        <v>46112</v>
      </c>
      <c r="C2250" s="6" t="s">
        <v>2182</v>
      </c>
      <c r="D2250" s="6" t="str">
        <f>IF(OR(PROPER(TRIM(Raw_Data!D2250))="Uk",PROPER(TRIM(Raw_Data!D2250))="Gb",PROPER(TRIM(Raw_Data!D2250))="United kingdom"),"United Kingdom",PROPER(TRIM(Raw_Data!D2250)))</f>
        <v>Ireland</v>
      </c>
      <c r="E2250" s="6" t="s">
        <v>28</v>
      </c>
      <c r="F2250" s="6" t="s">
        <v>100</v>
      </c>
      <c r="G2250" s="6" t="str">
        <f>SUBSTITUTE(Raw_Data!G2250,"Ã©","é")</f>
        <v>Alpine Jacket</v>
      </c>
      <c r="H2250" s="6">
        <v>1</v>
      </c>
      <c r="I2250" s="6" t="s">
        <v>79</v>
      </c>
      <c r="J2250" s="6" t="s">
        <v>79</v>
      </c>
      <c r="K2250" s="6">
        <v>0.64</v>
      </c>
      <c r="L2250" s="6" t="s">
        <v>42</v>
      </c>
      <c r="M2250" s="6" t="s">
        <v>34</v>
      </c>
      <c r="N2250" s="6"/>
    </row>
    <row r="2251" spans="1:14">
      <c r="A2251" s="6" t="s">
        <v>3729</v>
      </c>
      <c r="B2251" s="7">
        <v>46188</v>
      </c>
      <c r="C2251" s="6" t="s">
        <v>888</v>
      </c>
      <c r="D2251" s="6" t="str">
        <f>IF(OR(PROPER(TRIM(Raw_Data!D2251))="Uk",PROPER(TRIM(Raw_Data!D2251))="Gb",PROPER(TRIM(Raw_Data!D2251))="United kingdom"),"United Kingdom",PROPER(TRIM(Raw_Data!D2251)))</f>
        <v>United Kingdom</v>
      </c>
      <c r="E2251" s="6" t="s">
        <v>37</v>
      </c>
      <c r="F2251" s="6" t="s">
        <v>29</v>
      </c>
      <c r="G2251" s="6" t="str">
        <f>SUBSTITUTE(Raw_Data!G2251,"Ã©","é")</f>
        <v>Alpine Jacket</v>
      </c>
      <c r="H2251" s="6">
        <v>3</v>
      </c>
      <c r="I2251" s="6" t="s">
        <v>113</v>
      </c>
      <c r="J2251" s="6" t="s">
        <v>138</v>
      </c>
      <c r="K2251" s="6">
        <v>0.52</v>
      </c>
      <c r="L2251" s="6" t="s">
        <v>33</v>
      </c>
      <c r="M2251" s="6" t="s">
        <v>34</v>
      </c>
      <c r="N2251" s="6"/>
    </row>
    <row r="2252" spans="1:14">
      <c r="A2252" s="6" t="s">
        <v>3730</v>
      </c>
      <c r="B2252" s="7">
        <v>46239</v>
      </c>
      <c r="C2252" s="6" t="s">
        <v>284</v>
      </c>
      <c r="D2252" s="6" t="str">
        <f>IF(OR(PROPER(TRIM(Raw_Data!D2252))="Uk",PROPER(TRIM(Raw_Data!D2252))="Gb",PROPER(TRIM(Raw_Data!D2252))="United kingdom"),"United Kingdom",PROPER(TRIM(Raw_Data!D2252)))</f>
        <v>United Kingdom</v>
      </c>
      <c r="E2252" s="6" t="s">
        <v>28</v>
      </c>
      <c r="F2252" s="6" t="s">
        <v>38</v>
      </c>
      <c r="G2252" s="6" t="str">
        <f>SUBSTITUTE(Raw_Data!G2252,"Ã©","é")</f>
        <v>Trail Softshell</v>
      </c>
      <c r="H2252" s="6">
        <v>3</v>
      </c>
      <c r="I2252" s="6" t="s">
        <v>82</v>
      </c>
      <c r="J2252" s="6" t="s">
        <v>390</v>
      </c>
      <c r="K2252" s="6">
        <v>0.52</v>
      </c>
      <c r="L2252" s="6" t="s">
        <v>42</v>
      </c>
      <c r="M2252" s="6" t="s">
        <v>34</v>
      </c>
      <c r="N2252" s="6"/>
    </row>
    <row r="2253" spans="1:14">
      <c r="A2253" s="6" t="s">
        <v>3731</v>
      </c>
      <c r="B2253" s="7">
        <v>46040</v>
      </c>
      <c r="C2253" s="6" t="s">
        <v>1190</v>
      </c>
      <c r="D2253" s="6" t="str">
        <f>IF(OR(PROPER(TRIM(Raw_Data!D2253))="Uk",PROPER(TRIM(Raw_Data!D2253))="Gb",PROPER(TRIM(Raw_Data!D2253))="United kingdom"),"United Kingdom",PROPER(TRIM(Raw_Data!D2253)))</f>
        <v>United Kingdom</v>
      </c>
      <c r="E2253" s="6" t="s">
        <v>78</v>
      </c>
      <c r="F2253" s="6" t="s">
        <v>38</v>
      </c>
      <c r="G2253" s="6" t="str">
        <f>SUBSTITUTE(Raw_Data!G2253,"Ã©","é")</f>
        <v>Alpine Jacket</v>
      </c>
      <c r="H2253" s="6">
        <v>1</v>
      </c>
      <c r="I2253" s="6" t="s">
        <v>147</v>
      </c>
      <c r="J2253" s="6" t="s">
        <v>147</v>
      </c>
      <c r="K2253" s="6">
        <v>0.52</v>
      </c>
      <c r="L2253" s="6" t="s">
        <v>42</v>
      </c>
      <c r="M2253" s="6" t="s">
        <v>34</v>
      </c>
      <c r="N2253" s="6"/>
    </row>
    <row r="2254" spans="1:14">
      <c r="A2254" s="6" t="s">
        <v>3732</v>
      </c>
      <c r="B2254" s="7">
        <v>46167</v>
      </c>
      <c r="C2254" s="6" t="s">
        <v>427</v>
      </c>
      <c r="D2254" s="6" t="str">
        <f>IF(OR(PROPER(TRIM(Raw_Data!D2254))="Uk",PROPER(TRIM(Raw_Data!D2254))="Gb",PROPER(TRIM(Raw_Data!D2254))="United kingdom"),"United Kingdom",PROPER(TRIM(Raw_Data!D2254)))</f>
        <v>United Kingdom</v>
      </c>
      <c r="E2254" s="6" t="s">
        <v>78</v>
      </c>
      <c r="F2254" s="6" t="s">
        <v>29</v>
      </c>
      <c r="G2254" s="6" t="str">
        <f>SUBSTITUTE(Raw_Data!G2254,"Ã©","é")</f>
        <v>Trekking Poles</v>
      </c>
      <c r="H2254" s="6">
        <v>3</v>
      </c>
      <c r="I2254" s="6" t="s">
        <v>117</v>
      </c>
      <c r="J2254" s="6" t="s">
        <v>171</v>
      </c>
      <c r="K2254" s="6">
        <v>0.52</v>
      </c>
      <c r="L2254" s="6" t="s">
        <v>42</v>
      </c>
      <c r="M2254" s="6" t="s">
        <v>34</v>
      </c>
      <c r="N2254" s="6"/>
    </row>
    <row r="2255" spans="1:14">
      <c r="A2255" s="6" t="s">
        <v>3733</v>
      </c>
      <c r="B2255" s="7">
        <v>46328</v>
      </c>
      <c r="C2255" s="6" t="s">
        <v>3734</v>
      </c>
      <c r="D2255" s="6" t="str">
        <f>IF(OR(PROPER(TRIM(Raw_Data!D2255))="Uk",PROPER(TRIM(Raw_Data!D2255))="Gb",PROPER(TRIM(Raw_Data!D2255))="United kingdom"),"United Kingdom",PROPER(TRIM(Raw_Data!D2255)))</f>
        <v>United Kingdom</v>
      </c>
      <c r="E2255" s="6" t="s">
        <v>78</v>
      </c>
      <c r="F2255" s="6" t="s">
        <v>58</v>
      </c>
      <c r="G2255" s="6" t="str">
        <f>SUBSTITUTE(Raw_Data!G2255,"Ã©","é")</f>
        <v>Summit Down Gilet</v>
      </c>
      <c r="H2255" s="6">
        <v>3</v>
      </c>
      <c r="I2255" s="6" t="s">
        <v>117</v>
      </c>
      <c r="J2255" s="6" t="s">
        <v>171</v>
      </c>
      <c r="K2255" s="6">
        <v>0.38</v>
      </c>
      <c r="L2255" s="6" t="s">
        <v>42</v>
      </c>
      <c r="M2255" s="6" t="s">
        <v>69</v>
      </c>
      <c r="N2255" s="6"/>
    </row>
    <row r="2256" spans="1:14">
      <c r="A2256" s="6" t="s">
        <v>3735</v>
      </c>
      <c r="B2256" s="7">
        <v>46081</v>
      </c>
      <c r="C2256" s="6" t="s">
        <v>2534</v>
      </c>
      <c r="D2256" s="6" t="str">
        <f>IF(OR(PROPER(TRIM(Raw_Data!D2256))="Uk",PROPER(TRIM(Raw_Data!D2256))="Gb",PROPER(TRIM(Raw_Data!D2256))="United kingdom"),"United Kingdom",PROPER(TRIM(Raw_Data!D2256)))</f>
        <v>United Kingdom</v>
      </c>
      <c r="E2256" s="6" t="s">
        <v>46</v>
      </c>
      <c r="F2256" s="6" t="s">
        <v>58</v>
      </c>
      <c r="G2256" s="6" t="str">
        <f>SUBSTITUTE(Raw_Data!G2256,"Ã©","é")</f>
        <v>Summit Down Gilet</v>
      </c>
      <c r="H2256" s="6">
        <v>2</v>
      </c>
      <c r="I2256" s="6" t="s">
        <v>73</v>
      </c>
      <c r="J2256" s="6" t="s">
        <v>74</v>
      </c>
      <c r="K2256" s="6">
        <v>0.38</v>
      </c>
      <c r="L2256" s="6" t="s">
        <v>33</v>
      </c>
      <c r="M2256" s="6" t="s">
        <v>34</v>
      </c>
      <c r="N2256" s="6"/>
    </row>
    <row r="2257" spans="1:14">
      <c r="A2257" s="6" t="s">
        <v>3736</v>
      </c>
      <c r="B2257" s="7">
        <v>46267</v>
      </c>
      <c r="C2257" s="6" t="s">
        <v>3737</v>
      </c>
      <c r="D2257" s="6" t="str">
        <f>IF(OR(PROPER(TRIM(Raw_Data!D2257))="Uk",PROPER(TRIM(Raw_Data!D2257))="Gb",PROPER(TRIM(Raw_Data!D2257))="United kingdom"),"United Kingdom",PROPER(TRIM(Raw_Data!D2257)))</f>
        <v>Ireland</v>
      </c>
      <c r="E2257" s="6" t="s">
        <v>28</v>
      </c>
      <c r="F2257" s="6" t="s">
        <v>100</v>
      </c>
      <c r="G2257" s="6" t="str">
        <f>SUBSTITUTE(Raw_Data!G2257,"Ã©","é")</f>
        <v>Summit Down Gilet</v>
      </c>
      <c r="H2257" s="6">
        <v>1</v>
      </c>
      <c r="I2257" s="6" t="s">
        <v>90</v>
      </c>
      <c r="J2257" s="6" t="s">
        <v>90</v>
      </c>
      <c r="K2257" s="6">
        <v>0.64</v>
      </c>
      <c r="L2257" s="6" t="s">
        <v>42</v>
      </c>
      <c r="M2257" s="6" t="s">
        <v>34</v>
      </c>
      <c r="N2257" s="6"/>
    </row>
    <row r="2258" spans="1:14">
      <c r="A2258" s="6" t="s">
        <v>3738</v>
      </c>
      <c r="B2258" s="7">
        <v>46203</v>
      </c>
      <c r="C2258" s="6" t="s">
        <v>1275</v>
      </c>
      <c r="D2258" s="6" t="str">
        <f>IF(OR(PROPER(TRIM(Raw_Data!D2258))="Uk",PROPER(TRIM(Raw_Data!D2258))="Gb",PROPER(TRIM(Raw_Data!D2258))="United kingdom"),"United Kingdom",PROPER(TRIM(Raw_Data!D2258)))</f>
        <v>United Kingdom</v>
      </c>
      <c r="E2258" s="6" t="s">
        <v>78</v>
      </c>
      <c r="F2258" s="6" t="s">
        <v>38</v>
      </c>
      <c r="G2258" s="6" t="str">
        <f>SUBSTITUTE(Raw_Data!G2258,"Ã©","é")</f>
        <v>Alpine Jacket</v>
      </c>
      <c r="H2258" s="6">
        <v>1</v>
      </c>
      <c r="I2258" s="6" t="s">
        <v>181</v>
      </c>
      <c r="J2258" s="6" t="s">
        <v>181</v>
      </c>
      <c r="K2258" s="6">
        <v>0.52</v>
      </c>
      <c r="L2258" s="6" t="s">
        <v>42</v>
      </c>
      <c r="M2258" s="6" t="s">
        <v>69</v>
      </c>
      <c r="N2258" s="6"/>
    </row>
    <row r="2259" spans="1:14">
      <c r="A2259" s="6" t="s">
        <v>3739</v>
      </c>
      <c r="B2259" s="7">
        <v>46195</v>
      </c>
      <c r="C2259" s="6" t="s">
        <v>3740</v>
      </c>
      <c r="D2259" s="6" t="str">
        <f>IF(OR(PROPER(TRIM(Raw_Data!D2259))="Uk",PROPER(TRIM(Raw_Data!D2259))="Gb",PROPER(TRIM(Raw_Data!D2259))="United kingdom"),"United Kingdom",PROPER(TRIM(Raw_Data!D2259)))</f>
        <v>United Kingdom</v>
      </c>
      <c r="E2259" s="6" t="s">
        <v>28</v>
      </c>
      <c r="F2259" s="6" t="s">
        <v>47</v>
      </c>
      <c r="G2259" s="6" t="str">
        <f>SUBSTITUTE(Raw_Data!G2259,"Ã©","é")</f>
        <v>Fell Runner Cap</v>
      </c>
      <c r="H2259" s="6">
        <v>2</v>
      </c>
      <c r="I2259" s="6" t="s">
        <v>90</v>
      </c>
      <c r="J2259" s="6" t="s">
        <v>154</v>
      </c>
      <c r="K2259" s="6">
        <v>8.5000000000000006E-2</v>
      </c>
      <c r="L2259" s="6" t="s">
        <v>42</v>
      </c>
      <c r="M2259" s="6" t="s">
        <v>34</v>
      </c>
      <c r="N2259" s="6"/>
    </row>
    <row r="2260" spans="1:14">
      <c r="A2260" s="6" t="s">
        <v>3741</v>
      </c>
      <c r="B2260" s="7">
        <v>46097</v>
      </c>
      <c r="C2260" s="6" t="s">
        <v>884</v>
      </c>
      <c r="D2260" s="6" t="str">
        <f>IF(OR(PROPER(TRIM(Raw_Data!D2260))="Uk",PROPER(TRIM(Raw_Data!D2260))="Gb",PROPER(TRIM(Raw_Data!D2260))="United kingdom"),"United Kingdom",PROPER(TRIM(Raw_Data!D2260)))</f>
        <v>Germany</v>
      </c>
      <c r="E2260" s="6" t="s">
        <v>78</v>
      </c>
      <c r="F2260" s="6" t="s">
        <v>47</v>
      </c>
      <c r="G2260" s="6" t="str">
        <f>SUBSTITUTE(Raw_Data!G2260,"Ã©","é")</f>
        <v>Storm Overtrousers</v>
      </c>
      <c r="H2260" s="6">
        <v>2</v>
      </c>
      <c r="I2260" s="6" t="s">
        <v>73</v>
      </c>
      <c r="J2260" s="6" t="s">
        <v>74</v>
      </c>
      <c r="K2260" s="6">
        <v>8.5000000000000006E-2</v>
      </c>
      <c r="L2260" s="6" t="s">
        <v>42</v>
      </c>
      <c r="M2260" s="6" t="s">
        <v>34</v>
      </c>
      <c r="N2260" s="6"/>
    </row>
    <row r="2261" spans="1:14">
      <c r="A2261" s="6" t="s">
        <v>3742</v>
      </c>
      <c r="B2261" s="7">
        <v>46141</v>
      </c>
      <c r="C2261" s="6" t="s">
        <v>191</v>
      </c>
      <c r="D2261" s="6" t="str">
        <f>IF(OR(PROPER(TRIM(Raw_Data!D2261))="Uk",PROPER(TRIM(Raw_Data!D2261))="Gb",PROPER(TRIM(Raw_Data!D2261))="United kingdom"),"United Kingdom",PROPER(TRIM(Raw_Data!D2261)))</f>
        <v>Ireland</v>
      </c>
      <c r="E2261" s="6" t="s">
        <v>46</v>
      </c>
      <c r="F2261" s="6" t="s">
        <v>100</v>
      </c>
      <c r="G2261" s="6" t="str">
        <f>SUBSTITUTE(Raw_Data!G2261,"Ã©","é")</f>
        <v>Storm Overtrousers</v>
      </c>
      <c r="H2261" s="6">
        <v>1</v>
      </c>
      <c r="I2261" s="6" t="s">
        <v>117</v>
      </c>
      <c r="J2261" s="6" t="s">
        <v>117</v>
      </c>
      <c r="K2261" s="6">
        <v>0.64</v>
      </c>
      <c r="L2261" s="6" t="s">
        <v>42</v>
      </c>
      <c r="M2261" s="6" t="s">
        <v>34</v>
      </c>
      <c r="N2261" s="6"/>
    </row>
    <row r="2262" spans="1:14">
      <c r="A2262" s="6" t="s">
        <v>3743</v>
      </c>
      <c r="B2262" s="7">
        <v>46359</v>
      </c>
      <c r="C2262" s="6" t="s">
        <v>1964</v>
      </c>
      <c r="D2262" s="6" t="str">
        <f>IF(OR(PROPER(TRIM(Raw_Data!D2262))="Uk",PROPER(TRIM(Raw_Data!D2262))="Gb",PROPER(TRIM(Raw_Data!D2262))="United kingdom"),"United Kingdom",PROPER(TRIM(Raw_Data!D2262)))</f>
        <v>France</v>
      </c>
      <c r="E2262" s="6" t="s">
        <v>37</v>
      </c>
      <c r="F2262" s="6" t="s">
        <v>47</v>
      </c>
      <c r="G2262" s="6" t="str">
        <f>SUBSTITUTE(Raw_Data!G2262,"Ã©","é")</f>
        <v>Trail Softshell</v>
      </c>
      <c r="H2262" s="6">
        <v>2</v>
      </c>
      <c r="I2262" s="6" t="s">
        <v>60</v>
      </c>
      <c r="J2262" s="6" t="s">
        <v>189</v>
      </c>
      <c r="K2262" s="6">
        <v>8.5000000000000006E-2</v>
      </c>
      <c r="L2262" s="6" t="s">
        <v>33</v>
      </c>
      <c r="M2262" s="6" t="s">
        <v>34</v>
      </c>
      <c r="N2262" s="6"/>
    </row>
    <row r="2263" spans="1:14">
      <c r="A2263" s="6" t="s">
        <v>3744</v>
      </c>
      <c r="B2263" s="7">
        <v>46107</v>
      </c>
      <c r="C2263" s="6" t="s">
        <v>1168</v>
      </c>
      <c r="D2263" s="6" t="str">
        <f>IF(OR(PROPER(TRIM(Raw_Data!D2263))="Uk",PROPER(TRIM(Raw_Data!D2263))="Gb",PROPER(TRIM(Raw_Data!D2263))="United kingdom"),"United Kingdom",PROPER(TRIM(Raw_Data!D2263)))</f>
        <v>United Kingdom</v>
      </c>
      <c r="E2263" s="6" t="s">
        <v>37</v>
      </c>
      <c r="F2263" s="6" t="s">
        <v>94</v>
      </c>
      <c r="G2263" s="6" t="str">
        <f>SUBSTITUTE(Raw_Data!G2263,"Ã©","é")</f>
        <v>Trail Softshell</v>
      </c>
      <c r="H2263" s="6">
        <v>1</v>
      </c>
      <c r="I2263" s="6" t="s">
        <v>265</v>
      </c>
      <c r="J2263" s="6" t="s">
        <v>265</v>
      </c>
      <c r="K2263" s="6">
        <v>0.34</v>
      </c>
      <c r="L2263" s="6" t="s">
        <v>42</v>
      </c>
      <c r="M2263" s="6" t="s">
        <v>34</v>
      </c>
      <c r="N2263" s="6"/>
    </row>
    <row r="2264" spans="1:14">
      <c r="A2264" s="6" t="s">
        <v>3745</v>
      </c>
      <c r="B2264" s="7">
        <v>46197</v>
      </c>
      <c r="C2264" s="6" t="s">
        <v>1059</v>
      </c>
      <c r="D2264" s="6" t="str">
        <f>IF(OR(PROPER(TRIM(Raw_Data!D2264))="Uk",PROPER(TRIM(Raw_Data!D2264))="Gb",PROPER(TRIM(Raw_Data!D2264))="United kingdom"),"United Kingdom",PROPER(TRIM(Raw_Data!D2264)))</f>
        <v>France</v>
      </c>
      <c r="E2264" s="6" t="s">
        <v>78</v>
      </c>
      <c r="F2264" s="6" t="s">
        <v>85</v>
      </c>
      <c r="G2264" s="6" t="str">
        <f>SUBSTITUTE(Raw_Data!G2264,"Ã©","é")</f>
        <v>Fell Runner Cap</v>
      </c>
      <c r="H2264" s="6">
        <v>3</v>
      </c>
      <c r="I2264" s="6" t="s">
        <v>265</v>
      </c>
      <c r="J2264" s="6" t="s">
        <v>401</v>
      </c>
      <c r="K2264" s="6">
        <v>0.41</v>
      </c>
      <c r="L2264" s="6" t="s">
        <v>42</v>
      </c>
      <c r="M2264" s="6" t="s">
        <v>34</v>
      </c>
      <c r="N2264" s="6"/>
    </row>
    <row r="2265" spans="1:14">
      <c r="A2265" s="6" t="s">
        <v>3746</v>
      </c>
      <c r="B2265" s="7">
        <v>46238</v>
      </c>
      <c r="C2265" s="6" t="s">
        <v>1323</v>
      </c>
      <c r="D2265" s="6" t="str">
        <f>IF(OR(PROPER(TRIM(Raw_Data!D2265))="Uk",PROPER(TRIM(Raw_Data!D2265))="Gb",PROPER(TRIM(Raw_Data!D2265))="United kingdom"),"United Kingdom",PROPER(TRIM(Raw_Data!D2265)))</f>
        <v>United Kingdom</v>
      </c>
      <c r="E2265" s="6" t="s">
        <v>78</v>
      </c>
      <c r="F2265" s="6" t="s">
        <v>47</v>
      </c>
      <c r="G2265" s="6" t="str">
        <f>SUBSTITUTE(Raw_Data!G2265,"Ã©","é")</f>
        <v>Summit Down Gilet</v>
      </c>
      <c r="H2265" s="6">
        <v>2</v>
      </c>
      <c r="I2265" s="6" t="s">
        <v>231</v>
      </c>
      <c r="J2265" s="6" t="s">
        <v>232</v>
      </c>
      <c r="K2265" s="6">
        <v>8.5000000000000006E-2</v>
      </c>
      <c r="L2265" s="6" t="s">
        <v>42</v>
      </c>
      <c r="M2265" s="6" t="s">
        <v>34</v>
      </c>
      <c r="N2265" s="6"/>
    </row>
    <row r="2266" spans="1:14">
      <c r="A2266" s="6" t="s">
        <v>3747</v>
      </c>
      <c r="B2266" s="7">
        <v>46088</v>
      </c>
      <c r="C2266" s="6" t="s">
        <v>3748</v>
      </c>
      <c r="D2266" s="6" t="str">
        <f>IF(OR(PROPER(TRIM(Raw_Data!D2266))="Uk",PROPER(TRIM(Raw_Data!D2266))="Gb",PROPER(TRIM(Raw_Data!D2266))="United kingdom"),"United Kingdom",PROPER(TRIM(Raw_Data!D2266)))</f>
        <v>Ireland</v>
      </c>
      <c r="E2266" s="6" t="s">
        <v>28</v>
      </c>
      <c r="F2266" s="6" t="s">
        <v>47</v>
      </c>
      <c r="G2266" s="6" t="str">
        <f>SUBSTITUTE(Raw_Data!G2266,"Ã©","é")</f>
        <v>Summit Down Gilet</v>
      </c>
      <c r="H2266" s="6">
        <v>1</v>
      </c>
      <c r="I2266" s="6" t="s">
        <v>79</v>
      </c>
      <c r="J2266" s="6" t="s">
        <v>79</v>
      </c>
      <c r="K2266" s="6">
        <v>8.5000000000000006E-2</v>
      </c>
      <c r="L2266" s="6" t="s">
        <v>42</v>
      </c>
      <c r="M2266" s="6" t="s">
        <v>34</v>
      </c>
      <c r="N2266" s="6"/>
    </row>
    <row r="2267" spans="1:14">
      <c r="A2267" s="6" t="s">
        <v>3749</v>
      </c>
      <c r="B2267" s="7">
        <v>46205</v>
      </c>
      <c r="C2267" s="6" t="s">
        <v>951</v>
      </c>
      <c r="D2267" s="6" t="str">
        <f>IF(OR(PROPER(TRIM(Raw_Data!D2267))="Uk",PROPER(TRIM(Raw_Data!D2267))="Gb",PROPER(TRIM(Raw_Data!D2267))="United kingdom"),"United Kingdom",PROPER(TRIM(Raw_Data!D2267)))</f>
        <v>United Kingdom</v>
      </c>
      <c r="E2267" s="6" t="s">
        <v>37</v>
      </c>
      <c r="F2267" s="6" t="s">
        <v>53</v>
      </c>
      <c r="G2267" s="6" t="str">
        <f>SUBSTITUTE(Raw_Data!G2267,"Ã©","é")</f>
        <v>Trekking Poles</v>
      </c>
      <c r="H2267" s="6">
        <v>2</v>
      </c>
      <c r="I2267" s="6" t="s">
        <v>117</v>
      </c>
      <c r="J2267" s="6" t="s">
        <v>118</v>
      </c>
      <c r="K2267" s="6">
        <v>0.19</v>
      </c>
      <c r="L2267" s="6" t="s">
        <v>33</v>
      </c>
      <c r="M2267" s="6" t="s">
        <v>69</v>
      </c>
      <c r="N2267" s="6"/>
    </row>
    <row r="2268" spans="1:14">
      <c r="A2268" s="6" t="s">
        <v>3750</v>
      </c>
      <c r="B2268" s="7">
        <v>46237</v>
      </c>
      <c r="C2268" s="6" t="s">
        <v>3751</v>
      </c>
      <c r="D2268" s="6" t="str">
        <f>IF(OR(PROPER(TRIM(Raw_Data!D2268))="Uk",PROPER(TRIM(Raw_Data!D2268))="Gb",PROPER(TRIM(Raw_Data!D2268))="United kingdom"),"United Kingdom",PROPER(TRIM(Raw_Data!D2268)))</f>
        <v>United Kingdom</v>
      </c>
      <c r="E2268" s="6" t="s">
        <v>28</v>
      </c>
      <c r="F2268" s="6" t="s">
        <v>38</v>
      </c>
      <c r="G2268" s="6" t="str">
        <f>SUBSTITUTE(Raw_Data!G2268,"Ã©","é")</f>
        <v>Merino Base Layer</v>
      </c>
      <c r="H2268" s="6">
        <v>2</v>
      </c>
      <c r="I2268" s="6" t="s">
        <v>117</v>
      </c>
      <c r="J2268" s="6" t="s">
        <v>118</v>
      </c>
      <c r="K2268" s="6">
        <v>0.52</v>
      </c>
      <c r="L2268" s="6" t="s">
        <v>42</v>
      </c>
      <c r="M2268" s="6" t="s">
        <v>69</v>
      </c>
      <c r="N2268" s="6"/>
    </row>
    <row r="2269" spans="1:14">
      <c r="A2269" s="6" t="s">
        <v>3752</v>
      </c>
      <c r="B2269" s="7">
        <v>46362</v>
      </c>
      <c r="C2269" s="6" t="s">
        <v>1734</v>
      </c>
      <c r="D2269" s="6" t="str">
        <f>IF(OR(PROPER(TRIM(Raw_Data!D2269))="Uk",PROPER(TRIM(Raw_Data!D2269))="Gb",PROPER(TRIM(Raw_Data!D2269))="United kingdom"),"United Kingdom",PROPER(TRIM(Raw_Data!D2269)))</f>
        <v>United Kingdom</v>
      </c>
      <c r="E2269" s="6" t="s">
        <v>78</v>
      </c>
      <c r="F2269" s="6" t="s">
        <v>53</v>
      </c>
      <c r="G2269" s="6" t="str">
        <f>SUBSTITUTE(Raw_Data!G2269,"Ã©","é")</f>
        <v>Trekking Poles</v>
      </c>
      <c r="H2269" s="6">
        <v>3</v>
      </c>
      <c r="I2269" s="6" t="s">
        <v>143</v>
      </c>
      <c r="J2269" s="6" t="s">
        <v>243</v>
      </c>
      <c r="K2269" s="6">
        <v>0.19</v>
      </c>
      <c r="L2269" s="6" t="s">
        <v>42</v>
      </c>
      <c r="M2269" s="6" t="s">
        <v>34</v>
      </c>
      <c r="N2269" s="6"/>
    </row>
    <row r="2270" spans="1:14">
      <c r="A2270" s="6" t="s">
        <v>3753</v>
      </c>
      <c r="B2270" s="7">
        <v>46026</v>
      </c>
      <c r="C2270" s="6" t="s">
        <v>2638</v>
      </c>
      <c r="D2270" s="6" t="str">
        <f>IF(OR(PROPER(TRIM(Raw_Data!D2270))="Uk",PROPER(TRIM(Raw_Data!D2270))="Gb",PROPER(TRIM(Raw_Data!D2270))="United kingdom"),"United Kingdom",PROPER(TRIM(Raw_Data!D2270)))</f>
        <v>Ireland</v>
      </c>
      <c r="E2270" s="6" t="s">
        <v>52</v>
      </c>
      <c r="F2270" s="6" t="s">
        <v>94</v>
      </c>
      <c r="G2270" s="6" t="str">
        <f>SUBSTITUTE(Raw_Data!G2270,"Ã©","é")</f>
        <v>Storm Overtrousers</v>
      </c>
      <c r="H2270" s="6">
        <v>2</v>
      </c>
      <c r="I2270" s="6" t="s">
        <v>113</v>
      </c>
      <c r="J2270" s="6" t="s">
        <v>192</v>
      </c>
      <c r="K2270" s="6">
        <v>0.34</v>
      </c>
      <c r="L2270" s="6" t="s">
        <v>42</v>
      </c>
      <c r="M2270" s="6" t="s">
        <v>34</v>
      </c>
      <c r="N2270" s="6"/>
    </row>
    <row r="2271" spans="1:14">
      <c r="A2271" s="6" t="s">
        <v>3754</v>
      </c>
      <c r="B2271" s="7">
        <v>46171</v>
      </c>
      <c r="C2271" s="6" t="s">
        <v>1081</v>
      </c>
      <c r="D2271" s="6" t="str">
        <f>IF(OR(PROPER(TRIM(Raw_Data!D2271))="Uk",PROPER(TRIM(Raw_Data!D2271))="Gb",PROPER(TRIM(Raw_Data!D2271))="United kingdom"),"United Kingdom",PROPER(TRIM(Raw_Data!D2271)))</f>
        <v>United Kingdom</v>
      </c>
      <c r="E2271" s="6" t="s">
        <v>78</v>
      </c>
      <c r="F2271" s="6" t="s">
        <v>85</v>
      </c>
      <c r="G2271" s="6" t="str">
        <f>SUBSTITUTE(Raw_Data!G2271,"Ã©","é")</f>
        <v>Trekking Poles</v>
      </c>
      <c r="H2271" s="6">
        <v>1</v>
      </c>
      <c r="I2271" s="6" t="s">
        <v>82</v>
      </c>
      <c r="J2271" s="6" t="s">
        <v>82</v>
      </c>
      <c r="K2271" s="6">
        <v>0.41</v>
      </c>
      <c r="L2271" s="6" t="s">
        <v>42</v>
      </c>
      <c r="M2271" s="6" t="s">
        <v>34</v>
      </c>
      <c r="N2271" s="6"/>
    </row>
    <row r="2272" spans="1:14">
      <c r="A2272" s="6" t="s">
        <v>3755</v>
      </c>
      <c r="B2272" s="7">
        <v>46174</v>
      </c>
      <c r="C2272" s="6" t="s">
        <v>1332</v>
      </c>
      <c r="D2272" s="6" t="str">
        <f>IF(OR(PROPER(TRIM(Raw_Data!D2272))="Uk",PROPER(TRIM(Raw_Data!D2272))="Gb",PROPER(TRIM(Raw_Data!D2272))="United kingdom"),"United Kingdom",PROPER(TRIM(Raw_Data!D2272)))</f>
        <v>United Kingdom</v>
      </c>
      <c r="E2272" s="6" t="s">
        <v>52</v>
      </c>
      <c r="F2272" s="6" t="s">
        <v>29</v>
      </c>
      <c r="G2272" s="6" t="str">
        <f>SUBSTITUTE(Raw_Data!G2272,"Ã©","é")</f>
        <v>Merino Base Layer</v>
      </c>
      <c r="H2272" s="6">
        <v>2</v>
      </c>
      <c r="I2272" s="6" t="s">
        <v>79</v>
      </c>
      <c r="J2272" s="6" t="s">
        <v>259</v>
      </c>
      <c r="K2272" s="6">
        <v>0.52</v>
      </c>
      <c r="L2272" s="6" t="s">
        <v>42</v>
      </c>
      <c r="M2272" s="6" t="s">
        <v>34</v>
      </c>
      <c r="N2272" s="6"/>
    </row>
    <row r="2273" spans="1:14">
      <c r="A2273" s="6" t="s">
        <v>3756</v>
      </c>
      <c r="B2273" s="7">
        <v>46297</v>
      </c>
      <c r="C2273" s="6" t="s">
        <v>2484</v>
      </c>
      <c r="D2273" s="6" t="str">
        <f>IF(OR(PROPER(TRIM(Raw_Data!D2273))="Uk",PROPER(TRIM(Raw_Data!D2273))="Gb",PROPER(TRIM(Raw_Data!D2273))="United kingdom"),"United Kingdom",PROPER(TRIM(Raw_Data!D2273)))</f>
        <v>United Kingdom</v>
      </c>
      <c r="E2273" s="6" t="s">
        <v>28</v>
      </c>
      <c r="F2273" s="6" t="s">
        <v>94</v>
      </c>
      <c r="G2273" s="6" t="str">
        <f>SUBSTITUTE(Raw_Data!G2273,"Ã©","é")</f>
        <v>Summit Down Gilet</v>
      </c>
      <c r="H2273" s="6">
        <v>3</v>
      </c>
      <c r="I2273" s="6" t="s">
        <v>79</v>
      </c>
      <c r="J2273" s="6" t="s">
        <v>216</v>
      </c>
      <c r="K2273" s="6">
        <v>0.34</v>
      </c>
      <c r="L2273" s="6" t="s">
        <v>42</v>
      </c>
      <c r="M2273" s="6" t="s">
        <v>34</v>
      </c>
      <c r="N2273" s="6"/>
    </row>
    <row r="2274" spans="1:14">
      <c r="A2274" s="6" t="s">
        <v>3757</v>
      </c>
      <c r="B2274" s="7">
        <v>46041</v>
      </c>
      <c r="C2274" s="6" t="s">
        <v>1286</v>
      </c>
      <c r="D2274" s="6" t="str">
        <f>IF(OR(PROPER(TRIM(Raw_Data!D2274))="Uk",PROPER(TRIM(Raw_Data!D2274))="Gb",PROPER(TRIM(Raw_Data!D2274))="United kingdom"),"United Kingdom",PROPER(TRIM(Raw_Data!D2274)))</f>
        <v>United Kingdom</v>
      </c>
      <c r="E2274" s="6" t="s">
        <v>52</v>
      </c>
      <c r="F2274" s="6" t="s">
        <v>38</v>
      </c>
      <c r="G2274" s="6" t="str">
        <f>SUBSTITUTE(Raw_Data!G2274,"Ã©","é")</f>
        <v>Trekking Poles</v>
      </c>
      <c r="H2274" s="6">
        <v>1</v>
      </c>
      <c r="I2274" s="6" t="s">
        <v>31</v>
      </c>
      <c r="J2274" s="6" t="s">
        <v>31</v>
      </c>
      <c r="K2274" s="6">
        <v>0.52</v>
      </c>
      <c r="L2274" s="6" t="s">
        <v>42</v>
      </c>
      <c r="M2274" s="6" t="s">
        <v>34</v>
      </c>
      <c r="N2274" s="6"/>
    </row>
    <row r="2275" spans="1:14">
      <c r="A2275" s="6" t="s">
        <v>3758</v>
      </c>
      <c r="B2275" s="7">
        <v>46296</v>
      </c>
      <c r="C2275" s="6" t="s">
        <v>990</v>
      </c>
      <c r="D2275" s="6" t="str">
        <f>IF(OR(PROPER(TRIM(Raw_Data!D2275))="Uk",PROPER(TRIM(Raw_Data!D2275))="Gb",PROPER(TRIM(Raw_Data!D2275))="United kingdom"),"United Kingdom",PROPER(TRIM(Raw_Data!D2275)))</f>
        <v>United Kingdom</v>
      </c>
      <c r="E2275" s="6" t="s">
        <v>78</v>
      </c>
      <c r="F2275" s="6" t="s">
        <v>38</v>
      </c>
      <c r="G2275" s="6" t="str">
        <f>SUBSTITUTE(Raw_Data!G2275,"Ã©","é")</f>
        <v>Trail Softshell</v>
      </c>
      <c r="H2275" s="6">
        <v>3</v>
      </c>
      <c r="I2275" s="6" t="s">
        <v>31</v>
      </c>
      <c r="J2275" s="6" t="s">
        <v>337</v>
      </c>
      <c r="K2275" s="6">
        <v>0.52</v>
      </c>
      <c r="L2275" s="6" t="s">
        <v>33</v>
      </c>
      <c r="M2275" s="6" t="s">
        <v>69</v>
      </c>
      <c r="N2275" s="6"/>
    </row>
    <row r="2276" spans="1:14">
      <c r="A2276" s="6" t="s">
        <v>3759</v>
      </c>
      <c r="B2276" s="7">
        <v>46027</v>
      </c>
      <c r="C2276" s="6" t="s">
        <v>202</v>
      </c>
      <c r="D2276" s="6" t="str">
        <f>IF(OR(PROPER(TRIM(Raw_Data!D2276))="Uk",PROPER(TRIM(Raw_Data!D2276))="Gb",PROPER(TRIM(Raw_Data!D2276))="United kingdom"),"United Kingdom",PROPER(TRIM(Raw_Data!D2276)))</f>
        <v>United Kingdom</v>
      </c>
      <c r="E2276" s="6" t="s">
        <v>52</v>
      </c>
      <c r="F2276" s="6" t="s">
        <v>94</v>
      </c>
      <c r="G2276" s="6" t="str">
        <f>SUBSTITUTE(Raw_Data!G2276,"Ã©","é")</f>
        <v>Fell Runner Cap</v>
      </c>
      <c r="H2276" s="6">
        <v>-2</v>
      </c>
      <c r="I2276" s="6" t="s">
        <v>31</v>
      </c>
      <c r="J2276" s="8" t="s">
        <v>159</v>
      </c>
      <c r="K2276" s="6">
        <v>0.34</v>
      </c>
      <c r="L2276" s="6" t="s">
        <v>33</v>
      </c>
      <c r="M2276" s="6" t="s">
        <v>69</v>
      </c>
      <c r="N2276" s="6"/>
    </row>
    <row r="2277" spans="1:14">
      <c r="A2277" s="6" t="s">
        <v>3760</v>
      </c>
      <c r="B2277" s="7">
        <v>46052</v>
      </c>
      <c r="C2277" s="6" t="s">
        <v>564</v>
      </c>
      <c r="D2277" s="6" t="str">
        <f>IF(OR(PROPER(TRIM(Raw_Data!D2277))="Uk",PROPER(TRIM(Raw_Data!D2277))="Gb",PROPER(TRIM(Raw_Data!D2277))="United kingdom"),"United Kingdom",PROPER(TRIM(Raw_Data!D2277)))</f>
        <v>Ireland</v>
      </c>
      <c r="E2277" s="6" t="s">
        <v>46</v>
      </c>
      <c r="F2277" s="6" t="s">
        <v>94</v>
      </c>
      <c r="G2277" s="6" t="str">
        <f>SUBSTITUTE(Raw_Data!G2277,"Ã©","é")</f>
        <v>Trekking Poles</v>
      </c>
      <c r="H2277" s="6">
        <v>1</v>
      </c>
      <c r="I2277" s="6" t="s">
        <v>79</v>
      </c>
      <c r="J2277" s="6" t="s">
        <v>79</v>
      </c>
      <c r="K2277" s="6">
        <v>0.34</v>
      </c>
      <c r="L2277" s="6" t="s">
        <v>33</v>
      </c>
      <c r="M2277" s="6" t="s">
        <v>34</v>
      </c>
      <c r="N2277" s="6"/>
    </row>
    <row r="2278" spans="1:14">
      <c r="A2278" s="6" t="s">
        <v>3761</v>
      </c>
      <c r="B2278" s="7">
        <v>46051</v>
      </c>
      <c r="C2278" s="6" t="s">
        <v>3762</v>
      </c>
      <c r="D2278" s="6" t="str">
        <f>IF(OR(PROPER(TRIM(Raw_Data!D2278))="Uk",PROPER(TRIM(Raw_Data!D2278))="Gb",PROPER(TRIM(Raw_Data!D2278))="United kingdom"),"United Kingdom",PROPER(TRIM(Raw_Data!D2278)))</f>
        <v>France</v>
      </c>
      <c r="E2278" s="6" t="s">
        <v>52</v>
      </c>
      <c r="F2278" s="6" t="s">
        <v>47</v>
      </c>
      <c r="G2278" s="6" t="str">
        <f>SUBSTITUTE(Raw_Data!G2278,"Ã©","é")</f>
        <v>Fell Runner Cap</v>
      </c>
      <c r="H2278" s="6">
        <v>3</v>
      </c>
      <c r="I2278" s="6" t="s">
        <v>79</v>
      </c>
      <c r="J2278" s="6" t="s">
        <v>216</v>
      </c>
      <c r="K2278" s="6">
        <v>8.5000000000000006E-2</v>
      </c>
      <c r="L2278" s="6" t="s">
        <v>33</v>
      </c>
      <c r="M2278" s="6" t="s">
        <v>34</v>
      </c>
      <c r="N2278" s="6"/>
    </row>
    <row r="2279" spans="1:14">
      <c r="A2279" s="6" t="s">
        <v>3763</v>
      </c>
      <c r="B2279" s="7">
        <v>46297</v>
      </c>
      <c r="C2279" s="6" t="s">
        <v>1286</v>
      </c>
      <c r="D2279" s="6" t="str">
        <f>IF(OR(PROPER(TRIM(Raw_Data!D2279))="Uk",PROPER(TRIM(Raw_Data!D2279))="Gb",PROPER(TRIM(Raw_Data!D2279))="United kingdom"),"United Kingdom",PROPER(TRIM(Raw_Data!D2279)))</f>
        <v>United Kingdom</v>
      </c>
      <c r="E2279" s="6" t="s">
        <v>78</v>
      </c>
      <c r="F2279" s="6" t="s">
        <v>47</v>
      </c>
      <c r="G2279" s="6" t="str">
        <f>SUBSTITUTE(Raw_Data!G2279,"Ã©","é")</f>
        <v>Alpine Jacket</v>
      </c>
      <c r="H2279" s="6">
        <v>2</v>
      </c>
      <c r="I2279" s="6" t="s">
        <v>113</v>
      </c>
      <c r="J2279" s="6" t="s">
        <v>192</v>
      </c>
      <c r="K2279" s="6">
        <v>8.5000000000000006E-2</v>
      </c>
      <c r="L2279" s="6" t="s">
        <v>42</v>
      </c>
      <c r="M2279" s="6" t="s">
        <v>34</v>
      </c>
      <c r="N2279" s="6"/>
    </row>
    <row r="2280" spans="1:14">
      <c r="A2280" s="6" t="s">
        <v>3764</v>
      </c>
      <c r="B2280" s="7">
        <v>46206</v>
      </c>
      <c r="C2280" s="6" t="s">
        <v>36</v>
      </c>
      <c r="D2280" s="6" t="str">
        <f>IF(OR(PROPER(TRIM(Raw_Data!D2280))="Uk",PROPER(TRIM(Raw_Data!D2280))="Gb",PROPER(TRIM(Raw_Data!D2280))="United kingdom"),"United Kingdom",PROPER(TRIM(Raw_Data!D2280)))</f>
        <v>United Kingdom</v>
      </c>
      <c r="E2280" s="6" t="s">
        <v>78</v>
      </c>
      <c r="F2280" s="6" t="s">
        <v>29</v>
      </c>
      <c r="G2280" s="6" t="str">
        <f>SUBSTITUTE(Raw_Data!G2280,"Ã©","é")</f>
        <v>Trekking Poles</v>
      </c>
      <c r="H2280" s="6">
        <v>2</v>
      </c>
      <c r="I2280" s="6" t="s">
        <v>113</v>
      </c>
      <c r="J2280" s="6" t="s">
        <v>192</v>
      </c>
      <c r="K2280" s="6">
        <v>0.52</v>
      </c>
      <c r="L2280" s="6" t="s">
        <v>33</v>
      </c>
      <c r="M2280" s="6" t="s">
        <v>34</v>
      </c>
      <c r="N2280" s="6"/>
    </row>
    <row r="2281" spans="1:14">
      <c r="A2281" s="6" t="s">
        <v>3765</v>
      </c>
      <c r="B2281" s="7">
        <v>46059</v>
      </c>
      <c r="C2281" s="6" t="s">
        <v>427</v>
      </c>
      <c r="D2281" s="6" t="str">
        <f>IF(OR(PROPER(TRIM(Raw_Data!D2281))="Uk",PROPER(TRIM(Raw_Data!D2281))="Gb",PROPER(TRIM(Raw_Data!D2281))="United kingdom"),"United Kingdom",PROPER(TRIM(Raw_Data!D2281)))</f>
        <v>Ireland</v>
      </c>
      <c r="E2281" s="6" t="s">
        <v>46</v>
      </c>
      <c r="F2281" s="6" t="s">
        <v>38</v>
      </c>
      <c r="G2281" s="6" t="str">
        <f>SUBSTITUTE(Raw_Data!G2281,"Ã©","é")</f>
        <v>Trail Softshell</v>
      </c>
      <c r="H2281" s="6">
        <v>2</v>
      </c>
      <c r="I2281" s="6" t="s">
        <v>31</v>
      </c>
      <c r="J2281" s="6" t="s">
        <v>249</v>
      </c>
      <c r="K2281" s="6">
        <v>0.52</v>
      </c>
      <c r="L2281" s="6" t="s">
        <v>42</v>
      </c>
      <c r="M2281" s="6" t="s">
        <v>69</v>
      </c>
      <c r="N2281" s="6"/>
    </row>
    <row r="2282" spans="1:14">
      <c r="A2282" s="6" t="s">
        <v>3766</v>
      </c>
      <c r="B2282" s="7">
        <v>46205</v>
      </c>
      <c r="C2282" s="6" t="s">
        <v>735</v>
      </c>
      <c r="D2282" s="6" t="str">
        <f>IF(OR(PROPER(TRIM(Raw_Data!D2282))="Uk",PROPER(TRIM(Raw_Data!D2282))="Gb",PROPER(TRIM(Raw_Data!D2282))="United kingdom"),"United Kingdom",PROPER(TRIM(Raw_Data!D2282)))</f>
        <v>United Kingdom</v>
      </c>
      <c r="E2282" s="6" t="s">
        <v>46</v>
      </c>
      <c r="F2282" s="6" t="s">
        <v>38</v>
      </c>
      <c r="G2282" s="6" t="str">
        <f>SUBSTITUTE(Raw_Data!G2282,"Ã©","é")</f>
        <v>Trail Softshell</v>
      </c>
      <c r="H2282" s="6">
        <v>3</v>
      </c>
      <c r="I2282" s="6" t="s">
        <v>31</v>
      </c>
      <c r="J2282" s="6" t="s">
        <v>337</v>
      </c>
      <c r="K2282" s="6">
        <v>0.52</v>
      </c>
      <c r="L2282" s="6" t="s">
        <v>42</v>
      </c>
      <c r="M2282" s="6" t="s">
        <v>69</v>
      </c>
      <c r="N2282" s="6"/>
    </row>
    <row r="2283" spans="1:14">
      <c r="A2283" s="6" t="s">
        <v>3767</v>
      </c>
      <c r="B2283" s="7">
        <v>46296</v>
      </c>
      <c r="C2283" s="6" t="s">
        <v>433</v>
      </c>
      <c r="D2283" s="6" t="str">
        <f>IF(OR(PROPER(TRIM(Raw_Data!D2283))="Uk",PROPER(TRIM(Raw_Data!D2283))="Gb",PROPER(TRIM(Raw_Data!D2283))="United kingdom"),"United Kingdom",PROPER(TRIM(Raw_Data!D2283)))</f>
        <v>United Kingdom</v>
      </c>
      <c r="E2283" s="6" t="s">
        <v>37</v>
      </c>
      <c r="F2283" s="6" t="s">
        <v>38</v>
      </c>
      <c r="G2283" s="6" t="str">
        <f>SUBSTITUTE(Raw_Data!G2283,"Ã©","é")</f>
        <v>Trekking Poles</v>
      </c>
      <c r="H2283" s="6">
        <v>3</v>
      </c>
      <c r="I2283" s="6" t="s">
        <v>67</v>
      </c>
      <c r="J2283" s="6" t="s">
        <v>68</v>
      </c>
      <c r="K2283" s="6">
        <v>0.52</v>
      </c>
      <c r="L2283" s="6" t="s">
        <v>33</v>
      </c>
      <c r="M2283" s="6" t="s">
        <v>69</v>
      </c>
      <c r="N2283" s="6"/>
    </row>
    <row r="2284" spans="1:14">
      <c r="A2284" s="6" t="s">
        <v>3768</v>
      </c>
      <c r="B2284" s="7">
        <v>46208</v>
      </c>
      <c r="C2284" s="6" t="s">
        <v>296</v>
      </c>
      <c r="D2284" s="6" t="str">
        <f>IF(OR(PROPER(TRIM(Raw_Data!D2284))="Uk",PROPER(TRIM(Raw_Data!D2284))="Gb",PROPER(TRIM(Raw_Data!D2284))="United kingdom"),"United Kingdom",PROPER(TRIM(Raw_Data!D2284)))</f>
        <v>United Kingdom</v>
      </c>
      <c r="E2284" s="6" t="s">
        <v>28</v>
      </c>
      <c r="F2284" s="6" t="s">
        <v>100</v>
      </c>
      <c r="G2284" s="6" t="str">
        <f>SUBSTITUTE(Raw_Data!G2284,"Ã©","é")</f>
        <v>Summit Down Gilet</v>
      </c>
      <c r="H2284" s="6">
        <v>1</v>
      </c>
      <c r="I2284" s="6" t="s">
        <v>265</v>
      </c>
      <c r="J2284" s="6" t="s">
        <v>265</v>
      </c>
      <c r="K2284" s="6">
        <v>0.64</v>
      </c>
      <c r="L2284" s="6" t="s">
        <v>33</v>
      </c>
      <c r="M2284" s="6" t="s">
        <v>34</v>
      </c>
      <c r="N2284" s="6"/>
    </row>
    <row r="2285" spans="1:14">
      <c r="A2285" s="6" t="s">
        <v>3769</v>
      </c>
      <c r="B2285" s="7">
        <v>46059</v>
      </c>
      <c r="C2285" s="6" t="s">
        <v>3770</v>
      </c>
      <c r="D2285" s="6" t="str">
        <f>IF(OR(PROPER(TRIM(Raw_Data!D2285))="Uk",PROPER(TRIM(Raw_Data!D2285))="Gb",PROPER(TRIM(Raw_Data!D2285))="United kingdom"),"United Kingdom",PROPER(TRIM(Raw_Data!D2285)))</f>
        <v>United Kingdom</v>
      </c>
      <c r="E2285" s="6" t="s">
        <v>37</v>
      </c>
      <c r="F2285" s="6" t="s">
        <v>58</v>
      </c>
      <c r="G2285" s="6" t="str">
        <f>SUBSTITUTE(Raw_Data!G2285,"Ã©","é")</f>
        <v>Summit Down Gilet</v>
      </c>
      <c r="H2285" s="6">
        <v>1</v>
      </c>
      <c r="I2285" s="6" t="s">
        <v>231</v>
      </c>
      <c r="J2285" s="6" t="s">
        <v>231</v>
      </c>
      <c r="K2285" s="6">
        <v>0.38</v>
      </c>
      <c r="L2285" s="6" t="s">
        <v>42</v>
      </c>
      <c r="M2285" s="6" t="s">
        <v>69</v>
      </c>
      <c r="N2285" s="6"/>
    </row>
    <row r="2286" spans="1:14">
      <c r="A2286" s="6" t="s">
        <v>3771</v>
      </c>
      <c r="B2286" s="7">
        <v>46028</v>
      </c>
      <c r="C2286" s="6" t="s">
        <v>1428</v>
      </c>
      <c r="D2286" s="6" t="str">
        <f>IF(OR(PROPER(TRIM(Raw_Data!D2286))="Uk",PROPER(TRIM(Raw_Data!D2286))="Gb",PROPER(TRIM(Raw_Data!D2286))="United kingdom"),"United Kingdom",PROPER(TRIM(Raw_Data!D2286)))</f>
        <v>United Kingdom</v>
      </c>
      <c r="E2286" s="6" t="s">
        <v>78</v>
      </c>
      <c r="F2286" s="6" t="s">
        <v>47</v>
      </c>
      <c r="G2286" s="6" t="str">
        <f>SUBSTITUTE(Raw_Data!G2286,"Ã©","é")</f>
        <v>Alpine Jacket</v>
      </c>
      <c r="H2286" s="6">
        <v>3</v>
      </c>
      <c r="I2286" s="6" t="s">
        <v>265</v>
      </c>
      <c r="J2286" s="6" t="s">
        <v>401</v>
      </c>
      <c r="K2286" s="6">
        <v>8.5000000000000006E-2</v>
      </c>
      <c r="L2286" s="6" t="s">
        <v>42</v>
      </c>
      <c r="M2286" s="6" t="s">
        <v>34</v>
      </c>
      <c r="N2286" s="6"/>
    </row>
    <row r="2287" spans="1:14">
      <c r="A2287" s="6" t="s">
        <v>3772</v>
      </c>
      <c r="B2287" s="7">
        <v>46163</v>
      </c>
      <c r="C2287" s="6" t="s">
        <v>2008</v>
      </c>
      <c r="D2287" s="6" t="str">
        <f>IF(OR(PROPER(TRIM(Raw_Data!D2287))="Uk",PROPER(TRIM(Raw_Data!D2287))="Gb",PROPER(TRIM(Raw_Data!D2287))="United kingdom"),"United Kingdom",PROPER(TRIM(Raw_Data!D2287)))</f>
        <v>United Kingdom</v>
      </c>
      <c r="E2287" s="6" t="s">
        <v>37</v>
      </c>
      <c r="F2287" s="6" t="s">
        <v>58</v>
      </c>
      <c r="G2287" s="6" t="str">
        <f>SUBSTITUTE(Raw_Data!G2287,"Ã©","é")</f>
        <v>Trail Softshell</v>
      </c>
      <c r="H2287" s="6">
        <v>1</v>
      </c>
      <c r="I2287" s="6" t="s">
        <v>79</v>
      </c>
      <c r="J2287" s="6" t="s">
        <v>79</v>
      </c>
      <c r="K2287" s="6">
        <v>0.38</v>
      </c>
      <c r="L2287" s="6" t="s">
        <v>42</v>
      </c>
      <c r="M2287" s="6" t="s">
        <v>34</v>
      </c>
      <c r="N2287" s="6"/>
    </row>
    <row r="2288" spans="1:14">
      <c r="A2288" s="6" t="s">
        <v>3773</v>
      </c>
      <c r="B2288" s="7">
        <v>46160</v>
      </c>
      <c r="C2288" s="6" t="s">
        <v>2545</v>
      </c>
      <c r="D2288" s="6" t="str">
        <f>IF(OR(PROPER(TRIM(Raw_Data!D2288))="Uk",PROPER(TRIM(Raw_Data!D2288))="Gb",PROPER(TRIM(Raw_Data!D2288))="United kingdom"),"United Kingdom",PROPER(TRIM(Raw_Data!D2288)))</f>
        <v>France</v>
      </c>
      <c r="E2288" s="6" t="s">
        <v>46</v>
      </c>
      <c r="F2288" s="6" t="s">
        <v>38</v>
      </c>
      <c r="G2288" s="6" t="str">
        <f>SUBSTITUTE(Raw_Data!G2288,"Ã©","é")</f>
        <v>Fell Runner Cap</v>
      </c>
      <c r="H2288" s="6">
        <v>3</v>
      </c>
      <c r="I2288" s="6" t="s">
        <v>656</v>
      </c>
      <c r="J2288" s="6" t="s">
        <v>138</v>
      </c>
      <c r="K2288" s="6">
        <v>0.52</v>
      </c>
      <c r="L2288" s="6" t="s">
        <v>42</v>
      </c>
      <c r="M2288" s="6" t="s">
        <v>34</v>
      </c>
      <c r="N2288" s="6"/>
    </row>
    <row r="2289" spans="1:14">
      <c r="A2289" s="6" t="s">
        <v>3774</v>
      </c>
      <c r="B2289" s="7">
        <v>46057</v>
      </c>
      <c r="C2289" s="6" t="s">
        <v>843</v>
      </c>
      <c r="D2289" s="6" t="str">
        <f>IF(OR(PROPER(TRIM(Raw_Data!D2289))="Uk",PROPER(TRIM(Raw_Data!D2289))="Gb",PROPER(TRIM(Raw_Data!D2289))="United kingdom"),"United Kingdom",PROPER(TRIM(Raw_Data!D2289)))</f>
        <v>France</v>
      </c>
      <c r="E2289" s="6" t="s">
        <v>78</v>
      </c>
      <c r="F2289" s="6" t="s">
        <v>100</v>
      </c>
      <c r="G2289" s="6" t="str">
        <f>SUBSTITUTE(Raw_Data!G2289,"Ã©","é")</f>
        <v>Fell Runner Cap</v>
      </c>
      <c r="H2289" s="6">
        <v>1</v>
      </c>
      <c r="I2289" s="6" t="s">
        <v>143</v>
      </c>
      <c r="J2289" s="6" t="s">
        <v>143</v>
      </c>
      <c r="K2289" s="6">
        <v>0.64</v>
      </c>
      <c r="L2289" s="6" t="s">
        <v>42</v>
      </c>
      <c r="M2289" s="6" t="s">
        <v>69</v>
      </c>
      <c r="N2289" s="6"/>
    </row>
    <row r="2290" spans="1:14">
      <c r="A2290" s="6" t="s">
        <v>3775</v>
      </c>
      <c r="B2290" s="7">
        <v>46193</v>
      </c>
      <c r="C2290" s="6" t="s">
        <v>3776</v>
      </c>
      <c r="D2290" s="6" t="str">
        <f>IF(OR(PROPER(TRIM(Raw_Data!D2290))="Uk",PROPER(TRIM(Raw_Data!D2290))="Gb",PROPER(TRIM(Raw_Data!D2290))="United kingdom"),"United Kingdom",PROPER(TRIM(Raw_Data!D2290)))</f>
        <v>France</v>
      </c>
      <c r="E2290" s="6" t="s">
        <v>52</v>
      </c>
      <c r="F2290" s="6" t="s">
        <v>47</v>
      </c>
      <c r="G2290" s="6" t="str">
        <f>SUBSTITUTE(Raw_Data!G2290,"Ã©","é")</f>
        <v>Alpine Jacket</v>
      </c>
      <c r="H2290" s="6">
        <v>2</v>
      </c>
      <c r="I2290" s="6" t="s">
        <v>96</v>
      </c>
      <c r="J2290" s="6" t="s">
        <v>797</v>
      </c>
      <c r="K2290" s="6">
        <v>8.5000000000000006E-2</v>
      </c>
      <c r="L2290" s="6" t="s">
        <v>42</v>
      </c>
      <c r="M2290" s="6" t="s">
        <v>34</v>
      </c>
      <c r="N2290" s="6"/>
    </row>
    <row r="2291" spans="1:14">
      <c r="A2291" s="6" t="s">
        <v>3777</v>
      </c>
      <c r="B2291" s="7">
        <v>46238</v>
      </c>
      <c r="C2291" s="6" t="s">
        <v>644</v>
      </c>
      <c r="D2291" s="6" t="str">
        <f>IF(OR(PROPER(TRIM(Raw_Data!D2291))="Uk",PROPER(TRIM(Raw_Data!D2291))="Gb",PROPER(TRIM(Raw_Data!D2291))="United kingdom"),"United Kingdom",PROPER(TRIM(Raw_Data!D2291)))</f>
        <v>Ireland</v>
      </c>
      <c r="E2291" s="6" t="s">
        <v>46</v>
      </c>
      <c r="F2291" s="6" t="s">
        <v>58</v>
      </c>
      <c r="G2291" s="6" t="str">
        <f>SUBSTITUTE(Raw_Data!G2291,"Ã©","é")</f>
        <v>Fell Runner Cap</v>
      </c>
      <c r="H2291" s="6">
        <v>1</v>
      </c>
      <c r="I2291" s="6" t="s">
        <v>31</v>
      </c>
      <c r="J2291" s="6" t="s">
        <v>31</v>
      </c>
      <c r="K2291" s="6">
        <v>0.38</v>
      </c>
      <c r="L2291" s="6" t="s">
        <v>42</v>
      </c>
      <c r="M2291" s="6" t="s">
        <v>34</v>
      </c>
      <c r="N2291" s="6"/>
    </row>
    <row r="2292" spans="1:14">
      <c r="A2292" s="6" t="s">
        <v>3778</v>
      </c>
      <c r="B2292" s="7">
        <v>46299</v>
      </c>
      <c r="C2292" s="6" t="s">
        <v>191</v>
      </c>
      <c r="D2292" s="6" t="str">
        <f>IF(OR(PROPER(TRIM(Raw_Data!D2292))="Uk",PROPER(TRIM(Raw_Data!D2292))="Gb",PROPER(TRIM(Raw_Data!D2292))="United kingdom"),"United Kingdom",PROPER(TRIM(Raw_Data!D2292)))</f>
        <v>United Kingdom</v>
      </c>
      <c r="E2292" s="6" t="s">
        <v>78</v>
      </c>
      <c r="F2292" s="6" t="s">
        <v>100</v>
      </c>
      <c r="G2292" s="6" t="str">
        <f>SUBSTITUTE(Raw_Data!G2292,"Ã©","é")</f>
        <v>Café Latte Mug</v>
      </c>
      <c r="H2292" s="6">
        <v>1</v>
      </c>
      <c r="I2292" s="6" t="s">
        <v>117</v>
      </c>
      <c r="J2292" s="6" t="s">
        <v>117</v>
      </c>
      <c r="K2292" s="6">
        <v>0.64</v>
      </c>
      <c r="L2292" s="6" t="s">
        <v>42</v>
      </c>
      <c r="M2292" s="6" t="s">
        <v>34</v>
      </c>
      <c r="N2292" s="6"/>
    </row>
    <row r="2293" spans="1:14">
      <c r="A2293" s="6" t="s">
        <v>3779</v>
      </c>
      <c r="B2293" s="7">
        <v>46040</v>
      </c>
      <c r="C2293" s="6" t="s">
        <v>1680</v>
      </c>
      <c r="D2293" s="6" t="str">
        <f>IF(OR(PROPER(TRIM(Raw_Data!D2293))="Uk",PROPER(TRIM(Raw_Data!D2293))="Gb",PROPER(TRIM(Raw_Data!D2293))="United kingdom"),"United Kingdom",PROPER(TRIM(Raw_Data!D2293)))</f>
        <v>United Kingdom</v>
      </c>
      <c r="E2293" s="6" t="s">
        <v>37</v>
      </c>
      <c r="F2293" s="6" t="s">
        <v>94</v>
      </c>
      <c r="G2293" s="6" t="str">
        <f>SUBSTITUTE(Raw_Data!G2293,"Ã©","é")</f>
        <v>Storm Overtrousers</v>
      </c>
      <c r="H2293" s="6">
        <v>3</v>
      </c>
      <c r="I2293" s="6" t="s">
        <v>265</v>
      </c>
      <c r="J2293" s="6" t="s">
        <v>401</v>
      </c>
      <c r="K2293" s="6">
        <v>0.34</v>
      </c>
      <c r="L2293" s="6" t="s">
        <v>42</v>
      </c>
      <c r="M2293" s="6" t="s">
        <v>34</v>
      </c>
      <c r="N2293" s="6"/>
    </row>
    <row r="2294" spans="1:14">
      <c r="A2294" s="6" t="s">
        <v>3780</v>
      </c>
      <c r="B2294" s="7">
        <v>46135</v>
      </c>
      <c r="C2294" s="6" t="s">
        <v>1592</v>
      </c>
      <c r="D2294" s="6" t="str">
        <f>IF(OR(PROPER(TRIM(Raw_Data!D2294))="Uk",PROPER(TRIM(Raw_Data!D2294))="Gb",PROPER(TRIM(Raw_Data!D2294))="United kingdom"),"United Kingdom",PROPER(TRIM(Raw_Data!D2294)))</f>
        <v>France</v>
      </c>
      <c r="E2294" s="6" t="s">
        <v>52</v>
      </c>
      <c r="F2294" s="6" t="s">
        <v>29</v>
      </c>
      <c r="G2294" s="6" t="str">
        <f>SUBSTITUTE(Raw_Data!G2294,"Ã©","é")</f>
        <v>Fell Runner Cap</v>
      </c>
      <c r="H2294" s="6">
        <v>2</v>
      </c>
      <c r="I2294" s="6" t="s">
        <v>1430</v>
      </c>
      <c r="J2294" s="6" t="s">
        <v>144</v>
      </c>
      <c r="K2294" s="6">
        <v>0.52</v>
      </c>
      <c r="L2294" s="6" t="s">
        <v>42</v>
      </c>
      <c r="M2294" s="6" t="s">
        <v>34</v>
      </c>
      <c r="N2294" s="6"/>
    </row>
    <row r="2295" spans="1:14">
      <c r="A2295" s="6" t="s">
        <v>3781</v>
      </c>
      <c r="B2295" s="7">
        <v>46042</v>
      </c>
      <c r="C2295" s="6" t="s">
        <v>2770</v>
      </c>
      <c r="D2295" s="6" t="str">
        <f>IF(OR(PROPER(TRIM(Raw_Data!D2295))="Uk",PROPER(TRIM(Raw_Data!D2295))="Gb",PROPER(TRIM(Raw_Data!D2295))="United kingdom"),"United Kingdom",PROPER(TRIM(Raw_Data!D2295)))</f>
        <v>Germany</v>
      </c>
      <c r="E2295" s="6" t="s">
        <v>46</v>
      </c>
      <c r="F2295" s="6" t="s">
        <v>100</v>
      </c>
      <c r="G2295" s="6" t="str">
        <f>SUBSTITUTE(Raw_Data!G2295,"Ã©","é")</f>
        <v>Fell Runner Cap</v>
      </c>
      <c r="H2295" s="6">
        <v>1</v>
      </c>
      <c r="I2295" s="6" t="s">
        <v>79</v>
      </c>
      <c r="J2295" s="6" t="s">
        <v>79</v>
      </c>
      <c r="K2295" s="6">
        <v>0.64</v>
      </c>
      <c r="L2295" s="6" t="s">
        <v>42</v>
      </c>
      <c r="M2295" s="6" t="s">
        <v>34</v>
      </c>
      <c r="N2295" s="6"/>
    </row>
    <row r="2296" spans="1:14">
      <c r="A2296" s="6" t="s">
        <v>3782</v>
      </c>
      <c r="B2296" s="7">
        <v>46189</v>
      </c>
      <c r="C2296" s="6" t="s">
        <v>996</v>
      </c>
      <c r="D2296" s="6" t="str">
        <f>IF(OR(PROPER(TRIM(Raw_Data!D2296))="Uk",PROPER(TRIM(Raw_Data!D2296))="Gb",PROPER(TRIM(Raw_Data!D2296))="United kingdom"),"United Kingdom",PROPER(TRIM(Raw_Data!D2296)))</f>
        <v>Ireland</v>
      </c>
      <c r="E2296" s="6" t="s">
        <v>78</v>
      </c>
      <c r="F2296" s="6" t="s">
        <v>53</v>
      </c>
      <c r="G2296" s="6" t="str">
        <f>SUBSTITUTE(Raw_Data!G2296,"Ã©","é")</f>
        <v>Merino Base Layer</v>
      </c>
      <c r="H2296" s="6">
        <v>1</v>
      </c>
      <c r="I2296" s="6" t="s">
        <v>1519</v>
      </c>
      <c r="J2296" s="6" t="s">
        <v>231</v>
      </c>
      <c r="K2296" s="6">
        <v>0.19</v>
      </c>
      <c r="L2296" s="6" t="s">
        <v>42</v>
      </c>
      <c r="M2296" s="6" t="s">
        <v>69</v>
      </c>
      <c r="N2296" s="6"/>
    </row>
    <row r="2297" spans="1:14">
      <c r="A2297" s="6" t="s">
        <v>3783</v>
      </c>
      <c r="B2297" s="7">
        <v>46105</v>
      </c>
      <c r="C2297" s="6" t="s">
        <v>3784</v>
      </c>
      <c r="D2297" s="6" t="str">
        <f>IF(OR(PROPER(TRIM(Raw_Data!D2297))="Uk",PROPER(TRIM(Raw_Data!D2297))="Gb",PROPER(TRIM(Raw_Data!D2297))="United kingdom"),"United Kingdom",PROPER(TRIM(Raw_Data!D2297)))</f>
        <v>Germany</v>
      </c>
      <c r="E2297" s="6" t="s">
        <v>28</v>
      </c>
      <c r="F2297" s="6" t="s">
        <v>94</v>
      </c>
      <c r="G2297" s="6" t="str">
        <f>SUBSTITUTE(Raw_Data!G2297,"Ã©","é")</f>
        <v>Trail Softshell</v>
      </c>
      <c r="H2297" s="6">
        <v>1</v>
      </c>
      <c r="I2297" s="6" t="s">
        <v>143</v>
      </c>
      <c r="J2297" s="6" t="s">
        <v>143</v>
      </c>
      <c r="K2297" s="6">
        <v>0.34</v>
      </c>
      <c r="L2297" s="6" t="s">
        <v>42</v>
      </c>
      <c r="M2297" s="6" t="s">
        <v>34</v>
      </c>
      <c r="N2297" s="6"/>
    </row>
    <row r="2298" spans="1:14">
      <c r="A2298" s="6" t="s">
        <v>3785</v>
      </c>
      <c r="B2298" s="7">
        <v>46163</v>
      </c>
      <c r="C2298" s="6" t="s">
        <v>1766</v>
      </c>
      <c r="D2298" s="6" t="str">
        <f>IF(OR(PROPER(TRIM(Raw_Data!D2298))="Uk",PROPER(TRIM(Raw_Data!D2298))="Gb",PROPER(TRIM(Raw_Data!D2298))="United kingdom"),"United Kingdom",PROPER(TRIM(Raw_Data!D2298)))</f>
        <v>United Kingdom</v>
      </c>
      <c r="E2298" s="6" t="s">
        <v>52</v>
      </c>
      <c r="F2298" s="6" t="s">
        <v>29</v>
      </c>
      <c r="G2298" s="6" t="str">
        <f>SUBSTITUTE(Raw_Data!G2298,"Ã©","é")</f>
        <v>Merino Base Layer</v>
      </c>
      <c r="H2298" s="6">
        <v>1</v>
      </c>
      <c r="I2298" s="6" t="s">
        <v>143</v>
      </c>
      <c r="J2298" s="6" t="s">
        <v>143</v>
      </c>
      <c r="K2298" s="6">
        <v>0.52</v>
      </c>
      <c r="L2298" s="6" t="s">
        <v>33</v>
      </c>
      <c r="M2298" s="6" t="s">
        <v>34</v>
      </c>
      <c r="N2298" s="6"/>
    </row>
    <row r="2299" spans="1:14">
      <c r="A2299" s="6" t="s">
        <v>3786</v>
      </c>
      <c r="B2299" s="7">
        <v>46085</v>
      </c>
      <c r="C2299" s="6" t="s">
        <v>3787</v>
      </c>
      <c r="D2299" s="6" t="str">
        <f>IF(OR(PROPER(TRIM(Raw_Data!D2299))="Uk",PROPER(TRIM(Raw_Data!D2299))="Gb",PROPER(TRIM(Raw_Data!D2299))="United kingdom"),"United Kingdom",PROPER(TRIM(Raw_Data!D2299)))</f>
        <v>France</v>
      </c>
      <c r="E2299" s="6" t="s">
        <v>46</v>
      </c>
      <c r="F2299" s="6" t="s">
        <v>29</v>
      </c>
      <c r="G2299" s="6" t="str">
        <f>SUBSTITUTE(Raw_Data!G2299,"Ã©","é")</f>
        <v>Café Latte Mug</v>
      </c>
      <c r="H2299" s="6">
        <v>3</v>
      </c>
      <c r="I2299" s="6" t="s">
        <v>447</v>
      </c>
      <c r="J2299" s="6" t="s">
        <v>102</v>
      </c>
      <c r="K2299" s="6">
        <v>0.52</v>
      </c>
      <c r="L2299" s="6" t="s">
        <v>33</v>
      </c>
      <c r="M2299" s="6" t="s">
        <v>34</v>
      </c>
      <c r="N2299" s="6"/>
    </row>
    <row r="2300" spans="1:14">
      <c r="A2300" s="6" t="s">
        <v>3788</v>
      </c>
      <c r="B2300" s="7">
        <v>46026</v>
      </c>
      <c r="C2300" s="6" t="s">
        <v>343</v>
      </c>
      <c r="D2300" s="6" t="str">
        <f>IF(OR(PROPER(TRIM(Raw_Data!D2300))="Uk",PROPER(TRIM(Raw_Data!D2300))="Gb",PROPER(TRIM(Raw_Data!D2300))="United kingdom"),"United Kingdom",PROPER(TRIM(Raw_Data!D2300)))</f>
        <v>United Kingdom</v>
      </c>
      <c r="E2300" s="6" t="s">
        <v>46</v>
      </c>
      <c r="F2300" s="6" t="s">
        <v>85</v>
      </c>
      <c r="G2300" s="6" t="str">
        <f>SUBSTITUTE(Raw_Data!G2300,"Ã©","é")</f>
        <v>Storm Overtrousers</v>
      </c>
      <c r="H2300" s="6">
        <v>1</v>
      </c>
      <c r="I2300" s="6" t="s">
        <v>231</v>
      </c>
      <c r="J2300" s="6" t="s">
        <v>1436</v>
      </c>
      <c r="K2300" s="6">
        <v>0.41</v>
      </c>
      <c r="L2300" s="6" t="s">
        <v>42</v>
      </c>
      <c r="M2300" s="6" t="s">
        <v>34</v>
      </c>
      <c r="N2300" s="6"/>
    </row>
    <row r="2301" spans="1:14">
      <c r="A2301" s="6" t="s">
        <v>3789</v>
      </c>
      <c r="B2301" s="7">
        <v>46159</v>
      </c>
      <c r="C2301" s="6" t="s">
        <v>429</v>
      </c>
      <c r="D2301" s="6" t="str">
        <f>IF(OR(PROPER(TRIM(Raw_Data!D2301))="Uk",PROPER(TRIM(Raw_Data!D2301))="Gb",PROPER(TRIM(Raw_Data!D2301))="United kingdom"),"United Kingdom",PROPER(TRIM(Raw_Data!D2301)))</f>
        <v>United Kingdom</v>
      </c>
      <c r="E2301" s="6" t="s">
        <v>52</v>
      </c>
      <c r="F2301" s="6" t="s">
        <v>29</v>
      </c>
      <c r="G2301" s="6" t="str">
        <f>SUBSTITUTE(Raw_Data!G2301,"Ã©","é")</f>
        <v>Trekking Poles</v>
      </c>
      <c r="H2301" s="6">
        <v>2</v>
      </c>
      <c r="I2301" s="6" t="s">
        <v>79</v>
      </c>
      <c r="J2301" s="6" t="s">
        <v>259</v>
      </c>
      <c r="K2301" s="6">
        <v>0.52</v>
      </c>
      <c r="L2301" s="6" t="s">
        <v>42</v>
      </c>
      <c r="M2301" s="6" t="s">
        <v>34</v>
      </c>
      <c r="N2301" s="6"/>
    </row>
    <row r="2302" spans="1:14">
      <c r="A2302" s="6" t="s">
        <v>3790</v>
      </c>
      <c r="B2302" s="7">
        <v>46076</v>
      </c>
      <c r="C2302" s="6" t="s">
        <v>963</v>
      </c>
      <c r="D2302" s="6" t="str">
        <f>IF(OR(PROPER(TRIM(Raw_Data!D2302))="Uk",PROPER(TRIM(Raw_Data!D2302))="Gb",PROPER(TRIM(Raw_Data!D2302))="United kingdom"),"United Kingdom",PROPER(TRIM(Raw_Data!D2302)))</f>
        <v>France</v>
      </c>
      <c r="E2302" s="6" t="s">
        <v>52</v>
      </c>
      <c r="F2302" s="6" t="s">
        <v>85</v>
      </c>
      <c r="G2302" s="6" t="str">
        <f>SUBSTITUTE(Raw_Data!G2302,"Ã©","é")</f>
        <v>Café Latte Mug</v>
      </c>
      <c r="H2302" s="6">
        <v>1</v>
      </c>
      <c r="I2302" s="6" t="s">
        <v>90</v>
      </c>
      <c r="J2302" s="6" t="s">
        <v>90</v>
      </c>
      <c r="K2302" s="6">
        <v>0.41</v>
      </c>
      <c r="L2302" s="6" t="s">
        <v>42</v>
      </c>
      <c r="M2302" s="6" t="s">
        <v>34</v>
      </c>
      <c r="N2302" s="6"/>
    </row>
    <row r="2303" spans="1:14">
      <c r="A2303" s="6" t="s">
        <v>3791</v>
      </c>
      <c r="B2303" s="7">
        <v>46129</v>
      </c>
      <c r="C2303" s="6" t="s">
        <v>3792</v>
      </c>
      <c r="D2303" s="6" t="str">
        <f>IF(OR(PROPER(TRIM(Raw_Data!D2303))="Uk",PROPER(TRIM(Raw_Data!D2303))="Gb",PROPER(TRIM(Raw_Data!D2303))="United kingdom"),"United Kingdom",PROPER(TRIM(Raw_Data!D2303)))</f>
        <v>Ireland</v>
      </c>
      <c r="E2303" s="6" t="s">
        <v>46</v>
      </c>
      <c r="F2303" s="6" t="s">
        <v>53</v>
      </c>
      <c r="G2303" s="6" t="str">
        <f>SUBSTITUTE(Raw_Data!G2303,"Ã©","é")</f>
        <v>Trail Softshell</v>
      </c>
      <c r="H2303" s="6">
        <v>1</v>
      </c>
      <c r="I2303" s="6" t="s">
        <v>31</v>
      </c>
      <c r="J2303" s="6" t="s">
        <v>31</v>
      </c>
      <c r="K2303" s="6">
        <v>0.19</v>
      </c>
      <c r="L2303" s="6" t="s">
        <v>42</v>
      </c>
      <c r="M2303" s="6" t="s">
        <v>34</v>
      </c>
      <c r="N2303" s="6"/>
    </row>
    <row r="2304" spans="1:14">
      <c r="A2304" s="6" t="s">
        <v>3793</v>
      </c>
      <c r="B2304" s="7">
        <v>46171</v>
      </c>
      <c r="C2304" s="6" t="s">
        <v>598</v>
      </c>
      <c r="D2304" s="6" t="str">
        <f>IF(OR(PROPER(TRIM(Raw_Data!D2304))="Uk",PROPER(TRIM(Raw_Data!D2304))="Gb",PROPER(TRIM(Raw_Data!D2304))="United kingdom"),"United Kingdom",PROPER(TRIM(Raw_Data!D2304)))</f>
        <v>Ireland</v>
      </c>
      <c r="E2304" s="6" t="s">
        <v>28</v>
      </c>
      <c r="F2304" s="6" t="s">
        <v>100</v>
      </c>
      <c r="G2304" s="6" t="str">
        <f>SUBSTITUTE(Raw_Data!G2304,"Ã©","é")</f>
        <v>Trail Softshell</v>
      </c>
      <c r="H2304" s="6">
        <v>2</v>
      </c>
      <c r="I2304" s="6" t="s">
        <v>228</v>
      </c>
      <c r="J2304" s="6" t="s">
        <v>278</v>
      </c>
      <c r="K2304" s="6">
        <v>0.64</v>
      </c>
      <c r="L2304" s="6" t="s">
        <v>42</v>
      </c>
      <c r="M2304" s="6" t="s">
        <v>34</v>
      </c>
      <c r="N2304" s="6"/>
    </row>
    <row r="2305" spans="1:14">
      <c r="A2305" s="6" t="s">
        <v>3794</v>
      </c>
      <c r="B2305" s="7">
        <v>46066</v>
      </c>
      <c r="C2305" s="6" t="s">
        <v>538</v>
      </c>
      <c r="D2305" s="6" t="str">
        <f>IF(OR(PROPER(TRIM(Raw_Data!D2305))="Uk",PROPER(TRIM(Raw_Data!D2305))="Gb",PROPER(TRIM(Raw_Data!D2305))="United kingdom"),"United Kingdom",PROPER(TRIM(Raw_Data!D2305)))</f>
        <v>United Kingdom</v>
      </c>
      <c r="E2305" s="6" t="s">
        <v>46</v>
      </c>
      <c r="F2305" s="6" t="s">
        <v>100</v>
      </c>
      <c r="G2305" s="6" t="str">
        <f>SUBSTITUTE(Raw_Data!G2305,"Ã©","é")</f>
        <v>Café Latte Mug</v>
      </c>
      <c r="H2305" s="6">
        <v>1</v>
      </c>
      <c r="I2305" s="6" t="s">
        <v>79</v>
      </c>
      <c r="J2305" s="6" t="s">
        <v>60</v>
      </c>
      <c r="K2305" s="6">
        <v>0.64</v>
      </c>
      <c r="L2305" s="6" t="s">
        <v>42</v>
      </c>
      <c r="M2305" s="6" t="s">
        <v>69</v>
      </c>
      <c r="N2305" s="6"/>
    </row>
    <row r="2306" spans="1:14">
      <c r="A2306" s="6" t="s">
        <v>3795</v>
      </c>
      <c r="B2306" s="7">
        <v>46148</v>
      </c>
      <c r="C2306" s="6" t="s">
        <v>2936</v>
      </c>
      <c r="D2306" s="6" t="str">
        <f>IF(OR(PROPER(TRIM(Raw_Data!D2306))="Uk",PROPER(TRIM(Raw_Data!D2306))="Gb",PROPER(TRIM(Raw_Data!D2306))="United kingdom"),"United Kingdom",PROPER(TRIM(Raw_Data!D2306)))</f>
        <v>United Kingdom</v>
      </c>
      <c r="E2306" s="6" t="s">
        <v>37</v>
      </c>
      <c r="F2306" s="6" t="s">
        <v>47</v>
      </c>
      <c r="G2306" s="6" t="str">
        <f>SUBSTITUTE(Raw_Data!G2306,"Ã©","é")</f>
        <v>Café Latte Mug</v>
      </c>
      <c r="H2306" s="6">
        <v>1</v>
      </c>
      <c r="I2306" s="6" t="s">
        <v>90</v>
      </c>
      <c r="J2306" s="6" t="s">
        <v>1182</v>
      </c>
      <c r="K2306" s="6">
        <v>8.5000000000000006E-2</v>
      </c>
      <c r="L2306" s="6" t="s">
        <v>42</v>
      </c>
      <c r="M2306" s="6" t="s">
        <v>34</v>
      </c>
      <c r="N2306" s="6"/>
    </row>
    <row r="2307" spans="1:14">
      <c r="A2307" s="6" t="s">
        <v>3796</v>
      </c>
      <c r="B2307" s="7">
        <v>46089</v>
      </c>
      <c r="C2307" s="6" t="s">
        <v>251</v>
      </c>
      <c r="D2307" s="6" t="str">
        <f>IF(OR(PROPER(TRIM(Raw_Data!D2307))="Uk",PROPER(TRIM(Raw_Data!D2307))="Gb",PROPER(TRIM(Raw_Data!D2307))="United kingdom"),"United Kingdom",PROPER(TRIM(Raw_Data!D2307)))</f>
        <v>France</v>
      </c>
      <c r="E2307" s="6" t="s">
        <v>78</v>
      </c>
      <c r="F2307" s="6" t="s">
        <v>47</v>
      </c>
      <c r="G2307" s="6" t="str">
        <f>SUBSTITUTE(Raw_Data!G2307,"Ã©","é")</f>
        <v>Fell Runner Cap</v>
      </c>
      <c r="H2307" s="6">
        <v>3</v>
      </c>
      <c r="I2307" s="6" t="s">
        <v>40</v>
      </c>
      <c r="J2307" s="6" t="s">
        <v>653</v>
      </c>
      <c r="K2307" s="6">
        <v>8.5000000000000006E-2</v>
      </c>
      <c r="L2307" s="6" t="s">
        <v>42</v>
      </c>
      <c r="M2307" s="6" t="s">
        <v>69</v>
      </c>
      <c r="N2307" s="6"/>
    </row>
    <row r="2308" spans="1:14">
      <c r="A2308" s="6" t="s">
        <v>3797</v>
      </c>
      <c r="B2308" s="7">
        <v>46036</v>
      </c>
      <c r="C2308" s="6" t="s">
        <v>1346</v>
      </c>
      <c r="D2308" s="6" t="str">
        <f>IF(OR(PROPER(TRIM(Raw_Data!D2308))="Uk",PROPER(TRIM(Raw_Data!D2308))="Gb",PROPER(TRIM(Raw_Data!D2308))="United kingdom"),"United Kingdom",PROPER(TRIM(Raw_Data!D2308)))</f>
        <v>France</v>
      </c>
      <c r="E2308" s="6" t="s">
        <v>46</v>
      </c>
      <c r="F2308" s="6" t="s">
        <v>53</v>
      </c>
      <c r="G2308" s="6" t="str">
        <f>SUBSTITUTE(Raw_Data!G2308,"Ã©","é")</f>
        <v>Fell Runner Cap</v>
      </c>
      <c r="H2308" s="6">
        <v>2</v>
      </c>
      <c r="I2308" s="6" t="s">
        <v>143</v>
      </c>
      <c r="J2308" s="6" t="s">
        <v>144</v>
      </c>
      <c r="K2308" s="6">
        <v>0.19</v>
      </c>
      <c r="L2308" s="6" t="s">
        <v>42</v>
      </c>
      <c r="M2308" s="6" t="s">
        <v>34</v>
      </c>
      <c r="N2308" s="6"/>
    </row>
    <row r="2309" spans="1:14">
      <c r="A2309" s="6" t="s">
        <v>3798</v>
      </c>
      <c r="B2309" s="7">
        <v>46177</v>
      </c>
      <c r="C2309" s="6" t="s">
        <v>3042</v>
      </c>
      <c r="D2309" s="6" t="str">
        <f>IF(OR(PROPER(TRIM(Raw_Data!D2309))="Uk",PROPER(TRIM(Raw_Data!D2309))="Gb",PROPER(TRIM(Raw_Data!D2309))="United kingdom"),"United Kingdom",PROPER(TRIM(Raw_Data!D2309)))</f>
        <v>Ireland</v>
      </c>
      <c r="E2309" s="6" t="s">
        <v>37</v>
      </c>
      <c r="F2309" s="6" t="s">
        <v>38</v>
      </c>
      <c r="G2309" s="6" t="str">
        <f>SUBSTITUTE(Raw_Data!G2309,"Ã©","é")</f>
        <v>Trekking Poles</v>
      </c>
      <c r="H2309" s="6">
        <v>1</v>
      </c>
      <c r="I2309" s="6" t="s">
        <v>31</v>
      </c>
      <c r="J2309" s="6" t="s">
        <v>31</v>
      </c>
      <c r="K2309" s="6">
        <v>0.52</v>
      </c>
      <c r="L2309" s="6" t="s">
        <v>33</v>
      </c>
      <c r="M2309" s="6" t="s">
        <v>34</v>
      </c>
      <c r="N2309" s="6"/>
    </row>
    <row r="2310" spans="1:14">
      <c r="A2310" s="6" t="s">
        <v>3799</v>
      </c>
      <c r="B2310" s="7">
        <v>46056</v>
      </c>
      <c r="C2310" s="6" t="s">
        <v>1146</v>
      </c>
      <c r="D2310" s="6" t="str">
        <f>IF(OR(PROPER(TRIM(Raw_Data!D2310))="Uk",PROPER(TRIM(Raw_Data!D2310))="Gb",PROPER(TRIM(Raw_Data!D2310))="United kingdom"),"United Kingdom",PROPER(TRIM(Raw_Data!D2310)))</f>
        <v>United Kingdom</v>
      </c>
      <c r="E2310" s="6" t="s">
        <v>37</v>
      </c>
      <c r="F2310" s="6" t="s">
        <v>100</v>
      </c>
      <c r="G2310" s="6" t="str">
        <f>SUBSTITUTE(Raw_Data!G2310,"Ã©","é")</f>
        <v>Trail Softshell</v>
      </c>
      <c r="H2310" s="6">
        <v>1</v>
      </c>
      <c r="I2310" s="6" t="s">
        <v>113</v>
      </c>
      <c r="J2310" s="6" t="s">
        <v>113</v>
      </c>
      <c r="K2310" s="6">
        <v>0.64</v>
      </c>
      <c r="L2310" s="6" t="s">
        <v>42</v>
      </c>
      <c r="M2310" s="6" t="s">
        <v>34</v>
      </c>
      <c r="N2310" s="6"/>
    </row>
    <row r="2311" spans="1:14">
      <c r="A2311" s="6" t="s">
        <v>3800</v>
      </c>
      <c r="B2311" s="7">
        <v>46270</v>
      </c>
      <c r="C2311" s="6" t="s">
        <v>982</v>
      </c>
      <c r="D2311" s="6" t="str">
        <f>IF(OR(PROPER(TRIM(Raw_Data!D2311))="Uk",PROPER(TRIM(Raw_Data!D2311))="Gb",PROPER(TRIM(Raw_Data!D2311))="United kingdom"),"United Kingdom",PROPER(TRIM(Raw_Data!D2311)))</f>
        <v>Ireland</v>
      </c>
      <c r="E2311" s="6" t="s">
        <v>28</v>
      </c>
      <c r="F2311" s="6" t="s">
        <v>58</v>
      </c>
      <c r="G2311" s="6" t="str">
        <f>SUBSTITUTE(Raw_Data!G2311,"Ã©","é")</f>
        <v>Trail Softshell</v>
      </c>
      <c r="H2311" s="6">
        <v>1</v>
      </c>
      <c r="I2311" s="6" t="s">
        <v>31</v>
      </c>
      <c r="J2311" s="6" t="s">
        <v>31</v>
      </c>
      <c r="K2311" s="6">
        <v>0.38</v>
      </c>
      <c r="L2311" s="6" t="s">
        <v>42</v>
      </c>
      <c r="M2311" s="6" t="s">
        <v>34</v>
      </c>
      <c r="N2311" s="6"/>
    </row>
    <row r="2312" spans="1:14">
      <c r="A2312" s="6" t="s">
        <v>3801</v>
      </c>
      <c r="B2312" s="7">
        <v>46240</v>
      </c>
      <c r="C2312" s="6" t="s">
        <v>2081</v>
      </c>
      <c r="D2312" s="6" t="str">
        <f>IF(OR(PROPER(TRIM(Raw_Data!D2312))="Uk",PROPER(TRIM(Raw_Data!D2312))="Gb",PROPER(TRIM(Raw_Data!D2312))="United kingdom"),"United Kingdom",PROPER(TRIM(Raw_Data!D2312)))</f>
        <v>United Kingdom</v>
      </c>
      <c r="E2312" s="6" t="s">
        <v>46</v>
      </c>
      <c r="F2312" s="6" t="s">
        <v>100</v>
      </c>
      <c r="G2312" s="6" t="str">
        <f>SUBSTITUTE(Raw_Data!G2312,"Ã©","é")</f>
        <v>Trail Softshell</v>
      </c>
      <c r="H2312" s="6">
        <v>2</v>
      </c>
      <c r="I2312" s="6" t="s">
        <v>82</v>
      </c>
      <c r="J2312" s="6" t="s">
        <v>297</v>
      </c>
      <c r="K2312" s="6">
        <v>0.64</v>
      </c>
      <c r="L2312" s="6" t="s">
        <v>42</v>
      </c>
      <c r="M2312" s="6" t="s">
        <v>34</v>
      </c>
      <c r="N2312" s="6"/>
    </row>
    <row r="2313" spans="1:14">
      <c r="A2313" s="6" t="s">
        <v>3802</v>
      </c>
      <c r="B2313" s="7">
        <v>46137</v>
      </c>
      <c r="C2313" s="6" t="s">
        <v>544</v>
      </c>
      <c r="D2313" s="6" t="str">
        <f>IF(OR(PROPER(TRIM(Raw_Data!D2313))="Uk",PROPER(TRIM(Raw_Data!D2313))="Gb",PROPER(TRIM(Raw_Data!D2313))="United kingdom"),"United Kingdom",PROPER(TRIM(Raw_Data!D2313)))</f>
        <v>United Kingdom</v>
      </c>
      <c r="E2313" s="6" t="s">
        <v>37</v>
      </c>
      <c r="F2313" s="6" t="s">
        <v>94</v>
      </c>
      <c r="G2313" s="6" t="str">
        <f>SUBSTITUTE(Raw_Data!G2313,"Ã©","é")</f>
        <v>Alpine Jacket</v>
      </c>
      <c r="H2313" s="6">
        <v>-3</v>
      </c>
      <c r="I2313" s="6" t="s">
        <v>113</v>
      </c>
      <c r="J2313" s="8" t="s">
        <v>1913</v>
      </c>
      <c r="K2313" s="6">
        <v>0.34</v>
      </c>
      <c r="L2313" s="6" t="s">
        <v>33</v>
      </c>
      <c r="M2313" s="6" t="s">
        <v>34</v>
      </c>
      <c r="N2313" s="6"/>
    </row>
    <row r="2314" spans="1:14">
      <c r="A2314" s="6" t="s">
        <v>3803</v>
      </c>
      <c r="B2314" s="7">
        <v>46186</v>
      </c>
      <c r="C2314" s="6" t="s">
        <v>363</v>
      </c>
      <c r="D2314" s="6" t="str">
        <f>IF(OR(PROPER(TRIM(Raw_Data!D2314))="Uk",PROPER(TRIM(Raw_Data!D2314))="Gb",PROPER(TRIM(Raw_Data!D2314))="United kingdom"),"United Kingdom",PROPER(TRIM(Raw_Data!D2314)))</f>
        <v>Ireland</v>
      </c>
      <c r="E2314" s="6" t="s">
        <v>28</v>
      </c>
      <c r="F2314" s="6" t="s">
        <v>38</v>
      </c>
      <c r="G2314" s="6" t="str">
        <f>SUBSTITUTE(Raw_Data!G2314,"Ã©","é")</f>
        <v>Summit Down Gilet</v>
      </c>
      <c r="H2314" s="6">
        <v>1</v>
      </c>
      <c r="I2314" s="6" t="s">
        <v>31</v>
      </c>
      <c r="J2314" s="6" t="s">
        <v>31</v>
      </c>
      <c r="K2314" s="6">
        <v>0.52</v>
      </c>
      <c r="L2314" s="6" t="s">
        <v>42</v>
      </c>
      <c r="M2314" s="6" t="s">
        <v>34</v>
      </c>
      <c r="N2314" s="6"/>
    </row>
    <row r="2315" spans="1:14">
      <c r="A2315" s="6" t="s">
        <v>3805</v>
      </c>
      <c r="B2315" s="7">
        <v>46169</v>
      </c>
      <c r="C2315" s="6" t="s">
        <v>3806</v>
      </c>
      <c r="D2315" s="6" t="str">
        <f>IF(OR(PROPER(TRIM(Raw_Data!D2315))="Uk",PROPER(TRIM(Raw_Data!D2315))="Gb",PROPER(TRIM(Raw_Data!D2315))="United kingdom"),"United Kingdom",PROPER(TRIM(Raw_Data!D2315)))</f>
        <v>Ireland</v>
      </c>
      <c r="E2315" s="6" t="s">
        <v>78</v>
      </c>
      <c r="F2315" s="6" t="s">
        <v>29</v>
      </c>
      <c r="G2315" s="6" t="str">
        <f>SUBSTITUTE(Raw_Data!G2315,"Ã©","é")</f>
        <v>Fell Runner Cap</v>
      </c>
      <c r="H2315" s="6">
        <v>1</v>
      </c>
      <c r="I2315" s="6" t="s">
        <v>231</v>
      </c>
      <c r="J2315" s="6" t="s">
        <v>231</v>
      </c>
      <c r="K2315" s="6">
        <v>0.52</v>
      </c>
      <c r="L2315" s="6" t="s">
        <v>42</v>
      </c>
      <c r="M2315" s="6" t="s">
        <v>34</v>
      </c>
      <c r="N2315" s="6"/>
    </row>
    <row r="2316" spans="1:14">
      <c r="A2316" s="6" t="s">
        <v>3807</v>
      </c>
      <c r="B2316" s="7">
        <v>46110</v>
      </c>
      <c r="C2316" s="6" t="s">
        <v>1809</v>
      </c>
      <c r="D2316" s="6" t="str">
        <f>IF(OR(PROPER(TRIM(Raw_Data!D2316))="Uk",PROPER(TRIM(Raw_Data!D2316))="Gb",PROPER(TRIM(Raw_Data!D2316))="United kingdom"),"United Kingdom",PROPER(TRIM(Raw_Data!D2316)))</f>
        <v>United Kingdom</v>
      </c>
      <c r="E2316" s="6" t="s">
        <v>28</v>
      </c>
      <c r="F2316" s="6" t="s">
        <v>38</v>
      </c>
      <c r="G2316" s="6" t="str">
        <f>SUBSTITUTE(Raw_Data!G2316,"Ã©","é")</f>
        <v>Summit Down Gilet</v>
      </c>
      <c r="H2316" s="6">
        <v>-1</v>
      </c>
      <c r="I2316" s="6" t="s">
        <v>117</v>
      </c>
      <c r="J2316" s="8" t="s">
        <v>213</v>
      </c>
      <c r="K2316" s="6">
        <v>0.52</v>
      </c>
      <c r="L2316" s="6" t="s">
        <v>42</v>
      </c>
      <c r="M2316" s="6" t="s">
        <v>34</v>
      </c>
      <c r="N2316" s="6"/>
    </row>
    <row r="2317" spans="1:14">
      <c r="A2317" s="6" t="s">
        <v>3808</v>
      </c>
      <c r="B2317" s="7">
        <v>46129</v>
      </c>
      <c r="C2317" s="6" t="s">
        <v>3809</v>
      </c>
      <c r="D2317" s="6" t="str">
        <f>IF(OR(PROPER(TRIM(Raw_Data!D2317))="Uk",PROPER(TRIM(Raw_Data!D2317))="Gb",PROPER(TRIM(Raw_Data!D2317))="United kingdom"),"United Kingdom",PROPER(TRIM(Raw_Data!D2317)))</f>
        <v>Germany</v>
      </c>
      <c r="E2317" s="6" t="s">
        <v>46</v>
      </c>
      <c r="F2317" s="6" t="s">
        <v>58</v>
      </c>
      <c r="G2317" s="6" t="str">
        <f>SUBSTITUTE(Raw_Data!G2317,"Ã©","é")</f>
        <v>Trail Softshell</v>
      </c>
      <c r="H2317" s="6">
        <v>1</v>
      </c>
      <c r="I2317" s="6" t="s">
        <v>265</v>
      </c>
      <c r="J2317" s="6" t="s">
        <v>265</v>
      </c>
      <c r="K2317" s="6">
        <v>0.38</v>
      </c>
      <c r="L2317" s="6" t="s">
        <v>42</v>
      </c>
      <c r="M2317" s="6" t="s">
        <v>34</v>
      </c>
      <c r="N2317" s="6"/>
    </row>
    <row r="2318" spans="1:14">
      <c r="A2318" s="6" t="s">
        <v>3810</v>
      </c>
      <c r="B2318" s="7">
        <v>46266</v>
      </c>
      <c r="C2318" s="6" t="s">
        <v>1063</v>
      </c>
      <c r="D2318" s="6" t="str">
        <f>IF(OR(PROPER(TRIM(Raw_Data!D2318))="Uk",PROPER(TRIM(Raw_Data!D2318))="Gb",PROPER(TRIM(Raw_Data!D2318))="United kingdom"),"United Kingdom",PROPER(TRIM(Raw_Data!D2318)))</f>
        <v>France</v>
      </c>
      <c r="E2318" s="6" t="s">
        <v>52</v>
      </c>
      <c r="F2318" s="6" t="s">
        <v>38</v>
      </c>
      <c r="G2318" s="6" t="str">
        <f>SUBSTITUTE(Raw_Data!G2318,"Ã©","é")</f>
        <v>Alpine Jacket</v>
      </c>
      <c r="H2318" s="6">
        <v>2</v>
      </c>
      <c r="I2318" s="6" t="s">
        <v>82</v>
      </c>
      <c r="J2318" s="6" t="s">
        <v>297</v>
      </c>
      <c r="K2318" s="6">
        <v>0.52</v>
      </c>
      <c r="L2318" s="6" t="s">
        <v>42</v>
      </c>
      <c r="M2318" s="6" t="s">
        <v>34</v>
      </c>
      <c r="N2318" s="6"/>
    </row>
    <row r="2319" spans="1:14">
      <c r="A2319" s="6" t="s">
        <v>3811</v>
      </c>
      <c r="B2319" s="7">
        <v>46121</v>
      </c>
      <c r="C2319" s="6" t="s">
        <v>452</v>
      </c>
      <c r="D2319" s="6" t="str">
        <f>IF(OR(PROPER(TRIM(Raw_Data!D2319))="Uk",PROPER(TRIM(Raw_Data!D2319))="Gb",PROPER(TRIM(Raw_Data!D2319))="United kingdom"),"United Kingdom",PROPER(TRIM(Raw_Data!D2319)))</f>
        <v>France</v>
      </c>
      <c r="E2319" s="6" t="s">
        <v>78</v>
      </c>
      <c r="F2319" s="6" t="s">
        <v>47</v>
      </c>
      <c r="G2319" s="6" t="str">
        <f>SUBSTITUTE(Raw_Data!G2319,"Ã©","é")</f>
        <v>Fell Runner Cap</v>
      </c>
      <c r="H2319" s="6">
        <v>3</v>
      </c>
      <c r="I2319" s="6" t="s">
        <v>231</v>
      </c>
      <c r="J2319" s="6" t="s">
        <v>505</v>
      </c>
      <c r="K2319" s="6">
        <v>8.5000000000000006E-2</v>
      </c>
      <c r="L2319" s="6" t="s">
        <v>42</v>
      </c>
      <c r="M2319" s="6" t="s">
        <v>34</v>
      </c>
      <c r="N2319" s="6"/>
    </row>
    <row r="2320" spans="1:14">
      <c r="A2320" s="6" t="s">
        <v>3812</v>
      </c>
      <c r="B2320" s="7">
        <v>46070</v>
      </c>
      <c r="C2320" s="6" t="s">
        <v>635</v>
      </c>
      <c r="D2320" s="6" t="str">
        <f>IF(OR(PROPER(TRIM(Raw_Data!D2320))="Uk",PROPER(TRIM(Raw_Data!D2320))="Gb",PROPER(TRIM(Raw_Data!D2320))="United kingdom"),"United Kingdom",PROPER(TRIM(Raw_Data!D2320)))</f>
        <v>Ireland</v>
      </c>
      <c r="E2320" s="6" t="s">
        <v>46</v>
      </c>
      <c r="F2320" s="6" t="s">
        <v>85</v>
      </c>
      <c r="G2320" s="6" t="str">
        <f>SUBSTITUTE(Raw_Data!G2320,"Ã©","é")</f>
        <v>Summit Down Gilet</v>
      </c>
      <c r="H2320" s="6">
        <v>1</v>
      </c>
      <c r="I2320" s="6" t="s">
        <v>73</v>
      </c>
      <c r="J2320" s="6" t="s">
        <v>73</v>
      </c>
      <c r="K2320" s="6">
        <v>0.41</v>
      </c>
      <c r="L2320" s="6" t="s">
        <v>42</v>
      </c>
      <c r="M2320" s="6" t="s">
        <v>69</v>
      </c>
      <c r="N2320" s="6"/>
    </row>
    <row r="2321" spans="1:14">
      <c r="A2321" s="6" t="s">
        <v>3813</v>
      </c>
      <c r="B2321" s="7">
        <v>46038</v>
      </c>
      <c r="C2321" s="6" t="s">
        <v>1822</v>
      </c>
      <c r="D2321" s="6" t="str">
        <f>IF(OR(PROPER(TRIM(Raw_Data!D2321))="Uk",PROPER(TRIM(Raw_Data!D2321))="Gb",PROPER(TRIM(Raw_Data!D2321))="United kingdom"),"United Kingdom",PROPER(TRIM(Raw_Data!D2321)))</f>
        <v>United Kingdom</v>
      </c>
      <c r="E2321" s="6" t="s">
        <v>28</v>
      </c>
      <c r="F2321" s="6" t="s">
        <v>94</v>
      </c>
      <c r="G2321" s="6" t="str">
        <f>SUBSTITUTE(Raw_Data!G2321,"Ã©","é")</f>
        <v>Alpine Jacket</v>
      </c>
      <c r="H2321" s="6">
        <v>3</v>
      </c>
      <c r="I2321" s="6" t="s">
        <v>79</v>
      </c>
      <c r="J2321" s="6" t="s">
        <v>216</v>
      </c>
      <c r="K2321" s="6">
        <v>0.34</v>
      </c>
      <c r="L2321" s="6" t="s">
        <v>42</v>
      </c>
      <c r="M2321" s="6" t="s">
        <v>69</v>
      </c>
      <c r="N2321" s="6"/>
    </row>
    <row r="2322" spans="1:14">
      <c r="A2322" s="6" t="s">
        <v>3814</v>
      </c>
      <c r="B2322" s="7">
        <v>46025</v>
      </c>
      <c r="C2322" s="6" t="s">
        <v>3349</v>
      </c>
      <c r="D2322" s="6" t="str">
        <f>IF(OR(PROPER(TRIM(Raw_Data!D2322))="Uk",PROPER(TRIM(Raw_Data!D2322))="Gb",PROPER(TRIM(Raw_Data!D2322))="United kingdom"),"United Kingdom",PROPER(TRIM(Raw_Data!D2322)))</f>
        <v>United Kingdom</v>
      </c>
      <c r="E2322" s="6" t="s">
        <v>46</v>
      </c>
      <c r="F2322" s="6" t="s">
        <v>85</v>
      </c>
      <c r="G2322" s="6" t="str">
        <f>SUBSTITUTE(Raw_Data!G2322,"Ã©","é")</f>
        <v>Café Latte Mug</v>
      </c>
      <c r="H2322" s="6">
        <v>1</v>
      </c>
      <c r="I2322" s="6" t="s">
        <v>117</v>
      </c>
      <c r="J2322" s="6" t="s">
        <v>117</v>
      </c>
      <c r="K2322" s="6">
        <v>0.41</v>
      </c>
      <c r="L2322" s="6" t="s">
        <v>42</v>
      </c>
      <c r="M2322" s="6" t="s">
        <v>34</v>
      </c>
      <c r="N2322" s="6"/>
    </row>
    <row r="2323" spans="1:14">
      <c r="A2323" s="6" t="s">
        <v>3815</v>
      </c>
      <c r="B2323" s="7">
        <v>46044</v>
      </c>
      <c r="C2323" s="6" t="s">
        <v>3816</v>
      </c>
      <c r="D2323" s="6" t="str">
        <f>IF(OR(PROPER(TRIM(Raw_Data!D2323))="Uk",PROPER(TRIM(Raw_Data!D2323))="Gb",PROPER(TRIM(Raw_Data!D2323))="United kingdom"),"United Kingdom",PROPER(TRIM(Raw_Data!D2323)))</f>
        <v>France</v>
      </c>
      <c r="E2323" s="6" t="s">
        <v>78</v>
      </c>
      <c r="F2323" s="6" t="s">
        <v>85</v>
      </c>
      <c r="G2323" s="6" t="str">
        <f>SUBSTITUTE(Raw_Data!G2323,"Ã©","é")</f>
        <v>Trekking Poles</v>
      </c>
      <c r="H2323" s="6">
        <v>3</v>
      </c>
      <c r="I2323" s="6" t="s">
        <v>147</v>
      </c>
      <c r="J2323" s="6" t="s">
        <v>148</v>
      </c>
      <c r="K2323" s="6">
        <v>0.41</v>
      </c>
      <c r="L2323" s="6" t="s">
        <v>42</v>
      </c>
      <c r="M2323" s="6" t="s">
        <v>34</v>
      </c>
      <c r="N2323" s="6"/>
    </row>
    <row r="2324" spans="1:14">
      <c r="A2324" s="6" t="s">
        <v>3817</v>
      </c>
      <c r="B2324" s="7">
        <v>46298</v>
      </c>
      <c r="C2324" s="6" t="s">
        <v>165</v>
      </c>
      <c r="D2324" s="6" t="str">
        <f>IF(OR(PROPER(TRIM(Raw_Data!D2324))="Uk",PROPER(TRIM(Raw_Data!D2324))="Gb",PROPER(TRIM(Raw_Data!D2324))="United kingdom"),"United Kingdom",PROPER(TRIM(Raw_Data!D2324)))</f>
        <v>Ireland</v>
      </c>
      <c r="E2324" s="6" t="s">
        <v>46</v>
      </c>
      <c r="F2324" s="6" t="s">
        <v>38</v>
      </c>
      <c r="G2324" s="6" t="str">
        <f>SUBSTITUTE(Raw_Data!G2324,"Ã©","é")</f>
        <v>Alpine Jacket</v>
      </c>
      <c r="H2324" s="6">
        <v>2</v>
      </c>
      <c r="I2324" s="6" t="s">
        <v>166</v>
      </c>
      <c r="J2324" s="6" t="s">
        <v>167</v>
      </c>
      <c r="K2324" s="6">
        <v>0.52</v>
      </c>
      <c r="L2324" s="6" t="s">
        <v>42</v>
      </c>
      <c r="M2324" s="6" t="s">
        <v>34</v>
      </c>
      <c r="N2324" s="6"/>
    </row>
    <row r="2325" spans="1:14">
      <c r="A2325" s="6" t="s">
        <v>3818</v>
      </c>
      <c r="B2325" s="7">
        <v>46077</v>
      </c>
      <c r="C2325" s="6" t="s">
        <v>191</v>
      </c>
      <c r="D2325" s="6" t="str">
        <f>IF(OR(PROPER(TRIM(Raw_Data!D2325))="Uk",PROPER(TRIM(Raw_Data!D2325))="Gb",PROPER(TRIM(Raw_Data!D2325))="United kingdom"),"United Kingdom",PROPER(TRIM(Raw_Data!D2325)))</f>
        <v>United Kingdom</v>
      </c>
      <c r="E2325" s="6" t="s">
        <v>78</v>
      </c>
      <c r="F2325" s="6" t="s">
        <v>58</v>
      </c>
      <c r="G2325" s="6" t="str">
        <f>SUBSTITUTE(Raw_Data!G2325,"Ã©","é")</f>
        <v>Merino Base Layer</v>
      </c>
      <c r="H2325" s="6">
        <v>3</v>
      </c>
      <c r="I2325" s="6" t="s">
        <v>79</v>
      </c>
      <c r="J2325" s="6" t="s">
        <v>216</v>
      </c>
      <c r="K2325" s="6">
        <v>0.38</v>
      </c>
      <c r="L2325" s="6" t="s">
        <v>42</v>
      </c>
      <c r="M2325" s="6" t="s">
        <v>34</v>
      </c>
      <c r="N2325" s="6"/>
    </row>
    <row r="2326" spans="1:14">
      <c r="A2326" s="6" t="s">
        <v>3819</v>
      </c>
      <c r="B2326" s="7">
        <v>46072</v>
      </c>
      <c r="C2326" s="6" t="s">
        <v>3820</v>
      </c>
      <c r="D2326" s="6" t="str">
        <f>IF(OR(PROPER(TRIM(Raw_Data!D2326))="Uk",PROPER(TRIM(Raw_Data!D2326))="Gb",PROPER(TRIM(Raw_Data!D2326))="United kingdom"),"United Kingdom",PROPER(TRIM(Raw_Data!D2326)))</f>
        <v>Ireland</v>
      </c>
      <c r="E2326" s="6" t="s">
        <v>52</v>
      </c>
      <c r="F2326" s="6" t="s">
        <v>85</v>
      </c>
      <c r="G2326" s="6" t="str">
        <f>SUBSTITUTE(Raw_Data!G2326,"Ã©","é")</f>
        <v>Café Latte Mug</v>
      </c>
      <c r="H2326" s="6">
        <v>2</v>
      </c>
      <c r="I2326" s="6" t="s">
        <v>82</v>
      </c>
      <c r="J2326" s="6" t="s">
        <v>297</v>
      </c>
      <c r="K2326" s="6">
        <v>0.41</v>
      </c>
      <c r="L2326" s="6" t="s">
        <v>42</v>
      </c>
      <c r="M2326" s="6" t="s">
        <v>69</v>
      </c>
      <c r="N2326" s="6"/>
    </row>
    <row r="2327" spans="1:14">
      <c r="A2327" s="6" t="s">
        <v>3821</v>
      </c>
      <c r="B2327" s="7">
        <v>46190</v>
      </c>
      <c r="C2327" s="6" t="s">
        <v>1793</v>
      </c>
      <c r="D2327" s="6" t="str">
        <f>IF(OR(PROPER(TRIM(Raw_Data!D2327))="Uk",PROPER(TRIM(Raw_Data!D2327))="Gb",PROPER(TRIM(Raw_Data!D2327))="United kingdom"),"United Kingdom",PROPER(TRIM(Raw_Data!D2327)))</f>
        <v>Germany</v>
      </c>
      <c r="E2327" s="6" t="s">
        <v>28</v>
      </c>
      <c r="F2327" s="6" t="s">
        <v>29</v>
      </c>
      <c r="G2327" s="6" t="str">
        <f>SUBSTITUTE(Raw_Data!G2327,"Ã©","é")</f>
        <v>Trekking Poles</v>
      </c>
      <c r="H2327" s="6">
        <v>2</v>
      </c>
      <c r="I2327" s="6" t="s">
        <v>2666</v>
      </c>
      <c r="J2327" s="6" t="s">
        <v>204</v>
      </c>
      <c r="K2327" s="6">
        <v>0.52</v>
      </c>
      <c r="L2327" s="6" t="s">
        <v>42</v>
      </c>
      <c r="M2327" s="6" t="s">
        <v>34</v>
      </c>
      <c r="N2327" s="6"/>
    </row>
    <row r="2328" spans="1:14">
      <c r="A2328" s="6" t="s">
        <v>3822</v>
      </c>
      <c r="B2328" s="7">
        <v>46192</v>
      </c>
      <c r="C2328" s="6" t="s">
        <v>3823</v>
      </c>
      <c r="D2328" s="6" t="str">
        <f>IF(OR(PROPER(TRIM(Raw_Data!D2328))="Uk",PROPER(TRIM(Raw_Data!D2328))="Gb",PROPER(TRIM(Raw_Data!D2328))="United kingdom"),"United Kingdom",PROPER(TRIM(Raw_Data!D2328)))</f>
        <v>France</v>
      </c>
      <c r="E2328" s="6" t="s">
        <v>46</v>
      </c>
      <c r="F2328" s="6" t="s">
        <v>29</v>
      </c>
      <c r="G2328" s="6" t="str">
        <f>SUBSTITUTE(Raw_Data!G2328,"Ã©","é")</f>
        <v>Trekking Poles</v>
      </c>
      <c r="H2328" s="6">
        <v>3</v>
      </c>
      <c r="I2328" s="6" t="s">
        <v>60</v>
      </c>
      <c r="J2328" s="6" t="s">
        <v>268</v>
      </c>
      <c r="K2328" s="6">
        <v>0.52</v>
      </c>
      <c r="L2328" s="6" t="s">
        <v>42</v>
      </c>
      <c r="M2328" s="6" t="s">
        <v>34</v>
      </c>
      <c r="N2328" s="6"/>
    </row>
    <row r="2329" spans="1:14">
      <c r="A2329" s="6" t="s">
        <v>3824</v>
      </c>
      <c r="B2329" s="7">
        <v>46024</v>
      </c>
      <c r="C2329" s="6" t="s">
        <v>2074</v>
      </c>
      <c r="D2329" s="6" t="str">
        <f>IF(OR(PROPER(TRIM(Raw_Data!D2329))="Uk",PROPER(TRIM(Raw_Data!D2329))="Gb",PROPER(TRIM(Raw_Data!D2329))="United kingdom"),"United Kingdom",PROPER(TRIM(Raw_Data!D2329)))</f>
        <v>France</v>
      </c>
      <c r="E2329" s="6" t="s">
        <v>78</v>
      </c>
      <c r="F2329" s="6" t="s">
        <v>94</v>
      </c>
      <c r="G2329" s="6" t="str">
        <f>SUBSTITUTE(Raw_Data!G2329,"Ã©","é")</f>
        <v>Storm Overtrousers</v>
      </c>
      <c r="H2329" s="6">
        <v>1</v>
      </c>
      <c r="I2329" s="6" t="s">
        <v>113</v>
      </c>
      <c r="J2329" s="6" t="s">
        <v>113</v>
      </c>
      <c r="K2329" s="6">
        <v>0.34</v>
      </c>
      <c r="L2329" s="6" t="s">
        <v>42</v>
      </c>
      <c r="M2329" s="6" t="s">
        <v>34</v>
      </c>
      <c r="N2329" s="6"/>
    </row>
    <row r="2330" spans="1:14">
      <c r="A2330" s="6" t="s">
        <v>3825</v>
      </c>
      <c r="B2330" s="7">
        <v>46362</v>
      </c>
      <c r="C2330" s="6" t="s">
        <v>1194</v>
      </c>
      <c r="D2330" s="6" t="str">
        <f>IF(OR(PROPER(TRIM(Raw_Data!D2330))="Uk",PROPER(TRIM(Raw_Data!D2330))="Gb",PROPER(TRIM(Raw_Data!D2330))="United kingdom"),"United Kingdom",PROPER(TRIM(Raw_Data!D2330)))</f>
        <v>United Kingdom</v>
      </c>
      <c r="E2330" s="6" t="s">
        <v>78</v>
      </c>
      <c r="F2330" s="6" t="s">
        <v>100</v>
      </c>
      <c r="G2330" s="6" t="str">
        <f>SUBSTITUTE(Raw_Data!G2330,"Ã©","é")</f>
        <v>Trekking Poles</v>
      </c>
      <c r="H2330" s="6">
        <v>1</v>
      </c>
      <c r="I2330" s="6" t="s">
        <v>82</v>
      </c>
      <c r="J2330" s="6" t="s">
        <v>82</v>
      </c>
      <c r="K2330" s="6">
        <v>0.64</v>
      </c>
      <c r="L2330" s="6" t="s">
        <v>33</v>
      </c>
      <c r="M2330" s="6" t="s">
        <v>34</v>
      </c>
      <c r="N2330" s="6"/>
    </row>
    <row r="2331" spans="1:14">
      <c r="A2331" s="6" t="s">
        <v>3826</v>
      </c>
      <c r="B2331" s="7">
        <v>46070</v>
      </c>
      <c r="C2331" s="6" t="s">
        <v>3827</v>
      </c>
      <c r="D2331" s="6" t="str">
        <f>IF(OR(PROPER(TRIM(Raw_Data!D2331))="Uk",PROPER(TRIM(Raw_Data!D2331))="Gb",PROPER(TRIM(Raw_Data!D2331))="United kingdom"),"United Kingdom",PROPER(TRIM(Raw_Data!D2331)))</f>
        <v>United Kingdom</v>
      </c>
      <c r="E2331" s="6" t="s">
        <v>52</v>
      </c>
      <c r="F2331" s="6" t="s">
        <v>47</v>
      </c>
      <c r="G2331" s="6" t="str">
        <f>SUBSTITUTE(Raw_Data!G2331,"Ã©","é")</f>
        <v>Storm Overtrousers</v>
      </c>
      <c r="H2331" s="6">
        <v>1</v>
      </c>
      <c r="I2331" s="6" t="s">
        <v>82</v>
      </c>
      <c r="J2331" s="6" t="s">
        <v>82</v>
      </c>
      <c r="K2331" s="6">
        <v>8.5000000000000006E-2</v>
      </c>
      <c r="L2331" s="6" t="s">
        <v>42</v>
      </c>
      <c r="M2331" s="6" t="s">
        <v>34</v>
      </c>
      <c r="N2331" s="6"/>
    </row>
    <row r="2332" spans="1:14">
      <c r="A2332" s="6" t="s">
        <v>3828</v>
      </c>
      <c r="B2332" s="7">
        <v>46201</v>
      </c>
      <c r="C2332" s="6" t="s">
        <v>881</v>
      </c>
      <c r="D2332" s="6" t="str">
        <f>IF(OR(PROPER(TRIM(Raw_Data!D2332))="Uk",PROPER(TRIM(Raw_Data!D2332))="Gb",PROPER(TRIM(Raw_Data!D2332))="United kingdom"),"United Kingdom",PROPER(TRIM(Raw_Data!D2332)))</f>
        <v>Ireland</v>
      </c>
      <c r="E2332" s="6" t="s">
        <v>52</v>
      </c>
      <c r="F2332" s="6" t="s">
        <v>100</v>
      </c>
      <c r="G2332" s="6" t="str">
        <f>SUBSTITUTE(Raw_Data!G2332,"Ã©","é")</f>
        <v>Merino Base Layer</v>
      </c>
      <c r="H2332" s="6">
        <v>2</v>
      </c>
      <c r="I2332" s="6" t="s">
        <v>82</v>
      </c>
      <c r="J2332" s="6" t="s">
        <v>297</v>
      </c>
      <c r="K2332" s="6">
        <v>0.64</v>
      </c>
      <c r="L2332" s="6" t="s">
        <v>42</v>
      </c>
      <c r="M2332" s="6" t="s">
        <v>34</v>
      </c>
      <c r="N2332" s="6"/>
    </row>
    <row r="2333" spans="1:14">
      <c r="A2333" s="6" t="s">
        <v>3829</v>
      </c>
      <c r="B2333" s="7">
        <v>46051</v>
      </c>
      <c r="C2333" s="6" t="s">
        <v>1870</v>
      </c>
      <c r="D2333" s="6" t="str">
        <f>IF(OR(PROPER(TRIM(Raw_Data!D2333))="Uk",PROPER(TRIM(Raw_Data!D2333))="Gb",PROPER(TRIM(Raw_Data!D2333))="United kingdom"),"United Kingdom",PROPER(TRIM(Raw_Data!D2333)))</f>
        <v>Germany</v>
      </c>
      <c r="E2333" s="6" t="s">
        <v>52</v>
      </c>
      <c r="F2333" s="6" t="s">
        <v>58</v>
      </c>
      <c r="G2333" s="6" t="str">
        <f>SUBSTITUTE(Raw_Data!G2333,"Ã©","é")</f>
        <v>Alpine Jacket</v>
      </c>
      <c r="H2333" s="6">
        <v>1</v>
      </c>
      <c r="I2333" s="6" t="s">
        <v>117</v>
      </c>
      <c r="J2333" s="6" t="s">
        <v>117</v>
      </c>
      <c r="K2333" s="6">
        <v>0.38</v>
      </c>
      <c r="L2333" s="6" t="s">
        <v>42</v>
      </c>
      <c r="M2333" s="6" t="s">
        <v>34</v>
      </c>
      <c r="N2333" s="6"/>
    </row>
    <row r="2334" spans="1:14">
      <c r="A2334" s="6" t="s">
        <v>3830</v>
      </c>
      <c r="B2334" s="7">
        <v>46051</v>
      </c>
      <c r="C2334" s="6" t="s">
        <v>1870</v>
      </c>
      <c r="D2334" s="6" t="str">
        <f>IF(OR(PROPER(TRIM(Raw_Data!D2334))="Uk",PROPER(TRIM(Raw_Data!D2334))="Gb",PROPER(TRIM(Raw_Data!D2334))="United kingdom"),"United Kingdom",PROPER(TRIM(Raw_Data!D2334)))</f>
        <v>United Kingdom</v>
      </c>
      <c r="E2334" s="6" t="s">
        <v>46</v>
      </c>
      <c r="F2334" s="6" t="s">
        <v>38</v>
      </c>
      <c r="G2334" s="6" t="str">
        <f>SUBSTITUTE(Raw_Data!G2334,"Ã©","é")</f>
        <v>Alpine Jacket</v>
      </c>
      <c r="H2334" s="6">
        <v>2</v>
      </c>
      <c r="I2334" s="6" t="s">
        <v>96</v>
      </c>
      <c r="J2334" s="6" t="s">
        <v>278</v>
      </c>
      <c r="K2334" s="6">
        <v>0.52</v>
      </c>
      <c r="L2334" s="6" t="s">
        <v>42</v>
      </c>
      <c r="M2334" s="6" t="s">
        <v>34</v>
      </c>
      <c r="N2334" s="6"/>
    </row>
    <row r="2335" spans="1:14">
      <c r="A2335" s="6" t="s">
        <v>3831</v>
      </c>
      <c r="B2335" s="7">
        <v>46044</v>
      </c>
      <c r="C2335" s="6" t="s">
        <v>2907</v>
      </c>
      <c r="D2335" s="6" t="str">
        <f>IF(OR(PROPER(TRIM(Raw_Data!D2335))="Uk",PROPER(TRIM(Raw_Data!D2335))="Gb",PROPER(TRIM(Raw_Data!D2335))="United kingdom"),"United Kingdom",PROPER(TRIM(Raw_Data!D2335)))</f>
        <v>United Kingdom</v>
      </c>
      <c r="E2335" s="6" t="s">
        <v>28</v>
      </c>
      <c r="F2335" s="6" t="s">
        <v>94</v>
      </c>
      <c r="G2335" s="6" t="str">
        <f>SUBSTITUTE(Raw_Data!G2335,"Ã©","é")</f>
        <v>Fell Runner Cap</v>
      </c>
      <c r="H2335" s="6">
        <v>1</v>
      </c>
      <c r="I2335" s="6" t="s">
        <v>265</v>
      </c>
      <c r="J2335" s="6" t="s">
        <v>3832</v>
      </c>
      <c r="K2335" s="6">
        <v>0.34</v>
      </c>
      <c r="L2335" s="6" t="s">
        <v>33</v>
      </c>
      <c r="M2335" s="6" t="s">
        <v>34</v>
      </c>
      <c r="N2335" s="6"/>
    </row>
    <row r="2336" spans="1:14">
      <c r="A2336" s="6" t="s">
        <v>3833</v>
      </c>
      <c r="B2336" s="7">
        <v>46300</v>
      </c>
      <c r="C2336" s="6" t="s">
        <v>3834</v>
      </c>
      <c r="D2336" s="6" t="str">
        <f>IF(OR(PROPER(TRIM(Raw_Data!D2336))="Uk",PROPER(TRIM(Raw_Data!D2336))="Gb",PROPER(TRIM(Raw_Data!D2336))="United kingdom"),"United Kingdom",PROPER(TRIM(Raw_Data!D2336)))</f>
        <v>Ireland</v>
      </c>
      <c r="E2336" s="6" t="s">
        <v>37</v>
      </c>
      <c r="F2336" s="6" t="s">
        <v>47</v>
      </c>
      <c r="G2336" s="6" t="str">
        <f>SUBSTITUTE(Raw_Data!G2336,"Ã©","é")</f>
        <v>Fell Runner Cap</v>
      </c>
      <c r="H2336" s="6">
        <v>3</v>
      </c>
      <c r="I2336" s="6" t="s">
        <v>96</v>
      </c>
      <c r="J2336" s="6" t="s">
        <v>97</v>
      </c>
      <c r="K2336" s="6">
        <v>8.5000000000000006E-2</v>
      </c>
      <c r="L2336" s="6" t="s">
        <v>42</v>
      </c>
      <c r="M2336" s="6" t="s">
        <v>34</v>
      </c>
      <c r="N2336" s="6"/>
    </row>
    <row r="2337" spans="1:14">
      <c r="A2337" s="6" t="s">
        <v>3835</v>
      </c>
      <c r="B2337" s="7">
        <v>46124</v>
      </c>
      <c r="C2337" s="6" t="s">
        <v>1935</v>
      </c>
      <c r="D2337" s="6" t="str">
        <f>IF(OR(PROPER(TRIM(Raw_Data!D2337))="Uk",PROPER(TRIM(Raw_Data!D2337))="Gb",PROPER(TRIM(Raw_Data!D2337))="United kingdom"),"United Kingdom",PROPER(TRIM(Raw_Data!D2337)))</f>
        <v>France</v>
      </c>
      <c r="E2337" s="6" t="s">
        <v>28</v>
      </c>
      <c r="F2337" s="6" t="s">
        <v>53</v>
      </c>
      <c r="G2337" s="6" t="str">
        <f>SUBSTITUTE(Raw_Data!G2337,"Ã©","é")</f>
        <v>Merino Base Layer</v>
      </c>
      <c r="H2337" s="6">
        <v>3</v>
      </c>
      <c r="I2337" s="6" t="s">
        <v>748</v>
      </c>
      <c r="J2337" s="6" t="s">
        <v>138</v>
      </c>
      <c r="K2337" s="6">
        <v>0.19</v>
      </c>
      <c r="L2337" s="6" t="s">
        <v>42</v>
      </c>
      <c r="M2337" s="6" t="s">
        <v>34</v>
      </c>
      <c r="N2337" s="6"/>
    </row>
    <row r="2338" spans="1:14">
      <c r="A2338" s="6" t="s">
        <v>3836</v>
      </c>
      <c r="B2338" s="7">
        <v>46164</v>
      </c>
      <c r="C2338" s="6" t="s">
        <v>901</v>
      </c>
      <c r="D2338" s="6" t="str">
        <f>IF(OR(PROPER(TRIM(Raw_Data!D2338))="Uk",PROPER(TRIM(Raw_Data!D2338))="Gb",PROPER(TRIM(Raw_Data!D2338))="United kingdom"),"United Kingdom",PROPER(TRIM(Raw_Data!D2338)))</f>
        <v>Ireland</v>
      </c>
      <c r="E2338" s="6" t="s">
        <v>37</v>
      </c>
      <c r="F2338" s="6" t="s">
        <v>29</v>
      </c>
      <c r="G2338" s="6" t="str">
        <f>SUBSTITUTE(Raw_Data!G2338,"Ã©","é")</f>
        <v>Trail Softshell</v>
      </c>
      <c r="H2338" s="6">
        <v>3</v>
      </c>
      <c r="I2338" s="6" t="s">
        <v>1004</v>
      </c>
      <c r="J2338" s="6" t="s">
        <v>401</v>
      </c>
      <c r="K2338" s="6">
        <v>0.52</v>
      </c>
      <c r="L2338" s="6" t="s">
        <v>42</v>
      </c>
      <c r="M2338" s="6" t="s">
        <v>34</v>
      </c>
      <c r="N2338" s="6"/>
    </row>
    <row r="2339" spans="1:14">
      <c r="A2339" s="6" t="s">
        <v>3837</v>
      </c>
      <c r="B2339" s="7">
        <v>46157</v>
      </c>
      <c r="C2339" s="6" t="s">
        <v>1850</v>
      </c>
      <c r="D2339" s="6" t="str">
        <f>IF(OR(PROPER(TRIM(Raw_Data!D2339))="Uk",PROPER(TRIM(Raw_Data!D2339))="Gb",PROPER(TRIM(Raw_Data!D2339))="United kingdom"),"United Kingdom",PROPER(TRIM(Raw_Data!D2339)))</f>
        <v>Ireland</v>
      </c>
      <c r="E2339" s="6" t="s">
        <v>28</v>
      </c>
      <c r="F2339" s="6" t="s">
        <v>29</v>
      </c>
      <c r="G2339" s="6" t="str">
        <f>SUBSTITUTE(Raw_Data!G2339,"Ã©","é")</f>
        <v>Alpine Jacket</v>
      </c>
      <c r="H2339" s="6">
        <v>-3</v>
      </c>
      <c r="I2339" s="6" t="s">
        <v>228</v>
      </c>
      <c r="J2339" s="8" t="s">
        <v>3838</v>
      </c>
      <c r="K2339" s="6">
        <v>0.52</v>
      </c>
      <c r="L2339" s="6" t="s">
        <v>33</v>
      </c>
      <c r="M2339" s="6" t="s">
        <v>34</v>
      </c>
      <c r="N2339" s="6"/>
    </row>
    <row r="2340" spans="1:14">
      <c r="A2340" s="6" t="s">
        <v>3839</v>
      </c>
      <c r="B2340" s="7">
        <v>46094</v>
      </c>
      <c r="C2340" s="6" t="s">
        <v>701</v>
      </c>
      <c r="D2340" s="6" t="str">
        <f>IF(OR(PROPER(TRIM(Raw_Data!D2340))="Uk",PROPER(TRIM(Raw_Data!D2340))="Gb",PROPER(TRIM(Raw_Data!D2340))="United kingdom"),"United Kingdom",PROPER(TRIM(Raw_Data!D2340)))</f>
        <v>France</v>
      </c>
      <c r="E2340" s="6" t="s">
        <v>52</v>
      </c>
      <c r="F2340" s="6" t="s">
        <v>29</v>
      </c>
      <c r="G2340" s="6" t="str">
        <f>SUBSTITUTE(Raw_Data!G2340,"Ã©","é")</f>
        <v>Summit Down Gilet</v>
      </c>
      <c r="H2340" s="6">
        <v>1</v>
      </c>
      <c r="I2340" s="6" t="s">
        <v>90</v>
      </c>
      <c r="J2340" s="6" t="s">
        <v>90</v>
      </c>
      <c r="K2340" s="6">
        <v>0.52</v>
      </c>
      <c r="L2340" s="6" t="s">
        <v>42</v>
      </c>
      <c r="M2340" s="6" t="s">
        <v>34</v>
      </c>
      <c r="N2340" s="6"/>
    </row>
    <row r="2341" spans="1:14">
      <c r="A2341" s="6" t="s">
        <v>3840</v>
      </c>
      <c r="B2341" s="7">
        <v>46129</v>
      </c>
      <c r="C2341" s="6" t="s">
        <v>930</v>
      </c>
      <c r="D2341" s="6" t="str">
        <f>IF(OR(PROPER(TRIM(Raw_Data!D2341))="Uk",PROPER(TRIM(Raw_Data!D2341))="Gb",PROPER(TRIM(Raw_Data!D2341))="United kingdom"),"United Kingdom",PROPER(TRIM(Raw_Data!D2341)))</f>
        <v>Germany</v>
      </c>
      <c r="E2341" s="6" t="s">
        <v>37</v>
      </c>
      <c r="F2341" s="6" t="s">
        <v>29</v>
      </c>
      <c r="G2341" s="6" t="str">
        <f>SUBSTITUTE(Raw_Data!G2341,"Ã©","é")</f>
        <v>Alpine Jacket</v>
      </c>
      <c r="H2341" s="6">
        <v>2</v>
      </c>
      <c r="I2341" s="6" t="s">
        <v>265</v>
      </c>
      <c r="J2341" s="6" t="s">
        <v>167</v>
      </c>
      <c r="K2341" s="6">
        <v>0.52</v>
      </c>
      <c r="L2341" s="6" t="s">
        <v>42</v>
      </c>
      <c r="M2341" s="6" t="s">
        <v>34</v>
      </c>
      <c r="N2341" s="6"/>
    </row>
    <row r="2342" spans="1:14">
      <c r="A2342" s="6" t="s">
        <v>3841</v>
      </c>
      <c r="B2342" s="7">
        <v>46142</v>
      </c>
      <c r="C2342" s="6" t="s">
        <v>3842</v>
      </c>
      <c r="D2342" s="6" t="str">
        <f>IF(OR(PROPER(TRIM(Raw_Data!D2342))="Uk",PROPER(TRIM(Raw_Data!D2342))="Gb",PROPER(TRIM(Raw_Data!D2342))="United kingdom"),"United Kingdom",PROPER(TRIM(Raw_Data!D2342)))</f>
        <v>United Kingdom</v>
      </c>
      <c r="E2342" s="6" t="s">
        <v>46</v>
      </c>
      <c r="F2342" s="6" t="s">
        <v>58</v>
      </c>
      <c r="G2342" s="6" t="str">
        <f>SUBSTITUTE(Raw_Data!G2342,"Ã©","é")</f>
        <v>Café Latte Mug</v>
      </c>
      <c r="H2342" s="6">
        <v>1</v>
      </c>
      <c r="I2342" s="6" t="s">
        <v>265</v>
      </c>
      <c r="J2342" s="6" t="s">
        <v>2761</v>
      </c>
      <c r="K2342" s="6">
        <v>0.38</v>
      </c>
      <c r="L2342" s="6" t="s">
        <v>42</v>
      </c>
      <c r="M2342" s="6" t="s">
        <v>34</v>
      </c>
      <c r="N2342" s="6"/>
    </row>
    <row r="2343" spans="1:14">
      <c r="A2343" s="6" t="s">
        <v>3843</v>
      </c>
      <c r="B2343" s="7">
        <v>46051</v>
      </c>
      <c r="C2343" s="6" t="s">
        <v>454</v>
      </c>
      <c r="D2343" s="6" t="str">
        <f>IF(OR(PROPER(TRIM(Raw_Data!D2343))="Uk",PROPER(TRIM(Raw_Data!D2343))="Gb",PROPER(TRIM(Raw_Data!D2343))="United kingdom"),"United Kingdom",PROPER(TRIM(Raw_Data!D2343)))</f>
        <v>United Kingdom</v>
      </c>
      <c r="E2343" s="6" t="s">
        <v>78</v>
      </c>
      <c r="F2343" s="6" t="s">
        <v>100</v>
      </c>
      <c r="G2343" s="6" t="str">
        <f>SUBSTITUTE(Raw_Data!G2343,"Ã©","é")</f>
        <v>Trail Softshell</v>
      </c>
      <c r="H2343" s="6">
        <v>1</v>
      </c>
      <c r="I2343" s="6" t="s">
        <v>113</v>
      </c>
      <c r="J2343" s="6" t="s">
        <v>113</v>
      </c>
      <c r="K2343" s="6">
        <v>0.64</v>
      </c>
      <c r="L2343" s="6" t="s">
        <v>42</v>
      </c>
      <c r="M2343" s="6" t="s">
        <v>34</v>
      </c>
      <c r="N2343" s="6"/>
    </row>
    <row r="2344" spans="1:14">
      <c r="A2344" s="6" t="s">
        <v>3844</v>
      </c>
      <c r="B2344" s="7">
        <v>46169</v>
      </c>
      <c r="C2344" s="6" t="s">
        <v>1373</v>
      </c>
      <c r="D2344" s="6" t="str">
        <f>IF(OR(PROPER(TRIM(Raw_Data!D2344))="Uk",PROPER(TRIM(Raw_Data!D2344))="Gb",PROPER(TRIM(Raw_Data!D2344))="United kingdom"),"United Kingdom",PROPER(TRIM(Raw_Data!D2344)))</f>
        <v>United Kingdom</v>
      </c>
      <c r="E2344" s="6" t="s">
        <v>37</v>
      </c>
      <c r="F2344" s="6" t="s">
        <v>38</v>
      </c>
      <c r="G2344" s="6" t="str">
        <f>SUBSTITUTE(Raw_Data!G2344,"Ã©","é")</f>
        <v>Trekking Poles</v>
      </c>
      <c r="H2344" s="6">
        <v>1</v>
      </c>
      <c r="I2344" s="6" t="s">
        <v>117</v>
      </c>
      <c r="J2344" s="6" t="s">
        <v>117</v>
      </c>
      <c r="K2344" s="6">
        <v>0.52</v>
      </c>
      <c r="L2344" s="6" t="s">
        <v>33</v>
      </c>
      <c r="M2344" s="6" t="s">
        <v>34</v>
      </c>
      <c r="N2344" s="6"/>
    </row>
    <row r="2345" spans="1:14">
      <c r="A2345" s="6" t="s">
        <v>3845</v>
      </c>
      <c r="B2345" s="7">
        <v>46158</v>
      </c>
      <c r="C2345" s="6" t="s">
        <v>1719</v>
      </c>
      <c r="D2345" s="6" t="str">
        <f>IF(OR(PROPER(TRIM(Raw_Data!D2345))="Uk",PROPER(TRIM(Raw_Data!D2345))="Gb",PROPER(TRIM(Raw_Data!D2345))="United kingdom"),"United Kingdom",PROPER(TRIM(Raw_Data!D2345)))</f>
        <v>United Kingdom</v>
      </c>
      <c r="E2345" s="6" t="s">
        <v>28</v>
      </c>
      <c r="F2345" s="6" t="s">
        <v>29</v>
      </c>
      <c r="G2345" s="6" t="str">
        <f>SUBSTITUTE(Raw_Data!G2345,"Ã©","é")</f>
        <v>Trail Softshell</v>
      </c>
      <c r="H2345" s="6">
        <v>2</v>
      </c>
      <c r="I2345" s="6" t="s">
        <v>60</v>
      </c>
      <c r="J2345" s="6" t="s">
        <v>189</v>
      </c>
      <c r="K2345" s="6">
        <v>0.52</v>
      </c>
      <c r="L2345" s="6" t="s">
        <v>42</v>
      </c>
      <c r="M2345" s="6" t="s">
        <v>34</v>
      </c>
      <c r="N2345" s="6"/>
    </row>
    <row r="2346" spans="1:14">
      <c r="A2346" s="6" t="s">
        <v>3846</v>
      </c>
      <c r="B2346" s="7">
        <v>46135</v>
      </c>
      <c r="C2346" s="6" t="s">
        <v>2412</v>
      </c>
      <c r="D2346" s="6" t="str">
        <f>IF(OR(PROPER(TRIM(Raw_Data!D2346))="Uk",PROPER(TRIM(Raw_Data!D2346))="Gb",PROPER(TRIM(Raw_Data!D2346))="United kingdom"),"United Kingdom",PROPER(TRIM(Raw_Data!D2346)))</f>
        <v>United Kingdom</v>
      </c>
      <c r="E2346" s="6" t="s">
        <v>37</v>
      </c>
      <c r="F2346" s="6" t="s">
        <v>100</v>
      </c>
      <c r="G2346" s="6" t="str">
        <f>SUBSTITUTE(Raw_Data!G2346,"Ã©","é")</f>
        <v>Summit Down Gilet</v>
      </c>
      <c r="H2346" s="6">
        <v>3</v>
      </c>
      <c r="I2346" s="6" t="s">
        <v>113</v>
      </c>
      <c r="J2346" s="6" t="s">
        <v>138</v>
      </c>
      <c r="K2346" s="6">
        <v>0.64</v>
      </c>
      <c r="L2346" s="6" t="s">
        <v>42</v>
      </c>
      <c r="M2346" s="6" t="s">
        <v>69</v>
      </c>
      <c r="N2346" s="6"/>
    </row>
    <row r="2347" spans="1:14">
      <c r="A2347" s="6" t="s">
        <v>3847</v>
      </c>
      <c r="B2347" s="7">
        <v>46105</v>
      </c>
      <c r="C2347" s="6" t="s">
        <v>1468</v>
      </c>
      <c r="D2347" s="6" t="str">
        <f>IF(OR(PROPER(TRIM(Raw_Data!D2347))="Uk",PROPER(TRIM(Raw_Data!D2347))="Gb",PROPER(TRIM(Raw_Data!D2347))="United kingdom"),"United Kingdom",PROPER(TRIM(Raw_Data!D2347)))</f>
        <v>United Kingdom</v>
      </c>
      <c r="E2347" s="6" t="s">
        <v>52</v>
      </c>
      <c r="F2347" s="6" t="s">
        <v>100</v>
      </c>
      <c r="G2347" s="6" t="str">
        <f>SUBSTITUTE(Raw_Data!G2347,"Ã©","é")</f>
        <v>Trail Softshell</v>
      </c>
      <c r="H2347" s="6">
        <v>1</v>
      </c>
      <c r="I2347" s="6" t="s">
        <v>31</v>
      </c>
      <c r="J2347" s="6" t="s">
        <v>31</v>
      </c>
      <c r="K2347" s="6">
        <v>0.64</v>
      </c>
      <c r="L2347" s="6" t="s">
        <v>42</v>
      </c>
      <c r="M2347" s="6" t="s">
        <v>34</v>
      </c>
      <c r="N2347" s="6"/>
    </row>
    <row r="2348" spans="1:14">
      <c r="A2348" s="6" t="s">
        <v>3848</v>
      </c>
      <c r="B2348" s="7">
        <v>46040</v>
      </c>
      <c r="C2348" s="6" t="s">
        <v>2802</v>
      </c>
      <c r="D2348" s="6" t="str">
        <f>IF(OR(PROPER(TRIM(Raw_Data!D2348))="Uk",PROPER(TRIM(Raw_Data!D2348))="Gb",PROPER(TRIM(Raw_Data!D2348))="United kingdom"),"United Kingdom",PROPER(TRIM(Raw_Data!D2348)))</f>
        <v>United Kingdom</v>
      </c>
      <c r="E2348" s="6" t="s">
        <v>28</v>
      </c>
      <c r="F2348" s="6" t="s">
        <v>53</v>
      </c>
      <c r="G2348" s="6" t="str">
        <f>SUBSTITUTE(Raw_Data!G2348,"Ã©","é")</f>
        <v>Fell Runner Cap</v>
      </c>
      <c r="H2348" s="6">
        <v>2</v>
      </c>
      <c r="I2348" s="6" t="s">
        <v>82</v>
      </c>
      <c r="J2348" s="6" t="s">
        <v>297</v>
      </c>
      <c r="K2348" s="6">
        <v>0.19</v>
      </c>
      <c r="L2348" s="6" t="s">
        <v>42</v>
      </c>
      <c r="M2348" s="6" t="s">
        <v>69</v>
      </c>
      <c r="N2348" s="6"/>
    </row>
    <row r="2349" spans="1:14">
      <c r="A2349" s="6" t="s">
        <v>3849</v>
      </c>
      <c r="B2349" s="7">
        <v>46132</v>
      </c>
      <c r="C2349" s="6" t="s">
        <v>2975</v>
      </c>
      <c r="D2349" s="6" t="str">
        <f>IF(OR(PROPER(TRIM(Raw_Data!D2349))="Uk",PROPER(TRIM(Raw_Data!D2349))="Gb",PROPER(TRIM(Raw_Data!D2349))="United kingdom"),"United Kingdom",PROPER(TRIM(Raw_Data!D2349)))</f>
        <v>Ireland</v>
      </c>
      <c r="E2349" s="6" t="s">
        <v>37</v>
      </c>
      <c r="F2349" s="6" t="s">
        <v>94</v>
      </c>
      <c r="G2349" s="6" t="str">
        <f>SUBSTITUTE(Raw_Data!G2349,"Ã©","é")</f>
        <v>Alpine Jacket</v>
      </c>
      <c r="H2349" s="6">
        <v>1</v>
      </c>
      <c r="I2349" s="6" t="s">
        <v>143</v>
      </c>
      <c r="J2349" s="6" t="s">
        <v>143</v>
      </c>
      <c r="K2349" s="6">
        <v>0.34</v>
      </c>
      <c r="L2349" s="6" t="s">
        <v>42</v>
      </c>
      <c r="M2349" s="6" t="s">
        <v>69</v>
      </c>
      <c r="N2349" s="6"/>
    </row>
    <row r="2350" spans="1:14">
      <c r="A2350" s="6" t="s">
        <v>3850</v>
      </c>
      <c r="B2350" s="7">
        <v>46240</v>
      </c>
      <c r="C2350" s="6" t="s">
        <v>3400</v>
      </c>
      <c r="D2350" s="6" t="str">
        <f>IF(OR(PROPER(TRIM(Raw_Data!D2350))="Uk",PROPER(TRIM(Raw_Data!D2350))="Gb",PROPER(TRIM(Raw_Data!D2350))="United kingdom"),"United Kingdom",PROPER(TRIM(Raw_Data!D2350)))</f>
        <v>Ireland</v>
      </c>
      <c r="E2350" s="6" t="s">
        <v>52</v>
      </c>
      <c r="F2350" s="6" t="s">
        <v>58</v>
      </c>
      <c r="G2350" s="6" t="str">
        <f>SUBSTITUTE(Raw_Data!G2350,"Ã©","é")</f>
        <v>Storm Overtrousers</v>
      </c>
      <c r="H2350" s="6">
        <v>2</v>
      </c>
      <c r="I2350" s="6" t="s">
        <v>31</v>
      </c>
      <c r="J2350" s="6" t="s">
        <v>249</v>
      </c>
      <c r="K2350" s="6">
        <v>0.38</v>
      </c>
      <c r="L2350" s="6" t="s">
        <v>33</v>
      </c>
      <c r="M2350" s="6" t="s">
        <v>69</v>
      </c>
      <c r="N2350" s="6"/>
    </row>
    <row r="2351" spans="1:14">
      <c r="A2351" s="6" t="s">
        <v>3851</v>
      </c>
      <c r="B2351" s="7">
        <v>46076</v>
      </c>
      <c r="C2351" s="6" t="s">
        <v>2622</v>
      </c>
      <c r="D2351" s="6" t="str">
        <f>IF(OR(PROPER(TRIM(Raw_Data!D2351))="Uk",PROPER(TRIM(Raw_Data!D2351))="Gb",PROPER(TRIM(Raw_Data!D2351))="United kingdom"),"United Kingdom",PROPER(TRIM(Raw_Data!D2351)))</f>
        <v>United Kingdom</v>
      </c>
      <c r="E2351" s="6" t="s">
        <v>78</v>
      </c>
      <c r="F2351" s="6" t="s">
        <v>94</v>
      </c>
      <c r="G2351" s="6" t="str">
        <f>SUBSTITUTE(Raw_Data!G2351,"Ã©","é")</f>
        <v>Café Latte Mug</v>
      </c>
      <c r="H2351" s="6">
        <v>1</v>
      </c>
      <c r="I2351" s="6" t="s">
        <v>40</v>
      </c>
      <c r="J2351" s="6" t="s">
        <v>3852</v>
      </c>
      <c r="K2351" s="6">
        <v>0.34</v>
      </c>
      <c r="L2351" s="6" t="s">
        <v>33</v>
      </c>
      <c r="M2351" s="6" t="s">
        <v>34</v>
      </c>
      <c r="N2351" s="6"/>
    </row>
    <row r="2352" spans="1:14">
      <c r="A2352" s="6" t="s">
        <v>3853</v>
      </c>
      <c r="B2352" s="7">
        <v>46112</v>
      </c>
      <c r="C2352" s="6" t="s">
        <v>2811</v>
      </c>
      <c r="D2352" s="6" t="str">
        <f>IF(OR(PROPER(TRIM(Raw_Data!D2352))="Uk",PROPER(TRIM(Raw_Data!D2352))="Gb",PROPER(TRIM(Raw_Data!D2352))="United kingdom"),"United Kingdom",PROPER(TRIM(Raw_Data!D2352)))</f>
        <v>United Kingdom</v>
      </c>
      <c r="E2352" s="6" t="s">
        <v>28</v>
      </c>
      <c r="F2352" s="6" t="s">
        <v>58</v>
      </c>
      <c r="G2352" s="6" t="str">
        <f>SUBSTITUTE(Raw_Data!G2352,"Ã©","é")</f>
        <v>Storm Overtrousers</v>
      </c>
      <c r="H2352" s="6">
        <v>1</v>
      </c>
      <c r="I2352" s="6" t="s">
        <v>67</v>
      </c>
      <c r="J2352" s="6" t="s">
        <v>67</v>
      </c>
      <c r="K2352" s="6">
        <v>0.38</v>
      </c>
      <c r="L2352" s="6" t="s">
        <v>42</v>
      </c>
      <c r="M2352" s="6" t="s">
        <v>69</v>
      </c>
      <c r="N2352" s="6"/>
    </row>
    <row r="2353" spans="1:14">
      <c r="A2353" s="6" t="s">
        <v>3854</v>
      </c>
      <c r="B2353" s="7">
        <v>46073</v>
      </c>
      <c r="C2353" s="6" t="s">
        <v>3855</v>
      </c>
      <c r="D2353" s="6" t="str">
        <f>IF(OR(PROPER(TRIM(Raw_Data!D2353))="Uk",PROPER(TRIM(Raw_Data!D2353))="Gb",PROPER(TRIM(Raw_Data!D2353))="United kingdom"),"United Kingdom",PROPER(TRIM(Raw_Data!D2353)))</f>
        <v>Ireland</v>
      </c>
      <c r="E2353" s="6" t="s">
        <v>37</v>
      </c>
      <c r="F2353" s="6" t="s">
        <v>53</v>
      </c>
      <c r="G2353" s="6" t="str">
        <f>SUBSTITUTE(Raw_Data!G2353,"Ã©","é")</f>
        <v>Storm Overtrousers</v>
      </c>
      <c r="H2353" s="6">
        <v>1</v>
      </c>
      <c r="I2353" s="6" t="s">
        <v>265</v>
      </c>
      <c r="J2353" s="6" t="s">
        <v>265</v>
      </c>
      <c r="K2353" s="6">
        <v>0.19</v>
      </c>
      <c r="L2353" s="6" t="s">
        <v>42</v>
      </c>
      <c r="M2353" s="6" t="s">
        <v>69</v>
      </c>
      <c r="N2353" s="6"/>
    </row>
    <row r="2354" spans="1:14">
      <c r="A2354" s="6" t="s">
        <v>3856</v>
      </c>
      <c r="B2354" s="7">
        <v>46198</v>
      </c>
      <c r="C2354" s="6" t="s">
        <v>3784</v>
      </c>
      <c r="D2354" s="6" t="str">
        <f>IF(OR(PROPER(TRIM(Raw_Data!D2354))="Uk",PROPER(TRIM(Raw_Data!D2354))="Gb",PROPER(TRIM(Raw_Data!D2354))="United kingdom"),"United Kingdom",PROPER(TRIM(Raw_Data!D2354)))</f>
        <v>United Kingdom</v>
      </c>
      <c r="E2354" s="6" t="s">
        <v>78</v>
      </c>
      <c r="F2354" s="6" t="s">
        <v>53</v>
      </c>
      <c r="G2354" s="6" t="str">
        <f>SUBSTITUTE(Raw_Data!G2354,"Ã©","é")</f>
        <v>Trail Softshell</v>
      </c>
      <c r="H2354" s="6">
        <v>1</v>
      </c>
      <c r="I2354" s="6" t="s">
        <v>90</v>
      </c>
      <c r="J2354" s="6" t="s">
        <v>90</v>
      </c>
      <c r="K2354" s="6">
        <v>0.19</v>
      </c>
      <c r="L2354" s="6" t="s">
        <v>42</v>
      </c>
      <c r="M2354" s="6" t="s">
        <v>69</v>
      </c>
      <c r="N2354" s="6"/>
    </row>
    <row r="2355" spans="1:14">
      <c r="A2355" s="6" t="s">
        <v>3857</v>
      </c>
      <c r="B2355" s="7">
        <v>46059</v>
      </c>
      <c r="C2355" s="6" t="s">
        <v>3858</v>
      </c>
      <c r="D2355" s="6" t="str">
        <f>IF(OR(PROPER(TRIM(Raw_Data!D2355))="Uk",PROPER(TRIM(Raw_Data!D2355))="Gb",PROPER(TRIM(Raw_Data!D2355))="United kingdom"),"United Kingdom",PROPER(TRIM(Raw_Data!D2355)))</f>
        <v>United Kingdom</v>
      </c>
      <c r="E2355" s="6" t="s">
        <v>28</v>
      </c>
      <c r="F2355" s="6" t="s">
        <v>29</v>
      </c>
      <c r="G2355" s="6" t="str">
        <f>SUBSTITUTE(Raw_Data!G2355,"Ã©","é")</f>
        <v>Summit Down Gilet</v>
      </c>
      <c r="H2355" s="6">
        <v>1</v>
      </c>
      <c r="I2355" s="6" t="s">
        <v>96</v>
      </c>
      <c r="J2355" s="6" t="s">
        <v>96</v>
      </c>
      <c r="K2355" s="6">
        <v>0.52</v>
      </c>
      <c r="L2355" s="6" t="s">
        <v>42</v>
      </c>
      <c r="M2355" s="6" t="s">
        <v>69</v>
      </c>
      <c r="N2355" s="6"/>
    </row>
    <row r="2356" spans="1:14">
      <c r="A2356" s="6" t="s">
        <v>3859</v>
      </c>
      <c r="B2356" s="7">
        <v>46073</v>
      </c>
      <c r="C2356" s="6" t="s">
        <v>3860</v>
      </c>
      <c r="D2356" s="6" t="str">
        <f>IF(OR(PROPER(TRIM(Raw_Data!D2356))="Uk",PROPER(TRIM(Raw_Data!D2356))="Gb",PROPER(TRIM(Raw_Data!D2356))="United kingdom"),"United Kingdom",PROPER(TRIM(Raw_Data!D2356)))</f>
        <v>Ireland</v>
      </c>
      <c r="E2356" s="6" t="s">
        <v>28</v>
      </c>
      <c r="F2356" s="6" t="s">
        <v>85</v>
      </c>
      <c r="G2356" s="6" t="str">
        <f>SUBSTITUTE(Raw_Data!G2356,"Ã©","é")</f>
        <v>Storm Overtrousers</v>
      </c>
      <c r="H2356" s="6">
        <v>2</v>
      </c>
      <c r="I2356" s="6" t="s">
        <v>147</v>
      </c>
      <c r="J2356" s="6" t="s">
        <v>175</v>
      </c>
      <c r="K2356" s="6">
        <v>0.41</v>
      </c>
      <c r="L2356" s="6" t="s">
        <v>42</v>
      </c>
      <c r="M2356" s="6" t="s">
        <v>69</v>
      </c>
      <c r="N2356" s="6"/>
    </row>
    <row r="2357" spans="1:14">
      <c r="A2357" s="6" t="s">
        <v>3861</v>
      </c>
      <c r="B2357" s="7">
        <v>46027</v>
      </c>
      <c r="C2357" s="6" t="s">
        <v>1482</v>
      </c>
      <c r="D2357" s="6" t="str">
        <f>IF(OR(PROPER(TRIM(Raw_Data!D2357))="Uk",PROPER(TRIM(Raw_Data!D2357))="Gb",PROPER(TRIM(Raw_Data!D2357))="United kingdom"),"United Kingdom",PROPER(TRIM(Raw_Data!D2357)))</f>
        <v>France</v>
      </c>
      <c r="E2357" s="6" t="s">
        <v>52</v>
      </c>
      <c r="F2357" s="6" t="s">
        <v>47</v>
      </c>
      <c r="G2357" s="6" t="str">
        <f>SUBSTITUTE(Raw_Data!G2357,"Ã©","é")</f>
        <v>Trekking Poles</v>
      </c>
      <c r="H2357" s="6">
        <v>2</v>
      </c>
      <c r="I2357" s="6" t="s">
        <v>143</v>
      </c>
      <c r="J2357" s="6" t="s">
        <v>144</v>
      </c>
      <c r="K2357" s="6">
        <v>8.5000000000000006E-2</v>
      </c>
      <c r="L2357" s="6" t="s">
        <v>42</v>
      </c>
      <c r="M2357" s="6" t="s">
        <v>34</v>
      </c>
      <c r="N2357" s="6"/>
    </row>
    <row r="2358" spans="1:14">
      <c r="A2358" s="6" t="s">
        <v>3862</v>
      </c>
      <c r="B2358" s="7">
        <v>46205</v>
      </c>
      <c r="C2358" s="6" t="s">
        <v>1803</v>
      </c>
      <c r="D2358" s="6" t="str">
        <f>IF(OR(PROPER(TRIM(Raw_Data!D2358))="Uk",PROPER(TRIM(Raw_Data!D2358))="Gb",PROPER(TRIM(Raw_Data!D2358))="United kingdom"),"United Kingdom",PROPER(TRIM(Raw_Data!D2358)))</f>
        <v>United Kingdom</v>
      </c>
      <c r="E2358" s="6" t="s">
        <v>28</v>
      </c>
      <c r="F2358" s="6" t="s">
        <v>100</v>
      </c>
      <c r="G2358" s="6" t="str">
        <f>SUBSTITUTE(Raw_Data!G2358,"Ã©","é")</f>
        <v>Trekking Poles</v>
      </c>
      <c r="H2358" s="6">
        <v>1</v>
      </c>
      <c r="I2358" s="6" t="s">
        <v>90</v>
      </c>
      <c r="J2358" s="6" t="s">
        <v>262</v>
      </c>
      <c r="K2358" s="6">
        <v>0.64</v>
      </c>
      <c r="L2358" s="6" t="s">
        <v>42</v>
      </c>
      <c r="M2358" s="6" t="s">
        <v>34</v>
      </c>
      <c r="N2358" s="6"/>
    </row>
    <row r="2359" spans="1:14">
      <c r="A2359" s="6" t="s">
        <v>3863</v>
      </c>
      <c r="B2359" s="7">
        <v>46100</v>
      </c>
      <c r="C2359" s="6" t="s">
        <v>1439</v>
      </c>
      <c r="D2359" s="6" t="str">
        <f>IF(OR(PROPER(TRIM(Raw_Data!D2359))="Uk",PROPER(TRIM(Raw_Data!D2359))="Gb",PROPER(TRIM(Raw_Data!D2359))="United kingdom"),"United Kingdom",PROPER(TRIM(Raw_Data!D2359)))</f>
        <v>Germany</v>
      </c>
      <c r="E2359" s="6" t="s">
        <v>78</v>
      </c>
      <c r="F2359" s="6" t="s">
        <v>94</v>
      </c>
      <c r="G2359" s="6" t="str">
        <f>SUBSTITUTE(Raw_Data!G2359,"Ã©","é")</f>
        <v>Café Latte Mug</v>
      </c>
      <c r="H2359" s="6">
        <v>3</v>
      </c>
      <c r="I2359" s="6" t="s">
        <v>90</v>
      </c>
      <c r="J2359" s="6" t="s">
        <v>102</v>
      </c>
      <c r="K2359" s="6">
        <v>0.34</v>
      </c>
      <c r="L2359" s="6" t="s">
        <v>42</v>
      </c>
      <c r="M2359" s="6" t="s">
        <v>34</v>
      </c>
      <c r="N2359" s="6"/>
    </row>
    <row r="2360" spans="1:14">
      <c r="A2360" s="6" t="s">
        <v>3864</v>
      </c>
      <c r="B2360" s="7">
        <v>46043</v>
      </c>
      <c r="C2360" s="6" t="s">
        <v>851</v>
      </c>
      <c r="D2360" s="6" t="str">
        <f>IF(OR(PROPER(TRIM(Raw_Data!D2360))="Uk",PROPER(TRIM(Raw_Data!D2360))="Gb",PROPER(TRIM(Raw_Data!D2360))="United kingdom"),"United Kingdom",PROPER(TRIM(Raw_Data!D2360)))</f>
        <v>United Kingdom</v>
      </c>
      <c r="E2360" s="6" t="s">
        <v>52</v>
      </c>
      <c r="F2360" s="6" t="s">
        <v>29</v>
      </c>
      <c r="G2360" s="6" t="str">
        <f>SUBSTITUTE(Raw_Data!G2360,"Ã©","é")</f>
        <v>Alpine Jacket</v>
      </c>
      <c r="H2360" s="6">
        <v>1</v>
      </c>
      <c r="I2360" s="6" t="s">
        <v>67</v>
      </c>
      <c r="J2360" s="6" t="s">
        <v>67</v>
      </c>
      <c r="K2360" s="6">
        <v>0.52</v>
      </c>
      <c r="L2360" s="6" t="s">
        <v>42</v>
      </c>
      <c r="M2360" s="6" t="s">
        <v>34</v>
      </c>
      <c r="N2360" s="6"/>
    </row>
    <row r="2361" spans="1:14">
      <c r="A2361" s="6" t="s">
        <v>3865</v>
      </c>
      <c r="B2361" s="7">
        <v>46050</v>
      </c>
      <c r="C2361" s="6" t="s">
        <v>3465</v>
      </c>
      <c r="D2361" s="6" t="str">
        <f>IF(OR(PROPER(TRIM(Raw_Data!D2361))="Uk",PROPER(TRIM(Raw_Data!D2361))="Gb",PROPER(TRIM(Raw_Data!D2361))="United kingdom"),"United Kingdom",PROPER(TRIM(Raw_Data!D2361)))</f>
        <v>France</v>
      </c>
      <c r="E2361" s="6" t="s">
        <v>46</v>
      </c>
      <c r="F2361" s="6" t="s">
        <v>38</v>
      </c>
      <c r="G2361" s="6" t="str">
        <f>SUBSTITUTE(Raw_Data!G2361,"Ã©","é")</f>
        <v>Fell Runner Cap</v>
      </c>
      <c r="H2361" s="6">
        <v>2</v>
      </c>
      <c r="I2361" s="6" t="s">
        <v>67</v>
      </c>
      <c r="J2361" s="6" t="s">
        <v>204</v>
      </c>
      <c r="K2361" s="6">
        <v>0.52</v>
      </c>
      <c r="L2361" s="6" t="s">
        <v>42</v>
      </c>
      <c r="M2361" s="6" t="s">
        <v>34</v>
      </c>
      <c r="N2361" s="6"/>
    </row>
    <row r="2362" spans="1:14">
      <c r="A2362" s="6" t="s">
        <v>3866</v>
      </c>
      <c r="B2362" s="7">
        <v>46059</v>
      </c>
      <c r="C2362" s="6" t="s">
        <v>3103</v>
      </c>
      <c r="D2362" s="6" t="str">
        <f>IF(OR(PROPER(TRIM(Raw_Data!D2362))="Uk",PROPER(TRIM(Raw_Data!D2362))="Gb",PROPER(TRIM(Raw_Data!D2362))="United kingdom"),"United Kingdom",PROPER(TRIM(Raw_Data!D2362)))</f>
        <v>Ireland</v>
      </c>
      <c r="E2362" s="6" t="s">
        <v>78</v>
      </c>
      <c r="F2362" s="6" t="s">
        <v>53</v>
      </c>
      <c r="G2362" s="6" t="str">
        <f>SUBSTITUTE(Raw_Data!G2362,"Ã©","é")</f>
        <v>Alpine Jacket</v>
      </c>
      <c r="H2362" s="6">
        <v>3</v>
      </c>
      <c r="I2362" s="6" t="s">
        <v>265</v>
      </c>
      <c r="J2362" s="6" t="s">
        <v>401</v>
      </c>
      <c r="K2362" s="6">
        <v>0.19</v>
      </c>
      <c r="L2362" s="6" t="s">
        <v>33</v>
      </c>
      <c r="M2362" s="6" t="s">
        <v>34</v>
      </c>
      <c r="N2362" s="6"/>
    </row>
    <row r="2363" spans="1:14">
      <c r="A2363" s="6" t="s">
        <v>3867</v>
      </c>
      <c r="B2363" s="7">
        <v>46270</v>
      </c>
      <c r="C2363" s="6" t="s">
        <v>3868</v>
      </c>
      <c r="D2363" s="6" t="str">
        <f>IF(OR(PROPER(TRIM(Raw_Data!D2363))="Uk",PROPER(TRIM(Raw_Data!D2363))="Gb",PROPER(TRIM(Raw_Data!D2363))="United kingdom"),"United Kingdom",PROPER(TRIM(Raw_Data!D2363)))</f>
        <v>United Kingdom</v>
      </c>
      <c r="E2363" s="6" t="s">
        <v>46</v>
      </c>
      <c r="F2363" s="6" t="s">
        <v>53</v>
      </c>
      <c r="G2363" s="6" t="str">
        <f>SUBSTITUTE(Raw_Data!G2363,"Ã©","é")</f>
        <v>Summit Down Gilet</v>
      </c>
      <c r="H2363" s="6">
        <v>1</v>
      </c>
      <c r="I2363" s="6" t="s">
        <v>117</v>
      </c>
      <c r="J2363" s="6" t="s">
        <v>117</v>
      </c>
      <c r="K2363" s="6">
        <v>0.19</v>
      </c>
      <c r="L2363" s="6" t="s">
        <v>42</v>
      </c>
      <c r="M2363" s="6" t="s">
        <v>34</v>
      </c>
      <c r="N2363" s="6"/>
    </row>
    <row r="2364" spans="1:14">
      <c r="A2364" s="6" t="s">
        <v>3869</v>
      </c>
      <c r="B2364" s="7">
        <v>46106</v>
      </c>
      <c r="C2364" s="6" t="s">
        <v>757</v>
      </c>
      <c r="D2364" s="6" t="str">
        <f>IF(OR(PROPER(TRIM(Raw_Data!D2364))="Uk",PROPER(TRIM(Raw_Data!D2364))="Gb",PROPER(TRIM(Raw_Data!D2364))="United kingdom"),"United Kingdom",PROPER(TRIM(Raw_Data!D2364)))</f>
        <v>Ireland</v>
      </c>
      <c r="E2364" s="6" t="s">
        <v>46</v>
      </c>
      <c r="F2364" s="6" t="s">
        <v>47</v>
      </c>
      <c r="G2364" s="6" t="str">
        <f>SUBSTITUTE(Raw_Data!G2364,"Ã©","é")</f>
        <v>Trail Softshell</v>
      </c>
      <c r="H2364" s="6">
        <v>1</v>
      </c>
      <c r="I2364" s="6" t="s">
        <v>143</v>
      </c>
      <c r="J2364" s="6" t="s">
        <v>143</v>
      </c>
      <c r="K2364" s="6">
        <v>8.5000000000000006E-2</v>
      </c>
      <c r="L2364" s="6" t="s">
        <v>33</v>
      </c>
      <c r="M2364" s="6" t="s">
        <v>69</v>
      </c>
      <c r="N2364" s="6"/>
    </row>
    <row r="2365" spans="1:14">
      <c r="A2365" s="6" t="s">
        <v>3870</v>
      </c>
      <c r="B2365" s="7">
        <v>46206</v>
      </c>
      <c r="C2365" s="6" t="s">
        <v>2765</v>
      </c>
      <c r="D2365" s="6" t="str">
        <f>IF(OR(PROPER(TRIM(Raw_Data!D2365))="Uk",PROPER(TRIM(Raw_Data!D2365))="Gb",PROPER(TRIM(Raw_Data!D2365))="United kingdom"),"United Kingdom",PROPER(TRIM(Raw_Data!D2365)))</f>
        <v>Ireland</v>
      </c>
      <c r="E2365" s="6" t="s">
        <v>52</v>
      </c>
      <c r="F2365" s="6" t="s">
        <v>47</v>
      </c>
      <c r="G2365" s="6" t="str">
        <f>SUBSTITUTE(Raw_Data!G2365,"Ã©","é")</f>
        <v>Café Latte Mug</v>
      </c>
      <c r="H2365" s="6">
        <v>1</v>
      </c>
      <c r="I2365" s="6" t="s">
        <v>113</v>
      </c>
      <c r="J2365" s="6" t="s">
        <v>113</v>
      </c>
      <c r="K2365" s="6">
        <v>8.5000000000000006E-2</v>
      </c>
      <c r="L2365" s="6" t="s">
        <v>42</v>
      </c>
      <c r="M2365" s="6" t="s">
        <v>69</v>
      </c>
      <c r="N2365" s="6"/>
    </row>
    <row r="2366" spans="1:14">
      <c r="A2366" s="6" t="s">
        <v>3871</v>
      </c>
      <c r="B2366" s="7">
        <v>46040</v>
      </c>
      <c r="C2366" s="6" t="s">
        <v>2463</v>
      </c>
      <c r="D2366" s="6" t="str">
        <f>IF(OR(PROPER(TRIM(Raw_Data!D2366))="Uk",PROPER(TRIM(Raw_Data!D2366))="Gb",PROPER(TRIM(Raw_Data!D2366))="United kingdom"),"United Kingdom",PROPER(TRIM(Raw_Data!D2366)))</f>
        <v>United Kingdom</v>
      </c>
      <c r="E2366" s="6" t="s">
        <v>46</v>
      </c>
      <c r="F2366" s="6" t="s">
        <v>38</v>
      </c>
      <c r="G2366" s="6" t="str">
        <f>SUBSTITUTE(Raw_Data!G2366,"Ã©","é")</f>
        <v>Fell Runner Cap</v>
      </c>
      <c r="H2366" s="6">
        <v>2</v>
      </c>
      <c r="I2366" s="6" t="s">
        <v>117</v>
      </c>
      <c r="J2366" s="6" t="s">
        <v>118</v>
      </c>
      <c r="K2366" s="6">
        <v>0.52</v>
      </c>
      <c r="L2366" s="6" t="s">
        <v>42</v>
      </c>
      <c r="M2366" s="6" t="s">
        <v>69</v>
      </c>
      <c r="N2366" s="6"/>
    </row>
    <row r="2367" spans="1:14">
      <c r="A2367" s="6" t="s">
        <v>3872</v>
      </c>
      <c r="B2367" s="7">
        <v>46099</v>
      </c>
      <c r="C2367" s="6" t="s">
        <v>3873</v>
      </c>
      <c r="D2367" s="6" t="str">
        <f>IF(OR(PROPER(TRIM(Raw_Data!D2367))="Uk",PROPER(TRIM(Raw_Data!D2367))="Gb",PROPER(TRIM(Raw_Data!D2367))="United kingdom"),"United Kingdom",PROPER(TRIM(Raw_Data!D2367)))</f>
        <v>Ireland</v>
      </c>
      <c r="E2367" s="6" t="s">
        <v>52</v>
      </c>
      <c r="F2367" s="6" t="s">
        <v>29</v>
      </c>
      <c r="G2367" s="6" t="str">
        <f>SUBSTITUTE(Raw_Data!G2367,"Ã©","é")</f>
        <v>Merino Base Layer</v>
      </c>
      <c r="H2367" s="6">
        <v>1</v>
      </c>
      <c r="I2367" s="6" t="s">
        <v>113</v>
      </c>
      <c r="J2367" s="6" t="s">
        <v>113</v>
      </c>
      <c r="K2367" s="6">
        <v>0.52</v>
      </c>
      <c r="L2367" s="6" t="s">
        <v>33</v>
      </c>
      <c r="M2367" s="6" t="s">
        <v>34</v>
      </c>
      <c r="N2367" s="6"/>
    </row>
    <row r="2368" spans="1:14">
      <c r="A2368" s="6" t="s">
        <v>3874</v>
      </c>
      <c r="B2368" s="7">
        <v>46209</v>
      </c>
      <c r="C2368" s="6" t="s">
        <v>3528</v>
      </c>
      <c r="D2368" s="6" t="str">
        <f>IF(OR(PROPER(TRIM(Raw_Data!D2368))="Uk",PROPER(TRIM(Raw_Data!D2368))="Gb",PROPER(TRIM(Raw_Data!D2368))="United kingdom"),"United Kingdom",PROPER(TRIM(Raw_Data!D2368)))</f>
        <v>United Kingdom</v>
      </c>
      <c r="E2368" s="6" t="s">
        <v>52</v>
      </c>
      <c r="F2368" s="6" t="s">
        <v>38</v>
      </c>
      <c r="G2368" s="6" t="str">
        <f>SUBSTITUTE(Raw_Data!G2368,"Ã©","é")</f>
        <v>Trekking Poles</v>
      </c>
      <c r="H2368" s="6">
        <v>3</v>
      </c>
      <c r="I2368" s="6" t="s">
        <v>40</v>
      </c>
      <c r="J2368" s="6" t="s">
        <v>579</v>
      </c>
      <c r="K2368" s="6">
        <v>0.52</v>
      </c>
      <c r="L2368" s="6" t="s">
        <v>33</v>
      </c>
      <c r="M2368" s="6" t="s">
        <v>34</v>
      </c>
      <c r="N2368" s="6"/>
    </row>
    <row r="2369" spans="1:14">
      <c r="A2369" s="6" t="s">
        <v>3875</v>
      </c>
      <c r="B2369" s="7">
        <v>46164</v>
      </c>
      <c r="C2369" s="6" t="s">
        <v>351</v>
      </c>
      <c r="D2369" s="6" t="str">
        <f>IF(OR(PROPER(TRIM(Raw_Data!D2369))="Uk",PROPER(TRIM(Raw_Data!D2369))="Gb",PROPER(TRIM(Raw_Data!D2369))="United kingdom"),"United Kingdom",PROPER(TRIM(Raw_Data!D2369)))</f>
        <v>Ireland</v>
      </c>
      <c r="E2369" s="6" t="s">
        <v>46</v>
      </c>
      <c r="F2369" s="6" t="s">
        <v>94</v>
      </c>
      <c r="G2369" s="6" t="str">
        <f>SUBSTITUTE(Raw_Data!G2369,"Ã©","é")</f>
        <v>Trekking Poles</v>
      </c>
      <c r="H2369" s="6">
        <v>2</v>
      </c>
      <c r="I2369" s="6" t="s">
        <v>117</v>
      </c>
      <c r="J2369" s="6" t="s">
        <v>2037</v>
      </c>
      <c r="K2369" s="6">
        <v>0.34</v>
      </c>
      <c r="L2369" s="6" t="s">
        <v>42</v>
      </c>
      <c r="M2369" s="6" t="s">
        <v>34</v>
      </c>
      <c r="N2369" s="6"/>
    </row>
    <row r="2370" spans="1:14">
      <c r="A2370" s="6" t="s">
        <v>3876</v>
      </c>
      <c r="B2370" s="7">
        <v>46135</v>
      </c>
      <c r="C2370" s="6" t="s">
        <v>903</v>
      </c>
      <c r="D2370" s="6" t="str">
        <f>IF(OR(PROPER(TRIM(Raw_Data!D2370))="Uk",PROPER(TRIM(Raw_Data!D2370))="Gb",PROPER(TRIM(Raw_Data!D2370))="United kingdom"),"United Kingdom",PROPER(TRIM(Raw_Data!D2370)))</f>
        <v>United Kingdom</v>
      </c>
      <c r="E2370" s="6" t="s">
        <v>37</v>
      </c>
      <c r="F2370" s="6" t="s">
        <v>29</v>
      </c>
      <c r="G2370" s="6" t="str">
        <f>SUBSTITUTE(Raw_Data!G2370,"Ã©","é")</f>
        <v>Trekking Poles</v>
      </c>
      <c r="H2370" s="6">
        <v>1</v>
      </c>
      <c r="I2370" s="6" t="s">
        <v>31</v>
      </c>
      <c r="J2370" s="6" t="s">
        <v>31</v>
      </c>
      <c r="K2370" s="6">
        <v>0.52</v>
      </c>
      <c r="L2370" s="6" t="s">
        <v>42</v>
      </c>
      <c r="M2370" s="6" t="s">
        <v>34</v>
      </c>
      <c r="N2370" s="6"/>
    </row>
    <row r="2371" spans="1:14">
      <c r="A2371" s="6" t="s">
        <v>3877</v>
      </c>
      <c r="B2371" s="7">
        <v>46076</v>
      </c>
      <c r="C2371" s="6" t="s">
        <v>801</v>
      </c>
      <c r="D2371" s="6" t="str">
        <f>IF(OR(PROPER(TRIM(Raw_Data!D2371))="Uk",PROPER(TRIM(Raw_Data!D2371))="Gb",PROPER(TRIM(Raw_Data!D2371))="United kingdom"),"United Kingdom",PROPER(TRIM(Raw_Data!D2371)))</f>
        <v>United Kingdom</v>
      </c>
      <c r="E2371" s="6" t="s">
        <v>46</v>
      </c>
      <c r="F2371" s="6" t="s">
        <v>94</v>
      </c>
      <c r="G2371" s="6" t="str">
        <f>SUBSTITUTE(Raw_Data!G2371,"Ã©","é")</f>
        <v>Trekking Poles</v>
      </c>
      <c r="H2371" s="6">
        <v>3</v>
      </c>
      <c r="I2371" s="6" t="s">
        <v>31</v>
      </c>
      <c r="J2371" s="6" t="s">
        <v>337</v>
      </c>
      <c r="K2371" s="6">
        <v>0.34</v>
      </c>
      <c r="L2371" s="6" t="s">
        <v>42</v>
      </c>
      <c r="M2371" s="6" t="s">
        <v>69</v>
      </c>
      <c r="N2371" s="6"/>
    </row>
    <row r="2372" spans="1:14">
      <c r="A2372" s="6" t="s">
        <v>3878</v>
      </c>
      <c r="B2372" s="7">
        <v>46104</v>
      </c>
      <c r="C2372" s="6" t="s">
        <v>462</v>
      </c>
      <c r="D2372" s="6" t="str">
        <f>IF(OR(PROPER(TRIM(Raw_Data!D2372))="Uk",PROPER(TRIM(Raw_Data!D2372))="Gb",PROPER(TRIM(Raw_Data!D2372))="United kingdom"),"United Kingdom",PROPER(TRIM(Raw_Data!D2372)))</f>
        <v>United Kingdom</v>
      </c>
      <c r="E2372" s="6" t="s">
        <v>52</v>
      </c>
      <c r="F2372" s="6" t="s">
        <v>38</v>
      </c>
      <c r="G2372" s="6" t="str">
        <f>SUBSTITUTE(Raw_Data!G2372,"Ã©","é")</f>
        <v>Trekking Poles</v>
      </c>
      <c r="H2372" s="6">
        <v>2</v>
      </c>
      <c r="I2372" s="6" t="s">
        <v>113</v>
      </c>
      <c r="J2372" s="6" t="s">
        <v>192</v>
      </c>
      <c r="K2372" s="6">
        <v>0.52</v>
      </c>
      <c r="L2372" s="6" t="s">
        <v>42</v>
      </c>
      <c r="M2372" s="6" t="s">
        <v>34</v>
      </c>
      <c r="N2372" s="6"/>
    </row>
    <row r="2373" spans="1:14">
      <c r="A2373" s="6" t="s">
        <v>3879</v>
      </c>
      <c r="B2373" s="7">
        <v>46163</v>
      </c>
      <c r="C2373" s="6" t="s">
        <v>3880</v>
      </c>
      <c r="D2373" s="6" t="str">
        <f>IF(OR(PROPER(TRIM(Raw_Data!D2373))="Uk",PROPER(TRIM(Raw_Data!D2373))="Gb",PROPER(TRIM(Raw_Data!D2373))="United kingdom"),"United Kingdom",PROPER(TRIM(Raw_Data!D2373)))</f>
        <v>France</v>
      </c>
      <c r="E2373" s="6" t="s">
        <v>46</v>
      </c>
      <c r="F2373" s="6" t="s">
        <v>94</v>
      </c>
      <c r="G2373" s="6" t="str">
        <f>SUBSTITUTE(Raw_Data!G2373,"Ã©","é")</f>
        <v>Summit Down Gilet</v>
      </c>
      <c r="H2373" s="6">
        <v>1</v>
      </c>
      <c r="I2373" s="6" t="s">
        <v>31</v>
      </c>
      <c r="J2373" s="6" t="s">
        <v>31</v>
      </c>
      <c r="K2373" s="6">
        <v>0.34</v>
      </c>
      <c r="L2373" s="6" t="s">
        <v>42</v>
      </c>
      <c r="M2373" s="6" t="s">
        <v>34</v>
      </c>
      <c r="N2373" s="6"/>
    </row>
    <row r="2374" spans="1:14">
      <c r="A2374" s="6" t="s">
        <v>3881</v>
      </c>
      <c r="B2374" s="7">
        <v>46085</v>
      </c>
      <c r="C2374" s="6" t="s">
        <v>1803</v>
      </c>
      <c r="D2374" s="6" t="str">
        <f>IF(OR(PROPER(TRIM(Raw_Data!D2374))="Uk",PROPER(TRIM(Raw_Data!D2374))="Gb",PROPER(TRIM(Raw_Data!D2374))="United kingdom"),"United Kingdom",PROPER(TRIM(Raw_Data!D2374)))</f>
        <v>United Kingdom</v>
      </c>
      <c r="E2374" s="6" t="s">
        <v>28</v>
      </c>
      <c r="F2374" s="6" t="s">
        <v>38</v>
      </c>
      <c r="G2374" s="6" t="str">
        <f>SUBSTITUTE(Raw_Data!G2374,"Ã©","é")</f>
        <v>Alpine Jacket</v>
      </c>
      <c r="H2374" s="6">
        <v>3</v>
      </c>
      <c r="I2374" s="6" t="s">
        <v>40</v>
      </c>
      <c r="J2374" s="6" t="s">
        <v>579</v>
      </c>
      <c r="K2374" s="6">
        <v>0.52</v>
      </c>
      <c r="L2374" s="6" t="s">
        <v>42</v>
      </c>
      <c r="M2374" s="6" t="s">
        <v>34</v>
      </c>
      <c r="N2374" s="6"/>
    </row>
    <row r="2375" spans="1:14">
      <c r="A2375" s="6" t="s">
        <v>3882</v>
      </c>
      <c r="B2375" s="7">
        <v>46044</v>
      </c>
      <c r="C2375" s="6" t="s">
        <v>1693</v>
      </c>
      <c r="D2375" s="6" t="str">
        <f>IF(OR(PROPER(TRIM(Raw_Data!D2375))="Uk",PROPER(TRIM(Raw_Data!D2375))="Gb",PROPER(TRIM(Raw_Data!D2375))="United kingdom"),"United Kingdom",PROPER(TRIM(Raw_Data!D2375)))</f>
        <v>Germany</v>
      </c>
      <c r="E2375" s="6" t="s">
        <v>28</v>
      </c>
      <c r="F2375" s="6" t="s">
        <v>100</v>
      </c>
      <c r="G2375" s="6" t="str">
        <f>SUBSTITUTE(Raw_Data!G2375,"Ã©","é")</f>
        <v>Trail Softshell</v>
      </c>
      <c r="H2375" s="6">
        <v>1</v>
      </c>
      <c r="I2375" s="6" t="s">
        <v>143</v>
      </c>
      <c r="J2375" s="6" t="s">
        <v>143</v>
      </c>
      <c r="K2375" s="6">
        <v>0.64</v>
      </c>
      <c r="L2375" s="6" t="s">
        <v>33</v>
      </c>
      <c r="M2375" s="6" t="s">
        <v>34</v>
      </c>
      <c r="N2375" s="6"/>
    </row>
    <row r="2376" spans="1:14">
      <c r="A2376" s="6" t="s">
        <v>3883</v>
      </c>
      <c r="B2376" s="7">
        <v>46115</v>
      </c>
      <c r="C2376" s="6" t="s">
        <v>3884</v>
      </c>
      <c r="D2376" s="6" t="str">
        <f>IF(OR(PROPER(TRIM(Raw_Data!D2376))="Uk",PROPER(TRIM(Raw_Data!D2376))="Gb",PROPER(TRIM(Raw_Data!D2376))="United kingdom"),"United Kingdom",PROPER(TRIM(Raw_Data!D2376)))</f>
        <v>Germany</v>
      </c>
      <c r="E2376" s="6" t="s">
        <v>52</v>
      </c>
      <c r="F2376" s="6" t="s">
        <v>58</v>
      </c>
      <c r="G2376" s="6" t="str">
        <f>SUBSTITUTE(Raw_Data!G2376,"Ã©","é")</f>
        <v>Trekking Poles</v>
      </c>
      <c r="H2376" s="6">
        <v>1</v>
      </c>
      <c r="I2376" s="6" t="s">
        <v>60</v>
      </c>
      <c r="J2376" s="6" t="s">
        <v>60</v>
      </c>
      <c r="K2376" s="6">
        <v>0.38</v>
      </c>
      <c r="L2376" s="6" t="s">
        <v>42</v>
      </c>
      <c r="M2376" s="6" t="s">
        <v>69</v>
      </c>
      <c r="N2376" s="6"/>
    </row>
    <row r="2377" spans="1:14">
      <c r="A2377" s="6" t="s">
        <v>3885</v>
      </c>
      <c r="B2377" s="7">
        <v>46071</v>
      </c>
      <c r="C2377" s="6" t="s">
        <v>3886</v>
      </c>
      <c r="D2377" s="6" t="str">
        <f>IF(OR(PROPER(TRIM(Raw_Data!D2377))="Uk",PROPER(TRIM(Raw_Data!D2377))="Gb",PROPER(TRIM(Raw_Data!D2377))="United kingdom"),"United Kingdom",PROPER(TRIM(Raw_Data!D2377)))</f>
        <v>Ireland</v>
      </c>
      <c r="E2377" s="6" t="s">
        <v>46</v>
      </c>
      <c r="F2377" s="6" t="s">
        <v>58</v>
      </c>
      <c r="G2377" s="6" t="str">
        <f>SUBSTITUTE(Raw_Data!G2377,"Ã©","é")</f>
        <v>Alpine Jacket</v>
      </c>
      <c r="H2377" s="6">
        <v>1</v>
      </c>
      <c r="I2377" s="6" t="s">
        <v>147</v>
      </c>
      <c r="J2377" s="6" t="s">
        <v>147</v>
      </c>
      <c r="K2377" s="6">
        <v>0.38</v>
      </c>
      <c r="L2377" s="6" t="s">
        <v>42</v>
      </c>
      <c r="M2377" s="6" t="s">
        <v>34</v>
      </c>
      <c r="N2377" s="6"/>
    </row>
    <row r="2378" spans="1:14">
      <c r="A2378" s="6" t="s">
        <v>3887</v>
      </c>
      <c r="B2378" s="7">
        <v>46138</v>
      </c>
      <c r="C2378" s="6" t="s">
        <v>2545</v>
      </c>
      <c r="D2378" s="6" t="str">
        <f>IF(OR(PROPER(TRIM(Raw_Data!D2378))="Uk",PROPER(TRIM(Raw_Data!D2378))="Gb",PROPER(TRIM(Raw_Data!D2378))="United kingdom"),"United Kingdom",PROPER(TRIM(Raw_Data!D2378)))</f>
        <v>France</v>
      </c>
      <c r="E2378" s="6" t="s">
        <v>28</v>
      </c>
      <c r="F2378" s="6" t="s">
        <v>38</v>
      </c>
      <c r="G2378" s="6" t="str">
        <f>SUBSTITUTE(Raw_Data!G2378,"Ã©","é")</f>
        <v>Alpine Jacket</v>
      </c>
      <c r="H2378" s="6">
        <v>3</v>
      </c>
      <c r="I2378" s="6" t="s">
        <v>90</v>
      </c>
      <c r="J2378" s="6" t="s">
        <v>102</v>
      </c>
      <c r="K2378" s="6">
        <v>0.52</v>
      </c>
      <c r="L2378" s="6" t="s">
        <v>42</v>
      </c>
      <c r="M2378" s="6" t="s">
        <v>34</v>
      </c>
      <c r="N2378" s="6"/>
    </row>
    <row r="2379" spans="1:14">
      <c r="A2379" s="6" t="s">
        <v>3888</v>
      </c>
      <c r="B2379" s="7">
        <v>46080</v>
      </c>
      <c r="C2379" s="6" t="s">
        <v>2164</v>
      </c>
      <c r="D2379" s="6" t="str">
        <f>IF(OR(PROPER(TRIM(Raw_Data!D2379))="Uk",PROPER(TRIM(Raw_Data!D2379))="Gb",PROPER(TRIM(Raw_Data!D2379))="United kingdom"),"United Kingdom",PROPER(TRIM(Raw_Data!D2379)))</f>
        <v>United Kingdom</v>
      </c>
      <c r="E2379" s="6" t="s">
        <v>52</v>
      </c>
      <c r="F2379" s="6" t="s">
        <v>29</v>
      </c>
      <c r="G2379" s="6" t="str">
        <f>SUBSTITUTE(Raw_Data!G2379,"Ã©","é")</f>
        <v>Merino Base Layer</v>
      </c>
      <c r="H2379" s="6">
        <v>1</v>
      </c>
      <c r="I2379" s="6" t="s">
        <v>117</v>
      </c>
      <c r="J2379" s="6" t="s">
        <v>117</v>
      </c>
      <c r="K2379" s="6">
        <v>0.52</v>
      </c>
      <c r="L2379" s="6" t="s">
        <v>33</v>
      </c>
      <c r="M2379" s="6" t="s">
        <v>34</v>
      </c>
      <c r="N2379" s="6"/>
    </row>
    <row r="2380" spans="1:14">
      <c r="A2380" s="6" t="s">
        <v>3889</v>
      </c>
      <c r="B2380" s="7">
        <v>46116</v>
      </c>
      <c r="C2380" s="6" t="s">
        <v>3134</v>
      </c>
      <c r="D2380" s="6" t="str">
        <f>IF(OR(PROPER(TRIM(Raw_Data!D2380))="Uk",PROPER(TRIM(Raw_Data!D2380))="Gb",PROPER(TRIM(Raw_Data!D2380))="United kingdom"),"United Kingdom",PROPER(TRIM(Raw_Data!D2380)))</f>
        <v>United Kingdom</v>
      </c>
      <c r="E2380" s="6" t="s">
        <v>46</v>
      </c>
      <c r="F2380" s="6" t="s">
        <v>94</v>
      </c>
      <c r="G2380" s="6" t="str">
        <f>SUBSTITUTE(Raw_Data!G2380,"Ã©","é")</f>
        <v>Café Latte Mug</v>
      </c>
      <c r="H2380" s="6">
        <v>1</v>
      </c>
      <c r="I2380" s="6" t="s">
        <v>265</v>
      </c>
      <c r="J2380" s="6" t="s">
        <v>265</v>
      </c>
      <c r="K2380" s="6">
        <v>0.34</v>
      </c>
      <c r="L2380" s="6" t="s">
        <v>42</v>
      </c>
      <c r="M2380" s="6" t="s">
        <v>34</v>
      </c>
      <c r="N2380" s="6"/>
    </row>
    <row r="2381" spans="1:14">
      <c r="A2381" s="6" t="s">
        <v>3890</v>
      </c>
      <c r="B2381" s="7">
        <v>46056</v>
      </c>
      <c r="C2381" s="6" t="s">
        <v>750</v>
      </c>
      <c r="D2381" s="6" t="str">
        <f>IF(OR(PROPER(TRIM(Raw_Data!D2381))="Uk",PROPER(TRIM(Raw_Data!D2381))="Gb",PROPER(TRIM(Raw_Data!D2381))="United kingdom"),"United Kingdom",PROPER(TRIM(Raw_Data!D2381)))</f>
        <v>United Kingdom</v>
      </c>
      <c r="E2381" s="6" t="s">
        <v>28</v>
      </c>
      <c r="F2381" s="6" t="s">
        <v>47</v>
      </c>
      <c r="G2381" s="6" t="str">
        <f>SUBSTITUTE(Raw_Data!G2381,"Ã©","é")</f>
        <v>Summit Down Gilet</v>
      </c>
      <c r="H2381" s="6">
        <v>3</v>
      </c>
      <c r="I2381" s="6" t="s">
        <v>73</v>
      </c>
      <c r="J2381" s="6" t="s">
        <v>499</v>
      </c>
      <c r="K2381" s="6">
        <v>8.5000000000000006E-2</v>
      </c>
      <c r="L2381" s="6" t="s">
        <v>42</v>
      </c>
      <c r="M2381" s="6" t="s">
        <v>34</v>
      </c>
      <c r="N2381" s="6"/>
    </row>
    <row r="2382" spans="1:14">
      <c r="A2382" s="6" t="s">
        <v>3891</v>
      </c>
      <c r="B2382" s="7">
        <v>46053</v>
      </c>
      <c r="C2382" s="6" t="s">
        <v>1418</v>
      </c>
      <c r="D2382" s="6" t="str">
        <f>IF(OR(PROPER(TRIM(Raw_Data!D2382))="Uk",PROPER(TRIM(Raw_Data!D2382))="Gb",PROPER(TRIM(Raw_Data!D2382))="United kingdom"),"United Kingdom",PROPER(TRIM(Raw_Data!D2382)))</f>
        <v>United Kingdom</v>
      </c>
      <c r="E2382" s="6" t="s">
        <v>46</v>
      </c>
      <c r="F2382" s="6" t="s">
        <v>29</v>
      </c>
      <c r="G2382" s="6" t="str">
        <f>SUBSTITUTE(Raw_Data!G2382,"Ã©","é")</f>
        <v>Café Latte Mug</v>
      </c>
      <c r="H2382" s="6">
        <v>3</v>
      </c>
      <c r="I2382" s="6" t="s">
        <v>143</v>
      </c>
      <c r="J2382" s="6" t="s">
        <v>243</v>
      </c>
      <c r="K2382" s="6">
        <v>0.52</v>
      </c>
      <c r="L2382" s="6" t="s">
        <v>42</v>
      </c>
      <c r="M2382" s="6" t="s">
        <v>34</v>
      </c>
      <c r="N2382" s="6"/>
    </row>
    <row r="2383" spans="1:14">
      <c r="A2383" s="6" t="s">
        <v>3892</v>
      </c>
      <c r="B2383" s="7">
        <v>46115</v>
      </c>
      <c r="C2383" s="6" t="s">
        <v>3893</v>
      </c>
      <c r="D2383" s="6" t="str">
        <f>IF(OR(PROPER(TRIM(Raw_Data!D2383))="Uk",PROPER(TRIM(Raw_Data!D2383))="Gb",PROPER(TRIM(Raw_Data!D2383))="United kingdom"),"United Kingdom",PROPER(TRIM(Raw_Data!D2383)))</f>
        <v>United Kingdom</v>
      </c>
      <c r="E2383" s="6" t="s">
        <v>28</v>
      </c>
      <c r="F2383" s="6" t="s">
        <v>29</v>
      </c>
      <c r="G2383" s="6" t="str">
        <f>SUBSTITUTE(Raw_Data!G2383,"Ã©","é")</f>
        <v>Summit Down Gilet</v>
      </c>
      <c r="H2383" s="6">
        <v>1</v>
      </c>
      <c r="I2383" s="6" t="s">
        <v>143</v>
      </c>
      <c r="J2383" s="6" t="s">
        <v>143</v>
      </c>
      <c r="K2383" s="6">
        <v>0.52</v>
      </c>
      <c r="L2383" s="6" t="s">
        <v>42</v>
      </c>
      <c r="M2383" s="6" t="s">
        <v>34</v>
      </c>
      <c r="N2383" s="6"/>
    </row>
    <row r="2384" spans="1:14">
      <c r="A2384" s="6" t="s">
        <v>3894</v>
      </c>
      <c r="B2384" s="7">
        <v>46106</v>
      </c>
      <c r="C2384" s="6" t="s">
        <v>705</v>
      </c>
      <c r="D2384" s="6" t="str">
        <f>IF(OR(PROPER(TRIM(Raw_Data!D2384))="Uk",PROPER(TRIM(Raw_Data!D2384))="Gb",PROPER(TRIM(Raw_Data!D2384))="United kingdom"),"United Kingdom",PROPER(TRIM(Raw_Data!D2384)))</f>
        <v>United Kingdom</v>
      </c>
      <c r="E2384" s="6" t="s">
        <v>37</v>
      </c>
      <c r="F2384" s="6" t="s">
        <v>58</v>
      </c>
      <c r="G2384" s="6" t="str">
        <f>SUBSTITUTE(Raw_Data!G2384,"Ã©","é")</f>
        <v>Merino Base Layer</v>
      </c>
      <c r="H2384" s="6">
        <v>3</v>
      </c>
      <c r="I2384" s="6" t="s">
        <v>79</v>
      </c>
      <c r="J2384" s="6" t="s">
        <v>216</v>
      </c>
      <c r="K2384" s="6">
        <v>0.38</v>
      </c>
      <c r="L2384" s="6" t="s">
        <v>42</v>
      </c>
      <c r="M2384" s="6" t="s">
        <v>69</v>
      </c>
      <c r="N2384" s="6"/>
    </row>
    <row r="2385" spans="1:14">
      <c r="A2385" s="6" t="s">
        <v>3895</v>
      </c>
      <c r="B2385" s="7">
        <v>46131</v>
      </c>
      <c r="C2385" s="6" t="s">
        <v>355</v>
      </c>
      <c r="D2385" s="6" t="str">
        <f>IF(OR(PROPER(TRIM(Raw_Data!D2385))="Uk",PROPER(TRIM(Raw_Data!D2385))="Gb",PROPER(TRIM(Raw_Data!D2385))="United kingdom"),"United Kingdom",PROPER(TRIM(Raw_Data!D2385)))</f>
        <v>United Kingdom</v>
      </c>
      <c r="E2385" s="6" t="s">
        <v>78</v>
      </c>
      <c r="F2385" s="6" t="s">
        <v>47</v>
      </c>
      <c r="G2385" s="6" t="str">
        <f>SUBSTITUTE(Raw_Data!G2385,"Ã©","é")</f>
        <v>Merino Base Layer</v>
      </c>
      <c r="H2385" s="6">
        <v>2</v>
      </c>
      <c r="I2385" s="6" t="s">
        <v>82</v>
      </c>
      <c r="J2385" s="6" t="s">
        <v>297</v>
      </c>
      <c r="K2385" s="6">
        <v>8.5000000000000006E-2</v>
      </c>
      <c r="L2385" s="6" t="s">
        <v>33</v>
      </c>
      <c r="M2385" s="6" t="s">
        <v>34</v>
      </c>
      <c r="N2385" s="6"/>
    </row>
    <row r="2386" spans="1:14">
      <c r="A2386" s="6" t="s">
        <v>3896</v>
      </c>
      <c r="B2386" s="7">
        <v>46118</v>
      </c>
      <c r="C2386" s="6" t="s">
        <v>3897</v>
      </c>
      <c r="D2386" s="6" t="str">
        <f>IF(OR(PROPER(TRIM(Raw_Data!D2386))="Uk",PROPER(TRIM(Raw_Data!D2386))="Gb",PROPER(TRIM(Raw_Data!D2386))="United kingdom"),"United Kingdom",PROPER(TRIM(Raw_Data!D2386)))</f>
        <v>United Kingdom</v>
      </c>
      <c r="E2386" s="6" t="s">
        <v>52</v>
      </c>
      <c r="F2386" s="6" t="s">
        <v>58</v>
      </c>
      <c r="G2386" s="6" t="str">
        <f>SUBSTITUTE(Raw_Data!G2386,"Ã©","é")</f>
        <v>Trekking Poles</v>
      </c>
      <c r="H2386" s="6">
        <v>2</v>
      </c>
      <c r="I2386" s="6" t="s">
        <v>231</v>
      </c>
      <c r="J2386" s="6" t="s">
        <v>232</v>
      </c>
      <c r="K2386" s="6">
        <v>0.38</v>
      </c>
      <c r="L2386" s="6" t="s">
        <v>42</v>
      </c>
      <c r="M2386" s="6" t="s">
        <v>34</v>
      </c>
      <c r="N2386" s="6"/>
    </row>
    <row r="2387" spans="1:14">
      <c r="A2387" s="6" t="s">
        <v>3898</v>
      </c>
      <c r="B2387" s="7">
        <v>46300</v>
      </c>
      <c r="C2387" s="6" t="s">
        <v>3899</v>
      </c>
      <c r="D2387" s="6" t="str">
        <f>IF(OR(PROPER(TRIM(Raw_Data!D2387))="Uk",PROPER(TRIM(Raw_Data!D2387))="Gb",PROPER(TRIM(Raw_Data!D2387))="United kingdom"),"United Kingdom",PROPER(TRIM(Raw_Data!D2387)))</f>
        <v>Ireland</v>
      </c>
      <c r="E2387" s="6" t="s">
        <v>46</v>
      </c>
      <c r="F2387" s="6" t="s">
        <v>85</v>
      </c>
      <c r="G2387" s="6" t="str">
        <f>SUBSTITUTE(Raw_Data!G2387,"Ã©","é")</f>
        <v>Storm Overtrousers</v>
      </c>
      <c r="H2387" s="6">
        <v>1</v>
      </c>
      <c r="I2387" s="6" t="s">
        <v>143</v>
      </c>
      <c r="J2387" s="6" t="s">
        <v>143</v>
      </c>
      <c r="K2387" s="6">
        <v>0.41</v>
      </c>
      <c r="L2387" s="6" t="s">
        <v>42</v>
      </c>
      <c r="M2387" s="6" t="s">
        <v>69</v>
      </c>
      <c r="N2387" s="6"/>
    </row>
    <row r="2388" spans="1:14">
      <c r="A2388" s="6" t="s">
        <v>3900</v>
      </c>
      <c r="B2388" s="7">
        <v>46058</v>
      </c>
      <c r="C2388" s="6" t="s">
        <v>215</v>
      </c>
      <c r="D2388" s="6" t="str">
        <f>IF(OR(PROPER(TRIM(Raw_Data!D2388))="Uk",PROPER(TRIM(Raw_Data!D2388))="Gb",PROPER(TRIM(Raw_Data!D2388))="United kingdom"),"United Kingdom",PROPER(TRIM(Raw_Data!D2388)))</f>
        <v>United Kingdom</v>
      </c>
      <c r="E2388" s="6" t="s">
        <v>37</v>
      </c>
      <c r="F2388" s="6" t="s">
        <v>100</v>
      </c>
      <c r="G2388" s="6" t="str">
        <f>SUBSTITUTE(Raw_Data!G2388,"Ã©","é")</f>
        <v>Fell Runner Cap</v>
      </c>
      <c r="H2388" s="6">
        <v>2</v>
      </c>
      <c r="I2388" s="6" t="s">
        <v>113</v>
      </c>
      <c r="J2388" s="6" t="s">
        <v>192</v>
      </c>
      <c r="K2388" s="6">
        <v>0.64</v>
      </c>
      <c r="L2388" s="6" t="s">
        <v>33</v>
      </c>
      <c r="M2388" s="6" t="s">
        <v>34</v>
      </c>
      <c r="N2388" s="6"/>
    </row>
    <row r="2389" spans="1:14">
      <c r="A2389" s="6" t="s">
        <v>3901</v>
      </c>
      <c r="B2389" s="7">
        <v>46327</v>
      </c>
      <c r="C2389" s="6" t="s">
        <v>494</v>
      </c>
      <c r="D2389" s="6" t="str">
        <f>IF(OR(PROPER(TRIM(Raw_Data!D2389))="Uk",PROPER(TRIM(Raw_Data!D2389))="Gb",PROPER(TRIM(Raw_Data!D2389))="United kingdom"),"United Kingdom",PROPER(TRIM(Raw_Data!D2389)))</f>
        <v>France</v>
      </c>
      <c r="E2389" s="6" t="s">
        <v>46</v>
      </c>
      <c r="F2389" s="6" t="s">
        <v>58</v>
      </c>
      <c r="G2389" s="6" t="str">
        <f>SUBSTITUTE(Raw_Data!G2389,"Ã©","é")</f>
        <v>Alpine Jacket</v>
      </c>
      <c r="H2389" s="6">
        <v>2</v>
      </c>
      <c r="I2389" s="6" t="s">
        <v>79</v>
      </c>
      <c r="J2389" s="6" t="s">
        <v>259</v>
      </c>
      <c r="K2389" s="6">
        <v>0.38</v>
      </c>
      <c r="L2389" s="6" t="s">
        <v>42</v>
      </c>
      <c r="M2389" s="6" t="s">
        <v>69</v>
      </c>
      <c r="N2389" s="6"/>
    </row>
    <row r="2390" spans="1:14">
      <c r="A2390" s="6" t="s">
        <v>3902</v>
      </c>
      <c r="B2390" s="7">
        <v>46176</v>
      </c>
      <c r="C2390" s="6" t="s">
        <v>1202</v>
      </c>
      <c r="D2390" s="6" t="str">
        <f>IF(OR(PROPER(TRIM(Raw_Data!D2390))="Uk",PROPER(TRIM(Raw_Data!D2390))="Gb",PROPER(TRIM(Raw_Data!D2390))="United kingdom"),"United Kingdom",PROPER(TRIM(Raw_Data!D2390)))</f>
        <v>Germany</v>
      </c>
      <c r="E2390" s="6" t="s">
        <v>78</v>
      </c>
      <c r="F2390" s="6" t="s">
        <v>53</v>
      </c>
      <c r="G2390" s="6" t="str">
        <f>SUBSTITUTE(Raw_Data!G2390,"Ã©","é")</f>
        <v>Café Latte Mug</v>
      </c>
      <c r="H2390" s="6">
        <v>2</v>
      </c>
      <c r="I2390" s="6" t="s">
        <v>181</v>
      </c>
      <c r="J2390" s="6" t="s">
        <v>1584</v>
      </c>
      <c r="K2390" s="6">
        <v>0.19</v>
      </c>
      <c r="L2390" s="6" t="s">
        <v>42</v>
      </c>
      <c r="M2390" s="6" t="s">
        <v>69</v>
      </c>
      <c r="N2390" s="6"/>
    </row>
    <row r="2391" spans="1:14">
      <c r="A2391" s="6" t="s">
        <v>3903</v>
      </c>
      <c r="B2391" s="7">
        <v>46125</v>
      </c>
      <c r="C2391" s="6" t="s">
        <v>2613</v>
      </c>
      <c r="D2391" s="6" t="str">
        <f>IF(OR(PROPER(TRIM(Raw_Data!D2391))="Uk",PROPER(TRIM(Raw_Data!D2391))="Gb",PROPER(TRIM(Raw_Data!D2391))="United kingdom"),"United Kingdom",PROPER(TRIM(Raw_Data!D2391)))</f>
        <v>Ireland</v>
      </c>
      <c r="E2391" s="6" t="s">
        <v>52</v>
      </c>
      <c r="F2391" s="6" t="s">
        <v>47</v>
      </c>
      <c r="G2391" s="6" t="str">
        <f>SUBSTITUTE(Raw_Data!G2391,"Ã©","é")</f>
        <v>Trekking Poles</v>
      </c>
      <c r="H2391" s="6">
        <v>2</v>
      </c>
      <c r="I2391" s="6" t="s">
        <v>147</v>
      </c>
      <c r="J2391" s="6" t="s">
        <v>175</v>
      </c>
      <c r="K2391" s="6">
        <v>8.5000000000000006E-2</v>
      </c>
      <c r="L2391" s="6" t="s">
        <v>42</v>
      </c>
      <c r="M2391" s="6" t="s">
        <v>69</v>
      </c>
      <c r="N2391" s="6"/>
    </row>
    <row r="2392" spans="1:14">
      <c r="A2392" s="6" t="s">
        <v>3904</v>
      </c>
      <c r="B2392" s="7">
        <v>46170</v>
      </c>
      <c r="C2392" s="6" t="s">
        <v>3175</v>
      </c>
      <c r="D2392" s="6" t="str">
        <f>IF(OR(PROPER(TRIM(Raw_Data!D2392))="Uk",PROPER(TRIM(Raw_Data!D2392))="Gb",PROPER(TRIM(Raw_Data!D2392))="United kingdom"),"United Kingdom",PROPER(TRIM(Raw_Data!D2392)))</f>
        <v>Ireland</v>
      </c>
      <c r="E2392" s="6" t="s">
        <v>52</v>
      </c>
      <c r="F2392" s="6" t="s">
        <v>53</v>
      </c>
      <c r="G2392" s="6" t="str">
        <f>SUBSTITUTE(Raw_Data!G2392,"Ã©","é")</f>
        <v>Trail Softshell</v>
      </c>
      <c r="H2392" s="6">
        <v>3</v>
      </c>
      <c r="I2392" s="6" t="s">
        <v>90</v>
      </c>
      <c r="J2392" s="6" t="s">
        <v>102</v>
      </c>
      <c r="K2392" s="6">
        <v>0.19</v>
      </c>
      <c r="L2392" s="6" t="s">
        <v>42</v>
      </c>
      <c r="M2392" s="6" t="s">
        <v>34</v>
      </c>
      <c r="N2392" s="6"/>
    </row>
    <row r="2393" spans="1:14">
      <c r="A2393" s="6" t="s">
        <v>3905</v>
      </c>
      <c r="B2393" s="7">
        <v>46192</v>
      </c>
      <c r="C2393" s="6" t="s">
        <v>348</v>
      </c>
      <c r="D2393" s="6" t="str">
        <f>IF(OR(PROPER(TRIM(Raw_Data!D2393))="Uk",PROPER(TRIM(Raw_Data!D2393))="Gb",PROPER(TRIM(Raw_Data!D2393))="United kingdom"),"United Kingdom",PROPER(TRIM(Raw_Data!D2393)))</f>
        <v>United Kingdom</v>
      </c>
      <c r="E2393" s="6" t="s">
        <v>46</v>
      </c>
      <c r="F2393" s="6" t="s">
        <v>47</v>
      </c>
      <c r="G2393" s="6" t="str">
        <f>SUBSTITUTE(Raw_Data!G2393,"Ã©","é")</f>
        <v>Merino Base Layer</v>
      </c>
      <c r="H2393" s="6">
        <v>1</v>
      </c>
      <c r="I2393" s="6" t="s">
        <v>90</v>
      </c>
      <c r="J2393" s="6" t="s">
        <v>90</v>
      </c>
      <c r="K2393" s="6">
        <v>8.5000000000000006E-2</v>
      </c>
      <c r="L2393" s="6" t="s">
        <v>42</v>
      </c>
      <c r="M2393" s="6" t="s">
        <v>34</v>
      </c>
      <c r="N2393" s="6"/>
    </row>
    <row r="2394" spans="1:14">
      <c r="A2394" s="6" t="s">
        <v>3906</v>
      </c>
      <c r="B2394" s="7">
        <v>46200</v>
      </c>
      <c r="C2394" s="6" t="s">
        <v>1581</v>
      </c>
      <c r="D2394" s="6" t="str">
        <f>IF(OR(PROPER(TRIM(Raw_Data!D2394))="Uk",PROPER(TRIM(Raw_Data!D2394))="Gb",PROPER(TRIM(Raw_Data!D2394))="United kingdom"),"United Kingdom",PROPER(TRIM(Raw_Data!D2394)))</f>
        <v>United Kingdom</v>
      </c>
      <c r="E2394" s="6" t="s">
        <v>37</v>
      </c>
      <c r="F2394" s="6" t="s">
        <v>100</v>
      </c>
      <c r="G2394" s="6" t="str">
        <f>SUBSTITUTE(Raw_Data!G2394,"Ã©","é")</f>
        <v>Merino Base Layer</v>
      </c>
      <c r="H2394" s="6">
        <v>1</v>
      </c>
      <c r="I2394" s="6" t="s">
        <v>31</v>
      </c>
      <c r="J2394" s="6" t="s">
        <v>31</v>
      </c>
      <c r="K2394" s="6">
        <v>0.64</v>
      </c>
      <c r="L2394" s="6" t="s">
        <v>42</v>
      </c>
      <c r="M2394" s="6" t="s">
        <v>34</v>
      </c>
      <c r="N2394" s="6"/>
    </row>
    <row r="2395" spans="1:14">
      <c r="A2395" s="6" t="s">
        <v>3907</v>
      </c>
      <c r="B2395" s="7">
        <v>46155</v>
      </c>
      <c r="C2395" s="6" t="s">
        <v>365</v>
      </c>
      <c r="D2395" s="6" t="str">
        <f>IF(OR(PROPER(TRIM(Raw_Data!D2395))="Uk",PROPER(TRIM(Raw_Data!D2395))="Gb",PROPER(TRIM(Raw_Data!D2395))="United kingdom"),"United Kingdom",PROPER(TRIM(Raw_Data!D2395)))</f>
        <v>United Kingdom</v>
      </c>
      <c r="E2395" s="6" t="s">
        <v>52</v>
      </c>
      <c r="F2395" s="6" t="s">
        <v>47</v>
      </c>
      <c r="G2395" s="6" t="str">
        <f>SUBSTITUTE(Raw_Data!G2395,"Ã©","é")</f>
        <v>Fell Runner Cap</v>
      </c>
      <c r="H2395" s="6">
        <v>2</v>
      </c>
      <c r="I2395" s="6" t="s">
        <v>73</v>
      </c>
      <c r="J2395" s="6" t="s">
        <v>74</v>
      </c>
      <c r="K2395" s="6">
        <v>8.5000000000000006E-2</v>
      </c>
      <c r="L2395" s="6" t="s">
        <v>42</v>
      </c>
      <c r="M2395" s="6" t="s">
        <v>69</v>
      </c>
      <c r="N2395" s="6"/>
    </row>
    <row r="2396" spans="1:14">
      <c r="A2396" s="6" t="s">
        <v>3908</v>
      </c>
      <c r="B2396" s="7">
        <v>46110</v>
      </c>
      <c r="C2396" s="6" t="s">
        <v>2385</v>
      </c>
      <c r="D2396" s="6" t="str">
        <f>IF(OR(PROPER(TRIM(Raw_Data!D2396))="Uk",PROPER(TRIM(Raw_Data!D2396))="Gb",PROPER(TRIM(Raw_Data!D2396))="United kingdom"),"United Kingdom",PROPER(TRIM(Raw_Data!D2396)))</f>
        <v>United Kingdom</v>
      </c>
      <c r="E2396" s="6" t="s">
        <v>78</v>
      </c>
      <c r="F2396" s="6" t="s">
        <v>85</v>
      </c>
      <c r="G2396" s="6" t="str">
        <f>SUBSTITUTE(Raw_Data!G2396,"Ã©","é")</f>
        <v>Fell Runner Cap</v>
      </c>
      <c r="H2396" s="6">
        <v>1</v>
      </c>
      <c r="I2396" s="6" t="s">
        <v>769</v>
      </c>
      <c r="J2396" s="6" t="s">
        <v>60</v>
      </c>
      <c r="K2396" s="6">
        <v>0.41</v>
      </c>
      <c r="L2396" s="6" t="s">
        <v>33</v>
      </c>
      <c r="M2396" s="6" t="s">
        <v>34</v>
      </c>
      <c r="N2396" s="6"/>
    </row>
    <row r="2397" spans="1:14">
      <c r="A2397" s="6" t="s">
        <v>3909</v>
      </c>
      <c r="B2397" s="7">
        <v>46085</v>
      </c>
      <c r="C2397" s="6" t="s">
        <v>3910</v>
      </c>
      <c r="D2397" s="6" t="str">
        <f>IF(OR(PROPER(TRIM(Raw_Data!D2397))="Uk",PROPER(TRIM(Raw_Data!D2397))="Gb",PROPER(TRIM(Raw_Data!D2397))="United kingdom"),"United Kingdom",PROPER(TRIM(Raw_Data!D2397)))</f>
        <v>Ireland</v>
      </c>
      <c r="E2397" s="6" t="s">
        <v>28</v>
      </c>
      <c r="F2397" s="6" t="s">
        <v>58</v>
      </c>
      <c r="G2397" s="6" t="str">
        <f>SUBSTITUTE(Raw_Data!G2397,"Ã©","é")</f>
        <v>Trail Softshell</v>
      </c>
      <c r="H2397" s="6">
        <v>2</v>
      </c>
      <c r="I2397" s="6" t="s">
        <v>79</v>
      </c>
      <c r="J2397" s="6" t="s">
        <v>259</v>
      </c>
      <c r="K2397" s="6">
        <v>0.38</v>
      </c>
      <c r="L2397" s="6" t="s">
        <v>42</v>
      </c>
      <c r="M2397" s="6" t="s">
        <v>34</v>
      </c>
      <c r="N2397" s="6"/>
    </row>
    <row r="2398" spans="1:14">
      <c r="A2398" s="6" t="s">
        <v>3911</v>
      </c>
      <c r="B2398" s="7">
        <v>46063</v>
      </c>
      <c r="C2398" s="6" t="s">
        <v>470</v>
      </c>
      <c r="D2398" s="6" t="str">
        <f>IF(OR(PROPER(TRIM(Raw_Data!D2398))="Uk",PROPER(TRIM(Raw_Data!D2398))="Gb",PROPER(TRIM(Raw_Data!D2398))="United kingdom"),"United Kingdom",PROPER(TRIM(Raw_Data!D2398)))</f>
        <v>United Kingdom</v>
      </c>
      <c r="E2398" s="6" t="s">
        <v>52</v>
      </c>
      <c r="F2398" s="6" t="s">
        <v>85</v>
      </c>
      <c r="G2398" s="6" t="str">
        <f>SUBSTITUTE(Raw_Data!G2398,"Ã©","é")</f>
        <v>Trekking Poles</v>
      </c>
      <c r="H2398" s="6">
        <v>2</v>
      </c>
      <c r="I2398" s="6" t="s">
        <v>117</v>
      </c>
      <c r="J2398" s="6" t="s">
        <v>118</v>
      </c>
      <c r="K2398" s="6">
        <v>0.41</v>
      </c>
      <c r="L2398" s="6" t="s">
        <v>42</v>
      </c>
      <c r="M2398" s="6" t="s">
        <v>69</v>
      </c>
      <c r="N2398" s="6"/>
    </row>
    <row r="2399" spans="1:14">
      <c r="A2399" s="6" t="s">
        <v>3912</v>
      </c>
      <c r="B2399" s="7">
        <v>46092</v>
      </c>
      <c r="C2399" s="6" t="s">
        <v>3913</v>
      </c>
      <c r="D2399" s="6" t="str">
        <f>IF(OR(PROPER(TRIM(Raw_Data!D2399))="Uk",PROPER(TRIM(Raw_Data!D2399))="Gb",PROPER(TRIM(Raw_Data!D2399))="United kingdom"),"United Kingdom",PROPER(TRIM(Raw_Data!D2399)))</f>
        <v>United Kingdom</v>
      </c>
      <c r="E2399" s="6" t="s">
        <v>46</v>
      </c>
      <c r="F2399" s="6" t="s">
        <v>58</v>
      </c>
      <c r="G2399" s="6" t="str">
        <f>SUBSTITUTE(Raw_Data!G2399,"Ã©","é")</f>
        <v>Trail Softshell</v>
      </c>
      <c r="H2399" s="6">
        <v>2</v>
      </c>
      <c r="I2399" s="6" t="s">
        <v>181</v>
      </c>
      <c r="J2399" s="6" t="s">
        <v>163</v>
      </c>
      <c r="K2399" s="6">
        <v>0.38</v>
      </c>
      <c r="L2399" s="6" t="s">
        <v>42</v>
      </c>
      <c r="M2399" s="6" t="s">
        <v>34</v>
      </c>
      <c r="N2399" s="6"/>
    </row>
    <row r="2400" spans="1:14">
      <c r="A2400" s="6" t="s">
        <v>3914</v>
      </c>
      <c r="B2400" s="7">
        <v>46029</v>
      </c>
      <c r="C2400" s="6" t="s">
        <v>1053</v>
      </c>
      <c r="D2400" s="6" t="str">
        <f>IF(OR(PROPER(TRIM(Raw_Data!D2400))="Uk",PROPER(TRIM(Raw_Data!D2400))="Gb",PROPER(TRIM(Raw_Data!D2400))="United kingdom"),"United Kingdom",PROPER(TRIM(Raw_Data!D2400)))</f>
        <v>United Kingdom</v>
      </c>
      <c r="E2400" s="6" t="s">
        <v>78</v>
      </c>
      <c r="F2400" s="6" t="s">
        <v>53</v>
      </c>
      <c r="G2400" s="6" t="str">
        <f>SUBSTITUTE(Raw_Data!G2400,"Ã©","é")</f>
        <v>Café Latte Mug</v>
      </c>
      <c r="H2400" s="6">
        <v>1</v>
      </c>
      <c r="I2400" s="6" t="s">
        <v>90</v>
      </c>
      <c r="J2400" s="6" t="s">
        <v>90</v>
      </c>
      <c r="K2400" s="6">
        <v>0.19</v>
      </c>
      <c r="L2400" s="6" t="s">
        <v>42</v>
      </c>
      <c r="M2400" s="6" t="s">
        <v>34</v>
      </c>
      <c r="N2400" s="6"/>
    </row>
    <row r="2401" spans="1:14">
      <c r="A2401" s="6" t="s">
        <v>3915</v>
      </c>
      <c r="B2401" s="7">
        <v>46359</v>
      </c>
      <c r="C2401" s="6" t="s">
        <v>3025</v>
      </c>
      <c r="D2401" s="6" t="str">
        <f>IF(OR(PROPER(TRIM(Raw_Data!D2401))="Uk",PROPER(TRIM(Raw_Data!D2401))="Gb",PROPER(TRIM(Raw_Data!D2401))="United kingdom"),"United Kingdom",PROPER(TRIM(Raw_Data!D2401)))</f>
        <v>United Kingdom</v>
      </c>
      <c r="E2401" s="6" t="s">
        <v>46</v>
      </c>
      <c r="F2401" s="6" t="s">
        <v>29</v>
      </c>
      <c r="G2401" s="6" t="str">
        <f>SUBSTITUTE(Raw_Data!G2401,"Ã©","é")</f>
        <v>Trekking Poles</v>
      </c>
      <c r="H2401" s="6">
        <v>1</v>
      </c>
      <c r="I2401" s="6" t="s">
        <v>143</v>
      </c>
      <c r="J2401" s="6" t="s">
        <v>143</v>
      </c>
      <c r="K2401" s="6">
        <v>0.52</v>
      </c>
      <c r="L2401" s="6" t="s">
        <v>42</v>
      </c>
      <c r="M2401" s="6" t="s">
        <v>34</v>
      </c>
      <c r="N2401" s="6"/>
    </row>
    <row r="2402" spans="1:14">
      <c r="A2402" s="6" t="s">
        <v>3916</v>
      </c>
      <c r="B2402" s="7">
        <v>46122</v>
      </c>
      <c r="C2402" s="6" t="s">
        <v>299</v>
      </c>
      <c r="D2402" s="6" t="str">
        <f>IF(OR(PROPER(TRIM(Raw_Data!D2402))="Uk",PROPER(TRIM(Raw_Data!D2402))="Gb",PROPER(TRIM(Raw_Data!D2402))="United kingdom"),"United Kingdom",PROPER(TRIM(Raw_Data!D2402)))</f>
        <v>United Kingdom</v>
      </c>
      <c r="E2402" s="6" t="s">
        <v>28</v>
      </c>
      <c r="F2402" s="6" t="s">
        <v>85</v>
      </c>
      <c r="G2402" s="6" t="str">
        <f>SUBSTITUTE(Raw_Data!G2402,"Ã©","é")</f>
        <v>Café Latte Mug</v>
      </c>
      <c r="H2402" s="6">
        <v>1</v>
      </c>
      <c r="I2402" s="6" t="s">
        <v>82</v>
      </c>
      <c r="J2402" s="6" t="s">
        <v>82</v>
      </c>
      <c r="K2402" s="6">
        <v>0.41</v>
      </c>
      <c r="L2402" s="6" t="s">
        <v>42</v>
      </c>
      <c r="M2402" s="6" t="s">
        <v>34</v>
      </c>
      <c r="N2402" s="6"/>
    </row>
    <row r="2403" spans="1:14">
      <c r="A2403" s="6" t="s">
        <v>3917</v>
      </c>
      <c r="B2403" s="7">
        <v>46101</v>
      </c>
      <c r="C2403" s="6" t="s">
        <v>799</v>
      </c>
      <c r="D2403" s="6" t="str">
        <f>IF(OR(PROPER(TRIM(Raw_Data!D2403))="Uk",PROPER(TRIM(Raw_Data!D2403))="Gb",PROPER(TRIM(Raw_Data!D2403))="United kingdom"),"United Kingdom",PROPER(TRIM(Raw_Data!D2403)))</f>
        <v>United Kingdom</v>
      </c>
      <c r="E2403" s="6" t="s">
        <v>28</v>
      </c>
      <c r="F2403" s="6" t="s">
        <v>100</v>
      </c>
      <c r="G2403" s="6" t="str">
        <f>SUBSTITUTE(Raw_Data!G2403,"Ã©","é")</f>
        <v>Trail Softshell</v>
      </c>
      <c r="H2403" s="6">
        <v>1</v>
      </c>
      <c r="I2403" s="6" t="s">
        <v>73</v>
      </c>
      <c r="J2403" s="6" t="s">
        <v>73</v>
      </c>
      <c r="K2403" s="6">
        <v>0.64</v>
      </c>
      <c r="L2403" s="6" t="s">
        <v>33</v>
      </c>
      <c r="M2403" s="6" t="s">
        <v>34</v>
      </c>
      <c r="N2403" s="6"/>
    </row>
    <row r="2404" spans="1:14">
      <c r="A2404" s="6" t="s">
        <v>3918</v>
      </c>
      <c r="B2404" s="7">
        <v>46070</v>
      </c>
      <c r="C2404" s="6" t="s">
        <v>2225</v>
      </c>
      <c r="D2404" s="6" t="str">
        <f>IF(OR(PROPER(TRIM(Raw_Data!D2404))="Uk",PROPER(TRIM(Raw_Data!D2404))="Gb",PROPER(TRIM(Raw_Data!D2404))="United kingdom"),"United Kingdom",PROPER(TRIM(Raw_Data!D2404)))</f>
        <v>Ireland</v>
      </c>
      <c r="E2404" s="6" t="s">
        <v>52</v>
      </c>
      <c r="F2404" s="6" t="s">
        <v>94</v>
      </c>
      <c r="G2404" s="6" t="str">
        <f>SUBSTITUTE(Raw_Data!G2404,"Ã©","é")</f>
        <v>Café Latte Mug</v>
      </c>
      <c r="H2404" s="6">
        <v>2</v>
      </c>
      <c r="I2404" s="6" t="s">
        <v>82</v>
      </c>
      <c r="J2404" s="6" t="s">
        <v>297</v>
      </c>
      <c r="K2404" s="6">
        <v>0.34</v>
      </c>
      <c r="L2404" s="6" t="s">
        <v>42</v>
      </c>
      <c r="M2404" s="6" t="s">
        <v>34</v>
      </c>
      <c r="N2404" s="6"/>
    </row>
    <row r="2405" spans="1:14">
      <c r="A2405" s="6" t="s">
        <v>3919</v>
      </c>
      <c r="B2405" s="7">
        <v>46170</v>
      </c>
      <c r="C2405" s="6" t="s">
        <v>752</v>
      </c>
      <c r="D2405" s="6" t="str">
        <f>IF(OR(PROPER(TRIM(Raw_Data!D2405))="Uk",PROPER(TRIM(Raw_Data!D2405))="Gb",PROPER(TRIM(Raw_Data!D2405))="United kingdom"),"United Kingdom",PROPER(TRIM(Raw_Data!D2405)))</f>
        <v>Germany</v>
      </c>
      <c r="E2405" s="6" t="s">
        <v>28</v>
      </c>
      <c r="F2405" s="6" t="s">
        <v>58</v>
      </c>
      <c r="G2405" s="6" t="str">
        <f>SUBSTITUTE(Raw_Data!G2405,"Ã©","é")</f>
        <v>Trail Softshell</v>
      </c>
      <c r="H2405" s="6">
        <v>3</v>
      </c>
      <c r="I2405" s="6" t="s">
        <v>60</v>
      </c>
      <c r="J2405" s="6" t="s">
        <v>268</v>
      </c>
      <c r="K2405" s="6">
        <v>0.38</v>
      </c>
      <c r="L2405" s="6" t="s">
        <v>42</v>
      </c>
      <c r="M2405" s="6" t="s">
        <v>34</v>
      </c>
      <c r="N2405" s="6"/>
    </row>
    <row r="2406" spans="1:14">
      <c r="A2406" s="6" t="s">
        <v>3920</v>
      </c>
      <c r="B2406" s="7">
        <v>46359</v>
      </c>
      <c r="C2406" s="6" t="s">
        <v>542</v>
      </c>
      <c r="D2406" s="6" t="str">
        <f>IF(OR(PROPER(TRIM(Raw_Data!D2406))="Uk",PROPER(TRIM(Raw_Data!D2406))="Gb",PROPER(TRIM(Raw_Data!D2406))="United kingdom"),"United Kingdom",PROPER(TRIM(Raw_Data!D2406)))</f>
        <v>United Kingdom</v>
      </c>
      <c r="E2406" s="6" t="s">
        <v>37</v>
      </c>
      <c r="F2406" s="6" t="s">
        <v>100</v>
      </c>
      <c r="G2406" s="6" t="str">
        <f>SUBSTITUTE(Raw_Data!G2406,"Ã©","é")</f>
        <v>Alpine Jacket</v>
      </c>
      <c r="H2406" s="6">
        <v>1</v>
      </c>
      <c r="I2406" s="6" t="s">
        <v>113</v>
      </c>
      <c r="J2406" s="6" t="s">
        <v>113</v>
      </c>
      <c r="K2406" s="6">
        <v>0.64</v>
      </c>
      <c r="L2406" s="6" t="s">
        <v>33</v>
      </c>
      <c r="M2406" s="6" t="s">
        <v>34</v>
      </c>
      <c r="N2406" s="6"/>
    </row>
    <row r="2407" spans="1:14">
      <c r="A2407" s="6" t="s">
        <v>3921</v>
      </c>
      <c r="B2407" s="7">
        <v>46101</v>
      </c>
      <c r="C2407" s="6" t="s">
        <v>1608</v>
      </c>
      <c r="D2407" s="6" t="str">
        <f>IF(OR(PROPER(TRIM(Raw_Data!D2407))="Uk",PROPER(TRIM(Raw_Data!D2407))="Gb",PROPER(TRIM(Raw_Data!D2407))="United kingdom"),"United Kingdom",PROPER(TRIM(Raw_Data!D2407)))</f>
        <v>Ireland</v>
      </c>
      <c r="E2407" s="6" t="s">
        <v>46</v>
      </c>
      <c r="F2407" s="6" t="s">
        <v>38</v>
      </c>
      <c r="G2407" s="6" t="str">
        <f>SUBSTITUTE(Raw_Data!G2407,"Ã©","é")</f>
        <v>Summit Down Gilet</v>
      </c>
      <c r="H2407" s="6">
        <v>1</v>
      </c>
      <c r="I2407" s="6" t="s">
        <v>181</v>
      </c>
      <c r="J2407" s="6" t="s">
        <v>181</v>
      </c>
      <c r="K2407" s="6">
        <v>0.52</v>
      </c>
      <c r="L2407" s="6" t="s">
        <v>42</v>
      </c>
      <c r="M2407" s="6" t="s">
        <v>34</v>
      </c>
      <c r="N2407" s="6"/>
    </row>
    <row r="2408" spans="1:14">
      <c r="A2408" s="6" t="s">
        <v>3922</v>
      </c>
      <c r="B2408" s="7">
        <v>46179</v>
      </c>
      <c r="C2408" s="6" t="s">
        <v>3923</v>
      </c>
      <c r="D2408" s="6" t="str">
        <f>IF(OR(PROPER(TRIM(Raw_Data!D2408))="Uk",PROPER(TRIM(Raw_Data!D2408))="Gb",PROPER(TRIM(Raw_Data!D2408))="United kingdom"),"United Kingdom",PROPER(TRIM(Raw_Data!D2408)))</f>
        <v>Ireland</v>
      </c>
      <c r="E2408" s="6" t="s">
        <v>28</v>
      </c>
      <c r="F2408" s="6" t="s">
        <v>38</v>
      </c>
      <c r="G2408" s="6" t="str">
        <f>SUBSTITUTE(Raw_Data!G2408,"Ã©","é")</f>
        <v>Summit Down Gilet</v>
      </c>
      <c r="H2408" s="6">
        <v>3</v>
      </c>
      <c r="I2408" s="6" t="s">
        <v>265</v>
      </c>
      <c r="J2408" s="6" t="s">
        <v>401</v>
      </c>
      <c r="K2408" s="6">
        <v>0.52</v>
      </c>
      <c r="L2408" s="6" t="s">
        <v>42</v>
      </c>
      <c r="M2408" s="6" t="s">
        <v>34</v>
      </c>
      <c r="N2408" s="6"/>
    </row>
    <row r="2409" spans="1:14">
      <c r="A2409" s="6" t="s">
        <v>3924</v>
      </c>
      <c r="B2409" s="7">
        <v>46067</v>
      </c>
      <c r="C2409" s="6" t="s">
        <v>1568</v>
      </c>
      <c r="D2409" s="6" t="str">
        <f>IF(OR(PROPER(TRIM(Raw_Data!D2409))="Uk",PROPER(TRIM(Raw_Data!D2409))="Gb",PROPER(TRIM(Raw_Data!D2409))="United kingdom"),"United Kingdom",PROPER(TRIM(Raw_Data!D2409)))</f>
        <v>United Kingdom</v>
      </c>
      <c r="E2409" s="6" t="s">
        <v>28</v>
      </c>
      <c r="F2409" s="6" t="s">
        <v>38</v>
      </c>
      <c r="G2409" s="6" t="str">
        <f>SUBSTITUTE(Raw_Data!G2409,"Ã©","é")</f>
        <v>Trail Softshell</v>
      </c>
      <c r="H2409" s="6">
        <v>2</v>
      </c>
      <c r="I2409" s="6" t="s">
        <v>2954</v>
      </c>
      <c r="J2409" s="6" t="s">
        <v>249</v>
      </c>
      <c r="K2409" s="6">
        <v>0.52</v>
      </c>
      <c r="L2409" s="6" t="s">
        <v>42</v>
      </c>
      <c r="M2409" s="6" t="s">
        <v>34</v>
      </c>
      <c r="N2409" s="6"/>
    </row>
    <row r="2410" spans="1:14">
      <c r="A2410" s="6" t="s">
        <v>3925</v>
      </c>
      <c r="B2410" s="7">
        <v>46177</v>
      </c>
      <c r="C2410" s="6" t="s">
        <v>3926</v>
      </c>
      <c r="D2410" s="6" t="str">
        <f>IF(OR(PROPER(TRIM(Raw_Data!D2410))="Uk",PROPER(TRIM(Raw_Data!D2410))="Gb",PROPER(TRIM(Raw_Data!D2410))="United kingdom"),"United Kingdom",PROPER(TRIM(Raw_Data!D2410)))</f>
        <v>Ireland</v>
      </c>
      <c r="E2410" s="6" t="s">
        <v>28</v>
      </c>
      <c r="F2410" s="6" t="s">
        <v>100</v>
      </c>
      <c r="G2410" s="6" t="str">
        <f>SUBSTITUTE(Raw_Data!G2410,"Ã©","é")</f>
        <v>Trekking Poles</v>
      </c>
      <c r="H2410" s="6">
        <v>1</v>
      </c>
      <c r="I2410" s="6" t="s">
        <v>90</v>
      </c>
      <c r="J2410" s="6" t="s">
        <v>90</v>
      </c>
      <c r="K2410" s="6">
        <v>0.64</v>
      </c>
      <c r="L2410" s="6" t="s">
        <v>42</v>
      </c>
      <c r="M2410" s="6" t="s">
        <v>34</v>
      </c>
      <c r="N2410" s="6"/>
    </row>
    <row r="2411" spans="1:14">
      <c r="A2411" s="6" t="s">
        <v>3927</v>
      </c>
      <c r="B2411" s="7">
        <v>46050</v>
      </c>
      <c r="C2411" s="6" t="s">
        <v>3928</v>
      </c>
      <c r="D2411" s="6" t="str">
        <f>IF(OR(PROPER(TRIM(Raw_Data!D2411))="Uk",PROPER(TRIM(Raw_Data!D2411))="Gb",PROPER(TRIM(Raw_Data!D2411))="United kingdom"),"United Kingdom",PROPER(TRIM(Raw_Data!D2411)))</f>
        <v>Ireland</v>
      </c>
      <c r="E2411" s="6" t="s">
        <v>28</v>
      </c>
      <c r="F2411" s="6" t="s">
        <v>94</v>
      </c>
      <c r="G2411" s="6" t="str">
        <f>SUBSTITUTE(Raw_Data!G2411,"Ã©","é")</f>
        <v>Café Latte Mug</v>
      </c>
      <c r="H2411" s="6">
        <v>1</v>
      </c>
      <c r="I2411" s="6" t="s">
        <v>31</v>
      </c>
      <c r="J2411" s="6" t="s">
        <v>31</v>
      </c>
      <c r="K2411" s="6">
        <v>0.34</v>
      </c>
      <c r="L2411" s="6" t="s">
        <v>42</v>
      </c>
      <c r="M2411" s="6" t="s">
        <v>34</v>
      </c>
      <c r="N2411" s="6"/>
    </row>
    <row r="2412" spans="1:14">
      <c r="A2412" s="6" t="s">
        <v>3929</v>
      </c>
      <c r="B2412" s="7">
        <v>46235</v>
      </c>
      <c r="C2412" s="6" t="s">
        <v>524</v>
      </c>
      <c r="D2412" s="6" t="str">
        <f>IF(OR(PROPER(TRIM(Raw_Data!D2412))="Uk",PROPER(TRIM(Raw_Data!D2412))="Gb",PROPER(TRIM(Raw_Data!D2412))="United kingdom"),"United Kingdom",PROPER(TRIM(Raw_Data!D2412)))</f>
        <v>United Kingdom</v>
      </c>
      <c r="E2412" s="6" t="s">
        <v>78</v>
      </c>
      <c r="F2412" s="6" t="s">
        <v>38</v>
      </c>
      <c r="G2412" s="6" t="str">
        <f>SUBSTITUTE(Raw_Data!G2412,"Ã©","é")</f>
        <v>Fell Runner Cap</v>
      </c>
      <c r="H2412" s="6">
        <v>2</v>
      </c>
      <c r="I2412" s="6" t="s">
        <v>231</v>
      </c>
      <c r="J2412" s="6" t="s">
        <v>232</v>
      </c>
      <c r="K2412" s="6">
        <v>0.52</v>
      </c>
      <c r="L2412" s="6" t="s">
        <v>33</v>
      </c>
      <c r="M2412" s="6" t="s">
        <v>34</v>
      </c>
      <c r="N2412" s="6"/>
    </row>
    <row r="2413" spans="1:14">
      <c r="A2413" s="6" t="s">
        <v>3930</v>
      </c>
      <c r="B2413" s="7">
        <v>46175</v>
      </c>
      <c r="C2413" s="6" t="s">
        <v>2615</v>
      </c>
      <c r="D2413" s="6" t="str">
        <f>IF(OR(PROPER(TRIM(Raw_Data!D2413))="Uk",PROPER(TRIM(Raw_Data!D2413))="Gb",PROPER(TRIM(Raw_Data!D2413))="United kingdom"),"United Kingdom",PROPER(TRIM(Raw_Data!D2413)))</f>
        <v>Germany</v>
      </c>
      <c r="E2413" s="6" t="s">
        <v>52</v>
      </c>
      <c r="F2413" s="6" t="s">
        <v>29</v>
      </c>
      <c r="G2413" s="6" t="str">
        <f>SUBSTITUTE(Raw_Data!G2413,"Ã©","é")</f>
        <v>Trekking Poles</v>
      </c>
      <c r="H2413" s="6">
        <v>1</v>
      </c>
      <c r="I2413" s="6" t="s">
        <v>31</v>
      </c>
      <c r="J2413" s="6" t="s">
        <v>31</v>
      </c>
      <c r="K2413" s="6">
        <v>0.52</v>
      </c>
      <c r="L2413" s="6" t="s">
        <v>42</v>
      </c>
      <c r="M2413" s="6" t="s">
        <v>34</v>
      </c>
      <c r="N2413" s="6"/>
    </row>
    <row r="2414" spans="1:14">
      <c r="A2414" s="6" t="s">
        <v>3931</v>
      </c>
      <c r="B2414" s="7">
        <v>46358</v>
      </c>
      <c r="C2414" s="6" t="s">
        <v>2994</v>
      </c>
      <c r="D2414" s="6" t="str">
        <f>IF(OR(PROPER(TRIM(Raw_Data!D2414))="Uk",PROPER(TRIM(Raw_Data!D2414))="Gb",PROPER(TRIM(Raw_Data!D2414))="United kingdom"),"United Kingdom",PROPER(TRIM(Raw_Data!D2414)))</f>
        <v>United Kingdom</v>
      </c>
      <c r="E2414" s="6" t="s">
        <v>78</v>
      </c>
      <c r="F2414" s="6" t="s">
        <v>58</v>
      </c>
      <c r="G2414" s="6" t="str">
        <f>SUBSTITUTE(Raw_Data!G2414,"Ã©","é")</f>
        <v>Trekking Poles</v>
      </c>
      <c r="H2414" s="6">
        <v>1</v>
      </c>
      <c r="I2414" s="6" t="s">
        <v>117</v>
      </c>
      <c r="J2414" s="6" t="s">
        <v>117</v>
      </c>
      <c r="K2414" s="6">
        <v>0.38</v>
      </c>
      <c r="L2414" s="6" t="s">
        <v>42</v>
      </c>
      <c r="M2414" s="6" t="s">
        <v>34</v>
      </c>
      <c r="N2414" s="6"/>
    </row>
    <row r="2415" spans="1:14">
      <c r="A2415" s="6" t="s">
        <v>3932</v>
      </c>
      <c r="B2415" s="7">
        <v>46076</v>
      </c>
      <c r="C2415" s="6" t="s">
        <v>1511</v>
      </c>
      <c r="D2415" s="6" t="str">
        <f>IF(OR(PROPER(TRIM(Raw_Data!D2415))="Uk",PROPER(TRIM(Raw_Data!D2415))="Gb",PROPER(TRIM(Raw_Data!D2415))="United kingdom"),"United Kingdom",PROPER(TRIM(Raw_Data!D2415)))</f>
        <v>United Kingdom</v>
      </c>
      <c r="E2415" s="6" t="s">
        <v>37</v>
      </c>
      <c r="F2415" s="6" t="s">
        <v>53</v>
      </c>
      <c r="G2415" s="6" t="str">
        <f>SUBSTITUTE(Raw_Data!G2415,"Ã©","é")</f>
        <v>Summit Down Gilet</v>
      </c>
      <c r="H2415" s="6">
        <v>1</v>
      </c>
      <c r="I2415" s="6" t="s">
        <v>117</v>
      </c>
      <c r="J2415" s="6" t="s">
        <v>117</v>
      </c>
      <c r="K2415" s="6">
        <v>0.19</v>
      </c>
      <c r="L2415" s="6" t="s">
        <v>42</v>
      </c>
      <c r="M2415" s="6" t="s">
        <v>34</v>
      </c>
      <c r="N2415" s="6"/>
    </row>
    <row r="2416" spans="1:14">
      <c r="A2416" s="6" t="s">
        <v>3933</v>
      </c>
      <c r="B2416" s="7">
        <v>46055</v>
      </c>
      <c r="C2416" s="6" t="s">
        <v>2919</v>
      </c>
      <c r="D2416" s="6" t="str">
        <f>IF(OR(PROPER(TRIM(Raw_Data!D2416))="Uk",PROPER(TRIM(Raw_Data!D2416))="Gb",PROPER(TRIM(Raw_Data!D2416))="United kingdom"),"United Kingdom",PROPER(TRIM(Raw_Data!D2416)))</f>
        <v>United Kingdom</v>
      </c>
      <c r="E2416" s="6" t="s">
        <v>78</v>
      </c>
      <c r="F2416" s="6" t="s">
        <v>85</v>
      </c>
      <c r="G2416" s="6" t="str">
        <f>SUBSTITUTE(Raw_Data!G2416,"Ã©","é")</f>
        <v>Fell Runner Cap</v>
      </c>
      <c r="H2416" s="6">
        <v>2</v>
      </c>
      <c r="I2416" s="6" t="s">
        <v>143</v>
      </c>
      <c r="J2416" s="6" t="s">
        <v>144</v>
      </c>
      <c r="K2416" s="6">
        <v>0.41</v>
      </c>
      <c r="L2416" s="6" t="s">
        <v>42</v>
      </c>
      <c r="M2416" s="6" t="s">
        <v>69</v>
      </c>
      <c r="N2416" s="6"/>
    </row>
    <row r="2417" spans="1:14">
      <c r="A2417" s="6" t="s">
        <v>3934</v>
      </c>
      <c r="B2417" s="7">
        <v>46038</v>
      </c>
      <c r="C2417" s="6" t="s">
        <v>2341</v>
      </c>
      <c r="D2417" s="6" t="str">
        <f>IF(OR(PROPER(TRIM(Raw_Data!D2417))="Uk",PROPER(TRIM(Raw_Data!D2417))="Gb",PROPER(TRIM(Raw_Data!D2417))="United kingdom"),"United Kingdom",PROPER(TRIM(Raw_Data!D2417)))</f>
        <v>Ireland</v>
      </c>
      <c r="E2417" s="6" t="s">
        <v>46</v>
      </c>
      <c r="F2417" s="6" t="s">
        <v>29</v>
      </c>
      <c r="G2417" s="6" t="str">
        <f>SUBSTITUTE(Raw_Data!G2417,"Ã©","é")</f>
        <v>Summit Down Gilet</v>
      </c>
      <c r="H2417" s="6">
        <v>2</v>
      </c>
      <c r="I2417" s="6" t="s">
        <v>60</v>
      </c>
      <c r="J2417" s="6" t="s">
        <v>189</v>
      </c>
      <c r="K2417" s="6">
        <v>0.52</v>
      </c>
      <c r="L2417" s="6" t="s">
        <v>42</v>
      </c>
      <c r="M2417" s="6" t="s">
        <v>34</v>
      </c>
      <c r="N2417" s="6"/>
    </row>
    <row r="2418" spans="1:14">
      <c r="A2418" s="6" t="s">
        <v>3935</v>
      </c>
      <c r="B2418" s="7">
        <v>46199</v>
      </c>
      <c r="C2418" s="6" t="s">
        <v>1951</v>
      </c>
      <c r="D2418" s="6" t="str">
        <f>IF(OR(PROPER(TRIM(Raw_Data!D2418))="Uk",PROPER(TRIM(Raw_Data!D2418))="Gb",PROPER(TRIM(Raw_Data!D2418))="United kingdom"),"United Kingdom",PROPER(TRIM(Raw_Data!D2418)))</f>
        <v>United Kingdom</v>
      </c>
      <c r="E2418" s="6" t="s">
        <v>28</v>
      </c>
      <c r="F2418" s="6" t="s">
        <v>29</v>
      </c>
      <c r="G2418" s="6" t="str">
        <f>SUBSTITUTE(Raw_Data!G2418,"Ã©","é")</f>
        <v>Storm Overtrousers</v>
      </c>
      <c r="H2418" s="6">
        <v>1</v>
      </c>
      <c r="I2418" s="6" t="s">
        <v>117</v>
      </c>
      <c r="J2418" s="6" t="s">
        <v>117</v>
      </c>
      <c r="K2418" s="6">
        <v>0.52</v>
      </c>
      <c r="L2418" s="6" t="s">
        <v>42</v>
      </c>
      <c r="M2418" s="6" t="s">
        <v>34</v>
      </c>
      <c r="N2418" s="6"/>
    </row>
    <row r="2419" spans="1:14">
      <c r="A2419" s="6" t="s">
        <v>3936</v>
      </c>
      <c r="B2419" s="7">
        <v>46301</v>
      </c>
      <c r="C2419" s="6" t="s">
        <v>3937</v>
      </c>
      <c r="D2419" s="6" t="str">
        <f>IF(OR(PROPER(TRIM(Raw_Data!D2419))="Uk",PROPER(TRIM(Raw_Data!D2419))="Gb",PROPER(TRIM(Raw_Data!D2419))="United kingdom"),"United Kingdom",PROPER(TRIM(Raw_Data!D2419)))</f>
        <v>Germany</v>
      </c>
      <c r="E2419" s="6" t="s">
        <v>78</v>
      </c>
      <c r="F2419" s="6" t="s">
        <v>47</v>
      </c>
      <c r="G2419" s="6" t="str">
        <f>SUBSTITUTE(Raw_Data!G2419,"Ã©","é")</f>
        <v>Alpine Jacket</v>
      </c>
      <c r="H2419" s="6">
        <v>2</v>
      </c>
      <c r="I2419" s="6" t="s">
        <v>143</v>
      </c>
      <c r="J2419" s="6" t="s">
        <v>144</v>
      </c>
      <c r="K2419" s="6">
        <v>8.5000000000000006E-2</v>
      </c>
      <c r="L2419" s="6" t="s">
        <v>42</v>
      </c>
      <c r="M2419" s="6" t="s">
        <v>69</v>
      </c>
      <c r="N2419" s="6"/>
    </row>
    <row r="2420" spans="1:14">
      <c r="A2420" s="6" t="s">
        <v>3938</v>
      </c>
      <c r="B2420" s="7">
        <v>46079</v>
      </c>
      <c r="C2420" s="6" t="s">
        <v>3939</v>
      </c>
      <c r="D2420" s="6" t="str">
        <f>IF(OR(PROPER(TRIM(Raw_Data!D2420))="Uk",PROPER(TRIM(Raw_Data!D2420))="Gb",PROPER(TRIM(Raw_Data!D2420))="United kingdom"),"United Kingdom",PROPER(TRIM(Raw_Data!D2420)))</f>
        <v>United Kingdom</v>
      </c>
      <c r="E2420" s="6" t="s">
        <v>28</v>
      </c>
      <c r="F2420" s="6" t="s">
        <v>100</v>
      </c>
      <c r="G2420" s="6" t="str">
        <f>SUBSTITUTE(Raw_Data!G2420,"Ã©","é")</f>
        <v>Summit Down Gilet</v>
      </c>
      <c r="H2420" s="6">
        <v>1</v>
      </c>
      <c r="I2420" s="6" t="s">
        <v>67</v>
      </c>
      <c r="J2420" s="6" t="s">
        <v>67</v>
      </c>
      <c r="K2420" s="6">
        <v>0.64</v>
      </c>
      <c r="L2420" s="6" t="s">
        <v>42</v>
      </c>
      <c r="M2420" s="6" t="s">
        <v>34</v>
      </c>
      <c r="N2420" s="6"/>
    </row>
    <row r="2421" spans="1:14">
      <c r="A2421" s="6" t="s">
        <v>3940</v>
      </c>
      <c r="B2421" s="7">
        <v>46207</v>
      </c>
      <c r="C2421" s="6" t="s">
        <v>1575</v>
      </c>
      <c r="D2421" s="6" t="str">
        <f>IF(OR(PROPER(TRIM(Raw_Data!D2421))="Uk",PROPER(TRIM(Raw_Data!D2421))="Gb",PROPER(TRIM(Raw_Data!D2421))="United kingdom"),"United Kingdom",PROPER(TRIM(Raw_Data!D2421)))</f>
        <v>United Kingdom</v>
      </c>
      <c r="E2421" s="6" t="s">
        <v>28</v>
      </c>
      <c r="F2421" s="6" t="s">
        <v>29</v>
      </c>
      <c r="G2421" s="6" t="str">
        <f>SUBSTITUTE(Raw_Data!G2421,"Ã©","é")</f>
        <v>Merino Base Layer</v>
      </c>
      <c r="H2421" s="6">
        <v>2</v>
      </c>
      <c r="I2421" s="6" t="s">
        <v>117</v>
      </c>
      <c r="J2421" s="6" t="s">
        <v>118</v>
      </c>
      <c r="K2421" s="6">
        <v>0.52</v>
      </c>
      <c r="L2421" s="6" t="s">
        <v>42</v>
      </c>
      <c r="M2421" s="6" t="s">
        <v>34</v>
      </c>
      <c r="N2421" s="6"/>
    </row>
    <row r="2422" spans="1:14">
      <c r="A2422" s="6" t="s">
        <v>3941</v>
      </c>
      <c r="B2422" s="7">
        <v>46126</v>
      </c>
      <c r="C2422" s="6" t="s">
        <v>3942</v>
      </c>
      <c r="D2422" s="6" t="str">
        <f>IF(OR(PROPER(TRIM(Raw_Data!D2422))="Uk",PROPER(TRIM(Raw_Data!D2422))="Gb",PROPER(TRIM(Raw_Data!D2422))="United kingdom"),"United Kingdom",PROPER(TRIM(Raw_Data!D2422)))</f>
        <v>United Kingdom</v>
      </c>
      <c r="E2422" s="6" t="s">
        <v>28</v>
      </c>
      <c r="F2422" s="6" t="s">
        <v>100</v>
      </c>
      <c r="G2422" s="6" t="str">
        <f>SUBSTITUTE(Raw_Data!G2422,"Ã©","é")</f>
        <v>Fell Runner Cap</v>
      </c>
      <c r="H2422" s="6">
        <v>1</v>
      </c>
      <c r="I2422" s="6" t="s">
        <v>90</v>
      </c>
      <c r="J2422" s="6" t="s">
        <v>90</v>
      </c>
      <c r="K2422" s="6">
        <v>0.64</v>
      </c>
      <c r="L2422" s="6" t="s">
        <v>42</v>
      </c>
      <c r="M2422" s="6" t="s">
        <v>34</v>
      </c>
      <c r="N2422" s="6"/>
    </row>
    <row r="2423" spans="1:14">
      <c r="A2423" s="6" t="s">
        <v>3943</v>
      </c>
      <c r="B2423" s="7">
        <v>46081</v>
      </c>
      <c r="C2423" s="6" t="s">
        <v>869</v>
      </c>
      <c r="D2423" s="6" t="str">
        <f>IF(OR(PROPER(TRIM(Raw_Data!D2423))="Uk",PROPER(TRIM(Raw_Data!D2423))="Gb",PROPER(TRIM(Raw_Data!D2423))="United kingdom"),"United Kingdom",PROPER(TRIM(Raw_Data!D2423)))</f>
        <v>Ireland</v>
      </c>
      <c r="E2423" s="6" t="s">
        <v>37</v>
      </c>
      <c r="F2423" s="6" t="s">
        <v>29</v>
      </c>
      <c r="G2423" s="6" t="str">
        <f>SUBSTITUTE(Raw_Data!G2423,"Ã©","é")</f>
        <v>Merino Base Layer</v>
      </c>
      <c r="H2423" s="6">
        <v>2</v>
      </c>
      <c r="I2423" s="6" t="s">
        <v>90</v>
      </c>
      <c r="J2423" s="6" t="s">
        <v>154</v>
      </c>
      <c r="K2423" s="6">
        <v>0.52</v>
      </c>
      <c r="L2423" s="6" t="s">
        <v>42</v>
      </c>
      <c r="M2423" s="6" t="s">
        <v>69</v>
      </c>
      <c r="N2423" s="6"/>
    </row>
    <row r="2424" spans="1:14">
      <c r="A2424" s="6" t="s">
        <v>3944</v>
      </c>
      <c r="B2424" s="7">
        <v>46117</v>
      </c>
      <c r="C2424" s="6" t="s">
        <v>3571</v>
      </c>
      <c r="D2424" s="6" t="str">
        <f>IF(OR(PROPER(TRIM(Raw_Data!D2424))="Uk",PROPER(TRIM(Raw_Data!D2424))="Gb",PROPER(TRIM(Raw_Data!D2424))="United kingdom"),"United Kingdom",PROPER(TRIM(Raw_Data!D2424)))</f>
        <v>Ireland</v>
      </c>
      <c r="E2424" s="6" t="s">
        <v>78</v>
      </c>
      <c r="F2424" s="6" t="s">
        <v>38</v>
      </c>
      <c r="G2424" s="6" t="str">
        <f>SUBSTITUTE(Raw_Data!G2424,"Ã©","é")</f>
        <v>Fell Runner Cap</v>
      </c>
      <c r="H2424" s="6">
        <v>1</v>
      </c>
      <c r="I2424" s="6" t="s">
        <v>96</v>
      </c>
      <c r="J2424" s="6" t="s">
        <v>96</v>
      </c>
      <c r="K2424" s="6">
        <v>0.52</v>
      </c>
      <c r="L2424" s="6" t="s">
        <v>42</v>
      </c>
      <c r="M2424" s="6" t="s">
        <v>34</v>
      </c>
      <c r="N2424" s="6"/>
    </row>
    <row r="2425" spans="1:14">
      <c r="A2425" s="6" t="s">
        <v>3945</v>
      </c>
      <c r="B2425" s="7">
        <v>46066</v>
      </c>
      <c r="C2425" s="6" t="s">
        <v>1870</v>
      </c>
      <c r="D2425" s="6" t="str">
        <f>IF(OR(PROPER(TRIM(Raw_Data!D2425))="Uk",PROPER(TRIM(Raw_Data!D2425))="Gb",PROPER(TRIM(Raw_Data!D2425))="United kingdom"),"United Kingdom",PROPER(TRIM(Raw_Data!D2425)))</f>
        <v>United Kingdom</v>
      </c>
      <c r="E2425" s="6" t="s">
        <v>78</v>
      </c>
      <c r="F2425" s="6" t="s">
        <v>47</v>
      </c>
      <c r="G2425" s="6" t="str">
        <f>SUBSTITUTE(Raw_Data!G2425,"Ã©","é")</f>
        <v>Alpine Jacket</v>
      </c>
      <c r="H2425" s="6">
        <v>1</v>
      </c>
      <c r="I2425" s="6" t="s">
        <v>96</v>
      </c>
      <c r="J2425" s="6" t="s">
        <v>96</v>
      </c>
      <c r="K2425" s="6">
        <v>8.5000000000000006E-2</v>
      </c>
      <c r="L2425" s="6" t="s">
        <v>42</v>
      </c>
      <c r="M2425" s="6" t="s">
        <v>34</v>
      </c>
      <c r="N2425" s="6"/>
    </row>
    <row r="2426" spans="1:14">
      <c r="A2426" s="6" t="s">
        <v>3946</v>
      </c>
      <c r="B2426" s="7">
        <v>46328</v>
      </c>
      <c r="C2426" s="6" t="s">
        <v>3947</v>
      </c>
      <c r="D2426" s="6" t="str">
        <f>IF(OR(PROPER(TRIM(Raw_Data!D2426))="Uk",PROPER(TRIM(Raw_Data!D2426))="Gb",PROPER(TRIM(Raw_Data!D2426))="United kingdom"),"United Kingdom",PROPER(TRIM(Raw_Data!D2426)))</f>
        <v>United Kingdom</v>
      </c>
      <c r="E2426" s="6" t="s">
        <v>28</v>
      </c>
      <c r="F2426" s="6" t="s">
        <v>85</v>
      </c>
      <c r="G2426" s="6" t="str">
        <f>SUBSTITUTE(Raw_Data!G2426,"Ã©","é")</f>
        <v>Fell Runner Cap</v>
      </c>
      <c r="H2426" s="6">
        <v>2</v>
      </c>
      <c r="I2426" s="6" t="s">
        <v>82</v>
      </c>
      <c r="J2426" s="6" t="s">
        <v>297</v>
      </c>
      <c r="K2426" s="6">
        <v>0.41</v>
      </c>
      <c r="L2426" s="6" t="s">
        <v>42</v>
      </c>
      <c r="M2426" s="6" t="s">
        <v>34</v>
      </c>
      <c r="N2426" s="6"/>
    </row>
    <row r="2427" spans="1:14">
      <c r="A2427" s="6" t="s">
        <v>3948</v>
      </c>
      <c r="B2427" s="7">
        <v>46198</v>
      </c>
      <c r="C2427" s="6" t="s">
        <v>735</v>
      </c>
      <c r="D2427" s="6" t="str">
        <f>IF(OR(PROPER(TRIM(Raw_Data!D2427))="Uk",PROPER(TRIM(Raw_Data!D2427))="Gb",PROPER(TRIM(Raw_Data!D2427))="United kingdom"),"United Kingdom",PROPER(TRIM(Raw_Data!D2427)))</f>
        <v>Ireland</v>
      </c>
      <c r="E2427" s="6" t="s">
        <v>28</v>
      </c>
      <c r="F2427" s="6" t="s">
        <v>100</v>
      </c>
      <c r="G2427" s="6" t="str">
        <f>SUBSTITUTE(Raw_Data!G2427,"Ã©","é")</f>
        <v>Storm Overtrousers</v>
      </c>
      <c r="H2427" s="6">
        <v>3</v>
      </c>
      <c r="I2427" s="6" t="s">
        <v>79</v>
      </c>
      <c r="J2427" s="6" t="s">
        <v>216</v>
      </c>
      <c r="K2427" s="6">
        <v>0.64</v>
      </c>
      <c r="L2427" s="6" t="s">
        <v>42</v>
      </c>
      <c r="M2427" s="6" t="s">
        <v>34</v>
      </c>
      <c r="N2427" s="6"/>
    </row>
    <row r="2428" spans="1:14">
      <c r="A2428" s="6" t="s">
        <v>3949</v>
      </c>
      <c r="B2428" s="7">
        <v>46329</v>
      </c>
      <c r="C2428" s="6" t="s">
        <v>2463</v>
      </c>
      <c r="D2428" s="6" t="str">
        <f>IF(OR(PROPER(TRIM(Raw_Data!D2428))="Uk",PROPER(TRIM(Raw_Data!D2428))="Gb",PROPER(TRIM(Raw_Data!D2428))="United kingdom"),"United Kingdom",PROPER(TRIM(Raw_Data!D2428)))</f>
        <v>United Kingdom</v>
      </c>
      <c r="E2428" s="6" t="s">
        <v>28</v>
      </c>
      <c r="F2428" s="6" t="s">
        <v>94</v>
      </c>
      <c r="G2428" s="6" t="str">
        <f>SUBSTITUTE(Raw_Data!G2428,"Ã©","é")</f>
        <v>Summit Down Gilet</v>
      </c>
      <c r="H2428" s="6">
        <v>3</v>
      </c>
      <c r="I2428" s="6" t="s">
        <v>143</v>
      </c>
      <c r="J2428" s="6" t="s">
        <v>243</v>
      </c>
      <c r="K2428" s="6">
        <v>0.34</v>
      </c>
      <c r="L2428" s="6" t="s">
        <v>33</v>
      </c>
      <c r="M2428" s="6" t="s">
        <v>34</v>
      </c>
      <c r="N2428" s="6"/>
    </row>
    <row r="2429" spans="1:14">
      <c r="A2429" s="6" t="s">
        <v>3950</v>
      </c>
      <c r="B2429" s="7">
        <v>46097</v>
      </c>
      <c r="C2429" s="6" t="s">
        <v>2139</v>
      </c>
      <c r="D2429" s="6" t="str">
        <f>IF(OR(PROPER(TRIM(Raw_Data!D2429))="Uk",PROPER(TRIM(Raw_Data!D2429))="Gb",PROPER(TRIM(Raw_Data!D2429))="United kingdom"),"United Kingdom",PROPER(TRIM(Raw_Data!D2429)))</f>
        <v>Ireland</v>
      </c>
      <c r="E2429" s="6" t="s">
        <v>46</v>
      </c>
      <c r="F2429" s="6" t="s">
        <v>38</v>
      </c>
      <c r="G2429" s="6" t="str">
        <f>SUBSTITUTE(Raw_Data!G2429,"Ã©","é")</f>
        <v>Storm Overtrousers</v>
      </c>
      <c r="H2429" s="6">
        <v>2</v>
      </c>
      <c r="I2429" s="6" t="s">
        <v>79</v>
      </c>
      <c r="J2429" s="6" t="s">
        <v>259</v>
      </c>
      <c r="K2429" s="6">
        <v>0.52</v>
      </c>
      <c r="L2429" s="6" t="s">
        <v>42</v>
      </c>
      <c r="M2429" s="6" t="s">
        <v>34</v>
      </c>
      <c r="N2429" s="6"/>
    </row>
    <row r="2430" spans="1:14">
      <c r="A2430" s="6" t="s">
        <v>3951</v>
      </c>
      <c r="B2430" s="7">
        <v>46137</v>
      </c>
      <c r="C2430" s="6" t="s">
        <v>3748</v>
      </c>
      <c r="D2430" s="6" t="str">
        <f>IF(OR(PROPER(TRIM(Raw_Data!D2430))="Uk",PROPER(TRIM(Raw_Data!D2430))="Gb",PROPER(TRIM(Raw_Data!D2430))="United kingdom"),"United Kingdom",PROPER(TRIM(Raw_Data!D2430)))</f>
        <v>United Kingdom</v>
      </c>
      <c r="E2430" s="6" t="s">
        <v>46</v>
      </c>
      <c r="F2430" s="6" t="s">
        <v>47</v>
      </c>
      <c r="G2430" s="6" t="str">
        <f>SUBSTITUTE(Raw_Data!G2430,"Ã©","é")</f>
        <v>Summit Down Gilet</v>
      </c>
      <c r="H2430" s="6">
        <v>3</v>
      </c>
      <c r="I2430" s="6" t="s">
        <v>265</v>
      </c>
      <c r="J2430" s="6" t="s">
        <v>401</v>
      </c>
      <c r="K2430" s="6">
        <v>8.5000000000000006E-2</v>
      </c>
      <c r="L2430" s="6" t="s">
        <v>42</v>
      </c>
      <c r="M2430" s="6" t="s">
        <v>34</v>
      </c>
      <c r="N2430" s="6"/>
    </row>
    <row r="2431" spans="1:14">
      <c r="A2431" s="6" t="s">
        <v>3952</v>
      </c>
      <c r="B2431" s="7">
        <v>46132</v>
      </c>
      <c r="C2431" s="6" t="s">
        <v>3262</v>
      </c>
      <c r="D2431" s="6" t="str">
        <f>IF(OR(PROPER(TRIM(Raw_Data!D2431))="Uk",PROPER(TRIM(Raw_Data!D2431))="Gb",PROPER(TRIM(Raw_Data!D2431))="United kingdom"),"United Kingdom",PROPER(TRIM(Raw_Data!D2431)))</f>
        <v>Ireland</v>
      </c>
      <c r="E2431" s="6" t="s">
        <v>52</v>
      </c>
      <c r="F2431" s="6" t="s">
        <v>85</v>
      </c>
      <c r="G2431" s="6" t="str">
        <f>SUBSTITUTE(Raw_Data!G2431,"Ã©","é")</f>
        <v>Merino Base Layer</v>
      </c>
      <c r="H2431" s="6">
        <v>1</v>
      </c>
      <c r="I2431" s="6" t="s">
        <v>82</v>
      </c>
      <c r="J2431" s="6" t="s">
        <v>82</v>
      </c>
      <c r="K2431" s="6">
        <v>0.41</v>
      </c>
      <c r="L2431" s="6" t="s">
        <v>42</v>
      </c>
      <c r="M2431" s="6" t="s">
        <v>69</v>
      </c>
      <c r="N2431" s="6"/>
    </row>
    <row r="2432" spans="1:14">
      <c r="A2432" s="6" t="s">
        <v>3953</v>
      </c>
      <c r="B2432" s="7">
        <v>46149</v>
      </c>
      <c r="C2432" s="6" t="s">
        <v>3740</v>
      </c>
      <c r="D2432" s="6" t="str">
        <f>IF(OR(PROPER(TRIM(Raw_Data!D2432))="Uk",PROPER(TRIM(Raw_Data!D2432))="Gb",PROPER(TRIM(Raw_Data!D2432))="United kingdom"),"United Kingdom",PROPER(TRIM(Raw_Data!D2432)))</f>
        <v>United Kingdom</v>
      </c>
      <c r="E2432" s="6" t="s">
        <v>28</v>
      </c>
      <c r="F2432" s="6" t="s">
        <v>38</v>
      </c>
      <c r="G2432" s="6" t="str">
        <f>SUBSTITUTE(Raw_Data!G2432,"Ã©","é")</f>
        <v>Trekking Poles</v>
      </c>
      <c r="H2432" s="6">
        <v>1</v>
      </c>
      <c r="I2432" s="6" t="s">
        <v>67</v>
      </c>
      <c r="J2432" s="6" t="s">
        <v>67</v>
      </c>
      <c r="K2432" s="6">
        <v>0.52</v>
      </c>
      <c r="L2432" s="6" t="s">
        <v>42</v>
      </c>
      <c r="M2432" s="6" t="s">
        <v>69</v>
      </c>
      <c r="N2432" s="6"/>
    </row>
    <row r="2433" spans="1:14">
      <c r="A2433" s="6" t="s">
        <v>3954</v>
      </c>
      <c r="B2433" s="7">
        <v>46187</v>
      </c>
      <c r="C2433" s="6" t="s">
        <v>2067</v>
      </c>
      <c r="D2433" s="6" t="str">
        <f>IF(OR(PROPER(TRIM(Raw_Data!D2433))="Uk",PROPER(TRIM(Raw_Data!D2433))="Gb",PROPER(TRIM(Raw_Data!D2433))="United kingdom"),"United Kingdom",PROPER(TRIM(Raw_Data!D2433)))</f>
        <v>United Kingdom</v>
      </c>
      <c r="E2433" s="6" t="s">
        <v>28</v>
      </c>
      <c r="F2433" s="6" t="s">
        <v>58</v>
      </c>
      <c r="G2433" s="6" t="str">
        <f>SUBSTITUTE(Raw_Data!G2433,"Ã©","é")</f>
        <v>Storm Overtrousers</v>
      </c>
      <c r="H2433" s="6">
        <v>2</v>
      </c>
      <c r="I2433" s="6" t="s">
        <v>147</v>
      </c>
      <c r="J2433" s="6" t="s">
        <v>175</v>
      </c>
      <c r="K2433" s="6">
        <v>0.38</v>
      </c>
      <c r="L2433" s="6" t="s">
        <v>42</v>
      </c>
      <c r="M2433" s="6" t="s">
        <v>34</v>
      </c>
      <c r="N2433" s="6"/>
    </row>
    <row r="2434" spans="1:14">
      <c r="A2434" s="6" t="s">
        <v>3955</v>
      </c>
      <c r="B2434" s="7">
        <v>46200</v>
      </c>
      <c r="C2434" s="6" t="s">
        <v>2858</v>
      </c>
      <c r="D2434" s="6" t="str">
        <f>IF(OR(PROPER(TRIM(Raw_Data!D2434))="Uk",PROPER(TRIM(Raw_Data!D2434))="Gb",PROPER(TRIM(Raw_Data!D2434))="United kingdom"),"United Kingdom",PROPER(TRIM(Raw_Data!D2434)))</f>
        <v>Ireland</v>
      </c>
      <c r="E2434" s="6" t="s">
        <v>37</v>
      </c>
      <c r="F2434" s="6" t="s">
        <v>47</v>
      </c>
      <c r="G2434" s="6" t="str">
        <f>SUBSTITUTE(Raw_Data!G2434,"Ã©","é")</f>
        <v>Alpine Jacket</v>
      </c>
      <c r="H2434" s="6">
        <v>1</v>
      </c>
      <c r="I2434" s="6" t="s">
        <v>147</v>
      </c>
      <c r="J2434" s="6" t="s">
        <v>147</v>
      </c>
      <c r="K2434" s="6">
        <v>8.5000000000000006E-2</v>
      </c>
      <c r="L2434" s="6" t="s">
        <v>42</v>
      </c>
      <c r="M2434" s="6" t="s">
        <v>34</v>
      </c>
      <c r="N2434" s="6"/>
    </row>
    <row r="2435" spans="1:14">
      <c r="A2435" s="6" t="s">
        <v>3956</v>
      </c>
      <c r="B2435" s="7">
        <v>46075</v>
      </c>
      <c r="C2435" s="6" t="s">
        <v>1380</v>
      </c>
      <c r="D2435" s="6" t="str">
        <f>IF(OR(PROPER(TRIM(Raw_Data!D2435))="Uk",PROPER(TRIM(Raw_Data!D2435))="Gb",PROPER(TRIM(Raw_Data!D2435))="United kingdom"),"United Kingdom",PROPER(TRIM(Raw_Data!D2435)))</f>
        <v>United Kingdom</v>
      </c>
      <c r="E2435" s="6" t="s">
        <v>37</v>
      </c>
      <c r="F2435" s="6" t="s">
        <v>29</v>
      </c>
      <c r="G2435" s="6" t="str">
        <f>SUBSTITUTE(Raw_Data!G2435,"Ã©","é")</f>
        <v>Café Latte Mug</v>
      </c>
      <c r="H2435" s="6">
        <v>2</v>
      </c>
      <c r="I2435" s="6" t="s">
        <v>82</v>
      </c>
      <c r="J2435" s="6" t="s">
        <v>297</v>
      </c>
      <c r="K2435" s="6">
        <v>0.52</v>
      </c>
      <c r="L2435" s="6" t="s">
        <v>33</v>
      </c>
      <c r="M2435" s="6" t="s">
        <v>69</v>
      </c>
      <c r="N2435" s="6"/>
    </row>
    <row r="2436" spans="1:14">
      <c r="A2436" s="6" t="s">
        <v>3957</v>
      </c>
      <c r="B2436" s="7">
        <v>46106</v>
      </c>
      <c r="C2436" s="6" t="s">
        <v>711</v>
      </c>
      <c r="D2436" s="6" t="str">
        <f>IF(OR(PROPER(TRIM(Raw_Data!D2436))="Uk",PROPER(TRIM(Raw_Data!D2436))="Gb",PROPER(TRIM(Raw_Data!D2436))="United kingdom"),"United Kingdom",PROPER(TRIM(Raw_Data!D2436)))</f>
        <v>United Kingdom</v>
      </c>
      <c r="E2436" s="6" t="s">
        <v>78</v>
      </c>
      <c r="F2436" s="6" t="s">
        <v>29</v>
      </c>
      <c r="G2436" s="6" t="str">
        <f>SUBSTITUTE(Raw_Data!G2436,"Ã©","é")</f>
        <v>Summit Down Gilet</v>
      </c>
      <c r="H2436" s="6">
        <v>2</v>
      </c>
      <c r="I2436" s="6" t="s">
        <v>79</v>
      </c>
      <c r="J2436" s="6" t="s">
        <v>2258</v>
      </c>
      <c r="K2436" s="6">
        <v>0.52</v>
      </c>
      <c r="L2436" s="6" t="s">
        <v>42</v>
      </c>
      <c r="M2436" s="6" t="s">
        <v>34</v>
      </c>
      <c r="N2436" s="6"/>
    </row>
    <row r="2437" spans="1:14">
      <c r="A2437" s="6" t="s">
        <v>3958</v>
      </c>
      <c r="B2437" s="7">
        <v>46204</v>
      </c>
      <c r="C2437" s="6" t="s">
        <v>198</v>
      </c>
      <c r="D2437" s="6" t="str">
        <f>IF(OR(PROPER(TRIM(Raw_Data!D2437))="Uk",PROPER(TRIM(Raw_Data!D2437))="Gb",PROPER(TRIM(Raw_Data!D2437))="United kingdom"),"United Kingdom",PROPER(TRIM(Raw_Data!D2437)))</f>
        <v>United Kingdom</v>
      </c>
      <c r="E2437" s="6" t="s">
        <v>46</v>
      </c>
      <c r="F2437" s="6" t="s">
        <v>85</v>
      </c>
      <c r="G2437" s="6" t="str">
        <f>SUBSTITUTE(Raw_Data!G2437,"Ã©","é")</f>
        <v>Alpine Jacket</v>
      </c>
      <c r="H2437" s="6">
        <v>2</v>
      </c>
      <c r="I2437" s="6" t="s">
        <v>79</v>
      </c>
      <c r="J2437" s="6" t="s">
        <v>259</v>
      </c>
      <c r="K2437" s="6">
        <v>0.41</v>
      </c>
      <c r="L2437" s="6" t="s">
        <v>42</v>
      </c>
      <c r="M2437" s="6" t="s">
        <v>34</v>
      </c>
      <c r="N2437" s="6"/>
    </row>
    <row r="2438" spans="1:14">
      <c r="A2438" s="6" t="s">
        <v>3959</v>
      </c>
      <c r="B2438" s="7">
        <v>46156</v>
      </c>
      <c r="C2438" s="6" t="s">
        <v>3960</v>
      </c>
      <c r="D2438" s="6" t="str">
        <f>IF(OR(PROPER(TRIM(Raw_Data!D2438))="Uk",PROPER(TRIM(Raw_Data!D2438))="Gb",PROPER(TRIM(Raw_Data!D2438))="United kingdom"),"United Kingdom",PROPER(TRIM(Raw_Data!D2438)))</f>
        <v>United Kingdom</v>
      </c>
      <c r="E2438" s="6" t="s">
        <v>28</v>
      </c>
      <c r="F2438" s="6" t="s">
        <v>53</v>
      </c>
      <c r="G2438" s="6" t="str">
        <f>SUBSTITUTE(Raw_Data!G2438,"Ã©","é")</f>
        <v>Trail Softshell</v>
      </c>
      <c r="H2438" s="6">
        <v>2</v>
      </c>
      <c r="I2438" s="6" t="s">
        <v>40</v>
      </c>
      <c r="J2438" s="6" t="s">
        <v>327</v>
      </c>
      <c r="K2438" s="6">
        <v>0.19</v>
      </c>
      <c r="L2438" s="6" t="s">
        <v>42</v>
      </c>
      <c r="M2438" s="6" t="s">
        <v>69</v>
      </c>
      <c r="N2438" s="6"/>
    </row>
    <row r="2439" spans="1:14">
      <c r="A2439" s="6" t="s">
        <v>3961</v>
      </c>
      <c r="B2439" s="7">
        <v>46057</v>
      </c>
      <c r="C2439" s="6" t="s">
        <v>2404</v>
      </c>
      <c r="D2439" s="6" t="str">
        <f>IF(OR(PROPER(TRIM(Raw_Data!D2439))="Uk",PROPER(TRIM(Raw_Data!D2439))="Gb",PROPER(TRIM(Raw_Data!D2439))="United kingdom"),"United Kingdom",PROPER(TRIM(Raw_Data!D2439)))</f>
        <v>France</v>
      </c>
      <c r="E2439" s="6" t="s">
        <v>52</v>
      </c>
      <c r="F2439" s="6" t="s">
        <v>100</v>
      </c>
      <c r="G2439" s="6" t="str">
        <f>SUBSTITUTE(Raw_Data!G2439,"Ã©","é")</f>
        <v>Trail Softshell</v>
      </c>
      <c r="H2439" s="6">
        <v>-1</v>
      </c>
      <c r="I2439" s="6" t="s">
        <v>490</v>
      </c>
      <c r="J2439" s="8" t="s">
        <v>1415</v>
      </c>
      <c r="K2439" s="6">
        <v>0.64</v>
      </c>
      <c r="L2439" s="6" t="s">
        <v>33</v>
      </c>
      <c r="M2439" s="6" t="s">
        <v>34</v>
      </c>
      <c r="N2439" s="6"/>
    </row>
    <row r="2440" spans="1:14">
      <c r="A2440" s="6" t="s">
        <v>3962</v>
      </c>
      <c r="B2440" s="7">
        <v>46029</v>
      </c>
      <c r="C2440" s="6" t="s">
        <v>492</v>
      </c>
      <c r="D2440" s="6" t="str">
        <f>IF(OR(PROPER(TRIM(Raw_Data!D2440))="Uk",PROPER(TRIM(Raw_Data!D2440))="Gb",PROPER(TRIM(Raw_Data!D2440))="United kingdom"),"United Kingdom",PROPER(TRIM(Raw_Data!D2440)))</f>
        <v>France</v>
      </c>
      <c r="E2440" s="6" t="s">
        <v>28</v>
      </c>
      <c r="F2440" s="6" t="s">
        <v>85</v>
      </c>
      <c r="G2440" s="6" t="str">
        <f>SUBSTITUTE(Raw_Data!G2440,"Ã©","é")</f>
        <v>Trail Softshell</v>
      </c>
      <c r="H2440" s="6">
        <v>1</v>
      </c>
      <c r="I2440" s="6" t="s">
        <v>265</v>
      </c>
      <c r="J2440" s="6" t="s">
        <v>265</v>
      </c>
      <c r="K2440" s="6">
        <v>0.41</v>
      </c>
      <c r="L2440" s="6" t="s">
        <v>42</v>
      </c>
      <c r="M2440" s="6" t="s">
        <v>34</v>
      </c>
      <c r="N2440" s="6"/>
    </row>
    <row r="2441" spans="1:14">
      <c r="A2441" s="6" t="s">
        <v>3963</v>
      </c>
      <c r="B2441" s="7">
        <v>46069</v>
      </c>
      <c r="C2441" s="6" t="s">
        <v>3964</v>
      </c>
      <c r="D2441" s="6" t="str">
        <f>IF(OR(PROPER(TRIM(Raw_Data!D2441))="Uk",PROPER(TRIM(Raw_Data!D2441))="Gb",PROPER(TRIM(Raw_Data!D2441))="United kingdom"),"United Kingdom",PROPER(TRIM(Raw_Data!D2441)))</f>
        <v>United Kingdom</v>
      </c>
      <c r="E2441" s="6" t="s">
        <v>46</v>
      </c>
      <c r="F2441" s="6" t="s">
        <v>85</v>
      </c>
      <c r="G2441" s="6" t="str">
        <f>SUBSTITUTE(Raw_Data!G2441,"Ã©","é")</f>
        <v>Alpine Jacket</v>
      </c>
      <c r="H2441" s="6">
        <v>2</v>
      </c>
      <c r="I2441" s="6" t="s">
        <v>31</v>
      </c>
      <c r="J2441" s="6" t="s">
        <v>232</v>
      </c>
      <c r="K2441" s="6">
        <v>0.41</v>
      </c>
      <c r="L2441" s="6" t="s">
        <v>42</v>
      </c>
      <c r="M2441" s="6" t="s">
        <v>34</v>
      </c>
      <c r="N2441" s="6"/>
    </row>
    <row r="2442" spans="1:14">
      <c r="A2442" s="6" t="s">
        <v>3965</v>
      </c>
      <c r="B2442" s="7">
        <v>46171</v>
      </c>
      <c r="C2442" s="6" t="s">
        <v>2836</v>
      </c>
      <c r="D2442" s="6" t="str">
        <f>IF(OR(PROPER(TRIM(Raw_Data!D2442))="Uk",PROPER(TRIM(Raw_Data!D2442))="Gb",PROPER(TRIM(Raw_Data!D2442))="United kingdom"),"United Kingdom",PROPER(TRIM(Raw_Data!D2442)))</f>
        <v>United Kingdom</v>
      </c>
      <c r="E2442" s="6" t="s">
        <v>37</v>
      </c>
      <c r="F2442" s="6" t="s">
        <v>47</v>
      </c>
      <c r="G2442" s="6" t="str">
        <f>SUBSTITUTE(Raw_Data!G2442,"Ã©","é")</f>
        <v>Café Latte Mug</v>
      </c>
      <c r="H2442" s="6">
        <v>1</v>
      </c>
      <c r="I2442" s="6" t="s">
        <v>31</v>
      </c>
      <c r="J2442" s="6" t="s">
        <v>31</v>
      </c>
      <c r="K2442" s="6">
        <v>8.5000000000000006E-2</v>
      </c>
      <c r="L2442" s="6" t="s">
        <v>42</v>
      </c>
      <c r="M2442" s="6" t="s">
        <v>34</v>
      </c>
      <c r="N2442" s="6"/>
    </row>
    <row r="2443" spans="1:14">
      <c r="A2443" s="6" t="s">
        <v>3966</v>
      </c>
      <c r="B2443" s="7">
        <v>46135</v>
      </c>
      <c r="C2443" s="6" t="s">
        <v>150</v>
      </c>
      <c r="D2443" s="6" t="str">
        <f>IF(OR(PROPER(TRIM(Raw_Data!D2443))="Uk",PROPER(TRIM(Raw_Data!D2443))="Gb",PROPER(TRIM(Raw_Data!D2443))="United kingdom"),"United Kingdom",PROPER(TRIM(Raw_Data!D2443)))</f>
        <v>France</v>
      </c>
      <c r="E2443" s="6" t="s">
        <v>78</v>
      </c>
      <c r="F2443" s="6" t="s">
        <v>85</v>
      </c>
      <c r="G2443" s="6" t="str">
        <f>SUBSTITUTE(Raw_Data!G2443,"Ã©","é")</f>
        <v>Trail Softshell</v>
      </c>
      <c r="H2443" s="6">
        <v>3</v>
      </c>
      <c r="I2443" s="6" t="s">
        <v>82</v>
      </c>
      <c r="J2443" s="6" t="s">
        <v>390</v>
      </c>
      <c r="K2443" s="6">
        <v>0.41</v>
      </c>
      <c r="L2443" s="6" t="s">
        <v>42</v>
      </c>
      <c r="M2443" s="6" t="s">
        <v>34</v>
      </c>
      <c r="N2443" s="6"/>
    </row>
    <row r="2444" spans="1:14">
      <c r="A2444" s="6" t="s">
        <v>3967</v>
      </c>
      <c r="B2444" s="7">
        <v>46206</v>
      </c>
      <c r="C2444" s="6" t="s">
        <v>2553</v>
      </c>
      <c r="D2444" s="6" t="str">
        <f>IF(OR(PROPER(TRIM(Raw_Data!D2444))="Uk",PROPER(TRIM(Raw_Data!D2444))="Gb",PROPER(TRIM(Raw_Data!D2444))="United kingdom"),"United Kingdom",PROPER(TRIM(Raw_Data!D2444)))</f>
        <v>United Kingdom</v>
      </c>
      <c r="E2444" s="6" t="s">
        <v>78</v>
      </c>
      <c r="F2444" s="6" t="s">
        <v>47</v>
      </c>
      <c r="G2444" s="6" t="str">
        <f>SUBSTITUTE(Raw_Data!G2444,"Ã©","é")</f>
        <v>Trekking Poles</v>
      </c>
      <c r="H2444" s="6">
        <v>1</v>
      </c>
      <c r="I2444" s="6" t="s">
        <v>90</v>
      </c>
      <c r="J2444" s="6" t="s">
        <v>90</v>
      </c>
      <c r="K2444" s="6">
        <v>8.5000000000000006E-2</v>
      </c>
      <c r="L2444" s="6" t="s">
        <v>33</v>
      </c>
      <c r="M2444" s="6" t="s">
        <v>34</v>
      </c>
      <c r="N2444" s="6"/>
    </row>
    <row r="2445" spans="1:14">
      <c r="A2445" s="6" t="s">
        <v>3968</v>
      </c>
      <c r="B2445" s="7">
        <v>46057</v>
      </c>
      <c r="C2445" s="6" t="s">
        <v>1537</v>
      </c>
      <c r="D2445" s="6" t="str">
        <f>IF(OR(PROPER(TRIM(Raw_Data!D2445))="Uk",PROPER(TRIM(Raw_Data!D2445))="Gb",PROPER(TRIM(Raw_Data!D2445))="United kingdom"),"United Kingdom",PROPER(TRIM(Raw_Data!D2445)))</f>
        <v>Ireland</v>
      </c>
      <c r="E2445" s="6" t="s">
        <v>52</v>
      </c>
      <c r="F2445" s="6" t="s">
        <v>53</v>
      </c>
      <c r="G2445" s="6" t="str">
        <f>SUBSTITUTE(Raw_Data!G2445,"Ã©","é")</f>
        <v>Summit Down Gilet</v>
      </c>
      <c r="H2445" s="6">
        <v>2</v>
      </c>
      <c r="I2445" s="6" t="s">
        <v>117</v>
      </c>
      <c r="J2445" s="6" t="s">
        <v>118</v>
      </c>
      <c r="K2445" s="6">
        <v>0.19</v>
      </c>
      <c r="L2445" s="6" t="s">
        <v>42</v>
      </c>
      <c r="M2445" s="6" t="s">
        <v>34</v>
      </c>
      <c r="N2445" s="6"/>
    </row>
    <row r="2446" spans="1:14">
      <c r="A2446" s="6" t="s">
        <v>3969</v>
      </c>
      <c r="B2446" s="7">
        <v>46331</v>
      </c>
      <c r="C2446" s="6" t="s">
        <v>436</v>
      </c>
      <c r="D2446" s="6" t="str">
        <f>IF(OR(PROPER(TRIM(Raw_Data!D2446))="Uk",PROPER(TRIM(Raw_Data!D2446))="Gb",PROPER(TRIM(Raw_Data!D2446))="United kingdom"),"United Kingdom",PROPER(TRIM(Raw_Data!D2446)))</f>
        <v>Ireland</v>
      </c>
      <c r="E2446" s="6" t="s">
        <v>52</v>
      </c>
      <c r="F2446" s="6" t="s">
        <v>38</v>
      </c>
      <c r="G2446" s="6" t="str">
        <f>SUBSTITUTE(Raw_Data!G2446,"Ã©","é")</f>
        <v>Merino Base Layer</v>
      </c>
      <c r="H2446" s="6">
        <v>-3</v>
      </c>
      <c r="I2446" s="6" t="s">
        <v>113</v>
      </c>
      <c r="J2446" s="8" t="s">
        <v>1913</v>
      </c>
      <c r="K2446" s="6">
        <v>0.52</v>
      </c>
      <c r="L2446" s="6" t="s">
        <v>42</v>
      </c>
      <c r="M2446" s="6" t="s">
        <v>69</v>
      </c>
      <c r="N2446" s="6"/>
    </row>
    <row r="2447" spans="1:14">
      <c r="A2447" s="6" t="s">
        <v>3970</v>
      </c>
      <c r="B2447" s="7">
        <v>46029</v>
      </c>
      <c r="C2447" s="6" t="s">
        <v>3886</v>
      </c>
      <c r="D2447" s="6" t="str">
        <f>IF(OR(PROPER(TRIM(Raw_Data!D2447))="Uk",PROPER(TRIM(Raw_Data!D2447))="Gb",PROPER(TRIM(Raw_Data!D2447))="United kingdom"),"United Kingdom",PROPER(TRIM(Raw_Data!D2447)))</f>
        <v>Germany</v>
      </c>
      <c r="E2447" s="6" t="s">
        <v>78</v>
      </c>
      <c r="F2447" s="6" t="s">
        <v>29</v>
      </c>
      <c r="G2447" s="6" t="str">
        <f>SUBSTITUTE(Raw_Data!G2447,"Ã©","é")</f>
        <v>Storm Overtrousers</v>
      </c>
      <c r="H2447" s="6">
        <v>1</v>
      </c>
      <c r="I2447" s="6" t="s">
        <v>117</v>
      </c>
      <c r="J2447" s="6" t="s">
        <v>117</v>
      </c>
      <c r="K2447" s="6">
        <v>0.52</v>
      </c>
      <c r="L2447" s="6" t="s">
        <v>42</v>
      </c>
      <c r="M2447" s="6" t="s">
        <v>69</v>
      </c>
      <c r="N2447" s="6"/>
    </row>
    <row r="2448" spans="1:14">
      <c r="A2448" s="6" t="s">
        <v>3971</v>
      </c>
      <c r="B2448" s="7">
        <v>46158</v>
      </c>
      <c r="C2448" s="6" t="s">
        <v>2171</v>
      </c>
      <c r="D2448" s="6" t="str">
        <f>IF(OR(PROPER(TRIM(Raw_Data!D2448))="Uk",PROPER(TRIM(Raw_Data!D2448))="Gb",PROPER(TRIM(Raw_Data!D2448))="United kingdom"),"United Kingdom",PROPER(TRIM(Raw_Data!D2448)))</f>
        <v>Germany</v>
      </c>
      <c r="E2448" s="6" t="s">
        <v>28</v>
      </c>
      <c r="F2448" s="6" t="s">
        <v>38</v>
      </c>
      <c r="G2448" s="6" t="str">
        <f>SUBSTITUTE(Raw_Data!G2448,"Ã©","é")</f>
        <v>Trekking Poles</v>
      </c>
      <c r="H2448" s="6">
        <v>2</v>
      </c>
      <c r="I2448" s="6" t="s">
        <v>96</v>
      </c>
      <c r="J2448" s="6" t="s">
        <v>278</v>
      </c>
      <c r="K2448" s="6">
        <v>0.52</v>
      </c>
      <c r="L2448" s="6" t="s">
        <v>42</v>
      </c>
      <c r="M2448" s="6" t="s">
        <v>69</v>
      </c>
      <c r="N2448" s="6"/>
    </row>
    <row r="2449" spans="1:14">
      <c r="A2449" s="6" t="s">
        <v>3972</v>
      </c>
      <c r="B2449" s="7">
        <v>46268</v>
      </c>
      <c r="C2449" s="6" t="s">
        <v>274</v>
      </c>
      <c r="D2449" s="6" t="str">
        <f>IF(OR(PROPER(TRIM(Raw_Data!D2449))="Uk",PROPER(TRIM(Raw_Data!D2449))="Gb",PROPER(TRIM(Raw_Data!D2449))="United kingdom"),"United Kingdom",PROPER(TRIM(Raw_Data!D2449)))</f>
        <v>United Kingdom</v>
      </c>
      <c r="E2449" s="6" t="s">
        <v>46</v>
      </c>
      <c r="F2449" s="6" t="s">
        <v>58</v>
      </c>
      <c r="G2449" s="6" t="str">
        <f>SUBSTITUTE(Raw_Data!G2449,"Ã©","é")</f>
        <v>Trekking Poles</v>
      </c>
      <c r="H2449" s="6">
        <v>2</v>
      </c>
      <c r="I2449" s="6" t="s">
        <v>79</v>
      </c>
      <c r="J2449" s="6" t="s">
        <v>259</v>
      </c>
      <c r="K2449" s="6">
        <v>0.38</v>
      </c>
      <c r="L2449" s="6" t="s">
        <v>42</v>
      </c>
      <c r="M2449" s="6" t="s">
        <v>34</v>
      </c>
      <c r="N2449" s="6"/>
    </row>
    <row r="2450" spans="1:14">
      <c r="A2450" s="6" t="s">
        <v>3973</v>
      </c>
      <c r="B2450" s="7">
        <v>46174</v>
      </c>
      <c r="C2450" s="6" t="s">
        <v>2113</v>
      </c>
      <c r="D2450" s="6" t="str">
        <f>IF(OR(PROPER(TRIM(Raw_Data!D2450))="Uk",PROPER(TRIM(Raw_Data!D2450))="Gb",PROPER(TRIM(Raw_Data!D2450))="United kingdom"),"United Kingdom",PROPER(TRIM(Raw_Data!D2450)))</f>
        <v>France</v>
      </c>
      <c r="E2450" s="6" t="s">
        <v>28</v>
      </c>
      <c r="F2450" s="6" t="s">
        <v>47</v>
      </c>
      <c r="G2450" s="6" t="str">
        <f>SUBSTITUTE(Raw_Data!G2450,"Ã©","é")</f>
        <v>Fell Runner Cap</v>
      </c>
      <c r="H2450" s="6">
        <v>1</v>
      </c>
      <c r="I2450" s="6" t="s">
        <v>117</v>
      </c>
      <c r="J2450" s="6" t="s">
        <v>117</v>
      </c>
      <c r="K2450" s="6">
        <v>8.5000000000000006E-2</v>
      </c>
      <c r="L2450" s="6" t="s">
        <v>42</v>
      </c>
      <c r="M2450" s="6" t="s">
        <v>34</v>
      </c>
      <c r="N2450" s="6"/>
    </row>
    <row r="2451" spans="1:14">
      <c r="A2451" s="6" t="s">
        <v>3974</v>
      </c>
      <c r="B2451" s="7">
        <v>46044</v>
      </c>
      <c r="C2451" s="6" t="s">
        <v>3465</v>
      </c>
      <c r="D2451" s="6" t="str">
        <f>IF(OR(PROPER(TRIM(Raw_Data!D2451))="Uk",PROPER(TRIM(Raw_Data!D2451))="Gb",PROPER(TRIM(Raw_Data!D2451))="United kingdom"),"United Kingdom",PROPER(TRIM(Raw_Data!D2451)))</f>
        <v>France</v>
      </c>
      <c r="E2451" s="6" t="s">
        <v>46</v>
      </c>
      <c r="F2451" s="6" t="s">
        <v>53</v>
      </c>
      <c r="G2451" s="6" t="str">
        <f>SUBSTITUTE(Raw_Data!G2451,"Ã©","é")</f>
        <v>Alpine Jacket</v>
      </c>
      <c r="H2451" s="6">
        <v>1</v>
      </c>
      <c r="I2451" s="6" t="s">
        <v>82</v>
      </c>
      <c r="J2451" s="6" t="s">
        <v>82</v>
      </c>
      <c r="K2451" s="6">
        <v>0.19</v>
      </c>
      <c r="L2451" s="6" t="s">
        <v>42</v>
      </c>
      <c r="M2451" s="6" t="s">
        <v>34</v>
      </c>
      <c r="N2451" s="6"/>
    </row>
    <row r="2452" spans="1:14">
      <c r="A2452" s="6" t="s">
        <v>3975</v>
      </c>
      <c r="B2452" s="7">
        <v>46081</v>
      </c>
      <c r="C2452" s="6" t="s">
        <v>1083</v>
      </c>
      <c r="D2452" s="6" t="str">
        <f>IF(OR(PROPER(TRIM(Raw_Data!D2452))="Uk",PROPER(TRIM(Raw_Data!D2452))="Gb",PROPER(TRIM(Raw_Data!D2452))="United kingdom"),"United Kingdom",PROPER(TRIM(Raw_Data!D2452)))</f>
        <v>United Kingdom</v>
      </c>
      <c r="E2452" s="6" t="s">
        <v>46</v>
      </c>
      <c r="F2452" s="6" t="s">
        <v>85</v>
      </c>
      <c r="G2452" s="6" t="str">
        <f>SUBSTITUTE(Raw_Data!G2452,"Ã©","é")</f>
        <v>Trekking Poles</v>
      </c>
      <c r="H2452" s="6">
        <v>1</v>
      </c>
      <c r="I2452" s="6" t="s">
        <v>265</v>
      </c>
      <c r="J2452" s="6" t="s">
        <v>265</v>
      </c>
      <c r="K2452" s="6">
        <v>0.41</v>
      </c>
      <c r="L2452" s="6" t="s">
        <v>33</v>
      </c>
      <c r="M2452" s="6" t="s">
        <v>69</v>
      </c>
      <c r="N2452" s="6"/>
    </row>
    <row r="2453" spans="1:14">
      <c r="A2453" s="6" t="s">
        <v>3976</v>
      </c>
      <c r="B2453" s="7">
        <v>46106</v>
      </c>
      <c r="C2453" s="6" t="s">
        <v>3977</v>
      </c>
      <c r="D2453" s="6" t="str">
        <f>IF(OR(PROPER(TRIM(Raw_Data!D2453))="Uk",PROPER(TRIM(Raw_Data!D2453))="Gb",PROPER(TRIM(Raw_Data!D2453))="United kingdom"),"United Kingdom",PROPER(TRIM(Raw_Data!D2453)))</f>
        <v>United Kingdom</v>
      </c>
      <c r="E2453" s="6" t="s">
        <v>28</v>
      </c>
      <c r="F2453" s="6" t="s">
        <v>38</v>
      </c>
      <c r="G2453" s="6" t="str">
        <f>SUBSTITUTE(Raw_Data!G2453,"Ã©","é")</f>
        <v>Alpine Jacket</v>
      </c>
      <c r="H2453" s="6">
        <v>2</v>
      </c>
      <c r="I2453" s="6" t="s">
        <v>31</v>
      </c>
      <c r="J2453" s="6" t="s">
        <v>249</v>
      </c>
      <c r="K2453" s="6">
        <v>0.52</v>
      </c>
      <c r="L2453" s="6" t="s">
        <v>42</v>
      </c>
      <c r="M2453" s="6" t="s">
        <v>34</v>
      </c>
      <c r="N2453" s="6"/>
    </row>
    <row r="2454" spans="1:14">
      <c r="A2454" s="6" t="s">
        <v>3978</v>
      </c>
      <c r="B2454" s="7">
        <v>46179</v>
      </c>
      <c r="C2454" s="6" t="s">
        <v>3979</v>
      </c>
      <c r="D2454" s="6" t="str">
        <f>IF(OR(PROPER(TRIM(Raw_Data!D2454))="Uk",PROPER(TRIM(Raw_Data!D2454))="Gb",PROPER(TRIM(Raw_Data!D2454))="United kingdom"),"United Kingdom",PROPER(TRIM(Raw_Data!D2454)))</f>
        <v>United Kingdom</v>
      </c>
      <c r="E2454" s="6" t="s">
        <v>52</v>
      </c>
      <c r="F2454" s="6" t="s">
        <v>85</v>
      </c>
      <c r="G2454" s="6" t="str">
        <f>SUBSTITUTE(Raw_Data!G2454,"Ã©","é")</f>
        <v>Trekking Poles</v>
      </c>
      <c r="H2454" s="6">
        <v>3</v>
      </c>
      <c r="I2454" s="6" t="s">
        <v>143</v>
      </c>
      <c r="J2454" s="6" t="s">
        <v>243</v>
      </c>
      <c r="K2454" s="6">
        <v>0.41</v>
      </c>
      <c r="L2454" s="6" t="s">
        <v>33</v>
      </c>
      <c r="M2454" s="6" t="s">
        <v>34</v>
      </c>
      <c r="N2454" s="6"/>
    </row>
    <row r="2455" spans="1:14">
      <c r="A2455" s="6" t="s">
        <v>3980</v>
      </c>
      <c r="B2455" s="7">
        <v>46300</v>
      </c>
      <c r="C2455" s="6" t="s">
        <v>1137</v>
      </c>
      <c r="D2455" s="6" t="str">
        <f>IF(OR(PROPER(TRIM(Raw_Data!D2455))="Uk",PROPER(TRIM(Raw_Data!D2455))="Gb",PROPER(TRIM(Raw_Data!D2455))="United kingdom"),"United Kingdom",PROPER(TRIM(Raw_Data!D2455)))</f>
        <v>United Kingdom</v>
      </c>
      <c r="E2455" s="6" t="s">
        <v>52</v>
      </c>
      <c r="F2455" s="6" t="s">
        <v>47</v>
      </c>
      <c r="G2455" s="6" t="str">
        <f>SUBSTITUTE(Raw_Data!G2455,"Ã©","é")</f>
        <v>Trail Softshell</v>
      </c>
      <c r="H2455" s="6">
        <v>2</v>
      </c>
      <c r="I2455" s="6" t="s">
        <v>79</v>
      </c>
      <c r="J2455" s="6" t="s">
        <v>259</v>
      </c>
      <c r="K2455" s="6">
        <v>8.5000000000000006E-2</v>
      </c>
      <c r="L2455" s="6" t="s">
        <v>42</v>
      </c>
      <c r="M2455" s="6" t="s">
        <v>34</v>
      </c>
      <c r="N2455" s="6"/>
    </row>
    <row r="2456" spans="1:14">
      <c r="A2456" s="6" t="s">
        <v>3981</v>
      </c>
      <c r="B2456" s="7">
        <v>46118</v>
      </c>
      <c r="C2456" s="6" t="s">
        <v>3982</v>
      </c>
      <c r="D2456" s="6" t="str">
        <f>IF(OR(PROPER(TRIM(Raw_Data!D2456))="Uk",PROPER(TRIM(Raw_Data!D2456))="Gb",PROPER(TRIM(Raw_Data!D2456))="United kingdom"),"United Kingdom",PROPER(TRIM(Raw_Data!D2456)))</f>
        <v>United Kingdom</v>
      </c>
      <c r="E2456" s="6" t="s">
        <v>37</v>
      </c>
      <c r="F2456" s="6" t="s">
        <v>58</v>
      </c>
      <c r="G2456" s="6" t="str">
        <f>SUBSTITUTE(Raw_Data!G2456,"Ã©","é")</f>
        <v>Fell Runner Cap</v>
      </c>
      <c r="H2456" s="6">
        <v>2</v>
      </c>
      <c r="I2456" s="6" t="s">
        <v>490</v>
      </c>
      <c r="J2456" s="6" t="s">
        <v>297</v>
      </c>
      <c r="K2456" s="6">
        <v>0.38</v>
      </c>
      <c r="L2456" s="6" t="s">
        <v>42</v>
      </c>
      <c r="M2456" s="6" t="s">
        <v>34</v>
      </c>
      <c r="N2456" s="6"/>
    </row>
    <row r="2457" spans="1:14">
      <c r="A2457" s="6" t="s">
        <v>3983</v>
      </c>
      <c r="B2457" s="7">
        <v>46141</v>
      </c>
      <c r="C2457" s="6" t="s">
        <v>470</v>
      </c>
      <c r="D2457" s="6" t="str">
        <f>IF(OR(PROPER(TRIM(Raw_Data!D2457))="Uk",PROPER(TRIM(Raw_Data!D2457))="Gb",PROPER(TRIM(Raw_Data!D2457))="United kingdom"),"United Kingdom",PROPER(TRIM(Raw_Data!D2457)))</f>
        <v>United Kingdom</v>
      </c>
      <c r="E2457" s="6" t="s">
        <v>46</v>
      </c>
      <c r="F2457" s="6" t="s">
        <v>94</v>
      </c>
      <c r="G2457" s="6" t="str">
        <f>SUBSTITUTE(Raw_Data!G2457,"Ã©","é")</f>
        <v>Storm Overtrousers</v>
      </c>
      <c r="H2457" s="6">
        <v>2</v>
      </c>
      <c r="I2457" s="6" t="s">
        <v>82</v>
      </c>
      <c r="J2457" s="6" t="s">
        <v>297</v>
      </c>
      <c r="K2457" s="6">
        <v>0.34</v>
      </c>
      <c r="L2457" s="6" t="s">
        <v>42</v>
      </c>
      <c r="M2457" s="6" t="s">
        <v>34</v>
      </c>
      <c r="N2457" s="6"/>
    </row>
    <row r="2458" spans="1:14">
      <c r="A2458" s="6" t="s">
        <v>3984</v>
      </c>
      <c r="B2458" s="7">
        <v>46199</v>
      </c>
      <c r="C2458" s="6" t="s">
        <v>771</v>
      </c>
      <c r="D2458" s="6" t="str">
        <f>IF(OR(PROPER(TRIM(Raw_Data!D2458))="Uk",PROPER(TRIM(Raw_Data!D2458))="Gb",PROPER(TRIM(Raw_Data!D2458))="United kingdom"),"United Kingdom",PROPER(TRIM(Raw_Data!D2458)))</f>
        <v>United Kingdom</v>
      </c>
      <c r="E2458" s="6" t="s">
        <v>46</v>
      </c>
      <c r="F2458" s="6" t="s">
        <v>94</v>
      </c>
      <c r="G2458" s="6" t="str">
        <f>SUBSTITUTE(Raw_Data!G2458,"Ã©","é")</f>
        <v>Alpine Jacket</v>
      </c>
      <c r="H2458" s="6">
        <v>1</v>
      </c>
      <c r="I2458" s="6" t="s">
        <v>31</v>
      </c>
      <c r="J2458" s="6" t="s">
        <v>31</v>
      </c>
      <c r="K2458" s="6">
        <v>0.34</v>
      </c>
      <c r="L2458" s="6" t="s">
        <v>42</v>
      </c>
      <c r="M2458" s="6" t="s">
        <v>69</v>
      </c>
      <c r="N2458" s="6"/>
    </row>
    <row r="2459" spans="1:14">
      <c r="A2459" s="6" t="s">
        <v>3985</v>
      </c>
      <c r="B2459" s="7">
        <v>46134</v>
      </c>
      <c r="C2459" s="6" t="s">
        <v>436</v>
      </c>
      <c r="D2459" s="6" t="str">
        <f>IF(OR(PROPER(TRIM(Raw_Data!D2459))="Uk",PROPER(TRIM(Raw_Data!D2459))="Gb",PROPER(TRIM(Raw_Data!D2459))="United kingdom"),"United Kingdom",PROPER(TRIM(Raw_Data!D2459)))</f>
        <v>United Kingdom</v>
      </c>
      <c r="E2459" s="6" t="s">
        <v>37</v>
      </c>
      <c r="F2459" s="6" t="s">
        <v>38</v>
      </c>
      <c r="G2459" s="6" t="str">
        <f>SUBSTITUTE(Raw_Data!G2459,"Ã©","é")</f>
        <v>Café Latte Mug</v>
      </c>
      <c r="H2459" s="6">
        <v>1</v>
      </c>
      <c r="I2459" s="6" t="s">
        <v>31</v>
      </c>
      <c r="J2459" s="6" t="s">
        <v>31</v>
      </c>
      <c r="K2459" s="6">
        <v>0.52</v>
      </c>
      <c r="L2459" s="6" t="s">
        <v>33</v>
      </c>
      <c r="M2459" s="6" t="s">
        <v>69</v>
      </c>
      <c r="N2459" s="6"/>
    </row>
    <row r="2460" spans="1:14">
      <c r="A2460" s="6" t="s">
        <v>3986</v>
      </c>
      <c r="B2460" s="7">
        <v>46207</v>
      </c>
      <c r="C2460" s="6" t="s">
        <v>1420</v>
      </c>
      <c r="D2460" s="6" t="str">
        <f>IF(OR(PROPER(TRIM(Raw_Data!D2460))="Uk",PROPER(TRIM(Raw_Data!D2460))="Gb",PROPER(TRIM(Raw_Data!D2460))="United kingdom"),"United Kingdom",PROPER(TRIM(Raw_Data!D2460)))</f>
        <v>United Kingdom</v>
      </c>
      <c r="E2460" s="6" t="s">
        <v>46</v>
      </c>
      <c r="F2460" s="6" t="s">
        <v>47</v>
      </c>
      <c r="G2460" s="6" t="str">
        <f>SUBSTITUTE(Raw_Data!G2460,"Ã©","é")</f>
        <v>Trail Softshell</v>
      </c>
      <c r="H2460" s="6">
        <v>-1</v>
      </c>
      <c r="I2460" s="6" t="s">
        <v>60</v>
      </c>
      <c r="J2460" s="8" t="s">
        <v>3014</v>
      </c>
      <c r="K2460" s="6">
        <v>8.5000000000000006E-2</v>
      </c>
      <c r="L2460" s="6" t="s">
        <v>42</v>
      </c>
      <c r="M2460" s="6" t="s">
        <v>34</v>
      </c>
      <c r="N2460" s="6"/>
    </row>
    <row r="2461" spans="1:14">
      <c r="A2461" s="6" t="s">
        <v>3987</v>
      </c>
      <c r="B2461" s="7">
        <v>46104</v>
      </c>
      <c r="C2461" s="6" t="s">
        <v>3988</v>
      </c>
      <c r="D2461" s="6" t="str">
        <f>IF(OR(PROPER(TRIM(Raw_Data!D2461))="Uk",PROPER(TRIM(Raw_Data!D2461))="Gb",PROPER(TRIM(Raw_Data!D2461))="United kingdom"),"United Kingdom",PROPER(TRIM(Raw_Data!D2461)))</f>
        <v>Ireland</v>
      </c>
      <c r="E2461" s="6" t="s">
        <v>78</v>
      </c>
      <c r="F2461" s="6" t="s">
        <v>47</v>
      </c>
      <c r="G2461" s="6" t="str">
        <f>SUBSTITUTE(Raw_Data!G2461,"Ã©","é")</f>
        <v>Fell Runner Cap</v>
      </c>
      <c r="H2461" s="6">
        <v>2</v>
      </c>
      <c r="I2461" s="6" t="s">
        <v>113</v>
      </c>
      <c r="J2461" s="6" t="s">
        <v>192</v>
      </c>
      <c r="K2461" s="6">
        <v>8.5000000000000006E-2</v>
      </c>
      <c r="L2461" s="6" t="s">
        <v>42</v>
      </c>
      <c r="M2461" s="6" t="s">
        <v>34</v>
      </c>
      <c r="N2461" s="6"/>
    </row>
    <row r="2462" spans="1:14">
      <c r="A2462" s="6" t="s">
        <v>3989</v>
      </c>
      <c r="B2462" s="7">
        <v>46300</v>
      </c>
      <c r="C2462" s="6" t="s">
        <v>3355</v>
      </c>
      <c r="D2462" s="6" t="str">
        <f>IF(OR(PROPER(TRIM(Raw_Data!D2462))="Uk",PROPER(TRIM(Raw_Data!D2462))="Gb",PROPER(TRIM(Raw_Data!D2462))="United kingdom"),"United Kingdom",PROPER(TRIM(Raw_Data!D2462)))</f>
        <v>United Kingdom</v>
      </c>
      <c r="E2462" s="6" t="s">
        <v>52</v>
      </c>
      <c r="F2462" s="6" t="s">
        <v>53</v>
      </c>
      <c r="G2462" s="6" t="str">
        <f>SUBSTITUTE(Raw_Data!G2462,"Ã©","é")</f>
        <v>Storm Overtrousers</v>
      </c>
      <c r="H2462" s="6">
        <v>1</v>
      </c>
      <c r="I2462" s="6" t="s">
        <v>31</v>
      </c>
      <c r="J2462" s="6" t="s">
        <v>231</v>
      </c>
      <c r="K2462" s="6">
        <v>0.19</v>
      </c>
      <c r="L2462" s="6" t="s">
        <v>42</v>
      </c>
      <c r="M2462" s="6" t="s">
        <v>34</v>
      </c>
      <c r="N2462" s="6"/>
    </row>
    <row r="2463" spans="1:14">
      <c r="A2463" s="6" t="s">
        <v>3990</v>
      </c>
      <c r="B2463" s="7">
        <v>46149</v>
      </c>
      <c r="C2463" s="6" t="s">
        <v>3964</v>
      </c>
      <c r="D2463" s="6" t="str">
        <f>IF(OR(PROPER(TRIM(Raw_Data!D2463))="Uk",PROPER(TRIM(Raw_Data!D2463))="Gb",PROPER(TRIM(Raw_Data!D2463))="United kingdom"),"United Kingdom",PROPER(TRIM(Raw_Data!D2463)))</f>
        <v>France</v>
      </c>
      <c r="E2463" s="6" t="s">
        <v>28</v>
      </c>
      <c r="F2463" s="6" t="s">
        <v>38</v>
      </c>
      <c r="G2463" s="6" t="str">
        <f>SUBSTITUTE(Raw_Data!G2463,"Ã©","é")</f>
        <v>Trail Softshell</v>
      </c>
      <c r="H2463" s="6">
        <v>3</v>
      </c>
      <c r="I2463" s="6" t="s">
        <v>67</v>
      </c>
      <c r="J2463" s="6" t="s">
        <v>68</v>
      </c>
      <c r="K2463" s="6">
        <v>0.52</v>
      </c>
      <c r="L2463" s="6" t="s">
        <v>42</v>
      </c>
      <c r="M2463" s="6" t="s">
        <v>34</v>
      </c>
      <c r="N2463" s="6"/>
    </row>
    <row r="2464" spans="1:14">
      <c r="A2464" s="6" t="s">
        <v>3991</v>
      </c>
      <c r="B2464" s="7">
        <v>46202</v>
      </c>
      <c r="C2464" s="6" t="s">
        <v>1228</v>
      </c>
      <c r="D2464" s="6" t="str">
        <f>IF(OR(PROPER(TRIM(Raw_Data!D2464))="Uk",PROPER(TRIM(Raw_Data!D2464))="Gb",PROPER(TRIM(Raw_Data!D2464))="United kingdom"),"United Kingdom",PROPER(TRIM(Raw_Data!D2464)))</f>
        <v>United Kingdom</v>
      </c>
      <c r="E2464" s="6" t="s">
        <v>37</v>
      </c>
      <c r="F2464" s="6" t="s">
        <v>47</v>
      </c>
      <c r="G2464" s="6" t="str">
        <f>SUBSTITUTE(Raw_Data!G2464,"Ã©","é")</f>
        <v>Summit Down Gilet</v>
      </c>
      <c r="H2464" s="6">
        <v>1</v>
      </c>
      <c r="I2464" s="6" t="s">
        <v>96</v>
      </c>
      <c r="J2464" s="6" t="s">
        <v>96</v>
      </c>
      <c r="K2464" s="6">
        <v>8.5000000000000006E-2</v>
      </c>
      <c r="L2464" s="6" t="s">
        <v>42</v>
      </c>
      <c r="M2464" s="6" t="s">
        <v>34</v>
      </c>
      <c r="N2464" s="6"/>
    </row>
    <row r="2465" spans="1:14">
      <c r="A2465" s="6" t="s">
        <v>3992</v>
      </c>
      <c r="B2465" s="7">
        <v>46079</v>
      </c>
      <c r="C2465" s="6" t="s">
        <v>1070</v>
      </c>
      <c r="D2465" s="6" t="str">
        <f>IF(OR(PROPER(TRIM(Raw_Data!D2465))="Uk",PROPER(TRIM(Raw_Data!D2465))="Gb",PROPER(TRIM(Raw_Data!D2465))="United kingdom"),"United Kingdom",PROPER(TRIM(Raw_Data!D2465)))</f>
        <v>United Kingdom</v>
      </c>
      <c r="E2465" s="6" t="s">
        <v>52</v>
      </c>
      <c r="F2465" s="6" t="s">
        <v>100</v>
      </c>
      <c r="G2465" s="6" t="str">
        <f>SUBSTITUTE(Raw_Data!G2465,"Ã©","é")</f>
        <v>Fell Runner Cap</v>
      </c>
      <c r="H2465" s="6">
        <v>3</v>
      </c>
      <c r="I2465" s="6" t="s">
        <v>117</v>
      </c>
      <c r="J2465" s="6" t="s">
        <v>171</v>
      </c>
      <c r="K2465" s="6">
        <v>0.64</v>
      </c>
      <c r="L2465" s="6" t="s">
        <v>42</v>
      </c>
      <c r="M2465" s="6" t="s">
        <v>34</v>
      </c>
      <c r="N2465" s="6"/>
    </row>
    <row r="2466" spans="1:14">
      <c r="A2466" s="6" t="s">
        <v>3993</v>
      </c>
      <c r="B2466" s="7">
        <v>46058</v>
      </c>
      <c r="C2466" s="6" t="s">
        <v>2753</v>
      </c>
      <c r="D2466" s="6" t="str">
        <f>IF(OR(PROPER(TRIM(Raw_Data!D2466))="Uk",PROPER(TRIM(Raw_Data!D2466))="Gb",PROPER(TRIM(Raw_Data!D2466))="United kingdom"),"United Kingdom",PROPER(TRIM(Raw_Data!D2466)))</f>
        <v>United Kingdom</v>
      </c>
      <c r="E2466" s="6" t="s">
        <v>28</v>
      </c>
      <c r="F2466" s="6" t="s">
        <v>58</v>
      </c>
      <c r="G2466" s="6" t="str">
        <f>SUBSTITUTE(Raw_Data!G2466,"Ã©","é")</f>
        <v>Trekking Poles</v>
      </c>
      <c r="H2466" s="6">
        <v>3</v>
      </c>
      <c r="I2466" s="6" t="s">
        <v>117</v>
      </c>
      <c r="J2466" s="6" t="s">
        <v>171</v>
      </c>
      <c r="K2466" s="6">
        <v>0.38</v>
      </c>
      <c r="L2466" s="6" t="s">
        <v>42</v>
      </c>
      <c r="M2466" s="6" t="s">
        <v>69</v>
      </c>
      <c r="N2466" s="6"/>
    </row>
    <row r="2467" spans="1:14">
      <c r="A2467" s="6" t="s">
        <v>3994</v>
      </c>
      <c r="B2467" s="7">
        <v>46357</v>
      </c>
      <c r="C2467" s="6" t="s">
        <v>570</v>
      </c>
      <c r="D2467" s="6" t="str">
        <f>IF(OR(PROPER(TRIM(Raw_Data!D2467))="Uk",PROPER(TRIM(Raw_Data!D2467))="Gb",PROPER(TRIM(Raw_Data!D2467))="United kingdom"),"United Kingdom",PROPER(TRIM(Raw_Data!D2467)))</f>
        <v>United Kingdom</v>
      </c>
      <c r="E2467" s="6" t="s">
        <v>52</v>
      </c>
      <c r="F2467" s="6" t="s">
        <v>58</v>
      </c>
      <c r="G2467" s="6" t="str">
        <f>SUBSTITUTE(Raw_Data!G2467,"Ã©","é")</f>
        <v>Trekking Poles</v>
      </c>
      <c r="H2467" s="6">
        <v>3</v>
      </c>
      <c r="I2467" s="6" t="s">
        <v>265</v>
      </c>
      <c r="J2467" s="6" t="s">
        <v>401</v>
      </c>
      <c r="K2467" s="6">
        <v>0.38</v>
      </c>
      <c r="L2467" s="6" t="s">
        <v>42</v>
      </c>
      <c r="M2467" s="6" t="s">
        <v>34</v>
      </c>
      <c r="N2467" s="6"/>
    </row>
    <row r="2468" spans="1:14">
      <c r="A2468" s="6" t="s">
        <v>3995</v>
      </c>
      <c r="B2468" s="7">
        <v>46127</v>
      </c>
      <c r="C2468" s="6" t="s">
        <v>2770</v>
      </c>
      <c r="D2468" s="6" t="str">
        <f>IF(OR(PROPER(TRIM(Raw_Data!D2468))="Uk",PROPER(TRIM(Raw_Data!D2468))="Gb",PROPER(TRIM(Raw_Data!D2468))="United kingdom"),"United Kingdom",PROPER(TRIM(Raw_Data!D2468)))</f>
        <v>United Kingdom</v>
      </c>
      <c r="E2468" s="6" t="s">
        <v>28</v>
      </c>
      <c r="F2468" s="6" t="s">
        <v>94</v>
      </c>
      <c r="G2468" s="6" t="str">
        <f>SUBSTITUTE(Raw_Data!G2468,"Ã©","é")</f>
        <v>Storm Overtrousers</v>
      </c>
      <c r="H2468" s="6">
        <v>1</v>
      </c>
      <c r="I2468" s="6" t="s">
        <v>265</v>
      </c>
      <c r="J2468" s="6" t="s">
        <v>3832</v>
      </c>
      <c r="K2468" s="6">
        <v>0.34</v>
      </c>
      <c r="L2468" s="6" t="s">
        <v>42</v>
      </c>
      <c r="M2468" s="6" t="s">
        <v>34</v>
      </c>
      <c r="N2468" s="6"/>
    </row>
    <row r="2469" spans="1:14">
      <c r="A2469" s="6" t="s">
        <v>3996</v>
      </c>
      <c r="B2469" s="7">
        <v>46044</v>
      </c>
      <c r="C2469" s="6" t="s">
        <v>550</v>
      </c>
      <c r="D2469" s="6" t="str">
        <f>IF(OR(PROPER(TRIM(Raw_Data!D2469))="Uk",PROPER(TRIM(Raw_Data!D2469))="Gb",PROPER(TRIM(Raw_Data!D2469))="United kingdom"),"United Kingdom",PROPER(TRIM(Raw_Data!D2469)))</f>
        <v>Ireland</v>
      </c>
      <c r="E2469" s="6" t="s">
        <v>28</v>
      </c>
      <c r="F2469" s="6" t="s">
        <v>53</v>
      </c>
      <c r="G2469" s="6" t="str">
        <f>SUBSTITUTE(Raw_Data!G2469,"Ã©","é")</f>
        <v>Merino Base Layer</v>
      </c>
      <c r="H2469" s="6">
        <v>1</v>
      </c>
      <c r="I2469" s="6" t="s">
        <v>265</v>
      </c>
      <c r="J2469" s="6" t="s">
        <v>265</v>
      </c>
      <c r="K2469" s="6">
        <v>0.19</v>
      </c>
      <c r="L2469" s="6" t="s">
        <v>42</v>
      </c>
      <c r="M2469" s="6" t="s">
        <v>34</v>
      </c>
      <c r="N2469" s="6"/>
    </row>
    <row r="2470" spans="1:14">
      <c r="A2470" s="6" t="s">
        <v>3997</v>
      </c>
      <c r="B2470" s="7">
        <v>46045</v>
      </c>
      <c r="C2470" s="6" t="s">
        <v>3998</v>
      </c>
      <c r="D2470" s="6" t="str">
        <f>IF(OR(PROPER(TRIM(Raw_Data!D2470))="Uk",PROPER(TRIM(Raw_Data!D2470))="Gb",PROPER(TRIM(Raw_Data!D2470))="United kingdom"),"United Kingdom",PROPER(TRIM(Raw_Data!D2470)))</f>
        <v>United Kingdom</v>
      </c>
      <c r="E2470" s="6" t="s">
        <v>78</v>
      </c>
      <c r="F2470" s="6" t="s">
        <v>53</v>
      </c>
      <c r="G2470" s="6" t="str">
        <f>SUBSTITUTE(Raw_Data!G2470,"Ã©","é")</f>
        <v>Alpine Jacket</v>
      </c>
      <c r="H2470" s="6">
        <v>1</v>
      </c>
      <c r="I2470" s="6" t="s">
        <v>90</v>
      </c>
      <c r="J2470" s="6" t="s">
        <v>90</v>
      </c>
      <c r="K2470" s="6">
        <v>0.19</v>
      </c>
      <c r="L2470" s="6" t="s">
        <v>42</v>
      </c>
      <c r="M2470" s="6" t="s">
        <v>34</v>
      </c>
      <c r="N2470" s="6"/>
    </row>
    <row r="2471" spans="1:14">
      <c r="A2471" s="6" t="s">
        <v>3999</v>
      </c>
      <c r="B2471" s="7">
        <v>46059</v>
      </c>
      <c r="C2471" s="6" t="s">
        <v>1929</v>
      </c>
      <c r="D2471" s="6" t="str">
        <f>IF(OR(PROPER(TRIM(Raw_Data!D2471))="Uk",PROPER(TRIM(Raw_Data!D2471))="Gb",PROPER(TRIM(Raw_Data!D2471))="United kingdom"),"United Kingdom",PROPER(TRIM(Raw_Data!D2471)))</f>
        <v>United Kingdom</v>
      </c>
      <c r="E2471" s="6" t="s">
        <v>46</v>
      </c>
      <c r="F2471" s="6" t="s">
        <v>53</v>
      </c>
      <c r="G2471" s="6" t="str">
        <f>SUBSTITUTE(Raw_Data!G2471,"Ã©","é")</f>
        <v>Storm Overtrousers</v>
      </c>
      <c r="H2471" s="6">
        <v>1</v>
      </c>
      <c r="I2471" s="6" t="s">
        <v>60</v>
      </c>
      <c r="J2471" s="6" t="s">
        <v>1508</v>
      </c>
      <c r="K2471" s="6">
        <v>0.19</v>
      </c>
      <c r="L2471" s="6" t="s">
        <v>42</v>
      </c>
      <c r="M2471" s="6" t="s">
        <v>69</v>
      </c>
      <c r="N2471" s="6"/>
    </row>
    <row r="2472" spans="1:14">
      <c r="A2472" s="6" t="s">
        <v>4000</v>
      </c>
      <c r="B2472" s="7">
        <v>46209</v>
      </c>
      <c r="C2472" s="6" t="s">
        <v>1499</v>
      </c>
      <c r="D2472" s="6" t="str">
        <f>IF(OR(PROPER(TRIM(Raw_Data!D2472))="Uk",PROPER(TRIM(Raw_Data!D2472))="Gb",PROPER(TRIM(Raw_Data!D2472))="United kingdom"),"United Kingdom",PROPER(TRIM(Raw_Data!D2472)))</f>
        <v>United Kingdom</v>
      </c>
      <c r="E2472" s="6" t="s">
        <v>52</v>
      </c>
      <c r="F2472" s="6" t="s">
        <v>29</v>
      </c>
      <c r="G2472" s="6" t="str">
        <f>SUBSTITUTE(Raw_Data!G2472,"Ã©","é")</f>
        <v>Storm Overtrousers</v>
      </c>
      <c r="H2472" s="6">
        <v>3</v>
      </c>
      <c r="I2472" s="6" t="s">
        <v>113</v>
      </c>
      <c r="J2472" s="6" t="s">
        <v>138</v>
      </c>
      <c r="K2472" s="6">
        <v>0.52</v>
      </c>
      <c r="L2472" s="6" t="s">
        <v>42</v>
      </c>
      <c r="M2472" s="6" t="s">
        <v>34</v>
      </c>
      <c r="N2472" s="6"/>
    </row>
    <row r="2473" spans="1:14">
      <c r="A2473" s="6" t="s">
        <v>4001</v>
      </c>
      <c r="B2473" s="7">
        <v>46040</v>
      </c>
      <c r="C2473" s="6" t="s">
        <v>1889</v>
      </c>
      <c r="D2473" s="6" t="str">
        <f>IF(OR(PROPER(TRIM(Raw_Data!D2473))="Uk",PROPER(TRIM(Raw_Data!D2473))="Gb",PROPER(TRIM(Raw_Data!D2473))="United kingdom"),"United Kingdom",PROPER(TRIM(Raw_Data!D2473)))</f>
        <v>United Kingdom</v>
      </c>
      <c r="E2473" s="6" t="s">
        <v>78</v>
      </c>
      <c r="F2473" s="6" t="s">
        <v>38</v>
      </c>
      <c r="G2473" s="6" t="str">
        <f>SUBSTITUTE(Raw_Data!G2473,"Ã©","é")</f>
        <v>Fell Runner Cap</v>
      </c>
      <c r="H2473" s="6">
        <v>1</v>
      </c>
      <c r="I2473" s="6" t="s">
        <v>60</v>
      </c>
      <c r="J2473" s="6" t="s">
        <v>60</v>
      </c>
      <c r="K2473" s="6">
        <v>0.52</v>
      </c>
      <c r="L2473" s="6" t="s">
        <v>42</v>
      </c>
      <c r="M2473" s="6" t="s">
        <v>34</v>
      </c>
      <c r="N2473" s="6"/>
    </row>
    <row r="2474" spans="1:14">
      <c r="A2474" s="6" t="s">
        <v>4002</v>
      </c>
      <c r="B2474" s="7">
        <v>46267</v>
      </c>
      <c r="C2474" s="6" t="s">
        <v>3438</v>
      </c>
      <c r="D2474" s="6" t="str">
        <f>IF(OR(PROPER(TRIM(Raw_Data!D2474))="Uk",PROPER(TRIM(Raw_Data!D2474))="Gb",PROPER(TRIM(Raw_Data!D2474))="United kingdom"),"United Kingdom",PROPER(TRIM(Raw_Data!D2474)))</f>
        <v>United Kingdom</v>
      </c>
      <c r="E2474" s="6" t="s">
        <v>78</v>
      </c>
      <c r="F2474" s="6" t="s">
        <v>85</v>
      </c>
      <c r="G2474" s="6" t="str">
        <f>SUBSTITUTE(Raw_Data!G2474,"Ã©","é")</f>
        <v>Storm Overtrousers</v>
      </c>
      <c r="H2474" s="6">
        <v>2</v>
      </c>
      <c r="I2474" s="6" t="s">
        <v>143</v>
      </c>
      <c r="J2474" s="6" t="s">
        <v>144</v>
      </c>
      <c r="K2474" s="6">
        <v>0.41</v>
      </c>
      <c r="L2474" s="6" t="s">
        <v>42</v>
      </c>
      <c r="M2474" s="6" t="s">
        <v>34</v>
      </c>
      <c r="N2474" s="6"/>
    </row>
    <row r="2475" spans="1:14">
      <c r="A2475" s="6" t="s">
        <v>4003</v>
      </c>
      <c r="B2475" s="7">
        <v>46100</v>
      </c>
      <c r="C2475" s="6" t="s">
        <v>2770</v>
      </c>
      <c r="D2475" s="6" t="str">
        <f>IF(OR(PROPER(TRIM(Raw_Data!D2475))="Uk",PROPER(TRIM(Raw_Data!D2475))="Gb",PROPER(TRIM(Raw_Data!D2475))="United kingdom"),"United Kingdom",PROPER(TRIM(Raw_Data!D2475)))</f>
        <v>United Kingdom</v>
      </c>
      <c r="E2475" s="6" t="s">
        <v>46</v>
      </c>
      <c r="F2475" s="6" t="s">
        <v>47</v>
      </c>
      <c r="G2475" s="6" t="str">
        <f>SUBSTITUTE(Raw_Data!G2475,"Ã©","é")</f>
        <v>Fell Runner Cap</v>
      </c>
      <c r="H2475" s="6">
        <v>1</v>
      </c>
      <c r="I2475" s="6" t="s">
        <v>40</v>
      </c>
      <c r="J2475" s="6" t="s">
        <v>40</v>
      </c>
      <c r="K2475" s="6">
        <v>8.5000000000000006E-2</v>
      </c>
      <c r="L2475" s="6" t="s">
        <v>33</v>
      </c>
      <c r="M2475" s="6" t="s">
        <v>69</v>
      </c>
      <c r="N2475" s="6"/>
    </row>
    <row r="2476" spans="1:14">
      <c r="A2476" s="6" t="s">
        <v>4004</v>
      </c>
      <c r="B2476" s="7">
        <v>46079</v>
      </c>
      <c r="C2476" s="6" t="s">
        <v>1139</v>
      </c>
      <c r="D2476" s="6" t="str">
        <f>IF(OR(PROPER(TRIM(Raw_Data!D2476))="Uk",PROPER(TRIM(Raw_Data!D2476))="Gb",PROPER(TRIM(Raw_Data!D2476))="United kingdom"),"United Kingdom",PROPER(TRIM(Raw_Data!D2476)))</f>
        <v>United Kingdom</v>
      </c>
      <c r="E2476" s="6" t="s">
        <v>28</v>
      </c>
      <c r="F2476" s="6" t="s">
        <v>85</v>
      </c>
      <c r="G2476" s="6" t="str">
        <f>SUBSTITUTE(Raw_Data!G2476,"Ã©","é")</f>
        <v>Merino Base Layer</v>
      </c>
      <c r="H2476" s="6">
        <v>1</v>
      </c>
      <c r="I2476" s="6" t="s">
        <v>113</v>
      </c>
      <c r="J2476" s="6" t="s">
        <v>113</v>
      </c>
      <c r="K2476" s="6">
        <v>0.41</v>
      </c>
      <c r="L2476" s="6" t="s">
        <v>33</v>
      </c>
      <c r="M2476" s="6" t="s">
        <v>34</v>
      </c>
      <c r="N2476" s="6"/>
    </row>
    <row r="2477" spans="1:14">
      <c r="A2477" s="6" t="s">
        <v>4005</v>
      </c>
      <c r="B2477" s="7">
        <v>46083</v>
      </c>
      <c r="C2477" s="6" t="s">
        <v>2849</v>
      </c>
      <c r="D2477" s="6" t="str">
        <f>IF(OR(PROPER(TRIM(Raw_Data!D2477))="Uk",PROPER(TRIM(Raw_Data!D2477))="Gb",PROPER(TRIM(Raw_Data!D2477))="United kingdom"),"United Kingdom",PROPER(TRIM(Raw_Data!D2477)))</f>
        <v>United Kingdom</v>
      </c>
      <c r="E2477" s="6" t="s">
        <v>78</v>
      </c>
      <c r="F2477" s="6" t="s">
        <v>47</v>
      </c>
      <c r="G2477" s="6" t="str">
        <f>SUBSTITUTE(Raw_Data!G2477,"Ã©","é")</f>
        <v>Trail Softshell</v>
      </c>
      <c r="H2477" s="6">
        <v>1</v>
      </c>
      <c r="I2477" s="6" t="s">
        <v>79</v>
      </c>
      <c r="J2477" s="6" t="s">
        <v>79</v>
      </c>
      <c r="K2477" s="6">
        <v>8.5000000000000006E-2</v>
      </c>
      <c r="L2477" s="6" t="s">
        <v>42</v>
      </c>
      <c r="M2477" s="6" t="s">
        <v>34</v>
      </c>
      <c r="N2477" s="6"/>
    </row>
    <row r="2478" spans="1:14">
      <c r="A2478" s="6" t="s">
        <v>4006</v>
      </c>
      <c r="B2478" s="7">
        <v>46240</v>
      </c>
      <c r="C2478" s="6" t="s">
        <v>36</v>
      </c>
      <c r="D2478" s="6" t="str">
        <f>IF(OR(PROPER(TRIM(Raw_Data!D2478))="Uk",PROPER(TRIM(Raw_Data!D2478))="Gb",PROPER(TRIM(Raw_Data!D2478))="United kingdom"),"United Kingdom",PROPER(TRIM(Raw_Data!D2478)))</f>
        <v>United Kingdom</v>
      </c>
      <c r="E2478" s="6" t="s">
        <v>78</v>
      </c>
      <c r="F2478" s="6" t="s">
        <v>58</v>
      </c>
      <c r="G2478" s="6" t="str">
        <f>SUBSTITUTE(Raw_Data!G2478,"Ã©","é")</f>
        <v>Trekking Poles</v>
      </c>
      <c r="H2478" s="6">
        <v>2</v>
      </c>
      <c r="I2478" s="6" t="s">
        <v>73</v>
      </c>
      <c r="J2478" s="6" t="s">
        <v>74</v>
      </c>
      <c r="K2478" s="6">
        <v>0.38</v>
      </c>
      <c r="L2478" s="6" t="s">
        <v>42</v>
      </c>
      <c r="M2478" s="6" t="s">
        <v>34</v>
      </c>
      <c r="N2478" s="6"/>
    </row>
    <row r="2479" spans="1:14">
      <c r="A2479" s="6" t="s">
        <v>4007</v>
      </c>
      <c r="B2479" s="7">
        <v>46359</v>
      </c>
      <c r="C2479" s="6" t="s">
        <v>3960</v>
      </c>
      <c r="D2479" s="6" t="str">
        <f>IF(OR(PROPER(TRIM(Raw_Data!D2479))="Uk",PROPER(TRIM(Raw_Data!D2479))="Gb",PROPER(TRIM(Raw_Data!D2479))="United kingdom"),"United Kingdom",PROPER(TRIM(Raw_Data!D2479)))</f>
        <v>United Kingdom</v>
      </c>
      <c r="E2479" s="6" t="s">
        <v>37</v>
      </c>
      <c r="F2479" s="6" t="s">
        <v>94</v>
      </c>
      <c r="G2479" s="6" t="str">
        <f>SUBSTITUTE(Raw_Data!G2479,"Ã©","é")</f>
        <v>Trail Softshell</v>
      </c>
      <c r="H2479" s="6">
        <v>2</v>
      </c>
      <c r="I2479" s="6" t="s">
        <v>143</v>
      </c>
      <c r="J2479" s="6" t="s">
        <v>144</v>
      </c>
      <c r="K2479" s="6">
        <v>0.34</v>
      </c>
      <c r="L2479" s="6" t="s">
        <v>42</v>
      </c>
      <c r="M2479" s="6" t="s">
        <v>34</v>
      </c>
      <c r="N2479" s="6"/>
    </row>
    <row r="2480" spans="1:14">
      <c r="A2480" s="6" t="s">
        <v>4008</v>
      </c>
      <c r="B2480" s="7">
        <v>46299</v>
      </c>
      <c r="C2480" s="6" t="s">
        <v>4009</v>
      </c>
      <c r="D2480" s="6" t="str">
        <f>IF(OR(PROPER(TRIM(Raw_Data!D2480))="Uk",PROPER(TRIM(Raw_Data!D2480))="Gb",PROPER(TRIM(Raw_Data!D2480))="United kingdom"),"United Kingdom",PROPER(TRIM(Raw_Data!D2480)))</f>
        <v>Ireland</v>
      </c>
      <c r="E2480" s="6" t="s">
        <v>28</v>
      </c>
      <c r="F2480" s="6" t="s">
        <v>47</v>
      </c>
      <c r="G2480" s="6" t="str">
        <f>SUBSTITUTE(Raw_Data!G2480,"Ã©","é")</f>
        <v>Summit Down Gilet</v>
      </c>
      <c r="H2480" s="6">
        <v>3</v>
      </c>
      <c r="I2480" s="6" t="s">
        <v>143</v>
      </c>
      <c r="J2480" s="6" t="s">
        <v>243</v>
      </c>
      <c r="K2480" s="6">
        <v>8.5000000000000006E-2</v>
      </c>
      <c r="L2480" s="6" t="s">
        <v>42</v>
      </c>
      <c r="M2480" s="6" t="s">
        <v>34</v>
      </c>
      <c r="N2480" s="6"/>
    </row>
    <row r="2481" spans="1:14">
      <c r="A2481" s="6" t="s">
        <v>4010</v>
      </c>
      <c r="B2481" s="7">
        <v>46075</v>
      </c>
      <c r="C2481" s="6" t="s">
        <v>3218</v>
      </c>
      <c r="D2481" s="6" t="str">
        <f>IF(OR(PROPER(TRIM(Raw_Data!D2481))="Uk",PROPER(TRIM(Raw_Data!D2481))="Gb",PROPER(TRIM(Raw_Data!D2481))="United kingdom"),"United Kingdom",PROPER(TRIM(Raw_Data!D2481)))</f>
        <v>United Kingdom</v>
      </c>
      <c r="E2481" s="6" t="s">
        <v>37</v>
      </c>
      <c r="F2481" s="6" t="s">
        <v>29</v>
      </c>
      <c r="G2481" s="6" t="str">
        <f>SUBSTITUTE(Raw_Data!G2481,"Ã©","é")</f>
        <v>Fell Runner Cap</v>
      </c>
      <c r="H2481" s="6">
        <v>-3</v>
      </c>
      <c r="I2481" s="6" t="s">
        <v>1004</v>
      </c>
      <c r="J2481" s="8" t="s">
        <v>3458</v>
      </c>
      <c r="K2481" s="6">
        <v>0.52</v>
      </c>
      <c r="L2481" s="6" t="s">
        <v>42</v>
      </c>
      <c r="M2481" s="6" t="s">
        <v>34</v>
      </c>
      <c r="N2481" s="6"/>
    </row>
    <row r="2482" spans="1:14">
      <c r="A2482" s="6" t="s">
        <v>4011</v>
      </c>
      <c r="B2482" s="7">
        <v>46186</v>
      </c>
      <c r="C2482" s="6" t="s">
        <v>1568</v>
      </c>
      <c r="D2482" s="6" t="str">
        <f>IF(OR(PROPER(TRIM(Raw_Data!D2482))="Uk",PROPER(TRIM(Raw_Data!D2482))="Gb",PROPER(TRIM(Raw_Data!D2482))="United kingdom"),"United Kingdom",PROPER(TRIM(Raw_Data!D2482)))</f>
        <v>United Kingdom</v>
      </c>
      <c r="E2482" s="6" t="s">
        <v>52</v>
      </c>
      <c r="F2482" s="6" t="s">
        <v>100</v>
      </c>
      <c r="G2482" s="6" t="str">
        <f>SUBSTITUTE(Raw_Data!G2482,"Ã©","é")</f>
        <v>Merino Base Layer</v>
      </c>
      <c r="H2482" s="6">
        <v>2</v>
      </c>
      <c r="I2482" s="6" t="s">
        <v>143</v>
      </c>
      <c r="J2482" s="6" t="s">
        <v>144</v>
      </c>
      <c r="K2482" s="6">
        <v>0.64</v>
      </c>
      <c r="L2482" s="6" t="s">
        <v>42</v>
      </c>
      <c r="M2482" s="6" t="s">
        <v>34</v>
      </c>
      <c r="N2482" s="6"/>
    </row>
    <row r="2483" spans="1:14">
      <c r="A2483" s="6" t="s">
        <v>4012</v>
      </c>
      <c r="B2483" s="7">
        <v>46044</v>
      </c>
      <c r="C2483" s="6" t="s">
        <v>1055</v>
      </c>
      <c r="D2483" s="6" t="str">
        <f>IF(OR(PROPER(TRIM(Raw_Data!D2483))="Uk",PROPER(TRIM(Raw_Data!D2483))="Gb",PROPER(TRIM(Raw_Data!D2483))="United kingdom"),"United Kingdom",PROPER(TRIM(Raw_Data!D2483)))</f>
        <v>United Kingdom</v>
      </c>
      <c r="E2483" s="6" t="s">
        <v>52</v>
      </c>
      <c r="F2483" s="6" t="s">
        <v>100</v>
      </c>
      <c r="G2483" s="6" t="str">
        <f>SUBSTITUTE(Raw_Data!G2483,"Ã©","é")</f>
        <v>Storm Overtrousers</v>
      </c>
      <c r="H2483" s="6">
        <v>1</v>
      </c>
      <c r="I2483" s="6" t="s">
        <v>231</v>
      </c>
      <c r="J2483" s="6" t="s">
        <v>231</v>
      </c>
      <c r="K2483" s="6">
        <v>0.64</v>
      </c>
      <c r="L2483" s="6" t="s">
        <v>42</v>
      </c>
      <c r="M2483" s="6" t="s">
        <v>34</v>
      </c>
      <c r="N2483" s="6"/>
    </row>
    <row r="2484" spans="1:14">
      <c r="A2484" s="6" t="s">
        <v>4013</v>
      </c>
      <c r="B2484" s="7">
        <v>46266</v>
      </c>
      <c r="C2484" s="6" t="s">
        <v>4014</v>
      </c>
      <c r="D2484" s="6" t="str">
        <f>IF(OR(PROPER(TRIM(Raw_Data!D2484))="Uk",PROPER(TRIM(Raw_Data!D2484))="Gb",PROPER(TRIM(Raw_Data!D2484))="United kingdom"),"United Kingdom",PROPER(TRIM(Raw_Data!D2484)))</f>
        <v>France</v>
      </c>
      <c r="E2484" s="6" t="s">
        <v>52</v>
      </c>
      <c r="F2484" s="6" t="s">
        <v>38</v>
      </c>
      <c r="G2484" s="6" t="str">
        <f>SUBSTITUTE(Raw_Data!G2484,"Ã©","é")</f>
        <v>Trail Softshell</v>
      </c>
      <c r="H2484" s="6">
        <v>2</v>
      </c>
      <c r="I2484" s="6" t="s">
        <v>90</v>
      </c>
      <c r="J2484" s="6" t="s">
        <v>154</v>
      </c>
      <c r="K2484" s="6">
        <v>0.52</v>
      </c>
      <c r="L2484" s="6" t="s">
        <v>33</v>
      </c>
      <c r="M2484" s="6" t="s">
        <v>34</v>
      </c>
      <c r="N2484" s="6"/>
    </row>
    <row r="2485" spans="1:14">
      <c r="A2485" s="6" t="s">
        <v>4015</v>
      </c>
      <c r="B2485" s="7">
        <v>46238</v>
      </c>
      <c r="C2485" s="6" t="s">
        <v>2717</v>
      </c>
      <c r="D2485" s="6" t="str">
        <f>IF(OR(PROPER(TRIM(Raw_Data!D2485))="Uk",PROPER(TRIM(Raw_Data!D2485))="Gb",PROPER(TRIM(Raw_Data!D2485))="United kingdom"),"United Kingdom",PROPER(TRIM(Raw_Data!D2485)))</f>
        <v>Ireland</v>
      </c>
      <c r="E2485" s="6" t="s">
        <v>28</v>
      </c>
      <c r="F2485" s="6" t="s">
        <v>53</v>
      </c>
      <c r="G2485" s="6" t="str">
        <f>SUBSTITUTE(Raw_Data!G2485,"Ã©","é")</f>
        <v>Storm Overtrousers</v>
      </c>
      <c r="H2485" s="6">
        <v>3</v>
      </c>
      <c r="I2485" s="6" t="s">
        <v>73</v>
      </c>
      <c r="J2485" s="6" t="s">
        <v>499</v>
      </c>
      <c r="K2485" s="6">
        <v>0.19</v>
      </c>
      <c r="L2485" s="6" t="s">
        <v>42</v>
      </c>
      <c r="M2485" s="6" t="s">
        <v>34</v>
      </c>
      <c r="N2485" s="6"/>
    </row>
    <row r="2486" spans="1:14">
      <c r="A2486" s="6" t="s">
        <v>4016</v>
      </c>
      <c r="B2486" s="7">
        <v>46066</v>
      </c>
      <c r="C2486" s="6" t="s">
        <v>4017</v>
      </c>
      <c r="D2486" s="6" t="str">
        <f>IF(OR(PROPER(TRIM(Raw_Data!D2486))="Uk",PROPER(TRIM(Raw_Data!D2486))="Gb",PROPER(TRIM(Raw_Data!D2486))="United kingdom"),"United Kingdom",PROPER(TRIM(Raw_Data!D2486)))</f>
        <v>United Kingdom</v>
      </c>
      <c r="E2486" s="6" t="s">
        <v>78</v>
      </c>
      <c r="F2486" s="6" t="s">
        <v>100</v>
      </c>
      <c r="G2486" s="6" t="str">
        <f>SUBSTITUTE(Raw_Data!G2486,"Ã©","é")</f>
        <v>Fell Runner Cap</v>
      </c>
      <c r="H2486" s="6">
        <v>1</v>
      </c>
      <c r="I2486" s="6" t="s">
        <v>117</v>
      </c>
      <c r="J2486" s="6" t="s">
        <v>73</v>
      </c>
      <c r="K2486" s="6">
        <v>0.64</v>
      </c>
      <c r="L2486" s="6" t="s">
        <v>42</v>
      </c>
      <c r="M2486" s="6" t="s">
        <v>34</v>
      </c>
      <c r="N2486" s="6"/>
    </row>
    <row r="2487" spans="1:14">
      <c r="A2487" s="6" t="s">
        <v>4018</v>
      </c>
      <c r="B2487" s="7">
        <v>46207</v>
      </c>
      <c r="C2487" s="6" t="s">
        <v>174</v>
      </c>
      <c r="D2487" s="6" t="str">
        <f>IF(OR(PROPER(TRIM(Raw_Data!D2487))="Uk",PROPER(TRIM(Raw_Data!D2487))="Gb",PROPER(TRIM(Raw_Data!D2487))="United kingdom"),"United Kingdom",PROPER(TRIM(Raw_Data!D2487)))</f>
        <v>United Kingdom</v>
      </c>
      <c r="E2487" s="6" t="s">
        <v>52</v>
      </c>
      <c r="F2487" s="6" t="s">
        <v>100</v>
      </c>
      <c r="G2487" s="6" t="str">
        <f>SUBSTITUTE(Raw_Data!G2487,"Ã©","é")</f>
        <v>Summit Down Gilet</v>
      </c>
      <c r="H2487" s="6">
        <v>1</v>
      </c>
      <c r="I2487" s="6" t="s">
        <v>265</v>
      </c>
      <c r="J2487" s="6" t="s">
        <v>265</v>
      </c>
      <c r="K2487" s="6">
        <v>0.64</v>
      </c>
      <c r="L2487" s="6" t="s">
        <v>42</v>
      </c>
      <c r="M2487" s="6" t="s">
        <v>34</v>
      </c>
      <c r="N2487" s="6"/>
    </row>
    <row r="2488" spans="1:14">
      <c r="A2488" s="6" t="s">
        <v>4019</v>
      </c>
      <c r="B2488" s="7">
        <v>46106</v>
      </c>
      <c r="C2488" s="6" t="s">
        <v>1207</v>
      </c>
      <c r="D2488" s="6" t="str">
        <f>IF(OR(PROPER(TRIM(Raw_Data!D2488))="Uk",PROPER(TRIM(Raw_Data!D2488))="Gb",PROPER(TRIM(Raw_Data!D2488))="United kingdom"),"United Kingdom",PROPER(TRIM(Raw_Data!D2488)))</f>
        <v>United Kingdom</v>
      </c>
      <c r="E2488" s="6" t="s">
        <v>37</v>
      </c>
      <c r="F2488" s="6" t="s">
        <v>85</v>
      </c>
      <c r="G2488" s="6" t="str">
        <f>SUBSTITUTE(Raw_Data!G2488,"Ã©","é")</f>
        <v>Summit Down Gilet</v>
      </c>
      <c r="H2488" s="6">
        <v>3</v>
      </c>
      <c r="I2488" s="6" t="s">
        <v>143</v>
      </c>
      <c r="J2488" s="6" t="s">
        <v>243</v>
      </c>
      <c r="K2488" s="6">
        <v>0.41</v>
      </c>
      <c r="L2488" s="6" t="s">
        <v>42</v>
      </c>
      <c r="M2488" s="6" t="s">
        <v>34</v>
      </c>
      <c r="N2488" s="6"/>
    </row>
    <row r="2489" spans="1:14">
      <c r="A2489" s="6" t="s">
        <v>4020</v>
      </c>
      <c r="B2489" s="7">
        <v>46268</v>
      </c>
      <c r="C2489" s="6" t="s">
        <v>2229</v>
      </c>
      <c r="D2489" s="6" t="str">
        <f>IF(OR(PROPER(TRIM(Raw_Data!D2489))="Uk",PROPER(TRIM(Raw_Data!D2489))="Gb",PROPER(TRIM(Raw_Data!D2489))="United kingdom"),"United Kingdom",PROPER(TRIM(Raw_Data!D2489)))</f>
        <v>United Kingdom</v>
      </c>
      <c r="E2489" s="6" t="s">
        <v>28</v>
      </c>
      <c r="F2489" s="6" t="s">
        <v>85</v>
      </c>
      <c r="G2489" s="6" t="str">
        <f>SUBSTITUTE(Raw_Data!G2489,"Ã©","é")</f>
        <v>Café Latte Mug</v>
      </c>
      <c r="H2489" s="6">
        <v>2</v>
      </c>
      <c r="I2489" s="6" t="s">
        <v>265</v>
      </c>
      <c r="J2489" s="6" t="s">
        <v>167</v>
      </c>
      <c r="K2489" s="6">
        <v>0.41</v>
      </c>
      <c r="L2489" s="6" t="s">
        <v>42</v>
      </c>
      <c r="M2489" s="6" t="s">
        <v>34</v>
      </c>
      <c r="N2489" s="6"/>
    </row>
    <row r="2490" spans="1:14">
      <c r="A2490" s="6" t="s">
        <v>4021</v>
      </c>
      <c r="B2490" s="7">
        <v>46300</v>
      </c>
      <c r="C2490" s="6" t="s">
        <v>4022</v>
      </c>
      <c r="D2490" s="6" t="str">
        <f>IF(OR(PROPER(TRIM(Raw_Data!D2490))="Uk",PROPER(TRIM(Raw_Data!D2490))="Gb",PROPER(TRIM(Raw_Data!D2490))="United kingdom"),"United Kingdom",PROPER(TRIM(Raw_Data!D2490)))</f>
        <v>United Kingdom</v>
      </c>
      <c r="E2490" s="6" t="s">
        <v>37</v>
      </c>
      <c r="F2490" s="6" t="s">
        <v>94</v>
      </c>
      <c r="G2490" s="6" t="str">
        <f>SUBSTITUTE(Raw_Data!G2490,"Ã©","é")</f>
        <v>Café Latte Mug</v>
      </c>
      <c r="H2490" s="6">
        <v>1</v>
      </c>
      <c r="I2490" s="6" t="s">
        <v>231</v>
      </c>
      <c r="J2490" s="6" t="s">
        <v>231</v>
      </c>
      <c r="K2490" s="6">
        <v>0.34</v>
      </c>
      <c r="L2490" s="6" t="s">
        <v>42</v>
      </c>
      <c r="M2490" s="6" t="s">
        <v>34</v>
      </c>
      <c r="N2490" s="6"/>
    </row>
    <row r="2491" spans="1:14">
      <c r="A2491" s="6" t="s">
        <v>4023</v>
      </c>
      <c r="B2491" s="7">
        <v>46145</v>
      </c>
      <c r="C2491" s="6" t="s">
        <v>1907</v>
      </c>
      <c r="D2491" s="6" t="str">
        <f>IF(OR(PROPER(TRIM(Raw_Data!D2491))="Uk",PROPER(TRIM(Raw_Data!D2491))="Gb",PROPER(TRIM(Raw_Data!D2491))="United kingdom"),"United Kingdom",PROPER(TRIM(Raw_Data!D2491)))</f>
        <v>France</v>
      </c>
      <c r="E2491" s="6" t="s">
        <v>78</v>
      </c>
      <c r="F2491" s="6" t="s">
        <v>38</v>
      </c>
      <c r="G2491" s="6" t="str">
        <f>SUBSTITUTE(Raw_Data!G2491,"Ã©","é")</f>
        <v>Trail Softshell</v>
      </c>
      <c r="H2491" s="6">
        <v>1</v>
      </c>
      <c r="I2491" s="6" t="s">
        <v>117</v>
      </c>
      <c r="J2491" s="6" t="s">
        <v>117</v>
      </c>
      <c r="K2491" s="6">
        <v>0.52</v>
      </c>
      <c r="L2491" s="6" t="s">
        <v>33</v>
      </c>
      <c r="M2491" s="6" t="s">
        <v>34</v>
      </c>
      <c r="N2491" s="6"/>
    </row>
    <row r="2492" spans="1:14">
      <c r="A2492" s="6" t="s">
        <v>4024</v>
      </c>
      <c r="B2492" s="7">
        <v>46055</v>
      </c>
      <c r="C2492" s="6" t="s">
        <v>3928</v>
      </c>
      <c r="D2492" s="6" t="str">
        <f>IF(OR(PROPER(TRIM(Raw_Data!D2492))="Uk",PROPER(TRIM(Raw_Data!D2492))="Gb",PROPER(TRIM(Raw_Data!D2492))="United kingdom"),"United Kingdom",PROPER(TRIM(Raw_Data!D2492)))</f>
        <v>United Kingdom</v>
      </c>
      <c r="E2492" s="6" t="s">
        <v>46</v>
      </c>
      <c r="F2492" s="6" t="s">
        <v>53</v>
      </c>
      <c r="G2492" s="6" t="str">
        <f>SUBSTITUTE(Raw_Data!G2492,"Ã©","é")</f>
        <v>Fell Runner Cap</v>
      </c>
      <c r="H2492" s="6">
        <v>2</v>
      </c>
      <c r="I2492" s="6" t="s">
        <v>60</v>
      </c>
      <c r="J2492" s="6" t="s">
        <v>189</v>
      </c>
      <c r="K2492" s="6">
        <v>0.19</v>
      </c>
      <c r="L2492" s="6" t="s">
        <v>33</v>
      </c>
      <c r="M2492" s="6" t="s">
        <v>69</v>
      </c>
      <c r="N2492" s="6"/>
    </row>
    <row r="2493" spans="1:14">
      <c r="A2493" s="6" t="s">
        <v>4025</v>
      </c>
      <c r="B2493" s="7">
        <v>46036</v>
      </c>
      <c r="C2493" s="6" t="s">
        <v>4026</v>
      </c>
      <c r="D2493" s="6" t="str">
        <f>IF(OR(PROPER(TRIM(Raw_Data!D2493))="Uk",PROPER(TRIM(Raw_Data!D2493))="Gb",PROPER(TRIM(Raw_Data!D2493))="United kingdom"),"United Kingdom",PROPER(TRIM(Raw_Data!D2493)))</f>
        <v>United Kingdom</v>
      </c>
      <c r="E2493" s="6" t="s">
        <v>28</v>
      </c>
      <c r="F2493" s="6" t="s">
        <v>38</v>
      </c>
      <c r="G2493" s="6" t="str">
        <f>SUBSTITUTE(Raw_Data!G2493,"Ã©","é")</f>
        <v>Fell Runner Cap</v>
      </c>
      <c r="H2493" s="6">
        <v>1</v>
      </c>
      <c r="I2493" s="6" t="s">
        <v>96</v>
      </c>
      <c r="J2493" s="6" t="s">
        <v>561</v>
      </c>
      <c r="K2493" s="6">
        <v>0.52</v>
      </c>
      <c r="L2493" s="6" t="s">
        <v>33</v>
      </c>
      <c r="M2493" s="6" t="s">
        <v>34</v>
      </c>
      <c r="N2493" s="6"/>
    </row>
    <row r="2494" spans="1:14">
      <c r="A2494" s="6" t="s">
        <v>4027</v>
      </c>
      <c r="B2494" s="7">
        <v>46167</v>
      </c>
      <c r="C2494" s="6" t="s">
        <v>1200</v>
      </c>
      <c r="D2494" s="6" t="str">
        <f>IF(OR(PROPER(TRIM(Raw_Data!D2494))="Uk",PROPER(TRIM(Raw_Data!D2494))="Gb",PROPER(TRIM(Raw_Data!D2494))="United kingdom"),"United Kingdom",PROPER(TRIM(Raw_Data!D2494)))</f>
        <v>United Kingdom</v>
      </c>
      <c r="E2494" s="6" t="s">
        <v>46</v>
      </c>
      <c r="F2494" s="6" t="s">
        <v>85</v>
      </c>
      <c r="G2494" s="6" t="str">
        <f>SUBSTITUTE(Raw_Data!G2494,"Ã©","é")</f>
        <v>Merino Base Layer</v>
      </c>
      <c r="H2494" s="6">
        <v>2</v>
      </c>
      <c r="I2494" s="6" t="s">
        <v>117</v>
      </c>
      <c r="J2494" s="6" t="s">
        <v>118</v>
      </c>
      <c r="K2494" s="6">
        <v>0.41</v>
      </c>
      <c r="L2494" s="6" t="s">
        <v>42</v>
      </c>
      <c r="M2494" s="6" t="s">
        <v>69</v>
      </c>
      <c r="N2494" s="6"/>
    </row>
    <row r="2495" spans="1:14">
      <c r="A2495" s="6" t="s">
        <v>4028</v>
      </c>
      <c r="B2495" s="7">
        <v>46157</v>
      </c>
      <c r="C2495" s="6" t="s">
        <v>4029</v>
      </c>
      <c r="D2495" s="6" t="str">
        <f>IF(OR(PROPER(TRIM(Raw_Data!D2495))="Uk",PROPER(TRIM(Raw_Data!D2495))="Gb",PROPER(TRIM(Raw_Data!D2495))="United kingdom"),"United Kingdom",PROPER(TRIM(Raw_Data!D2495)))</f>
        <v>France</v>
      </c>
      <c r="E2495" s="6" t="s">
        <v>46</v>
      </c>
      <c r="F2495" s="6" t="s">
        <v>100</v>
      </c>
      <c r="G2495" s="6" t="str">
        <f>SUBSTITUTE(Raw_Data!G2495,"Ã©","é")</f>
        <v>Trail Softshell</v>
      </c>
      <c r="H2495" s="6">
        <v>1</v>
      </c>
      <c r="I2495" s="6" t="s">
        <v>265</v>
      </c>
      <c r="J2495" s="6" t="s">
        <v>265</v>
      </c>
      <c r="K2495" s="6">
        <v>0.64</v>
      </c>
      <c r="L2495" s="6" t="s">
        <v>42</v>
      </c>
      <c r="M2495" s="6" t="s">
        <v>34</v>
      </c>
      <c r="N2495" s="6"/>
    </row>
    <row r="2496" spans="1:14">
      <c r="A2496" s="6" t="s">
        <v>4030</v>
      </c>
      <c r="B2496" s="7">
        <v>46149</v>
      </c>
      <c r="C2496" s="6" t="s">
        <v>1155</v>
      </c>
      <c r="D2496" s="6" t="str">
        <f>IF(OR(PROPER(TRIM(Raw_Data!D2496))="Uk",PROPER(TRIM(Raw_Data!D2496))="Gb",PROPER(TRIM(Raw_Data!D2496))="United kingdom"),"United Kingdom",PROPER(TRIM(Raw_Data!D2496)))</f>
        <v>Ireland</v>
      </c>
      <c r="E2496" s="6" t="s">
        <v>78</v>
      </c>
      <c r="F2496" s="6" t="s">
        <v>53</v>
      </c>
      <c r="G2496" s="6" t="str">
        <f>SUBSTITUTE(Raw_Data!G2496,"Ã©","é")</f>
        <v>Fell Runner Cap</v>
      </c>
      <c r="H2496" s="6">
        <v>3</v>
      </c>
      <c r="I2496" s="6" t="s">
        <v>96</v>
      </c>
      <c r="J2496" s="6" t="s">
        <v>97</v>
      </c>
      <c r="K2496" s="6">
        <v>0.19</v>
      </c>
      <c r="L2496" s="6" t="s">
        <v>42</v>
      </c>
      <c r="M2496" s="6" t="s">
        <v>69</v>
      </c>
      <c r="N2496" s="6"/>
    </row>
    <row r="2497" spans="1:14">
      <c r="A2497" s="6" t="s">
        <v>4031</v>
      </c>
      <c r="B2497" s="7">
        <v>46190</v>
      </c>
      <c r="C2497" s="6" t="s">
        <v>280</v>
      </c>
      <c r="D2497" s="6" t="str">
        <f>IF(OR(PROPER(TRIM(Raw_Data!D2497))="Uk",PROPER(TRIM(Raw_Data!D2497))="Gb",PROPER(TRIM(Raw_Data!D2497))="United kingdom"),"United Kingdom",PROPER(TRIM(Raw_Data!D2497)))</f>
        <v>Ireland</v>
      </c>
      <c r="E2497" s="6" t="s">
        <v>52</v>
      </c>
      <c r="F2497" s="6" t="s">
        <v>53</v>
      </c>
      <c r="G2497" s="6" t="str">
        <f>SUBSTITUTE(Raw_Data!G2497,"Ã©","é")</f>
        <v>Alpine Jacket</v>
      </c>
      <c r="H2497" s="6">
        <v>1</v>
      </c>
      <c r="I2497" s="6" t="s">
        <v>117</v>
      </c>
      <c r="J2497" s="6" t="s">
        <v>117</v>
      </c>
      <c r="K2497" s="6">
        <v>0.19</v>
      </c>
      <c r="L2497" s="6" t="s">
        <v>42</v>
      </c>
      <c r="M2497" s="6" t="s">
        <v>34</v>
      </c>
      <c r="N2497" s="6"/>
    </row>
    <row r="2498" spans="1:14">
      <c r="A2498" s="6" t="s">
        <v>4032</v>
      </c>
      <c r="B2498" s="7">
        <v>46157</v>
      </c>
      <c r="C2498" s="6" t="s">
        <v>1713</v>
      </c>
      <c r="D2498" s="6" t="str">
        <f>IF(OR(PROPER(TRIM(Raw_Data!D2498))="Uk",PROPER(TRIM(Raw_Data!D2498))="Gb",PROPER(TRIM(Raw_Data!D2498))="United kingdom"),"United Kingdom",PROPER(TRIM(Raw_Data!D2498)))</f>
        <v>United Kingdom</v>
      </c>
      <c r="E2498" s="6" t="s">
        <v>52</v>
      </c>
      <c r="F2498" s="6" t="s">
        <v>53</v>
      </c>
      <c r="G2498" s="6" t="str">
        <f>SUBSTITUTE(Raw_Data!G2498,"Ã©","é")</f>
        <v>Summit Down Gilet</v>
      </c>
      <c r="H2498" s="6">
        <v>1</v>
      </c>
      <c r="I2498" s="6" t="s">
        <v>31</v>
      </c>
      <c r="J2498" s="6" t="s">
        <v>32</v>
      </c>
      <c r="K2498" s="6">
        <v>0.19</v>
      </c>
      <c r="L2498" s="6" t="s">
        <v>33</v>
      </c>
      <c r="M2498" s="6" t="s">
        <v>34</v>
      </c>
      <c r="N2498" s="6"/>
    </row>
    <row r="2499" spans="1:14">
      <c r="A2499" s="6" t="s">
        <v>4033</v>
      </c>
      <c r="B2499" s="7">
        <v>46235</v>
      </c>
      <c r="C2499" s="6" t="s">
        <v>3868</v>
      </c>
      <c r="D2499" s="6" t="str">
        <f>IF(OR(PROPER(TRIM(Raw_Data!D2499))="Uk",PROPER(TRIM(Raw_Data!D2499))="Gb",PROPER(TRIM(Raw_Data!D2499))="United kingdom"),"United Kingdom",PROPER(TRIM(Raw_Data!D2499)))</f>
        <v>United Kingdom</v>
      </c>
      <c r="E2499" s="6" t="s">
        <v>78</v>
      </c>
      <c r="F2499" s="6" t="s">
        <v>100</v>
      </c>
      <c r="G2499" s="6" t="str">
        <f>SUBSTITUTE(Raw_Data!G2499,"Ã©","é")</f>
        <v>Summit Down Gilet</v>
      </c>
      <c r="H2499" s="6">
        <v>1</v>
      </c>
      <c r="I2499" s="6" t="s">
        <v>143</v>
      </c>
      <c r="J2499" s="6" t="s">
        <v>143</v>
      </c>
      <c r="K2499" s="6">
        <v>0.64</v>
      </c>
      <c r="L2499" s="6" t="s">
        <v>42</v>
      </c>
      <c r="M2499" s="6" t="s">
        <v>34</v>
      </c>
      <c r="N2499" s="6"/>
    </row>
    <row r="2500" spans="1:14">
      <c r="A2500" s="6" t="s">
        <v>4034</v>
      </c>
      <c r="B2500" s="7">
        <v>46208</v>
      </c>
      <c r="C2500" s="6" t="s">
        <v>986</v>
      </c>
      <c r="D2500" s="6" t="str">
        <f>IF(OR(PROPER(TRIM(Raw_Data!D2500))="Uk",PROPER(TRIM(Raw_Data!D2500))="Gb",PROPER(TRIM(Raw_Data!D2500))="United kingdom"),"United Kingdom",PROPER(TRIM(Raw_Data!D2500)))</f>
        <v>United Kingdom</v>
      </c>
      <c r="E2500" s="6" t="s">
        <v>52</v>
      </c>
      <c r="F2500" s="6" t="s">
        <v>53</v>
      </c>
      <c r="G2500" s="6" t="str">
        <f>SUBSTITUTE(Raw_Data!G2500,"Ã©","é")</f>
        <v>Café Latte Mug</v>
      </c>
      <c r="H2500" s="6">
        <v>1</v>
      </c>
      <c r="I2500" s="6" t="s">
        <v>265</v>
      </c>
      <c r="J2500" s="6" t="s">
        <v>265</v>
      </c>
      <c r="K2500" s="6">
        <v>0.19</v>
      </c>
      <c r="L2500" s="6" t="s">
        <v>42</v>
      </c>
      <c r="M2500" s="6" t="s">
        <v>34</v>
      </c>
      <c r="N2500" s="6"/>
    </row>
    <row r="2501" spans="1:14">
      <c r="A2501" s="6" t="s">
        <v>4035</v>
      </c>
      <c r="B2501" s="7">
        <v>46149</v>
      </c>
      <c r="C2501" s="6" t="s">
        <v>3910</v>
      </c>
      <c r="D2501" s="6" t="str">
        <f>IF(OR(PROPER(TRIM(Raw_Data!D2501))="Uk",PROPER(TRIM(Raw_Data!D2501))="Gb",PROPER(TRIM(Raw_Data!D2501))="United kingdom"),"United Kingdom",PROPER(TRIM(Raw_Data!D2501)))</f>
        <v>United Kingdom</v>
      </c>
      <c r="E2501" s="6" t="s">
        <v>37</v>
      </c>
      <c r="F2501" s="6" t="s">
        <v>53</v>
      </c>
      <c r="G2501" s="6" t="str">
        <f>SUBSTITUTE(Raw_Data!G2501,"Ã©","é")</f>
        <v>Merino Base Layer</v>
      </c>
      <c r="H2501" s="6">
        <v>1</v>
      </c>
      <c r="I2501" s="6" t="s">
        <v>40</v>
      </c>
      <c r="J2501" s="6" t="s">
        <v>40</v>
      </c>
      <c r="K2501" s="6">
        <v>0.19</v>
      </c>
      <c r="L2501" s="6" t="s">
        <v>42</v>
      </c>
      <c r="M2501" s="6" t="s">
        <v>34</v>
      </c>
      <c r="N2501" s="6"/>
    </row>
    <row r="2502" spans="1:14">
      <c r="A2502" s="6" t="s">
        <v>4036</v>
      </c>
      <c r="B2502" s="7">
        <v>46163</v>
      </c>
      <c r="C2502" s="6" t="s">
        <v>1507</v>
      </c>
      <c r="D2502" s="6" t="str">
        <f>IF(OR(PROPER(TRIM(Raw_Data!D2502))="Uk",PROPER(TRIM(Raw_Data!D2502))="Gb",PROPER(TRIM(Raw_Data!D2502))="United kingdom"),"United Kingdom",PROPER(TRIM(Raw_Data!D2502)))</f>
        <v>Ireland</v>
      </c>
      <c r="E2502" s="6" t="s">
        <v>52</v>
      </c>
      <c r="F2502" s="6" t="s">
        <v>94</v>
      </c>
      <c r="G2502" s="6" t="str">
        <f>SUBSTITUTE(Raw_Data!G2502,"Ã©","é")</f>
        <v>Merino Base Layer</v>
      </c>
      <c r="H2502" s="6">
        <v>1</v>
      </c>
      <c r="I2502" s="6" t="s">
        <v>31</v>
      </c>
      <c r="J2502" s="6" t="s">
        <v>31</v>
      </c>
      <c r="K2502" s="6">
        <v>0.34</v>
      </c>
      <c r="L2502" s="6" t="s">
        <v>42</v>
      </c>
      <c r="M2502" s="6" t="s">
        <v>34</v>
      </c>
      <c r="N2502" s="6"/>
    </row>
    <row r="2503" spans="1:14">
      <c r="A2503" s="6" t="s">
        <v>4037</v>
      </c>
      <c r="B2503" s="7">
        <v>46074</v>
      </c>
      <c r="C2503" s="6" t="s">
        <v>4038</v>
      </c>
      <c r="D2503" s="6" t="str">
        <f>IF(OR(PROPER(TRIM(Raw_Data!D2503))="Uk",PROPER(TRIM(Raw_Data!D2503))="Gb",PROPER(TRIM(Raw_Data!D2503))="United kingdom"),"United Kingdom",PROPER(TRIM(Raw_Data!D2503)))</f>
        <v>United Kingdom</v>
      </c>
      <c r="E2503" s="6" t="s">
        <v>52</v>
      </c>
      <c r="F2503" s="6" t="s">
        <v>94</v>
      </c>
      <c r="G2503" s="6" t="str">
        <f>SUBSTITUTE(Raw_Data!G2503,"Ã©","é")</f>
        <v>Merino Base Layer</v>
      </c>
      <c r="H2503" s="6">
        <v>3</v>
      </c>
      <c r="I2503" s="6" t="s">
        <v>667</v>
      </c>
      <c r="J2503" s="6" t="s">
        <v>579</v>
      </c>
      <c r="K2503" s="6">
        <v>0.34</v>
      </c>
      <c r="L2503" s="6" t="s">
        <v>42</v>
      </c>
      <c r="M2503" s="6" t="s">
        <v>34</v>
      </c>
      <c r="N2503" s="6"/>
    </row>
    <row r="2504" spans="1:14">
      <c r="A2504" s="6" t="s">
        <v>4039</v>
      </c>
      <c r="B2504" s="7">
        <v>46047</v>
      </c>
      <c r="C2504" s="6" t="s">
        <v>161</v>
      </c>
      <c r="D2504" s="6" t="str">
        <f>IF(OR(PROPER(TRIM(Raw_Data!D2504))="Uk",PROPER(TRIM(Raw_Data!D2504))="Gb",PROPER(TRIM(Raw_Data!D2504))="United kingdom"),"United Kingdom",PROPER(TRIM(Raw_Data!D2504)))</f>
        <v>France</v>
      </c>
      <c r="E2504" s="6" t="s">
        <v>52</v>
      </c>
      <c r="F2504" s="6" t="s">
        <v>47</v>
      </c>
      <c r="G2504" s="6" t="str">
        <f>SUBSTITUTE(Raw_Data!G2504,"Ã©","é")</f>
        <v>Trekking Poles</v>
      </c>
      <c r="H2504" s="6">
        <v>2</v>
      </c>
      <c r="I2504" s="6" t="s">
        <v>90</v>
      </c>
      <c r="J2504" s="6" t="s">
        <v>154</v>
      </c>
      <c r="K2504" s="6">
        <v>8.5000000000000006E-2</v>
      </c>
      <c r="L2504" s="6" t="s">
        <v>33</v>
      </c>
      <c r="M2504" s="6" t="s">
        <v>34</v>
      </c>
      <c r="N2504" s="6"/>
    </row>
    <row r="2505" spans="1:14">
      <c r="A2505" s="6" t="s">
        <v>4040</v>
      </c>
      <c r="B2505" s="7">
        <v>46027</v>
      </c>
      <c r="C2505" s="6" t="s">
        <v>3675</v>
      </c>
      <c r="D2505" s="6" t="str">
        <f>IF(OR(PROPER(TRIM(Raw_Data!D2505))="Uk",PROPER(TRIM(Raw_Data!D2505))="Gb",PROPER(TRIM(Raw_Data!D2505))="United kingdom"),"United Kingdom",PROPER(TRIM(Raw_Data!D2505)))</f>
        <v>Ireland</v>
      </c>
      <c r="E2505" s="6" t="s">
        <v>37</v>
      </c>
      <c r="F2505" s="6" t="s">
        <v>47</v>
      </c>
      <c r="G2505" s="6" t="str">
        <f>SUBSTITUTE(Raw_Data!G2505,"Ã©","é")</f>
        <v>Trail Softshell</v>
      </c>
      <c r="H2505" s="6">
        <v>3</v>
      </c>
      <c r="I2505" s="6" t="s">
        <v>67</v>
      </c>
      <c r="J2505" s="6" t="s">
        <v>68</v>
      </c>
      <c r="K2505" s="6">
        <v>8.5000000000000006E-2</v>
      </c>
      <c r="L2505" s="6" t="s">
        <v>42</v>
      </c>
      <c r="M2505" s="6" t="s">
        <v>69</v>
      </c>
      <c r="N2505" s="6"/>
    </row>
    <row r="2506" spans="1:14">
      <c r="A2506" s="6" t="s">
        <v>4041</v>
      </c>
      <c r="B2506" s="7">
        <v>46128</v>
      </c>
      <c r="C2506" s="6" t="s">
        <v>4042</v>
      </c>
      <c r="D2506" s="6" t="str">
        <f>IF(OR(PROPER(TRIM(Raw_Data!D2506))="Uk",PROPER(TRIM(Raw_Data!D2506))="Gb",PROPER(TRIM(Raw_Data!D2506))="United kingdom"),"United Kingdom",PROPER(TRIM(Raw_Data!D2506)))</f>
        <v>United Kingdom</v>
      </c>
      <c r="E2506" s="6" t="s">
        <v>28</v>
      </c>
      <c r="F2506" s="6" t="s">
        <v>47</v>
      </c>
      <c r="G2506" s="6" t="str">
        <f>SUBSTITUTE(Raw_Data!G2506,"Ã©","é")</f>
        <v>Storm Overtrousers</v>
      </c>
      <c r="H2506" s="6">
        <v>2</v>
      </c>
      <c r="I2506" s="6" t="s">
        <v>31</v>
      </c>
      <c r="J2506" s="6" t="s">
        <v>249</v>
      </c>
      <c r="K2506" s="6">
        <v>8.5000000000000006E-2</v>
      </c>
      <c r="L2506" s="6" t="s">
        <v>42</v>
      </c>
      <c r="M2506" s="6" t="s">
        <v>34</v>
      </c>
      <c r="N2506" s="6"/>
    </row>
    <row r="2507" spans="1:14">
      <c r="A2507" s="6" t="s">
        <v>4043</v>
      </c>
      <c r="B2507" s="7">
        <v>46049</v>
      </c>
      <c r="C2507" s="6" t="s">
        <v>1877</v>
      </c>
      <c r="D2507" s="6" t="str">
        <f>IF(OR(PROPER(TRIM(Raw_Data!D2507))="Uk",PROPER(TRIM(Raw_Data!D2507))="Gb",PROPER(TRIM(Raw_Data!D2507))="United kingdom"),"United Kingdom",PROPER(TRIM(Raw_Data!D2507)))</f>
        <v>United Kingdom</v>
      </c>
      <c r="E2507" s="6" t="s">
        <v>46</v>
      </c>
      <c r="F2507" s="6" t="s">
        <v>53</v>
      </c>
      <c r="G2507" s="6" t="str">
        <f>SUBSTITUTE(Raw_Data!G2507,"Ã©","é")</f>
        <v>Fell Runner Cap</v>
      </c>
      <c r="H2507" s="6">
        <v>1</v>
      </c>
      <c r="I2507" s="6" t="s">
        <v>113</v>
      </c>
      <c r="J2507" s="6" t="s">
        <v>113</v>
      </c>
      <c r="K2507" s="6">
        <v>0.19</v>
      </c>
      <c r="L2507" s="6" t="s">
        <v>33</v>
      </c>
      <c r="M2507" s="6" t="s">
        <v>34</v>
      </c>
      <c r="N2507" s="6"/>
    </row>
    <row r="2508" spans="1:14">
      <c r="A2508" s="6" t="s">
        <v>4044</v>
      </c>
      <c r="B2508" s="7">
        <v>46087</v>
      </c>
      <c r="C2508" s="6" t="s">
        <v>1968</v>
      </c>
      <c r="D2508" s="6" t="str">
        <f>IF(OR(PROPER(TRIM(Raw_Data!D2508))="Uk",PROPER(TRIM(Raw_Data!D2508))="Gb",PROPER(TRIM(Raw_Data!D2508))="United kingdom"),"United Kingdom",PROPER(TRIM(Raw_Data!D2508)))</f>
        <v>United Kingdom</v>
      </c>
      <c r="E2508" s="6" t="s">
        <v>46</v>
      </c>
      <c r="F2508" s="6" t="s">
        <v>47</v>
      </c>
      <c r="G2508" s="6" t="str">
        <f>SUBSTITUTE(Raw_Data!G2508,"Ã©","é")</f>
        <v>Storm Overtrousers</v>
      </c>
      <c r="H2508" s="6">
        <v>3</v>
      </c>
      <c r="I2508" s="6" t="s">
        <v>265</v>
      </c>
      <c r="J2508" s="6" t="s">
        <v>401</v>
      </c>
      <c r="K2508" s="6">
        <v>8.5000000000000006E-2</v>
      </c>
      <c r="L2508" s="6" t="s">
        <v>42</v>
      </c>
      <c r="M2508" s="6" t="s">
        <v>34</v>
      </c>
      <c r="N2508" s="6"/>
    </row>
    <row r="2509" spans="1:14">
      <c r="A2509" s="6" t="s">
        <v>4045</v>
      </c>
      <c r="B2509" s="7">
        <v>46328</v>
      </c>
      <c r="C2509" s="6" t="s">
        <v>548</v>
      </c>
      <c r="D2509" s="6" t="str">
        <f>IF(OR(PROPER(TRIM(Raw_Data!D2509))="Uk",PROPER(TRIM(Raw_Data!D2509))="Gb",PROPER(TRIM(Raw_Data!D2509))="United kingdom"),"United Kingdom",PROPER(TRIM(Raw_Data!D2509)))</f>
        <v>United Kingdom</v>
      </c>
      <c r="E2509" s="6" t="s">
        <v>37</v>
      </c>
      <c r="F2509" s="6" t="s">
        <v>58</v>
      </c>
      <c r="G2509" s="6" t="str">
        <f>SUBSTITUTE(Raw_Data!G2509,"Ã©","é")</f>
        <v>Fell Runner Cap</v>
      </c>
      <c r="H2509" s="6">
        <v>1</v>
      </c>
      <c r="I2509" s="6" t="s">
        <v>79</v>
      </c>
      <c r="J2509" s="6" t="s">
        <v>79</v>
      </c>
      <c r="K2509" s="6">
        <v>0.38</v>
      </c>
      <c r="L2509" s="6" t="s">
        <v>42</v>
      </c>
      <c r="M2509" s="6" t="s">
        <v>34</v>
      </c>
      <c r="N2509" s="6"/>
    </row>
    <row r="2510" spans="1:14">
      <c r="A2510" s="6" t="s">
        <v>4046</v>
      </c>
      <c r="B2510" s="7">
        <v>46208</v>
      </c>
      <c r="C2510" s="6" t="s">
        <v>2488</v>
      </c>
      <c r="D2510" s="6" t="str">
        <f>IF(OR(PROPER(TRIM(Raw_Data!D2510))="Uk",PROPER(TRIM(Raw_Data!D2510))="Gb",PROPER(TRIM(Raw_Data!D2510))="United kingdom"),"United Kingdom",PROPER(TRIM(Raw_Data!D2510)))</f>
        <v>United Kingdom</v>
      </c>
      <c r="E2510" s="6" t="s">
        <v>52</v>
      </c>
      <c r="F2510" s="6" t="s">
        <v>29</v>
      </c>
      <c r="G2510" s="6" t="str">
        <f>SUBSTITUTE(Raw_Data!G2510,"Ã©","é")</f>
        <v>Summit Down Gilet</v>
      </c>
      <c r="H2510" s="6">
        <v>2</v>
      </c>
      <c r="I2510" s="6" t="s">
        <v>31</v>
      </c>
      <c r="J2510" s="6" t="s">
        <v>249</v>
      </c>
      <c r="K2510" s="6">
        <v>0.52</v>
      </c>
      <c r="L2510" s="6" t="s">
        <v>33</v>
      </c>
      <c r="M2510" s="6" t="s">
        <v>34</v>
      </c>
      <c r="N2510" s="6"/>
    </row>
    <row r="2511" spans="1:14">
      <c r="A2511" s="6" t="s">
        <v>4047</v>
      </c>
      <c r="B2511" s="7">
        <v>46129</v>
      </c>
      <c r="C2511" s="6" t="s">
        <v>3403</v>
      </c>
      <c r="D2511" s="6" t="str">
        <f>IF(OR(PROPER(TRIM(Raw_Data!D2511))="Uk",PROPER(TRIM(Raw_Data!D2511))="Gb",PROPER(TRIM(Raw_Data!D2511))="United kingdom"),"United Kingdom",PROPER(TRIM(Raw_Data!D2511)))</f>
        <v>United Kingdom</v>
      </c>
      <c r="E2511" s="6" t="s">
        <v>78</v>
      </c>
      <c r="F2511" s="6" t="s">
        <v>38</v>
      </c>
      <c r="G2511" s="6" t="str">
        <f>SUBSTITUTE(Raw_Data!G2511,"Ã©","é")</f>
        <v>Café Latte Mug</v>
      </c>
      <c r="H2511" s="6">
        <v>2</v>
      </c>
      <c r="I2511" s="6" t="s">
        <v>113</v>
      </c>
      <c r="J2511" s="6" t="s">
        <v>192</v>
      </c>
      <c r="K2511" s="6">
        <v>0.52</v>
      </c>
      <c r="L2511" s="6" t="s">
        <v>42</v>
      </c>
      <c r="M2511" s="6" t="s">
        <v>34</v>
      </c>
      <c r="N2511" s="6"/>
    </row>
    <row r="2512" spans="1:14">
      <c r="A2512" s="6" t="s">
        <v>4048</v>
      </c>
      <c r="B2512" s="7">
        <v>46172</v>
      </c>
      <c r="C2512" s="6" t="s">
        <v>994</v>
      </c>
      <c r="D2512" s="6" t="str">
        <f>IF(OR(PROPER(TRIM(Raw_Data!D2512))="Uk",PROPER(TRIM(Raw_Data!D2512))="Gb",PROPER(TRIM(Raw_Data!D2512))="United kingdom"),"United Kingdom",PROPER(TRIM(Raw_Data!D2512)))</f>
        <v>Germany</v>
      </c>
      <c r="E2512" s="6" t="s">
        <v>78</v>
      </c>
      <c r="F2512" s="6" t="s">
        <v>85</v>
      </c>
      <c r="G2512" s="6" t="str">
        <f>SUBSTITUTE(Raw_Data!G2512,"Ã©","é")</f>
        <v>Fell Runner Cap</v>
      </c>
      <c r="H2512" s="6">
        <v>1</v>
      </c>
      <c r="I2512" s="6" t="s">
        <v>265</v>
      </c>
      <c r="J2512" s="6" t="s">
        <v>265</v>
      </c>
      <c r="K2512" s="6">
        <v>0.41</v>
      </c>
      <c r="L2512" s="6" t="s">
        <v>33</v>
      </c>
      <c r="M2512" s="6" t="s">
        <v>69</v>
      </c>
      <c r="N2512" s="6"/>
    </row>
    <row r="2513" spans="1:14">
      <c r="A2513" s="6" t="s">
        <v>4049</v>
      </c>
      <c r="B2513" s="7">
        <v>46203</v>
      </c>
      <c r="C2513" s="6" t="s">
        <v>1139</v>
      </c>
      <c r="D2513" s="6" t="str">
        <f>IF(OR(PROPER(TRIM(Raw_Data!D2513))="Uk",PROPER(TRIM(Raw_Data!D2513))="Gb",PROPER(TRIM(Raw_Data!D2513))="United kingdom"),"United Kingdom",PROPER(TRIM(Raw_Data!D2513)))</f>
        <v>United Kingdom</v>
      </c>
      <c r="E2513" s="6" t="s">
        <v>52</v>
      </c>
      <c r="F2513" s="6" t="s">
        <v>100</v>
      </c>
      <c r="G2513" s="6" t="str">
        <f>SUBSTITUTE(Raw_Data!G2513,"Ã©","é")</f>
        <v>Trekking Poles</v>
      </c>
      <c r="H2513" s="6">
        <v>3</v>
      </c>
      <c r="I2513" s="6" t="s">
        <v>31</v>
      </c>
      <c r="J2513" s="6" t="s">
        <v>337</v>
      </c>
      <c r="K2513" s="6">
        <v>0.64</v>
      </c>
      <c r="L2513" s="6" t="s">
        <v>42</v>
      </c>
      <c r="M2513" s="6" t="s">
        <v>34</v>
      </c>
      <c r="N2513" s="6"/>
    </row>
    <row r="2514" spans="1:14">
      <c r="A2514" s="6" t="s">
        <v>4050</v>
      </c>
      <c r="B2514" s="7">
        <v>46097</v>
      </c>
      <c r="C2514" s="6" t="s">
        <v>1007</v>
      </c>
      <c r="D2514" s="6" t="str">
        <f>IF(OR(PROPER(TRIM(Raw_Data!D2514))="Uk",PROPER(TRIM(Raw_Data!D2514))="Gb",PROPER(TRIM(Raw_Data!D2514))="United kingdom"),"United Kingdom",PROPER(TRIM(Raw_Data!D2514)))</f>
        <v>France</v>
      </c>
      <c r="E2514" s="6" t="s">
        <v>37</v>
      </c>
      <c r="F2514" s="6" t="s">
        <v>53</v>
      </c>
      <c r="G2514" s="6" t="str">
        <f>SUBSTITUTE(Raw_Data!G2514,"Ã©","é")</f>
        <v>Alpine Jacket</v>
      </c>
      <c r="H2514" s="6">
        <v>2</v>
      </c>
      <c r="I2514" s="6" t="s">
        <v>60</v>
      </c>
      <c r="J2514" s="6" t="s">
        <v>189</v>
      </c>
      <c r="K2514" s="6">
        <v>0.19</v>
      </c>
      <c r="L2514" s="6" t="s">
        <v>42</v>
      </c>
      <c r="M2514" s="6" t="s">
        <v>34</v>
      </c>
      <c r="N2514" s="6"/>
    </row>
    <row r="2515" spans="1:14">
      <c r="A2515" s="6" t="s">
        <v>4051</v>
      </c>
      <c r="B2515" s="7">
        <v>46199</v>
      </c>
      <c r="C2515" s="6" t="s">
        <v>626</v>
      </c>
      <c r="D2515" s="6" t="str">
        <f>IF(OR(PROPER(TRIM(Raw_Data!D2515))="Uk",PROPER(TRIM(Raw_Data!D2515))="Gb",PROPER(TRIM(Raw_Data!D2515))="United kingdom"),"United Kingdom",PROPER(TRIM(Raw_Data!D2515)))</f>
        <v>France</v>
      </c>
      <c r="E2515" s="6" t="s">
        <v>37</v>
      </c>
      <c r="F2515" s="6" t="s">
        <v>38</v>
      </c>
      <c r="G2515" s="6" t="str">
        <f>SUBSTITUTE(Raw_Data!G2515,"Ã©","é")</f>
        <v>Alpine Jacket</v>
      </c>
      <c r="H2515" s="6">
        <v>3</v>
      </c>
      <c r="I2515" s="6" t="s">
        <v>2954</v>
      </c>
      <c r="J2515" s="6" t="s">
        <v>337</v>
      </c>
      <c r="K2515" s="6">
        <v>0.52</v>
      </c>
      <c r="L2515" s="6" t="s">
        <v>42</v>
      </c>
      <c r="M2515" s="6" t="s">
        <v>34</v>
      </c>
      <c r="N2515" s="6"/>
    </row>
    <row r="2516" spans="1:14">
      <c r="A2516" s="6" t="s">
        <v>4052</v>
      </c>
      <c r="B2516" s="7">
        <v>46267</v>
      </c>
      <c r="C2516" s="6" t="s">
        <v>396</v>
      </c>
      <c r="D2516" s="6" t="str">
        <f>IF(OR(PROPER(TRIM(Raw_Data!D2516))="Uk",PROPER(TRIM(Raw_Data!D2516))="Gb",PROPER(TRIM(Raw_Data!D2516))="United kingdom"),"United Kingdom",PROPER(TRIM(Raw_Data!D2516)))</f>
        <v>France</v>
      </c>
      <c r="E2516" s="6" t="s">
        <v>28</v>
      </c>
      <c r="F2516" s="6" t="s">
        <v>58</v>
      </c>
      <c r="G2516" s="6" t="str">
        <f>SUBSTITUTE(Raw_Data!G2516,"Ã©","é")</f>
        <v>Trail Softshell</v>
      </c>
      <c r="H2516" s="6">
        <v>1</v>
      </c>
      <c r="I2516" s="6" t="s">
        <v>117</v>
      </c>
      <c r="J2516" s="6" t="s">
        <v>117</v>
      </c>
      <c r="K2516" s="6">
        <v>0.38</v>
      </c>
      <c r="L2516" s="6" t="s">
        <v>42</v>
      </c>
      <c r="M2516" s="6" t="s">
        <v>69</v>
      </c>
      <c r="N2516" s="6"/>
    </row>
    <row r="2517" spans="1:14">
      <c r="A2517" s="6" t="s">
        <v>4053</v>
      </c>
      <c r="B2517" s="7">
        <v>46053</v>
      </c>
      <c r="C2517" s="6" t="s">
        <v>387</v>
      </c>
      <c r="D2517" s="6" t="str">
        <f>IF(OR(PROPER(TRIM(Raw_Data!D2517))="Uk",PROPER(TRIM(Raw_Data!D2517))="Gb",PROPER(TRIM(Raw_Data!D2517))="United kingdom"),"United Kingdom",PROPER(TRIM(Raw_Data!D2517)))</f>
        <v>Ireland</v>
      </c>
      <c r="E2517" s="6" t="s">
        <v>37</v>
      </c>
      <c r="F2517" s="6" t="s">
        <v>58</v>
      </c>
      <c r="G2517" s="6" t="str">
        <f>SUBSTITUTE(Raw_Data!G2517,"Ã©","é")</f>
        <v>Merino Base Layer</v>
      </c>
      <c r="H2517" s="6">
        <v>3</v>
      </c>
      <c r="I2517" s="6" t="s">
        <v>143</v>
      </c>
      <c r="J2517" s="6" t="s">
        <v>243</v>
      </c>
      <c r="K2517" s="6">
        <v>0.38</v>
      </c>
      <c r="L2517" s="6" t="s">
        <v>42</v>
      </c>
      <c r="M2517" s="6" t="s">
        <v>34</v>
      </c>
      <c r="N2517" s="6"/>
    </row>
    <row r="2518" spans="1:14">
      <c r="A2518" s="6" t="s">
        <v>4054</v>
      </c>
      <c r="B2518" s="7">
        <v>46161</v>
      </c>
      <c r="C2518" s="6" t="s">
        <v>245</v>
      </c>
      <c r="D2518" s="6" t="str">
        <f>IF(OR(PROPER(TRIM(Raw_Data!D2518))="Uk",PROPER(TRIM(Raw_Data!D2518))="Gb",PROPER(TRIM(Raw_Data!D2518))="United kingdom"),"United Kingdom",PROPER(TRIM(Raw_Data!D2518)))</f>
        <v>Germany</v>
      </c>
      <c r="E2518" s="6" t="s">
        <v>52</v>
      </c>
      <c r="F2518" s="6" t="s">
        <v>47</v>
      </c>
      <c r="G2518" s="6" t="str">
        <f>SUBSTITUTE(Raw_Data!G2518,"Ã©","é")</f>
        <v>Alpine Jacket</v>
      </c>
      <c r="H2518" s="6">
        <v>2</v>
      </c>
      <c r="I2518" s="6" t="s">
        <v>40</v>
      </c>
      <c r="J2518" s="6" t="s">
        <v>327</v>
      </c>
      <c r="K2518" s="6">
        <v>8.5000000000000006E-2</v>
      </c>
      <c r="L2518" s="6" t="s">
        <v>33</v>
      </c>
      <c r="M2518" s="6" t="s">
        <v>69</v>
      </c>
      <c r="N2518" s="6"/>
    </row>
    <row r="2519" spans="1:14">
      <c r="A2519" s="6" t="s">
        <v>4055</v>
      </c>
      <c r="B2519" s="7">
        <v>46114</v>
      </c>
      <c r="C2519" s="6" t="s">
        <v>2439</v>
      </c>
      <c r="D2519" s="6" t="str">
        <f>IF(OR(PROPER(TRIM(Raw_Data!D2519))="Uk",PROPER(TRIM(Raw_Data!D2519))="Gb",PROPER(TRIM(Raw_Data!D2519))="United kingdom"),"United Kingdom",PROPER(TRIM(Raw_Data!D2519)))</f>
        <v>Ireland</v>
      </c>
      <c r="E2519" s="6" t="s">
        <v>52</v>
      </c>
      <c r="F2519" s="6" t="s">
        <v>85</v>
      </c>
      <c r="G2519" s="6" t="str">
        <f>SUBSTITUTE(Raw_Data!G2519,"Ã©","é")</f>
        <v>Alpine Jacket</v>
      </c>
      <c r="H2519" s="6">
        <v>2</v>
      </c>
      <c r="I2519" s="6" t="s">
        <v>166</v>
      </c>
      <c r="J2519" s="6" t="s">
        <v>167</v>
      </c>
      <c r="K2519" s="6">
        <v>0.41</v>
      </c>
      <c r="L2519" s="6" t="s">
        <v>42</v>
      </c>
      <c r="M2519" s="6" t="s">
        <v>34</v>
      </c>
      <c r="N2519" s="6"/>
    </row>
    <row r="2520" spans="1:14">
      <c r="A2520" s="6" t="s">
        <v>4056</v>
      </c>
      <c r="B2520" s="7">
        <v>46118</v>
      </c>
      <c r="C2520" s="6" t="s">
        <v>1298</v>
      </c>
      <c r="D2520" s="6" t="str">
        <f>IF(OR(PROPER(TRIM(Raw_Data!D2520))="Uk",PROPER(TRIM(Raw_Data!D2520))="Gb",PROPER(TRIM(Raw_Data!D2520))="United kingdom"),"United Kingdom",PROPER(TRIM(Raw_Data!D2520)))</f>
        <v>United Kingdom</v>
      </c>
      <c r="E2520" s="6" t="s">
        <v>46</v>
      </c>
      <c r="F2520" s="6" t="s">
        <v>58</v>
      </c>
      <c r="G2520" s="6" t="str">
        <f>SUBSTITUTE(Raw_Data!G2520,"Ã©","é")</f>
        <v>Storm Overtrousers</v>
      </c>
      <c r="H2520" s="6">
        <v>2</v>
      </c>
      <c r="I2520" s="6" t="s">
        <v>90</v>
      </c>
      <c r="J2520" s="6" t="s">
        <v>154</v>
      </c>
      <c r="K2520" s="6">
        <v>0.38</v>
      </c>
      <c r="L2520" s="6" t="s">
        <v>42</v>
      </c>
      <c r="M2520" s="6" t="s">
        <v>34</v>
      </c>
      <c r="N2520" s="6"/>
    </row>
    <row r="2521" spans="1:14">
      <c r="A2521" s="6" t="s">
        <v>4057</v>
      </c>
      <c r="B2521" s="7">
        <v>46072</v>
      </c>
      <c r="C2521" s="6" t="s">
        <v>1666</v>
      </c>
      <c r="D2521" s="6" t="str">
        <f>IF(OR(PROPER(TRIM(Raw_Data!D2521))="Uk",PROPER(TRIM(Raw_Data!D2521))="Gb",PROPER(TRIM(Raw_Data!D2521))="United kingdom"),"United Kingdom",PROPER(TRIM(Raw_Data!D2521)))</f>
        <v>United Kingdom</v>
      </c>
      <c r="E2521" s="6" t="s">
        <v>28</v>
      </c>
      <c r="F2521" s="6" t="s">
        <v>94</v>
      </c>
      <c r="G2521" s="6" t="str">
        <f>SUBSTITUTE(Raw_Data!G2521,"Ã©","é")</f>
        <v>Storm Overtrousers</v>
      </c>
      <c r="H2521" s="6">
        <v>1</v>
      </c>
      <c r="I2521" s="6" t="s">
        <v>79</v>
      </c>
      <c r="J2521" s="6" t="s">
        <v>79</v>
      </c>
      <c r="K2521" s="6">
        <v>0.34</v>
      </c>
      <c r="L2521" s="6" t="s">
        <v>42</v>
      </c>
      <c r="M2521" s="6" t="s">
        <v>69</v>
      </c>
      <c r="N2521" s="6"/>
    </row>
    <row r="2522" spans="1:14">
      <c r="A2522" s="6" t="s">
        <v>4058</v>
      </c>
      <c r="B2522" s="7">
        <v>46053</v>
      </c>
      <c r="C2522" s="6" t="s">
        <v>548</v>
      </c>
      <c r="D2522" s="6" t="str">
        <f>IF(OR(PROPER(TRIM(Raw_Data!D2522))="Uk",PROPER(TRIM(Raw_Data!D2522))="Gb",PROPER(TRIM(Raw_Data!D2522))="United kingdom"),"United Kingdom",PROPER(TRIM(Raw_Data!D2522)))</f>
        <v>United Kingdom</v>
      </c>
      <c r="E2522" s="6" t="s">
        <v>28</v>
      </c>
      <c r="F2522" s="6" t="s">
        <v>53</v>
      </c>
      <c r="G2522" s="6" t="str">
        <f>SUBSTITUTE(Raw_Data!G2522,"Ã©","é")</f>
        <v>Café Latte Mug</v>
      </c>
      <c r="H2522" s="6">
        <v>2</v>
      </c>
      <c r="I2522" s="6" t="s">
        <v>113</v>
      </c>
      <c r="J2522" s="6" t="s">
        <v>192</v>
      </c>
      <c r="K2522" s="6">
        <v>0.19</v>
      </c>
      <c r="L2522" s="6" t="s">
        <v>42</v>
      </c>
      <c r="M2522" s="6" t="s">
        <v>34</v>
      </c>
      <c r="N2522" s="6"/>
    </row>
    <row r="2523" spans="1:14">
      <c r="A2523" s="6" t="s">
        <v>4059</v>
      </c>
      <c r="B2523" s="7">
        <v>46058</v>
      </c>
      <c r="C2523" s="6" t="s">
        <v>530</v>
      </c>
      <c r="D2523" s="6" t="str">
        <f>IF(OR(PROPER(TRIM(Raw_Data!D2523))="Uk",PROPER(TRIM(Raw_Data!D2523))="Gb",PROPER(TRIM(Raw_Data!D2523))="United kingdom"),"United Kingdom",PROPER(TRIM(Raw_Data!D2523)))</f>
        <v>Germany</v>
      </c>
      <c r="E2523" s="6" t="s">
        <v>28</v>
      </c>
      <c r="F2523" s="6" t="s">
        <v>29</v>
      </c>
      <c r="G2523" s="6" t="str">
        <f>SUBSTITUTE(Raw_Data!G2523,"Ã©","é")</f>
        <v>Trail Softshell</v>
      </c>
      <c r="H2523" s="6">
        <v>2</v>
      </c>
      <c r="I2523" s="6" t="s">
        <v>143</v>
      </c>
      <c r="J2523" s="6" t="s">
        <v>144</v>
      </c>
      <c r="K2523" s="6">
        <v>0.52</v>
      </c>
      <c r="L2523" s="6" t="s">
        <v>42</v>
      </c>
      <c r="M2523" s="6" t="s">
        <v>69</v>
      </c>
      <c r="N2523" s="6"/>
    </row>
    <row r="2524" spans="1:14">
      <c r="A2524" s="6" t="s">
        <v>4060</v>
      </c>
      <c r="B2524" s="7">
        <v>46201</v>
      </c>
      <c r="C2524" s="6" t="s">
        <v>4061</v>
      </c>
      <c r="D2524" s="6" t="str">
        <f>IF(OR(PROPER(TRIM(Raw_Data!D2524))="Uk",PROPER(TRIM(Raw_Data!D2524))="Gb",PROPER(TRIM(Raw_Data!D2524))="United kingdom"),"United Kingdom",PROPER(TRIM(Raw_Data!D2524)))</f>
        <v>United Kingdom</v>
      </c>
      <c r="E2524" s="6" t="s">
        <v>37</v>
      </c>
      <c r="F2524" s="6" t="s">
        <v>58</v>
      </c>
      <c r="G2524" s="6" t="str">
        <f>SUBSTITUTE(Raw_Data!G2524,"Ã©","é")</f>
        <v>Merino Base Layer</v>
      </c>
      <c r="H2524" s="6">
        <v>3</v>
      </c>
      <c r="I2524" s="6" t="s">
        <v>73</v>
      </c>
      <c r="J2524" s="6" t="s">
        <v>499</v>
      </c>
      <c r="K2524" s="6">
        <v>0.38</v>
      </c>
      <c r="L2524" s="6" t="s">
        <v>33</v>
      </c>
      <c r="M2524" s="6" t="s">
        <v>34</v>
      </c>
      <c r="N2524" s="6"/>
    </row>
    <row r="2525" spans="1:14">
      <c r="A2525" s="6" t="s">
        <v>4062</v>
      </c>
      <c r="B2525" s="7">
        <v>46112</v>
      </c>
      <c r="C2525" s="6" t="s">
        <v>4063</v>
      </c>
      <c r="D2525" s="6" t="str">
        <f>IF(OR(PROPER(TRIM(Raw_Data!D2525))="Uk",PROPER(TRIM(Raw_Data!D2525))="Gb",PROPER(TRIM(Raw_Data!D2525))="United kingdom"),"United Kingdom",PROPER(TRIM(Raw_Data!D2525)))</f>
        <v>United Kingdom</v>
      </c>
      <c r="E2525" s="6" t="s">
        <v>52</v>
      </c>
      <c r="F2525" s="6" t="s">
        <v>94</v>
      </c>
      <c r="G2525" s="6" t="str">
        <f>SUBSTITUTE(Raw_Data!G2525,"Ã©","é")</f>
        <v>Trail Softshell</v>
      </c>
      <c r="H2525" s="6">
        <v>3</v>
      </c>
      <c r="I2525" s="6" t="s">
        <v>96</v>
      </c>
      <c r="J2525" s="6" t="s">
        <v>97</v>
      </c>
      <c r="K2525" s="6">
        <v>0.34</v>
      </c>
      <c r="L2525" s="6" t="s">
        <v>33</v>
      </c>
      <c r="M2525" s="6" t="s">
        <v>69</v>
      </c>
      <c r="N2525" s="6"/>
    </row>
    <row r="2526" spans="1:14">
      <c r="A2526" s="6" t="s">
        <v>4064</v>
      </c>
      <c r="B2526" s="7">
        <v>46192</v>
      </c>
      <c r="C2526" s="6" t="s">
        <v>2553</v>
      </c>
      <c r="D2526" s="6" t="str">
        <f>IF(OR(PROPER(TRIM(Raw_Data!D2526))="Uk",PROPER(TRIM(Raw_Data!D2526))="Gb",PROPER(TRIM(Raw_Data!D2526))="United kingdom"),"United Kingdom",PROPER(TRIM(Raw_Data!D2526)))</f>
        <v>United Kingdom</v>
      </c>
      <c r="E2526" s="6" t="s">
        <v>78</v>
      </c>
      <c r="F2526" s="6" t="s">
        <v>29</v>
      </c>
      <c r="G2526" s="6" t="str">
        <f>SUBSTITUTE(Raw_Data!G2526,"Ã©","é")</f>
        <v>Storm Overtrousers</v>
      </c>
      <c r="H2526" s="6">
        <v>1</v>
      </c>
      <c r="I2526" s="6" t="s">
        <v>195</v>
      </c>
      <c r="J2526" s="6" t="s">
        <v>181</v>
      </c>
      <c r="K2526" s="6">
        <v>0.52</v>
      </c>
      <c r="L2526" s="6" t="s">
        <v>42</v>
      </c>
      <c r="M2526" s="6" t="s">
        <v>34</v>
      </c>
      <c r="N2526" s="6"/>
    </row>
    <row r="2527" spans="1:14">
      <c r="A2527" s="6" t="s">
        <v>4065</v>
      </c>
      <c r="B2527" s="7">
        <v>46101</v>
      </c>
      <c r="C2527" s="6" t="s">
        <v>4066</v>
      </c>
      <c r="D2527" s="6" t="str">
        <f>IF(OR(PROPER(TRIM(Raw_Data!D2527))="Uk",PROPER(TRIM(Raw_Data!D2527))="Gb",PROPER(TRIM(Raw_Data!D2527))="United kingdom"),"United Kingdom",PROPER(TRIM(Raw_Data!D2527)))</f>
        <v>United Kingdom</v>
      </c>
      <c r="E2527" s="6" t="s">
        <v>78</v>
      </c>
      <c r="F2527" s="6" t="s">
        <v>58</v>
      </c>
      <c r="G2527" s="6" t="str">
        <f>SUBSTITUTE(Raw_Data!G2527,"Ã©","é")</f>
        <v>Alpine Jacket</v>
      </c>
      <c r="H2527" s="6">
        <v>2</v>
      </c>
      <c r="I2527" s="6" t="s">
        <v>113</v>
      </c>
      <c r="J2527" s="6" t="s">
        <v>163</v>
      </c>
      <c r="K2527" s="6">
        <v>0.38</v>
      </c>
      <c r="L2527" s="6" t="s">
        <v>42</v>
      </c>
      <c r="M2527" s="6" t="s">
        <v>69</v>
      </c>
      <c r="N2527" s="6"/>
    </row>
    <row r="2528" spans="1:14">
      <c r="A2528" s="6" t="s">
        <v>4067</v>
      </c>
      <c r="B2528" s="7">
        <v>46328</v>
      </c>
      <c r="C2528" s="6" t="s">
        <v>2541</v>
      </c>
      <c r="D2528" s="6" t="str">
        <f>IF(OR(PROPER(TRIM(Raw_Data!D2528))="Uk",PROPER(TRIM(Raw_Data!D2528))="Gb",PROPER(TRIM(Raw_Data!D2528))="United kingdom"),"United Kingdom",PROPER(TRIM(Raw_Data!D2528)))</f>
        <v>United Kingdom</v>
      </c>
      <c r="E2528" s="6" t="s">
        <v>28</v>
      </c>
      <c r="F2528" s="6" t="s">
        <v>94</v>
      </c>
      <c r="G2528" s="6" t="str">
        <f>SUBSTITUTE(Raw_Data!G2528,"Ã©","é")</f>
        <v>Merino Base Layer</v>
      </c>
      <c r="H2528" s="6">
        <v>2</v>
      </c>
      <c r="I2528" s="6" t="s">
        <v>113</v>
      </c>
      <c r="J2528" s="6" t="s">
        <v>192</v>
      </c>
      <c r="K2528" s="6">
        <v>0.34</v>
      </c>
      <c r="L2528" s="6" t="s">
        <v>42</v>
      </c>
      <c r="M2528" s="6" t="s">
        <v>69</v>
      </c>
      <c r="N2528" s="6"/>
    </row>
    <row r="2529" spans="1:14">
      <c r="A2529" s="6" t="s">
        <v>4068</v>
      </c>
      <c r="B2529" s="7">
        <v>46059</v>
      </c>
      <c r="C2529" s="6" t="s">
        <v>3140</v>
      </c>
      <c r="D2529" s="6" t="str">
        <f>IF(OR(PROPER(TRIM(Raw_Data!D2529))="Uk",PROPER(TRIM(Raw_Data!D2529))="Gb",PROPER(TRIM(Raw_Data!D2529))="United kingdom"),"United Kingdom",PROPER(TRIM(Raw_Data!D2529)))</f>
        <v>Ireland</v>
      </c>
      <c r="E2529" s="6" t="s">
        <v>52</v>
      </c>
      <c r="F2529" s="6" t="s">
        <v>38</v>
      </c>
      <c r="G2529" s="6" t="str">
        <f>SUBSTITUTE(Raw_Data!G2529,"Ã©","é")</f>
        <v>Merino Base Layer</v>
      </c>
      <c r="H2529" s="6">
        <v>1</v>
      </c>
      <c r="I2529" s="6" t="s">
        <v>82</v>
      </c>
      <c r="J2529" s="6" t="s">
        <v>82</v>
      </c>
      <c r="K2529" s="6">
        <v>0.52</v>
      </c>
      <c r="L2529" s="6" t="s">
        <v>33</v>
      </c>
      <c r="M2529" s="6" t="s">
        <v>69</v>
      </c>
      <c r="N2529" s="6"/>
    </row>
    <row r="2530" spans="1:14">
      <c r="A2530" s="6" t="s">
        <v>4069</v>
      </c>
      <c r="B2530" s="7">
        <v>46116</v>
      </c>
      <c r="C2530" s="6" t="s">
        <v>679</v>
      </c>
      <c r="D2530" s="6" t="str">
        <f>IF(OR(PROPER(TRIM(Raw_Data!D2530))="Uk",PROPER(TRIM(Raw_Data!D2530))="Gb",PROPER(TRIM(Raw_Data!D2530))="United kingdom"),"United Kingdom",PROPER(TRIM(Raw_Data!D2530)))</f>
        <v>United Kingdom</v>
      </c>
      <c r="E2530" s="6" t="s">
        <v>52</v>
      </c>
      <c r="F2530" s="6" t="s">
        <v>85</v>
      </c>
      <c r="G2530" s="6" t="str">
        <f>SUBSTITUTE(Raw_Data!G2530,"Ã©","é")</f>
        <v>Merino Base Layer</v>
      </c>
      <c r="H2530" s="6">
        <v>2</v>
      </c>
      <c r="I2530" s="6" t="s">
        <v>67</v>
      </c>
      <c r="J2530" s="6" t="s">
        <v>204</v>
      </c>
      <c r="K2530" s="6">
        <v>0.41</v>
      </c>
      <c r="L2530" s="6" t="s">
        <v>42</v>
      </c>
      <c r="M2530" s="6" t="s">
        <v>34</v>
      </c>
      <c r="N2530" s="6"/>
    </row>
    <row r="2531" spans="1:14">
      <c r="A2531" s="6" t="s">
        <v>4070</v>
      </c>
      <c r="B2531" s="7">
        <v>46200</v>
      </c>
      <c r="C2531" s="6" t="s">
        <v>4071</v>
      </c>
      <c r="D2531" s="6" t="str">
        <f>IF(OR(PROPER(TRIM(Raw_Data!D2531))="Uk",PROPER(TRIM(Raw_Data!D2531))="Gb",PROPER(TRIM(Raw_Data!D2531))="United kingdom"),"United Kingdom",PROPER(TRIM(Raw_Data!D2531)))</f>
        <v>United Kingdom</v>
      </c>
      <c r="E2531" s="6" t="s">
        <v>78</v>
      </c>
      <c r="F2531" s="6" t="s">
        <v>85</v>
      </c>
      <c r="G2531" s="6" t="str">
        <f>SUBSTITUTE(Raw_Data!G2531,"Ã©","é")</f>
        <v>Alpine Jacket</v>
      </c>
      <c r="H2531" s="6">
        <v>2</v>
      </c>
      <c r="I2531" s="6" t="s">
        <v>96</v>
      </c>
      <c r="J2531" s="6" t="s">
        <v>278</v>
      </c>
      <c r="K2531" s="6">
        <v>0.41</v>
      </c>
      <c r="L2531" s="6" t="s">
        <v>42</v>
      </c>
      <c r="M2531" s="6" t="s">
        <v>34</v>
      </c>
      <c r="N2531" s="6"/>
    </row>
    <row r="2532" spans="1:14">
      <c r="A2532" s="6" t="s">
        <v>4072</v>
      </c>
      <c r="B2532" s="7">
        <v>46077</v>
      </c>
      <c r="C2532" s="6" t="s">
        <v>3455</v>
      </c>
      <c r="D2532" s="6" t="str">
        <f>IF(OR(PROPER(TRIM(Raw_Data!D2532))="Uk",PROPER(TRIM(Raw_Data!D2532))="Gb",PROPER(TRIM(Raw_Data!D2532))="United kingdom"),"United Kingdom",PROPER(TRIM(Raw_Data!D2532)))</f>
        <v>United Kingdom</v>
      </c>
      <c r="E2532" s="6" t="s">
        <v>46</v>
      </c>
      <c r="F2532" s="6" t="s">
        <v>38</v>
      </c>
      <c r="G2532" s="6" t="str">
        <f>SUBSTITUTE(Raw_Data!G2532,"Ã©","é")</f>
        <v>Merino Base Layer</v>
      </c>
      <c r="H2532" s="6">
        <v>1</v>
      </c>
      <c r="I2532" s="6" t="s">
        <v>82</v>
      </c>
      <c r="J2532" s="6" t="s">
        <v>82</v>
      </c>
      <c r="K2532" s="6">
        <v>0.52</v>
      </c>
      <c r="L2532" s="6" t="s">
        <v>42</v>
      </c>
      <c r="M2532" s="6" t="s">
        <v>34</v>
      </c>
      <c r="N2532" s="6"/>
    </row>
    <row r="2533" spans="1:14">
      <c r="A2533" s="6" t="s">
        <v>4073</v>
      </c>
      <c r="B2533" s="7">
        <v>46266</v>
      </c>
      <c r="C2533" s="6" t="s">
        <v>1448</v>
      </c>
      <c r="D2533" s="6" t="str">
        <f>IF(OR(PROPER(TRIM(Raw_Data!D2533))="Uk",PROPER(TRIM(Raw_Data!D2533))="Gb",PROPER(TRIM(Raw_Data!D2533))="United kingdom"),"United Kingdom",PROPER(TRIM(Raw_Data!D2533)))</f>
        <v>United Kingdom</v>
      </c>
      <c r="E2533" s="6" t="s">
        <v>37</v>
      </c>
      <c r="F2533" s="6" t="s">
        <v>53</v>
      </c>
      <c r="G2533" s="6" t="str">
        <f>SUBSTITUTE(Raw_Data!G2533,"Ã©","é")</f>
        <v>Merino Base Layer</v>
      </c>
      <c r="H2533" s="6">
        <v>2</v>
      </c>
      <c r="I2533" s="6" t="s">
        <v>147</v>
      </c>
      <c r="J2533" s="6" t="s">
        <v>175</v>
      </c>
      <c r="K2533" s="6">
        <v>0.19</v>
      </c>
      <c r="L2533" s="6" t="s">
        <v>42</v>
      </c>
      <c r="M2533" s="6" t="s">
        <v>34</v>
      </c>
      <c r="N2533" s="6"/>
    </row>
    <row r="2534" spans="1:14">
      <c r="A2534" s="6" t="s">
        <v>4074</v>
      </c>
      <c r="B2534" s="7">
        <v>46038</v>
      </c>
      <c r="C2534" s="6" t="s">
        <v>707</v>
      </c>
      <c r="D2534" s="6" t="str">
        <f>IF(OR(PROPER(TRIM(Raw_Data!D2534))="Uk",PROPER(TRIM(Raw_Data!D2534))="Gb",PROPER(TRIM(Raw_Data!D2534))="United kingdom"),"United Kingdom",PROPER(TRIM(Raw_Data!D2534)))</f>
        <v>Ireland</v>
      </c>
      <c r="E2534" s="6" t="s">
        <v>37</v>
      </c>
      <c r="F2534" s="6" t="s">
        <v>47</v>
      </c>
      <c r="G2534" s="6" t="str">
        <f>SUBSTITUTE(Raw_Data!G2534,"Ã©","é")</f>
        <v>Café Latte Mug</v>
      </c>
      <c r="H2534" s="6">
        <v>2</v>
      </c>
      <c r="I2534" s="6" t="s">
        <v>117</v>
      </c>
      <c r="J2534" s="6" t="s">
        <v>118</v>
      </c>
      <c r="K2534" s="6">
        <v>8.5000000000000006E-2</v>
      </c>
      <c r="L2534" s="6" t="s">
        <v>33</v>
      </c>
      <c r="M2534" s="6" t="s">
        <v>34</v>
      </c>
      <c r="N2534" s="6"/>
    </row>
    <row r="2535" spans="1:14">
      <c r="A2535" s="6" t="s">
        <v>4075</v>
      </c>
      <c r="B2535" s="7">
        <v>46161</v>
      </c>
      <c r="C2535" s="6" t="s">
        <v>1155</v>
      </c>
      <c r="D2535" s="6" t="str">
        <f>IF(OR(PROPER(TRIM(Raw_Data!D2535))="Uk",PROPER(TRIM(Raw_Data!D2535))="Gb",PROPER(TRIM(Raw_Data!D2535))="United kingdom"),"United Kingdom",PROPER(TRIM(Raw_Data!D2535)))</f>
        <v>France</v>
      </c>
      <c r="E2535" s="6" t="s">
        <v>37</v>
      </c>
      <c r="F2535" s="6" t="s">
        <v>53</v>
      </c>
      <c r="G2535" s="6" t="str">
        <f>SUBSTITUTE(Raw_Data!G2535,"Ã©","é")</f>
        <v>Café Latte Mug</v>
      </c>
      <c r="H2535" s="6">
        <v>2</v>
      </c>
      <c r="I2535" s="6" t="s">
        <v>90</v>
      </c>
      <c r="J2535" s="6" t="s">
        <v>154</v>
      </c>
      <c r="K2535" s="6">
        <v>0.19</v>
      </c>
      <c r="L2535" s="6" t="s">
        <v>42</v>
      </c>
      <c r="M2535" s="6" t="s">
        <v>34</v>
      </c>
      <c r="N2535" s="6"/>
    </row>
    <row r="2536" spans="1:14">
      <c r="A2536" s="6" t="s">
        <v>4076</v>
      </c>
      <c r="B2536" s="7">
        <v>46066</v>
      </c>
      <c r="C2536" s="6" t="s">
        <v>847</v>
      </c>
      <c r="D2536" s="6" t="str">
        <f>IF(OR(PROPER(TRIM(Raw_Data!D2536))="Uk",PROPER(TRIM(Raw_Data!D2536))="Gb",PROPER(TRIM(Raw_Data!D2536))="United kingdom"),"United Kingdom",PROPER(TRIM(Raw_Data!D2536)))</f>
        <v>United Kingdom</v>
      </c>
      <c r="E2536" s="6" t="s">
        <v>37</v>
      </c>
      <c r="F2536" s="6" t="s">
        <v>53</v>
      </c>
      <c r="G2536" s="6" t="str">
        <f>SUBSTITUTE(Raw_Data!G2536,"Ã©","é")</f>
        <v>Fell Runner Cap</v>
      </c>
      <c r="H2536" s="6">
        <v>2</v>
      </c>
      <c r="I2536" s="6" t="s">
        <v>117</v>
      </c>
      <c r="J2536" s="6" t="s">
        <v>118</v>
      </c>
      <c r="K2536" s="6">
        <v>0.19</v>
      </c>
      <c r="L2536" s="6" t="s">
        <v>42</v>
      </c>
      <c r="M2536" s="6" t="s">
        <v>34</v>
      </c>
      <c r="N2536" s="6"/>
    </row>
    <row r="2537" spans="1:14">
      <c r="A2537" s="6" t="s">
        <v>4077</v>
      </c>
      <c r="B2537" s="7">
        <v>46094</v>
      </c>
      <c r="C2537" s="6" t="s">
        <v>4078</v>
      </c>
      <c r="D2537" s="6" t="str">
        <f>IF(OR(PROPER(TRIM(Raw_Data!D2537))="Uk",PROPER(TRIM(Raw_Data!D2537))="Gb",PROPER(TRIM(Raw_Data!D2537))="United kingdom"),"United Kingdom",PROPER(TRIM(Raw_Data!D2537)))</f>
        <v>United Kingdom</v>
      </c>
      <c r="E2537" s="6" t="s">
        <v>28</v>
      </c>
      <c r="F2537" s="6" t="s">
        <v>100</v>
      </c>
      <c r="G2537" s="6" t="str">
        <f>SUBSTITUTE(Raw_Data!G2537,"Ã©","é")</f>
        <v>Fell Runner Cap</v>
      </c>
      <c r="H2537" s="6">
        <v>1</v>
      </c>
      <c r="I2537" s="6" t="s">
        <v>265</v>
      </c>
      <c r="J2537" s="6" t="s">
        <v>265</v>
      </c>
      <c r="K2537" s="6">
        <v>0.64</v>
      </c>
      <c r="L2537" s="6" t="s">
        <v>33</v>
      </c>
      <c r="M2537" s="6" t="s">
        <v>69</v>
      </c>
      <c r="N2537" s="6"/>
    </row>
    <row r="2538" spans="1:14">
      <c r="A2538" s="6" t="s">
        <v>4079</v>
      </c>
      <c r="B2538" s="7">
        <v>46140</v>
      </c>
      <c r="C2538" s="6" t="s">
        <v>2081</v>
      </c>
      <c r="D2538" s="6" t="str">
        <f>IF(OR(PROPER(TRIM(Raw_Data!D2538))="Uk",PROPER(TRIM(Raw_Data!D2538))="Gb",PROPER(TRIM(Raw_Data!D2538))="United kingdom"),"United Kingdom",PROPER(TRIM(Raw_Data!D2538)))</f>
        <v>United Kingdom</v>
      </c>
      <c r="E2538" s="6" t="s">
        <v>52</v>
      </c>
      <c r="F2538" s="6" t="s">
        <v>53</v>
      </c>
      <c r="G2538" s="6" t="str">
        <f>SUBSTITUTE(Raw_Data!G2538,"Ã©","é")</f>
        <v>Fell Runner Cap</v>
      </c>
      <c r="H2538" s="6">
        <v>2</v>
      </c>
      <c r="I2538" s="6" t="s">
        <v>143</v>
      </c>
      <c r="J2538" s="6" t="s">
        <v>144</v>
      </c>
      <c r="K2538" s="6">
        <v>0.19</v>
      </c>
      <c r="L2538" s="6" t="s">
        <v>42</v>
      </c>
      <c r="M2538" s="6" t="s">
        <v>34</v>
      </c>
      <c r="N2538" s="6"/>
    </row>
    <row r="2539" spans="1:14">
      <c r="A2539" s="6" t="s">
        <v>4080</v>
      </c>
      <c r="B2539" s="7">
        <v>46166</v>
      </c>
      <c r="C2539" s="6" t="s">
        <v>720</v>
      </c>
      <c r="D2539" s="6" t="str">
        <f>IF(OR(PROPER(TRIM(Raw_Data!D2539))="Uk",PROPER(TRIM(Raw_Data!D2539))="Gb",PROPER(TRIM(Raw_Data!D2539))="United kingdom"),"United Kingdom",PROPER(TRIM(Raw_Data!D2539)))</f>
        <v>United Kingdom</v>
      </c>
      <c r="E2539" s="6" t="s">
        <v>78</v>
      </c>
      <c r="F2539" s="6" t="s">
        <v>47</v>
      </c>
      <c r="G2539" s="6" t="str">
        <f>SUBSTITUTE(Raw_Data!G2539,"Ã©","é")</f>
        <v>Merino Base Layer</v>
      </c>
      <c r="H2539" s="6">
        <v>2</v>
      </c>
      <c r="I2539" s="6" t="s">
        <v>181</v>
      </c>
      <c r="J2539" s="6" t="s">
        <v>163</v>
      </c>
      <c r="K2539" s="6">
        <v>8.5000000000000006E-2</v>
      </c>
      <c r="L2539" s="6" t="s">
        <v>42</v>
      </c>
      <c r="M2539" s="6" t="s">
        <v>69</v>
      </c>
      <c r="N2539" s="6"/>
    </row>
    <row r="2540" spans="1:14">
      <c r="A2540" s="6" t="s">
        <v>4081</v>
      </c>
      <c r="B2540" s="7">
        <v>46202</v>
      </c>
      <c r="C2540" s="6" t="s">
        <v>1102</v>
      </c>
      <c r="D2540" s="6" t="str">
        <f>IF(OR(PROPER(TRIM(Raw_Data!D2540))="Uk",PROPER(TRIM(Raw_Data!D2540))="Gb",PROPER(TRIM(Raw_Data!D2540))="United kingdom"),"United Kingdom",PROPER(TRIM(Raw_Data!D2540)))</f>
        <v>United Kingdom</v>
      </c>
      <c r="E2540" s="6" t="s">
        <v>78</v>
      </c>
      <c r="F2540" s="6" t="s">
        <v>53</v>
      </c>
      <c r="G2540" s="6" t="str">
        <f>SUBSTITUTE(Raw_Data!G2540,"Ã©","é")</f>
        <v>Fell Runner Cap</v>
      </c>
      <c r="H2540" s="6">
        <v>2</v>
      </c>
      <c r="I2540" s="6" t="s">
        <v>79</v>
      </c>
      <c r="J2540" s="6" t="s">
        <v>259</v>
      </c>
      <c r="K2540" s="6">
        <v>0.19</v>
      </c>
      <c r="L2540" s="6" t="s">
        <v>42</v>
      </c>
      <c r="M2540" s="6" t="s">
        <v>69</v>
      </c>
      <c r="N2540" s="6"/>
    </row>
    <row r="2541" spans="1:14">
      <c r="A2541" s="6" t="s">
        <v>4082</v>
      </c>
      <c r="B2541" s="7">
        <v>46357</v>
      </c>
      <c r="C2541" s="6" t="s">
        <v>2210</v>
      </c>
      <c r="D2541" s="6" t="str">
        <f>IF(OR(PROPER(TRIM(Raw_Data!D2541))="Uk",PROPER(TRIM(Raw_Data!D2541))="Gb",PROPER(TRIM(Raw_Data!D2541))="United kingdom"),"United Kingdom",PROPER(TRIM(Raw_Data!D2541)))</f>
        <v>Ireland</v>
      </c>
      <c r="E2541" s="6" t="s">
        <v>52</v>
      </c>
      <c r="F2541" s="6" t="s">
        <v>29</v>
      </c>
      <c r="G2541" s="6" t="str">
        <f>SUBSTITUTE(Raw_Data!G2541,"Ã©","é")</f>
        <v>Summit Down Gilet</v>
      </c>
      <c r="H2541" s="6">
        <v>2</v>
      </c>
      <c r="I2541" s="6" t="s">
        <v>73</v>
      </c>
      <c r="J2541" s="6" t="s">
        <v>74</v>
      </c>
      <c r="K2541" s="6">
        <v>0.52</v>
      </c>
      <c r="L2541" s="6" t="s">
        <v>42</v>
      </c>
      <c r="M2541" s="6" t="s">
        <v>34</v>
      </c>
      <c r="N2541" s="6"/>
    </row>
    <row r="2542" spans="1:14">
      <c r="A2542" s="6" t="s">
        <v>4083</v>
      </c>
      <c r="B2542" s="7">
        <v>46127</v>
      </c>
      <c r="C2542" s="6" t="s">
        <v>219</v>
      </c>
      <c r="D2542" s="6" t="str">
        <f>IF(OR(PROPER(TRIM(Raw_Data!D2542))="Uk",PROPER(TRIM(Raw_Data!D2542))="Gb",PROPER(TRIM(Raw_Data!D2542))="United kingdom"),"United Kingdom",PROPER(TRIM(Raw_Data!D2542)))</f>
        <v>United Kingdom</v>
      </c>
      <c r="E2542" s="6" t="s">
        <v>78</v>
      </c>
      <c r="F2542" s="6" t="s">
        <v>29</v>
      </c>
      <c r="G2542" s="6" t="str">
        <f>SUBSTITUTE(Raw_Data!G2542,"Ã©","é")</f>
        <v>Trekking Poles</v>
      </c>
      <c r="H2542" s="6">
        <v>1</v>
      </c>
      <c r="I2542" s="6" t="s">
        <v>117</v>
      </c>
      <c r="J2542" s="6" t="s">
        <v>117</v>
      </c>
      <c r="K2542" s="6">
        <v>0.52</v>
      </c>
      <c r="L2542" s="6" t="s">
        <v>42</v>
      </c>
      <c r="M2542" s="6" t="s">
        <v>69</v>
      </c>
      <c r="N2542" s="6"/>
    </row>
    <row r="2543" spans="1:14">
      <c r="A2543" s="6" t="s">
        <v>4084</v>
      </c>
      <c r="B2543" s="7">
        <v>46058</v>
      </c>
      <c r="C2543" s="6" t="s">
        <v>768</v>
      </c>
      <c r="D2543" s="6" t="str">
        <f>IF(OR(PROPER(TRIM(Raw_Data!D2543))="Uk",PROPER(TRIM(Raw_Data!D2543))="Gb",PROPER(TRIM(Raw_Data!D2543))="United kingdom"),"United Kingdom",PROPER(TRIM(Raw_Data!D2543)))</f>
        <v>United Kingdom</v>
      </c>
      <c r="E2543" s="6" t="s">
        <v>52</v>
      </c>
      <c r="F2543" s="6" t="s">
        <v>100</v>
      </c>
      <c r="G2543" s="6" t="str">
        <f>SUBSTITUTE(Raw_Data!G2543,"Ã©","é")</f>
        <v>Trail Softshell</v>
      </c>
      <c r="H2543" s="6">
        <v>3</v>
      </c>
      <c r="I2543" s="6" t="s">
        <v>31</v>
      </c>
      <c r="J2543" s="6" t="s">
        <v>337</v>
      </c>
      <c r="K2543" s="6">
        <v>0.64</v>
      </c>
      <c r="L2543" s="6" t="s">
        <v>42</v>
      </c>
      <c r="M2543" s="6" t="s">
        <v>34</v>
      </c>
      <c r="N2543" s="6"/>
    </row>
    <row r="2544" spans="1:14">
      <c r="A2544" s="6" t="s">
        <v>4085</v>
      </c>
      <c r="B2544" s="7">
        <v>46186</v>
      </c>
      <c r="C2544" s="6" t="s">
        <v>1280</v>
      </c>
      <c r="D2544" s="6" t="str">
        <f>IF(OR(PROPER(TRIM(Raw_Data!D2544))="Uk",PROPER(TRIM(Raw_Data!D2544))="Gb",PROPER(TRIM(Raw_Data!D2544))="United kingdom"),"United Kingdom",PROPER(TRIM(Raw_Data!D2544)))</f>
        <v>United Kingdom</v>
      </c>
      <c r="E2544" s="6" t="s">
        <v>37</v>
      </c>
      <c r="F2544" s="6" t="s">
        <v>94</v>
      </c>
      <c r="G2544" s="6" t="str">
        <f>SUBSTITUTE(Raw_Data!G2544,"Ã©","é")</f>
        <v>Storm Overtrousers</v>
      </c>
      <c r="H2544" s="6">
        <v>2</v>
      </c>
      <c r="I2544" s="6" t="s">
        <v>656</v>
      </c>
      <c r="J2544" s="6" t="s">
        <v>192</v>
      </c>
      <c r="K2544" s="6">
        <v>0.34</v>
      </c>
      <c r="L2544" s="6" t="s">
        <v>42</v>
      </c>
      <c r="M2544" s="6" t="s">
        <v>34</v>
      </c>
      <c r="N2544" s="6"/>
    </row>
    <row r="2545" spans="1:14">
      <c r="A2545" s="6" t="s">
        <v>4086</v>
      </c>
      <c r="B2545" s="7">
        <v>46172</v>
      </c>
      <c r="C2545" s="6" t="s">
        <v>2909</v>
      </c>
      <c r="D2545" s="6" t="str">
        <f>IF(OR(PROPER(TRIM(Raw_Data!D2545))="Uk",PROPER(TRIM(Raw_Data!D2545))="Gb",PROPER(TRIM(Raw_Data!D2545))="United kingdom"),"United Kingdom",PROPER(TRIM(Raw_Data!D2545)))</f>
        <v>Ireland</v>
      </c>
      <c r="E2545" s="6" t="s">
        <v>28</v>
      </c>
      <c r="F2545" s="6" t="s">
        <v>58</v>
      </c>
      <c r="G2545" s="6" t="str">
        <f>SUBSTITUTE(Raw_Data!G2545,"Ã©","é")</f>
        <v>Alpine Jacket</v>
      </c>
      <c r="H2545" s="6">
        <v>1</v>
      </c>
      <c r="I2545" s="6" t="s">
        <v>265</v>
      </c>
      <c r="J2545" s="6" t="s">
        <v>265</v>
      </c>
      <c r="K2545" s="6">
        <v>0.38</v>
      </c>
      <c r="L2545" s="6" t="s">
        <v>42</v>
      </c>
      <c r="M2545" s="6" t="s">
        <v>34</v>
      </c>
      <c r="N2545" s="6"/>
    </row>
    <row r="2546" spans="1:14">
      <c r="A2546" s="6" t="s">
        <v>4087</v>
      </c>
      <c r="B2546" s="7">
        <v>46024</v>
      </c>
      <c r="C2546" s="6" t="s">
        <v>2109</v>
      </c>
      <c r="D2546" s="6" t="str">
        <f>IF(OR(PROPER(TRIM(Raw_Data!D2546))="Uk",PROPER(TRIM(Raw_Data!D2546))="Gb",PROPER(TRIM(Raw_Data!D2546))="United kingdom"),"United Kingdom",PROPER(TRIM(Raw_Data!D2546)))</f>
        <v>United Kingdom</v>
      </c>
      <c r="E2546" s="6" t="s">
        <v>46</v>
      </c>
      <c r="F2546" s="6" t="s">
        <v>85</v>
      </c>
      <c r="G2546" s="6" t="str">
        <f>SUBSTITUTE(Raw_Data!G2546,"Ã©","é")</f>
        <v>Merino Base Layer</v>
      </c>
      <c r="H2546" s="6">
        <v>2</v>
      </c>
      <c r="I2546" s="6" t="s">
        <v>82</v>
      </c>
      <c r="J2546" s="6" t="s">
        <v>297</v>
      </c>
      <c r="K2546" s="6">
        <v>0.41</v>
      </c>
      <c r="L2546" s="6" t="s">
        <v>42</v>
      </c>
      <c r="M2546" s="6" t="s">
        <v>69</v>
      </c>
      <c r="N2546" s="6"/>
    </row>
    <row r="2547" spans="1:14">
      <c r="A2547" s="6" t="s">
        <v>4088</v>
      </c>
      <c r="B2547" s="7">
        <v>46085</v>
      </c>
      <c r="C2547" s="6" t="s">
        <v>3110</v>
      </c>
      <c r="D2547" s="6" t="str">
        <f>IF(OR(PROPER(TRIM(Raw_Data!D2547))="Uk",PROPER(TRIM(Raw_Data!D2547))="Gb",PROPER(TRIM(Raw_Data!D2547))="United kingdom"),"United Kingdom",PROPER(TRIM(Raw_Data!D2547)))</f>
        <v>Ireland</v>
      </c>
      <c r="E2547" s="6" t="s">
        <v>78</v>
      </c>
      <c r="F2547" s="6" t="s">
        <v>29</v>
      </c>
      <c r="G2547" s="6" t="str">
        <f>SUBSTITUTE(Raw_Data!G2547,"Ã©","é")</f>
        <v>Trail Softshell</v>
      </c>
      <c r="H2547" s="6">
        <v>3</v>
      </c>
      <c r="I2547" s="6" t="s">
        <v>79</v>
      </c>
      <c r="J2547" s="6" t="s">
        <v>216</v>
      </c>
      <c r="K2547" s="6">
        <v>0.52</v>
      </c>
      <c r="L2547" s="6" t="s">
        <v>42</v>
      </c>
      <c r="M2547" s="6" t="s">
        <v>69</v>
      </c>
      <c r="N2547" s="6"/>
    </row>
    <row r="2548" spans="1:14">
      <c r="A2548" s="6" t="s">
        <v>4089</v>
      </c>
      <c r="B2548" s="7">
        <v>46200</v>
      </c>
      <c r="C2548" s="6" t="s">
        <v>1089</v>
      </c>
      <c r="D2548" s="6" t="str">
        <f>IF(OR(PROPER(TRIM(Raw_Data!D2548))="Uk",PROPER(TRIM(Raw_Data!D2548))="Gb",PROPER(TRIM(Raw_Data!D2548))="United kingdom"),"United Kingdom",PROPER(TRIM(Raw_Data!D2548)))</f>
        <v>United Kingdom</v>
      </c>
      <c r="E2548" s="6" t="s">
        <v>52</v>
      </c>
      <c r="F2548" s="6" t="s">
        <v>38</v>
      </c>
      <c r="G2548" s="6" t="str">
        <f>SUBSTITUTE(Raw_Data!G2548,"Ã©","é")</f>
        <v>Summit Down Gilet</v>
      </c>
      <c r="H2548" s="6">
        <v>1</v>
      </c>
      <c r="I2548" s="6" t="s">
        <v>143</v>
      </c>
      <c r="J2548" s="6" t="s">
        <v>3011</v>
      </c>
      <c r="K2548" s="6">
        <v>0.52</v>
      </c>
      <c r="L2548" s="6" t="s">
        <v>42</v>
      </c>
      <c r="M2548" s="6" t="s">
        <v>34</v>
      </c>
      <c r="N2548" s="6"/>
    </row>
    <row r="2549" spans="1:14">
      <c r="A2549" s="6" t="s">
        <v>4090</v>
      </c>
      <c r="B2549" s="7">
        <v>46206</v>
      </c>
      <c r="C2549" s="6" t="s">
        <v>2707</v>
      </c>
      <c r="D2549" s="6" t="str">
        <f>IF(OR(PROPER(TRIM(Raw_Data!D2549))="Uk",PROPER(TRIM(Raw_Data!D2549))="Gb",PROPER(TRIM(Raw_Data!D2549))="United kingdom"),"United Kingdom",PROPER(TRIM(Raw_Data!D2549)))</f>
        <v>Ireland</v>
      </c>
      <c r="E2549" s="6" t="s">
        <v>37</v>
      </c>
      <c r="F2549" s="6" t="s">
        <v>47</v>
      </c>
      <c r="G2549" s="6" t="str">
        <f>SUBSTITUTE(Raw_Data!G2549,"Ã©","é")</f>
        <v>Storm Overtrousers</v>
      </c>
      <c r="H2549" s="6">
        <v>3</v>
      </c>
      <c r="I2549" s="6" t="s">
        <v>265</v>
      </c>
      <c r="J2549" s="6" t="s">
        <v>401</v>
      </c>
      <c r="K2549" s="6">
        <v>8.5000000000000006E-2</v>
      </c>
      <c r="L2549" s="6" t="s">
        <v>42</v>
      </c>
      <c r="M2549" s="6" t="s">
        <v>34</v>
      </c>
      <c r="N2549" s="6"/>
    </row>
    <row r="2550" spans="1:14">
      <c r="A2550" s="6" t="s">
        <v>4091</v>
      </c>
      <c r="B2550" s="7">
        <v>46268</v>
      </c>
      <c r="C2550" s="6" t="s">
        <v>3440</v>
      </c>
      <c r="D2550" s="6" t="str">
        <f>IF(OR(PROPER(TRIM(Raw_Data!D2550))="Uk",PROPER(TRIM(Raw_Data!D2550))="Gb",PROPER(TRIM(Raw_Data!D2550))="United kingdom"),"United Kingdom",PROPER(TRIM(Raw_Data!D2550)))</f>
        <v>United Kingdom</v>
      </c>
      <c r="E2550" s="6" t="s">
        <v>28</v>
      </c>
      <c r="F2550" s="6" t="s">
        <v>29</v>
      </c>
      <c r="G2550" s="6" t="str">
        <f>SUBSTITUTE(Raw_Data!G2550,"Ã©","é")</f>
        <v>Summit Down Gilet</v>
      </c>
      <c r="H2550" s="6">
        <v>1</v>
      </c>
      <c r="I2550" s="6" t="s">
        <v>490</v>
      </c>
      <c r="J2550" s="6" t="s">
        <v>82</v>
      </c>
      <c r="K2550" s="6">
        <v>0.52</v>
      </c>
      <c r="L2550" s="6" t="s">
        <v>33</v>
      </c>
      <c r="M2550" s="6" t="s">
        <v>34</v>
      </c>
      <c r="N2550" s="6"/>
    </row>
    <row r="2551" spans="1:14">
      <c r="A2551" s="6" t="s">
        <v>4092</v>
      </c>
      <c r="B2551" s="7">
        <v>46163</v>
      </c>
      <c r="C2551" s="6" t="s">
        <v>1995</v>
      </c>
      <c r="D2551" s="6" t="str">
        <f>IF(OR(PROPER(TRIM(Raw_Data!D2551))="Uk",PROPER(TRIM(Raw_Data!D2551))="Gb",PROPER(TRIM(Raw_Data!D2551))="United kingdom"),"United Kingdom",PROPER(TRIM(Raw_Data!D2551)))</f>
        <v>United Kingdom</v>
      </c>
      <c r="E2551" s="6" t="s">
        <v>52</v>
      </c>
      <c r="F2551" s="6" t="s">
        <v>29</v>
      </c>
      <c r="G2551" s="6" t="str">
        <f>SUBSTITUTE(Raw_Data!G2551,"Ã©","é")</f>
        <v>Fell Runner Cap</v>
      </c>
      <c r="H2551" s="6">
        <v>1</v>
      </c>
      <c r="I2551" s="6" t="s">
        <v>231</v>
      </c>
      <c r="J2551" s="6" t="s">
        <v>231</v>
      </c>
      <c r="K2551" s="6">
        <v>0.52</v>
      </c>
      <c r="L2551" s="6" t="s">
        <v>42</v>
      </c>
      <c r="M2551" s="6" t="s">
        <v>34</v>
      </c>
      <c r="N2551" s="6"/>
    </row>
    <row r="2552" spans="1:14">
      <c r="A2552" s="6" t="s">
        <v>4093</v>
      </c>
      <c r="B2552" s="7">
        <v>46107</v>
      </c>
      <c r="C2552" s="6" t="s">
        <v>4094</v>
      </c>
      <c r="D2552" s="6" t="str">
        <f>IF(OR(PROPER(TRIM(Raw_Data!D2552))="Uk",PROPER(TRIM(Raw_Data!D2552))="Gb",PROPER(TRIM(Raw_Data!D2552))="United kingdom"),"United Kingdom",PROPER(TRIM(Raw_Data!D2552)))</f>
        <v>Germany</v>
      </c>
      <c r="E2552" s="6" t="s">
        <v>37</v>
      </c>
      <c r="F2552" s="6" t="s">
        <v>58</v>
      </c>
      <c r="G2552" s="6" t="str">
        <f>SUBSTITUTE(Raw_Data!G2552,"Ã©","é")</f>
        <v>Storm Overtrousers</v>
      </c>
      <c r="H2552" s="6">
        <v>1</v>
      </c>
      <c r="I2552" s="6" t="s">
        <v>143</v>
      </c>
      <c r="J2552" s="6" t="s">
        <v>143</v>
      </c>
      <c r="K2552" s="6">
        <v>0.38</v>
      </c>
      <c r="L2552" s="6" t="s">
        <v>33</v>
      </c>
      <c r="M2552" s="6" t="s">
        <v>34</v>
      </c>
      <c r="N2552" s="6"/>
    </row>
    <row r="2553" spans="1:14">
      <c r="A2553" s="6" t="s">
        <v>4095</v>
      </c>
      <c r="B2553" s="7">
        <v>46200</v>
      </c>
      <c r="C2553" s="6" t="s">
        <v>540</v>
      </c>
      <c r="D2553" s="6" t="str">
        <f>IF(OR(PROPER(TRIM(Raw_Data!D2553))="Uk",PROPER(TRIM(Raw_Data!D2553))="Gb",PROPER(TRIM(Raw_Data!D2553))="United kingdom"),"United Kingdom",PROPER(TRIM(Raw_Data!D2553)))</f>
        <v>United Kingdom</v>
      </c>
      <c r="E2553" s="6" t="s">
        <v>37</v>
      </c>
      <c r="F2553" s="6" t="s">
        <v>58</v>
      </c>
      <c r="G2553" s="6" t="str">
        <f>SUBSTITUTE(Raw_Data!G2553,"Ã©","é")</f>
        <v>Summit Down Gilet</v>
      </c>
      <c r="H2553" s="6">
        <v>2</v>
      </c>
      <c r="I2553" s="6" t="s">
        <v>79</v>
      </c>
      <c r="J2553" s="6" t="s">
        <v>259</v>
      </c>
      <c r="K2553" s="6">
        <v>0.38</v>
      </c>
      <c r="L2553" s="6" t="s">
        <v>42</v>
      </c>
      <c r="M2553" s="6" t="s">
        <v>69</v>
      </c>
      <c r="N2553" s="6"/>
    </row>
    <row r="2554" spans="1:14">
      <c r="A2554" s="6" t="s">
        <v>4096</v>
      </c>
      <c r="B2554" s="7">
        <v>46045</v>
      </c>
      <c r="C2554" s="6" t="s">
        <v>2193</v>
      </c>
      <c r="D2554" s="6" t="str">
        <f>IF(OR(PROPER(TRIM(Raw_Data!D2554))="Uk",PROPER(TRIM(Raw_Data!D2554))="Gb",PROPER(TRIM(Raw_Data!D2554))="United kingdom"),"United Kingdom",PROPER(TRIM(Raw_Data!D2554)))</f>
        <v>Ireland</v>
      </c>
      <c r="E2554" s="6" t="s">
        <v>78</v>
      </c>
      <c r="F2554" s="6" t="s">
        <v>29</v>
      </c>
      <c r="G2554" s="6" t="str">
        <f>SUBSTITUTE(Raw_Data!G2554,"Ã©","é")</f>
        <v>Café Latte Mug</v>
      </c>
      <c r="H2554" s="6">
        <v>3</v>
      </c>
      <c r="I2554" s="6" t="s">
        <v>113</v>
      </c>
      <c r="J2554" s="6" t="s">
        <v>138</v>
      </c>
      <c r="K2554" s="6">
        <v>0.52</v>
      </c>
      <c r="L2554" s="6" t="s">
        <v>33</v>
      </c>
      <c r="M2554" s="6" t="s">
        <v>34</v>
      </c>
      <c r="N2554" s="6"/>
    </row>
    <row r="2555" spans="1:14">
      <c r="A2555" s="6" t="s">
        <v>4097</v>
      </c>
      <c r="B2555" s="7">
        <v>46174</v>
      </c>
      <c r="C2555" s="6" t="s">
        <v>1883</v>
      </c>
      <c r="D2555" s="6" t="str">
        <f>IF(OR(PROPER(TRIM(Raw_Data!D2555))="Uk",PROPER(TRIM(Raw_Data!D2555))="Gb",PROPER(TRIM(Raw_Data!D2555))="United kingdom"),"United Kingdom",PROPER(TRIM(Raw_Data!D2555)))</f>
        <v>United Kingdom</v>
      </c>
      <c r="E2555" s="6" t="s">
        <v>46</v>
      </c>
      <c r="F2555" s="6" t="s">
        <v>38</v>
      </c>
      <c r="G2555" s="6" t="str">
        <f>SUBSTITUTE(Raw_Data!G2555,"Ã©","é")</f>
        <v>Merino Base Layer</v>
      </c>
      <c r="H2555" s="6">
        <v>3</v>
      </c>
      <c r="I2555" s="6" t="s">
        <v>40</v>
      </c>
      <c r="J2555" s="6" t="s">
        <v>579</v>
      </c>
      <c r="K2555" s="6">
        <v>0.52</v>
      </c>
      <c r="L2555" s="6" t="s">
        <v>33</v>
      </c>
      <c r="M2555" s="6" t="s">
        <v>34</v>
      </c>
      <c r="N2555" s="6"/>
    </row>
    <row r="2556" spans="1:14">
      <c r="A2556" s="6" t="s">
        <v>4098</v>
      </c>
      <c r="B2556" s="7">
        <v>46332</v>
      </c>
      <c r="C2556" s="6" t="s">
        <v>1321</v>
      </c>
      <c r="D2556" s="6" t="str">
        <f>IF(OR(PROPER(TRIM(Raw_Data!D2556))="Uk",PROPER(TRIM(Raw_Data!D2556))="Gb",PROPER(TRIM(Raw_Data!D2556))="United kingdom"),"United Kingdom",PROPER(TRIM(Raw_Data!D2556)))</f>
        <v>Germany</v>
      </c>
      <c r="E2556" s="6" t="s">
        <v>78</v>
      </c>
      <c r="F2556" s="6" t="s">
        <v>85</v>
      </c>
      <c r="G2556" s="6" t="str">
        <f>SUBSTITUTE(Raw_Data!G2556,"Ã©","é")</f>
        <v>Trekking Poles</v>
      </c>
      <c r="H2556" s="6">
        <v>1</v>
      </c>
      <c r="I2556" s="6" t="s">
        <v>113</v>
      </c>
      <c r="J2556" s="6" t="s">
        <v>113</v>
      </c>
      <c r="K2556" s="6">
        <v>0.41</v>
      </c>
      <c r="L2556" s="6" t="s">
        <v>42</v>
      </c>
      <c r="M2556" s="6" t="s">
        <v>34</v>
      </c>
      <c r="N2556" s="6"/>
    </row>
    <row r="2557" spans="1:14">
      <c r="A2557" s="6" t="s">
        <v>4099</v>
      </c>
      <c r="B2557" s="7">
        <v>46205</v>
      </c>
      <c r="C2557" s="6" t="s">
        <v>1736</v>
      </c>
      <c r="D2557" s="6" t="str">
        <f>IF(OR(PROPER(TRIM(Raw_Data!D2557))="Uk",PROPER(TRIM(Raw_Data!D2557))="Gb",PROPER(TRIM(Raw_Data!D2557))="United kingdom"),"United Kingdom",PROPER(TRIM(Raw_Data!D2557)))</f>
        <v>United Kingdom</v>
      </c>
      <c r="E2557" s="6" t="s">
        <v>37</v>
      </c>
      <c r="F2557" s="6" t="s">
        <v>53</v>
      </c>
      <c r="G2557" s="6" t="str">
        <f>SUBSTITUTE(Raw_Data!G2557,"Ã©","é")</f>
        <v>Summit Down Gilet</v>
      </c>
      <c r="H2557" s="6">
        <v>1</v>
      </c>
      <c r="I2557" s="6" t="s">
        <v>96</v>
      </c>
      <c r="J2557" s="6" t="s">
        <v>96</v>
      </c>
      <c r="K2557" s="6">
        <v>0.19</v>
      </c>
      <c r="L2557" s="6" t="s">
        <v>42</v>
      </c>
      <c r="M2557" s="6" t="s">
        <v>34</v>
      </c>
      <c r="N2557" s="6"/>
    </row>
    <row r="2558" spans="1:14">
      <c r="A2558" s="6" t="s">
        <v>4100</v>
      </c>
      <c r="B2558" s="7">
        <v>46082</v>
      </c>
      <c r="C2558" s="6" t="s">
        <v>4101</v>
      </c>
      <c r="D2558" s="6" t="str">
        <f>IF(OR(PROPER(TRIM(Raw_Data!D2558))="Uk",PROPER(TRIM(Raw_Data!D2558))="Gb",PROPER(TRIM(Raw_Data!D2558))="United kingdom"),"United Kingdom",PROPER(TRIM(Raw_Data!D2558)))</f>
        <v>United Kingdom</v>
      </c>
      <c r="E2558" s="6" t="s">
        <v>78</v>
      </c>
      <c r="F2558" s="6" t="s">
        <v>58</v>
      </c>
      <c r="G2558" s="6" t="str">
        <f>SUBSTITUTE(Raw_Data!G2558,"Ã©","é")</f>
        <v>Café Latte Mug</v>
      </c>
      <c r="H2558" s="6">
        <v>2</v>
      </c>
      <c r="I2558" s="6" t="s">
        <v>113</v>
      </c>
      <c r="J2558" s="6" t="s">
        <v>192</v>
      </c>
      <c r="K2558" s="6">
        <v>0.38</v>
      </c>
      <c r="L2558" s="6" t="s">
        <v>42</v>
      </c>
      <c r="M2558" s="6" t="s">
        <v>34</v>
      </c>
      <c r="N2558" s="6"/>
    </row>
    <row r="2559" spans="1:14">
      <c r="A2559" s="6" t="s">
        <v>4102</v>
      </c>
      <c r="B2559" s="7">
        <v>46074</v>
      </c>
      <c r="C2559" s="6" t="s">
        <v>1323</v>
      </c>
      <c r="D2559" s="6" t="str">
        <f>IF(OR(PROPER(TRIM(Raw_Data!D2559))="Uk",PROPER(TRIM(Raw_Data!D2559))="Gb",PROPER(TRIM(Raw_Data!D2559))="United kingdom"),"United Kingdom",PROPER(TRIM(Raw_Data!D2559)))</f>
        <v>United Kingdom</v>
      </c>
      <c r="E2559" s="6" t="s">
        <v>46</v>
      </c>
      <c r="F2559" s="6" t="s">
        <v>94</v>
      </c>
      <c r="G2559" s="6" t="str">
        <f>SUBSTITUTE(Raw_Data!G2559,"Ã©","é")</f>
        <v>Trekking Poles</v>
      </c>
      <c r="H2559" s="6">
        <v>2</v>
      </c>
      <c r="I2559" s="6" t="s">
        <v>90</v>
      </c>
      <c r="J2559" s="6" t="s">
        <v>154</v>
      </c>
      <c r="K2559" s="6">
        <v>0.34</v>
      </c>
      <c r="L2559" s="6" t="s">
        <v>42</v>
      </c>
      <c r="M2559" s="6" t="s">
        <v>69</v>
      </c>
      <c r="N2559" s="6"/>
    </row>
    <row r="2560" spans="1:14">
      <c r="A2560" s="6" t="s">
        <v>4103</v>
      </c>
      <c r="B2560" s="7">
        <v>46159</v>
      </c>
      <c r="C2560" s="6" t="s">
        <v>3288</v>
      </c>
      <c r="D2560" s="6" t="str">
        <f>IF(OR(PROPER(TRIM(Raw_Data!D2560))="Uk",PROPER(TRIM(Raw_Data!D2560))="Gb",PROPER(TRIM(Raw_Data!D2560))="United kingdom"),"United Kingdom",PROPER(TRIM(Raw_Data!D2560)))</f>
        <v>Ireland</v>
      </c>
      <c r="E2560" s="6" t="s">
        <v>37</v>
      </c>
      <c r="F2560" s="6" t="s">
        <v>29</v>
      </c>
      <c r="G2560" s="6" t="str">
        <f>SUBSTITUTE(Raw_Data!G2560,"Ã©","é")</f>
        <v>Summit Down Gilet</v>
      </c>
      <c r="H2560" s="6">
        <v>1</v>
      </c>
      <c r="I2560" s="6" t="s">
        <v>265</v>
      </c>
      <c r="J2560" s="6" t="s">
        <v>3832</v>
      </c>
      <c r="K2560" s="6">
        <v>0.52</v>
      </c>
      <c r="L2560" s="6" t="s">
        <v>42</v>
      </c>
      <c r="M2560" s="6" t="s">
        <v>69</v>
      </c>
      <c r="N2560" s="6"/>
    </row>
    <row r="2561" spans="1:14">
      <c r="A2561" s="6" t="s">
        <v>4104</v>
      </c>
      <c r="B2561" s="7">
        <v>46360</v>
      </c>
      <c r="C2561" s="6" t="s">
        <v>3860</v>
      </c>
      <c r="D2561" s="6" t="str">
        <f>IF(OR(PROPER(TRIM(Raw_Data!D2561))="Uk",PROPER(TRIM(Raw_Data!D2561))="Gb",PROPER(TRIM(Raw_Data!D2561))="United kingdom"),"United Kingdom",PROPER(TRIM(Raw_Data!D2561)))</f>
        <v>Ireland</v>
      </c>
      <c r="E2561" s="6" t="s">
        <v>28</v>
      </c>
      <c r="F2561" s="6" t="s">
        <v>94</v>
      </c>
      <c r="G2561" s="6" t="str">
        <f>SUBSTITUTE(Raw_Data!G2561,"Ã©","é")</f>
        <v>Café Latte Mug</v>
      </c>
      <c r="H2561" s="6">
        <v>1</v>
      </c>
      <c r="I2561" s="6" t="s">
        <v>82</v>
      </c>
      <c r="J2561" s="6" t="s">
        <v>82</v>
      </c>
      <c r="K2561" s="6">
        <v>0.34</v>
      </c>
      <c r="L2561" s="6" t="s">
        <v>33</v>
      </c>
      <c r="M2561" s="6" t="s">
        <v>69</v>
      </c>
      <c r="N2561" s="6"/>
    </row>
    <row r="2562" spans="1:14">
      <c r="A2562" s="6" t="s">
        <v>4105</v>
      </c>
      <c r="B2562" s="7">
        <v>46170</v>
      </c>
      <c r="C2562" s="6" t="s">
        <v>446</v>
      </c>
      <c r="D2562" s="6" t="str">
        <f>IF(OR(PROPER(TRIM(Raw_Data!D2562))="Uk",PROPER(TRIM(Raw_Data!D2562))="Gb",PROPER(TRIM(Raw_Data!D2562))="United kingdom"),"United Kingdom",PROPER(TRIM(Raw_Data!D2562)))</f>
        <v>United Kingdom</v>
      </c>
      <c r="E2562" s="6" t="s">
        <v>28</v>
      </c>
      <c r="F2562" s="6" t="s">
        <v>100</v>
      </c>
      <c r="G2562" s="6" t="str">
        <f>SUBSTITUTE(Raw_Data!G2562,"Ã©","é")</f>
        <v>Trail Softshell</v>
      </c>
      <c r="H2562" s="6">
        <v>1</v>
      </c>
      <c r="I2562" s="6" t="s">
        <v>113</v>
      </c>
      <c r="J2562" s="6" t="s">
        <v>113</v>
      </c>
      <c r="K2562" s="6">
        <v>0.64</v>
      </c>
      <c r="L2562" s="6" t="s">
        <v>42</v>
      </c>
      <c r="M2562" s="6" t="s">
        <v>69</v>
      </c>
      <c r="N2562" s="6"/>
    </row>
    <row r="2563" spans="1:14">
      <c r="A2563" s="6" t="s">
        <v>4106</v>
      </c>
      <c r="B2563" s="7">
        <v>46057</v>
      </c>
      <c r="C2563" s="6" t="s">
        <v>436</v>
      </c>
      <c r="D2563" s="6" t="str">
        <f>IF(OR(PROPER(TRIM(Raw_Data!D2563))="Uk",PROPER(TRIM(Raw_Data!D2563))="Gb",PROPER(TRIM(Raw_Data!D2563))="United kingdom"),"United Kingdom",PROPER(TRIM(Raw_Data!D2563)))</f>
        <v>United Kingdom</v>
      </c>
      <c r="E2563" s="6" t="s">
        <v>37</v>
      </c>
      <c r="F2563" s="6" t="s">
        <v>100</v>
      </c>
      <c r="G2563" s="6" t="str">
        <f>SUBSTITUTE(Raw_Data!G2563,"Ã©","é")</f>
        <v>Storm Overtrousers</v>
      </c>
      <c r="H2563" s="6">
        <v>3</v>
      </c>
      <c r="I2563" s="6" t="s">
        <v>90</v>
      </c>
      <c r="J2563" s="6" t="s">
        <v>102</v>
      </c>
      <c r="K2563" s="6">
        <v>0.64</v>
      </c>
      <c r="L2563" s="6" t="s">
        <v>42</v>
      </c>
      <c r="M2563" s="6" t="s">
        <v>69</v>
      </c>
      <c r="N2563" s="6"/>
    </row>
    <row r="2564" spans="1:14">
      <c r="A2564" s="6" t="s">
        <v>4107</v>
      </c>
      <c r="B2564" s="7">
        <v>46199</v>
      </c>
      <c r="C2564" s="6" t="s">
        <v>1207</v>
      </c>
      <c r="D2564" s="6" t="str">
        <f>IF(OR(PROPER(TRIM(Raw_Data!D2564))="Uk",PROPER(TRIM(Raw_Data!D2564))="Gb",PROPER(TRIM(Raw_Data!D2564))="United kingdom"),"United Kingdom",PROPER(TRIM(Raw_Data!D2564)))</f>
        <v>United Kingdom</v>
      </c>
      <c r="E2564" s="6" t="s">
        <v>37</v>
      </c>
      <c r="F2564" s="6" t="s">
        <v>53</v>
      </c>
      <c r="G2564" s="6" t="str">
        <f>SUBSTITUTE(Raw_Data!G2564,"Ã©","é")</f>
        <v>Storm Overtrousers</v>
      </c>
      <c r="H2564" s="6">
        <v>1</v>
      </c>
      <c r="I2564" s="6" t="s">
        <v>73</v>
      </c>
      <c r="J2564" s="6" t="s">
        <v>73</v>
      </c>
      <c r="K2564" s="6">
        <v>0.19</v>
      </c>
      <c r="L2564" s="6" t="s">
        <v>42</v>
      </c>
      <c r="M2564" s="6" t="s">
        <v>34</v>
      </c>
      <c r="N2564" s="6"/>
    </row>
    <row r="2565" spans="1:14">
      <c r="A2565" s="6" t="s">
        <v>4108</v>
      </c>
      <c r="B2565" s="7">
        <v>46129</v>
      </c>
      <c r="C2565" s="6" t="s">
        <v>1300</v>
      </c>
      <c r="D2565" s="6" t="str">
        <f>IF(OR(PROPER(TRIM(Raw_Data!D2565))="Uk",PROPER(TRIM(Raw_Data!D2565))="Gb",PROPER(TRIM(Raw_Data!D2565))="United kingdom"),"United Kingdom",PROPER(TRIM(Raw_Data!D2565)))</f>
        <v>Germany</v>
      </c>
      <c r="E2565" s="6" t="s">
        <v>78</v>
      </c>
      <c r="F2565" s="6" t="s">
        <v>38</v>
      </c>
      <c r="G2565" s="6" t="str">
        <f>SUBSTITUTE(Raw_Data!G2565,"Ã©","é")</f>
        <v>Trail Softshell</v>
      </c>
      <c r="H2565" s="6">
        <v>1</v>
      </c>
      <c r="I2565" s="6" t="s">
        <v>90</v>
      </c>
      <c r="J2565" s="6" t="s">
        <v>90</v>
      </c>
      <c r="K2565" s="6">
        <v>0.52</v>
      </c>
      <c r="L2565" s="6" t="s">
        <v>42</v>
      </c>
      <c r="M2565" s="6" t="s">
        <v>34</v>
      </c>
      <c r="N2565" s="6"/>
    </row>
    <row r="2566" spans="1:14">
      <c r="A2566" s="6" t="s">
        <v>4109</v>
      </c>
      <c r="B2566" s="7">
        <v>46163</v>
      </c>
      <c r="C2566" s="6" t="s">
        <v>2097</v>
      </c>
      <c r="D2566" s="6" t="str">
        <f>IF(OR(PROPER(TRIM(Raw_Data!D2566))="Uk",PROPER(TRIM(Raw_Data!D2566))="Gb",PROPER(TRIM(Raw_Data!D2566))="United kingdom"),"United Kingdom",PROPER(TRIM(Raw_Data!D2566)))</f>
        <v>United Kingdom</v>
      </c>
      <c r="E2566" s="6" t="s">
        <v>28</v>
      </c>
      <c r="F2566" s="6" t="s">
        <v>58</v>
      </c>
      <c r="G2566" s="6" t="str">
        <f>SUBSTITUTE(Raw_Data!G2566,"Ã©","é")</f>
        <v>Trekking Poles</v>
      </c>
      <c r="H2566" s="6">
        <v>1</v>
      </c>
      <c r="I2566" s="6" t="s">
        <v>90</v>
      </c>
      <c r="J2566" s="6" t="s">
        <v>90</v>
      </c>
      <c r="K2566" s="6">
        <v>0.38</v>
      </c>
      <c r="L2566" s="6" t="s">
        <v>42</v>
      </c>
      <c r="M2566" s="6" t="s">
        <v>34</v>
      </c>
      <c r="N2566" s="6"/>
    </row>
    <row r="2567" spans="1:14">
      <c r="A2567" s="6" t="s">
        <v>4110</v>
      </c>
      <c r="B2567" s="7">
        <v>46270</v>
      </c>
      <c r="C2567" s="6" t="s">
        <v>2726</v>
      </c>
      <c r="D2567" s="6" t="str">
        <f>IF(OR(PROPER(TRIM(Raw_Data!D2567))="Uk",PROPER(TRIM(Raw_Data!D2567))="Gb",PROPER(TRIM(Raw_Data!D2567))="United kingdom"),"United Kingdom",PROPER(TRIM(Raw_Data!D2567)))</f>
        <v>France</v>
      </c>
      <c r="E2567" s="6" t="s">
        <v>52</v>
      </c>
      <c r="F2567" s="6" t="s">
        <v>53</v>
      </c>
      <c r="G2567" s="6" t="str">
        <f>SUBSTITUTE(Raw_Data!G2567,"Ã©","é")</f>
        <v>Merino Base Layer</v>
      </c>
      <c r="H2567" s="6">
        <v>2</v>
      </c>
      <c r="I2567" s="6" t="s">
        <v>113</v>
      </c>
      <c r="J2567" s="6" t="s">
        <v>192</v>
      </c>
      <c r="K2567" s="6">
        <v>0.19</v>
      </c>
      <c r="L2567" s="6" t="s">
        <v>42</v>
      </c>
      <c r="M2567" s="6" t="s">
        <v>34</v>
      </c>
      <c r="N2567" s="6"/>
    </row>
    <row r="2568" spans="1:14">
      <c r="A2568" s="6" t="s">
        <v>4111</v>
      </c>
      <c r="B2568" s="7">
        <v>46126</v>
      </c>
      <c r="C2568" s="6" t="s">
        <v>2545</v>
      </c>
      <c r="D2568" s="6" t="str">
        <f>IF(OR(PROPER(TRIM(Raw_Data!D2568))="Uk",PROPER(TRIM(Raw_Data!D2568))="Gb",PROPER(TRIM(Raw_Data!D2568))="United kingdom"),"United Kingdom",PROPER(TRIM(Raw_Data!D2568)))</f>
        <v>United Kingdom</v>
      </c>
      <c r="E2568" s="6" t="s">
        <v>78</v>
      </c>
      <c r="F2568" s="6" t="s">
        <v>47</v>
      </c>
      <c r="G2568" s="6" t="str">
        <f>SUBSTITUTE(Raw_Data!G2568,"Ã©","é")</f>
        <v>Fell Runner Cap</v>
      </c>
      <c r="H2568" s="6">
        <v>2</v>
      </c>
      <c r="I2568" s="6" t="s">
        <v>96</v>
      </c>
      <c r="J2568" s="6" t="s">
        <v>278</v>
      </c>
      <c r="K2568" s="6">
        <v>8.5000000000000006E-2</v>
      </c>
      <c r="L2568" s="6" t="s">
        <v>42</v>
      </c>
      <c r="M2568" s="6" t="s">
        <v>34</v>
      </c>
      <c r="N2568" s="6"/>
    </row>
    <row r="2569" spans="1:14">
      <c r="A2569" s="6" t="s">
        <v>4112</v>
      </c>
      <c r="B2569" s="7">
        <v>46199</v>
      </c>
      <c r="C2569" s="6" t="s">
        <v>158</v>
      </c>
      <c r="D2569" s="6" t="str">
        <f>IF(OR(PROPER(TRIM(Raw_Data!D2569))="Uk",PROPER(TRIM(Raw_Data!D2569))="Gb",PROPER(TRIM(Raw_Data!D2569))="United kingdom"),"United Kingdom",PROPER(TRIM(Raw_Data!D2569)))</f>
        <v>United Kingdom</v>
      </c>
      <c r="E2569" s="6" t="s">
        <v>52</v>
      </c>
      <c r="F2569" s="6" t="s">
        <v>100</v>
      </c>
      <c r="G2569" s="6" t="str">
        <f>SUBSTITUTE(Raw_Data!G2569,"Ã©","é")</f>
        <v>Merino Base Layer</v>
      </c>
      <c r="H2569" s="6">
        <v>1</v>
      </c>
      <c r="I2569" s="6" t="s">
        <v>231</v>
      </c>
      <c r="J2569" s="6" t="s">
        <v>231</v>
      </c>
      <c r="K2569" s="6">
        <v>0.64</v>
      </c>
      <c r="L2569" s="6" t="s">
        <v>42</v>
      </c>
      <c r="M2569" s="6" t="s">
        <v>34</v>
      </c>
      <c r="N2569" s="6"/>
    </row>
    <row r="2570" spans="1:14">
      <c r="A2570" s="6" t="s">
        <v>4113</v>
      </c>
      <c r="B2570" s="7">
        <v>46141</v>
      </c>
      <c r="C2570" s="6" t="s">
        <v>1346</v>
      </c>
      <c r="D2570" s="6" t="str">
        <f>IF(OR(PROPER(TRIM(Raw_Data!D2570))="Uk",PROPER(TRIM(Raw_Data!D2570))="Gb",PROPER(TRIM(Raw_Data!D2570))="United kingdom"),"United Kingdom",PROPER(TRIM(Raw_Data!D2570)))</f>
        <v>United Kingdom</v>
      </c>
      <c r="E2570" s="6" t="s">
        <v>37</v>
      </c>
      <c r="F2570" s="6" t="s">
        <v>47</v>
      </c>
      <c r="G2570" s="6" t="str">
        <f>SUBSTITUTE(Raw_Data!G2570,"Ã©","é")</f>
        <v>Merino Base Layer</v>
      </c>
      <c r="H2570" s="6">
        <v>1</v>
      </c>
      <c r="I2570" s="6" t="s">
        <v>373</v>
      </c>
      <c r="J2570" s="6" t="s">
        <v>79</v>
      </c>
      <c r="K2570" s="6">
        <v>8.5000000000000006E-2</v>
      </c>
      <c r="L2570" s="6" t="s">
        <v>42</v>
      </c>
      <c r="M2570" s="6" t="s">
        <v>34</v>
      </c>
      <c r="N2570" s="6"/>
    </row>
    <row r="2571" spans="1:14">
      <c r="A2571" s="6" t="s">
        <v>4114</v>
      </c>
      <c r="B2571" s="7">
        <v>46126</v>
      </c>
      <c r="C2571" s="6" t="s">
        <v>1619</v>
      </c>
      <c r="D2571" s="6" t="str">
        <f>IF(OR(PROPER(TRIM(Raw_Data!D2571))="Uk",PROPER(TRIM(Raw_Data!D2571))="Gb",PROPER(TRIM(Raw_Data!D2571))="United kingdom"),"United Kingdom",PROPER(TRIM(Raw_Data!D2571)))</f>
        <v>United Kingdom</v>
      </c>
      <c r="E2571" s="6" t="s">
        <v>52</v>
      </c>
      <c r="F2571" s="6" t="s">
        <v>94</v>
      </c>
      <c r="G2571" s="6" t="str">
        <f>SUBSTITUTE(Raw_Data!G2571,"Ã©","é")</f>
        <v>Alpine Jacket</v>
      </c>
      <c r="H2571" s="6">
        <v>1</v>
      </c>
      <c r="I2571" s="6" t="s">
        <v>143</v>
      </c>
      <c r="J2571" s="6" t="s">
        <v>143</v>
      </c>
      <c r="K2571" s="6">
        <v>0.34</v>
      </c>
      <c r="L2571" s="6" t="s">
        <v>33</v>
      </c>
      <c r="M2571" s="6" t="s">
        <v>34</v>
      </c>
      <c r="N2571" s="6"/>
    </row>
    <row r="2572" spans="1:14">
      <c r="A2572" s="6" t="s">
        <v>4115</v>
      </c>
      <c r="B2572" s="7">
        <v>46084</v>
      </c>
      <c r="C2572" s="6" t="s">
        <v>951</v>
      </c>
      <c r="D2572" s="6" t="str">
        <f>IF(OR(PROPER(TRIM(Raw_Data!D2572))="Uk",PROPER(TRIM(Raw_Data!D2572))="Gb",PROPER(TRIM(Raw_Data!D2572))="United kingdom"),"United Kingdom",PROPER(TRIM(Raw_Data!D2572)))</f>
        <v>France</v>
      </c>
      <c r="E2572" s="6" t="s">
        <v>78</v>
      </c>
      <c r="F2572" s="6" t="s">
        <v>94</v>
      </c>
      <c r="G2572" s="6" t="str">
        <f>SUBSTITUTE(Raw_Data!G2572,"Ã©","é")</f>
        <v>Merino Base Layer</v>
      </c>
      <c r="H2572" s="6">
        <v>1</v>
      </c>
      <c r="I2572" s="6" t="s">
        <v>79</v>
      </c>
      <c r="J2572" s="6" t="s">
        <v>79</v>
      </c>
      <c r="K2572" s="6">
        <v>0.34</v>
      </c>
      <c r="L2572" s="6" t="s">
        <v>42</v>
      </c>
      <c r="M2572" s="6" t="s">
        <v>34</v>
      </c>
      <c r="N2572" s="6"/>
    </row>
    <row r="2573" spans="1:14">
      <c r="A2573" s="6" t="s">
        <v>4116</v>
      </c>
      <c r="B2573" s="7">
        <v>46104</v>
      </c>
      <c r="C2573" s="6" t="s">
        <v>294</v>
      </c>
      <c r="D2573" s="6" t="str">
        <f>IF(OR(PROPER(TRIM(Raw_Data!D2573))="Uk",PROPER(TRIM(Raw_Data!D2573))="Gb",PROPER(TRIM(Raw_Data!D2573))="United kingdom"),"United Kingdom",PROPER(TRIM(Raw_Data!D2573)))</f>
        <v>United Kingdom</v>
      </c>
      <c r="E2573" s="6" t="s">
        <v>37</v>
      </c>
      <c r="F2573" s="6" t="s">
        <v>100</v>
      </c>
      <c r="G2573" s="6" t="str">
        <f>SUBSTITUTE(Raw_Data!G2573,"Ã©","é")</f>
        <v>Fell Runner Cap</v>
      </c>
      <c r="H2573" s="6">
        <v>1</v>
      </c>
      <c r="I2573" s="6" t="s">
        <v>90</v>
      </c>
      <c r="J2573" s="6" t="s">
        <v>90</v>
      </c>
      <c r="K2573" s="6">
        <v>0.64</v>
      </c>
      <c r="L2573" s="6" t="s">
        <v>42</v>
      </c>
      <c r="M2573" s="6" t="s">
        <v>34</v>
      </c>
      <c r="N2573" s="6"/>
    </row>
    <row r="2574" spans="1:14">
      <c r="A2574" s="6" t="s">
        <v>4117</v>
      </c>
      <c r="B2574" s="7">
        <v>46156</v>
      </c>
      <c r="C2574" s="6" t="s">
        <v>4118</v>
      </c>
      <c r="D2574" s="6" t="str">
        <f>IF(OR(PROPER(TRIM(Raw_Data!D2574))="Uk",PROPER(TRIM(Raw_Data!D2574))="Gb",PROPER(TRIM(Raw_Data!D2574))="United kingdom"),"United Kingdom",PROPER(TRIM(Raw_Data!D2574)))</f>
        <v>Ireland</v>
      </c>
      <c r="E2574" s="6" t="s">
        <v>52</v>
      </c>
      <c r="F2574" s="6" t="s">
        <v>94</v>
      </c>
      <c r="G2574" s="6" t="str">
        <f>SUBSTITUTE(Raw_Data!G2574,"Ã©","é")</f>
        <v>Merino Base Layer</v>
      </c>
      <c r="H2574" s="6">
        <v>2</v>
      </c>
      <c r="I2574" s="6" t="s">
        <v>79</v>
      </c>
      <c r="J2574" s="6" t="s">
        <v>259</v>
      </c>
      <c r="K2574" s="6">
        <v>0.34</v>
      </c>
      <c r="L2574" s="6" t="s">
        <v>42</v>
      </c>
      <c r="M2574" s="6" t="s">
        <v>34</v>
      </c>
      <c r="N2574" s="6"/>
    </row>
    <row r="2575" spans="1:14">
      <c r="A2575" s="6" t="s">
        <v>4119</v>
      </c>
      <c r="B2575" s="7">
        <v>46202</v>
      </c>
      <c r="C2575" s="6" t="s">
        <v>4120</v>
      </c>
      <c r="D2575" s="6" t="str">
        <f>IF(OR(PROPER(TRIM(Raw_Data!D2575))="Uk",PROPER(TRIM(Raw_Data!D2575))="Gb",PROPER(TRIM(Raw_Data!D2575))="United kingdom"),"United Kingdom",PROPER(TRIM(Raw_Data!D2575)))</f>
        <v>United Kingdom</v>
      </c>
      <c r="E2575" s="6" t="s">
        <v>52</v>
      </c>
      <c r="F2575" s="6" t="s">
        <v>58</v>
      </c>
      <c r="G2575" s="6" t="str">
        <f>SUBSTITUTE(Raw_Data!G2575,"Ã©","é")</f>
        <v>Trekking Poles</v>
      </c>
      <c r="H2575" s="6">
        <v>2</v>
      </c>
      <c r="I2575" s="6" t="s">
        <v>143</v>
      </c>
      <c r="J2575" s="6" t="s">
        <v>144</v>
      </c>
      <c r="K2575" s="6">
        <v>0.38</v>
      </c>
      <c r="L2575" s="6" t="s">
        <v>42</v>
      </c>
      <c r="M2575" s="6" t="s">
        <v>34</v>
      </c>
      <c r="N2575" s="6"/>
    </row>
    <row r="2576" spans="1:14">
      <c r="A2576" s="6" t="s">
        <v>4121</v>
      </c>
      <c r="B2576" s="7">
        <v>46269</v>
      </c>
      <c r="C2576" s="6" t="s">
        <v>1398</v>
      </c>
      <c r="D2576" s="6" t="str">
        <f>IF(OR(PROPER(TRIM(Raw_Data!D2576))="Uk",PROPER(TRIM(Raw_Data!D2576))="Gb",PROPER(TRIM(Raw_Data!D2576))="United kingdom"),"United Kingdom",PROPER(TRIM(Raw_Data!D2576)))</f>
        <v>Ireland</v>
      </c>
      <c r="E2576" s="6" t="s">
        <v>37</v>
      </c>
      <c r="F2576" s="6" t="s">
        <v>58</v>
      </c>
      <c r="G2576" s="6" t="str">
        <f>SUBSTITUTE(Raw_Data!G2576,"Ã©","é")</f>
        <v>Café Latte Mug</v>
      </c>
      <c r="H2576" s="6">
        <v>1</v>
      </c>
      <c r="I2576" s="6" t="s">
        <v>265</v>
      </c>
      <c r="J2576" s="6" t="s">
        <v>265</v>
      </c>
      <c r="K2576" s="6">
        <v>0.38</v>
      </c>
      <c r="L2576" s="6" t="s">
        <v>42</v>
      </c>
      <c r="M2576" s="6" t="s">
        <v>34</v>
      </c>
      <c r="N2576" s="6"/>
    </row>
    <row r="2577" spans="1:14">
      <c r="A2577" s="6" t="s">
        <v>4122</v>
      </c>
      <c r="B2577" s="7">
        <v>46331</v>
      </c>
      <c r="C2577" s="6" t="s">
        <v>2712</v>
      </c>
      <c r="D2577" s="6" t="str">
        <f>IF(OR(PROPER(TRIM(Raw_Data!D2577))="Uk",PROPER(TRIM(Raw_Data!D2577))="Gb",PROPER(TRIM(Raw_Data!D2577))="United kingdom"),"United Kingdom",PROPER(TRIM(Raw_Data!D2577)))</f>
        <v>France</v>
      </c>
      <c r="E2577" s="6" t="s">
        <v>52</v>
      </c>
      <c r="F2577" s="6" t="s">
        <v>58</v>
      </c>
      <c r="G2577" s="6" t="str">
        <f>SUBSTITUTE(Raw_Data!G2577,"Ã©","é")</f>
        <v>Trekking Poles</v>
      </c>
      <c r="H2577" s="6">
        <v>3</v>
      </c>
      <c r="I2577" s="6" t="s">
        <v>90</v>
      </c>
      <c r="J2577" s="6" t="s">
        <v>102</v>
      </c>
      <c r="K2577" s="6">
        <v>0.38</v>
      </c>
      <c r="L2577" s="6" t="s">
        <v>42</v>
      </c>
      <c r="M2577" s="6" t="s">
        <v>34</v>
      </c>
      <c r="N2577" s="6"/>
    </row>
    <row r="2578" spans="1:14">
      <c r="A2578" s="6" t="s">
        <v>4123</v>
      </c>
      <c r="B2578" s="7">
        <v>46088</v>
      </c>
      <c r="C2578" s="6" t="s">
        <v>2067</v>
      </c>
      <c r="D2578" s="6" t="str">
        <f>IF(OR(PROPER(TRIM(Raw_Data!D2578))="Uk",PROPER(TRIM(Raw_Data!D2578))="Gb",PROPER(TRIM(Raw_Data!D2578))="United kingdom"),"United Kingdom",PROPER(TRIM(Raw_Data!D2578)))</f>
        <v>United Kingdom</v>
      </c>
      <c r="E2578" s="6" t="s">
        <v>28</v>
      </c>
      <c r="F2578" s="6" t="s">
        <v>47</v>
      </c>
      <c r="G2578" s="6" t="str">
        <f>SUBSTITUTE(Raw_Data!G2578,"Ã©","é")</f>
        <v>Alpine Jacket</v>
      </c>
      <c r="H2578" s="6">
        <v>2</v>
      </c>
      <c r="I2578" s="6" t="s">
        <v>90</v>
      </c>
      <c r="J2578" s="6" t="s">
        <v>154</v>
      </c>
      <c r="K2578" s="6">
        <v>8.5000000000000006E-2</v>
      </c>
      <c r="L2578" s="6" t="s">
        <v>42</v>
      </c>
      <c r="M2578" s="6" t="s">
        <v>34</v>
      </c>
      <c r="N2578" s="6"/>
    </row>
    <row r="2579" spans="1:14">
      <c r="A2579" s="6" t="s">
        <v>4124</v>
      </c>
      <c r="B2579" s="7">
        <v>46240</v>
      </c>
      <c r="C2579" s="6" t="s">
        <v>3644</v>
      </c>
      <c r="D2579" s="6" t="str">
        <f>IF(OR(PROPER(TRIM(Raw_Data!D2579))="Uk",PROPER(TRIM(Raw_Data!D2579))="Gb",PROPER(TRIM(Raw_Data!D2579))="United kingdom"),"United Kingdom",PROPER(TRIM(Raw_Data!D2579)))</f>
        <v>Ireland</v>
      </c>
      <c r="E2579" s="6" t="s">
        <v>52</v>
      </c>
      <c r="F2579" s="6" t="s">
        <v>94</v>
      </c>
      <c r="G2579" s="6" t="str">
        <f>SUBSTITUTE(Raw_Data!G2579,"Ã©","é")</f>
        <v>Café Latte Mug</v>
      </c>
      <c r="H2579" s="6">
        <v>3</v>
      </c>
      <c r="I2579" s="6" t="s">
        <v>79</v>
      </c>
      <c r="J2579" s="6" t="s">
        <v>216</v>
      </c>
      <c r="K2579" s="6">
        <v>0.34</v>
      </c>
      <c r="L2579" s="6" t="s">
        <v>42</v>
      </c>
      <c r="M2579" s="6" t="s">
        <v>69</v>
      </c>
      <c r="N2579" s="6"/>
    </row>
    <row r="2580" spans="1:14">
      <c r="A2580" s="6" t="s">
        <v>4125</v>
      </c>
      <c r="B2580" s="7">
        <v>46145</v>
      </c>
      <c r="C2580" s="6" t="s">
        <v>2875</v>
      </c>
      <c r="D2580" s="6" t="str">
        <f>IF(OR(PROPER(TRIM(Raw_Data!D2580))="Uk",PROPER(TRIM(Raw_Data!D2580))="Gb",PROPER(TRIM(Raw_Data!D2580))="United kingdom"),"United Kingdom",PROPER(TRIM(Raw_Data!D2580)))</f>
        <v>United Kingdom</v>
      </c>
      <c r="E2580" s="6" t="s">
        <v>52</v>
      </c>
      <c r="F2580" s="6" t="s">
        <v>53</v>
      </c>
      <c r="G2580" s="6" t="str">
        <f>SUBSTITUTE(Raw_Data!G2580,"Ã©","é")</f>
        <v>Summit Down Gilet</v>
      </c>
      <c r="H2580" s="6">
        <v>2</v>
      </c>
      <c r="I2580" s="6" t="s">
        <v>40</v>
      </c>
      <c r="J2580" s="6" t="s">
        <v>327</v>
      </c>
      <c r="K2580" s="6">
        <v>0.19</v>
      </c>
      <c r="L2580" s="6" t="s">
        <v>33</v>
      </c>
      <c r="M2580" s="6" t="s">
        <v>34</v>
      </c>
      <c r="N2580" s="6"/>
    </row>
    <row r="2581" spans="1:14">
      <c r="A2581" s="6" t="s">
        <v>4126</v>
      </c>
      <c r="B2581" s="7">
        <v>46161</v>
      </c>
      <c r="C2581" s="6" t="s">
        <v>1291</v>
      </c>
      <c r="D2581" s="6" t="str">
        <f>IF(OR(PROPER(TRIM(Raw_Data!D2581))="Uk",PROPER(TRIM(Raw_Data!D2581))="Gb",PROPER(TRIM(Raw_Data!D2581))="United kingdom"),"United Kingdom",PROPER(TRIM(Raw_Data!D2581)))</f>
        <v>United Kingdom</v>
      </c>
      <c r="E2581" s="6" t="s">
        <v>78</v>
      </c>
      <c r="F2581" s="6" t="s">
        <v>94</v>
      </c>
      <c r="G2581" s="6" t="str">
        <f>SUBSTITUTE(Raw_Data!G2581,"Ã©","é")</f>
        <v>Storm Overtrousers</v>
      </c>
      <c r="H2581" s="6">
        <v>1</v>
      </c>
      <c r="I2581" s="6" t="s">
        <v>143</v>
      </c>
      <c r="J2581" s="6" t="s">
        <v>143</v>
      </c>
      <c r="K2581" s="6">
        <v>0.34</v>
      </c>
      <c r="L2581" s="6" t="s">
        <v>42</v>
      </c>
      <c r="M2581" s="6" t="s">
        <v>34</v>
      </c>
      <c r="N2581" s="6"/>
    </row>
    <row r="2582" spans="1:14">
      <c r="A2582" s="6" t="s">
        <v>4127</v>
      </c>
      <c r="B2582" s="7">
        <v>46114</v>
      </c>
      <c r="C2582" s="6" t="s">
        <v>1730</v>
      </c>
      <c r="D2582" s="6" t="str">
        <f>IF(OR(PROPER(TRIM(Raw_Data!D2582))="Uk",PROPER(TRIM(Raw_Data!D2582))="Gb",PROPER(TRIM(Raw_Data!D2582))="United kingdom"),"United Kingdom",PROPER(TRIM(Raw_Data!D2582)))</f>
        <v>United Kingdom</v>
      </c>
      <c r="E2582" s="6" t="s">
        <v>37</v>
      </c>
      <c r="F2582" s="6" t="s">
        <v>38</v>
      </c>
      <c r="G2582" s="6" t="str">
        <f>SUBSTITUTE(Raw_Data!G2582,"Ã©","é")</f>
        <v>Trekking Poles</v>
      </c>
      <c r="H2582" s="6">
        <v>1</v>
      </c>
      <c r="I2582" s="6" t="s">
        <v>117</v>
      </c>
      <c r="J2582" s="6" t="s">
        <v>117</v>
      </c>
      <c r="K2582" s="6">
        <v>0.52</v>
      </c>
      <c r="L2582" s="6" t="s">
        <v>42</v>
      </c>
      <c r="M2582" s="6" t="s">
        <v>34</v>
      </c>
      <c r="N2582" s="6"/>
    </row>
    <row r="2583" spans="1:14">
      <c r="A2583" s="6" t="s">
        <v>4128</v>
      </c>
      <c r="B2583" s="7">
        <v>46102</v>
      </c>
      <c r="C2583" s="6" t="s">
        <v>4129</v>
      </c>
      <c r="D2583" s="6" t="str">
        <f>IF(OR(PROPER(TRIM(Raw_Data!D2583))="Uk",PROPER(TRIM(Raw_Data!D2583))="Gb",PROPER(TRIM(Raw_Data!D2583))="United kingdom"),"United Kingdom",PROPER(TRIM(Raw_Data!D2583)))</f>
        <v>Ireland</v>
      </c>
      <c r="E2583" s="6" t="s">
        <v>37</v>
      </c>
      <c r="F2583" s="6" t="s">
        <v>94</v>
      </c>
      <c r="G2583" s="6" t="str">
        <f>SUBSTITUTE(Raw_Data!G2583,"Ã©","é")</f>
        <v>Trail Softshell</v>
      </c>
      <c r="H2583" s="6">
        <v>1</v>
      </c>
      <c r="I2583" s="6" t="s">
        <v>231</v>
      </c>
      <c r="J2583" s="6" t="s">
        <v>231</v>
      </c>
      <c r="K2583" s="6">
        <v>0.34</v>
      </c>
      <c r="L2583" s="6" t="s">
        <v>42</v>
      </c>
      <c r="M2583" s="6" t="s">
        <v>34</v>
      </c>
      <c r="N2583" s="6"/>
    </row>
    <row r="2584" spans="1:14">
      <c r="A2584" s="6" t="s">
        <v>4130</v>
      </c>
      <c r="B2584" s="7">
        <v>46046</v>
      </c>
      <c r="C2584" s="6" t="s">
        <v>1021</v>
      </c>
      <c r="D2584" s="6" t="str">
        <f>IF(OR(PROPER(TRIM(Raw_Data!D2584))="Uk",PROPER(TRIM(Raw_Data!D2584))="Gb",PROPER(TRIM(Raw_Data!D2584))="United kingdom"),"United Kingdom",PROPER(TRIM(Raw_Data!D2584)))</f>
        <v>United Kingdom</v>
      </c>
      <c r="E2584" s="6" t="s">
        <v>28</v>
      </c>
      <c r="F2584" s="6" t="s">
        <v>47</v>
      </c>
      <c r="G2584" s="6" t="str">
        <f>SUBSTITUTE(Raw_Data!G2584,"Ã©","é")</f>
        <v>Fell Runner Cap</v>
      </c>
      <c r="H2584" s="6">
        <v>3</v>
      </c>
      <c r="I2584" s="6" t="s">
        <v>90</v>
      </c>
      <c r="J2584" s="6" t="s">
        <v>102</v>
      </c>
      <c r="K2584" s="6">
        <v>8.5000000000000006E-2</v>
      </c>
      <c r="L2584" s="6" t="s">
        <v>42</v>
      </c>
      <c r="M2584" s="6" t="s">
        <v>34</v>
      </c>
      <c r="N2584" s="6"/>
    </row>
    <row r="2585" spans="1:14">
      <c r="A2585" s="6" t="s">
        <v>4131</v>
      </c>
      <c r="B2585" s="7">
        <v>46192</v>
      </c>
      <c r="C2585" s="6" t="s">
        <v>398</v>
      </c>
      <c r="D2585" s="6" t="str">
        <f>IF(OR(PROPER(TRIM(Raw_Data!D2585))="Uk",PROPER(TRIM(Raw_Data!D2585))="Gb",PROPER(TRIM(Raw_Data!D2585))="United kingdom"),"United Kingdom",PROPER(TRIM(Raw_Data!D2585)))</f>
        <v>Ireland</v>
      </c>
      <c r="E2585" s="6" t="s">
        <v>46</v>
      </c>
      <c r="F2585" s="6" t="s">
        <v>94</v>
      </c>
      <c r="G2585" s="6" t="str">
        <f>SUBSTITUTE(Raw_Data!G2585,"Ã©","é")</f>
        <v>Trekking Poles</v>
      </c>
      <c r="H2585" s="6">
        <v>2</v>
      </c>
      <c r="I2585" s="6" t="s">
        <v>82</v>
      </c>
      <c r="J2585" s="6" t="s">
        <v>297</v>
      </c>
      <c r="K2585" s="6">
        <v>0.34</v>
      </c>
      <c r="L2585" s="6" t="s">
        <v>42</v>
      </c>
      <c r="M2585" s="6" t="s">
        <v>34</v>
      </c>
      <c r="N2585" s="6"/>
    </row>
    <row r="2586" spans="1:14">
      <c r="A2586" s="6" t="s">
        <v>4132</v>
      </c>
      <c r="B2586" s="7">
        <v>46301</v>
      </c>
      <c r="C2586" s="6" t="s">
        <v>1335</v>
      </c>
      <c r="D2586" s="6" t="str">
        <f>IF(OR(PROPER(TRIM(Raw_Data!D2586))="Uk",PROPER(TRIM(Raw_Data!D2586))="Gb",PROPER(TRIM(Raw_Data!D2586))="United kingdom"),"United Kingdom",PROPER(TRIM(Raw_Data!D2586)))</f>
        <v>United Kingdom</v>
      </c>
      <c r="E2586" s="6" t="s">
        <v>46</v>
      </c>
      <c r="F2586" s="6" t="s">
        <v>53</v>
      </c>
      <c r="G2586" s="6" t="str">
        <f>SUBSTITUTE(Raw_Data!G2586,"Ã©","é")</f>
        <v>Trekking Poles</v>
      </c>
      <c r="H2586" s="6">
        <v>1</v>
      </c>
      <c r="I2586" s="6" t="s">
        <v>90</v>
      </c>
      <c r="J2586" s="6" t="s">
        <v>90</v>
      </c>
      <c r="K2586" s="6">
        <v>0.19</v>
      </c>
      <c r="L2586" s="6" t="s">
        <v>42</v>
      </c>
      <c r="M2586" s="6" t="s">
        <v>69</v>
      </c>
      <c r="N2586" s="6"/>
    </row>
    <row r="2587" spans="1:14">
      <c r="A2587" s="6" t="s">
        <v>4133</v>
      </c>
      <c r="B2587" s="7">
        <v>46040</v>
      </c>
      <c r="C2587" s="6" t="s">
        <v>3471</v>
      </c>
      <c r="D2587" s="6" t="str">
        <f>IF(OR(PROPER(TRIM(Raw_Data!D2587))="Uk",PROPER(TRIM(Raw_Data!D2587))="Gb",PROPER(TRIM(Raw_Data!D2587))="United kingdom"),"United Kingdom",PROPER(TRIM(Raw_Data!D2587)))</f>
        <v>Ireland</v>
      </c>
      <c r="E2587" s="6" t="s">
        <v>52</v>
      </c>
      <c r="F2587" s="6" t="s">
        <v>47</v>
      </c>
      <c r="G2587" s="6" t="str">
        <f>SUBSTITUTE(Raw_Data!G2587,"Ã©","é")</f>
        <v>Summit Down Gilet</v>
      </c>
      <c r="H2587" s="6">
        <v>1</v>
      </c>
      <c r="I2587" s="6" t="s">
        <v>113</v>
      </c>
      <c r="J2587" s="6" t="s">
        <v>113</v>
      </c>
      <c r="K2587" s="6">
        <v>8.5000000000000006E-2</v>
      </c>
      <c r="L2587" s="6" t="s">
        <v>42</v>
      </c>
      <c r="M2587" s="6" t="s">
        <v>69</v>
      </c>
      <c r="N2587" s="6"/>
    </row>
    <row r="2588" spans="1:14">
      <c r="A2588" s="6" t="s">
        <v>4134</v>
      </c>
      <c r="B2588" s="7">
        <v>46327</v>
      </c>
      <c r="C2588" s="6" t="s">
        <v>140</v>
      </c>
      <c r="D2588" s="6" t="str">
        <f>IF(OR(PROPER(TRIM(Raw_Data!D2588))="Uk",PROPER(TRIM(Raw_Data!D2588))="Gb",PROPER(TRIM(Raw_Data!D2588))="United kingdom"),"United Kingdom",PROPER(TRIM(Raw_Data!D2588)))</f>
        <v>Ireland</v>
      </c>
      <c r="E2588" s="6" t="s">
        <v>52</v>
      </c>
      <c r="F2588" s="6" t="s">
        <v>29</v>
      </c>
      <c r="G2588" s="6" t="str">
        <f>SUBSTITUTE(Raw_Data!G2588,"Ã©","é")</f>
        <v>Summit Down Gilet</v>
      </c>
      <c r="H2588" s="6">
        <v>1</v>
      </c>
      <c r="I2588" s="6" t="s">
        <v>2666</v>
      </c>
      <c r="J2588" s="6" t="s">
        <v>67</v>
      </c>
      <c r="K2588" s="6">
        <v>0.52</v>
      </c>
      <c r="L2588" s="6" t="s">
        <v>33</v>
      </c>
      <c r="M2588" s="6" t="s">
        <v>34</v>
      </c>
      <c r="N2588" s="6"/>
    </row>
    <row r="2589" spans="1:14">
      <c r="A2589" s="6" t="s">
        <v>4135</v>
      </c>
      <c r="B2589" s="7">
        <v>46206</v>
      </c>
      <c r="C2589" s="6" t="s">
        <v>4136</v>
      </c>
      <c r="D2589" s="6" t="str">
        <f>IF(OR(PROPER(TRIM(Raw_Data!D2589))="Uk",PROPER(TRIM(Raw_Data!D2589))="Gb",PROPER(TRIM(Raw_Data!D2589))="United kingdom"),"United Kingdom",PROPER(TRIM(Raw_Data!D2589)))</f>
        <v>United Kingdom</v>
      </c>
      <c r="E2589" s="6" t="s">
        <v>37</v>
      </c>
      <c r="F2589" s="6" t="s">
        <v>29</v>
      </c>
      <c r="G2589" s="6" t="str">
        <f>SUBSTITUTE(Raw_Data!G2589,"Ã©","é")</f>
        <v>Trekking Poles</v>
      </c>
      <c r="H2589" s="6">
        <v>1</v>
      </c>
      <c r="I2589" s="6" t="s">
        <v>79</v>
      </c>
      <c r="J2589" s="6" t="s">
        <v>79</v>
      </c>
      <c r="K2589" s="6">
        <v>0.52</v>
      </c>
      <c r="L2589" s="6" t="s">
        <v>42</v>
      </c>
      <c r="M2589" s="6" t="s">
        <v>34</v>
      </c>
      <c r="N2589" s="6"/>
    </row>
    <row r="2590" spans="1:14">
      <c r="A2590" s="6" t="s">
        <v>4137</v>
      </c>
      <c r="B2590" s="7">
        <v>46079</v>
      </c>
      <c r="C2590" s="6" t="s">
        <v>4138</v>
      </c>
      <c r="D2590" s="6" t="str">
        <f>IF(OR(PROPER(TRIM(Raw_Data!D2590))="Uk",PROPER(TRIM(Raw_Data!D2590))="Gb",PROPER(TRIM(Raw_Data!D2590))="United kingdom"),"United Kingdom",PROPER(TRIM(Raw_Data!D2590)))</f>
        <v>United Kingdom</v>
      </c>
      <c r="E2590" s="6" t="s">
        <v>37</v>
      </c>
      <c r="F2590" s="6" t="s">
        <v>47</v>
      </c>
      <c r="G2590" s="6" t="str">
        <f>SUBSTITUTE(Raw_Data!G2590,"Ã©","é")</f>
        <v>Trail Softshell</v>
      </c>
      <c r="H2590" s="6">
        <v>2</v>
      </c>
      <c r="I2590" s="6" t="s">
        <v>90</v>
      </c>
      <c r="J2590" s="6" t="s">
        <v>154</v>
      </c>
      <c r="K2590" s="6">
        <v>8.5000000000000006E-2</v>
      </c>
      <c r="L2590" s="6" t="s">
        <v>42</v>
      </c>
      <c r="M2590" s="6" t="s">
        <v>69</v>
      </c>
      <c r="N2590" s="6"/>
    </row>
    <row r="2591" spans="1:14">
      <c r="A2591" s="6" t="s">
        <v>4139</v>
      </c>
      <c r="B2591" s="7">
        <v>46075</v>
      </c>
      <c r="C2591" s="6" t="s">
        <v>3223</v>
      </c>
      <c r="D2591" s="6" t="str">
        <f>IF(OR(PROPER(TRIM(Raw_Data!D2591))="Uk",PROPER(TRIM(Raw_Data!D2591))="Gb",PROPER(TRIM(Raw_Data!D2591))="United kingdom"),"United Kingdom",PROPER(TRIM(Raw_Data!D2591)))</f>
        <v>United Kingdom</v>
      </c>
      <c r="E2591" s="6" t="s">
        <v>46</v>
      </c>
      <c r="F2591" s="6" t="s">
        <v>47</v>
      </c>
      <c r="G2591" s="6" t="str">
        <f>SUBSTITUTE(Raw_Data!G2591,"Ã©","é")</f>
        <v>Storm Overtrousers</v>
      </c>
      <c r="H2591" s="6">
        <v>1</v>
      </c>
      <c r="I2591" s="6" t="s">
        <v>31</v>
      </c>
      <c r="J2591" s="6" t="s">
        <v>31</v>
      </c>
      <c r="K2591" s="6">
        <v>8.5000000000000006E-2</v>
      </c>
      <c r="L2591" s="6" t="s">
        <v>42</v>
      </c>
      <c r="M2591" s="6" t="s">
        <v>34</v>
      </c>
      <c r="N2591" s="6"/>
    </row>
    <row r="2592" spans="1:14">
      <c r="A2592" s="6" t="s">
        <v>4140</v>
      </c>
      <c r="B2592" s="7">
        <v>46237</v>
      </c>
      <c r="C2592" s="6" t="s">
        <v>524</v>
      </c>
      <c r="D2592" s="6" t="str">
        <f>IF(OR(PROPER(TRIM(Raw_Data!D2592))="Uk",PROPER(TRIM(Raw_Data!D2592))="Gb",PROPER(TRIM(Raw_Data!D2592))="United kingdom"),"United Kingdom",PROPER(TRIM(Raw_Data!D2592)))</f>
        <v>United Kingdom</v>
      </c>
      <c r="E2592" s="6" t="s">
        <v>37</v>
      </c>
      <c r="F2592" s="6" t="s">
        <v>53</v>
      </c>
      <c r="G2592" s="6" t="str">
        <f>SUBSTITUTE(Raw_Data!G2592,"Ã©","é")</f>
        <v>Merino Base Layer</v>
      </c>
      <c r="H2592" s="6">
        <v>2</v>
      </c>
      <c r="I2592" s="6" t="s">
        <v>96</v>
      </c>
      <c r="J2592" s="6" t="s">
        <v>278</v>
      </c>
      <c r="K2592" s="6">
        <v>0.19</v>
      </c>
      <c r="L2592" s="6" t="s">
        <v>42</v>
      </c>
      <c r="M2592" s="6" t="s">
        <v>34</v>
      </c>
      <c r="N2592" s="6"/>
    </row>
    <row r="2593" spans="1:14">
      <c r="A2593" s="6" t="s">
        <v>4141</v>
      </c>
      <c r="B2593" s="7">
        <v>46108</v>
      </c>
      <c r="C2593" s="6" t="s">
        <v>1608</v>
      </c>
      <c r="D2593" s="6" t="str">
        <f>IF(OR(PROPER(TRIM(Raw_Data!D2593))="Uk",PROPER(TRIM(Raw_Data!D2593))="Gb",PROPER(TRIM(Raw_Data!D2593))="United kingdom"),"United Kingdom",PROPER(TRIM(Raw_Data!D2593)))</f>
        <v>Ireland</v>
      </c>
      <c r="E2593" s="6" t="s">
        <v>78</v>
      </c>
      <c r="F2593" s="6" t="s">
        <v>47</v>
      </c>
      <c r="G2593" s="6" t="str">
        <f>SUBSTITUTE(Raw_Data!G2593,"Ã©","é")</f>
        <v>Summit Down Gilet</v>
      </c>
      <c r="H2593" s="6">
        <v>2</v>
      </c>
      <c r="I2593" s="6" t="s">
        <v>31</v>
      </c>
      <c r="J2593" s="6" t="s">
        <v>249</v>
      </c>
      <c r="K2593" s="6">
        <v>8.5000000000000006E-2</v>
      </c>
      <c r="L2593" s="6" t="s">
        <v>42</v>
      </c>
      <c r="M2593" s="6" t="s">
        <v>34</v>
      </c>
      <c r="N2593" s="6"/>
    </row>
    <row r="2594" spans="1:14">
      <c r="A2594" s="6" t="s">
        <v>4142</v>
      </c>
      <c r="B2594" s="7">
        <v>46084</v>
      </c>
      <c r="C2594" s="6" t="s">
        <v>4143</v>
      </c>
      <c r="D2594" s="6" t="str">
        <f>IF(OR(PROPER(TRIM(Raw_Data!D2594))="Uk",PROPER(TRIM(Raw_Data!D2594))="Gb",PROPER(TRIM(Raw_Data!D2594))="United kingdom"),"United Kingdom",PROPER(TRIM(Raw_Data!D2594)))</f>
        <v>United Kingdom</v>
      </c>
      <c r="E2594" s="6" t="s">
        <v>52</v>
      </c>
      <c r="F2594" s="6" t="s">
        <v>85</v>
      </c>
      <c r="G2594" s="6" t="str">
        <f>SUBSTITUTE(Raw_Data!G2594,"Ã©","é")</f>
        <v>Summit Down Gilet</v>
      </c>
      <c r="H2594" s="6">
        <v>2</v>
      </c>
      <c r="I2594" s="6" t="s">
        <v>79</v>
      </c>
      <c r="J2594" s="6" t="s">
        <v>259</v>
      </c>
      <c r="K2594" s="6">
        <v>0.41</v>
      </c>
      <c r="L2594" s="6" t="s">
        <v>42</v>
      </c>
      <c r="M2594" s="6" t="s">
        <v>34</v>
      </c>
      <c r="N2594" s="6"/>
    </row>
    <row r="2595" spans="1:14">
      <c r="A2595" s="6" t="s">
        <v>4144</v>
      </c>
      <c r="B2595" s="7">
        <v>46190</v>
      </c>
      <c r="C2595" s="6" t="s">
        <v>398</v>
      </c>
      <c r="D2595" s="6" t="str">
        <f>IF(OR(PROPER(TRIM(Raw_Data!D2595))="Uk",PROPER(TRIM(Raw_Data!D2595))="Gb",PROPER(TRIM(Raw_Data!D2595))="United kingdom"),"United Kingdom",PROPER(TRIM(Raw_Data!D2595)))</f>
        <v>Germany</v>
      </c>
      <c r="E2595" s="6" t="s">
        <v>28</v>
      </c>
      <c r="F2595" s="6" t="s">
        <v>29</v>
      </c>
      <c r="G2595" s="6" t="str">
        <f>SUBSTITUTE(Raw_Data!G2595,"Ã©","é")</f>
        <v>Café Latte Mug</v>
      </c>
      <c r="H2595" s="6">
        <v>3</v>
      </c>
      <c r="I2595" s="6" t="s">
        <v>143</v>
      </c>
      <c r="J2595" s="6" t="s">
        <v>243</v>
      </c>
      <c r="K2595" s="6">
        <v>0.52</v>
      </c>
      <c r="L2595" s="6" t="s">
        <v>42</v>
      </c>
      <c r="M2595" s="6" t="s">
        <v>69</v>
      </c>
      <c r="N2595" s="6"/>
    </row>
    <row r="2596" spans="1:14">
      <c r="A2596" s="6" t="s">
        <v>4145</v>
      </c>
      <c r="B2596" s="7">
        <v>46171</v>
      </c>
      <c r="C2596" s="6" t="s">
        <v>1630</v>
      </c>
      <c r="D2596" s="6" t="str">
        <f>IF(OR(PROPER(TRIM(Raw_Data!D2596))="Uk",PROPER(TRIM(Raw_Data!D2596))="Gb",PROPER(TRIM(Raw_Data!D2596))="United kingdom"),"United Kingdom",PROPER(TRIM(Raw_Data!D2596)))</f>
        <v>United Kingdom</v>
      </c>
      <c r="E2596" s="6" t="s">
        <v>37</v>
      </c>
      <c r="F2596" s="6" t="s">
        <v>100</v>
      </c>
      <c r="G2596" s="6" t="str">
        <f>SUBSTITUTE(Raw_Data!G2596,"Ã©","é")</f>
        <v>Trekking Poles</v>
      </c>
      <c r="H2596" s="6">
        <v>1</v>
      </c>
      <c r="I2596" s="6" t="s">
        <v>265</v>
      </c>
      <c r="J2596" s="6" t="s">
        <v>265</v>
      </c>
      <c r="K2596" s="6">
        <v>0.64</v>
      </c>
      <c r="L2596" s="6" t="s">
        <v>42</v>
      </c>
      <c r="M2596" s="6" t="s">
        <v>69</v>
      </c>
      <c r="N2596" s="6"/>
    </row>
    <row r="2597" spans="1:14">
      <c r="A2597" s="6" t="s">
        <v>4147</v>
      </c>
      <c r="B2597" s="7">
        <v>46239</v>
      </c>
      <c r="C2597" s="6" t="s">
        <v>2380</v>
      </c>
      <c r="D2597" s="6" t="str">
        <f>IF(OR(PROPER(TRIM(Raw_Data!D2597))="Uk",PROPER(TRIM(Raw_Data!D2597))="Gb",PROPER(TRIM(Raw_Data!D2597))="United kingdom"),"United Kingdom",PROPER(TRIM(Raw_Data!D2597)))</f>
        <v>United Kingdom</v>
      </c>
      <c r="E2597" s="6" t="s">
        <v>37</v>
      </c>
      <c r="F2597" s="6" t="s">
        <v>29</v>
      </c>
      <c r="G2597" s="6" t="str">
        <f>SUBSTITUTE(Raw_Data!G2597,"Ã©","é")</f>
        <v>Café Latte Mug</v>
      </c>
      <c r="H2597" s="6">
        <v>2</v>
      </c>
      <c r="I2597" s="6" t="s">
        <v>31</v>
      </c>
      <c r="J2597" s="6" t="s">
        <v>249</v>
      </c>
      <c r="K2597" s="6">
        <v>0.52</v>
      </c>
      <c r="L2597" s="6" t="s">
        <v>42</v>
      </c>
      <c r="M2597" s="6" t="s">
        <v>34</v>
      </c>
      <c r="N2597" s="6"/>
    </row>
    <row r="2598" spans="1:14">
      <c r="A2598" s="6" t="s">
        <v>4148</v>
      </c>
      <c r="B2598" s="7">
        <v>46088</v>
      </c>
      <c r="C2598" s="6" t="s">
        <v>2087</v>
      </c>
      <c r="D2598" s="6" t="str">
        <f>IF(OR(PROPER(TRIM(Raw_Data!D2598))="Uk",PROPER(TRIM(Raw_Data!D2598))="Gb",PROPER(TRIM(Raw_Data!D2598))="United kingdom"),"United Kingdom",PROPER(TRIM(Raw_Data!D2598)))</f>
        <v>United Kingdom</v>
      </c>
      <c r="E2598" s="6" t="s">
        <v>78</v>
      </c>
      <c r="F2598" s="6" t="s">
        <v>38</v>
      </c>
      <c r="G2598" s="6" t="str">
        <f>SUBSTITUTE(Raw_Data!G2598,"Ã©","é")</f>
        <v>Alpine Jacket</v>
      </c>
      <c r="H2598" s="6">
        <v>2</v>
      </c>
      <c r="I2598" s="6" t="s">
        <v>113</v>
      </c>
      <c r="J2598" s="6" t="s">
        <v>192</v>
      </c>
      <c r="K2598" s="6">
        <v>0.52</v>
      </c>
      <c r="L2598" s="6" t="s">
        <v>42</v>
      </c>
      <c r="M2598" s="6" t="s">
        <v>34</v>
      </c>
      <c r="N2598" s="6"/>
    </row>
    <row r="2599" spans="1:14">
      <c r="A2599" s="6" t="s">
        <v>4149</v>
      </c>
      <c r="B2599" s="7">
        <v>46178</v>
      </c>
      <c r="C2599" s="6" t="s">
        <v>99</v>
      </c>
      <c r="D2599" s="6" t="str">
        <f>IF(OR(PROPER(TRIM(Raw_Data!D2599))="Uk",PROPER(TRIM(Raw_Data!D2599))="Gb",PROPER(TRIM(Raw_Data!D2599))="United kingdom"),"United Kingdom",PROPER(TRIM(Raw_Data!D2599)))</f>
        <v>United Kingdom</v>
      </c>
      <c r="E2599" s="6" t="s">
        <v>37</v>
      </c>
      <c r="F2599" s="6" t="s">
        <v>85</v>
      </c>
      <c r="G2599" s="6" t="str">
        <f>SUBSTITUTE(Raw_Data!G2599,"Ã©","é")</f>
        <v>Alpine Jacket</v>
      </c>
      <c r="H2599" s="6">
        <v>1</v>
      </c>
      <c r="I2599" s="6" t="s">
        <v>67</v>
      </c>
      <c r="J2599" s="6" t="s">
        <v>67</v>
      </c>
      <c r="K2599" s="6">
        <v>0.41</v>
      </c>
      <c r="L2599" s="6" t="s">
        <v>42</v>
      </c>
      <c r="M2599" s="6" t="s">
        <v>34</v>
      </c>
      <c r="N2599" s="6"/>
    </row>
    <row r="2600" spans="1:14">
      <c r="A2600" s="6" t="s">
        <v>4150</v>
      </c>
      <c r="B2600" s="7">
        <v>46073</v>
      </c>
      <c r="C2600" s="6" t="s">
        <v>450</v>
      </c>
      <c r="D2600" s="6" t="str">
        <f>IF(OR(PROPER(TRIM(Raw_Data!D2600))="Uk",PROPER(TRIM(Raw_Data!D2600))="Gb",PROPER(TRIM(Raw_Data!D2600))="United kingdom"),"United Kingdom",PROPER(TRIM(Raw_Data!D2600)))</f>
        <v>Ireland</v>
      </c>
      <c r="E2600" s="6" t="s">
        <v>78</v>
      </c>
      <c r="F2600" s="6" t="s">
        <v>47</v>
      </c>
      <c r="G2600" s="6" t="str">
        <f>SUBSTITUTE(Raw_Data!G2600,"Ã©","é")</f>
        <v>Merino Base Layer</v>
      </c>
      <c r="H2600" s="6">
        <v>2</v>
      </c>
      <c r="I2600" s="6" t="s">
        <v>113</v>
      </c>
      <c r="J2600" s="6" t="s">
        <v>192</v>
      </c>
      <c r="K2600" s="6">
        <v>8.5000000000000006E-2</v>
      </c>
      <c r="L2600" s="6" t="s">
        <v>33</v>
      </c>
      <c r="M2600" s="6" t="s">
        <v>34</v>
      </c>
      <c r="N2600" s="6"/>
    </row>
    <row r="2601" spans="1:14">
      <c r="A2601" s="6" t="s">
        <v>4151</v>
      </c>
      <c r="B2601" s="7">
        <v>46235</v>
      </c>
      <c r="C2601" s="6" t="s">
        <v>2944</v>
      </c>
      <c r="D2601" s="6" t="str">
        <f>IF(OR(PROPER(TRIM(Raw_Data!D2601))="Uk",PROPER(TRIM(Raw_Data!D2601))="Gb",PROPER(TRIM(Raw_Data!D2601))="United kingdom"),"United Kingdom",PROPER(TRIM(Raw_Data!D2601)))</f>
        <v>United Kingdom</v>
      </c>
      <c r="E2601" s="6" t="s">
        <v>37</v>
      </c>
      <c r="F2601" s="6" t="s">
        <v>94</v>
      </c>
      <c r="G2601" s="6" t="str">
        <f>SUBSTITUTE(Raw_Data!G2601,"Ã©","é")</f>
        <v>Trail Softshell</v>
      </c>
      <c r="H2601" s="6">
        <v>3</v>
      </c>
      <c r="I2601" s="6" t="s">
        <v>60</v>
      </c>
      <c r="J2601" s="6" t="s">
        <v>268</v>
      </c>
      <c r="K2601" s="6">
        <v>0.34</v>
      </c>
      <c r="L2601" s="6" t="s">
        <v>42</v>
      </c>
      <c r="M2601" s="6" t="s">
        <v>34</v>
      </c>
      <c r="N2601" s="6"/>
    </row>
    <row r="2602" spans="1:14">
      <c r="A2602" s="6" t="s">
        <v>4152</v>
      </c>
      <c r="B2602" s="7">
        <v>46115</v>
      </c>
      <c r="C2602" s="6" t="s">
        <v>1100</v>
      </c>
      <c r="D2602" s="6" t="str">
        <f>IF(OR(PROPER(TRIM(Raw_Data!D2602))="Uk",PROPER(TRIM(Raw_Data!D2602))="Gb",PROPER(TRIM(Raw_Data!D2602))="United kingdom"),"United Kingdom",PROPER(TRIM(Raw_Data!D2602)))</f>
        <v>United Kingdom</v>
      </c>
      <c r="E2602" s="6" t="s">
        <v>78</v>
      </c>
      <c r="F2602" s="6" t="s">
        <v>53</v>
      </c>
      <c r="G2602" s="6" t="str">
        <f>SUBSTITUTE(Raw_Data!G2602,"Ã©","é")</f>
        <v>Summit Down Gilet</v>
      </c>
      <c r="H2602" s="6">
        <v>3</v>
      </c>
      <c r="I2602" s="6" t="s">
        <v>31</v>
      </c>
      <c r="J2602" s="6" t="s">
        <v>337</v>
      </c>
      <c r="K2602" s="6">
        <v>0.19</v>
      </c>
      <c r="L2602" s="6" t="s">
        <v>42</v>
      </c>
      <c r="M2602" s="6" t="s">
        <v>34</v>
      </c>
      <c r="N2602" s="6"/>
    </row>
    <row r="2603" spans="1:14">
      <c r="A2603" s="6" t="s">
        <v>4153</v>
      </c>
      <c r="B2603" s="7">
        <v>46116</v>
      </c>
      <c r="C2603" s="6" t="s">
        <v>4071</v>
      </c>
      <c r="D2603" s="6" t="str">
        <f>IF(OR(PROPER(TRIM(Raw_Data!D2603))="Uk",PROPER(TRIM(Raw_Data!D2603))="Gb",PROPER(TRIM(Raw_Data!D2603))="United kingdom"),"United Kingdom",PROPER(TRIM(Raw_Data!D2603)))</f>
        <v>United Kingdom</v>
      </c>
      <c r="E2603" s="6" t="s">
        <v>28</v>
      </c>
      <c r="F2603" s="6" t="s">
        <v>94</v>
      </c>
      <c r="G2603" s="6" t="str">
        <f>SUBSTITUTE(Raw_Data!G2603,"Ã©","é")</f>
        <v>Merino Base Layer</v>
      </c>
      <c r="H2603" s="6">
        <v>1</v>
      </c>
      <c r="I2603" s="6" t="s">
        <v>769</v>
      </c>
      <c r="J2603" s="6" t="s">
        <v>60</v>
      </c>
      <c r="K2603" s="6">
        <v>0.34</v>
      </c>
      <c r="L2603" s="6" t="s">
        <v>42</v>
      </c>
      <c r="M2603" s="6" t="s">
        <v>34</v>
      </c>
      <c r="N2603" s="6"/>
    </row>
    <row r="2604" spans="1:14">
      <c r="A2604" s="6" t="s">
        <v>4154</v>
      </c>
      <c r="B2604" s="7">
        <v>46115</v>
      </c>
      <c r="C2604" s="6" t="s">
        <v>282</v>
      </c>
      <c r="D2604" s="6" t="str">
        <f>IF(OR(PROPER(TRIM(Raw_Data!D2604))="Uk",PROPER(TRIM(Raw_Data!D2604))="Gb",PROPER(TRIM(Raw_Data!D2604))="United kingdom"),"United Kingdom",PROPER(TRIM(Raw_Data!D2604)))</f>
        <v>Germany</v>
      </c>
      <c r="E2604" s="6" t="s">
        <v>78</v>
      </c>
      <c r="F2604" s="6" t="s">
        <v>38</v>
      </c>
      <c r="G2604" s="6" t="str">
        <f>SUBSTITUTE(Raw_Data!G2604,"Ã©","é")</f>
        <v>Fell Runner Cap</v>
      </c>
      <c r="H2604" s="6">
        <v>1</v>
      </c>
      <c r="I2604" s="6" t="s">
        <v>373</v>
      </c>
      <c r="J2604" s="6" t="s">
        <v>79</v>
      </c>
      <c r="K2604" s="6">
        <v>0.52</v>
      </c>
      <c r="L2604" s="6" t="s">
        <v>42</v>
      </c>
      <c r="M2604" s="6" t="s">
        <v>34</v>
      </c>
      <c r="N2604" s="6"/>
    </row>
    <row r="2605" spans="1:14">
      <c r="A2605" s="6" t="s">
        <v>4155</v>
      </c>
      <c r="B2605" s="7">
        <v>46266</v>
      </c>
      <c r="C2605" s="6" t="s">
        <v>2518</v>
      </c>
      <c r="D2605" s="6" t="str">
        <f>IF(OR(PROPER(TRIM(Raw_Data!D2605))="Uk",PROPER(TRIM(Raw_Data!D2605))="Gb",PROPER(TRIM(Raw_Data!D2605))="United kingdom"),"United Kingdom",PROPER(TRIM(Raw_Data!D2605)))</f>
        <v>United Kingdom</v>
      </c>
      <c r="E2605" s="6" t="s">
        <v>78</v>
      </c>
      <c r="F2605" s="6" t="s">
        <v>94</v>
      </c>
      <c r="G2605" s="6" t="str">
        <f>SUBSTITUTE(Raw_Data!G2605,"Ã©","é")</f>
        <v>Alpine Jacket</v>
      </c>
      <c r="H2605" s="6">
        <v>1</v>
      </c>
      <c r="I2605" s="6" t="s">
        <v>117</v>
      </c>
      <c r="J2605" s="6" t="s">
        <v>117</v>
      </c>
      <c r="K2605" s="6">
        <v>0.34</v>
      </c>
      <c r="L2605" s="6" t="s">
        <v>42</v>
      </c>
      <c r="M2605" s="6" t="s">
        <v>34</v>
      </c>
      <c r="N2605" s="6"/>
    </row>
    <row r="2606" spans="1:14">
      <c r="A2606" s="6" t="s">
        <v>4156</v>
      </c>
      <c r="B2606" s="7">
        <v>46047</v>
      </c>
      <c r="C2606" s="6" t="s">
        <v>4157</v>
      </c>
      <c r="D2606" s="6" t="str">
        <f>IF(OR(PROPER(TRIM(Raw_Data!D2606))="Uk",PROPER(TRIM(Raw_Data!D2606))="Gb",PROPER(TRIM(Raw_Data!D2606))="United kingdom"),"United Kingdom",PROPER(TRIM(Raw_Data!D2606)))</f>
        <v>United Kingdom</v>
      </c>
      <c r="E2606" s="6" t="s">
        <v>46</v>
      </c>
      <c r="F2606" s="6" t="s">
        <v>85</v>
      </c>
      <c r="G2606" s="6" t="str">
        <f>SUBSTITUTE(Raw_Data!G2606,"Ã©","é")</f>
        <v>Fell Runner Cap</v>
      </c>
      <c r="H2606" s="6">
        <v>2</v>
      </c>
      <c r="I2606" s="6" t="s">
        <v>265</v>
      </c>
      <c r="J2606" s="6" t="s">
        <v>167</v>
      </c>
      <c r="K2606" s="6">
        <v>0.41</v>
      </c>
      <c r="L2606" s="6" t="s">
        <v>42</v>
      </c>
      <c r="M2606" s="6" t="s">
        <v>34</v>
      </c>
      <c r="N2606" s="6"/>
    </row>
    <row r="2607" spans="1:14">
      <c r="A2607" s="6" t="s">
        <v>4158</v>
      </c>
      <c r="B2607" s="7">
        <v>46118</v>
      </c>
      <c r="C2607" s="6" t="s">
        <v>4159</v>
      </c>
      <c r="D2607" s="6" t="str">
        <f>IF(OR(PROPER(TRIM(Raw_Data!D2607))="Uk",PROPER(TRIM(Raw_Data!D2607))="Gb",PROPER(TRIM(Raw_Data!D2607))="United kingdom"),"United Kingdom",PROPER(TRIM(Raw_Data!D2607)))</f>
        <v>United Kingdom</v>
      </c>
      <c r="E2607" s="6" t="s">
        <v>52</v>
      </c>
      <c r="F2607" s="6" t="s">
        <v>58</v>
      </c>
      <c r="G2607" s="6" t="str">
        <f>SUBSTITUTE(Raw_Data!G2607,"Ã©","é")</f>
        <v>Café Latte Mug</v>
      </c>
      <c r="H2607" s="6">
        <v>3</v>
      </c>
      <c r="I2607" s="6" t="s">
        <v>31</v>
      </c>
      <c r="J2607" s="6" t="s">
        <v>337</v>
      </c>
      <c r="K2607" s="6">
        <v>0.38</v>
      </c>
      <c r="L2607" s="6" t="s">
        <v>42</v>
      </c>
      <c r="M2607" s="6" t="s">
        <v>34</v>
      </c>
      <c r="N2607" s="6"/>
    </row>
    <row r="2608" spans="1:14">
      <c r="A2608" s="6" t="s">
        <v>4160</v>
      </c>
      <c r="B2608" s="7">
        <v>46170</v>
      </c>
      <c r="C2608" s="6" t="s">
        <v>575</v>
      </c>
      <c r="D2608" s="6" t="str">
        <f>IF(OR(PROPER(TRIM(Raw_Data!D2608))="Uk",PROPER(TRIM(Raw_Data!D2608))="Gb",PROPER(TRIM(Raw_Data!D2608))="United kingdom"),"United Kingdom",PROPER(TRIM(Raw_Data!D2608)))</f>
        <v>United Kingdom</v>
      </c>
      <c r="E2608" s="6" t="s">
        <v>46</v>
      </c>
      <c r="F2608" s="6" t="s">
        <v>47</v>
      </c>
      <c r="G2608" s="6" t="str">
        <f>SUBSTITUTE(Raw_Data!G2608,"Ã©","é")</f>
        <v>Café Latte Mug</v>
      </c>
      <c r="H2608" s="6">
        <v>1</v>
      </c>
      <c r="I2608" s="6" t="s">
        <v>90</v>
      </c>
      <c r="J2608" s="6" t="s">
        <v>90</v>
      </c>
      <c r="K2608" s="6">
        <v>8.5000000000000006E-2</v>
      </c>
      <c r="L2608" s="6" t="s">
        <v>42</v>
      </c>
      <c r="M2608" s="6" t="s">
        <v>69</v>
      </c>
      <c r="N2608" s="6"/>
    </row>
    <row r="2609" spans="1:14">
      <c r="A2609" s="6" t="s">
        <v>4161</v>
      </c>
      <c r="B2609" s="7">
        <v>46085</v>
      </c>
      <c r="C2609" s="6" t="s">
        <v>805</v>
      </c>
      <c r="D2609" s="6" t="str">
        <f>IF(OR(PROPER(TRIM(Raw_Data!D2609))="Uk",PROPER(TRIM(Raw_Data!D2609))="Gb",PROPER(TRIM(Raw_Data!D2609))="United kingdom"),"United Kingdom",PROPER(TRIM(Raw_Data!D2609)))</f>
        <v>United Kingdom</v>
      </c>
      <c r="E2609" s="6" t="s">
        <v>52</v>
      </c>
      <c r="F2609" s="6" t="s">
        <v>100</v>
      </c>
      <c r="G2609" s="6" t="str">
        <f>SUBSTITUTE(Raw_Data!G2609,"Ã©","é")</f>
        <v>Alpine Jacket</v>
      </c>
      <c r="H2609" s="6">
        <v>2</v>
      </c>
      <c r="I2609" s="6" t="s">
        <v>181</v>
      </c>
      <c r="J2609" s="6" t="s">
        <v>163</v>
      </c>
      <c r="K2609" s="6">
        <v>0.64</v>
      </c>
      <c r="L2609" s="6" t="s">
        <v>42</v>
      </c>
      <c r="M2609" s="6" t="s">
        <v>69</v>
      </c>
      <c r="N2609" s="6"/>
    </row>
    <row r="2610" spans="1:14">
      <c r="A2610" s="6" t="s">
        <v>4162</v>
      </c>
      <c r="B2610" s="7">
        <v>46109</v>
      </c>
      <c r="C2610" s="6" t="s">
        <v>1680</v>
      </c>
      <c r="D2610" s="6" t="str">
        <f>IF(OR(PROPER(TRIM(Raw_Data!D2610))="Uk",PROPER(TRIM(Raw_Data!D2610))="Gb",PROPER(TRIM(Raw_Data!D2610))="United kingdom"),"United Kingdom",PROPER(TRIM(Raw_Data!D2610)))</f>
        <v>Ireland</v>
      </c>
      <c r="E2610" s="6" t="s">
        <v>28</v>
      </c>
      <c r="F2610" s="6" t="s">
        <v>29</v>
      </c>
      <c r="G2610" s="6" t="str">
        <f>SUBSTITUTE(Raw_Data!G2610,"Ã©","é")</f>
        <v>Café Latte Mug</v>
      </c>
      <c r="H2610" s="6">
        <v>2</v>
      </c>
      <c r="I2610" s="6" t="s">
        <v>181</v>
      </c>
      <c r="J2610" s="6" t="s">
        <v>163</v>
      </c>
      <c r="K2610" s="6">
        <v>0.52</v>
      </c>
      <c r="L2610" s="6" t="s">
        <v>42</v>
      </c>
      <c r="M2610" s="6" t="s">
        <v>34</v>
      </c>
      <c r="N2610" s="6"/>
    </row>
    <row r="2611" spans="1:14">
      <c r="A2611" s="6" t="s">
        <v>4163</v>
      </c>
      <c r="B2611" s="7">
        <v>46045</v>
      </c>
      <c r="C2611" s="6" t="s">
        <v>3032</v>
      </c>
      <c r="D2611" s="6" t="str">
        <f>IF(OR(PROPER(TRIM(Raw_Data!D2611))="Uk",PROPER(TRIM(Raw_Data!D2611))="Gb",PROPER(TRIM(Raw_Data!D2611))="United kingdom"),"United Kingdom",PROPER(TRIM(Raw_Data!D2611)))</f>
        <v>Ireland</v>
      </c>
      <c r="E2611" s="6" t="s">
        <v>28</v>
      </c>
      <c r="F2611" s="6" t="s">
        <v>53</v>
      </c>
      <c r="G2611" s="6" t="str">
        <f>SUBSTITUTE(Raw_Data!G2611,"Ã©","é")</f>
        <v>Summit Down Gilet</v>
      </c>
      <c r="H2611" s="6">
        <v>2</v>
      </c>
      <c r="I2611" s="6" t="s">
        <v>181</v>
      </c>
      <c r="J2611" s="6" t="s">
        <v>163</v>
      </c>
      <c r="K2611" s="6">
        <v>0.19</v>
      </c>
      <c r="L2611" s="6" t="s">
        <v>33</v>
      </c>
      <c r="M2611" s="6" t="s">
        <v>34</v>
      </c>
      <c r="N2611" s="6"/>
    </row>
    <row r="2612" spans="1:14">
      <c r="A2612" s="6" t="s">
        <v>4164</v>
      </c>
      <c r="B2612" s="7">
        <v>46118</v>
      </c>
      <c r="C2612" s="6" t="s">
        <v>339</v>
      </c>
      <c r="D2612" s="6" t="str">
        <f>IF(OR(PROPER(TRIM(Raw_Data!D2612))="Uk",PROPER(TRIM(Raw_Data!D2612))="Gb",PROPER(TRIM(Raw_Data!D2612))="United kingdom"),"United Kingdom",PROPER(TRIM(Raw_Data!D2612)))</f>
        <v>United Kingdom</v>
      </c>
      <c r="E2612" s="6" t="s">
        <v>46</v>
      </c>
      <c r="F2612" s="6" t="s">
        <v>94</v>
      </c>
      <c r="G2612" s="6" t="str">
        <f>SUBSTITUTE(Raw_Data!G2612,"Ã©","é")</f>
        <v>Summit Down Gilet</v>
      </c>
      <c r="H2612" s="6">
        <v>3</v>
      </c>
      <c r="I2612" s="6" t="s">
        <v>117</v>
      </c>
      <c r="J2612" s="6" t="s">
        <v>171</v>
      </c>
      <c r="K2612" s="6">
        <v>0.34</v>
      </c>
      <c r="L2612" s="6" t="s">
        <v>42</v>
      </c>
      <c r="M2612" s="6" t="s">
        <v>34</v>
      </c>
      <c r="N2612" s="6"/>
    </row>
    <row r="2613" spans="1:14">
      <c r="A2613" s="6" t="s">
        <v>4165</v>
      </c>
      <c r="B2613" s="7">
        <v>46116</v>
      </c>
      <c r="C2613" s="6" t="s">
        <v>2425</v>
      </c>
      <c r="D2613" s="6" t="str">
        <f>IF(OR(PROPER(TRIM(Raw_Data!D2613))="Uk",PROPER(TRIM(Raw_Data!D2613))="Gb",PROPER(TRIM(Raw_Data!D2613))="United kingdom"),"United Kingdom",PROPER(TRIM(Raw_Data!D2613)))</f>
        <v>United Kingdom</v>
      </c>
      <c r="E2613" s="6" t="s">
        <v>78</v>
      </c>
      <c r="F2613" s="6" t="s">
        <v>58</v>
      </c>
      <c r="G2613" s="6" t="str">
        <f>SUBSTITUTE(Raw_Data!G2613,"Ã©","é")</f>
        <v>Summit Down Gilet</v>
      </c>
      <c r="H2613" s="6">
        <v>2</v>
      </c>
      <c r="I2613" s="6" t="s">
        <v>113</v>
      </c>
      <c r="J2613" s="6" t="s">
        <v>192</v>
      </c>
      <c r="K2613" s="6">
        <v>0.38</v>
      </c>
      <c r="L2613" s="6" t="s">
        <v>42</v>
      </c>
      <c r="M2613" s="6" t="s">
        <v>34</v>
      </c>
      <c r="N2613" s="6"/>
    </row>
    <row r="2614" spans="1:14">
      <c r="A2614" s="6" t="s">
        <v>4166</v>
      </c>
      <c r="B2614" s="7">
        <v>46118</v>
      </c>
      <c r="C2614" s="6" t="s">
        <v>3016</v>
      </c>
      <c r="D2614" s="6" t="str">
        <f>IF(OR(PROPER(TRIM(Raw_Data!D2614))="Uk",PROPER(TRIM(Raw_Data!D2614))="Gb",PROPER(TRIM(Raw_Data!D2614))="United kingdom"),"United Kingdom",PROPER(TRIM(Raw_Data!D2614)))</f>
        <v>United Kingdom</v>
      </c>
      <c r="E2614" s="6" t="s">
        <v>37</v>
      </c>
      <c r="F2614" s="6" t="s">
        <v>58</v>
      </c>
      <c r="G2614" s="6" t="str">
        <f>SUBSTITUTE(Raw_Data!G2614,"Ã©","é")</f>
        <v>Fell Runner Cap</v>
      </c>
      <c r="H2614" s="6">
        <v>1</v>
      </c>
      <c r="I2614" s="6" t="s">
        <v>113</v>
      </c>
      <c r="J2614" s="6" t="s">
        <v>113</v>
      </c>
      <c r="K2614" s="6">
        <v>0.38</v>
      </c>
      <c r="L2614" s="6" t="s">
        <v>42</v>
      </c>
      <c r="M2614" s="6" t="s">
        <v>69</v>
      </c>
      <c r="N2614" s="6"/>
    </row>
    <row r="2615" spans="1:14">
      <c r="A2615" s="6" t="s">
        <v>4167</v>
      </c>
      <c r="B2615" s="7">
        <v>46160</v>
      </c>
      <c r="C2615" s="6" t="s">
        <v>4168</v>
      </c>
      <c r="D2615" s="6" t="str">
        <f>IF(OR(PROPER(TRIM(Raw_Data!D2615))="Uk",PROPER(TRIM(Raw_Data!D2615))="Gb",PROPER(TRIM(Raw_Data!D2615))="United kingdom"),"United Kingdom",PROPER(TRIM(Raw_Data!D2615)))</f>
        <v>France</v>
      </c>
      <c r="E2615" s="6" t="s">
        <v>52</v>
      </c>
      <c r="F2615" s="6" t="s">
        <v>47</v>
      </c>
      <c r="G2615" s="6" t="str">
        <f>SUBSTITUTE(Raw_Data!G2615,"Ã©","é")</f>
        <v>Café Latte Mug</v>
      </c>
      <c r="H2615" s="6">
        <v>2</v>
      </c>
      <c r="I2615" s="6" t="s">
        <v>265</v>
      </c>
      <c r="J2615" s="6" t="s">
        <v>167</v>
      </c>
      <c r="K2615" s="6">
        <v>8.5000000000000006E-2</v>
      </c>
      <c r="L2615" s="6" t="s">
        <v>33</v>
      </c>
      <c r="M2615" s="6" t="s">
        <v>34</v>
      </c>
      <c r="N2615" s="6"/>
    </row>
    <row r="2616" spans="1:14">
      <c r="A2616" s="6" t="s">
        <v>4169</v>
      </c>
      <c r="B2616" s="7">
        <v>46103</v>
      </c>
      <c r="C2616" s="6" t="s">
        <v>3382</v>
      </c>
      <c r="D2616" s="6" t="str">
        <f>IF(OR(PROPER(TRIM(Raw_Data!D2616))="Uk",PROPER(TRIM(Raw_Data!D2616))="Gb",PROPER(TRIM(Raw_Data!D2616))="United kingdom"),"United Kingdom",PROPER(TRIM(Raw_Data!D2616)))</f>
        <v>Ireland</v>
      </c>
      <c r="E2616" s="6" t="s">
        <v>37</v>
      </c>
      <c r="F2616" s="6" t="s">
        <v>100</v>
      </c>
      <c r="G2616" s="6" t="str">
        <f>SUBSTITUTE(Raw_Data!G2616,"Ã©","é")</f>
        <v>Merino Base Layer</v>
      </c>
      <c r="H2616" s="6">
        <v>1</v>
      </c>
      <c r="I2616" s="6" t="s">
        <v>79</v>
      </c>
      <c r="J2616" s="6" t="s">
        <v>79</v>
      </c>
      <c r="K2616" s="6">
        <v>0.64</v>
      </c>
      <c r="L2616" s="6" t="s">
        <v>42</v>
      </c>
      <c r="M2616" s="6" t="s">
        <v>34</v>
      </c>
      <c r="N2616" s="6"/>
    </row>
    <row r="2617" spans="1:14">
      <c r="A2617" s="6" t="s">
        <v>4170</v>
      </c>
      <c r="B2617" s="7">
        <v>46190</v>
      </c>
      <c r="C2617" s="6" t="s">
        <v>4171</v>
      </c>
      <c r="D2617" s="6" t="str">
        <f>IF(OR(PROPER(TRIM(Raw_Data!D2617))="Uk",PROPER(TRIM(Raw_Data!D2617))="Gb",PROPER(TRIM(Raw_Data!D2617))="United kingdom"),"United Kingdom",PROPER(TRIM(Raw_Data!D2617)))</f>
        <v>Ireland</v>
      </c>
      <c r="E2617" s="6" t="s">
        <v>46</v>
      </c>
      <c r="F2617" s="6" t="s">
        <v>38</v>
      </c>
      <c r="G2617" s="6" t="str">
        <f>SUBSTITUTE(Raw_Data!G2617,"Ã©","é")</f>
        <v>Café Latte Mug</v>
      </c>
      <c r="H2617" s="6">
        <v>1</v>
      </c>
      <c r="I2617" s="6" t="s">
        <v>181</v>
      </c>
      <c r="J2617" s="6" t="s">
        <v>181</v>
      </c>
      <c r="K2617" s="6">
        <v>0.52</v>
      </c>
      <c r="L2617" s="6" t="s">
        <v>42</v>
      </c>
      <c r="M2617" s="6" t="s">
        <v>34</v>
      </c>
      <c r="N2617" s="6"/>
    </row>
    <row r="2618" spans="1:14">
      <c r="A2618" s="6" t="s">
        <v>4172</v>
      </c>
      <c r="B2618" s="7">
        <v>46358</v>
      </c>
      <c r="C2618" s="6" t="s">
        <v>3820</v>
      </c>
      <c r="D2618" s="6" t="str">
        <f>IF(OR(PROPER(TRIM(Raw_Data!D2618))="Uk",PROPER(TRIM(Raw_Data!D2618))="Gb",PROPER(TRIM(Raw_Data!D2618))="United kingdom"),"United Kingdom",PROPER(TRIM(Raw_Data!D2618)))</f>
        <v>United Kingdom</v>
      </c>
      <c r="E2618" s="6" t="s">
        <v>37</v>
      </c>
      <c r="F2618" s="6" t="s">
        <v>58</v>
      </c>
      <c r="G2618" s="6" t="str">
        <f>SUBSTITUTE(Raw_Data!G2618,"Ã©","é")</f>
        <v>Trail Softshell</v>
      </c>
      <c r="H2618" s="6">
        <v>1</v>
      </c>
      <c r="I2618" s="6" t="s">
        <v>31</v>
      </c>
      <c r="J2618" s="6" t="s">
        <v>31</v>
      </c>
      <c r="K2618" s="6">
        <v>0.38</v>
      </c>
      <c r="L2618" s="6" t="s">
        <v>42</v>
      </c>
      <c r="M2618" s="6" t="s">
        <v>34</v>
      </c>
      <c r="N2618" s="6"/>
    </row>
    <row r="2619" spans="1:14">
      <c r="A2619" s="6" t="s">
        <v>4173</v>
      </c>
      <c r="B2619" s="7">
        <v>46195</v>
      </c>
      <c r="C2619" s="6" t="s">
        <v>847</v>
      </c>
      <c r="D2619" s="6" t="str">
        <f>IF(OR(PROPER(TRIM(Raw_Data!D2619))="Uk",PROPER(TRIM(Raw_Data!D2619))="Gb",PROPER(TRIM(Raw_Data!D2619))="United kingdom"),"United Kingdom",PROPER(TRIM(Raw_Data!D2619)))</f>
        <v>United Kingdom</v>
      </c>
      <c r="E2619" s="6" t="s">
        <v>37</v>
      </c>
      <c r="F2619" s="6" t="s">
        <v>85</v>
      </c>
      <c r="G2619" s="6" t="str">
        <f>SUBSTITUTE(Raw_Data!G2619,"Ã©","é")</f>
        <v>Café Latte Mug</v>
      </c>
      <c r="H2619" s="6">
        <v>1</v>
      </c>
      <c r="I2619" s="6" t="s">
        <v>96</v>
      </c>
      <c r="J2619" s="6" t="s">
        <v>96</v>
      </c>
      <c r="K2619" s="6">
        <v>0.41</v>
      </c>
      <c r="L2619" s="6" t="s">
        <v>42</v>
      </c>
      <c r="M2619" s="6" t="s">
        <v>34</v>
      </c>
      <c r="N2619" s="6"/>
    </row>
    <row r="2620" spans="1:14">
      <c r="A2620" s="6" t="s">
        <v>4174</v>
      </c>
      <c r="B2620" s="7">
        <v>46126</v>
      </c>
      <c r="C2620" s="6" t="s">
        <v>165</v>
      </c>
      <c r="D2620" s="6" t="str">
        <f>IF(OR(PROPER(TRIM(Raw_Data!D2620))="Uk",PROPER(TRIM(Raw_Data!D2620))="Gb",PROPER(TRIM(Raw_Data!D2620))="United kingdom"),"United Kingdom",PROPER(TRIM(Raw_Data!D2620)))</f>
        <v>United Kingdom</v>
      </c>
      <c r="E2620" s="6" t="s">
        <v>46</v>
      </c>
      <c r="F2620" s="6" t="s">
        <v>53</v>
      </c>
      <c r="G2620" s="6" t="str">
        <f>SUBSTITUTE(Raw_Data!G2620,"Ã©","é")</f>
        <v>Fell Runner Cap</v>
      </c>
      <c r="H2620" s="6">
        <v>2</v>
      </c>
      <c r="I2620" s="6" t="s">
        <v>147</v>
      </c>
      <c r="J2620" s="6" t="s">
        <v>175</v>
      </c>
      <c r="K2620" s="6">
        <v>0.19</v>
      </c>
      <c r="L2620" s="6" t="s">
        <v>42</v>
      </c>
      <c r="M2620" s="6" t="s">
        <v>69</v>
      </c>
      <c r="N2620" s="6"/>
    </row>
    <row r="2621" spans="1:14">
      <c r="A2621" s="6" t="s">
        <v>4175</v>
      </c>
      <c r="B2621" s="7">
        <v>46060</v>
      </c>
      <c r="C2621" s="6" t="s">
        <v>977</v>
      </c>
      <c r="D2621" s="6" t="str">
        <f>IF(OR(PROPER(TRIM(Raw_Data!D2621))="Uk",PROPER(TRIM(Raw_Data!D2621))="Gb",PROPER(TRIM(Raw_Data!D2621))="United kingdom"),"United Kingdom",PROPER(TRIM(Raw_Data!D2621)))</f>
        <v>United Kingdom</v>
      </c>
      <c r="E2621" s="6" t="s">
        <v>78</v>
      </c>
      <c r="F2621" s="6" t="s">
        <v>85</v>
      </c>
      <c r="G2621" s="6" t="str">
        <f>SUBSTITUTE(Raw_Data!G2621,"Ã©","é")</f>
        <v>Café Latte Mug</v>
      </c>
      <c r="H2621" s="6">
        <v>1</v>
      </c>
      <c r="I2621" s="6" t="s">
        <v>117</v>
      </c>
      <c r="J2621" s="6" t="s">
        <v>117</v>
      </c>
      <c r="K2621" s="6">
        <v>0.41</v>
      </c>
      <c r="L2621" s="6" t="s">
        <v>42</v>
      </c>
      <c r="M2621" s="6" t="s">
        <v>34</v>
      </c>
      <c r="N2621" s="6"/>
    </row>
    <row r="2622" spans="1:14">
      <c r="A2622" s="6" t="s">
        <v>4176</v>
      </c>
      <c r="B2622" s="7">
        <v>46036</v>
      </c>
      <c r="C2622" s="6" t="s">
        <v>988</v>
      </c>
      <c r="D2622" s="6" t="str">
        <f>IF(OR(PROPER(TRIM(Raw_Data!D2622))="Uk",PROPER(TRIM(Raw_Data!D2622))="Gb",PROPER(TRIM(Raw_Data!D2622))="United kingdom"),"United Kingdom",PROPER(TRIM(Raw_Data!D2622)))</f>
        <v>United Kingdom</v>
      </c>
      <c r="E2622" s="6" t="s">
        <v>28</v>
      </c>
      <c r="F2622" s="6" t="s">
        <v>47</v>
      </c>
      <c r="G2622" s="6" t="str">
        <f>SUBSTITUTE(Raw_Data!G2622,"Ã©","é")</f>
        <v>Trail Softshell</v>
      </c>
      <c r="H2622" s="6">
        <v>1</v>
      </c>
      <c r="I2622" s="6" t="s">
        <v>113</v>
      </c>
      <c r="J2622" s="6" t="s">
        <v>113</v>
      </c>
      <c r="K2622" s="6">
        <v>8.5000000000000006E-2</v>
      </c>
      <c r="L2622" s="6" t="s">
        <v>42</v>
      </c>
      <c r="M2622" s="6" t="s">
        <v>69</v>
      </c>
      <c r="N2622" s="6"/>
    </row>
    <row r="2623" spans="1:14">
      <c r="A2623" s="6" t="s">
        <v>4177</v>
      </c>
      <c r="B2623" s="7">
        <v>46125</v>
      </c>
      <c r="C2623" s="6" t="s">
        <v>2111</v>
      </c>
      <c r="D2623" s="6" t="str">
        <f>IF(OR(PROPER(TRIM(Raw_Data!D2623))="Uk",PROPER(TRIM(Raw_Data!D2623))="Gb",PROPER(TRIM(Raw_Data!D2623))="United kingdom"),"United Kingdom",PROPER(TRIM(Raw_Data!D2623)))</f>
        <v>United Kingdom</v>
      </c>
      <c r="E2623" s="6" t="s">
        <v>28</v>
      </c>
      <c r="F2623" s="6" t="s">
        <v>85</v>
      </c>
      <c r="G2623" s="6" t="str">
        <f>SUBSTITUTE(Raw_Data!G2623,"Ã©","é")</f>
        <v>Merino Base Layer</v>
      </c>
      <c r="H2623" s="6">
        <v>1</v>
      </c>
      <c r="I2623" s="6" t="s">
        <v>31</v>
      </c>
      <c r="J2623" s="6" t="s">
        <v>31</v>
      </c>
      <c r="K2623" s="6">
        <v>0.41</v>
      </c>
      <c r="L2623" s="6" t="s">
        <v>42</v>
      </c>
      <c r="M2623" s="6" t="s">
        <v>34</v>
      </c>
      <c r="N2623" s="6"/>
    </row>
    <row r="2624" spans="1:14">
      <c r="A2624" s="6" t="s">
        <v>4178</v>
      </c>
      <c r="B2624" s="7">
        <v>46079</v>
      </c>
      <c r="C2624" s="6" t="s">
        <v>1639</v>
      </c>
      <c r="D2624" s="6" t="str">
        <f>IF(OR(PROPER(TRIM(Raw_Data!D2624))="Uk",PROPER(TRIM(Raw_Data!D2624))="Gb",PROPER(TRIM(Raw_Data!D2624))="United kingdom"),"United Kingdom",PROPER(TRIM(Raw_Data!D2624)))</f>
        <v>United Kingdom</v>
      </c>
      <c r="E2624" s="6" t="s">
        <v>37</v>
      </c>
      <c r="F2624" s="6" t="s">
        <v>85</v>
      </c>
      <c r="G2624" s="6" t="str">
        <f>SUBSTITUTE(Raw_Data!G2624,"Ã©","é")</f>
        <v>Fell Runner Cap</v>
      </c>
      <c r="H2624" s="6">
        <v>3</v>
      </c>
      <c r="I2624" s="6" t="s">
        <v>181</v>
      </c>
      <c r="J2624" s="6" t="s">
        <v>867</v>
      </c>
      <c r="K2624" s="6">
        <v>0.41</v>
      </c>
      <c r="L2624" s="6" t="s">
        <v>33</v>
      </c>
      <c r="M2624" s="6" t="s">
        <v>34</v>
      </c>
      <c r="N2624" s="6"/>
    </row>
    <row r="2625" spans="1:14">
      <c r="A2625" s="6" t="s">
        <v>4179</v>
      </c>
      <c r="B2625" s="7">
        <v>46198</v>
      </c>
      <c r="C2625" s="6" t="s">
        <v>624</v>
      </c>
      <c r="D2625" s="6" t="str">
        <f>IF(OR(PROPER(TRIM(Raw_Data!D2625))="Uk",PROPER(TRIM(Raw_Data!D2625))="Gb",PROPER(TRIM(Raw_Data!D2625))="United kingdom"),"United Kingdom",PROPER(TRIM(Raw_Data!D2625)))</f>
        <v>France</v>
      </c>
      <c r="E2625" s="6" t="s">
        <v>28</v>
      </c>
      <c r="F2625" s="6" t="s">
        <v>47</v>
      </c>
      <c r="G2625" s="6" t="str">
        <f>SUBSTITUTE(Raw_Data!G2625,"Ã©","é")</f>
        <v>Trekking Poles</v>
      </c>
      <c r="H2625" s="6">
        <v>2</v>
      </c>
      <c r="I2625" s="6" t="s">
        <v>40</v>
      </c>
      <c r="J2625" s="6" t="s">
        <v>327</v>
      </c>
      <c r="K2625" s="6">
        <v>8.5000000000000006E-2</v>
      </c>
      <c r="L2625" s="6" t="s">
        <v>33</v>
      </c>
      <c r="M2625" s="6" t="s">
        <v>69</v>
      </c>
      <c r="N2625" s="6"/>
    </row>
    <row r="2626" spans="1:14">
      <c r="A2626" s="6" t="s">
        <v>4180</v>
      </c>
      <c r="B2626" s="7">
        <v>46083</v>
      </c>
      <c r="C2626" s="6" t="s">
        <v>3240</v>
      </c>
      <c r="D2626" s="6" t="str">
        <f>IF(OR(PROPER(TRIM(Raw_Data!D2626))="Uk",PROPER(TRIM(Raw_Data!D2626))="Gb",PROPER(TRIM(Raw_Data!D2626))="United kingdom"),"United Kingdom",PROPER(TRIM(Raw_Data!D2626)))</f>
        <v>France</v>
      </c>
      <c r="E2626" s="6" t="s">
        <v>78</v>
      </c>
      <c r="F2626" s="6" t="s">
        <v>94</v>
      </c>
      <c r="G2626" s="6" t="str">
        <f>SUBSTITUTE(Raw_Data!G2626,"Ã©","é")</f>
        <v>Trekking Poles</v>
      </c>
      <c r="H2626" s="6">
        <v>2</v>
      </c>
      <c r="I2626" s="6" t="s">
        <v>113</v>
      </c>
      <c r="J2626" s="6" t="s">
        <v>192</v>
      </c>
      <c r="K2626" s="6">
        <v>0.34</v>
      </c>
      <c r="L2626" s="6" t="s">
        <v>42</v>
      </c>
      <c r="M2626" s="6" t="s">
        <v>34</v>
      </c>
      <c r="N2626" s="6"/>
    </row>
    <row r="2627" spans="1:14">
      <c r="A2627" s="6" t="s">
        <v>4181</v>
      </c>
      <c r="B2627" s="7">
        <v>46072</v>
      </c>
      <c r="C2627" s="6" t="s">
        <v>2751</v>
      </c>
      <c r="D2627" s="6" t="str">
        <f>IF(OR(PROPER(TRIM(Raw_Data!D2627))="Uk",PROPER(TRIM(Raw_Data!D2627))="Gb",PROPER(TRIM(Raw_Data!D2627))="United kingdom"),"United Kingdom",PROPER(TRIM(Raw_Data!D2627)))</f>
        <v>United Kingdom</v>
      </c>
      <c r="E2627" s="6" t="s">
        <v>78</v>
      </c>
      <c r="F2627" s="6" t="s">
        <v>38</v>
      </c>
      <c r="G2627" s="6" t="str">
        <f>SUBSTITUTE(Raw_Data!G2627,"Ã©","é")</f>
        <v>Fell Runner Cap</v>
      </c>
      <c r="H2627" s="6">
        <v>2</v>
      </c>
      <c r="I2627" s="6" t="s">
        <v>31</v>
      </c>
      <c r="J2627" s="6" t="s">
        <v>249</v>
      </c>
      <c r="K2627" s="6">
        <v>0.52</v>
      </c>
      <c r="L2627" s="6" t="s">
        <v>42</v>
      </c>
      <c r="M2627" s="6" t="s">
        <v>69</v>
      </c>
      <c r="N2627" s="6"/>
    </row>
    <row r="2628" spans="1:14">
      <c r="A2628" s="6" t="s">
        <v>4182</v>
      </c>
      <c r="B2628" s="7">
        <v>46080</v>
      </c>
      <c r="C2628" s="6" t="s">
        <v>1223</v>
      </c>
      <c r="D2628" s="6" t="str">
        <f>IF(OR(PROPER(TRIM(Raw_Data!D2628))="Uk",PROPER(TRIM(Raw_Data!D2628))="Gb",PROPER(TRIM(Raw_Data!D2628))="United kingdom"),"United Kingdom",PROPER(TRIM(Raw_Data!D2628)))</f>
        <v>Germany</v>
      </c>
      <c r="E2628" s="6" t="s">
        <v>52</v>
      </c>
      <c r="F2628" s="6" t="s">
        <v>38</v>
      </c>
      <c r="G2628" s="6" t="str">
        <f>SUBSTITUTE(Raw_Data!G2628,"Ã©","é")</f>
        <v>Fell Runner Cap</v>
      </c>
      <c r="H2628" s="6">
        <v>1</v>
      </c>
      <c r="I2628" s="6" t="s">
        <v>67</v>
      </c>
      <c r="J2628" s="6" t="s">
        <v>67</v>
      </c>
      <c r="K2628" s="6">
        <v>0.52</v>
      </c>
      <c r="L2628" s="6" t="s">
        <v>42</v>
      </c>
      <c r="M2628" s="6" t="s">
        <v>69</v>
      </c>
      <c r="N2628" s="6"/>
    </row>
    <row r="2629" spans="1:14">
      <c r="A2629" s="6" t="s">
        <v>4183</v>
      </c>
      <c r="B2629" s="7">
        <v>46269</v>
      </c>
      <c r="C2629" s="6" t="s">
        <v>1240</v>
      </c>
      <c r="D2629" s="6" t="str">
        <f>IF(OR(PROPER(TRIM(Raw_Data!D2629))="Uk",PROPER(TRIM(Raw_Data!D2629))="Gb",PROPER(TRIM(Raw_Data!D2629))="United kingdom"),"United Kingdom",PROPER(TRIM(Raw_Data!D2629)))</f>
        <v>United Kingdom</v>
      </c>
      <c r="E2629" s="6" t="s">
        <v>37</v>
      </c>
      <c r="F2629" s="6" t="s">
        <v>38</v>
      </c>
      <c r="G2629" s="6" t="str">
        <f>SUBSTITUTE(Raw_Data!G2629,"Ã©","é")</f>
        <v>Merino Base Layer</v>
      </c>
      <c r="H2629" s="6">
        <v>3</v>
      </c>
      <c r="I2629" s="6" t="s">
        <v>79</v>
      </c>
      <c r="J2629" s="6" t="s">
        <v>216</v>
      </c>
      <c r="K2629" s="6">
        <v>0.52</v>
      </c>
      <c r="L2629" s="6" t="s">
        <v>33</v>
      </c>
      <c r="M2629" s="6" t="s">
        <v>69</v>
      </c>
      <c r="N2629" s="6"/>
    </row>
    <row r="2630" spans="1:14">
      <c r="A2630" s="6" t="s">
        <v>4184</v>
      </c>
      <c r="B2630" s="7">
        <v>46042</v>
      </c>
      <c r="C2630" s="6" t="s">
        <v>420</v>
      </c>
      <c r="D2630" s="6" t="str">
        <f>IF(OR(PROPER(TRIM(Raw_Data!D2630))="Uk",PROPER(TRIM(Raw_Data!D2630))="Gb",PROPER(TRIM(Raw_Data!D2630))="United kingdom"),"United Kingdom",PROPER(TRIM(Raw_Data!D2630)))</f>
        <v>United Kingdom</v>
      </c>
      <c r="E2630" s="6" t="s">
        <v>28</v>
      </c>
      <c r="F2630" s="6" t="s">
        <v>85</v>
      </c>
      <c r="G2630" s="6" t="str">
        <f>SUBSTITUTE(Raw_Data!G2630,"Ã©","é")</f>
        <v>Fell Runner Cap</v>
      </c>
      <c r="H2630" s="6">
        <v>3</v>
      </c>
      <c r="I2630" s="6" t="s">
        <v>60</v>
      </c>
      <c r="J2630" s="6" t="s">
        <v>268</v>
      </c>
      <c r="K2630" s="6">
        <v>0.41</v>
      </c>
      <c r="L2630" s="6" t="s">
        <v>42</v>
      </c>
      <c r="M2630" s="6" t="s">
        <v>34</v>
      </c>
      <c r="N2630" s="6"/>
    </row>
    <row r="2631" spans="1:14">
      <c r="A2631" s="6" t="s">
        <v>4185</v>
      </c>
      <c r="B2631" s="7">
        <v>46178</v>
      </c>
      <c r="C2631" s="6" t="s">
        <v>4186</v>
      </c>
      <c r="D2631" s="6" t="str">
        <f>IF(OR(PROPER(TRIM(Raw_Data!D2631))="Uk",PROPER(TRIM(Raw_Data!D2631))="Gb",PROPER(TRIM(Raw_Data!D2631))="United kingdom"),"United Kingdom",PROPER(TRIM(Raw_Data!D2631)))</f>
        <v>United Kingdom</v>
      </c>
      <c r="E2631" s="6" t="s">
        <v>46</v>
      </c>
      <c r="F2631" s="6" t="s">
        <v>58</v>
      </c>
      <c r="G2631" s="6" t="str">
        <f>SUBSTITUTE(Raw_Data!G2631,"Ã©","é")</f>
        <v>Storm Overtrousers</v>
      </c>
      <c r="H2631" s="6">
        <v>-1</v>
      </c>
      <c r="I2631" s="6" t="s">
        <v>231</v>
      </c>
      <c r="J2631" s="8" t="s">
        <v>2931</v>
      </c>
      <c r="K2631" s="6">
        <v>0.38</v>
      </c>
      <c r="L2631" s="6" t="s">
        <v>42</v>
      </c>
      <c r="M2631" s="6" t="s">
        <v>34</v>
      </c>
      <c r="N2631" s="6"/>
    </row>
    <row r="2632" spans="1:14">
      <c r="A2632" s="6" t="s">
        <v>4187</v>
      </c>
      <c r="B2632" s="7">
        <v>46139</v>
      </c>
      <c r="C2632" s="6" t="s">
        <v>458</v>
      </c>
      <c r="D2632" s="6" t="str">
        <f>IF(OR(PROPER(TRIM(Raw_Data!D2632))="Uk",PROPER(TRIM(Raw_Data!D2632))="Gb",PROPER(TRIM(Raw_Data!D2632))="United kingdom"),"United Kingdom",PROPER(TRIM(Raw_Data!D2632)))</f>
        <v>Germany</v>
      </c>
      <c r="E2632" s="6" t="s">
        <v>78</v>
      </c>
      <c r="F2632" s="6" t="s">
        <v>47</v>
      </c>
      <c r="G2632" s="6" t="str">
        <f>SUBSTITUTE(Raw_Data!G2632,"Ã©","é")</f>
        <v>Trekking Poles</v>
      </c>
      <c r="H2632" s="6">
        <v>1</v>
      </c>
      <c r="I2632" s="6" t="s">
        <v>60</v>
      </c>
      <c r="J2632" s="6" t="s">
        <v>60</v>
      </c>
      <c r="K2632" s="6">
        <v>8.5000000000000006E-2</v>
      </c>
      <c r="L2632" s="6" t="s">
        <v>33</v>
      </c>
      <c r="M2632" s="6" t="s">
        <v>34</v>
      </c>
      <c r="N2632" s="6"/>
    </row>
    <row r="2633" spans="1:14">
      <c r="A2633" s="6" t="s">
        <v>4188</v>
      </c>
      <c r="B2633" s="7">
        <v>46332</v>
      </c>
      <c r="C2633" s="6" t="s">
        <v>4189</v>
      </c>
      <c r="D2633" s="6" t="str">
        <f>IF(OR(PROPER(TRIM(Raw_Data!D2633))="Uk",PROPER(TRIM(Raw_Data!D2633))="Gb",PROPER(TRIM(Raw_Data!D2633))="United kingdom"),"United Kingdom",PROPER(TRIM(Raw_Data!D2633)))</f>
        <v>United Kingdom</v>
      </c>
      <c r="E2633" s="6" t="s">
        <v>78</v>
      </c>
      <c r="F2633" s="6" t="s">
        <v>94</v>
      </c>
      <c r="G2633" s="6" t="str">
        <f>SUBSTITUTE(Raw_Data!G2633,"Ã©","é")</f>
        <v>Alpine Jacket</v>
      </c>
      <c r="H2633" s="6">
        <v>1</v>
      </c>
      <c r="I2633" s="6" t="s">
        <v>599</v>
      </c>
      <c r="J2633" s="6" t="s">
        <v>73</v>
      </c>
      <c r="K2633" s="6">
        <v>0.34</v>
      </c>
      <c r="L2633" s="6" t="s">
        <v>42</v>
      </c>
      <c r="M2633" s="6" t="s">
        <v>34</v>
      </c>
      <c r="N2633" s="6"/>
    </row>
    <row r="2634" spans="1:14">
      <c r="A2634" s="6" t="s">
        <v>4190</v>
      </c>
      <c r="B2634" s="7">
        <v>46142</v>
      </c>
      <c r="C2634" s="6" t="s">
        <v>1596</v>
      </c>
      <c r="D2634" s="6" t="str">
        <f>IF(OR(PROPER(TRIM(Raw_Data!D2634))="Uk",PROPER(TRIM(Raw_Data!D2634))="Gb",PROPER(TRIM(Raw_Data!D2634))="United kingdom"),"United Kingdom",PROPER(TRIM(Raw_Data!D2634)))</f>
        <v>United Kingdom</v>
      </c>
      <c r="E2634" s="6" t="s">
        <v>37</v>
      </c>
      <c r="F2634" s="6" t="s">
        <v>94</v>
      </c>
      <c r="G2634" s="6" t="str">
        <f>SUBSTITUTE(Raw_Data!G2634,"Ã©","é")</f>
        <v>Trekking Poles</v>
      </c>
      <c r="H2634" s="6">
        <v>3</v>
      </c>
      <c r="I2634" s="6" t="s">
        <v>79</v>
      </c>
      <c r="J2634" s="6" t="s">
        <v>216</v>
      </c>
      <c r="K2634" s="6">
        <v>0.34</v>
      </c>
      <c r="L2634" s="6" t="s">
        <v>42</v>
      </c>
      <c r="M2634" s="6" t="s">
        <v>34</v>
      </c>
      <c r="N2634" s="6"/>
    </row>
    <row r="2635" spans="1:14">
      <c r="A2635" s="6" t="s">
        <v>4191</v>
      </c>
      <c r="B2635" s="7">
        <v>46156</v>
      </c>
      <c r="C2635" s="6" t="s">
        <v>990</v>
      </c>
      <c r="D2635" s="6" t="str">
        <f>IF(OR(PROPER(TRIM(Raw_Data!D2635))="Uk",PROPER(TRIM(Raw_Data!D2635))="Gb",PROPER(TRIM(Raw_Data!D2635))="United kingdom"),"United Kingdom",PROPER(TRIM(Raw_Data!D2635)))</f>
        <v>United Kingdom</v>
      </c>
      <c r="E2635" s="6" t="s">
        <v>78</v>
      </c>
      <c r="F2635" s="6" t="s">
        <v>58</v>
      </c>
      <c r="G2635" s="6" t="str">
        <f>SUBSTITUTE(Raw_Data!G2635,"Ã©","é")</f>
        <v>Trail Softshell</v>
      </c>
      <c r="H2635" s="6">
        <v>1</v>
      </c>
      <c r="I2635" s="6" t="s">
        <v>231</v>
      </c>
      <c r="J2635" s="6" t="s">
        <v>231</v>
      </c>
      <c r="K2635" s="6">
        <v>0.38</v>
      </c>
      <c r="L2635" s="6" t="s">
        <v>42</v>
      </c>
      <c r="M2635" s="6" t="s">
        <v>34</v>
      </c>
      <c r="N2635" s="6"/>
    </row>
    <row r="2636" spans="1:14">
      <c r="A2636" s="6" t="s">
        <v>4192</v>
      </c>
      <c r="B2636" s="7">
        <v>46058</v>
      </c>
      <c r="C2636" s="6" t="s">
        <v>44</v>
      </c>
      <c r="D2636" s="6" t="str">
        <f>IF(OR(PROPER(TRIM(Raw_Data!D2636))="Uk",PROPER(TRIM(Raw_Data!D2636))="Gb",PROPER(TRIM(Raw_Data!D2636))="United kingdom"),"United Kingdom",PROPER(TRIM(Raw_Data!D2636)))</f>
        <v>Ireland</v>
      </c>
      <c r="E2636" s="6" t="s">
        <v>78</v>
      </c>
      <c r="F2636" s="6" t="s">
        <v>85</v>
      </c>
      <c r="G2636" s="6" t="str">
        <f>SUBSTITUTE(Raw_Data!G2636,"Ã©","é")</f>
        <v>Storm Overtrousers</v>
      </c>
      <c r="H2636" s="6">
        <v>2</v>
      </c>
      <c r="I2636" s="6" t="s">
        <v>117</v>
      </c>
      <c r="J2636" s="6" t="s">
        <v>118</v>
      </c>
      <c r="K2636" s="6">
        <v>0.41</v>
      </c>
      <c r="L2636" s="6" t="s">
        <v>33</v>
      </c>
      <c r="M2636" s="6" t="s">
        <v>34</v>
      </c>
      <c r="N2636" s="6"/>
    </row>
    <row r="2637" spans="1:14">
      <c r="A2637" s="6" t="s">
        <v>4193</v>
      </c>
      <c r="B2637" s="7">
        <v>46299</v>
      </c>
      <c r="C2637" s="6" t="s">
        <v>1001</v>
      </c>
      <c r="D2637" s="6" t="str">
        <f>IF(OR(PROPER(TRIM(Raw_Data!D2637))="Uk",PROPER(TRIM(Raw_Data!D2637))="Gb",PROPER(TRIM(Raw_Data!D2637))="United kingdom"),"United Kingdom",PROPER(TRIM(Raw_Data!D2637)))</f>
        <v>United Kingdom</v>
      </c>
      <c r="E2637" s="6" t="s">
        <v>37</v>
      </c>
      <c r="F2637" s="6" t="s">
        <v>58</v>
      </c>
      <c r="G2637" s="6" t="str">
        <f>SUBSTITUTE(Raw_Data!G2637,"Ã©","é")</f>
        <v>Fell Runner Cap</v>
      </c>
      <c r="H2637" s="6">
        <v>1</v>
      </c>
      <c r="I2637" s="6" t="s">
        <v>143</v>
      </c>
      <c r="J2637" s="6" t="s">
        <v>143</v>
      </c>
      <c r="K2637" s="6">
        <v>0.38</v>
      </c>
      <c r="L2637" s="6" t="s">
        <v>42</v>
      </c>
      <c r="M2637" s="6" t="s">
        <v>69</v>
      </c>
      <c r="N2637" s="6"/>
    </row>
    <row r="2638" spans="1:14">
      <c r="A2638" s="6" t="s">
        <v>4194</v>
      </c>
      <c r="B2638" s="7">
        <v>46238</v>
      </c>
      <c r="C2638" s="6" t="s">
        <v>633</v>
      </c>
      <c r="D2638" s="6" t="str">
        <f>IF(OR(PROPER(TRIM(Raw_Data!D2638))="Uk",PROPER(TRIM(Raw_Data!D2638))="Gb",PROPER(TRIM(Raw_Data!D2638))="United kingdom"),"United Kingdom",PROPER(TRIM(Raw_Data!D2638)))</f>
        <v>United Kingdom</v>
      </c>
      <c r="E2638" s="6" t="s">
        <v>46</v>
      </c>
      <c r="F2638" s="6" t="s">
        <v>94</v>
      </c>
      <c r="G2638" s="6" t="str">
        <f>SUBSTITUTE(Raw_Data!G2638,"Ã©","é")</f>
        <v>Café Latte Mug</v>
      </c>
      <c r="H2638" s="6">
        <v>2</v>
      </c>
      <c r="I2638" s="6" t="s">
        <v>90</v>
      </c>
      <c r="J2638" s="6" t="s">
        <v>154</v>
      </c>
      <c r="K2638" s="6">
        <v>0.34</v>
      </c>
      <c r="L2638" s="6" t="s">
        <v>42</v>
      </c>
      <c r="M2638" s="6" t="s">
        <v>34</v>
      </c>
      <c r="N2638" s="6"/>
    </row>
    <row r="2639" spans="1:14">
      <c r="A2639" s="6" t="s">
        <v>4195</v>
      </c>
      <c r="B2639" s="7">
        <v>46155</v>
      </c>
      <c r="C2639" s="6" t="s">
        <v>4196</v>
      </c>
      <c r="D2639" s="6" t="str">
        <f>IF(OR(PROPER(TRIM(Raw_Data!D2639))="Uk",PROPER(TRIM(Raw_Data!D2639))="Gb",PROPER(TRIM(Raw_Data!D2639))="United kingdom"),"United Kingdom",PROPER(TRIM(Raw_Data!D2639)))</f>
        <v>United Kingdom</v>
      </c>
      <c r="E2639" s="6" t="s">
        <v>28</v>
      </c>
      <c r="F2639" s="6" t="s">
        <v>100</v>
      </c>
      <c r="G2639" s="6" t="str">
        <f>SUBSTITUTE(Raw_Data!G2639,"Ã©","é")</f>
        <v>Merino Base Layer</v>
      </c>
      <c r="H2639" s="6">
        <v>1</v>
      </c>
      <c r="I2639" s="6" t="s">
        <v>31</v>
      </c>
      <c r="J2639" s="6" t="s">
        <v>31</v>
      </c>
      <c r="K2639" s="6">
        <v>0.64</v>
      </c>
      <c r="L2639" s="6" t="s">
        <v>42</v>
      </c>
      <c r="M2639" s="6" t="s">
        <v>34</v>
      </c>
      <c r="N2639" s="6"/>
    </row>
    <row r="2640" spans="1:14">
      <c r="A2640" s="6" t="s">
        <v>4197</v>
      </c>
      <c r="B2640" s="7">
        <v>46199</v>
      </c>
      <c r="C2640" s="6" t="s">
        <v>1230</v>
      </c>
      <c r="D2640" s="6" t="str">
        <f>IF(OR(PROPER(TRIM(Raw_Data!D2640))="Uk",PROPER(TRIM(Raw_Data!D2640))="Gb",PROPER(TRIM(Raw_Data!D2640))="United kingdom"),"United Kingdom",PROPER(TRIM(Raw_Data!D2640)))</f>
        <v>Germany</v>
      </c>
      <c r="E2640" s="6" t="s">
        <v>28</v>
      </c>
      <c r="F2640" s="6" t="s">
        <v>38</v>
      </c>
      <c r="G2640" s="6" t="str">
        <f>SUBSTITUTE(Raw_Data!G2640,"Ã©","é")</f>
        <v>Café Latte Mug</v>
      </c>
      <c r="H2640" s="6">
        <v>-1</v>
      </c>
      <c r="I2640" s="6" t="s">
        <v>31</v>
      </c>
      <c r="J2640" s="8" t="s">
        <v>404</v>
      </c>
      <c r="K2640" s="6">
        <v>0.52</v>
      </c>
      <c r="L2640" s="6" t="s">
        <v>33</v>
      </c>
      <c r="M2640" s="6" t="s">
        <v>69</v>
      </c>
      <c r="N2640" s="6"/>
    </row>
    <row r="2641" spans="1:14">
      <c r="A2641" s="6" t="s">
        <v>4198</v>
      </c>
      <c r="B2641" s="7">
        <v>46208</v>
      </c>
      <c r="C2641" s="6" t="s">
        <v>696</v>
      </c>
      <c r="D2641" s="6" t="str">
        <f>IF(OR(PROPER(TRIM(Raw_Data!D2641))="Uk",PROPER(TRIM(Raw_Data!D2641))="Gb",PROPER(TRIM(Raw_Data!D2641))="United kingdom"),"United Kingdom",PROPER(TRIM(Raw_Data!D2641)))</f>
        <v>United Kingdom</v>
      </c>
      <c r="E2641" s="6" t="s">
        <v>37</v>
      </c>
      <c r="F2641" s="6" t="s">
        <v>100</v>
      </c>
      <c r="G2641" s="6" t="str">
        <f>SUBSTITUTE(Raw_Data!G2641,"Ã©","é")</f>
        <v>Trail Softshell</v>
      </c>
      <c r="H2641" s="6">
        <v>1</v>
      </c>
      <c r="I2641" s="6" t="s">
        <v>181</v>
      </c>
      <c r="J2641" s="6" t="s">
        <v>181</v>
      </c>
      <c r="K2641" s="6">
        <v>0.64</v>
      </c>
      <c r="L2641" s="6" t="s">
        <v>42</v>
      </c>
      <c r="M2641" s="6" t="s">
        <v>34</v>
      </c>
      <c r="N2641" s="6"/>
    </row>
    <row r="2642" spans="1:14">
      <c r="A2642" s="6" t="s">
        <v>4199</v>
      </c>
      <c r="B2642" s="7">
        <v>46360</v>
      </c>
      <c r="C2642" s="6" t="s">
        <v>4200</v>
      </c>
      <c r="D2642" s="6" t="str">
        <f>IF(OR(PROPER(TRIM(Raw_Data!D2642))="Uk",PROPER(TRIM(Raw_Data!D2642))="Gb",PROPER(TRIM(Raw_Data!D2642))="United kingdom"),"United Kingdom",PROPER(TRIM(Raw_Data!D2642)))</f>
        <v>Ireland</v>
      </c>
      <c r="E2642" s="6" t="s">
        <v>78</v>
      </c>
      <c r="F2642" s="6" t="s">
        <v>53</v>
      </c>
      <c r="G2642" s="6" t="str">
        <f>SUBSTITUTE(Raw_Data!G2642,"Ã©","é")</f>
        <v>Café Latte Mug</v>
      </c>
      <c r="H2642" s="6">
        <v>1</v>
      </c>
      <c r="I2642" s="6" t="s">
        <v>82</v>
      </c>
      <c r="J2642" s="6" t="s">
        <v>82</v>
      </c>
      <c r="K2642" s="6">
        <v>0.19</v>
      </c>
      <c r="L2642" s="6" t="s">
        <v>42</v>
      </c>
      <c r="M2642" s="6" t="s">
        <v>34</v>
      </c>
      <c r="N2642" s="6"/>
    </row>
    <row r="2643" spans="1:14">
      <c r="A2643" s="6" t="s">
        <v>4201</v>
      </c>
      <c r="B2643" s="7">
        <v>46078</v>
      </c>
      <c r="C2643" s="6" t="s">
        <v>3582</v>
      </c>
      <c r="D2643" s="6" t="str">
        <f>IF(OR(PROPER(TRIM(Raw_Data!D2643))="Uk",PROPER(TRIM(Raw_Data!D2643))="Gb",PROPER(TRIM(Raw_Data!D2643))="United kingdom"),"United Kingdom",PROPER(TRIM(Raw_Data!D2643)))</f>
        <v>United Kingdom</v>
      </c>
      <c r="E2643" s="6" t="s">
        <v>28</v>
      </c>
      <c r="F2643" s="6" t="s">
        <v>29</v>
      </c>
      <c r="G2643" s="6" t="str">
        <f>SUBSTITUTE(Raw_Data!G2643,"Ã©","é")</f>
        <v>Storm Overtrousers</v>
      </c>
      <c r="H2643" s="6">
        <v>1</v>
      </c>
      <c r="I2643" s="6" t="s">
        <v>31</v>
      </c>
      <c r="J2643" s="6" t="s">
        <v>31</v>
      </c>
      <c r="K2643" s="6">
        <v>0.52</v>
      </c>
      <c r="L2643" s="6" t="s">
        <v>33</v>
      </c>
      <c r="M2643" s="6" t="s">
        <v>69</v>
      </c>
      <c r="N2643" s="6"/>
    </row>
    <row r="2644" spans="1:14">
      <c r="A2644" s="6" t="s">
        <v>4202</v>
      </c>
      <c r="B2644" s="7">
        <v>46301</v>
      </c>
      <c r="C2644" s="6" t="s">
        <v>1321</v>
      </c>
      <c r="D2644" s="6" t="str">
        <f>IF(OR(PROPER(TRIM(Raw_Data!D2644))="Uk",PROPER(TRIM(Raw_Data!D2644))="Gb",PROPER(TRIM(Raw_Data!D2644))="United kingdom"),"United Kingdom",PROPER(TRIM(Raw_Data!D2644)))</f>
        <v>Ireland</v>
      </c>
      <c r="E2644" s="6" t="s">
        <v>52</v>
      </c>
      <c r="F2644" s="6" t="s">
        <v>53</v>
      </c>
      <c r="G2644" s="6" t="str">
        <f>SUBSTITUTE(Raw_Data!G2644,"Ã©","é")</f>
        <v>Summit Down Gilet</v>
      </c>
      <c r="H2644" s="6">
        <v>2</v>
      </c>
      <c r="I2644" s="6" t="s">
        <v>60</v>
      </c>
      <c r="J2644" s="6" t="s">
        <v>189</v>
      </c>
      <c r="K2644" s="6">
        <v>0.19</v>
      </c>
      <c r="L2644" s="6" t="s">
        <v>42</v>
      </c>
      <c r="M2644" s="6" t="s">
        <v>34</v>
      </c>
      <c r="N2644" s="6"/>
    </row>
    <row r="2645" spans="1:14">
      <c r="A2645" s="6" t="s">
        <v>4203</v>
      </c>
      <c r="B2645" s="7">
        <v>46029</v>
      </c>
      <c r="C2645" s="6" t="s">
        <v>4129</v>
      </c>
      <c r="D2645" s="6" t="str">
        <f>IF(OR(PROPER(TRIM(Raw_Data!D2645))="Uk",PROPER(TRIM(Raw_Data!D2645))="Gb",PROPER(TRIM(Raw_Data!D2645))="United kingdom"),"United Kingdom",PROPER(TRIM(Raw_Data!D2645)))</f>
        <v>Ireland</v>
      </c>
      <c r="E2645" s="6" t="s">
        <v>46</v>
      </c>
      <c r="F2645" s="6" t="s">
        <v>29</v>
      </c>
      <c r="G2645" s="6" t="str">
        <f>SUBSTITUTE(Raw_Data!G2645,"Ã©","é")</f>
        <v>Fell Runner Cap</v>
      </c>
      <c r="H2645" s="6">
        <v>3</v>
      </c>
      <c r="I2645" s="6" t="s">
        <v>143</v>
      </c>
      <c r="J2645" s="6" t="s">
        <v>243</v>
      </c>
      <c r="K2645" s="6">
        <v>0.52</v>
      </c>
      <c r="L2645" s="6" t="s">
        <v>33</v>
      </c>
      <c r="M2645" s="6" t="s">
        <v>34</v>
      </c>
      <c r="N2645" s="6"/>
    </row>
    <row r="2646" spans="1:14">
      <c r="A2646" s="6" t="s">
        <v>4204</v>
      </c>
      <c r="B2646" s="7">
        <v>46174</v>
      </c>
      <c r="C2646" s="6" t="s">
        <v>4205</v>
      </c>
      <c r="D2646" s="6" t="str">
        <f>IF(OR(PROPER(TRIM(Raw_Data!D2646))="Uk",PROPER(TRIM(Raw_Data!D2646))="Gb",PROPER(TRIM(Raw_Data!D2646))="United kingdom"),"United Kingdom",PROPER(TRIM(Raw_Data!D2646)))</f>
        <v>United Kingdom</v>
      </c>
      <c r="E2646" s="6" t="s">
        <v>28</v>
      </c>
      <c r="F2646" s="6" t="s">
        <v>85</v>
      </c>
      <c r="G2646" s="6" t="str">
        <f>SUBSTITUTE(Raw_Data!G2646,"Ã©","é")</f>
        <v>Alpine Jacket</v>
      </c>
      <c r="H2646" s="6">
        <v>1</v>
      </c>
      <c r="I2646" s="6" t="s">
        <v>117</v>
      </c>
      <c r="J2646" s="6" t="s">
        <v>117</v>
      </c>
      <c r="K2646" s="6">
        <v>0.41</v>
      </c>
      <c r="L2646" s="6" t="s">
        <v>42</v>
      </c>
      <c r="M2646" s="6" t="s">
        <v>34</v>
      </c>
      <c r="N2646" s="6"/>
    </row>
    <row r="2647" spans="1:14">
      <c r="A2647" s="6" t="s">
        <v>4206</v>
      </c>
      <c r="B2647" s="7">
        <v>46099</v>
      </c>
      <c r="C2647" s="6" t="s">
        <v>784</v>
      </c>
      <c r="D2647" s="6" t="str">
        <f>IF(OR(PROPER(TRIM(Raw_Data!D2647))="Uk",PROPER(TRIM(Raw_Data!D2647))="Gb",PROPER(TRIM(Raw_Data!D2647))="United kingdom"),"United Kingdom",PROPER(TRIM(Raw_Data!D2647)))</f>
        <v>Ireland</v>
      </c>
      <c r="E2647" s="6" t="s">
        <v>52</v>
      </c>
      <c r="F2647" s="6" t="s">
        <v>94</v>
      </c>
      <c r="G2647" s="6" t="str">
        <f>SUBSTITUTE(Raw_Data!G2647,"Ã©","é")</f>
        <v>Trekking Poles</v>
      </c>
      <c r="H2647" s="6">
        <v>1</v>
      </c>
      <c r="I2647" s="6" t="s">
        <v>67</v>
      </c>
      <c r="J2647" s="6" t="s">
        <v>67</v>
      </c>
      <c r="K2647" s="6">
        <v>0.34</v>
      </c>
      <c r="L2647" s="6" t="s">
        <v>42</v>
      </c>
      <c r="M2647" s="6" t="s">
        <v>34</v>
      </c>
      <c r="N2647" s="6"/>
    </row>
    <row r="2648" spans="1:14">
      <c r="A2648" s="6" t="s">
        <v>4207</v>
      </c>
      <c r="B2648" s="7">
        <v>46167</v>
      </c>
      <c r="C2648" s="6" t="s">
        <v>4208</v>
      </c>
      <c r="D2648" s="6" t="str">
        <f>IF(OR(PROPER(TRIM(Raw_Data!D2648))="Uk",PROPER(TRIM(Raw_Data!D2648))="Gb",PROPER(TRIM(Raw_Data!D2648))="United kingdom"),"United Kingdom",PROPER(TRIM(Raw_Data!D2648)))</f>
        <v>France</v>
      </c>
      <c r="E2648" s="6" t="s">
        <v>28</v>
      </c>
      <c r="F2648" s="6" t="s">
        <v>47</v>
      </c>
      <c r="G2648" s="6" t="str">
        <f>SUBSTITUTE(Raw_Data!G2648,"Ã©","é")</f>
        <v>Merino Base Layer</v>
      </c>
      <c r="H2648" s="6">
        <v>1</v>
      </c>
      <c r="I2648" s="6" t="s">
        <v>82</v>
      </c>
      <c r="J2648" s="6" t="s">
        <v>82</v>
      </c>
      <c r="K2648" s="6">
        <v>8.5000000000000006E-2</v>
      </c>
      <c r="L2648" s="6" t="s">
        <v>42</v>
      </c>
      <c r="M2648" s="6" t="s">
        <v>34</v>
      </c>
      <c r="N2648" s="6"/>
    </row>
    <row r="2649" spans="1:14">
      <c r="A2649" s="6" t="s">
        <v>4209</v>
      </c>
      <c r="B2649" s="7">
        <v>46119</v>
      </c>
      <c r="C2649" s="6" t="s">
        <v>4210</v>
      </c>
      <c r="D2649" s="6" t="str">
        <f>IF(OR(PROPER(TRIM(Raw_Data!D2649))="Uk",PROPER(TRIM(Raw_Data!D2649))="Gb",PROPER(TRIM(Raw_Data!D2649))="United kingdom"),"United Kingdom",PROPER(TRIM(Raw_Data!D2649)))</f>
        <v>United Kingdom</v>
      </c>
      <c r="E2649" s="6" t="s">
        <v>46</v>
      </c>
      <c r="F2649" s="6" t="s">
        <v>38</v>
      </c>
      <c r="G2649" s="6" t="str">
        <f>SUBSTITUTE(Raw_Data!G2649,"Ã©","é")</f>
        <v>Café Latte Mug</v>
      </c>
      <c r="H2649" s="6">
        <v>3</v>
      </c>
      <c r="I2649" s="6" t="s">
        <v>82</v>
      </c>
      <c r="J2649" s="6" t="s">
        <v>390</v>
      </c>
      <c r="K2649" s="6">
        <v>0.52</v>
      </c>
      <c r="L2649" s="6" t="s">
        <v>42</v>
      </c>
      <c r="M2649" s="6" t="s">
        <v>69</v>
      </c>
      <c r="N2649" s="6"/>
    </row>
    <row r="2650" spans="1:14">
      <c r="A2650" s="6" t="s">
        <v>4211</v>
      </c>
      <c r="B2650" s="7">
        <v>46152</v>
      </c>
      <c r="C2650" s="6" t="s">
        <v>528</v>
      </c>
      <c r="D2650" s="6" t="str">
        <f>IF(OR(PROPER(TRIM(Raw_Data!D2650))="Uk",PROPER(TRIM(Raw_Data!D2650))="Gb",PROPER(TRIM(Raw_Data!D2650))="United kingdom"),"United Kingdom",PROPER(TRIM(Raw_Data!D2650)))</f>
        <v>Germany</v>
      </c>
      <c r="E2650" s="6" t="s">
        <v>37</v>
      </c>
      <c r="F2650" s="6" t="s">
        <v>58</v>
      </c>
      <c r="G2650" s="6" t="str">
        <f>SUBSTITUTE(Raw_Data!G2650,"Ã©","é")</f>
        <v>Summit Down Gilet</v>
      </c>
      <c r="H2650" s="6">
        <v>1</v>
      </c>
      <c r="I2650" s="6" t="s">
        <v>447</v>
      </c>
      <c r="J2650" s="6" t="s">
        <v>90</v>
      </c>
      <c r="K2650" s="6">
        <v>0.38</v>
      </c>
      <c r="L2650" s="6" t="s">
        <v>42</v>
      </c>
      <c r="M2650" s="6" t="s">
        <v>34</v>
      </c>
      <c r="N2650" s="6"/>
    </row>
    <row r="2651" spans="1:14">
      <c r="A2651" s="6" t="s">
        <v>4212</v>
      </c>
      <c r="B2651" s="7">
        <v>46172</v>
      </c>
      <c r="C2651" s="6" t="s">
        <v>1499</v>
      </c>
      <c r="D2651" s="6" t="str">
        <f>IF(OR(PROPER(TRIM(Raw_Data!D2651))="Uk",PROPER(TRIM(Raw_Data!D2651))="Gb",PROPER(TRIM(Raw_Data!D2651))="United kingdom"),"United Kingdom",PROPER(TRIM(Raw_Data!D2651)))</f>
        <v>United Kingdom</v>
      </c>
      <c r="E2651" s="6" t="s">
        <v>37</v>
      </c>
      <c r="F2651" s="6" t="s">
        <v>29</v>
      </c>
      <c r="G2651" s="6" t="str">
        <f>SUBSTITUTE(Raw_Data!G2651,"Ã©","é")</f>
        <v>Summit Down Gilet</v>
      </c>
      <c r="H2651" s="6">
        <v>1</v>
      </c>
      <c r="I2651" s="6" t="s">
        <v>166</v>
      </c>
      <c r="J2651" s="6" t="s">
        <v>265</v>
      </c>
      <c r="K2651" s="6">
        <v>0.52</v>
      </c>
      <c r="L2651" s="6" t="s">
        <v>33</v>
      </c>
      <c r="M2651" s="6" t="s">
        <v>34</v>
      </c>
      <c r="N2651" s="6"/>
    </row>
    <row r="2652" spans="1:14">
      <c r="A2652" s="6" t="s">
        <v>4213</v>
      </c>
      <c r="B2652" s="7">
        <v>46155</v>
      </c>
      <c r="C2652" s="6" t="s">
        <v>1800</v>
      </c>
      <c r="D2652" s="6" t="str">
        <f>IF(OR(PROPER(TRIM(Raw_Data!D2652))="Uk",PROPER(TRIM(Raw_Data!D2652))="Gb",PROPER(TRIM(Raw_Data!D2652))="United kingdom"),"United Kingdom",PROPER(TRIM(Raw_Data!D2652)))</f>
        <v>United Kingdom</v>
      </c>
      <c r="E2652" s="6" t="s">
        <v>37</v>
      </c>
      <c r="F2652" s="6" t="s">
        <v>47</v>
      </c>
      <c r="G2652" s="6" t="str">
        <f>SUBSTITUTE(Raw_Data!G2652,"Ã©","é")</f>
        <v>Fell Runner Cap</v>
      </c>
      <c r="H2652" s="6">
        <v>2</v>
      </c>
      <c r="I2652" s="6" t="s">
        <v>40</v>
      </c>
      <c r="J2652" s="6" t="s">
        <v>327</v>
      </c>
      <c r="K2652" s="6">
        <v>8.5000000000000006E-2</v>
      </c>
      <c r="L2652" s="6" t="s">
        <v>42</v>
      </c>
      <c r="M2652" s="6" t="s">
        <v>34</v>
      </c>
      <c r="N2652" s="6"/>
    </row>
    <row r="2653" spans="1:14">
      <c r="A2653" s="6" t="s">
        <v>4214</v>
      </c>
      <c r="B2653" s="7">
        <v>46238</v>
      </c>
      <c r="C2653" s="6" t="s">
        <v>2532</v>
      </c>
      <c r="D2653" s="6" t="str">
        <f>IF(OR(PROPER(TRIM(Raw_Data!D2653))="Uk",PROPER(TRIM(Raw_Data!D2653))="Gb",PROPER(TRIM(Raw_Data!D2653))="United kingdom"),"United Kingdom",PROPER(TRIM(Raw_Data!D2653)))</f>
        <v>Ireland</v>
      </c>
      <c r="E2653" s="6" t="s">
        <v>78</v>
      </c>
      <c r="F2653" s="6" t="s">
        <v>47</v>
      </c>
      <c r="G2653" s="6" t="str">
        <f>SUBSTITUTE(Raw_Data!G2653,"Ã©","é")</f>
        <v>Alpine Jacket</v>
      </c>
      <c r="H2653" s="6">
        <v>1</v>
      </c>
      <c r="I2653" s="6" t="s">
        <v>231</v>
      </c>
      <c r="J2653" s="6" t="s">
        <v>231</v>
      </c>
      <c r="K2653" s="6">
        <v>8.5000000000000006E-2</v>
      </c>
      <c r="L2653" s="6" t="s">
        <v>33</v>
      </c>
      <c r="M2653" s="6" t="s">
        <v>69</v>
      </c>
      <c r="N2653" s="6"/>
    </row>
    <row r="2654" spans="1:14">
      <c r="A2654" s="6" t="s">
        <v>4215</v>
      </c>
      <c r="B2654" s="7">
        <v>46129</v>
      </c>
      <c r="C2654" s="6" t="s">
        <v>3418</v>
      </c>
      <c r="D2654" s="6" t="str">
        <f>IF(OR(PROPER(TRIM(Raw_Data!D2654))="Uk",PROPER(TRIM(Raw_Data!D2654))="Gb",PROPER(TRIM(Raw_Data!D2654))="United kingdom"),"United Kingdom",PROPER(TRIM(Raw_Data!D2654)))</f>
        <v>United Kingdom</v>
      </c>
      <c r="E2654" s="6" t="s">
        <v>46</v>
      </c>
      <c r="F2654" s="6" t="s">
        <v>58</v>
      </c>
      <c r="G2654" s="6" t="str">
        <f>SUBSTITUTE(Raw_Data!G2654,"Ã©","é")</f>
        <v>Trail Softshell</v>
      </c>
      <c r="H2654" s="6">
        <v>2</v>
      </c>
      <c r="I2654" s="6" t="s">
        <v>231</v>
      </c>
      <c r="J2654" s="6" t="s">
        <v>268</v>
      </c>
      <c r="K2654" s="6">
        <v>0.38</v>
      </c>
      <c r="L2654" s="6" t="s">
        <v>42</v>
      </c>
      <c r="M2654" s="6" t="s">
        <v>34</v>
      </c>
      <c r="N2654" s="6"/>
    </row>
    <row r="2655" spans="1:14">
      <c r="A2655" s="6" t="s">
        <v>4216</v>
      </c>
      <c r="B2655" s="7">
        <v>46027</v>
      </c>
      <c r="C2655" s="6" t="s">
        <v>206</v>
      </c>
      <c r="D2655" s="6" t="str">
        <f>IF(OR(PROPER(TRIM(Raw_Data!D2655))="Uk",PROPER(TRIM(Raw_Data!D2655))="Gb",PROPER(TRIM(Raw_Data!D2655))="United kingdom"),"United Kingdom",PROPER(TRIM(Raw_Data!D2655)))</f>
        <v>Ireland</v>
      </c>
      <c r="E2655" s="6" t="s">
        <v>52</v>
      </c>
      <c r="F2655" s="6" t="s">
        <v>38</v>
      </c>
      <c r="G2655" s="6" t="str">
        <f>SUBSTITUTE(Raw_Data!G2655,"Ã©","é")</f>
        <v>Summit Down Gilet</v>
      </c>
      <c r="H2655" s="6">
        <v>1</v>
      </c>
      <c r="I2655" s="6" t="s">
        <v>147</v>
      </c>
      <c r="J2655" s="6" t="s">
        <v>147</v>
      </c>
      <c r="K2655" s="6">
        <v>0.52</v>
      </c>
      <c r="L2655" s="6" t="s">
        <v>33</v>
      </c>
      <c r="M2655" s="6" t="s">
        <v>34</v>
      </c>
      <c r="N2655" s="6"/>
    </row>
    <row r="2656" spans="1:14">
      <c r="A2656" s="6" t="s">
        <v>4217</v>
      </c>
      <c r="B2656" s="7">
        <v>46159</v>
      </c>
      <c r="C2656" s="6" t="s">
        <v>818</v>
      </c>
      <c r="D2656" s="6" t="str">
        <f>IF(OR(PROPER(TRIM(Raw_Data!D2656))="Uk",PROPER(TRIM(Raw_Data!D2656))="Gb",PROPER(TRIM(Raw_Data!D2656))="United kingdom"),"United Kingdom",PROPER(TRIM(Raw_Data!D2656)))</f>
        <v>United Kingdom</v>
      </c>
      <c r="E2656" s="6" t="s">
        <v>46</v>
      </c>
      <c r="F2656" s="6" t="s">
        <v>85</v>
      </c>
      <c r="G2656" s="6" t="str">
        <f>SUBSTITUTE(Raw_Data!G2656,"Ã©","é")</f>
        <v>Storm Overtrousers</v>
      </c>
      <c r="H2656" s="6">
        <v>1</v>
      </c>
      <c r="I2656" s="6" t="s">
        <v>96</v>
      </c>
      <c r="J2656" s="6" t="s">
        <v>4218</v>
      </c>
      <c r="K2656" s="6">
        <v>0.41</v>
      </c>
      <c r="L2656" s="6" t="s">
        <v>42</v>
      </c>
      <c r="M2656" s="6" t="s">
        <v>69</v>
      </c>
      <c r="N2656" s="6"/>
    </row>
    <row r="2657" spans="1:14">
      <c r="A2657" s="6" t="s">
        <v>4219</v>
      </c>
      <c r="B2657" s="7">
        <v>46067</v>
      </c>
      <c r="C2657" s="6" t="s">
        <v>791</v>
      </c>
      <c r="D2657" s="6" t="str">
        <f>IF(OR(PROPER(TRIM(Raw_Data!D2657))="Uk",PROPER(TRIM(Raw_Data!D2657))="Gb",PROPER(TRIM(Raw_Data!D2657))="United kingdom"),"United Kingdom",PROPER(TRIM(Raw_Data!D2657)))</f>
        <v>United Kingdom</v>
      </c>
      <c r="E2657" s="6" t="s">
        <v>28</v>
      </c>
      <c r="F2657" s="6" t="s">
        <v>29</v>
      </c>
      <c r="G2657" s="6" t="str">
        <f>SUBSTITUTE(Raw_Data!G2657,"Ã©","é")</f>
        <v>Merino Base Layer</v>
      </c>
      <c r="H2657" s="6">
        <v>1</v>
      </c>
      <c r="I2657" s="6" t="s">
        <v>31</v>
      </c>
      <c r="J2657" s="6" t="s">
        <v>31</v>
      </c>
      <c r="K2657" s="6">
        <v>0.52</v>
      </c>
      <c r="L2657" s="6" t="s">
        <v>33</v>
      </c>
      <c r="M2657" s="6" t="s">
        <v>34</v>
      </c>
      <c r="N2657" s="6"/>
    </row>
    <row r="2658" spans="1:14">
      <c r="A2658" s="6" t="s">
        <v>4220</v>
      </c>
      <c r="B2658" s="7">
        <v>46197</v>
      </c>
      <c r="C2658" s="6" t="s">
        <v>2630</v>
      </c>
      <c r="D2658" s="6" t="str">
        <f>IF(OR(PROPER(TRIM(Raw_Data!D2658))="Uk",PROPER(TRIM(Raw_Data!D2658))="Gb",PROPER(TRIM(Raw_Data!D2658))="United kingdom"),"United Kingdom",PROPER(TRIM(Raw_Data!D2658)))</f>
        <v>United Kingdom</v>
      </c>
      <c r="E2658" s="6" t="s">
        <v>78</v>
      </c>
      <c r="F2658" s="6" t="s">
        <v>38</v>
      </c>
      <c r="G2658" s="6" t="str">
        <f>SUBSTITUTE(Raw_Data!G2658,"Ã©","é")</f>
        <v>Storm Overtrousers</v>
      </c>
      <c r="H2658" s="6">
        <v>2</v>
      </c>
      <c r="I2658" s="6" t="s">
        <v>117</v>
      </c>
      <c r="J2658" s="6" t="s">
        <v>118</v>
      </c>
      <c r="K2658" s="6">
        <v>0.52</v>
      </c>
      <c r="L2658" s="6" t="s">
        <v>42</v>
      </c>
      <c r="M2658" s="6" t="s">
        <v>34</v>
      </c>
      <c r="N2658" s="6"/>
    </row>
    <row r="2659" spans="1:14">
      <c r="A2659" s="6" t="s">
        <v>4221</v>
      </c>
      <c r="B2659" s="7">
        <v>46155</v>
      </c>
      <c r="C2659" s="6" t="s">
        <v>2972</v>
      </c>
      <c r="D2659" s="6" t="str">
        <f>IF(OR(PROPER(TRIM(Raw_Data!D2659))="Uk",PROPER(TRIM(Raw_Data!D2659))="Gb",PROPER(TRIM(Raw_Data!D2659))="United kingdom"),"United Kingdom",PROPER(TRIM(Raw_Data!D2659)))</f>
        <v>United Kingdom</v>
      </c>
      <c r="E2659" s="6" t="s">
        <v>52</v>
      </c>
      <c r="F2659" s="6" t="s">
        <v>38</v>
      </c>
      <c r="G2659" s="6" t="str">
        <f>SUBSTITUTE(Raw_Data!G2659,"Ã©","é")</f>
        <v>Fell Runner Cap</v>
      </c>
      <c r="H2659" s="6">
        <v>-1</v>
      </c>
      <c r="I2659" s="6" t="s">
        <v>82</v>
      </c>
      <c r="J2659" s="8" t="s">
        <v>1415</v>
      </c>
      <c r="K2659" s="6">
        <v>0.52</v>
      </c>
      <c r="L2659" s="6" t="s">
        <v>42</v>
      </c>
      <c r="M2659" s="6" t="s">
        <v>34</v>
      </c>
      <c r="N2659" s="6"/>
    </row>
    <row r="2660" spans="1:14">
      <c r="A2660" s="6" t="s">
        <v>4222</v>
      </c>
      <c r="B2660" s="7">
        <v>46178</v>
      </c>
      <c r="C2660" s="6" t="s">
        <v>3751</v>
      </c>
      <c r="D2660" s="6" t="str">
        <f>IF(OR(PROPER(TRIM(Raw_Data!D2660))="Uk",PROPER(TRIM(Raw_Data!D2660))="Gb",PROPER(TRIM(Raw_Data!D2660))="United kingdom"),"United Kingdom",PROPER(TRIM(Raw_Data!D2660)))</f>
        <v>Ireland</v>
      </c>
      <c r="E2660" s="6" t="s">
        <v>37</v>
      </c>
      <c r="F2660" s="6" t="s">
        <v>94</v>
      </c>
      <c r="G2660" s="6" t="str">
        <f>SUBSTITUTE(Raw_Data!G2660,"Ã©","é")</f>
        <v>Storm Overtrousers</v>
      </c>
      <c r="H2660" s="6">
        <v>1</v>
      </c>
      <c r="I2660" s="6" t="s">
        <v>265</v>
      </c>
      <c r="J2660" s="6" t="s">
        <v>265</v>
      </c>
      <c r="K2660" s="6">
        <v>0.34</v>
      </c>
      <c r="L2660" s="6" t="s">
        <v>42</v>
      </c>
      <c r="M2660" s="6" t="s">
        <v>34</v>
      </c>
      <c r="N2660" s="6"/>
    </row>
    <row r="2661" spans="1:14">
      <c r="A2661" s="6" t="s">
        <v>4223</v>
      </c>
      <c r="B2661" s="7">
        <v>46039</v>
      </c>
      <c r="C2661" s="6" t="s">
        <v>1742</v>
      </c>
      <c r="D2661" s="6" t="str">
        <f>IF(OR(PROPER(TRIM(Raw_Data!D2661))="Uk",PROPER(TRIM(Raw_Data!D2661))="Gb",PROPER(TRIM(Raw_Data!D2661))="United kingdom"),"United Kingdom",PROPER(TRIM(Raw_Data!D2661)))</f>
        <v>United Kingdom</v>
      </c>
      <c r="E2661" s="6" t="s">
        <v>52</v>
      </c>
      <c r="F2661" s="6" t="s">
        <v>58</v>
      </c>
      <c r="G2661" s="6" t="str">
        <f>SUBSTITUTE(Raw_Data!G2661,"Ã©","é")</f>
        <v>Storm Overtrousers</v>
      </c>
      <c r="H2661" s="6">
        <v>1</v>
      </c>
      <c r="I2661" s="6" t="s">
        <v>181</v>
      </c>
      <c r="J2661" s="6" t="s">
        <v>181</v>
      </c>
      <c r="K2661" s="6">
        <v>0.38</v>
      </c>
      <c r="L2661" s="6" t="s">
        <v>42</v>
      </c>
      <c r="M2661" s="6" t="s">
        <v>34</v>
      </c>
      <c r="N2661" s="6"/>
    </row>
    <row r="2662" spans="1:14">
      <c r="A2662" s="6" t="s">
        <v>4224</v>
      </c>
      <c r="B2662" s="7">
        <v>46177</v>
      </c>
      <c r="C2662" s="6" t="s">
        <v>3144</v>
      </c>
      <c r="D2662" s="6" t="str">
        <f>IF(OR(PROPER(TRIM(Raw_Data!D2662))="Uk",PROPER(TRIM(Raw_Data!D2662))="Gb",PROPER(TRIM(Raw_Data!D2662))="United kingdom"),"United Kingdom",PROPER(TRIM(Raw_Data!D2662)))</f>
        <v>United Kingdom</v>
      </c>
      <c r="E2662" s="6" t="s">
        <v>28</v>
      </c>
      <c r="F2662" s="6" t="s">
        <v>94</v>
      </c>
      <c r="G2662" s="6" t="str">
        <f>SUBSTITUTE(Raw_Data!G2662,"Ã©","é")</f>
        <v>Fell Runner Cap</v>
      </c>
      <c r="H2662" s="6">
        <v>1</v>
      </c>
      <c r="I2662" s="6" t="s">
        <v>82</v>
      </c>
      <c r="J2662" s="6" t="s">
        <v>82</v>
      </c>
      <c r="K2662" s="6">
        <v>0.34</v>
      </c>
      <c r="L2662" s="6" t="s">
        <v>33</v>
      </c>
      <c r="M2662" s="6" t="s">
        <v>34</v>
      </c>
      <c r="N2662" s="6"/>
    </row>
    <row r="2663" spans="1:14">
      <c r="A2663" s="6" t="s">
        <v>4225</v>
      </c>
      <c r="B2663" s="7">
        <v>46038</v>
      </c>
      <c r="C2663" s="6" t="s">
        <v>2838</v>
      </c>
      <c r="D2663" s="6" t="str">
        <f>IF(OR(PROPER(TRIM(Raw_Data!D2663))="Uk",PROPER(TRIM(Raw_Data!D2663))="Gb",PROPER(TRIM(Raw_Data!D2663))="United kingdom"),"United Kingdom",PROPER(TRIM(Raw_Data!D2663)))</f>
        <v>Ireland</v>
      </c>
      <c r="E2663" s="6" t="s">
        <v>52</v>
      </c>
      <c r="F2663" s="6" t="s">
        <v>58</v>
      </c>
      <c r="G2663" s="6" t="str">
        <f>SUBSTITUTE(Raw_Data!G2663,"Ã©","é")</f>
        <v>Café Latte Mug</v>
      </c>
      <c r="H2663" s="6">
        <v>1</v>
      </c>
      <c r="I2663" s="6" t="s">
        <v>113</v>
      </c>
      <c r="J2663" s="6" t="s">
        <v>181</v>
      </c>
      <c r="K2663" s="6">
        <v>0.38</v>
      </c>
      <c r="L2663" s="6" t="s">
        <v>42</v>
      </c>
      <c r="M2663" s="6" t="s">
        <v>69</v>
      </c>
      <c r="N2663" s="6"/>
    </row>
    <row r="2664" spans="1:14">
      <c r="A2664" s="6" t="s">
        <v>4226</v>
      </c>
      <c r="B2664" s="7">
        <v>46196</v>
      </c>
      <c r="C2664" s="6" t="s">
        <v>436</v>
      </c>
      <c r="D2664" s="6" t="str">
        <f>IF(OR(PROPER(TRIM(Raw_Data!D2664))="Uk",PROPER(TRIM(Raw_Data!D2664))="Gb",PROPER(TRIM(Raw_Data!D2664))="United kingdom"),"United Kingdom",PROPER(TRIM(Raw_Data!D2664)))</f>
        <v>United Kingdom</v>
      </c>
      <c r="E2664" s="6" t="s">
        <v>28</v>
      </c>
      <c r="F2664" s="6" t="s">
        <v>58</v>
      </c>
      <c r="G2664" s="6" t="str">
        <f>SUBSTITUTE(Raw_Data!G2664,"Ã©","é")</f>
        <v>Trail Softshell</v>
      </c>
      <c r="H2664" s="6">
        <v>2</v>
      </c>
      <c r="I2664" s="6" t="s">
        <v>90</v>
      </c>
      <c r="J2664" s="6" t="s">
        <v>154</v>
      </c>
      <c r="K2664" s="6">
        <v>0.38</v>
      </c>
      <c r="L2664" s="6" t="s">
        <v>42</v>
      </c>
      <c r="M2664" s="6" t="s">
        <v>34</v>
      </c>
      <c r="N2664" s="6"/>
    </row>
    <row r="2665" spans="1:14">
      <c r="A2665" s="6" t="s">
        <v>4227</v>
      </c>
      <c r="B2665" s="7">
        <v>46137</v>
      </c>
      <c r="C2665" s="6" t="s">
        <v>1172</v>
      </c>
      <c r="D2665" s="6" t="str">
        <f>IF(OR(PROPER(TRIM(Raw_Data!D2665))="Uk",PROPER(TRIM(Raw_Data!D2665))="Gb",PROPER(TRIM(Raw_Data!D2665))="United kingdom"),"United Kingdom",PROPER(TRIM(Raw_Data!D2665)))</f>
        <v>France</v>
      </c>
      <c r="E2665" s="6" t="s">
        <v>78</v>
      </c>
      <c r="F2665" s="6" t="s">
        <v>29</v>
      </c>
      <c r="G2665" s="6" t="str">
        <f>SUBSTITUTE(Raw_Data!G2665,"Ã©","é")</f>
        <v>Trail Softshell</v>
      </c>
      <c r="H2665" s="6">
        <v>3</v>
      </c>
      <c r="I2665" s="6" t="s">
        <v>1519</v>
      </c>
      <c r="J2665" s="6" t="s">
        <v>2839</v>
      </c>
      <c r="K2665" s="6">
        <v>0.52</v>
      </c>
      <c r="L2665" s="6" t="s">
        <v>33</v>
      </c>
      <c r="M2665" s="6" t="s">
        <v>34</v>
      </c>
      <c r="N2665" s="6"/>
    </row>
    <row r="2666" spans="1:14">
      <c r="A2666" s="6" t="s">
        <v>4228</v>
      </c>
      <c r="B2666" s="7">
        <v>46105</v>
      </c>
      <c r="C2666" s="6" t="s">
        <v>3223</v>
      </c>
      <c r="D2666" s="6" t="str">
        <f>IF(OR(PROPER(TRIM(Raw_Data!D2666))="Uk",PROPER(TRIM(Raw_Data!D2666))="Gb",PROPER(TRIM(Raw_Data!D2666))="United kingdom"),"United Kingdom",PROPER(TRIM(Raw_Data!D2666)))</f>
        <v>United Kingdom</v>
      </c>
      <c r="E2666" s="6" t="s">
        <v>46</v>
      </c>
      <c r="F2666" s="6" t="s">
        <v>58</v>
      </c>
      <c r="G2666" s="6" t="str">
        <f>SUBSTITUTE(Raw_Data!G2666,"Ã©","é")</f>
        <v>Trail Softshell</v>
      </c>
      <c r="H2666" s="6">
        <v>1</v>
      </c>
      <c r="I2666" s="6" t="s">
        <v>82</v>
      </c>
      <c r="J2666" s="6" t="s">
        <v>82</v>
      </c>
      <c r="K2666" s="6">
        <v>0.38</v>
      </c>
      <c r="L2666" s="6" t="s">
        <v>42</v>
      </c>
      <c r="M2666" s="6" t="s">
        <v>34</v>
      </c>
      <c r="N2666" s="6"/>
    </row>
    <row r="2667" spans="1:14">
      <c r="A2667" s="6" t="s">
        <v>4230</v>
      </c>
      <c r="B2667" s="7">
        <v>46051</v>
      </c>
      <c r="C2667" s="6" t="s">
        <v>345</v>
      </c>
      <c r="D2667" s="6" t="str">
        <f>IF(OR(PROPER(TRIM(Raw_Data!D2667))="Uk",PROPER(TRIM(Raw_Data!D2667))="Gb",PROPER(TRIM(Raw_Data!D2667))="United kingdom"),"United Kingdom",PROPER(TRIM(Raw_Data!D2667)))</f>
        <v>Germany</v>
      </c>
      <c r="E2667" s="6" t="s">
        <v>52</v>
      </c>
      <c r="F2667" s="6" t="s">
        <v>38</v>
      </c>
      <c r="G2667" s="6" t="str">
        <f>SUBSTITUTE(Raw_Data!G2667,"Ã©","é")</f>
        <v>Storm Overtrousers</v>
      </c>
      <c r="H2667" s="6">
        <v>2</v>
      </c>
      <c r="I2667" s="6" t="s">
        <v>96</v>
      </c>
      <c r="J2667" s="6" t="s">
        <v>278</v>
      </c>
      <c r="K2667" s="6">
        <v>0.52</v>
      </c>
      <c r="L2667" s="6" t="s">
        <v>42</v>
      </c>
      <c r="M2667" s="6" t="s">
        <v>34</v>
      </c>
      <c r="N2667" s="6"/>
    </row>
    <row r="2668" spans="1:14">
      <c r="A2668" s="6" t="s">
        <v>4231</v>
      </c>
      <c r="B2668" s="7">
        <v>46098</v>
      </c>
      <c r="C2668" s="6" t="s">
        <v>3075</v>
      </c>
      <c r="D2668" s="6" t="str">
        <f>IF(OR(PROPER(TRIM(Raw_Data!D2668))="Uk",PROPER(TRIM(Raw_Data!D2668))="Gb",PROPER(TRIM(Raw_Data!D2668))="United kingdom"),"United Kingdom",PROPER(TRIM(Raw_Data!D2668)))</f>
        <v>Ireland</v>
      </c>
      <c r="E2668" s="6" t="s">
        <v>78</v>
      </c>
      <c r="F2668" s="6" t="s">
        <v>53</v>
      </c>
      <c r="G2668" s="6" t="str">
        <f>SUBSTITUTE(Raw_Data!G2668,"Ã©","é")</f>
        <v>Summit Down Gilet</v>
      </c>
      <c r="H2668" s="6">
        <v>3</v>
      </c>
      <c r="I2668" s="6" t="s">
        <v>143</v>
      </c>
      <c r="J2668" s="6" t="s">
        <v>243</v>
      </c>
      <c r="K2668" s="6">
        <v>0.19</v>
      </c>
      <c r="L2668" s="6" t="s">
        <v>42</v>
      </c>
      <c r="M2668" s="6" t="s">
        <v>34</v>
      </c>
      <c r="N2668" s="6"/>
    </row>
    <row r="2669" spans="1:14">
      <c r="A2669" s="6" t="s">
        <v>4232</v>
      </c>
      <c r="B2669" s="7">
        <v>46128</v>
      </c>
      <c r="C2669" s="6" t="s">
        <v>1001</v>
      </c>
      <c r="D2669" s="6" t="str">
        <f>IF(OR(PROPER(TRIM(Raw_Data!D2669))="Uk",PROPER(TRIM(Raw_Data!D2669))="Gb",PROPER(TRIM(Raw_Data!D2669))="United kingdom"),"United Kingdom",PROPER(TRIM(Raw_Data!D2669)))</f>
        <v>Germany</v>
      </c>
      <c r="E2669" s="6" t="s">
        <v>37</v>
      </c>
      <c r="F2669" s="6" t="s">
        <v>53</v>
      </c>
      <c r="G2669" s="6" t="str">
        <f>SUBSTITUTE(Raw_Data!G2669,"Ã©","é")</f>
        <v>Fell Runner Cap</v>
      </c>
      <c r="H2669" s="6">
        <v>1</v>
      </c>
      <c r="I2669" s="6" t="s">
        <v>143</v>
      </c>
      <c r="J2669" s="6" t="s">
        <v>143</v>
      </c>
      <c r="K2669" s="6">
        <v>0.19</v>
      </c>
      <c r="L2669" s="6" t="s">
        <v>42</v>
      </c>
      <c r="M2669" s="6" t="s">
        <v>34</v>
      </c>
      <c r="N2669" s="6"/>
    </row>
    <row r="2670" spans="1:14">
      <c r="A2670" s="6" t="s">
        <v>4233</v>
      </c>
      <c r="B2670" s="7">
        <v>46085</v>
      </c>
      <c r="C2670" s="6" t="s">
        <v>3175</v>
      </c>
      <c r="D2670" s="6" t="str">
        <f>IF(OR(PROPER(TRIM(Raw_Data!D2670))="Uk",PROPER(TRIM(Raw_Data!D2670))="Gb",PROPER(TRIM(Raw_Data!D2670))="United kingdom"),"United Kingdom",PROPER(TRIM(Raw_Data!D2670)))</f>
        <v>United Kingdom</v>
      </c>
      <c r="E2670" s="6" t="s">
        <v>37</v>
      </c>
      <c r="F2670" s="6" t="s">
        <v>29</v>
      </c>
      <c r="G2670" s="6" t="str">
        <f>SUBSTITUTE(Raw_Data!G2670,"Ã©","é")</f>
        <v>Café Latte Mug</v>
      </c>
      <c r="H2670" s="6">
        <v>1</v>
      </c>
      <c r="I2670" s="6" t="s">
        <v>96</v>
      </c>
      <c r="J2670" s="6" t="s">
        <v>96</v>
      </c>
      <c r="K2670" s="6">
        <v>0.52</v>
      </c>
      <c r="L2670" s="6" t="s">
        <v>42</v>
      </c>
      <c r="M2670" s="6" t="s">
        <v>69</v>
      </c>
      <c r="N2670" s="6"/>
    </row>
    <row r="2671" spans="1:14">
      <c r="A2671" s="6" t="s">
        <v>4234</v>
      </c>
      <c r="B2671" s="7">
        <v>46027</v>
      </c>
      <c r="C2671" s="6" t="s">
        <v>3211</v>
      </c>
      <c r="D2671" s="6" t="str">
        <f>IF(OR(PROPER(TRIM(Raw_Data!D2671))="Uk",PROPER(TRIM(Raw_Data!D2671))="Gb",PROPER(TRIM(Raw_Data!D2671))="United kingdom"),"United Kingdom",PROPER(TRIM(Raw_Data!D2671)))</f>
        <v>Germany</v>
      </c>
      <c r="E2671" s="6" t="s">
        <v>28</v>
      </c>
      <c r="F2671" s="6" t="s">
        <v>85</v>
      </c>
      <c r="G2671" s="6" t="str">
        <f>SUBSTITUTE(Raw_Data!G2671,"Ã©","é")</f>
        <v>Café Latte Mug</v>
      </c>
      <c r="H2671" s="6">
        <v>2</v>
      </c>
      <c r="I2671" s="6" t="s">
        <v>147</v>
      </c>
      <c r="J2671" s="6" t="s">
        <v>175</v>
      </c>
      <c r="K2671" s="6">
        <v>0.41</v>
      </c>
      <c r="L2671" s="6" t="s">
        <v>42</v>
      </c>
      <c r="M2671" s="6" t="s">
        <v>69</v>
      </c>
      <c r="N2671" s="6"/>
    </row>
    <row r="2672" spans="1:14">
      <c r="A2672" s="6" t="s">
        <v>4235</v>
      </c>
      <c r="B2672" s="7">
        <v>46051</v>
      </c>
      <c r="C2672" s="6" t="s">
        <v>4236</v>
      </c>
      <c r="D2672" s="6" t="str">
        <f>IF(OR(PROPER(TRIM(Raw_Data!D2672))="Uk",PROPER(TRIM(Raw_Data!D2672))="Gb",PROPER(TRIM(Raw_Data!D2672))="United kingdom"),"United Kingdom",PROPER(TRIM(Raw_Data!D2672)))</f>
        <v>France</v>
      </c>
      <c r="E2672" s="6" t="s">
        <v>28</v>
      </c>
      <c r="F2672" s="6" t="s">
        <v>94</v>
      </c>
      <c r="G2672" s="6" t="str">
        <f>SUBSTITUTE(Raw_Data!G2672,"Ã©","é")</f>
        <v>Summit Down Gilet</v>
      </c>
      <c r="H2672" s="6">
        <v>3</v>
      </c>
      <c r="I2672" s="6" t="s">
        <v>1013</v>
      </c>
      <c r="J2672" s="6" t="s">
        <v>102</v>
      </c>
      <c r="K2672" s="6">
        <v>0.34</v>
      </c>
      <c r="L2672" s="6" t="s">
        <v>42</v>
      </c>
      <c r="M2672" s="6" t="s">
        <v>34</v>
      </c>
      <c r="N2672" s="6"/>
    </row>
    <row r="2673" spans="1:14">
      <c r="A2673" s="6" t="s">
        <v>4237</v>
      </c>
      <c r="B2673" s="7">
        <v>46112</v>
      </c>
      <c r="C2673" s="6" t="s">
        <v>1323</v>
      </c>
      <c r="D2673" s="6" t="str">
        <f>IF(OR(PROPER(TRIM(Raw_Data!D2673))="Uk",PROPER(TRIM(Raw_Data!D2673))="Gb",PROPER(TRIM(Raw_Data!D2673))="United kingdom"),"United Kingdom",PROPER(TRIM(Raw_Data!D2673)))</f>
        <v>United Kingdom</v>
      </c>
      <c r="E2673" s="6" t="s">
        <v>52</v>
      </c>
      <c r="F2673" s="6" t="s">
        <v>47</v>
      </c>
      <c r="G2673" s="6" t="str">
        <f>SUBSTITUTE(Raw_Data!G2673,"Ã©","é")</f>
        <v>Storm Overtrousers</v>
      </c>
      <c r="H2673" s="6">
        <v>3</v>
      </c>
      <c r="I2673" s="6" t="s">
        <v>40</v>
      </c>
      <c r="J2673" s="6" t="s">
        <v>579</v>
      </c>
      <c r="K2673" s="6">
        <v>8.5000000000000006E-2</v>
      </c>
      <c r="L2673" s="6" t="s">
        <v>42</v>
      </c>
      <c r="M2673" s="6" t="s">
        <v>34</v>
      </c>
      <c r="N2673" s="6"/>
    </row>
    <row r="2674" spans="1:14">
      <c r="A2674" s="6" t="s">
        <v>4238</v>
      </c>
      <c r="B2674" s="7">
        <v>46203</v>
      </c>
      <c r="C2674" s="6" t="s">
        <v>858</v>
      </c>
      <c r="D2674" s="6" t="str">
        <f>IF(OR(PROPER(TRIM(Raw_Data!D2674))="Uk",PROPER(TRIM(Raw_Data!D2674))="Gb",PROPER(TRIM(Raw_Data!D2674))="United kingdom"),"United Kingdom",PROPER(TRIM(Raw_Data!D2674)))</f>
        <v>Ireland</v>
      </c>
      <c r="E2674" s="6" t="s">
        <v>37</v>
      </c>
      <c r="F2674" s="6" t="s">
        <v>100</v>
      </c>
      <c r="G2674" s="6" t="str">
        <f>SUBSTITUTE(Raw_Data!G2674,"Ã©","é")</f>
        <v>Summit Down Gilet</v>
      </c>
      <c r="H2674" s="6">
        <v>1</v>
      </c>
      <c r="I2674" s="6" t="s">
        <v>117</v>
      </c>
      <c r="J2674" s="6" t="s">
        <v>117</v>
      </c>
      <c r="K2674" s="6">
        <v>0.64</v>
      </c>
      <c r="L2674" s="6" t="s">
        <v>42</v>
      </c>
      <c r="M2674" s="6" t="s">
        <v>34</v>
      </c>
      <c r="N2674" s="6"/>
    </row>
    <row r="2675" spans="1:14">
      <c r="A2675" s="6" t="s">
        <v>4239</v>
      </c>
      <c r="B2675" s="7">
        <v>46058</v>
      </c>
      <c r="C2675" s="6" t="s">
        <v>26</v>
      </c>
      <c r="D2675" s="6" t="str">
        <f>IF(OR(PROPER(TRIM(Raw_Data!D2675))="Uk",PROPER(TRIM(Raw_Data!D2675))="Gb",PROPER(TRIM(Raw_Data!D2675))="United kingdom"),"United Kingdom",PROPER(TRIM(Raw_Data!D2675)))</f>
        <v>Germany</v>
      </c>
      <c r="E2675" s="6" t="s">
        <v>46</v>
      </c>
      <c r="F2675" s="6" t="s">
        <v>53</v>
      </c>
      <c r="G2675" s="6" t="str">
        <f>SUBSTITUTE(Raw_Data!G2675,"Ã©","é")</f>
        <v>Café Latte Mug</v>
      </c>
      <c r="H2675" s="6">
        <v>2</v>
      </c>
      <c r="I2675" s="6" t="s">
        <v>40</v>
      </c>
      <c r="J2675" s="6" t="s">
        <v>327</v>
      </c>
      <c r="K2675" s="6">
        <v>0.19</v>
      </c>
      <c r="L2675" s="6" t="s">
        <v>42</v>
      </c>
      <c r="M2675" s="6" t="s">
        <v>34</v>
      </c>
      <c r="N2675" s="6"/>
    </row>
    <row r="2676" spans="1:14">
      <c r="A2676" s="6" t="s">
        <v>4240</v>
      </c>
      <c r="B2676" s="7">
        <v>46033</v>
      </c>
      <c r="C2676" s="6" t="s">
        <v>2646</v>
      </c>
      <c r="D2676" s="6" t="str">
        <f>IF(OR(PROPER(TRIM(Raw_Data!D2676))="Uk",PROPER(TRIM(Raw_Data!D2676))="Gb",PROPER(TRIM(Raw_Data!D2676))="United kingdom"),"United Kingdom",PROPER(TRIM(Raw_Data!D2676)))</f>
        <v>United Kingdom</v>
      </c>
      <c r="E2676" s="6" t="s">
        <v>37</v>
      </c>
      <c r="F2676" s="6" t="s">
        <v>38</v>
      </c>
      <c r="G2676" s="6" t="str">
        <f>SUBSTITUTE(Raw_Data!G2676,"Ã©","é")</f>
        <v>Alpine Jacket</v>
      </c>
      <c r="H2676" s="6">
        <v>-2</v>
      </c>
      <c r="I2676" s="6" t="s">
        <v>1224</v>
      </c>
      <c r="J2676" s="8" t="s">
        <v>2190</v>
      </c>
      <c r="K2676" s="6">
        <v>0.52</v>
      </c>
      <c r="L2676" s="6" t="s">
        <v>42</v>
      </c>
      <c r="M2676" s="6" t="s">
        <v>34</v>
      </c>
      <c r="N2676" s="6"/>
    </row>
    <row r="2677" spans="1:14">
      <c r="A2677" s="6" t="s">
        <v>4241</v>
      </c>
      <c r="B2677" s="7">
        <v>46038</v>
      </c>
      <c r="C2677" s="6" t="s">
        <v>3025</v>
      </c>
      <c r="D2677" s="6" t="str">
        <f>IF(OR(PROPER(TRIM(Raw_Data!D2677))="Uk",PROPER(TRIM(Raw_Data!D2677))="Gb",PROPER(TRIM(Raw_Data!D2677))="United kingdom"),"United Kingdom",PROPER(TRIM(Raw_Data!D2677)))</f>
        <v>United Kingdom</v>
      </c>
      <c r="E2677" s="6" t="s">
        <v>28</v>
      </c>
      <c r="F2677" s="6" t="s">
        <v>53</v>
      </c>
      <c r="G2677" s="6" t="str">
        <f>SUBSTITUTE(Raw_Data!G2677,"Ã©","é")</f>
        <v>Trail Softshell</v>
      </c>
      <c r="H2677" s="6">
        <v>1</v>
      </c>
      <c r="I2677" s="6" t="s">
        <v>1355</v>
      </c>
      <c r="J2677" s="6" t="s">
        <v>4242</v>
      </c>
      <c r="K2677" s="6">
        <v>0.19</v>
      </c>
      <c r="L2677" s="6" t="s">
        <v>42</v>
      </c>
      <c r="M2677" s="6" t="s">
        <v>34</v>
      </c>
      <c r="N2677" s="6"/>
    </row>
    <row r="2678" spans="1:14">
      <c r="A2678" s="6" t="s">
        <v>4243</v>
      </c>
      <c r="B2678" s="7">
        <v>46065</v>
      </c>
      <c r="C2678" s="6" t="s">
        <v>2879</v>
      </c>
      <c r="D2678" s="6" t="str">
        <f>IF(OR(PROPER(TRIM(Raw_Data!D2678))="Uk",PROPER(TRIM(Raw_Data!D2678))="Gb",PROPER(TRIM(Raw_Data!D2678))="United kingdom"),"United Kingdom",PROPER(TRIM(Raw_Data!D2678)))</f>
        <v>United Kingdom</v>
      </c>
      <c r="E2678" s="6" t="s">
        <v>78</v>
      </c>
      <c r="F2678" s="6" t="s">
        <v>53</v>
      </c>
      <c r="G2678" s="6" t="str">
        <f>SUBSTITUTE(Raw_Data!G2678,"Ã©","é")</f>
        <v>Alpine Jacket</v>
      </c>
      <c r="H2678" s="6">
        <v>1</v>
      </c>
      <c r="I2678" s="6" t="s">
        <v>90</v>
      </c>
      <c r="J2678" s="6" t="s">
        <v>90</v>
      </c>
      <c r="K2678" s="6">
        <v>0.19</v>
      </c>
      <c r="L2678" s="6" t="s">
        <v>33</v>
      </c>
      <c r="M2678" s="6" t="s">
        <v>69</v>
      </c>
      <c r="N2678" s="6"/>
    </row>
    <row r="2679" spans="1:14">
      <c r="A2679" s="6" t="s">
        <v>4244</v>
      </c>
      <c r="B2679" s="7">
        <v>46078</v>
      </c>
      <c r="C2679" s="6" t="s">
        <v>2879</v>
      </c>
      <c r="D2679" s="6" t="str">
        <f>IF(OR(PROPER(TRIM(Raw_Data!D2679))="Uk",PROPER(TRIM(Raw_Data!D2679))="Gb",PROPER(TRIM(Raw_Data!D2679))="United kingdom"),"United Kingdom",PROPER(TRIM(Raw_Data!D2679)))</f>
        <v>Ireland</v>
      </c>
      <c r="E2679" s="6" t="s">
        <v>28</v>
      </c>
      <c r="F2679" s="6" t="s">
        <v>58</v>
      </c>
      <c r="G2679" s="6" t="str">
        <f>SUBSTITUTE(Raw_Data!G2679,"Ã©","é")</f>
        <v>Merino Base Layer</v>
      </c>
      <c r="H2679" s="6">
        <v>1</v>
      </c>
      <c r="I2679" s="6" t="s">
        <v>79</v>
      </c>
      <c r="J2679" s="6" t="s">
        <v>370</v>
      </c>
      <c r="K2679" s="6">
        <v>0.38</v>
      </c>
      <c r="L2679" s="6" t="s">
        <v>42</v>
      </c>
      <c r="M2679" s="6" t="s">
        <v>34</v>
      </c>
      <c r="N2679" s="6"/>
    </row>
    <row r="2680" spans="1:14">
      <c r="A2680" s="6" t="s">
        <v>4246</v>
      </c>
      <c r="B2680" s="7">
        <v>46080</v>
      </c>
      <c r="C2680" s="6" t="s">
        <v>4247</v>
      </c>
      <c r="D2680" s="6" t="str">
        <f>IF(OR(PROPER(TRIM(Raw_Data!D2680))="Uk",PROPER(TRIM(Raw_Data!D2680))="Gb",PROPER(TRIM(Raw_Data!D2680))="United kingdom"),"United Kingdom",PROPER(TRIM(Raw_Data!D2680)))</f>
        <v>United Kingdom</v>
      </c>
      <c r="E2680" s="6" t="s">
        <v>28</v>
      </c>
      <c r="F2680" s="6" t="s">
        <v>38</v>
      </c>
      <c r="G2680" s="6" t="str">
        <f>SUBSTITUTE(Raw_Data!G2680,"Ã©","é")</f>
        <v>Trekking Poles</v>
      </c>
      <c r="H2680" s="6">
        <v>2</v>
      </c>
      <c r="I2680" s="6" t="s">
        <v>1224</v>
      </c>
      <c r="J2680" s="6" t="s">
        <v>118</v>
      </c>
      <c r="K2680" s="6">
        <v>0.52</v>
      </c>
      <c r="L2680" s="6" t="s">
        <v>42</v>
      </c>
      <c r="M2680" s="6" t="s">
        <v>69</v>
      </c>
      <c r="N2680" s="6"/>
    </row>
    <row r="2681" spans="1:14">
      <c r="A2681" s="6" t="s">
        <v>4248</v>
      </c>
      <c r="B2681" s="7">
        <v>46155</v>
      </c>
      <c r="C2681" s="6" t="s">
        <v>2553</v>
      </c>
      <c r="D2681" s="6" t="str">
        <f>IF(OR(PROPER(TRIM(Raw_Data!D2681))="Uk",PROPER(TRIM(Raw_Data!D2681))="Gb",PROPER(TRIM(Raw_Data!D2681))="United kingdom"),"United Kingdom",PROPER(TRIM(Raw_Data!D2681)))</f>
        <v>Ireland</v>
      </c>
      <c r="E2681" s="6" t="s">
        <v>78</v>
      </c>
      <c r="F2681" s="6" t="s">
        <v>53</v>
      </c>
      <c r="G2681" s="6" t="str">
        <f>SUBSTITUTE(Raw_Data!G2681,"Ã©","é")</f>
        <v>Merino Base Layer</v>
      </c>
      <c r="H2681" s="6">
        <v>1</v>
      </c>
      <c r="I2681" s="6" t="s">
        <v>181</v>
      </c>
      <c r="J2681" s="6" t="s">
        <v>181</v>
      </c>
      <c r="K2681" s="6">
        <v>0.19</v>
      </c>
      <c r="L2681" s="6" t="s">
        <v>33</v>
      </c>
      <c r="M2681" s="6" t="s">
        <v>69</v>
      </c>
      <c r="N2681" s="6"/>
    </row>
    <row r="2682" spans="1:14">
      <c r="A2682" s="6" t="s">
        <v>4249</v>
      </c>
      <c r="B2682" s="7">
        <v>46160</v>
      </c>
      <c r="C2682" s="6" t="s">
        <v>1120</v>
      </c>
      <c r="D2682" s="6" t="str">
        <f>IF(OR(PROPER(TRIM(Raw_Data!D2682))="Uk",PROPER(TRIM(Raw_Data!D2682))="Gb",PROPER(TRIM(Raw_Data!D2682))="United kingdom"),"United Kingdom",PROPER(TRIM(Raw_Data!D2682)))</f>
        <v>United Kingdom</v>
      </c>
      <c r="E2682" s="6" t="s">
        <v>37</v>
      </c>
      <c r="F2682" s="6" t="s">
        <v>94</v>
      </c>
      <c r="G2682" s="6" t="str">
        <f>SUBSTITUTE(Raw_Data!G2682,"Ã©","é")</f>
        <v>Trekking Poles</v>
      </c>
      <c r="H2682" s="6">
        <v>1</v>
      </c>
      <c r="I2682" s="6" t="s">
        <v>67</v>
      </c>
      <c r="J2682" s="6" t="s">
        <v>67</v>
      </c>
      <c r="K2682" s="6">
        <v>0.34</v>
      </c>
      <c r="L2682" s="6" t="s">
        <v>42</v>
      </c>
      <c r="M2682" s="6" t="s">
        <v>69</v>
      </c>
      <c r="N2682" s="6"/>
    </row>
    <row r="2683" spans="1:14">
      <c r="A2683" s="6" t="s">
        <v>4250</v>
      </c>
      <c r="B2683" s="7">
        <v>46198</v>
      </c>
      <c r="C2683" s="6" t="s">
        <v>901</v>
      </c>
      <c r="D2683" s="6" t="str">
        <f>IF(OR(PROPER(TRIM(Raw_Data!D2683))="Uk",PROPER(TRIM(Raw_Data!D2683))="Gb",PROPER(TRIM(Raw_Data!D2683))="United kingdom"),"United Kingdom",PROPER(TRIM(Raw_Data!D2683)))</f>
        <v>United Kingdom</v>
      </c>
      <c r="E2683" s="6" t="s">
        <v>52</v>
      </c>
      <c r="F2683" s="6" t="s">
        <v>94</v>
      </c>
      <c r="G2683" s="6" t="str">
        <f>SUBSTITUTE(Raw_Data!G2683,"Ã©","é")</f>
        <v>Storm Overtrousers</v>
      </c>
      <c r="H2683" s="6">
        <v>1</v>
      </c>
      <c r="I2683" s="6" t="s">
        <v>143</v>
      </c>
      <c r="J2683" s="6" t="s">
        <v>143</v>
      </c>
      <c r="K2683" s="6">
        <v>0.34</v>
      </c>
      <c r="L2683" s="6" t="s">
        <v>33</v>
      </c>
      <c r="M2683" s="6" t="s">
        <v>69</v>
      </c>
      <c r="N2683" s="6"/>
    </row>
    <row r="2684" spans="1:14">
      <c r="A2684" s="6" t="s">
        <v>4251</v>
      </c>
      <c r="B2684" s="7">
        <v>46173</v>
      </c>
      <c r="C2684" s="6" t="s">
        <v>2308</v>
      </c>
      <c r="D2684" s="6" t="str">
        <f>IF(OR(PROPER(TRIM(Raw_Data!D2684))="Uk",PROPER(TRIM(Raw_Data!D2684))="Gb",PROPER(TRIM(Raw_Data!D2684))="United kingdom"),"United Kingdom",PROPER(TRIM(Raw_Data!D2684)))</f>
        <v>United Kingdom</v>
      </c>
      <c r="E2684" s="6" t="s">
        <v>28</v>
      </c>
      <c r="F2684" s="6" t="s">
        <v>94</v>
      </c>
      <c r="G2684" s="6" t="str">
        <f>SUBSTITUTE(Raw_Data!G2684,"Ã©","é")</f>
        <v>Café Latte Mug</v>
      </c>
      <c r="H2684" s="6">
        <v>1</v>
      </c>
      <c r="I2684" s="6" t="s">
        <v>73</v>
      </c>
      <c r="J2684" s="6" t="s">
        <v>73</v>
      </c>
      <c r="K2684" s="6">
        <v>0.34</v>
      </c>
      <c r="L2684" s="6" t="s">
        <v>33</v>
      </c>
      <c r="M2684" s="6" t="s">
        <v>34</v>
      </c>
      <c r="N2684" s="6"/>
    </row>
    <row r="2685" spans="1:14">
      <c r="A2685" s="6" t="s">
        <v>4252</v>
      </c>
      <c r="B2685" s="7">
        <v>46039</v>
      </c>
      <c r="C2685" s="6" t="s">
        <v>3582</v>
      </c>
      <c r="D2685" s="6" t="str">
        <f>IF(OR(PROPER(TRIM(Raw_Data!D2685))="Uk",PROPER(TRIM(Raw_Data!D2685))="Gb",PROPER(TRIM(Raw_Data!D2685))="United kingdom"),"United Kingdom",PROPER(TRIM(Raw_Data!D2685)))</f>
        <v>Ireland</v>
      </c>
      <c r="E2685" s="6" t="s">
        <v>37</v>
      </c>
      <c r="F2685" s="6" t="s">
        <v>29</v>
      </c>
      <c r="G2685" s="6" t="str">
        <f>SUBSTITUTE(Raw_Data!G2685,"Ã©","é")</f>
        <v>Fell Runner Cap</v>
      </c>
      <c r="H2685" s="6">
        <v>1</v>
      </c>
      <c r="I2685" s="6" t="s">
        <v>40</v>
      </c>
      <c r="J2685" s="6" t="s">
        <v>40</v>
      </c>
      <c r="K2685" s="6">
        <v>0.52</v>
      </c>
      <c r="L2685" s="6" t="s">
        <v>42</v>
      </c>
      <c r="M2685" s="6" t="s">
        <v>34</v>
      </c>
      <c r="N2685" s="6"/>
    </row>
    <row r="2686" spans="1:14">
      <c r="A2686" s="6" t="s">
        <v>4253</v>
      </c>
      <c r="B2686" s="7">
        <v>46068</v>
      </c>
      <c r="C2686" s="6" t="s">
        <v>4118</v>
      </c>
      <c r="D2686" s="6" t="str">
        <f>IF(OR(PROPER(TRIM(Raw_Data!D2686))="Uk",PROPER(TRIM(Raw_Data!D2686))="Gb",PROPER(TRIM(Raw_Data!D2686))="United kingdom"),"United Kingdom",PROPER(TRIM(Raw_Data!D2686)))</f>
        <v>Ireland</v>
      </c>
      <c r="E2686" s="6" t="s">
        <v>37</v>
      </c>
      <c r="F2686" s="6" t="s">
        <v>100</v>
      </c>
      <c r="G2686" s="6" t="str">
        <f>SUBSTITUTE(Raw_Data!G2686,"Ã©","é")</f>
        <v>Trail Softshell</v>
      </c>
      <c r="H2686" s="6">
        <v>2</v>
      </c>
      <c r="I2686" s="6" t="s">
        <v>96</v>
      </c>
      <c r="J2686" s="6" t="s">
        <v>278</v>
      </c>
      <c r="K2686" s="6">
        <v>0.64</v>
      </c>
      <c r="L2686" s="6" t="s">
        <v>42</v>
      </c>
      <c r="M2686" s="6" t="s">
        <v>34</v>
      </c>
      <c r="N2686" s="6"/>
    </row>
    <row r="2687" spans="1:14">
      <c r="A2687" s="6" t="s">
        <v>4254</v>
      </c>
      <c r="B2687" s="7">
        <v>46124</v>
      </c>
      <c r="C2687" s="6" t="s">
        <v>2185</v>
      </c>
      <c r="D2687" s="6" t="str">
        <f>IF(OR(PROPER(TRIM(Raw_Data!D2687))="Uk",PROPER(TRIM(Raw_Data!D2687))="Gb",PROPER(TRIM(Raw_Data!D2687))="United kingdom"),"United Kingdom",PROPER(TRIM(Raw_Data!D2687)))</f>
        <v>France</v>
      </c>
      <c r="E2687" s="6" t="s">
        <v>52</v>
      </c>
      <c r="F2687" s="6" t="s">
        <v>47</v>
      </c>
      <c r="G2687" s="6" t="str">
        <f>SUBSTITUTE(Raw_Data!G2687,"Ã©","é")</f>
        <v>Summit Down Gilet</v>
      </c>
      <c r="H2687" s="6">
        <v>1</v>
      </c>
      <c r="I2687" s="6" t="s">
        <v>31</v>
      </c>
      <c r="J2687" s="6" t="s">
        <v>31</v>
      </c>
      <c r="K2687" s="6">
        <v>8.5000000000000006E-2</v>
      </c>
      <c r="L2687" s="6" t="s">
        <v>42</v>
      </c>
      <c r="M2687" s="6" t="s">
        <v>34</v>
      </c>
      <c r="N2687" s="6"/>
    </row>
    <row r="2688" spans="1:14">
      <c r="A2688" s="6" t="s">
        <v>4255</v>
      </c>
      <c r="B2688" s="7">
        <v>46107</v>
      </c>
      <c r="C2688" s="6" t="s">
        <v>914</v>
      </c>
      <c r="D2688" s="6" t="str">
        <f>IF(OR(PROPER(TRIM(Raw_Data!D2688))="Uk",PROPER(TRIM(Raw_Data!D2688))="Gb",PROPER(TRIM(Raw_Data!D2688))="United kingdom"),"United Kingdom",PROPER(TRIM(Raw_Data!D2688)))</f>
        <v>United Kingdom</v>
      </c>
      <c r="E2688" s="6" t="s">
        <v>52</v>
      </c>
      <c r="F2688" s="6" t="s">
        <v>38</v>
      </c>
      <c r="G2688" s="6" t="str">
        <f>SUBSTITUTE(Raw_Data!G2688,"Ã©","é")</f>
        <v>Trekking Poles</v>
      </c>
      <c r="H2688" s="6">
        <v>3</v>
      </c>
      <c r="I2688" s="6" t="s">
        <v>143</v>
      </c>
      <c r="J2688" s="6" t="s">
        <v>243</v>
      </c>
      <c r="K2688" s="6">
        <v>0.52</v>
      </c>
      <c r="L2688" s="6" t="s">
        <v>42</v>
      </c>
      <c r="M2688" s="6" t="s">
        <v>69</v>
      </c>
      <c r="N2688" s="6"/>
    </row>
    <row r="2689" spans="1:14">
      <c r="A2689" s="6" t="s">
        <v>4256</v>
      </c>
      <c r="B2689" s="7">
        <v>46167</v>
      </c>
      <c r="C2689" s="6" t="s">
        <v>1075</v>
      </c>
      <c r="D2689" s="6" t="str">
        <f>IF(OR(PROPER(TRIM(Raw_Data!D2689))="Uk",PROPER(TRIM(Raw_Data!D2689))="Gb",PROPER(TRIM(Raw_Data!D2689))="United kingdom"),"United Kingdom",PROPER(TRIM(Raw_Data!D2689)))</f>
        <v>United Kingdom</v>
      </c>
      <c r="E2689" s="6" t="s">
        <v>52</v>
      </c>
      <c r="F2689" s="6" t="s">
        <v>85</v>
      </c>
      <c r="G2689" s="6" t="str">
        <f>SUBSTITUTE(Raw_Data!G2689,"Ã©","é")</f>
        <v>Fell Runner Cap</v>
      </c>
      <c r="H2689" s="6">
        <v>2</v>
      </c>
      <c r="I2689" s="6" t="s">
        <v>31</v>
      </c>
      <c r="J2689" s="6" t="s">
        <v>249</v>
      </c>
      <c r="K2689" s="6">
        <v>0.41</v>
      </c>
      <c r="L2689" s="6" t="s">
        <v>33</v>
      </c>
      <c r="M2689" s="6" t="s">
        <v>34</v>
      </c>
      <c r="N2689" s="6"/>
    </row>
    <row r="2690" spans="1:14">
      <c r="A2690" s="6" t="s">
        <v>4257</v>
      </c>
      <c r="B2690" s="7">
        <v>46029</v>
      </c>
      <c r="C2690" s="6" t="s">
        <v>4258</v>
      </c>
      <c r="D2690" s="6" t="str">
        <f>IF(OR(PROPER(TRIM(Raw_Data!D2690))="Uk",PROPER(TRIM(Raw_Data!D2690))="Gb",PROPER(TRIM(Raw_Data!D2690))="United kingdom"),"United Kingdom",PROPER(TRIM(Raw_Data!D2690)))</f>
        <v>United Kingdom</v>
      </c>
      <c r="E2690" s="6" t="s">
        <v>28</v>
      </c>
      <c r="F2690" s="6" t="s">
        <v>94</v>
      </c>
      <c r="G2690" s="6" t="str">
        <f>SUBSTITUTE(Raw_Data!G2690,"Ã©","é")</f>
        <v>Fell Runner Cap</v>
      </c>
      <c r="H2690" s="6">
        <v>1</v>
      </c>
      <c r="I2690" s="6" t="s">
        <v>79</v>
      </c>
      <c r="J2690" s="6" t="s">
        <v>79</v>
      </c>
      <c r="K2690" s="6">
        <v>0.34</v>
      </c>
      <c r="L2690" s="6" t="s">
        <v>42</v>
      </c>
      <c r="M2690" s="6" t="s">
        <v>34</v>
      </c>
      <c r="N2690" s="6"/>
    </row>
    <row r="2691" spans="1:14">
      <c r="A2691" s="6" t="s">
        <v>4259</v>
      </c>
      <c r="B2691" s="7">
        <v>46207</v>
      </c>
      <c r="C2691" s="6" t="s">
        <v>1218</v>
      </c>
      <c r="D2691" s="6" t="str">
        <f>IF(OR(PROPER(TRIM(Raw_Data!D2691))="Uk",PROPER(TRIM(Raw_Data!D2691))="Gb",PROPER(TRIM(Raw_Data!D2691))="United kingdom"),"United Kingdom",PROPER(TRIM(Raw_Data!D2691)))</f>
        <v>United Kingdom</v>
      </c>
      <c r="E2691" s="6" t="s">
        <v>52</v>
      </c>
      <c r="F2691" s="6" t="s">
        <v>29</v>
      </c>
      <c r="G2691" s="6" t="str">
        <f>SUBSTITUTE(Raw_Data!G2691,"Ã©","é")</f>
        <v>Summit Down Gilet</v>
      </c>
      <c r="H2691" s="6">
        <v>2</v>
      </c>
      <c r="I2691" s="6" t="s">
        <v>117</v>
      </c>
      <c r="J2691" s="6" t="s">
        <v>118</v>
      </c>
      <c r="K2691" s="6">
        <v>0.52</v>
      </c>
      <c r="L2691" s="6" t="s">
        <v>42</v>
      </c>
      <c r="M2691" s="6" t="s">
        <v>34</v>
      </c>
      <c r="N2691" s="6"/>
    </row>
    <row r="2692" spans="1:14">
      <c r="A2692" s="6" t="s">
        <v>4260</v>
      </c>
      <c r="B2692" s="7">
        <v>46081</v>
      </c>
      <c r="C2692" s="6" t="s">
        <v>1157</v>
      </c>
      <c r="D2692" s="6" t="str">
        <f>IF(OR(PROPER(TRIM(Raw_Data!D2692))="Uk",PROPER(TRIM(Raw_Data!D2692))="Gb",PROPER(TRIM(Raw_Data!D2692))="United kingdom"),"United Kingdom",PROPER(TRIM(Raw_Data!D2692)))</f>
        <v>United Kingdom</v>
      </c>
      <c r="E2692" s="6" t="s">
        <v>37</v>
      </c>
      <c r="F2692" s="6" t="s">
        <v>47</v>
      </c>
      <c r="G2692" s="6" t="str">
        <f>SUBSTITUTE(Raw_Data!G2692,"Ã©","é")</f>
        <v>Trail Softshell</v>
      </c>
      <c r="H2692" s="6">
        <v>2</v>
      </c>
      <c r="I2692" s="6" t="s">
        <v>143</v>
      </c>
      <c r="J2692" s="6" t="s">
        <v>144</v>
      </c>
      <c r="K2692" s="6">
        <v>8.5000000000000006E-2</v>
      </c>
      <c r="L2692" s="6" t="s">
        <v>33</v>
      </c>
      <c r="M2692" s="6" t="s">
        <v>34</v>
      </c>
      <c r="N2692" s="6"/>
    </row>
    <row r="2693" spans="1:14">
      <c r="A2693" s="6" t="s">
        <v>4261</v>
      </c>
      <c r="B2693" s="7">
        <v>46362</v>
      </c>
      <c r="C2693" s="6" t="s">
        <v>1528</v>
      </c>
      <c r="D2693" s="6" t="str">
        <f>IF(OR(PROPER(TRIM(Raw_Data!D2693))="Uk",PROPER(TRIM(Raw_Data!D2693))="Gb",PROPER(TRIM(Raw_Data!D2693))="United kingdom"),"United Kingdom",PROPER(TRIM(Raw_Data!D2693)))</f>
        <v>United Kingdom</v>
      </c>
      <c r="E2693" s="6" t="s">
        <v>28</v>
      </c>
      <c r="F2693" s="6" t="s">
        <v>47</v>
      </c>
      <c r="G2693" s="6" t="str">
        <f>SUBSTITUTE(Raw_Data!G2693,"Ã©","é")</f>
        <v>Storm Overtrousers</v>
      </c>
      <c r="H2693" s="6">
        <v>1</v>
      </c>
      <c r="I2693" s="6" t="s">
        <v>181</v>
      </c>
      <c r="J2693" s="6" t="s">
        <v>181</v>
      </c>
      <c r="K2693" s="6">
        <v>8.5000000000000006E-2</v>
      </c>
      <c r="L2693" s="6" t="s">
        <v>42</v>
      </c>
      <c r="M2693" s="6" t="s">
        <v>69</v>
      </c>
      <c r="N2693" s="6"/>
    </row>
    <row r="2694" spans="1:14">
      <c r="A2694" s="6" t="s">
        <v>4262</v>
      </c>
      <c r="B2694" s="7">
        <v>46044</v>
      </c>
      <c r="C2694" s="6" t="s">
        <v>2774</v>
      </c>
      <c r="D2694" s="6" t="str">
        <f>IF(OR(PROPER(TRIM(Raw_Data!D2694))="Uk",PROPER(TRIM(Raw_Data!D2694))="Gb",PROPER(TRIM(Raw_Data!D2694))="United kingdom"),"United Kingdom",PROPER(TRIM(Raw_Data!D2694)))</f>
        <v>Ireland</v>
      </c>
      <c r="E2694" s="6" t="s">
        <v>78</v>
      </c>
      <c r="F2694" s="6" t="s">
        <v>47</v>
      </c>
      <c r="G2694" s="6" t="str">
        <f>SUBSTITUTE(Raw_Data!G2694,"Ã©","é")</f>
        <v>Trekking Poles</v>
      </c>
      <c r="H2694" s="6">
        <v>3</v>
      </c>
      <c r="I2694" s="6" t="s">
        <v>113</v>
      </c>
      <c r="J2694" s="6" t="s">
        <v>138</v>
      </c>
      <c r="K2694" s="6">
        <v>8.5000000000000006E-2</v>
      </c>
      <c r="L2694" s="6" t="s">
        <v>42</v>
      </c>
      <c r="M2694" s="6" t="s">
        <v>34</v>
      </c>
      <c r="N2694" s="6"/>
    </row>
    <row r="2695" spans="1:14">
      <c r="A2695" s="6" t="s">
        <v>4263</v>
      </c>
      <c r="B2695" s="7">
        <v>46098</v>
      </c>
      <c r="C2695" s="6" t="s">
        <v>1581</v>
      </c>
      <c r="D2695" s="6" t="str">
        <f>IF(OR(PROPER(TRIM(Raw_Data!D2695))="Uk",PROPER(TRIM(Raw_Data!D2695))="Gb",PROPER(TRIM(Raw_Data!D2695))="United kingdom"),"United Kingdom",PROPER(TRIM(Raw_Data!D2695)))</f>
        <v>France</v>
      </c>
      <c r="E2695" s="6" t="s">
        <v>46</v>
      </c>
      <c r="F2695" s="6" t="s">
        <v>47</v>
      </c>
      <c r="G2695" s="6" t="str">
        <f>SUBSTITUTE(Raw_Data!G2695,"Ã©","é")</f>
        <v>Trail Softshell</v>
      </c>
      <c r="H2695" s="6">
        <v>2</v>
      </c>
      <c r="I2695" s="6" t="s">
        <v>82</v>
      </c>
      <c r="J2695" s="6" t="s">
        <v>297</v>
      </c>
      <c r="K2695" s="6">
        <v>8.5000000000000006E-2</v>
      </c>
      <c r="L2695" s="6" t="s">
        <v>42</v>
      </c>
      <c r="M2695" s="6" t="s">
        <v>34</v>
      </c>
      <c r="N2695" s="6"/>
    </row>
    <row r="2696" spans="1:14">
      <c r="A2696" s="6" t="s">
        <v>4264</v>
      </c>
      <c r="B2696" s="7">
        <v>46118</v>
      </c>
      <c r="C2696" s="6" t="s">
        <v>4265</v>
      </c>
      <c r="D2696" s="6" t="str">
        <f>IF(OR(PROPER(TRIM(Raw_Data!D2696))="Uk",PROPER(TRIM(Raw_Data!D2696))="Gb",PROPER(TRIM(Raw_Data!D2696))="United kingdom"),"United Kingdom",PROPER(TRIM(Raw_Data!D2696)))</f>
        <v>France</v>
      </c>
      <c r="E2696" s="6" t="s">
        <v>46</v>
      </c>
      <c r="F2696" s="6" t="s">
        <v>94</v>
      </c>
      <c r="G2696" s="6" t="str">
        <f>SUBSTITUTE(Raw_Data!G2696,"Ã©","é")</f>
        <v>Trail Softshell</v>
      </c>
      <c r="H2696" s="6">
        <v>3</v>
      </c>
      <c r="I2696" s="6" t="s">
        <v>143</v>
      </c>
      <c r="J2696" s="6" t="s">
        <v>243</v>
      </c>
      <c r="K2696" s="6">
        <v>0.34</v>
      </c>
      <c r="L2696" s="6" t="s">
        <v>42</v>
      </c>
      <c r="M2696" s="6" t="s">
        <v>34</v>
      </c>
      <c r="N2696" s="6"/>
    </row>
    <row r="2697" spans="1:14">
      <c r="A2697" s="6" t="s">
        <v>4266</v>
      </c>
      <c r="B2697" s="7">
        <v>46142</v>
      </c>
      <c r="C2697" s="6" t="s">
        <v>683</v>
      </c>
      <c r="D2697" s="6" t="str">
        <f>IF(OR(PROPER(TRIM(Raw_Data!D2697))="Uk",PROPER(TRIM(Raw_Data!D2697))="Gb",PROPER(TRIM(Raw_Data!D2697))="United kingdom"),"United Kingdom",PROPER(TRIM(Raw_Data!D2697)))</f>
        <v>Ireland</v>
      </c>
      <c r="E2697" s="6" t="s">
        <v>46</v>
      </c>
      <c r="F2697" s="6" t="s">
        <v>47</v>
      </c>
      <c r="G2697" s="6" t="str">
        <f>SUBSTITUTE(Raw_Data!G2697,"Ã©","é")</f>
        <v>Café Latte Mug</v>
      </c>
      <c r="H2697" s="6">
        <v>3</v>
      </c>
      <c r="I2697" s="6" t="s">
        <v>79</v>
      </c>
      <c r="J2697" s="6" t="s">
        <v>216</v>
      </c>
      <c r="K2697" s="6">
        <v>8.5000000000000006E-2</v>
      </c>
      <c r="L2697" s="6" t="s">
        <v>42</v>
      </c>
      <c r="M2697" s="6" t="s">
        <v>34</v>
      </c>
      <c r="N2697" s="6"/>
    </row>
    <row r="2698" spans="1:14">
      <c r="A2698" s="6" t="s">
        <v>4267</v>
      </c>
      <c r="B2698" s="7">
        <v>46361</v>
      </c>
      <c r="C2698" s="6" t="s">
        <v>2331</v>
      </c>
      <c r="D2698" s="6" t="str">
        <f>IF(OR(PROPER(TRIM(Raw_Data!D2698))="Uk",PROPER(TRIM(Raw_Data!D2698))="Gb",PROPER(TRIM(Raw_Data!D2698))="United kingdom"),"United Kingdom",PROPER(TRIM(Raw_Data!D2698)))</f>
        <v>United Kingdom</v>
      </c>
      <c r="E2698" s="6" t="s">
        <v>78</v>
      </c>
      <c r="F2698" s="6" t="s">
        <v>85</v>
      </c>
      <c r="G2698" s="6" t="str">
        <f>SUBSTITUTE(Raw_Data!G2698,"Ã©","é")</f>
        <v>Summit Down Gilet</v>
      </c>
      <c r="H2698" s="6">
        <v>2</v>
      </c>
      <c r="I2698" s="6" t="s">
        <v>90</v>
      </c>
      <c r="J2698" s="6" t="s">
        <v>154</v>
      </c>
      <c r="K2698" s="6">
        <v>0.41</v>
      </c>
      <c r="L2698" s="6" t="s">
        <v>42</v>
      </c>
      <c r="M2698" s="6" t="s">
        <v>69</v>
      </c>
      <c r="N2698" s="6"/>
    </row>
    <row r="2699" spans="1:14">
      <c r="A2699" s="6" t="s">
        <v>4268</v>
      </c>
      <c r="B2699" s="7">
        <v>46103</v>
      </c>
      <c r="C2699" s="6" t="s">
        <v>1894</v>
      </c>
      <c r="D2699" s="6" t="str">
        <f>IF(OR(PROPER(TRIM(Raw_Data!D2699))="Uk",PROPER(TRIM(Raw_Data!D2699))="Gb",PROPER(TRIM(Raw_Data!D2699))="United kingdom"),"United Kingdom",PROPER(TRIM(Raw_Data!D2699)))</f>
        <v>United Kingdom</v>
      </c>
      <c r="E2699" s="6" t="s">
        <v>78</v>
      </c>
      <c r="F2699" s="6" t="s">
        <v>100</v>
      </c>
      <c r="G2699" s="6" t="str">
        <f>SUBSTITUTE(Raw_Data!G2699,"Ã©","é")</f>
        <v>Café Latte Mug</v>
      </c>
      <c r="H2699" s="6">
        <v>3</v>
      </c>
      <c r="I2699" s="6" t="s">
        <v>117</v>
      </c>
      <c r="J2699" s="6" t="s">
        <v>171</v>
      </c>
      <c r="K2699" s="6">
        <v>0.64</v>
      </c>
      <c r="L2699" s="6" t="s">
        <v>42</v>
      </c>
      <c r="M2699" s="6" t="s">
        <v>34</v>
      </c>
      <c r="N2699" s="6"/>
    </row>
    <row r="2700" spans="1:14">
      <c r="A2700" s="6" t="s">
        <v>4269</v>
      </c>
      <c r="B2700" s="7">
        <v>46115</v>
      </c>
      <c r="C2700" s="6" t="s">
        <v>2504</v>
      </c>
      <c r="D2700" s="6" t="str">
        <f>IF(OR(PROPER(TRIM(Raw_Data!D2700))="Uk",PROPER(TRIM(Raw_Data!D2700))="Gb",PROPER(TRIM(Raw_Data!D2700))="United kingdom"),"United Kingdom",PROPER(TRIM(Raw_Data!D2700)))</f>
        <v>United Kingdom</v>
      </c>
      <c r="E2700" s="6" t="s">
        <v>37</v>
      </c>
      <c r="F2700" s="6" t="s">
        <v>85</v>
      </c>
      <c r="G2700" s="6" t="str">
        <f>SUBSTITUTE(Raw_Data!G2700,"Ã©","é")</f>
        <v>Summit Down Gilet</v>
      </c>
      <c r="H2700" s="6">
        <v>3</v>
      </c>
      <c r="I2700" s="6" t="s">
        <v>90</v>
      </c>
      <c r="J2700" s="6" t="s">
        <v>102</v>
      </c>
      <c r="K2700" s="6">
        <v>0.41</v>
      </c>
      <c r="L2700" s="6" t="s">
        <v>42</v>
      </c>
      <c r="M2700" s="6" t="s">
        <v>69</v>
      </c>
      <c r="N2700" s="6"/>
    </row>
    <row r="2701" spans="1:14">
      <c r="A2701" s="6" t="s">
        <v>4270</v>
      </c>
      <c r="B2701" s="7">
        <v>46086</v>
      </c>
      <c r="C2701" s="6" t="s">
        <v>1050</v>
      </c>
      <c r="D2701" s="6" t="str">
        <f>IF(OR(PROPER(TRIM(Raw_Data!D2701))="Uk",PROPER(TRIM(Raw_Data!D2701))="Gb",PROPER(TRIM(Raw_Data!D2701))="United kingdom"),"United Kingdom",PROPER(TRIM(Raw_Data!D2701)))</f>
        <v>United Kingdom</v>
      </c>
      <c r="E2701" s="6" t="s">
        <v>46</v>
      </c>
      <c r="F2701" s="6" t="s">
        <v>38</v>
      </c>
      <c r="G2701" s="6" t="str">
        <f>SUBSTITUTE(Raw_Data!G2701,"Ã©","é")</f>
        <v>Summit Down Gilet</v>
      </c>
      <c r="H2701" s="6">
        <v>1</v>
      </c>
      <c r="I2701" s="6" t="s">
        <v>117</v>
      </c>
      <c r="J2701" s="6" t="s">
        <v>117</v>
      </c>
      <c r="K2701" s="6">
        <v>0.52</v>
      </c>
      <c r="L2701" s="6" t="s">
        <v>33</v>
      </c>
      <c r="M2701" s="6" t="s">
        <v>34</v>
      </c>
      <c r="N2701" s="6"/>
    </row>
    <row r="2702" spans="1:14">
      <c r="A2702" s="6" t="s">
        <v>4271</v>
      </c>
      <c r="B2702" s="7">
        <v>46080</v>
      </c>
      <c r="C2702" s="6" t="s">
        <v>1184</v>
      </c>
      <c r="D2702" s="6" t="str">
        <f>IF(OR(PROPER(TRIM(Raw_Data!D2702))="Uk",PROPER(TRIM(Raw_Data!D2702))="Gb",PROPER(TRIM(Raw_Data!D2702))="United kingdom"),"United Kingdom",PROPER(TRIM(Raw_Data!D2702)))</f>
        <v>United Kingdom</v>
      </c>
      <c r="E2702" s="6" t="s">
        <v>37</v>
      </c>
      <c r="F2702" s="6" t="s">
        <v>38</v>
      </c>
      <c r="G2702" s="6" t="str">
        <f>SUBSTITUTE(Raw_Data!G2702,"Ã©","é")</f>
        <v>Trekking Poles</v>
      </c>
      <c r="H2702" s="6">
        <v>2</v>
      </c>
      <c r="I2702" s="6" t="s">
        <v>82</v>
      </c>
      <c r="J2702" s="6" t="s">
        <v>297</v>
      </c>
      <c r="K2702" s="6">
        <v>0.52</v>
      </c>
      <c r="L2702" s="6" t="s">
        <v>42</v>
      </c>
      <c r="M2702" s="6" t="s">
        <v>34</v>
      </c>
      <c r="N2702" s="6"/>
    </row>
    <row r="2703" spans="1:14">
      <c r="A2703" s="6" t="s">
        <v>4272</v>
      </c>
      <c r="B2703" s="7">
        <v>46205</v>
      </c>
      <c r="C2703" s="6" t="s">
        <v>520</v>
      </c>
      <c r="D2703" s="6" t="str">
        <f>IF(OR(PROPER(TRIM(Raw_Data!D2703))="Uk",PROPER(TRIM(Raw_Data!D2703))="Gb",PROPER(TRIM(Raw_Data!D2703))="United kingdom"),"United Kingdom",PROPER(TRIM(Raw_Data!D2703)))</f>
        <v>United Kingdom</v>
      </c>
      <c r="E2703" s="6" t="s">
        <v>28</v>
      </c>
      <c r="F2703" s="6" t="s">
        <v>29</v>
      </c>
      <c r="G2703" s="6" t="str">
        <f>SUBSTITUTE(Raw_Data!G2703,"Ã©","é")</f>
        <v>Summit Down Gilet</v>
      </c>
      <c r="H2703" s="6">
        <v>2</v>
      </c>
      <c r="I2703" s="6" t="s">
        <v>143</v>
      </c>
      <c r="J2703" s="6" t="s">
        <v>144</v>
      </c>
      <c r="K2703" s="6">
        <v>0.52</v>
      </c>
      <c r="L2703" s="6" t="s">
        <v>42</v>
      </c>
      <c r="M2703" s="6" t="s">
        <v>34</v>
      </c>
      <c r="N2703" s="6"/>
    </row>
    <row r="2704" spans="1:14">
      <c r="A2704" s="6" t="s">
        <v>4273</v>
      </c>
      <c r="B2704" s="7">
        <v>46060</v>
      </c>
      <c r="C2704" s="6" t="s">
        <v>1987</v>
      </c>
      <c r="D2704" s="6" t="str">
        <f>IF(OR(PROPER(TRIM(Raw_Data!D2704))="Uk",PROPER(TRIM(Raw_Data!D2704))="Gb",PROPER(TRIM(Raw_Data!D2704))="United kingdom"),"United Kingdom",PROPER(TRIM(Raw_Data!D2704)))</f>
        <v>Germany</v>
      </c>
      <c r="E2704" s="6" t="s">
        <v>28</v>
      </c>
      <c r="F2704" s="6" t="s">
        <v>47</v>
      </c>
      <c r="G2704" s="6" t="str">
        <f>SUBSTITUTE(Raw_Data!G2704,"Ã©","é")</f>
        <v>Trail Softshell</v>
      </c>
      <c r="H2704" s="6">
        <v>1</v>
      </c>
      <c r="I2704" s="6" t="s">
        <v>265</v>
      </c>
      <c r="J2704" s="6" t="s">
        <v>265</v>
      </c>
      <c r="K2704" s="6">
        <v>8.5000000000000006E-2</v>
      </c>
      <c r="L2704" s="6" t="s">
        <v>42</v>
      </c>
      <c r="M2704" s="6" t="s">
        <v>34</v>
      </c>
      <c r="N2704" s="6"/>
    </row>
    <row r="2705" spans="1:14">
      <c r="A2705" s="6" t="s">
        <v>4274</v>
      </c>
      <c r="B2705" s="7">
        <v>46076</v>
      </c>
      <c r="C2705" s="6" t="s">
        <v>3708</v>
      </c>
      <c r="D2705" s="6" t="str">
        <f>IF(OR(PROPER(TRIM(Raw_Data!D2705))="Uk",PROPER(TRIM(Raw_Data!D2705))="Gb",PROPER(TRIM(Raw_Data!D2705))="United kingdom"),"United Kingdom",PROPER(TRIM(Raw_Data!D2705)))</f>
        <v>United Kingdom</v>
      </c>
      <c r="E2705" s="6" t="s">
        <v>78</v>
      </c>
      <c r="F2705" s="6" t="s">
        <v>47</v>
      </c>
      <c r="G2705" s="6" t="str">
        <f>SUBSTITUTE(Raw_Data!G2705,"Ã©","é")</f>
        <v>Merino Base Layer</v>
      </c>
      <c r="H2705" s="6">
        <v>3</v>
      </c>
      <c r="I2705" s="6" t="s">
        <v>73</v>
      </c>
      <c r="J2705" s="6" t="s">
        <v>499</v>
      </c>
      <c r="K2705" s="6">
        <v>8.5000000000000006E-2</v>
      </c>
      <c r="L2705" s="6" t="s">
        <v>42</v>
      </c>
      <c r="M2705" s="6" t="s">
        <v>34</v>
      </c>
      <c r="N2705" s="6"/>
    </row>
    <row r="2706" spans="1:14">
      <c r="A2706" s="6" t="s">
        <v>4275</v>
      </c>
      <c r="B2706" s="7">
        <v>46186</v>
      </c>
      <c r="C2706" s="6" t="s">
        <v>3770</v>
      </c>
      <c r="D2706" s="6" t="str">
        <f>IF(OR(PROPER(TRIM(Raw_Data!D2706))="Uk",PROPER(TRIM(Raw_Data!D2706))="Gb",PROPER(TRIM(Raw_Data!D2706))="United kingdom"),"United Kingdom",PROPER(TRIM(Raw_Data!D2706)))</f>
        <v>United Kingdom</v>
      </c>
      <c r="E2706" s="6" t="s">
        <v>46</v>
      </c>
      <c r="F2706" s="6" t="s">
        <v>29</v>
      </c>
      <c r="G2706" s="6" t="str">
        <f>SUBSTITUTE(Raw_Data!G2706,"Ã©","é")</f>
        <v>Merino Base Layer</v>
      </c>
      <c r="H2706" s="6">
        <v>1</v>
      </c>
      <c r="I2706" s="6" t="s">
        <v>113</v>
      </c>
      <c r="J2706" s="6" t="s">
        <v>113</v>
      </c>
      <c r="K2706" s="6">
        <v>0.52</v>
      </c>
      <c r="L2706" s="6" t="s">
        <v>42</v>
      </c>
      <c r="M2706" s="6" t="s">
        <v>34</v>
      </c>
      <c r="N2706" s="6"/>
    </row>
    <row r="2707" spans="1:14">
      <c r="A2707" s="6" t="s">
        <v>4276</v>
      </c>
      <c r="B2707" s="7">
        <v>46332</v>
      </c>
      <c r="C2707" s="6" t="s">
        <v>3169</v>
      </c>
      <c r="D2707" s="6" t="str">
        <f>IF(OR(PROPER(TRIM(Raw_Data!D2707))="Uk",PROPER(TRIM(Raw_Data!D2707))="Gb",PROPER(TRIM(Raw_Data!D2707))="United kingdom"),"United Kingdom",PROPER(TRIM(Raw_Data!D2707)))</f>
        <v>France</v>
      </c>
      <c r="E2707" s="6" t="s">
        <v>46</v>
      </c>
      <c r="F2707" s="6" t="s">
        <v>94</v>
      </c>
      <c r="G2707" s="6" t="str">
        <f>SUBSTITUTE(Raw_Data!G2707,"Ã©","é")</f>
        <v>Trekking Poles</v>
      </c>
      <c r="H2707" s="6">
        <v>1</v>
      </c>
      <c r="I2707" s="6" t="s">
        <v>60</v>
      </c>
      <c r="J2707" s="6" t="s">
        <v>60</v>
      </c>
      <c r="K2707" s="6">
        <v>0.34</v>
      </c>
      <c r="L2707" s="6" t="s">
        <v>42</v>
      </c>
      <c r="M2707" s="6" t="s">
        <v>34</v>
      </c>
      <c r="N2707" s="6"/>
    </row>
    <row r="2708" spans="1:14">
      <c r="A2708" s="6" t="s">
        <v>4277</v>
      </c>
      <c r="B2708" s="7">
        <v>46198</v>
      </c>
      <c r="C2708" s="6" t="s">
        <v>884</v>
      </c>
      <c r="D2708" s="6" t="str">
        <f>IF(OR(PROPER(TRIM(Raw_Data!D2708))="Uk",PROPER(TRIM(Raw_Data!D2708))="Gb",PROPER(TRIM(Raw_Data!D2708))="United kingdom"),"United Kingdom",PROPER(TRIM(Raw_Data!D2708)))</f>
        <v>Germany</v>
      </c>
      <c r="E2708" s="6" t="s">
        <v>28</v>
      </c>
      <c r="F2708" s="6" t="s">
        <v>47</v>
      </c>
      <c r="G2708" s="6" t="str">
        <f>SUBSTITUTE(Raw_Data!G2708,"Ã©","é")</f>
        <v>Storm Overtrousers</v>
      </c>
      <c r="H2708" s="6">
        <v>1</v>
      </c>
      <c r="I2708" s="6" t="s">
        <v>181</v>
      </c>
      <c r="J2708" s="6" t="s">
        <v>181</v>
      </c>
      <c r="K2708" s="6">
        <v>8.5000000000000006E-2</v>
      </c>
      <c r="L2708" s="6" t="s">
        <v>42</v>
      </c>
      <c r="M2708" s="6" t="s">
        <v>34</v>
      </c>
      <c r="N2708" s="6"/>
    </row>
    <row r="2709" spans="1:14">
      <c r="A2709" s="6" t="s">
        <v>4278</v>
      </c>
      <c r="B2709" s="7">
        <v>46332</v>
      </c>
      <c r="C2709" s="6" t="s">
        <v>4279</v>
      </c>
      <c r="D2709" s="6" t="str">
        <f>IF(OR(PROPER(TRIM(Raw_Data!D2709))="Uk",PROPER(TRIM(Raw_Data!D2709))="Gb",PROPER(TRIM(Raw_Data!D2709))="United kingdom"),"United Kingdom",PROPER(TRIM(Raw_Data!D2709)))</f>
        <v>United Kingdom</v>
      </c>
      <c r="E2709" s="6" t="s">
        <v>78</v>
      </c>
      <c r="F2709" s="6" t="s">
        <v>85</v>
      </c>
      <c r="G2709" s="6" t="str">
        <f>SUBSTITUTE(Raw_Data!G2709,"Ã©","é")</f>
        <v>Café Latte Mug</v>
      </c>
      <c r="H2709" s="6">
        <v>1</v>
      </c>
      <c r="I2709" s="6" t="s">
        <v>90</v>
      </c>
      <c r="J2709" s="6" t="s">
        <v>90</v>
      </c>
      <c r="K2709" s="6">
        <v>0.41</v>
      </c>
      <c r="L2709" s="6" t="s">
        <v>42</v>
      </c>
      <c r="M2709" s="6" t="s">
        <v>34</v>
      </c>
      <c r="N2709" s="6"/>
    </row>
    <row r="2710" spans="1:14">
      <c r="A2710" s="6" t="s">
        <v>4280</v>
      </c>
      <c r="B2710" s="7">
        <v>46187</v>
      </c>
      <c r="C2710" s="6" t="s">
        <v>1899</v>
      </c>
      <c r="D2710" s="6" t="str">
        <f>IF(OR(PROPER(TRIM(Raw_Data!D2710))="Uk",PROPER(TRIM(Raw_Data!D2710))="Gb",PROPER(TRIM(Raw_Data!D2710))="United kingdom"),"United Kingdom",PROPER(TRIM(Raw_Data!D2710)))</f>
        <v>Germany</v>
      </c>
      <c r="E2710" s="6" t="s">
        <v>78</v>
      </c>
      <c r="F2710" s="6" t="s">
        <v>53</v>
      </c>
      <c r="G2710" s="6" t="str">
        <f>SUBSTITUTE(Raw_Data!G2710,"Ã©","é")</f>
        <v>Fell Runner Cap</v>
      </c>
      <c r="H2710" s="6">
        <v>1</v>
      </c>
      <c r="I2710" s="6" t="s">
        <v>90</v>
      </c>
      <c r="J2710" s="6" t="s">
        <v>90</v>
      </c>
      <c r="K2710" s="6">
        <v>0.19</v>
      </c>
      <c r="L2710" s="6" t="s">
        <v>33</v>
      </c>
      <c r="M2710" s="6" t="s">
        <v>34</v>
      </c>
      <c r="N2710" s="6"/>
    </row>
    <row r="2711" spans="1:14">
      <c r="A2711" s="6" t="s">
        <v>4281</v>
      </c>
      <c r="B2711" s="7">
        <v>46115</v>
      </c>
      <c r="C2711" s="6" t="s">
        <v>4282</v>
      </c>
      <c r="D2711" s="6" t="str">
        <f>IF(OR(PROPER(TRIM(Raw_Data!D2711))="Uk",PROPER(TRIM(Raw_Data!D2711))="Gb",PROPER(TRIM(Raw_Data!D2711))="United kingdom"),"United Kingdom",PROPER(TRIM(Raw_Data!D2711)))</f>
        <v>France</v>
      </c>
      <c r="E2711" s="6" t="s">
        <v>37</v>
      </c>
      <c r="F2711" s="6" t="s">
        <v>58</v>
      </c>
      <c r="G2711" s="6" t="str">
        <f>SUBSTITUTE(Raw_Data!G2711,"Ã©","é")</f>
        <v>Alpine Jacket</v>
      </c>
      <c r="H2711" s="6">
        <v>1</v>
      </c>
      <c r="I2711" s="6" t="s">
        <v>113</v>
      </c>
      <c r="J2711" s="6" t="s">
        <v>113</v>
      </c>
      <c r="K2711" s="6">
        <v>0.38</v>
      </c>
      <c r="L2711" s="6" t="s">
        <v>42</v>
      </c>
      <c r="M2711" s="6" t="s">
        <v>69</v>
      </c>
      <c r="N2711" s="6"/>
    </row>
    <row r="2712" spans="1:14">
      <c r="A2712" s="6" t="s">
        <v>4283</v>
      </c>
      <c r="B2712" s="7">
        <v>46085</v>
      </c>
      <c r="C2712" s="6" t="s">
        <v>1077</v>
      </c>
      <c r="D2712" s="6" t="str">
        <f>IF(OR(PROPER(TRIM(Raw_Data!D2712))="Uk",PROPER(TRIM(Raw_Data!D2712))="Gb",PROPER(TRIM(Raw_Data!D2712))="United kingdom"),"United Kingdom",PROPER(TRIM(Raw_Data!D2712)))</f>
        <v>United Kingdom</v>
      </c>
      <c r="E2712" s="6" t="s">
        <v>52</v>
      </c>
      <c r="F2712" s="6" t="s">
        <v>53</v>
      </c>
      <c r="G2712" s="6" t="str">
        <f>SUBSTITUTE(Raw_Data!G2712,"Ã©","é")</f>
        <v>Merino Base Layer</v>
      </c>
      <c r="H2712" s="6">
        <v>1</v>
      </c>
      <c r="I2712" s="6" t="s">
        <v>113</v>
      </c>
      <c r="J2712" s="6" t="s">
        <v>113</v>
      </c>
      <c r="K2712" s="6">
        <v>0.19</v>
      </c>
      <c r="L2712" s="6" t="s">
        <v>42</v>
      </c>
      <c r="M2712" s="6" t="s">
        <v>34</v>
      </c>
      <c r="N2712" s="6"/>
    </row>
    <row r="2713" spans="1:14">
      <c r="A2713" s="6" t="s">
        <v>4284</v>
      </c>
      <c r="B2713" s="7">
        <v>46141</v>
      </c>
      <c r="C2713" s="6" t="s">
        <v>2185</v>
      </c>
      <c r="D2713" s="6" t="str">
        <f>IF(OR(PROPER(TRIM(Raw_Data!D2713))="Uk",PROPER(TRIM(Raw_Data!D2713))="Gb",PROPER(TRIM(Raw_Data!D2713))="United kingdom"),"United Kingdom",PROPER(TRIM(Raw_Data!D2713)))</f>
        <v>United Kingdom</v>
      </c>
      <c r="E2713" s="6" t="s">
        <v>28</v>
      </c>
      <c r="F2713" s="6" t="s">
        <v>100</v>
      </c>
      <c r="G2713" s="6" t="str">
        <f>SUBSTITUTE(Raw_Data!G2713,"Ã©","é")</f>
        <v>Trail Softshell</v>
      </c>
      <c r="H2713" s="6">
        <v>-1</v>
      </c>
      <c r="I2713" s="6" t="s">
        <v>31</v>
      </c>
      <c r="J2713" s="8" t="s">
        <v>404</v>
      </c>
      <c r="K2713" s="6">
        <v>0.64</v>
      </c>
      <c r="L2713" s="6" t="s">
        <v>33</v>
      </c>
      <c r="M2713" s="6" t="s">
        <v>34</v>
      </c>
      <c r="N2713" s="6"/>
    </row>
    <row r="2714" spans="1:14">
      <c r="A2714" s="6" t="s">
        <v>4285</v>
      </c>
      <c r="B2714" s="7">
        <v>46149</v>
      </c>
      <c r="C2714" s="6" t="s">
        <v>4286</v>
      </c>
      <c r="D2714" s="6" t="str">
        <f>IF(OR(PROPER(TRIM(Raw_Data!D2714))="Uk",PROPER(TRIM(Raw_Data!D2714))="Gb",PROPER(TRIM(Raw_Data!D2714))="United kingdom"),"United Kingdom",PROPER(TRIM(Raw_Data!D2714)))</f>
        <v>United Kingdom</v>
      </c>
      <c r="E2714" s="6" t="s">
        <v>78</v>
      </c>
      <c r="F2714" s="6" t="s">
        <v>29</v>
      </c>
      <c r="G2714" s="6" t="str">
        <f>SUBSTITUTE(Raw_Data!G2714,"Ã©","é")</f>
        <v>Merino Base Layer</v>
      </c>
      <c r="H2714" s="6">
        <v>2</v>
      </c>
      <c r="I2714" s="6" t="s">
        <v>143</v>
      </c>
      <c r="J2714" s="6" t="s">
        <v>144</v>
      </c>
      <c r="K2714" s="6">
        <v>0.52</v>
      </c>
      <c r="L2714" s="6" t="s">
        <v>42</v>
      </c>
      <c r="M2714" s="6" t="s">
        <v>34</v>
      </c>
      <c r="N2714" s="6"/>
    </row>
    <row r="2715" spans="1:14">
      <c r="A2715" s="6" t="s">
        <v>4287</v>
      </c>
      <c r="B2715" s="7">
        <v>46167</v>
      </c>
      <c r="C2715" s="6" t="s">
        <v>912</v>
      </c>
      <c r="D2715" s="6" t="str">
        <f>IF(OR(PROPER(TRIM(Raw_Data!D2715))="Uk",PROPER(TRIM(Raw_Data!D2715))="Gb",PROPER(TRIM(Raw_Data!D2715))="United kingdom"),"United Kingdom",PROPER(TRIM(Raw_Data!D2715)))</f>
        <v>Ireland</v>
      </c>
      <c r="E2715" s="6" t="s">
        <v>52</v>
      </c>
      <c r="F2715" s="6" t="s">
        <v>58</v>
      </c>
      <c r="G2715" s="6" t="str">
        <f>SUBSTITUTE(Raw_Data!G2715,"Ã©","é")</f>
        <v>Merino Base Layer</v>
      </c>
      <c r="H2715" s="6">
        <v>1</v>
      </c>
      <c r="I2715" s="6" t="s">
        <v>151</v>
      </c>
      <c r="J2715" s="6" t="s">
        <v>31</v>
      </c>
      <c r="K2715" s="6">
        <v>0.38</v>
      </c>
      <c r="L2715" s="6" t="s">
        <v>42</v>
      </c>
      <c r="M2715" s="6" t="s">
        <v>34</v>
      </c>
      <c r="N2715" s="6"/>
    </row>
    <row r="2716" spans="1:14">
      <c r="A2716" s="6" t="s">
        <v>4288</v>
      </c>
      <c r="B2716" s="7">
        <v>46052</v>
      </c>
      <c r="C2716" s="6" t="s">
        <v>4289</v>
      </c>
      <c r="D2716" s="6" t="str">
        <f>IF(OR(PROPER(TRIM(Raw_Data!D2716))="Uk",PROPER(TRIM(Raw_Data!D2716))="Gb",PROPER(TRIM(Raw_Data!D2716))="United kingdom"),"United Kingdom",PROPER(TRIM(Raw_Data!D2716)))</f>
        <v>United Kingdom</v>
      </c>
      <c r="E2716" s="6" t="s">
        <v>78</v>
      </c>
      <c r="F2716" s="6" t="s">
        <v>47</v>
      </c>
      <c r="G2716" s="6" t="str">
        <f>SUBSTITUTE(Raw_Data!G2716,"Ã©","é")</f>
        <v>Summit Down Gilet</v>
      </c>
      <c r="H2716" s="6">
        <v>1</v>
      </c>
      <c r="I2716" s="6" t="s">
        <v>73</v>
      </c>
      <c r="J2716" s="6" t="s">
        <v>73</v>
      </c>
      <c r="K2716" s="6">
        <v>8.5000000000000006E-2</v>
      </c>
      <c r="L2716" s="6" t="s">
        <v>42</v>
      </c>
      <c r="M2716" s="6" t="s">
        <v>34</v>
      </c>
      <c r="N2716" s="6"/>
    </row>
    <row r="2717" spans="1:14">
      <c r="A2717" s="6" t="s">
        <v>4290</v>
      </c>
      <c r="B2717" s="7">
        <v>46155</v>
      </c>
      <c r="C2717" s="6" t="s">
        <v>3792</v>
      </c>
      <c r="D2717" s="6" t="str">
        <f>IF(OR(PROPER(TRIM(Raw_Data!D2717))="Uk",PROPER(TRIM(Raw_Data!D2717))="Gb",PROPER(TRIM(Raw_Data!D2717))="United kingdom"),"United Kingdom",PROPER(TRIM(Raw_Data!D2717)))</f>
        <v>United Kingdom</v>
      </c>
      <c r="E2717" s="6" t="s">
        <v>78</v>
      </c>
      <c r="F2717" s="6" t="s">
        <v>100</v>
      </c>
      <c r="G2717" s="6" t="str">
        <f>SUBSTITUTE(Raw_Data!G2717,"Ã©","é")</f>
        <v>Trail Softshell</v>
      </c>
      <c r="H2717" s="6">
        <v>1</v>
      </c>
      <c r="I2717" s="6" t="s">
        <v>181</v>
      </c>
      <c r="J2717" s="6" t="s">
        <v>181</v>
      </c>
      <c r="K2717" s="6">
        <v>0.64</v>
      </c>
      <c r="L2717" s="6" t="s">
        <v>42</v>
      </c>
      <c r="M2717" s="6" t="s">
        <v>69</v>
      </c>
      <c r="N2717" s="6"/>
    </row>
    <row r="2718" spans="1:14">
      <c r="A2718" s="6" t="s">
        <v>4291</v>
      </c>
      <c r="B2718" s="7">
        <v>46040</v>
      </c>
      <c r="C2718" s="6" t="s">
        <v>4168</v>
      </c>
      <c r="D2718" s="6" t="str">
        <f>IF(OR(PROPER(TRIM(Raw_Data!D2718))="Uk",PROPER(TRIM(Raw_Data!D2718))="Gb",PROPER(TRIM(Raw_Data!D2718))="United kingdom"),"United Kingdom",PROPER(TRIM(Raw_Data!D2718)))</f>
        <v>France</v>
      </c>
      <c r="E2718" s="6" t="s">
        <v>37</v>
      </c>
      <c r="F2718" s="6" t="s">
        <v>85</v>
      </c>
      <c r="G2718" s="6" t="str">
        <f>SUBSTITUTE(Raw_Data!G2718,"Ã©","é")</f>
        <v>Merino Base Layer</v>
      </c>
      <c r="H2718" s="6">
        <v>2</v>
      </c>
      <c r="I2718" s="6" t="s">
        <v>113</v>
      </c>
      <c r="J2718" s="6" t="s">
        <v>192</v>
      </c>
      <c r="K2718" s="6">
        <v>0.41</v>
      </c>
      <c r="L2718" s="6" t="s">
        <v>42</v>
      </c>
      <c r="M2718" s="6" t="s">
        <v>69</v>
      </c>
      <c r="N2718" s="6"/>
    </row>
    <row r="2719" spans="1:14">
      <c r="A2719" s="6" t="s">
        <v>4292</v>
      </c>
      <c r="B2719" s="7">
        <v>46162</v>
      </c>
      <c r="C2719" s="6" t="s">
        <v>1059</v>
      </c>
      <c r="D2719" s="6" t="str">
        <f>IF(OR(PROPER(TRIM(Raw_Data!D2719))="Uk",PROPER(TRIM(Raw_Data!D2719))="Gb",PROPER(TRIM(Raw_Data!D2719))="United kingdom"),"United Kingdom",PROPER(TRIM(Raw_Data!D2719)))</f>
        <v>United Kingdom</v>
      </c>
      <c r="E2719" s="6" t="s">
        <v>28</v>
      </c>
      <c r="F2719" s="6" t="s">
        <v>38</v>
      </c>
      <c r="G2719" s="6" t="str">
        <f>SUBSTITUTE(Raw_Data!G2719,"Ã©","é")</f>
        <v>Café Latte Mug</v>
      </c>
      <c r="H2719" s="6">
        <v>-1</v>
      </c>
      <c r="I2719" s="6" t="s">
        <v>113</v>
      </c>
      <c r="J2719" s="8" t="s">
        <v>1147</v>
      </c>
      <c r="K2719" s="6">
        <v>0.52</v>
      </c>
      <c r="L2719" s="6" t="s">
        <v>42</v>
      </c>
      <c r="M2719" s="6" t="s">
        <v>34</v>
      </c>
      <c r="N2719" s="6"/>
    </row>
    <row r="2720" spans="1:14">
      <c r="A2720" s="6" t="s">
        <v>4293</v>
      </c>
      <c r="B2720" s="7">
        <v>46044</v>
      </c>
      <c r="C2720" s="6" t="s">
        <v>4294</v>
      </c>
      <c r="D2720" s="6" t="str">
        <f>IF(OR(PROPER(TRIM(Raw_Data!D2720))="Uk",PROPER(TRIM(Raw_Data!D2720))="Gb",PROPER(TRIM(Raw_Data!D2720))="United kingdom"),"United Kingdom",PROPER(TRIM(Raw_Data!D2720)))</f>
        <v>United Kingdom</v>
      </c>
      <c r="E2720" s="6" t="s">
        <v>46</v>
      </c>
      <c r="F2720" s="6" t="s">
        <v>58</v>
      </c>
      <c r="G2720" s="6" t="str">
        <f>SUBSTITUTE(Raw_Data!G2720,"Ã©","é")</f>
        <v>Café Latte Mug</v>
      </c>
      <c r="H2720" s="6">
        <v>2</v>
      </c>
      <c r="I2720" s="6" t="s">
        <v>90</v>
      </c>
      <c r="J2720" s="6" t="s">
        <v>154</v>
      </c>
      <c r="K2720" s="6">
        <v>0.38</v>
      </c>
      <c r="L2720" s="6" t="s">
        <v>42</v>
      </c>
      <c r="M2720" s="6" t="s">
        <v>69</v>
      </c>
      <c r="N2720" s="6"/>
    </row>
    <row r="2721" spans="1:14">
      <c r="A2721" s="6" t="s">
        <v>4295</v>
      </c>
      <c r="B2721" s="7">
        <v>46108</v>
      </c>
      <c r="C2721" s="6" t="s">
        <v>4297</v>
      </c>
      <c r="D2721" s="6" t="str">
        <f>IF(OR(PROPER(TRIM(Raw_Data!D2721))="Uk",PROPER(TRIM(Raw_Data!D2721))="Gb",PROPER(TRIM(Raw_Data!D2721))="United kingdom"),"United Kingdom",PROPER(TRIM(Raw_Data!D2721)))</f>
        <v>Ireland</v>
      </c>
      <c r="E2721" s="6" t="s">
        <v>78</v>
      </c>
      <c r="F2721" s="6" t="s">
        <v>38</v>
      </c>
      <c r="G2721" s="6" t="str">
        <f>SUBSTITUTE(Raw_Data!G2721,"Ã©","é")</f>
        <v>Café Latte Mug</v>
      </c>
      <c r="H2721" s="6">
        <v>1</v>
      </c>
      <c r="I2721" s="6" t="s">
        <v>31</v>
      </c>
      <c r="J2721" s="6" t="s">
        <v>31</v>
      </c>
      <c r="K2721" s="6">
        <v>0.52</v>
      </c>
      <c r="L2721" s="6" t="s">
        <v>42</v>
      </c>
      <c r="M2721" s="6" t="s">
        <v>69</v>
      </c>
      <c r="N2721" s="6"/>
    </row>
    <row r="2722" spans="1:14">
      <c r="A2722" s="6" t="s">
        <v>4298</v>
      </c>
      <c r="B2722" s="7">
        <v>46129</v>
      </c>
      <c r="C2722" s="6" t="s">
        <v>1896</v>
      </c>
      <c r="D2722" s="6" t="str">
        <f>IF(OR(PROPER(TRIM(Raw_Data!D2722))="Uk",PROPER(TRIM(Raw_Data!D2722))="Gb",PROPER(TRIM(Raw_Data!D2722))="United kingdom"),"United Kingdom",PROPER(TRIM(Raw_Data!D2722)))</f>
        <v>France</v>
      </c>
      <c r="E2722" s="6" t="s">
        <v>52</v>
      </c>
      <c r="F2722" s="6" t="s">
        <v>85</v>
      </c>
      <c r="G2722" s="6" t="str">
        <f>SUBSTITUTE(Raw_Data!G2722,"Ã©","é")</f>
        <v>Trekking Poles</v>
      </c>
      <c r="H2722" s="6">
        <v>1</v>
      </c>
      <c r="I2722" s="6" t="s">
        <v>79</v>
      </c>
      <c r="J2722" s="6" t="s">
        <v>79</v>
      </c>
      <c r="K2722" s="6">
        <v>0.41</v>
      </c>
      <c r="L2722" s="6" t="s">
        <v>33</v>
      </c>
      <c r="M2722" s="6" t="s">
        <v>34</v>
      </c>
      <c r="N2722" s="6"/>
    </row>
    <row r="2723" spans="1:14">
      <c r="A2723" s="6" t="s">
        <v>4299</v>
      </c>
      <c r="B2723" s="7">
        <v>46024</v>
      </c>
      <c r="C2723" s="6" t="s">
        <v>2425</v>
      </c>
      <c r="D2723" s="6" t="str">
        <f>IF(OR(PROPER(TRIM(Raw_Data!D2723))="Uk",PROPER(TRIM(Raw_Data!D2723))="Gb",PROPER(TRIM(Raw_Data!D2723))="United kingdom"),"United Kingdom",PROPER(TRIM(Raw_Data!D2723)))</f>
        <v>United Kingdom</v>
      </c>
      <c r="E2723" s="6" t="s">
        <v>46</v>
      </c>
      <c r="F2723" s="6" t="s">
        <v>53</v>
      </c>
      <c r="G2723" s="6" t="str">
        <f>SUBSTITUTE(Raw_Data!G2723,"Ã©","é")</f>
        <v>Alpine Jacket</v>
      </c>
      <c r="H2723" s="6">
        <v>2</v>
      </c>
      <c r="I2723" s="6" t="s">
        <v>40</v>
      </c>
      <c r="J2723" s="6" t="s">
        <v>327</v>
      </c>
      <c r="K2723" s="6">
        <v>0.19</v>
      </c>
      <c r="L2723" s="6" t="s">
        <v>42</v>
      </c>
      <c r="M2723" s="6" t="s">
        <v>34</v>
      </c>
      <c r="N2723" s="6"/>
    </row>
    <row r="2724" spans="1:14">
      <c r="A2724" s="6" t="s">
        <v>4300</v>
      </c>
      <c r="B2724" s="7">
        <v>46146</v>
      </c>
      <c r="C2724" s="6" t="s">
        <v>4042</v>
      </c>
      <c r="D2724" s="6" t="str">
        <f>IF(OR(PROPER(TRIM(Raw_Data!D2724))="Uk",PROPER(TRIM(Raw_Data!D2724))="Gb",PROPER(TRIM(Raw_Data!D2724))="United kingdom"),"United Kingdom",PROPER(TRIM(Raw_Data!D2724)))</f>
        <v>United Kingdom</v>
      </c>
      <c r="E2724" s="6" t="s">
        <v>52</v>
      </c>
      <c r="F2724" s="6" t="s">
        <v>85</v>
      </c>
      <c r="G2724" s="6" t="str">
        <f>SUBSTITUTE(Raw_Data!G2724,"Ã©","é")</f>
        <v>Fell Runner Cap</v>
      </c>
      <c r="H2724" s="6">
        <v>1</v>
      </c>
      <c r="I2724" s="6" t="s">
        <v>40</v>
      </c>
      <c r="J2724" s="6" t="s">
        <v>40</v>
      </c>
      <c r="K2724" s="6">
        <v>0.41</v>
      </c>
      <c r="L2724" s="6" t="s">
        <v>42</v>
      </c>
      <c r="M2724" s="6" t="s">
        <v>34</v>
      </c>
      <c r="N2724" s="6"/>
    </row>
    <row r="2725" spans="1:14">
      <c r="A2725" s="6" t="s">
        <v>4301</v>
      </c>
      <c r="B2725" s="7">
        <v>46237</v>
      </c>
      <c r="C2725" s="6" t="s">
        <v>200</v>
      </c>
      <c r="D2725" s="6" t="str">
        <f>IF(OR(PROPER(TRIM(Raw_Data!D2725))="Uk",PROPER(TRIM(Raw_Data!D2725))="Gb",PROPER(TRIM(Raw_Data!D2725))="United kingdom"),"United Kingdom",PROPER(TRIM(Raw_Data!D2725)))</f>
        <v>Germany</v>
      </c>
      <c r="E2725" s="6" t="s">
        <v>78</v>
      </c>
      <c r="F2725" s="6" t="s">
        <v>38</v>
      </c>
      <c r="G2725" s="6" t="str">
        <f>SUBSTITUTE(Raw_Data!G2725,"Ã©","é")</f>
        <v>Trail Softshell</v>
      </c>
      <c r="H2725" s="6">
        <v>3</v>
      </c>
      <c r="I2725" s="6" t="s">
        <v>96</v>
      </c>
      <c r="J2725" s="6" t="s">
        <v>97</v>
      </c>
      <c r="K2725" s="6">
        <v>0.52</v>
      </c>
      <c r="L2725" s="6" t="s">
        <v>33</v>
      </c>
      <c r="M2725" s="6" t="s">
        <v>69</v>
      </c>
      <c r="N2725" s="6"/>
    </row>
    <row r="2726" spans="1:14">
      <c r="A2726" s="6" t="s">
        <v>4302</v>
      </c>
      <c r="B2726" s="7">
        <v>46027</v>
      </c>
      <c r="C2726" s="6" t="s">
        <v>4303</v>
      </c>
      <c r="D2726" s="6" t="str">
        <f>IF(OR(PROPER(TRIM(Raw_Data!D2726))="Uk",PROPER(TRIM(Raw_Data!D2726))="Gb",PROPER(TRIM(Raw_Data!D2726))="United kingdom"),"United Kingdom",PROPER(TRIM(Raw_Data!D2726)))</f>
        <v>United Kingdom</v>
      </c>
      <c r="E2726" s="6" t="s">
        <v>52</v>
      </c>
      <c r="F2726" s="6" t="s">
        <v>38</v>
      </c>
      <c r="G2726" s="6" t="str">
        <f>SUBSTITUTE(Raw_Data!G2726,"Ã©","é")</f>
        <v>Storm Overtrousers</v>
      </c>
      <c r="H2726" s="6">
        <v>1</v>
      </c>
      <c r="I2726" s="6" t="s">
        <v>147</v>
      </c>
      <c r="J2726" s="6" t="s">
        <v>147</v>
      </c>
      <c r="K2726" s="6">
        <v>0.52</v>
      </c>
      <c r="L2726" s="6" t="s">
        <v>42</v>
      </c>
      <c r="M2726" s="6" t="s">
        <v>34</v>
      </c>
      <c r="N2726" s="6"/>
    </row>
    <row r="2727" spans="1:14">
      <c r="A2727" s="6" t="s">
        <v>4304</v>
      </c>
      <c r="B2727" s="7">
        <v>46165</v>
      </c>
      <c r="C2727" s="6" t="s">
        <v>146</v>
      </c>
      <c r="D2727" s="6" t="str">
        <f>IF(OR(PROPER(TRIM(Raw_Data!D2727))="Uk",PROPER(TRIM(Raw_Data!D2727))="Gb",PROPER(TRIM(Raw_Data!D2727))="United kingdom"),"United Kingdom",PROPER(TRIM(Raw_Data!D2727)))</f>
        <v>United Kingdom</v>
      </c>
      <c r="E2727" s="6" t="s">
        <v>78</v>
      </c>
      <c r="F2727" s="6" t="s">
        <v>100</v>
      </c>
      <c r="G2727" s="6" t="str">
        <f>SUBSTITUTE(Raw_Data!G2727,"Ã©","é")</f>
        <v>Trail Softshell</v>
      </c>
      <c r="H2727" s="6">
        <v>2</v>
      </c>
      <c r="I2727" s="6" t="s">
        <v>82</v>
      </c>
      <c r="J2727" s="6" t="s">
        <v>297</v>
      </c>
      <c r="K2727" s="6">
        <v>0.64</v>
      </c>
      <c r="L2727" s="6" t="s">
        <v>33</v>
      </c>
      <c r="M2727" s="6" t="s">
        <v>69</v>
      </c>
      <c r="N2727" s="6"/>
    </row>
    <row r="2728" spans="1:14">
      <c r="A2728" s="6" t="s">
        <v>4306</v>
      </c>
      <c r="B2728" s="7">
        <v>46167</v>
      </c>
      <c r="C2728" s="6" t="s">
        <v>1465</v>
      </c>
      <c r="D2728" s="6" t="str">
        <f>IF(OR(PROPER(TRIM(Raw_Data!D2728))="Uk",PROPER(TRIM(Raw_Data!D2728))="Gb",PROPER(TRIM(Raw_Data!D2728))="United kingdom"),"United Kingdom",PROPER(TRIM(Raw_Data!D2728)))</f>
        <v>Ireland</v>
      </c>
      <c r="E2728" s="6" t="s">
        <v>46</v>
      </c>
      <c r="F2728" s="6" t="s">
        <v>85</v>
      </c>
      <c r="G2728" s="6" t="str">
        <f>SUBSTITUTE(Raw_Data!G2728,"Ã©","é")</f>
        <v>Café Latte Mug</v>
      </c>
      <c r="H2728" s="6">
        <v>1</v>
      </c>
      <c r="I2728" s="6" t="s">
        <v>82</v>
      </c>
      <c r="J2728" s="6" t="s">
        <v>82</v>
      </c>
      <c r="K2728" s="6">
        <v>0.41</v>
      </c>
      <c r="L2728" s="6" t="s">
        <v>42</v>
      </c>
      <c r="M2728" s="6" t="s">
        <v>69</v>
      </c>
      <c r="N2728" s="6"/>
    </row>
    <row r="2729" spans="1:14">
      <c r="A2729" s="6" t="s">
        <v>4307</v>
      </c>
      <c r="B2729" s="7">
        <v>46357</v>
      </c>
      <c r="C2729" s="6" t="s">
        <v>126</v>
      </c>
      <c r="D2729" s="6" t="str">
        <f>IF(OR(PROPER(TRIM(Raw_Data!D2729))="Uk",PROPER(TRIM(Raw_Data!D2729))="Gb",PROPER(TRIM(Raw_Data!D2729))="United kingdom"),"United Kingdom",PROPER(TRIM(Raw_Data!D2729)))</f>
        <v>Ireland</v>
      </c>
      <c r="E2729" s="6" t="s">
        <v>37</v>
      </c>
      <c r="F2729" s="6" t="s">
        <v>29</v>
      </c>
      <c r="G2729" s="6" t="str">
        <f>SUBSTITUTE(Raw_Data!G2729,"Ã©","é")</f>
        <v>Trekking Poles</v>
      </c>
      <c r="H2729" s="6">
        <v>1</v>
      </c>
      <c r="I2729" s="6" t="s">
        <v>90</v>
      </c>
      <c r="J2729" s="6" t="s">
        <v>90</v>
      </c>
      <c r="K2729" s="6">
        <v>0.52</v>
      </c>
      <c r="L2729" s="6" t="s">
        <v>42</v>
      </c>
      <c r="M2729" s="6" t="s">
        <v>34</v>
      </c>
      <c r="N2729" s="6"/>
    </row>
    <row r="2730" spans="1:14">
      <c r="A2730" s="6" t="s">
        <v>4308</v>
      </c>
      <c r="B2730" s="7">
        <v>46049</v>
      </c>
      <c r="C2730" s="6" t="s">
        <v>1343</v>
      </c>
      <c r="D2730" s="6" t="str">
        <f>IF(OR(PROPER(TRIM(Raw_Data!D2730))="Uk",PROPER(TRIM(Raw_Data!D2730))="Gb",PROPER(TRIM(Raw_Data!D2730))="United kingdom"),"United Kingdom",PROPER(TRIM(Raw_Data!D2730)))</f>
        <v>Ireland</v>
      </c>
      <c r="E2730" s="6" t="s">
        <v>37</v>
      </c>
      <c r="F2730" s="6" t="s">
        <v>94</v>
      </c>
      <c r="G2730" s="6" t="str">
        <f>SUBSTITUTE(Raw_Data!G2730,"Ã©","é")</f>
        <v>Fell Runner Cap</v>
      </c>
      <c r="H2730" s="6">
        <v>2</v>
      </c>
      <c r="I2730" s="6" t="s">
        <v>90</v>
      </c>
      <c r="J2730" s="6" t="s">
        <v>154</v>
      </c>
      <c r="K2730" s="6">
        <v>0.34</v>
      </c>
      <c r="L2730" s="6" t="s">
        <v>33</v>
      </c>
      <c r="M2730" s="6" t="s">
        <v>34</v>
      </c>
      <c r="N2730" s="6"/>
    </row>
    <row r="2731" spans="1:14">
      <c r="A2731" s="6" t="s">
        <v>4309</v>
      </c>
      <c r="B2731" s="7">
        <v>46090</v>
      </c>
      <c r="C2731" s="6" t="s">
        <v>2988</v>
      </c>
      <c r="D2731" s="6" t="str">
        <f>IF(OR(PROPER(TRIM(Raw_Data!D2731))="Uk",PROPER(TRIM(Raw_Data!D2731))="Gb",PROPER(TRIM(Raw_Data!D2731))="United kingdom"),"United Kingdom",PROPER(TRIM(Raw_Data!D2731)))</f>
        <v>France</v>
      </c>
      <c r="E2731" s="6" t="s">
        <v>28</v>
      </c>
      <c r="F2731" s="6" t="s">
        <v>47</v>
      </c>
      <c r="G2731" s="6" t="str">
        <f>SUBSTITUTE(Raw_Data!G2731,"Ã©","é")</f>
        <v>Fell Runner Cap</v>
      </c>
      <c r="H2731" s="6">
        <v>3</v>
      </c>
      <c r="I2731" s="6" t="s">
        <v>40</v>
      </c>
      <c r="J2731" s="6" t="s">
        <v>579</v>
      </c>
      <c r="K2731" s="6">
        <v>8.5000000000000006E-2</v>
      </c>
      <c r="L2731" s="6" t="s">
        <v>42</v>
      </c>
      <c r="M2731" s="6" t="s">
        <v>34</v>
      </c>
      <c r="N2731" s="6"/>
    </row>
    <row r="2732" spans="1:14">
      <c r="A2732" s="6" t="s">
        <v>4310</v>
      </c>
      <c r="B2732" s="7">
        <v>46163</v>
      </c>
      <c r="C2732" s="6" t="s">
        <v>1549</v>
      </c>
      <c r="D2732" s="6" t="str">
        <f>IF(OR(PROPER(TRIM(Raw_Data!D2732))="Uk",PROPER(TRIM(Raw_Data!D2732))="Gb",PROPER(TRIM(Raw_Data!D2732))="United kingdom"),"United Kingdom",PROPER(TRIM(Raw_Data!D2732)))</f>
        <v>United Kingdom</v>
      </c>
      <c r="E2732" s="6" t="s">
        <v>46</v>
      </c>
      <c r="F2732" s="6" t="s">
        <v>53</v>
      </c>
      <c r="G2732" s="6" t="str">
        <f>SUBSTITUTE(Raw_Data!G2732,"Ã©","é")</f>
        <v>Fell Runner Cap</v>
      </c>
      <c r="H2732" s="6">
        <v>3</v>
      </c>
      <c r="I2732" s="6" t="s">
        <v>373</v>
      </c>
      <c r="J2732" s="6" t="s">
        <v>216</v>
      </c>
      <c r="K2732" s="6">
        <v>0.19</v>
      </c>
      <c r="L2732" s="6" t="s">
        <v>42</v>
      </c>
      <c r="M2732" s="6" t="s">
        <v>69</v>
      </c>
      <c r="N2732" s="6"/>
    </row>
    <row r="2733" spans="1:14">
      <c r="A2733" s="6" t="s">
        <v>4311</v>
      </c>
      <c r="B2733" s="7">
        <v>46143</v>
      </c>
      <c r="C2733" s="6" t="s">
        <v>1662</v>
      </c>
      <c r="D2733" s="6" t="str">
        <f>IF(OR(PROPER(TRIM(Raw_Data!D2733))="Uk",PROPER(TRIM(Raw_Data!D2733))="Gb",PROPER(TRIM(Raw_Data!D2733))="United kingdom"),"United Kingdom",PROPER(TRIM(Raw_Data!D2733)))</f>
        <v>United Kingdom</v>
      </c>
      <c r="E2733" s="6" t="s">
        <v>52</v>
      </c>
      <c r="F2733" s="6" t="s">
        <v>53</v>
      </c>
      <c r="G2733" s="6" t="str">
        <f>SUBSTITUTE(Raw_Data!G2733,"Ã©","é")</f>
        <v>Fell Runner Cap</v>
      </c>
      <c r="H2733" s="6">
        <v>1</v>
      </c>
      <c r="I2733" s="6" t="s">
        <v>143</v>
      </c>
      <c r="J2733" s="6" t="s">
        <v>143</v>
      </c>
      <c r="K2733" s="6">
        <v>0.19</v>
      </c>
      <c r="L2733" s="6" t="s">
        <v>42</v>
      </c>
      <c r="M2733" s="6" t="s">
        <v>34</v>
      </c>
      <c r="N2733" s="6"/>
    </row>
    <row r="2734" spans="1:14">
      <c r="A2734" s="6" t="s">
        <v>4312</v>
      </c>
      <c r="B2734" s="7">
        <v>46071</v>
      </c>
      <c r="C2734" s="6" t="s">
        <v>4313</v>
      </c>
      <c r="D2734" s="6" t="str">
        <f>IF(OR(PROPER(TRIM(Raw_Data!D2734))="Uk",PROPER(TRIM(Raw_Data!D2734))="Gb",PROPER(TRIM(Raw_Data!D2734))="United kingdom"),"United Kingdom",PROPER(TRIM(Raw_Data!D2734)))</f>
        <v>Ireland</v>
      </c>
      <c r="E2734" s="6" t="s">
        <v>46</v>
      </c>
      <c r="F2734" s="6" t="s">
        <v>100</v>
      </c>
      <c r="G2734" s="6" t="str">
        <f>SUBSTITUTE(Raw_Data!G2734,"Ã©","é")</f>
        <v>Café Latte Mug</v>
      </c>
      <c r="H2734" s="6">
        <v>1</v>
      </c>
      <c r="I2734" s="6" t="s">
        <v>231</v>
      </c>
      <c r="J2734" s="6" t="s">
        <v>231</v>
      </c>
      <c r="K2734" s="6">
        <v>0.64</v>
      </c>
      <c r="L2734" s="6" t="s">
        <v>42</v>
      </c>
      <c r="M2734" s="6" t="s">
        <v>69</v>
      </c>
      <c r="N2734" s="6"/>
    </row>
    <row r="2735" spans="1:14">
      <c r="A2735" s="6" t="s">
        <v>4314</v>
      </c>
      <c r="B2735" s="7">
        <v>46269</v>
      </c>
      <c r="C2735" s="6" t="s">
        <v>4315</v>
      </c>
      <c r="D2735" s="6" t="str">
        <f>IF(OR(PROPER(TRIM(Raw_Data!D2735))="Uk",PROPER(TRIM(Raw_Data!D2735))="Gb",PROPER(TRIM(Raw_Data!D2735))="United kingdom"),"United Kingdom",PROPER(TRIM(Raw_Data!D2735)))</f>
        <v>Ireland</v>
      </c>
      <c r="E2735" s="6" t="s">
        <v>78</v>
      </c>
      <c r="F2735" s="6" t="s">
        <v>29</v>
      </c>
      <c r="G2735" s="6" t="str">
        <f>SUBSTITUTE(Raw_Data!G2735,"Ã©","é")</f>
        <v>Fell Runner Cap</v>
      </c>
      <c r="H2735" s="6">
        <v>2</v>
      </c>
      <c r="I2735" s="6" t="s">
        <v>73</v>
      </c>
      <c r="J2735" s="6" t="s">
        <v>837</v>
      </c>
      <c r="K2735" s="6">
        <v>0.52</v>
      </c>
      <c r="L2735" s="6" t="s">
        <v>42</v>
      </c>
      <c r="M2735" s="6" t="s">
        <v>34</v>
      </c>
      <c r="N2735" s="6"/>
    </row>
    <row r="2736" spans="1:14">
      <c r="A2736" s="6" t="s">
        <v>4316</v>
      </c>
      <c r="B2736" s="7">
        <v>46094</v>
      </c>
      <c r="C2736" s="6" t="s">
        <v>1141</v>
      </c>
      <c r="D2736" s="6" t="str">
        <f>IF(OR(PROPER(TRIM(Raw_Data!D2736))="Uk",PROPER(TRIM(Raw_Data!D2736))="Gb",PROPER(TRIM(Raw_Data!D2736))="United kingdom"),"United Kingdom",PROPER(TRIM(Raw_Data!D2736)))</f>
        <v>United Kingdom</v>
      </c>
      <c r="E2736" s="6" t="s">
        <v>46</v>
      </c>
      <c r="F2736" s="6" t="s">
        <v>38</v>
      </c>
      <c r="G2736" s="6" t="str">
        <f>SUBSTITUTE(Raw_Data!G2736,"Ã©","é")</f>
        <v>Storm Overtrousers</v>
      </c>
      <c r="H2736" s="6">
        <v>3</v>
      </c>
      <c r="I2736" s="6" t="s">
        <v>90</v>
      </c>
      <c r="J2736" s="6" t="s">
        <v>102</v>
      </c>
      <c r="K2736" s="6">
        <v>0.52</v>
      </c>
      <c r="L2736" s="6" t="s">
        <v>42</v>
      </c>
      <c r="M2736" s="6" t="s">
        <v>34</v>
      </c>
      <c r="N2736" s="6"/>
    </row>
    <row r="2737" spans="1:14">
      <c r="A2737" s="6" t="s">
        <v>4317</v>
      </c>
      <c r="B2737" s="7">
        <v>46163</v>
      </c>
      <c r="C2737" s="6" t="s">
        <v>2352</v>
      </c>
      <c r="D2737" s="6" t="str">
        <f>IF(OR(PROPER(TRIM(Raw_Data!D2737))="Uk",PROPER(TRIM(Raw_Data!D2737))="Gb",PROPER(TRIM(Raw_Data!D2737))="United kingdom"),"United Kingdom",PROPER(TRIM(Raw_Data!D2737)))</f>
        <v>Germany</v>
      </c>
      <c r="E2737" s="6" t="s">
        <v>52</v>
      </c>
      <c r="F2737" s="6" t="s">
        <v>100</v>
      </c>
      <c r="G2737" s="6" t="str">
        <f>SUBSTITUTE(Raw_Data!G2737,"Ã©","é")</f>
        <v>Alpine Jacket</v>
      </c>
      <c r="H2737" s="6">
        <v>1</v>
      </c>
      <c r="I2737" s="6" t="s">
        <v>79</v>
      </c>
      <c r="J2737" s="6" t="s">
        <v>79</v>
      </c>
      <c r="K2737" s="6">
        <v>0.64</v>
      </c>
      <c r="L2737" s="6" t="s">
        <v>42</v>
      </c>
      <c r="M2737" s="6" t="s">
        <v>69</v>
      </c>
      <c r="N2737" s="6"/>
    </row>
    <row r="2738" spans="1:14">
      <c r="A2738" s="6" t="s">
        <v>4318</v>
      </c>
      <c r="B2738" s="7">
        <v>46163</v>
      </c>
      <c r="C2738" s="6" t="s">
        <v>2528</v>
      </c>
      <c r="D2738" s="6" t="str">
        <f>IF(OR(PROPER(TRIM(Raw_Data!D2738))="Uk",PROPER(TRIM(Raw_Data!D2738))="Gb",PROPER(TRIM(Raw_Data!D2738))="United kingdom"),"United Kingdom",PROPER(TRIM(Raw_Data!D2738)))</f>
        <v>United Kingdom</v>
      </c>
      <c r="E2738" s="6" t="s">
        <v>28</v>
      </c>
      <c r="F2738" s="6" t="s">
        <v>29</v>
      </c>
      <c r="G2738" s="6" t="str">
        <f>SUBSTITUTE(Raw_Data!G2738,"Ã©","é")</f>
        <v>Storm Overtrousers</v>
      </c>
      <c r="H2738" s="6">
        <v>1</v>
      </c>
      <c r="I2738" s="6" t="s">
        <v>143</v>
      </c>
      <c r="J2738" s="6" t="s">
        <v>143</v>
      </c>
      <c r="K2738" s="6">
        <v>0.52</v>
      </c>
      <c r="L2738" s="6" t="s">
        <v>33</v>
      </c>
      <c r="M2738" s="6" t="s">
        <v>69</v>
      </c>
      <c r="N2738" s="6"/>
    </row>
    <row r="2739" spans="1:14">
      <c r="A2739" s="6" t="s">
        <v>4319</v>
      </c>
      <c r="B2739" s="7">
        <v>46051</v>
      </c>
      <c r="C2739" s="6" t="s">
        <v>1024</v>
      </c>
      <c r="D2739" s="6" t="str">
        <f>IF(OR(PROPER(TRIM(Raw_Data!D2739))="Uk",PROPER(TRIM(Raw_Data!D2739))="Gb",PROPER(TRIM(Raw_Data!D2739))="United kingdom"),"United Kingdom",PROPER(TRIM(Raw_Data!D2739)))</f>
        <v>United Kingdom</v>
      </c>
      <c r="E2739" s="6" t="s">
        <v>78</v>
      </c>
      <c r="F2739" s="6" t="s">
        <v>29</v>
      </c>
      <c r="G2739" s="6" t="str">
        <f>SUBSTITUTE(Raw_Data!G2739,"Ã©","é")</f>
        <v>Trail Softshell</v>
      </c>
      <c r="H2739" s="6">
        <v>2</v>
      </c>
      <c r="I2739" s="6" t="s">
        <v>166</v>
      </c>
      <c r="J2739" s="6" t="s">
        <v>167</v>
      </c>
      <c r="K2739" s="6">
        <v>0.52</v>
      </c>
      <c r="L2739" s="6" t="s">
        <v>42</v>
      </c>
      <c r="M2739" s="6" t="s">
        <v>34</v>
      </c>
      <c r="N2739" s="6"/>
    </row>
    <row r="2740" spans="1:14">
      <c r="A2740" s="6" t="s">
        <v>4320</v>
      </c>
      <c r="B2740" s="7">
        <v>46328</v>
      </c>
      <c r="C2740" s="6" t="s">
        <v>3668</v>
      </c>
      <c r="D2740" s="6" t="str">
        <f>IF(OR(PROPER(TRIM(Raw_Data!D2740))="Uk",PROPER(TRIM(Raw_Data!D2740))="Gb",PROPER(TRIM(Raw_Data!D2740))="United kingdom"),"United Kingdom",PROPER(TRIM(Raw_Data!D2740)))</f>
        <v>United Kingdom</v>
      </c>
      <c r="E2740" s="6" t="s">
        <v>46</v>
      </c>
      <c r="F2740" s="6" t="s">
        <v>100</v>
      </c>
      <c r="G2740" s="6" t="str">
        <f>SUBSTITUTE(Raw_Data!G2740,"Ã©","é")</f>
        <v>Trail Softshell</v>
      </c>
      <c r="H2740" s="6">
        <v>2</v>
      </c>
      <c r="I2740" s="6" t="s">
        <v>147</v>
      </c>
      <c r="J2740" s="6" t="s">
        <v>175</v>
      </c>
      <c r="K2740" s="6">
        <v>0.64</v>
      </c>
      <c r="L2740" s="6" t="s">
        <v>42</v>
      </c>
      <c r="M2740" s="6" t="s">
        <v>34</v>
      </c>
      <c r="N2740" s="6"/>
    </row>
    <row r="2741" spans="1:14">
      <c r="A2741" s="6" t="s">
        <v>4321</v>
      </c>
      <c r="B2741" s="7">
        <v>46131</v>
      </c>
      <c r="C2741" s="6" t="s">
        <v>938</v>
      </c>
      <c r="D2741" s="6" t="str">
        <f>IF(OR(PROPER(TRIM(Raw_Data!D2741))="Uk",PROPER(TRIM(Raw_Data!D2741))="Gb",PROPER(TRIM(Raw_Data!D2741))="United kingdom"),"United Kingdom",PROPER(TRIM(Raw_Data!D2741)))</f>
        <v>United Kingdom</v>
      </c>
      <c r="E2741" s="6" t="s">
        <v>46</v>
      </c>
      <c r="F2741" s="6" t="s">
        <v>94</v>
      </c>
      <c r="G2741" s="6" t="str">
        <f>SUBSTITUTE(Raw_Data!G2741,"Ã©","é")</f>
        <v>Trekking Poles</v>
      </c>
      <c r="H2741" s="6">
        <v>1</v>
      </c>
      <c r="I2741" s="6" t="s">
        <v>147</v>
      </c>
      <c r="J2741" s="6" t="s">
        <v>147</v>
      </c>
      <c r="K2741" s="6">
        <v>0.34</v>
      </c>
      <c r="L2741" s="6" t="s">
        <v>33</v>
      </c>
      <c r="M2741" s="6" t="s">
        <v>34</v>
      </c>
      <c r="N2741" s="6"/>
    </row>
    <row r="2742" spans="1:14">
      <c r="A2742" s="6" t="s">
        <v>4322</v>
      </c>
      <c r="B2742" s="7">
        <v>46079</v>
      </c>
      <c r="C2742" s="6" t="s">
        <v>3029</v>
      </c>
      <c r="D2742" s="6" t="str">
        <f>IF(OR(PROPER(TRIM(Raw_Data!D2742))="Uk",PROPER(TRIM(Raw_Data!D2742))="Gb",PROPER(TRIM(Raw_Data!D2742))="United kingdom"),"United Kingdom",PROPER(TRIM(Raw_Data!D2742)))</f>
        <v>France</v>
      </c>
      <c r="E2742" s="6" t="s">
        <v>78</v>
      </c>
      <c r="F2742" s="6" t="s">
        <v>47</v>
      </c>
      <c r="G2742" s="6" t="str">
        <f>SUBSTITUTE(Raw_Data!G2742,"Ã©","é")</f>
        <v>Fell Runner Cap</v>
      </c>
      <c r="H2742" s="6">
        <v>1</v>
      </c>
      <c r="I2742" s="6" t="s">
        <v>265</v>
      </c>
      <c r="J2742" s="6" t="s">
        <v>265</v>
      </c>
      <c r="K2742" s="6">
        <v>8.5000000000000006E-2</v>
      </c>
      <c r="L2742" s="6" t="s">
        <v>42</v>
      </c>
      <c r="M2742" s="6" t="s">
        <v>69</v>
      </c>
      <c r="N2742" s="6"/>
    </row>
    <row r="2743" spans="1:14">
      <c r="A2743" s="6" t="s">
        <v>4323</v>
      </c>
      <c r="B2743" s="7">
        <v>46106</v>
      </c>
      <c r="C2743" s="6" t="s">
        <v>2042</v>
      </c>
      <c r="D2743" s="6" t="str">
        <f>IF(OR(PROPER(TRIM(Raw_Data!D2743))="Uk",PROPER(TRIM(Raw_Data!D2743))="Gb",PROPER(TRIM(Raw_Data!D2743))="United kingdom"),"United Kingdom",PROPER(TRIM(Raw_Data!D2743)))</f>
        <v>United Kingdom</v>
      </c>
      <c r="E2743" s="6" t="s">
        <v>46</v>
      </c>
      <c r="F2743" s="6" t="s">
        <v>29</v>
      </c>
      <c r="G2743" s="6" t="str">
        <f>SUBSTITUTE(Raw_Data!G2743,"Ã©","é")</f>
        <v>Fell Runner Cap</v>
      </c>
      <c r="H2743" s="6">
        <v>1</v>
      </c>
      <c r="I2743" s="6" t="s">
        <v>73</v>
      </c>
      <c r="J2743" s="6" t="s">
        <v>73</v>
      </c>
      <c r="K2743" s="6">
        <v>0.52</v>
      </c>
      <c r="L2743" s="6" t="s">
        <v>42</v>
      </c>
      <c r="M2743" s="6" t="s">
        <v>34</v>
      </c>
      <c r="N2743" s="6"/>
    </row>
    <row r="2744" spans="1:14">
      <c r="A2744" s="6" t="s">
        <v>4324</v>
      </c>
      <c r="B2744" s="7">
        <v>46157</v>
      </c>
      <c r="C2744" s="6" t="s">
        <v>1034</v>
      </c>
      <c r="D2744" s="6" t="str">
        <f>IF(OR(PROPER(TRIM(Raw_Data!D2744))="Uk",PROPER(TRIM(Raw_Data!D2744))="Gb",PROPER(TRIM(Raw_Data!D2744))="United kingdom"),"United Kingdom",PROPER(TRIM(Raw_Data!D2744)))</f>
        <v>United Kingdom</v>
      </c>
      <c r="E2744" s="6" t="s">
        <v>78</v>
      </c>
      <c r="F2744" s="6" t="s">
        <v>53</v>
      </c>
      <c r="G2744" s="6" t="str">
        <f>SUBSTITUTE(Raw_Data!G2744,"Ã©","é")</f>
        <v>Trekking Poles</v>
      </c>
      <c r="H2744" s="6">
        <v>3</v>
      </c>
      <c r="I2744" s="6" t="s">
        <v>147</v>
      </c>
      <c r="J2744" s="6" t="s">
        <v>148</v>
      </c>
      <c r="K2744" s="6">
        <v>0.19</v>
      </c>
      <c r="L2744" s="6" t="s">
        <v>42</v>
      </c>
      <c r="M2744" s="6" t="s">
        <v>34</v>
      </c>
      <c r="N2744" s="6"/>
    </row>
    <row r="2745" spans="1:14">
      <c r="A2745" s="6" t="s">
        <v>4325</v>
      </c>
      <c r="B2745" s="7">
        <v>46108</v>
      </c>
      <c r="C2745" s="6" t="s">
        <v>3585</v>
      </c>
      <c r="D2745" s="6" t="str">
        <f>IF(OR(PROPER(TRIM(Raw_Data!D2745))="Uk",PROPER(TRIM(Raw_Data!D2745))="Gb",PROPER(TRIM(Raw_Data!D2745))="United kingdom"),"United Kingdom",PROPER(TRIM(Raw_Data!D2745)))</f>
        <v>Ireland</v>
      </c>
      <c r="E2745" s="6" t="s">
        <v>78</v>
      </c>
      <c r="F2745" s="6" t="s">
        <v>100</v>
      </c>
      <c r="G2745" s="6" t="str">
        <f>SUBSTITUTE(Raw_Data!G2745,"Ã©","é")</f>
        <v>Café Latte Mug</v>
      </c>
      <c r="H2745" s="6">
        <v>2</v>
      </c>
      <c r="I2745" s="6" t="s">
        <v>60</v>
      </c>
      <c r="J2745" s="6" t="s">
        <v>189</v>
      </c>
      <c r="K2745" s="6">
        <v>0.64</v>
      </c>
      <c r="L2745" s="6" t="s">
        <v>42</v>
      </c>
      <c r="M2745" s="6" t="s">
        <v>34</v>
      </c>
      <c r="N2745" s="6"/>
    </row>
    <row r="2746" spans="1:14">
      <c r="A2746" s="6" t="s">
        <v>4326</v>
      </c>
      <c r="B2746" s="7">
        <v>46270</v>
      </c>
      <c r="C2746" s="6" t="s">
        <v>4327</v>
      </c>
      <c r="D2746" s="6" t="str">
        <f>IF(OR(PROPER(TRIM(Raw_Data!D2746))="Uk",PROPER(TRIM(Raw_Data!D2746))="Gb",PROPER(TRIM(Raw_Data!D2746))="United kingdom"),"United Kingdom",PROPER(TRIM(Raw_Data!D2746)))</f>
        <v>Ireland</v>
      </c>
      <c r="E2746" s="6" t="s">
        <v>46</v>
      </c>
      <c r="F2746" s="6" t="s">
        <v>94</v>
      </c>
      <c r="G2746" s="6" t="str">
        <f>SUBSTITUTE(Raw_Data!G2746,"Ã©","é")</f>
        <v>Fell Runner Cap</v>
      </c>
      <c r="H2746" s="6">
        <v>2</v>
      </c>
      <c r="I2746" s="6" t="s">
        <v>117</v>
      </c>
      <c r="J2746" s="6" t="s">
        <v>118</v>
      </c>
      <c r="K2746" s="6">
        <v>0.34</v>
      </c>
      <c r="L2746" s="6" t="s">
        <v>42</v>
      </c>
      <c r="M2746" s="6" t="s">
        <v>34</v>
      </c>
      <c r="N2746" s="6"/>
    </row>
    <row r="2747" spans="1:14">
      <c r="A2747" s="6" t="s">
        <v>4328</v>
      </c>
      <c r="B2747" s="7">
        <v>46331</v>
      </c>
      <c r="C2747" s="6" t="s">
        <v>1881</v>
      </c>
      <c r="D2747" s="6" t="str">
        <f>IF(OR(PROPER(TRIM(Raw_Data!D2747))="Uk",PROPER(TRIM(Raw_Data!D2747))="Gb",PROPER(TRIM(Raw_Data!D2747))="United kingdom"),"United Kingdom",PROPER(TRIM(Raw_Data!D2747)))</f>
        <v>United Kingdom</v>
      </c>
      <c r="E2747" s="6" t="s">
        <v>46</v>
      </c>
      <c r="F2747" s="6" t="s">
        <v>100</v>
      </c>
      <c r="G2747" s="6" t="str">
        <f>SUBSTITUTE(Raw_Data!G2747,"Ã©","é")</f>
        <v>Storm Overtrousers</v>
      </c>
      <c r="H2747" s="6">
        <v>1</v>
      </c>
      <c r="I2747" s="6" t="s">
        <v>60</v>
      </c>
      <c r="J2747" s="6" t="s">
        <v>60</v>
      </c>
      <c r="K2747" s="6">
        <v>0.64</v>
      </c>
      <c r="L2747" s="6" t="s">
        <v>42</v>
      </c>
      <c r="M2747" s="6" t="s">
        <v>69</v>
      </c>
      <c r="N2747" s="6"/>
    </row>
    <row r="2748" spans="1:14">
      <c r="A2748" s="6" t="s">
        <v>4329</v>
      </c>
      <c r="B2748" s="7">
        <v>46078</v>
      </c>
      <c r="C2748" s="6" t="s">
        <v>1269</v>
      </c>
      <c r="D2748" s="6" t="str">
        <f>IF(OR(PROPER(TRIM(Raw_Data!D2748))="Uk",PROPER(TRIM(Raw_Data!D2748))="Gb",PROPER(TRIM(Raw_Data!D2748))="United kingdom"),"United Kingdom",PROPER(TRIM(Raw_Data!D2748)))</f>
        <v>United Kingdom</v>
      </c>
      <c r="E2748" s="6" t="s">
        <v>46</v>
      </c>
      <c r="F2748" s="6" t="s">
        <v>85</v>
      </c>
      <c r="G2748" s="6" t="str">
        <f>SUBSTITUTE(Raw_Data!G2748,"Ã©","é")</f>
        <v>Merino Base Layer</v>
      </c>
      <c r="H2748" s="6">
        <v>3</v>
      </c>
      <c r="I2748" s="6" t="s">
        <v>265</v>
      </c>
      <c r="J2748" s="6" t="s">
        <v>401</v>
      </c>
      <c r="K2748" s="6">
        <v>0.41</v>
      </c>
      <c r="L2748" s="6" t="s">
        <v>42</v>
      </c>
      <c r="M2748" s="6" t="s">
        <v>69</v>
      </c>
      <c r="N2748" s="6"/>
    </row>
    <row r="2749" spans="1:14">
      <c r="A2749" s="6" t="s">
        <v>4330</v>
      </c>
      <c r="B2749" s="7">
        <v>46177</v>
      </c>
      <c r="C2749" s="6" t="s">
        <v>1141</v>
      </c>
      <c r="D2749" s="6" t="str">
        <f>IF(OR(PROPER(TRIM(Raw_Data!D2749))="Uk",PROPER(TRIM(Raw_Data!D2749))="Gb",PROPER(TRIM(Raw_Data!D2749))="United kingdom"),"United Kingdom",PROPER(TRIM(Raw_Data!D2749)))</f>
        <v>United Kingdom</v>
      </c>
      <c r="E2749" s="6" t="s">
        <v>78</v>
      </c>
      <c r="F2749" s="6" t="s">
        <v>100</v>
      </c>
      <c r="G2749" s="6" t="str">
        <f>SUBSTITUTE(Raw_Data!G2749,"Ã©","é")</f>
        <v>Summit Down Gilet</v>
      </c>
      <c r="H2749" s="6">
        <v>1</v>
      </c>
      <c r="I2749" s="6" t="s">
        <v>143</v>
      </c>
      <c r="J2749" s="6" t="s">
        <v>143</v>
      </c>
      <c r="K2749" s="6">
        <v>0.64</v>
      </c>
      <c r="L2749" s="6" t="s">
        <v>42</v>
      </c>
      <c r="M2749" s="6" t="s">
        <v>34</v>
      </c>
      <c r="N2749" s="6"/>
    </row>
    <row r="2750" spans="1:14">
      <c r="A2750" s="6" t="s">
        <v>4331</v>
      </c>
      <c r="B2750" s="7">
        <v>46038</v>
      </c>
      <c r="C2750" s="6" t="s">
        <v>2817</v>
      </c>
      <c r="D2750" s="6" t="str">
        <f>IF(OR(PROPER(TRIM(Raw_Data!D2750))="Uk",PROPER(TRIM(Raw_Data!D2750))="Gb",PROPER(TRIM(Raw_Data!D2750))="United kingdom"),"United Kingdom",PROPER(TRIM(Raw_Data!D2750)))</f>
        <v>United Kingdom</v>
      </c>
      <c r="E2750" s="6" t="s">
        <v>52</v>
      </c>
      <c r="F2750" s="6" t="s">
        <v>47</v>
      </c>
      <c r="G2750" s="6" t="str">
        <f>SUBSTITUTE(Raw_Data!G2750,"Ã©","é")</f>
        <v>Merino Base Layer</v>
      </c>
      <c r="H2750" s="6">
        <v>1</v>
      </c>
      <c r="I2750" s="6" t="s">
        <v>265</v>
      </c>
      <c r="J2750" s="6" t="s">
        <v>265</v>
      </c>
      <c r="K2750" s="6">
        <v>8.5000000000000006E-2</v>
      </c>
      <c r="L2750" s="6" t="s">
        <v>33</v>
      </c>
      <c r="M2750" s="6" t="s">
        <v>34</v>
      </c>
      <c r="N2750" s="6"/>
    </row>
    <row r="2751" spans="1:14">
      <c r="A2751" s="6" t="s">
        <v>4332</v>
      </c>
      <c r="B2751" s="7">
        <v>46098</v>
      </c>
      <c r="C2751" s="6" t="s">
        <v>1502</v>
      </c>
      <c r="D2751" s="6" t="str">
        <f>IF(OR(PROPER(TRIM(Raw_Data!D2751))="Uk",PROPER(TRIM(Raw_Data!D2751))="Gb",PROPER(TRIM(Raw_Data!D2751))="United kingdom"),"United Kingdom",PROPER(TRIM(Raw_Data!D2751)))</f>
        <v>United Kingdom</v>
      </c>
      <c r="E2751" s="6" t="s">
        <v>28</v>
      </c>
      <c r="F2751" s="6" t="s">
        <v>58</v>
      </c>
      <c r="G2751" s="6" t="str">
        <f>SUBSTITUTE(Raw_Data!G2751,"Ã©","é")</f>
        <v>Alpine Jacket</v>
      </c>
      <c r="H2751" s="6">
        <v>3</v>
      </c>
      <c r="I2751" s="6" t="s">
        <v>90</v>
      </c>
      <c r="J2751" s="6" t="s">
        <v>102</v>
      </c>
      <c r="K2751" s="6">
        <v>0.38</v>
      </c>
      <c r="L2751" s="6" t="s">
        <v>33</v>
      </c>
      <c r="M2751" s="6" t="s">
        <v>34</v>
      </c>
      <c r="N2751" s="6"/>
    </row>
    <row r="2752" spans="1:14">
      <c r="A2752" s="6" t="s">
        <v>4333</v>
      </c>
      <c r="B2752" s="7">
        <v>46078</v>
      </c>
      <c r="C2752" s="6" t="s">
        <v>863</v>
      </c>
      <c r="D2752" s="6" t="str">
        <f>IF(OR(PROPER(TRIM(Raw_Data!D2752))="Uk",PROPER(TRIM(Raw_Data!D2752))="Gb",PROPER(TRIM(Raw_Data!D2752))="United kingdom"),"United Kingdom",PROPER(TRIM(Raw_Data!D2752)))</f>
        <v>United Kingdom</v>
      </c>
      <c r="E2752" s="6" t="s">
        <v>52</v>
      </c>
      <c r="F2752" s="6" t="s">
        <v>85</v>
      </c>
      <c r="G2752" s="6" t="str">
        <f>SUBSTITUTE(Raw_Data!G2752,"Ã©","é")</f>
        <v>Trekking Poles</v>
      </c>
      <c r="H2752" s="6">
        <v>1</v>
      </c>
      <c r="I2752" s="6" t="s">
        <v>117</v>
      </c>
      <c r="J2752" s="6" t="s">
        <v>117</v>
      </c>
      <c r="K2752" s="6">
        <v>0.41</v>
      </c>
      <c r="L2752" s="6" t="s">
        <v>42</v>
      </c>
      <c r="M2752" s="6" t="s">
        <v>34</v>
      </c>
      <c r="N2752" s="6"/>
    </row>
    <row r="2753" spans="1:14">
      <c r="A2753" s="6" t="s">
        <v>4334</v>
      </c>
      <c r="B2753" s="7">
        <v>46269</v>
      </c>
      <c r="C2753" s="6" t="s">
        <v>2493</v>
      </c>
      <c r="D2753" s="6" t="str">
        <f>IF(OR(PROPER(TRIM(Raw_Data!D2753))="Uk",PROPER(TRIM(Raw_Data!D2753))="Gb",PROPER(TRIM(Raw_Data!D2753))="United kingdom"),"United Kingdom",PROPER(TRIM(Raw_Data!D2753)))</f>
        <v>Germany</v>
      </c>
      <c r="E2753" s="6" t="s">
        <v>28</v>
      </c>
      <c r="F2753" s="6" t="s">
        <v>58</v>
      </c>
      <c r="G2753" s="6" t="str">
        <f>SUBSTITUTE(Raw_Data!G2753,"Ã©","é")</f>
        <v>Summit Down Gilet</v>
      </c>
      <c r="H2753" s="6">
        <v>2</v>
      </c>
      <c r="I2753" s="6" t="s">
        <v>113</v>
      </c>
      <c r="J2753" s="6" t="s">
        <v>192</v>
      </c>
      <c r="K2753" s="6">
        <v>0.38</v>
      </c>
      <c r="L2753" s="6" t="s">
        <v>42</v>
      </c>
      <c r="M2753" s="6" t="s">
        <v>34</v>
      </c>
      <c r="N2753" s="6"/>
    </row>
    <row r="2754" spans="1:14">
      <c r="A2754" s="6" t="s">
        <v>4335</v>
      </c>
      <c r="B2754" s="7">
        <v>46104</v>
      </c>
      <c r="C2754" s="6" t="s">
        <v>3433</v>
      </c>
      <c r="D2754" s="6" t="str">
        <f>IF(OR(PROPER(TRIM(Raw_Data!D2754))="Uk",PROPER(TRIM(Raw_Data!D2754))="Gb",PROPER(TRIM(Raw_Data!D2754))="United kingdom"),"United Kingdom",PROPER(TRIM(Raw_Data!D2754)))</f>
        <v>United Kingdom</v>
      </c>
      <c r="E2754" s="6" t="s">
        <v>52</v>
      </c>
      <c r="F2754" s="6" t="s">
        <v>29</v>
      </c>
      <c r="G2754" s="6" t="str">
        <f>SUBSTITUTE(Raw_Data!G2754,"Ã©","é")</f>
        <v>Fell Runner Cap</v>
      </c>
      <c r="H2754" s="6">
        <v>2</v>
      </c>
      <c r="I2754" s="6" t="s">
        <v>113</v>
      </c>
      <c r="J2754" s="6" t="s">
        <v>192</v>
      </c>
      <c r="K2754" s="6">
        <v>0.52</v>
      </c>
      <c r="L2754" s="6" t="s">
        <v>42</v>
      </c>
      <c r="M2754" s="6" t="s">
        <v>34</v>
      </c>
      <c r="N2754" s="6"/>
    </row>
    <row r="2755" spans="1:14">
      <c r="A2755" s="6" t="s">
        <v>4336</v>
      </c>
      <c r="B2755" s="7">
        <v>46171</v>
      </c>
      <c r="C2755" s="6" t="s">
        <v>881</v>
      </c>
      <c r="D2755" s="6" t="str">
        <f>IF(OR(PROPER(TRIM(Raw_Data!D2755))="Uk",PROPER(TRIM(Raw_Data!D2755))="Gb",PROPER(TRIM(Raw_Data!D2755))="United kingdom"),"United Kingdom",PROPER(TRIM(Raw_Data!D2755)))</f>
        <v>Ireland</v>
      </c>
      <c r="E2755" s="6" t="s">
        <v>46</v>
      </c>
      <c r="F2755" s="6" t="s">
        <v>29</v>
      </c>
      <c r="G2755" s="6" t="str">
        <f>SUBSTITUTE(Raw_Data!G2755,"Ã©","é")</f>
        <v>Alpine Jacket</v>
      </c>
      <c r="H2755" s="6">
        <v>2</v>
      </c>
      <c r="I2755" s="6" t="s">
        <v>113</v>
      </c>
      <c r="J2755" s="6" t="s">
        <v>192</v>
      </c>
      <c r="K2755" s="6">
        <v>0.52</v>
      </c>
      <c r="L2755" s="6" t="s">
        <v>42</v>
      </c>
      <c r="M2755" s="6" t="s">
        <v>69</v>
      </c>
      <c r="N2755" s="6"/>
    </row>
    <row r="2756" spans="1:14">
      <c r="A2756" s="6" t="s">
        <v>4337</v>
      </c>
      <c r="B2756" s="7">
        <v>46205</v>
      </c>
      <c r="C2756" s="6" t="s">
        <v>208</v>
      </c>
      <c r="D2756" s="6" t="str">
        <f>IF(OR(PROPER(TRIM(Raw_Data!D2756))="Uk",PROPER(TRIM(Raw_Data!D2756))="Gb",PROPER(TRIM(Raw_Data!D2756))="United kingdom"),"United Kingdom",PROPER(TRIM(Raw_Data!D2756)))</f>
        <v>United Kingdom</v>
      </c>
      <c r="E2756" s="6" t="s">
        <v>37</v>
      </c>
      <c r="F2756" s="6" t="s">
        <v>53</v>
      </c>
      <c r="G2756" s="6" t="str">
        <f>SUBSTITUTE(Raw_Data!G2756,"Ã©","é")</f>
        <v>Storm Overtrousers</v>
      </c>
      <c r="H2756" s="6">
        <v>1</v>
      </c>
      <c r="I2756" s="6" t="s">
        <v>181</v>
      </c>
      <c r="J2756" s="6" t="s">
        <v>181</v>
      </c>
      <c r="K2756" s="6">
        <v>0.19</v>
      </c>
      <c r="L2756" s="6" t="s">
        <v>42</v>
      </c>
      <c r="M2756" s="6" t="s">
        <v>69</v>
      </c>
      <c r="N2756" s="6"/>
    </row>
    <row r="2757" spans="1:14">
      <c r="A2757" s="6" t="s">
        <v>4338</v>
      </c>
      <c r="B2757" s="7">
        <v>46161</v>
      </c>
      <c r="C2757" s="6" t="s">
        <v>1596</v>
      </c>
      <c r="D2757" s="6" t="str">
        <f>IF(OR(PROPER(TRIM(Raw_Data!D2757))="Uk",PROPER(TRIM(Raw_Data!D2757))="Gb",PROPER(TRIM(Raw_Data!D2757))="United kingdom"),"United Kingdom",PROPER(TRIM(Raw_Data!D2757)))</f>
        <v>United Kingdom</v>
      </c>
      <c r="E2757" s="6" t="s">
        <v>46</v>
      </c>
      <c r="F2757" s="6" t="s">
        <v>58</v>
      </c>
      <c r="G2757" s="6" t="str">
        <f>SUBSTITUTE(Raw_Data!G2757,"Ã©","é")</f>
        <v>Trail Softshell</v>
      </c>
      <c r="H2757" s="6">
        <v>3</v>
      </c>
      <c r="I2757" s="6" t="s">
        <v>265</v>
      </c>
      <c r="J2757" s="6" t="s">
        <v>401</v>
      </c>
      <c r="K2757" s="6">
        <v>0.38</v>
      </c>
      <c r="L2757" s="6" t="s">
        <v>42</v>
      </c>
      <c r="M2757" s="6" t="s">
        <v>34</v>
      </c>
      <c r="N2757" s="6"/>
    </row>
    <row r="2758" spans="1:14">
      <c r="A2758" s="6" t="s">
        <v>4339</v>
      </c>
      <c r="B2758" s="7">
        <v>46166</v>
      </c>
      <c r="C2758" s="6" t="s">
        <v>2001</v>
      </c>
      <c r="D2758" s="6" t="str">
        <f>IF(OR(PROPER(TRIM(Raw_Data!D2758))="Uk",PROPER(TRIM(Raw_Data!D2758))="Gb",PROPER(TRIM(Raw_Data!D2758))="United kingdom"),"United Kingdom",PROPER(TRIM(Raw_Data!D2758)))</f>
        <v>France</v>
      </c>
      <c r="E2758" s="6" t="s">
        <v>37</v>
      </c>
      <c r="F2758" s="6" t="s">
        <v>38</v>
      </c>
      <c r="G2758" s="6" t="str">
        <f>SUBSTITUTE(Raw_Data!G2758,"Ã©","é")</f>
        <v>Summit Down Gilet</v>
      </c>
      <c r="H2758" s="6">
        <v>1</v>
      </c>
      <c r="I2758" s="6" t="s">
        <v>31</v>
      </c>
      <c r="J2758" s="6" t="s">
        <v>31</v>
      </c>
      <c r="K2758" s="6">
        <v>0.52</v>
      </c>
      <c r="L2758" s="6" t="s">
        <v>33</v>
      </c>
      <c r="M2758" s="6" t="s">
        <v>34</v>
      </c>
      <c r="N2758" s="6"/>
    </row>
    <row r="2759" spans="1:14">
      <c r="A2759" s="6" t="s">
        <v>4340</v>
      </c>
      <c r="B2759" s="7">
        <v>46175</v>
      </c>
      <c r="C2759" s="6" t="s">
        <v>1744</v>
      </c>
      <c r="D2759" s="6" t="str">
        <f>IF(OR(PROPER(TRIM(Raw_Data!D2759))="Uk",PROPER(TRIM(Raw_Data!D2759))="Gb",PROPER(TRIM(Raw_Data!D2759))="United kingdom"),"United Kingdom",PROPER(TRIM(Raw_Data!D2759)))</f>
        <v>United Kingdom</v>
      </c>
      <c r="E2759" s="6" t="s">
        <v>78</v>
      </c>
      <c r="F2759" s="6" t="s">
        <v>53</v>
      </c>
      <c r="G2759" s="6" t="str">
        <f>SUBSTITUTE(Raw_Data!G2759,"Ã©","é")</f>
        <v>Fell Runner Cap</v>
      </c>
      <c r="H2759" s="6">
        <v>2</v>
      </c>
      <c r="I2759" s="6" t="s">
        <v>60</v>
      </c>
      <c r="J2759" s="6" t="s">
        <v>189</v>
      </c>
      <c r="K2759" s="6">
        <v>0.19</v>
      </c>
      <c r="L2759" s="6" t="s">
        <v>33</v>
      </c>
      <c r="M2759" s="6" t="s">
        <v>34</v>
      </c>
      <c r="N2759" s="6"/>
    </row>
    <row r="2760" spans="1:14">
      <c r="A2760" s="6" t="s">
        <v>4341</v>
      </c>
      <c r="B2760" s="7">
        <v>46036</v>
      </c>
      <c r="C2760" s="6" t="s">
        <v>1369</v>
      </c>
      <c r="D2760" s="6" t="str">
        <f>IF(OR(PROPER(TRIM(Raw_Data!D2760))="Uk",PROPER(TRIM(Raw_Data!D2760))="Gb",PROPER(TRIM(Raw_Data!D2760))="United kingdom"),"United Kingdom",PROPER(TRIM(Raw_Data!D2760)))</f>
        <v>United Kingdom</v>
      </c>
      <c r="E2760" s="6" t="s">
        <v>52</v>
      </c>
      <c r="F2760" s="6" t="s">
        <v>58</v>
      </c>
      <c r="G2760" s="6" t="str">
        <f>SUBSTITUTE(Raw_Data!G2760,"Ã©","é")</f>
        <v>Trail Softshell</v>
      </c>
      <c r="H2760" s="6">
        <v>3</v>
      </c>
      <c r="I2760" s="6" t="s">
        <v>2666</v>
      </c>
      <c r="J2760" s="6" t="s">
        <v>68</v>
      </c>
      <c r="K2760" s="6">
        <v>0.38</v>
      </c>
      <c r="L2760" s="6" t="s">
        <v>33</v>
      </c>
      <c r="M2760" s="6" t="s">
        <v>34</v>
      </c>
      <c r="N2760" s="6"/>
    </row>
    <row r="2761" spans="1:14">
      <c r="A2761" s="6" t="s">
        <v>4342</v>
      </c>
      <c r="B2761" s="7">
        <v>46141</v>
      </c>
      <c r="C2761" s="6" t="s">
        <v>1114</v>
      </c>
      <c r="D2761" s="6" t="str">
        <f>IF(OR(PROPER(TRIM(Raw_Data!D2761))="Uk",PROPER(TRIM(Raw_Data!D2761))="Gb",PROPER(TRIM(Raw_Data!D2761))="United kingdom"),"United Kingdom",PROPER(TRIM(Raw_Data!D2761)))</f>
        <v>United Kingdom</v>
      </c>
      <c r="E2761" s="6" t="s">
        <v>78</v>
      </c>
      <c r="F2761" s="6" t="s">
        <v>38</v>
      </c>
      <c r="G2761" s="6" t="str">
        <f>SUBSTITUTE(Raw_Data!G2761,"Ã©","é")</f>
        <v>Storm Overtrousers</v>
      </c>
      <c r="H2761" s="6">
        <v>1</v>
      </c>
      <c r="I2761" s="6" t="s">
        <v>82</v>
      </c>
      <c r="J2761" s="6" t="s">
        <v>82</v>
      </c>
      <c r="K2761" s="6">
        <v>0.52</v>
      </c>
      <c r="L2761" s="6" t="s">
        <v>42</v>
      </c>
      <c r="M2761" s="6" t="s">
        <v>34</v>
      </c>
      <c r="N2761" s="6"/>
    </row>
    <row r="2762" spans="1:14">
      <c r="A2762" s="6" t="s">
        <v>4343</v>
      </c>
      <c r="B2762" s="7">
        <v>46165</v>
      </c>
      <c r="C2762" s="6" t="s">
        <v>3690</v>
      </c>
      <c r="D2762" s="6" t="str">
        <f>IF(OR(PROPER(TRIM(Raw_Data!D2762))="Uk",PROPER(TRIM(Raw_Data!D2762))="Gb",PROPER(TRIM(Raw_Data!D2762))="United kingdom"),"United Kingdom",PROPER(TRIM(Raw_Data!D2762)))</f>
        <v>United Kingdom</v>
      </c>
      <c r="E2762" s="6" t="s">
        <v>46</v>
      </c>
      <c r="F2762" s="6" t="s">
        <v>53</v>
      </c>
      <c r="G2762" s="6" t="str">
        <f>SUBSTITUTE(Raw_Data!G2762,"Ã©","é")</f>
        <v>Merino Base Layer</v>
      </c>
      <c r="H2762" s="6">
        <v>1</v>
      </c>
      <c r="I2762" s="6" t="s">
        <v>40</v>
      </c>
      <c r="J2762" s="6" t="s">
        <v>40</v>
      </c>
      <c r="K2762" s="6">
        <v>0.19</v>
      </c>
      <c r="L2762" s="6" t="s">
        <v>42</v>
      </c>
      <c r="M2762" s="6" t="s">
        <v>34</v>
      </c>
      <c r="N2762" s="6"/>
    </row>
    <row r="2763" spans="1:14">
      <c r="A2763" s="6" t="s">
        <v>4344</v>
      </c>
      <c r="B2763" s="7">
        <v>46147</v>
      </c>
      <c r="C2763" s="6" t="s">
        <v>729</v>
      </c>
      <c r="D2763" s="6" t="str">
        <f>IF(OR(PROPER(TRIM(Raw_Data!D2763))="Uk",PROPER(TRIM(Raw_Data!D2763))="Gb",PROPER(TRIM(Raw_Data!D2763))="United kingdom"),"United Kingdom",PROPER(TRIM(Raw_Data!D2763)))</f>
        <v>Germany</v>
      </c>
      <c r="E2763" s="6" t="s">
        <v>78</v>
      </c>
      <c r="F2763" s="6" t="s">
        <v>100</v>
      </c>
      <c r="G2763" s="6" t="str">
        <f>SUBSTITUTE(Raw_Data!G2763,"Ã©","é")</f>
        <v>Storm Overtrousers</v>
      </c>
      <c r="H2763" s="6">
        <v>1</v>
      </c>
      <c r="I2763" s="6" t="s">
        <v>40</v>
      </c>
      <c r="J2763" s="6" t="s">
        <v>40</v>
      </c>
      <c r="K2763" s="6">
        <v>0.64</v>
      </c>
      <c r="L2763" s="6" t="s">
        <v>33</v>
      </c>
      <c r="M2763" s="6" t="s">
        <v>34</v>
      </c>
      <c r="N2763" s="6"/>
    </row>
    <row r="2764" spans="1:14">
      <c r="A2764" s="6" t="s">
        <v>4345</v>
      </c>
      <c r="B2764" s="7">
        <v>46332</v>
      </c>
      <c r="C2764" s="6" t="s">
        <v>2169</v>
      </c>
      <c r="D2764" s="6" t="str">
        <f>IF(OR(PROPER(TRIM(Raw_Data!D2764))="Uk",PROPER(TRIM(Raw_Data!D2764))="Gb",PROPER(TRIM(Raw_Data!D2764))="United kingdom"),"United Kingdom",PROPER(TRIM(Raw_Data!D2764)))</f>
        <v>United Kingdom</v>
      </c>
      <c r="E2764" s="6" t="s">
        <v>28</v>
      </c>
      <c r="F2764" s="6" t="s">
        <v>29</v>
      </c>
      <c r="G2764" s="6" t="str">
        <f>SUBSTITUTE(Raw_Data!G2764,"Ã©","é")</f>
        <v>Trail Softshell</v>
      </c>
      <c r="H2764" s="6">
        <v>2</v>
      </c>
      <c r="I2764" s="6" t="s">
        <v>96</v>
      </c>
      <c r="J2764" s="6" t="s">
        <v>278</v>
      </c>
      <c r="K2764" s="6">
        <v>0.52</v>
      </c>
      <c r="L2764" s="6" t="s">
        <v>33</v>
      </c>
      <c r="M2764" s="6" t="s">
        <v>34</v>
      </c>
      <c r="N2764" s="6"/>
    </row>
    <row r="2765" spans="1:14">
      <c r="A2765" s="6" t="s">
        <v>4346</v>
      </c>
      <c r="B2765" s="7">
        <v>46296</v>
      </c>
      <c r="C2765" s="6" t="s">
        <v>1879</v>
      </c>
      <c r="D2765" s="6" t="str">
        <f>IF(OR(PROPER(TRIM(Raw_Data!D2765))="Uk",PROPER(TRIM(Raw_Data!D2765))="Gb",PROPER(TRIM(Raw_Data!D2765))="United kingdom"),"United Kingdom",PROPER(TRIM(Raw_Data!D2765)))</f>
        <v>Germany</v>
      </c>
      <c r="E2765" s="6" t="s">
        <v>52</v>
      </c>
      <c r="F2765" s="6" t="s">
        <v>85</v>
      </c>
      <c r="G2765" s="6" t="str">
        <f>SUBSTITUTE(Raw_Data!G2765,"Ã©","é")</f>
        <v>Trail Softshell</v>
      </c>
      <c r="H2765" s="6">
        <v>2</v>
      </c>
      <c r="I2765" s="6" t="s">
        <v>90</v>
      </c>
      <c r="J2765" s="6" t="s">
        <v>154</v>
      </c>
      <c r="K2765" s="6">
        <v>0.41</v>
      </c>
      <c r="L2765" s="6" t="s">
        <v>42</v>
      </c>
      <c r="M2765" s="6" t="s">
        <v>34</v>
      </c>
      <c r="N2765" s="6"/>
    </row>
    <row r="2766" spans="1:14">
      <c r="A2766" s="6" t="s">
        <v>4347</v>
      </c>
      <c r="B2766" s="7">
        <v>46201</v>
      </c>
      <c r="C2766" s="6" t="s">
        <v>2942</v>
      </c>
      <c r="D2766" s="6" t="str">
        <f>IF(OR(PROPER(TRIM(Raw_Data!D2766))="Uk",PROPER(TRIM(Raw_Data!D2766))="Gb",PROPER(TRIM(Raw_Data!D2766))="United kingdom"),"United Kingdom",PROPER(TRIM(Raw_Data!D2766)))</f>
        <v>United Kingdom</v>
      </c>
      <c r="E2766" s="6" t="s">
        <v>37</v>
      </c>
      <c r="F2766" s="6" t="s">
        <v>85</v>
      </c>
      <c r="G2766" s="6" t="str">
        <f>SUBSTITUTE(Raw_Data!G2766,"Ã©","é")</f>
        <v>Alpine Jacket</v>
      </c>
      <c r="H2766" s="6">
        <v>3</v>
      </c>
      <c r="I2766" s="6" t="s">
        <v>113</v>
      </c>
      <c r="J2766" s="6" t="s">
        <v>138</v>
      </c>
      <c r="K2766" s="6">
        <v>0.41</v>
      </c>
      <c r="L2766" s="6" t="s">
        <v>42</v>
      </c>
      <c r="M2766" s="6" t="s">
        <v>34</v>
      </c>
      <c r="N2766" s="6"/>
    </row>
    <row r="2767" spans="1:14">
      <c r="A2767" s="6" t="s">
        <v>4348</v>
      </c>
      <c r="B2767" s="7">
        <v>46159</v>
      </c>
      <c r="C2767" s="6" t="s">
        <v>3549</v>
      </c>
      <c r="D2767" s="6" t="str">
        <f>IF(OR(PROPER(TRIM(Raw_Data!D2767))="Uk",PROPER(TRIM(Raw_Data!D2767))="Gb",PROPER(TRIM(Raw_Data!D2767))="United kingdom"),"United Kingdom",PROPER(TRIM(Raw_Data!D2767)))</f>
        <v>United Kingdom</v>
      </c>
      <c r="E2767" s="6" t="s">
        <v>28</v>
      </c>
      <c r="F2767" s="6" t="s">
        <v>94</v>
      </c>
      <c r="G2767" s="6" t="str">
        <f>SUBSTITUTE(Raw_Data!G2767,"Ã©","é")</f>
        <v>Storm Overtrousers</v>
      </c>
      <c r="H2767" s="6">
        <v>1</v>
      </c>
      <c r="I2767" s="6" t="s">
        <v>113</v>
      </c>
      <c r="J2767" s="6" t="s">
        <v>113</v>
      </c>
      <c r="K2767" s="6">
        <v>0.34</v>
      </c>
      <c r="L2767" s="6" t="s">
        <v>42</v>
      </c>
      <c r="M2767" s="6" t="s">
        <v>34</v>
      </c>
      <c r="N2767" s="6"/>
    </row>
    <row r="2768" spans="1:14">
      <c r="A2768" s="6" t="s">
        <v>4349</v>
      </c>
      <c r="B2768" s="7">
        <v>46057</v>
      </c>
      <c r="C2768" s="6" t="s">
        <v>1478</v>
      </c>
      <c r="D2768" s="6" t="str">
        <f>IF(OR(PROPER(TRIM(Raw_Data!D2768))="Uk",PROPER(TRIM(Raw_Data!D2768))="Gb",PROPER(TRIM(Raw_Data!D2768))="United kingdom"),"United Kingdom",PROPER(TRIM(Raw_Data!D2768)))</f>
        <v>United Kingdom</v>
      </c>
      <c r="E2768" s="6" t="s">
        <v>78</v>
      </c>
      <c r="F2768" s="6" t="s">
        <v>58</v>
      </c>
      <c r="G2768" s="6" t="str">
        <f>SUBSTITUTE(Raw_Data!G2768,"Ã©","é")</f>
        <v>Trekking Poles</v>
      </c>
      <c r="H2768" s="6">
        <v>1</v>
      </c>
      <c r="I2768" s="6" t="s">
        <v>40</v>
      </c>
      <c r="J2768" s="6" t="s">
        <v>40</v>
      </c>
      <c r="K2768" s="6">
        <v>0.38</v>
      </c>
      <c r="L2768" s="6" t="s">
        <v>33</v>
      </c>
      <c r="M2768" s="6" t="s">
        <v>34</v>
      </c>
      <c r="N2768" s="6"/>
    </row>
    <row r="2769" spans="1:14">
      <c r="A2769" s="6" t="s">
        <v>4350</v>
      </c>
      <c r="B2769" s="7">
        <v>46043</v>
      </c>
      <c r="C2769" s="6" t="s">
        <v>2437</v>
      </c>
      <c r="D2769" s="6" t="str">
        <f>IF(OR(PROPER(TRIM(Raw_Data!D2769))="Uk",PROPER(TRIM(Raw_Data!D2769))="Gb",PROPER(TRIM(Raw_Data!D2769))="United kingdom"),"United Kingdom",PROPER(TRIM(Raw_Data!D2769)))</f>
        <v>United Kingdom</v>
      </c>
      <c r="E2769" s="6" t="s">
        <v>28</v>
      </c>
      <c r="F2769" s="6" t="s">
        <v>29</v>
      </c>
      <c r="G2769" s="6" t="str">
        <f>SUBSTITUTE(Raw_Data!G2769,"Ã©","é")</f>
        <v>Café Latte Mug</v>
      </c>
      <c r="H2769" s="6">
        <v>2</v>
      </c>
      <c r="I2769" s="6" t="s">
        <v>60</v>
      </c>
      <c r="J2769" s="6" t="s">
        <v>189</v>
      </c>
      <c r="K2769" s="6">
        <v>0.52</v>
      </c>
      <c r="L2769" s="6" t="s">
        <v>42</v>
      </c>
      <c r="M2769" s="6" t="s">
        <v>69</v>
      </c>
      <c r="N2769" s="6"/>
    </row>
    <row r="2770" spans="1:14">
      <c r="A2770" s="6" t="s">
        <v>4351</v>
      </c>
      <c r="B2770" s="7">
        <v>46361</v>
      </c>
      <c r="C2770" s="6" t="s">
        <v>299</v>
      </c>
      <c r="D2770" s="6" t="str">
        <f>IF(OR(PROPER(TRIM(Raw_Data!D2770))="Uk",PROPER(TRIM(Raw_Data!D2770))="Gb",PROPER(TRIM(Raw_Data!D2770))="United kingdom"),"United Kingdom",PROPER(TRIM(Raw_Data!D2770)))</f>
        <v>France</v>
      </c>
      <c r="E2770" s="6" t="s">
        <v>78</v>
      </c>
      <c r="F2770" s="6" t="s">
        <v>100</v>
      </c>
      <c r="G2770" s="6" t="str">
        <f>SUBSTITUTE(Raw_Data!G2770,"Ã©","é")</f>
        <v>Fell Runner Cap</v>
      </c>
      <c r="H2770" s="6">
        <v>3</v>
      </c>
      <c r="I2770" s="6" t="s">
        <v>231</v>
      </c>
      <c r="J2770" s="6" t="s">
        <v>505</v>
      </c>
      <c r="K2770" s="6">
        <v>0.64</v>
      </c>
      <c r="L2770" s="6" t="s">
        <v>33</v>
      </c>
      <c r="M2770" s="6" t="s">
        <v>34</v>
      </c>
      <c r="N2770" s="6"/>
    </row>
    <row r="2771" spans="1:14">
      <c r="A2771" s="6" t="s">
        <v>4352</v>
      </c>
      <c r="B2771" s="7">
        <v>46198</v>
      </c>
      <c r="C2771" s="6" t="s">
        <v>3189</v>
      </c>
      <c r="D2771" s="6" t="str">
        <f>IF(OR(PROPER(TRIM(Raw_Data!D2771))="Uk",PROPER(TRIM(Raw_Data!D2771))="Gb",PROPER(TRIM(Raw_Data!D2771))="United kingdom"),"United Kingdom",PROPER(TRIM(Raw_Data!D2771)))</f>
        <v>United Kingdom</v>
      </c>
      <c r="E2771" s="6" t="s">
        <v>52</v>
      </c>
      <c r="F2771" s="6" t="s">
        <v>100</v>
      </c>
      <c r="G2771" s="6" t="str">
        <f>SUBSTITUTE(Raw_Data!G2771,"Ã©","é")</f>
        <v>Merino Base Layer</v>
      </c>
      <c r="H2771" s="6">
        <v>3</v>
      </c>
      <c r="I2771" s="6" t="s">
        <v>60</v>
      </c>
      <c r="J2771" s="6" t="s">
        <v>268</v>
      </c>
      <c r="K2771" s="6">
        <v>0.64</v>
      </c>
      <c r="L2771" s="6" t="s">
        <v>42</v>
      </c>
      <c r="M2771" s="6" t="s">
        <v>69</v>
      </c>
      <c r="N2771" s="6"/>
    </row>
    <row r="2772" spans="1:14">
      <c r="A2772" s="6" t="s">
        <v>4353</v>
      </c>
      <c r="B2772" s="7">
        <v>46332</v>
      </c>
      <c r="C2772" s="6" t="s">
        <v>2249</v>
      </c>
      <c r="D2772" s="6" t="str">
        <f>IF(OR(PROPER(TRIM(Raw_Data!D2772))="Uk",PROPER(TRIM(Raw_Data!D2772))="Gb",PROPER(TRIM(Raw_Data!D2772))="United kingdom"),"United Kingdom",PROPER(TRIM(Raw_Data!D2772)))</f>
        <v>United Kingdom</v>
      </c>
      <c r="E2772" s="6" t="s">
        <v>78</v>
      </c>
      <c r="F2772" s="6" t="s">
        <v>47</v>
      </c>
      <c r="G2772" s="6" t="str">
        <f>SUBSTITUTE(Raw_Data!G2772,"Ã©","é")</f>
        <v>Merino Base Layer</v>
      </c>
      <c r="H2772" s="6">
        <v>2</v>
      </c>
      <c r="I2772" s="6" t="s">
        <v>40</v>
      </c>
      <c r="J2772" s="6" t="s">
        <v>327</v>
      </c>
      <c r="K2772" s="6">
        <v>8.5000000000000006E-2</v>
      </c>
      <c r="L2772" s="6" t="s">
        <v>42</v>
      </c>
      <c r="M2772" s="6" t="s">
        <v>34</v>
      </c>
      <c r="N2772" s="6"/>
    </row>
    <row r="2773" spans="1:14">
      <c r="A2773" s="6" t="s">
        <v>4354</v>
      </c>
      <c r="B2773" s="7">
        <v>46071</v>
      </c>
      <c r="C2773" s="6" t="s">
        <v>2149</v>
      </c>
      <c r="D2773" s="6" t="str">
        <f>IF(OR(PROPER(TRIM(Raw_Data!D2773))="Uk",PROPER(TRIM(Raw_Data!D2773))="Gb",PROPER(TRIM(Raw_Data!D2773))="United kingdom"),"United Kingdom",PROPER(TRIM(Raw_Data!D2773)))</f>
        <v>Germany</v>
      </c>
      <c r="E2773" s="6" t="s">
        <v>37</v>
      </c>
      <c r="F2773" s="6" t="s">
        <v>94</v>
      </c>
      <c r="G2773" s="6" t="str">
        <f>SUBSTITUTE(Raw_Data!G2773,"Ã©","é")</f>
        <v>Alpine Jacket</v>
      </c>
      <c r="H2773" s="6">
        <v>1</v>
      </c>
      <c r="I2773" s="6" t="s">
        <v>181</v>
      </c>
      <c r="J2773" s="6" t="s">
        <v>181</v>
      </c>
      <c r="K2773" s="6">
        <v>0.34</v>
      </c>
      <c r="L2773" s="6" t="s">
        <v>42</v>
      </c>
      <c r="M2773" s="6" t="s">
        <v>34</v>
      </c>
      <c r="N2773" s="6"/>
    </row>
    <row r="2774" spans="1:14">
      <c r="A2774" s="6" t="s">
        <v>4355</v>
      </c>
      <c r="B2774" s="7">
        <v>46134</v>
      </c>
      <c r="C2774" s="6" t="s">
        <v>2712</v>
      </c>
      <c r="D2774" s="6" t="str">
        <f>IF(OR(PROPER(TRIM(Raw_Data!D2774))="Uk",PROPER(TRIM(Raw_Data!D2774))="Gb",PROPER(TRIM(Raw_Data!D2774))="United kingdom"),"United Kingdom",PROPER(TRIM(Raw_Data!D2774)))</f>
        <v>Germany</v>
      </c>
      <c r="E2774" s="6" t="s">
        <v>52</v>
      </c>
      <c r="F2774" s="6" t="s">
        <v>53</v>
      </c>
      <c r="G2774" s="6" t="str">
        <f>SUBSTITUTE(Raw_Data!G2774,"Ã©","é")</f>
        <v>Trekking Poles</v>
      </c>
      <c r="H2774" s="6">
        <v>2</v>
      </c>
      <c r="I2774" s="6" t="s">
        <v>82</v>
      </c>
      <c r="J2774" s="6" t="s">
        <v>297</v>
      </c>
      <c r="K2774" s="6">
        <v>0.19</v>
      </c>
      <c r="L2774" s="6" t="s">
        <v>42</v>
      </c>
      <c r="M2774" s="6" t="s">
        <v>34</v>
      </c>
      <c r="N2774" s="6"/>
    </row>
    <row r="2775" spans="1:14">
      <c r="A2775" s="6" t="s">
        <v>4356</v>
      </c>
      <c r="B2775" s="7">
        <v>46097</v>
      </c>
      <c r="C2775" s="6" t="s">
        <v>4357</v>
      </c>
      <c r="D2775" s="6" t="str">
        <f>IF(OR(PROPER(TRIM(Raw_Data!D2775))="Uk",PROPER(TRIM(Raw_Data!D2775))="Gb",PROPER(TRIM(Raw_Data!D2775))="United kingdom"),"United Kingdom",PROPER(TRIM(Raw_Data!D2775)))</f>
        <v>United Kingdom</v>
      </c>
      <c r="E2775" s="6" t="s">
        <v>46</v>
      </c>
      <c r="F2775" s="6" t="s">
        <v>85</v>
      </c>
      <c r="G2775" s="6" t="str">
        <f>SUBSTITUTE(Raw_Data!G2775,"Ã©","é")</f>
        <v>Trail Softshell</v>
      </c>
      <c r="H2775" s="6">
        <v>1</v>
      </c>
      <c r="I2775" s="6" t="s">
        <v>40</v>
      </c>
      <c r="J2775" s="6" t="s">
        <v>40</v>
      </c>
      <c r="K2775" s="6">
        <v>0.41</v>
      </c>
      <c r="L2775" s="6" t="s">
        <v>42</v>
      </c>
      <c r="M2775" s="6" t="s">
        <v>69</v>
      </c>
      <c r="N2775" s="6"/>
    </row>
    <row r="2776" spans="1:14">
      <c r="A2776" s="6" t="s">
        <v>4358</v>
      </c>
      <c r="B2776" s="7">
        <v>46111</v>
      </c>
      <c r="C2776" s="6" t="s">
        <v>3004</v>
      </c>
      <c r="D2776" s="6" t="str">
        <f>IF(OR(PROPER(TRIM(Raw_Data!D2776))="Uk",PROPER(TRIM(Raw_Data!D2776))="Gb",PROPER(TRIM(Raw_Data!D2776))="United kingdom"),"United Kingdom",PROPER(TRIM(Raw_Data!D2776)))</f>
        <v>Ireland</v>
      </c>
      <c r="E2776" s="6" t="s">
        <v>78</v>
      </c>
      <c r="F2776" s="6" t="s">
        <v>47</v>
      </c>
      <c r="G2776" s="6" t="str">
        <f>SUBSTITUTE(Raw_Data!G2776,"Ã©","é")</f>
        <v>Alpine Jacket</v>
      </c>
      <c r="H2776" s="6">
        <v>2</v>
      </c>
      <c r="I2776" s="6" t="s">
        <v>147</v>
      </c>
      <c r="J2776" s="6" t="s">
        <v>175</v>
      </c>
      <c r="K2776" s="6">
        <v>8.5000000000000006E-2</v>
      </c>
      <c r="L2776" s="6" t="s">
        <v>33</v>
      </c>
      <c r="M2776" s="6" t="s">
        <v>34</v>
      </c>
      <c r="N2776" s="6"/>
    </row>
    <row r="2777" spans="1:14">
      <c r="A2777" s="6" t="s">
        <v>4359</v>
      </c>
      <c r="B2777" s="7">
        <v>46055</v>
      </c>
      <c r="C2777" s="6" t="s">
        <v>4360</v>
      </c>
      <c r="D2777" s="6" t="str">
        <f>IF(OR(PROPER(TRIM(Raw_Data!D2777))="Uk",PROPER(TRIM(Raw_Data!D2777))="Gb",PROPER(TRIM(Raw_Data!D2777))="United kingdom"),"United Kingdom",PROPER(TRIM(Raw_Data!D2777)))</f>
        <v>Ireland</v>
      </c>
      <c r="E2777" s="6" t="s">
        <v>28</v>
      </c>
      <c r="F2777" s="6" t="s">
        <v>29</v>
      </c>
      <c r="G2777" s="6" t="str">
        <f>SUBSTITUTE(Raw_Data!G2777,"Ã©","é")</f>
        <v>Trekking Poles</v>
      </c>
      <c r="H2777" s="6">
        <v>3</v>
      </c>
      <c r="I2777" s="6" t="s">
        <v>82</v>
      </c>
      <c r="J2777" s="6" t="s">
        <v>390</v>
      </c>
      <c r="K2777" s="6">
        <v>0.52</v>
      </c>
      <c r="L2777" s="6" t="s">
        <v>42</v>
      </c>
      <c r="M2777" s="6" t="s">
        <v>34</v>
      </c>
      <c r="N2777" s="6"/>
    </row>
    <row r="2778" spans="1:14">
      <c r="A2778" s="6" t="s">
        <v>4361</v>
      </c>
      <c r="B2778" s="7">
        <v>46114</v>
      </c>
      <c r="C2778" s="6" t="s">
        <v>2359</v>
      </c>
      <c r="D2778" s="6" t="str">
        <f>IF(OR(PROPER(TRIM(Raw_Data!D2778))="Uk",PROPER(TRIM(Raw_Data!D2778))="Gb",PROPER(TRIM(Raw_Data!D2778))="United kingdom"),"United Kingdom",PROPER(TRIM(Raw_Data!D2778)))</f>
        <v>United Kingdom</v>
      </c>
      <c r="E2778" s="6" t="s">
        <v>52</v>
      </c>
      <c r="F2778" s="6" t="s">
        <v>94</v>
      </c>
      <c r="G2778" s="6" t="str">
        <f>SUBSTITUTE(Raw_Data!G2778,"Ã©","é")</f>
        <v>Trekking Poles</v>
      </c>
      <c r="H2778" s="6">
        <v>-2</v>
      </c>
      <c r="I2778" s="6" t="s">
        <v>96</v>
      </c>
      <c r="J2778" s="8" t="s">
        <v>1628</v>
      </c>
      <c r="K2778" s="6">
        <v>0.34</v>
      </c>
      <c r="L2778" s="6" t="s">
        <v>42</v>
      </c>
      <c r="M2778" s="6" t="s">
        <v>34</v>
      </c>
      <c r="N2778" s="6"/>
    </row>
    <row r="2779" spans="1:14">
      <c r="A2779" s="6" t="s">
        <v>4362</v>
      </c>
      <c r="B2779" s="7">
        <v>46269</v>
      </c>
      <c r="C2779" s="6" t="s">
        <v>912</v>
      </c>
      <c r="D2779" s="6" t="str">
        <f>IF(OR(PROPER(TRIM(Raw_Data!D2779))="Uk",PROPER(TRIM(Raw_Data!D2779))="Gb",PROPER(TRIM(Raw_Data!D2779))="United kingdom"),"United Kingdom",PROPER(TRIM(Raw_Data!D2779)))</f>
        <v>Ireland</v>
      </c>
      <c r="E2779" s="6" t="s">
        <v>28</v>
      </c>
      <c r="F2779" s="6" t="s">
        <v>85</v>
      </c>
      <c r="G2779" s="6" t="str">
        <f>SUBSTITUTE(Raw_Data!G2779,"Ã©","é")</f>
        <v>Alpine Jacket</v>
      </c>
      <c r="H2779" s="6">
        <v>1</v>
      </c>
      <c r="I2779" s="6" t="s">
        <v>143</v>
      </c>
      <c r="J2779" s="6" t="s">
        <v>143</v>
      </c>
      <c r="K2779" s="6">
        <v>0.41</v>
      </c>
      <c r="L2779" s="6" t="s">
        <v>33</v>
      </c>
      <c r="M2779" s="6" t="s">
        <v>34</v>
      </c>
      <c r="N2779" s="6"/>
    </row>
    <row r="2780" spans="1:14">
      <c r="A2780" s="6" t="s">
        <v>4363</v>
      </c>
      <c r="B2780" s="7">
        <v>46119</v>
      </c>
      <c r="C2780" s="6" t="s">
        <v>3438</v>
      </c>
      <c r="D2780" s="6" t="str">
        <f>IF(OR(PROPER(TRIM(Raw_Data!D2780))="Uk",PROPER(TRIM(Raw_Data!D2780))="Gb",PROPER(TRIM(Raw_Data!D2780))="United kingdom"),"United Kingdom",PROPER(TRIM(Raw_Data!D2780)))</f>
        <v>Ireland</v>
      </c>
      <c r="E2780" s="6" t="s">
        <v>52</v>
      </c>
      <c r="F2780" s="6" t="s">
        <v>94</v>
      </c>
      <c r="G2780" s="6" t="str">
        <f>SUBSTITUTE(Raw_Data!G2780,"Ã©","é")</f>
        <v>Café Latte Mug</v>
      </c>
      <c r="H2780" s="6">
        <v>1</v>
      </c>
      <c r="I2780" s="6" t="s">
        <v>113</v>
      </c>
      <c r="J2780" s="6" t="s">
        <v>113</v>
      </c>
      <c r="K2780" s="6">
        <v>0.34</v>
      </c>
      <c r="L2780" s="6" t="s">
        <v>33</v>
      </c>
      <c r="M2780" s="6" t="s">
        <v>69</v>
      </c>
      <c r="N2780" s="6"/>
    </row>
    <row r="2781" spans="1:14">
      <c r="A2781" s="6" t="s">
        <v>4364</v>
      </c>
      <c r="B2781" s="7">
        <v>46098</v>
      </c>
      <c r="C2781" s="6" t="s">
        <v>1357</v>
      </c>
      <c r="D2781" s="6" t="str">
        <f>IF(OR(PROPER(TRIM(Raw_Data!D2781))="Uk",PROPER(TRIM(Raw_Data!D2781))="Gb",PROPER(TRIM(Raw_Data!D2781))="United kingdom"),"United Kingdom",PROPER(TRIM(Raw_Data!D2781)))</f>
        <v>United Kingdom</v>
      </c>
      <c r="E2781" s="6" t="s">
        <v>46</v>
      </c>
      <c r="F2781" s="6" t="s">
        <v>94</v>
      </c>
      <c r="G2781" s="6" t="str">
        <f>SUBSTITUTE(Raw_Data!G2781,"Ã©","é")</f>
        <v>Fell Runner Cap</v>
      </c>
      <c r="H2781" s="6">
        <v>1</v>
      </c>
      <c r="I2781" s="6" t="s">
        <v>2626</v>
      </c>
      <c r="J2781" s="6" t="s">
        <v>82</v>
      </c>
      <c r="K2781" s="6">
        <v>0.34</v>
      </c>
      <c r="L2781" s="6" t="s">
        <v>42</v>
      </c>
      <c r="M2781" s="6" t="s">
        <v>34</v>
      </c>
      <c r="N2781" s="6"/>
    </row>
    <row r="2782" spans="1:14">
      <c r="A2782" s="6" t="s">
        <v>4365</v>
      </c>
      <c r="B2782" s="7">
        <v>46134</v>
      </c>
      <c r="C2782" s="6" t="s">
        <v>4366</v>
      </c>
      <c r="D2782" s="6" t="str">
        <f>IF(OR(PROPER(TRIM(Raw_Data!D2782))="Uk",PROPER(TRIM(Raw_Data!D2782))="Gb",PROPER(TRIM(Raw_Data!D2782))="United kingdom"),"United Kingdom",PROPER(TRIM(Raw_Data!D2782)))</f>
        <v>United Kingdom</v>
      </c>
      <c r="E2782" s="6" t="s">
        <v>37</v>
      </c>
      <c r="F2782" s="6" t="s">
        <v>38</v>
      </c>
      <c r="G2782" s="6" t="str">
        <f>SUBSTITUTE(Raw_Data!G2782,"Ã©","é")</f>
        <v>Trekking Poles</v>
      </c>
      <c r="H2782" s="6">
        <v>1</v>
      </c>
      <c r="I2782" s="6" t="s">
        <v>231</v>
      </c>
      <c r="J2782" s="6" t="s">
        <v>231</v>
      </c>
      <c r="K2782" s="6">
        <v>0.52</v>
      </c>
      <c r="L2782" s="6" t="s">
        <v>33</v>
      </c>
      <c r="M2782" s="6" t="s">
        <v>34</v>
      </c>
      <c r="N2782" s="6"/>
    </row>
    <row r="2783" spans="1:14">
      <c r="A2783" s="6" t="s">
        <v>4367</v>
      </c>
      <c r="B2783" s="7">
        <v>46159</v>
      </c>
      <c r="C2783" s="6" t="s">
        <v>556</v>
      </c>
      <c r="D2783" s="6" t="str">
        <f>IF(OR(PROPER(TRIM(Raw_Data!D2783))="Uk",PROPER(TRIM(Raw_Data!D2783))="Gb",PROPER(TRIM(Raw_Data!D2783))="United kingdom"),"United Kingdom",PROPER(TRIM(Raw_Data!D2783)))</f>
        <v>United Kingdom</v>
      </c>
      <c r="E2783" s="6" t="s">
        <v>37</v>
      </c>
      <c r="F2783" s="6" t="s">
        <v>100</v>
      </c>
      <c r="G2783" s="6" t="str">
        <f>SUBSTITUTE(Raw_Data!G2783,"Ã©","é")</f>
        <v>Merino Base Layer</v>
      </c>
      <c r="H2783" s="6">
        <v>2</v>
      </c>
      <c r="I2783" s="6" t="s">
        <v>67</v>
      </c>
      <c r="J2783" s="6" t="s">
        <v>204</v>
      </c>
      <c r="K2783" s="6">
        <v>0.64</v>
      </c>
      <c r="L2783" s="6" t="s">
        <v>42</v>
      </c>
      <c r="M2783" s="6" t="s">
        <v>69</v>
      </c>
      <c r="N2783" s="6"/>
    </row>
    <row r="2784" spans="1:14">
      <c r="A2784" s="6" t="s">
        <v>4368</v>
      </c>
      <c r="B2784" s="7">
        <v>46086</v>
      </c>
      <c r="C2784" s="6" t="s">
        <v>1478</v>
      </c>
      <c r="D2784" s="6" t="str">
        <f>IF(OR(PROPER(TRIM(Raw_Data!D2784))="Uk",PROPER(TRIM(Raw_Data!D2784))="Gb",PROPER(TRIM(Raw_Data!D2784))="United kingdom"),"United Kingdom",PROPER(TRIM(Raw_Data!D2784)))</f>
        <v>Ireland</v>
      </c>
      <c r="E2784" s="6" t="s">
        <v>78</v>
      </c>
      <c r="F2784" s="6" t="s">
        <v>100</v>
      </c>
      <c r="G2784" s="6" t="str">
        <f>SUBSTITUTE(Raw_Data!G2784,"Ã©","é")</f>
        <v>Alpine Jacket</v>
      </c>
      <c r="H2784" s="6">
        <v>3</v>
      </c>
      <c r="I2784" s="6" t="s">
        <v>31</v>
      </c>
      <c r="J2784" s="6" t="s">
        <v>4369</v>
      </c>
      <c r="K2784" s="6">
        <v>0.64</v>
      </c>
      <c r="L2784" s="6" t="s">
        <v>42</v>
      </c>
      <c r="M2784" s="6" t="s">
        <v>69</v>
      </c>
      <c r="N2784" s="6"/>
    </row>
    <row r="2785" spans="1:14">
      <c r="A2785" s="6" t="s">
        <v>4370</v>
      </c>
      <c r="B2785" s="7">
        <v>46074</v>
      </c>
      <c r="C2785" s="6" t="s">
        <v>1207</v>
      </c>
      <c r="D2785" s="6" t="str">
        <f>IF(OR(PROPER(TRIM(Raw_Data!D2785))="Uk",PROPER(TRIM(Raw_Data!D2785))="Gb",PROPER(TRIM(Raw_Data!D2785))="United kingdom"),"United Kingdom",PROPER(TRIM(Raw_Data!D2785)))</f>
        <v>United Kingdom</v>
      </c>
      <c r="E2785" s="6" t="s">
        <v>52</v>
      </c>
      <c r="F2785" s="6" t="s">
        <v>58</v>
      </c>
      <c r="G2785" s="6" t="str">
        <f>SUBSTITUTE(Raw_Data!G2785,"Ã©","é")</f>
        <v>Café Latte Mug</v>
      </c>
      <c r="H2785" s="6">
        <v>1</v>
      </c>
      <c r="I2785" s="6" t="s">
        <v>231</v>
      </c>
      <c r="J2785" s="6" t="s">
        <v>231</v>
      </c>
      <c r="K2785" s="6">
        <v>0.38</v>
      </c>
      <c r="L2785" s="6" t="s">
        <v>42</v>
      </c>
      <c r="M2785" s="6" t="s">
        <v>34</v>
      </c>
      <c r="N2785" s="6"/>
    </row>
    <row r="2786" spans="1:14">
      <c r="A2786" s="6" t="s">
        <v>4371</v>
      </c>
      <c r="B2786" s="7">
        <v>46104</v>
      </c>
      <c r="C2786" s="6" t="s">
        <v>2042</v>
      </c>
      <c r="D2786" s="6" t="str">
        <f>IF(OR(PROPER(TRIM(Raw_Data!D2786))="Uk",PROPER(TRIM(Raw_Data!D2786))="Gb",PROPER(TRIM(Raw_Data!D2786))="United kingdom"),"United Kingdom",PROPER(TRIM(Raw_Data!D2786)))</f>
        <v>France</v>
      </c>
      <c r="E2786" s="6" t="s">
        <v>37</v>
      </c>
      <c r="F2786" s="6" t="s">
        <v>38</v>
      </c>
      <c r="G2786" s="6" t="str">
        <f>SUBSTITUTE(Raw_Data!G2786,"Ã©","é")</f>
        <v>Alpine Jacket</v>
      </c>
      <c r="H2786" s="6">
        <v>1</v>
      </c>
      <c r="I2786" s="6" t="s">
        <v>90</v>
      </c>
      <c r="J2786" s="6" t="s">
        <v>90</v>
      </c>
      <c r="K2786" s="6">
        <v>0.52</v>
      </c>
      <c r="L2786" s="6" t="s">
        <v>42</v>
      </c>
      <c r="M2786" s="6" t="s">
        <v>34</v>
      </c>
      <c r="N2786" s="6"/>
    </row>
    <row r="2787" spans="1:14">
      <c r="A2787" s="6" t="s">
        <v>4372</v>
      </c>
      <c r="B2787" s="7">
        <v>46168</v>
      </c>
      <c r="C2787" s="6" t="s">
        <v>2200</v>
      </c>
      <c r="D2787" s="6" t="str">
        <f>IF(OR(PROPER(TRIM(Raw_Data!D2787))="Uk",PROPER(TRIM(Raw_Data!D2787))="Gb",PROPER(TRIM(Raw_Data!D2787))="United kingdom"),"United Kingdom",PROPER(TRIM(Raw_Data!D2787)))</f>
        <v>Ireland</v>
      </c>
      <c r="E2787" s="6" t="s">
        <v>52</v>
      </c>
      <c r="F2787" s="6" t="s">
        <v>85</v>
      </c>
      <c r="G2787" s="6" t="str">
        <f>SUBSTITUTE(Raw_Data!G2787,"Ã©","é")</f>
        <v>Storm Overtrousers</v>
      </c>
      <c r="H2787" s="6">
        <v>1</v>
      </c>
      <c r="I2787" s="6" t="s">
        <v>143</v>
      </c>
      <c r="J2787" s="6" t="s">
        <v>3170</v>
      </c>
      <c r="K2787" s="6">
        <v>0.41</v>
      </c>
      <c r="L2787" s="6" t="s">
        <v>42</v>
      </c>
      <c r="M2787" s="6" t="s">
        <v>69</v>
      </c>
      <c r="N2787" s="6"/>
    </row>
    <row r="2788" spans="1:14">
      <c r="A2788" s="6" t="s">
        <v>4373</v>
      </c>
      <c r="B2788" s="7">
        <v>46203</v>
      </c>
      <c r="C2788" s="6" t="s">
        <v>1929</v>
      </c>
      <c r="D2788" s="6" t="str">
        <f>IF(OR(PROPER(TRIM(Raw_Data!D2788))="Uk",PROPER(TRIM(Raw_Data!D2788))="Gb",PROPER(TRIM(Raw_Data!D2788))="United kingdom"),"United Kingdom",PROPER(TRIM(Raw_Data!D2788)))</f>
        <v>France</v>
      </c>
      <c r="E2788" s="6" t="s">
        <v>78</v>
      </c>
      <c r="F2788" s="6" t="s">
        <v>38</v>
      </c>
      <c r="G2788" s="6" t="str">
        <f>SUBSTITUTE(Raw_Data!G2788,"Ã©","é")</f>
        <v>Alpine Jacket</v>
      </c>
      <c r="H2788" s="6">
        <v>1</v>
      </c>
      <c r="I2788" s="6" t="s">
        <v>31</v>
      </c>
      <c r="J2788" s="6" t="s">
        <v>31</v>
      </c>
      <c r="K2788" s="6">
        <v>0.52</v>
      </c>
      <c r="L2788" s="6" t="s">
        <v>33</v>
      </c>
      <c r="M2788" s="6" t="s">
        <v>34</v>
      </c>
      <c r="N2788" s="6"/>
    </row>
    <row r="2789" spans="1:14">
      <c r="A2789" s="6" t="s">
        <v>4374</v>
      </c>
      <c r="B2789" s="7">
        <v>46196</v>
      </c>
      <c r="C2789" s="6" t="s">
        <v>4375</v>
      </c>
      <c r="D2789" s="6" t="str">
        <f>IF(OR(PROPER(TRIM(Raw_Data!D2789))="Uk",PROPER(TRIM(Raw_Data!D2789))="Gb",PROPER(TRIM(Raw_Data!D2789))="United kingdom"),"United Kingdom",PROPER(TRIM(Raw_Data!D2789)))</f>
        <v>United Kingdom</v>
      </c>
      <c r="E2789" s="6" t="s">
        <v>78</v>
      </c>
      <c r="F2789" s="6" t="s">
        <v>53</v>
      </c>
      <c r="G2789" s="6" t="str">
        <f>SUBSTITUTE(Raw_Data!G2789,"Ã©","é")</f>
        <v>Fell Runner Cap</v>
      </c>
      <c r="H2789" s="6">
        <v>1</v>
      </c>
      <c r="I2789" s="6" t="s">
        <v>67</v>
      </c>
      <c r="J2789" s="6" t="s">
        <v>67</v>
      </c>
      <c r="K2789" s="6">
        <v>0.19</v>
      </c>
      <c r="L2789" s="6" t="s">
        <v>42</v>
      </c>
      <c r="M2789" s="6" t="s">
        <v>69</v>
      </c>
      <c r="N2789" s="6"/>
    </row>
    <row r="2790" spans="1:14">
      <c r="A2790" s="6" t="s">
        <v>4376</v>
      </c>
      <c r="B2790" s="7">
        <v>46135</v>
      </c>
      <c r="C2790" s="6" t="s">
        <v>306</v>
      </c>
      <c r="D2790" s="6" t="str">
        <f>IF(OR(PROPER(TRIM(Raw_Data!D2790))="Uk",PROPER(TRIM(Raw_Data!D2790))="Gb",PROPER(TRIM(Raw_Data!D2790))="United kingdom"),"United Kingdom",PROPER(TRIM(Raw_Data!D2790)))</f>
        <v>United Kingdom</v>
      </c>
      <c r="E2790" s="6" t="s">
        <v>46</v>
      </c>
      <c r="F2790" s="6" t="s">
        <v>94</v>
      </c>
      <c r="G2790" s="6" t="str">
        <f>SUBSTITUTE(Raw_Data!G2790,"Ã©","é")</f>
        <v>Summit Down Gilet</v>
      </c>
      <c r="H2790" s="6">
        <v>1</v>
      </c>
      <c r="I2790" s="6" t="s">
        <v>117</v>
      </c>
      <c r="J2790" s="6" t="s">
        <v>117</v>
      </c>
      <c r="K2790" s="6">
        <v>0.34</v>
      </c>
      <c r="L2790" s="6" t="s">
        <v>42</v>
      </c>
      <c r="M2790" s="6" t="s">
        <v>69</v>
      </c>
      <c r="N2790" s="6"/>
    </row>
    <row r="2791" spans="1:14">
      <c r="A2791" s="6" t="s">
        <v>4377</v>
      </c>
      <c r="B2791" s="7">
        <v>46052</v>
      </c>
      <c r="C2791" s="6" t="s">
        <v>2763</v>
      </c>
      <c r="D2791" s="6" t="str">
        <f>IF(OR(PROPER(TRIM(Raw_Data!D2791))="Uk",PROPER(TRIM(Raw_Data!D2791))="Gb",PROPER(TRIM(Raw_Data!D2791))="United kingdom"),"United Kingdom",PROPER(TRIM(Raw_Data!D2791)))</f>
        <v>United Kingdom</v>
      </c>
      <c r="E2791" s="6" t="s">
        <v>37</v>
      </c>
      <c r="F2791" s="6" t="s">
        <v>100</v>
      </c>
      <c r="G2791" s="6" t="str">
        <f>SUBSTITUTE(Raw_Data!G2791,"Ã©","é")</f>
        <v>Storm Overtrousers</v>
      </c>
      <c r="H2791" s="6">
        <v>1</v>
      </c>
      <c r="I2791" s="6" t="s">
        <v>113</v>
      </c>
      <c r="J2791" s="6" t="s">
        <v>113</v>
      </c>
      <c r="K2791" s="6">
        <v>0.64</v>
      </c>
      <c r="L2791" s="6" t="s">
        <v>42</v>
      </c>
      <c r="M2791" s="6" t="s">
        <v>34</v>
      </c>
      <c r="N2791" s="6"/>
    </row>
    <row r="2792" spans="1:14">
      <c r="A2792" s="6" t="s">
        <v>4378</v>
      </c>
      <c r="B2792" s="7">
        <v>46038</v>
      </c>
      <c r="C2792" s="6" t="s">
        <v>570</v>
      </c>
      <c r="D2792" s="6" t="str">
        <f>IF(OR(PROPER(TRIM(Raw_Data!D2792))="Uk",PROPER(TRIM(Raw_Data!D2792))="Gb",PROPER(TRIM(Raw_Data!D2792))="United kingdom"),"United Kingdom",PROPER(TRIM(Raw_Data!D2792)))</f>
        <v>Germany</v>
      </c>
      <c r="E2792" s="6" t="s">
        <v>28</v>
      </c>
      <c r="F2792" s="6" t="s">
        <v>53</v>
      </c>
      <c r="G2792" s="6" t="str">
        <f>SUBSTITUTE(Raw_Data!G2792,"Ã©","é")</f>
        <v>Summit Down Gilet</v>
      </c>
      <c r="H2792" s="6">
        <v>2</v>
      </c>
      <c r="I2792" s="6" t="s">
        <v>60</v>
      </c>
      <c r="J2792" s="6" t="s">
        <v>189</v>
      </c>
      <c r="K2792" s="6">
        <v>0.19</v>
      </c>
      <c r="L2792" s="6" t="s">
        <v>42</v>
      </c>
      <c r="M2792" s="6" t="s">
        <v>69</v>
      </c>
      <c r="N2792" s="6"/>
    </row>
    <row r="2793" spans="1:14">
      <c r="A2793" s="6" t="s">
        <v>4379</v>
      </c>
      <c r="B2793" s="7">
        <v>46298</v>
      </c>
      <c r="C2793" s="6" t="s">
        <v>1987</v>
      </c>
      <c r="D2793" s="6" t="str">
        <f>IF(OR(PROPER(TRIM(Raw_Data!D2793))="Uk",PROPER(TRIM(Raw_Data!D2793))="Gb",PROPER(TRIM(Raw_Data!D2793))="United kingdom"),"United Kingdom",PROPER(TRIM(Raw_Data!D2793)))</f>
        <v>United Kingdom</v>
      </c>
      <c r="E2793" s="6" t="s">
        <v>28</v>
      </c>
      <c r="F2793" s="6" t="s">
        <v>47</v>
      </c>
      <c r="G2793" s="6" t="str">
        <f>SUBSTITUTE(Raw_Data!G2793,"Ã©","é")</f>
        <v>Trekking Poles</v>
      </c>
      <c r="H2793" s="6">
        <v>2</v>
      </c>
      <c r="I2793" s="6" t="s">
        <v>181</v>
      </c>
      <c r="J2793" s="6" t="s">
        <v>163</v>
      </c>
      <c r="K2793" s="6">
        <v>8.5000000000000006E-2</v>
      </c>
      <c r="L2793" s="6" t="s">
        <v>42</v>
      </c>
      <c r="M2793" s="6" t="s">
        <v>69</v>
      </c>
      <c r="N2793" s="6"/>
    </row>
    <row r="2794" spans="1:14">
      <c r="A2794" s="6" t="s">
        <v>4380</v>
      </c>
      <c r="B2794" s="7">
        <v>46079</v>
      </c>
      <c r="C2794" s="6" t="s">
        <v>2391</v>
      </c>
      <c r="D2794" s="6" t="str">
        <f>IF(OR(PROPER(TRIM(Raw_Data!D2794))="Uk",PROPER(TRIM(Raw_Data!D2794))="Gb",PROPER(TRIM(Raw_Data!D2794))="United kingdom"),"United Kingdom",PROPER(TRIM(Raw_Data!D2794)))</f>
        <v>Germany</v>
      </c>
      <c r="E2794" s="6" t="s">
        <v>46</v>
      </c>
      <c r="F2794" s="6" t="s">
        <v>53</v>
      </c>
      <c r="G2794" s="6" t="str">
        <f>SUBSTITUTE(Raw_Data!G2794,"Ã©","é")</f>
        <v>Trekking Poles</v>
      </c>
      <c r="H2794" s="6">
        <v>2</v>
      </c>
      <c r="I2794" s="6" t="s">
        <v>96</v>
      </c>
      <c r="J2794" s="6" t="s">
        <v>278</v>
      </c>
      <c r="K2794" s="6">
        <v>0.19</v>
      </c>
      <c r="L2794" s="6" t="s">
        <v>42</v>
      </c>
      <c r="M2794" s="6" t="s">
        <v>34</v>
      </c>
      <c r="N2794" s="6"/>
    </row>
    <row r="2795" spans="1:14">
      <c r="A2795" s="6" t="s">
        <v>4381</v>
      </c>
      <c r="B2795" s="7">
        <v>46140</v>
      </c>
      <c r="C2795" s="6" t="s">
        <v>1186</v>
      </c>
      <c r="D2795" s="6" t="str">
        <f>IF(OR(PROPER(TRIM(Raw_Data!D2795))="Uk",PROPER(TRIM(Raw_Data!D2795))="Gb",PROPER(TRIM(Raw_Data!D2795))="United kingdom"),"United Kingdom",PROPER(TRIM(Raw_Data!D2795)))</f>
        <v>France</v>
      </c>
      <c r="E2795" s="6" t="s">
        <v>28</v>
      </c>
      <c r="F2795" s="6" t="s">
        <v>58</v>
      </c>
      <c r="G2795" s="6" t="str">
        <f>SUBSTITUTE(Raw_Data!G2795,"Ã©","é")</f>
        <v>Merino Base Layer</v>
      </c>
      <c r="H2795" s="6">
        <v>2</v>
      </c>
      <c r="I2795" s="6" t="s">
        <v>90</v>
      </c>
      <c r="J2795" s="6" t="s">
        <v>1752</v>
      </c>
      <c r="K2795" s="6">
        <v>0.38</v>
      </c>
      <c r="L2795" s="6" t="s">
        <v>33</v>
      </c>
      <c r="M2795" s="6" t="s">
        <v>34</v>
      </c>
      <c r="N2795" s="6"/>
    </row>
    <row r="2796" spans="1:14">
      <c r="A2796" s="6" t="s">
        <v>4382</v>
      </c>
      <c r="B2796" s="7">
        <v>46083</v>
      </c>
      <c r="C2796" s="6" t="s">
        <v>955</v>
      </c>
      <c r="D2796" s="6" t="str">
        <f>IF(OR(PROPER(TRIM(Raw_Data!D2796))="Uk",PROPER(TRIM(Raw_Data!D2796))="Gb",PROPER(TRIM(Raw_Data!D2796))="United kingdom"),"United Kingdom",PROPER(TRIM(Raw_Data!D2796)))</f>
        <v>United Kingdom</v>
      </c>
      <c r="E2796" s="6" t="s">
        <v>37</v>
      </c>
      <c r="F2796" s="6" t="s">
        <v>53</v>
      </c>
      <c r="G2796" s="6" t="str">
        <f>SUBSTITUTE(Raw_Data!G2796,"Ã©","é")</f>
        <v>Summit Down Gilet</v>
      </c>
      <c r="H2796" s="6">
        <v>2</v>
      </c>
      <c r="I2796" s="6" t="s">
        <v>79</v>
      </c>
      <c r="J2796" s="6" t="s">
        <v>259</v>
      </c>
      <c r="K2796" s="6">
        <v>0.19</v>
      </c>
      <c r="L2796" s="6" t="s">
        <v>42</v>
      </c>
      <c r="M2796" s="6" t="s">
        <v>34</v>
      </c>
      <c r="N2796" s="6"/>
    </row>
    <row r="2797" spans="1:14">
      <c r="A2797" s="6" t="s">
        <v>4383</v>
      </c>
      <c r="B2797" s="7">
        <v>46101</v>
      </c>
      <c r="C2797" s="6" t="s">
        <v>339</v>
      </c>
      <c r="D2797" s="6" t="str">
        <f>IF(OR(PROPER(TRIM(Raw_Data!D2797))="Uk",PROPER(TRIM(Raw_Data!D2797))="Gb",PROPER(TRIM(Raw_Data!D2797))="United kingdom"),"United Kingdom",PROPER(TRIM(Raw_Data!D2797)))</f>
        <v>Germany</v>
      </c>
      <c r="E2797" s="6" t="s">
        <v>28</v>
      </c>
      <c r="F2797" s="6" t="s">
        <v>58</v>
      </c>
      <c r="G2797" s="6" t="str">
        <f>SUBSTITUTE(Raw_Data!G2797,"Ã©","é")</f>
        <v>Trail Softshell</v>
      </c>
      <c r="H2797" s="6">
        <v>3</v>
      </c>
      <c r="I2797" s="6" t="s">
        <v>181</v>
      </c>
      <c r="J2797" s="6" t="s">
        <v>4384</v>
      </c>
      <c r="K2797" s="6">
        <v>0.38</v>
      </c>
      <c r="L2797" s="6" t="s">
        <v>33</v>
      </c>
      <c r="M2797" s="6" t="s">
        <v>34</v>
      </c>
      <c r="N2797" s="6"/>
    </row>
    <row r="2798" spans="1:14">
      <c r="A2798" s="6" t="s">
        <v>4385</v>
      </c>
      <c r="B2798" s="7">
        <v>46359</v>
      </c>
      <c r="C2798" s="6" t="s">
        <v>3897</v>
      </c>
      <c r="D2798" s="6" t="str">
        <f>IF(OR(PROPER(TRIM(Raw_Data!D2798))="Uk",PROPER(TRIM(Raw_Data!D2798))="Gb",PROPER(TRIM(Raw_Data!D2798))="United kingdom"),"United Kingdom",PROPER(TRIM(Raw_Data!D2798)))</f>
        <v>United Kingdom</v>
      </c>
      <c r="E2798" s="6" t="s">
        <v>52</v>
      </c>
      <c r="F2798" s="6" t="s">
        <v>38</v>
      </c>
      <c r="G2798" s="6" t="str">
        <f>SUBSTITUTE(Raw_Data!G2798,"Ã©","é")</f>
        <v>Merino Base Layer</v>
      </c>
      <c r="H2798" s="6">
        <v>1</v>
      </c>
      <c r="I2798" s="6" t="s">
        <v>113</v>
      </c>
      <c r="J2798" s="6" t="s">
        <v>113</v>
      </c>
      <c r="K2798" s="6">
        <v>0.52</v>
      </c>
      <c r="L2798" s="6" t="s">
        <v>33</v>
      </c>
      <c r="M2798" s="6" t="s">
        <v>69</v>
      </c>
      <c r="N2798" s="6"/>
    </row>
    <row r="2799" spans="1:14">
      <c r="A2799" s="6" t="s">
        <v>4386</v>
      </c>
      <c r="B2799" s="7">
        <v>46135</v>
      </c>
      <c r="C2799" s="6" t="s">
        <v>4387</v>
      </c>
      <c r="D2799" s="6" t="str">
        <f>IF(OR(PROPER(TRIM(Raw_Data!D2799))="Uk",PROPER(TRIM(Raw_Data!D2799))="Gb",PROPER(TRIM(Raw_Data!D2799))="United kingdom"),"United Kingdom",PROPER(TRIM(Raw_Data!D2799)))</f>
        <v>Ireland</v>
      </c>
      <c r="E2799" s="6" t="s">
        <v>78</v>
      </c>
      <c r="F2799" s="6" t="s">
        <v>85</v>
      </c>
      <c r="G2799" s="6" t="str">
        <f>SUBSTITUTE(Raw_Data!G2799,"Ã©","é")</f>
        <v>Summit Down Gilet</v>
      </c>
      <c r="H2799" s="6">
        <v>2</v>
      </c>
      <c r="I2799" s="6" t="s">
        <v>60</v>
      </c>
      <c r="J2799" s="6" t="s">
        <v>189</v>
      </c>
      <c r="K2799" s="6">
        <v>0.41</v>
      </c>
      <c r="L2799" s="6" t="s">
        <v>42</v>
      </c>
      <c r="M2799" s="6" t="s">
        <v>34</v>
      </c>
      <c r="N2799" s="6"/>
    </row>
    <row r="2800" spans="1:14">
      <c r="A2800" s="6" t="s">
        <v>4388</v>
      </c>
      <c r="B2800" s="7">
        <v>46167</v>
      </c>
      <c r="C2800" s="6" t="s">
        <v>1649</v>
      </c>
      <c r="D2800" s="6" t="str">
        <f>IF(OR(PROPER(TRIM(Raw_Data!D2800))="Uk",PROPER(TRIM(Raw_Data!D2800))="Gb",PROPER(TRIM(Raw_Data!D2800))="United kingdom"),"United Kingdom",PROPER(TRIM(Raw_Data!D2800)))</f>
        <v>United Kingdom</v>
      </c>
      <c r="E2800" s="6" t="s">
        <v>52</v>
      </c>
      <c r="F2800" s="6" t="s">
        <v>85</v>
      </c>
      <c r="G2800" s="6" t="str">
        <f>SUBSTITUTE(Raw_Data!G2800,"Ã©","é")</f>
        <v>Trail Softshell</v>
      </c>
      <c r="H2800" s="6">
        <v>1</v>
      </c>
      <c r="I2800" s="6" t="s">
        <v>90</v>
      </c>
      <c r="J2800" s="6" t="s">
        <v>90</v>
      </c>
      <c r="K2800" s="6">
        <v>0.41</v>
      </c>
      <c r="L2800" s="6" t="s">
        <v>42</v>
      </c>
      <c r="M2800" s="6" t="s">
        <v>34</v>
      </c>
      <c r="N2800" s="6"/>
    </row>
    <row r="2801" spans="1:14">
      <c r="A2801" s="6" t="s">
        <v>4389</v>
      </c>
      <c r="B2801" s="7">
        <v>46111</v>
      </c>
      <c r="C2801" s="6" t="s">
        <v>4390</v>
      </c>
      <c r="D2801" s="6" t="str">
        <f>IF(OR(PROPER(TRIM(Raw_Data!D2801))="Uk",PROPER(TRIM(Raw_Data!D2801))="Gb",PROPER(TRIM(Raw_Data!D2801))="United kingdom"),"United Kingdom",PROPER(TRIM(Raw_Data!D2801)))</f>
        <v>United Kingdom</v>
      </c>
      <c r="E2801" s="6" t="s">
        <v>28</v>
      </c>
      <c r="F2801" s="6" t="s">
        <v>29</v>
      </c>
      <c r="G2801" s="6" t="str">
        <f>SUBSTITUTE(Raw_Data!G2801,"Ã©","é")</f>
        <v>Merino Base Layer</v>
      </c>
      <c r="H2801" s="6">
        <v>-1</v>
      </c>
      <c r="I2801" s="6" t="s">
        <v>113</v>
      </c>
      <c r="J2801" s="8" t="s">
        <v>1147</v>
      </c>
      <c r="K2801" s="6">
        <v>0.52</v>
      </c>
      <c r="L2801" s="6" t="s">
        <v>33</v>
      </c>
      <c r="M2801" s="6" t="s">
        <v>34</v>
      </c>
      <c r="N2801" s="6"/>
    </row>
    <row r="2802" spans="1:14">
      <c r="A2802" s="6" t="s">
        <v>4391</v>
      </c>
      <c r="B2802" s="7">
        <v>46041</v>
      </c>
      <c r="C2802" s="6" t="s">
        <v>3140</v>
      </c>
      <c r="D2802" s="6" t="str">
        <f>IF(OR(PROPER(TRIM(Raw_Data!D2802))="Uk",PROPER(TRIM(Raw_Data!D2802))="Gb",PROPER(TRIM(Raw_Data!D2802))="United kingdom"),"United Kingdom",PROPER(TRIM(Raw_Data!D2802)))</f>
        <v>United Kingdom</v>
      </c>
      <c r="E2802" s="6" t="s">
        <v>37</v>
      </c>
      <c r="F2802" s="6" t="s">
        <v>47</v>
      </c>
      <c r="G2802" s="6" t="str">
        <f>SUBSTITUTE(Raw_Data!G2802,"Ã©","é")</f>
        <v>Alpine Jacket</v>
      </c>
      <c r="H2802" s="6">
        <v>2</v>
      </c>
      <c r="I2802" s="6" t="s">
        <v>31</v>
      </c>
      <c r="J2802" s="6" t="s">
        <v>216</v>
      </c>
      <c r="K2802" s="6">
        <v>8.5000000000000006E-2</v>
      </c>
      <c r="L2802" s="6" t="s">
        <v>42</v>
      </c>
      <c r="M2802" s="6" t="s">
        <v>34</v>
      </c>
      <c r="N2802" s="6"/>
    </row>
    <row r="2803" spans="1:14">
      <c r="A2803" s="6" t="s">
        <v>4393</v>
      </c>
      <c r="B2803" s="7">
        <v>46107</v>
      </c>
      <c r="C2803" s="6" t="s">
        <v>4394</v>
      </c>
      <c r="D2803" s="6" t="str">
        <f>IF(OR(PROPER(TRIM(Raw_Data!D2803))="Uk",PROPER(TRIM(Raw_Data!D2803))="Gb",PROPER(TRIM(Raw_Data!D2803))="United kingdom"),"United Kingdom",PROPER(TRIM(Raw_Data!D2803)))</f>
        <v>United Kingdom</v>
      </c>
      <c r="E2803" s="6" t="s">
        <v>78</v>
      </c>
      <c r="F2803" s="6" t="s">
        <v>94</v>
      </c>
      <c r="G2803" s="6" t="str">
        <f>SUBSTITUTE(Raw_Data!G2803,"Ã©","é")</f>
        <v>Trekking Poles</v>
      </c>
      <c r="H2803" s="6">
        <v>1</v>
      </c>
      <c r="I2803" s="6" t="s">
        <v>113</v>
      </c>
      <c r="J2803" s="6" t="s">
        <v>113</v>
      </c>
      <c r="K2803" s="6">
        <v>0.34</v>
      </c>
      <c r="L2803" s="6" t="s">
        <v>42</v>
      </c>
      <c r="M2803" s="6" t="s">
        <v>34</v>
      </c>
      <c r="N2803" s="6"/>
    </row>
    <row r="2804" spans="1:14">
      <c r="A2804" s="6" t="s">
        <v>4395</v>
      </c>
      <c r="B2804" s="7">
        <v>46184</v>
      </c>
      <c r="C2804" s="6" t="s">
        <v>747</v>
      </c>
      <c r="D2804" s="6" t="str">
        <f>IF(OR(PROPER(TRIM(Raw_Data!D2804))="Uk",PROPER(TRIM(Raw_Data!D2804))="Gb",PROPER(TRIM(Raw_Data!D2804))="United kingdom"),"United Kingdom",PROPER(TRIM(Raw_Data!D2804)))</f>
        <v>United Kingdom</v>
      </c>
      <c r="E2804" s="6" t="s">
        <v>52</v>
      </c>
      <c r="F2804" s="6" t="s">
        <v>85</v>
      </c>
      <c r="G2804" s="6" t="str">
        <f>SUBSTITUTE(Raw_Data!G2804,"Ã©","é")</f>
        <v>Storm Overtrousers</v>
      </c>
      <c r="H2804" s="6">
        <v>1</v>
      </c>
      <c r="I2804" s="6" t="s">
        <v>117</v>
      </c>
      <c r="J2804" s="6" t="s">
        <v>117</v>
      </c>
      <c r="K2804" s="6">
        <v>0.41</v>
      </c>
      <c r="L2804" s="6" t="s">
        <v>33</v>
      </c>
      <c r="M2804" s="6" t="s">
        <v>69</v>
      </c>
      <c r="N2804" s="6"/>
    </row>
    <row r="2805" spans="1:14">
      <c r="A2805" s="6" t="s">
        <v>4396</v>
      </c>
      <c r="B2805" s="7">
        <v>46172</v>
      </c>
      <c r="C2805" s="6" t="s">
        <v>1420</v>
      </c>
      <c r="D2805" s="6" t="str">
        <f>IF(OR(PROPER(TRIM(Raw_Data!D2805))="Uk",PROPER(TRIM(Raw_Data!D2805))="Gb",PROPER(TRIM(Raw_Data!D2805))="United kingdom"),"United Kingdom",PROPER(TRIM(Raw_Data!D2805)))</f>
        <v>Ireland</v>
      </c>
      <c r="E2805" s="6" t="s">
        <v>37</v>
      </c>
      <c r="F2805" s="6" t="s">
        <v>85</v>
      </c>
      <c r="G2805" s="6" t="str">
        <f>SUBSTITUTE(Raw_Data!G2805,"Ã©","é")</f>
        <v>Storm Overtrousers</v>
      </c>
      <c r="H2805" s="6">
        <v>1</v>
      </c>
      <c r="I2805" s="6" t="s">
        <v>143</v>
      </c>
      <c r="J2805" s="6" t="s">
        <v>143</v>
      </c>
      <c r="K2805" s="6">
        <v>0.41</v>
      </c>
      <c r="L2805" s="6" t="s">
        <v>33</v>
      </c>
      <c r="M2805" s="6" t="s">
        <v>34</v>
      </c>
      <c r="N2805" s="6"/>
    </row>
    <row r="2806" spans="1:14">
      <c r="A2806" s="6" t="s">
        <v>4397</v>
      </c>
      <c r="B2806" s="7">
        <v>46029</v>
      </c>
      <c r="C2806" s="6" t="s">
        <v>1689</v>
      </c>
      <c r="D2806" s="6" t="str">
        <f>IF(OR(PROPER(TRIM(Raw_Data!D2806))="Uk",PROPER(TRIM(Raw_Data!D2806))="Gb",PROPER(TRIM(Raw_Data!D2806))="United kingdom"),"United Kingdom",PROPER(TRIM(Raw_Data!D2806)))</f>
        <v>France</v>
      </c>
      <c r="E2806" s="6" t="s">
        <v>78</v>
      </c>
      <c r="F2806" s="6" t="s">
        <v>29</v>
      </c>
      <c r="G2806" s="6" t="str">
        <f>SUBSTITUTE(Raw_Data!G2806,"Ã©","é")</f>
        <v>Café Latte Mug</v>
      </c>
      <c r="H2806" s="6">
        <v>3</v>
      </c>
      <c r="I2806" s="6" t="s">
        <v>117</v>
      </c>
      <c r="J2806" s="6" t="s">
        <v>171</v>
      </c>
      <c r="K2806" s="6">
        <v>0.52</v>
      </c>
      <c r="L2806" s="6" t="s">
        <v>42</v>
      </c>
      <c r="M2806" s="6" t="s">
        <v>69</v>
      </c>
      <c r="N2806" s="6"/>
    </row>
    <row r="2807" spans="1:14">
      <c r="A2807" s="6" t="s">
        <v>4398</v>
      </c>
      <c r="B2807" s="7">
        <v>46087</v>
      </c>
      <c r="C2807" s="6" t="s">
        <v>4399</v>
      </c>
      <c r="D2807" s="6" t="str">
        <f>IF(OR(PROPER(TRIM(Raw_Data!D2807))="Uk",PROPER(TRIM(Raw_Data!D2807))="Gb",PROPER(TRIM(Raw_Data!D2807))="United kingdom"),"United Kingdom",PROPER(TRIM(Raw_Data!D2807)))</f>
        <v>Germany</v>
      </c>
      <c r="E2807" s="6" t="s">
        <v>28</v>
      </c>
      <c r="F2807" s="6" t="s">
        <v>47</v>
      </c>
      <c r="G2807" s="6" t="str">
        <f>SUBSTITUTE(Raw_Data!G2807,"Ã©","é")</f>
        <v>Summit Down Gilet</v>
      </c>
      <c r="H2807" s="6">
        <v>1</v>
      </c>
      <c r="I2807" s="6" t="s">
        <v>117</v>
      </c>
      <c r="J2807" s="6" t="s">
        <v>117</v>
      </c>
      <c r="K2807" s="6">
        <v>8.5000000000000006E-2</v>
      </c>
      <c r="L2807" s="6" t="s">
        <v>42</v>
      </c>
      <c r="M2807" s="6" t="s">
        <v>69</v>
      </c>
      <c r="N2807" s="6"/>
    </row>
    <row r="2808" spans="1:14">
      <c r="A2808" s="6" t="s">
        <v>4400</v>
      </c>
      <c r="B2808" s="7">
        <v>46068</v>
      </c>
      <c r="C2808" s="6" t="s">
        <v>2031</v>
      </c>
      <c r="D2808" s="6" t="str">
        <f>IF(OR(PROPER(TRIM(Raw_Data!D2808))="Uk",PROPER(TRIM(Raw_Data!D2808))="Gb",PROPER(TRIM(Raw_Data!D2808))="United kingdom"),"United Kingdom",PROPER(TRIM(Raw_Data!D2808)))</f>
        <v>Ireland</v>
      </c>
      <c r="E2808" s="6" t="s">
        <v>37</v>
      </c>
      <c r="F2808" s="6" t="s">
        <v>94</v>
      </c>
      <c r="G2808" s="6" t="str">
        <f>SUBSTITUTE(Raw_Data!G2808,"Ã©","é")</f>
        <v>Trekking Poles</v>
      </c>
      <c r="H2808" s="6">
        <v>3</v>
      </c>
      <c r="I2808" s="6" t="s">
        <v>265</v>
      </c>
      <c r="J2808" s="6" t="s">
        <v>401</v>
      </c>
      <c r="K2808" s="6">
        <v>0.34</v>
      </c>
      <c r="L2808" s="6" t="s">
        <v>42</v>
      </c>
      <c r="M2808" s="6" t="s">
        <v>69</v>
      </c>
      <c r="N2808" s="6"/>
    </row>
    <row r="2809" spans="1:14">
      <c r="A2809" s="6" t="s">
        <v>4401</v>
      </c>
      <c r="B2809" s="7">
        <v>46297</v>
      </c>
      <c r="C2809" s="6" t="s">
        <v>431</v>
      </c>
      <c r="D2809" s="6" t="str">
        <f>IF(OR(PROPER(TRIM(Raw_Data!D2809))="Uk",PROPER(TRIM(Raw_Data!D2809))="Gb",PROPER(TRIM(Raw_Data!D2809))="United kingdom"),"United Kingdom",PROPER(TRIM(Raw_Data!D2809)))</f>
        <v>United Kingdom</v>
      </c>
      <c r="E2809" s="6" t="s">
        <v>46</v>
      </c>
      <c r="F2809" s="6" t="s">
        <v>47</v>
      </c>
      <c r="G2809" s="6" t="str">
        <f>SUBSTITUTE(Raw_Data!G2809,"Ã©","é")</f>
        <v>Alpine Jacket</v>
      </c>
      <c r="H2809" s="6">
        <v>1</v>
      </c>
      <c r="I2809" s="6" t="s">
        <v>40</v>
      </c>
      <c r="J2809" s="6" t="s">
        <v>40</v>
      </c>
      <c r="K2809" s="6">
        <v>8.5000000000000006E-2</v>
      </c>
      <c r="L2809" s="6" t="s">
        <v>42</v>
      </c>
      <c r="M2809" s="6" t="s">
        <v>69</v>
      </c>
      <c r="N2809" s="6"/>
    </row>
    <row r="2810" spans="1:14">
      <c r="A2810" s="6" t="s">
        <v>4402</v>
      </c>
      <c r="B2810" s="7">
        <v>46331</v>
      </c>
      <c r="C2810" s="6" t="s">
        <v>1824</v>
      </c>
      <c r="D2810" s="6" t="str">
        <f>IF(OR(PROPER(TRIM(Raw_Data!D2810))="Uk",PROPER(TRIM(Raw_Data!D2810))="Gb",PROPER(TRIM(Raw_Data!D2810))="United kingdom"),"United Kingdom",PROPER(TRIM(Raw_Data!D2810)))</f>
        <v>United Kingdom</v>
      </c>
      <c r="E2810" s="6" t="s">
        <v>52</v>
      </c>
      <c r="F2810" s="6" t="s">
        <v>38</v>
      </c>
      <c r="G2810" s="6" t="str">
        <f>SUBSTITUTE(Raw_Data!G2810,"Ã©","é")</f>
        <v>Alpine Jacket</v>
      </c>
      <c r="H2810" s="6">
        <v>1</v>
      </c>
      <c r="I2810" s="6" t="s">
        <v>79</v>
      </c>
      <c r="J2810" s="6" t="s">
        <v>79</v>
      </c>
      <c r="K2810" s="6">
        <v>0.52</v>
      </c>
      <c r="L2810" s="6" t="s">
        <v>42</v>
      </c>
      <c r="M2810" s="6" t="s">
        <v>34</v>
      </c>
      <c r="N2810" s="6"/>
    </row>
    <row r="2811" spans="1:14">
      <c r="A2811" s="6" t="s">
        <v>4403</v>
      </c>
      <c r="B2811" s="7">
        <v>46080</v>
      </c>
      <c r="C2811" s="6" t="s">
        <v>4196</v>
      </c>
      <c r="D2811" s="6" t="str">
        <f>IF(OR(PROPER(TRIM(Raw_Data!D2811))="Uk",PROPER(TRIM(Raw_Data!D2811))="Gb",PROPER(TRIM(Raw_Data!D2811))="United kingdom"),"United Kingdom",PROPER(TRIM(Raw_Data!D2811)))</f>
        <v>Germany</v>
      </c>
      <c r="E2811" s="6" t="s">
        <v>28</v>
      </c>
      <c r="F2811" s="6" t="s">
        <v>94</v>
      </c>
      <c r="G2811" s="6" t="str">
        <f>SUBSTITUTE(Raw_Data!G2811,"Ã©","é")</f>
        <v>Fell Runner Cap</v>
      </c>
      <c r="H2811" s="6">
        <v>2</v>
      </c>
      <c r="I2811" s="6" t="s">
        <v>31</v>
      </c>
      <c r="J2811" s="6" t="s">
        <v>249</v>
      </c>
      <c r="K2811" s="6">
        <v>0.34</v>
      </c>
      <c r="L2811" s="6" t="s">
        <v>33</v>
      </c>
      <c r="M2811" s="6" t="s">
        <v>34</v>
      </c>
      <c r="N2811" s="6"/>
    </row>
    <row r="2812" spans="1:14">
      <c r="A2812" s="6" t="s">
        <v>4404</v>
      </c>
      <c r="B2812" s="7">
        <v>46169</v>
      </c>
      <c r="C2812" s="6" t="s">
        <v>1453</v>
      </c>
      <c r="D2812" s="6" t="str">
        <f>IF(OR(PROPER(TRIM(Raw_Data!D2812))="Uk",PROPER(TRIM(Raw_Data!D2812))="Gb",PROPER(TRIM(Raw_Data!D2812))="United kingdom"),"United Kingdom",PROPER(TRIM(Raw_Data!D2812)))</f>
        <v>United Kingdom</v>
      </c>
      <c r="E2812" s="6" t="s">
        <v>37</v>
      </c>
      <c r="F2812" s="6" t="s">
        <v>29</v>
      </c>
      <c r="G2812" s="6" t="str">
        <f>SUBSTITUTE(Raw_Data!G2812,"Ã©","é")</f>
        <v>Café Latte Mug</v>
      </c>
      <c r="H2812" s="6">
        <v>2</v>
      </c>
      <c r="I2812" s="6" t="s">
        <v>181</v>
      </c>
      <c r="J2812" s="6" t="s">
        <v>163</v>
      </c>
      <c r="K2812" s="6">
        <v>0.52</v>
      </c>
      <c r="L2812" s="6" t="s">
        <v>42</v>
      </c>
      <c r="M2812" s="6" t="s">
        <v>34</v>
      </c>
      <c r="N2812" s="6"/>
    </row>
    <row r="2813" spans="1:14">
      <c r="A2813" s="6" t="s">
        <v>4405</v>
      </c>
      <c r="B2813" s="7">
        <v>46072</v>
      </c>
      <c r="C2813" s="6" t="s">
        <v>1658</v>
      </c>
      <c r="D2813" s="6" t="str">
        <f>IF(OR(PROPER(TRIM(Raw_Data!D2813))="Uk",PROPER(TRIM(Raw_Data!D2813))="Gb",PROPER(TRIM(Raw_Data!D2813))="United kingdom"),"United Kingdom",PROPER(TRIM(Raw_Data!D2813)))</f>
        <v>United Kingdom</v>
      </c>
      <c r="E2813" s="6" t="s">
        <v>28</v>
      </c>
      <c r="F2813" s="6" t="s">
        <v>47</v>
      </c>
      <c r="G2813" s="6" t="str">
        <f>SUBSTITUTE(Raw_Data!G2813,"Ã©","é")</f>
        <v>Merino Base Layer</v>
      </c>
      <c r="H2813" s="6">
        <v>1</v>
      </c>
      <c r="I2813" s="6" t="s">
        <v>90</v>
      </c>
      <c r="J2813" s="6" t="s">
        <v>90</v>
      </c>
      <c r="K2813" s="6">
        <v>8.5000000000000006E-2</v>
      </c>
      <c r="L2813" s="6" t="s">
        <v>33</v>
      </c>
      <c r="M2813" s="6" t="s">
        <v>34</v>
      </c>
      <c r="N2813" s="6"/>
    </row>
    <row r="2814" spans="1:14">
      <c r="A2814" s="6" t="s">
        <v>4406</v>
      </c>
      <c r="B2814" s="7">
        <v>46270</v>
      </c>
      <c r="C2814" s="6" t="s">
        <v>1221</v>
      </c>
      <c r="D2814" s="6" t="str">
        <f>IF(OR(PROPER(TRIM(Raw_Data!D2814))="Uk",PROPER(TRIM(Raw_Data!D2814))="Gb",PROPER(TRIM(Raw_Data!D2814))="United kingdom"),"United Kingdom",PROPER(TRIM(Raw_Data!D2814)))</f>
        <v>France</v>
      </c>
      <c r="E2814" s="6" t="s">
        <v>52</v>
      </c>
      <c r="F2814" s="6" t="s">
        <v>100</v>
      </c>
      <c r="G2814" s="6" t="str">
        <f>SUBSTITUTE(Raw_Data!G2814,"Ã©","é")</f>
        <v>Storm Overtrousers</v>
      </c>
      <c r="H2814" s="6">
        <v>2</v>
      </c>
      <c r="I2814" s="6" t="s">
        <v>79</v>
      </c>
      <c r="J2814" s="6" t="s">
        <v>259</v>
      </c>
      <c r="K2814" s="6">
        <v>0.64</v>
      </c>
      <c r="L2814" s="6" t="s">
        <v>42</v>
      </c>
      <c r="M2814" s="6" t="s">
        <v>34</v>
      </c>
      <c r="N2814" s="6"/>
    </row>
    <row r="2815" spans="1:14">
      <c r="A2815" s="6" t="s">
        <v>4407</v>
      </c>
      <c r="B2815" s="7">
        <v>46177</v>
      </c>
      <c r="C2815" s="6" t="s">
        <v>1325</v>
      </c>
      <c r="D2815" s="6" t="str">
        <f>IF(OR(PROPER(TRIM(Raw_Data!D2815))="Uk",PROPER(TRIM(Raw_Data!D2815))="Gb",PROPER(TRIM(Raw_Data!D2815))="United kingdom"),"United Kingdom",PROPER(TRIM(Raw_Data!D2815)))</f>
        <v>United Kingdom</v>
      </c>
      <c r="E2815" s="6" t="s">
        <v>78</v>
      </c>
      <c r="F2815" s="6" t="s">
        <v>100</v>
      </c>
      <c r="G2815" s="6" t="str">
        <f>SUBSTITUTE(Raw_Data!G2815,"Ã©","é")</f>
        <v>Fell Runner Cap</v>
      </c>
      <c r="H2815" s="6">
        <v>1</v>
      </c>
      <c r="I2815" s="6" t="s">
        <v>181</v>
      </c>
      <c r="J2815" s="6" t="s">
        <v>181</v>
      </c>
      <c r="K2815" s="6">
        <v>0.64</v>
      </c>
      <c r="L2815" s="6" t="s">
        <v>42</v>
      </c>
      <c r="M2815" s="6" t="s">
        <v>34</v>
      </c>
      <c r="N2815" s="6"/>
    </row>
    <row r="2816" spans="1:14">
      <c r="A2816" s="6" t="s">
        <v>4408</v>
      </c>
      <c r="B2816" s="7">
        <v>46028</v>
      </c>
      <c r="C2816" s="6" t="s">
        <v>1057</v>
      </c>
      <c r="D2816" s="6" t="str">
        <f>IF(OR(PROPER(TRIM(Raw_Data!D2816))="Uk",PROPER(TRIM(Raw_Data!D2816))="Gb",PROPER(TRIM(Raw_Data!D2816))="United kingdom"),"United Kingdom",PROPER(TRIM(Raw_Data!D2816)))</f>
        <v>United Kingdom</v>
      </c>
      <c r="E2816" s="6" t="s">
        <v>46</v>
      </c>
      <c r="F2816" s="6" t="s">
        <v>100</v>
      </c>
      <c r="G2816" s="6" t="str">
        <f>SUBSTITUTE(Raw_Data!G2816,"Ã©","é")</f>
        <v>Trekking Poles</v>
      </c>
      <c r="H2816" s="6">
        <v>3</v>
      </c>
      <c r="I2816" s="6" t="s">
        <v>231</v>
      </c>
      <c r="J2816" s="6" t="s">
        <v>505</v>
      </c>
      <c r="K2816" s="6">
        <v>0.64</v>
      </c>
      <c r="L2816" s="6" t="s">
        <v>42</v>
      </c>
      <c r="M2816" s="6" t="s">
        <v>34</v>
      </c>
      <c r="N2816" s="6"/>
    </row>
    <row r="2817" spans="1:14">
      <c r="A2817" s="6" t="s">
        <v>4409</v>
      </c>
      <c r="B2817" s="7">
        <v>46199</v>
      </c>
      <c r="C2817" s="6" t="s">
        <v>503</v>
      </c>
      <c r="D2817" s="6" t="str">
        <f>IF(OR(PROPER(TRIM(Raw_Data!D2817))="Uk",PROPER(TRIM(Raw_Data!D2817))="Gb",PROPER(TRIM(Raw_Data!D2817))="United kingdom"),"United Kingdom",PROPER(TRIM(Raw_Data!D2817)))</f>
        <v>United Kingdom</v>
      </c>
      <c r="E2817" s="6" t="s">
        <v>52</v>
      </c>
      <c r="F2817" s="6" t="s">
        <v>100</v>
      </c>
      <c r="G2817" s="6" t="str">
        <f>SUBSTITUTE(Raw_Data!G2817,"Ã©","é")</f>
        <v>Café Latte Mug</v>
      </c>
      <c r="H2817" s="6">
        <v>2</v>
      </c>
      <c r="I2817" s="6" t="s">
        <v>31</v>
      </c>
      <c r="J2817" s="6" t="s">
        <v>249</v>
      </c>
      <c r="K2817" s="6">
        <v>0.64</v>
      </c>
      <c r="L2817" s="6" t="s">
        <v>42</v>
      </c>
      <c r="M2817" s="6" t="s">
        <v>34</v>
      </c>
      <c r="N2817" s="6"/>
    </row>
    <row r="2818" spans="1:14">
      <c r="A2818" s="6" t="s">
        <v>4410</v>
      </c>
      <c r="B2818" s="7">
        <v>46051</v>
      </c>
      <c r="C2818" s="6" t="s">
        <v>2292</v>
      </c>
      <c r="D2818" s="6" t="str">
        <f>IF(OR(PROPER(TRIM(Raw_Data!D2818))="Uk",PROPER(TRIM(Raw_Data!D2818))="Gb",PROPER(TRIM(Raw_Data!D2818))="United kingdom"),"United Kingdom",PROPER(TRIM(Raw_Data!D2818)))</f>
        <v>United Kingdom</v>
      </c>
      <c r="E2818" s="6" t="s">
        <v>52</v>
      </c>
      <c r="F2818" s="6" t="s">
        <v>47</v>
      </c>
      <c r="G2818" s="6" t="str">
        <f>SUBSTITUTE(Raw_Data!G2818,"Ã©","é")</f>
        <v>Storm Overtrousers</v>
      </c>
      <c r="H2818" s="6">
        <v>1</v>
      </c>
      <c r="I2818" s="6" t="s">
        <v>96</v>
      </c>
      <c r="J2818" s="6" t="s">
        <v>96</v>
      </c>
      <c r="K2818" s="6">
        <v>8.5000000000000006E-2</v>
      </c>
      <c r="L2818" s="6" t="s">
        <v>33</v>
      </c>
      <c r="M2818" s="6" t="s">
        <v>34</v>
      </c>
      <c r="N2818" s="6"/>
    </row>
    <row r="2819" spans="1:14">
      <c r="A2819" s="6" t="s">
        <v>4411</v>
      </c>
      <c r="B2819" s="7">
        <v>46131</v>
      </c>
      <c r="C2819" s="6" t="s">
        <v>396</v>
      </c>
      <c r="D2819" s="6" t="str">
        <f>IF(OR(PROPER(TRIM(Raw_Data!D2819))="Uk",PROPER(TRIM(Raw_Data!D2819))="Gb",PROPER(TRIM(Raw_Data!D2819))="United kingdom"),"United Kingdom",PROPER(TRIM(Raw_Data!D2819)))</f>
        <v>United Kingdom</v>
      </c>
      <c r="E2819" s="6" t="s">
        <v>28</v>
      </c>
      <c r="F2819" s="6" t="s">
        <v>85</v>
      </c>
      <c r="G2819" s="6" t="str">
        <f>SUBSTITUTE(Raw_Data!G2819,"Ã©","é")</f>
        <v>Café Latte Mug</v>
      </c>
      <c r="H2819" s="6">
        <v>1</v>
      </c>
      <c r="I2819" s="6" t="s">
        <v>90</v>
      </c>
      <c r="J2819" s="6" t="s">
        <v>90</v>
      </c>
      <c r="K2819" s="6">
        <v>0.41</v>
      </c>
      <c r="L2819" s="6" t="s">
        <v>42</v>
      </c>
      <c r="M2819" s="6" t="s">
        <v>34</v>
      </c>
      <c r="N2819" s="6"/>
    </row>
    <row r="2820" spans="1:14">
      <c r="A2820" s="6" t="s">
        <v>4412</v>
      </c>
      <c r="B2820" s="7">
        <v>46050</v>
      </c>
      <c r="C2820" s="6" t="s">
        <v>707</v>
      </c>
      <c r="D2820" s="6" t="str">
        <f>IF(OR(PROPER(TRIM(Raw_Data!D2820))="Uk",PROPER(TRIM(Raw_Data!D2820))="Gb",PROPER(TRIM(Raw_Data!D2820))="United kingdom"),"United Kingdom",PROPER(TRIM(Raw_Data!D2820)))</f>
        <v>United Kingdom</v>
      </c>
      <c r="E2820" s="6" t="s">
        <v>46</v>
      </c>
      <c r="F2820" s="6" t="s">
        <v>94</v>
      </c>
      <c r="G2820" s="6" t="str">
        <f>SUBSTITUTE(Raw_Data!G2820,"Ã©","é")</f>
        <v>Café Latte Mug</v>
      </c>
      <c r="H2820" s="6">
        <v>2</v>
      </c>
      <c r="I2820" s="6" t="s">
        <v>113</v>
      </c>
      <c r="J2820" s="6" t="s">
        <v>192</v>
      </c>
      <c r="K2820" s="6">
        <v>0.34</v>
      </c>
      <c r="L2820" s="6" t="s">
        <v>42</v>
      </c>
      <c r="M2820" s="6" t="s">
        <v>34</v>
      </c>
      <c r="N2820" s="6"/>
    </row>
    <row r="2821" spans="1:14">
      <c r="A2821" s="6" t="s">
        <v>4413</v>
      </c>
      <c r="B2821" s="7">
        <v>46043</v>
      </c>
      <c r="C2821" s="6" t="s">
        <v>1369</v>
      </c>
      <c r="D2821" s="6" t="str">
        <f>IF(OR(PROPER(TRIM(Raw_Data!D2821))="Uk",PROPER(TRIM(Raw_Data!D2821))="Gb",PROPER(TRIM(Raw_Data!D2821))="United kingdom"),"United Kingdom",PROPER(TRIM(Raw_Data!D2821)))</f>
        <v>United Kingdom</v>
      </c>
      <c r="E2821" s="6" t="s">
        <v>78</v>
      </c>
      <c r="F2821" s="6" t="s">
        <v>29</v>
      </c>
      <c r="G2821" s="6" t="str">
        <f>SUBSTITUTE(Raw_Data!G2821,"Ã©","é")</f>
        <v>Trail Softshell</v>
      </c>
      <c r="H2821" s="6">
        <v>1</v>
      </c>
      <c r="I2821" s="6" t="s">
        <v>73</v>
      </c>
      <c r="J2821" s="6" t="s">
        <v>73</v>
      </c>
      <c r="K2821" s="6">
        <v>0.52</v>
      </c>
      <c r="L2821" s="6" t="s">
        <v>42</v>
      </c>
      <c r="M2821" s="6" t="s">
        <v>34</v>
      </c>
      <c r="N2821" s="6"/>
    </row>
    <row r="2822" spans="1:14">
      <c r="A2822" s="6" t="s">
        <v>4414</v>
      </c>
      <c r="B2822" s="7">
        <v>46111</v>
      </c>
      <c r="C2822" s="6" t="s">
        <v>4416</v>
      </c>
      <c r="D2822" s="6" t="str">
        <f>IF(OR(PROPER(TRIM(Raw_Data!D2822))="Uk",PROPER(TRIM(Raw_Data!D2822))="Gb",PROPER(TRIM(Raw_Data!D2822))="United kingdom"),"United Kingdom",PROPER(TRIM(Raw_Data!D2822)))</f>
        <v>United Kingdom</v>
      </c>
      <c r="E2822" s="6" t="s">
        <v>37</v>
      </c>
      <c r="F2822" s="6" t="s">
        <v>85</v>
      </c>
      <c r="G2822" s="6" t="str">
        <f>SUBSTITUTE(Raw_Data!G2822,"Ã©","é")</f>
        <v>Alpine Jacket</v>
      </c>
      <c r="H2822" s="6">
        <v>3</v>
      </c>
      <c r="I2822" s="6" t="s">
        <v>113</v>
      </c>
      <c r="J2822" s="6" t="s">
        <v>138</v>
      </c>
      <c r="K2822" s="6">
        <v>0.41</v>
      </c>
      <c r="L2822" s="6" t="s">
        <v>33</v>
      </c>
      <c r="M2822" s="6" t="s">
        <v>34</v>
      </c>
      <c r="N2822" s="6"/>
    </row>
    <row r="2823" spans="1:14">
      <c r="A2823" s="6" t="s">
        <v>4417</v>
      </c>
      <c r="B2823" s="7">
        <v>46116</v>
      </c>
      <c r="C2823" s="6" t="s">
        <v>4418</v>
      </c>
      <c r="D2823" s="6" t="str">
        <f>IF(OR(PROPER(TRIM(Raw_Data!D2823))="Uk",PROPER(TRIM(Raw_Data!D2823))="Gb",PROPER(TRIM(Raw_Data!D2823))="United kingdom"),"United Kingdom",PROPER(TRIM(Raw_Data!D2823)))</f>
        <v>United Kingdom</v>
      </c>
      <c r="E2823" s="6" t="s">
        <v>52</v>
      </c>
      <c r="F2823" s="6" t="s">
        <v>53</v>
      </c>
      <c r="G2823" s="6" t="str">
        <f>SUBSTITUTE(Raw_Data!G2823,"Ã©","é")</f>
        <v>Alpine Jacket</v>
      </c>
      <c r="H2823" s="6">
        <v>2</v>
      </c>
      <c r="I2823" s="6" t="s">
        <v>79</v>
      </c>
      <c r="J2823" s="6" t="s">
        <v>259</v>
      </c>
      <c r="K2823" s="6">
        <v>0.19</v>
      </c>
      <c r="L2823" s="6" t="s">
        <v>33</v>
      </c>
      <c r="M2823" s="6" t="s">
        <v>34</v>
      </c>
      <c r="N2823" s="6"/>
    </row>
    <row r="2824" spans="1:14">
      <c r="A2824" s="6" t="s">
        <v>4419</v>
      </c>
      <c r="B2824" s="7">
        <v>46195</v>
      </c>
      <c r="C2824" s="6" t="s">
        <v>513</v>
      </c>
      <c r="D2824" s="6" t="str">
        <f>IF(OR(PROPER(TRIM(Raw_Data!D2824))="Uk",PROPER(TRIM(Raw_Data!D2824))="Gb",PROPER(TRIM(Raw_Data!D2824))="United kingdom"),"United Kingdom",PROPER(TRIM(Raw_Data!D2824)))</f>
        <v>United Kingdom</v>
      </c>
      <c r="E2824" s="6" t="s">
        <v>46</v>
      </c>
      <c r="F2824" s="6" t="s">
        <v>47</v>
      </c>
      <c r="G2824" s="6" t="str">
        <f>SUBSTITUTE(Raw_Data!G2824,"Ã©","é")</f>
        <v>Summit Down Gilet</v>
      </c>
      <c r="H2824" s="6">
        <v>2</v>
      </c>
      <c r="I2824" s="6" t="s">
        <v>82</v>
      </c>
      <c r="J2824" s="6" t="s">
        <v>297</v>
      </c>
      <c r="K2824" s="6">
        <v>8.5000000000000006E-2</v>
      </c>
      <c r="L2824" s="6" t="s">
        <v>42</v>
      </c>
      <c r="M2824" s="6" t="s">
        <v>69</v>
      </c>
      <c r="N2824" s="6"/>
    </row>
    <row r="2825" spans="1:14">
      <c r="A2825" s="6" t="s">
        <v>4420</v>
      </c>
      <c r="B2825" s="7">
        <v>46053</v>
      </c>
      <c r="C2825" s="6" t="s">
        <v>2275</v>
      </c>
      <c r="D2825" s="6" t="str">
        <f>IF(OR(PROPER(TRIM(Raw_Data!D2825))="Uk",PROPER(TRIM(Raw_Data!D2825))="Gb",PROPER(TRIM(Raw_Data!D2825))="United kingdom"),"United Kingdom",PROPER(TRIM(Raw_Data!D2825)))</f>
        <v>Ireland</v>
      </c>
      <c r="E2825" s="6" t="s">
        <v>37</v>
      </c>
      <c r="F2825" s="6" t="s">
        <v>29</v>
      </c>
      <c r="G2825" s="6" t="str">
        <f>SUBSTITUTE(Raw_Data!G2825,"Ã©","é")</f>
        <v>Trail Softshell</v>
      </c>
      <c r="H2825" s="6">
        <v>1</v>
      </c>
      <c r="I2825" s="6" t="s">
        <v>67</v>
      </c>
      <c r="J2825" s="6" t="s">
        <v>67</v>
      </c>
      <c r="K2825" s="6">
        <v>0.52</v>
      </c>
      <c r="L2825" s="6" t="s">
        <v>42</v>
      </c>
      <c r="M2825" s="6" t="s">
        <v>34</v>
      </c>
      <c r="N2825" s="6"/>
    </row>
    <row r="2826" spans="1:14">
      <c r="A2826" s="6" t="s">
        <v>4421</v>
      </c>
      <c r="B2826" s="7">
        <v>46203</v>
      </c>
      <c r="C2826" s="6" t="s">
        <v>4422</v>
      </c>
      <c r="D2826" s="6" t="str">
        <f>IF(OR(PROPER(TRIM(Raw_Data!D2826))="Uk",PROPER(TRIM(Raw_Data!D2826))="Gb",PROPER(TRIM(Raw_Data!D2826))="United kingdom"),"United Kingdom",PROPER(TRIM(Raw_Data!D2826)))</f>
        <v>United Kingdom</v>
      </c>
      <c r="E2826" s="6" t="s">
        <v>78</v>
      </c>
      <c r="F2826" s="6" t="s">
        <v>85</v>
      </c>
      <c r="G2826" s="6" t="str">
        <f>SUBSTITUTE(Raw_Data!G2826,"Ã©","é")</f>
        <v>Storm Overtrousers</v>
      </c>
      <c r="H2826" s="6">
        <v>2</v>
      </c>
      <c r="I2826" s="6" t="s">
        <v>181</v>
      </c>
      <c r="J2826" s="6" t="s">
        <v>163</v>
      </c>
      <c r="K2826" s="6">
        <v>0.41</v>
      </c>
      <c r="L2826" s="6" t="s">
        <v>33</v>
      </c>
      <c r="M2826" s="6" t="s">
        <v>34</v>
      </c>
      <c r="N2826" s="6"/>
    </row>
    <row r="2827" spans="1:14">
      <c r="A2827" s="6" t="s">
        <v>4423</v>
      </c>
      <c r="B2827" s="7">
        <v>46108</v>
      </c>
      <c r="C2827" s="6" t="s">
        <v>780</v>
      </c>
      <c r="D2827" s="6" t="str">
        <f>IF(OR(PROPER(TRIM(Raw_Data!D2827))="Uk",PROPER(TRIM(Raw_Data!D2827))="Gb",PROPER(TRIM(Raw_Data!D2827))="United kingdom"),"United Kingdom",PROPER(TRIM(Raw_Data!D2827)))</f>
        <v>Ireland</v>
      </c>
      <c r="E2827" s="6" t="s">
        <v>37</v>
      </c>
      <c r="F2827" s="6" t="s">
        <v>100</v>
      </c>
      <c r="G2827" s="6" t="str">
        <f>SUBSTITUTE(Raw_Data!G2827,"Ã©","é")</f>
        <v>Trail Softshell</v>
      </c>
      <c r="H2827" s="6">
        <v>1</v>
      </c>
      <c r="I2827" s="6" t="s">
        <v>31</v>
      </c>
      <c r="J2827" s="6" t="s">
        <v>31</v>
      </c>
      <c r="K2827" s="6">
        <v>0.64</v>
      </c>
      <c r="L2827" s="6" t="s">
        <v>42</v>
      </c>
      <c r="M2827" s="6" t="s">
        <v>34</v>
      </c>
      <c r="N2827" s="6"/>
    </row>
    <row r="2828" spans="1:14">
      <c r="A2828" s="6" t="s">
        <v>4424</v>
      </c>
      <c r="B2828" s="7">
        <v>46098</v>
      </c>
      <c r="C2828" s="6" t="s">
        <v>408</v>
      </c>
      <c r="D2828" s="6" t="str">
        <f>IF(OR(PROPER(TRIM(Raw_Data!D2828))="Uk",PROPER(TRIM(Raw_Data!D2828))="Gb",PROPER(TRIM(Raw_Data!D2828))="United kingdom"),"United Kingdom",PROPER(TRIM(Raw_Data!D2828)))</f>
        <v>United Kingdom</v>
      </c>
      <c r="E2828" s="6" t="s">
        <v>78</v>
      </c>
      <c r="F2828" s="6" t="s">
        <v>53</v>
      </c>
      <c r="G2828" s="6" t="str">
        <f>SUBSTITUTE(Raw_Data!G2828,"Ã©","é")</f>
        <v>Merino Base Layer</v>
      </c>
      <c r="H2828" s="6">
        <v>2</v>
      </c>
      <c r="I2828" s="6" t="s">
        <v>143</v>
      </c>
      <c r="J2828" s="6" t="s">
        <v>144</v>
      </c>
      <c r="K2828" s="6">
        <v>0.19</v>
      </c>
      <c r="L2828" s="6" t="s">
        <v>42</v>
      </c>
      <c r="M2828" s="6" t="s">
        <v>34</v>
      </c>
      <c r="N2828" s="6"/>
    </row>
    <row r="2829" spans="1:14">
      <c r="A2829" s="6" t="s">
        <v>4425</v>
      </c>
      <c r="B2829" s="7">
        <v>46169</v>
      </c>
      <c r="C2829" s="6" t="s">
        <v>4426</v>
      </c>
      <c r="D2829" s="6" t="str">
        <f>IF(OR(PROPER(TRIM(Raw_Data!D2829))="Uk",PROPER(TRIM(Raw_Data!D2829))="Gb",PROPER(TRIM(Raw_Data!D2829))="United kingdom"),"United Kingdom",PROPER(TRIM(Raw_Data!D2829)))</f>
        <v>Germany</v>
      </c>
      <c r="E2829" s="6" t="s">
        <v>46</v>
      </c>
      <c r="F2829" s="6" t="s">
        <v>100</v>
      </c>
      <c r="G2829" s="6" t="str">
        <f>SUBSTITUTE(Raw_Data!G2829,"Ã©","é")</f>
        <v>Café Latte Mug</v>
      </c>
      <c r="H2829" s="6">
        <v>1</v>
      </c>
      <c r="I2829" s="6" t="s">
        <v>90</v>
      </c>
      <c r="J2829" s="6" t="s">
        <v>1182</v>
      </c>
      <c r="K2829" s="6">
        <v>0.64</v>
      </c>
      <c r="L2829" s="6" t="s">
        <v>42</v>
      </c>
      <c r="M2829" s="6" t="s">
        <v>34</v>
      </c>
      <c r="N2829" s="6"/>
    </row>
    <row r="2830" spans="1:14">
      <c r="A2830" s="6" t="s">
        <v>4427</v>
      </c>
      <c r="B2830" s="7">
        <v>46155</v>
      </c>
      <c r="C2830" s="6" t="s">
        <v>1380</v>
      </c>
      <c r="D2830" s="6" t="str">
        <f>IF(OR(PROPER(TRIM(Raw_Data!D2830))="Uk",PROPER(TRIM(Raw_Data!D2830))="Gb",PROPER(TRIM(Raw_Data!D2830))="United kingdom"),"United Kingdom",PROPER(TRIM(Raw_Data!D2830)))</f>
        <v>Germany</v>
      </c>
      <c r="E2830" s="6" t="s">
        <v>52</v>
      </c>
      <c r="F2830" s="6" t="s">
        <v>58</v>
      </c>
      <c r="G2830" s="6" t="str">
        <f>SUBSTITUTE(Raw_Data!G2830,"Ã©","é")</f>
        <v>Alpine Jacket</v>
      </c>
      <c r="H2830" s="6">
        <v>3</v>
      </c>
      <c r="I2830" s="6" t="s">
        <v>113</v>
      </c>
      <c r="J2830" s="6" t="s">
        <v>138</v>
      </c>
      <c r="K2830" s="6">
        <v>0.38</v>
      </c>
      <c r="L2830" s="6" t="s">
        <v>42</v>
      </c>
      <c r="M2830" s="6" t="s">
        <v>34</v>
      </c>
      <c r="N2830" s="6"/>
    </row>
    <row r="2831" spans="1:14">
      <c r="A2831" s="6" t="s">
        <v>4428</v>
      </c>
      <c r="B2831" s="7">
        <v>46095</v>
      </c>
      <c r="C2831" s="6" t="s">
        <v>1007</v>
      </c>
      <c r="D2831" s="6" t="str">
        <f>IF(OR(PROPER(TRIM(Raw_Data!D2831))="Uk",PROPER(TRIM(Raw_Data!D2831))="Gb",PROPER(TRIM(Raw_Data!D2831))="United kingdom"),"United Kingdom",PROPER(TRIM(Raw_Data!D2831)))</f>
        <v>United Kingdom</v>
      </c>
      <c r="E2831" s="6" t="s">
        <v>78</v>
      </c>
      <c r="F2831" s="6" t="s">
        <v>38</v>
      </c>
      <c r="G2831" s="6" t="str">
        <f>SUBSTITUTE(Raw_Data!G2831,"Ã©","é")</f>
        <v>Merino Base Layer</v>
      </c>
      <c r="H2831" s="6">
        <v>1</v>
      </c>
      <c r="I2831" s="6" t="s">
        <v>113</v>
      </c>
      <c r="J2831" s="6" t="s">
        <v>113</v>
      </c>
      <c r="K2831" s="6">
        <v>0.52</v>
      </c>
      <c r="L2831" s="6" t="s">
        <v>42</v>
      </c>
      <c r="M2831" s="6" t="s">
        <v>34</v>
      </c>
      <c r="N2831" s="6"/>
    </row>
    <row r="2832" spans="1:14">
      <c r="A2832" s="6" t="s">
        <v>4429</v>
      </c>
      <c r="B2832" s="7">
        <v>46204</v>
      </c>
      <c r="C2832" s="6" t="s">
        <v>4360</v>
      </c>
      <c r="D2832" s="6" t="str">
        <f>IF(OR(PROPER(TRIM(Raw_Data!D2832))="Uk",PROPER(TRIM(Raw_Data!D2832))="Gb",PROPER(TRIM(Raw_Data!D2832))="United kingdom"),"United Kingdom",PROPER(TRIM(Raw_Data!D2832)))</f>
        <v>United Kingdom</v>
      </c>
      <c r="E2832" s="6" t="s">
        <v>28</v>
      </c>
      <c r="F2832" s="6" t="s">
        <v>47</v>
      </c>
      <c r="G2832" s="6" t="str">
        <f>SUBSTITUTE(Raw_Data!G2832,"Ã©","é")</f>
        <v>Fell Runner Cap</v>
      </c>
      <c r="H2832" s="6">
        <v>2</v>
      </c>
      <c r="I2832" s="6" t="s">
        <v>73</v>
      </c>
      <c r="J2832" s="6" t="s">
        <v>74</v>
      </c>
      <c r="K2832" s="6">
        <v>8.5000000000000006E-2</v>
      </c>
      <c r="L2832" s="6" t="s">
        <v>42</v>
      </c>
      <c r="M2832" s="6" t="s">
        <v>69</v>
      </c>
      <c r="N2832" s="6"/>
    </row>
    <row r="2833" spans="1:14">
      <c r="A2833" s="6" t="s">
        <v>4430</v>
      </c>
      <c r="B2833" s="7">
        <v>46074</v>
      </c>
      <c r="C2833" s="6" t="s">
        <v>731</v>
      </c>
      <c r="D2833" s="6" t="str">
        <f>IF(OR(PROPER(TRIM(Raw_Data!D2833))="Uk",PROPER(TRIM(Raw_Data!D2833))="Gb",PROPER(TRIM(Raw_Data!D2833))="United kingdom"),"United Kingdom",PROPER(TRIM(Raw_Data!D2833)))</f>
        <v>United Kingdom</v>
      </c>
      <c r="E2833" s="6" t="s">
        <v>46</v>
      </c>
      <c r="F2833" s="6" t="s">
        <v>58</v>
      </c>
      <c r="G2833" s="6" t="str">
        <f>SUBSTITUTE(Raw_Data!G2833,"Ã©","é")</f>
        <v>Merino Base Layer</v>
      </c>
      <c r="H2833" s="6">
        <v>2</v>
      </c>
      <c r="I2833" s="6" t="s">
        <v>265</v>
      </c>
      <c r="J2833" s="6" t="s">
        <v>167</v>
      </c>
      <c r="K2833" s="6">
        <v>0.38</v>
      </c>
      <c r="L2833" s="6" t="s">
        <v>33</v>
      </c>
      <c r="M2833" s="6" t="s">
        <v>34</v>
      </c>
      <c r="N2833" s="6"/>
    </row>
    <row r="2834" spans="1:14">
      <c r="A2834" s="6" t="s">
        <v>4431</v>
      </c>
      <c r="B2834" s="7">
        <v>46206</v>
      </c>
      <c r="C2834" s="6" t="s">
        <v>4432</v>
      </c>
      <c r="D2834" s="6" t="str">
        <f>IF(OR(PROPER(TRIM(Raw_Data!D2834))="Uk",PROPER(TRIM(Raw_Data!D2834))="Gb",PROPER(TRIM(Raw_Data!D2834))="United kingdom"),"United Kingdom",PROPER(TRIM(Raw_Data!D2834)))</f>
        <v>United Kingdom</v>
      </c>
      <c r="E2834" s="6" t="s">
        <v>37</v>
      </c>
      <c r="F2834" s="6" t="s">
        <v>100</v>
      </c>
      <c r="G2834" s="6" t="str">
        <f>SUBSTITUTE(Raw_Data!G2834,"Ã©","é")</f>
        <v>Summit Down Gilet</v>
      </c>
      <c r="H2834" s="6">
        <v>2</v>
      </c>
      <c r="I2834" s="6" t="s">
        <v>265</v>
      </c>
      <c r="J2834" s="6" t="s">
        <v>167</v>
      </c>
      <c r="K2834" s="6">
        <v>0.64</v>
      </c>
      <c r="L2834" s="6" t="s">
        <v>33</v>
      </c>
      <c r="M2834" s="6" t="s">
        <v>34</v>
      </c>
      <c r="N2834" s="6"/>
    </row>
    <row r="2835" spans="1:14">
      <c r="A2835" s="6" t="s">
        <v>4433</v>
      </c>
      <c r="B2835" s="7">
        <v>46298</v>
      </c>
      <c r="C2835" s="6" t="s">
        <v>1470</v>
      </c>
      <c r="D2835" s="6" t="str">
        <f>IF(OR(PROPER(TRIM(Raw_Data!D2835))="Uk",PROPER(TRIM(Raw_Data!D2835))="Gb",PROPER(TRIM(Raw_Data!D2835))="United kingdom"),"United Kingdom",PROPER(TRIM(Raw_Data!D2835)))</f>
        <v>Germany</v>
      </c>
      <c r="E2835" s="6" t="s">
        <v>46</v>
      </c>
      <c r="F2835" s="6" t="s">
        <v>29</v>
      </c>
      <c r="G2835" s="6" t="str">
        <f>SUBSTITUTE(Raw_Data!G2835,"Ã©","é")</f>
        <v>Merino Base Layer</v>
      </c>
      <c r="H2835" s="6">
        <v>1</v>
      </c>
      <c r="I2835" s="6" t="s">
        <v>90</v>
      </c>
      <c r="J2835" s="6" t="s">
        <v>90</v>
      </c>
      <c r="K2835" s="6">
        <v>0.52</v>
      </c>
      <c r="L2835" s="6" t="s">
        <v>42</v>
      </c>
      <c r="M2835" s="6" t="s">
        <v>34</v>
      </c>
      <c r="N2835" s="6"/>
    </row>
    <row r="2836" spans="1:14">
      <c r="A2836" s="6" t="s">
        <v>4434</v>
      </c>
      <c r="B2836" s="7">
        <v>46036</v>
      </c>
      <c r="C2836" s="6" t="s">
        <v>1662</v>
      </c>
      <c r="D2836" s="6" t="str">
        <f>IF(OR(PROPER(TRIM(Raw_Data!D2836))="Uk",PROPER(TRIM(Raw_Data!D2836))="Gb",PROPER(TRIM(Raw_Data!D2836))="United kingdom"),"United Kingdom",PROPER(TRIM(Raw_Data!D2836)))</f>
        <v>Ireland</v>
      </c>
      <c r="E2836" s="6" t="s">
        <v>37</v>
      </c>
      <c r="F2836" s="6" t="s">
        <v>94</v>
      </c>
      <c r="G2836" s="6" t="str">
        <f>SUBSTITUTE(Raw_Data!G2836,"Ã©","é")</f>
        <v>Summit Down Gilet</v>
      </c>
      <c r="H2836" s="6">
        <v>1</v>
      </c>
      <c r="I2836" s="6" t="s">
        <v>231</v>
      </c>
      <c r="J2836" s="6" t="s">
        <v>231</v>
      </c>
      <c r="K2836" s="6">
        <v>0.34</v>
      </c>
      <c r="L2836" s="6" t="s">
        <v>42</v>
      </c>
      <c r="M2836" s="6" t="s">
        <v>34</v>
      </c>
      <c r="N2836" s="6"/>
    </row>
    <row r="2837" spans="1:14">
      <c r="A2837" s="6" t="s">
        <v>4435</v>
      </c>
      <c r="B2837" s="7">
        <v>46147</v>
      </c>
      <c r="C2837" s="6" t="s">
        <v>3006</v>
      </c>
      <c r="D2837" s="6" t="str">
        <f>IF(OR(PROPER(TRIM(Raw_Data!D2837))="Uk",PROPER(TRIM(Raw_Data!D2837))="Gb",PROPER(TRIM(Raw_Data!D2837))="United kingdom"),"United Kingdom",PROPER(TRIM(Raw_Data!D2837)))</f>
        <v>United Kingdom</v>
      </c>
      <c r="E2837" s="6" t="s">
        <v>52</v>
      </c>
      <c r="F2837" s="6" t="s">
        <v>58</v>
      </c>
      <c r="G2837" s="6" t="str">
        <f>SUBSTITUTE(Raw_Data!G2837,"Ã©","é")</f>
        <v>Trail Softshell</v>
      </c>
      <c r="H2837" s="6">
        <v>1</v>
      </c>
      <c r="I2837" s="6" t="s">
        <v>265</v>
      </c>
      <c r="J2837" s="6" t="s">
        <v>265</v>
      </c>
      <c r="K2837" s="6">
        <v>0.38</v>
      </c>
      <c r="L2837" s="6" t="s">
        <v>42</v>
      </c>
      <c r="M2837" s="6" t="s">
        <v>34</v>
      </c>
      <c r="N2837" s="6"/>
    </row>
    <row r="2838" spans="1:14">
      <c r="A2838" s="6" t="s">
        <v>4436</v>
      </c>
      <c r="B2838" s="7">
        <v>46331</v>
      </c>
      <c r="C2838" s="6" t="s">
        <v>1128</v>
      </c>
      <c r="D2838" s="6" t="str">
        <f>IF(OR(PROPER(TRIM(Raw_Data!D2838))="Uk",PROPER(TRIM(Raw_Data!D2838))="Gb",PROPER(TRIM(Raw_Data!D2838))="United kingdom"),"United Kingdom",PROPER(TRIM(Raw_Data!D2838)))</f>
        <v>United Kingdom</v>
      </c>
      <c r="E2838" s="6" t="s">
        <v>46</v>
      </c>
      <c r="F2838" s="6" t="s">
        <v>85</v>
      </c>
      <c r="G2838" s="6" t="str">
        <f>SUBSTITUTE(Raw_Data!G2838,"Ã©","é")</f>
        <v>Storm Overtrousers</v>
      </c>
      <c r="H2838" s="6">
        <v>1</v>
      </c>
      <c r="I2838" s="6" t="s">
        <v>181</v>
      </c>
      <c r="J2838" s="6" t="s">
        <v>181</v>
      </c>
      <c r="K2838" s="6">
        <v>0.41</v>
      </c>
      <c r="L2838" s="6" t="s">
        <v>33</v>
      </c>
      <c r="M2838" s="6" t="s">
        <v>34</v>
      </c>
      <c r="N2838" s="6"/>
    </row>
    <row r="2839" spans="1:14">
      <c r="A2839" s="6" t="s">
        <v>4437</v>
      </c>
      <c r="B2839" s="7">
        <v>46190</v>
      </c>
      <c r="C2839" s="6" t="s">
        <v>3806</v>
      </c>
      <c r="D2839" s="6" t="str">
        <f>IF(OR(PROPER(TRIM(Raw_Data!D2839))="Uk",PROPER(TRIM(Raw_Data!D2839))="Gb",PROPER(TRIM(Raw_Data!D2839))="United kingdom"),"United Kingdom",PROPER(TRIM(Raw_Data!D2839)))</f>
        <v>France</v>
      </c>
      <c r="E2839" s="6" t="s">
        <v>37</v>
      </c>
      <c r="F2839" s="6" t="s">
        <v>94</v>
      </c>
      <c r="G2839" s="6" t="str">
        <f>SUBSTITUTE(Raw_Data!G2839,"Ã©","é")</f>
        <v>Storm Overtrousers</v>
      </c>
      <c r="H2839" s="6">
        <v>3</v>
      </c>
      <c r="I2839" s="6" t="s">
        <v>181</v>
      </c>
      <c r="J2839" s="6" t="s">
        <v>867</v>
      </c>
      <c r="K2839" s="6">
        <v>0.34</v>
      </c>
      <c r="L2839" s="6" t="s">
        <v>42</v>
      </c>
      <c r="M2839" s="6" t="s">
        <v>34</v>
      </c>
      <c r="N2839" s="6"/>
    </row>
    <row r="2840" spans="1:14">
      <c r="A2840" s="6" t="s">
        <v>4438</v>
      </c>
      <c r="B2840" s="7">
        <v>46358</v>
      </c>
      <c r="C2840" s="6" t="s">
        <v>1343</v>
      </c>
      <c r="D2840" s="6" t="str">
        <f>IF(OR(PROPER(TRIM(Raw_Data!D2840))="Uk",PROPER(TRIM(Raw_Data!D2840))="Gb",PROPER(TRIM(Raw_Data!D2840))="United kingdom"),"United Kingdom",PROPER(TRIM(Raw_Data!D2840)))</f>
        <v>Germany</v>
      </c>
      <c r="E2840" s="6" t="s">
        <v>52</v>
      </c>
      <c r="F2840" s="6" t="s">
        <v>47</v>
      </c>
      <c r="G2840" s="6" t="str">
        <f>SUBSTITUTE(Raw_Data!G2840,"Ã©","é")</f>
        <v>Trekking Poles</v>
      </c>
      <c r="H2840" s="6">
        <v>1</v>
      </c>
      <c r="I2840" s="6" t="s">
        <v>373</v>
      </c>
      <c r="J2840" s="6" t="s">
        <v>79</v>
      </c>
      <c r="K2840" s="6">
        <v>8.5000000000000006E-2</v>
      </c>
      <c r="L2840" s="6" t="s">
        <v>42</v>
      </c>
      <c r="M2840" s="6" t="s">
        <v>69</v>
      </c>
      <c r="N2840" s="6"/>
    </row>
    <row r="2841" spans="1:14">
      <c r="A2841" s="6" t="s">
        <v>4439</v>
      </c>
      <c r="B2841" s="7">
        <v>46156</v>
      </c>
      <c r="C2841" s="6" t="s">
        <v>326</v>
      </c>
      <c r="D2841" s="6" t="str">
        <f>IF(OR(PROPER(TRIM(Raw_Data!D2841))="Uk",PROPER(TRIM(Raw_Data!D2841))="Gb",PROPER(TRIM(Raw_Data!D2841))="United kingdom"),"United Kingdom",PROPER(TRIM(Raw_Data!D2841)))</f>
        <v>Ireland</v>
      </c>
      <c r="E2841" s="6" t="s">
        <v>28</v>
      </c>
      <c r="F2841" s="6" t="s">
        <v>53</v>
      </c>
      <c r="G2841" s="6" t="str">
        <f>SUBSTITUTE(Raw_Data!G2841,"Ã©","é")</f>
        <v>Fell Runner Cap</v>
      </c>
      <c r="H2841" s="6">
        <v>2</v>
      </c>
      <c r="I2841" s="6" t="s">
        <v>265</v>
      </c>
      <c r="J2841" s="6" t="s">
        <v>167</v>
      </c>
      <c r="K2841" s="6">
        <v>0.19</v>
      </c>
      <c r="L2841" s="6" t="s">
        <v>42</v>
      </c>
      <c r="M2841" s="6" t="s">
        <v>34</v>
      </c>
      <c r="N2841" s="6"/>
    </row>
    <row r="2842" spans="1:14">
      <c r="A2842" s="6" t="s">
        <v>4440</v>
      </c>
      <c r="B2842" s="7">
        <v>46204</v>
      </c>
      <c r="C2842" s="6" t="s">
        <v>949</v>
      </c>
      <c r="D2842" s="6" t="str">
        <f>IF(OR(PROPER(TRIM(Raw_Data!D2842))="Uk",PROPER(TRIM(Raw_Data!D2842))="Gb",PROPER(TRIM(Raw_Data!D2842))="United kingdom"),"United Kingdom",PROPER(TRIM(Raw_Data!D2842)))</f>
        <v>United Kingdom</v>
      </c>
      <c r="E2842" s="6" t="s">
        <v>46</v>
      </c>
      <c r="F2842" s="6" t="s">
        <v>58</v>
      </c>
      <c r="G2842" s="6" t="str">
        <f>SUBSTITUTE(Raw_Data!G2842,"Ã©","é")</f>
        <v>Café Latte Mug</v>
      </c>
      <c r="H2842" s="6">
        <v>2</v>
      </c>
      <c r="I2842" s="6" t="s">
        <v>181</v>
      </c>
      <c r="J2842" s="6" t="s">
        <v>1584</v>
      </c>
      <c r="K2842" s="6">
        <v>0.38</v>
      </c>
      <c r="L2842" s="6" t="s">
        <v>42</v>
      </c>
      <c r="M2842" s="6" t="s">
        <v>34</v>
      </c>
      <c r="N2842" s="6"/>
    </row>
    <row r="2843" spans="1:14">
      <c r="A2843" s="6" t="s">
        <v>4441</v>
      </c>
      <c r="B2843" s="7">
        <v>46301</v>
      </c>
      <c r="C2843" s="6" t="s">
        <v>520</v>
      </c>
      <c r="D2843" s="6" t="str">
        <f>IF(OR(PROPER(TRIM(Raw_Data!D2843))="Uk",PROPER(TRIM(Raw_Data!D2843))="Gb",PROPER(TRIM(Raw_Data!D2843))="United kingdom"),"United Kingdom",PROPER(TRIM(Raw_Data!D2843)))</f>
        <v>United Kingdom</v>
      </c>
      <c r="E2843" s="6" t="s">
        <v>37</v>
      </c>
      <c r="F2843" s="6" t="s">
        <v>38</v>
      </c>
      <c r="G2843" s="6" t="str">
        <f>SUBSTITUTE(Raw_Data!G2843,"Ã©","é")</f>
        <v>Storm Overtrousers</v>
      </c>
      <c r="H2843" s="6">
        <v>1</v>
      </c>
      <c r="I2843" s="6" t="s">
        <v>82</v>
      </c>
      <c r="J2843" s="6" t="s">
        <v>82</v>
      </c>
      <c r="K2843" s="6">
        <v>0.52</v>
      </c>
      <c r="L2843" s="6" t="s">
        <v>33</v>
      </c>
      <c r="M2843" s="6" t="s">
        <v>34</v>
      </c>
      <c r="N2843" s="6"/>
    </row>
    <row r="2844" spans="1:14">
      <c r="A2844" s="6" t="s">
        <v>4442</v>
      </c>
      <c r="B2844" s="7">
        <v>46328</v>
      </c>
      <c r="C2844" s="6" t="s">
        <v>339</v>
      </c>
      <c r="D2844" s="6" t="str">
        <f>IF(OR(PROPER(TRIM(Raw_Data!D2844))="Uk",PROPER(TRIM(Raw_Data!D2844))="Gb",PROPER(TRIM(Raw_Data!D2844))="United kingdom"),"United Kingdom",PROPER(TRIM(Raw_Data!D2844)))</f>
        <v>Ireland</v>
      </c>
      <c r="E2844" s="6" t="s">
        <v>52</v>
      </c>
      <c r="F2844" s="6" t="s">
        <v>29</v>
      </c>
      <c r="G2844" s="6" t="str">
        <f>SUBSTITUTE(Raw_Data!G2844,"Ã©","é")</f>
        <v>Storm Overtrousers</v>
      </c>
      <c r="H2844" s="6">
        <v>1</v>
      </c>
      <c r="I2844" s="6" t="s">
        <v>90</v>
      </c>
      <c r="J2844" s="6" t="s">
        <v>90</v>
      </c>
      <c r="K2844" s="6">
        <v>0.52</v>
      </c>
      <c r="L2844" s="6" t="s">
        <v>33</v>
      </c>
      <c r="M2844" s="6" t="s">
        <v>34</v>
      </c>
      <c r="N2844" s="6"/>
    </row>
    <row r="2845" spans="1:14">
      <c r="A2845" s="6" t="s">
        <v>4443</v>
      </c>
      <c r="B2845" s="7">
        <v>46103</v>
      </c>
      <c r="C2845" s="6" t="s">
        <v>1551</v>
      </c>
      <c r="D2845" s="6" t="str">
        <f>IF(OR(PROPER(TRIM(Raw_Data!D2845))="Uk",PROPER(TRIM(Raw_Data!D2845))="Gb",PROPER(TRIM(Raw_Data!D2845))="United kingdom"),"United Kingdom",PROPER(TRIM(Raw_Data!D2845)))</f>
        <v>United Kingdom</v>
      </c>
      <c r="E2845" s="6" t="s">
        <v>37</v>
      </c>
      <c r="F2845" s="6" t="s">
        <v>94</v>
      </c>
      <c r="G2845" s="6" t="str">
        <f>SUBSTITUTE(Raw_Data!G2845,"Ã©","é")</f>
        <v>Trekking Poles</v>
      </c>
      <c r="H2845" s="6">
        <v>1</v>
      </c>
      <c r="I2845" s="6" t="s">
        <v>265</v>
      </c>
      <c r="J2845" s="6" t="s">
        <v>265</v>
      </c>
      <c r="K2845" s="6">
        <v>0.34</v>
      </c>
      <c r="L2845" s="6" t="s">
        <v>42</v>
      </c>
      <c r="M2845" s="6" t="s">
        <v>34</v>
      </c>
      <c r="N2845" s="6"/>
    </row>
    <row r="2846" spans="1:14">
      <c r="A2846" s="6" t="s">
        <v>4444</v>
      </c>
      <c r="B2846" s="7">
        <v>46130</v>
      </c>
      <c r="C2846" s="6" t="s">
        <v>951</v>
      </c>
      <c r="D2846" s="6" t="str">
        <f>IF(OR(PROPER(TRIM(Raw_Data!D2846))="Uk",PROPER(TRIM(Raw_Data!D2846))="Gb",PROPER(TRIM(Raw_Data!D2846))="United kingdom"),"United Kingdom",PROPER(TRIM(Raw_Data!D2846)))</f>
        <v>United Kingdom</v>
      </c>
      <c r="E2846" s="6" t="s">
        <v>78</v>
      </c>
      <c r="F2846" s="6" t="s">
        <v>29</v>
      </c>
      <c r="G2846" s="6" t="str">
        <f>SUBSTITUTE(Raw_Data!G2846,"Ã©","é")</f>
        <v>Fell Runner Cap</v>
      </c>
      <c r="H2846" s="6">
        <v>3</v>
      </c>
      <c r="I2846" s="6" t="s">
        <v>40</v>
      </c>
      <c r="J2846" s="6" t="s">
        <v>579</v>
      </c>
      <c r="K2846" s="6">
        <v>0.52</v>
      </c>
      <c r="L2846" s="6" t="s">
        <v>42</v>
      </c>
      <c r="M2846" s="6" t="s">
        <v>69</v>
      </c>
      <c r="N2846" s="6"/>
    </row>
    <row r="2847" spans="1:14">
      <c r="A2847" s="6" t="s">
        <v>4445</v>
      </c>
      <c r="B2847" s="7">
        <v>46134</v>
      </c>
      <c r="C2847" s="6" t="s">
        <v>3490</v>
      </c>
      <c r="D2847" s="6" t="str">
        <f>IF(OR(PROPER(TRIM(Raw_Data!D2847))="Uk",PROPER(TRIM(Raw_Data!D2847))="Gb",PROPER(TRIM(Raw_Data!D2847))="United kingdom"),"United Kingdom",PROPER(TRIM(Raw_Data!D2847)))</f>
        <v>United Kingdom</v>
      </c>
      <c r="E2847" s="6" t="s">
        <v>28</v>
      </c>
      <c r="F2847" s="6" t="s">
        <v>38</v>
      </c>
      <c r="G2847" s="6" t="str">
        <f>SUBSTITUTE(Raw_Data!G2847,"Ã©","é")</f>
        <v>Café Latte Mug</v>
      </c>
      <c r="H2847" s="6">
        <v>1</v>
      </c>
      <c r="I2847" s="6" t="s">
        <v>1224</v>
      </c>
      <c r="J2847" s="6" t="s">
        <v>1060</v>
      </c>
      <c r="K2847" s="6">
        <v>0.52</v>
      </c>
      <c r="L2847" s="6" t="s">
        <v>33</v>
      </c>
      <c r="M2847" s="6" t="s">
        <v>34</v>
      </c>
      <c r="N2847" s="6"/>
    </row>
    <row r="2848" spans="1:14">
      <c r="A2848" s="6" t="s">
        <v>4446</v>
      </c>
      <c r="B2848" s="7">
        <v>46240</v>
      </c>
      <c r="C2848" s="6" t="s">
        <v>4447</v>
      </c>
      <c r="D2848" s="6" t="str">
        <f>IF(OR(PROPER(TRIM(Raw_Data!D2848))="Uk",PROPER(TRIM(Raw_Data!D2848))="Gb",PROPER(TRIM(Raw_Data!D2848))="United kingdom"),"United Kingdom",PROPER(TRIM(Raw_Data!D2848)))</f>
        <v>United Kingdom</v>
      </c>
      <c r="E2848" s="6" t="s">
        <v>52</v>
      </c>
      <c r="F2848" s="6" t="s">
        <v>94</v>
      </c>
      <c r="G2848" s="6" t="str">
        <f>SUBSTITUTE(Raw_Data!G2848,"Ã©","é")</f>
        <v>Fell Runner Cap</v>
      </c>
      <c r="H2848" s="6">
        <v>2</v>
      </c>
      <c r="I2848" s="6" t="s">
        <v>231</v>
      </c>
      <c r="J2848" s="6" t="s">
        <v>4448</v>
      </c>
      <c r="K2848" s="6">
        <v>0.34</v>
      </c>
      <c r="L2848" s="6" t="s">
        <v>42</v>
      </c>
      <c r="M2848" s="6" t="s">
        <v>34</v>
      </c>
      <c r="N2848" s="6"/>
    </row>
    <row r="2849" spans="1:14">
      <c r="A2849" s="6" t="s">
        <v>4449</v>
      </c>
      <c r="B2849" s="7">
        <v>46157</v>
      </c>
      <c r="C2849" s="6" t="s">
        <v>591</v>
      </c>
      <c r="D2849" s="6" t="str">
        <f>IF(OR(PROPER(TRIM(Raw_Data!D2849))="Uk",PROPER(TRIM(Raw_Data!D2849))="Gb",PROPER(TRIM(Raw_Data!D2849))="United kingdom"),"United Kingdom",PROPER(TRIM(Raw_Data!D2849)))</f>
        <v>Germany</v>
      </c>
      <c r="E2849" s="6" t="s">
        <v>28</v>
      </c>
      <c r="F2849" s="6" t="s">
        <v>53</v>
      </c>
      <c r="G2849" s="6" t="str">
        <f>SUBSTITUTE(Raw_Data!G2849,"Ã©","é")</f>
        <v>Trail Softshell</v>
      </c>
      <c r="H2849" s="6">
        <v>1</v>
      </c>
      <c r="I2849" s="6" t="s">
        <v>79</v>
      </c>
      <c r="J2849" s="6" t="s">
        <v>79</v>
      </c>
      <c r="K2849" s="6">
        <v>0.19</v>
      </c>
      <c r="L2849" s="6" t="s">
        <v>33</v>
      </c>
      <c r="M2849" s="6" t="s">
        <v>34</v>
      </c>
      <c r="N2849" s="6"/>
    </row>
    <row r="2850" spans="1:14">
      <c r="A2850" s="6" t="s">
        <v>4450</v>
      </c>
      <c r="B2850" s="7">
        <v>46204</v>
      </c>
      <c r="C2850" s="6" t="s">
        <v>2123</v>
      </c>
      <c r="D2850" s="6" t="str">
        <f>IF(OR(PROPER(TRIM(Raw_Data!D2850))="Uk",PROPER(TRIM(Raw_Data!D2850))="Gb",PROPER(TRIM(Raw_Data!D2850))="United kingdom"),"United Kingdom",PROPER(TRIM(Raw_Data!D2850)))</f>
        <v>United Kingdom</v>
      </c>
      <c r="E2850" s="6" t="s">
        <v>37</v>
      </c>
      <c r="F2850" s="6" t="s">
        <v>85</v>
      </c>
      <c r="G2850" s="6" t="str">
        <f>SUBSTITUTE(Raw_Data!G2850,"Ã©","é")</f>
        <v>Café Latte Mug</v>
      </c>
      <c r="H2850" s="6">
        <v>1</v>
      </c>
      <c r="I2850" s="6" t="s">
        <v>73</v>
      </c>
      <c r="J2850" s="6" t="s">
        <v>73</v>
      </c>
      <c r="K2850" s="6">
        <v>0.41</v>
      </c>
      <c r="L2850" s="6" t="s">
        <v>42</v>
      </c>
      <c r="M2850" s="6" t="s">
        <v>34</v>
      </c>
      <c r="N2850" s="6"/>
    </row>
    <row r="2851" spans="1:14">
      <c r="A2851" s="6" t="s">
        <v>4451</v>
      </c>
      <c r="B2851" s="7">
        <v>46159</v>
      </c>
      <c r="C2851" s="6" t="s">
        <v>4452</v>
      </c>
      <c r="D2851" s="6" t="str">
        <f>IF(OR(PROPER(TRIM(Raw_Data!D2851))="Uk",PROPER(TRIM(Raw_Data!D2851))="Gb",PROPER(TRIM(Raw_Data!D2851))="United kingdom"),"United Kingdom",PROPER(TRIM(Raw_Data!D2851)))</f>
        <v>United Kingdom</v>
      </c>
      <c r="E2851" s="6" t="s">
        <v>46</v>
      </c>
      <c r="F2851" s="6" t="s">
        <v>58</v>
      </c>
      <c r="G2851" s="6" t="str">
        <f>SUBSTITUTE(Raw_Data!G2851,"Ã©","é")</f>
        <v>Trekking Poles</v>
      </c>
      <c r="H2851" s="6">
        <v>1</v>
      </c>
      <c r="I2851" s="6" t="s">
        <v>143</v>
      </c>
      <c r="J2851" s="6" t="s">
        <v>143</v>
      </c>
      <c r="K2851" s="6">
        <v>0.38</v>
      </c>
      <c r="L2851" s="6" t="s">
        <v>33</v>
      </c>
      <c r="M2851" s="6" t="s">
        <v>34</v>
      </c>
      <c r="N2851" s="6"/>
    </row>
    <row r="2852" spans="1:14">
      <c r="A2852" s="6" t="s">
        <v>4453</v>
      </c>
      <c r="B2852" s="7">
        <v>46102</v>
      </c>
      <c r="C2852" s="6" t="s">
        <v>4118</v>
      </c>
      <c r="D2852" s="6" t="str">
        <f>IF(OR(PROPER(TRIM(Raw_Data!D2852))="Uk",PROPER(TRIM(Raw_Data!D2852))="Gb",PROPER(TRIM(Raw_Data!D2852))="United kingdom"),"United Kingdom",PROPER(TRIM(Raw_Data!D2852)))</f>
        <v>United Kingdom</v>
      </c>
      <c r="E2852" s="6" t="s">
        <v>78</v>
      </c>
      <c r="F2852" s="6" t="s">
        <v>38</v>
      </c>
      <c r="G2852" s="6" t="str">
        <f>SUBSTITUTE(Raw_Data!G2852,"Ã©","é")</f>
        <v>Fell Runner Cap</v>
      </c>
      <c r="H2852" s="6">
        <v>3</v>
      </c>
      <c r="I2852" s="6" t="s">
        <v>490</v>
      </c>
      <c r="J2852" s="6" t="s">
        <v>390</v>
      </c>
      <c r="K2852" s="6">
        <v>0.52</v>
      </c>
      <c r="L2852" s="6" t="s">
        <v>33</v>
      </c>
      <c r="M2852" s="6" t="s">
        <v>34</v>
      </c>
      <c r="N2852" s="6"/>
    </row>
    <row r="2853" spans="1:14">
      <c r="A2853" s="6" t="s">
        <v>4454</v>
      </c>
      <c r="B2853" s="7">
        <v>46095</v>
      </c>
      <c r="C2853" s="6" t="s">
        <v>575</v>
      </c>
      <c r="D2853" s="6" t="str">
        <f>IF(OR(PROPER(TRIM(Raw_Data!D2853))="Uk",PROPER(TRIM(Raw_Data!D2853))="Gb",PROPER(TRIM(Raw_Data!D2853))="United kingdom"),"United Kingdom",PROPER(TRIM(Raw_Data!D2853)))</f>
        <v>United Kingdom</v>
      </c>
      <c r="E2853" s="6" t="s">
        <v>37</v>
      </c>
      <c r="F2853" s="6" t="s">
        <v>85</v>
      </c>
      <c r="G2853" s="6" t="str">
        <f>SUBSTITUTE(Raw_Data!G2853,"Ã©","é")</f>
        <v>Alpine Jacket</v>
      </c>
      <c r="H2853" s="6">
        <v>2</v>
      </c>
      <c r="I2853" s="6" t="s">
        <v>117</v>
      </c>
      <c r="J2853" s="6" t="s">
        <v>118</v>
      </c>
      <c r="K2853" s="6">
        <v>0.41</v>
      </c>
      <c r="L2853" s="6" t="s">
        <v>42</v>
      </c>
      <c r="M2853" s="6" t="s">
        <v>34</v>
      </c>
      <c r="N2853" s="6"/>
    </row>
    <row r="2854" spans="1:14">
      <c r="A2854" s="6" t="s">
        <v>4455</v>
      </c>
      <c r="B2854" s="7">
        <v>46115</v>
      </c>
      <c r="C2854" s="6" t="s">
        <v>4456</v>
      </c>
      <c r="D2854" s="6" t="str">
        <f>IF(OR(PROPER(TRIM(Raw_Data!D2854))="Uk",PROPER(TRIM(Raw_Data!D2854))="Gb",PROPER(TRIM(Raw_Data!D2854))="United kingdom"),"United Kingdom",PROPER(TRIM(Raw_Data!D2854)))</f>
        <v>United Kingdom</v>
      </c>
      <c r="E2854" s="6" t="s">
        <v>37</v>
      </c>
      <c r="F2854" s="6" t="s">
        <v>47</v>
      </c>
      <c r="G2854" s="6" t="str">
        <f>SUBSTITUTE(Raw_Data!G2854,"Ã©","é")</f>
        <v>Alpine Jacket</v>
      </c>
      <c r="H2854" s="6">
        <v>3</v>
      </c>
      <c r="I2854" s="6" t="s">
        <v>82</v>
      </c>
      <c r="J2854" s="6" t="s">
        <v>390</v>
      </c>
      <c r="K2854" s="6">
        <v>8.5000000000000006E-2</v>
      </c>
      <c r="L2854" s="6" t="s">
        <v>42</v>
      </c>
      <c r="M2854" s="6" t="s">
        <v>69</v>
      </c>
      <c r="N2854" s="6"/>
    </row>
    <row r="2855" spans="1:14">
      <c r="A2855" s="6" t="s">
        <v>4457</v>
      </c>
      <c r="B2855" s="7">
        <v>46196</v>
      </c>
      <c r="C2855" s="6" t="s">
        <v>1135</v>
      </c>
      <c r="D2855" s="6" t="str">
        <f>IF(OR(PROPER(TRIM(Raw_Data!D2855))="Uk",PROPER(TRIM(Raw_Data!D2855))="Gb",PROPER(TRIM(Raw_Data!D2855))="United kingdom"),"United Kingdom",PROPER(TRIM(Raw_Data!D2855)))</f>
        <v>Ireland</v>
      </c>
      <c r="E2855" s="6" t="s">
        <v>37</v>
      </c>
      <c r="F2855" s="6" t="s">
        <v>85</v>
      </c>
      <c r="G2855" s="6" t="str">
        <f>SUBSTITUTE(Raw_Data!G2855,"Ã©","é")</f>
        <v>Alpine Jacket</v>
      </c>
      <c r="H2855" s="6">
        <v>1</v>
      </c>
      <c r="I2855" s="6" t="s">
        <v>1224</v>
      </c>
      <c r="J2855" s="6" t="s">
        <v>117</v>
      </c>
      <c r="K2855" s="6">
        <v>0.41</v>
      </c>
      <c r="L2855" s="6" t="s">
        <v>42</v>
      </c>
      <c r="M2855" s="6" t="s">
        <v>34</v>
      </c>
      <c r="N2855" s="6"/>
    </row>
    <row r="2856" spans="1:14">
      <c r="A2856" s="6" t="s">
        <v>4458</v>
      </c>
      <c r="B2856" s="7">
        <v>46066</v>
      </c>
      <c r="C2856" s="6" t="s">
        <v>624</v>
      </c>
      <c r="D2856" s="6" t="str">
        <f>IF(OR(PROPER(TRIM(Raw_Data!D2856))="Uk",PROPER(TRIM(Raw_Data!D2856))="Gb",PROPER(TRIM(Raw_Data!D2856))="United kingdom"),"United Kingdom",PROPER(TRIM(Raw_Data!D2856)))</f>
        <v>United Kingdom</v>
      </c>
      <c r="E2856" s="6" t="s">
        <v>28</v>
      </c>
      <c r="F2856" s="6" t="s">
        <v>58</v>
      </c>
      <c r="G2856" s="6" t="str">
        <f>SUBSTITUTE(Raw_Data!G2856,"Ã©","é")</f>
        <v>Alpine Jacket</v>
      </c>
      <c r="H2856" s="6">
        <v>2</v>
      </c>
      <c r="I2856" s="6" t="s">
        <v>31</v>
      </c>
      <c r="J2856" s="6" t="s">
        <v>249</v>
      </c>
      <c r="K2856" s="6">
        <v>0.38</v>
      </c>
      <c r="L2856" s="6" t="s">
        <v>33</v>
      </c>
      <c r="M2856" s="6" t="s">
        <v>34</v>
      </c>
      <c r="N2856" s="6"/>
    </row>
    <row r="2857" spans="1:14">
      <c r="A2857" s="6" t="s">
        <v>4459</v>
      </c>
      <c r="B2857" s="7">
        <v>46098</v>
      </c>
      <c r="C2857" s="6" t="s">
        <v>2284</v>
      </c>
      <c r="D2857" s="6" t="str">
        <f>IF(OR(PROPER(TRIM(Raw_Data!D2857))="Uk",PROPER(TRIM(Raw_Data!D2857))="Gb",PROPER(TRIM(Raw_Data!D2857))="United kingdom"),"United Kingdom",PROPER(TRIM(Raw_Data!D2857)))</f>
        <v>United Kingdom</v>
      </c>
      <c r="E2857" s="6" t="s">
        <v>52</v>
      </c>
      <c r="F2857" s="6" t="s">
        <v>47</v>
      </c>
      <c r="G2857" s="6" t="str">
        <f>SUBSTITUTE(Raw_Data!G2857,"Ã©","é")</f>
        <v>Fell Runner Cap</v>
      </c>
      <c r="H2857" s="6">
        <v>1</v>
      </c>
      <c r="I2857" s="6" t="s">
        <v>265</v>
      </c>
      <c r="J2857" s="6" t="s">
        <v>265</v>
      </c>
      <c r="K2857" s="6">
        <v>8.5000000000000006E-2</v>
      </c>
      <c r="L2857" s="6" t="s">
        <v>33</v>
      </c>
      <c r="M2857" s="6" t="s">
        <v>69</v>
      </c>
      <c r="N2857" s="6"/>
    </row>
    <row r="2858" spans="1:14">
      <c r="A2858" s="6" t="s">
        <v>4460</v>
      </c>
      <c r="B2858" s="7">
        <v>46199</v>
      </c>
      <c r="C2858" s="6" t="s">
        <v>3858</v>
      </c>
      <c r="D2858" s="6" t="str">
        <f>IF(OR(PROPER(TRIM(Raw_Data!D2858))="Uk",PROPER(TRIM(Raw_Data!D2858))="Gb",PROPER(TRIM(Raw_Data!D2858))="United kingdom"),"United Kingdom",PROPER(TRIM(Raw_Data!D2858)))</f>
        <v>United Kingdom</v>
      </c>
      <c r="E2858" s="6" t="s">
        <v>28</v>
      </c>
      <c r="F2858" s="6" t="s">
        <v>100</v>
      </c>
      <c r="G2858" s="6" t="str">
        <f>SUBSTITUTE(Raw_Data!G2858,"Ã©","é")</f>
        <v>Storm Overtrousers</v>
      </c>
      <c r="H2858" s="6">
        <v>1</v>
      </c>
      <c r="I2858" s="6" t="s">
        <v>147</v>
      </c>
      <c r="J2858" s="6" t="s">
        <v>147</v>
      </c>
      <c r="K2858" s="6">
        <v>0.64</v>
      </c>
      <c r="L2858" s="6" t="s">
        <v>42</v>
      </c>
      <c r="M2858" s="6" t="s">
        <v>34</v>
      </c>
      <c r="N2858" s="6"/>
    </row>
    <row r="2859" spans="1:14">
      <c r="A2859" s="6" t="s">
        <v>4461</v>
      </c>
      <c r="B2859" s="7">
        <v>46269</v>
      </c>
      <c r="C2859" s="6" t="s">
        <v>2644</v>
      </c>
      <c r="D2859" s="6" t="str">
        <f>IF(OR(PROPER(TRIM(Raw_Data!D2859))="Uk",PROPER(TRIM(Raw_Data!D2859))="Gb",PROPER(TRIM(Raw_Data!D2859))="United kingdom"),"United Kingdom",PROPER(TRIM(Raw_Data!D2859)))</f>
        <v>United Kingdom</v>
      </c>
      <c r="E2859" s="6" t="s">
        <v>78</v>
      </c>
      <c r="F2859" s="6" t="s">
        <v>47</v>
      </c>
      <c r="G2859" s="6" t="str">
        <f>SUBSTITUTE(Raw_Data!G2859,"Ã©","é")</f>
        <v>Café Latte Mug</v>
      </c>
      <c r="H2859" s="6">
        <v>1</v>
      </c>
      <c r="I2859" s="6" t="s">
        <v>60</v>
      </c>
      <c r="J2859" s="6" t="s">
        <v>60</v>
      </c>
      <c r="K2859" s="6">
        <v>8.5000000000000006E-2</v>
      </c>
      <c r="L2859" s="6" t="s">
        <v>42</v>
      </c>
      <c r="M2859" s="6" t="s">
        <v>34</v>
      </c>
      <c r="N2859" s="6"/>
    </row>
    <row r="2860" spans="1:14">
      <c r="A2860" s="6" t="s">
        <v>4462</v>
      </c>
      <c r="B2860" s="7">
        <v>46056</v>
      </c>
      <c r="C2860" s="6" t="s">
        <v>2198</v>
      </c>
      <c r="D2860" s="6" t="str">
        <f>IF(OR(PROPER(TRIM(Raw_Data!D2860))="Uk",PROPER(TRIM(Raw_Data!D2860))="Gb",PROPER(TRIM(Raw_Data!D2860))="United kingdom"),"United Kingdom",PROPER(TRIM(Raw_Data!D2860)))</f>
        <v>Ireland</v>
      </c>
      <c r="E2860" s="6" t="s">
        <v>37</v>
      </c>
      <c r="F2860" s="6" t="s">
        <v>85</v>
      </c>
      <c r="G2860" s="6" t="str">
        <f>SUBSTITUTE(Raw_Data!G2860,"Ã©","é")</f>
        <v>Trekking Poles</v>
      </c>
      <c r="H2860" s="6">
        <v>2</v>
      </c>
      <c r="I2860" s="6" t="s">
        <v>147</v>
      </c>
      <c r="J2860" s="6" t="s">
        <v>175</v>
      </c>
      <c r="K2860" s="6">
        <v>0.41</v>
      </c>
      <c r="L2860" s="6" t="s">
        <v>42</v>
      </c>
      <c r="M2860" s="6" t="s">
        <v>34</v>
      </c>
      <c r="N2860" s="6"/>
    </row>
    <row r="2861" spans="1:14">
      <c r="A2861" s="6" t="s">
        <v>4463</v>
      </c>
      <c r="B2861" s="7">
        <v>46271</v>
      </c>
      <c r="C2861" s="6" t="s">
        <v>4464</v>
      </c>
      <c r="D2861" s="6" t="str">
        <f>IF(OR(PROPER(TRIM(Raw_Data!D2861))="Uk",PROPER(TRIM(Raw_Data!D2861))="Gb",PROPER(TRIM(Raw_Data!D2861))="United kingdom"),"United Kingdom",PROPER(TRIM(Raw_Data!D2861)))</f>
        <v>United Kingdom</v>
      </c>
      <c r="E2861" s="6" t="s">
        <v>37</v>
      </c>
      <c r="F2861" s="6" t="s">
        <v>85</v>
      </c>
      <c r="G2861" s="6" t="str">
        <f>SUBSTITUTE(Raw_Data!G2861,"Ã©","é")</f>
        <v>Storm Overtrousers</v>
      </c>
      <c r="H2861" s="6">
        <v>3</v>
      </c>
      <c r="I2861" s="6" t="s">
        <v>117</v>
      </c>
      <c r="J2861" s="6" t="s">
        <v>171</v>
      </c>
      <c r="K2861" s="6">
        <v>0.41</v>
      </c>
      <c r="L2861" s="6" t="s">
        <v>42</v>
      </c>
      <c r="M2861" s="6" t="s">
        <v>34</v>
      </c>
      <c r="N2861" s="6"/>
    </row>
    <row r="2862" spans="1:14">
      <c r="A2862" s="6" t="s">
        <v>4465</v>
      </c>
      <c r="B2862" s="7">
        <v>46240</v>
      </c>
      <c r="C2862" s="6" t="s">
        <v>3262</v>
      </c>
      <c r="D2862" s="6" t="str">
        <f>IF(OR(PROPER(TRIM(Raw_Data!D2862))="Uk",PROPER(TRIM(Raw_Data!D2862))="Gb",PROPER(TRIM(Raw_Data!D2862))="United kingdom"),"United Kingdom",PROPER(TRIM(Raw_Data!D2862)))</f>
        <v>United Kingdom</v>
      </c>
      <c r="E2862" s="6" t="s">
        <v>46</v>
      </c>
      <c r="F2862" s="6" t="s">
        <v>58</v>
      </c>
      <c r="G2862" s="6" t="str">
        <f>SUBSTITUTE(Raw_Data!G2862,"Ã©","é")</f>
        <v>Merino Base Layer</v>
      </c>
      <c r="H2862" s="6">
        <v>2</v>
      </c>
      <c r="I2862" s="6" t="s">
        <v>113</v>
      </c>
      <c r="J2862" s="6" t="s">
        <v>192</v>
      </c>
      <c r="K2862" s="6">
        <v>0.38</v>
      </c>
      <c r="L2862" s="6" t="s">
        <v>42</v>
      </c>
      <c r="M2862" s="6" t="s">
        <v>34</v>
      </c>
      <c r="N2862" s="6"/>
    </row>
    <row r="2863" spans="1:14">
      <c r="A2863" s="6" t="s">
        <v>4466</v>
      </c>
      <c r="B2863" s="7">
        <v>46172</v>
      </c>
      <c r="C2863" s="6" t="s">
        <v>2661</v>
      </c>
      <c r="D2863" s="6" t="str">
        <f>IF(OR(PROPER(TRIM(Raw_Data!D2863))="Uk",PROPER(TRIM(Raw_Data!D2863))="Gb",PROPER(TRIM(Raw_Data!D2863))="United kingdom"),"United Kingdom",PROPER(TRIM(Raw_Data!D2863)))</f>
        <v>Ireland</v>
      </c>
      <c r="E2863" s="6" t="s">
        <v>46</v>
      </c>
      <c r="F2863" s="6" t="s">
        <v>100</v>
      </c>
      <c r="G2863" s="6" t="str">
        <f>SUBSTITUTE(Raw_Data!G2863,"Ã©","é")</f>
        <v>Fell Runner Cap</v>
      </c>
      <c r="H2863" s="6">
        <v>2</v>
      </c>
      <c r="I2863" s="6" t="s">
        <v>31</v>
      </c>
      <c r="J2863" s="6" t="s">
        <v>249</v>
      </c>
      <c r="K2863" s="6">
        <v>0.64</v>
      </c>
      <c r="L2863" s="6" t="s">
        <v>42</v>
      </c>
      <c r="M2863" s="6" t="s">
        <v>34</v>
      </c>
      <c r="N2863" s="6"/>
    </row>
    <row r="2864" spans="1:14">
      <c r="A2864" s="6" t="s">
        <v>4467</v>
      </c>
      <c r="B2864" s="7">
        <v>46162</v>
      </c>
      <c r="C2864" s="6" t="s">
        <v>1254</v>
      </c>
      <c r="D2864" s="6" t="str">
        <f>IF(OR(PROPER(TRIM(Raw_Data!D2864))="Uk",PROPER(TRIM(Raw_Data!D2864))="Gb",PROPER(TRIM(Raw_Data!D2864))="United kingdom"),"United Kingdom",PROPER(TRIM(Raw_Data!D2864)))</f>
        <v>United Kingdom</v>
      </c>
      <c r="E2864" s="6" t="s">
        <v>52</v>
      </c>
      <c r="F2864" s="6" t="s">
        <v>38</v>
      </c>
      <c r="G2864" s="6" t="str">
        <f>SUBSTITUTE(Raw_Data!G2864,"Ã©","é")</f>
        <v>Trekking Poles</v>
      </c>
      <c r="H2864" s="6">
        <v>2</v>
      </c>
      <c r="I2864" s="6" t="s">
        <v>181</v>
      </c>
      <c r="J2864" s="6" t="s">
        <v>163</v>
      </c>
      <c r="K2864" s="6">
        <v>0.52</v>
      </c>
      <c r="L2864" s="6" t="s">
        <v>42</v>
      </c>
      <c r="M2864" s="6" t="s">
        <v>34</v>
      </c>
      <c r="N2864" s="6"/>
    </row>
    <row r="2865" spans="1:14">
      <c r="A2865" s="6" t="s">
        <v>4468</v>
      </c>
      <c r="B2865" s="7">
        <v>46164</v>
      </c>
      <c r="C2865" s="6" t="s">
        <v>3255</v>
      </c>
      <c r="D2865" s="6" t="str">
        <f>IF(OR(PROPER(TRIM(Raw_Data!D2865))="Uk",PROPER(TRIM(Raw_Data!D2865))="Gb",PROPER(TRIM(Raw_Data!D2865))="United kingdom"),"United Kingdom",PROPER(TRIM(Raw_Data!D2865)))</f>
        <v>United Kingdom</v>
      </c>
      <c r="E2865" s="6" t="s">
        <v>46</v>
      </c>
      <c r="F2865" s="6" t="s">
        <v>94</v>
      </c>
      <c r="G2865" s="6" t="str">
        <f>SUBSTITUTE(Raw_Data!G2865,"Ã©","é")</f>
        <v>Storm Overtrousers</v>
      </c>
      <c r="H2865" s="6">
        <v>1</v>
      </c>
      <c r="I2865" s="6" t="s">
        <v>231</v>
      </c>
      <c r="J2865" s="6" t="s">
        <v>2217</v>
      </c>
      <c r="K2865" s="6">
        <v>0.34</v>
      </c>
      <c r="L2865" s="6" t="s">
        <v>42</v>
      </c>
      <c r="M2865" s="6" t="s">
        <v>34</v>
      </c>
      <c r="N2865" s="6"/>
    </row>
    <row r="2866" spans="1:14">
      <c r="A2866" s="6" t="s">
        <v>4470</v>
      </c>
      <c r="B2866" s="7">
        <v>46207</v>
      </c>
      <c r="C2866" s="6" t="s">
        <v>596</v>
      </c>
      <c r="D2866" s="6" t="str">
        <f>IF(OR(PROPER(TRIM(Raw_Data!D2866))="Uk",PROPER(TRIM(Raw_Data!D2866))="Gb",PROPER(TRIM(Raw_Data!D2866))="United kingdom"),"United Kingdom",PROPER(TRIM(Raw_Data!D2866)))</f>
        <v>United Kingdom</v>
      </c>
      <c r="E2866" s="6" t="s">
        <v>37</v>
      </c>
      <c r="F2866" s="6" t="s">
        <v>53</v>
      </c>
      <c r="G2866" s="6" t="str">
        <f>SUBSTITUTE(Raw_Data!G2866,"Ã©","é")</f>
        <v>Alpine Jacket</v>
      </c>
      <c r="H2866" s="6">
        <v>1</v>
      </c>
      <c r="I2866" s="6" t="s">
        <v>656</v>
      </c>
      <c r="J2866" s="6" t="s">
        <v>113</v>
      </c>
      <c r="K2866" s="6">
        <v>0.19</v>
      </c>
      <c r="L2866" s="6" t="s">
        <v>42</v>
      </c>
      <c r="M2866" s="6" t="s">
        <v>34</v>
      </c>
      <c r="N2866" s="6"/>
    </row>
    <row r="2867" spans="1:14">
      <c r="A2867" s="6" t="s">
        <v>4471</v>
      </c>
      <c r="B2867" s="7">
        <v>46188</v>
      </c>
      <c r="C2867" s="6" t="s">
        <v>4236</v>
      </c>
      <c r="D2867" s="6" t="str">
        <f>IF(OR(PROPER(TRIM(Raw_Data!D2867))="Uk",PROPER(TRIM(Raw_Data!D2867))="Gb",PROPER(TRIM(Raw_Data!D2867))="United kingdom"),"United Kingdom",PROPER(TRIM(Raw_Data!D2867)))</f>
        <v>United Kingdom</v>
      </c>
      <c r="E2867" s="6" t="s">
        <v>28</v>
      </c>
      <c r="F2867" s="6" t="s">
        <v>47</v>
      </c>
      <c r="G2867" s="6" t="str">
        <f>SUBSTITUTE(Raw_Data!G2867,"Ã©","é")</f>
        <v>Merino Base Layer</v>
      </c>
      <c r="H2867" s="6">
        <v>2</v>
      </c>
      <c r="I2867" s="6" t="s">
        <v>117</v>
      </c>
      <c r="J2867" s="6" t="s">
        <v>118</v>
      </c>
      <c r="K2867" s="6">
        <v>8.5000000000000006E-2</v>
      </c>
      <c r="L2867" s="6" t="s">
        <v>42</v>
      </c>
      <c r="M2867" s="6" t="s">
        <v>34</v>
      </c>
      <c r="N2867" s="6"/>
    </row>
    <row r="2868" spans="1:14">
      <c r="A2868" s="6" t="s">
        <v>4472</v>
      </c>
      <c r="B2868" s="7">
        <v>46044</v>
      </c>
      <c r="C2868" s="6" t="s">
        <v>1448</v>
      </c>
      <c r="D2868" s="6" t="str">
        <f>IF(OR(PROPER(TRIM(Raw_Data!D2868))="Uk",PROPER(TRIM(Raw_Data!D2868))="Gb",PROPER(TRIM(Raw_Data!D2868))="United kingdom"),"United Kingdom",PROPER(TRIM(Raw_Data!D2868)))</f>
        <v>United Kingdom</v>
      </c>
      <c r="E2868" s="6" t="s">
        <v>78</v>
      </c>
      <c r="F2868" s="6" t="s">
        <v>94</v>
      </c>
      <c r="G2868" s="6" t="str">
        <f>SUBSTITUTE(Raw_Data!G2868,"Ã©","é")</f>
        <v>Alpine Jacket</v>
      </c>
      <c r="H2868" s="6">
        <v>2</v>
      </c>
      <c r="I2868" s="6" t="s">
        <v>2626</v>
      </c>
      <c r="J2868" s="6" t="s">
        <v>297</v>
      </c>
      <c r="K2868" s="6">
        <v>0.34</v>
      </c>
      <c r="L2868" s="6" t="s">
        <v>42</v>
      </c>
      <c r="M2868" s="6" t="s">
        <v>34</v>
      </c>
      <c r="N2868" s="6"/>
    </row>
    <row r="2869" spans="1:14">
      <c r="A2869" s="6" t="s">
        <v>4473</v>
      </c>
      <c r="B2869" s="7">
        <v>46025</v>
      </c>
      <c r="C2869" s="6" t="s">
        <v>267</v>
      </c>
      <c r="D2869" s="6" t="str">
        <f>IF(OR(PROPER(TRIM(Raw_Data!D2869))="Uk",PROPER(TRIM(Raw_Data!D2869))="Gb",PROPER(TRIM(Raw_Data!D2869))="United kingdom"),"United Kingdom",PROPER(TRIM(Raw_Data!D2869)))</f>
        <v>United Kingdom</v>
      </c>
      <c r="E2869" s="6" t="s">
        <v>78</v>
      </c>
      <c r="F2869" s="6" t="s">
        <v>100</v>
      </c>
      <c r="G2869" s="6" t="str">
        <f>SUBSTITUTE(Raw_Data!G2869,"Ã©","é")</f>
        <v>Summit Down Gilet</v>
      </c>
      <c r="H2869" s="6">
        <v>1</v>
      </c>
      <c r="I2869" s="6" t="s">
        <v>117</v>
      </c>
      <c r="J2869" s="6" t="s">
        <v>117</v>
      </c>
      <c r="K2869" s="6">
        <v>0.64</v>
      </c>
      <c r="L2869" s="6" t="s">
        <v>42</v>
      </c>
      <c r="M2869" s="6" t="s">
        <v>34</v>
      </c>
      <c r="N2869" s="6"/>
    </row>
    <row r="2870" spans="1:14">
      <c r="A2870" s="6" t="s">
        <v>4474</v>
      </c>
      <c r="B2870" s="7">
        <v>46194</v>
      </c>
      <c r="C2870" s="6" t="s">
        <v>3044</v>
      </c>
      <c r="D2870" s="6" t="str">
        <f>IF(OR(PROPER(TRIM(Raw_Data!D2870))="Uk",PROPER(TRIM(Raw_Data!D2870))="Gb",PROPER(TRIM(Raw_Data!D2870))="United kingdom"),"United Kingdom",PROPER(TRIM(Raw_Data!D2870)))</f>
        <v>United Kingdom</v>
      </c>
      <c r="E2870" s="6" t="s">
        <v>28</v>
      </c>
      <c r="F2870" s="6" t="s">
        <v>85</v>
      </c>
      <c r="G2870" s="6" t="str">
        <f>SUBSTITUTE(Raw_Data!G2870,"Ã©","é")</f>
        <v>Trail Softshell</v>
      </c>
      <c r="H2870" s="6">
        <v>2</v>
      </c>
      <c r="I2870" s="6" t="s">
        <v>181</v>
      </c>
      <c r="J2870" s="6" t="s">
        <v>163</v>
      </c>
      <c r="K2870" s="6">
        <v>0.41</v>
      </c>
      <c r="L2870" s="6" t="s">
        <v>42</v>
      </c>
      <c r="M2870" s="6" t="s">
        <v>34</v>
      </c>
      <c r="N2870" s="6"/>
    </row>
    <row r="2871" spans="1:14">
      <c r="A2871" s="6" t="s">
        <v>4475</v>
      </c>
      <c r="B2871" s="7">
        <v>46178</v>
      </c>
      <c r="C2871" s="6" t="s">
        <v>714</v>
      </c>
      <c r="D2871" s="6" t="str">
        <f>IF(OR(PROPER(TRIM(Raw_Data!D2871))="Uk",PROPER(TRIM(Raw_Data!D2871))="Gb",PROPER(TRIM(Raw_Data!D2871))="United kingdom"),"United Kingdom",PROPER(TRIM(Raw_Data!D2871)))</f>
        <v>United Kingdom</v>
      </c>
      <c r="E2871" s="6" t="s">
        <v>52</v>
      </c>
      <c r="F2871" s="6" t="s">
        <v>85</v>
      </c>
      <c r="G2871" s="6" t="str">
        <f>SUBSTITUTE(Raw_Data!G2871,"Ã©","é")</f>
        <v>Fell Runner Cap</v>
      </c>
      <c r="H2871" s="6">
        <v>1</v>
      </c>
      <c r="I2871" s="6" t="s">
        <v>90</v>
      </c>
      <c r="J2871" s="6" t="s">
        <v>90</v>
      </c>
      <c r="K2871" s="6">
        <v>0.41</v>
      </c>
      <c r="L2871" s="6" t="s">
        <v>42</v>
      </c>
      <c r="M2871" s="6" t="s">
        <v>34</v>
      </c>
      <c r="N2871" s="6"/>
    </row>
    <row r="2872" spans="1:14">
      <c r="A2872" s="6" t="s">
        <v>4476</v>
      </c>
      <c r="B2872" s="7">
        <v>46049</v>
      </c>
      <c r="C2872" s="6" t="s">
        <v>4477</v>
      </c>
      <c r="D2872" s="6" t="str">
        <f>IF(OR(PROPER(TRIM(Raw_Data!D2872))="Uk",PROPER(TRIM(Raw_Data!D2872))="Gb",PROPER(TRIM(Raw_Data!D2872))="United kingdom"),"United Kingdom",PROPER(TRIM(Raw_Data!D2872)))</f>
        <v>United Kingdom</v>
      </c>
      <c r="E2872" s="6" t="s">
        <v>28</v>
      </c>
      <c r="F2872" s="6" t="s">
        <v>47</v>
      </c>
      <c r="G2872" s="6" t="str">
        <f>SUBSTITUTE(Raw_Data!G2872,"Ã©","é")</f>
        <v>Summit Down Gilet</v>
      </c>
      <c r="H2872" s="6">
        <v>1</v>
      </c>
      <c r="I2872" s="6" t="s">
        <v>90</v>
      </c>
      <c r="J2872" s="6" t="s">
        <v>90</v>
      </c>
      <c r="K2872" s="6">
        <v>8.5000000000000006E-2</v>
      </c>
      <c r="L2872" s="6" t="s">
        <v>42</v>
      </c>
      <c r="M2872" s="6" t="s">
        <v>34</v>
      </c>
      <c r="N2872" s="6"/>
    </row>
    <row r="2873" spans="1:14">
      <c r="A2873" s="6" t="s">
        <v>4478</v>
      </c>
      <c r="B2873" s="7">
        <v>46136</v>
      </c>
      <c r="C2873" s="6" t="s">
        <v>369</v>
      </c>
      <c r="D2873" s="6" t="str">
        <f>IF(OR(PROPER(TRIM(Raw_Data!D2873))="Uk",PROPER(TRIM(Raw_Data!D2873))="Gb",PROPER(TRIM(Raw_Data!D2873))="United kingdom"),"United Kingdom",PROPER(TRIM(Raw_Data!D2873)))</f>
        <v>United Kingdom</v>
      </c>
      <c r="E2873" s="6" t="s">
        <v>46</v>
      </c>
      <c r="F2873" s="6" t="s">
        <v>58</v>
      </c>
      <c r="G2873" s="6" t="str">
        <f>SUBSTITUTE(Raw_Data!G2873,"Ã©","é")</f>
        <v>Alpine Jacket</v>
      </c>
      <c r="H2873" s="6">
        <v>1</v>
      </c>
      <c r="I2873" s="6" t="s">
        <v>40</v>
      </c>
      <c r="J2873" s="6" t="s">
        <v>40</v>
      </c>
      <c r="K2873" s="6">
        <v>0.38</v>
      </c>
      <c r="L2873" s="6" t="s">
        <v>42</v>
      </c>
      <c r="M2873" s="6" t="s">
        <v>69</v>
      </c>
      <c r="N2873" s="6"/>
    </row>
    <row r="2874" spans="1:14">
      <c r="A2874" s="6" t="s">
        <v>4479</v>
      </c>
      <c r="B2874" s="7">
        <v>46119</v>
      </c>
      <c r="C2874" s="6" t="s">
        <v>3004</v>
      </c>
      <c r="D2874" s="6" t="str">
        <f>IF(OR(PROPER(TRIM(Raw_Data!D2874))="Uk",PROPER(TRIM(Raw_Data!D2874))="Gb",PROPER(TRIM(Raw_Data!D2874))="United kingdom"),"United Kingdom",PROPER(TRIM(Raw_Data!D2874)))</f>
        <v>United Kingdom</v>
      </c>
      <c r="E2874" s="6" t="s">
        <v>37</v>
      </c>
      <c r="F2874" s="6" t="s">
        <v>38</v>
      </c>
      <c r="G2874" s="6" t="str">
        <f>SUBSTITUTE(Raw_Data!G2874,"Ã©","é")</f>
        <v>Trekking Poles</v>
      </c>
      <c r="H2874" s="6">
        <v>1</v>
      </c>
      <c r="I2874" s="6" t="s">
        <v>619</v>
      </c>
      <c r="J2874" s="6" t="s">
        <v>143</v>
      </c>
      <c r="K2874" s="6">
        <v>0.52</v>
      </c>
      <c r="L2874" s="6" t="s">
        <v>42</v>
      </c>
      <c r="M2874" s="6" t="s">
        <v>69</v>
      </c>
      <c r="N2874" s="6"/>
    </row>
    <row r="2875" spans="1:14">
      <c r="A2875" s="6" t="s">
        <v>4480</v>
      </c>
      <c r="B2875" s="7">
        <v>46029</v>
      </c>
      <c r="C2875" s="6" t="s">
        <v>1653</v>
      </c>
      <c r="D2875" s="6" t="str">
        <f>IF(OR(PROPER(TRIM(Raw_Data!D2875))="Uk",PROPER(TRIM(Raw_Data!D2875))="Gb",PROPER(TRIM(Raw_Data!D2875))="United kingdom"),"United Kingdom",PROPER(TRIM(Raw_Data!D2875)))</f>
        <v>Ireland</v>
      </c>
      <c r="E2875" s="6" t="s">
        <v>78</v>
      </c>
      <c r="F2875" s="6" t="s">
        <v>53</v>
      </c>
      <c r="G2875" s="6" t="str">
        <f>SUBSTITUTE(Raw_Data!G2875,"Ã©","é")</f>
        <v>Café Latte Mug</v>
      </c>
      <c r="H2875" s="6">
        <v>2</v>
      </c>
      <c r="I2875" s="6" t="s">
        <v>40</v>
      </c>
      <c r="J2875" s="6" t="s">
        <v>3472</v>
      </c>
      <c r="K2875" s="6">
        <v>0.19</v>
      </c>
      <c r="L2875" s="6" t="s">
        <v>42</v>
      </c>
      <c r="M2875" s="6" t="s">
        <v>34</v>
      </c>
      <c r="N2875" s="6"/>
    </row>
    <row r="2876" spans="1:14">
      <c r="A2876" s="6" t="s">
        <v>4481</v>
      </c>
      <c r="B2876" s="7">
        <v>46163</v>
      </c>
      <c r="C2876" s="6" t="s">
        <v>1639</v>
      </c>
      <c r="D2876" s="6" t="str">
        <f>IF(OR(PROPER(TRIM(Raw_Data!D2876))="Uk",PROPER(TRIM(Raw_Data!D2876))="Gb",PROPER(TRIM(Raw_Data!D2876))="United kingdom"),"United Kingdom",PROPER(TRIM(Raw_Data!D2876)))</f>
        <v>United Kingdom</v>
      </c>
      <c r="E2876" s="6" t="s">
        <v>46</v>
      </c>
      <c r="F2876" s="6" t="s">
        <v>47</v>
      </c>
      <c r="G2876" s="6" t="str">
        <f>SUBSTITUTE(Raw_Data!G2876,"Ã©","é")</f>
        <v>Summit Down Gilet</v>
      </c>
      <c r="H2876" s="6">
        <v>1</v>
      </c>
      <c r="I2876" s="6" t="s">
        <v>90</v>
      </c>
      <c r="J2876" s="6" t="s">
        <v>90</v>
      </c>
      <c r="K2876" s="6">
        <v>8.5000000000000006E-2</v>
      </c>
      <c r="L2876" s="6" t="s">
        <v>42</v>
      </c>
      <c r="M2876" s="6" t="s">
        <v>34</v>
      </c>
      <c r="N2876" s="6"/>
    </row>
    <row r="2877" spans="1:14">
      <c r="A2877" s="6" t="s">
        <v>4482</v>
      </c>
      <c r="B2877" s="7">
        <v>46266</v>
      </c>
      <c r="C2877" s="6" t="s">
        <v>3183</v>
      </c>
      <c r="D2877" s="6" t="str">
        <f>IF(OR(PROPER(TRIM(Raw_Data!D2877))="Uk",PROPER(TRIM(Raw_Data!D2877))="Gb",PROPER(TRIM(Raw_Data!D2877))="United kingdom"),"United Kingdom",PROPER(TRIM(Raw_Data!D2877)))</f>
        <v>United Kingdom</v>
      </c>
      <c r="E2877" s="6" t="s">
        <v>28</v>
      </c>
      <c r="F2877" s="6" t="s">
        <v>85</v>
      </c>
      <c r="G2877" s="6" t="str">
        <f>SUBSTITUTE(Raw_Data!G2877,"Ã©","é")</f>
        <v>Storm Overtrousers</v>
      </c>
      <c r="H2877" s="6">
        <v>3</v>
      </c>
      <c r="I2877" s="6" t="s">
        <v>31</v>
      </c>
      <c r="J2877" s="6" t="s">
        <v>337</v>
      </c>
      <c r="K2877" s="6">
        <v>0.41</v>
      </c>
      <c r="L2877" s="6" t="s">
        <v>42</v>
      </c>
      <c r="M2877" s="6" t="s">
        <v>34</v>
      </c>
      <c r="N2877" s="6"/>
    </row>
    <row r="2878" spans="1:14">
      <c r="A2878" s="6" t="s">
        <v>4483</v>
      </c>
      <c r="B2878" s="7">
        <v>46140</v>
      </c>
      <c r="C2878" s="6" t="s">
        <v>299</v>
      </c>
      <c r="D2878" s="6" t="str">
        <f>IF(OR(PROPER(TRIM(Raw_Data!D2878))="Uk",PROPER(TRIM(Raw_Data!D2878))="Gb",PROPER(TRIM(Raw_Data!D2878))="United kingdom"),"United Kingdom",PROPER(TRIM(Raw_Data!D2878)))</f>
        <v>Germany</v>
      </c>
      <c r="E2878" s="6" t="s">
        <v>46</v>
      </c>
      <c r="F2878" s="6" t="s">
        <v>38</v>
      </c>
      <c r="G2878" s="6" t="str">
        <f>SUBSTITUTE(Raw_Data!G2878,"Ã©","é")</f>
        <v>Café Latte Mug</v>
      </c>
      <c r="H2878" s="6">
        <v>-1</v>
      </c>
      <c r="I2878" s="6" t="s">
        <v>113</v>
      </c>
      <c r="J2878" s="8" t="s">
        <v>1147</v>
      </c>
      <c r="K2878" s="6">
        <v>0.52</v>
      </c>
      <c r="L2878" s="6" t="s">
        <v>42</v>
      </c>
      <c r="M2878" s="6" t="s">
        <v>34</v>
      </c>
      <c r="N2878" s="6"/>
    </row>
    <row r="2879" spans="1:14">
      <c r="A2879" s="6" t="s">
        <v>4484</v>
      </c>
      <c r="B2879" s="7">
        <v>46141</v>
      </c>
      <c r="C2879" s="6" t="s">
        <v>1899</v>
      </c>
      <c r="D2879" s="6" t="str">
        <f>IF(OR(PROPER(TRIM(Raw_Data!D2879))="Uk",PROPER(TRIM(Raw_Data!D2879))="Gb",PROPER(TRIM(Raw_Data!D2879))="United kingdom"),"United Kingdom",PROPER(TRIM(Raw_Data!D2879)))</f>
        <v>United Kingdom</v>
      </c>
      <c r="E2879" s="6" t="s">
        <v>28</v>
      </c>
      <c r="F2879" s="6" t="s">
        <v>29</v>
      </c>
      <c r="G2879" s="6" t="str">
        <f>SUBSTITUTE(Raw_Data!G2879,"Ã©","é")</f>
        <v>Fell Runner Cap</v>
      </c>
      <c r="H2879" s="6">
        <v>2</v>
      </c>
      <c r="I2879" s="6" t="s">
        <v>79</v>
      </c>
      <c r="J2879" s="6" t="s">
        <v>259</v>
      </c>
      <c r="K2879" s="6">
        <v>0.52</v>
      </c>
      <c r="L2879" s="6" t="s">
        <v>42</v>
      </c>
      <c r="M2879" s="6" t="s">
        <v>34</v>
      </c>
      <c r="N2879" s="6"/>
    </row>
    <row r="2880" spans="1:14">
      <c r="A2880" s="6" t="s">
        <v>4486</v>
      </c>
      <c r="B2880" s="7">
        <v>46359</v>
      </c>
      <c r="C2880" s="6" t="s">
        <v>705</v>
      </c>
      <c r="D2880" s="6" t="str">
        <f>IF(OR(PROPER(TRIM(Raw_Data!D2880))="Uk",PROPER(TRIM(Raw_Data!D2880))="Gb",PROPER(TRIM(Raw_Data!D2880))="United kingdom"),"United Kingdom",PROPER(TRIM(Raw_Data!D2880)))</f>
        <v>United Kingdom</v>
      </c>
      <c r="E2880" s="6" t="s">
        <v>78</v>
      </c>
      <c r="F2880" s="6" t="s">
        <v>85</v>
      </c>
      <c r="G2880" s="6" t="str">
        <f>SUBSTITUTE(Raw_Data!G2880,"Ã©","é")</f>
        <v>Merino Base Layer</v>
      </c>
      <c r="H2880" s="6">
        <v>1</v>
      </c>
      <c r="I2880" s="6" t="s">
        <v>748</v>
      </c>
      <c r="J2880" s="6" t="s">
        <v>113</v>
      </c>
      <c r="K2880" s="6">
        <v>0.41</v>
      </c>
      <c r="L2880" s="6" t="s">
        <v>33</v>
      </c>
      <c r="M2880" s="6" t="s">
        <v>34</v>
      </c>
      <c r="N2880" s="6"/>
    </row>
    <row r="2881" spans="1:14">
      <c r="A2881" s="6" t="s">
        <v>4487</v>
      </c>
      <c r="B2881" s="7">
        <v>46137</v>
      </c>
      <c r="C2881" s="6" t="s">
        <v>2790</v>
      </c>
      <c r="D2881" s="6" t="str">
        <f>IF(OR(PROPER(TRIM(Raw_Data!D2881))="Uk",PROPER(TRIM(Raw_Data!D2881))="Gb",PROPER(TRIM(Raw_Data!D2881))="United kingdom"),"United Kingdom",PROPER(TRIM(Raw_Data!D2881)))</f>
        <v>France</v>
      </c>
      <c r="E2881" s="6" t="s">
        <v>37</v>
      </c>
      <c r="F2881" s="6" t="s">
        <v>53</v>
      </c>
      <c r="G2881" s="6" t="str">
        <f>SUBSTITUTE(Raw_Data!G2881,"Ã©","é")</f>
        <v>Summit Down Gilet</v>
      </c>
      <c r="H2881" s="6">
        <v>1</v>
      </c>
      <c r="I2881" s="6" t="s">
        <v>143</v>
      </c>
      <c r="J2881" s="6" t="s">
        <v>143</v>
      </c>
      <c r="K2881" s="6">
        <v>0.19</v>
      </c>
      <c r="L2881" s="6" t="s">
        <v>42</v>
      </c>
      <c r="M2881" s="6" t="s">
        <v>34</v>
      </c>
      <c r="N2881" s="6"/>
    </row>
    <row r="2882" spans="1:14">
      <c r="A2882" s="6" t="s">
        <v>4488</v>
      </c>
      <c r="B2882" s="7">
        <v>46076</v>
      </c>
      <c r="C2882" s="6" t="s">
        <v>843</v>
      </c>
      <c r="D2882" s="6" t="str">
        <f>IF(OR(PROPER(TRIM(Raw_Data!D2882))="Uk",PROPER(TRIM(Raw_Data!D2882))="Gb",PROPER(TRIM(Raw_Data!D2882))="United kingdom"),"United Kingdom",PROPER(TRIM(Raw_Data!D2882)))</f>
        <v>Ireland</v>
      </c>
      <c r="E2882" s="6" t="s">
        <v>46</v>
      </c>
      <c r="F2882" s="6" t="s">
        <v>85</v>
      </c>
      <c r="G2882" s="6" t="str">
        <f>SUBSTITUTE(Raw_Data!G2882,"Ã©","é")</f>
        <v>Trail Softshell</v>
      </c>
      <c r="H2882" s="6">
        <v>1</v>
      </c>
      <c r="I2882" s="6" t="s">
        <v>113</v>
      </c>
      <c r="J2882" s="6" t="s">
        <v>113</v>
      </c>
      <c r="K2882" s="6">
        <v>0.41</v>
      </c>
      <c r="L2882" s="6" t="s">
        <v>42</v>
      </c>
      <c r="M2882" s="6" t="s">
        <v>34</v>
      </c>
      <c r="N2882" s="6"/>
    </row>
    <row r="2883" spans="1:14">
      <c r="A2883" s="6" t="s">
        <v>4489</v>
      </c>
      <c r="B2883" s="7">
        <v>46038</v>
      </c>
      <c r="C2883" s="6" t="s">
        <v>1418</v>
      </c>
      <c r="D2883" s="6" t="str">
        <f>IF(OR(PROPER(TRIM(Raw_Data!D2883))="Uk",PROPER(TRIM(Raw_Data!D2883))="Gb",PROPER(TRIM(Raw_Data!D2883))="United kingdom"),"United Kingdom",PROPER(TRIM(Raw_Data!D2883)))</f>
        <v>United Kingdom</v>
      </c>
      <c r="E2883" s="6" t="s">
        <v>28</v>
      </c>
      <c r="F2883" s="6" t="s">
        <v>29</v>
      </c>
      <c r="G2883" s="6" t="str">
        <f>SUBSTITUTE(Raw_Data!G2883,"Ã©","é")</f>
        <v>Trekking Poles</v>
      </c>
      <c r="H2883" s="6">
        <v>1</v>
      </c>
      <c r="I2883" s="6" t="s">
        <v>40</v>
      </c>
      <c r="J2883" s="6" t="s">
        <v>40</v>
      </c>
      <c r="K2883" s="6">
        <v>0.52</v>
      </c>
      <c r="L2883" s="6" t="s">
        <v>42</v>
      </c>
      <c r="M2883" s="6" t="s">
        <v>34</v>
      </c>
      <c r="N2883" s="6"/>
    </row>
    <row r="2884" spans="1:14">
      <c r="A2884" s="6" t="s">
        <v>4490</v>
      </c>
      <c r="B2884" s="7">
        <v>46091</v>
      </c>
      <c r="C2884" s="6" t="s">
        <v>1083</v>
      </c>
      <c r="D2884" s="6" t="str">
        <f>IF(OR(PROPER(TRIM(Raw_Data!D2884))="Uk",PROPER(TRIM(Raw_Data!D2884))="Gb",PROPER(TRIM(Raw_Data!D2884))="United kingdom"),"United Kingdom",PROPER(TRIM(Raw_Data!D2884)))</f>
        <v>United Kingdom</v>
      </c>
      <c r="E2884" s="6" t="s">
        <v>28</v>
      </c>
      <c r="F2884" s="6" t="s">
        <v>94</v>
      </c>
      <c r="G2884" s="6" t="str">
        <f>SUBSTITUTE(Raw_Data!G2884,"Ã©","é")</f>
        <v>Café Latte Mug</v>
      </c>
      <c r="H2884" s="6">
        <v>2</v>
      </c>
      <c r="I2884" s="6" t="s">
        <v>79</v>
      </c>
      <c r="J2884" s="6" t="s">
        <v>259</v>
      </c>
      <c r="K2884" s="6">
        <v>0.34</v>
      </c>
      <c r="L2884" s="6" t="s">
        <v>42</v>
      </c>
      <c r="M2884" s="6" t="s">
        <v>34</v>
      </c>
      <c r="N2884" s="6"/>
    </row>
    <row r="2885" spans="1:14">
      <c r="A2885" s="6" t="s">
        <v>4491</v>
      </c>
      <c r="B2885" s="7">
        <v>46144</v>
      </c>
      <c r="C2885" s="6" t="s">
        <v>3600</v>
      </c>
      <c r="D2885" s="6" t="str">
        <f>IF(OR(PROPER(TRIM(Raw_Data!D2885))="Uk",PROPER(TRIM(Raw_Data!D2885))="Gb",PROPER(TRIM(Raw_Data!D2885))="United kingdom"),"United Kingdom",PROPER(TRIM(Raw_Data!D2885)))</f>
        <v>United Kingdom</v>
      </c>
      <c r="E2885" s="6" t="s">
        <v>28</v>
      </c>
      <c r="F2885" s="6" t="s">
        <v>100</v>
      </c>
      <c r="G2885" s="6" t="str">
        <f>SUBSTITUTE(Raw_Data!G2885,"Ã©","é")</f>
        <v>Trekking Poles</v>
      </c>
      <c r="H2885" s="6">
        <v>2</v>
      </c>
      <c r="I2885" s="6" t="s">
        <v>265</v>
      </c>
      <c r="J2885" s="6" t="s">
        <v>167</v>
      </c>
      <c r="K2885" s="6">
        <v>0.64</v>
      </c>
      <c r="L2885" s="6" t="s">
        <v>42</v>
      </c>
      <c r="M2885" s="6" t="s">
        <v>69</v>
      </c>
      <c r="N2885" s="6"/>
    </row>
    <row r="2886" spans="1:14">
      <c r="A2886" s="6" t="s">
        <v>4492</v>
      </c>
      <c r="B2886" s="7">
        <v>46045</v>
      </c>
      <c r="C2886" s="6" t="s">
        <v>150</v>
      </c>
      <c r="D2886" s="6" t="str">
        <f>IF(OR(PROPER(TRIM(Raw_Data!D2886))="Uk",PROPER(TRIM(Raw_Data!D2886))="Gb",PROPER(TRIM(Raw_Data!D2886))="United kingdom"),"United Kingdom",PROPER(TRIM(Raw_Data!D2886)))</f>
        <v>Germany</v>
      </c>
      <c r="E2886" s="6" t="s">
        <v>46</v>
      </c>
      <c r="F2886" s="6" t="s">
        <v>47</v>
      </c>
      <c r="G2886" s="6" t="str">
        <f>SUBSTITUTE(Raw_Data!G2886,"Ã©","é")</f>
        <v>Trail Softshell</v>
      </c>
      <c r="H2886" s="6">
        <v>2</v>
      </c>
      <c r="I2886" s="6" t="s">
        <v>82</v>
      </c>
      <c r="J2886" s="6" t="s">
        <v>297</v>
      </c>
      <c r="K2886" s="6">
        <v>8.5000000000000006E-2</v>
      </c>
      <c r="L2886" s="6" t="s">
        <v>42</v>
      </c>
      <c r="M2886" s="6" t="s">
        <v>34</v>
      </c>
      <c r="N2886" s="6"/>
    </row>
    <row r="2887" spans="1:14">
      <c r="A2887" s="6" t="s">
        <v>4493</v>
      </c>
      <c r="B2887" s="7">
        <v>46204</v>
      </c>
      <c r="C2887" s="6" t="s">
        <v>2210</v>
      </c>
      <c r="D2887" s="6" t="str">
        <f>IF(OR(PROPER(TRIM(Raw_Data!D2887))="Uk",PROPER(TRIM(Raw_Data!D2887))="Gb",PROPER(TRIM(Raw_Data!D2887))="United kingdom"),"United Kingdom",PROPER(TRIM(Raw_Data!D2887)))</f>
        <v>United Kingdom</v>
      </c>
      <c r="E2887" s="6" t="s">
        <v>46</v>
      </c>
      <c r="F2887" s="6" t="s">
        <v>47</v>
      </c>
      <c r="G2887" s="6" t="str">
        <f>SUBSTITUTE(Raw_Data!G2887,"Ã©","é")</f>
        <v>Café Latte Mug</v>
      </c>
      <c r="H2887" s="6">
        <v>-2</v>
      </c>
      <c r="I2887" s="6" t="s">
        <v>79</v>
      </c>
      <c r="J2887" s="8" t="s">
        <v>1095</v>
      </c>
      <c r="K2887" s="6">
        <v>8.5000000000000006E-2</v>
      </c>
      <c r="L2887" s="6" t="s">
        <v>33</v>
      </c>
      <c r="M2887" s="6" t="s">
        <v>34</v>
      </c>
      <c r="N2887" s="6"/>
    </row>
    <row r="2888" spans="1:14">
      <c r="A2888" s="6" t="s">
        <v>4494</v>
      </c>
      <c r="B2888" s="7">
        <v>46329</v>
      </c>
      <c r="C2888" s="6" t="s">
        <v>3149</v>
      </c>
      <c r="D2888" s="6" t="str">
        <f>IF(OR(PROPER(TRIM(Raw_Data!D2888))="Uk",PROPER(TRIM(Raw_Data!D2888))="Gb",PROPER(TRIM(Raw_Data!D2888))="United kingdom"),"United Kingdom",PROPER(TRIM(Raw_Data!D2888)))</f>
        <v>Ireland</v>
      </c>
      <c r="E2888" s="6" t="s">
        <v>78</v>
      </c>
      <c r="F2888" s="6" t="s">
        <v>47</v>
      </c>
      <c r="G2888" s="6" t="str">
        <f>SUBSTITUTE(Raw_Data!G2888,"Ã©","é")</f>
        <v>Merino Base Layer</v>
      </c>
      <c r="H2888" s="6">
        <v>1</v>
      </c>
      <c r="I2888" s="6" t="s">
        <v>79</v>
      </c>
      <c r="J2888" s="6" t="s">
        <v>79</v>
      </c>
      <c r="K2888" s="6">
        <v>8.5000000000000006E-2</v>
      </c>
      <c r="L2888" s="6" t="s">
        <v>42</v>
      </c>
      <c r="M2888" s="6" t="s">
        <v>69</v>
      </c>
      <c r="N2888" s="6"/>
    </row>
    <row r="2889" spans="1:14">
      <c r="A2889" s="6" t="s">
        <v>4495</v>
      </c>
      <c r="B2889" s="7">
        <v>46049</v>
      </c>
      <c r="C2889" s="6" t="s">
        <v>3160</v>
      </c>
      <c r="D2889" s="6" t="str">
        <f>IF(OR(PROPER(TRIM(Raw_Data!D2889))="Uk",PROPER(TRIM(Raw_Data!D2889))="Gb",PROPER(TRIM(Raw_Data!D2889))="United kingdom"),"United Kingdom",PROPER(TRIM(Raw_Data!D2889)))</f>
        <v>United Kingdom</v>
      </c>
      <c r="E2889" s="6" t="s">
        <v>78</v>
      </c>
      <c r="F2889" s="6" t="s">
        <v>85</v>
      </c>
      <c r="G2889" s="6" t="str">
        <f>SUBSTITUTE(Raw_Data!G2889,"Ã©","é")</f>
        <v>Storm Overtrousers</v>
      </c>
      <c r="H2889" s="6">
        <v>3</v>
      </c>
      <c r="I2889" s="6" t="s">
        <v>143</v>
      </c>
      <c r="J2889" s="6" t="s">
        <v>243</v>
      </c>
      <c r="K2889" s="6">
        <v>0.41</v>
      </c>
      <c r="L2889" s="6" t="s">
        <v>33</v>
      </c>
      <c r="M2889" s="6" t="s">
        <v>69</v>
      </c>
      <c r="N2889" s="6"/>
    </row>
    <row r="2890" spans="1:14">
      <c r="A2890" s="6" t="s">
        <v>4496</v>
      </c>
      <c r="B2890" s="7">
        <v>46035</v>
      </c>
      <c r="C2890" s="6" t="s">
        <v>2359</v>
      </c>
      <c r="D2890" s="6" t="str">
        <f>IF(OR(PROPER(TRIM(Raw_Data!D2890))="Uk",PROPER(TRIM(Raw_Data!D2890))="Gb",PROPER(TRIM(Raw_Data!D2890))="United kingdom"),"United Kingdom",PROPER(TRIM(Raw_Data!D2890)))</f>
        <v>United Kingdom</v>
      </c>
      <c r="E2890" s="6" t="s">
        <v>52</v>
      </c>
      <c r="F2890" s="6" t="s">
        <v>53</v>
      </c>
      <c r="G2890" s="6" t="str">
        <f>SUBSTITUTE(Raw_Data!G2890,"Ã©","é")</f>
        <v>Summit Down Gilet</v>
      </c>
      <c r="H2890" s="6">
        <v>1</v>
      </c>
      <c r="I2890" s="6" t="s">
        <v>265</v>
      </c>
      <c r="J2890" s="6" t="s">
        <v>265</v>
      </c>
      <c r="K2890" s="6">
        <v>0.19</v>
      </c>
      <c r="L2890" s="6" t="s">
        <v>33</v>
      </c>
      <c r="M2890" s="6" t="s">
        <v>34</v>
      </c>
      <c r="N2890" s="6"/>
    </row>
    <row r="2891" spans="1:14">
      <c r="A2891" s="6" t="s">
        <v>4497</v>
      </c>
      <c r="B2891" s="7">
        <v>46130</v>
      </c>
      <c r="C2891" s="6" t="s">
        <v>400</v>
      </c>
      <c r="D2891" s="6" t="str">
        <f>IF(OR(PROPER(TRIM(Raw_Data!D2891))="Uk",PROPER(TRIM(Raw_Data!D2891))="Gb",PROPER(TRIM(Raw_Data!D2891))="United kingdom"),"United Kingdom",PROPER(TRIM(Raw_Data!D2891)))</f>
        <v>United Kingdom</v>
      </c>
      <c r="E2891" s="6" t="s">
        <v>28</v>
      </c>
      <c r="F2891" s="6" t="s">
        <v>85</v>
      </c>
      <c r="G2891" s="6" t="str">
        <f>SUBSTITUTE(Raw_Data!G2891,"Ã©","é")</f>
        <v>Trail Softshell</v>
      </c>
      <c r="H2891" s="6">
        <v>3</v>
      </c>
      <c r="I2891" s="6" t="s">
        <v>60</v>
      </c>
      <c r="J2891" s="6" t="s">
        <v>268</v>
      </c>
      <c r="K2891" s="6">
        <v>0.41</v>
      </c>
      <c r="L2891" s="6" t="s">
        <v>42</v>
      </c>
      <c r="M2891" s="6" t="s">
        <v>69</v>
      </c>
      <c r="N2891" s="6"/>
    </row>
    <row r="2892" spans="1:14">
      <c r="A2892" s="6" t="s">
        <v>4498</v>
      </c>
      <c r="B2892" s="7">
        <v>46146</v>
      </c>
      <c r="C2892" s="6" t="s">
        <v>548</v>
      </c>
      <c r="D2892" s="6" t="str">
        <f>IF(OR(PROPER(TRIM(Raw_Data!D2892))="Uk",PROPER(TRIM(Raw_Data!D2892))="Gb",PROPER(TRIM(Raw_Data!D2892))="United kingdom"),"United Kingdom",PROPER(TRIM(Raw_Data!D2892)))</f>
        <v>United Kingdom</v>
      </c>
      <c r="E2892" s="6" t="s">
        <v>28</v>
      </c>
      <c r="F2892" s="6" t="s">
        <v>100</v>
      </c>
      <c r="G2892" s="6" t="str">
        <f>SUBSTITUTE(Raw_Data!G2892,"Ã©","é")</f>
        <v>Storm Overtrousers</v>
      </c>
      <c r="H2892" s="6">
        <v>1</v>
      </c>
      <c r="I2892" s="6" t="s">
        <v>96</v>
      </c>
      <c r="J2892" s="6" t="s">
        <v>96</v>
      </c>
      <c r="K2892" s="6">
        <v>0.64</v>
      </c>
      <c r="L2892" s="6" t="s">
        <v>42</v>
      </c>
      <c r="M2892" s="6" t="s">
        <v>34</v>
      </c>
      <c r="N2892" s="6"/>
    </row>
    <row r="2893" spans="1:14">
      <c r="A2893" s="6" t="s">
        <v>4499</v>
      </c>
      <c r="B2893" s="7">
        <v>46119</v>
      </c>
      <c r="C2893" s="6" t="s">
        <v>2561</v>
      </c>
      <c r="D2893" s="6" t="str">
        <f>IF(OR(PROPER(TRIM(Raw_Data!D2893))="Uk",PROPER(TRIM(Raw_Data!D2893))="Gb",PROPER(TRIM(Raw_Data!D2893))="United kingdom"),"United Kingdom",PROPER(TRIM(Raw_Data!D2893)))</f>
        <v>Ireland</v>
      </c>
      <c r="E2893" s="6" t="s">
        <v>78</v>
      </c>
      <c r="F2893" s="6" t="s">
        <v>58</v>
      </c>
      <c r="G2893" s="6" t="str">
        <f>SUBSTITUTE(Raw_Data!G2893,"Ã©","é")</f>
        <v>Fell Runner Cap</v>
      </c>
      <c r="H2893" s="6">
        <v>2</v>
      </c>
      <c r="I2893" s="6" t="s">
        <v>113</v>
      </c>
      <c r="J2893" s="6" t="s">
        <v>1576</v>
      </c>
      <c r="K2893" s="6">
        <v>0.38</v>
      </c>
      <c r="L2893" s="6" t="s">
        <v>42</v>
      </c>
      <c r="M2893" s="6" t="s">
        <v>34</v>
      </c>
      <c r="N2893" s="6"/>
    </row>
    <row r="2894" spans="1:14">
      <c r="A2894" s="6" t="s">
        <v>4500</v>
      </c>
      <c r="B2894" s="7">
        <v>46176</v>
      </c>
      <c r="C2894" s="6" t="s">
        <v>170</v>
      </c>
      <c r="D2894" s="6" t="str">
        <f>IF(OR(PROPER(TRIM(Raw_Data!D2894))="Uk",PROPER(TRIM(Raw_Data!D2894))="Gb",PROPER(TRIM(Raw_Data!D2894))="United kingdom"),"United Kingdom",PROPER(TRIM(Raw_Data!D2894)))</f>
        <v>Germany</v>
      </c>
      <c r="E2894" s="6" t="s">
        <v>78</v>
      </c>
      <c r="F2894" s="6" t="s">
        <v>100</v>
      </c>
      <c r="G2894" s="6" t="str">
        <f>SUBSTITUTE(Raw_Data!G2894,"Ã©","é")</f>
        <v>Storm Overtrousers</v>
      </c>
      <c r="H2894" s="6">
        <v>-2</v>
      </c>
      <c r="I2894" s="6" t="s">
        <v>67</v>
      </c>
      <c r="J2894" s="8" t="s">
        <v>4501</v>
      </c>
      <c r="K2894" s="6">
        <v>0.64</v>
      </c>
      <c r="L2894" s="6" t="s">
        <v>33</v>
      </c>
      <c r="M2894" s="6" t="s">
        <v>34</v>
      </c>
      <c r="N2894" s="6"/>
    </row>
    <row r="2895" spans="1:14">
      <c r="A2895" s="6" t="s">
        <v>4502</v>
      </c>
      <c r="B2895" s="7">
        <v>46186</v>
      </c>
      <c r="C2895" s="6" t="s">
        <v>916</v>
      </c>
      <c r="D2895" s="6" t="str">
        <f>IF(OR(PROPER(TRIM(Raw_Data!D2895))="Uk",PROPER(TRIM(Raw_Data!D2895))="Gb",PROPER(TRIM(Raw_Data!D2895))="United kingdom"),"United Kingdom",PROPER(TRIM(Raw_Data!D2895)))</f>
        <v>United Kingdom</v>
      </c>
      <c r="E2895" s="6" t="s">
        <v>78</v>
      </c>
      <c r="F2895" s="6" t="s">
        <v>85</v>
      </c>
      <c r="G2895" s="6" t="str">
        <f>SUBSTITUTE(Raw_Data!G2895,"Ã©","é")</f>
        <v>Summit Down Gilet</v>
      </c>
      <c r="H2895" s="6">
        <v>3</v>
      </c>
      <c r="I2895" s="6" t="s">
        <v>143</v>
      </c>
      <c r="J2895" s="6" t="s">
        <v>4503</v>
      </c>
      <c r="K2895" s="6">
        <v>0.41</v>
      </c>
      <c r="L2895" s="6" t="s">
        <v>42</v>
      </c>
      <c r="M2895" s="6" t="s">
        <v>34</v>
      </c>
      <c r="N2895" s="6"/>
    </row>
    <row r="2896" spans="1:14">
      <c r="A2896" s="6" t="s">
        <v>4504</v>
      </c>
      <c r="B2896" s="7">
        <v>46044</v>
      </c>
      <c r="C2896" s="6" t="s">
        <v>4366</v>
      </c>
      <c r="D2896" s="6" t="str">
        <f>IF(OR(PROPER(TRIM(Raw_Data!D2896))="Uk",PROPER(TRIM(Raw_Data!D2896))="Gb",PROPER(TRIM(Raw_Data!D2896))="United kingdom"),"United Kingdom",PROPER(TRIM(Raw_Data!D2896)))</f>
        <v>United Kingdom</v>
      </c>
      <c r="E2896" s="6" t="s">
        <v>78</v>
      </c>
      <c r="F2896" s="6" t="s">
        <v>53</v>
      </c>
      <c r="G2896" s="6" t="str">
        <f>SUBSTITUTE(Raw_Data!G2896,"Ã©","é")</f>
        <v>Fell Runner Cap</v>
      </c>
      <c r="H2896" s="6">
        <v>2</v>
      </c>
      <c r="I2896" s="6" t="s">
        <v>31</v>
      </c>
      <c r="J2896" s="6" t="s">
        <v>249</v>
      </c>
      <c r="K2896" s="6">
        <v>0.19</v>
      </c>
      <c r="L2896" s="6" t="s">
        <v>42</v>
      </c>
      <c r="M2896" s="6" t="s">
        <v>34</v>
      </c>
      <c r="N2896" s="6"/>
    </row>
    <row r="2897" spans="1:14">
      <c r="A2897" s="6" t="s">
        <v>4505</v>
      </c>
      <c r="B2897" s="7">
        <v>46270</v>
      </c>
      <c r="C2897" s="6" t="s">
        <v>4506</v>
      </c>
      <c r="D2897" s="6" t="str">
        <f>IF(OR(PROPER(TRIM(Raw_Data!D2897))="Uk",PROPER(TRIM(Raw_Data!D2897))="Gb",PROPER(TRIM(Raw_Data!D2897))="United kingdom"),"United Kingdom",PROPER(TRIM(Raw_Data!D2897)))</f>
        <v>United Kingdom</v>
      </c>
      <c r="E2897" s="6" t="s">
        <v>28</v>
      </c>
      <c r="F2897" s="6" t="s">
        <v>85</v>
      </c>
      <c r="G2897" s="6" t="str">
        <f>SUBSTITUTE(Raw_Data!G2897,"Ã©","é")</f>
        <v>Alpine Jacket</v>
      </c>
      <c r="H2897" s="6">
        <v>1</v>
      </c>
      <c r="I2897" s="6" t="s">
        <v>96</v>
      </c>
      <c r="J2897" s="6" t="s">
        <v>561</v>
      </c>
      <c r="K2897" s="6">
        <v>0.41</v>
      </c>
      <c r="L2897" s="6" t="s">
        <v>33</v>
      </c>
      <c r="M2897" s="6" t="s">
        <v>34</v>
      </c>
      <c r="N2897" s="6"/>
    </row>
    <row r="2898" spans="1:14">
      <c r="A2898" s="6" t="s">
        <v>4507</v>
      </c>
      <c r="B2898" s="7">
        <v>46208</v>
      </c>
      <c r="C2898" s="6" t="s">
        <v>1232</v>
      </c>
      <c r="D2898" s="6" t="str">
        <f>IF(OR(PROPER(TRIM(Raw_Data!D2898))="Uk",PROPER(TRIM(Raw_Data!D2898))="Gb",PROPER(TRIM(Raw_Data!D2898))="United kingdom"),"United Kingdom",PROPER(TRIM(Raw_Data!D2898)))</f>
        <v>Ireland</v>
      </c>
      <c r="E2898" s="6" t="s">
        <v>52</v>
      </c>
      <c r="F2898" s="6" t="s">
        <v>85</v>
      </c>
      <c r="G2898" s="6" t="str">
        <f>SUBSTITUTE(Raw_Data!G2898,"Ã©","é")</f>
        <v>Fell Runner Cap</v>
      </c>
      <c r="H2898" s="6">
        <v>2</v>
      </c>
      <c r="I2898" s="6" t="s">
        <v>147</v>
      </c>
      <c r="J2898" s="6" t="s">
        <v>175</v>
      </c>
      <c r="K2898" s="6">
        <v>0.41</v>
      </c>
      <c r="L2898" s="6" t="s">
        <v>42</v>
      </c>
      <c r="M2898" s="6" t="s">
        <v>34</v>
      </c>
      <c r="N2898" s="6"/>
    </row>
    <row r="2899" spans="1:14">
      <c r="A2899" s="6" t="s">
        <v>4508</v>
      </c>
      <c r="B2899" s="7">
        <v>46097</v>
      </c>
      <c r="C2899" s="6" t="s">
        <v>2284</v>
      </c>
      <c r="D2899" s="6" t="str">
        <f>IF(OR(PROPER(TRIM(Raw_Data!D2899))="Uk",PROPER(TRIM(Raw_Data!D2899))="Gb",PROPER(TRIM(Raw_Data!D2899))="United kingdom"),"United Kingdom",PROPER(TRIM(Raw_Data!D2899)))</f>
        <v>United Kingdom</v>
      </c>
      <c r="E2899" s="6" t="s">
        <v>46</v>
      </c>
      <c r="F2899" s="6" t="s">
        <v>53</v>
      </c>
      <c r="G2899" s="6" t="str">
        <f>SUBSTITUTE(Raw_Data!G2899,"Ã©","é")</f>
        <v>Storm Overtrousers</v>
      </c>
      <c r="H2899" s="6">
        <v>1</v>
      </c>
      <c r="I2899" s="6" t="s">
        <v>73</v>
      </c>
      <c r="J2899" s="6" t="s">
        <v>73</v>
      </c>
      <c r="K2899" s="6">
        <v>0.19</v>
      </c>
      <c r="L2899" s="6" t="s">
        <v>42</v>
      </c>
      <c r="M2899" s="6" t="s">
        <v>34</v>
      </c>
      <c r="N2899" s="6"/>
    </row>
    <row r="2900" spans="1:14">
      <c r="A2900" s="6" t="s">
        <v>4509</v>
      </c>
      <c r="B2900" s="7">
        <v>46048</v>
      </c>
      <c r="C2900" s="6" t="s">
        <v>2500</v>
      </c>
      <c r="D2900" s="6" t="str">
        <f>IF(OR(PROPER(TRIM(Raw_Data!D2900))="Uk",PROPER(TRIM(Raw_Data!D2900))="Gb",PROPER(TRIM(Raw_Data!D2900))="United kingdom"),"United Kingdom",PROPER(TRIM(Raw_Data!D2900)))</f>
        <v>United Kingdom</v>
      </c>
      <c r="E2900" s="6" t="s">
        <v>78</v>
      </c>
      <c r="F2900" s="6" t="s">
        <v>47</v>
      </c>
      <c r="G2900" s="6" t="str">
        <f>SUBSTITUTE(Raw_Data!G2900,"Ã©","é")</f>
        <v>Storm Overtrousers</v>
      </c>
      <c r="H2900" s="6">
        <v>2</v>
      </c>
      <c r="I2900" s="6" t="s">
        <v>265</v>
      </c>
      <c r="J2900" s="6" t="s">
        <v>167</v>
      </c>
      <c r="K2900" s="6">
        <v>8.5000000000000006E-2</v>
      </c>
      <c r="L2900" s="6" t="s">
        <v>42</v>
      </c>
      <c r="M2900" s="6" t="s">
        <v>69</v>
      </c>
      <c r="N2900" s="6"/>
    </row>
    <row r="2901" spans="1:14">
      <c r="A2901" s="6" t="s">
        <v>4510</v>
      </c>
      <c r="B2901" s="7">
        <v>46331</v>
      </c>
      <c r="C2901" s="6" t="s">
        <v>1997</v>
      </c>
      <c r="D2901" s="6" t="str">
        <f>IF(OR(PROPER(TRIM(Raw_Data!D2901))="Uk",PROPER(TRIM(Raw_Data!D2901))="Gb",PROPER(TRIM(Raw_Data!D2901))="United kingdom"),"United Kingdom",PROPER(TRIM(Raw_Data!D2901)))</f>
        <v>France</v>
      </c>
      <c r="E2901" s="6" t="s">
        <v>46</v>
      </c>
      <c r="F2901" s="6" t="s">
        <v>85</v>
      </c>
      <c r="G2901" s="6" t="str">
        <f>SUBSTITUTE(Raw_Data!G2901,"Ã©","é")</f>
        <v>Summit Down Gilet</v>
      </c>
      <c r="H2901" s="6">
        <v>1</v>
      </c>
      <c r="I2901" s="6" t="s">
        <v>40</v>
      </c>
      <c r="J2901" s="6" t="s">
        <v>40</v>
      </c>
      <c r="K2901" s="6">
        <v>0.41</v>
      </c>
      <c r="L2901" s="6" t="s">
        <v>42</v>
      </c>
      <c r="M2901" s="6" t="s">
        <v>34</v>
      </c>
      <c r="N2901" s="6"/>
    </row>
    <row r="2902" spans="1:14">
      <c r="A2902" s="6" t="s">
        <v>4511</v>
      </c>
      <c r="B2902" s="7">
        <v>46116</v>
      </c>
      <c r="C2902" s="6" t="s">
        <v>1942</v>
      </c>
      <c r="D2902" s="6" t="str">
        <f>IF(OR(PROPER(TRIM(Raw_Data!D2902))="Uk",PROPER(TRIM(Raw_Data!D2902))="Gb",PROPER(TRIM(Raw_Data!D2902))="United kingdom"),"United Kingdom",PROPER(TRIM(Raw_Data!D2902)))</f>
        <v>Germany</v>
      </c>
      <c r="E2902" s="6" t="s">
        <v>78</v>
      </c>
      <c r="F2902" s="6" t="s">
        <v>85</v>
      </c>
      <c r="G2902" s="6" t="str">
        <f>SUBSTITUTE(Raw_Data!G2902,"Ã©","é")</f>
        <v>Alpine Jacket</v>
      </c>
      <c r="H2902" s="6">
        <v>2</v>
      </c>
      <c r="I2902" s="6" t="s">
        <v>67</v>
      </c>
      <c r="J2902" s="6" t="s">
        <v>204</v>
      </c>
      <c r="K2902" s="6">
        <v>0.41</v>
      </c>
      <c r="L2902" s="6" t="s">
        <v>42</v>
      </c>
      <c r="M2902" s="6" t="s">
        <v>34</v>
      </c>
      <c r="N2902" s="6"/>
    </row>
    <row r="2903" spans="1:14">
      <c r="A2903" s="6" t="s">
        <v>4512</v>
      </c>
      <c r="B2903" s="7">
        <v>46173</v>
      </c>
      <c r="C2903" s="6" t="s">
        <v>548</v>
      </c>
      <c r="D2903" s="6" t="str">
        <f>IF(OR(PROPER(TRIM(Raw_Data!D2903))="Uk",PROPER(TRIM(Raw_Data!D2903))="Gb",PROPER(TRIM(Raw_Data!D2903))="United kingdom"),"United Kingdom",PROPER(TRIM(Raw_Data!D2903)))</f>
        <v>United Kingdom</v>
      </c>
      <c r="E2903" s="6" t="s">
        <v>37</v>
      </c>
      <c r="F2903" s="6" t="s">
        <v>38</v>
      </c>
      <c r="G2903" s="6" t="str">
        <f>SUBSTITUTE(Raw_Data!G2903,"Ã©","é")</f>
        <v>Trail Softshell</v>
      </c>
      <c r="H2903" s="6">
        <v>1</v>
      </c>
      <c r="I2903" s="6" t="s">
        <v>117</v>
      </c>
      <c r="J2903" s="6" t="s">
        <v>117</v>
      </c>
      <c r="K2903" s="6">
        <v>0.52</v>
      </c>
      <c r="L2903" s="6" t="s">
        <v>33</v>
      </c>
      <c r="M2903" s="6" t="s">
        <v>34</v>
      </c>
      <c r="N2903" s="6"/>
    </row>
    <row r="2904" spans="1:14">
      <c r="A2904" s="6" t="s">
        <v>4513</v>
      </c>
      <c r="B2904" s="7">
        <v>46329</v>
      </c>
      <c r="C2904" s="6" t="s">
        <v>4514</v>
      </c>
      <c r="D2904" s="6" t="str">
        <f>IF(OR(PROPER(TRIM(Raw_Data!D2904))="Uk",PROPER(TRIM(Raw_Data!D2904))="Gb",PROPER(TRIM(Raw_Data!D2904))="United kingdom"),"United Kingdom",PROPER(TRIM(Raw_Data!D2904)))</f>
        <v>France</v>
      </c>
      <c r="E2904" s="6" t="s">
        <v>78</v>
      </c>
      <c r="F2904" s="6" t="s">
        <v>58</v>
      </c>
      <c r="G2904" s="6" t="str">
        <f>SUBSTITUTE(Raw_Data!G2904,"Ã©","é")</f>
        <v>Café Latte Mug</v>
      </c>
      <c r="H2904" s="6">
        <v>3</v>
      </c>
      <c r="I2904" s="6" t="s">
        <v>265</v>
      </c>
      <c r="J2904" s="6" t="s">
        <v>401</v>
      </c>
      <c r="K2904" s="6">
        <v>0.38</v>
      </c>
      <c r="L2904" s="6" t="s">
        <v>42</v>
      </c>
      <c r="M2904" s="6" t="s">
        <v>34</v>
      </c>
      <c r="N2904" s="6"/>
    </row>
    <row r="2905" spans="1:14">
      <c r="A2905" s="6" t="s">
        <v>4515</v>
      </c>
      <c r="B2905" s="7">
        <v>46043</v>
      </c>
      <c r="C2905" s="6" t="s">
        <v>1699</v>
      </c>
      <c r="D2905" s="6" t="str">
        <f>IF(OR(PROPER(TRIM(Raw_Data!D2905))="Uk",PROPER(TRIM(Raw_Data!D2905))="Gb",PROPER(TRIM(Raw_Data!D2905))="United kingdom"),"United Kingdom",PROPER(TRIM(Raw_Data!D2905)))</f>
        <v>Germany</v>
      </c>
      <c r="E2905" s="6" t="s">
        <v>52</v>
      </c>
      <c r="F2905" s="6" t="s">
        <v>47</v>
      </c>
      <c r="G2905" s="6" t="str">
        <f>SUBSTITUTE(Raw_Data!G2905,"Ã©","é")</f>
        <v>Merino Base Layer</v>
      </c>
      <c r="H2905" s="6">
        <v>1</v>
      </c>
      <c r="I2905" s="6" t="s">
        <v>60</v>
      </c>
      <c r="J2905" s="6" t="s">
        <v>60</v>
      </c>
      <c r="K2905" s="6">
        <v>8.5000000000000006E-2</v>
      </c>
      <c r="L2905" s="6" t="s">
        <v>42</v>
      </c>
      <c r="M2905" s="6" t="s">
        <v>34</v>
      </c>
      <c r="N2905" s="6"/>
    </row>
    <row r="2906" spans="1:14">
      <c r="A2906" s="6" t="s">
        <v>4516</v>
      </c>
      <c r="B2906" s="7">
        <v>46092</v>
      </c>
      <c r="C2906" s="6" t="s">
        <v>1619</v>
      </c>
      <c r="D2906" s="6" t="str">
        <f>IF(OR(PROPER(TRIM(Raw_Data!D2906))="Uk",PROPER(TRIM(Raw_Data!D2906))="Gb",PROPER(TRIM(Raw_Data!D2906))="United kingdom"),"United Kingdom",PROPER(TRIM(Raw_Data!D2906)))</f>
        <v>United Kingdom</v>
      </c>
      <c r="E2906" s="6" t="s">
        <v>52</v>
      </c>
      <c r="F2906" s="6" t="s">
        <v>94</v>
      </c>
      <c r="G2906" s="6" t="str">
        <f>SUBSTITUTE(Raw_Data!G2906,"Ã©","é")</f>
        <v>Fell Runner Cap</v>
      </c>
      <c r="H2906" s="6">
        <v>2</v>
      </c>
      <c r="I2906" s="6" t="s">
        <v>82</v>
      </c>
      <c r="J2906" s="6" t="s">
        <v>297</v>
      </c>
      <c r="K2906" s="6">
        <v>0.34</v>
      </c>
      <c r="L2906" s="6" t="s">
        <v>42</v>
      </c>
      <c r="M2906" s="6" t="s">
        <v>34</v>
      </c>
      <c r="N2906" s="6"/>
    </row>
    <row r="2907" spans="1:14">
      <c r="A2907" s="6" t="s">
        <v>4517</v>
      </c>
      <c r="B2907" s="7">
        <v>46057</v>
      </c>
      <c r="C2907" s="6" t="s">
        <v>1047</v>
      </c>
      <c r="D2907" s="6" t="str">
        <f>IF(OR(PROPER(TRIM(Raw_Data!D2907))="Uk",PROPER(TRIM(Raw_Data!D2907))="Gb",PROPER(TRIM(Raw_Data!D2907))="United kingdom"),"United Kingdom",PROPER(TRIM(Raw_Data!D2907)))</f>
        <v>Ireland</v>
      </c>
      <c r="E2907" s="6" t="s">
        <v>52</v>
      </c>
      <c r="F2907" s="6" t="s">
        <v>47</v>
      </c>
      <c r="G2907" s="6" t="str">
        <f>SUBSTITUTE(Raw_Data!G2907,"Ã©","é")</f>
        <v>Café Latte Mug</v>
      </c>
      <c r="H2907" s="6">
        <v>1</v>
      </c>
      <c r="I2907" s="6" t="s">
        <v>67</v>
      </c>
      <c r="J2907" s="6" t="s">
        <v>67</v>
      </c>
      <c r="K2907" s="6">
        <v>8.5000000000000006E-2</v>
      </c>
      <c r="L2907" s="6" t="s">
        <v>42</v>
      </c>
      <c r="M2907" s="6" t="s">
        <v>69</v>
      </c>
      <c r="N2907" s="6"/>
    </row>
    <row r="2908" spans="1:14">
      <c r="A2908" s="6" t="s">
        <v>4518</v>
      </c>
      <c r="B2908" s="7">
        <v>46044</v>
      </c>
      <c r="C2908" s="6" t="s">
        <v>1153</v>
      </c>
      <c r="D2908" s="6" t="str">
        <f>IF(OR(PROPER(TRIM(Raw_Data!D2908))="Uk",PROPER(TRIM(Raw_Data!D2908))="Gb",PROPER(TRIM(Raw_Data!D2908))="United kingdom"),"United Kingdom",PROPER(TRIM(Raw_Data!D2908)))</f>
        <v>Germany</v>
      </c>
      <c r="E2908" s="6" t="s">
        <v>78</v>
      </c>
      <c r="F2908" s="6" t="s">
        <v>94</v>
      </c>
      <c r="G2908" s="6" t="str">
        <f>SUBSTITUTE(Raw_Data!G2908,"Ã©","é")</f>
        <v>Alpine Jacket</v>
      </c>
      <c r="H2908" s="6">
        <v>2</v>
      </c>
      <c r="I2908" s="6" t="s">
        <v>181</v>
      </c>
      <c r="J2908" s="6" t="s">
        <v>163</v>
      </c>
      <c r="K2908" s="6">
        <v>0.34</v>
      </c>
      <c r="L2908" s="6" t="s">
        <v>42</v>
      </c>
      <c r="M2908" s="6" t="s">
        <v>34</v>
      </c>
      <c r="N2908" s="6"/>
    </row>
    <row r="2909" spans="1:14">
      <c r="A2909" s="6" t="s">
        <v>4519</v>
      </c>
      <c r="B2909" s="7">
        <v>46156</v>
      </c>
      <c r="C2909" s="6" t="s">
        <v>1087</v>
      </c>
      <c r="D2909" s="6" t="str">
        <f>IF(OR(PROPER(TRIM(Raw_Data!D2909))="Uk",PROPER(TRIM(Raw_Data!D2909))="Gb",PROPER(TRIM(Raw_Data!D2909))="United kingdom"),"United Kingdom",PROPER(TRIM(Raw_Data!D2909)))</f>
        <v>United Kingdom</v>
      </c>
      <c r="E2909" s="6" t="s">
        <v>37</v>
      </c>
      <c r="F2909" s="6" t="s">
        <v>85</v>
      </c>
      <c r="G2909" s="6" t="str">
        <f>SUBSTITUTE(Raw_Data!G2909,"Ã©","é")</f>
        <v>Storm Overtrousers</v>
      </c>
      <c r="H2909" s="6">
        <v>3</v>
      </c>
      <c r="I2909" s="6" t="s">
        <v>73</v>
      </c>
      <c r="J2909" s="6" t="s">
        <v>499</v>
      </c>
      <c r="K2909" s="6">
        <v>0.41</v>
      </c>
      <c r="L2909" s="6" t="s">
        <v>42</v>
      </c>
      <c r="M2909" s="6" t="s">
        <v>34</v>
      </c>
      <c r="N2909" s="6"/>
    </row>
    <row r="2910" spans="1:14">
      <c r="A2910" s="6" t="s">
        <v>4520</v>
      </c>
      <c r="B2910" s="7">
        <v>46038</v>
      </c>
      <c r="C2910" s="6" t="s">
        <v>2479</v>
      </c>
      <c r="D2910" s="6" t="str">
        <f>IF(OR(PROPER(TRIM(Raw_Data!D2910))="Uk",PROPER(TRIM(Raw_Data!D2910))="Gb",PROPER(TRIM(Raw_Data!D2910))="United kingdom"),"United Kingdom",PROPER(TRIM(Raw_Data!D2910)))</f>
        <v>United Kingdom</v>
      </c>
      <c r="E2910" s="6" t="s">
        <v>46</v>
      </c>
      <c r="F2910" s="6" t="s">
        <v>29</v>
      </c>
      <c r="G2910" s="6" t="str">
        <f>SUBSTITUTE(Raw_Data!G2910,"Ã©","é")</f>
        <v>Storm Overtrousers</v>
      </c>
      <c r="H2910" s="6">
        <v>3</v>
      </c>
      <c r="I2910" s="6" t="s">
        <v>231</v>
      </c>
      <c r="J2910" s="6" t="s">
        <v>505</v>
      </c>
      <c r="K2910" s="6">
        <v>0.52</v>
      </c>
      <c r="L2910" s="6" t="s">
        <v>33</v>
      </c>
      <c r="M2910" s="6" t="s">
        <v>34</v>
      </c>
      <c r="N2910" s="6"/>
    </row>
    <row r="2911" spans="1:14">
      <c r="A2911" s="6" t="s">
        <v>4521</v>
      </c>
      <c r="B2911" s="7">
        <v>46164</v>
      </c>
      <c r="C2911" s="6" t="s">
        <v>484</v>
      </c>
      <c r="D2911" s="6" t="str">
        <f>IF(OR(PROPER(TRIM(Raw_Data!D2911))="Uk",PROPER(TRIM(Raw_Data!D2911))="Gb",PROPER(TRIM(Raw_Data!D2911))="United kingdom"),"United Kingdom",PROPER(TRIM(Raw_Data!D2911)))</f>
        <v>United Kingdom</v>
      </c>
      <c r="E2911" s="6" t="s">
        <v>37</v>
      </c>
      <c r="F2911" s="6" t="s">
        <v>47</v>
      </c>
      <c r="G2911" s="6" t="str">
        <f>SUBSTITUTE(Raw_Data!G2911,"Ã©","é")</f>
        <v>Fell Runner Cap</v>
      </c>
      <c r="H2911" s="6">
        <v>1</v>
      </c>
      <c r="I2911" s="6" t="s">
        <v>82</v>
      </c>
      <c r="J2911" s="6" t="s">
        <v>82</v>
      </c>
      <c r="K2911" s="6">
        <v>8.5000000000000006E-2</v>
      </c>
      <c r="L2911" s="6" t="s">
        <v>33</v>
      </c>
      <c r="M2911" s="6" t="s">
        <v>34</v>
      </c>
      <c r="N2911" s="6"/>
    </row>
    <row r="2912" spans="1:14">
      <c r="A2912" s="6" t="s">
        <v>4522</v>
      </c>
      <c r="B2912" s="7">
        <v>46162</v>
      </c>
      <c r="C2912" s="6" t="s">
        <v>958</v>
      </c>
      <c r="D2912" s="6" t="str">
        <f>IF(OR(PROPER(TRIM(Raw_Data!D2912))="Uk",PROPER(TRIM(Raw_Data!D2912))="Gb",PROPER(TRIM(Raw_Data!D2912))="United kingdom"),"United Kingdom",PROPER(TRIM(Raw_Data!D2912)))</f>
        <v>United Kingdom</v>
      </c>
      <c r="E2912" s="6" t="s">
        <v>46</v>
      </c>
      <c r="F2912" s="6" t="s">
        <v>100</v>
      </c>
      <c r="G2912" s="6" t="str">
        <f>SUBSTITUTE(Raw_Data!G2912,"Ã©","é")</f>
        <v>Summit Down Gilet</v>
      </c>
      <c r="H2912" s="6">
        <v>2</v>
      </c>
      <c r="I2912" s="6" t="s">
        <v>40</v>
      </c>
      <c r="J2912" s="6" t="s">
        <v>327</v>
      </c>
      <c r="K2912" s="6">
        <v>0.64</v>
      </c>
      <c r="L2912" s="6" t="s">
        <v>42</v>
      </c>
      <c r="M2912" s="6" t="s">
        <v>69</v>
      </c>
      <c r="N2912" s="6"/>
    </row>
    <row r="2913" spans="1:14">
      <c r="A2913" s="6" t="s">
        <v>4523</v>
      </c>
      <c r="B2913" s="7">
        <v>46155</v>
      </c>
      <c r="C2913" s="6" t="s">
        <v>3680</v>
      </c>
      <c r="D2913" s="6" t="str">
        <f>IF(OR(PROPER(TRIM(Raw_Data!D2913))="Uk",PROPER(TRIM(Raw_Data!D2913))="Gb",PROPER(TRIM(Raw_Data!D2913))="United kingdom"),"United Kingdom",PROPER(TRIM(Raw_Data!D2913)))</f>
        <v>United Kingdom</v>
      </c>
      <c r="E2913" s="6" t="s">
        <v>46</v>
      </c>
      <c r="F2913" s="6" t="s">
        <v>38</v>
      </c>
      <c r="G2913" s="6" t="str">
        <f>SUBSTITUTE(Raw_Data!G2913,"Ã©","é")</f>
        <v>Trail Softshell</v>
      </c>
      <c r="H2913" s="6">
        <v>1</v>
      </c>
      <c r="I2913" s="6" t="s">
        <v>31</v>
      </c>
      <c r="J2913" s="6" t="s">
        <v>31</v>
      </c>
      <c r="K2913" s="6">
        <v>0.52</v>
      </c>
      <c r="L2913" s="6" t="s">
        <v>42</v>
      </c>
      <c r="M2913" s="6" t="s">
        <v>34</v>
      </c>
      <c r="N2913" s="6"/>
    </row>
    <row r="2914" spans="1:14">
      <c r="A2914" s="6" t="s">
        <v>4524</v>
      </c>
      <c r="B2914" s="7">
        <v>46196</v>
      </c>
      <c r="C2914" s="6" t="s">
        <v>2671</v>
      </c>
      <c r="D2914" s="6" t="str">
        <f>IF(OR(PROPER(TRIM(Raw_Data!D2914))="Uk",PROPER(TRIM(Raw_Data!D2914))="Gb",PROPER(TRIM(Raw_Data!D2914))="United kingdom"),"United Kingdom",PROPER(TRIM(Raw_Data!D2914)))</f>
        <v>United Kingdom</v>
      </c>
      <c r="E2914" s="6" t="s">
        <v>52</v>
      </c>
      <c r="F2914" s="6" t="s">
        <v>58</v>
      </c>
      <c r="G2914" s="6" t="str">
        <f>SUBSTITUTE(Raw_Data!G2914,"Ã©","é")</f>
        <v>Merino Base Layer</v>
      </c>
      <c r="H2914" s="6">
        <v>1</v>
      </c>
      <c r="I2914" s="6" t="s">
        <v>117</v>
      </c>
      <c r="J2914" s="6" t="s">
        <v>117</v>
      </c>
      <c r="K2914" s="6">
        <v>0.38</v>
      </c>
      <c r="L2914" s="6" t="s">
        <v>33</v>
      </c>
      <c r="M2914" s="6" t="s">
        <v>34</v>
      </c>
      <c r="N2914" s="6"/>
    </row>
    <row r="2915" spans="1:14">
      <c r="A2915" s="6" t="s">
        <v>4525</v>
      </c>
      <c r="B2915" s="7">
        <v>46129</v>
      </c>
      <c r="C2915" s="6" t="s">
        <v>2326</v>
      </c>
      <c r="D2915" s="6" t="str">
        <f>IF(OR(PROPER(TRIM(Raw_Data!D2915))="Uk",PROPER(TRIM(Raw_Data!D2915))="Gb",PROPER(TRIM(Raw_Data!D2915))="United kingdom"),"United Kingdom",PROPER(TRIM(Raw_Data!D2915)))</f>
        <v>United Kingdom</v>
      </c>
      <c r="E2915" s="6" t="s">
        <v>37</v>
      </c>
      <c r="F2915" s="6" t="s">
        <v>58</v>
      </c>
      <c r="G2915" s="6" t="str">
        <f>SUBSTITUTE(Raw_Data!G2915,"Ã©","é")</f>
        <v>Fell Runner Cap</v>
      </c>
      <c r="H2915" s="6">
        <v>1</v>
      </c>
      <c r="I2915" s="6" t="s">
        <v>40</v>
      </c>
      <c r="J2915" s="6" t="s">
        <v>40</v>
      </c>
      <c r="K2915" s="6">
        <v>0.38</v>
      </c>
      <c r="L2915" s="6" t="s">
        <v>42</v>
      </c>
      <c r="M2915" s="6" t="s">
        <v>69</v>
      </c>
      <c r="N2915" s="6"/>
    </row>
    <row r="2916" spans="1:14">
      <c r="A2916" s="6" t="s">
        <v>4526</v>
      </c>
      <c r="B2916" s="7">
        <v>46174</v>
      </c>
      <c r="C2916" s="6" t="s">
        <v>1788</v>
      </c>
      <c r="D2916" s="6" t="str">
        <f>IF(OR(PROPER(TRIM(Raw_Data!D2916))="Uk",PROPER(TRIM(Raw_Data!D2916))="Gb",PROPER(TRIM(Raw_Data!D2916))="United kingdom"),"United Kingdom",PROPER(TRIM(Raw_Data!D2916)))</f>
        <v>United Kingdom</v>
      </c>
      <c r="E2916" s="6" t="s">
        <v>28</v>
      </c>
      <c r="F2916" s="6" t="s">
        <v>100</v>
      </c>
      <c r="G2916" s="6" t="str">
        <f>SUBSTITUTE(Raw_Data!G2916,"Ã©","é")</f>
        <v>Storm Overtrousers</v>
      </c>
      <c r="H2916" s="6">
        <v>-1</v>
      </c>
      <c r="I2916" s="6" t="s">
        <v>96</v>
      </c>
      <c r="J2916" s="8" t="s">
        <v>3407</v>
      </c>
      <c r="K2916" s="6">
        <v>0.64</v>
      </c>
      <c r="L2916" s="6" t="s">
        <v>33</v>
      </c>
      <c r="M2916" s="6" t="s">
        <v>34</v>
      </c>
      <c r="N2916" s="6"/>
    </row>
    <row r="2917" spans="1:14">
      <c r="A2917" s="6" t="s">
        <v>4527</v>
      </c>
      <c r="B2917" s="7">
        <v>46204</v>
      </c>
      <c r="C2917" s="6" t="s">
        <v>379</v>
      </c>
      <c r="D2917" s="6" t="str">
        <f>IF(OR(PROPER(TRIM(Raw_Data!D2917))="Uk",PROPER(TRIM(Raw_Data!D2917))="Gb",PROPER(TRIM(Raw_Data!D2917))="United kingdom"),"United Kingdom",PROPER(TRIM(Raw_Data!D2917)))</f>
        <v>Germany</v>
      </c>
      <c r="E2917" s="6" t="s">
        <v>52</v>
      </c>
      <c r="F2917" s="6" t="s">
        <v>47</v>
      </c>
      <c r="G2917" s="6" t="str">
        <f>SUBSTITUTE(Raw_Data!G2917,"Ã©","é")</f>
        <v>Trail Softshell</v>
      </c>
      <c r="H2917" s="6">
        <v>1</v>
      </c>
      <c r="I2917" s="6" t="s">
        <v>79</v>
      </c>
      <c r="J2917" s="6" t="s">
        <v>79</v>
      </c>
      <c r="K2917" s="6">
        <v>8.5000000000000006E-2</v>
      </c>
      <c r="L2917" s="6" t="s">
        <v>33</v>
      </c>
      <c r="M2917" s="6" t="s">
        <v>34</v>
      </c>
      <c r="N2917" s="6"/>
    </row>
    <row r="2918" spans="1:14">
      <c r="A2918" s="6" t="s">
        <v>4528</v>
      </c>
      <c r="B2918" s="7">
        <v>46268</v>
      </c>
      <c r="C2918" s="6" t="s">
        <v>4061</v>
      </c>
      <c r="D2918" s="6" t="str">
        <f>IF(OR(PROPER(TRIM(Raw_Data!D2918))="Uk",PROPER(TRIM(Raw_Data!D2918))="Gb",PROPER(TRIM(Raw_Data!D2918))="United kingdom"),"United Kingdom",PROPER(TRIM(Raw_Data!D2918)))</f>
        <v>Ireland</v>
      </c>
      <c r="E2918" s="6" t="s">
        <v>37</v>
      </c>
      <c r="F2918" s="6" t="s">
        <v>100</v>
      </c>
      <c r="G2918" s="6" t="str">
        <f>SUBSTITUTE(Raw_Data!G2918,"Ã©","é")</f>
        <v>Trekking Poles</v>
      </c>
      <c r="H2918" s="6">
        <v>2</v>
      </c>
      <c r="I2918" s="6" t="s">
        <v>79</v>
      </c>
      <c r="J2918" s="6" t="s">
        <v>259</v>
      </c>
      <c r="K2918" s="6">
        <v>0.64</v>
      </c>
      <c r="L2918" s="6" t="s">
        <v>33</v>
      </c>
      <c r="M2918" s="6" t="s">
        <v>34</v>
      </c>
      <c r="N2918" s="6"/>
    </row>
    <row r="2919" spans="1:14">
      <c r="A2919" s="6" t="s">
        <v>4529</v>
      </c>
      <c r="B2919" s="7">
        <v>46110</v>
      </c>
      <c r="C2919" s="6" t="s">
        <v>3095</v>
      </c>
      <c r="D2919" s="6" t="str">
        <f>IF(OR(PROPER(TRIM(Raw_Data!D2919))="Uk",PROPER(TRIM(Raw_Data!D2919))="Gb",PROPER(TRIM(Raw_Data!D2919))="United kingdom"),"United Kingdom",PROPER(TRIM(Raw_Data!D2919)))</f>
        <v>United Kingdom</v>
      </c>
      <c r="E2919" s="6" t="s">
        <v>28</v>
      </c>
      <c r="F2919" s="6" t="s">
        <v>58</v>
      </c>
      <c r="G2919" s="6" t="str">
        <f>SUBSTITUTE(Raw_Data!G2919,"Ã©","é")</f>
        <v>Storm Overtrousers</v>
      </c>
      <c r="H2919" s="6">
        <v>2</v>
      </c>
      <c r="I2919" s="6" t="s">
        <v>82</v>
      </c>
      <c r="J2919" s="6" t="s">
        <v>297</v>
      </c>
      <c r="K2919" s="6">
        <v>0.38</v>
      </c>
      <c r="L2919" s="6" t="s">
        <v>42</v>
      </c>
      <c r="M2919" s="6" t="s">
        <v>69</v>
      </c>
      <c r="N2919" s="6"/>
    </row>
    <row r="2920" spans="1:14">
      <c r="A2920" s="6" t="s">
        <v>4530</v>
      </c>
      <c r="B2920" s="7">
        <v>46146</v>
      </c>
      <c r="C2920" s="6" t="s">
        <v>3268</v>
      </c>
      <c r="D2920" s="6" t="str">
        <f>IF(OR(PROPER(TRIM(Raw_Data!D2920))="Uk",PROPER(TRIM(Raw_Data!D2920))="Gb",PROPER(TRIM(Raw_Data!D2920))="United kingdom"),"United Kingdom",PROPER(TRIM(Raw_Data!D2920)))</f>
        <v>France</v>
      </c>
      <c r="E2920" s="6" t="s">
        <v>46</v>
      </c>
      <c r="F2920" s="6" t="s">
        <v>47</v>
      </c>
      <c r="G2920" s="6" t="str">
        <f>SUBSTITUTE(Raw_Data!G2920,"Ã©","é")</f>
        <v>Merino Base Layer</v>
      </c>
      <c r="H2920" s="6">
        <v>1</v>
      </c>
      <c r="I2920" s="6" t="s">
        <v>82</v>
      </c>
      <c r="J2920" s="6" t="s">
        <v>82</v>
      </c>
      <c r="K2920" s="6">
        <v>8.5000000000000006E-2</v>
      </c>
      <c r="L2920" s="6" t="s">
        <v>42</v>
      </c>
      <c r="M2920" s="6" t="s">
        <v>34</v>
      </c>
      <c r="N2920" s="6"/>
    </row>
    <row r="2921" spans="1:14">
      <c r="A2921" s="6" t="s">
        <v>4531</v>
      </c>
      <c r="B2921" s="7">
        <v>46042</v>
      </c>
      <c r="C2921" s="6" t="s">
        <v>4532</v>
      </c>
      <c r="D2921" s="6" t="str">
        <f>IF(OR(PROPER(TRIM(Raw_Data!D2921))="Uk",PROPER(TRIM(Raw_Data!D2921))="Gb",PROPER(TRIM(Raw_Data!D2921))="United kingdom"),"United Kingdom",PROPER(TRIM(Raw_Data!D2921)))</f>
        <v>United Kingdom</v>
      </c>
      <c r="E2921" s="6" t="s">
        <v>52</v>
      </c>
      <c r="F2921" s="6" t="s">
        <v>29</v>
      </c>
      <c r="G2921" s="6" t="str">
        <f>SUBSTITUTE(Raw_Data!G2921,"Ã©","é")</f>
        <v>Storm Overtrousers</v>
      </c>
      <c r="H2921" s="6">
        <v>2</v>
      </c>
      <c r="I2921" s="6" t="s">
        <v>265</v>
      </c>
      <c r="J2921" s="6" t="s">
        <v>167</v>
      </c>
      <c r="K2921" s="6">
        <v>0.52</v>
      </c>
      <c r="L2921" s="6" t="s">
        <v>42</v>
      </c>
      <c r="M2921" s="6" t="s">
        <v>69</v>
      </c>
      <c r="N2921" s="6"/>
    </row>
    <row r="2922" spans="1:14">
      <c r="A2922" s="6" t="s">
        <v>4533</v>
      </c>
      <c r="B2922" s="7">
        <v>46190</v>
      </c>
      <c r="C2922" s="6" t="s">
        <v>2919</v>
      </c>
      <c r="D2922" s="6" t="str">
        <f>IF(OR(PROPER(TRIM(Raw_Data!D2922))="Uk",PROPER(TRIM(Raw_Data!D2922))="Gb",PROPER(TRIM(Raw_Data!D2922))="United kingdom"),"United Kingdom",PROPER(TRIM(Raw_Data!D2922)))</f>
        <v>United Kingdom</v>
      </c>
      <c r="E2922" s="6" t="s">
        <v>46</v>
      </c>
      <c r="F2922" s="6" t="s">
        <v>58</v>
      </c>
      <c r="G2922" s="6" t="str">
        <f>SUBSTITUTE(Raw_Data!G2922,"Ã©","é")</f>
        <v>Trekking Poles</v>
      </c>
      <c r="H2922" s="6">
        <v>2</v>
      </c>
      <c r="I2922" s="6" t="s">
        <v>82</v>
      </c>
      <c r="J2922" s="6" t="s">
        <v>297</v>
      </c>
      <c r="K2922" s="6">
        <v>0.38</v>
      </c>
      <c r="L2922" s="6" t="s">
        <v>42</v>
      </c>
      <c r="M2922" s="6" t="s">
        <v>34</v>
      </c>
      <c r="N2922" s="6"/>
    </row>
    <row r="2923" spans="1:14">
      <c r="A2923" s="6" t="s">
        <v>4534</v>
      </c>
      <c r="B2923" s="7">
        <v>46058</v>
      </c>
      <c r="C2923" s="6" t="s">
        <v>1861</v>
      </c>
      <c r="D2923" s="6" t="str">
        <f>IF(OR(PROPER(TRIM(Raw_Data!D2923))="Uk",PROPER(TRIM(Raw_Data!D2923))="Gb",PROPER(TRIM(Raw_Data!D2923))="United kingdom"),"United Kingdom",PROPER(TRIM(Raw_Data!D2923)))</f>
        <v>United Kingdom</v>
      </c>
      <c r="E2923" s="6" t="s">
        <v>46</v>
      </c>
      <c r="F2923" s="6" t="s">
        <v>47</v>
      </c>
      <c r="G2923" s="6" t="str">
        <f>SUBSTITUTE(Raw_Data!G2923,"Ã©","é")</f>
        <v>Café Latte Mug</v>
      </c>
      <c r="H2923" s="6">
        <v>3</v>
      </c>
      <c r="I2923" s="6" t="s">
        <v>619</v>
      </c>
      <c r="J2923" s="6" t="s">
        <v>243</v>
      </c>
      <c r="K2923" s="6">
        <v>8.5000000000000006E-2</v>
      </c>
      <c r="L2923" s="6" t="s">
        <v>42</v>
      </c>
      <c r="M2923" s="6" t="s">
        <v>69</v>
      </c>
      <c r="N2923" s="6"/>
    </row>
    <row r="2924" spans="1:14">
      <c r="A2924" s="6" t="s">
        <v>4535</v>
      </c>
      <c r="B2924" s="7">
        <v>46269</v>
      </c>
      <c r="C2924" s="6" t="s">
        <v>1141</v>
      </c>
      <c r="D2924" s="6" t="str">
        <f>IF(OR(PROPER(TRIM(Raw_Data!D2924))="Uk",PROPER(TRIM(Raw_Data!D2924))="Gb",PROPER(TRIM(Raw_Data!D2924))="United kingdom"),"United Kingdom",PROPER(TRIM(Raw_Data!D2924)))</f>
        <v>Ireland</v>
      </c>
      <c r="E2924" s="6" t="s">
        <v>52</v>
      </c>
      <c r="F2924" s="6" t="s">
        <v>29</v>
      </c>
      <c r="G2924" s="6" t="str">
        <f>SUBSTITUTE(Raw_Data!G2924,"Ã©","é")</f>
        <v>Alpine Jacket</v>
      </c>
      <c r="H2924" s="6">
        <v>3</v>
      </c>
      <c r="I2924" s="6" t="s">
        <v>117</v>
      </c>
      <c r="J2924" s="6" t="s">
        <v>171</v>
      </c>
      <c r="K2924" s="6">
        <v>0.52</v>
      </c>
      <c r="L2924" s="6" t="s">
        <v>33</v>
      </c>
      <c r="M2924" s="6" t="s">
        <v>69</v>
      </c>
      <c r="N2924" s="6"/>
    </row>
    <row r="2925" spans="1:14">
      <c r="A2925" s="6" t="s">
        <v>4536</v>
      </c>
      <c r="B2925" s="7">
        <v>46125</v>
      </c>
      <c r="C2925" s="6" t="s">
        <v>1608</v>
      </c>
      <c r="D2925" s="6" t="str">
        <f>IF(OR(PROPER(TRIM(Raw_Data!D2925))="Uk",PROPER(TRIM(Raw_Data!D2925))="Gb",PROPER(TRIM(Raw_Data!D2925))="United kingdom"),"United Kingdom",PROPER(TRIM(Raw_Data!D2925)))</f>
        <v>Ireland</v>
      </c>
      <c r="E2925" s="6" t="s">
        <v>52</v>
      </c>
      <c r="F2925" s="6" t="s">
        <v>85</v>
      </c>
      <c r="G2925" s="6" t="str">
        <f>SUBSTITUTE(Raw_Data!G2925,"Ã©","é")</f>
        <v>Fell Runner Cap</v>
      </c>
      <c r="H2925" s="6">
        <v>3</v>
      </c>
      <c r="I2925" s="6" t="s">
        <v>73</v>
      </c>
      <c r="J2925" s="6" t="s">
        <v>499</v>
      </c>
      <c r="K2925" s="6">
        <v>0.41</v>
      </c>
      <c r="L2925" s="6" t="s">
        <v>42</v>
      </c>
      <c r="M2925" s="6" t="s">
        <v>34</v>
      </c>
      <c r="N2925" s="6"/>
    </row>
    <row r="2926" spans="1:14">
      <c r="A2926" s="6" t="s">
        <v>4537</v>
      </c>
      <c r="B2926" s="7">
        <v>46060</v>
      </c>
      <c r="C2926" s="6" t="s">
        <v>2014</v>
      </c>
      <c r="D2926" s="6" t="str">
        <f>IF(OR(PROPER(TRIM(Raw_Data!D2926))="Uk",PROPER(TRIM(Raw_Data!D2926))="Gb",PROPER(TRIM(Raw_Data!D2926))="United kingdom"),"United Kingdom",PROPER(TRIM(Raw_Data!D2926)))</f>
        <v>United Kingdom</v>
      </c>
      <c r="E2926" s="6" t="s">
        <v>28</v>
      </c>
      <c r="F2926" s="6" t="s">
        <v>85</v>
      </c>
      <c r="G2926" s="6" t="str">
        <f>SUBSTITUTE(Raw_Data!G2926,"Ã©","é")</f>
        <v>Fell Runner Cap</v>
      </c>
      <c r="H2926" s="6">
        <v>1</v>
      </c>
      <c r="I2926" s="6" t="s">
        <v>79</v>
      </c>
      <c r="J2926" s="6" t="s">
        <v>79</v>
      </c>
      <c r="K2926" s="6">
        <v>0.41</v>
      </c>
      <c r="L2926" s="6" t="s">
        <v>33</v>
      </c>
      <c r="M2926" s="6" t="s">
        <v>69</v>
      </c>
      <c r="N2926" s="6"/>
    </row>
    <row r="2927" spans="1:14">
      <c r="A2927" s="6" t="s">
        <v>4538</v>
      </c>
      <c r="B2927" s="7">
        <v>46146</v>
      </c>
      <c r="C2927" s="6" t="s">
        <v>4539</v>
      </c>
      <c r="D2927" s="6" t="str">
        <f>IF(OR(PROPER(TRIM(Raw_Data!D2927))="Uk",PROPER(TRIM(Raw_Data!D2927))="Gb",PROPER(TRIM(Raw_Data!D2927))="United kingdom"),"United Kingdom",PROPER(TRIM(Raw_Data!D2927)))</f>
        <v>United Kingdom</v>
      </c>
      <c r="E2927" s="6" t="s">
        <v>52</v>
      </c>
      <c r="F2927" s="6" t="s">
        <v>29</v>
      </c>
      <c r="G2927" s="6" t="str">
        <f>SUBSTITUTE(Raw_Data!G2927,"Ã©","é")</f>
        <v>Fell Runner Cap</v>
      </c>
      <c r="H2927" s="6">
        <v>3</v>
      </c>
      <c r="I2927" s="6" t="s">
        <v>82</v>
      </c>
      <c r="J2927" s="6" t="s">
        <v>390</v>
      </c>
      <c r="K2927" s="6">
        <v>0.52</v>
      </c>
      <c r="L2927" s="6" t="s">
        <v>42</v>
      </c>
      <c r="M2927" s="6" t="s">
        <v>69</v>
      </c>
      <c r="N2927" s="6"/>
    </row>
    <row r="2928" spans="1:14">
      <c r="A2928" s="6" t="s">
        <v>4540</v>
      </c>
      <c r="B2928" s="7">
        <v>46052</v>
      </c>
      <c r="C2928" s="6" t="s">
        <v>855</v>
      </c>
      <c r="D2928" s="6" t="str">
        <f>IF(OR(PROPER(TRIM(Raw_Data!D2928))="Uk",PROPER(TRIM(Raw_Data!D2928))="Gb",PROPER(TRIM(Raw_Data!D2928))="United kingdom"),"United Kingdom",PROPER(TRIM(Raw_Data!D2928)))</f>
        <v>United Kingdom</v>
      </c>
      <c r="E2928" s="6" t="s">
        <v>52</v>
      </c>
      <c r="F2928" s="6" t="s">
        <v>29</v>
      </c>
      <c r="G2928" s="6" t="str">
        <f>SUBSTITUTE(Raw_Data!G2928,"Ã©","é")</f>
        <v>Storm Overtrousers</v>
      </c>
      <c r="H2928" s="6">
        <v>3</v>
      </c>
      <c r="I2928" s="6" t="s">
        <v>231</v>
      </c>
      <c r="J2928" s="6" t="s">
        <v>505</v>
      </c>
      <c r="K2928" s="6">
        <v>0.52</v>
      </c>
      <c r="L2928" s="6" t="s">
        <v>42</v>
      </c>
      <c r="M2928" s="6" t="s">
        <v>34</v>
      </c>
      <c r="N2928" s="6"/>
    </row>
    <row r="2929" spans="1:14">
      <c r="A2929" s="6" t="s">
        <v>4541</v>
      </c>
      <c r="B2929" s="7">
        <v>46142</v>
      </c>
      <c r="C2929" s="6" t="s">
        <v>4063</v>
      </c>
      <c r="D2929" s="6" t="str">
        <f>IF(OR(PROPER(TRIM(Raw_Data!D2929))="Uk",PROPER(TRIM(Raw_Data!D2929))="Gb",PROPER(TRIM(Raw_Data!D2929))="United kingdom"),"United Kingdom",PROPER(TRIM(Raw_Data!D2929)))</f>
        <v>Ireland</v>
      </c>
      <c r="E2929" s="6" t="s">
        <v>28</v>
      </c>
      <c r="F2929" s="6" t="s">
        <v>85</v>
      </c>
      <c r="G2929" s="6" t="str">
        <f>SUBSTITUTE(Raw_Data!G2929,"Ã©","é")</f>
        <v>Merino Base Layer</v>
      </c>
      <c r="H2929" s="6">
        <v>2</v>
      </c>
      <c r="I2929" s="6" t="s">
        <v>228</v>
      </c>
      <c r="J2929" s="6" t="s">
        <v>278</v>
      </c>
      <c r="K2929" s="6">
        <v>0.41</v>
      </c>
      <c r="L2929" s="6" t="s">
        <v>42</v>
      </c>
      <c r="M2929" s="6" t="s">
        <v>34</v>
      </c>
      <c r="N2929" s="6"/>
    </row>
    <row r="2930" spans="1:14">
      <c r="A2930" s="6" t="s">
        <v>4542</v>
      </c>
      <c r="B2930" s="7">
        <v>46052</v>
      </c>
      <c r="C2930" s="6" t="s">
        <v>1474</v>
      </c>
      <c r="D2930" s="6" t="str">
        <f>IF(OR(PROPER(TRIM(Raw_Data!D2930))="Uk",PROPER(TRIM(Raw_Data!D2930))="Gb",PROPER(TRIM(Raw_Data!D2930))="United kingdom"),"United Kingdom",PROPER(TRIM(Raw_Data!D2930)))</f>
        <v>United Kingdom</v>
      </c>
      <c r="E2930" s="6" t="s">
        <v>78</v>
      </c>
      <c r="F2930" s="6" t="s">
        <v>85</v>
      </c>
      <c r="G2930" s="6" t="str">
        <f>SUBSTITUTE(Raw_Data!G2930,"Ã©","é")</f>
        <v>Storm Overtrousers</v>
      </c>
      <c r="H2930" s="6">
        <v>3</v>
      </c>
      <c r="I2930" s="6" t="s">
        <v>90</v>
      </c>
      <c r="J2930" s="6" t="s">
        <v>102</v>
      </c>
      <c r="K2930" s="6">
        <v>0.41</v>
      </c>
      <c r="L2930" s="6" t="s">
        <v>33</v>
      </c>
      <c r="M2930" s="6" t="s">
        <v>34</v>
      </c>
      <c r="N2930" s="6"/>
    </row>
    <row r="2931" spans="1:14">
      <c r="A2931" s="6" t="s">
        <v>4543</v>
      </c>
      <c r="B2931" s="7">
        <v>46188</v>
      </c>
      <c r="C2931" s="6" t="s">
        <v>1263</v>
      </c>
      <c r="D2931" s="6" t="str">
        <f>IF(OR(PROPER(TRIM(Raw_Data!D2931))="Uk",PROPER(TRIM(Raw_Data!D2931))="Gb",PROPER(TRIM(Raw_Data!D2931))="United kingdom"),"United Kingdom",PROPER(TRIM(Raw_Data!D2931)))</f>
        <v>United Kingdom</v>
      </c>
      <c r="E2931" s="6" t="s">
        <v>28</v>
      </c>
      <c r="F2931" s="6" t="s">
        <v>29</v>
      </c>
      <c r="G2931" s="6" t="str">
        <f>SUBSTITUTE(Raw_Data!G2931,"Ã©","é")</f>
        <v>Alpine Jacket</v>
      </c>
      <c r="H2931" s="6">
        <v>1</v>
      </c>
      <c r="I2931" s="6" t="s">
        <v>67</v>
      </c>
      <c r="J2931" s="6" t="s">
        <v>67</v>
      </c>
      <c r="K2931" s="6">
        <v>0.52</v>
      </c>
      <c r="L2931" s="6" t="s">
        <v>42</v>
      </c>
      <c r="M2931" s="6" t="s">
        <v>69</v>
      </c>
      <c r="N2931" s="6"/>
    </row>
    <row r="2932" spans="1:14">
      <c r="A2932" s="6" t="s">
        <v>4544</v>
      </c>
      <c r="B2932" s="7">
        <v>46167</v>
      </c>
      <c r="C2932" s="6" t="s">
        <v>306</v>
      </c>
      <c r="D2932" s="6" t="str">
        <f>IF(OR(PROPER(TRIM(Raw_Data!D2932))="Uk",PROPER(TRIM(Raw_Data!D2932))="Gb",PROPER(TRIM(Raw_Data!D2932))="United kingdom"),"United Kingdom",PROPER(TRIM(Raw_Data!D2932)))</f>
        <v>United Kingdom</v>
      </c>
      <c r="E2932" s="6" t="s">
        <v>28</v>
      </c>
      <c r="F2932" s="6" t="s">
        <v>47</v>
      </c>
      <c r="G2932" s="6" t="str">
        <f>SUBSTITUTE(Raw_Data!G2932,"Ã©","é")</f>
        <v>Summit Down Gilet</v>
      </c>
      <c r="H2932" s="6">
        <v>1</v>
      </c>
      <c r="I2932" s="6" t="s">
        <v>73</v>
      </c>
      <c r="J2932" s="6" t="s">
        <v>73</v>
      </c>
      <c r="K2932" s="6">
        <v>8.5000000000000006E-2</v>
      </c>
      <c r="L2932" s="6" t="s">
        <v>42</v>
      </c>
      <c r="M2932" s="6" t="s">
        <v>69</v>
      </c>
      <c r="N2932" s="6"/>
    </row>
    <row r="2933" spans="1:14">
      <c r="A2933" s="6" t="s">
        <v>4545</v>
      </c>
      <c r="B2933" s="7">
        <v>46177</v>
      </c>
      <c r="C2933" s="6" t="s">
        <v>3514</v>
      </c>
      <c r="D2933" s="6" t="str">
        <f>IF(OR(PROPER(TRIM(Raw_Data!D2933))="Uk",PROPER(TRIM(Raw_Data!D2933))="Gb",PROPER(TRIM(Raw_Data!D2933))="United kingdom"),"United Kingdom",PROPER(TRIM(Raw_Data!D2933)))</f>
        <v>United Kingdom</v>
      </c>
      <c r="E2933" s="6" t="s">
        <v>52</v>
      </c>
      <c r="F2933" s="6" t="s">
        <v>29</v>
      </c>
      <c r="G2933" s="6" t="str">
        <f>SUBSTITUTE(Raw_Data!G2933,"Ã©","é")</f>
        <v>Alpine Jacket</v>
      </c>
      <c r="H2933" s="6">
        <v>2</v>
      </c>
      <c r="I2933" s="6" t="s">
        <v>748</v>
      </c>
      <c r="J2933" s="6" t="s">
        <v>192</v>
      </c>
      <c r="K2933" s="6">
        <v>0.52</v>
      </c>
      <c r="L2933" s="6" t="s">
        <v>42</v>
      </c>
      <c r="M2933" s="6" t="s">
        <v>69</v>
      </c>
      <c r="N2933" s="6"/>
    </row>
    <row r="2934" spans="1:14">
      <c r="A2934" s="6" t="s">
        <v>4546</v>
      </c>
      <c r="B2934" s="7">
        <v>46189</v>
      </c>
      <c r="C2934" s="6" t="s">
        <v>4547</v>
      </c>
      <c r="D2934" s="6" t="str">
        <f>IF(OR(PROPER(TRIM(Raw_Data!D2934))="Uk",PROPER(TRIM(Raw_Data!D2934))="Gb",PROPER(TRIM(Raw_Data!D2934))="United kingdom"),"United Kingdom",PROPER(TRIM(Raw_Data!D2934)))</f>
        <v>France</v>
      </c>
      <c r="E2934" s="6" t="s">
        <v>52</v>
      </c>
      <c r="F2934" s="6" t="s">
        <v>94</v>
      </c>
      <c r="G2934" s="6" t="str">
        <f>SUBSTITUTE(Raw_Data!G2934,"Ã©","é")</f>
        <v>Storm Overtrousers</v>
      </c>
      <c r="H2934" s="6">
        <v>2</v>
      </c>
      <c r="I2934" s="6" t="s">
        <v>90</v>
      </c>
      <c r="J2934" s="6" t="s">
        <v>4548</v>
      </c>
      <c r="K2934" s="6">
        <v>0.34</v>
      </c>
      <c r="L2934" s="6" t="s">
        <v>42</v>
      </c>
      <c r="M2934" s="6" t="s">
        <v>69</v>
      </c>
      <c r="N2934" s="6"/>
    </row>
    <row r="2935" spans="1:14">
      <c r="A2935" s="6" t="s">
        <v>4549</v>
      </c>
      <c r="B2935" s="7">
        <v>46102</v>
      </c>
      <c r="C2935" s="6" t="s">
        <v>1608</v>
      </c>
      <c r="D2935" s="6" t="str">
        <f>IF(OR(PROPER(TRIM(Raw_Data!D2935))="Uk",PROPER(TRIM(Raw_Data!D2935))="Gb",PROPER(TRIM(Raw_Data!D2935))="United kingdom"),"United Kingdom",PROPER(TRIM(Raw_Data!D2935)))</f>
        <v>France</v>
      </c>
      <c r="E2935" s="6" t="s">
        <v>46</v>
      </c>
      <c r="F2935" s="6" t="s">
        <v>58</v>
      </c>
      <c r="G2935" s="6" t="str">
        <f>SUBSTITUTE(Raw_Data!G2935,"Ã©","é")</f>
        <v>Merino Base Layer</v>
      </c>
      <c r="H2935" s="6">
        <v>2</v>
      </c>
      <c r="I2935" s="6" t="s">
        <v>117</v>
      </c>
      <c r="J2935" s="6" t="s">
        <v>118</v>
      </c>
      <c r="K2935" s="6">
        <v>0.38</v>
      </c>
      <c r="L2935" s="6" t="s">
        <v>33</v>
      </c>
      <c r="M2935" s="6" t="s">
        <v>34</v>
      </c>
      <c r="N2935" s="6"/>
    </row>
    <row r="2936" spans="1:14">
      <c r="A2936" s="6" t="s">
        <v>4550</v>
      </c>
      <c r="B2936" s="7">
        <v>46024</v>
      </c>
      <c r="C2936" s="6" t="s">
        <v>1839</v>
      </c>
      <c r="D2936" s="6" t="str">
        <f>IF(OR(PROPER(TRIM(Raw_Data!D2936))="Uk",PROPER(TRIM(Raw_Data!D2936))="Gb",PROPER(TRIM(Raw_Data!D2936))="United kingdom"),"United Kingdom",PROPER(TRIM(Raw_Data!D2936)))</f>
        <v>France</v>
      </c>
      <c r="E2936" s="6" t="s">
        <v>52</v>
      </c>
      <c r="F2936" s="6" t="s">
        <v>38</v>
      </c>
      <c r="G2936" s="6" t="str">
        <f>SUBSTITUTE(Raw_Data!G2936,"Ã©","é")</f>
        <v>Storm Overtrousers</v>
      </c>
      <c r="H2936" s="6">
        <v>1</v>
      </c>
      <c r="I2936" s="6" t="s">
        <v>195</v>
      </c>
      <c r="J2936" s="6" t="s">
        <v>181</v>
      </c>
      <c r="K2936" s="6">
        <v>0.52</v>
      </c>
      <c r="L2936" s="6" t="s">
        <v>42</v>
      </c>
      <c r="M2936" s="6" t="s">
        <v>34</v>
      </c>
      <c r="N2936" s="6"/>
    </row>
    <row r="2937" spans="1:14">
      <c r="A2937" s="6" t="s">
        <v>4551</v>
      </c>
      <c r="B2937" s="7">
        <v>46196</v>
      </c>
      <c r="C2937" s="6" t="s">
        <v>4552</v>
      </c>
      <c r="D2937" s="6" t="str">
        <f>IF(OR(PROPER(TRIM(Raw_Data!D2937))="Uk",PROPER(TRIM(Raw_Data!D2937))="Gb",PROPER(TRIM(Raw_Data!D2937))="United kingdom"),"United Kingdom",PROPER(TRIM(Raw_Data!D2937)))</f>
        <v>United Kingdom</v>
      </c>
      <c r="E2937" s="6" t="s">
        <v>78</v>
      </c>
      <c r="F2937" s="6" t="s">
        <v>47</v>
      </c>
      <c r="G2937" s="6" t="str">
        <f>SUBSTITUTE(Raw_Data!G2937,"Ã©","é")</f>
        <v>Storm Overtrousers</v>
      </c>
      <c r="H2937" s="6">
        <v>2</v>
      </c>
      <c r="I2937" s="6" t="s">
        <v>143</v>
      </c>
      <c r="J2937" s="6" t="s">
        <v>144</v>
      </c>
      <c r="K2937" s="6">
        <v>8.5000000000000006E-2</v>
      </c>
      <c r="L2937" s="6" t="s">
        <v>42</v>
      </c>
      <c r="M2937" s="6" t="s">
        <v>69</v>
      </c>
      <c r="N2937" s="6"/>
    </row>
    <row r="2938" spans="1:14">
      <c r="A2938" s="6" t="s">
        <v>4553</v>
      </c>
      <c r="B2938" s="7">
        <v>46070</v>
      </c>
      <c r="C2938" s="6" t="s">
        <v>2249</v>
      </c>
      <c r="D2938" s="6" t="str">
        <f>IF(OR(PROPER(TRIM(Raw_Data!D2938))="Uk",PROPER(TRIM(Raw_Data!D2938))="Gb",PROPER(TRIM(Raw_Data!D2938))="United kingdom"),"United Kingdom",PROPER(TRIM(Raw_Data!D2938)))</f>
        <v>Ireland</v>
      </c>
      <c r="E2938" s="6" t="s">
        <v>37</v>
      </c>
      <c r="F2938" s="6" t="s">
        <v>58</v>
      </c>
      <c r="G2938" s="6" t="str">
        <f>SUBSTITUTE(Raw_Data!G2938,"Ã©","é")</f>
        <v>Merino Base Layer</v>
      </c>
      <c r="H2938" s="6">
        <v>1</v>
      </c>
      <c r="I2938" s="6" t="s">
        <v>181</v>
      </c>
      <c r="J2938" s="6" t="s">
        <v>181</v>
      </c>
      <c r="K2938" s="6">
        <v>0.38</v>
      </c>
      <c r="L2938" s="6" t="s">
        <v>42</v>
      </c>
      <c r="M2938" s="6" t="s">
        <v>69</v>
      </c>
      <c r="N2938" s="6"/>
    </row>
    <row r="2939" spans="1:14">
      <c r="A2939" s="6" t="s">
        <v>4554</v>
      </c>
      <c r="B2939" s="7">
        <v>46101</v>
      </c>
      <c r="C2939" s="6" t="s">
        <v>1161</v>
      </c>
      <c r="D2939" s="6" t="str">
        <f>IF(OR(PROPER(TRIM(Raw_Data!D2939))="Uk",PROPER(TRIM(Raw_Data!D2939))="Gb",PROPER(TRIM(Raw_Data!D2939))="United kingdom"),"United Kingdom",PROPER(TRIM(Raw_Data!D2939)))</f>
        <v>Germany</v>
      </c>
      <c r="E2939" s="6" t="s">
        <v>28</v>
      </c>
      <c r="F2939" s="6" t="s">
        <v>85</v>
      </c>
      <c r="G2939" s="6" t="str">
        <f>SUBSTITUTE(Raw_Data!G2939,"Ã©","é")</f>
        <v>Fell Runner Cap</v>
      </c>
      <c r="H2939" s="6">
        <v>1</v>
      </c>
      <c r="I2939" s="6" t="s">
        <v>265</v>
      </c>
      <c r="J2939" s="6" t="s">
        <v>265</v>
      </c>
      <c r="K2939" s="6">
        <v>0.41</v>
      </c>
      <c r="L2939" s="6" t="s">
        <v>33</v>
      </c>
      <c r="M2939" s="6" t="s">
        <v>34</v>
      </c>
      <c r="N2939" s="6"/>
    </row>
    <row r="2940" spans="1:14">
      <c r="A2940" s="6" t="s">
        <v>4555</v>
      </c>
      <c r="B2940" s="7">
        <v>46178</v>
      </c>
      <c r="C2940" s="6" t="s">
        <v>1502</v>
      </c>
      <c r="D2940" s="6" t="str">
        <f>IF(OR(PROPER(TRIM(Raw_Data!D2940))="Uk",PROPER(TRIM(Raw_Data!D2940))="Gb",PROPER(TRIM(Raw_Data!D2940))="United kingdom"),"United Kingdom",PROPER(TRIM(Raw_Data!D2940)))</f>
        <v>United Kingdom</v>
      </c>
      <c r="E2940" s="6" t="s">
        <v>28</v>
      </c>
      <c r="F2940" s="6" t="s">
        <v>100</v>
      </c>
      <c r="G2940" s="6" t="str">
        <f>SUBSTITUTE(Raw_Data!G2940,"Ã©","é")</f>
        <v>Storm Overtrousers</v>
      </c>
      <c r="H2940" s="6">
        <v>2</v>
      </c>
      <c r="I2940" s="6" t="s">
        <v>231</v>
      </c>
      <c r="J2940" s="6" t="s">
        <v>232</v>
      </c>
      <c r="K2940" s="6">
        <v>0.64</v>
      </c>
      <c r="L2940" s="6" t="s">
        <v>33</v>
      </c>
      <c r="M2940" s="6" t="s">
        <v>34</v>
      </c>
      <c r="N2940" s="6"/>
    </row>
    <row r="2941" spans="1:14">
      <c r="A2941" s="6" t="s">
        <v>4556</v>
      </c>
      <c r="B2941" s="7">
        <v>46112</v>
      </c>
      <c r="C2941" s="6" t="s">
        <v>4557</v>
      </c>
      <c r="D2941" s="6" t="str">
        <f>IF(OR(PROPER(TRIM(Raw_Data!D2941))="Uk",PROPER(TRIM(Raw_Data!D2941))="Gb",PROPER(TRIM(Raw_Data!D2941))="United kingdom"),"United Kingdom",PROPER(TRIM(Raw_Data!D2941)))</f>
        <v>Ireland</v>
      </c>
      <c r="E2941" s="6" t="s">
        <v>78</v>
      </c>
      <c r="F2941" s="6" t="s">
        <v>94</v>
      </c>
      <c r="G2941" s="6" t="str">
        <f>SUBSTITUTE(Raw_Data!G2941,"Ã©","é")</f>
        <v>Storm Overtrousers</v>
      </c>
      <c r="H2941" s="6">
        <v>1</v>
      </c>
      <c r="I2941" s="6" t="s">
        <v>265</v>
      </c>
      <c r="J2941" s="6" t="s">
        <v>265</v>
      </c>
      <c r="K2941" s="6">
        <v>0.34</v>
      </c>
      <c r="L2941" s="6" t="s">
        <v>33</v>
      </c>
      <c r="M2941" s="6" t="s">
        <v>34</v>
      </c>
      <c r="N2941" s="6"/>
    </row>
    <row r="2942" spans="1:14">
      <c r="A2942" s="6" t="s">
        <v>4558</v>
      </c>
      <c r="B2942" s="7">
        <v>46192</v>
      </c>
      <c r="C2942" s="6" t="s">
        <v>1766</v>
      </c>
      <c r="D2942" s="6" t="str">
        <f>IF(OR(PROPER(TRIM(Raw_Data!D2942))="Uk",PROPER(TRIM(Raw_Data!D2942))="Gb",PROPER(TRIM(Raw_Data!D2942))="United kingdom"),"United Kingdom",PROPER(TRIM(Raw_Data!D2942)))</f>
        <v>United Kingdom</v>
      </c>
      <c r="E2942" s="6" t="s">
        <v>52</v>
      </c>
      <c r="F2942" s="6" t="s">
        <v>47</v>
      </c>
      <c r="G2942" s="6" t="str">
        <f>SUBSTITUTE(Raw_Data!G2942,"Ã©","é")</f>
        <v>Trail Softshell</v>
      </c>
      <c r="H2942" s="6">
        <v>1</v>
      </c>
      <c r="I2942" s="6" t="s">
        <v>31</v>
      </c>
      <c r="J2942" s="6" t="s">
        <v>31</v>
      </c>
      <c r="K2942" s="6">
        <v>8.5000000000000006E-2</v>
      </c>
      <c r="L2942" s="6" t="s">
        <v>42</v>
      </c>
      <c r="M2942" s="6" t="s">
        <v>34</v>
      </c>
      <c r="N2942" s="6"/>
    </row>
    <row r="2943" spans="1:14">
      <c r="A2943" s="6" t="s">
        <v>4559</v>
      </c>
      <c r="B2943" s="7">
        <v>46174</v>
      </c>
      <c r="C2943" s="6" t="s">
        <v>1130</v>
      </c>
      <c r="D2943" s="6" t="str">
        <f>IF(OR(PROPER(TRIM(Raw_Data!D2943))="Uk",PROPER(TRIM(Raw_Data!D2943))="Gb",PROPER(TRIM(Raw_Data!D2943))="United kingdom"),"United Kingdom",PROPER(TRIM(Raw_Data!D2943)))</f>
        <v>United Kingdom</v>
      </c>
      <c r="E2943" s="6" t="s">
        <v>46</v>
      </c>
      <c r="F2943" s="6" t="s">
        <v>94</v>
      </c>
      <c r="G2943" s="6" t="str">
        <f>SUBSTITUTE(Raw_Data!G2943,"Ã©","é")</f>
        <v>Summit Down Gilet</v>
      </c>
      <c r="H2943" s="6">
        <v>1</v>
      </c>
      <c r="I2943" s="6" t="s">
        <v>40</v>
      </c>
      <c r="J2943" s="6" t="s">
        <v>40</v>
      </c>
      <c r="K2943" s="6">
        <v>0.34</v>
      </c>
      <c r="L2943" s="6" t="s">
        <v>42</v>
      </c>
      <c r="M2943" s="6" t="s">
        <v>34</v>
      </c>
      <c r="N2943" s="6"/>
    </row>
    <row r="2944" spans="1:14">
      <c r="A2944" s="6" t="s">
        <v>4560</v>
      </c>
      <c r="B2944" s="7">
        <v>46156</v>
      </c>
      <c r="C2944" s="6" t="s">
        <v>768</v>
      </c>
      <c r="D2944" s="6" t="str">
        <f>IF(OR(PROPER(TRIM(Raw_Data!D2944))="Uk",PROPER(TRIM(Raw_Data!D2944))="Gb",PROPER(TRIM(Raw_Data!D2944))="United kingdom"),"United Kingdom",PROPER(TRIM(Raw_Data!D2944)))</f>
        <v>France</v>
      </c>
      <c r="E2944" s="6" t="s">
        <v>52</v>
      </c>
      <c r="F2944" s="6" t="s">
        <v>100</v>
      </c>
      <c r="G2944" s="6" t="str">
        <f>SUBSTITUTE(Raw_Data!G2944,"Ã©","é")</f>
        <v>Fell Runner Cap</v>
      </c>
      <c r="H2944" s="6">
        <v>-3</v>
      </c>
      <c r="I2944" s="6" t="s">
        <v>143</v>
      </c>
      <c r="J2944" s="8" t="s">
        <v>1916</v>
      </c>
      <c r="K2944" s="6">
        <v>0.64</v>
      </c>
      <c r="L2944" s="6" t="s">
        <v>42</v>
      </c>
      <c r="M2944" s="6" t="s">
        <v>34</v>
      </c>
      <c r="N2944" s="6"/>
    </row>
    <row r="2945" spans="1:14">
      <c r="A2945" s="6" t="s">
        <v>4561</v>
      </c>
      <c r="B2945" s="7">
        <v>46266</v>
      </c>
      <c r="C2945" s="6" t="s">
        <v>1530</v>
      </c>
      <c r="D2945" s="6" t="str">
        <f>IF(OR(PROPER(TRIM(Raw_Data!D2945))="Uk",PROPER(TRIM(Raw_Data!D2945))="Gb",PROPER(TRIM(Raw_Data!D2945))="United kingdom"),"United Kingdom",PROPER(TRIM(Raw_Data!D2945)))</f>
        <v>Ireland</v>
      </c>
      <c r="E2945" s="6" t="s">
        <v>28</v>
      </c>
      <c r="F2945" s="6" t="s">
        <v>29</v>
      </c>
      <c r="G2945" s="6" t="str">
        <f>SUBSTITUTE(Raw_Data!G2945,"Ã©","é")</f>
        <v>Café Latte Mug</v>
      </c>
      <c r="H2945" s="6">
        <v>3</v>
      </c>
      <c r="I2945" s="6" t="s">
        <v>231</v>
      </c>
      <c r="J2945" s="6" t="s">
        <v>505</v>
      </c>
      <c r="K2945" s="6">
        <v>0.52</v>
      </c>
      <c r="L2945" s="6" t="s">
        <v>42</v>
      </c>
      <c r="M2945" s="6" t="s">
        <v>34</v>
      </c>
      <c r="N2945" s="6"/>
    </row>
    <row r="2946" spans="1:14">
      <c r="A2946" s="6" t="s">
        <v>4562</v>
      </c>
      <c r="B2946" s="7">
        <v>46135</v>
      </c>
      <c r="C2946" s="6" t="s">
        <v>2463</v>
      </c>
      <c r="D2946" s="6" t="str">
        <f>IF(OR(PROPER(TRIM(Raw_Data!D2946))="Uk",PROPER(TRIM(Raw_Data!D2946))="Gb",PROPER(TRIM(Raw_Data!D2946))="United kingdom"),"United Kingdom",PROPER(TRIM(Raw_Data!D2946)))</f>
        <v>Germany</v>
      </c>
      <c r="E2946" s="6" t="s">
        <v>28</v>
      </c>
      <c r="F2946" s="6" t="s">
        <v>53</v>
      </c>
      <c r="G2946" s="6" t="str">
        <f>SUBSTITUTE(Raw_Data!G2946,"Ã©","é")</f>
        <v>Summit Down Gilet</v>
      </c>
      <c r="H2946" s="6">
        <v>1</v>
      </c>
      <c r="I2946" s="6" t="s">
        <v>90</v>
      </c>
      <c r="J2946" s="6" t="s">
        <v>90</v>
      </c>
      <c r="K2946" s="6">
        <v>0.19</v>
      </c>
      <c r="L2946" s="6" t="s">
        <v>33</v>
      </c>
      <c r="M2946" s="6" t="s">
        <v>34</v>
      </c>
      <c r="N2946" s="6"/>
    </row>
    <row r="2947" spans="1:14">
      <c r="A2947" s="6" t="s">
        <v>4563</v>
      </c>
      <c r="B2947" s="7">
        <v>46269</v>
      </c>
      <c r="C2947" s="6" t="s">
        <v>3880</v>
      </c>
      <c r="D2947" s="6" t="str">
        <f>IF(OR(PROPER(TRIM(Raw_Data!D2947))="Uk",PROPER(TRIM(Raw_Data!D2947))="Gb",PROPER(TRIM(Raw_Data!D2947))="United kingdom"),"United Kingdom",PROPER(TRIM(Raw_Data!D2947)))</f>
        <v>United Kingdom</v>
      </c>
      <c r="E2947" s="6" t="s">
        <v>78</v>
      </c>
      <c r="F2947" s="6" t="s">
        <v>47</v>
      </c>
      <c r="G2947" s="6" t="str">
        <f>SUBSTITUTE(Raw_Data!G2947,"Ã©","é")</f>
        <v>Fell Runner Cap</v>
      </c>
      <c r="H2947" s="6">
        <v>3</v>
      </c>
      <c r="I2947" s="6" t="s">
        <v>96</v>
      </c>
      <c r="J2947" s="6" t="s">
        <v>97</v>
      </c>
      <c r="K2947" s="6">
        <v>8.5000000000000006E-2</v>
      </c>
      <c r="L2947" s="6" t="s">
        <v>42</v>
      </c>
      <c r="M2947" s="6" t="s">
        <v>34</v>
      </c>
      <c r="N2947" s="6"/>
    </row>
    <row r="2948" spans="1:14">
      <c r="A2948" s="6" t="s">
        <v>4564</v>
      </c>
      <c r="B2948" s="7">
        <v>46060</v>
      </c>
      <c r="C2948" s="6" t="s">
        <v>731</v>
      </c>
      <c r="D2948" s="6" t="str">
        <f>IF(OR(PROPER(TRIM(Raw_Data!D2948))="Uk",PROPER(TRIM(Raw_Data!D2948))="Gb",PROPER(TRIM(Raw_Data!D2948))="United kingdom"),"United Kingdom",PROPER(TRIM(Raw_Data!D2948)))</f>
        <v>United Kingdom</v>
      </c>
      <c r="E2948" s="6" t="s">
        <v>28</v>
      </c>
      <c r="F2948" s="6" t="s">
        <v>29</v>
      </c>
      <c r="G2948" s="6" t="str">
        <f>SUBSTITUTE(Raw_Data!G2948,"Ã©","é")</f>
        <v>Café Latte Mug</v>
      </c>
      <c r="H2948" s="6">
        <v>2</v>
      </c>
      <c r="I2948" s="6" t="s">
        <v>82</v>
      </c>
      <c r="J2948" s="6" t="s">
        <v>297</v>
      </c>
      <c r="K2948" s="6">
        <v>0.52</v>
      </c>
      <c r="L2948" s="6" t="s">
        <v>33</v>
      </c>
      <c r="M2948" s="6" t="s">
        <v>69</v>
      </c>
      <c r="N2948" s="6"/>
    </row>
    <row r="2949" spans="1:14">
      <c r="A2949" s="6" t="s">
        <v>4565</v>
      </c>
      <c r="B2949" s="7">
        <v>46102</v>
      </c>
      <c r="C2949" s="6" t="s">
        <v>735</v>
      </c>
      <c r="D2949" s="6" t="str">
        <f>IF(OR(PROPER(TRIM(Raw_Data!D2949))="Uk",PROPER(TRIM(Raw_Data!D2949))="Gb",PROPER(TRIM(Raw_Data!D2949))="United kingdom"),"United Kingdom",PROPER(TRIM(Raw_Data!D2949)))</f>
        <v>Germany</v>
      </c>
      <c r="E2949" s="6" t="s">
        <v>46</v>
      </c>
      <c r="F2949" s="6" t="s">
        <v>29</v>
      </c>
      <c r="G2949" s="6" t="str">
        <f>SUBSTITUTE(Raw_Data!G2949,"Ã©","é")</f>
        <v>Storm Overtrousers</v>
      </c>
      <c r="H2949" s="6">
        <v>1</v>
      </c>
      <c r="I2949" s="6" t="s">
        <v>73</v>
      </c>
      <c r="J2949" s="6" t="s">
        <v>73</v>
      </c>
      <c r="K2949" s="6">
        <v>0.52</v>
      </c>
      <c r="L2949" s="6" t="s">
        <v>42</v>
      </c>
      <c r="M2949" s="6" t="s">
        <v>34</v>
      </c>
      <c r="N2949" s="6"/>
    </row>
    <row r="2950" spans="1:14">
      <c r="A2950" s="6" t="s">
        <v>4566</v>
      </c>
      <c r="B2950" s="7">
        <v>46236</v>
      </c>
      <c r="C2950" s="6" t="s">
        <v>1122</v>
      </c>
      <c r="D2950" s="6" t="str">
        <f>IF(OR(PROPER(TRIM(Raw_Data!D2950))="Uk",PROPER(TRIM(Raw_Data!D2950))="Gb",PROPER(TRIM(Raw_Data!D2950))="United kingdom"),"United Kingdom",PROPER(TRIM(Raw_Data!D2950)))</f>
        <v>United Kingdom</v>
      </c>
      <c r="E2950" s="6" t="s">
        <v>52</v>
      </c>
      <c r="F2950" s="6" t="s">
        <v>58</v>
      </c>
      <c r="G2950" s="6" t="str">
        <f>SUBSTITUTE(Raw_Data!G2950,"Ã©","é")</f>
        <v>Trekking Poles</v>
      </c>
      <c r="H2950" s="6">
        <v>1</v>
      </c>
      <c r="I2950" s="6" t="s">
        <v>147</v>
      </c>
      <c r="J2950" s="6" t="s">
        <v>147</v>
      </c>
      <c r="K2950" s="6">
        <v>0.38</v>
      </c>
      <c r="L2950" s="6" t="s">
        <v>42</v>
      </c>
      <c r="M2950" s="6" t="s">
        <v>69</v>
      </c>
      <c r="N2950" s="6"/>
    </row>
    <row r="2951" spans="1:14">
      <c r="A2951" s="6" t="s">
        <v>4567</v>
      </c>
      <c r="B2951" s="7">
        <v>46073</v>
      </c>
      <c r="C2951" s="6" t="s">
        <v>1248</v>
      </c>
      <c r="D2951" s="6" t="str">
        <f>IF(OR(PROPER(TRIM(Raw_Data!D2951))="Uk",PROPER(TRIM(Raw_Data!D2951))="Gb",PROPER(TRIM(Raw_Data!D2951))="United kingdom"),"United Kingdom",PROPER(TRIM(Raw_Data!D2951)))</f>
        <v>United Kingdom</v>
      </c>
      <c r="E2951" s="6" t="s">
        <v>46</v>
      </c>
      <c r="F2951" s="6" t="s">
        <v>94</v>
      </c>
      <c r="G2951" s="6" t="str">
        <f>SUBSTITUTE(Raw_Data!G2951,"Ã©","é")</f>
        <v>Fell Runner Cap</v>
      </c>
      <c r="H2951" s="6">
        <v>1</v>
      </c>
      <c r="I2951" s="6" t="s">
        <v>231</v>
      </c>
      <c r="J2951" s="6" t="s">
        <v>231</v>
      </c>
      <c r="K2951" s="6">
        <v>0.34</v>
      </c>
      <c r="L2951" s="6" t="s">
        <v>42</v>
      </c>
      <c r="M2951" s="6" t="s">
        <v>34</v>
      </c>
      <c r="N2951" s="6"/>
    </row>
    <row r="2952" spans="1:14">
      <c r="A2952" s="6" t="s">
        <v>4568</v>
      </c>
      <c r="B2952" s="7">
        <v>46155</v>
      </c>
      <c r="C2952" s="6" t="s">
        <v>2671</v>
      </c>
      <c r="D2952" s="6" t="str">
        <f>IF(OR(PROPER(TRIM(Raw_Data!D2952))="Uk",PROPER(TRIM(Raw_Data!D2952))="Gb",PROPER(TRIM(Raw_Data!D2952))="United kingdom"),"United Kingdom",PROPER(TRIM(Raw_Data!D2952)))</f>
        <v>France</v>
      </c>
      <c r="E2952" s="6" t="s">
        <v>46</v>
      </c>
      <c r="F2952" s="6" t="s">
        <v>94</v>
      </c>
      <c r="G2952" s="6" t="str">
        <f>SUBSTITUTE(Raw_Data!G2952,"Ã©","é")</f>
        <v>Trekking Poles</v>
      </c>
      <c r="H2952" s="6">
        <v>1</v>
      </c>
      <c r="I2952" s="6" t="s">
        <v>181</v>
      </c>
      <c r="J2952" s="6" t="s">
        <v>181</v>
      </c>
      <c r="K2952" s="6">
        <v>0.34</v>
      </c>
      <c r="L2952" s="6" t="s">
        <v>42</v>
      </c>
      <c r="M2952" s="6" t="s">
        <v>34</v>
      </c>
      <c r="N2952" s="6"/>
    </row>
    <row r="2953" spans="1:14">
      <c r="A2953" s="6" t="s">
        <v>4569</v>
      </c>
      <c r="B2953" s="7">
        <v>46203</v>
      </c>
      <c r="C2953" s="6" t="s">
        <v>520</v>
      </c>
      <c r="D2953" s="6" t="str">
        <f>IF(OR(PROPER(TRIM(Raw_Data!D2953))="Uk",PROPER(TRIM(Raw_Data!D2953))="Gb",PROPER(TRIM(Raw_Data!D2953))="United kingdom"),"United Kingdom",PROPER(TRIM(Raw_Data!D2953)))</f>
        <v>France</v>
      </c>
      <c r="E2953" s="6" t="s">
        <v>52</v>
      </c>
      <c r="F2953" s="6" t="s">
        <v>38</v>
      </c>
      <c r="G2953" s="6" t="str">
        <f>SUBSTITUTE(Raw_Data!G2953,"Ã©","é")</f>
        <v>Alpine Jacket</v>
      </c>
      <c r="H2953" s="6">
        <v>2</v>
      </c>
      <c r="I2953" s="6" t="s">
        <v>265</v>
      </c>
      <c r="J2953" s="6" t="s">
        <v>167</v>
      </c>
      <c r="K2953" s="6">
        <v>0.52</v>
      </c>
      <c r="L2953" s="6" t="s">
        <v>42</v>
      </c>
      <c r="M2953" s="6" t="s">
        <v>69</v>
      </c>
      <c r="N2953" s="6"/>
    </row>
    <row r="2954" spans="1:14">
      <c r="A2954" s="6" t="s">
        <v>4570</v>
      </c>
      <c r="B2954" s="7">
        <v>46080</v>
      </c>
      <c r="C2954" s="6" t="s">
        <v>3177</v>
      </c>
      <c r="D2954" s="6" t="str">
        <f>IF(OR(PROPER(TRIM(Raw_Data!D2954))="Uk",PROPER(TRIM(Raw_Data!D2954))="Gb",PROPER(TRIM(Raw_Data!D2954))="United kingdom"),"United Kingdom",PROPER(TRIM(Raw_Data!D2954)))</f>
        <v>United Kingdom</v>
      </c>
      <c r="E2954" s="6" t="s">
        <v>37</v>
      </c>
      <c r="F2954" s="6" t="s">
        <v>94</v>
      </c>
      <c r="G2954" s="6" t="str">
        <f>SUBSTITUTE(Raw_Data!G2954,"Ã©","é")</f>
        <v>Trail Softshell</v>
      </c>
      <c r="H2954" s="6">
        <v>3</v>
      </c>
      <c r="I2954" s="6" t="s">
        <v>67</v>
      </c>
      <c r="J2954" s="6" t="s">
        <v>68</v>
      </c>
      <c r="K2954" s="6">
        <v>0.34</v>
      </c>
      <c r="L2954" s="6" t="s">
        <v>42</v>
      </c>
      <c r="M2954" s="6" t="s">
        <v>34</v>
      </c>
      <c r="N2954" s="6"/>
    </row>
    <row r="2955" spans="1:14">
      <c r="A2955" s="6" t="s">
        <v>4571</v>
      </c>
      <c r="B2955" s="7">
        <v>46361</v>
      </c>
      <c r="C2955" s="6" t="s">
        <v>729</v>
      </c>
      <c r="D2955" s="6" t="str">
        <f>IF(OR(PROPER(TRIM(Raw_Data!D2955))="Uk",PROPER(TRIM(Raw_Data!D2955))="Gb",PROPER(TRIM(Raw_Data!D2955))="United kingdom"),"United Kingdom",PROPER(TRIM(Raw_Data!D2955)))</f>
        <v>Ireland</v>
      </c>
      <c r="E2955" s="6" t="s">
        <v>28</v>
      </c>
      <c r="F2955" s="6" t="s">
        <v>85</v>
      </c>
      <c r="G2955" s="6" t="str">
        <f>SUBSTITUTE(Raw_Data!G2955,"Ã©","é")</f>
        <v>Summit Down Gilet</v>
      </c>
      <c r="H2955" s="6">
        <v>1</v>
      </c>
      <c r="I2955" s="6" t="s">
        <v>113</v>
      </c>
      <c r="J2955" s="6" t="s">
        <v>113</v>
      </c>
      <c r="K2955" s="6">
        <v>0.41</v>
      </c>
      <c r="L2955" s="6" t="s">
        <v>42</v>
      </c>
      <c r="M2955" s="6" t="s">
        <v>69</v>
      </c>
      <c r="N2955" s="6"/>
    </row>
    <row r="2956" spans="1:14">
      <c r="A2956" s="6" t="s">
        <v>4572</v>
      </c>
      <c r="B2956" s="7">
        <v>46135</v>
      </c>
      <c r="C2956" s="6" t="s">
        <v>1050</v>
      </c>
      <c r="D2956" s="6" t="str">
        <f>IF(OR(PROPER(TRIM(Raw_Data!D2956))="Uk",PROPER(TRIM(Raw_Data!D2956))="Gb",PROPER(TRIM(Raw_Data!D2956))="United kingdom"),"United Kingdom",PROPER(TRIM(Raw_Data!D2956)))</f>
        <v>Germany</v>
      </c>
      <c r="E2956" s="6" t="s">
        <v>28</v>
      </c>
      <c r="F2956" s="6" t="s">
        <v>38</v>
      </c>
      <c r="G2956" s="6" t="str">
        <f>SUBSTITUTE(Raw_Data!G2956,"Ã©","é")</f>
        <v>Summit Down Gilet</v>
      </c>
      <c r="H2956" s="6">
        <v>1</v>
      </c>
      <c r="I2956" s="6" t="s">
        <v>60</v>
      </c>
      <c r="J2956" s="6" t="s">
        <v>60</v>
      </c>
      <c r="K2956" s="6">
        <v>0.52</v>
      </c>
      <c r="L2956" s="6" t="s">
        <v>42</v>
      </c>
      <c r="M2956" s="6" t="s">
        <v>69</v>
      </c>
      <c r="N2956" s="6"/>
    </row>
    <row r="2957" spans="1:14">
      <c r="A2957" s="6" t="s">
        <v>4573</v>
      </c>
      <c r="B2957" s="7">
        <v>46327</v>
      </c>
      <c r="C2957" s="6" t="s">
        <v>4186</v>
      </c>
      <c r="D2957" s="6" t="str">
        <f>IF(OR(PROPER(TRIM(Raw_Data!D2957))="Uk",PROPER(TRIM(Raw_Data!D2957))="Gb",PROPER(TRIM(Raw_Data!D2957))="United kingdom"),"United Kingdom",PROPER(TRIM(Raw_Data!D2957)))</f>
        <v>United Kingdom</v>
      </c>
      <c r="E2957" s="6" t="s">
        <v>28</v>
      </c>
      <c r="F2957" s="6" t="s">
        <v>38</v>
      </c>
      <c r="G2957" s="6" t="str">
        <f>SUBSTITUTE(Raw_Data!G2957,"Ã©","é")</f>
        <v>Alpine Jacket</v>
      </c>
      <c r="H2957" s="6">
        <v>2</v>
      </c>
      <c r="I2957" s="6" t="s">
        <v>117</v>
      </c>
      <c r="J2957" s="6" t="s">
        <v>118</v>
      </c>
      <c r="K2957" s="6">
        <v>0.52</v>
      </c>
      <c r="L2957" s="6" t="s">
        <v>42</v>
      </c>
      <c r="M2957" s="6" t="s">
        <v>69</v>
      </c>
      <c r="N2957" s="6"/>
    </row>
    <row r="2958" spans="1:14">
      <c r="A2958" s="6" t="s">
        <v>4574</v>
      </c>
      <c r="B2958" s="7">
        <v>46270</v>
      </c>
      <c r="C2958" s="6" t="s">
        <v>2035</v>
      </c>
      <c r="D2958" s="6" t="str">
        <f>IF(OR(PROPER(TRIM(Raw_Data!D2958))="Uk",PROPER(TRIM(Raw_Data!D2958))="Gb",PROPER(TRIM(Raw_Data!D2958))="United kingdom"),"United Kingdom",PROPER(TRIM(Raw_Data!D2958)))</f>
        <v>United Kingdom</v>
      </c>
      <c r="E2958" s="6" t="s">
        <v>37</v>
      </c>
      <c r="F2958" s="6" t="s">
        <v>38</v>
      </c>
      <c r="G2958" s="6" t="str">
        <f>SUBSTITUTE(Raw_Data!G2958,"Ã©","é")</f>
        <v>Fell Runner Cap</v>
      </c>
      <c r="H2958" s="6">
        <v>3</v>
      </c>
      <c r="I2958" s="6" t="s">
        <v>31</v>
      </c>
      <c r="J2958" s="6" t="s">
        <v>337</v>
      </c>
      <c r="K2958" s="6">
        <v>0.52</v>
      </c>
      <c r="L2958" s="6" t="s">
        <v>33</v>
      </c>
      <c r="M2958" s="6" t="s">
        <v>34</v>
      </c>
      <c r="N2958" s="6"/>
    </row>
    <row r="2959" spans="1:14">
      <c r="A2959" s="6" t="s">
        <v>4575</v>
      </c>
      <c r="B2959" s="7">
        <v>46161</v>
      </c>
      <c r="C2959" s="6" t="s">
        <v>596</v>
      </c>
      <c r="D2959" s="6" t="str">
        <f>IF(OR(PROPER(TRIM(Raw_Data!D2959))="Uk",PROPER(TRIM(Raw_Data!D2959))="Gb",PROPER(TRIM(Raw_Data!D2959))="United kingdom"),"United Kingdom",PROPER(TRIM(Raw_Data!D2959)))</f>
        <v>France</v>
      </c>
      <c r="E2959" s="6" t="s">
        <v>52</v>
      </c>
      <c r="F2959" s="6" t="s">
        <v>85</v>
      </c>
      <c r="G2959" s="6" t="str">
        <f>SUBSTITUTE(Raw_Data!G2959,"Ã©","é")</f>
        <v>Alpine Jacket</v>
      </c>
      <c r="H2959" s="6">
        <v>2</v>
      </c>
      <c r="I2959" s="6" t="s">
        <v>181</v>
      </c>
      <c r="J2959" s="6" t="s">
        <v>163</v>
      </c>
      <c r="K2959" s="6">
        <v>0.41</v>
      </c>
      <c r="L2959" s="6" t="s">
        <v>42</v>
      </c>
      <c r="M2959" s="6" t="s">
        <v>34</v>
      </c>
      <c r="N2959" s="6"/>
    </row>
    <row r="2960" spans="1:14">
      <c r="A2960" s="6" t="s">
        <v>4576</v>
      </c>
      <c r="B2960" s="7">
        <v>46048</v>
      </c>
      <c r="C2960" s="6" t="s">
        <v>1964</v>
      </c>
      <c r="D2960" s="6" t="str">
        <f>IF(OR(PROPER(TRIM(Raw_Data!D2960))="Uk",PROPER(TRIM(Raw_Data!D2960))="Gb",PROPER(TRIM(Raw_Data!D2960))="United kingdom"),"United Kingdom",PROPER(TRIM(Raw_Data!D2960)))</f>
        <v>United Kingdom</v>
      </c>
      <c r="E2960" s="6" t="s">
        <v>46</v>
      </c>
      <c r="F2960" s="6" t="s">
        <v>85</v>
      </c>
      <c r="G2960" s="6" t="str">
        <f>SUBSTITUTE(Raw_Data!G2960,"Ã©","é")</f>
        <v>Summit Down Gilet</v>
      </c>
      <c r="H2960" s="6">
        <v>1</v>
      </c>
      <c r="I2960" s="6" t="s">
        <v>231</v>
      </c>
      <c r="J2960" s="6" t="s">
        <v>231</v>
      </c>
      <c r="K2960" s="6">
        <v>0.41</v>
      </c>
      <c r="L2960" s="6" t="s">
        <v>33</v>
      </c>
      <c r="M2960" s="6" t="s">
        <v>34</v>
      </c>
      <c r="N2960" s="6"/>
    </row>
    <row r="2961" spans="1:14">
      <c r="A2961" s="6" t="s">
        <v>4577</v>
      </c>
      <c r="B2961" s="7">
        <v>46040</v>
      </c>
      <c r="C2961" s="6" t="s">
        <v>2861</v>
      </c>
      <c r="D2961" s="6" t="str">
        <f>IF(OR(PROPER(TRIM(Raw_Data!D2961))="Uk",PROPER(TRIM(Raw_Data!D2961))="Gb",PROPER(TRIM(Raw_Data!D2961))="United kingdom"),"United Kingdom",PROPER(TRIM(Raw_Data!D2961)))</f>
        <v>United Kingdom</v>
      </c>
      <c r="E2961" s="6" t="s">
        <v>78</v>
      </c>
      <c r="F2961" s="6" t="s">
        <v>29</v>
      </c>
      <c r="G2961" s="6" t="str">
        <f>SUBSTITUTE(Raw_Data!G2961,"Ã©","é")</f>
        <v>Fell Runner Cap</v>
      </c>
      <c r="H2961" s="6">
        <v>-3</v>
      </c>
      <c r="I2961" s="6" t="s">
        <v>113</v>
      </c>
      <c r="J2961" s="8" t="s">
        <v>1913</v>
      </c>
      <c r="K2961" s="6">
        <v>0.52</v>
      </c>
      <c r="L2961" s="6" t="s">
        <v>42</v>
      </c>
      <c r="M2961" s="6" t="s">
        <v>34</v>
      </c>
      <c r="N2961" s="6"/>
    </row>
    <row r="2962" spans="1:14">
      <c r="A2962" s="6" t="s">
        <v>4578</v>
      </c>
      <c r="B2962" s="7">
        <v>46297</v>
      </c>
      <c r="C2962" s="6" t="s">
        <v>3910</v>
      </c>
      <c r="D2962" s="6" t="str">
        <f>IF(OR(PROPER(TRIM(Raw_Data!D2962))="Uk",PROPER(TRIM(Raw_Data!D2962))="Gb",PROPER(TRIM(Raw_Data!D2962))="United kingdom"),"United Kingdom",PROPER(TRIM(Raw_Data!D2962)))</f>
        <v>United Kingdom</v>
      </c>
      <c r="E2962" s="6" t="s">
        <v>78</v>
      </c>
      <c r="F2962" s="6" t="s">
        <v>38</v>
      </c>
      <c r="G2962" s="6" t="str">
        <f>SUBSTITUTE(Raw_Data!G2962,"Ã©","é")</f>
        <v>Trekking Poles</v>
      </c>
      <c r="H2962" s="6">
        <v>3</v>
      </c>
      <c r="I2962" s="6" t="s">
        <v>656</v>
      </c>
      <c r="J2962" s="6" t="s">
        <v>138</v>
      </c>
      <c r="K2962" s="6">
        <v>0.52</v>
      </c>
      <c r="L2962" s="6" t="s">
        <v>33</v>
      </c>
      <c r="M2962" s="6" t="s">
        <v>34</v>
      </c>
      <c r="N2962" s="6"/>
    </row>
    <row r="2963" spans="1:14">
      <c r="A2963" s="6" t="s">
        <v>4579</v>
      </c>
      <c r="B2963" s="7">
        <v>46299</v>
      </c>
      <c r="C2963" s="6" t="s">
        <v>3090</v>
      </c>
      <c r="D2963" s="6" t="str">
        <f>IF(OR(PROPER(TRIM(Raw_Data!D2963))="Uk",PROPER(TRIM(Raw_Data!D2963))="Gb",PROPER(TRIM(Raw_Data!D2963))="United kingdom"),"United Kingdom",PROPER(TRIM(Raw_Data!D2963)))</f>
        <v>United Kingdom</v>
      </c>
      <c r="E2963" s="6" t="s">
        <v>52</v>
      </c>
      <c r="F2963" s="6" t="s">
        <v>47</v>
      </c>
      <c r="G2963" s="6" t="str">
        <f>SUBSTITUTE(Raw_Data!G2963,"Ã©","é")</f>
        <v>Summit Down Gilet</v>
      </c>
      <c r="H2963" s="6">
        <v>1</v>
      </c>
      <c r="I2963" s="6" t="s">
        <v>265</v>
      </c>
      <c r="J2963" s="6" t="s">
        <v>265</v>
      </c>
      <c r="K2963" s="6">
        <v>8.5000000000000006E-2</v>
      </c>
      <c r="L2963" s="6" t="s">
        <v>33</v>
      </c>
      <c r="M2963" s="6" t="s">
        <v>34</v>
      </c>
      <c r="N2963" s="6"/>
    </row>
    <row r="2964" spans="1:14">
      <c r="A2964" s="6" t="s">
        <v>4580</v>
      </c>
      <c r="B2964" s="7">
        <v>46107</v>
      </c>
      <c r="C2964" s="6" t="s">
        <v>3960</v>
      </c>
      <c r="D2964" s="6" t="str">
        <f>IF(OR(PROPER(TRIM(Raw_Data!D2964))="Uk",PROPER(TRIM(Raw_Data!D2964))="Gb",PROPER(TRIM(Raw_Data!D2964))="United kingdom"),"United Kingdom",PROPER(TRIM(Raw_Data!D2964)))</f>
        <v>Germany</v>
      </c>
      <c r="E2964" s="6" t="s">
        <v>28</v>
      </c>
      <c r="F2964" s="6" t="s">
        <v>38</v>
      </c>
      <c r="G2964" s="6" t="str">
        <f>SUBSTITUTE(Raw_Data!G2964,"Ã©","é")</f>
        <v>Fell Runner Cap</v>
      </c>
      <c r="H2964" s="6">
        <v>3</v>
      </c>
      <c r="I2964" s="6" t="s">
        <v>82</v>
      </c>
      <c r="J2964" s="6" t="s">
        <v>390</v>
      </c>
      <c r="K2964" s="6">
        <v>0.52</v>
      </c>
      <c r="L2964" s="6" t="s">
        <v>42</v>
      </c>
      <c r="M2964" s="6" t="s">
        <v>34</v>
      </c>
      <c r="N2964" s="6"/>
    </row>
    <row r="2965" spans="1:14">
      <c r="A2965" s="6" t="s">
        <v>4581</v>
      </c>
      <c r="B2965" s="7">
        <v>46087</v>
      </c>
      <c r="C2965" s="6" t="s">
        <v>3490</v>
      </c>
      <c r="D2965" s="6" t="str">
        <f>IF(OR(PROPER(TRIM(Raw_Data!D2965))="Uk",PROPER(TRIM(Raw_Data!D2965))="Gb",PROPER(TRIM(Raw_Data!D2965))="United kingdom"),"United Kingdom",PROPER(TRIM(Raw_Data!D2965)))</f>
        <v>United Kingdom</v>
      </c>
      <c r="E2965" s="6" t="s">
        <v>37</v>
      </c>
      <c r="F2965" s="6" t="s">
        <v>85</v>
      </c>
      <c r="G2965" s="6" t="str">
        <f>SUBSTITUTE(Raw_Data!G2965,"Ã©","é")</f>
        <v>Trekking Poles</v>
      </c>
      <c r="H2965" s="6">
        <v>1</v>
      </c>
      <c r="I2965" s="6" t="s">
        <v>143</v>
      </c>
      <c r="J2965" s="6" t="s">
        <v>143</v>
      </c>
      <c r="K2965" s="6">
        <v>0.41</v>
      </c>
      <c r="L2965" s="6" t="s">
        <v>42</v>
      </c>
      <c r="M2965" s="6" t="s">
        <v>34</v>
      </c>
      <c r="N2965" s="6"/>
    </row>
    <row r="2966" spans="1:14">
      <c r="A2966" s="6" t="s">
        <v>4582</v>
      </c>
      <c r="B2966" s="7">
        <v>46039</v>
      </c>
      <c r="C2966" s="6" t="s">
        <v>240</v>
      </c>
      <c r="D2966" s="6" t="str">
        <f>IF(OR(PROPER(TRIM(Raw_Data!D2966))="Uk",PROPER(TRIM(Raw_Data!D2966))="Gb",PROPER(TRIM(Raw_Data!D2966))="United kingdom"),"United Kingdom",PROPER(TRIM(Raw_Data!D2966)))</f>
        <v>Ireland</v>
      </c>
      <c r="E2966" s="6" t="s">
        <v>46</v>
      </c>
      <c r="F2966" s="6" t="s">
        <v>85</v>
      </c>
      <c r="G2966" s="6" t="str">
        <f>SUBSTITUTE(Raw_Data!G2966,"Ã©","é")</f>
        <v>Storm Overtrousers</v>
      </c>
      <c r="H2966" s="6">
        <v>2</v>
      </c>
      <c r="I2966" s="6" t="s">
        <v>265</v>
      </c>
      <c r="J2966" s="6" t="s">
        <v>167</v>
      </c>
      <c r="K2966" s="6">
        <v>0.41</v>
      </c>
      <c r="L2966" s="6" t="s">
        <v>42</v>
      </c>
      <c r="M2966" s="6" t="s">
        <v>69</v>
      </c>
      <c r="N2966" s="6"/>
    </row>
    <row r="2967" spans="1:14">
      <c r="A2967" s="6" t="s">
        <v>4583</v>
      </c>
      <c r="B2967" s="7">
        <v>46160</v>
      </c>
      <c r="C2967" s="6" t="s">
        <v>1190</v>
      </c>
      <c r="D2967" s="6" t="str">
        <f>IF(OR(PROPER(TRIM(Raw_Data!D2967))="Uk",PROPER(TRIM(Raw_Data!D2967))="Gb",PROPER(TRIM(Raw_Data!D2967))="United kingdom"),"United Kingdom",PROPER(TRIM(Raw_Data!D2967)))</f>
        <v>United Kingdom</v>
      </c>
      <c r="E2967" s="6" t="s">
        <v>46</v>
      </c>
      <c r="F2967" s="6" t="s">
        <v>85</v>
      </c>
      <c r="G2967" s="6" t="str">
        <f>SUBSTITUTE(Raw_Data!G2967,"Ã©","é")</f>
        <v>Alpine Jacket</v>
      </c>
      <c r="H2967" s="6">
        <v>-2</v>
      </c>
      <c r="I2967" s="6" t="s">
        <v>231</v>
      </c>
      <c r="J2967" s="8" t="s">
        <v>2429</v>
      </c>
      <c r="K2967" s="6">
        <v>0.41</v>
      </c>
      <c r="L2967" s="6" t="s">
        <v>42</v>
      </c>
      <c r="M2967" s="6" t="s">
        <v>34</v>
      </c>
      <c r="N2967" s="6"/>
    </row>
    <row r="2968" spans="1:14">
      <c r="A2968" s="6" t="s">
        <v>4584</v>
      </c>
      <c r="B2968" s="7">
        <v>46024</v>
      </c>
      <c r="C2968" s="6" t="s">
        <v>454</v>
      </c>
      <c r="D2968" s="6" t="str">
        <f>IF(OR(PROPER(TRIM(Raw_Data!D2968))="Uk",PROPER(TRIM(Raw_Data!D2968))="Gb",PROPER(TRIM(Raw_Data!D2968))="United kingdom"),"United Kingdom",PROPER(TRIM(Raw_Data!D2968)))</f>
        <v>Ireland</v>
      </c>
      <c r="E2968" s="6" t="s">
        <v>37</v>
      </c>
      <c r="F2968" s="6" t="s">
        <v>53</v>
      </c>
      <c r="G2968" s="6" t="str">
        <f>SUBSTITUTE(Raw_Data!G2968,"Ã©","é")</f>
        <v>Storm Overtrousers</v>
      </c>
      <c r="H2968" s="6">
        <v>2</v>
      </c>
      <c r="I2968" s="6" t="s">
        <v>90</v>
      </c>
      <c r="J2968" s="6" t="s">
        <v>154</v>
      </c>
      <c r="K2968" s="6">
        <v>0.19</v>
      </c>
      <c r="L2968" s="6" t="s">
        <v>33</v>
      </c>
      <c r="M2968" s="6" t="s">
        <v>69</v>
      </c>
      <c r="N2968" s="6"/>
    </row>
    <row r="2969" spans="1:14">
      <c r="A2969" s="6" t="s">
        <v>4585</v>
      </c>
      <c r="B2969" s="7">
        <v>46087</v>
      </c>
      <c r="C2969" s="6" t="s">
        <v>3820</v>
      </c>
      <c r="D2969" s="6" t="str">
        <f>IF(OR(PROPER(TRIM(Raw_Data!D2969))="Uk",PROPER(TRIM(Raw_Data!D2969))="Gb",PROPER(TRIM(Raw_Data!D2969))="United kingdom"),"United Kingdom",PROPER(TRIM(Raw_Data!D2969)))</f>
        <v>Ireland</v>
      </c>
      <c r="E2969" s="6" t="s">
        <v>37</v>
      </c>
      <c r="F2969" s="6" t="s">
        <v>100</v>
      </c>
      <c r="G2969" s="6" t="str">
        <f>SUBSTITUTE(Raw_Data!G2969,"Ã©","é")</f>
        <v>Storm Overtrousers</v>
      </c>
      <c r="H2969" s="6">
        <v>1</v>
      </c>
      <c r="I2969" s="6" t="s">
        <v>181</v>
      </c>
      <c r="J2969" s="6" t="s">
        <v>181</v>
      </c>
      <c r="K2969" s="6">
        <v>0.64</v>
      </c>
      <c r="L2969" s="6" t="s">
        <v>33</v>
      </c>
      <c r="M2969" s="6" t="s">
        <v>34</v>
      </c>
      <c r="N2969" s="6"/>
    </row>
    <row r="2970" spans="1:14">
      <c r="A2970" s="6" t="s">
        <v>4586</v>
      </c>
      <c r="B2970" s="7">
        <v>46197</v>
      </c>
      <c r="C2970" s="6" t="s">
        <v>4587</v>
      </c>
      <c r="D2970" s="6" t="str">
        <f>IF(OR(PROPER(TRIM(Raw_Data!D2970))="Uk",PROPER(TRIM(Raw_Data!D2970))="Gb",PROPER(TRIM(Raw_Data!D2970))="United kingdom"),"United Kingdom",PROPER(TRIM(Raw_Data!D2970)))</f>
        <v>United Kingdom</v>
      </c>
      <c r="E2970" s="6" t="s">
        <v>52</v>
      </c>
      <c r="F2970" s="6" t="s">
        <v>47</v>
      </c>
      <c r="G2970" s="6" t="str">
        <f>SUBSTITUTE(Raw_Data!G2970,"Ã©","é")</f>
        <v>Trekking Poles</v>
      </c>
      <c r="H2970" s="6">
        <v>3</v>
      </c>
      <c r="I2970" s="6" t="s">
        <v>117</v>
      </c>
      <c r="J2970" s="6" t="s">
        <v>171</v>
      </c>
      <c r="K2970" s="6">
        <v>8.5000000000000006E-2</v>
      </c>
      <c r="L2970" s="6" t="s">
        <v>42</v>
      </c>
      <c r="M2970" s="6" t="s">
        <v>34</v>
      </c>
      <c r="N2970" s="6"/>
    </row>
    <row r="2971" spans="1:14">
      <c r="A2971" s="6" t="s">
        <v>4588</v>
      </c>
      <c r="B2971" s="7">
        <v>46267</v>
      </c>
      <c r="C2971" s="6" t="s">
        <v>2668</v>
      </c>
      <c r="D2971" s="6" t="str">
        <f>IF(OR(PROPER(TRIM(Raw_Data!D2971))="Uk",PROPER(TRIM(Raw_Data!D2971))="Gb",PROPER(TRIM(Raw_Data!D2971))="United kingdom"),"United Kingdom",PROPER(TRIM(Raw_Data!D2971)))</f>
        <v>United Kingdom</v>
      </c>
      <c r="E2971" s="6" t="s">
        <v>46</v>
      </c>
      <c r="F2971" s="6" t="s">
        <v>85</v>
      </c>
      <c r="G2971" s="6" t="str">
        <f>SUBSTITUTE(Raw_Data!G2971,"Ã©","é")</f>
        <v>Trekking Poles</v>
      </c>
      <c r="H2971" s="6">
        <v>2</v>
      </c>
      <c r="I2971" s="6" t="s">
        <v>117</v>
      </c>
      <c r="J2971" s="6" t="s">
        <v>118</v>
      </c>
      <c r="K2971" s="6">
        <v>0.41</v>
      </c>
      <c r="L2971" s="6" t="s">
        <v>33</v>
      </c>
      <c r="M2971" s="6" t="s">
        <v>34</v>
      </c>
      <c r="N2971" s="6"/>
    </row>
    <row r="2972" spans="1:14">
      <c r="A2972" s="6" t="s">
        <v>4589</v>
      </c>
      <c r="B2972" s="7">
        <v>46051</v>
      </c>
      <c r="C2972" s="6" t="s">
        <v>4590</v>
      </c>
      <c r="D2972" s="6" t="str">
        <f>IF(OR(PROPER(TRIM(Raw_Data!D2972))="Uk",PROPER(TRIM(Raw_Data!D2972))="Gb",PROPER(TRIM(Raw_Data!D2972))="United kingdom"),"United Kingdom",PROPER(TRIM(Raw_Data!D2972)))</f>
        <v>Ireland</v>
      </c>
      <c r="E2972" s="6" t="s">
        <v>78</v>
      </c>
      <c r="F2972" s="6" t="s">
        <v>29</v>
      </c>
      <c r="G2972" s="6" t="str">
        <f>SUBSTITUTE(Raw_Data!G2972,"Ã©","é")</f>
        <v>Storm Overtrousers</v>
      </c>
      <c r="H2972" s="6">
        <v>3</v>
      </c>
      <c r="I2972" s="6" t="s">
        <v>117</v>
      </c>
      <c r="J2972" s="6" t="s">
        <v>171</v>
      </c>
      <c r="K2972" s="6">
        <v>0.52</v>
      </c>
      <c r="L2972" s="6" t="s">
        <v>42</v>
      </c>
      <c r="M2972" s="6" t="s">
        <v>69</v>
      </c>
      <c r="N2972" s="6"/>
    </row>
    <row r="2973" spans="1:14">
      <c r="A2973" s="6" t="s">
        <v>4591</v>
      </c>
      <c r="B2973" s="7">
        <v>46067</v>
      </c>
      <c r="C2973" s="6" t="s">
        <v>4592</v>
      </c>
      <c r="D2973" s="6" t="str">
        <f>IF(OR(PROPER(TRIM(Raw_Data!D2973))="Uk",PROPER(TRIM(Raw_Data!D2973))="Gb",PROPER(TRIM(Raw_Data!D2973))="United kingdom"),"United Kingdom",PROPER(TRIM(Raw_Data!D2973)))</f>
        <v>United Kingdom</v>
      </c>
      <c r="E2973" s="6" t="s">
        <v>37</v>
      </c>
      <c r="F2973" s="6" t="s">
        <v>58</v>
      </c>
      <c r="G2973" s="6" t="str">
        <f>SUBSTITUTE(Raw_Data!G2973,"Ã©","é")</f>
        <v>Storm Overtrousers</v>
      </c>
      <c r="H2973" s="6">
        <v>1</v>
      </c>
      <c r="I2973" s="6" t="s">
        <v>90</v>
      </c>
      <c r="J2973" s="6" t="s">
        <v>90</v>
      </c>
      <c r="K2973" s="6">
        <v>0.38</v>
      </c>
      <c r="L2973" s="6" t="s">
        <v>42</v>
      </c>
      <c r="M2973" s="6" t="s">
        <v>34</v>
      </c>
      <c r="N2973" s="6"/>
    </row>
    <row r="2974" spans="1:14">
      <c r="A2974" s="6" t="s">
        <v>4593</v>
      </c>
      <c r="B2974" s="7">
        <v>46174</v>
      </c>
      <c r="C2974" s="6" t="s">
        <v>1335</v>
      </c>
      <c r="D2974" s="6" t="str">
        <f>IF(OR(PROPER(TRIM(Raw_Data!D2974))="Uk",PROPER(TRIM(Raw_Data!D2974))="Gb",PROPER(TRIM(Raw_Data!D2974))="United kingdom"),"United Kingdom",PROPER(TRIM(Raw_Data!D2974)))</f>
        <v>United Kingdom</v>
      </c>
      <c r="E2974" s="6" t="s">
        <v>78</v>
      </c>
      <c r="F2974" s="6" t="s">
        <v>29</v>
      </c>
      <c r="G2974" s="6" t="str">
        <f>SUBSTITUTE(Raw_Data!G2974,"Ã©","é")</f>
        <v>Trekking Poles</v>
      </c>
      <c r="H2974" s="6">
        <v>2</v>
      </c>
      <c r="I2974" s="6" t="s">
        <v>31</v>
      </c>
      <c r="J2974" s="6" t="s">
        <v>249</v>
      </c>
      <c r="K2974" s="6">
        <v>0.52</v>
      </c>
      <c r="L2974" s="6" t="s">
        <v>42</v>
      </c>
      <c r="M2974" s="6" t="s">
        <v>34</v>
      </c>
      <c r="N2974" s="6"/>
    </row>
    <row r="2975" spans="1:14">
      <c r="A2975" s="6" t="s">
        <v>4594</v>
      </c>
      <c r="B2975" s="7">
        <v>46029</v>
      </c>
      <c r="C2975" s="6" t="s">
        <v>1283</v>
      </c>
      <c r="D2975" s="6" t="str">
        <f>IF(OR(PROPER(TRIM(Raw_Data!D2975))="Uk",PROPER(TRIM(Raw_Data!D2975))="Gb",PROPER(TRIM(Raw_Data!D2975))="United kingdom"),"United Kingdom",PROPER(TRIM(Raw_Data!D2975)))</f>
        <v>Germany</v>
      </c>
      <c r="E2975" s="6" t="s">
        <v>28</v>
      </c>
      <c r="F2975" s="6" t="s">
        <v>94</v>
      </c>
      <c r="G2975" s="6" t="str">
        <f>SUBSTITUTE(Raw_Data!G2975,"Ã©","é")</f>
        <v>Fell Runner Cap</v>
      </c>
      <c r="H2975" s="6">
        <v>1</v>
      </c>
      <c r="I2975" s="6" t="s">
        <v>113</v>
      </c>
      <c r="J2975" s="6" t="s">
        <v>113</v>
      </c>
      <c r="K2975" s="6">
        <v>0.34</v>
      </c>
      <c r="L2975" s="6" t="s">
        <v>42</v>
      </c>
      <c r="M2975" s="6" t="s">
        <v>34</v>
      </c>
      <c r="N2975" s="6"/>
    </row>
    <row r="2976" spans="1:14">
      <c r="A2976" s="6" t="s">
        <v>4595</v>
      </c>
      <c r="B2976" s="7">
        <v>46361</v>
      </c>
      <c r="C2976" s="6" t="s">
        <v>316</v>
      </c>
      <c r="D2976" s="6" t="str">
        <f>IF(OR(PROPER(TRIM(Raw_Data!D2976))="Uk",PROPER(TRIM(Raw_Data!D2976))="Gb",PROPER(TRIM(Raw_Data!D2976))="United kingdom"),"United Kingdom",PROPER(TRIM(Raw_Data!D2976)))</f>
        <v>Ireland</v>
      </c>
      <c r="E2976" s="6" t="s">
        <v>46</v>
      </c>
      <c r="F2976" s="6" t="s">
        <v>38</v>
      </c>
      <c r="G2976" s="6" t="str">
        <f>SUBSTITUTE(Raw_Data!G2976,"Ã©","é")</f>
        <v>Trekking Poles</v>
      </c>
      <c r="H2976" s="6">
        <v>2</v>
      </c>
      <c r="I2976" s="6" t="s">
        <v>31</v>
      </c>
      <c r="J2976" s="6" t="s">
        <v>249</v>
      </c>
      <c r="K2976" s="6">
        <v>0.52</v>
      </c>
      <c r="L2976" s="6" t="s">
        <v>42</v>
      </c>
      <c r="M2976" s="6" t="s">
        <v>69</v>
      </c>
      <c r="N2976" s="6"/>
    </row>
    <row r="2977" spans="1:14">
      <c r="A2977" s="6" t="s">
        <v>4596</v>
      </c>
      <c r="B2977" s="7">
        <v>46027</v>
      </c>
      <c r="C2977" s="6" t="s">
        <v>4477</v>
      </c>
      <c r="D2977" s="6" t="str">
        <f>IF(OR(PROPER(TRIM(Raw_Data!D2977))="Uk",PROPER(TRIM(Raw_Data!D2977))="Gb",PROPER(TRIM(Raw_Data!D2977))="United kingdom"),"United Kingdom",PROPER(TRIM(Raw_Data!D2977)))</f>
        <v>United Kingdom</v>
      </c>
      <c r="E2977" s="6" t="s">
        <v>52</v>
      </c>
      <c r="F2977" s="6" t="s">
        <v>58</v>
      </c>
      <c r="G2977" s="6" t="str">
        <f>SUBSTITUTE(Raw_Data!G2977,"Ã©","é")</f>
        <v>Café Latte Mug</v>
      </c>
      <c r="H2977" s="6">
        <v>1</v>
      </c>
      <c r="I2977" s="6" t="s">
        <v>143</v>
      </c>
      <c r="J2977" s="6" t="s">
        <v>143</v>
      </c>
      <c r="K2977" s="6">
        <v>0.38</v>
      </c>
      <c r="L2977" s="6" t="s">
        <v>42</v>
      </c>
      <c r="M2977" s="6" t="s">
        <v>34</v>
      </c>
      <c r="N2977" s="6"/>
    </row>
    <row r="2978" spans="1:14">
      <c r="A2978" s="6" t="s">
        <v>4597</v>
      </c>
      <c r="B2978" s="7">
        <v>46168</v>
      </c>
      <c r="C2978" s="6" t="s">
        <v>2681</v>
      </c>
      <c r="D2978" s="6" t="str">
        <f>IF(OR(PROPER(TRIM(Raw_Data!D2978))="Uk",PROPER(TRIM(Raw_Data!D2978))="Gb",PROPER(TRIM(Raw_Data!D2978))="United kingdom"),"United Kingdom",PROPER(TRIM(Raw_Data!D2978)))</f>
        <v>France</v>
      </c>
      <c r="E2978" s="6" t="s">
        <v>46</v>
      </c>
      <c r="F2978" s="6" t="s">
        <v>94</v>
      </c>
      <c r="G2978" s="6" t="str">
        <f>SUBSTITUTE(Raw_Data!G2978,"Ã©","é")</f>
        <v>Summit Down Gilet</v>
      </c>
      <c r="H2978" s="6">
        <v>2</v>
      </c>
      <c r="I2978" s="6" t="s">
        <v>79</v>
      </c>
      <c r="J2978" s="6" t="s">
        <v>259</v>
      </c>
      <c r="K2978" s="6">
        <v>0.34</v>
      </c>
      <c r="L2978" s="6" t="s">
        <v>42</v>
      </c>
      <c r="M2978" s="6" t="s">
        <v>34</v>
      </c>
      <c r="N2978" s="6"/>
    </row>
    <row r="2979" spans="1:14">
      <c r="A2979" s="6" t="s">
        <v>4598</v>
      </c>
      <c r="B2979" s="7">
        <v>46035</v>
      </c>
      <c r="C2979" s="6" t="s">
        <v>473</v>
      </c>
      <c r="D2979" s="6" t="str">
        <f>IF(OR(PROPER(TRIM(Raw_Data!D2979))="Uk",PROPER(TRIM(Raw_Data!D2979))="Gb",PROPER(TRIM(Raw_Data!D2979))="United kingdom"),"United Kingdom",PROPER(TRIM(Raw_Data!D2979)))</f>
        <v>United Kingdom</v>
      </c>
      <c r="E2979" s="6" t="s">
        <v>78</v>
      </c>
      <c r="F2979" s="6" t="s">
        <v>58</v>
      </c>
      <c r="G2979" s="6" t="str">
        <f>SUBSTITUTE(Raw_Data!G2979,"Ã©","é")</f>
        <v>Trail Softshell</v>
      </c>
      <c r="H2979" s="6">
        <v>2</v>
      </c>
      <c r="I2979" s="6" t="s">
        <v>265</v>
      </c>
      <c r="J2979" s="6" t="s">
        <v>167</v>
      </c>
      <c r="K2979" s="6">
        <v>0.38</v>
      </c>
      <c r="L2979" s="6" t="s">
        <v>42</v>
      </c>
      <c r="M2979" s="6" t="s">
        <v>34</v>
      </c>
      <c r="N2979" s="6"/>
    </row>
    <row r="2980" spans="1:14">
      <c r="A2980" s="6" t="s">
        <v>4599</v>
      </c>
      <c r="B2980" s="7">
        <v>46050</v>
      </c>
      <c r="C2980" s="6" t="s">
        <v>3964</v>
      </c>
      <c r="D2980" s="6" t="str">
        <f>IF(OR(PROPER(TRIM(Raw_Data!D2980))="Uk",PROPER(TRIM(Raw_Data!D2980))="Gb",PROPER(TRIM(Raw_Data!D2980))="United kingdom"),"United Kingdom",PROPER(TRIM(Raw_Data!D2980)))</f>
        <v>United Kingdom</v>
      </c>
      <c r="E2980" s="6" t="s">
        <v>78</v>
      </c>
      <c r="F2980" s="6" t="s">
        <v>47</v>
      </c>
      <c r="G2980" s="6" t="str">
        <f>SUBSTITUTE(Raw_Data!G2980,"Ã©","é")</f>
        <v>Fell Runner Cap</v>
      </c>
      <c r="H2980" s="6">
        <v>-2</v>
      </c>
      <c r="I2980" s="6" t="s">
        <v>73</v>
      </c>
      <c r="J2980" s="8" t="s">
        <v>2684</v>
      </c>
      <c r="K2980" s="6">
        <v>8.5000000000000006E-2</v>
      </c>
      <c r="L2980" s="6" t="s">
        <v>42</v>
      </c>
      <c r="M2980" s="6" t="s">
        <v>34</v>
      </c>
      <c r="N2980" s="6"/>
    </row>
    <row r="2981" spans="1:14">
      <c r="A2981" s="6" t="s">
        <v>4600</v>
      </c>
      <c r="B2981" s="7">
        <v>46053</v>
      </c>
      <c r="C2981" s="6" t="s">
        <v>2398</v>
      </c>
      <c r="D2981" s="6" t="str">
        <f>IF(OR(PROPER(TRIM(Raw_Data!D2981))="Uk",PROPER(TRIM(Raw_Data!D2981))="Gb",PROPER(TRIM(Raw_Data!D2981))="United kingdom"),"United Kingdom",PROPER(TRIM(Raw_Data!D2981)))</f>
        <v>United Kingdom</v>
      </c>
      <c r="E2981" s="6" t="s">
        <v>78</v>
      </c>
      <c r="F2981" s="6" t="s">
        <v>47</v>
      </c>
      <c r="G2981" s="6" t="str">
        <f>SUBSTITUTE(Raw_Data!G2981,"Ã©","é")</f>
        <v>Summit Down Gilet</v>
      </c>
      <c r="H2981" s="6">
        <v>2</v>
      </c>
      <c r="I2981" s="6" t="s">
        <v>67</v>
      </c>
      <c r="J2981" s="6" t="s">
        <v>204</v>
      </c>
      <c r="K2981" s="6">
        <v>8.5000000000000006E-2</v>
      </c>
      <c r="L2981" s="6" t="s">
        <v>42</v>
      </c>
      <c r="M2981" s="6" t="s">
        <v>34</v>
      </c>
      <c r="N2981" s="6"/>
    </row>
    <row r="2982" spans="1:14">
      <c r="A2982" s="6" t="s">
        <v>4601</v>
      </c>
      <c r="B2982" s="7">
        <v>46101</v>
      </c>
      <c r="C2982" s="6" t="s">
        <v>550</v>
      </c>
      <c r="D2982" s="6" t="str">
        <f>IF(OR(PROPER(TRIM(Raw_Data!D2982))="Uk",PROPER(TRIM(Raw_Data!D2982))="Gb",PROPER(TRIM(Raw_Data!D2982))="United kingdom"),"United Kingdom",PROPER(TRIM(Raw_Data!D2982)))</f>
        <v>United Kingdom</v>
      </c>
      <c r="E2982" s="6" t="s">
        <v>52</v>
      </c>
      <c r="F2982" s="6" t="s">
        <v>85</v>
      </c>
      <c r="G2982" s="6" t="str">
        <f>SUBSTITUTE(Raw_Data!G2982,"Ã©","é")</f>
        <v>Storm Overtrousers</v>
      </c>
      <c r="H2982" s="6">
        <v>2</v>
      </c>
      <c r="I2982" s="6" t="s">
        <v>117</v>
      </c>
      <c r="J2982" s="6" t="s">
        <v>118</v>
      </c>
      <c r="K2982" s="6">
        <v>0.41</v>
      </c>
      <c r="L2982" s="6" t="s">
        <v>42</v>
      </c>
      <c r="M2982" s="6" t="s">
        <v>34</v>
      </c>
      <c r="N2982" s="6"/>
    </row>
    <row r="2983" spans="1:14">
      <c r="A2983" s="6" t="s">
        <v>4602</v>
      </c>
      <c r="B2983" s="7">
        <v>46025</v>
      </c>
      <c r="C2983" s="6" t="s">
        <v>1623</v>
      </c>
      <c r="D2983" s="6" t="str">
        <f>IF(OR(PROPER(TRIM(Raw_Data!D2983))="Uk",PROPER(TRIM(Raw_Data!D2983))="Gb",PROPER(TRIM(Raw_Data!D2983))="United kingdom"),"United Kingdom",PROPER(TRIM(Raw_Data!D2983)))</f>
        <v>France</v>
      </c>
      <c r="E2983" s="6" t="s">
        <v>28</v>
      </c>
      <c r="F2983" s="6" t="s">
        <v>38</v>
      </c>
      <c r="G2983" s="6" t="str">
        <f>SUBSTITUTE(Raw_Data!G2983,"Ã©","é")</f>
        <v>Alpine Jacket</v>
      </c>
      <c r="H2983" s="6">
        <v>3</v>
      </c>
      <c r="I2983" s="6" t="s">
        <v>67</v>
      </c>
      <c r="J2983" s="6" t="s">
        <v>68</v>
      </c>
      <c r="K2983" s="6">
        <v>0.52</v>
      </c>
      <c r="L2983" s="6" t="s">
        <v>42</v>
      </c>
      <c r="M2983" s="6" t="s">
        <v>34</v>
      </c>
      <c r="N2983" s="6"/>
    </row>
    <row r="2984" spans="1:14">
      <c r="A2984" s="6" t="s">
        <v>4603</v>
      </c>
      <c r="B2984" s="7">
        <v>46055</v>
      </c>
      <c r="C2984" s="6" t="s">
        <v>4129</v>
      </c>
      <c r="D2984" s="6" t="str">
        <f>IF(OR(PROPER(TRIM(Raw_Data!D2984))="Uk",PROPER(TRIM(Raw_Data!D2984))="Gb",PROPER(TRIM(Raw_Data!D2984))="United kingdom"),"United Kingdom",PROPER(TRIM(Raw_Data!D2984)))</f>
        <v>United Kingdom</v>
      </c>
      <c r="E2984" s="6" t="s">
        <v>52</v>
      </c>
      <c r="F2984" s="6" t="s">
        <v>100</v>
      </c>
      <c r="G2984" s="6" t="str">
        <f>SUBSTITUTE(Raw_Data!G2984,"Ã©","é")</f>
        <v>Café Latte Mug</v>
      </c>
      <c r="H2984" s="6">
        <v>1</v>
      </c>
      <c r="I2984" s="6" t="s">
        <v>113</v>
      </c>
      <c r="J2984" s="6" t="s">
        <v>113</v>
      </c>
      <c r="K2984" s="6">
        <v>0.64</v>
      </c>
      <c r="L2984" s="6" t="s">
        <v>33</v>
      </c>
      <c r="M2984" s="6" t="s">
        <v>34</v>
      </c>
      <c r="N2984" s="6"/>
    </row>
    <row r="2985" spans="1:14">
      <c r="A2985" s="6" t="s">
        <v>4604</v>
      </c>
      <c r="B2985" s="7">
        <v>46115</v>
      </c>
      <c r="C2985" s="6" t="s">
        <v>3355</v>
      </c>
      <c r="D2985" s="6" t="str">
        <f>IF(OR(PROPER(TRIM(Raw_Data!D2985))="Uk",PROPER(TRIM(Raw_Data!D2985))="Gb",PROPER(TRIM(Raw_Data!D2985))="United kingdom"),"United Kingdom",PROPER(TRIM(Raw_Data!D2985)))</f>
        <v>Ireland</v>
      </c>
      <c r="E2985" s="6" t="s">
        <v>28</v>
      </c>
      <c r="F2985" s="6" t="s">
        <v>29</v>
      </c>
      <c r="G2985" s="6" t="str">
        <f>SUBSTITUTE(Raw_Data!G2985,"Ã©","é")</f>
        <v>Fell Runner Cap</v>
      </c>
      <c r="H2985" s="6">
        <v>2</v>
      </c>
      <c r="I2985" s="6" t="s">
        <v>82</v>
      </c>
      <c r="J2985" s="6" t="s">
        <v>4605</v>
      </c>
      <c r="K2985" s="6">
        <v>0.52</v>
      </c>
      <c r="L2985" s="6" t="s">
        <v>42</v>
      </c>
      <c r="M2985" s="6" t="s">
        <v>34</v>
      </c>
      <c r="N2985" s="6"/>
    </row>
    <row r="2986" spans="1:14">
      <c r="A2986" s="6" t="s">
        <v>4606</v>
      </c>
      <c r="B2986" s="7">
        <v>46039</v>
      </c>
      <c r="C2986" s="6" t="s">
        <v>316</v>
      </c>
      <c r="D2986" s="6" t="str">
        <f>IF(OR(PROPER(TRIM(Raw_Data!D2986))="Uk",PROPER(TRIM(Raw_Data!D2986))="Gb",PROPER(TRIM(Raw_Data!D2986))="United kingdom"),"United Kingdom",PROPER(TRIM(Raw_Data!D2986)))</f>
        <v>United Kingdom</v>
      </c>
      <c r="E2986" s="6" t="s">
        <v>78</v>
      </c>
      <c r="F2986" s="6" t="s">
        <v>58</v>
      </c>
      <c r="G2986" s="6" t="str">
        <f>SUBSTITUTE(Raw_Data!G2986,"Ã©","é")</f>
        <v>Café Latte Mug</v>
      </c>
      <c r="H2986" s="6">
        <v>3</v>
      </c>
      <c r="I2986" s="6" t="s">
        <v>147</v>
      </c>
      <c r="J2986" s="6" t="s">
        <v>148</v>
      </c>
      <c r="K2986" s="6">
        <v>0.38</v>
      </c>
      <c r="L2986" s="6" t="s">
        <v>42</v>
      </c>
      <c r="M2986" s="6" t="s">
        <v>69</v>
      </c>
      <c r="N2986" s="6"/>
    </row>
    <row r="2987" spans="1:14">
      <c r="A2987" s="6" t="s">
        <v>4607</v>
      </c>
      <c r="B2987" s="7">
        <v>46029</v>
      </c>
      <c r="C2987" s="6" t="s">
        <v>2661</v>
      </c>
      <c r="D2987" s="6" t="str">
        <f>IF(OR(PROPER(TRIM(Raw_Data!D2987))="Uk",PROPER(TRIM(Raw_Data!D2987))="Gb",PROPER(TRIM(Raw_Data!D2987))="United kingdom"),"United Kingdom",PROPER(TRIM(Raw_Data!D2987)))</f>
        <v>United Kingdom</v>
      </c>
      <c r="E2987" s="6" t="s">
        <v>78</v>
      </c>
      <c r="F2987" s="6" t="s">
        <v>29</v>
      </c>
      <c r="G2987" s="6" t="str">
        <f>SUBSTITUTE(Raw_Data!G2987,"Ã©","é")</f>
        <v>Alpine Jacket</v>
      </c>
      <c r="H2987" s="6">
        <v>1</v>
      </c>
      <c r="I2987" s="6" t="s">
        <v>67</v>
      </c>
      <c r="J2987" s="6" t="s">
        <v>67</v>
      </c>
      <c r="K2987" s="6">
        <v>0.52</v>
      </c>
      <c r="L2987" s="6" t="s">
        <v>42</v>
      </c>
      <c r="M2987" s="6" t="s">
        <v>34</v>
      </c>
      <c r="N2987" s="6"/>
    </row>
    <row r="2988" spans="1:14">
      <c r="A2988" s="6" t="s">
        <v>4608</v>
      </c>
      <c r="B2988" s="7">
        <v>46161</v>
      </c>
      <c r="C2988" s="6" t="s">
        <v>2256</v>
      </c>
      <c r="D2988" s="6" t="str">
        <f>IF(OR(PROPER(TRIM(Raw_Data!D2988))="Uk",PROPER(TRIM(Raw_Data!D2988))="Gb",PROPER(TRIM(Raw_Data!D2988))="United kingdom"),"United Kingdom",PROPER(TRIM(Raw_Data!D2988)))</f>
        <v>Ireland</v>
      </c>
      <c r="E2988" s="6" t="s">
        <v>52</v>
      </c>
      <c r="F2988" s="6" t="s">
        <v>58</v>
      </c>
      <c r="G2988" s="6" t="str">
        <f>SUBSTITUTE(Raw_Data!G2988,"Ã©","é")</f>
        <v>Trekking Poles</v>
      </c>
      <c r="H2988" s="6">
        <v>3</v>
      </c>
      <c r="I2988" s="6" t="s">
        <v>82</v>
      </c>
      <c r="J2988" s="6" t="s">
        <v>390</v>
      </c>
      <c r="K2988" s="6">
        <v>0.38</v>
      </c>
      <c r="L2988" s="6" t="s">
        <v>42</v>
      </c>
      <c r="M2988" s="6" t="s">
        <v>69</v>
      </c>
      <c r="N2988" s="6"/>
    </row>
    <row r="2989" spans="1:14">
      <c r="A2989" s="6" t="s">
        <v>4609</v>
      </c>
      <c r="B2989" s="7">
        <v>46128</v>
      </c>
      <c r="C2989" s="6" t="s">
        <v>1850</v>
      </c>
      <c r="D2989" s="6" t="str">
        <f>IF(OR(PROPER(TRIM(Raw_Data!D2989))="Uk",PROPER(TRIM(Raw_Data!D2989))="Gb",PROPER(TRIM(Raw_Data!D2989))="United kingdom"),"United Kingdom",PROPER(TRIM(Raw_Data!D2989)))</f>
        <v>United Kingdom</v>
      </c>
      <c r="E2989" s="6" t="s">
        <v>46</v>
      </c>
      <c r="F2989" s="6" t="s">
        <v>29</v>
      </c>
      <c r="G2989" s="6" t="str">
        <f>SUBSTITUTE(Raw_Data!G2989,"Ã©","é")</f>
        <v>Merino Base Layer</v>
      </c>
      <c r="H2989" s="6">
        <v>1</v>
      </c>
      <c r="I2989" s="6" t="s">
        <v>181</v>
      </c>
      <c r="J2989" s="6" t="s">
        <v>181</v>
      </c>
      <c r="K2989" s="6">
        <v>0.52</v>
      </c>
      <c r="L2989" s="6" t="s">
        <v>42</v>
      </c>
      <c r="M2989" s="6" t="s">
        <v>69</v>
      </c>
      <c r="N2989" s="6"/>
    </row>
    <row r="2990" spans="1:14">
      <c r="A2990" s="6" t="s">
        <v>4610</v>
      </c>
      <c r="B2990" s="7">
        <v>46096</v>
      </c>
      <c r="C2990" s="6" t="s">
        <v>2822</v>
      </c>
      <c r="D2990" s="6" t="str">
        <f>IF(OR(PROPER(TRIM(Raw_Data!D2990))="Uk",PROPER(TRIM(Raw_Data!D2990))="Gb",PROPER(TRIM(Raw_Data!D2990))="United kingdom"),"United Kingdom",PROPER(TRIM(Raw_Data!D2990)))</f>
        <v>Ireland</v>
      </c>
      <c r="E2990" s="6" t="s">
        <v>52</v>
      </c>
      <c r="F2990" s="6" t="s">
        <v>100</v>
      </c>
      <c r="G2990" s="6" t="str">
        <f>SUBSTITUTE(Raw_Data!G2990,"Ã©","é")</f>
        <v>Fell Runner Cap</v>
      </c>
      <c r="H2990" s="6">
        <v>1</v>
      </c>
      <c r="I2990" s="6" t="s">
        <v>31</v>
      </c>
      <c r="J2990" s="6" t="s">
        <v>31</v>
      </c>
      <c r="K2990" s="6">
        <v>0.64</v>
      </c>
      <c r="L2990" s="6" t="s">
        <v>33</v>
      </c>
      <c r="M2990" s="6" t="s">
        <v>34</v>
      </c>
      <c r="N2990" s="6"/>
    </row>
    <row r="2991" spans="1:14">
      <c r="A2991" s="6" t="s">
        <v>4611</v>
      </c>
      <c r="B2991" s="7">
        <v>46158</v>
      </c>
      <c r="C2991" s="6" t="s">
        <v>666</v>
      </c>
      <c r="D2991" s="6" t="str">
        <f>IF(OR(PROPER(TRIM(Raw_Data!D2991))="Uk",PROPER(TRIM(Raw_Data!D2991))="Gb",PROPER(TRIM(Raw_Data!D2991))="United kingdom"),"United Kingdom",PROPER(TRIM(Raw_Data!D2991)))</f>
        <v>United Kingdom</v>
      </c>
      <c r="E2991" s="6" t="s">
        <v>28</v>
      </c>
      <c r="F2991" s="6" t="s">
        <v>85</v>
      </c>
      <c r="G2991" s="6" t="str">
        <f>SUBSTITUTE(Raw_Data!G2991,"Ã©","é")</f>
        <v>Trekking Poles</v>
      </c>
      <c r="H2991" s="6">
        <v>1</v>
      </c>
      <c r="I2991" s="6" t="s">
        <v>490</v>
      </c>
      <c r="J2991" s="6" t="s">
        <v>82</v>
      </c>
      <c r="K2991" s="6">
        <v>0.41</v>
      </c>
      <c r="L2991" s="6" t="s">
        <v>42</v>
      </c>
      <c r="M2991" s="6" t="s">
        <v>34</v>
      </c>
      <c r="N2991" s="6"/>
    </row>
    <row r="2992" spans="1:14">
      <c r="A2992" s="6" t="s">
        <v>4612</v>
      </c>
      <c r="B2992" s="7">
        <v>46037</v>
      </c>
      <c r="C2992" s="6" t="s">
        <v>1962</v>
      </c>
      <c r="D2992" s="6" t="str">
        <f>IF(OR(PROPER(TRIM(Raw_Data!D2992))="Uk",PROPER(TRIM(Raw_Data!D2992))="Gb",PROPER(TRIM(Raw_Data!D2992))="United kingdom"),"United Kingdom",PROPER(TRIM(Raw_Data!D2992)))</f>
        <v>Germany</v>
      </c>
      <c r="E2992" s="6" t="s">
        <v>46</v>
      </c>
      <c r="F2992" s="6" t="s">
        <v>94</v>
      </c>
      <c r="G2992" s="6" t="str">
        <f>SUBSTITUTE(Raw_Data!G2992,"Ã©","é")</f>
        <v>Merino Base Layer</v>
      </c>
      <c r="H2992" s="6">
        <v>2</v>
      </c>
      <c r="I2992" s="6" t="s">
        <v>31</v>
      </c>
      <c r="J2992" s="6" t="s">
        <v>249</v>
      </c>
      <c r="K2992" s="6">
        <v>0.34</v>
      </c>
      <c r="L2992" s="6" t="s">
        <v>42</v>
      </c>
      <c r="M2992" s="6" t="s">
        <v>69</v>
      </c>
      <c r="N2992" s="6"/>
    </row>
    <row r="2993" spans="1:14">
      <c r="A2993" s="6" t="s">
        <v>4613</v>
      </c>
      <c r="B2993" s="7">
        <v>46049</v>
      </c>
      <c r="C2993" s="6" t="s">
        <v>1644</v>
      </c>
      <c r="D2993" s="6" t="str">
        <f>IF(OR(PROPER(TRIM(Raw_Data!D2993))="Uk",PROPER(TRIM(Raw_Data!D2993))="Gb",PROPER(TRIM(Raw_Data!D2993))="United kingdom"),"United Kingdom",PROPER(TRIM(Raw_Data!D2993)))</f>
        <v>France</v>
      </c>
      <c r="E2993" s="6" t="s">
        <v>78</v>
      </c>
      <c r="F2993" s="6" t="s">
        <v>85</v>
      </c>
      <c r="G2993" s="6" t="str">
        <f>SUBSTITUTE(Raw_Data!G2993,"Ã©","é")</f>
        <v>Trekking Poles</v>
      </c>
      <c r="H2993" s="6">
        <v>1</v>
      </c>
      <c r="I2993" s="6" t="s">
        <v>231</v>
      </c>
      <c r="J2993" s="6" t="s">
        <v>231</v>
      </c>
      <c r="K2993" s="6">
        <v>0.41</v>
      </c>
      <c r="L2993" s="6" t="s">
        <v>42</v>
      </c>
      <c r="M2993" s="6" t="s">
        <v>34</v>
      </c>
      <c r="N2993" s="6"/>
    </row>
    <row r="2994" spans="1:14">
      <c r="A2994" s="6" t="s">
        <v>4614</v>
      </c>
      <c r="B2994" s="7">
        <v>46029</v>
      </c>
      <c r="C2994" s="6" t="s">
        <v>2121</v>
      </c>
      <c r="D2994" s="6" t="str">
        <f>IF(OR(PROPER(TRIM(Raw_Data!D2994))="Uk",PROPER(TRIM(Raw_Data!D2994))="Gb",PROPER(TRIM(Raw_Data!D2994))="United kingdom"),"United Kingdom",PROPER(TRIM(Raw_Data!D2994)))</f>
        <v>Ireland</v>
      </c>
      <c r="E2994" s="6" t="s">
        <v>52</v>
      </c>
      <c r="F2994" s="6" t="s">
        <v>47</v>
      </c>
      <c r="G2994" s="6" t="str">
        <f>SUBSTITUTE(Raw_Data!G2994,"Ã©","é")</f>
        <v>Summit Down Gilet</v>
      </c>
      <c r="H2994" s="6">
        <v>1</v>
      </c>
      <c r="I2994" s="6" t="s">
        <v>31</v>
      </c>
      <c r="J2994" s="6" t="s">
        <v>31</v>
      </c>
      <c r="K2994" s="6">
        <v>8.5000000000000006E-2</v>
      </c>
      <c r="L2994" s="6" t="s">
        <v>33</v>
      </c>
      <c r="M2994" s="6" t="s">
        <v>34</v>
      </c>
      <c r="N2994" s="6"/>
    </row>
    <row r="2995" spans="1:14">
      <c r="A2995" s="6" t="s">
        <v>4615</v>
      </c>
      <c r="B2995" s="7">
        <v>46357</v>
      </c>
      <c r="C2995" s="6" t="s">
        <v>3787</v>
      </c>
      <c r="D2995" s="6" t="str">
        <f>IF(OR(PROPER(TRIM(Raw_Data!D2995))="Uk",PROPER(TRIM(Raw_Data!D2995))="Gb",PROPER(TRIM(Raw_Data!D2995))="United kingdom"),"United Kingdom",PROPER(TRIM(Raw_Data!D2995)))</f>
        <v>Ireland</v>
      </c>
      <c r="E2995" s="6" t="s">
        <v>78</v>
      </c>
      <c r="F2995" s="6" t="s">
        <v>94</v>
      </c>
      <c r="G2995" s="6" t="str">
        <f>SUBSTITUTE(Raw_Data!G2995,"Ã©","é")</f>
        <v>Café Latte Mug</v>
      </c>
      <c r="H2995" s="6">
        <v>1</v>
      </c>
      <c r="I2995" s="6" t="s">
        <v>265</v>
      </c>
      <c r="J2995" s="6" t="s">
        <v>265</v>
      </c>
      <c r="K2995" s="6">
        <v>0.34</v>
      </c>
      <c r="L2995" s="6" t="s">
        <v>33</v>
      </c>
      <c r="M2995" s="6" t="s">
        <v>69</v>
      </c>
      <c r="N2995" s="6"/>
    </row>
    <row r="2996" spans="1:14">
      <c r="A2996" s="6" t="s">
        <v>4616</v>
      </c>
      <c r="B2996" s="7">
        <v>46037</v>
      </c>
      <c r="C2996" s="6" t="s">
        <v>4617</v>
      </c>
      <c r="D2996" s="6" t="str">
        <f>IF(OR(PROPER(TRIM(Raw_Data!D2996))="Uk",PROPER(TRIM(Raw_Data!D2996))="Gb",PROPER(TRIM(Raw_Data!D2996))="United kingdom"),"United Kingdom",PROPER(TRIM(Raw_Data!D2996)))</f>
        <v>Ireland</v>
      </c>
      <c r="E2996" s="6" t="s">
        <v>78</v>
      </c>
      <c r="F2996" s="6" t="s">
        <v>58</v>
      </c>
      <c r="G2996" s="6" t="str">
        <f>SUBSTITUTE(Raw_Data!G2996,"Ã©","é")</f>
        <v>Café Latte Mug</v>
      </c>
      <c r="H2996" s="6">
        <v>3</v>
      </c>
      <c r="I2996" s="6" t="s">
        <v>231</v>
      </c>
      <c r="J2996" s="6" t="s">
        <v>505</v>
      </c>
      <c r="K2996" s="6">
        <v>0.38</v>
      </c>
      <c r="L2996" s="6" t="s">
        <v>42</v>
      </c>
      <c r="M2996" s="6" t="s">
        <v>34</v>
      </c>
      <c r="N2996" s="6"/>
    </row>
    <row r="2997" spans="1:14">
      <c r="A2997" s="6" t="s">
        <v>4618</v>
      </c>
      <c r="B2997" s="7">
        <v>46095</v>
      </c>
      <c r="C2997" s="6" t="s">
        <v>2130</v>
      </c>
      <c r="D2997" s="6" t="str">
        <f>IF(OR(PROPER(TRIM(Raw_Data!D2997))="Uk",PROPER(TRIM(Raw_Data!D2997))="Gb",PROPER(TRIM(Raw_Data!D2997))="United kingdom"),"United Kingdom",PROPER(TRIM(Raw_Data!D2997)))</f>
        <v>United Kingdom</v>
      </c>
      <c r="E2997" s="6" t="s">
        <v>78</v>
      </c>
      <c r="F2997" s="6" t="s">
        <v>94</v>
      </c>
      <c r="G2997" s="6" t="str">
        <f>SUBSTITUTE(Raw_Data!G2997,"Ã©","é")</f>
        <v>Trail Softshell</v>
      </c>
      <c r="H2997" s="6">
        <v>2</v>
      </c>
      <c r="I2997" s="6" t="s">
        <v>73</v>
      </c>
      <c r="J2997" s="6" t="s">
        <v>74</v>
      </c>
      <c r="K2997" s="6">
        <v>0.34</v>
      </c>
      <c r="L2997" s="6" t="s">
        <v>42</v>
      </c>
      <c r="M2997" s="6" t="s">
        <v>34</v>
      </c>
      <c r="N2997" s="6"/>
    </row>
    <row r="2998" spans="1:14">
      <c r="A2998" s="6" t="s">
        <v>4619</v>
      </c>
      <c r="B2998" s="7">
        <v>46130</v>
      </c>
      <c r="C2998" s="6" t="s">
        <v>2625</v>
      </c>
      <c r="D2998" s="6" t="str">
        <f>IF(OR(PROPER(TRIM(Raw_Data!D2998))="Uk",PROPER(TRIM(Raw_Data!D2998))="Gb",PROPER(TRIM(Raw_Data!D2998))="United kingdom"),"United Kingdom",PROPER(TRIM(Raw_Data!D2998)))</f>
        <v>France</v>
      </c>
      <c r="E2998" s="6" t="s">
        <v>37</v>
      </c>
      <c r="F2998" s="6" t="s">
        <v>29</v>
      </c>
      <c r="G2998" s="6" t="str">
        <f>SUBSTITUTE(Raw_Data!G2998,"Ã©","é")</f>
        <v>Café Latte Mug</v>
      </c>
      <c r="H2998" s="6">
        <v>3</v>
      </c>
      <c r="I2998" s="6" t="s">
        <v>31</v>
      </c>
      <c r="J2998" s="6" t="s">
        <v>4369</v>
      </c>
      <c r="K2998" s="6">
        <v>0.52</v>
      </c>
      <c r="L2998" s="6" t="s">
        <v>42</v>
      </c>
      <c r="M2998" s="6" t="s">
        <v>34</v>
      </c>
      <c r="N2998" s="6"/>
    </row>
    <row r="2999" spans="1:14">
      <c r="A2999" s="6" t="s">
        <v>4620</v>
      </c>
      <c r="B2999" s="7">
        <v>46131</v>
      </c>
      <c r="C2999" s="6" t="s">
        <v>739</v>
      </c>
      <c r="D2999" s="6" t="str">
        <f>IF(OR(PROPER(TRIM(Raw_Data!D2999))="Uk",PROPER(TRIM(Raw_Data!D2999))="Gb",PROPER(TRIM(Raw_Data!D2999))="United kingdom"),"United Kingdom",PROPER(TRIM(Raw_Data!D2999)))</f>
        <v>United Kingdom</v>
      </c>
      <c r="E2999" s="6" t="s">
        <v>78</v>
      </c>
      <c r="F2999" s="6" t="s">
        <v>58</v>
      </c>
      <c r="G2999" s="6" t="str">
        <f>SUBSTITUTE(Raw_Data!G2999,"Ã©","é")</f>
        <v>Trail Softshell</v>
      </c>
      <c r="H2999" s="6">
        <v>2</v>
      </c>
      <c r="I2999" s="6" t="s">
        <v>31</v>
      </c>
      <c r="J2999" s="6" t="s">
        <v>2514</v>
      </c>
      <c r="K2999" s="6">
        <v>0.38</v>
      </c>
      <c r="L2999" s="6" t="s">
        <v>33</v>
      </c>
      <c r="M2999" s="6" t="s">
        <v>34</v>
      </c>
      <c r="N2999" s="6"/>
    </row>
    <row r="3000" spans="1:14">
      <c r="A3000" s="6" t="s">
        <v>4621</v>
      </c>
      <c r="B3000" s="7">
        <v>46176</v>
      </c>
      <c r="C3000" s="6" t="s">
        <v>3394</v>
      </c>
      <c r="D3000" s="6" t="str">
        <f>IF(OR(PROPER(TRIM(Raw_Data!D3000))="Uk",PROPER(TRIM(Raw_Data!D3000))="Gb",PROPER(TRIM(Raw_Data!D3000))="United kingdom"),"United Kingdom",PROPER(TRIM(Raw_Data!D3000)))</f>
        <v>Ireland</v>
      </c>
      <c r="E3000" s="6" t="s">
        <v>52</v>
      </c>
      <c r="F3000" s="6" t="s">
        <v>85</v>
      </c>
      <c r="G3000" s="6" t="str">
        <f>SUBSTITUTE(Raw_Data!G3000,"Ã©","é")</f>
        <v>Storm Overtrousers</v>
      </c>
      <c r="H3000" s="6">
        <v>1</v>
      </c>
      <c r="I3000" s="6" t="s">
        <v>79</v>
      </c>
      <c r="J3000" s="6" t="s">
        <v>370</v>
      </c>
      <c r="K3000" s="6">
        <v>0.41</v>
      </c>
      <c r="L3000" s="6" t="s">
        <v>33</v>
      </c>
      <c r="M3000" s="6" t="s">
        <v>69</v>
      </c>
      <c r="N3000" s="6"/>
    </row>
    <row r="3001" spans="1:14">
      <c r="A3001" s="6" t="s">
        <v>4622</v>
      </c>
      <c r="B3001" s="7">
        <v>46073</v>
      </c>
      <c r="C3001" s="6" t="s">
        <v>2233</v>
      </c>
      <c r="D3001" s="6" t="str">
        <f>IF(OR(PROPER(TRIM(Raw_Data!D3001))="Uk",PROPER(TRIM(Raw_Data!D3001))="Gb",PROPER(TRIM(Raw_Data!D3001))="United kingdom"),"United Kingdom",PROPER(TRIM(Raw_Data!D3001)))</f>
        <v>Ireland</v>
      </c>
      <c r="E3001" s="6" t="s">
        <v>28</v>
      </c>
      <c r="F3001" s="6" t="s">
        <v>29</v>
      </c>
      <c r="G3001" s="6" t="str">
        <f>SUBSTITUTE(Raw_Data!G3001,"Ã©","é")</f>
        <v>Trail Softshell</v>
      </c>
      <c r="H3001" s="6">
        <v>2</v>
      </c>
      <c r="I3001" s="6" t="s">
        <v>90</v>
      </c>
      <c r="J3001" s="6" t="s">
        <v>154</v>
      </c>
      <c r="K3001" s="6">
        <v>0.52</v>
      </c>
      <c r="L3001" s="6" t="s">
        <v>42</v>
      </c>
      <c r="M3001" s="6" t="s">
        <v>34</v>
      </c>
      <c r="N3001" s="6"/>
    </row>
    <row r="3002" spans="1:14">
      <c r="B3002"/>
    </row>
    <row r="3003" spans="1:14">
      <c r="B3003"/>
    </row>
    <row r="3004" spans="1:14">
      <c r="B3004"/>
    </row>
    <row r="3005" spans="1:14">
      <c r="B3005"/>
    </row>
    <row r="3006" spans="1:14">
      <c r="B3006"/>
    </row>
    <row r="3007" spans="1:14">
      <c r="B3007"/>
    </row>
    <row r="3008" spans="1:14">
      <c r="B3008"/>
    </row>
    <row r="3009" spans="2:2">
      <c r="B3009"/>
    </row>
    <row r="3010" spans="2:2">
      <c r="B3010"/>
    </row>
    <row r="3011" spans="2:2">
      <c r="B3011"/>
    </row>
    <row r="3012" spans="2:2">
      <c r="B3012"/>
    </row>
    <row r="3013" spans="2:2">
      <c r="B3013"/>
    </row>
    <row r="3014" spans="2:2">
      <c r="B3014"/>
    </row>
    <row r="3015" spans="2:2">
      <c r="B3015"/>
    </row>
    <row r="3016" spans="2:2">
      <c r="B3016"/>
    </row>
    <row r="3017" spans="2:2">
      <c r="B3017"/>
    </row>
    <row r="3018" spans="2:2">
      <c r="B3018"/>
    </row>
    <row r="3019" spans="2:2">
      <c r="B3019"/>
    </row>
    <row r="3020" spans="2:2">
      <c r="B3020"/>
    </row>
    <row r="3021" spans="2:2">
      <c r="B3021"/>
    </row>
    <row r="3022" spans="2:2">
      <c r="B3022"/>
    </row>
    <row r="3023" spans="2:2">
      <c r="B3023"/>
    </row>
    <row r="3024" spans="2:2">
      <c r="B3024"/>
    </row>
    <row r="3025" spans="2:2">
      <c r="B3025"/>
    </row>
    <row r="3026" spans="2:2">
      <c r="B3026"/>
    </row>
    <row r="3027" spans="2:2">
      <c r="B3027"/>
    </row>
    <row r="3028" spans="2:2">
      <c r="B3028"/>
    </row>
    <row r="3029" spans="2:2">
      <c r="B3029"/>
    </row>
    <row r="3030" spans="2:2">
      <c r="B3030"/>
    </row>
    <row r="3031" spans="2:2">
      <c r="B3031"/>
    </row>
    <row r="3032" spans="2:2">
      <c r="B3032"/>
    </row>
    <row r="3033" spans="2:2">
      <c r="B3033"/>
    </row>
    <row r="3034" spans="2:2">
      <c r="B3034"/>
    </row>
    <row r="3035" spans="2:2">
      <c r="B3035"/>
    </row>
    <row r="3036" spans="2:2">
      <c r="B3036"/>
    </row>
    <row r="3037" spans="2:2">
      <c r="B3037"/>
    </row>
    <row r="3038" spans="2:2">
      <c r="B3038"/>
    </row>
    <row r="3039" spans="2:2">
      <c r="B3039"/>
    </row>
    <row r="3040" spans="2:2">
      <c r="B3040"/>
    </row>
    <row r="3041" spans="2:2">
      <c r="B3041"/>
    </row>
    <row r="3042" spans="2:2">
      <c r="B3042"/>
    </row>
    <row r="3043" spans="2:2">
      <c r="B3043"/>
    </row>
    <row r="3044" spans="2:2">
      <c r="B3044"/>
    </row>
    <row r="3045" spans="2:2">
      <c r="B3045"/>
    </row>
    <row r="3046" spans="2:2">
      <c r="B3046"/>
    </row>
    <row r="3047" spans="2:2">
      <c r="B3047"/>
    </row>
    <row r="3048" spans="2:2">
      <c r="B3048"/>
    </row>
    <row r="3049" spans="2:2"/>
    <row r="3050" spans="2:2"/>
    <row r="3051" spans="2:2"/>
    <row r="3052" spans="2:2"/>
    <row r="3053" spans="2:2"/>
    <row r="3054" spans="2:2"/>
    <row r="3055" spans="2:2"/>
    <row r="3056" spans="2:2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</sheetData>
  <dataConsolidate/>
  <hyperlinks>
    <hyperlink ref="C12" r:id="rId1" xr:uid="{535F0203-9CB7-410A-A2CD-07DE48C212A6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2026-09-14T15:30:34Z</dcterms:created>
  <dcterms:modified xsi:type="dcterms:W3CDTF">2026-09-16T21:37:31Z</dcterms:modified>
  <cp:category/>
  <cp:contentStatus/>
</cp:coreProperties>
</file>