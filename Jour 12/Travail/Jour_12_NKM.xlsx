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33875859-8975-4C6A-983E-3D0E0BDCFAED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atique_XLOOKUP" sheetId="1" r:id="rId1"/>
    <sheet name="Etudiants" sheetId="3" r:id="rId2"/>
    <sheet name="Recherch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B3" i="2"/>
  <c r="B11" i="2"/>
  <c r="B10" i="2"/>
  <c r="B9" i="2"/>
  <c r="B7" i="2"/>
  <c r="B6" i="2"/>
  <c r="B5" i="2"/>
  <c r="B4" i="2"/>
  <c r="B8" i="2"/>
  <c r="B21" i="1"/>
  <c r="H13" i="1"/>
  <c r="H8" i="1" a="1"/>
  <c r="H8" i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<sst xmlns="http://schemas.openxmlformats.org/spreadsheetml/2006/main" count="974" uniqueCount="592">
  <si>
    <t>ID</t>
  </si>
  <si>
    <t>Nom</t>
  </si>
  <si>
    <t>Filière</t>
  </si>
  <si>
    <t>Math</t>
  </si>
  <si>
    <t>Python</t>
  </si>
  <si>
    <t>Exercice 1 — Première recherche</t>
  </si>
  <si>
    <t>ST001</t>
  </si>
  <si>
    <t>Awa Ndiaye</t>
  </si>
  <si>
    <t>Data</t>
  </si>
  <si>
    <t xml:space="preserve">ID recherché : </t>
  </si>
  <si>
    <t>ST002</t>
  </si>
  <si>
    <t>Mamadou Diop</t>
  </si>
  <si>
    <t>Développement</t>
  </si>
  <si>
    <t>Nom recherché</t>
  </si>
  <si>
    <t>ST003</t>
  </si>
  <si>
    <t>Fatou Fall</t>
  </si>
  <si>
    <t>IA</t>
  </si>
  <si>
    <t>ST004</t>
  </si>
  <si>
    <t>Cheikh Ba</t>
  </si>
  <si>
    <t>Exercice 2 — Changer la valeur retournée</t>
  </si>
  <si>
    <t>ST005</t>
  </si>
  <si>
    <t>Mariama Sow</t>
  </si>
  <si>
    <t>Cybersécurité</t>
  </si>
  <si>
    <t>Recherche</t>
  </si>
  <si>
    <t>Exercice 3 — Valeur inexistante</t>
  </si>
  <si>
    <t>ST999</t>
  </si>
  <si>
    <t>Exercice 4 — Recherche vers la gauche</t>
  </si>
  <si>
    <t>Nom trouvé:</t>
  </si>
  <si>
    <t>Sexe</t>
  </si>
  <si>
    <t>Ville</t>
  </si>
  <si>
    <t>Filiere</t>
  </si>
  <si>
    <t>Excel</t>
  </si>
  <si>
    <t>Statistiques</t>
  </si>
  <si>
    <t>Presence</t>
  </si>
  <si>
    <t>Awa Camara</t>
  </si>
  <si>
    <t>F</t>
  </si>
  <si>
    <t>Ziguinchor</t>
  </si>
  <si>
    <t>Dev</t>
  </si>
  <si>
    <t>6,79</t>
  </si>
  <si>
    <t>16,05</t>
  </si>
  <si>
    <t>13,53</t>
  </si>
  <si>
    <t>18,38</t>
  </si>
  <si>
    <t>Ibrahima Ndiaye</t>
  </si>
  <si>
    <t>M</t>
  </si>
  <si>
    <t>Thies</t>
  </si>
  <si>
    <t>6,96</t>
  </si>
  <si>
    <t>14,03</t>
  </si>
  <si>
    <t>11,22</t>
  </si>
  <si>
    <t>15,74</t>
  </si>
  <si>
    <t>Alioune Sy</t>
  </si>
  <si>
    <t>Louga</t>
  </si>
  <si>
    <t>16,76</t>
  </si>
  <si>
    <t>5,1</t>
  </si>
  <si>
    <t>16,12</t>
  </si>
  <si>
    <t>15,47</t>
  </si>
  <si>
    <t>Aminata Diouf</t>
  </si>
  <si>
    <t>Touba</t>
  </si>
  <si>
    <t>4,58</t>
  </si>
  <si>
    <t>6,45</t>
  </si>
  <si>
    <t>16,95</t>
  </si>
  <si>
    <t>14,06</t>
  </si>
  <si>
    <t>Malick Sow</t>
  </si>
  <si>
    <t>Rufisque</t>
  </si>
  <si>
    <t>12,38</t>
  </si>
  <si>
    <t>17,44</t>
  </si>
  <si>
    <t>12,37</t>
  </si>
  <si>
    <t>17,93</t>
  </si>
  <si>
    <t>ST006</t>
  </si>
  <si>
    <t>Fatou Sene</t>
  </si>
  <si>
    <t>Kaolack</t>
  </si>
  <si>
    <t>19,75</t>
  </si>
  <si>
    <t>17,83</t>
  </si>
  <si>
    <t>17,33</t>
  </si>
  <si>
    <t>10,7</t>
  </si>
  <si>
    <t>ST007</t>
  </si>
  <si>
    <t>Cheikh Thiam</t>
  </si>
  <si>
    <t>14,39</t>
  </si>
  <si>
    <t>15,53</t>
  </si>
  <si>
    <t>13,67</t>
  </si>
  <si>
    <t>6,07</t>
  </si>
  <si>
    <t>ST008</t>
  </si>
  <si>
    <t>Ndeye Sy</t>
  </si>
  <si>
    <t>19,82</t>
  </si>
  <si>
    <t>14,6</t>
  </si>
  <si>
    <t>11,14</t>
  </si>
  <si>
    <t>15,27</t>
  </si>
  <si>
    <t>ST009</t>
  </si>
  <si>
    <t>Coumba Diop</t>
  </si>
  <si>
    <t>Cybersecurite</t>
  </si>
  <si>
    <t>7,55</t>
  </si>
  <si>
    <t>8,16</t>
  </si>
  <si>
    <t>18,86</t>
  </si>
  <si>
    <t>18,15</t>
  </si>
  <si>
    <t>ST010</t>
  </si>
  <si>
    <t>El Hadji Sagna</t>
  </si>
  <si>
    <t>Mbour</t>
  </si>
  <si>
    <t>7,5</t>
  </si>
  <si>
    <t>8,7</t>
  </si>
  <si>
    <t>11,23</t>
  </si>
  <si>
    <t>8,94</t>
  </si>
  <si>
    <t>ST011</t>
  </si>
  <si>
    <t>Souleymane Cisse</t>
  </si>
  <si>
    <t>Saint-Louis</t>
  </si>
  <si>
    <t>4,55</t>
  </si>
  <si>
    <t>5,71</t>
  </si>
  <si>
    <t>2,19</t>
  </si>
  <si>
    <t>14,41</t>
  </si>
  <si>
    <t>ST012</t>
  </si>
  <si>
    <t>Assane Fall</t>
  </si>
  <si>
    <t>13,13</t>
  </si>
  <si>
    <t>12,02</t>
  </si>
  <si>
    <t>5,03</t>
  </si>
  <si>
    <t>13,3</t>
  </si>
  <si>
    <t>ST013</t>
  </si>
  <si>
    <t>Yacine Diouf</t>
  </si>
  <si>
    <t>4,9</t>
  </si>
  <si>
    <t>11,52</t>
  </si>
  <si>
    <t>9,07</t>
  </si>
  <si>
    <t>19,31</t>
  </si>
  <si>
    <t>ST014</t>
  </si>
  <si>
    <t>Youssou Diouf</t>
  </si>
  <si>
    <t>17,8</t>
  </si>
  <si>
    <t>9,48</t>
  </si>
  <si>
    <t>12,78</t>
  </si>
  <si>
    <t>14,13</t>
  </si>
  <si>
    <t>ST015</t>
  </si>
  <si>
    <t>Diourbel</t>
  </si>
  <si>
    <t>13,18</t>
  </si>
  <si>
    <t>12,33</t>
  </si>
  <si>
    <t>2,24</t>
  </si>
  <si>
    <t>10,44</t>
  </si>
  <si>
    <t>ST016</t>
  </si>
  <si>
    <t>Alioune Diop</t>
  </si>
  <si>
    <t>4,46</t>
  </si>
  <si>
    <t>12,29</t>
  </si>
  <si>
    <t>1,38</t>
  </si>
  <si>
    <t>16,41</t>
  </si>
  <si>
    <t>ST017</t>
  </si>
  <si>
    <t>Adama Diatta</t>
  </si>
  <si>
    <t>11,97</t>
  </si>
  <si>
    <t>14,1</t>
  </si>
  <si>
    <t>19,29</t>
  </si>
  <si>
    <t>18,93</t>
  </si>
  <si>
    <t>ST018</t>
  </si>
  <si>
    <t>Bineta Ndoye</t>
  </si>
  <si>
    <t>18,29</t>
  </si>
  <si>
    <t>11,77</t>
  </si>
  <si>
    <t>4,96</t>
  </si>
  <si>
    <t>5,96</t>
  </si>
  <si>
    <t>ST019</t>
  </si>
  <si>
    <t>Seynabou Cisse</t>
  </si>
  <si>
    <t>Dakar</t>
  </si>
  <si>
    <t>15,03</t>
  </si>
  <si>
    <t>5,88</t>
  </si>
  <si>
    <t>1,35</t>
  </si>
  <si>
    <t>5,47</t>
  </si>
  <si>
    <t>ST020</t>
  </si>
  <si>
    <t>Astou Sene</t>
  </si>
  <si>
    <t>12,17</t>
  </si>
  <si>
    <t>15,85</t>
  </si>
  <si>
    <t>17,65</t>
  </si>
  <si>
    <t>13,64</t>
  </si>
  <si>
    <t>ST021</t>
  </si>
  <si>
    <t>Pape Diallo</t>
  </si>
  <si>
    <t>14,2</t>
  </si>
  <si>
    <t>10,31</t>
  </si>
  <si>
    <t>8,22</t>
  </si>
  <si>
    <t>17,96</t>
  </si>
  <si>
    <t>ST022</t>
  </si>
  <si>
    <t>Fatou Ndoye</t>
  </si>
  <si>
    <t>7,23</t>
  </si>
  <si>
    <t>7,85</t>
  </si>
  <si>
    <t>8,97</t>
  </si>
  <si>
    <t>11,33</t>
  </si>
  <si>
    <t>ST023</t>
  </si>
  <si>
    <t>Aissatou Sy</t>
  </si>
  <si>
    <t>3,86</t>
  </si>
  <si>
    <t>19,99</t>
  </si>
  <si>
    <t>16,72</t>
  </si>
  <si>
    <t>19,53</t>
  </si>
  <si>
    <t>ST024</t>
  </si>
  <si>
    <t>Ndeye Kane</t>
  </si>
  <si>
    <t>6,63</t>
  </si>
  <si>
    <t>11,02</t>
  </si>
  <si>
    <t>1,17</t>
  </si>
  <si>
    <t>10,68</t>
  </si>
  <si>
    <t>ST025</t>
  </si>
  <si>
    <t>Amadou Sarr</t>
  </si>
  <si>
    <t>5,63</t>
  </si>
  <si>
    <t>9,45</t>
  </si>
  <si>
    <t>19,37</t>
  </si>
  <si>
    <t>13,69</t>
  </si>
  <si>
    <t>ST026</t>
  </si>
  <si>
    <t>Ibrahima Diop</t>
  </si>
  <si>
    <t>11,55</t>
  </si>
  <si>
    <t>17,79</t>
  </si>
  <si>
    <t>3,15</t>
  </si>
  <si>
    <t>19,41</t>
  </si>
  <si>
    <t>ST027</t>
  </si>
  <si>
    <t>Aissatou Wade</t>
  </si>
  <si>
    <t>9,86</t>
  </si>
  <si>
    <t>19,12</t>
  </si>
  <si>
    <t>11,39</t>
  </si>
  <si>
    <t>13,68</t>
  </si>
  <si>
    <t>ST028</t>
  </si>
  <si>
    <t>Dieynaba Sene</t>
  </si>
  <si>
    <t>18,89</t>
  </si>
  <si>
    <t>8,06</t>
  </si>
  <si>
    <t>14,32</t>
  </si>
  <si>
    <t>8,58</t>
  </si>
  <si>
    <t>ST029</t>
  </si>
  <si>
    <t>Amadou Diagne</t>
  </si>
  <si>
    <t>10,79</t>
  </si>
  <si>
    <t>19,98</t>
  </si>
  <si>
    <t>19,92</t>
  </si>
  <si>
    <t>6,1</t>
  </si>
  <si>
    <t>ST030</t>
  </si>
  <si>
    <t>Abdoulaye Thiam</t>
  </si>
  <si>
    <t>9,28</t>
  </si>
  <si>
    <t>7,37</t>
  </si>
  <si>
    <t>16,67</t>
  </si>
  <si>
    <t>15,55</t>
  </si>
  <si>
    <t>ST031</t>
  </si>
  <si>
    <t>Yacine Sarr</t>
  </si>
  <si>
    <t>18,35</t>
  </si>
  <si>
    <t>14,85</t>
  </si>
  <si>
    <t>7,33</t>
  </si>
  <si>
    <t>ST032</t>
  </si>
  <si>
    <t>Rokhaya Diallo</t>
  </si>
  <si>
    <t>7,27</t>
  </si>
  <si>
    <t>18,62</t>
  </si>
  <si>
    <t>1,02</t>
  </si>
  <si>
    <t>14,51</t>
  </si>
  <si>
    <t>ST033</t>
  </si>
  <si>
    <t>Awa Diagne</t>
  </si>
  <si>
    <t>5,75</t>
  </si>
  <si>
    <t>11,63</t>
  </si>
  <si>
    <t>14,11</t>
  </si>
  <si>
    <t>13,41</t>
  </si>
  <si>
    <t>ST034</t>
  </si>
  <si>
    <t>Yacine Diop</t>
  </si>
  <si>
    <t>7,29</t>
  </si>
  <si>
    <t>ST035</t>
  </si>
  <si>
    <t>Sokhna Diallo</t>
  </si>
  <si>
    <t>9,01</t>
  </si>
  <si>
    <t>13,4</t>
  </si>
  <si>
    <t>17,49</t>
  </si>
  <si>
    <t>19,61</t>
  </si>
  <si>
    <t>ST036</t>
  </si>
  <si>
    <t>Ndeye Gueye</t>
  </si>
  <si>
    <t>6,05</t>
  </si>
  <si>
    <t>18,87</t>
  </si>
  <si>
    <t>15,65</t>
  </si>
  <si>
    <t>11,18</t>
  </si>
  <si>
    <t>ST037</t>
  </si>
  <si>
    <t>Astou Gueye</t>
  </si>
  <si>
    <t>17,88</t>
  </si>
  <si>
    <t>4,45</t>
  </si>
  <si>
    <t>17,25</t>
  </si>
  <si>
    <t>ST038</t>
  </si>
  <si>
    <t>Alioune Cisse</t>
  </si>
  <si>
    <t>9,77</t>
  </si>
  <si>
    <t>9,18</t>
  </si>
  <si>
    <t>1,39</t>
  </si>
  <si>
    <t>16,6</t>
  </si>
  <si>
    <t>ST039</t>
  </si>
  <si>
    <t>Malick Diagne</t>
  </si>
  <si>
    <t>17,91</t>
  </si>
  <si>
    <t>8,92</t>
  </si>
  <si>
    <t>11,61</t>
  </si>
  <si>
    <t>ST040</t>
  </si>
  <si>
    <t>Souleymane Camara</t>
  </si>
  <si>
    <t>13,31</t>
  </si>
  <si>
    <t>12,67</t>
  </si>
  <si>
    <t>7,7</t>
  </si>
  <si>
    <t>13,65</t>
  </si>
  <si>
    <t>ST041</t>
  </si>
  <si>
    <t>Mamadou Toure</t>
  </si>
  <si>
    <t>9,19</t>
  </si>
  <si>
    <t>13,28</t>
  </si>
  <si>
    <t>9,95</t>
  </si>
  <si>
    <t>ST042</t>
  </si>
  <si>
    <t>Bineta Toure</t>
  </si>
  <si>
    <t>8,55</t>
  </si>
  <si>
    <t>15,46</t>
  </si>
  <si>
    <t>11,09</t>
  </si>
  <si>
    <t>7,88</t>
  </si>
  <si>
    <t>ST043</t>
  </si>
  <si>
    <t>Cheikh Wade</t>
  </si>
  <si>
    <t>9,9</t>
  </si>
  <si>
    <t>17,51</t>
  </si>
  <si>
    <t>6,08</t>
  </si>
  <si>
    <t>8,15</t>
  </si>
  <si>
    <t>ST044</t>
  </si>
  <si>
    <t>Amadou Sy</t>
  </si>
  <si>
    <t>11,69</t>
  </si>
  <si>
    <t>16,91</t>
  </si>
  <si>
    <t>19,2</t>
  </si>
  <si>
    <t>16,04</t>
  </si>
  <si>
    <t>ST045</t>
  </si>
  <si>
    <t>Youssou Sene</t>
  </si>
  <si>
    <t>4,59</t>
  </si>
  <si>
    <t>19,28</t>
  </si>
  <si>
    <t>4,7</t>
  </si>
  <si>
    <t>9,66</t>
  </si>
  <si>
    <t>ST046</t>
  </si>
  <si>
    <t>Awa Diop</t>
  </si>
  <si>
    <t>13,39</t>
  </si>
  <si>
    <t>16,53</t>
  </si>
  <si>
    <t>9,11</t>
  </si>
  <si>
    <t>ST047</t>
  </si>
  <si>
    <t>Lamine Ndoye</t>
  </si>
  <si>
    <t>14,15</t>
  </si>
  <si>
    <t>5,08</t>
  </si>
  <si>
    <t>15,02</t>
  </si>
  <si>
    <t>16,55</t>
  </si>
  <si>
    <t>ST048</t>
  </si>
  <si>
    <t>Alioune Gueye</t>
  </si>
  <si>
    <t>3,85</t>
  </si>
  <si>
    <t>8,74</t>
  </si>
  <si>
    <t>16,97</t>
  </si>
  <si>
    <t>11,85</t>
  </si>
  <si>
    <t>ST049</t>
  </si>
  <si>
    <t>Amadou Wade</t>
  </si>
  <si>
    <t>17,12</t>
  </si>
  <si>
    <t>13,22</t>
  </si>
  <si>
    <t>17,94</t>
  </si>
  <si>
    <t>16,15</t>
  </si>
  <si>
    <t>ST050</t>
  </si>
  <si>
    <t>Alioune Sagna</t>
  </si>
  <si>
    <t>9,12</t>
  </si>
  <si>
    <t>1,55</t>
  </si>
  <si>
    <t>9,29</t>
  </si>
  <si>
    <t>ST051</t>
  </si>
  <si>
    <t>Malick Fall</t>
  </si>
  <si>
    <t>6,93</t>
  </si>
  <si>
    <t>15,41</t>
  </si>
  <si>
    <t>ST052</t>
  </si>
  <si>
    <t>Pape Diop</t>
  </si>
  <si>
    <t>9,62</t>
  </si>
  <si>
    <t>18,92</t>
  </si>
  <si>
    <t>5,29</t>
  </si>
  <si>
    <t>ST053</t>
  </si>
  <si>
    <t>Lamine Ndiaye</t>
  </si>
  <si>
    <t>15,81</t>
  </si>
  <si>
    <t>19,07</t>
  </si>
  <si>
    <t>11,29</t>
  </si>
  <si>
    <t>ST054</t>
  </si>
  <si>
    <t>Adama Cisse</t>
  </si>
  <si>
    <t>11,26</t>
  </si>
  <si>
    <t>10,83</t>
  </si>
  <si>
    <t>13,38</t>
  </si>
  <si>
    <t>ST055</t>
  </si>
  <si>
    <t>Abdoulaye Wade</t>
  </si>
  <si>
    <t>18,42</t>
  </si>
  <si>
    <t>13,88</t>
  </si>
  <si>
    <t>13,26</t>
  </si>
  <si>
    <t>6,26</t>
  </si>
  <si>
    <t>ST056</t>
  </si>
  <si>
    <t>Cheikh Diop</t>
  </si>
  <si>
    <t>8,56</t>
  </si>
  <si>
    <t>11,82</t>
  </si>
  <si>
    <t>6,75</t>
  </si>
  <si>
    <t>18,19</t>
  </si>
  <si>
    <t>ST057</t>
  </si>
  <si>
    <t>Babacar Fall</t>
  </si>
  <si>
    <t>15,73</t>
  </si>
  <si>
    <t>5,78</t>
  </si>
  <si>
    <t>19,04</t>
  </si>
  <si>
    <t>8,36</t>
  </si>
  <si>
    <t>ST058</t>
  </si>
  <si>
    <t>Awa Cisse</t>
  </si>
  <si>
    <t>13,56</t>
  </si>
  <si>
    <t>9,47</t>
  </si>
  <si>
    <t>6,72</t>
  </si>
  <si>
    <t>ST059</t>
  </si>
  <si>
    <t>Babacar Diouf</t>
  </si>
  <si>
    <t>19,46</t>
  </si>
  <si>
    <t>14,37</t>
  </si>
  <si>
    <t>ST060</t>
  </si>
  <si>
    <t>Ousmane Sy</t>
  </si>
  <si>
    <t>12,79</t>
  </si>
  <si>
    <t>7,51</t>
  </si>
  <si>
    <t>ST061</t>
  </si>
  <si>
    <t>Mariama Niang</t>
  </si>
  <si>
    <t>16,54</t>
  </si>
  <si>
    <t>13,49</t>
  </si>
  <si>
    <t>0,82</t>
  </si>
  <si>
    <t>12,99</t>
  </si>
  <si>
    <t>ST062</t>
  </si>
  <si>
    <t>Absa Sagna</t>
  </si>
  <si>
    <t>2,11</t>
  </si>
  <si>
    <t>ST063</t>
  </si>
  <si>
    <t>Abdoulaye Kane</t>
  </si>
  <si>
    <t>13,47</t>
  </si>
  <si>
    <t>18,79</t>
  </si>
  <si>
    <t>15,49</t>
  </si>
  <si>
    <t>ST064</t>
  </si>
  <si>
    <t>Ismaila Cisse</t>
  </si>
  <si>
    <t>17,99</t>
  </si>
  <si>
    <t>8,66</t>
  </si>
  <si>
    <t>ST065</t>
  </si>
  <si>
    <t>Adama Diagne</t>
  </si>
  <si>
    <t>6,61</t>
  </si>
  <si>
    <t>6,81</t>
  </si>
  <si>
    <t>18,2</t>
  </si>
  <si>
    <t>ST066</t>
  </si>
  <si>
    <t>Malick Ndiaye</t>
  </si>
  <si>
    <t>15,8</t>
  </si>
  <si>
    <t>16,37</t>
  </si>
  <si>
    <t>ST067</t>
  </si>
  <si>
    <t>Amadou Ndiaye</t>
  </si>
  <si>
    <t>6,77</t>
  </si>
  <si>
    <t>15,38</t>
  </si>
  <si>
    <t>6,12</t>
  </si>
  <si>
    <t>13,72</t>
  </si>
  <si>
    <t>ST068</t>
  </si>
  <si>
    <t>Pape Camara</t>
  </si>
  <si>
    <t>8,98</t>
  </si>
  <si>
    <t>11,81</t>
  </si>
  <si>
    <t>6,13</t>
  </si>
  <si>
    <t>8,46</t>
  </si>
  <si>
    <t>ST069</t>
  </si>
  <si>
    <t>Ousmane Camara</t>
  </si>
  <si>
    <t>16,08</t>
  </si>
  <si>
    <t>5,53</t>
  </si>
  <si>
    <t>13,84</t>
  </si>
  <si>
    <t>ST070</t>
  </si>
  <si>
    <t>Ousmane Diallo</t>
  </si>
  <si>
    <t>9,13</t>
  </si>
  <si>
    <t>9,53</t>
  </si>
  <si>
    <t>14,16</t>
  </si>
  <si>
    <t>6,9</t>
  </si>
  <si>
    <t>ST071</t>
  </si>
  <si>
    <t>4,74</t>
  </si>
  <si>
    <t>5,18</t>
  </si>
  <si>
    <t>5,69</t>
  </si>
  <si>
    <t>12,18</t>
  </si>
  <si>
    <t>ST072</t>
  </si>
  <si>
    <t>Astou Mbaye</t>
  </si>
  <si>
    <t>9,81</t>
  </si>
  <si>
    <t>6,11</t>
  </si>
  <si>
    <t>12,59</t>
  </si>
  <si>
    <t>5,8</t>
  </si>
  <si>
    <t>ST073</t>
  </si>
  <si>
    <t>Moussa Cisse</t>
  </si>
  <si>
    <t>16,86</t>
  </si>
  <si>
    <t>4,51</t>
  </si>
  <si>
    <t>12,84</t>
  </si>
  <si>
    <t>ST074</t>
  </si>
  <si>
    <t>Serigne Sy</t>
  </si>
  <si>
    <t>5,9</t>
  </si>
  <si>
    <t>6,49</t>
  </si>
  <si>
    <t>ST075</t>
  </si>
  <si>
    <t>7,08</t>
  </si>
  <si>
    <t>3,13</t>
  </si>
  <si>
    <t>11,13</t>
  </si>
  <si>
    <t>ST076</t>
  </si>
  <si>
    <t>Serigne Diop</t>
  </si>
  <si>
    <t>15,54</t>
  </si>
  <si>
    <t>9,08</t>
  </si>
  <si>
    <t>15,31</t>
  </si>
  <si>
    <t>ST077</t>
  </si>
  <si>
    <t>Dieynaba Sow</t>
  </si>
  <si>
    <t>14,01</t>
  </si>
  <si>
    <t>18,63</t>
  </si>
  <si>
    <t>ST078</t>
  </si>
  <si>
    <t>Assane Camara</t>
  </si>
  <si>
    <t>10,47</t>
  </si>
  <si>
    <t>12,03</t>
  </si>
  <si>
    <t>11,04</t>
  </si>
  <si>
    <t>ST079</t>
  </si>
  <si>
    <t>Amadou Fall</t>
  </si>
  <si>
    <t>18,12</t>
  </si>
  <si>
    <t>16,02</t>
  </si>
  <si>
    <t>12,07</t>
  </si>
  <si>
    <t>5,39</t>
  </si>
  <si>
    <t>ST080</t>
  </si>
  <si>
    <t>Astou Sy</t>
  </si>
  <si>
    <t>14,77</t>
  </si>
  <si>
    <t>18,32</t>
  </si>
  <si>
    <t>7,72</t>
  </si>
  <si>
    <t>ST081</t>
  </si>
  <si>
    <t>Moussa Mbaye</t>
  </si>
  <si>
    <t>8,67</t>
  </si>
  <si>
    <t>15,05</t>
  </si>
  <si>
    <t>17,15</t>
  </si>
  <si>
    <t>ST082</t>
  </si>
  <si>
    <t>El Hadji Diouf</t>
  </si>
  <si>
    <t>10,73</t>
  </si>
  <si>
    <t>9,72</t>
  </si>
  <si>
    <t>6,47</t>
  </si>
  <si>
    <t>19,55</t>
  </si>
  <si>
    <t>ST083</t>
  </si>
  <si>
    <t>Yacine Sy</t>
  </si>
  <si>
    <t>6,19</t>
  </si>
  <si>
    <t>10,43</t>
  </si>
  <si>
    <t>15,13</t>
  </si>
  <si>
    <t>14,38</t>
  </si>
  <si>
    <t>ST084</t>
  </si>
  <si>
    <t>Astou Diatta</t>
  </si>
  <si>
    <t>10,45</t>
  </si>
  <si>
    <t>2,43</t>
  </si>
  <si>
    <t>19,6</t>
  </si>
  <si>
    <t>ST085</t>
  </si>
  <si>
    <t>Ndeye Sarr</t>
  </si>
  <si>
    <t>12,39</t>
  </si>
  <si>
    <t>6,4</t>
  </si>
  <si>
    <t>19,85</t>
  </si>
  <si>
    <t>18,69</t>
  </si>
  <si>
    <t>ST086</t>
  </si>
  <si>
    <t>Khady Mbaye</t>
  </si>
  <si>
    <t>10,06</t>
  </si>
  <si>
    <t>12,24</t>
  </si>
  <si>
    <t>9,44</t>
  </si>
  <si>
    <t>ST087</t>
  </si>
  <si>
    <t>Oumou Toure</t>
  </si>
  <si>
    <t>16,85</t>
  </si>
  <si>
    <t>8,3</t>
  </si>
  <si>
    <t>19,01</t>
  </si>
  <si>
    <t>ST088</t>
  </si>
  <si>
    <t>Bineta Camara</t>
  </si>
  <si>
    <t>17,71</t>
  </si>
  <si>
    <t>11,7</t>
  </si>
  <si>
    <t>9,69</t>
  </si>
  <si>
    <t>9,99</t>
  </si>
  <si>
    <t>ST089</t>
  </si>
  <si>
    <t>12,72</t>
  </si>
  <si>
    <t>8,5</t>
  </si>
  <si>
    <t>15,51</t>
  </si>
  <si>
    <t>5,65</t>
  </si>
  <si>
    <t>ST090</t>
  </si>
  <si>
    <t>El Hadji Sene</t>
  </si>
  <si>
    <t>19,4</t>
  </si>
  <si>
    <t>6,89</t>
  </si>
  <si>
    <t>9,98</t>
  </si>
  <si>
    <t>ST091</t>
  </si>
  <si>
    <t>Ousmane Toure</t>
  </si>
  <si>
    <t>15,28</t>
  </si>
  <si>
    <t>11,15</t>
  </si>
  <si>
    <t>13,1</t>
  </si>
  <si>
    <t>7,32</t>
  </si>
  <si>
    <t>ST092</t>
  </si>
  <si>
    <t>Ismaila Wade</t>
  </si>
  <si>
    <t>17,48</t>
  </si>
  <si>
    <t>17,19</t>
  </si>
  <si>
    <t>ST093</t>
  </si>
  <si>
    <t>Malick Diop</t>
  </si>
  <si>
    <t>6,99</t>
  </si>
  <si>
    <t>8,41</t>
  </si>
  <si>
    <t>ST094</t>
  </si>
  <si>
    <t>Mariama Sy</t>
  </si>
  <si>
    <t>18,36</t>
  </si>
  <si>
    <t>15,92</t>
  </si>
  <si>
    <t>9,4</t>
  </si>
  <si>
    <t>ST095</t>
  </si>
  <si>
    <t>Coumba Toure</t>
  </si>
  <si>
    <t>5,89</t>
  </si>
  <si>
    <t>6,18</t>
  </si>
  <si>
    <t>17,42</t>
  </si>
  <si>
    <t>14,3</t>
  </si>
  <si>
    <t>ST096</t>
  </si>
  <si>
    <t>Coumba Sy</t>
  </si>
  <si>
    <t>7,34</t>
  </si>
  <si>
    <t>5,14</t>
  </si>
  <si>
    <t>16,09</t>
  </si>
  <si>
    <t>18,52</t>
  </si>
  <si>
    <t>ST097</t>
  </si>
  <si>
    <t>13,86</t>
  </si>
  <si>
    <t>11,36</t>
  </si>
  <si>
    <t>17,68</t>
  </si>
  <si>
    <t>ST098</t>
  </si>
  <si>
    <t>Lamine Sow</t>
  </si>
  <si>
    <t>13,62</t>
  </si>
  <si>
    <t>9,43</t>
  </si>
  <si>
    <t>ST099</t>
  </si>
  <si>
    <t>Babacar Ndiaye</t>
  </si>
  <si>
    <t>18,48</t>
  </si>
  <si>
    <t>16,18</t>
  </si>
  <si>
    <t>16,66</t>
  </si>
  <si>
    <t>18,54</t>
  </si>
  <si>
    <t>ST100</t>
  </si>
  <si>
    <t>Oumou Thiam</t>
  </si>
  <si>
    <t>15,17</t>
  </si>
  <si>
    <t>14,42</t>
  </si>
  <si>
    <t>14,89</t>
  </si>
  <si>
    <t>Information</t>
  </si>
  <si>
    <t>Valeur</t>
  </si>
  <si>
    <t>ID recherché</t>
  </si>
  <si>
    <t xml:space="preserve">Nom: </t>
  </si>
  <si>
    <t>ID_retrouvé</t>
  </si>
  <si>
    <t>Présence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</si>
</sst>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</font>
    <font>
      <b/>
      <sz val="12"/>
      <color rgb="FF00B050"/>
      <name val="Times New Roman"/>
      <family val="1"/>
      <charset val="1"/>
    </font>
    <font>
      <sz val="11"/>
      <color theme="1"/>
      <name val="Times New Roman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1"/>
      <color rgb="FF188038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readingOrder="1"/>
    </xf>
    <xf numFmtId="0" fontId="1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9" fontId="8" fillId="0" borderId="0" xfId="0" applyNumberFormat="1" applyFont="1"/>
    <xf numFmtId="0" fontId="9" fillId="0" borderId="1" xfId="0" applyFont="1" applyBorder="1" applyAlignment="1">
      <alignment readingOrder="1"/>
    </xf>
    <xf numFmtId="0" fontId="0" fillId="0" borderId="1" xfId="0" applyBorder="1"/>
    <xf numFmtId="9" fontId="0" fillId="0" borderId="1" xfId="0" applyNumberFormat="1" applyBorder="1"/>
    <xf numFmtId="0" fontId="5" fillId="0" borderId="0" xfId="0" applyFont="1" applyAlignment="1">
      <alignment horizontal="center" readingOrder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opLeftCell="A6" workbookViewId="0">
      <selection activeCell="B22" sqref="B22"/>
    </sheetView>
  </sheetViews>
  <sheetFormatPr defaultRowHeight="15"/>
  <cols>
    <col min="1" max="1" width="15" customWidth="1"/>
    <col min="2" max="2" width="14.5703125" customWidth="1"/>
    <col min="3" max="3" width="15.140625" customWidth="1"/>
    <col min="7" max="7" width="14.5703125" customWidth="1"/>
  </cols>
  <sheetData>
    <row r="1" spans="1:10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5" t="s">
        <v>5</v>
      </c>
      <c r="H1" s="15"/>
      <c r="I1" s="15"/>
    </row>
    <row r="2" spans="1:10">
      <c r="A2" s="2" t="s">
        <v>6</v>
      </c>
      <c r="B2" s="2" t="s">
        <v>7</v>
      </c>
      <c r="C2" s="2" t="s">
        <v>8</v>
      </c>
      <c r="D2" s="2">
        <v>15</v>
      </c>
      <c r="E2" s="2">
        <v>17</v>
      </c>
      <c r="G2" s="4" t="s">
        <v>9</v>
      </c>
      <c r="H2" s="5" t="s">
        <v>6</v>
      </c>
    </row>
    <row r="3" spans="1:10">
      <c r="A3" s="2" t="s">
        <v>10</v>
      </c>
      <c r="B3" s="2" t="s">
        <v>11</v>
      </c>
      <c r="C3" s="2" t="s">
        <v>12</v>
      </c>
      <c r="D3" s="2">
        <v>12</v>
      </c>
      <c r="E3" s="2">
        <v>14</v>
      </c>
      <c r="G3" s="5" t="s">
        <v>13</v>
      </c>
      <c r="H3" t="str">
        <f>_xlfn.XLOOKUP(H2,A2:A6,B2:B6)</f>
        <v>Awa Ndiaye</v>
      </c>
    </row>
    <row r="4" spans="1:10">
      <c r="A4" s="2" t="s">
        <v>14</v>
      </c>
      <c r="B4" s="2" t="s">
        <v>15</v>
      </c>
      <c r="C4" s="2" t="s">
        <v>16</v>
      </c>
      <c r="D4" s="2">
        <v>18</v>
      </c>
      <c r="E4" s="2">
        <v>16</v>
      </c>
    </row>
    <row r="5" spans="1:10" ht="15.75">
      <c r="A5" s="2" t="s">
        <v>17</v>
      </c>
      <c r="B5" s="2" t="s">
        <v>18</v>
      </c>
      <c r="C5" s="2" t="s">
        <v>8</v>
      </c>
      <c r="D5" s="2">
        <v>10</v>
      </c>
      <c r="E5" s="2">
        <v>13</v>
      </c>
      <c r="G5" s="15" t="s">
        <v>19</v>
      </c>
      <c r="H5" s="15"/>
      <c r="I5" s="15"/>
      <c r="J5" s="15"/>
    </row>
    <row r="6" spans="1:10">
      <c r="A6" s="2" t="s">
        <v>20</v>
      </c>
      <c r="B6" s="2" t="s">
        <v>21</v>
      </c>
      <c r="C6" s="2" t="s">
        <v>22</v>
      </c>
      <c r="D6" s="2">
        <v>14</v>
      </c>
      <c r="E6" s="2">
        <v>11</v>
      </c>
      <c r="G6" s="4" t="s">
        <v>9</v>
      </c>
      <c r="H6" s="5" t="s">
        <v>14</v>
      </c>
    </row>
    <row r="7" spans="1:10">
      <c r="A7" s="6"/>
      <c r="B7" s="6"/>
      <c r="C7" s="6"/>
      <c r="D7" s="6"/>
      <c r="E7" s="6"/>
      <c r="G7" s="4"/>
      <c r="H7" s="7" t="s">
        <v>2</v>
      </c>
      <c r="I7" s="3" t="s">
        <v>3</v>
      </c>
      <c r="J7" s="3" t="s">
        <v>4</v>
      </c>
    </row>
    <row r="8" spans="1:10">
      <c r="G8" s="7" t="s">
        <v>23</v>
      </c>
      <c r="H8" t="str" cm="1">
        <f t="array" ref="H8:J8">_xlfn.XLOOKUP(H6,A2:A6,C2:E6)</f>
        <v>IA</v>
      </c>
      <c r="I8">
        <v>18</v>
      </c>
      <c r="J8">
        <v>16</v>
      </c>
    </row>
    <row r="10" spans="1:10" ht="15.75">
      <c r="G10" s="16" t="s">
        <v>24</v>
      </c>
      <c r="H10" s="16"/>
      <c r="I10" s="16"/>
    </row>
    <row r="11" spans="1:10">
      <c r="G11" s="4" t="s">
        <v>9</v>
      </c>
      <c r="H11" t="s">
        <v>25</v>
      </c>
    </row>
    <row r="13" spans="1:10" ht="15.75">
      <c r="A13" s="16" t="s">
        <v>26</v>
      </c>
      <c r="B13" s="16"/>
      <c r="C13" s="16"/>
      <c r="G13" s="3" t="s">
        <v>23</v>
      </c>
      <c r="H13" s="17" t="str">
        <f>_xlfn.XLOOKUP(H11,A2:A6,B2:B6,"Etudiant introuvable")</f>
        <v>Etudiant introuvable</v>
      </c>
      <c r="I13" s="17"/>
    </row>
    <row r="14" spans="1:10" ht="15.75">
      <c r="D14" s="8"/>
    </row>
    <row r="15" spans="1:10">
      <c r="A15" s="1" t="s">
        <v>1</v>
      </c>
      <c r="B15" s="1" t="s">
        <v>0</v>
      </c>
      <c r="C15" s="1" t="s">
        <v>2</v>
      </c>
    </row>
    <row r="16" spans="1:10">
      <c r="A16" s="2" t="s">
        <v>7</v>
      </c>
      <c r="B16" s="2" t="s">
        <v>6</v>
      </c>
      <c r="C16" s="2" t="s">
        <v>8</v>
      </c>
    </row>
    <row r="17" spans="1:3">
      <c r="A17" s="2" t="s">
        <v>11</v>
      </c>
      <c r="B17" s="2" t="s">
        <v>10</v>
      </c>
      <c r="C17" s="2" t="s">
        <v>12</v>
      </c>
    </row>
    <row r="18" spans="1:3">
      <c r="A18" s="2" t="s">
        <v>15</v>
      </c>
      <c r="B18" s="2" t="s">
        <v>14</v>
      </c>
      <c r="C18" s="2" t="s">
        <v>16</v>
      </c>
    </row>
    <row r="20" spans="1:3">
      <c r="A20" s="4" t="s">
        <v>9</v>
      </c>
      <c r="B20" t="s">
        <v>10</v>
      </c>
    </row>
    <row r="21" spans="1:3">
      <c r="A21" t="s">
        <v>27</v>
      </c>
      <c r="B21" t="str">
        <f>_xlfn.XLOOKUP(B20,B16:B18,A16:A18)</f>
        <v>Mamadou Diop</v>
      </c>
    </row>
  </sheetData>
  <mergeCells count="5">
    <mergeCell ref="G1:I1"/>
    <mergeCell ref="G5:J5"/>
    <mergeCell ref="G10:I10"/>
    <mergeCell ref="H13:I13"/>
    <mergeCell ref="A13:C13"/>
  </mergeCells>
  <dataValidations count="1">
    <dataValidation allowBlank="1" showInputMessage="1" showErrorMessage="1" errorTitle="étudiant introuvable" sqref="H13" xr:uid="{E1B43746-6537-4014-9C5B-93EB8192D1B8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49B7-4566-4230-AF56-695AB22F5BDA}">
  <dimension ref="A1:J101"/>
  <sheetViews>
    <sheetView topLeftCell="A83" workbookViewId="0">
      <selection activeCell="A2" sqref="A2"/>
    </sheetView>
  </sheetViews>
  <sheetFormatPr defaultRowHeight="15"/>
  <cols>
    <col min="2" max="2" width="16.42578125" customWidth="1"/>
    <col min="4" max="4" width="11.85546875" customWidth="1"/>
    <col min="5" max="5" width="12.85546875" customWidth="1"/>
    <col min="9" max="10" width="10.5703125" customWidth="1"/>
  </cols>
  <sheetData>
    <row r="1" spans="1:10">
      <c r="A1" s="9" t="s">
        <v>0</v>
      </c>
      <c r="B1" s="9" t="s">
        <v>1</v>
      </c>
      <c r="C1" s="9" t="s">
        <v>28</v>
      </c>
      <c r="D1" s="9" t="s">
        <v>29</v>
      </c>
      <c r="E1" s="9" t="s">
        <v>30</v>
      </c>
      <c r="F1" s="9" t="s">
        <v>3</v>
      </c>
      <c r="G1" s="9" t="s">
        <v>31</v>
      </c>
      <c r="H1" s="9" t="s">
        <v>4</v>
      </c>
      <c r="I1" s="9" t="s">
        <v>32</v>
      </c>
      <c r="J1" s="9" t="s">
        <v>33</v>
      </c>
    </row>
    <row r="2" spans="1:10">
      <c r="A2" s="10" t="s">
        <v>6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1">
        <v>0.54</v>
      </c>
    </row>
    <row r="3" spans="1:10">
      <c r="A3" s="10" t="s">
        <v>10</v>
      </c>
      <c r="B3" s="10" t="s">
        <v>42</v>
      </c>
      <c r="C3" s="10" t="s">
        <v>43</v>
      </c>
      <c r="D3" s="10" t="s">
        <v>44</v>
      </c>
      <c r="E3" s="10" t="s">
        <v>37</v>
      </c>
      <c r="F3" s="10" t="s">
        <v>45</v>
      </c>
      <c r="G3" s="10" t="s">
        <v>46</v>
      </c>
      <c r="H3" s="10" t="s">
        <v>47</v>
      </c>
      <c r="I3" s="10" t="s">
        <v>48</v>
      </c>
      <c r="J3" s="11">
        <v>0.85</v>
      </c>
    </row>
    <row r="4" spans="1:10">
      <c r="A4" s="10" t="s">
        <v>14</v>
      </c>
      <c r="B4" s="10" t="s">
        <v>49</v>
      </c>
      <c r="C4" s="10" t="s">
        <v>43</v>
      </c>
      <c r="D4" s="10" t="s">
        <v>50</v>
      </c>
      <c r="E4" s="10" t="s">
        <v>16</v>
      </c>
      <c r="F4" s="10" t="s">
        <v>51</v>
      </c>
      <c r="G4" s="10" t="s">
        <v>52</v>
      </c>
      <c r="H4" s="10" t="s">
        <v>53</v>
      </c>
      <c r="I4" s="10" t="s">
        <v>54</v>
      </c>
      <c r="J4" s="11">
        <v>0.67</v>
      </c>
    </row>
    <row r="5" spans="1:10">
      <c r="A5" s="10" t="s">
        <v>17</v>
      </c>
      <c r="B5" s="10" t="s">
        <v>55</v>
      </c>
      <c r="C5" s="10" t="s">
        <v>35</v>
      </c>
      <c r="D5" s="10" t="s">
        <v>56</v>
      </c>
      <c r="E5" s="10" t="s">
        <v>8</v>
      </c>
      <c r="F5" s="10" t="s">
        <v>57</v>
      </c>
      <c r="G5" s="10" t="s">
        <v>58</v>
      </c>
      <c r="H5" s="10" t="s">
        <v>59</v>
      </c>
      <c r="I5" s="10" t="s">
        <v>60</v>
      </c>
      <c r="J5" s="11">
        <v>0.9</v>
      </c>
    </row>
    <row r="6" spans="1:10">
      <c r="A6" s="10" t="s">
        <v>20</v>
      </c>
      <c r="B6" s="10" t="s">
        <v>61</v>
      </c>
      <c r="C6" s="10" t="s">
        <v>43</v>
      </c>
      <c r="D6" s="10" t="s">
        <v>62</v>
      </c>
      <c r="E6" s="10" t="s">
        <v>8</v>
      </c>
      <c r="F6" s="10" t="s">
        <v>63</v>
      </c>
      <c r="G6" s="10" t="s">
        <v>64</v>
      </c>
      <c r="H6" s="10" t="s">
        <v>65</v>
      </c>
      <c r="I6" s="10" t="s">
        <v>66</v>
      </c>
      <c r="J6" s="11">
        <v>0.79</v>
      </c>
    </row>
    <row r="7" spans="1:10">
      <c r="A7" s="10" t="s">
        <v>67</v>
      </c>
      <c r="B7" s="10" t="s">
        <v>68</v>
      </c>
      <c r="C7" s="10" t="s">
        <v>35</v>
      </c>
      <c r="D7" s="10" t="s">
        <v>69</v>
      </c>
      <c r="E7" s="10" t="s">
        <v>16</v>
      </c>
      <c r="F7" s="10" t="s">
        <v>70</v>
      </c>
      <c r="G7" s="10" t="s">
        <v>71</v>
      </c>
      <c r="H7" s="10" t="s">
        <v>72</v>
      </c>
      <c r="I7" s="10" t="s">
        <v>73</v>
      </c>
      <c r="J7" s="11">
        <v>0.73</v>
      </c>
    </row>
    <row r="8" spans="1:10">
      <c r="A8" s="10" t="s">
        <v>74</v>
      </c>
      <c r="B8" s="10" t="s">
        <v>75</v>
      </c>
      <c r="C8" s="10" t="s">
        <v>43</v>
      </c>
      <c r="D8" s="10" t="s">
        <v>56</v>
      </c>
      <c r="E8" s="10" t="s">
        <v>37</v>
      </c>
      <c r="F8" s="10" t="s">
        <v>76</v>
      </c>
      <c r="G8" s="10" t="s">
        <v>77</v>
      </c>
      <c r="H8" s="10" t="s">
        <v>78</v>
      </c>
      <c r="I8" s="10" t="s">
        <v>79</v>
      </c>
      <c r="J8" s="11">
        <v>0.82</v>
      </c>
    </row>
    <row r="9" spans="1:10">
      <c r="A9" s="10" t="s">
        <v>80</v>
      </c>
      <c r="B9" s="10" t="s">
        <v>81</v>
      </c>
      <c r="C9" s="10" t="s">
        <v>35</v>
      </c>
      <c r="D9" s="10" t="s">
        <v>62</v>
      </c>
      <c r="E9" s="10" t="s">
        <v>16</v>
      </c>
      <c r="F9" s="10" t="s">
        <v>82</v>
      </c>
      <c r="G9" s="10" t="s">
        <v>83</v>
      </c>
      <c r="H9" s="10" t="s">
        <v>84</v>
      </c>
      <c r="I9" s="10" t="s">
        <v>85</v>
      </c>
      <c r="J9" s="11">
        <v>0.92</v>
      </c>
    </row>
    <row r="10" spans="1:10">
      <c r="A10" s="10" t="s">
        <v>86</v>
      </c>
      <c r="B10" s="10" t="s">
        <v>87</v>
      </c>
      <c r="C10" s="10" t="s">
        <v>35</v>
      </c>
      <c r="D10" s="10" t="s">
        <v>56</v>
      </c>
      <c r="E10" s="10" t="s">
        <v>88</v>
      </c>
      <c r="F10" s="10" t="s">
        <v>89</v>
      </c>
      <c r="G10" s="10" t="s">
        <v>90</v>
      </c>
      <c r="H10" s="10" t="s">
        <v>91</v>
      </c>
      <c r="I10" s="10" t="s">
        <v>92</v>
      </c>
      <c r="J10" s="11">
        <v>0.66</v>
      </c>
    </row>
    <row r="11" spans="1:10">
      <c r="A11" s="10" t="s">
        <v>93</v>
      </c>
      <c r="B11" s="10" t="s">
        <v>94</v>
      </c>
      <c r="C11" s="10" t="s">
        <v>43</v>
      </c>
      <c r="D11" s="10" t="s">
        <v>95</v>
      </c>
      <c r="E11" s="10" t="s">
        <v>37</v>
      </c>
      <c r="F11" s="10" t="s">
        <v>96</v>
      </c>
      <c r="G11" s="10" t="s">
        <v>97</v>
      </c>
      <c r="H11" s="10" t="s">
        <v>98</v>
      </c>
      <c r="I11" s="10" t="s">
        <v>99</v>
      </c>
      <c r="J11" s="11">
        <v>0.79</v>
      </c>
    </row>
    <row r="12" spans="1:10">
      <c r="A12" s="10" t="s">
        <v>100</v>
      </c>
      <c r="B12" s="10" t="s">
        <v>101</v>
      </c>
      <c r="C12" s="10" t="s">
        <v>43</v>
      </c>
      <c r="D12" s="10" t="s">
        <v>102</v>
      </c>
      <c r="E12" s="10" t="s">
        <v>88</v>
      </c>
      <c r="F12" s="10" t="s">
        <v>103</v>
      </c>
      <c r="G12" s="10" t="s">
        <v>104</v>
      </c>
      <c r="H12" s="10" t="s">
        <v>105</v>
      </c>
      <c r="I12" s="10" t="s">
        <v>106</v>
      </c>
      <c r="J12" s="11">
        <v>0.9</v>
      </c>
    </row>
    <row r="13" spans="1:10">
      <c r="A13" s="10" t="s">
        <v>107</v>
      </c>
      <c r="B13" s="10" t="s">
        <v>108</v>
      </c>
      <c r="C13" s="10" t="s">
        <v>43</v>
      </c>
      <c r="D13" s="10" t="s">
        <v>62</v>
      </c>
      <c r="E13" s="10" t="s">
        <v>88</v>
      </c>
      <c r="F13" s="10" t="s">
        <v>109</v>
      </c>
      <c r="G13" s="10" t="s">
        <v>110</v>
      </c>
      <c r="H13" s="10" t="s">
        <v>111</v>
      </c>
      <c r="I13" s="10" t="s">
        <v>112</v>
      </c>
      <c r="J13" s="11">
        <v>0.97</v>
      </c>
    </row>
    <row r="14" spans="1:10">
      <c r="A14" s="10" t="s">
        <v>113</v>
      </c>
      <c r="B14" s="10" t="s">
        <v>114</v>
      </c>
      <c r="C14" s="10" t="s">
        <v>35</v>
      </c>
      <c r="D14" s="10" t="s">
        <v>36</v>
      </c>
      <c r="E14" s="10" t="s">
        <v>16</v>
      </c>
      <c r="F14" s="10" t="s">
        <v>115</v>
      </c>
      <c r="G14" s="10" t="s">
        <v>116</v>
      </c>
      <c r="H14" s="10" t="s">
        <v>117</v>
      </c>
      <c r="I14" s="10" t="s">
        <v>118</v>
      </c>
      <c r="J14" s="11">
        <v>0.94</v>
      </c>
    </row>
    <row r="15" spans="1:10">
      <c r="A15" s="10" t="s">
        <v>119</v>
      </c>
      <c r="B15" s="10" t="s">
        <v>120</v>
      </c>
      <c r="C15" s="10" t="s">
        <v>43</v>
      </c>
      <c r="D15" s="10" t="s">
        <v>102</v>
      </c>
      <c r="E15" s="10" t="s">
        <v>8</v>
      </c>
      <c r="F15" s="10" t="s">
        <v>121</v>
      </c>
      <c r="G15" s="10" t="s">
        <v>122</v>
      </c>
      <c r="H15" s="10" t="s">
        <v>123</v>
      </c>
      <c r="I15" s="10" t="s">
        <v>124</v>
      </c>
      <c r="J15" s="11">
        <v>0.57999999999999996</v>
      </c>
    </row>
    <row r="16" spans="1:10">
      <c r="A16" s="10" t="s">
        <v>125</v>
      </c>
      <c r="B16" s="10" t="s">
        <v>114</v>
      </c>
      <c r="C16" s="10" t="s">
        <v>35</v>
      </c>
      <c r="D16" s="10" t="s">
        <v>126</v>
      </c>
      <c r="E16" s="10" t="s">
        <v>8</v>
      </c>
      <c r="F16" s="10" t="s">
        <v>127</v>
      </c>
      <c r="G16" s="10" t="s">
        <v>128</v>
      </c>
      <c r="H16" s="10" t="s">
        <v>129</v>
      </c>
      <c r="I16" s="10" t="s">
        <v>130</v>
      </c>
      <c r="J16" s="11">
        <v>0.99</v>
      </c>
    </row>
    <row r="17" spans="1:10">
      <c r="A17" s="10" t="s">
        <v>131</v>
      </c>
      <c r="B17" s="10" t="s">
        <v>132</v>
      </c>
      <c r="C17" s="10" t="s">
        <v>43</v>
      </c>
      <c r="D17" s="10" t="s">
        <v>69</v>
      </c>
      <c r="E17" s="10" t="s">
        <v>8</v>
      </c>
      <c r="F17" s="10" t="s">
        <v>133</v>
      </c>
      <c r="G17" s="10" t="s">
        <v>134</v>
      </c>
      <c r="H17" s="10" t="s">
        <v>135</v>
      </c>
      <c r="I17" s="10" t="s">
        <v>136</v>
      </c>
      <c r="J17" s="11">
        <v>0.88</v>
      </c>
    </row>
    <row r="18" spans="1:10">
      <c r="A18" s="10" t="s">
        <v>137</v>
      </c>
      <c r="B18" s="10" t="s">
        <v>138</v>
      </c>
      <c r="C18" s="10" t="s">
        <v>35</v>
      </c>
      <c r="D18" s="10" t="s">
        <v>102</v>
      </c>
      <c r="E18" s="10" t="s">
        <v>16</v>
      </c>
      <c r="F18" s="10" t="s">
        <v>139</v>
      </c>
      <c r="G18" s="10" t="s">
        <v>140</v>
      </c>
      <c r="H18" s="10" t="s">
        <v>141</v>
      </c>
      <c r="I18" s="10" t="s">
        <v>142</v>
      </c>
      <c r="J18" s="11">
        <v>0.88</v>
      </c>
    </row>
    <row r="19" spans="1:10">
      <c r="A19" s="10" t="s">
        <v>143</v>
      </c>
      <c r="B19" s="10" t="s">
        <v>144</v>
      </c>
      <c r="C19" s="10" t="s">
        <v>35</v>
      </c>
      <c r="D19" s="10" t="s">
        <v>56</v>
      </c>
      <c r="E19" s="10" t="s">
        <v>88</v>
      </c>
      <c r="F19" s="10" t="s">
        <v>145</v>
      </c>
      <c r="G19" s="10" t="s">
        <v>146</v>
      </c>
      <c r="H19" s="10" t="s">
        <v>147</v>
      </c>
      <c r="I19" s="10" t="s">
        <v>148</v>
      </c>
      <c r="J19" s="11">
        <v>0.51</v>
      </c>
    </row>
    <row r="20" spans="1:10">
      <c r="A20" s="10" t="s">
        <v>149</v>
      </c>
      <c r="B20" s="10" t="s">
        <v>150</v>
      </c>
      <c r="C20" s="10" t="s">
        <v>35</v>
      </c>
      <c r="D20" s="10" t="s">
        <v>151</v>
      </c>
      <c r="E20" s="10" t="s">
        <v>8</v>
      </c>
      <c r="F20" s="10" t="s">
        <v>152</v>
      </c>
      <c r="G20" s="10" t="s">
        <v>153</v>
      </c>
      <c r="H20" s="10" t="s">
        <v>154</v>
      </c>
      <c r="I20" s="10" t="s">
        <v>155</v>
      </c>
      <c r="J20" s="11">
        <v>0.67</v>
      </c>
    </row>
    <row r="21" spans="1:10">
      <c r="A21" s="10" t="s">
        <v>156</v>
      </c>
      <c r="B21" s="10" t="s">
        <v>157</v>
      </c>
      <c r="C21" s="10" t="s">
        <v>35</v>
      </c>
      <c r="D21" s="10" t="s">
        <v>95</v>
      </c>
      <c r="E21" s="10" t="s">
        <v>37</v>
      </c>
      <c r="F21" s="10" t="s">
        <v>158</v>
      </c>
      <c r="G21" s="10" t="s">
        <v>159</v>
      </c>
      <c r="H21" s="10" t="s">
        <v>160</v>
      </c>
      <c r="I21" s="10" t="s">
        <v>161</v>
      </c>
      <c r="J21" s="11">
        <v>0.62</v>
      </c>
    </row>
    <row r="22" spans="1:10">
      <c r="A22" s="10" t="s">
        <v>162</v>
      </c>
      <c r="B22" s="10" t="s">
        <v>163</v>
      </c>
      <c r="C22" s="10" t="s">
        <v>43</v>
      </c>
      <c r="D22" s="10" t="s">
        <v>44</v>
      </c>
      <c r="E22" s="10" t="s">
        <v>8</v>
      </c>
      <c r="F22" s="10" t="s">
        <v>164</v>
      </c>
      <c r="G22" s="10" t="s">
        <v>165</v>
      </c>
      <c r="H22" s="10" t="s">
        <v>166</v>
      </c>
      <c r="I22" s="10" t="s">
        <v>167</v>
      </c>
      <c r="J22" s="11">
        <v>0.53</v>
      </c>
    </row>
    <row r="23" spans="1:10">
      <c r="A23" s="10" t="s">
        <v>168</v>
      </c>
      <c r="B23" s="10" t="s">
        <v>169</v>
      </c>
      <c r="C23" s="10" t="s">
        <v>35</v>
      </c>
      <c r="D23" s="10" t="s">
        <v>56</v>
      </c>
      <c r="E23" s="10" t="s">
        <v>8</v>
      </c>
      <c r="F23" s="10" t="s">
        <v>170</v>
      </c>
      <c r="G23" s="10" t="s">
        <v>171</v>
      </c>
      <c r="H23" s="10" t="s">
        <v>172</v>
      </c>
      <c r="I23" s="10" t="s">
        <v>173</v>
      </c>
      <c r="J23" s="11">
        <v>0.64</v>
      </c>
    </row>
    <row r="24" spans="1:10">
      <c r="A24" s="10" t="s">
        <v>174</v>
      </c>
      <c r="B24" s="10" t="s">
        <v>175</v>
      </c>
      <c r="C24" s="10" t="s">
        <v>35</v>
      </c>
      <c r="D24" s="10" t="s">
        <v>126</v>
      </c>
      <c r="E24" s="10" t="s">
        <v>8</v>
      </c>
      <c r="F24" s="10" t="s">
        <v>176</v>
      </c>
      <c r="G24" s="10" t="s">
        <v>177</v>
      </c>
      <c r="H24" s="10" t="s">
        <v>178</v>
      </c>
      <c r="I24" s="10" t="s">
        <v>179</v>
      </c>
      <c r="J24" s="11">
        <v>0.96</v>
      </c>
    </row>
    <row r="25" spans="1:10">
      <c r="A25" s="10" t="s">
        <v>180</v>
      </c>
      <c r="B25" s="10" t="s">
        <v>181</v>
      </c>
      <c r="C25" s="10" t="s">
        <v>35</v>
      </c>
      <c r="D25" s="10" t="s">
        <v>95</v>
      </c>
      <c r="E25" s="10" t="s">
        <v>88</v>
      </c>
      <c r="F25" s="10" t="s">
        <v>182</v>
      </c>
      <c r="G25" s="10" t="s">
        <v>183</v>
      </c>
      <c r="H25" s="10" t="s">
        <v>184</v>
      </c>
      <c r="I25" s="10" t="s">
        <v>185</v>
      </c>
      <c r="J25" s="11">
        <v>0.99</v>
      </c>
    </row>
    <row r="26" spans="1:10">
      <c r="A26" s="10" t="s">
        <v>186</v>
      </c>
      <c r="B26" s="10" t="s">
        <v>187</v>
      </c>
      <c r="C26" s="10" t="s">
        <v>43</v>
      </c>
      <c r="D26" s="10" t="s">
        <v>62</v>
      </c>
      <c r="E26" s="10" t="s">
        <v>88</v>
      </c>
      <c r="F26" s="10" t="s">
        <v>188</v>
      </c>
      <c r="G26" s="10" t="s">
        <v>189</v>
      </c>
      <c r="H26" s="10" t="s">
        <v>190</v>
      </c>
      <c r="I26" s="10" t="s">
        <v>191</v>
      </c>
      <c r="J26" s="11">
        <v>0.77</v>
      </c>
    </row>
    <row r="27" spans="1:10">
      <c r="A27" s="10" t="s">
        <v>192</v>
      </c>
      <c r="B27" s="10" t="s">
        <v>193</v>
      </c>
      <c r="C27" s="10" t="s">
        <v>43</v>
      </c>
      <c r="D27" s="10" t="s">
        <v>50</v>
      </c>
      <c r="E27" s="10" t="s">
        <v>88</v>
      </c>
      <c r="F27" s="10" t="s">
        <v>194</v>
      </c>
      <c r="G27" s="10" t="s">
        <v>195</v>
      </c>
      <c r="H27" s="10" t="s">
        <v>196</v>
      </c>
      <c r="I27" s="10" t="s">
        <v>197</v>
      </c>
      <c r="J27" s="11">
        <v>0.54</v>
      </c>
    </row>
    <row r="28" spans="1:10">
      <c r="A28" s="10" t="s">
        <v>198</v>
      </c>
      <c r="B28" s="10" t="s">
        <v>199</v>
      </c>
      <c r="C28" s="10" t="s">
        <v>35</v>
      </c>
      <c r="D28" s="10" t="s">
        <v>44</v>
      </c>
      <c r="E28" s="10" t="s">
        <v>37</v>
      </c>
      <c r="F28" s="10" t="s">
        <v>200</v>
      </c>
      <c r="G28" s="10" t="s">
        <v>201</v>
      </c>
      <c r="H28" s="10" t="s">
        <v>202</v>
      </c>
      <c r="I28" s="10" t="s">
        <v>203</v>
      </c>
      <c r="J28" s="11">
        <v>0.52</v>
      </c>
    </row>
    <row r="29" spans="1:10">
      <c r="A29" s="10" t="s">
        <v>204</v>
      </c>
      <c r="B29" s="10" t="s">
        <v>205</v>
      </c>
      <c r="C29" s="10" t="s">
        <v>35</v>
      </c>
      <c r="D29" s="10" t="s">
        <v>50</v>
      </c>
      <c r="E29" s="10" t="s">
        <v>16</v>
      </c>
      <c r="F29" s="10" t="s">
        <v>206</v>
      </c>
      <c r="G29" s="10" t="s">
        <v>207</v>
      </c>
      <c r="H29" s="10" t="s">
        <v>208</v>
      </c>
      <c r="I29" s="10" t="s">
        <v>209</v>
      </c>
      <c r="J29" s="11">
        <v>0.7</v>
      </c>
    </row>
    <row r="30" spans="1:10">
      <c r="A30" s="10" t="s">
        <v>210</v>
      </c>
      <c r="B30" s="10" t="s">
        <v>211</v>
      </c>
      <c r="C30" s="10" t="s">
        <v>43</v>
      </c>
      <c r="D30" s="10" t="s">
        <v>44</v>
      </c>
      <c r="E30" s="10" t="s">
        <v>8</v>
      </c>
      <c r="F30" s="10" t="s">
        <v>212</v>
      </c>
      <c r="G30" s="10" t="s">
        <v>213</v>
      </c>
      <c r="H30" s="10" t="s">
        <v>214</v>
      </c>
      <c r="I30" s="10" t="s">
        <v>215</v>
      </c>
      <c r="J30" s="11">
        <v>0.61</v>
      </c>
    </row>
    <row r="31" spans="1:10">
      <c r="A31" s="10" t="s">
        <v>216</v>
      </c>
      <c r="B31" s="10" t="s">
        <v>217</v>
      </c>
      <c r="C31" s="10" t="s">
        <v>43</v>
      </c>
      <c r="D31" s="10" t="s">
        <v>44</v>
      </c>
      <c r="E31" s="10" t="s">
        <v>37</v>
      </c>
      <c r="F31" s="10" t="s">
        <v>218</v>
      </c>
      <c r="G31" s="10" t="s">
        <v>219</v>
      </c>
      <c r="H31" s="10" t="s">
        <v>220</v>
      </c>
      <c r="I31" s="10" t="s">
        <v>221</v>
      </c>
      <c r="J31" s="11">
        <v>0.81</v>
      </c>
    </row>
    <row r="32" spans="1:10">
      <c r="A32" s="10" t="s">
        <v>222</v>
      </c>
      <c r="B32" s="10" t="s">
        <v>223</v>
      </c>
      <c r="C32" s="10" t="s">
        <v>35</v>
      </c>
      <c r="D32" s="10" t="s">
        <v>44</v>
      </c>
      <c r="E32" s="10" t="s">
        <v>37</v>
      </c>
      <c r="F32" s="10" t="s">
        <v>96</v>
      </c>
      <c r="G32" s="10" t="s">
        <v>224</v>
      </c>
      <c r="H32" s="10" t="s">
        <v>225</v>
      </c>
      <c r="I32" s="10" t="s">
        <v>226</v>
      </c>
      <c r="J32" s="11">
        <v>0.64</v>
      </c>
    </row>
    <row r="33" spans="1:10">
      <c r="A33" s="10" t="s">
        <v>227</v>
      </c>
      <c r="B33" s="10" t="s">
        <v>228</v>
      </c>
      <c r="C33" s="10" t="s">
        <v>35</v>
      </c>
      <c r="D33" s="10" t="s">
        <v>36</v>
      </c>
      <c r="E33" s="10" t="s">
        <v>88</v>
      </c>
      <c r="F33" s="10" t="s">
        <v>229</v>
      </c>
      <c r="G33" s="10" t="s">
        <v>230</v>
      </c>
      <c r="H33" s="10" t="s">
        <v>231</v>
      </c>
      <c r="I33" s="10" t="s">
        <v>232</v>
      </c>
      <c r="J33" s="11">
        <v>0.91</v>
      </c>
    </row>
    <row r="34" spans="1:10">
      <c r="A34" s="10" t="s">
        <v>233</v>
      </c>
      <c r="B34" s="10" t="s">
        <v>234</v>
      </c>
      <c r="C34" s="10" t="s">
        <v>35</v>
      </c>
      <c r="D34" s="10" t="s">
        <v>102</v>
      </c>
      <c r="E34" s="10" t="s">
        <v>16</v>
      </c>
      <c r="F34" s="10" t="s">
        <v>235</v>
      </c>
      <c r="G34" s="10" t="s">
        <v>236</v>
      </c>
      <c r="H34" s="10" t="s">
        <v>237</v>
      </c>
      <c r="I34" s="10" t="s">
        <v>238</v>
      </c>
      <c r="J34" s="11">
        <v>0.56000000000000005</v>
      </c>
    </row>
    <row r="35" spans="1:10">
      <c r="A35" s="10" t="s">
        <v>239</v>
      </c>
      <c r="B35" s="10" t="s">
        <v>240</v>
      </c>
      <c r="C35" s="10" t="s">
        <v>35</v>
      </c>
      <c r="D35" s="10" t="s">
        <v>56</v>
      </c>
      <c r="E35" s="10" t="s">
        <v>37</v>
      </c>
      <c r="F35" s="10" t="s">
        <v>165</v>
      </c>
      <c r="G35" s="10" t="s">
        <v>188</v>
      </c>
      <c r="H35" s="10" t="s">
        <v>241</v>
      </c>
      <c r="I35" s="10">
        <v>19</v>
      </c>
      <c r="J35" s="11">
        <v>0.99</v>
      </c>
    </row>
    <row r="36" spans="1:10">
      <c r="A36" s="10" t="s">
        <v>242</v>
      </c>
      <c r="B36" s="10" t="s">
        <v>243</v>
      </c>
      <c r="C36" s="10" t="s">
        <v>35</v>
      </c>
      <c r="D36" s="10" t="s">
        <v>69</v>
      </c>
      <c r="E36" s="10" t="s">
        <v>8</v>
      </c>
      <c r="F36" s="10" t="s">
        <v>244</v>
      </c>
      <c r="G36" s="10" t="s">
        <v>245</v>
      </c>
      <c r="H36" s="10" t="s">
        <v>246</v>
      </c>
      <c r="I36" s="10" t="s">
        <v>247</v>
      </c>
      <c r="J36" s="11">
        <v>0.87</v>
      </c>
    </row>
    <row r="37" spans="1:10">
      <c r="A37" s="10" t="s">
        <v>248</v>
      </c>
      <c r="B37" s="10" t="s">
        <v>249</v>
      </c>
      <c r="C37" s="10" t="s">
        <v>35</v>
      </c>
      <c r="D37" s="10" t="s">
        <v>62</v>
      </c>
      <c r="E37" s="10" t="s">
        <v>8</v>
      </c>
      <c r="F37" s="10" t="s">
        <v>250</v>
      </c>
      <c r="G37" s="10" t="s">
        <v>251</v>
      </c>
      <c r="H37" s="10" t="s">
        <v>252</v>
      </c>
      <c r="I37" s="10" t="s">
        <v>253</v>
      </c>
      <c r="J37" s="11">
        <v>0.83</v>
      </c>
    </row>
    <row r="38" spans="1:10">
      <c r="A38" s="10" t="s">
        <v>254</v>
      </c>
      <c r="B38" s="10" t="s">
        <v>255</v>
      </c>
      <c r="C38" s="10" t="s">
        <v>35</v>
      </c>
      <c r="D38" s="10" t="s">
        <v>44</v>
      </c>
      <c r="E38" s="10" t="s">
        <v>88</v>
      </c>
      <c r="F38" s="10" t="s">
        <v>71</v>
      </c>
      <c r="G38" s="10" t="s">
        <v>256</v>
      </c>
      <c r="H38" s="10" t="s">
        <v>257</v>
      </c>
      <c r="I38" s="10" t="s">
        <v>258</v>
      </c>
      <c r="J38" s="11">
        <v>0.73</v>
      </c>
    </row>
    <row r="39" spans="1:10">
      <c r="A39" s="10" t="s">
        <v>259</v>
      </c>
      <c r="B39" s="10" t="s">
        <v>260</v>
      </c>
      <c r="C39" s="10" t="s">
        <v>43</v>
      </c>
      <c r="D39" s="10" t="s">
        <v>151</v>
      </c>
      <c r="E39" s="10" t="s">
        <v>37</v>
      </c>
      <c r="F39" s="10" t="s">
        <v>261</v>
      </c>
      <c r="G39" s="10" t="s">
        <v>262</v>
      </c>
      <c r="H39" s="10" t="s">
        <v>263</v>
      </c>
      <c r="I39" s="10" t="s">
        <v>264</v>
      </c>
      <c r="J39" s="11">
        <v>0.68</v>
      </c>
    </row>
    <row r="40" spans="1:10">
      <c r="A40" s="10" t="s">
        <v>265</v>
      </c>
      <c r="B40" s="10" t="s">
        <v>266</v>
      </c>
      <c r="C40" s="10" t="s">
        <v>43</v>
      </c>
      <c r="D40" s="10" t="s">
        <v>151</v>
      </c>
      <c r="E40" s="10" t="s">
        <v>8</v>
      </c>
      <c r="F40" s="10" t="s">
        <v>267</v>
      </c>
      <c r="G40" s="10" t="s">
        <v>268</v>
      </c>
      <c r="H40" s="10" t="s">
        <v>269</v>
      </c>
      <c r="I40" s="10" t="s">
        <v>70</v>
      </c>
      <c r="J40" s="11">
        <v>0.52</v>
      </c>
    </row>
    <row r="41" spans="1:10">
      <c r="A41" s="10" t="s">
        <v>270</v>
      </c>
      <c r="B41" s="10" t="s">
        <v>271</v>
      </c>
      <c r="C41" s="10" t="s">
        <v>43</v>
      </c>
      <c r="D41" s="10" t="s">
        <v>56</v>
      </c>
      <c r="E41" s="10" t="s">
        <v>88</v>
      </c>
      <c r="F41" s="10" t="s">
        <v>272</v>
      </c>
      <c r="G41" s="10" t="s">
        <v>273</v>
      </c>
      <c r="H41" s="10" t="s">
        <v>274</v>
      </c>
      <c r="I41" s="10" t="s">
        <v>275</v>
      </c>
      <c r="J41" s="11">
        <v>0.63</v>
      </c>
    </row>
    <row r="42" spans="1:10">
      <c r="A42" s="10" t="s">
        <v>276</v>
      </c>
      <c r="B42" s="10" t="s">
        <v>277</v>
      </c>
      <c r="C42" s="10" t="s">
        <v>43</v>
      </c>
      <c r="D42" s="10" t="s">
        <v>126</v>
      </c>
      <c r="E42" s="10" t="s">
        <v>37</v>
      </c>
      <c r="F42" s="10" t="s">
        <v>278</v>
      </c>
      <c r="G42" s="10" t="s">
        <v>250</v>
      </c>
      <c r="H42" s="10" t="s">
        <v>279</v>
      </c>
      <c r="I42" s="10" t="s">
        <v>280</v>
      </c>
      <c r="J42" s="11">
        <v>0.66</v>
      </c>
    </row>
    <row r="43" spans="1:10">
      <c r="A43" s="10" t="s">
        <v>281</v>
      </c>
      <c r="B43" s="10" t="s">
        <v>282</v>
      </c>
      <c r="C43" s="10" t="s">
        <v>35</v>
      </c>
      <c r="D43" s="10" t="s">
        <v>36</v>
      </c>
      <c r="E43" s="10" t="s">
        <v>88</v>
      </c>
      <c r="F43" s="10" t="s">
        <v>283</v>
      </c>
      <c r="G43" s="10" t="s">
        <v>284</v>
      </c>
      <c r="H43" s="10" t="s">
        <v>285</v>
      </c>
      <c r="I43" s="10" t="s">
        <v>286</v>
      </c>
      <c r="J43" s="11">
        <v>0.83</v>
      </c>
    </row>
    <row r="44" spans="1:10">
      <c r="A44" s="10" t="s">
        <v>287</v>
      </c>
      <c r="B44" s="10" t="s">
        <v>288</v>
      </c>
      <c r="C44" s="10" t="s">
        <v>43</v>
      </c>
      <c r="D44" s="10" t="s">
        <v>50</v>
      </c>
      <c r="E44" s="10" t="s">
        <v>16</v>
      </c>
      <c r="F44" s="10" t="s">
        <v>289</v>
      </c>
      <c r="G44" s="10" t="s">
        <v>290</v>
      </c>
      <c r="H44" s="10" t="s">
        <v>291</v>
      </c>
      <c r="I44" s="10" t="s">
        <v>292</v>
      </c>
      <c r="J44" s="11">
        <v>0.89</v>
      </c>
    </row>
    <row r="45" spans="1:10">
      <c r="A45" s="10" t="s">
        <v>293</v>
      </c>
      <c r="B45" s="10" t="s">
        <v>294</v>
      </c>
      <c r="C45" s="10" t="s">
        <v>43</v>
      </c>
      <c r="D45" s="10" t="s">
        <v>95</v>
      </c>
      <c r="E45" s="10" t="s">
        <v>37</v>
      </c>
      <c r="F45" s="10" t="s">
        <v>295</v>
      </c>
      <c r="G45" s="10" t="s">
        <v>296</v>
      </c>
      <c r="H45" s="10" t="s">
        <v>297</v>
      </c>
      <c r="I45" s="10" t="s">
        <v>298</v>
      </c>
      <c r="J45" s="11">
        <v>0.83</v>
      </c>
    </row>
    <row r="46" spans="1:10">
      <c r="A46" s="10" t="s">
        <v>299</v>
      </c>
      <c r="B46" s="10" t="s">
        <v>300</v>
      </c>
      <c r="C46" s="10" t="s">
        <v>43</v>
      </c>
      <c r="D46" s="10" t="s">
        <v>50</v>
      </c>
      <c r="E46" s="10" t="s">
        <v>16</v>
      </c>
      <c r="F46" s="10" t="s">
        <v>301</v>
      </c>
      <c r="G46" s="10" t="s">
        <v>302</v>
      </c>
      <c r="H46" s="10" t="s">
        <v>303</v>
      </c>
      <c r="I46" s="10" t="s">
        <v>304</v>
      </c>
      <c r="J46" s="11">
        <v>0.9</v>
      </c>
    </row>
    <row r="47" spans="1:10">
      <c r="A47" s="10" t="s">
        <v>305</v>
      </c>
      <c r="B47" s="10" t="s">
        <v>306</v>
      </c>
      <c r="C47" s="10" t="s">
        <v>35</v>
      </c>
      <c r="D47" s="10" t="s">
        <v>69</v>
      </c>
      <c r="E47" s="10" t="s">
        <v>88</v>
      </c>
      <c r="F47" s="10" t="s">
        <v>307</v>
      </c>
      <c r="G47" s="10" t="s">
        <v>308</v>
      </c>
      <c r="H47" s="10" t="s">
        <v>309</v>
      </c>
      <c r="I47" s="10" t="s">
        <v>145</v>
      </c>
      <c r="J47" s="11">
        <v>0.79</v>
      </c>
    </row>
    <row r="48" spans="1:10">
      <c r="A48" s="10" t="s">
        <v>310</v>
      </c>
      <c r="B48" s="10" t="s">
        <v>311</v>
      </c>
      <c r="C48" s="10" t="s">
        <v>43</v>
      </c>
      <c r="D48" s="10" t="s">
        <v>69</v>
      </c>
      <c r="E48" s="10" t="s">
        <v>37</v>
      </c>
      <c r="F48" s="10" t="s">
        <v>312</v>
      </c>
      <c r="G48" s="10" t="s">
        <v>313</v>
      </c>
      <c r="H48" s="10" t="s">
        <v>314</v>
      </c>
      <c r="I48" s="10" t="s">
        <v>315</v>
      </c>
      <c r="J48" s="11">
        <v>0.55000000000000004</v>
      </c>
    </row>
    <row r="49" spans="1:10">
      <c r="A49" s="10" t="s">
        <v>316</v>
      </c>
      <c r="B49" s="10" t="s">
        <v>317</v>
      </c>
      <c r="C49" s="10" t="s">
        <v>43</v>
      </c>
      <c r="D49" s="10" t="s">
        <v>126</v>
      </c>
      <c r="E49" s="10" t="s">
        <v>88</v>
      </c>
      <c r="F49" s="10" t="s">
        <v>318</v>
      </c>
      <c r="G49" s="10" t="s">
        <v>319</v>
      </c>
      <c r="H49" s="10" t="s">
        <v>320</v>
      </c>
      <c r="I49" s="10" t="s">
        <v>321</v>
      </c>
      <c r="J49" s="11">
        <v>0.9</v>
      </c>
    </row>
    <row r="50" spans="1:10">
      <c r="A50" s="10" t="s">
        <v>322</v>
      </c>
      <c r="B50" s="10" t="s">
        <v>323</v>
      </c>
      <c r="C50" s="10" t="s">
        <v>43</v>
      </c>
      <c r="D50" s="10" t="s">
        <v>126</v>
      </c>
      <c r="E50" s="10" t="s">
        <v>88</v>
      </c>
      <c r="F50" s="10" t="s">
        <v>324</v>
      </c>
      <c r="G50" s="10" t="s">
        <v>325</v>
      </c>
      <c r="H50" s="10" t="s">
        <v>326</v>
      </c>
      <c r="I50" s="10" t="s">
        <v>327</v>
      </c>
      <c r="J50" s="11">
        <v>0.74</v>
      </c>
    </row>
    <row r="51" spans="1:10">
      <c r="A51" s="10" t="s">
        <v>328</v>
      </c>
      <c r="B51" s="10" t="s">
        <v>329</v>
      </c>
      <c r="C51" s="10" t="s">
        <v>43</v>
      </c>
      <c r="D51" s="10" t="s">
        <v>36</v>
      </c>
      <c r="E51" s="10" t="s">
        <v>88</v>
      </c>
      <c r="F51" s="10" t="s">
        <v>275</v>
      </c>
      <c r="G51" s="10" t="s">
        <v>330</v>
      </c>
      <c r="H51" s="10" t="s">
        <v>331</v>
      </c>
      <c r="I51" s="10" t="s">
        <v>332</v>
      </c>
      <c r="J51" s="11">
        <v>0.64</v>
      </c>
    </row>
    <row r="52" spans="1:10">
      <c r="A52" s="10" t="s">
        <v>333</v>
      </c>
      <c r="B52" s="10" t="s">
        <v>334</v>
      </c>
      <c r="C52" s="10" t="s">
        <v>43</v>
      </c>
      <c r="D52" s="10" t="s">
        <v>102</v>
      </c>
      <c r="E52" s="10" t="s">
        <v>37</v>
      </c>
      <c r="F52" s="10" t="s">
        <v>335</v>
      </c>
      <c r="G52" s="10" t="s">
        <v>336</v>
      </c>
      <c r="H52" s="10" t="s">
        <v>124</v>
      </c>
      <c r="I52" s="10" t="s">
        <v>148</v>
      </c>
      <c r="J52" s="11">
        <v>0.7</v>
      </c>
    </row>
    <row r="53" spans="1:10">
      <c r="A53" s="10" t="s">
        <v>337</v>
      </c>
      <c r="B53" s="10" t="s">
        <v>338</v>
      </c>
      <c r="C53" s="10" t="s">
        <v>43</v>
      </c>
      <c r="D53" s="10" t="s">
        <v>69</v>
      </c>
      <c r="E53" s="10" t="s">
        <v>88</v>
      </c>
      <c r="F53" s="10" t="s">
        <v>339</v>
      </c>
      <c r="G53" s="10" t="s">
        <v>315</v>
      </c>
      <c r="H53" s="10" t="s">
        <v>340</v>
      </c>
      <c r="I53" s="10" t="s">
        <v>341</v>
      </c>
      <c r="J53" s="11">
        <v>0.94</v>
      </c>
    </row>
    <row r="54" spans="1:10">
      <c r="A54" s="10" t="s">
        <v>342</v>
      </c>
      <c r="B54" s="10" t="s">
        <v>343</v>
      </c>
      <c r="C54" s="10" t="s">
        <v>43</v>
      </c>
      <c r="D54" s="10" t="s">
        <v>56</v>
      </c>
      <c r="E54" s="10" t="s">
        <v>16</v>
      </c>
      <c r="F54" s="10" t="s">
        <v>344</v>
      </c>
      <c r="G54" s="10" t="s">
        <v>121</v>
      </c>
      <c r="H54" s="10" t="s">
        <v>345</v>
      </c>
      <c r="I54" s="10" t="s">
        <v>346</v>
      </c>
      <c r="J54" s="11">
        <v>0.87</v>
      </c>
    </row>
    <row r="55" spans="1:10">
      <c r="A55" s="10" t="s">
        <v>347</v>
      </c>
      <c r="B55" s="10" t="s">
        <v>348</v>
      </c>
      <c r="C55" s="10" t="s">
        <v>35</v>
      </c>
      <c r="D55" s="10" t="s">
        <v>36</v>
      </c>
      <c r="E55" s="10" t="s">
        <v>88</v>
      </c>
      <c r="F55" s="10" t="s">
        <v>349</v>
      </c>
      <c r="G55" s="10" t="s">
        <v>350</v>
      </c>
      <c r="H55" s="10" t="s">
        <v>351</v>
      </c>
      <c r="I55" s="10" t="s">
        <v>320</v>
      </c>
      <c r="J55" s="11">
        <v>0.86</v>
      </c>
    </row>
    <row r="56" spans="1:10">
      <c r="A56" s="10" t="s">
        <v>352</v>
      </c>
      <c r="B56" s="10" t="s">
        <v>353</v>
      </c>
      <c r="C56" s="10" t="s">
        <v>43</v>
      </c>
      <c r="D56" s="10" t="s">
        <v>126</v>
      </c>
      <c r="E56" s="10" t="s">
        <v>8</v>
      </c>
      <c r="F56" s="10" t="s">
        <v>354</v>
      </c>
      <c r="G56" s="10" t="s">
        <v>355</v>
      </c>
      <c r="H56" s="10" t="s">
        <v>356</v>
      </c>
      <c r="I56" s="10" t="s">
        <v>357</v>
      </c>
      <c r="J56" s="11">
        <v>0.71</v>
      </c>
    </row>
    <row r="57" spans="1:10">
      <c r="A57" s="10" t="s">
        <v>358</v>
      </c>
      <c r="B57" s="10" t="s">
        <v>359</v>
      </c>
      <c r="C57" s="10" t="s">
        <v>43</v>
      </c>
      <c r="D57" s="10" t="s">
        <v>36</v>
      </c>
      <c r="E57" s="10" t="s">
        <v>88</v>
      </c>
      <c r="F57" s="10" t="s">
        <v>360</v>
      </c>
      <c r="G57" s="10" t="s">
        <v>361</v>
      </c>
      <c r="H57" s="10" t="s">
        <v>362</v>
      </c>
      <c r="I57" s="10" t="s">
        <v>363</v>
      </c>
      <c r="J57" s="11">
        <v>0.64</v>
      </c>
    </row>
    <row r="58" spans="1:10">
      <c r="A58" s="10" t="s">
        <v>364</v>
      </c>
      <c r="B58" s="10" t="s">
        <v>365</v>
      </c>
      <c r="C58" s="10" t="s">
        <v>43</v>
      </c>
      <c r="D58" s="10" t="s">
        <v>95</v>
      </c>
      <c r="E58" s="10" t="s">
        <v>8</v>
      </c>
      <c r="F58" s="10" t="s">
        <v>366</v>
      </c>
      <c r="G58" s="10" t="s">
        <v>367</v>
      </c>
      <c r="H58" s="10" t="s">
        <v>368</v>
      </c>
      <c r="I58" s="10" t="s">
        <v>369</v>
      </c>
      <c r="J58" s="11">
        <v>0.53</v>
      </c>
    </row>
    <row r="59" spans="1:10">
      <c r="A59" s="10" t="s">
        <v>370</v>
      </c>
      <c r="B59" s="10" t="s">
        <v>371</v>
      </c>
      <c r="C59" s="10" t="s">
        <v>35</v>
      </c>
      <c r="D59" s="10" t="s">
        <v>69</v>
      </c>
      <c r="E59" s="10" t="s">
        <v>8</v>
      </c>
      <c r="F59" s="10" t="s">
        <v>372</v>
      </c>
      <c r="G59" s="10" t="s">
        <v>209</v>
      </c>
      <c r="H59" s="10" t="s">
        <v>373</v>
      </c>
      <c r="I59" s="10" t="s">
        <v>374</v>
      </c>
      <c r="J59" s="11">
        <v>0.97</v>
      </c>
    </row>
    <row r="60" spans="1:10">
      <c r="A60" s="10" t="s">
        <v>375</v>
      </c>
      <c r="B60" s="10" t="s">
        <v>376</v>
      </c>
      <c r="C60" s="10" t="s">
        <v>43</v>
      </c>
      <c r="D60" s="10" t="s">
        <v>56</v>
      </c>
      <c r="E60" s="10" t="s">
        <v>37</v>
      </c>
      <c r="F60" s="10" t="s">
        <v>112</v>
      </c>
      <c r="G60" s="10" t="s">
        <v>377</v>
      </c>
      <c r="H60" s="10" t="s">
        <v>378</v>
      </c>
      <c r="I60" s="10" t="s">
        <v>220</v>
      </c>
      <c r="J60" s="11">
        <v>0.57999999999999996</v>
      </c>
    </row>
    <row r="61" spans="1:10">
      <c r="A61" s="10" t="s">
        <v>379</v>
      </c>
      <c r="B61" s="10" t="s">
        <v>380</v>
      </c>
      <c r="C61" s="10" t="s">
        <v>43</v>
      </c>
      <c r="D61" s="10" t="s">
        <v>151</v>
      </c>
      <c r="E61" s="10" t="s">
        <v>16</v>
      </c>
      <c r="F61" s="10" t="s">
        <v>381</v>
      </c>
      <c r="G61" s="10" t="s">
        <v>230</v>
      </c>
      <c r="H61" s="10" t="s">
        <v>382</v>
      </c>
      <c r="I61" s="10" t="s">
        <v>201</v>
      </c>
      <c r="J61" s="11">
        <v>0.6</v>
      </c>
    </row>
    <row r="62" spans="1:10">
      <c r="A62" s="10" t="s">
        <v>383</v>
      </c>
      <c r="B62" s="10" t="s">
        <v>384</v>
      </c>
      <c r="C62" s="10" t="s">
        <v>35</v>
      </c>
      <c r="D62" s="10" t="s">
        <v>36</v>
      </c>
      <c r="E62" s="10" t="s">
        <v>8</v>
      </c>
      <c r="F62" s="10" t="s">
        <v>385</v>
      </c>
      <c r="G62" s="10" t="s">
        <v>386</v>
      </c>
      <c r="H62" s="10" t="s">
        <v>387</v>
      </c>
      <c r="I62" s="10" t="s">
        <v>388</v>
      </c>
      <c r="J62" s="11">
        <v>0.83</v>
      </c>
    </row>
    <row r="63" spans="1:10">
      <c r="A63" s="10" t="s">
        <v>389</v>
      </c>
      <c r="B63" s="10" t="s">
        <v>390</v>
      </c>
      <c r="C63" s="10" t="s">
        <v>35</v>
      </c>
      <c r="D63" s="10" t="s">
        <v>56</v>
      </c>
      <c r="E63" s="10" t="s">
        <v>8</v>
      </c>
      <c r="F63" s="10" t="s">
        <v>64</v>
      </c>
      <c r="G63" s="10" t="s">
        <v>72</v>
      </c>
      <c r="H63" s="10" t="s">
        <v>391</v>
      </c>
      <c r="I63" s="10" t="s">
        <v>197</v>
      </c>
      <c r="J63" s="11">
        <v>0.82</v>
      </c>
    </row>
    <row r="64" spans="1:10">
      <c r="A64" s="10" t="s">
        <v>392</v>
      </c>
      <c r="B64" s="10" t="s">
        <v>393</v>
      </c>
      <c r="C64" s="10" t="s">
        <v>43</v>
      </c>
      <c r="D64" s="10" t="s">
        <v>102</v>
      </c>
      <c r="E64" s="10" t="s">
        <v>16</v>
      </c>
      <c r="F64" s="10" t="s">
        <v>394</v>
      </c>
      <c r="G64" s="10" t="s">
        <v>395</v>
      </c>
      <c r="H64" s="10" t="s">
        <v>396</v>
      </c>
      <c r="I64" s="10" t="s">
        <v>139</v>
      </c>
      <c r="J64" s="11">
        <v>0.91</v>
      </c>
    </row>
    <row r="65" spans="1:10">
      <c r="A65" s="10" t="s">
        <v>397</v>
      </c>
      <c r="B65" s="10" t="s">
        <v>398</v>
      </c>
      <c r="C65" s="10" t="s">
        <v>43</v>
      </c>
      <c r="D65" s="10" t="s">
        <v>44</v>
      </c>
      <c r="E65" s="10" t="s">
        <v>16</v>
      </c>
      <c r="F65" s="10" t="s">
        <v>399</v>
      </c>
      <c r="G65" s="10" t="s">
        <v>400</v>
      </c>
      <c r="H65" s="10" t="s">
        <v>332</v>
      </c>
      <c r="I65" s="10" t="s">
        <v>312</v>
      </c>
      <c r="J65" s="11">
        <v>0.69</v>
      </c>
    </row>
    <row r="66" spans="1:10">
      <c r="A66" s="10" t="s">
        <v>401</v>
      </c>
      <c r="B66" s="10" t="s">
        <v>402</v>
      </c>
      <c r="C66" s="10" t="s">
        <v>35</v>
      </c>
      <c r="D66" s="10" t="s">
        <v>102</v>
      </c>
      <c r="E66" s="10" t="s">
        <v>88</v>
      </c>
      <c r="F66" s="10" t="s">
        <v>403</v>
      </c>
      <c r="G66" s="10" t="s">
        <v>320</v>
      </c>
      <c r="H66" s="10" t="s">
        <v>404</v>
      </c>
      <c r="I66" s="10" t="s">
        <v>405</v>
      </c>
      <c r="J66" s="11">
        <v>0.85</v>
      </c>
    </row>
    <row r="67" spans="1:10">
      <c r="A67" s="10" t="s">
        <v>406</v>
      </c>
      <c r="B67" s="10" t="s">
        <v>407</v>
      </c>
      <c r="C67" s="10" t="s">
        <v>43</v>
      </c>
      <c r="D67" s="10" t="s">
        <v>126</v>
      </c>
      <c r="E67" s="10" t="s">
        <v>37</v>
      </c>
      <c r="F67" s="10" t="s">
        <v>133</v>
      </c>
      <c r="G67" s="10" t="s">
        <v>408</v>
      </c>
      <c r="H67" s="10" t="s">
        <v>261</v>
      </c>
      <c r="I67" s="10" t="s">
        <v>409</v>
      </c>
      <c r="J67" s="11">
        <v>0.85</v>
      </c>
    </row>
    <row r="68" spans="1:10">
      <c r="A68" s="10" t="s">
        <v>410</v>
      </c>
      <c r="B68" s="10" t="s">
        <v>411</v>
      </c>
      <c r="C68" s="10" t="s">
        <v>43</v>
      </c>
      <c r="D68" s="10" t="s">
        <v>44</v>
      </c>
      <c r="E68" s="10" t="s">
        <v>16</v>
      </c>
      <c r="F68" s="10" t="s">
        <v>412</v>
      </c>
      <c r="G68" s="10" t="s">
        <v>413</v>
      </c>
      <c r="H68" s="10" t="s">
        <v>414</v>
      </c>
      <c r="I68" s="10" t="s">
        <v>415</v>
      </c>
      <c r="J68" s="11">
        <v>0.74</v>
      </c>
    </row>
    <row r="69" spans="1:10">
      <c r="A69" s="10" t="s">
        <v>416</v>
      </c>
      <c r="B69" s="10" t="s">
        <v>417</v>
      </c>
      <c r="C69" s="10" t="s">
        <v>43</v>
      </c>
      <c r="D69" s="10" t="s">
        <v>126</v>
      </c>
      <c r="E69" s="10" t="s">
        <v>16</v>
      </c>
      <c r="F69" s="10" t="s">
        <v>418</v>
      </c>
      <c r="G69" s="10" t="s">
        <v>419</v>
      </c>
      <c r="H69" s="10" t="s">
        <v>420</v>
      </c>
      <c r="I69" s="10" t="s">
        <v>421</v>
      </c>
      <c r="J69" s="11">
        <v>0.86</v>
      </c>
    </row>
    <row r="70" spans="1:10">
      <c r="A70" s="10" t="s">
        <v>422</v>
      </c>
      <c r="B70" s="10" t="s">
        <v>423</v>
      </c>
      <c r="C70" s="10" t="s">
        <v>43</v>
      </c>
      <c r="D70" s="10" t="s">
        <v>126</v>
      </c>
      <c r="E70" s="10" t="s">
        <v>37</v>
      </c>
      <c r="F70" s="10" t="s">
        <v>357</v>
      </c>
      <c r="G70" s="10" t="s">
        <v>424</v>
      </c>
      <c r="H70" s="10" t="s">
        <v>425</v>
      </c>
      <c r="I70" s="10" t="s">
        <v>426</v>
      </c>
      <c r="J70" s="11">
        <v>0.88</v>
      </c>
    </row>
    <row r="71" spans="1:10">
      <c r="A71" s="10" t="s">
        <v>427</v>
      </c>
      <c r="B71" s="10" t="s">
        <v>428</v>
      </c>
      <c r="C71" s="10" t="s">
        <v>43</v>
      </c>
      <c r="D71" s="10" t="s">
        <v>36</v>
      </c>
      <c r="E71" s="10" t="s">
        <v>37</v>
      </c>
      <c r="F71" s="10" t="s">
        <v>429</v>
      </c>
      <c r="G71" s="10" t="s">
        <v>430</v>
      </c>
      <c r="H71" s="10" t="s">
        <v>431</v>
      </c>
      <c r="I71" s="10" t="s">
        <v>432</v>
      </c>
      <c r="J71" s="11">
        <v>0.52</v>
      </c>
    </row>
    <row r="72" spans="1:10">
      <c r="A72" s="10" t="s">
        <v>433</v>
      </c>
      <c r="B72" s="10" t="s">
        <v>223</v>
      </c>
      <c r="C72" s="10" t="s">
        <v>35</v>
      </c>
      <c r="D72" s="10" t="s">
        <v>102</v>
      </c>
      <c r="E72" s="10" t="s">
        <v>88</v>
      </c>
      <c r="F72" s="10" t="s">
        <v>434</v>
      </c>
      <c r="G72" s="10" t="s">
        <v>435</v>
      </c>
      <c r="H72" s="10" t="s">
        <v>436</v>
      </c>
      <c r="I72" s="10" t="s">
        <v>437</v>
      </c>
      <c r="J72" s="11">
        <v>0.67</v>
      </c>
    </row>
    <row r="73" spans="1:10">
      <c r="A73" s="10" t="s">
        <v>438</v>
      </c>
      <c r="B73" s="10" t="s">
        <v>439</v>
      </c>
      <c r="C73" s="10" t="s">
        <v>35</v>
      </c>
      <c r="D73" s="10" t="s">
        <v>44</v>
      </c>
      <c r="E73" s="10" t="s">
        <v>8</v>
      </c>
      <c r="F73" s="10" t="s">
        <v>440</v>
      </c>
      <c r="G73" s="10" t="s">
        <v>441</v>
      </c>
      <c r="H73" s="10" t="s">
        <v>442</v>
      </c>
      <c r="I73" s="10" t="s">
        <v>443</v>
      </c>
      <c r="J73" s="11">
        <v>0.56999999999999995</v>
      </c>
    </row>
    <row r="74" spans="1:10">
      <c r="A74" s="10" t="s">
        <v>444</v>
      </c>
      <c r="B74" s="10" t="s">
        <v>445</v>
      </c>
      <c r="C74" s="10" t="s">
        <v>43</v>
      </c>
      <c r="D74" s="10" t="s">
        <v>44</v>
      </c>
      <c r="E74" s="10" t="s">
        <v>88</v>
      </c>
      <c r="F74" s="10" t="s">
        <v>272</v>
      </c>
      <c r="G74" s="10" t="s">
        <v>446</v>
      </c>
      <c r="H74" s="10" t="s">
        <v>447</v>
      </c>
      <c r="I74" s="10" t="s">
        <v>448</v>
      </c>
      <c r="J74" s="11">
        <v>0.73</v>
      </c>
    </row>
    <row r="75" spans="1:10">
      <c r="A75" s="10" t="s">
        <v>449</v>
      </c>
      <c r="B75" s="10" t="s">
        <v>450</v>
      </c>
      <c r="C75" s="10" t="s">
        <v>43</v>
      </c>
      <c r="D75" s="10" t="s">
        <v>62</v>
      </c>
      <c r="E75" s="10" t="s">
        <v>16</v>
      </c>
      <c r="F75" s="10" t="s">
        <v>273</v>
      </c>
      <c r="G75" s="10" t="s">
        <v>451</v>
      </c>
      <c r="H75" s="10" t="s">
        <v>297</v>
      </c>
      <c r="I75" s="10" t="s">
        <v>452</v>
      </c>
      <c r="J75" s="11">
        <v>0.88</v>
      </c>
    </row>
    <row r="76" spans="1:10">
      <c r="A76" s="10" t="s">
        <v>453</v>
      </c>
      <c r="B76" s="10" t="s">
        <v>157</v>
      </c>
      <c r="C76" s="10" t="s">
        <v>35</v>
      </c>
      <c r="D76" s="10" t="s">
        <v>44</v>
      </c>
      <c r="E76" s="10" t="s">
        <v>37</v>
      </c>
      <c r="F76" s="10" t="s">
        <v>454</v>
      </c>
      <c r="G76" s="10" t="s">
        <v>279</v>
      </c>
      <c r="H76" s="10" t="s">
        <v>455</v>
      </c>
      <c r="I76" s="10" t="s">
        <v>456</v>
      </c>
      <c r="J76" s="11">
        <v>0.84</v>
      </c>
    </row>
    <row r="77" spans="1:10">
      <c r="A77" s="10" t="s">
        <v>457</v>
      </c>
      <c r="B77" s="10" t="s">
        <v>458</v>
      </c>
      <c r="C77" s="10" t="s">
        <v>43</v>
      </c>
      <c r="D77" s="10" t="s">
        <v>69</v>
      </c>
      <c r="E77" s="10" t="s">
        <v>16</v>
      </c>
      <c r="F77" s="10" t="s">
        <v>314</v>
      </c>
      <c r="G77" s="10" t="s">
        <v>459</v>
      </c>
      <c r="H77" s="10" t="s">
        <v>460</v>
      </c>
      <c r="I77" s="10" t="s">
        <v>461</v>
      </c>
      <c r="J77" s="11">
        <v>0.96</v>
      </c>
    </row>
    <row r="78" spans="1:10">
      <c r="A78" s="10" t="s">
        <v>462</v>
      </c>
      <c r="B78" s="10" t="s">
        <v>463</v>
      </c>
      <c r="C78" s="10" t="s">
        <v>35</v>
      </c>
      <c r="D78" s="10" t="s">
        <v>126</v>
      </c>
      <c r="E78" s="10" t="s">
        <v>37</v>
      </c>
      <c r="F78" s="10" t="s">
        <v>464</v>
      </c>
      <c r="G78" s="10" t="s">
        <v>465</v>
      </c>
      <c r="H78" s="10" t="s">
        <v>308</v>
      </c>
      <c r="I78" s="10" t="s">
        <v>79</v>
      </c>
      <c r="J78" s="11">
        <v>0.57999999999999996</v>
      </c>
    </row>
    <row r="79" spans="1:10">
      <c r="A79" s="10" t="s">
        <v>466</v>
      </c>
      <c r="B79" s="10" t="s">
        <v>467</v>
      </c>
      <c r="C79" s="10" t="s">
        <v>43</v>
      </c>
      <c r="D79" s="10" t="s">
        <v>50</v>
      </c>
      <c r="E79" s="10" t="s">
        <v>16</v>
      </c>
      <c r="F79" s="10" t="s">
        <v>468</v>
      </c>
      <c r="G79" s="10" t="s">
        <v>469</v>
      </c>
      <c r="H79" s="10" t="s">
        <v>291</v>
      </c>
      <c r="I79" s="10" t="s">
        <v>470</v>
      </c>
      <c r="J79" s="11">
        <v>0.64</v>
      </c>
    </row>
    <row r="80" spans="1:10">
      <c r="A80" s="10" t="s">
        <v>471</v>
      </c>
      <c r="B80" s="10" t="s">
        <v>472</v>
      </c>
      <c r="C80" s="10" t="s">
        <v>43</v>
      </c>
      <c r="D80" s="10" t="s">
        <v>50</v>
      </c>
      <c r="E80" s="10" t="s">
        <v>8</v>
      </c>
      <c r="F80" s="10" t="s">
        <v>473</v>
      </c>
      <c r="G80" s="10" t="s">
        <v>474</v>
      </c>
      <c r="H80" s="10" t="s">
        <v>475</v>
      </c>
      <c r="I80" s="10" t="s">
        <v>476</v>
      </c>
      <c r="J80" s="11">
        <v>0.61</v>
      </c>
    </row>
    <row r="81" spans="1:10">
      <c r="A81" s="10" t="s">
        <v>477</v>
      </c>
      <c r="B81" s="10" t="s">
        <v>478</v>
      </c>
      <c r="C81" s="10" t="s">
        <v>35</v>
      </c>
      <c r="D81" s="10" t="s">
        <v>151</v>
      </c>
      <c r="E81" s="10" t="s">
        <v>37</v>
      </c>
      <c r="F81" s="10">
        <v>11</v>
      </c>
      <c r="G81" s="10" t="s">
        <v>479</v>
      </c>
      <c r="H81" s="10" t="s">
        <v>480</v>
      </c>
      <c r="I81" s="10" t="s">
        <v>481</v>
      </c>
      <c r="J81" s="11">
        <v>0.79</v>
      </c>
    </row>
    <row r="82" spans="1:10">
      <c r="A82" s="10" t="s">
        <v>482</v>
      </c>
      <c r="B82" s="10" t="s">
        <v>483</v>
      </c>
      <c r="C82" s="10" t="s">
        <v>43</v>
      </c>
      <c r="D82" s="10" t="s">
        <v>56</v>
      </c>
      <c r="E82" s="10" t="s">
        <v>88</v>
      </c>
      <c r="F82" s="10" t="s">
        <v>484</v>
      </c>
      <c r="G82" s="10" t="s">
        <v>485</v>
      </c>
      <c r="H82" s="10" t="s">
        <v>486</v>
      </c>
      <c r="I82" s="10" t="s">
        <v>280</v>
      </c>
      <c r="J82" s="11">
        <v>0.85</v>
      </c>
    </row>
    <row r="83" spans="1:10">
      <c r="A83" s="10" t="s">
        <v>487</v>
      </c>
      <c r="B83" s="10" t="s">
        <v>488</v>
      </c>
      <c r="C83" s="10" t="s">
        <v>43</v>
      </c>
      <c r="D83" s="10" t="s">
        <v>126</v>
      </c>
      <c r="E83" s="10" t="s">
        <v>8</v>
      </c>
      <c r="F83" s="10" t="s">
        <v>489</v>
      </c>
      <c r="G83" s="10" t="s">
        <v>490</v>
      </c>
      <c r="H83" s="10" t="s">
        <v>491</v>
      </c>
      <c r="I83" s="10" t="s">
        <v>492</v>
      </c>
      <c r="J83" s="11">
        <v>0.7</v>
      </c>
    </row>
    <row r="84" spans="1:10">
      <c r="A84" s="10" t="s">
        <v>493</v>
      </c>
      <c r="B84" s="10" t="s">
        <v>494</v>
      </c>
      <c r="C84" s="10" t="s">
        <v>35</v>
      </c>
      <c r="D84" s="10" t="s">
        <v>62</v>
      </c>
      <c r="E84" s="10" t="s">
        <v>8</v>
      </c>
      <c r="F84" s="10" t="s">
        <v>495</v>
      </c>
      <c r="G84" s="10" t="s">
        <v>496</v>
      </c>
      <c r="H84" s="10" t="s">
        <v>497</v>
      </c>
      <c r="I84" s="10" t="s">
        <v>498</v>
      </c>
      <c r="J84" s="11">
        <v>0.88</v>
      </c>
    </row>
    <row r="85" spans="1:10">
      <c r="A85" s="10" t="s">
        <v>499</v>
      </c>
      <c r="B85" s="10" t="s">
        <v>500</v>
      </c>
      <c r="C85" s="10" t="s">
        <v>35</v>
      </c>
      <c r="D85" s="10" t="s">
        <v>102</v>
      </c>
      <c r="E85" s="10" t="s">
        <v>16</v>
      </c>
      <c r="F85" s="10" t="s">
        <v>501</v>
      </c>
      <c r="G85" s="10" t="s">
        <v>54</v>
      </c>
      <c r="H85" s="10" t="s">
        <v>502</v>
      </c>
      <c r="I85" s="10" t="s">
        <v>503</v>
      </c>
      <c r="J85" s="11">
        <v>0.8</v>
      </c>
    </row>
    <row r="86" spans="1:10">
      <c r="A86" s="10" t="s">
        <v>504</v>
      </c>
      <c r="B86" s="10" t="s">
        <v>505</v>
      </c>
      <c r="C86" s="10" t="s">
        <v>35</v>
      </c>
      <c r="D86" s="10" t="s">
        <v>126</v>
      </c>
      <c r="E86" s="10" t="s">
        <v>8</v>
      </c>
      <c r="F86" s="10" t="s">
        <v>506</v>
      </c>
      <c r="G86" s="10" t="s">
        <v>507</v>
      </c>
      <c r="H86" s="10" t="s">
        <v>508</v>
      </c>
      <c r="I86" s="10" t="s">
        <v>509</v>
      </c>
      <c r="J86" s="11">
        <v>0.73</v>
      </c>
    </row>
    <row r="87" spans="1:10">
      <c r="A87" s="10" t="s">
        <v>510</v>
      </c>
      <c r="B87" s="10" t="s">
        <v>511</v>
      </c>
      <c r="C87" s="10" t="s">
        <v>35</v>
      </c>
      <c r="D87" s="10" t="s">
        <v>36</v>
      </c>
      <c r="E87" s="10" t="s">
        <v>16</v>
      </c>
      <c r="F87" s="10" t="s">
        <v>512</v>
      </c>
      <c r="G87" s="10" t="s">
        <v>513</v>
      </c>
      <c r="H87" s="10" t="s">
        <v>514</v>
      </c>
      <c r="I87" s="10" t="s">
        <v>321</v>
      </c>
      <c r="J87" s="11">
        <v>0.56999999999999995</v>
      </c>
    </row>
    <row r="88" spans="1:10">
      <c r="A88" s="10" t="s">
        <v>515</v>
      </c>
      <c r="B88" s="10" t="s">
        <v>516</v>
      </c>
      <c r="C88" s="10" t="s">
        <v>35</v>
      </c>
      <c r="D88" s="10" t="s">
        <v>102</v>
      </c>
      <c r="E88" s="10" t="s">
        <v>8</v>
      </c>
      <c r="F88" s="10" t="s">
        <v>274</v>
      </c>
      <c r="G88" s="10" t="s">
        <v>517</v>
      </c>
      <c r="H88" s="10" t="s">
        <v>518</v>
      </c>
      <c r="I88" s="10" t="s">
        <v>519</v>
      </c>
      <c r="J88" s="11">
        <v>0.75</v>
      </c>
    </row>
    <row r="89" spans="1:10">
      <c r="A89" s="10" t="s">
        <v>520</v>
      </c>
      <c r="B89" s="10" t="s">
        <v>521</v>
      </c>
      <c r="C89" s="10" t="s">
        <v>35</v>
      </c>
      <c r="D89" s="10" t="s">
        <v>36</v>
      </c>
      <c r="E89" s="10" t="s">
        <v>88</v>
      </c>
      <c r="F89" s="10" t="s">
        <v>522</v>
      </c>
      <c r="G89" s="10" t="s">
        <v>523</v>
      </c>
      <c r="H89" s="10" t="s">
        <v>524</v>
      </c>
      <c r="I89" s="10" t="s">
        <v>525</v>
      </c>
      <c r="J89" s="11">
        <v>0.88</v>
      </c>
    </row>
    <row r="90" spans="1:10">
      <c r="A90" s="10" t="s">
        <v>526</v>
      </c>
      <c r="B90" s="10" t="s">
        <v>211</v>
      </c>
      <c r="C90" s="10" t="s">
        <v>43</v>
      </c>
      <c r="D90" s="10" t="s">
        <v>69</v>
      </c>
      <c r="E90" s="10" t="s">
        <v>37</v>
      </c>
      <c r="F90" s="10" t="s">
        <v>527</v>
      </c>
      <c r="G90" s="10" t="s">
        <v>528</v>
      </c>
      <c r="H90" s="10" t="s">
        <v>529</v>
      </c>
      <c r="I90" s="10" t="s">
        <v>530</v>
      </c>
      <c r="J90" s="11">
        <v>0.87</v>
      </c>
    </row>
    <row r="91" spans="1:10">
      <c r="A91" s="10" t="s">
        <v>531</v>
      </c>
      <c r="B91" s="10" t="s">
        <v>532</v>
      </c>
      <c r="C91" s="10" t="s">
        <v>43</v>
      </c>
      <c r="D91" s="10" t="s">
        <v>102</v>
      </c>
      <c r="E91" s="10" t="s">
        <v>88</v>
      </c>
      <c r="F91" s="10" t="s">
        <v>533</v>
      </c>
      <c r="G91" s="10" t="s">
        <v>534</v>
      </c>
      <c r="H91" s="10" t="s">
        <v>118</v>
      </c>
      <c r="I91" s="10" t="s">
        <v>535</v>
      </c>
      <c r="J91" s="11">
        <v>0.55000000000000004</v>
      </c>
    </row>
    <row r="92" spans="1:10">
      <c r="A92" s="10" t="s">
        <v>536</v>
      </c>
      <c r="B92" s="10" t="s">
        <v>537</v>
      </c>
      <c r="C92" s="10" t="s">
        <v>43</v>
      </c>
      <c r="D92" s="10" t="s">
        <v>95</v>
      </c>
      <c r="E92" s="10" t="s">
        <v>8</v>
      </c>
      <c r="F92" s="10" t="s">
        <v>538</v>
      </c>
      <c r="G92" s="10" t="s">
        <v>539</v>
      </c>
      <c r="H92" s="10" t="s">
        <v>540</v>
      </c>
      <c r="I92" s="10" t="s">
        <v>541</v>
      </c>
      <c r="J92" s="11">
        <v>0.73</v>
      </c>
    </row>
    <row r="93" spans="1:10">
      <c r="A93" s="10" t="s">
        <v>542</v>
      </c>
      <c r="B93" s="10" t="s">
        <v>543</v>
      </c>
      <c r="C93" s="10" t="s">
        <v>43</v>
      </c>
      <c r="D93" s="10" t="s">
        <v>62</v>
      </c>
      <c r="E93" s="10" t="s">
        <v>8</v>
      </c>
      <c r="F93" s="10" t="s">
        <v>544</v>
      </c>
      <c r="G93" s="10" t="s">
        <v>195</v>
      </c>
      <c r="H93" s="10" t="s">
        <v>545</v>
      </c>
      <c r="I93" s="10" t="s">
        <v>73</v>
      </c>
      <c r="J93" s="11">
        <v>0.66</v>
      </c>
    </row>
    <row r="94" spans="1:10">
      <c r="A94" s="10" t="s">
        <v>546</v>
      </c>
      <c r="B94" s="10" t="s">
        <v>547</v>
      </c>
      <c r="C94" s="10" t="s">
        <v>43</v>
      </c>
      <c r="D94" s="10" t="s">
        <v>50</v>
      </c>
      <c r="E94" s="10" t="s">
        <v>8</v>
      </c>
      <c r="F94" s="10" t="s">
        <v>548</v>
      </c>
      <c r="G94" s="10" t="s">
        <v>85</v>
      </c>
      <c r="H94" s="10" t="s">
        <v>235</v>
      </c>
      <c r="I94" s="10" t="s">
        <v>549</v>
      </c>
      <c r="J94" s="11">
        <v>0.55000000000000004</v>
      </c>
    </row>
    <row r="95" spans="1:10">
      <c r="A95" s="10" t="s">
        <v>550</v>
      </c>
      <c r="B95" s="10" t="s">
        <v>551</v>
      </c>
      <c r="C95" s="10" t="s">
        <v>35</v>
      </c>
      <c r="D95" s="10" t="s">
        <v>102</v>
      </c>
      <c r="E95" s="10" t="s">
        <v>16</v>
      </c>
      <c r="F95" s="10" t="s">
        <v>552</v>
      </c>
      <c r="G95" s="10" t="s">
        <v>436</v>
      </c>
      <c r="H95" s="10" t="s">
        <v>553</v>
      </c>
      <c r="I95" s="10" t="s">
        <v>554</v>
      </c>
      <c r="J95" s="11">
        <v>0.69</v>
      </c>
    </row>
    <row r="96" spans="1:10">
      <c r="A96" s="10" t="s">
        <v>555</v>
      </c>
      <c r="B96" s="10" t="s">
        <v>556</v>
      </c>
      <c r="C96" s="10" t="s">
        <v>35</v>
      </c>
      <c r="D96" s="10" t="s">
        <v>62</v>
      </c>
      <c r="E96" s="10" t="s">
        <v>37</v>
      </c>
      <c r="F96" s="10" t="s">
        <v>557</v>
      </c>
      <c r="G96" s="10" t="s">
        <v>558</v>
      </c>
      <c r="H96" s="10" t="s">
        <v>559</v>
      </c>
      <c r="I96" s="10" t="s">
        <v>560</v>
      </c>
      <c r="J96" s="11">
        <v>0.62</v>
      </c>
    </row>
    <row r="97" spans="1:10">
      <c r="A97" s="10" t="s">
        <v>561</v>
      </c>
      <c r="B97" s="10" t="s">
        <v>562</v>
      </c>
      <c r="C97" s="10" t="s">
        <v>35</v>
      </c>
      <c r="D97" s="10" t="s">
        <v>36</v>
      </c>
      <c r="E97" s="10" t="s">
        <v>88</v>
      </c>
      <c r="F97" s="10" t="s">
        <v>563</v>
      </c>
      <c r="G97" s="10" t="s">
        <v>564</v>
      </c>
      <c r="H97" s="10" t="s">
        <v>565</v>
      </c>
      <c r="I97" s="10" t="s">
        <v>566</v>
      </c>
      <c r="J97" s="11">
        <v>0.84</v>
      </c>
    </row>
    <row r="98" spans="1:10">
      <c r="A98" s="10" t="s">
        <v>567</v>
      </c>
      <c r="B98" s="10" t="s">
        <v>175</v>
      </c>
      <c r="C98" s="10" t="s">
        <v>35</v>
      </c>
      <c r="D98" s="10" t="s">
        <v>56</v>
      </c>
      <c r="E98" s="10" t="s">
        <v>16</v>
      </c>
      <c r="F98" s="10" t="s">
        <v>568</v>
      </c>
      <c r="G98" s="10" t="s">
        <v>569</v>
      </c>
      <c r="H98" s="10">
        <v>5</v>
      </c>
      <c r="I98" s="10" t="s">
        <v>570</v>
      </c>
      <c r="J98" s="11">
        <v>0.6</v>
      </c>
    </row>
    <row r="99" spans="1:10">
      <c r="A99" s="10" t="s">
        <v>571</v>
      </c>
      <c r="B99" s="10" t="s">
        <v>572</v>
      </c>
      <c r="C99" s="10" t="s">
        <v>43</v>
      </c>
      <c r="D99" s="10" t="s">
        <v>69</v>
      </c>
      <c r="E99" s="10" t="s">
        <v>88</v>
      </c>
      <c r="F99" s="10" t="s">
        <v>527</v>
      </c>
      <c r="G99" s="10" t="s">
        <v>573</v>
      </c>
      <c r="H99" s="10" t="s">
        <v>508</v>
      </c>
      <c r="I99" s="10" t="s">
        <v>574</v>
      </c>
      <c r="J99" s="11">
        <v>0.99</v>
      </c>
    </row>
    <row r="100" spans="1:10">
      <c r="A100" s="10" t="s">
        <v>575</v>
      </c>
      <c r="B100" s="10" t="s">
        <v>576</v>
      </c>
      <c r="C100" s="10" t="s">
        <v>43</v>
      </c>
      <c r="D100" s="10" t="s">
        <v>50</v>
      </c>
      <c r="E100" s="10" t="s">
        <v>8</v>
      </c>
      <c r="F100" s="10" t="s">
        <v>577</v>
      </c>
      <c r="G100" s="10" t="s">
        <v>578</v>
      </c>
      <c r="H100" s="10" t="s">
        <v>579</v>
      </c>
      <c r="I100" s="10" t="s">
        <v>580</v>
      </c>
      <c r="J100" s="11">
        <v>0.89</v>
      </c>
    </row>
    <row r="101" spans="1:10">
      <c r="A101" s="10" t="s">
        <v>581</v>
      </c>
      <c r="B101" s="10" t="s">
        <v>582</v>
      </c>
      <c r="C101" s="10" t="s">
        <v>35</v>
      </c>
      <c r="D101" s="10" t="s">
        <v>69</v>
      </c>
      <c r="E101" s="10" t="s">
        <v>37</v>
      </c>
      <c r="F101" s="10" t="s">
        <v>372</v>
      </c>
      <c r="G101" s="10" t="s">
        <v>583</v>
      </c>
      <c r="H101" s="10" t="s">
        <v>584</v>
      </c>
      <c r="I101" s="10" t="s">
        <v>585</v>
      </c>
      <c r="J101" s="11">
        <v>0.92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0ED8-F89C-487D-82A9-43985A6E85DE}">
  <dimension ref="A1:E11"/>
  <sheetViews>
    <sheetView tabSelected="1" workbookViewId="0">
      <selection activeCell="E4" sqref="E4"/>
    </sheetView>
  </sheetViews>
  <sheetFormatPr defaultRowHeight="15"/>
  <cols>
    <col min="1" max="1" width="13.5703125" customWidth="1"/>
    <col min="2" max="2" width="12.42578125" customWidth="1"/>
    <col min="4" max="4" width="11.7109375" customWidth="1"/>
    <col min="5" max="5" width="15.85546875" customWidth="1"/>
    <col min="6" max="6" width="13.42578125" customWidth="1"/>
  </cols>
  <sheetData>
    <row r="1" spans="1:5">
      <c r="A1" s="1" t="s">
        <v>586</v>
      </c>
      <c r="B1" s="1" t="s">
        <v>587</v>
      </c>
    </row>
    <row r="2" spans="1:5">
      <c r="A2" s="2" t="s">
        <v>588</v>
      </c>
      <c r="B2" s="12" t="s">
        <v>281</v>
      </c>
      <c r="D2" t="s">
        <v>589</v>
      </c>
      <c r="E2" t="s">
        <v>282</v>
      </c>
    </row>
    <row r="3" spans="1:5">
      <c r="A3" s="2" t="s">
        <v>1</v>
      </c>
      <c r="B3" s="13" t="str">
        <f>_xlfn.XLOOKUP($B$2,Etudiants!A2:A101,Etudiants!B2:B101,"Etudiant Introuvable")</f>
        <v>Bineta Toure</v>
      </c>
      <c r="D3" t="s">
        <v>590</v>
      </c>
      <c r="E3" t="str">
        <f>_xlfn.XLOOKUP(E2,Etudiants!B2:B101,Etudiants!A2:A101,"Nom introuvable")</f>
        <v>ST042</v>
      </c>
    </row>
    <row r="4" spans="1:5">
      <c r="A4" s="2" t="s">
        <v>28</v>
      </c>
      <c r="B4" s="13" t="str">
        <f>_xlfn.XLOOKUP($B$2,Etudiants!$A$2:$A$101,Etudiants!$C$2:$C$101,"Etudiant Introuvable")</f>
        <v>F</v>
      </c>
    </row>
    <row r="5" spans="1:5">
      <c r="A5" s="2" t="s">
        <v>29</v>
      </c>
      <c r="B5" s="13" t="str">
        <f>_xlfn.XLOOKUP($B$2,Etudiants!$A$2:$A$101,Etudiants!$D$2:$D$101,"Etudiant Introuvable")</f>
        <v>Ziguinchor</v>
      </c>
    </row>
    <row r="6" spans="1:5">
      <c r="A6" s="2" t="s">
        <v>2</v>
      </c>
      <c r="B6" s="13" t="str">
        <f>_xlfn.XLOOKUP($B$2,Etudiants!$A$2:$A$101,Etudiants!$E$2:$E$101,"Etudiant Introuvable")</f>
        <v>Cybersecurite</v>
      </c>
    </row>
    <row r="7" spans="1:5">
      <c r="A7" s="2" t="s">
        <v>3</v>
      </c>
      <c r="B7" s="13" t="str">
        <f>_xlfn.XLOOKUP($B$2,Etudiants!$A$2:$A$101,Etudiants!$F$2:$F$101,"Etudiant Introuvable")</f>
        <v>8,55</v>
      </c>
    </row>
    <row r="8" spans="1:5">
      <c r="A8" s="2" t="s">
        <v>31</v>
      </c>
      <c r="B8" s="13" t="str">
        <f>_xlfn.XLOOKUP($B$2,Etudiants!$A$2:$A$101,Etudiants!$G$2:$G$101,"Introuvable")</f>
        <v>15,46</v>
      </c>
    </row>
    <row r="9" spans="1:5">
      <c r="A9" s="2" t="s">
        <v>4</v>
      </c>
      <c r="B9" s="13" t="str">
        <f>_xlfn.XLOOKUP($B$2,Etudiants!$A$2:$A$101,Etudiants!$H$2:$H$101,"Etudiant Introuvable")</f>
        <v>11,09</v>
      </c>
    </row>
    <row r="10" spans="1:5">
      <c r="A10" s="2" t="s">
        <v>32</v>
      </c>
      <c r="B10" s="13" t="str">
        <f>_xlfn.XLOOKUP($B$2,Etudiants!$A$2:$A$101,Etudiants!$I$2:$I$101,"Etudiant Introuvable")</f>
        <v>7,88</v>
      </c>
    </row>
    <row r="11" spans="1:5">
      <c r="A11" s="2" t="s">
        <v>591</v>
      </c>
      <c r="B11" s="14">
        <f>_xlfn.XLOOKUP($B$2,Etudiants!$A$2:$A$101,Etudiants!$J$2:$J$101,"Etudiant Introuvable")</f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2026-09-02T18:16:25Z</dcterms:created>
  <dcterms:modified xsi:type="dcterms:W3CDTF">2026-09-03T13:36:15Z</dcterms:modified>
  <cp:category/>
  <cp:contentStatus/>
</cp:coreProperties>
</file>