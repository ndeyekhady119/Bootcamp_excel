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50EBE23F-910A-487B-B61C-143195A76A6A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Pratique_Logique" sheetId="1" r:id="rId1"/>
    <sheet name="IFERROR" sheetId="2" r:id="rId2"/>
    <sheet name="Systeme_Admis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998" i="3"/>
  <c r="I999" i="3"/>
  <c r="I1000" i="3"/>
  <c r="I100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2" i="3"/>
  <c r="H3" i="3" a="1"/>
  <c r="H3" i="3"/>
  <c r="H4" i="3" a="1"/>
  <c r="H4" i="3"/>
  <c r="H5" i="3" a="1"/>
  <c r="H5" i="3"/>
  <c r="H6" i="3" a="1"/>
  <c r="H6" i="3"/>
  <c r="H7" i="3" a="1"/>
  <c r="H7" i="3"/>
  <c r="H8" i="3" a="1"/>
  <c r="H8" i="3"/>
  <c r="H9" i="3" a="1"/>
  <c r="H9" i="3"/>
  <c r="H10" i="3" a="1"/>
  <c r="H10" i="3"/>
  <c r="H11" i="3" a="1"/>
  <c r="H11" i="3"/>
  <c r="H12" i="3" a="1"/>
  <c r="H12" i="3"/>
  <c r="H13" i="3" a="1"/>
  <c r="H13" i="3"/>
  <c r="H14" i="3" a="1"/>
  <c r="H14" i="3"/>
  <c r="H15" i="3" a="1"/>
  <c r="H15" i="3"/>
  <c r="H16" i="3" a="1"/>
  <c r="H16" i="3"/>
  <c r="H17" i="3" a="1"/>
  <c r="H17" i="3"/>
  <c r="H18" i="3" a="1"/>
  <c r="H18" i="3"/>
  <c r="H19" i="3" a="1"/>
  <c r="H19" i="3"/>
  <c r="H20" i="3" a="1"/>
  <c r="H20" i="3"/>
  <c r="H21" i="3" a="1"/>
  <c r="H21" i="3"/>
  <c r="H22" i="3" a="1"/>
  <c r="H22" i="3"/>
  <c r="H23" i="3" a="1"/>
  <c r="H23" i="3"/>
  <c r="H24" i="3" a="1"/>
  <c r="H24" i="3"/>
  <c r="H25" i="3" a="1"/>
  <c r="H25" i="3"/>
  <c r="H26" i="3" a="1"/>
  <c r="H26" i="3"/>
  <c r="H27" i="3" a="1"/>
  <c r="H27" i="3"/>
  <c r="H28" i="3" a="1"/>
  <c r="H28" i="3"/>
  <c r="H29" i="3" a="1"/>
  <c r="H29" i="3"/>
  <c r="H30" i="3" a="1"/>
  <c r="H30" i="3"/>
  <c r="H31" i="3" a="1"/>
  <c r="H31" i="3"/>
  <c r="H32" i="3" a="1"/>
  <c r="H32" i="3"/>
  <c r="H33" i="3" a="1"/>
  <c r="H33" i="3"/>
  <c r="H34" i="3" a="1"/>
  <c r="H34" i="3"/>
  <c r="H35" i="3" a="1"/>
  <c r="H35" i="3"/>
  <c r="H36" i="3" a="1"/>
  <c r="H36" i="3"/>
  <c r="H37" i="3" a="1"/>
  <c r="H37" i="3"/>
  <c r="H38" i="3" a="1"/>
  <c r="H38" i="3"/>
  <c r="H39" i="3" a="1"/>
  <c r="H39" i="3"/>
  <c r="H40" i="3" a="1"/>
  <c r="H40" i="3"/>
  <c r="H41" i="3" a="1"/>
  <c r="H41" i="3"/>
  <c r="H42" i="3" a="1"/>
  <c r="H42" i="3"/>
  <c r="H43" i="3" a="1"/>
  <c r="H43" i="3"/>
  <c r="H44" i="3" a="1"/>
  <c r="H44" i="3"/>
  <c r="H45" i="3" a="1"/>
  <c r="H45" i="3"/>
  <c r="H46" i="3" a="1"/>
  <c r="H46" i="3"/>
  <c r="H47" i="3" a="1"/>
  <c r="H47" i="3"/>
  <c r="H48" i="3" a="1"/>
  <c r="H48" i="3"/>
  <c r="H49" i="3" a="1"/>
  <c r="H49" i="3"/>
  <c r="H50" i="3" a="1"/>
  <c r="H50" i="3"/>
  <c r="H51" i="3" a="1"/>
  <c r="H51" i="3"/>
  <c r="H52" i="3" a="1"/>
  <c r="H52" i="3"/>
  <c r="H53" i="3" a="1"/>
  <c r="H53" i="3"/>
  <c r="H54" i="3" a="1"/>
  <c r="H54" i="3"/>
  <c r="H55" i="3" a="1"/>
  <c r="H55" i="3"/>
  <c r="H56" i="3" a="1"/>
  <c r="H56" i="3"/>
  <c r="H57" i="3" a="1"/>
  <c r="H57" i="3"/>
  <c r="H58" i="3" a="1"/>
  <c r="H58" i="3"/>
  <c r="H59" i="3" a="1"/>
  <c r="H59" i="3"/>
  <c r="H60" i="3" a="1"/>
  <c r="H60" i="3"/>
  <c r="H61" i="3" a="1"/>
  <c r="H61" i="3"/>
  <c r="H62" i="3" a="1"/>
  <c r="H62" i="3"/>
  <c r="H63" i="3" a="1"/>
  <c r="H63" i="3"/>
  <c r="H64" i="3" a="1"/>
  <c r="H64" i="3"/>
  <c r="H65" i="3" a="1"/>
  <c r="H65" i="3"/>
  <c r="H66" i="3" a="1"/>
  <c r="H66" i="3"/>
  <c r="H67" i="3" a="1"/>
  <c r="H67" i="3"/>
  <c r="H68" i="3" a="1"/>
  <c r="H68" i="3"/>
  <c r="H69" i="3" a="1"/>
  <c r="H69" i="3"/>
  <c r="H70" i="3" a="1"/>
  <c r="H70" i="3"/>
  <c r="H71" i="3" a="1"/>
  <c r="H71" i="3"/>
  <c r="H72" i="3" a="1"/>
  <c r="H72" i="3"/>
  <c r="H73" i="3" a="1"/>
  <c r="H73" i="3"/>
  <c r="H74" i="3" a="1"/>
  <c r="H74" i="3"/>
  <c r="H75" i="3" a="1"/>
  <c r="H75" i="3"/>
  <c r="H76" i="3" a="1"/>
  <c r="H76" i="3"/>
  <c r="H77" i="3" a="1"/>
  <c r="H77" i="3"/>
  <c r="H78" i="3" a="1"/>
  <c r="H78" i="3"/>
  <c r="H79" i="3" a="1"/>
  <c r="H79" i="3"/>
  <c r="H80" i="3" a="1"/>
  <c r="H80" i="3"/>
  <c r="H81" i="3" a="1"/>
  <c r="H81" i="3"/>
  <c r="H82" i="3" a="1"/>
  <c r="H82" i="3"/>
  <c r="H83" i="3" a="1"/>
  <c r="H83" i="3"/>
  <c r="H84" i="3" a="1"/>
  <c r="H84" i="3"/>
  <c r="H85" i="3" a="1"/>
  <c r="H85" i="3"/>
  <c r="H86" i="3" a="1"/>
  <c r="H86" i="3"/>
  <c r="H87" i="3" a="1"/>
  <c r="H87" i="3"/>
  <c r="H88" i="3" a="1"/>
  <c r="H88" i="3"/>
  <c r="H89" i="3" a="1"/>
  <c r="H89" i="3"/>
  <c r="H90" i="3" a="1"/>
  <c r="H90" i="3"/>
  <c r="H91" i="3" a="1"/>
  <c r="H91" i="3"/>
  <c r="H92" i="3" a="1"/>
  <c r="H92" i="3"/>
  <c r="H93" i="3" a="1"/>
  <c r="H93" i="3"/>
  <c r="H94" i="3" a="1"/>
  <c r="H94" i="3"/>
  <c r="H95" i="3" a="1"/>
  <c r="H95" i="3"/>
  <c r="H96" i="3" a="1"/>
  <c r="H96" i="3"/>
  <c r="H97" i="3" a="1"/>
  <c r="H97" i="3"/>
  <c r="H98" i="3" a="1"/>
  <c r="H98" i="3"/>
  <c r="H99" i="3" a="1"/>
  <c r="H99" i="3"/>
  <c r="H100" i="3" a="1"/>
  <c r="H100" i="3"/>
  <c r="H101" i="3" a="1"/>
  <c r="H101" i="3"/>
  <c r="H102" i="3" a="1"/>
  <c r="H102" i="3"/>
  <c r="H103" i="3" a="1"/>
  <c r="H103" i="3"/>
  <c r="H104" i="3" a="1"/>
  <c r="H104" i="3"/>
  <c r="H105" i="3" a="1"/>
  <c r="H105" i="3"/>
  <c r="H106" i="3" a="1"/>
  <c r="H106" i="3"/>
  <c r="H107" i="3" a="1"/>
  <c r="H107" i="3"/>
  <c r="H108" i="3" a="1"/>
  <c r="H108" i="3"/>
  <c r="H109" i="3" a="1"/>
  <c r="H109" i="3"/>
  <c r="H110" i="3" a="1"/>
  <c r="H110" i="3"/>
  <c r="H111" i="3" a="1"/>
  <c r="H111" i="3"/>
  <c r="H112" i="3" a="1"/>
  <c r="H112" i="3"/>
  <c r="H113" i="3" a="1"/>
  <c r="H113" i="3"/>
  <c r="H114" i="3" a="1"/>
  <c r="H114" i="3"/>
  <c r="H115" i="3" a="1"/>
  <c r="H115" i="3"/>
  <c r="H116" i="3" a="1"/>
  <c r="H116" i="3"/>
  <c r="H117" i="3" a="1"/>
  <c r="H117" i="3"/>
  <c r="H118" i="3" a="1"/>
  <c r="H118" i="3"/>
  <c r="H119" i="3" a="1"/>
  <c r="H119" i="3"/>
  <c r="H120" i="3" a="1"/>
  <c r="H120" i="3"/>
  <c r="H121" i="3" a="1"/>
  <c r="H121" i="3"/>
  <c r="H122" i="3" a="1"/>
  <c r="H122" i="3"/>
  <c r="H123" i="3" a="1"/>
  <c r="H123" i="3"/>
  <c r="H124" i="3" a="1"/>
  <c r="H124" i="3"/>
  <c r="H125" i="3" a="1"/>
  <c r="H125" i="3"/>
  <c r="H126" i="3" a="1"/>
  <c r="H126" i="3"/>
  <c r="H127" i="3" a="1"/>
  <c r="H127" i="3"/>
  <c r="H128" i="3" a="1"/>
  <c r="H128" i="3"/>
  <c r="H129" i="3" a="1"/>
  <c r="H129" i="3"/>
  <c r="H130" i="3" a="1"/>
  <c r="H130" i="3"/>
  <c r="H131" i="3" a="1"/>
  <c r="H131" i="3"/>
  <c r="H132" i="3" a="1"/>
  <c r="H132" i="3"/>
  <c r="H133" i="3" a="1"/>
  <c r="H133" i="3"/>
  <c r="H134" i="3" a="1"/>
  <c r="H134" i="3"/>
  <c r="H135" i="3" a="1"/>
  <c r="H135" i="3"/>
  <c r="H136" i="3" a="1"/>
  <c r="H136" i="3"/>
  <c r="H137" i="3" a="1"/>
  <c r="H137" i="3"/>
  <c r="H138" i="3" a="1"/>
  <c r="H138" i="3"/>
  <c r="H139" i="3" a="1"/>
  <c r="H139" i="3"/>
  <c r="H140" i="3" a="1"/>
  <c r="H140" i="3"/>
  <c r="H141" i="3" a="1"/>
  <c r="H141" i="3"/>
  <c r="H142" i="3" a="1"/>
  <c r="H142" i="3"/>
  <c r="H143" i="3" a="1"/>
  <c r="H143" i="3"/>
  <c r="H144" i="3" a="1"/>
  <c r="H144" i="3"/>
  <c r="H145" i="3" a="1"/>
  <c r="H145" i="3"/>
  <c r="H146" i="3" a="1"/>
  <c r="H146" i="3"/>
  <c r="H147" i="3" a="1"/>
  <c r="H147" i="3"/>
  <c r="H148" i="3" a="1"/>
  <c r="H148" i="3"/>
  <c r="H149" i="3" a="1"/>
  <c r="H149" i="3"/>
  <c r="H150" i="3" a="1"/>
  <c r="H150" i="3"/>
  <c r="H151" i="3" a="1"/>
  <c r="H151" i="3"/>
  <c r="H152" i="3" a="1"/>
  <c r="H152" i="3"/>
  <c r="H153" i="3" a="1"/>
  <c r="H153" i="3"/>
  <c r="H154" i="3" a="1"/>
  <c r="H154" i="3"/>
  <c r="H155" i="3" a="1"/>
  <c r="H155" i="3"/>
  <c r="H156" i="3" a="1"/>
  <c r="H156" i="3"/>
  <c r="H157" i="3" a="1"/>
  <c r="H157" i="3"/>
  <c r="H158" i="3" a="1"/>
  <c r="H158" i="3"/>
  <c r="H159" i="3" a="1"/>
  <c r="H159" i="3"/>
  <c r="H160" i="3" a="1"/>
  <c r="H160" i="3"/>
  <c r="H161" i="3" a="1"/>
  <c r="H161" i="3"/>
  <c r="H162" i="3" a="1"/>
  <c r="H162" i="3"/>
  <c r="H163" i="3" a="1"/>
  <c r="H163" i="3"/>
  <c r="H164" i="3" a="1"/>
  <c r="H164" i="3"/>
  <c r="H165" i="3" a="1"/>
  <c r="H165" i="3"/>
  <c r="H166" i="3" a="1"/>
  <c r="H166" i="3"/>
  <c r="H167" i="3" a="1"/>
  <c r="H167" i="3"/>
  <c r="H168" i="3" a="1"/>
  <c r="H168" i="3"/>
  <c r="H169" i="3" a="1"/>
  <c r="H169" i="3"/>
  <c r="H170" i="3" a="1"/>
  <c r="H170" i="3"/>
  <c r="H171" i="3" a="1"/>
  <c r="H171" i="3"/>
  <c r="H172" i="3" a="1"/>
  <c r="H172" i="3"/>
  <c r="H173" i="3" a="1"/>
  <c r="H173" i="3"/>
  <c r="H174" i="3" a="1"/>
  <c r="H174" i="3"/>
  <c r="H175" i="3" a="1"/>
  <c r="H175" i="3"/>
  <c r="H176" i="3" a="1"/>
  <c r="H176" i="3"/>
  <c r="H177" i="3" a="1"/>
  <c r="H177" i="3"/>
  <c r="H178" i="3" a="1"/>
  <c r="H178" i="3"/>
  <c r="H179" i="3" a="1"/>
  <c r="H179" i="3"/>
  <c r="H180" i="3" a="1"/>
  <c r="H180" i="3"/>
  <c r="H181" i="3" a="1"/>
  <c r="H181" i="3"/>
  <c r="H182" i="3" a="1"/>
  <c r="H182" i="3"/>
  <c r="H183" i="3" a="1"/>
  <c r="H183" i="3"/>
  <c r="H184" i="3" a="1"/>
  <c r="H184" i="3"/>
  <c r="H185" i="3" a="1"/>
  <c r="H185" i="3"/>
  <c r="H186" i="3" a="1"/>
  <c r="H186" i="3"/>
  <c r="H187" i="3" a="1"/>
  <c r="H187" i="3"/>
  <c r="H188" i="3" a="1"/>
  <c r="H188" i="3"/>
  <c r="H189" i="3" a="1"/>
  <c r="H189" i="3"/>
  <c r="H190" i="3" a="1"/>
  <c r="H190" i="3"/>
  <c r="H191" i="3" a="1"/>
  <c r="H191" i="3"/>
  <c r="H192" i="3" a="1"/>
  <c r="H192" i="3"/>
  <c r="H193" i="3" a="1"/>
  <c r="H193" i="3"/>
  <c r="H194" i="3" a="1"/>
  <c r="H194" i="3"/>
  <c r="H195" i="3" a="1"/>
  <c r="H195" i="3"/>
  <c r="H196" i="3" a="1"/>
  <c r="H196" i="3"/>
  <c r="H197" i="3" a="1"/>
  <c r="H197" i="3"/>
  <c r="H198" i="3" a="1"/>
  <c r="H198" i="3"/>
  <c r="H199" i="3" a="1"/>
  <c r="H199" i="3"/>
  <c r="H200" i="3" a="1"/>
  <c r="H200" i="3"/>
  <c r="H201" i="3" a="1"/>
  <c r="H201" i="3"/>
  <c r="H202" i="3" a="1"/>
  <c r="H202" i="3"/>
  <c r="H203" i="3" a="1"/>
  <c r="H203" i="3"/>
  <c r="H204" i="3" a="1"/>
  <c r="H204" i="3"/>
  <c r="H205" i="3" a="1"/>
  <c r="H205" i="3"/>
  <c r="H206" i="3" a="1"/>
  <c r="H206" i="3"/>
  <c r="H207" i="3" a="1"/>
  <c r="H207" i="3"/>
  <c r="H208" i="3" a="1"/>
  <c r="H208" i="3"/>
  <c r="H209" i="3" a="1"/>
  <c r="H209" i="3"/>
  <c r="H210" i="3" a="1"/>
  <c r="H210" i="3"/>
  <c r="H211" i="3" a="1"/>
  <c r="H211" i="3"/>
  <c r="H212" i="3" a="1"/>
  <c r="H212" i="3"/>
  <c r="H213" i="3" a="1"/>
  <c r="H213" i="3"/>
  <c r="H214" i="3" a="1"/>
  <c r="H214" i="3"/>
  <c r="H215" i="3" a="1"/>
  <c r="H215" i="3"/>
  <c r="H216" i="3" a="1"/>
  <c r="H216" i="3"/>
  <c r="H217" i="3" a="1"/>
  <c r="H217" i="3"/>
  <c r="H218" i="3" a="1"/>
  <c r="H218" i="3"/>
  <c r="H219" i="3" a="1"/>
  <c r="H219" i="3"/>
  <c r="H220" i="3" a="1"/>
  <c r="H220" i="3"/>
  <c r="H221" i="3" a="1"/>
  <c r="H221" i="3"/>
  <c r="H222" i="3" a="1"/>
  <c r="H222" i="3"/>
  <c r="H223" i="3" a="1"/>
  <c r="H223" i="3"/>
  <c r="H224" i="3" a="1"/>
  <c r="H224" i="3"/>
  <c r="H225" i="3" a="1"/>
  <c r="H225" i="3"/>
  <c r="H226" i="3" a="1"/>
  <c r="H226" i="3"/>
  <c r="H227" i="3" a="1"/>
  <c r="H227" i="3"/>
  <c r="H228" i="3" a="1"/>
  <c r="H228" i="3"/>
  <c r="H229" i="3" a="1"/>
  <c r="H229" i="3"/>
  <c r="H230" i="3" a="1"/>
  <c r="H230" i="3"/>
  <c r="H231" i="3" a="1"/>
  <c r="H231" i="3"/>
  <c r="H232" i="3" a="1"/>
  <c r="H232" i="3"/>
  <c r="H233" i="3" a="1"/>
  <c r="H233" i="3"/>
  <c r="H234" i="3" a="1"/>
  <c r="H234" i="3"/>
  <c r="H235" i="3" a="1"/>
  <c r="H235" i="3"/>
  <c r="H236" i="3" a="1"/>
  <c r="H236" i="3"/>
  <c r="H237" i="3" a="1"/>
  <c r="H237" i="3"/>
  <c r="H238" i="3" a="1"/>
  <c r="H238" i="3"/>
  <c r="H239" i="3" a="1"/>
  <c r="H239" i="3"/>
  <c r="H240" i="3" a="1"/>
  <c r="H240" i="3"/>
  <c r="H241" i="3" a="1"/>
  <c r="H241" i="3"/>
  <c r="H242" i="3" a="1"/>
  <c r="H242" i="3"/>
  <c r="H243" i="3" a="1"/>
  <c r="H243" i="3"/>
  <c r="H244" i="3" a="1"/>
  <c r="H244" i="3"/>
  <c r="H245" i="3" a="1"/>
  <c r="H245" i="3"/>
  <c r="H246" i="3" a="1"/>
  <c r="H246" i="3"/>
  <c r="H247" i="3" a="1"/>
  <c r="H247" i="3"/>
  <c r="H248" i="3" a="1"/>
  <c r="H248" i="3"/>
  <c r="H249" i="3" a="1"/>
  <c r="H249" i="3"/>
  <c r="H250" i="3" a="1"/>
  <c r="H250" i="3"/>
  <c r="H251" i="3" a="1"/>
  <c r="H251" i="3"/>
  <c r="H252" i="3" a="1"/>
  <c r="H252" i="3"/>
  <c r="H253" i="3" a="1"/>
  <c r="H253" i="3"/>
  <c r="H254" i="3" a="1"/>
  <c r="H254" i="3"/>
  <c r="H255" i="3" a="1"/>
  <c r="H255" i="3"/>
  <c r="H256" i="3" a="1"/>
  <c r="H256" i="3"/>
  <c r="H257" i="3" a="1"/>
  <c r="H257" i="3"/>
  <c r="H258" i="3" a="1"/>
  <c r="H258" i="3"/>
  <c r="H259" i="3" a="1"/>
  <c r="H259" i="3"/>
  <c r="H260" i="3" a="1"/>
  <c r="H260" i="3"/>
  <c r="H261" i="3" a="1"/>
  <c r="H261" i="3"/>
  <c r="H262" i="3" a="1"/>
  <c r="H262" i="3"/>
  <c r="H263" i="3" a="1"/>
  <c r="H263" i="3"/>
  <c r="H264" i="3" a="1"/>
  <c r="H264" i="3"/>
  <c r="H265" i="3" a="1"/>
  <c r="H265" i="3"/>
  <c r="H266" i="3" a="1"/>
  <c r="H266" i="3"/>
  <c r="H267" i="3" a="1"/>
  <c r="H267" i="3"/>
  <c r="H268" i="3" a="1"/>
  <c r="H268" i="3"/>
  <c r="H269" i="3" a="1"/>
  <c r="H269" i="3"/>
  <c r="H270" i="3" a="1"/>
  <c r="H270" i="3"/>
  <c r="H271" i="3" a="1"/>
  <c r="H271" i="3"/>
  <c r="H272" i="3" a="1"/>
  <c r="H272" i="3"/>
  <c r="H273" i="3" a="1"/>
  <c r="H273" i="3"/>
  <c r="H274" i="3" a="1"/>
  <c r="H274" i="3"/>
  <c r="H275" i="3" a="1"/>
  <c r="H275" i="3"/>
  <c r="H276" i="3" a="1"/>
  <c r="H276" i="3"/>
  <c r="H277" i="3" a="1"/>
  <c r="H277" i="3"/>
  <c r="H278" i="3" a="1"/>
  <c r="H278" i="3"/>
  <c r="H279" i="3" a="1"/>
  <c r="H279" i="3"/>
  <c r="H280" i="3" a="1"/>
  <c r="H280" i="3"/>
  <c r="H281" i="3" a="1"/>
  <c r="H281" i="3"/>
  <c r="H282" i="3" a="1"/>
  <c r="H282" i="3"/>
  <c r="H283" i="3" a="1"/>
  <c r="H283" i="3"/>
  <c r="H284" i="3" a="1"/>
  <c r="H284" i="3"/>
  <c r="H285" i="3" a="1"/>
  <c r="H285" i="3"/>
  <c r="H286" i="3" a="1"/>
  <c r="H286" i="3"/>
  <c r="H287" i="3" a="1"/>
  <c r="H287" i="3"/>
  <c r="H288" i="3" a="1"/>
  <c r="H288" i="3"/>
  <c r="H289" i="3" a="1"/>
  <c r="H289" i="3"/>
  <c r="H290" i="3" a="1"/>
  <c r="H290" i="3"/>
  <c r="H291" i="3" a="1"/>
  <c r="H291" i="3"/>
  <c r="H292" i="3" a="1"/>
  <c r="H292" i="3"/>
  <c r="H293" i="3" a="1"/>
  <c r="H293" i="3"/>
  <c r="H294" i="3" a="1"/>
  <c r="H294" i="3"/>
  <c r="H295" i="3" a="1"/>
  <c r="H295" i="3"/>
  <c r="H296" i="3" a="1"/>
  <c r="H296" i="3"/>
  <c r="H297" i="3" a="1"/>
  <c r="H297" i="3"/>
  <c r="H298" i="3" a="1"/>
  <c r="H298" i="3"/>
  <c r="H299" i="3" a="1"/>
  <c r="H299" i="3"/>
  <c r="H300" i="3" a="1"/>
  <c r="H300" i="3"/>
  <c r="H301" i="3" a="1"/>
  <c r="H301" i="3"/>
  <c r="H302" i="3" a="1"/>
  <c r="H302" i="3"/>
  <c r="H303" i="3" a="1"/>
  <c r="H303" i="3"/>
  <c r="H304" i="3" a="1"/>
  <c r="H304" i="3"/>
  <c r="H305" i="3" a="1"/>
  <c r="H305" i="3"/>
  <c r="H306" i="3" a="1"/>
  <c r="H306" i="3"/>
  <c r="H307" i="3" a="1"/>
  <c r="H307" i="3"/>
  <c r="H308" i="3" a="1"/>
  <c r="H308" i="3"/>
  <c r="H309" i="3" a="1"/>
  <c r="H309" i="3"/>
  <c r="H310" i="3" a="1"/>
  <c r="H310" i="3"/>
  <c r="H311" i="3" a="1"/>
  <c r="H311" i="3"/>
  <c r="H312" i="3" a="1"/>
  <c r="H312" i="3"/>
  <c r="H313" i="3" a="1"/>
  <c r="H313" i="3"/>
  <c r="H314" i="3" a="1"/>
  <c r="H314" i="3"/>
  <c r="H315" i="3" a="1"/>
  <c r="H315" i="3"/>
  <c r="H316" i="3" a="1"/>
  <c r="H316" i="3"/>
  <c r="H317" i="3" a="1"/>
  <c r="H317" i="3"/>
  <c r="H318" i="3" a="1"/>
  <c r="H318" i="3"/>
  <c r="H319" i="3" a="1"/>
  <c r="H319" i="3"/>
  <c r="H320" i="3" a="1"/>
  <c r="H320" i="3"/>
  <c r="H321" i="3" a="1"/>
  <c r="H321" i="3"/>
  <c r="H322" i="3" a="1"/>
  <c r="H322" i="3"/>
  <c r="H323" i="3" a="1"/>
  <c r="H323" i="3"/>
  <c r="H324" i="3" a="1"/>
  <c r="H324" i="3"/>
  <c r="H325" i="3" a="1"/>
  <c r="H325" i="3"/>
  <c r="H326" i="3" a="1"/>
  <c r="H326" i="3"/>
  <c r="H327" i="3" a="1"/>
  <c r="H327" i="3"/>
  <c r="H328" i="3" a="1"/>
  <c r="H328" i="3"/>
  <c r="H329" i="3" a="1"/>
  <c r="H329" i="3"/>
  <c r="H330" i="3" a="1"/>
  <c r="H330" i="3"/>
  <c r="H331" i="3" a="1"/>
  <c r="H331" i="3"/>
  <c r="H332" i="3" a="1"/>
  <c r="H332" i="3"/>
  <c r="H333" i="3" a="1"/>
  <c r="H333" i="3"/>
  <c r="H334" i="3" a="1"/>
  <c r="H334" i="3"/>
  <c r="H335" i="3" a="1"/>
  <c r="H335" i="3"/>
  <c r="H336" i="3" a="1"/>
  <c r="H336" i="3"/>
  <c r="H337" i="3" a="1"/>
  <c r="H337" i="3"/>
  <c r="H338" i="3" a="1"/>
  <c r="H338" i="3"/>
  <c r="H339" i="3" a="1"/>
  <c r="H339" i="3"/>
  <c r="H340" i="3" a="1"/>
  <c r="H340" i="3"/>
  <c r="H341" i="3" a="1"/>
  <c r="H341" i="3"/>
  <c r="H342" i="3" a="1"/>
  <c r="H342" i="3"/>
  <c r="H343" i="3" a="1"/>
  <c r="H343" i="3"/>
  <c r="H344" i="3" a="1"/>
  <c r="H344" i="3"/>
  <c r="H345" i="3" a="1"/>
  <c r="H345" i="3"/>
  <c r="H346" i="3" a="1"/>
  <c r="H346" i="3"/>
  <c r="H347" i="3" a="1"/>
  <c r="H347" i="3"/>
  <c r="H348" i="3" a="1"/>
  <c r="H348" i="3"/>
  <c r="H349" i="3" a="1"/>
  <c r="H349" i="3"/>
  <c r="H350" i="3" a="1"/>
  <c r="H350" i="3"/>
  <c r="H351" i="3" a="1"/>
  <c r="H351" i="3"/>
  <c r="H352" i="3" a="1"/>
  <c r="H352" i="3"/>
  <c r="H353" i="3" a="1"/>
  <c r="H353" i="3"/>
  <c r="H354" i="3" a="1"/>
  <c r="H354" i="3"/>
  <c r="H355" i="3" a="1"/>
  <c r="H355" i="3"/>
  <c r="H356" i="3" a="1"/>
  <c r="H356" i="3"/>
  <c r="H357" i="3" a="1"/>
  <c r="H357" i="3"/>
  <c r="H358" i="3" a="1"/>
  <c r="H358" i="3"/>
  <c r="H359" i="3" a="1"/>
  <c r="H359" i="3"/>
  <c r="H360" i="3" a="1"/>
  <c r="H360" i="3"/>
  <c r="H361" i="3" a="1"/>
  <c r="H361" i="3"/>
  <c r="H362" i="3" a="1"/>
  <c r="H362" i="3"/>
  <c r="H363" i="3" a="1"/>
  <c r="H363" i="3"/>
  <c r="H364" i="3" a="1"/>
  <c r="H364" i="3"/>
  <c r="H365" i="3" a="1"/>
  <c r="H365" i="3"/>
  <c r="H366" i="3" a="1"/>
  <c r="H366" i="3"/>
  <c r="H367" i="3" a="1"/>
  <c r="H367" i="3"/>
  <c r="H368" i="3" a="1"/>
  <c r="H368" i="3"/>
  <c r="H369" i="3" a="1"/>
  <c r="H369" i="3"/>
  <c r="H370" i="3" a="1"/>
  <c r="H370" i="3"/>
  <c r="H371" i="3" a="1"/>
  <c r="H371" i="3"/>
  <c r="H372" i="3" a="1"/>
  <c r="H372" i="3"/>
  <c r="H373" i="3" a="1"/>
  <c r="H373" i="3"/>
  <c r="H374" i="3" a="1"/>
  <c r="H374" i="3"/>
  <c r="H375" i="3" a="1"/>
  <c r="H375" i="3"/>
  <c r="H376" i="3" a="1"/>
  <c r="H376" i="3"/>
  <c r="H377" i="3" a="1"/>
  <c r="H377" i="3"/>
  <c r="H378" i="3" a="1"/>
  <c r="H378" i="3"/>
  <c r="H379" i="3" a="1"/>
  <c r="H379" i="3"/>
  <c r="H380" i="3" a="1"/>
  <c r="H380" i="3"/>
  <c r="H381" i="3" a="1"/>
  <c r="H381" i="3"/>
  <c r="H382" i="3" a="1"/>
  <c r="H382" i="3"/>
  <c r="H383" i="3" a="1"/>
  <c r="H383" i="3"/>
  <c r="H384" i="3" a="1"/>
  <c r="H384" i="3"/>
  <c r="H385" i="3" a="1"/>
  <c r="H385" i="3"/>
  <c r="H386" i="3" a="1"/>
  <c r="H386" i="3"/>
  <c r="H387" i="3" a="1"/>
  <c r="H387" i="3"/>
  <c r="H388" i="3" a="1"/>
  <c r="H388" i="3"/>
  <c r="H389" i="3" a="1"/>
  <c r="H389" i="3"/>
  <c r="H390" i="3" a="1"/>
  <c r="H390" i="3"/>
  <c r="H391" i="3" a="1"/>
  <c r="H391" i="3"/>
  <c r="H392" i="3" a="1"/>
  <c r="H392" i="3"/>
  <c r="H393" i="3" a="1"/>
  <c r="H393" i="3"/>
  <c r="H394" i="3" a="1"/>
  <c r="H394" i="3"/>
  <c r="H395" i="3" a="1"/>
  <c r="H395" i="3"/>
  <c r="H396" i="3" a="1"/>
  <c r="H396" i="3"/>
  <c r="H397" i="3" a="1"/>
  <c r="H397" i="3"/>
  <c r="H398" i="3" a="1"/>
  <c r="H398" i="3"/>
  <c r="H399" i="3" a="1"/>
  <c r="H399" i="3"/>
  <c r="H400" i="3" a="1"/>
  <c r="H400" i="3"/>
  <c r="H401" i="3" a="1"/>
  <c r="H401" i="3"/>
  <c r="H402" i="3" a="1"/>
  <c r="H402" i="3"/>
  <c r="H403" i="3" a="1"/>
  <c r="H403" i="3"/>
  <c r="H404" i="3" a="1"/>
  <c r="H404" i="3"/>
  <c r="H405" i="3" a="1"/>
  <c r="H405" i="3"/>
  <c r="H406" i="3" a="1"/>
  <c r="H406" i="3"/>
  <c r="H407" i="3" a="1"/>
  <c r="H407" i="3"/>
  <c r="H408" i="3" a="1"/>
  <c r="H408" i="3"/>
  <c r="H409" i="3" a="1"/>
  <c r="H409" i="3"/>
  <c r="H410" i="3" a="1"/>
  <c r="H410" i="3"/>
  <c r="H411" i="3" a="1"/>
  <c r="H411" i="3"/>
  <c r="H412" i="3" a="1"/>
  <c r="H412" i="3"/>
  <c r="H413" i="3" a="1"/>
  <c r="H413" i="3"/>
  <c r="H414" i="3" a="1"/>
  <c r="H414" i="3"/>
  <c r="H415" i="3" a="1"/>
  <c r="H415" i="3"/>
  <c r="H416" i="3" a="1"/>
  <c r="H416" i="3"/>
  <c r="H417" i="3" a="1"/>
  <c r="H417" i="3"/>
  <c r="H418" i="3" a="1"/>
  <c r="H418" i="3"/>
  <c r="H419" i="3" a="1"/>
  <c r="H419" i="3"/>
  <c r="H420" i="3" a="1"/>
  <c r="H420" i="3"/>
  <c r="H421" i="3" a="1"/>
  <c r="H421" i="3"/>
  <c r="H422" i="3" a="1"/>
  <c r="H422" i="3"/>
  <c r="H423" i="3" a="1"/>
  <c r="H423" i="3"/>
  <c r="H424" i="3" a="1"/>
  <c r="H424" i="3"/>
  <c r="H425" i="3" a="1"/>
  <c r="H425" i="3"/>
  <c r="H426" i="3" a="1"/>
  <c r="H426" i="3"/>
  <c r="H427" i="3" a="1"/>
  <c r="H427" i="3"/>
  <c r="H428" i="3" a="1"/>
  <c r="H428" i="3"/>
  <c r="H429" i="3" a="1"/>
  <c r="H429" i="3"/>
  <c r="H430" i="3" a="1"/>
  <c r="H430" i="3"/>
  <c r="H431" i="3" a="1"/>
  <c r="H431" i="3"/>
  <c r="H432" i="3" a="1"/>
  <c r="H432" i="3"/>
  <c r="H433" i="3" a="1"/>
  <c r="H433" i="3"/>
  <c r="H434" i="3" a="1"/>
  <c r="H434" i="3"/>
  <c r="H435" i="3" a="1"/>
  <c r="H435" i="3"/>
  <c r="H436" i="3" a="1"/>
  <c r="H436" i="3"/>
  <c r="H437" i="3" a="1"/>
  <c r="H437" i="3"/>
  <c r="H438" i="3" a="1"/>
  <c r="H438" i="3"/>
  <c r="H439" i="3" a="1"/>
  <c r="H439" i="3"/>
  <c r="H440" i="3" a="1"/>
  <c r="H440" i="3"/>
  <c r="H441" i="3" a="1"/>
  <c r="H441" i="3"/>
  <c r="H442" i="3" a="1"/>
  <c r="H442" i="3"/>
  <c r="H443" i="3" a="1"/>
  <c r="H443" i="3"/>
  <c r="H444" i="3" a="1"/>
  <c r="H444" i="3"/>
  <c r="H445" i="3" a="1"/>
  <c r="H445" i="3"/>
  <c r="H446" i="3" a="1"/>
  <c r="H446" i="3"/>
  <c r="H447" i="3" a="1"/>
  <c r="H447" i="3"/>
  <c r="H448" i="3" a="1"/>
  <c r="H448" i="3"/>
  <c r="H449" i="3" a="1"/>
  <c r="H449" i="3"/>
  <c r="H450" i="3" a="1"/>
  <c r="H450" i="3"/>
  <c r="H451" i="3" a="1"/>
  <c r="H451" i="3"/>
  <c r="H452" i="3" a="1"/>
  <c r="H452" i="3"/>
  <c r="H453" i="3" a="1"/>
  <c r="H453" i="3"/>
  <c r="H454" i="3" a="1"/>
  <c r="H454" i="3"/>
  <c r="H455" i="3" a="1"/>
  <c r="H455" i="3"/>
  <c r="H456" i="3" a="1"/>
  <c r="H456" i="3"/>
  <c r="H457" i="3" a="1"/>
  <c r="H457" i="3"/>
  <c r="H458" i="3" a="1"/>
  <c r="H458" i="3"/>
  <c r="H459" i="3" a="1"/>
  <c r="H459" i="3"/>
  <c r="H460" i="3" a="1"/>
  <c r="H460" i="3"/>
  <c r="H461" i="3" a="1"/>
  <c r="H461" i="3"/>
  <c r="H462" i="3" a="1"/>
  <c r="H462" i="3"/>
  <c r="H463" i="3" a="1"/>
  <c r="H463" i="3"/>
  <c r="H464" i="3" a="1"/>
  <c r="H464" i="3"/>
  <c r="H465" i="3" a="1"/>
  <c r="H465" i="3"/>
  <c r="H466" i="3" a="1"/>
  <c r="H466" i="3"/>
  <c r="H467" i="3" a="1"/>
  <c r="H467" i="3"/>
  <c r="H468" i="3" a="1"/>
  <c r="H468" i="3"/>
  <c r="H469" i="3" a="1"/>
  <c r="H469" i="3"/>
  <c r="H470" i="3" a="1"/>
  <c r="H470" i="3"/>
  <c r="H471" i="3" a="1"/>
  <c r="H471" i="3"/>
  <c r="H472" i="3" a="1"/>
  <c r="H472" i="3"/>
  <c r="H473" i="3" a="1"/>
  <c r="H473" i="3"/>
  <c r="H474" i="3" a="1"/>
  <c r="H474" i="3"/>
  <c r="H475" i="3" a="1"/>
  <c r="H475" i="3"/>
  <c r="H476" i="3" a="1"/>
  <c r="H476" i="3"/>
  <c r="H477" i="3" a="1"/>
  <c r="H477" i="3"/>
  <c r="H478" i="3" a="1"/>
  <c r="H478" i="3"/>
  <c r="H479" i="3" a="1"/>
  <c r="H479" i="3"/>
  <c r="H480" i="3" a="1"/>
  <c r="H480" i="3"/>
  <c r="H481" i="3" a="1"/>
  <c r="H481" i="3"/>
  <c r="H482" i="3" a="1"/>
  <c r="H482" i="3"/>
  <c r="H483" i="3" a="1"/>
  <c r="H483" i="3"/>
  <c r="H484" i="3" a="1"/>
  <c r="H484" i="3"/>
  <c r="H485" i="3" a="1"/>
  <c r="H485" i="3"/>
  <c r="H486" i="3" a="1"/>
  <c r="H486" i="3"/>
  <c r="H487" i="3" a="1"/>
  <c r="H487" i="3"/>
  <c r="H488" i="3" a="1"/>
  <c r="H488" i="3"/>
  <c r="H489" i="3" a="1"/>
  <c r="H489" i="3"/>
  <c r="H490" i="3" a="1"/>
  <c r="H490" i="3"/>
  <c r="H491" i="3" a="1"/>
  <c r="H491" i="3"/>
  <c r="H492" i="3" a="1"/>
  <c r="H492" i="3"/>
  <c r="H493" i="3" a="1"/>
  <c r="H493" i="3"/>
  <c r="H494" i="3" a="1"/>
  <c r="H494" i="3"/>
  <c r="H495" i="3" a="1"/>
  <c r="H495" i="3"/>
  <c r="H496" i="3" a="1"/>
  <c r="H496" i="3"/>
  <c r="H497" i="3" a="1"/>
  <c r="H497" i="3"/>
  <c r="H498" i="3" a="1"/>
  <c r="H498" i="3"/>
  <c r="H499" i="3" a="1"/>
  <c r="H499" i="3"/>
  <c r="H500" i="3" a="1"/>
  <c r="H500" i="3"/>
  <c r="H501" i="3" a="1"/>
  <c r="H501" i="3"/>
  <c r="H502" i="3" a="1"/>
  <c r="H502" i="3"/>
  <c r="H503" i="3" a="1"/>
  <c r="H503" i="3"/>
  <c r="H504" i="3" a="1"/>
  <c r="H504" i="3"/>
  <c r="H505" i="3" a="1"/>
  <c r="H505" i="3"/>
  <c r="H506" i="3" a="1"/>
  <c r="H506" i="3"/>
  <c r="H507" i="3" a="1"/>
  <c r="H507" i="3"/>
  <c r="H508" i="3" a="1"/>
  <c r="H508" i="3"/>
  <c r="H509" i="3" a="1"/>
  <c r="H509" i="3"/>
  <c r="H510" i="3" a="1"/>
  <c r="H510" i="3"/>
  <c r="H511" i="3" a="1"/>
  <c r="H511" i="3"/>
  <c r="H512" i="3" a="1"/>
  <c r="H512" i="3"/>
  <c r="H513" i="3" a="1"/>
  <c r="H513" i="3"/>
  <c r="H514" i="3" a="1"/>
  <c r="H514" i="3"/>
  <c r="H515" i="3" a="1"/>
  <c r="H515" i="3"/>
  <c r="H516" i="3" a="1"/>
  <c r="H516" i="3"/>
  <c r="H517" i="3" a="1"/>
  <c r="H517" i="3"/>
  <c r="H518" i="3" a="1"/>
  <c r="H518" i="3"/>
  <c r="H519" i="3" a="1"/>
  <c r="H519" i="3"/>
  <c r="H520" i="3" a="1"/>
  <c r="H520" i="3"/>
  <c r="H521" i="3" a="1"/>
  <c r="H521" i="3"/>
  <c r="H522" i="3" a="1"/>
  <c r="H522" i="3"/>
  <c r="H523" i="3" a="1"/>
  <c r="H523" i="3"/>
  <c r="H524" i="3" a="1"/>
  <c r="H524" i="3"/>
  <c r="H525" i="3" a="1"/>
  <c r="H525" i="3"/>
  <c r="H526" i="3" a="1"/>
  <c r="H526" i="3"/>
  <c r="H527" i="3" a="1"/>
  <c r="H527" i="3"/>
  <c r="H528" i="3" a="1"/>
  <c r="H528" i="3"/>
  <c r="H529" i="3" a="1"/>
  <c r="H529" i="3"/>
  <c r="H530" i="3" a="1"/>
  <c r="H530" i="3"/>
  <c r="H531" i="3" a="1"/>
  <c r="H531" i="3"/>
  <c r="H532" i="3" a="1"/>
  <c r="H532" i="3"/>
  <c r="H533" i="3" a="1"/>
  <c r="H533" i="3"/>
  <c r="H534" i="3" a="1"/>
  <c r="H534" i="3"/>
  <c r="H535" i="3" a="1"/>
  <c r="H535" i="3"/>
  <c r="H536" i="3" a="1"/>
  <c r="H536" i="3"/>
  <c r="H537" i="3" a="1"/>
  <c r="H537" i="3"/>
  <c r="H538" i="3" a="1"/>
  <c r="H538" i="3"/>
  <c r="H539" i="3" a="1"/>
  <c r="H539" i="3"/>
  <c r="H540" i="3" a="1"/>
  <c r="H540" i="3"/>
  <c r="H541" i="3" a="1"/>
  <c r="H541" i="3"/>
  <c r="H542" i="3" a="1"/>
  <c r="H542" i="3"/>
  <c r="H543" i="3" a="1"/>
  <c r="H543" i="3"/>
  <c r="H544" i="3" a="1"/>
  <c r="H544" i="3"/>
  <c r="H545" i="3" a="1"/>
  <c r="H545" i="3"/>
  <c r="H546" i="3" a="1"/>
  <c r="H546" i="3"/>
  <c r="H547" i="3" a="1"/>
  <c r="H547" i="3"/>
  <c r="H548" i="3" a="1"/>
  <c r="H548" i="3"/>
  <c r="H549" i="3" a="1"/>
  <c r="H549" i="3"/>
  <c r="H550" i="3" a="1"/>
  <c r="H550" i="3"/>
  <c r="H551" i="3" a="1"/>
  <c r="H551" i="3"/>
  <c r="H552" i="3" a="1"/>
  <c r="H552" i="3"/>
  <c r="H553" i="3" a="1"/>
  <c r="H553" i="3"/>
  <c r="H554" i="3" a="1"/>
  <c r="H554" i="3"/>
  <c r="H555" i="3" a="1"/>
  <c r="H555" i="3"/>
  <c r="H556" i="3" a="1"/>
  <c r="H556" i="3"/>
  <c r="H557" i="3" a="1"/>
  <c r="H557" i="3"/>
  <c r="H558" i="3" a="1"/>
  <c r="H558" i="3"/>
  <c r="H559" i="3" a="1"/>
  <c r="H559" i="3"/>
  <c r="H560" i="3" a="1"/>
  <c r="H560" i="3"/>
  <c r="H561" i="3" a="1"/>
  <c r="H561" i="3"/>
  <c r="H562" i="3" a="1"/>
  <c r="H562" i="3"/>
  <c r="H563" i="3" a="1"/>
  <c r="H563" i="3"/>
  <c r="H564" i="3" a="1"/>
  <c r="H564" i="3"/>
  <c r="H565" i="3" a="1"/>
  <c r="H565" i="3"/>
  <c r="H566" i="3" a="1"/>
  <c r="H566" i="3"/>
  <c r="H567" i="3" a="1"/>
  <c r="H567" i="3"/>
  <c r="H568" i="3" a="1"/>
  <c r="H568" i="3"/>
  <c r="H569" i="3" a="1"/>
  <c r="H569" i="3"/>
  <c r="H570" i="3" a="1"/>
  <c r="H570" i="3"/>
  <c r="H571" i="3" a="1"/>
  <c r="H571" i="3"/>
  <c r="H572" i="3" a="1"/>
  <c r="H572" i="3"/>
  <c r="H573" i="3" a="1"/>
  <c r="H573" i="3"/>
  <c r="H574" i="3" a="1"/>
  <c r="H574" i="3"/>
  <c r="H575" i="3" a="1"/>
  <c r="H575" i="3"/>
  <c r="H576" i="3" a="1"/>
  <c r="H576" i="3"/>
  <c r="H577" i="3" a="1"/>
  <c r="H577" i="3"/>
  <c r="H578" i="3" a="1"/>
  <c r="H578" i="3"/>
  <c r="H579" i="3" a="1"/>
  <c r="H579" i="3"/>
  <c r="H580" i="3" a="1"/>
  <c r="H580" i="3"/>
  <c r="H581" i="3" a="1"/>
  <c r="H581" i="3"/>
  <c r="H582" i="3" a="1"/>
  <c r="H582" i="3"/>
  <c r="H583" i="3" a="1"/>
  <c r="H583" i="3"/>
  <c r="H584" i="3" a="1"/>
  <c r="H584" i="3"/>
  <c r="H585" i="3" a="1"/>
  <c r="H585" i="3"/>
  <c r="H586" i="3" a="1"/>
  <c r="H586" i="3"/>
  <c r="H587" i="3" a="1"/>
  <c r="H587" i="3"/>
  <c r="H588" i="3" a="1"/>
  <c r="H588" i="3"/>
  <c r="H589" i="3" a="1"/>
  <c r="H589" i="3"/>
  <c r="H590" i="3" a="1"/>
  <c r="H590" i="3"/>
  <c r="H591" i="3" a="1"/>
  <c r="H591" i="3"/>
  <c r="H592" i="3" a="1"/>
  <c r="H592" i="3"/>
  <c r="H593" i="3" a="1"/>
  <c r="H593" i="3"/>
  <c r="H594" i="3" a="1"/>
  <c r="H594" i="3"/>
  <c r="H595" i="3" a="1"/>
  <c r="H595" i="3"/>
  <c r="H596" i="3" a="1"/>
  <c r="H596" i="3"/>
  <c r="H597" i="3" a="1"/>
  <c r="H597" i="3"/>
  <c r="H598" i="3" a="1"/>
  <c r="H598" i="3"/>
  <c r="H599" i="3" a="1"/>
  <c r="H599" i="3"/>
  <c r="H600" i="3" a="1"/>
  <c r="H600" i="3"/>
  <c r="H601" i="3" a="1"/>
  <c r="H601" i="3"/>
  <c r="H602" i="3" a="1"/>
  <c r="H602" i="3"/>
  <c r="H603" i="3" a="1"/>
  <c r="H603" i="3"/>
  <c r="H604" i="3" a="1"/>
  <c r="H604" i="3"/>
  <c r="H605" i="3" a="1"/>
  <c r="H605" i="3"/>
  <c r="H606" i="3" a="1"/>
  <c r="H606" i="3"/>
  <c r="H607" i="3" a="1"/>
  <c r="H607" i="3"/>
  <c r="H608" i="3" a="1"/>
  <c r="H608" i="3"/>
  <c r="H609" i="3" a="1"/>
  <c r="H609" i="3"/>
  <c r="H610" i="3" a="1"/>
  <c r="H610" i="3"/>
  <c r="H611" i="3" a="1"/>
  <c r="H611" i="3"/>
  <c r="H612" i="3" a="1"/>
  <c r="H612" i="3"/>
  <c r="H613" i="3" a="1"/>
  <c r="H613" i="3"/>
  <c r="H614" i="3" a="1"/>
  <c r="H614" i="3"/>
  <c r="H615" i="3" a="1"/>
  <c r="H615" i="3"/>
  <c r="H616" i="3" a="1"/>
  <c r="H616" i="3"/>
  <c r="H617" i="3" a="1"/>
  <c r="H617" i="3"/>
  <c r="H618" i="3" a="1"/>
  <c r="H618" i="3"/>
  <c r="H619" i="3" a="1"/>
  <c r="H619" i="3"/>
  <c r="H620" i="3" a="1"/>
  <c r="H620" i="3"/>
  <c r="H621" i="3" a="1"/>
  <c r="H621" i="3"/>
  <c r="H622" i="3" a="1"/>
  <c r="H622" i="3"/>
  <c r="H623" i="3" a="1"/>
  <c r="H623" i="3"/>
  <c r="H624" i="3" a="1"/>
  <c r="H624" i="3"/>
  <c r="H625" i="3" a="1"/>
  <c r="H625" i="3"/>
  <c r="H626" i="3" a="1"/>
  <c r="H626" i="3"/>
  <c r="H627" i="3" a="1"/>
  <c r="H627" i="3"/>
  <c r="H628" i="3" a="1"/>
  <c r="H628" i="3"/>
  <c r="H629" i="3" a="1"/>
  <c r="H629" i="3"/>
  <c r="H630" i="3" a="1"/>
  <c r="H630" i="3"/>
  <c r="H631" i="3" a="1"/>
  <c r="H631" i="3"/>
  <c r="H632" i="3" a="1"/>
  <c r="H632" i="3"/>
  <c r="H633" i="3" a="1"/>
  <c r="H633" i="3"/>
  <c r="H634" i="3" a="1"/>
  <c r="H634" i="3"/>
  <c r="H635" i="3" a="1"/>
  <c r="H635" i="3"/>
  <c r="H636" i="3" a="1"/>
  <c r="H636" i="3"/>
  <c r="H637" i="3" a="1"/>
  <c r="H637" i="3"/>
  <c r="H638" i="3" a="1"/>
  <c r="H638" i="3"/>
  <c r="H639" i="3" a="1"/>
  <c r="H639" i="3"/>
  <c r="H640" i="3" a="1"/>
  <c r="H640" i="3"/>
  <c r="H641" i="3" a="1"/>
  <c r="H641" i="3"/>
  <c r="H642" i="3" a="1"/>
  <c r="H642" i="3"/>
  <c r="H643" i="3" a="1"/>
  <c r="H643" i="3"/>
  <c r="H644" i="3" a="1"/>
  <c r="H644" i="3"/>
  <c r="H645" i="3" a="1"/>
  <c r="H645" i="3"/>
  <c r="H646" i="3" a="1"/>
  <c r="H646" i="3"/>
  <c r="H647" i="3" a="1"/>
  <c r="H647" i="3"/>
  <c r="H648" i="3" a="1"/>
  <c r="H648" i="3"/>
  <c r="H649" i="3" a="1"/>
  <c r="H649" i="3"/>
  <c r="H650" i="3" a="1"/>
  <c r="H650" i="3"/>
  <c r="H651" i="3" a="1"/>
  <c r="H651" i="3"/>
  <c r="H652" i="3" a="1"/>
  <c r="H652" i="3"/>
  <c r="H653" i="3" a="1"/>
  <c r="H653" i="3"/>
  <c r="H654" i="3" a="1"/>
  <c r="H654" i="3"/>
  <c r="H655" i="3" a="1"/>
  <c r="H655" i="3"/>
  <c r="H656" i="3" a="1"/>
  <c r="H656" i="3"/>
  <c r="H657" i="3" a="1"/>
  <c r="H657" i="3"/>
  <c r="H658" i="3" a="1"/>
  <c r="H658" i="3"/>
  <c r="H659" i="3" a="1"/>
  <c r="H659" i="3"/>
  <c r="H660" i="3" a="1"/>
  <c r="H660" i="3"/>
  <c r="H661" i="3" a="1"/>
  <c r="H661" i="3"/>
  <c r="H662" i="3" a="1"/>
  <c r="H662" i="3"/>
  <c r="H663" i="3" a="1"/>
  <c r="H663" i="3"/>
  <c r="H664" i="3" a="1"/>
  <c r="H664" i="3"/>
  <c r="H665" i="3" a="1"/>
  <c r="H665" i="3"/>
  <c r="H666" i="3" a="1"/>
  <c r="H666" i="3"/>
  <c r="H667" i="3" a="1"/>
  <c r="H667" i="3"/>
  <c r="H668" i="3" a="1"/>
  <c r="H668" i="3"/>
  <c r="H669" i="3" a="1"/>
  <c r="H669" i="3"/>
  <c r="H670" i="3" a="1"/>
  <c r="H670" i="3"/>
  <c r="H671" i="3" a="1"/>
  <c r="H671" i="3"/>
  <c r="H672" i="3" a="1"/>
  <c r="H672" i="3"/>
  <c r="H673" i="3" a="1"/>
  <c r="H673" i="3"/>
  <c r="H674" i="3" a="1"/>
  <c r="H674" i="3"/>
  <c r="H675" i="3" a="1"/>
  <c r="H675" i="3"/>
  <c r="H676" i="3" a="1"/>
  <c r="H676" i="3"/>
  <c r="H677" i="3" a="1"/>
  <c r="H677" i="3"/>
  <c r="H678" i="3" a="1"/>
  <c r="H678" i="3"/>
  <c r="H679" i="3" a="1"/>
  <c r="H679" i="3"/>
  <c r="H680" i="3" a="1"/>
  <c r="H680" i="3"/>
  <c r="H681" i="3" a="1"/>
  <c r="H681" i="3"/>
  <c r="H682" i="3" a="1"/>
  <c r="H682" i="3"/>
  <c r="H683" i="3" a="1"/>
  <c r="H683" i="3"/>
  <c r="H684" i="3" a="1"/>
  <c r="H684" i="3"/>
  <c r="H685" i="3" a="1"/>
  <c r="H685" i="3"/>
  <c r="H686" i="3" a="1"/>
  <c r="H686" i="3"/>
  <c r="H687" i="3" a="1"/>
  <c r="H687" i="3"/>
  <c r="H688" i="3" a="1"/>
  <c r="H688" i="3"/>
  <c r="H689" i="3" a="1"/>
  <c r="H689" i="3"/>
  <c r="H690" i="3" a="1"/>
  <c r="H690" i="3"/>
  <c r="H691" i="3" a="1"/>
  <c r="H691" i="3"/>
  <c r="H692" i="3" a="1"/>
  <c r="H692" i="3"/>
  <c r="H693" i="3" a="1"/>
  <c r="H693" i="3"/>
  <c r="H694" i="3" a="1"/>
  <c r="H694" i="3"/>
  <c r="H695" i="3" a="1"/>
  <c r="H695" i="3"/>
  <c r="H696" i="3" a="1"/>
  <c r="H696" i="3"/>
  <c r="H697" i="3" a="1"/>
  <c r="H697" i="3"/>
  <c r="H698" i="3" a="1"/>
  <c r="H698" i="3"/>
  <c r="H699" i="3" a="1"/>
  <c r="H699" i="3"/>
  <c r="H700" i="3" a="1"/>
  <c r="H700" i="3"/>
  <c r="H701" i="3" a="1"/>
  <c r="H701" i="3"/>
  <c r="H702" i="3" a="1"/>
  <c r="H702" i="3"/>
  <c r="H703" i="3" a="1"/>
  <c r="H703" i="3"/>
  <c r="H704" i="3" a="1"/>
  <c r="H704" i="3"/>
  <c r="H705" i="3" a="1"/>
  <c r="H705" i="3"/>
  <c r="H706" i="3" a="1"/>
  <c r="H706" i="3"/>
  <c r="H707" i="3" a="1"/>
  <c r="H707" i="3"/>
  <c r="H708" i="3" a="1"/>
  <c r="H708" i="3"/>
  <c r="H709" i="3" a="1"/>
  <c r="H709" i="3"/>
  <c r="H710" i="3" a="1"/>
  <c r="H710" i="3"/>
  <c r="H711" i="3" a="1"/>
  <c r="H711" i="3"/>
  <c r="H712" i="3" a="1"/>
  <c r="H712" i="3"/>
  <c r="H713" i="3" a="1"/>
  <c r="H713" i="3"/>
  <c r="H714" i="3" a="1"/>
  <c r="H714" i="3"/>
  <c r="H715" i="3" a="1"/>
  <c r="H715" i="3"/>
  <c r="H716" i="3" a="1"/>
  <c r="H716" i="3"/>
  <c r="H717" i="3" a="1"/>
  <c r="H717" i="3"/>
  <c r="H718" i="3" a="1"/>
  <c r="H718" i="3"/>
  <c r="H719" i="3" a="1"/>
  <c r="H719" i="3"/>
  <c r="H720" i="3" a="1"/>
  <c r="H720" i="3"/>
  <c r="H721" i="3" a="1"/>
  <c r="H721" i="3"/>
  <c r="H722" i="3" a="1"/>
  <c r="H722" i="3"/>
  <c r="H723" i="3" a="1"/>
  <c r="H723" i="3"/>
  <c r="H724" i="3" a="1"/>
  <c r="H724" i="3"/>
  <c r="H725" i="3" a="1"/>
  <c r="H725" i="3"/>
  <c r="H726" i="3" a="1"/>
  <c r="H726" i="3"/>
  <c r="H727" i="3" a="1"/>
  <c r="H727" i="3"/>
  <c r="H728" i="3" a="1"/>
  <c r="H728" i="3"/>
  <c r="H729" i="3" a="1"/>
  <c r="H729" i="3"/>
  <c r="H730" i="3" a="1"/>
  <c r="H730" i="3"/>
  <c r="H731" i="3" a="1"/>
  <c r="H731" i="3"/>
  <c r="H732" i="3" a="1"/>
  <c r="H732" i="3"/>
  <c r="H733" i="3" a="1"/>
  <c r="H733" i="3"/>
  <c r="H734" i="3" a="1"/>
  <c r="H734" i="3"/>
  <c r="H735" i="3" a="1"/>
  <c r="H735" i="3"/>
  <c r="H736" i="3" a="1"/>
  <c r="H736" i="3"/>
  <c r="H737" i="3" a="1"/>
  <c r="H737" i="3"/>
  <c r="H738" i="3" a="1"/>
  <c r="H738" i="3"/>
  <c r="H739" i="3" a="1"/>
  <c r="H739" i="3"/>
  <c r="H740" i="3" a="1"/>
  <c r="H740" i="3"/>
  <c r="H741" i="3" a="1"/>
  <c r="H741" i="3"/>
  <c r="H742" i="3" a="1"/>
  <c r="H742" i="3"/>
  <c r="H743" i="3" a="1"/>
  <c r="H743" i="3"/>
  <c r="H744" i="3" a="1"/>
  <c r="H744" i="3"/>
  <c r="H745" i="3" a="1"/>
  <c r="H745" i="3"/>
  <c r="H746" i="3" a="1"/>
  <c r="H746" i="3"/>
  <c r="H747" i="3" a="1"/>
  <c r="H747" i="3"/>
  <c r="H748" i="3" a="1"/>
  <c r="H748" i="3"/>
  <c r="H749" i="3" a="1"/>
  <c r="H749" i="3"/>
  <c r="H750" i="3" a="1"/>
  <c r="H750" i="3"/>
  <c r="H751" i="3" a="1"/>
  <c r="H751" i="3"/>
  <c r="H752" i="3" a="1"/>
  <c r="H752" i="3"/>
  <c r="H753" i="3" a="1"/>
  <c r="H753" i="3"/>
  <c r="H754" i="3" a="1"/>
  <c r="H754" i="3"/>
  <c r="H755" i="3" a="1"/>
  <c r="H755" i="3"/>
  <c r="H756" i="3" a="1"/>
  <c r="H756" i="3"/>
  <c r="H757" i="3" a="1"/>
  <c r="H757" i="3"/>
  <c r="H758" i="3" a="1"/>
  <c r="H758" i="3"/>
  <c r="H759" i="3" a="1"/>
  <c r="H759" i="3"/>
  <c r="H760" i="3" a="1"/>
  <c r="H760" i="3"/>
  <c r="H761" i="3" a="1"/>
  <c r="H761" i="3"/>
  <c r="H762" i="3" a="1"/>
  <c r="H762" i="3"/>
  <c r="H763" i="3" a="1"/>
  <c r="H763" i="3"/>
  <c r="H764" i="3" a="1"/>
  <c r="H764" i="3"/>
  <c r="H765" i="3" a="1"/>
  <c r="H765" i="3"/>
  <c r="H766" i="3" a="1"/>
  <c r="H766" i="3"/>
  <c r="H767" i="3" a="1"/>
  <c r="H767" i="3"/>
  <c r="H768" i="3" a="1"/>
  <c r="H768" i="3"/>
  <c r="H769" i="3" a="1"/>
  <c r="H769" i="3"/>
  <c r="H770" i="3" a="1"/>
  <c r="H770" i="3"/>
  <c r="H771" i="3" a="1"/>
  <c r="H771" i="3"/>
  <c r="H772" i="3" a="1"/>
  <c r="H772" i="3"/>
  <c r="H773" i="3" a="1"/>
  <c r="H773" i="3"/>
  <c r="H774" i="3" a="1"/>
  <c r="H774" i="3"/>
  <c r="H775" i="3" a="1"/>
  <c r="H775" i="3"/>
  <c r="H776" i="3" a="1"/>
  <c r="H776" i="3"/>
  <c r="H777" i="3" a="1"/>
  <c r="H777" i="3"/>
  <c r="H778" i="3" a="1"/>
  <c r="H778" i="3"/>
  <c r="H779" i="3" a="1"/>
  <c r="H779" i="3"/>
  <c r="H780" i="3" a="1"/>
  <c r="H780" i="3"/>
  <c r="H781" i="3" a="1"/>
  <c r="H781" i="3"/>
  <c r="H782" i="3" a="1"/>
  <c r="H782" i="3"/>
  <c r="H783" i="3" a="1"/>
  <c r="H783" i="3"/>
  <c r="H784" i="3" a="1"/>
  <c r="H784" i="3"/>
  <c r="H785" i="3" a="1"/>
  <c r="H785" i="3"/>
  <c r="H786" i="3" a="1"/>
  <c r="H786" i="3"/>
  <c r="H787" i="3" a="1"/>
  <c r="H787" i="3"/>
  <c r="H788" i="3" a="1"/>
  <c r="H788" i="3"/>
  <c r="H789" i="3" a="1"/>
  <c r="H789" i="3"/>
  <c r="H790" i="3" a="1"/>
  <c r="H790" i="3"/>
  <c r="H791" i="3" a="1"/>
  <c r="H791" i="3"/>
  <c r="H792" i="3" a="1"/>
  <c r="H792" i="3"/>
  <c r="H793" i="3" a="1"/>
  <c r="H793" i="3"/>
  <c r="H794" i="3" a="1"/>
  <c r="H794" i="3"/>
  <c r="H795" i="3" a="1"/>
  <c r="H795" i="3"/>
  <c r="H796" i="3" a="1"/>
  <c r="H796" i="3"/>
  <c r="H797" i="3" a="1"/>
  <c r="H797" i="3"/>
  <c r="H798" i="3" a="1"/>
  <c r="H798" i="3"/>
  <c r="H799" i="3" a="1"/>
  <c r="H799" i="3"/>
  <c r="H800" i="3" a="1"/>
  <c r="H800" i="3"/>
  <c r="H801" i="3" a="1"/>
  <c r="H801" i="3"/>
  <c r="H802" i="3" a="1"/>
  <c r="H802" i="3"/>
  <c r="H803" i="3" a="1"/>
  <c r="H803" i="3"/>
  <c r="H804" i="3" a="1"/>
  <c r="H804" i="3"/>
  <c r="H805" i="3" a="1"/>
  <c r="H805" i="3"/>
  <c r="H806" i="3" a="1"/>
  <c r="H806" i="3"/>
  <c r="H807" i="3" a="1"/>
  <c r="H807" i="3"/>
  <c r="H808" i="3" a="1"/>
  <c r="H808" i="3"/>
  <c r="H809" i="3" a="1"/>
  <c r="H809" i="3"/>
  <c r="H810" i="3" a="1"/>
  <c r="H810" i="3"/>
  <c r="H811" i="3" a="1"/>
  <c r="H811" i="3"/>
  <c r="H812" i="3" a="1"/>
  <c r="H812" i="3"/>
  <c r="H813" i="3" a="1"/>
  <c r="H813" i="3"/>
  <c r="H814" i="3" a="1"/>
  <c r="H814" i="3"/>
  <c r="H815" i="3" a="1"/>
  <c r="H815" i="3"/>
  <c r="H816" i="3" a="1"/>
  <c r="H816" i="3"/>
  <c r="H817" i="3" a="1"/>
  <c r="H817" i="3"/>
  <c r="H818" i="3" a="1"/>
  <c r="H818" i="3"/>
  <c r="H819" i="3" a="1"/>
  <c r="H819" i="3"/>
  <c r="H820" i="3" a="1"/>
  <c r="H820" i="3"/>
  <c r="H821" i="3" a="1"/>
  <c r="H821" i="3"/>
  <c r="H822" i="3" a="1"/>
  <c r="H822" i="3"/>
  <c r="H823" i="3" a="1"/>
  <c r="H823" i="3"/>
  <c r="H824" i="3" a="1"/>
  <c r="H824" i="3"/>
  <c r="H825" i="3" a="1"/>
  <c r="H825" i="3"/>
  <c r="H826" i="3" a="1"/>
  <c r="H826" i="3"/>
  <c r="H827" i="3" a="1"/>
  <c r="H827" i="3"/>
  <c r="H828" i="3" a="1"/>
  <c r="H828" i="3"/>
  <c r="H829" i="3" a="1"/>
  <c r="H829" i="3"/>
  <c r="H830" i="3" a="1"/>
  <c r="H830" i="3"/>
  <c r="H831" i="3" a="1"/>
  <c r="H831" i="3"/>
  <c r="H832" i="3" a="1"/>
  <c r="H832" i="3"/>
  <c r="H833" i="3" a="1"/>
  <c r="H833" i="3"/>
  <c r="H834" i="3" a="1"/>
  <c r="H834" i="3"/>
  <c r="H835" i="3" a="1"/>
  <c r="H835" i="3"/>
  <c r="H836" i="3" a="1"/>
  <c r="H836" i="3"/>
  <c r="H837" i="3" a="1"/>
  <c r="H837" i="3"/>
  <c r="H838" i="3" a="1"/>
  <c r="H838" i="3"/>
  <c r="H839" i="3" a="1"/>
  <c r="H839" i="3"/>
  <c r="H840" i="3" a="1"/>
  <c r="H840" i="3"/>
  <c r="H841" i="3" a="1"/>
  <c r="H841" i="3"/>
  <c r="H842" i="3" a="1"/>
  <c r="H842" i="3"/>
  <c r="H843" i="3" a="1"/>
  <c r="H843" i="3"/>
  <c r="H844" i="3" a="1"/>
  <c r="H844" i="3"/>
  <c r="H845" i="3" a="1"/>
  <c r="H845" i="3"/>
  <c r="H846" i="3" a="1"/>
  <c r="H846" i="3"/>
  <c r="H847" i="3" a="1"/>
  <c r="H847" i="3"/>
  <c r="H848" i="3" a="1"/>
  <c r="H848" i="3"/>
  <c r="H849" i="3" a="1"/>
  <c r="H849" i="3"/>
  <c r="H850" i="3" a="1"/>
  <c r="H850" i="3"/>
  <c r="H851" i="3" a="1"/>
  <c r="H851" i="3"/>
  <c r="H852" i="3" a="1"/>
  <c r="H852" i="3"/>
  <c r="H853" i="3" a="1"/>
  <c r="H853" i="3"/>
  <c r="H854" i="3" a="1"/>
  <c r="H854" i="3"/>
  <c r="H855" i="3" a="1"/>
  <c r="H855" i="3"/>
  <c r="H856" i="3" a="1"/>
  <c r="H856" i="3"/>
  <c r="H857" i="3" a="1"/>
  <c r="H857" i="3"/>
  <c r="H858" i="3" a="1"/>
  <c r="H858" i="3"/>
  <c r="H859" i="3" a="1"/>
  <c r="H859" i="3"/>
  <c r="H860" i="3" a="1"/>
  <c r="H860" i="3"/>
  <c r="H861" i="3" a="1"/>
  <c r="H861" i="3"/>
  <c r="H862" i="3" a="1"/>
  <c r="H862" i="3"/>
  <c r="H863" i="3" a="1"/>
  <c r="H863" i="3"/>
  <c r="H864" i="3" a="1"/>
  <c r="H864" i="3"/>
  <c r="H865" i="3" a="1"/>
  <c r="H865" i="3"/>
  <c r="H866" i="3" a="1"/>
  <c r="H866" i="3"/>
  <c r="H867" i="3" a="1"/>
  <c r="H867" i="3"/>
  <c r="H868" i="3" a="1"/>
  <c r="H868" i="3"/>
  <c r="H869" i="3" a="1"/>
  <c r="H869" i="3"/>
  <c r="H870" i="3" a="1"/>
  <c r="H870" i="3"/>
  <c r="H871" i="3" a="1"/>
  <c r="H871" i="3"/>
  <c r="H872" i="3" a="1"/>
  <c r="H872" i="3"/>
  <c r="H873" i="3" a="1"/>
  <c r="H873" i="3"/>
  <c r="H874" i="3" a="1"/>
  <c r="H874" i="3"/>
  <c r="H875" i="3" a="1"/>
  <c r="H875" i="3"/>
  <c r="H876" i="3" a="1"/>
  <c r="H876" i="3"/>
  <c r="H877" i="3" a="1"/>
  <c r="H877" i="3"/>
  <c r="H878" i="3" a="1"/>
  <c r="H878" i="3"/>
  <c r="H879" i="3" a="1"/>
  <c r="H879" i="3"/>
  <c r="H880" i="3" a="1"/>
  <c r="H880" i="3"/>
  <c r="H881" i="3" a="1"/>
  <c r="H881" i="3"/>
  <c r="H882" i="3" a="1"/>
  <c r="H882" i="3"/>
  <c r="H883" i="3" a="1"/>
  <c r="H883" i="3"/>
  <c r="H884" i="3" a="1"/>
  <c r="H884" i="3"/>
  <c r="H885" i="3" a="1"/>
  <c r="H885" i="3"/>
  <c r="H886" i="3" a="1"/>
  <c r="H886" i="3"/>
  <c r="H887" i="3" a="1"/>
  <c r="H887" i="3"/>
  <c r="H888" i="3" a="1"/>
  <c r="H888" i="3"/>
  <c r="H889" i="3" a="1"/>
  <c r="H889" i="3"/>
  <c r="H890" i="3" a="1"/>
  <c r="H890" i="3"/>
  <c r="H891" i="3" a="1"/>
  <c r="H891" i="3"/>
  <c r="H892" i="3" a="1"/>
  <c r="H892" i="3"/>
  <c r="H893" i="3" a="1"/>
  <c r="H893" i="3"/>
  <c r="H894" i="3" a="1"/>
  <c r="H894" i="3"/>
  <c r="H895" i="3" a="1"/>
  <c r="H895" i="3"/>
  <c r="H896" i="3" a="1"/>
  <c r="H896" i="3"/>
  <c r="H897" i="3" a="1"/>
  <c r="H897" i="3"/>
  <c r="H898" i="3" a="1"/>
  <c r="H898" i="3"/>
  <c r="H899" i="3" a="1"/>
  <c r="H899" i="3"/>
  <c r="H900" i="3" a="1"/>
  <c r="H900" i="3"/>
  <c r="H901" i="3" a="1"/>
  <c r="H901" i="3"/>
  <c r="H902" i="3" a="1"/>
  <c r="H902" i="3"/>
  <c r="H903" i="3" a="1"/>
  <c r="H903" i="3"/>
  <c r="H904" i="3" a="1"/>
  <c r="H904" i="3"/>
  <c r="H905" i="3" a="1"/>
  <c r="H905" i="3"/>
  <c r="H906" i="3" a="1"/>
  <c r="H906" i="3"/>
  <c r="H907" i="3" a="1"/>
  <c r="H907" i="3"/>
  <c r="H908" i="3" a="1"/>
  <c r="H908" i="3"/>
  <c r="H909" i="3" a="1"/>
  <c r="H909" i="3"/>
  <c r="H910" i="3" a="1"/>
  <c r="H910" i="3"/>
  <c r="H911" i="3" a="1"/>
  <c r="H911" i="3"/>
  <c r="H912" i="3" a="1"/>
  <c r="H912" i="3"/>
  <c r="H913" i="3" a="1"/>
  <c r="H913" i="3"/>
  <c r="H914" i="3" a="1"/>
  <c r="H914" i="3"/>
  <c r="H915" i="3" a="1"/>
  <c r="H915" i="3"/>
  <c r="H916" i="3" a="1"/>
  <c r="H916" i="3"/>
  <c r="H917" i="3" a="1"/>
  <c r="H917" i="3"/>
  <c r="H918" i="3" a="1"/>
  <c r="H918" i="3"/>
  <c r="H919" i="3" a="1"/>
  <c r="H919" i="3"/>
  <c r="H920" i="3" a="1"/>
  <c r="H920" i="3"/>
  <c r="H921" i="3" a="1"/>
  <c r="H921" i="3"/>
  <c r="H922" i="3" a="1"/>
  <c r="H922" i="3"/>
  <c r="H923" i="3" a="1"/>
  <c r="H923" i="3"/>
  <c r="H924" i="3" a="1"/>
  <c r="H924" i="3"/>
  <c r="H925" i="3" a="1"/>
  <c r="H925" i="3"/>
  <c r="H926" i="3" a="1"/>
  <c r="H926" i="3"/>
  <c r="H927" i="3" a="1"/>
  <c r="H927" i="3"/>
  <c r="H928" i="3" a="1"/>
  <c r="H928" i="3"/>
  <c r="H929" i="3" a="1"/>
  <c r="H929" i="3"/>
  <c r="H930" i="3" a="1"/>
  <c r="H930" i="3"/>
  <c r="H931" i="3" a="1"/>
  <c r="H931" i="3"/>
  <c r="H932" i="3" a="1"/>
  <c r="H932" i="3"/>
  <c r="H933" i="3" a="1"/>
  <c r="H933" i="3"/>
  <c r="H934" i="3" a="1"/>
  <c r="H934" i="3"/>
  <c r="H935" i="3" a="1"/>
  <c r="H935" i="3"/>
  <c r="H936" i="3" a="1"/>
  <c r="H936" i="3"/>
  <c r="H937" i="3" a="1"/>
  <c r="H937" i="3"/>
  <c r="H938" i="3" a="1"/>
  <c r="H938" i="3"/>
  <c r="H939" i="3" a="1"/>
  <c r="H939" i="3"/>
  <c r="H940" i="3" a="1"/>
  <c r="H940" i="3"/>
  <c r="H941" i="3" a="1"/>
  <c r="H941" i="3"/>
  <c r="H942" i="3" a="1"/>
  <c r="H942" i="3"/>
  <c r="H943" i="3" a="1"/>
  <c r="H943" i="3"/>
  <c r="H944" i="3" a="1"/>
  <c r="H944" i="3"/>
  <c r="H945" i="3" a="1"/>
  <c r="H945" i="3"/>
  <c r="H946" i="3" a="1"/>
  <c r="H946" i="3"/>
  <c r="H947" i="3" a="1"/>
  <c r="H947" i="3"/>
  <c r="H948" i="3" a="1"/>
  <c r="H948" i="3"/>
  <c r="H949" i="3" a="1"/>
  <c r="H949" i="3"/>
  <c r="H950" i="3" a="1"/>
  <c r="H950" i="3"/>
  <c r="H951" i="3" a="1"/>
  <c r="H951" i="3"/>
  <c r="H952" i="3" a="1"/>
  <c r="H952" i="3"/>
  <c r="H953" i="3" a="1"/>
  <c r="H953" i="3"/>
  <c r="H954" i="3" a="1"/>
  <c r="H954" i="3"/>
  <c r="H955" i="3" a="1"/>
  <c r="H955" i="3"/>
  <c r="H956" i="3" a="1"/>
  <c r="H956" i="3"/>
  <c r="H957" i="3" a="1"/>
  <c r="H957" i="3"/>
  <c r="H958" i="3" a="1"/>
  <c r="H958" i="3"/>
  <c r="H959" i="3" a="1"/>
  <c r="H959" i="3"/>
  <c r="H960" i="3" a="1"/>
  <c r="H960" i="3"/>
  <c r="H961" i="3" a="1"/>
  <c r="H961" i="3"/>
  <c r="H962" i="3" a="1"/>
  <c r="H962" i="3"/>
  <c r="H963" i="3" a="1"/>
  <c r="H963" i="3"/>
  <c r="H964" i="3" a="1"/>
  <c r="H964" i="3"/>
  <c r="H965" i="3" a="1"/>
  <c r="H965" i="3"/>
  <c r="H966" i="3" a="1"/>
  <c r="H966" i="3"/>
  <c r="H967" i="3" a="1"/>
  <c r="H967" i="3"/>
  <c r="H968" i="3" a="1"/>
  <c r="H968" i="3"/>
  <c r="H969" i="3" a="1"/>
  <c r="H969" i="3"/>
  <c r="H970" i="3" a="1"/>
  <c r="H970" i="3"/>
  <c r="H971" i="3" a="1"/>
  <c r="H971" i="3"/>
  <c r="H972" i="3" a="1"/>
  <c r="H972" i="3"/>
  <c r="H973" i="3" a="1"/>
  <c r="H973" i="3"/>
  <c r="H974" i="3" a="1"/>
  <c r="H974" i="3"/>
  <c r="H975" i="3" a="1"/>
  <c r="H975" i="3"/>
  <c r="H976" i="3" a="1"/>
  <c r="H976" i="3"/>
  <c r="H977" i="3" a="1"/>
  <c r="H977" i="3"/>
  <c r="H978" i="3" a="1"/>
  <c r="H978" i="3"/>
  <c r="H979" i="3" a="1"/>
  <c r="H979" i="3"/>
  <c r="H980" i="3" a="1"/>
  <c r="H980" i="3"/>
  <c r="H981" i="3" a="1"/>
  <c r="H981" i="3"/>
  <c r="H982" i="3" a="1"/>
  <c r="H982" i="3"/>
  <c r="H983" i="3" a="1"/>
  <c r="H983" i="3"/>
  <c r="H984" i="3" a="1"/>
  <c r="H984" i="3"/>
  <c r="H985" i="3" a="1"/>
  <c r="H985" i="3"/>
  <c r="H986" i="3" a="1"/>
  <c r="H986" i="3"/>
  <c r="H987" i="3" a="1"/>
  <c r="H987" i="3"/>
  <c r="H988" i="3" a="1"/>
  <c r="H988" i="3"/>
  <c r="H989" i="3" a="1"/>
  <c r="H989" i="3"/>
  <c r="H990" i="3" a="1"/>
  <c r="H990" i="3"/>
  <c r="H991" i="3" a="1"/>
  <c r="H991" i="3"/>
  <c r="H992" i="3" a="1"/>
  <c r="H992" i="3"/>
  <c r="H993" i="3" a="1"/>
  <c r="H993" i="3"/>
  <c r="H994" i="3" a="1"/>
  <c r="H994" i="3"/>
  <c r="H995" i="3" a="1"/>
  <c r="H995" i="3"/>
  <c r="H996" i="3" a="1"/>
  <c r="H996" i="3"/>
  <c r="H997" i="3" a="1"/>
  <c r="H997" i="3"/>
  <c r="H998" i="3" a="1"/>
  <c r="H998" i="3"/>
  <c r="H999" i="3" a="1"/>
  <c r="H999" i="3"/>
  <c r="H1000" i="3" a="1"/>
  <c r="H1000" i="3"/>
  <c r="H1001" i="3" a="1"/>
  <c r="H1001" i="3"/>
  <c r="H2" i="3" a="1"/>
  <c r="H2" i="3"/>
  <c r="G2" i="3"/>
  <c r="G997" i="3"/>
  <c r="G998" i="3"/>
  <c r="G999" i="3"/>
  <c r="G1000" i="3"/>
  <c r="G100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D6" i="2"/>
  <c r="D5" i="2"/>
  <c r="D4" i="2"/>
  <c r="D3" i="2"/>
  <c r="Q1001" i="1" a="1"/>
  <c r="Q1001" i="1"/>
  <c r="Q3" i="1" a="1"/>
  <c r="Q3" i="1"/>
  <c r="Q4" i="1" a="1"/>
  <c r="Q4" i="1"/>
  <c r="Q5" i="1" a="1"/>
  <c r="Q5" i="1"/>
  <c r="Q6" i="1" a="1"/>
  <c r="Q6" i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/>
  <c r="Q22" i="1" a="1"/>
  <c r="Q22" i="1"/>
  <c r="Q23" i="1" a="1"/>
  <c r="Q23" i="1"/>
  <c r="Q24" i="1" a="1"/>
  <c r="Q24" i="1"/>
  <c r="Q25" i="1" a="1"/>
  <c r="Q25" i="1"/>
  <c r="Q26" i="1" a="1"/>
  <c r="Q26" i="1"/>
  <c r="Q27" i="1" a="1"/>
  <c r="Q27" i="1"/>
  <c r="Q28" i="1" a="1"/>
  <c r="Q28" i="1"/>
  <c r="Q29" i="1" a="1"/>
  <c r="Q29" i="1"/>
  <c r="Q30" i="1" a="1"/>
  <c r="Q30" i="1"/>
  <c r="Q31" i="1" a="1"/>
  <c r="Q31" i="1"/>
  <c r="Q32" i="1" a="1"/>
  <c r="Q32" i="1"/>
  <c r="Q33" i="1" a="1"/>
  <c r="Q33" i="1"/>
  <c r="Q34" i="1" a="1"/>
  <c r="Q34" i="1"/>
  <c r="Q35" i="1" a="1"/>
  <c r="Q35" i="1"/>
  <c r="Q36" i="1" a="1"/>
  <c r="Q36" i="1"/>
  <c r="Q37" i="1" a="1"/>
  <c r="Q37" i="1"/>
  <c r="Q38" i="1" a="1"/>
  <c r="Q38" i="1"/>
  <c r="Q39" i="1" a="1"/>
  <c r="Q39" i="1"/>
  <c r="Q40" i="1" a="1"/>
  <c r="Q40" i="1"/>
  <c r="Q41" i="1" a="1"/>
  <c r="Q41" i="1"/>
  <c r="Q42" i="1" a="1"/>
  <c r="Q42" i="1"/>
  <c r="Q43" i="1" a="1"/>
  <c r="Q43" i="1"/>
  <c r="Q44" i="1" a="1"/>
  <c r="Q44" i="1"/>
  <c r="Q45" i="1" a="1"/>
  <c r="Q45" i="1"/>
  <c r="Q46" i="1" a="1"/>
  <c r="Q46" i="1"/>
  <c r="Q47" i="1" a="1"/>
  <c r="Q47" i="1"/>
  <c r="Q48" i="1" a="1"/>
  <c r="Q48" i="1"/>
  <c r="Q49" i="1" a="1"/>
  <c r="Q49" i="1"/>
  <c r="Q50" i="1" a="1"/>
  <c r="Q50" i="1"/>
  <c r="Q51" i="1" a="1"/>
  <c r="Q51" i="1"/>
  <c r="Q52" i="1" a="1"/>
  <c r="Q52" i="1"/>
  <c r="Q53" i="1" a="1"/>
  <c r="Q53" i="1"/>
  <c r="Q54" i="1" a="1"/>
  <c r="Q54" i="1"/>
  <c r="Q55" i="1" a="1"/>
  <c r="Q55" i="1"/>
  <c r="Q56" i="1" a="1"/>
  <c r="Q56" i="1"/>
  <c r="Q57" i="1" a="1"/>
  <c r="Q57" i="1"/>
  <c r="Q58" i="1" a="1"/>
  <c r="Q58" i="1"/>
  <c r="Q59" i="1" a="1"/>
  <c r="Q59" i="1"/>
  <c r="Q60" i="1" a="1"/>
  <c r="Q60" i="1"/>
  <c r="Q61" i="1" a="1"/>
  <c r="Q61" i="1"/>
  <c r="Q62" i="1" a="1"/>
  <c r="Q62" i="1"/>
  <c r="Q63" i="1" a="1"/>
  <c r="Q63" i="1"/>
  <c r="Q64" i="1" a="1"/>
  <c r="Q64" i="1"/>
  <c r="Q65" i="1" a="1"/>
  <c r="Q65" i="1"/>
  <c r="Q66" i="1" a="1"/>
  <c r="Q66" i="1"/>
  <c r="Q67" i="1" a="1"/>
  <c r="Q67" i="1"/>
  <c r="Q68" i="1" a="1"/>
  <c r="Q68" i="1"/>
  <c r="Q69" i="1" a="1"/>
  <c r="Q69" i="1"/>
  <c r="Q70" i="1" a="1"/>
  <c r="Q70" i="1"/>
  <c r="Q71" i="1" a="1"/>
  <c r="Q71" i="1"/>
  <c r="Q72" i="1" a="1"/>
  <c r="Q72" i="1"/>
  <c r="Q73" i="1" a="1"/>
  <c r="Q73" i="1"/>
  <c r="Q74" i="1" a="1"/>
  <c r="Q74" i="1"/>
  <c r="Q75" i="1" a="1"/>
  <c r="Q75" i="1"/>
  <c r="Q76" i="1" a="1"/>
  <c r="Q76" i="1"/>
  <c r="Q77" i="1" a="1"/>
  <c r="Q77" i="1"/>
  <c r="Q78" i="1" a="1"/>
  <c r="Q78" i="1"/>
  <c r="Q79" i="1" a="1"/>
  <c r="Q79" i="1"/>
  <c r="Q80" i="1" a="1"/>
  <c r="Q80" i="1"/>
  <c r="Q81" i="1" a="1"/>
  <c r="Q81" i="1"/>
  <c r="Q82" i="1" a="1"/>
  <c r="Q82" i="1"/>
  <c r="Q83" i="1" a="1"/>
  <c r="Q83" i="1"/>
  <c r="Q84" i="1" a="1"/>
  <c r="Q84" i="1"/>
  <c r="Q85" i="1" a="1"/>
  <c r="Q85" i="1"/>
  <c r="Q86" i="1" a="1"/>
  <c r="Q86" i="1"/>
  <c r="Q87" i="1" a="1"/>
  <c r="Q87" i="1"/>
  <c r="Q88" i="1" a="1"/>
  <c r="Q88" i="1"/>
  <c r="Q89" i="1" a="1"/>
  <c r="Q89" i="1"/>
  <c r="Q90" i="1" a="1"/>
  <c r="Q90" i="1"/>
  <c r="Q91" i="1" a="1"/>
  <c r="Q91" i="1"/>
  <c r="Q92" i="1" a="1"/>
  <c r="Q92" i="1"/>
  <c r="Q93" i="1" a="1"/>
  <c r="Q93" i="1"/>
  <c r="Q94" i="1" a="1"/>
  <c r="Q94" i="1"/>
  <c r="Q95" i="1" a="1"/>
  <c r="Q95" i="1"/>
  <c r="Q96" i="1" a="1"/>
  <c r="Q96" i="1"/>
  <c r="Q97" i="1" a="1"/>
  <c r="Q97" i="1"/>
  <c r="Q98" i="1" a="1"/>
  <c r="Q98" i="1"/>
  <c r="Q99" i="1" a="1"/>
  <c r="Q99" i="1"/>
  <c r="Q100" i="1" a="1"/>
  <c r="Q100" i="1"/>
  <c r="Q101" i="1" a="1"/>
  <c r="Q101" i="1"/>
  <c r="Q102" i="1" a="1"/>
  <c r="Q102" i="1"/>
  <c r="Q103" i="1" a="1"/>
  <c r="Q103" i="1"/>
  <c r="Q104" i="1" a="1"/>
  <c r="Q104" i="1"/>
  <c r="Q105" i="1" a="1"/>
  <c r="Q105" i="1"/>
  <c r="Q106" i="1" a="1"/>
  <c r="Q106" i="1"/>
  <c r="Q107" i="1" a="1"/>
  <c r="Q107" i="1"/>
  <c r="Q108" i="1" a="1"/>
  <c r="Q108" i="1"/>
  <c r="Q109" i="1" a="1"/>
  <c r="Q109" i="1"/>
  <c r="Q110" i="1" a="1"/>
  <c r="Q110" i="1"/>
  <c r="Q111" i="1" a="1"/>
  <c r="Q111" i="1"/>
  <c r="Q112" i="1" a="1"/>
  <c r="Q112" i="1"/>
  <c r="Q113" i="1" a="1"/>
  <c r="Q113" i="1"/>
  <c r="Q114" i="1" a="1"/>
  <c r="Q114" i="1"/>
  <c r="Q115" i="1" a="1"/>
  <c r="Q115" i="1"/>
  <c r="Q116" i="1" a="1"/>
  <c r="Q116" i="1"/>
  <c r="Q117" i="1" a="1"/>
  <c r="Q117" i="1"/>
  <c r="Q118" i="1" a="1"/>
  <c r="Q118" i="1"/>
  <c r="Q119" i="1" a="1"/>
  <c r="Q119" i="1"/>
  <c r="Q120" i="1" a="1"/>
  <c r="Q120" i="1"/>
  <c r="Q121" i="1" a="1"/>
  <c r="Q121" i="1"/>
  <c r="Q122" i="1" a="1"/>
  <c r="Q122" i="1"/>
  <c r="Q123" i="1" a="1"/>
  <c r="Q123" i="1"/>
  <c r="Q124" i="1" a="1"/>
  <c r="Q124" i="1"/>
  <c r="Q125" i="1" a="1"/>
  <c r="Q125" i="1"/>
  <c r="Q126" i="1" a="1"/>
  <c r="Q126" i="1"/>
  <c r="Q127" i="1" a="1"/>
  <c r="Q127" i="1"/>
  <c r="Q128" i="1" a="1"/>
  <c r="Q128" i="1"/>
  <c r="Q129" i="1" a="1"/>
  <c r="Q129" i="1"/>
  <c r="Q130" i="1" a="1"/>
  <c r="Q130" i="1"/>
  <c r="Q131" i="1" a="1"/>
  <c r="Q131" i="1"/>
  <c r="Q132" i="1" a="1"/>
  <c r="Q132" i="1"/>
  <c r="Q133" i="1" a="1"/>
  <c r="Q133" i="1"/>
  <c r="Q134" i="1" a="1"/>
  <c r="Q134" i="1"/>
  <c r="Q135" i="1" a="1"/>
  <c r="Q135" i="1"/>
  <c r="Q136" i="1" a="1"/>
  <c r="Q136" i="1"/>
  <c r="Q137" i="1" a="1"/>
  <c r="Q137" i="1"/>
  <c r="Q138" i="1" a="1"/>
  <c r="Q138" i="1"/>
  <c r="Q139" i="1" a="1"/>
  <c r="Q139" i="1"/>
  <c r="Q140" i="1" a="1"/>
  <c r="Q140" i="1"/>
  <c r="Q141" i="1" a="1"/>
  <c r="Q141" i="1"/>
  <c r="Q142" i="1" a="1"/>
  <c r="Q142" i="1"/>
  <c r="Q143" i="1" a="1"/>
  <c r="Q143" i="1"/>
  <c r="Q144" i="1" a="1"/>
  <c r="Q144" i="1"/>
  <c r="Q145" i="1" a="1"/>
  <c r="Q145" i="1"/>
  <c r="Q146" i="1" a="1"/>
  <c r="Q146" i="1"/>
  <c r="Q147" i="1" a="1"/>
  <c r="Q147" i="1"/>
  <c r="Q148" i="1" a="1"/>
  <c r="Q148" i="1"/>
  <c r="Q149" i="1" a="1"/>
  <c r="Q149" i="1"/>
  <c r="Q150" i="1" a="1"/>
  <c r="Q150" i="1"/>
  <c r="Q151" i="1" a="1"/>
  <c r="Q151" i="1"/>
  <c r="Q152" i="1" a="1"/>
  <c r="Q152" i="1"/>
  <c r="Q153" i="1" a="1"/>
  <c r="Q153" i="1"/>
  <c r="Q154" i="1" a="1"/>
  <c r="Q154" i="1"/>
  <c r="Q155" i="1" a="1"/>
  <c r="Q155" i="1"/>
  <c r="Q156" i="1" a="1"/>
  <c r="Q156" i="1"/>
  <c r="Q157" i="1" a="1"/>
  <c r="Q157" i="1"/>
  <c r="Q158" i="1" a="1"/>
  <c r="Q158" i="1"/>
  <c r="Q159" i="1" a="1"/>
  <c r="Q159" i="1"/>
  <c r="Q160" i="1" a="1"/>
  <c r="Q160" i="1"/>
  <c r="Q161" i="1" a="1"/>
  <c r="Q161" i="1"/>
  <c r="Q162" i="1" a="1"/>
  <c r="Q162" i="1"/>
  <c r="Q163" i="1" a="1"/>
  <c r="Q163" i="1"/>
  <c r="Q164" i="1" a="1"/>
  <c r="Q164" i="1"/>
  <c r="Q165" i="1" a="1"/>
  <c r="Q165" i="1"/>
  <c r="Q166" i="1" a="1"/>
  <c r="Q166" i="1"/>
  <c r="Q167" i="1" a="1"/>
  <c r="Q167" i="1"/>
  <c r="Q168" i="1" a="1"/>
  <c r="Q168" i="1"/>
  <c r="Q169" i="1" a="1"/>
  <c r="Q169" i="1"/>
  <c r="Q170" i="1" a="1"/>
  <c r="Q170" i="1"/>
  <c r="Q171" i="1" a="1"/>
  <c r="Q171" i="1"/>
  <c r="Q172" i="1" a="1"/>
  <c r="Q172" i="1"/>
  <c r="Q173" i="1" a="1"/>
  <c r="Q173" i="1"/>
  <c r="Q174" i="1" a="1"/>
  <c r="Q174" i="1"/>
  <c r="Q175" i="1" a="1"/>
  <c r="Q175" i="1"/>
  <c r="Q176" i="1" a="1"/>
  <c r="Q176" i="1"/>
  <c r="Q177" i="1" a="1"/>
  <c r="Q177" i="1"/>
  <c r="Q178" i="1" a="1"/>
  <c r="Q178" i="1"/>
  <c r="Q179" i="1" a="1"/>
  <c r="Q179" i="1"/>
  <c r="Q180" i="1" a="1"/>
  <c r="Q180" i="1"/>
  <c r="Q181" i="1" a="1"/>
  <c r="Q181" i="1"/>
  <c r="Q182" i="1" a="1"/>
  <c r="Q182" i="1"/>
  <c r="Q183" i="1" a="1"/>
  <c r="Q183" i="1"/>
  <c r="Q184" i="1" a="1"/>
  <c r="Q184" i="1"/>
  <c r="Q185" i="1" a="1"/>
  <c r="Q185" i="1"/>
  <c r="Q186" i="1" a="1"/>
  <c r="Q186" i="1"/>
  <c r="Q187" i="1" a="1"/>
  <c r="Q187" i="1"/>
  <c r="Q188" i="1" a="1"/>
  <c r="Q188" i="1"/>
  <c r="Q189" i="1" a="1"/>
  <c r="Q189" i="1"/>
  <c r="Q190" i="1" a="1"/>
  <c r="Q190" i="1"/>
  <c r="Q191" i="1" a="1"/>
  <c r="Q191" i="1"/>
  <c r="Q192" i="1" a="1"/>
  <c r="Q192" i="1"/>
  <c r="Q193" i="1" a="1"/>
  <c r="Q193" i="1"/>
  <c r="Q194" i="1" a="1"/>
  <c r="Q194" i="1"/>
  <c r="Q195" i="1" a="1"/>
  <c r="Q195" i="1"/>
  <c r="Q196" i="1" a="1"/>
  <c r="Q196" i="1"/>
  <c r="Q197" i="1" a="1"/>
  <c r="Q197" i="1"/>
  <c r="Q198" i="1" a="1"/>
  <c r="Q198" i="1"/>
  <c r="Q199" i="1" a="1"/>
  <c r="Q199" i="1"/>
  <c r="Q200" i="1" a="1"/>
  <c r="Q200" i="1"/>
  <c r="Q201" i="1" a="1"/>
  <c r="Q201" i="1"/>
  <c r="Q202" i="1" a="1"/>
  <c r="Q202" i="1"/>
  <c r="Q203" i="1" a="1"/>
  <c r="Q203" i="1"/>
  <c r="Q204" i="1" a="1"/>
  <c r="Q204" i="1"/>
  <c r="Q205" i="1" a="1"/>
  <c r="Q205" i="1"/>
  <c r="Q206" i="1" a="1"/>
  <c r="Q206" i="1"/>
  <c r="Q207" i="1" a="1"/>
  <c r="Q207" i="1"/>
  <c r="Q208" i="1" a="1"/>
  <c r="Q208" i="1"/>
  <c r="Q209" i="1" a="1"/>
  <c r="Q209" i="1"/>
  <c r="Q210" i="1" a="1"/>
  <c r="Q210" i="1"/>
  <c r="Q211" i="1" a="1"/>
  <c r="Q211" i="1"/>
  <c r="Q212" i="1" a="1"/>
  <c r="Q212" i="1"/>
  <c r="Q213" i="1" a="1"/>
  <c r="Q213" i="1"/>
  <c r="Q214" i="1" a="1"/>
  <c r="Q214" i="1"/>
  <c r="Q215" i="1" a="1"/>
  <c r="Q215" i="1"/>
  <c r="Q216" i="1" a="1"/>
  <c r="Q216" i="1"/>
  <c r="Q217" i="1" a="1"/>
  <c r="Q217" i="1"/>
  <c r="Q218" i="1" a="1"/>
  <c r="Q218" i="1"/>
  <c r="Q219" i="1" a="1"/>
  <c r="Q219" i="1"/>
  <c r="Q220" i="1" a="1"/>
  <c r="Q220" i="1"/>
  <c r="Q221" i="1" a="1"/>
  <c r="Q221" i="1"/>
  <c r="Q222" i="1" a="1"/>
  <c r="Q222" i="1"/>
  <c r="Q223" i="1" a="1"/>
  <c r="Q223" i="1"/>
  <c r="Q224" i="1" a="1"/>
  <c r="Q224" i="1"/>
  <c r="Q225" i="1" a="1"/>
  <c r="Q225" i="1"/>
  <c r="Q226" i="1" a="1"/>
  <c r="Q226" i="1"/>
  <c r="Q227" i="1" a="1"/>
  <c r="Q227" i="1"/>
  <c r="Q228" i="1" a="1"/>
  <c r="Q228" i="1"/>
  <c r="Q229" i="1" a="1"/>
  <c r="Q229" i="1"/>
  <c r="Q230" i="1" a="1"/>
  <c r="Q230" i="1"/>
  <c r="Q231" i="1" a="1"/>
  <c r="Q231" i="1"/>
  <c r="Q232" i="1" a="1"/>
  <c r="Q232" i="1"/>
  <c r="Q233" i="1" a="1"/>
  <c r="Q233" i="1"/>
  <c r="Q234" i="1" a="1"/>
  <c r="Q234" i="1"/>
  <c r="Q235" i="1" a="1"/>
  <c r="Q235" i="1"/>
  <c r="Q236" i="1" a="1"/>
  <c r="Q236" i="1"/>
  <c r="Q237" i="1" a="1"/>
  <c r="Q237" i="1"/>
  <c r="Q238" i="1" a="1"/>
  <c r="Q238" i="1"/>
  <c r="Q239" i="1" a="1"/>
  <c r="Q239" i="1"/>
  <c r="Q240" i="1" a="1"/>
  <c r="Q240" i="1"/>
  <c r="Q241" i="1" a="1"/>
  <c r="Q241" i="1"/>
  <c r="Q242" i="1" a="1"/>
  <c r="Q242" i="1"/>
  <c r="Q243" i="1" a="1"/>
  <c r="Q243" i="1"/>
  <c r="Q244" i="1" a="1"/>
  <c r="Q244" i="1"/>
  <c r="Q245" i="1" a="1"/>
  <c r="Q245" i="1"/>
  <c r="Q246" i="1" a="1"/>
  <c r="Q246" i="1"/>
  <c r="Q247" i="1" a="1"/>
  <c r="Q247" i="1"/>
  <c r="Q248" i="1" a="1"/>
  <c r="Q248" i="1"/>
  <c r="Q249" i="1" a="1"/>
  <c r="Q249" i="1"/>
  <c r="Q250" i="1" a="1"/>
  <c r="Q250" i="1"/>
  <c r="Q251" i="1" a="1"/>
  <c r="Q251" i="1"/>
  <c r="Q252" i="1" a="1"/>
  <c r="Q252" i="1"/>
  <c r="Q253" i="1" a="1"/>
  <c r="Q253" i="1"/>
  <c r="Q254" i="1" a="1"/>
  <c r="Q254" i="1"/>
  <c r="Q255" i="1" a="1"/>
  <c r="Q255" i="1"/>
  <c r="Q256" i="1" a="1"/>
  <c r="Q256" i="1"/>
  <c r="Q257" i="1" a="1"/>
  <c r="Q257" i="1"/>
  <c r="Q258" i="1" a="1"/>
  <c r="Q258" i="1"/>
  <c r="Q259" i="1" a="1"/>
  <c r="Q259" i="1"/>
  <c r="Q260" i="1" a="1"/>
  <c r="Q260" i="1"/>
  <c r="Q261" i="1" a="1"/>
  <c r="Q261" i="1"/>
  <c r="Q262" i="1" a="1"/>
  <c r="Q262" i="1"/>
  <c r="Q263" i="1" a="1"/>
  <c r="Q263" i="1"/>
  <c r="Q264" i="1" a="1"/>
  <c r="Q264" i="1"/>
  <c r="Q265" i="1" a="1"/>
  <c r="Q265" i="1"/>
  <c r="Q266" i="1" a="1"/>
  <c r="Q266" i="1"/>
  <c r="Q267" i="1" a="1"/>
  <c r="Q267" i="1"/>
  <c r="Q268" i="1" a="1"/>
  <c r="Q268" i="1"/>
  <c r="Q269" i="1" a="1"/>
  <c r="Q269" i="1"/>
  <c r="Q270" i="1" a="1"/>
  <c r="Q270" i="1"/>
  <c r="Q271" i="1" a="1"/>
  <c r="Q271" i="1"/>
  <c r="Q272" i="1" a="1"/>
  <c r="Q272" i="1"/>
  <c r="Q273" i="1" a="1"/>
  <c r="Q273" i="1"/>
  <c r="Q274" i="1" a="1"/>
  <c r="Q274" i="1"/>
  <c r="Q275" i="1" a="1"/>
  <c r="Q275" i="1"/>
  <c r="Q276" i="1" a="1"/>
  <c r="Q276" i="1"/>
  <c r="Q277" i="1" a="1"/>
  <c r="Q277" i="1"/>
  <c r="Q278" i="1" a="1"/>
  <c r="Q278" i="1"/>
  <c r="Q279" i="1" a="1"/>
  <c r="Q279" i="1"/>
  <c r="Q280" i="1" a="1"/>
  <c r="Q280" i="1"/>
  <c r="Q281" i="1" a="1"/>
  <c r="Q281" i="1"/>
  <c r="Q282" i="1" a="1"/>
  <c r="Q282" i="1"/>
  <c r="Q283" i="1" a="1"/>
  <c r="Q283" i="1"/>
  <c r="Q284" i="1" a="1"/>
  <c r="Q284" i="1"/>
  <c r="Q285" i="1" a="1"/>
  <c r="Q285" i="1"/>
  <c r="Q286" i="1" a="1"/>
  <c r="Q286" i="1"/>
  <c r="Q287" i="1" a="1"/>
  <c r="Q287" i="1"/>
  <c r="Q288" i="1" a="1"/>
  <c r="Q288" i="1"/>
  <c r="Q289" i="1" a="1"/>
  <c r="Q289" i="1"/>
  <c r="Q290" i="1" a="1"/>
  <c r="Q290" i="1"/>
  <c r="Q291" i="1" a="1"/>
  <c r="Q291" i="1"/>
  <c r="Q292" i="1" a="1"/>
  <c r="Q292" i="1"/>
  <c r="Q293" i="1" a="1"/>
  <c r="Q293" i="1"/>
  <c r="Q294" i="1" a="1"/>
  <c r="Q294" i="1"/>
  <c r="Q295" i="1" a="1"/>
  <c r="Q295" i="1"/>
  <c r="Q296" i="1" a="1"/>
  <c r="Q296" i="1"/>
  <c r="Q297" i="1" a="1"/>
  <c r="Q297" i="1"/>
  <c r="Q298" i="1" a="1"/>
  <c r="Q298" i="1"/>
  <c r="Q299" i="1" a="1"/>
  <c r="Q299" i="1"/>
  <c r="Q300" i="1" a="1"/>
  <c r="Q300" i="1"/>
  <c r="Q301" i="1" a="1"/>
  <c r="Q301" i="1"/>
  <c r="Q302" i="1" a="1"/>
  <c r="Q302" i="1"/>
  <c r="Q303" i="1" a="1"/>
  <c r="Q303" i="1"/>
  <c r="Q304" i="1" a="1"/>
  <c r="Q304" i="1"/>
  <c r="Q305" i="1" a="1"/>
  <c r="Q305" i="1"/>
  <c r="Q306" i="1" a="1"/>
  <c r="Q306" i="1"/>
  <c r="Q307" i="1" a="1"/>
  <c r="Q307" i="1"/>
  <c r="Q308" i="1" a="1"/>
  <c r="Q308" i="1"/>
  <c r="Q309" i="1" a="1"/>
  <c r="Q309" i="1"/>
  <c r="Q310" i="1" a="1"/>
  <c r="Q310" i="1"/>
  <c r="Q311" i="1" a="1"/>
  <c r="Q311" i="1"/>
  <c r="Q312" i="1" a="1"/>
  <c r="Q312" i="1"/>
  <c r="Q313" i="1" a="1"/>
  <c r="Q313" i="1"/>
  <c r="Q314" i="1" a="1"/>
  <c r="Q314" i="1"/>
  <c r="Q315" i="1" a="1"/>
  <c r="Q315" i="1"/>
  <c r="Q316" i="1" a="1"/>
  <c r="Q316" i="1"/>
  <c r="Q317" i="1" a="1"/>
  <c r="Q317" i="1"/>
  <c r="Q318" i="1" a="1"/>
  <c r="Q318" i="1"/>
  <c r="Q319" i="1" a="1"/>
  <c r="Q319" i="1"/>
  <c r="Q320" i="1" a="1"/>
  <c r="Q320" i="1"/>
  <c r="Q321" i="1" a="1"/>
  <c r="Q321" i="1"/>
  <c r="Q322" i="1" a="1"/>
  <c r="Q322" i="1"/>
  <c r="Q323" i="1" a="1"/>
  <c r="Q323" i="1"/>
  <c r="Q324" i="1" a="1"/>
  <c r="Q324" i="1"/>
  <c r="Q325" i="1" a="1"/>
  <c r="Q325" i="1"/>
  <c r="Q326" i="1" a="1"/>
  <c r="Q326" i="1"/>
  <c r="Q327" i="1" a="1"/>
  <c r="Q327" i="1"/>
  <c r="Q328" i="1" a="1"/>
  <c r="Q328" i="1"/>
  <c r="Q329" i="1" a="1"/>
  <c r="Q329" i="1"/>
  <c r="Q330" i="1" a="1"/>
  <c r="Q330" i="1"/>
  <c r="Q331" i="1" a="1"/>
  <c r="Q331" i="1"/>
  <c r="Q332" i="1" a="1"/>
  <c r="Q332" i="1"/>
  <c r="Q333" i="1" a="1"/>
  <c r="Q333" i="1"/>
  <c r="Q334" i="1" a="1"/>
  <c r="Q334" i="1"/>
  <c r="Q335" i="1" a="1"/>
  <c r="Q335" i="1"/>
  <c r="Q336" i="1" a="1"/>
  <c r="Q336" i="1"/>
  <c r="Q337" i="1" a="1"/>
  <c r="Q337" i="1"/>
  <c r="Q338" i="1" a="1"/>
  <c r="Q338" i="1"/>
  <c r="Q339" i="1" a="1"/>
  <c r="Q339" i="1"/>
  <c r="Q340" i="1" a="1"/>
  <c r="Q340" i="1"/>
  <c r="Q341" i="1" a="1"/>
  <c r="Q341" i="1"/>
  <c r="Q342" i="1" a="1"/>
  <c r="Q342" i="1"/>
  <c r="Q343" i="1" a="1"/>
  <c r="Q343" i="1"/>
  <c r="Q344" i="1" a="1"/>
  <c r="Q344" i="1"/>
  <c r="Q345" i="1" a="1"/>
  <c r="Q345" i="1"/>
  <c r="Q346" i="1" a="1"/>
  <c r="Q346" i="1"/>
  <c r="Q347" i="1" a="1"/>
  <c r="Q347" i="1"/>
  <c r="Q348" i="1" a="1"/>
  <c r="Q348" i="1"/>
  <c r="Q349" i="1" a="1"/>
  <c r="Q349" i="1"/>
  <c r="Q350" i="1" a="1"/>
  <c r="Q350" i="1"/>
  <c r="Q351" i="1" a="1"/>
  <c r="Q351" i="1"/>
  <c r="Q352" i="1" a="1"/>
  <c r="Q352" i="1"/>
  <c r="Q353" i="1" a="1"/>
  <c r="Q353" i="1"/>
  <c r="Q354" i="1" a="1"/>
  <c r="Q354" i="1"/>
  <c r="Q355" i="1" a="1"/>
  <c r="Q355" i="1"/>
  <c r="Q356" i="1" a="1"/>
  <c r="Q356" i="1"/>
  <c r="Q357" i="1" a="1"/>
  <c r="Q357" i="1"/>
  <c r="Q358" i="1" a="1"/>
  <c r="Q358" i="1"/>
  <c r="Q359" i="1" a="1"/>
  <c r="Q359" i="1"/>
  <c r="Q360" i="1" a="1"/>
  <c r="Q360" i="1"/>
  <c r="Q361" i="1" a="1"/>
  <c r="Q361" i="1"/>
  <c r="Q362" i="1" a="1"/>
  <c r="Q362" i="1"/>
  <c r="Q363" i="1" a="1"/>
  <c r="Q363" i="1"/>
  <c r="Q364" i="1" a="1"/>
  <c r="Q364" i="1"/>
  <c r="Q365" i="1" a="1"/>
  <c r="Q365" i="1"/>
  <c r="Q366" i="1" a="1"/>
  <c r="Q366" i="1"/>
  <c r="Q367" i="1" a="1"/>
  <c r="Q367" i="1"/>
  <c r="Q368" i="1" a="1"/>
  <c r="Q368" i="1"/>
  <c r="Q369" i="1" a="1"/>
  <c r="Q369" i="1"/>
  <c r="Q370" i="1" a="1"/>
  <c r="Q370" i="1"/>
  <c r="Q371" i="1" a="1"/>
  <c r="Q371" i="1"/>
  <c r="Q372" i="1" a="1"/>
  <c r="Q372" i="1"/>
  <c r="Q373" i="1" a="1"/>
  <c r="Q373" i="1"/>
  <c r="Q374" i="1" a="1"/>
  <c r="Q374" i="1"/>
  <c r="Q375" i="1" a="1"/>
  <c r="Q375" i="1"/>
  <c r="Q376" i="1" a="1"/>
  <c r="Q376" i="1"/>
  <c r="Q377" i="1" a="1"/>
  <c r="Q377" i="1"/>
  <c r="Q378" i="1" a="1"/>
  <c r="Q378" i="1"/>
  <c r="Q379" i="1" a="1"/>
  <c r="Q379" i="1"/>
  <c r="Q380" i="1" a="1"/>
  <c r="Q380" i="1"/>
  <c r="Q381" i="1" a="1"/>
  <c r="Q381" i="1"/>
  <c r="Q382" i="1" a="1"/>
  <c r="Q382" i="1"/>
  <c r="Q383" i="1" a="1"/>
  <c r="Q383" i="1"/>
  <c r="Q384" i="1" a="1"/>
  <c r="Q384" i="1"/>
  <c r="Q385" i="1" a="1"/>
  <c r="Q385" i="1"/>
  <c r="Q386" i="1" a="1"/>
  <c r="Q386" i="1"/>
  <c r="Q387" i="1" a="1"/>
  <c r="Q387" i="1"/>
  <c r="Q388" i="1" a="1"/>
  <c r="Q388" i="1"/>
  <c r="Q389" i="1" a="1"/>
  <c r="Q389" i="1"/>
  <c r="Q390" i="1" a="1"/>
  <c r="Q390" i="1"/>
  <c r="Q391" i="1" a="1"/>
  <c r="Q391" i="1"/>
  <c r="Q392" i="1" a="1"/>
  <c r="Q392" i="1"/>
  <c r="Q393" i="1" a="1"/>
  <c r="Q393" i="1"/>
  <c r="Q394" i="1" a="1"/>
  <c r="Q394" i="1"/>
  <c r="Q395" i="1" a="1"/>
  <c r="Q395" i="1"/>
  <c r="Q396" i="1" a="1"/>
  <c r="Q396" i="1"/>
  <c r="Q397" i="1" a="1"/>
  <c r="Q397" i="1"/>
  <c r="Q398" i="1" a="1"/>
  <c r="Q398" i="1"/>
  <c r="Q399" i="1" a="1"/>
  <c r="Q399" i="1"/>
  <c r="Q400" i="1" a="1"/>
  <c r="Q400" i="1"/>
  <c r="Q401" i="1" a="1"/>
  <c r="Q401" i="1"/>
  <c r="Q402" i="1" a="1"/>
  <c r="Q402" i="1"/>
  <c r="Q403" i="1" a="1"/>
  <c r="Q403" i="1"/>
  <c r="Q404" i="1" a="1"/>
  <c r="Q404" i="1"/>
  <c r="Q405" i="1" a="1"/>
  <c r="Q405" i="1"/>
  <c r="Q406" i="1" a="1"/>
  <c r="Q406" i="1"/>
  <c r="Q407" i="1" a="1"/>
  <c r="Q407" i="1"/>
  <c r="Q408" i="1" a="1"/>
  <c r="Q408" i="1"/>
  <c r="Q409" i="1" a="1"/>
  <c r="Q409" i="1"/>
  <c r="Q410" i="1" a="1"/>
  <c r="Q410" i="1"/>
  <c r="Q411" i="1" a="1"/>
  <c r="Q411" i="1"/>
  <c r="Q412" i="1" a="1"/>
  <c r="Q412" i="1"/>
  <c r="Q413" i="1" a="1"/>
  <c r="Q413" i="1"/>
  <c r="Q414" i="1" a="1"/>
  <c r="Q414" i="1"/>
  <c r="Q415" i="1" a="1"/>
  <c r="Q415" i="1"/>
  <c r="Q416" i="1" a="1"/>
  <c r="Q416" i="1"/>
  <c r="Q417" i="1" a="1"/>
  <c r="Q417" i="1"/>
  <c r="Q418" i="1" a="1"/>
  <c r="Q418" i="1"/>
  <c r="Q419" i="1" a="1"/>
  <c r="Q419" i="1"/>
  <c r="Q420" i="1" a="1"/>
  <c r="Q420" i="1"/>
  <c r="Q421" i="1" a="1"/>
  <c r="Q421" i="1"/>
  <c r="Q422" i="1" a="1"/>
  <c r="Q422" i="1"/>
  <c r="Q423" i="1" a="1"/>
  <c r="Q423" i="1"/>
  <c r="Q424" i="1" a="1"/>
  <c r="Q424" i="1"/>
  <c r="Q425" i="1" a="1"/>
  <c r="Q425" i="1"/>
  <c r="Q426" i="1" a="1"/>
  <c r="Q426" i="1"/>
  <c r="Q427" i="1" a="1"/>
  <c r="Q427" i="1"/>
  <c r="Q428" i="1" a="1"/>
  <c r="Q428" i="1"/>
  <c r="Q429" i="1" a="1"/>
  <c r="Q429" i="1"/>
  <c r="Q430" i="1" a="1"/>
  <c r="Q430" i="1"/>
  <c r="Q431" i="1" a="1"/>
  <c r="Q431" i="1"/>
  <c r="Q432" i="1" a="1"/>
  <c r="Q432" i="1"/>
  <c r="Q433" i="1" a="1"/>
  <c r="Q433" i="1"/>
  <c r="Q434" i="1" a="1"/>
  <c r="Q434" i="1"/>
  <c r="Q435" i="1" a="1"/>
  <c r="Q435" i="1"/>
  <c r="Q436" i="1" a="1"/>
  <c r="Q436" i="1"/>
  <c r="Q437" i="1" a="1"/>
  <c r="Q437" i="1"/>
  <c r="Q438" i="1" a="1"/>
  <c r="Q438" i="1"/>
  <c r="Q439" i="1" a="1"/>
  <c r="Q439" i="1"/>
  <c r="Q440" i="1" a="1"/>
  <c r="Q440" i="1"/>
  <c r="Q441" i="1" a="1"/>
  <c r="Q441" i="1"/>
  <c r="Q442" i="1" a="1"/>
  <c r="Q442" i="1"/>
  <c r="Q443" i="1" a="1"/>
  <c r="Q443" i="1"/>
  <c r="Q444" i="1" a="1"/>
  <c r="Q444" i="1"/>
  <c r="Q445" i="1" a="1"/>
  <c r="Q445" i="1"/>
  <c r="Q446" i="1" a="1"/>
  <c r="Q446" i="1"/>
  <c r="Q447" i="1" a="1"/>
  <c r="Q447" i="1"/>
  <c r="Q448" i="1" a="1"/>
  <c r="Q448" i="1"/>
  <c r="Q449" i="1" a="1"/>
  <c r="Q449" i="1"/>
  <c r="Q450" i="1" a="1"/>
  <c r="Q450" i="1"/>
  <c r="Q451" i="1" a="1"/>
  <c r="Q451" i="1"/>
  <c r="Q452" i="1" a="1"/>
  <c r="Q452" i="1"/>
  <c r="Q453" i="1" a="1"/>
  <c r="Q453" i="1"/>
  <c r="Q454" i="1" a="1"/>
  <c r="Q454" i="1"/>
  <c r="Q455" i="1" a="1"/>
  <c r="Q455" i="1"/>
  <c r="Q456" i="1" a="1"/>
  <c r="Q456" i="1"/>
  <c r="Q457" i="1" a="1"/>
  <c r="Q457" i="1"/>
  <c r="Q458" i="1" a="1"/>
  <c r="Q458" i="1"/>
  <c r="Q459" i="1" a="1"/>
  <c r="Q459" i="1"/>
  <c r="Q460" i="1" a="1"/>
  <c r="Q460" i="1"/>
  <c r="Q461" i="1" a="1"/>
  <c r="Q461" i="1"/>
  <c r="Q462" i="1" a="1"/>
  <c r="Q462" i="1"/>
  <c r="Q463" i="1" a="1"/>
  <c r="Q463" i="1"/>
  <c r="Q464" i="1" a="1"/>
  <c r="Q464" i="1"/>
  <c r="Q465" i="1" a="1"/>
  <c r="Q465" i="1"/>
  <c r="Q466" i="1" a="1"/>
  <c r="Q466" i="1"/>
  <c r="Q467" i="1" a="1"/>
  <c r="Q467" i="1"/>
  <c r="Q468" i="1" a="1"/>
  <c r="Q468" i="1"/>
  <c r="Q469" i="1" a="1"/>
  <c r="Q469" i="1"/>
  <c r="Q470" i="1" a="1"/>
  <c r="Q470" i="1"/>
  <c r="Q471" i="1" a="1"/>
  <c r="Q471" i="1"/>
  <c r="Q472" i="1" a="1"/>
  <c r="Q472" i="1"/>
  <c r="Q473" i="1" a="1"/>
  <c r="Q473" i="1"/>
  <c r="Q474" i="1" a="1"/>
  <c r="Q474" i="1"/>
  <c r="Q475" i="1" a="1"/>
  <c r="Q475" i="1"/>
  <c r="Q476" i="1" a="1"/>
  <c r="Q476" i="1"/>
  <c r="Q477" i="1" a="1"/>
  <c r="Q477" i="1"/>
  <c r="Q478" i="1" a="1"/>
  <c r="Q478" i="1"/>
  <c r="Q479" i="1" a="1"/>
  <c r="Q479" i="1"/>
  <c r="Q480" i="1" a="1"/>
  <c r="Q480" i="1"/>
  <c r="Q481" i="1" a="1"/>
  <c r="Q481" i="1"/>
  <c r="Q482" i="1" a="1"/>
  <c r="Q482" i="1"/>
  <c r="Q483" i="1" a="1"/>
  <c r="Q483" i="1"/>
  <c r="Q484" i="1" a="1"/>
  <c r="Q484" i="1"/>
  <c r="Q485" i="1" a="1"/>
  <c r="Q485" i="1"/>
  <c r="Q486" i="1" a="1"/>
  <c r="Q486" i="1"/>
  <c r="Q487" i="1" a="1"/>
  <c r="Q487" i="1"/>
  <c r="Q488" i="1" a="1"/>
  <c r="Q488" i="1"/>
  <c r="Q489" i="1" a="1"/>
  <c r="Q489" i="1"/>
  <c r="Q490" i="1" a="1"/>
  <c r="Q490" i="1"/>
  <c r="Q491" i="1" a="1"/>
  <c r="Q491" i="1"/>
  <c r="Q492" i="1" a="1"/>
  <c r="Q492" i="1"/>
  <c r="Q493" i="1" a="1"/>
  <c r="Q493" i="1"/>
  <c r="Q494" i="1" a="1"/>
  <c r="Q494" i="1"/>
  <c r="Q495" i="1" a="1"/>
  <c r="Q495" i="1"/>
  <c r="Q496" i="1" a="1"/>
  <c r="Q496" i="1"/>
  <c r="Q497" i="1" a="1"/>
  <c r="Q497" i="1"/>
  <c r="Q498" i="1" a="1"/>
  <c r="Q498" i="1"/>
  <c r="Q499" i="1" a="1"/>
  <c r="Q499" i="1"/>
  <c r="Q500" i="1" a="1"/>
  <c r="Q500" i="1"/>
  <c r="Q501" i="1" a="1"/>
  <c r="Q501" i="1"/>
  <c r="Q502" i="1" a="1"/>
  <c r="Q502" i="1"/>
  <c r="Q503" i="1" a="1"/>
  <c r="Q503" i="1"/>
  <c r="Q504" i="1" a="1"/>
  <c r="Q504" i="1"/>
  <c r="Q505" i="1" a="1"/>
  <c r="Q505" i="1"/>
  <c r="Q506" i="1" a="1"/>
  <c r="Q506" i="1"/>
  <c r="Q507" i="1" a="1"/>
  <c r="Q507" i="1"/>
  <c r="Q508" i="1" a="1"/>
  <c r="Q508" i="1"/>
  <c r="Q509" i="1" a="1"/>
  <c r="Q509" i="1"/>
  <c r="Q510" i="1" a="1"/>
  <c r="Q510" i="1"/>
  <c r="Q511" i="1" a="1"/>
  <c r="Q511" i="1"/>
  <c r="Q512" i="1" a="1"/>
  <c r="Q512" i="1"/>
  <c r="Q513" i="1" a="1"/>
  <c r="Q513" i="1"/>
  <c r="Q514" i="1" a="1"/>
  <c r="Q514" i="1"/>
  <c r="Q515" i="1" a="1"/>
  <c r="Q515" i="1"/>
  <c r="Q516" i="1" a="1"/>
  <c r="Q516" i="1"/>
  <c r="Q517" i="1" a="1"/>
  <c r="Q517" i="1"/>
  <c r="Q518" i="1" a="1"/>
  <c r="Q518" i="1"/>
  <c r="Q519" i="1" a="1"/>
  <c r="Q519" i="1"/>
  <c r="Q520" i="1" a="1"/>
  <c r="Q520" i="1"/>
  <c r="Q521" i="1" a="1"/>
  <c r="Q521" i="1"/>
  <c r="Q522" i="1" a="1"/>
  <c r="Q522" i="1"/>
  <c r="Q523" i="1" a="1"/>
  <c r="Q523" i="1"/>
  <c r="Q524" i="1" a="1"/>
  <c r="Q524" i="1"/>
  <c r="Q525" i="1" a="1"/>
  <c r="Q525" i="1"/>
  <c r="Q526" i="1" a="1"/>
  <c r="Q526" i="1"/>
  <c r="Q527" i="1" a="1"/>
  <c r="Q527" i="1"/>
  <c r="Q528" i="1" a="1"/>
  <c r="Q528" i="1"/>
  <c r="Q529" i="1" a="1"/>
  <c r="Q529" i="1"/>
  <c r="Q530" i="1" a="1"/>
  <c r="Q530" i="1"/>
  <c r="Q531" i="1" a="1"/>
  <c r="Q531" i="1"/>
  <c r="Q532" i="1" a="1"/>
  <c r="Q532" i="1"/>
  <c r="Q533" i="1" a="1"/>
  <c r="Q533" i="1"/>
  <c r="Q534" i="1" a="1"/>
  <c r="Q534" i="1"/>
  <c r="Q535" i="1" a="1"/>
  <c r="Q535" i="1"/>
  <c r="Q536" i="1" a="1"/>
  <c r="Q536" i="1"/>
  <c r="Q537" i="1" a="1"/>
  <c r="Q537" i="1"/>
  <c r="Q538" i="1" a="1"/>
  <c r="Q538" i="1"/>
  <c r="Q539" i="1" a="1"/>
  <c r="Q539" i="1"/>
  <c r="Q540" i="1" a="1"/>
  <c r="Q540" i="1"/>
  <c r="Q541" i="1" a="1"/>
  <c r="Q541" i="1"/>
  <c r="Q542" i="1" a="1"/>
  <c r="Q542" i="1"/>
  <c r="Q543" i="1" a="1"/>
  <c r="Q543" i="1"/>
  <c r="Q544" i="1" a="1"/>
  <c r="Q544" i="1"/>
  <c r="Q545" i="1" a="1"/>
  <c r="Q545" i="1"/>
  <c r="Q546" i="1" a="1"/>
  <c r="Q546" i="1"/>
  <c r="Q547" i="1" a="1"/>
  <c r="Q547" i="1"/>
  <c r="Q548" i="1" a="1"/>
  <c r="Q548" i="1"/>
  <c r="Q549" i="1" a="1"/>
  <c r="Q549" i="1"/>
  <c r="Q550" i="1" a="1"/>
  <c r="Q550" i="1"/>
  <c r="Q551" i="1" a="1"/>
  <c r="Q551" i="1"/>
  <c r="Q552" i="1" a="1"/>
  <c r="Q552" i="1"/>
  <c r="Q553" i="1" a="1"/>
  <c r="Q553" i="1"/>
  <c r="Q554" i="1" a="1"/>
  <c r="Q554" i="1"/>
  <c r="Q555" i="1" a="1"/>
  <c r="Q555" i="1"/>
  <c r="Q556" i="1" a="1"/>
  <c r="Q556" i="1"/>
  <c r="Q557" i="1" a="1"/>
  <c r="Q557" i="1"/>
  <c r="Q558" i="1" a="1"/>
  <c r="Q558" i="1"/>
  <c r="Q559" i="1" a="1"/>
  <c r="Q559" i="1"/>
  <c r="Q560" i="1" a="1"/>
  <c r="Q560" i="1"/>
  <c r="Q561" i="1" a="1"/>
  <c r="Q561" i="1"/>
  <c r="Q562" i="1" a="1"/>
  <c r="Q562" i="1"/>
  <c r="Q563" i="1" a="1"/>
  <c r="Q563" i="1"/>
  <c r="Q564" i="1" a="1"/>
  <c r="Q564" i="1"/>
  <c r="Q565" i="1" a="1"/>
  <c r="Q565" i="1"/>
  <c r="Q566" i="1" a="1"/>
  <c r="Q566" i="1"/>
  <c r="Q567" i="1" a="1"/>
  <c r="Q567" i="1"/>
  <c r="Q568" i="1" a="1"/>
  <c r="Q568" i="1"/>
  <c r="Q569" i="1" a="1"/>
  <c r="Q569" i="1"/>
  <c r="Q570" i="1" a="1"/>
  <c r="Q570" i="1"/>
  <c r="Q571" i="1" a="1"/>
  <c r="Q571" i="1"/>
  <c r="Q572" i="1" a="1"/>
  <c r="Q572" i="1"/>
  <c r="Q573" i="1" a="1"/>
  <c r="Q573" i="1"/>
  <c r="Q574" i="1" a="1"/>
  <c r="Q574" i="1"/>
  <c r="Q575" i="1" a="1"/>
  <c r="Q575" i="1"/>
  <c r="Q576" i="1" a="1"/>
  <c r="Q576" i="1"/>
  <c r="Q577" i="1" a="1"/>
  <c r="Q577" i="1"/>
  <c r="Q578" i="1" a="1"/>
  <c r="Q578" i="1"/>
  <c r="Q579" i="1" a="1"/>
  <c r="Q579" i="1"/>
  <c r="Q580" i="1" a="1"/>
  <c r="Q580" i="1"/>
  <c r="Q581" i="1" a="1"/>
  <c r="Q581" i="1"/>
  <c r="Q582" i="1" a="1"/>
  <c r="Q582" i="1"/>
  <c r="Q583" i="1" a="1"/>
  <c r="Q583" i="1"/>
  <c r="Q584" i="1" a="1"/>
  <c r="Q584" i="1"/>
  <c r="Q585" i="1" a="1"/>
  <c r="Q585" i="1"/>
  <c r="Q586" i="1" a="1"/>
  <c r="Q586" i="1"/>
  <c r="Q587" i="1" a="1"/>
  <c r="Q587" i="1"/>
  <c r="Q588" i="1" a="1"/>
  <c r="Q588" i="1"/>
  <c r="Q589" i="1" a="1"/>
  <c r="Q589" i="1"/>
  <c r="Q590" i="1" a="1"/>
  <c r="Q590" i="1"/>
  <c r="Q591" i="1" a="1"/>
  <c r="Q591" i="1"/>
  <c r="Q592" i="1" a="1"/>
  <c r="Q592" i="1"/>
  <c r="Q593" i="1" a="1"/>
  <c r="Q593" i="1"/>
  <c r="Q594" i="1" a="1"/>
  <c r="Q594" i="1"/>
  <c r="Q595" i="1" a="1"/>
  <c r="Q595" i="1"/>
  <c r="Q596" i="1" a="1"/>
  <c r="Q596" i="1"/>
  <c r="Q597" i="1" a="1"/>
  <c r="Q597" i="1"/>
  <c r="Q598" i="1" a="1"/>
  <c r="Q598" i="1"/>
  <c r="Q599" i="1" a="1"/>
  <c r="Q599" i="1"/>
  <c r="Q600" i="1" a="1"/>
  <c r="Q600" i="1"/>
  <c r="Q601" i="1" a="1"/>
  <c r="Q601" i="1"/>
  <c r="Q602" i="1" a="1"/>
  <c r="Q602" i="1"/>
  <c r="Q603" i="1" a="1"/>
  <c r="Q603" i="1"/>
  <c r="Q604" i="1" a="1"/>
  <c r="Q604" i="1"/>
  <c r="Q605" i="1" a="1"/>
  <c r="Q605" i="1"/>
  <c r="Q606" i="1" a="1"/>
  <c r="Q606" i="1"/>
  <c r="Q607" i="1" a="1"/>
  <c r="Q607" i="1"/>
  <c r="Q608" i="1" a="1"/>
  <c r="Q608" i="1"/>
  <c r="Q609" i="1" a="1"/>
  <c r="Q609" i="1"/>
  <c r="Q610" i="1" a="1"/>
  <c r="Q610" i="1"/>
  <c r="Q611" i="1" a="1"/>
  <c r="Q611" i="1"/>
  <c r="Q612" i="1" a="1"/>
  <c r="Q612" i="1"/>
  <c r="Q613" i="1" a="1"/>
  <c r="Q613" i="1"/>
  <c r="Q614" i="1" a="1"/>
  <c r="Q614" i="1"/>
  <c r="Q615" i="1" a="1"/>
  <c r="Q615" i="1"/>
  <c r="Q616" i="1" a="1"/>
  <c r="Q616" i="1"/>
  <c r="Q617" i="1" a="1"/>
  <c r="Q617" i="1"/>
  <c r="Q618" i="1" a="1"/>
  <c r="Q618" i="1"/>
  <c r="Q619" i="1" a="1"/>
  <c r="Q619" i="1"/>
  <c r="Q620" i="1" a="1"/>
  <c r="Q620" i="1"/>
  <c r="Q621" i="1" a="1"/>
  <c r="Q621" i="1"/>
  <c r="Q622" i="1" a="1"/>
  <c r="Q622" i="1"/>
  <c r="Q623" i="1" a="1"/>
  <c r="Q623" i="1"/>
  <c r="Q624" i="1" a="1"/>
  <c r="Q624" i="1"/>
  <c r="Q625" i="1" a="1"/>
  <c r="Q625" i="1"/>
  <c r="Q626" i="1" a="1"/>
  <c r="Q626" i="1"/>
  <c r="Q627" i="1" a="1"/>
  <c r="Q627" i="1"/>
  <c r="Q628" i="1" a="1"/>
  <c r="Q628" i="1"/>
  <c r="Q629" i="1" a="1"/>
  <c r="Q629" i="1"/>
  <c r="Q630" i="1" a="1"/>
  <c r="Q630" i="1"/>
  <c r="Q631" i="1" a="1"/>
  <c r="Q631" i="1"/>
  <c r="Q632" i="1" a="1"/>
  <c r="Q632" i="1"/>
  <c r="Q633" i="1" a="1"/>
  <c r="Q633" i="1"/>
  <c r="Q634" i="1" a="1"/>
  <c r="Q634" i="1"/>
  <c r="Q635" i="1" a="1"/>
  <c r="Q635" i="1"/>
  <c r="Q636" i="1" a="1"/>
  <c r="Q636" i="1"/>
  <c r="Q637" i="1" a="1"/>
  <c r="Q637" i="1"/>
  <c r="Q638" i="1" a="1"/>
  <c r="Q638" i="1"/>
  <c r="Q639" i="1" a="1"/>
  <c r="Q639" i="1"/>
  <c r="Q640" i="1" a="1"/>
  <c r="Q640" i="1"/>
  <c r="Q641" i="1" a="1"/>
  <c r="Q641" i="1"/>
  <c r="Q642" i="1" a="1"/>
  <c r="Q642" i="1"/>
  <c r="Q643" i="1" a="1"/>
  <c r="Q643" i="1"/>
  <c r="Q644" i="1" a="1"/>
  <c r="Q644" i="1"/>
  <c r="Q645" i="1" a="1"/>
  <c r="Q645" i="1"/>
  <c r="Q646" i="1" a="1"/>
  <c r="Q646" i="1"/>
  <c r="Q647" i="1" a="1"/>
  <c r="Q647" i="1"/>
  <c r="Q648" i="1" a="1"/>
  <c r="Q648" i="1"/>
  <c r="Q649" i="1" a="1"/>
  <c r="Q649" i="1"/>
  <c r="Q650" i="1" a="1"/>
  <c r="Q650" i="1"/>
  <c r="Q651" i="1" a="1"/>
  <c r="Q651" i="1"/>
  <c r="Q652" i="1" a="1"/>
  <c r="Q652" i="1"/>
  <c r="Q653" i="1" a="1"/>
  <c r="Q653" i="1"/>
  <c r="Q654" i="1" a="1"/>
  <c r="Q654" i="1"/>
  <c r="Q655" i="1" a="1"/>
  <c r="Q655" i="1"/>
  <c r="Q656" i="1" a="1"/>
  <c r="Q656" i="1"/>
  <c r="Q657" i="1" a="1"/>
  <c r="Q657" i="1"/>
  <c r="Q658" i="1" a="1"/>
  <c r="Q658" i="1"/>
  <c r="Q659" i="1" a="1"/>
  <c r="Q659" i="1"/>
  <c r="Q660" i="1" a="1"/>
  <c r="Q660" i="1"/>
  <c r="Q661" i="1" a="1"/>
  <c r="Q661" i="1"/>
  <c r="Q662" i="1" a="1"/>
  <c r="Q662" i="1"/>
  <c r="Q663" i="1" a="1"/>
  <c r="Q663" i="1"/>
  <c r="Q664" i="1" a="1"/>
  <c r="Q664" i="1"/>
  <c r="Q665" i="1" a="1"/>
  <c r="Q665" i="1"/>
  <c r="Q666" i="1" a="1"/>
  <c r="Q666" i="1"/>
  <c r="Q667" i="1" a="1"/>
  <c r="Q667" i="1"/>
  <c r="Q668" i="1" a="1"/>
  <c r="Q668" i="1"/>
  <c r="Q669" i="1" a="1"/>
  <c r="Q669" i="1"/>
  <c r="Q670" i="1" a="1"/>
  <c r="Q670" i="1"/>
  <c r="Q671" i="1" a="1"/>
  <c r="Q671" i="1"/>
  <c r="Q672" i="1" a="1"/>
  <c r="Q672" i="1"/>
  <c r="Q673" i="1" a="1"/>
  <c r="Q673" i="1"/>
  <c r="Q674" i="1" a="1"/>
  <c r="Q674" i="1"/>
  <c r="Q675" i="1" a="1"/>
  <c r="Q675" i="1"/>
  <c r="Q676" i="1" a="1"/>
  <c r="Q676" i="1"/>
  <c r="Q677" i="1" a="1"/>
  <c r="Q677" i="1"/>
  <c r="Q678" i="1" a="1"/>
  <c r="Q678" i="1"/>
  <c r="Q679" i="1" a="1"/>
  <c r="Q679" i="1"/>
  <c r="Q680" i="1" a="1"/>
  <c r="Q680" i="1"/>
  <c r="Q681" i="1" a="1"/>
  <c r="Q681" i="1"/>
  <c r="Q682" i="1" a="1"/>
  <c r="Q682" i="1"/>
  <c r="Q683" i="1" a="1"/>
  <c r="Q683" i="1"/>
  <c r="Q684" i="1" a="1"/>
  <c r="Q684" i="1"/>
  <c r="Q685" i="1" a="1"/>
  <c r="Q685" i="1"/>
  <c r="Q686" i="1" a="1"/>
  <c r="Q686" i="1"/>
  <c r="Q687" i="1" a="1"/>
  <c r="Q687" i="1"/>
  <c r="Q688" i="1" a="1"/>
  <c r="Q688" i="1"/>
  <c r="Q689" i="1" a="1"/>
  <c r="Q689" i="1"/>
  <c r="Q690" i="1" a="1"/>
  <c r="Q690" i="1"/>
  <c r="Q691" i="1" a="1"/>
  <c r="Q691" i="1"/>
  <c r="Q692" i="1" a="1"/>
  <c r="Q692" i="1"/>
  <c r="Q693" i="1" a="1"/>
  <c r="Q693" i="1"/>
  <c r="Q694" i="1" a="1"/>
  <c r="Q694" i="1"/>
  <c r="Q695" i="1" a="1"/>
  <c r="Q695" i="1"/>
  <c r="Q696" i="1" a="1"/>
  <c r="Q696" i="1"/>
  <c r="Q697" i="1" a="1"/>
  <c r="Q697" i="1"/>
  <c r="Q698" i="1" a="1"/>
  <c r="Q698" i="1"/>
  <c r="Q699" i="1" a="1"/>
  <c r="Q699" i="1"/>
  <c r="Q700" i="1" a="1"/>
  <c r="Q700" i="1"/>
  <c r="Q701" i="1" a="1"/>
  <c r="Q701" i="1"/>
  <c r="Q702" i="1" a="1"/>
  <c r="Q702" i="1"/>
  <c r="Q703" i="1" a="1"/>
  <c r="Q703" i="1"/>
  <c r="Q704" i="1" a="1"/>
  <c r="Q704" i="1"/>
  <c r="Q705" i="1" a="1"/>
  <c r="Q705" i="1"/>
  <c r="Q706" i="1" a="1"/>
  <c r="Q706" i="1"/>
  <c r="Q707" i="1" a="1"/>
  <c r="Q707" i="1"/>
  <c r="Q708" i="1" a="1"/>
  <c r="Q708" i="1"/>
  <c r="Q709" i="1" a="1"/>
  <c r="Q709" i="1"/>
  <c r="Q710" i="1" a="1"/>
  <c r="Q710" i="1"/>
  <c r="Q711" i="1" a="1"/>
  <c r="Q711" i="1"/>
  <c r="Q712" i="1" a="1"/>
  <c r="Q712" i="1"/>
  <c r="Q713" i="1" a="1"/>
  <c r="Q713" i="1"/>
  <c r="Q714" i="1" a="1"/>
  <c r="Q714" i="1"/>
  <c r="Q715" i="1" a="1"/>
  <c r="Q715" i="1"/>
  <c r="Q716" i="1" a="1"/>
  <c r="Q716" i="1"/>
  <c r="Q717" i="1" a="1"/>
  <c r="Q717" i="1"/>
  <c r="Q718" i="1" a="1"/>
  <c r="Q718" i="1"/>
  <c r="Q719" i="1" a="1"/>
  <c r="Q719" i="1"/>
  <c r="Q720" i="1" a="1"/>
  <c r="Q720" i="1"/>
  <c r="Q721" i="1" a="1"/>
  <c r="Q721" i="1"/>
  <c r="Q722" i="1" a="1"/>
  <c r="Q722" i="1"/>
  <c r="Q723" i="1" a="1"/>
  <c r="Q723" i="1"/>
  <c r="Q724" i="1" a="1"/>
  <c r="Q724" i="1"/>
  <c r="Q725" i="1" a="1"/>
  <c r="Q725" i="1"/>
  <c r="Q726" i="1" a="1"/>
  <c r="Q726" i="1"/>
  <c r="Q727" i="1" a="1"/>
  <c r="Q727" i="1"/>
  <c r="Q728" i="1" a="1"/>
  <c r="Q728" i="1"/>
  <c r="Q729" i="1" a="1"/>
  <c r="Q729" i="1"/>
  <c r="Q730" i="1" a="1"/>
  <c r="Q730" i="1"/>
  <c r="Q731" i="1" a="1"/>
  <c r="Q731" i="1"/>
  <c r="Q732" i="1" a="1"/>
  <c r="Q732" i="1"/>
  <c r="Q733" i="1" a="1"/>
  <c r="Q733" i="1"/>
  <c r="Q734" i="1" a="1"/>
  <c r="Q734" i="1"/>
  <c r="Q735" i="1" a="1"/>
  <c r="Q735" i="1"/>
  <c r="Q736" i="1" a="1"/>
  <c r="Q736" i="1"/>
  <c r="Q737" i="1" a="1"/>
  <c r="Q737" i="1"/>
  <c r="Q738" i="1" a="1"/>
  <c r="Q738" i="1"/>
  <c r="Q739" i="1" a="1"/>
  <c r="Q739" i="1"/>
  <c r="Q740" i="1" a="1"/>
  <c r="Q740" i="1"/>
  <c r="Q741" i="1" a="1"/>
  <c r="Q741" i="1"/>
  <c r="Q742" i="1" a="1"/>
  <c r="Q742" i="1"/>
  <c r="Q743" i="1" a="1"/>
  <c r="Q743" i="1"/>
  <c r="Q744" i="1" a="1"/>
  <c r="Q744" i="1"/>
  <c r="Q745" i="1" a="1"/>
  <c r="Q745" i="1"/>
  <c r="Q746" i="1" a="1"/>
  <c r="Q746" i="1"/>
  <c r="Q747" i="1" a="1"/>
  <c r="Q747" i="1"/>
  <c r="Q748" i="1" a="1"/>
  <c r="Q748" i="1"/>
  <c r="Q749" i="1" a="1"/>
  <c r="Q749" i="1"/>
  <c r="Q750" i="1" a="1"/>
  <c r="Q750" i="1"/>
  <c r="Q751" i="1" a="1"/>
  <c r="Q751" i="1"/>
  <c r="Q752" i="1" a="1"/>
  <c r="Q752" i="1"/>
  <c r="Q753" i="1" a="1"/>
  <c r="Q753" i="1"/>
  <c r="Q754" i="1" a="1"/>
  <c r="Q754" i="1"/>
  <c r="Q755" i="1" a="1"/>
  <c r="Q755" i="1"/>
  <c r="Q756" i="1" a="1"/>
  <c r="Q756" i="1"/>
  <c r="Q757" i="1" a="1"/>
  <c r="Q757" i="1"/>
  <c r="Q758" i="1" a="1"/>
  <c r="Q758" i="1"/>
  <c r="Q759" i="1" a="1"/>
  <c r="Q759" i="1"/>
  <c r="Q760" i="1" a="1"/>
  <c r="Q760" i="1"/>
  <c r="Q761" i="1" a="1"/>
  <c r="Q761" i="1"/>
  <c r="Q762" i="1" a="1"/>
  <c r="Q762" i="1"/>
  <c r="Q763" i="1" a="1"/>
  <c r="Q763" i="1"/>
  <c r="Q764" i="1" a="1"/>
  <c r="Q764" i="1"/>
  <c r="Q765" i="1" a="1"/>
  <c r="Q765" i="1"/>
  <c r="Q766" i="1" a="1"/>
  <c r="Q766" i="1"/>
  <c r="Q767" i="1" a="1"/>
  <c r="Q767" i="1"/>
  <c r="Q768" i="1" a="1"/>
  <c r="Q768" i="1"/>
  <c r="Q769" i="1" a="1"/>
  <c r="Q769" i="1"/>
  <c r="Q770" i="1" a="1"/>
  <c r="Q770" i="1"/>
  <c r="Q771" i="1" a="1"/>
  <c r="Q771" i="1"/>
  <c r="Q772" i="1" a="1"/>
  <c r="Q772" i="1"/>
  <c r="Q773" i="1" a="1"/>
  <c r="Q773" i="1"/>
  <c r="Q774" i="1" a="1"/>
  <c r="Q774" i="1"/>
  <c r="Q775" i="1" a="1"/>
  <c r="Q775" i="1"/>
  <c r="Q776" i="1" a="1"/>
  <c r="Q776" i="1"/>
  <c r="Q777" i="1" a="1"/>
  <c r="Q777" i="1"/>
  <c r="Q778" i="1" a="1"/>
  <c r="Q778" i="1"/>
  <c r="Q779" i="1" a="1"/>
  <c r="Q779" i="1"/>
  <c r="Q780" i="1" a="1"/>
  <c r="Q780" i="1"/>
  <c r="Q781" i="1" a="1"/>
  <c r="Q781" i="1"/>
  <c r="Q782" i="1" a="1"/>
  <c r="Q782" i="1"/>
  <c r="Q783" i="1" a="1"/>
  <c r="Q783" i="1"/>
  <c r="Q784" i="1" a="1"/>
  <c r="Q784" i="1"/>
  <c r="Q785" i="1" a="1"/>
  <c r="Q785" i="1"/>
  <c r="Q786" i="1" a="1"/>
  <c r="Q786" i="1"/>
  <c r="Q787" i="1" a="1"/>
  <c r="Q787" i="1"/>
  <c r="Q788" i="1" a="1"/>
  <c r="Q788" i="1"/>
  <c r="Q789" i="1" a="1"/>
  <c r="Q789" i="1"/>
  <c r="Q790" i="1" a="1"/>
  <c r="Q790" i="1"/>
  <c r="Q791" i="1" a="1"/>
  <c r="Q791" i="1"/>
  <c r="Q792" i="1" a="1"/>
  <c r="Q792" i="1"/>
  <c r="Q793" i="1" a="1"/>
  <c r="Q793" i="1"/>
  <c r="Q794" i="1" a="1"/>
  <c r="Q794" i="1"/>
  <c r="Q795" i="1" a="1"/>
  <c r="Q795" i="1"/>
  <c r="Q796" i="1" a="1"/>
  <c r="Q796" i="1"/>
  <c r="Q797" i="1" a="1"/>
  <c r="Q797" i="1"/>
  <c r="Q798" i="1" a="1"/>
  <c r="Q798" i="1"/>
  <c r="Q799" i="1" a="1"/>
  <c r="Q799" i="1"/>
  <c r="Q800" i="1" a="1"/>
  <c r="Q800" i="1"/>
  <c r="Q801" i="1" a="1"/>
  <c r="Q801" i="1"/>
  <c r="Q802" i="1" a="1"/>
  <c r="Q802" i="1"/>
  <c r="Q803" i="1" a="1"/>
  <c r="Q803" i="1"/>
  <c r="Q804" i="1" a="1"/>
  <c r="Q804" i="1"/>
  <c r="Q805" i="1" a="1"/>
  <c r="Q805" i="1"/>
  <c r="Q806" i="1" a="1"/>
  <c r="Q806" i="1"/>
  <c r="Q807" i="1" a="1"/>
  <c r="Q807" i="1"/>
  <c r="Q808" i="1" a="1"/>
  <c r="Q808" i="1"/>
  <c r="Q809" i="1" a="1"/>
  <c r="Q809" i="1"/>
  <c r="Q810" i="1" a="1"/>
  <c r="Q810" i="1"/>
  <c r="Q811" i="1" a="1"/>
  <c r="Q811" i="1"/>
  <c r="Q812" i="1" a="1"/>
  <c r="Q812" i="1"/>
  <c r="Q813" i="1" a="1"/>
  <c r="Q813" i="1"/>
  <c r="Q814" i="1" a="1"/>
  <c r="Q814" i="1"/>
  <c r="Q815" i="1" a="1"/>
  <c r="Q815" i="1"/>
  <c r="Q816" i="1" a="1"/>
  <c r="Q816" i="1"/>
  <c r="Q817" i="1" a="1"/>
  <c r="Q817" i="1"/>
  <c r="Q818" i="1" a="1"/>
  <c r="Q818" i="1"/>
  <c r="Q819" i="1" a="1"/>
  <c r="Q819" i="1"/>
  <c r="Q820" i="1" a="1"/>
  <c r="Q820" i="1"/>
  <c r="Q821" i="1" a="1"/>
  <c r="Q821" i="1"/>
  <c r="Q822" i="1" a="1"/>
  <c r="Q822" i="1"/>
  <c r="Q823" i="1" a="1"/>
  <c r="Q823" i="1"/>
  <c r="Q824" i="1" a="1"/>
  <c r="Q824" i="1"/>
  <c r="Q825" i="1" a="1"/>
  <c r="Q825" i="1"/>
  <c r="Q826" i="1" a="1"/>
  <c r="Q826" i="1"/>
  <c r="Q827" i="1" a="1"/>
  <c r="Q827" i="1"/>
  <c r="Q828" i="1" a="1"/>
  <c r="Q828" i="1"/>
  <c r="Q829" i="1" a="1"/>
  <c r="Q829" i="1"/>
  <c r="Q830" i="1" a="1"/>
  <c r="Q830" i="1"/>
  <c r="Q831" i="1" a="1"/>
  <c r="Q831" i="1"/>
  <c r="Q832" i="1" a="1"/>
  <c r="Q832" i="1"/>
  <c r="Q833" i="1" a="1"/>
  <c r="Q833" i="1"/>
  <c r="Q834" i="1" a="1"/>
  <c r="Q834" i="1"/>
  <c r="Q835" i="1" a="1"/>
  <c r="Q835" i="1"/>
  <c r="Q836" i="1" a="1"/>
  <c r="Q836" i="1"/>
  <c r="Q837" i="1" a="1"/>
  <c r="Q837" i="1"/>
  <c r="Q838" i="1" a="1"/>
  <c r="Q838" i="1"/>
  <c r="Q839" i="1" a="1"/>
  <c r="Q839" i="1"/>
  <c r="Q840" i="1" a="1"/>
  <c r="Q840" i="1"/>
  <c r="Q841" i="1" a="1"/>
  <c r="Q841" i="1"/>
  <c r="Q842" i="1" a="1"/>
  <c r="Q842" i="1"/>
  <c r="Q843" i="1" a="1"/>
  <c r="Q843" i="1"/>
  <c r="Q844" i="1" a="1"/>
  <c r="Q844" i="1"/>
  <c r="Q845" i="1" a="1"/>
  <c r="Q845" i="1"/>
  <c r="Q846" i="1" a="1"/>
  <c r="Q846" i="1"/>
  <c r="Q847" i="1" a="1"/>
  <c r="Q847" i="1"/>
  <c r="Q848" i="1" a="1"/>
  <c r="Q848" i="1"/>
  <c r="Q849" i="1" a="1"/>
  <c r="Q849" i="1"/>
  <c r="Q850" i="1" a="1"/>
  <c r="Q850" i="1"/>
  <c r="Q851" i="1" a="1"/>
  <c r="Q851" i="1"/>
  <c r="Q852" i="1" a="1"/>
  <c r="Q852" i="1"/>
  <c r="Q853" i="1" a="1"/>
  <c r="Q853" i="1"/>
  <c r="Q854" i="1" a="1"/>
  <c r="Q854" i="1"/>
  <c r="Q855" i="1" a="1"/>
  <c r="Q855" i="1"/>
  <c r="Q856" i="1" a="1"/>
  <c r="Q856" i="1"/>
  <c r="Q857" i="1" a="1"/>
  <c r="Q857" i="1"/>
  <c r="Q858" i="1" a="1"/>
  <c r="Q858" i="1"/>
  <c r="Q859" i="1" a="1"/>
  <c r="Q859" i="1"/>
  <c r="Q860" i="1" a="1"/>
  <c r="Q860" i="1"/>
  <c r="Q861" i="1" a="1"/>
  <c r="Q861" i="1"/>
  <c r="Q862" i="1" a="1"/>
  <c r="Q862" i="1"/>
  <c r="Q863" i="1" a="1"/>
  <c r="Q863" i="1"/>
  <c r="Q864" i="1" a="1"/>
  <c r="Q864" i="1"/>
  <c r="Q865" i="1" a="1"/>
  <c r="Q865" i="1"/>
  <c r="Q866" i="1" a="1"/>
  <c r="Q866" i="1"/>
  <c r="Q867" i="1" a="1"/>
  <c r="Q867" i="1"/>
  <c r="Q868" i="1" a="1"/>
  <c r="Q868" i="1"/>
  <c r="Q869" i="1" a="1"/>
  <c r="Q869" i="1"/>
  <c r="Q870" i="1" a="1"/>
  <c r="Q870" i="1"/>
  <c r="Q871" i="1" a="1"/>
  <c r="Q871" i="1"/>
  <c r="Q872" i="1" a="1"/>
  <c r="Q872" i="1"/>
  <c r="Q873" i="1" a="1"/>
  <c r="Q873" i="1"/>
  <c r="Q874" i="1" a="1"/>
  <c r="Q874" i="1"/>
  <c r="Q875" i="1" a="1"/>
  <c r="Q875" i="1"/>
  <c r="Q876" i="1" a="1"/>
  <c r="Q876" i="1"/>
  <c r="Q877" i="1" a="1"/>
  <c r="Q877" i="1"/>
  <c r="Q878" i="1" a="1"/>
  <c r="Q878" i="1"/>
  <c r="Q879" i="1" a="1"/>
  <c r="Q879" i="1"/>
  <c r="Q880" i="1" a="1"/>
  <c r="Q880" i="1"/>
  <c r="Q881" i="1" a="1"/>
  <c r="Q881" i="1"/>
  <c r="Q882" i="1" a="1"/>
  <c r="Q882" i="1"/>
  <c r="Q883" i="1" a="1"/>
  <c r="Q883" i="1"/>
  <c r="Q884" i="1" a="1"/>
  <c r="Q884" i="1"/>
  <c r="Q885" i="1" a="1"/>
  <c r="Q885" i="1"/>
  <c r="Q886" i="1" a="1"/>
  <c r="Q886" i="1"/>
  <c r="Q887" i="1" a="1"/>
  <c r="Q887" i="1"/>
  <c r="Q888" i="1" a="1"/>
  <c r="Q888" i="1"/>
  <c r="Q889" i="1" a="1"/>
  <c r="Q889" i="1"/>
  <c r="Q890" i="1" a="1"/>
  <c r="Q890" i="1"/>
  <c r="Q891" i="1" a="1"/>
  <c r="Q891" i="1"/>
  <c r="Q892" i="1" a="1"/>
  <c r="Q892" i="1"/>
  <c r="Q893" i="1" a="1"/>
  <c r="Q893" i="1"/>
  <c r="Q894" i="1" a="1"/>
  <c r="Q894" i="1"/>
  <c r="Q895" i="1" a="1"/>
  <c r="Q895" i="1"/>
  <c r="Q896" i="1" a="1"/>
  <c r="Q896" i="1"/>
  <c r="Q897" i="1" a="1"/>
  <c r="Q897" i="1"/>
  <c r="Q898" i="1" a="1"/>
  <c r="Q898" i="1"/>
  <c r="Q899" i="1" a="1"/>
  <c r="Q899" i="1"/>
  <c r="Q900" i="1" a="1"/>
  <c r="Q900" i="1"/>
  <c r="Q901" i="1" a="1"/>
  <c r="Q901" i="1"/>
  <c r="Q902" i="1" a="1"/>
  <c r="Q902" i="1"/>
  <c r="Q903" i="1" a="1"/>
  <c r="Q903" i="1"/>
  <c r="Q904" i="1" a="1"/>
  <c r="Q904" i="1"/>
  <c r="Q905" i="1" a="1"/>
  <c r="Q905" i="1"/>
  <c r="Q906" i="1" a="1"/>
  <c r="Q906" i="1"/>
  <c r="Q907" i="1" a="1"/>
  <c r="Q907" i="1"/>
  <c r="Q908" i="1" a="1"/>
  <c r="Q908" i="1"/>
  <c r="Q909" i="1" a="1"/>
  <c r="Q909" i="1"/>
  <c r="Q910" i="1" a="1"/>
  <c r="Q910" i="1"/>
  <c r="Q911" i="1" a="1"/>
  <c r="Q911" i="1"/>
  <c r="Q912" i="1" a="1"/>
  <c r="Q912" i="1"/>
  <c r="Q913" i="1" a="1"/>
  <c r="Q913" i="1"/>
  <c r="Q914" i="1" a="1"/>
  <c r="Q914" i="1"/>
  <c r="Q915" i="1" a="1"/>
  <c r="Q915" i="1"/>
  <c r="Q916" i="1" a="1"/>
  <c r="Q916" i="1"/>
  <c r="Q917" i="1" a="1"/>
  <c r="Q917" i="1"/>
  <c r="Q918" i="1" a="1"/>
  <c r="Q918" i="1"/>
  <c r="Q919" i="1" a="1"/>
  <c r="Q919" i="1"/>
  <c r="Q920" i="1" a="1"/>
  <c r="Q920" i="1"/>
  <c r="Q921" i="1" a="1"/>
  <c r="Q921" i="1"/>
  <c r="Q922" i="1" a="1"/>
  <c r="Q922" i="1"/>
  <c r="Q923" i="1" a="1"/>
  <c r="Q923" i="1"/>
  <c r="Q924" i="1" a="1"/>
  <c r="Q924" i="1"/>
  <c r="Q925" i="1" a="1"/>
  <c r="Q925" i="1"/>
  <c r="Q926" i="1" a="1"/>
  <c r="Q926" i="1"/>
  <c r="Q927" i="1" a="1"/>
  <c r="Q927" i="1"/>
  <c r="Q928" i="1" a="1"/>
  <c r="Q928" i="1"/>
  <c r="Q929" i="1" a="1"/>
  <c r="Q929" i="1"/>
  <c r="Q930" i="1" a="1"/>
  <c r="Q930" i="1"/>
  <c r="Q931" i="1" a="1"/>
  <c r="Q931" i="1"/>
  <c r="Q932" i="1" a="1"/>
  <c r="Q932" i="1"/>
  <c r="Q933" i="1" a="1"/>
  <c r="Q933" i="1"/>
  <c r="Q934" i="1" a="1"/>
  <c r="Q934" i="1"/>
  <c r="Q935" i="1" a="1"/>
  <c r="Q935" i="1"/>
  <c r="Q936" i="1" a="1"/>
  <c r="Q936" i="1"/>
  <c r="Q937" i="1" a="1"/>
  <c r="Q937" i="1"/>
  <c r="Q938" i="1" a="1"/>
  <c r="Q938" i="1"/>
  <c r="Q939" i="1" a="1"/>
  <c r="Q939" i="1"/>
  <c r="Q940" i="1" a="1"/>
  <c r="Q940" i="1"/>
  <c r="Q941" i="1" a="1"/>
  <c r="Q941" i="1"/>
  <c r="Q942" i="1" a="1"/>
  <c r="Q942" i="1"/>
  <c r="Q943" i="1" a="1"/>
  <c r="Q943" i="1"/>
  <c r="Q944" i="1" a="1"/>
  <c r="Q944" i="1"/>
  <c r="Q945" i="1" a="1"/>
  <c r="Q945" i="1"/>
  <c r="Q946" i="1" a="1"/>
  <c r="Q946" i="1"/>
  <c r="Q947" i="1" a="1"/>
  <c r="Q947" i="1"/>
  <c r="Q948" i="1" a="1"/>
  <c r="Q948" i="1"/>
  <c r="Q949" i="1" a="1"/>
  <c r="Q949" i="1"/>
  <c r="Q950" i="1" a="1"/>
  <c r="Q950" i="1"/>
  <c r="Q951" i="1" a="1"/>
  <c r="Q951" i="1"/>
  <c r="Q952" i="1" a="1"/>
  <c r="Q952" i="1"/>
  <c r="Q953" i="1" a="1"/>
  <c r="Q953" i="1"/>
  <c r="Q954" i="1" a="1"/>
  <c r="Q954" i="1"/>
  <c r="Q955" i="1" a="1"/>
  <c r="Q955" i="1"/>
  <c r="Q956" i="1" a="1"/>
  <c r="Q956" i="1"/>
  <c r="Q957" i="1" a="1"/>
  <c r="Q957" i="1"/>
  <c r="Q958" i="1" a="1"/>
  <c r="Q958" i="1"/>
  <c r="Q959" i="1" a="1"/>
  <c r="Q959" i="1"/>
  <c r="Q960" i="1" a="1"/>
  <c r="Q960" i="1"/>
  <c r="Q961" i="1" a="1"/>
  <c r="Q961" i="1"/>
  <c r="Q962" i="1" a="1"/>
  <c r="Q962" i="1"/>
  <c r="Q963" i="1" a="1"/>
  <c r="Q963" i="1"/>
  <c r="Q964" i="1" a="1"/>
  <c r="Q964" i="1"/>
  <c r="Q965" i="1" a="1"/>
  <c r="Q965" i="1"/>
  <c r="Q966" i="1" a="1"/>
  <c r="Q966" i="1"/>
  <c r="Q967" i="1" a="1"/>
  <c r="Q967" i="1"/>
  <c r="Q968" i="1" a="1"/>
  <c r="Q968" i="1"/>
  <c r="Q969" i="1" a="1"/>
  <c r="Q969" i="1"/>
  <c r="Q970" i="1" a="1"/>
  <c r="Q970" i="1"/>
  <c r="Q971" i="1" a="1"/>
  <c r="Q971" i="1"/>
  <c r="Q972" i="1" a="1"/>
  <c r="Q972" i="1"/>
  <c r="Q973" i="1" a="1"/>
  <c r="Q973" i="1"/>
  <c r="Q974" i="1" a="1"/>
  <c r="Q974" i="1"/>
  <c r="Q975" i="1" a="1"/>
  <c r="Q975" i="1"/>
  <c r="Q976" i="1" a="1"/>
  <c r="Q976" i="1"/>
  <c r="Q977" i="1" a="1"/>
  <c r="Q977" i="1"/>
  <c r="Q978" i="1" a="1"/>
  <c r="Q978" i="1"/>
  <c r="Q979" i="1" a="1"/>
  <c r="Q979" i="1"/>
  <c r="Q980" i="1" a="1"/>
  <c r="Q980" i="1"/>
  <c r="Q981" i="1" a="1"/>
  <c r="Q981" i="1"/>
  <c r="Q982" i="1" a="1"/>
  <c r="Q982" i="1"/>
  <c r="Q983" i="1" a="1"/>
  <c r="Q983" i="1"/>
  <c r="Q984" i="1" a="1"/>
  <c r="Q984" i="1"/>
  <c r="Q985" i="1" a="1"/>
  <c r="Q985" i="1"/>
  <c r="Q986" i="1" a="1"/>
  <c r="Q986" i="1"/>
  <c r="Q987" i="1" a="1"/>
  <c r="Q987" i="1"/>
  <c r="Q988" i="1" a="1"/>
  <c r="Q988" i="1"/>
  <c r="Q989" i="1" a="1"/>
  <c r="Q989" i="1"/>
  <c r="Q990" i="1" a="1"/>
  <c r="Q990" i="1"/>
  <c r="Q991" i="1" a="1"/>
  <c r="Q991" i="1"/>
  <c r="Q992" i="1" a="1"/>
  <c r="Q992" i="1"/>
  <c r="Q993" i="1" a="1"/>
  <c r="Q993" i="1"/>
  <c r="Q994" i="1" a="1"/>
  <c r="Q994" i="1"/>
  <c r="Q995" i="1" a="1"/>
  <c r="Q995" i="1"/>
  <c r="Q996" i="1" a="1"/>
  <c r="Q996" i="1"/>
  <c r="Q997" i="1" a="1"/>
  <c r="Q997" i="1"/>
  <c r="Q998" i="1" a="1"/>
  <c r="Q998" i="1"/>
  <c r="Q999" i="1" a="1"/>
  <c r="Q999" i="1"/>
  <c r="Q1000" i="1" a="1"/>
  <c r="Q1000" i="1"/>
  <c r="Q2" i="1" a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2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<sst xmlns="http://schemas.openxmlformats.org/spreadsheetml/2006/main" count="8030" uniqueCount="1343">
  <si>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</si>
  <si>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</si>
  <si>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</si>
  <si>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</si>
  <si>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</si>
  <si>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</si>
  <si>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</si>
  <si>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</si>
  <si>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</si>
  <si>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</si>
  <si>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</si>
  <si>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</si>
  <si>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Resultat</t>
  </si>
  <si>
    <t>Profil_Eligible</t>
  </si>
  <si>
    <t>Alerte</t>
  </si>
  <si>
    <t>Filiere Data</t>
  </si>
  <si>
    <t>Niveau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</si>
  <si>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</si>
  <si>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</si>
  <si>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</si>
  <si>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</si>
  <si>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</si>
  <si>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</si>
  <si>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</si>
  <si>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</si>
  <si>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</si>
  <si>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</si>
  <si>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</si>
  <si>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</si>
  <si>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</si>
  <si>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</si>
  <si>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</si>
  <si>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</si>
  <si>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</si>
  <si>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</si>
  <si>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</si>
  <si>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</si>
  <si>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</si>
  <si>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</si>
  <si>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</si>
  <si>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</si>
  <si>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</si>
  <si>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</si>
  <si>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</si>
  <si>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</si>
  <si>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</si>
  <si>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</si>
  <si>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</si>
  <si>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</si>
  <si>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</si>
  <si>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</si>
  <si>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</si>
  <si>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</si>
  <si>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</si>
  <si>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</si>
  <si>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</si>
  <si>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</si>
  <si>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</si>
  <si>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</si>
  <si>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</si>
  <si>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</si>
  <si>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</si>
  <si>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</si>
  <si>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</si>
  <si>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</si>
  <si>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</si>
  <si>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</si>
  <si>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</si>
  <si>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</si>
  <si>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</si>
  <si>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</si>
  <si>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</si>
  <si>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</si>
  <si>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</si>
  <si>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</si>
  <si>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</si>
  <si>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</si>
  <si>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</si>
  <si>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</si>
  <si>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</si>
  <si>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</si>
  <si>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</si>
  <si>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</si>
  <si>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</si>
  <si>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</si>
  <si>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</si>
  <si>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</si>
  <si>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</si>
  <si>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</si>
  <si>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</si>
  <si>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</si>
  <si>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</si>
  <si>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</si>
  <si>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</si>
  <si>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</si>
  <si>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</si>
  <si>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</si>
  <si>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</si>
  <si>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</si>
  <si>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</si>
  <si>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</si>
  <si>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</si>
  <si>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</si>
  <si>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</si>
  <si>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</si>
  <si>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</si>
  <si>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</si>
  <si>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</si>
  <si>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</si>
  <si>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</si>
  <si>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</si>
  <si>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</si>
  <si>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</si>
  <si>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</si>
  <si>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</si>
  <si>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</si>
  <si>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</si>
  <si>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</si>
  <si>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</si>
  <si>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</si>
  <si>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</si>
  <si>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</si>
  <si>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</si>
  <si>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</si>
  <si>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</si>
  <si>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</si>
  <si>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</si>
  <si>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</si>
  <si>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</si>
  <si>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</si>
  <si>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</si>
  <si>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</si>
  <si>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</si>
  <si>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</si>
  <si>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</si>
  <si>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</si>
  <si>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</si>
  <si>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</si>
  <si>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</si>
  <si>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</si>
  <si>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</si>
  <si>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</si>
  <si>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</si>
  <si>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</si>
  <si>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</si>
  <si>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</si>
  <si>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</si>
  <si>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</si>
  <si>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</si>
  <si>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</si>
  <si>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</si>
  <si>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</si>
  <si>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</si>
  <si>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</si>
  <si>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</si>
  <si>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</si>
  <si>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</si>
  <si>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</si>
  <si>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</si>
  <si>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</si>
  <si>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</si>
  <si>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</si>
  <si>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</si>
  <si>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</si>
  <si>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</si>
  <si>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</si>
  <si>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</si>
  <si>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</si>
  <si>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</si>
  <si>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</si>
  <si>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</si>
  <si>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</si>
  <si>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</si>
  <si>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</si>
  <si>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</si>
  <si>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</si>
  <si>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</si>
  <si>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</si>
  <si>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</si>
  <si>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</si>
  <si>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</si>
  <si>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</si>
  <si>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</si>
  <si>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</si>
  <si>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</si>
  <si>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</si>
  <si>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</si>
  <si>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</si>
  <si>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</si>
  <si>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</si>
  <si>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</si>
  <si>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</si>
  <si>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</si>
  <si>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</si>
  <si>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</si>
  <si>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</si>
  <si>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</si>
  <si>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</si>
  <si>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</si>
  <si>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</si>
  <si>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</si>
  <si>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</si>
  <si>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</si>
  <si>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</si>
  <si>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</si>
  <si>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</si>
  <si>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</si>
  <si>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</si>
  <si>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</si>
  <si>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</si>
  <si>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</si>
  <si>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</si>
  <si>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</si>
  <si>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</si>
  <si>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</si>
  <si>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</si>
  <si>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</si>
  <si>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</si>
  <si>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</si>
  <si>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</si>
  <si>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</si>
  <si>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</si>
  <si>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</si>
  <si>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</si>
  <si>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</si>
  <si>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</si>
  <si>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</si>
  <si>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</si>
  <si>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</si>
  <si>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</si>
  <si>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</si>
  <si>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</si>
  <si>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</si>
  <si>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</si>
  <si>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</si>
  <si>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</si>
  <si>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</si>
  <si>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</si>
  <si>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</si>
  <si>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</si>
  <si>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</si>
  <si>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</si>
  <si>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</si>
  <si>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</si>
  <si>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</si>
  <si>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</si>
  <si>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</si>
  <si>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</si>
  <si>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</si>
  <si>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</si>
  <si>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</si>
  <si>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</si>
  <si>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</si>
  <si>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</si>
  <si>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</si>
  <si>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</si>
  <si>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</si>
  <si>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</si>
  <si>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</si>
  <si>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</si>
  <si>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</si>
  <si>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</si>
  <si>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</si>
  <si>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</si>
  <si>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</si>
  <si>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</si>
  <si>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</si>
  <si>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</si>
  <si>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</si>
  <si>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</si>
  <si>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</si>
  <si>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</si>
  <si>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</si>
  <si>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</si>
  <si>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</si>
  <si>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</si>
  <si>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</si>
  <si>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</si>
  <si>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</si>
  <si>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</si>
  <si>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</si>
  <si>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</si>
  <si>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</si>
  <si>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</si>
  <si>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</si>
  <si>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</si>
  <si>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</si>
  <si>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</si>
  <si>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</si>
  <si>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</si>
  <si>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</si>
  <si>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</si>
  <si>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</si>
  <si>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</si>
  <si>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</si>
  <si>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</si>
  <si>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</si>
  <si>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</si>
  <si>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</si>
  <si>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</si>
  <si>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</si>
  <si>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</si>
  <si>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</si>
  <si>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</si>
  <si>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</si>
  <si>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</si>
  <si>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</si>
  <si>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</si>
  <si>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</si>
  <si>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</si>
  <si>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</si>
  <si>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</si>
  <si>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</si>
  <si>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</si>
  <si>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</si>
  <si>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</si>
  <si>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</si>
  <si>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</si>
  <si>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</si>
  <si>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</si>
  <si>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</si>
  <si>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</si>
  <si>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</si>
  <si>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</si>
  <si>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</si>
  <si>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</si>
  <si>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</si>
  <si>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</si>
  <si>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</si>
  <si>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</si>
  <si>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</si>
  <si>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</si>
  <si>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</si>
  <si>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</si>
  <si>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</si>
  <si>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</si>
  <si>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</si>
  <si>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</si>
  <si>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</si>
  <si>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</si>
  <si>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</si>
  <si>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</si>
  <si>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</si>
  <si>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</si>
  <si>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</si>
  <si>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</si>
  <si>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</si>
  <si>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</si>
  <si>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</si>
  <si>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</si>
  <si>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</si>
  <si>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</si>
  <si>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</si>
  <si>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</si>
  <si>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</si>
  <si>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</si>
  <si>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</si>
  <si>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</si>
  <si>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</si>
  <si>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</si>
  <si>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</si>
  <si>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</si>
  <si>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</si>
  <si>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</si>
  <si>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</si>
  <si>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</si>
  <si>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</si>
  <si>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</si>
  <si>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</si>
  <si>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</si>
  <si>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</si>
  <si>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</si>
  <si>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</si>
  <si>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</si>
  <si>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</si>
  <si>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</si>
  <si>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</si>
  <si>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</si>
  <si>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</si>
  <si>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</si>
  <si>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</si>
  <si>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</si>
  <si>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</si>
  <si>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</si>
  <si>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</si>
  <si>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</si>
  <si>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</si>
  <si>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</si>
  <si>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</si>
  <si>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</si>
  <si>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</si>
  <si>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</si>
  <si>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</si>
  <si>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</si>
  <si>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</si>
  <si>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</si>
  <si>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</si>
  <si>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</si>
  <si>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</si>
  <si>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</si>
  <si>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</si>
  <si>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</si>
  <si>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</si>
  <si>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</si>
  <si>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</si>
  <si>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</si>
  <si>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</si>
  <si>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</si>
  <si>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</si>
  <si>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</si>
  <si>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</si>
  <si>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</si>
  <si>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</si>
  <si>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</si>
  <si>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</si>
  <si>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</si>
  <si>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</si>
  <si>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</si>
  <si>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</si>
  <si>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</si>
  <si>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</si>
  <si>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</si>
  <si>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</si>
  <si>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</si>
  <si>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</si>
  <si>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</si>
  <si>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</si>
  <si>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</si>
  <si>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</si>
  <si>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</si>
  <si>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</si>
  <si>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</si>
  <si>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</si>
  <si>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</si>
  <si>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</si>
  <si>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</si>
  <si>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</si>
  <si>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</si>
  <si>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</si>
  <si>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</si>
  <si>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</si>
  <si>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</si>
  <si>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</si>
  <si>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</si>
  <si>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</si>
  <si>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</si>
  <si>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</si>
  <si>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</si>
  <si>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</si>
  <si>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</si>
  <si>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</si>
  <si>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</si>
  <si>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</si>
  <si>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</si>
  <si>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</si>
  <si>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</si>
  <si>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</si>
  <si>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</si>
  <si>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</si>
  <si>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</si>
  <si>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</si>
  <si>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</si>
  <si>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</si>
  <si>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</si>
  <si>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</si>
  <si>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</si>
  <si>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</si>
  <si>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</si>
  <si>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</si>
  <si>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</si>
  <si>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</si>
  <si>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</si>
  <si>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</si>
  <si>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</si>
  <si>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</si>
  <si>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</si>
  <si>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</si>
  <si>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</si>
  <si>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</si>
  <si>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</si>
  <si>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</si>
  <si>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</si>
  <si>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</si>
  <si>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</si>
  <si>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</si>
  <si>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</si>
  <si>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</si>
  <si>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</si>
  <si>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</si>
  <si>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</si>
  <si>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</si>
  <si>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</si>
  <si>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</si>
  <si>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</si>
  <si>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</si>
  <si>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</si>
  <si>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</si>
  <si>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</si>
  <si>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</si>
  <si>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</si>
  <si>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</si>
  <si>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</si>
  <si>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</si>
  <si>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</si>
  <si>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</si>
  <si>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</si>
  <si>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</si>
  <si>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</si>
  <si>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</si>
  <si>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</si>
  <si>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</si>
  <si>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</si>
  <si>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</si>
  <si>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</si>
  <si>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</si>
  <si>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</si>
  <si>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</si>
  <si>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</si>
  <si>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</si>
  <si>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</si>
  <si>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</si>
  <si>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</si>
  <si>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</si>
  <si>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</si>
  <si>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</si>
  <si>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</si>
  <si>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</si>
  <si>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</si>
  <si>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</si>
  <si>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</si>
  <si>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</si>
  <si>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</si>
  <si>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</si>
  <si>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</si>
  <si>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</si>
  <si>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</si>
  <si>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</si>
  <si>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</si>
  <si>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</si>
  <si>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</si>
  <si>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</si>
  <si>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</si>
  <si>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</si>
  <si>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</si>
  <si>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</si>
  <si>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</si>
  <si>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</si>
  <si>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</si>
  <si>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</si>
  <si>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</si>
  <si>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</si>
  <si>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</si>
  <si>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</si>
  <si>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</si>
  <si>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</si>
  <si>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</si>
  <si>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</si>
  <si>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</si>
  <si>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</si>
  <si>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</si>
  <si>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</si>
  <si>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</si>
  <si>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</si>
  <si>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</si>
  <si>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</si>
  <si>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</si>
  <si>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</si>
  <si>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</si>
  <si>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</si>
  <si>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</si>
  <si>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</si>
  <si>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</si>
  <si>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</si>
  <si>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</si>
  <si>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</si>
  <si>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</si>
  <si>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</si>
  <si>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</si>
  <si>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</si>
  <si>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</si>
  <si>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</si>
  <si>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</si>
  <si>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</si>
  <si>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</si>
  <si>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</si>
  <si>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</si>
  <si>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</si>
  <si>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</si>
  <si>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</si>
  <si>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</si>
  <si>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</si>
  <si>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</si>
  <si>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</si>
  <si>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</si>
  <si>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</si>
  <si>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</si>
  <si>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</si>
  <si>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</si>
  <si>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</si>
  <si>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</si>
  <si>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</si>
  <si>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</si>
  <si>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</si>
  <si>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</si>
  <si>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</si>
  <si>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</si>
  <si>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</si>
  <si>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</si>
  <si>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</si>
  <si>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</si>
  <si>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</si>
  <si>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</si>
  <si>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</si>
  <si>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</si>
  <si>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</si>
  <si>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</si>
  <si>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</si>
  <si>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</si>
  <si>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</si>
  <si>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</si>
  <si>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</si>
  <si>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</si>
  <si>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</si>
  <si>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</si>
  <si>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</si>
  <si>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</si>
  <si>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</si>
  <si>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</si>
  <si>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</si>
  <si>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</si>
  <si>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</si>
  <si>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</si>
  <si>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</si>
  <si>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</si>
  <si>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</si>
  <si>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</si>
  <si>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</si>
  <si>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</si>
  <si>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</si>
  <si>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</si>
  <si>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</si>
  <si>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</si>
  <si>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</si>
  <si>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</si>
  <si>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</si>
  <si>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</si>
  <si>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</si>
  <si>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</si>
  <si>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</si>
  <si>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</si>
  <si>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</si>
  <si>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</si>
  <si>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</si>
  <si>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</si>
  <si>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</si>
  <si>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</si>
  <si>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</si>
  <si>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</si>
  <si>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</si>
  <si>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</si>
  <si>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</si>
  <si>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</si>
  <si>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</si>
  <si>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</si>
  <si>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</si>
  <si>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</si>
  <si>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</si>
  <si>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</si>
  <si>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</si>
  <si>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</si>
  <si>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</si>
  <si>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</si>
  <si>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</si>
  <si>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</si>
  <si>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</si>
  <si>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</si>
  <si>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</si>
  <si>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</si>
  <si>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</si>
  <si>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</si>
  <si>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</si>
  <si>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</si>
  <si>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</si>
  <si>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</si>
  <si>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</si>
  <si>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</si>
  <si>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</si>
  <si>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</si>
  <si>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</si>
  <si>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</si>
  <si>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</si>
  <si>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</si>
  <si>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</si>
  <si>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</si>
  <si>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</si>
  <si>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</si>
  <si>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</si>
  <si>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</si>
  <si>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</si>
  <si>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</si>
  <si>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</si>
  <si>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</si>
  <si>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</si>
  <si>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</si>
  <si>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</si>
  <si>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</si>
  <si>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</si>
  <si>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</si>
  <si>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</si>
  <si>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</si>
  <si>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</si>
  <si>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</si>
  <si>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</si>
  <si>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</si>
  <si>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</si>
  <si>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</si>
  <si>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</si>
  <si>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</si>
  <si>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</si>
  <si>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</si>
  <si>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</si>
  <si>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</si>
  <si>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</si>
  <si>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</si>
  <si>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</si>
  <si>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</si>
  <si>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</si>
  <si>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</si>
  <si>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</si>
  <si>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</si>
  <si>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</si>
  <si>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</si>
  <si>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</si>
  <si>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</si>
  <si>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</si>
  <si>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</si>
  <si>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</si>
  <si>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</si>
  <si>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</si>
  <si>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</si>
  <si>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</si>
  <si>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</si>
  <si>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</si>
  <si>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</si>
  <si>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</si>
  <si>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</si>
  <si>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</si>
  <si>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</si>
  <si>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</si>
  <si>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</si>
  <si>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</si>
  <si>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</si>
  <si>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</si>
  <si>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</si>
  <si>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</si>
  <si>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</si>
  <si>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</si>
  <si>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</si>
  <si>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</si>
  <si>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</si>
  <si>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</si>
  <si>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</si>
  <si>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</si>
  <si>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</si>
  <si>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</si>
  <si>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</si>
  <si>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</si>
  <si>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</si>
  <si>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</si>
  <si>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</si>
  <si>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</si>
  <si>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</si>
  <si>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</si>
  <si>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</si>
  <si>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</si>
  <si>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</si>
  <si>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</si>
  <si>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</si>
  <si>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</si>
  <si>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</si>
  <si>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</si>
  <si>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</si>
  <si>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</si>
  <si>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</si>
  <si>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</si>
  <si>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</si>
  <si>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</si>
  <si>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</si>
  <si>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</si>
  <si>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</si>
  <si>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</si>
  <si>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</si>
  <si>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</si>
  <si>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</si>
  <si>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</si>
  <si>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</si>
  <si>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</si>
  <si>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</si>
  <si>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</si>
  <si>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</si>
  <si>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</si>
  <si>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</si>
  <si>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</si>
  <si>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</si>
  <si>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</si>
  <si>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</si>
  <si>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</si>
  <si>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</si>
  <si>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</si>
  <si>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</si>
  <si>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</si>
  <si>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</si>
  <si>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</si>
  <si>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</si>
  <si>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</si>
  <si>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</si>
  <si>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</si>
  <si>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</si>
  <si>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</si>
  <si>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</si>
  <si>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</si>
  <si>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</si>
  <si>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</si>
  <si>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</si>
  <si>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</si>
  <si>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</si>
  <si>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</si>
  <si>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</si>
  <si>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</si>
  <si>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</si>
  <si>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</si>
  <si>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</si>
  <si>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</si>
  <si>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</si>
  <si>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</si>
  <si>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</si>
  <si>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</si>
  <si>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</si>
  <si>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</si>
  <si>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</si>
  <si>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</si>
  <si>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</si>
  <si>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</si>
  <si>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</si>
  <si>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</si>
  <si>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</si>
  <si>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</si>
  <si>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</si>
  <si>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</si>
  <si>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</si>
  <si>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</si>
  <si>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</si>
  <si>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</si>
  <si>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</si>
  <si>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</si>
  <si>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</si>
  <si>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</si>
  <si>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</si>
  <si>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</si>
  <si>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</si>
  <si>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</si>
  <si>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</si>
  <si>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</si>
  <si>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</si>
  <si>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</si>
  <si>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</si>
  <si>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</si>
  <si>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</si>
  <si>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</si>
  <si>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</si>
  <si>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</si>
  <si>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</si>
  <si>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</si>
  <si>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</si>
  <si>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</si>
  <si>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</si>
  <si>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</si>
  <si>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</si>
  <si>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</si>
  <si>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</si>
  <si>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</si>
  <si>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</si>
  <si>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</si>
  <si>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</si>
  <si>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</si>
  <si>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</si>
  <si>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</si>
  <si>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</si>
  <si>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</si>
  <si>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</si>
  <si>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</si>
  <si>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</si>
  <si>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</si>
  <si>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</si>
  <si>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</si>
  <si>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</si>
  <si>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</si>
  <si>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</si>
  <si>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</si>
  <si>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</si>
  <si>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</si>
  <si>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</si>
  <si>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</si>
  <si>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</si>
  <si>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</si>
  <si>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</si>
  <si>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</si>
  <si>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</si>
  <si>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</si>
  <si>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</si>
  <si>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</si>
  <si>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</si>
  <si>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</si>
  <si>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</si>
  <si>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</si>
  <si>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</si>
  <si>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</si>
  <si>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</si>
  <si>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</si>
  <si>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</si>
  <si>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</si>
  <si>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</si>
  <si>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</si>
  <si>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</si>
  <si>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</si>
  <si>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</si>
  <si>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</si>
  <si>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</si>
  <si>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</si>
  <si>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</si>
  <si>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</si>
  <si>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</si>
  <si>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</si>
  <si>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</si>
  <si>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</si>
  <si>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</si>
  <si>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</si>
  <si>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</si>
  <si>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</si>
  <si>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</si>
  <si>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</si>
  <si>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</si>
  <si>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</si>
  <si>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</si>
  <si>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</si>
  <si>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</si>
  <si>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</si>
  <si>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</si>
  <si>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</si>
  <si>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</si>
  <si>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</si>
  <si>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</si>
  <si>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</si>
  <si>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</si>
  <si>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</si>
  <si>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</si>
  <si>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</si>
  <si>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</si>
  <si>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</si>
  <si>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</si>
  <si>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</si>
  <si>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</si>
  <si>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</si>
  <si>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</si>
  <si>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</si>
  <si>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</si>
  <si>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</si>
  <si>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</si>
  <si>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</si>
  <si>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</si>
  <si>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</si>
  <si>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</si>
  <si>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</si>
  <si>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</si>
  <si>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</si>
  <si>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</si>
  <si>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</si>
  <si>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</si>
  <si>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</si>
  <si>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</si>
  <si>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</si>
  <si>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</si>
  <si>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</si>
  <si>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</si>
  <si>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</si>
  <si>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</si>
  <si>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</si>
  <si>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</si>
  <si>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</si>
  <si>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</si>
  <si>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</si>
  <si>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</si>
  <si>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</si>
  <si>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</si>
  <si>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</si>
  <si>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</si>
  <si>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</si>
  <si>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</si>
  <si>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</si>
  <si>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</si>
  <si>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</si>
  <si>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</si>
  <si>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</si>
  <si>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</si>
  <si>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</si>
  <si>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</si>
  <si>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</si>
  <si>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</si>
  <si>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</si>
  <si>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</si>
  <si>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</si>
  <si>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</si>
  <si>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</si>
  <si>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</si>
  <si>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</si>
  <si>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</si>
  <si>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</si>
  <si>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</si>
  <si>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</si>
  <si>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</si>
  <si>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</si>
  <si>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</si>
  <si>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</si>
  <si>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</si>
  <si>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</si>
  <si>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</si>
  <si>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</si>
  <si>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</si>
  <si>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</si>
  <si>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</si>
  <si>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</si>
  <si>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</si>
  <si>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</si>
  <si>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</si>
  <si>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</si>
  <si>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</si>
  <si>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</si>
  <si>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</si>
  <si>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</si>
  <si>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</si>
  <si>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</si>
  <si>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</si>
  <si>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</si>
  <si>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</si>
  <si>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</si>
  <si>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</si>
  <si>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</si>
  <si>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</si>
  <si>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</si>
  <si>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</si>
  <si>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</si>
  <si>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</si>
  <si>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</si>
  <si>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</si>
  <si>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</si>
  <si>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</si>
  <si>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</si>
  <si>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</si>
  <si>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</si>
  <si>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</si>
  <si>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</si>
  <si>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</si>
  <si>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</si>
  <si>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</si>
  <si>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</si>
  <si>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</si>
  <si>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</si>
  <si>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</si>
  <si>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</si>
  <si>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</si>
  <si>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</si>
  <si>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</si>
  <si>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</si>
  <si>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</si>
  <si>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</si>
  <si>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</si>
  <si>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</si>
  <si>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</si>
  <si>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</si>
  <si>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</si>
  <si>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</si>
  <si>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</si>
  <si>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</si>
  <si>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</si>
  <si>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</si>
  <si>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</si>
  <si>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</si>
  <si>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</si>
  <si>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</si>
  <si>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</si>
  <si>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</si>
  <si>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</si>
  <si>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</si>
  <si>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</si>
  <si>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</si>
  <si>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</si>
  <si>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</si>
  <si>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</si>
  <si>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</si>
  <si>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</si>
  <si>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</si>
  <si>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</si>
  <si>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</si>
  <si>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</si>
  <si>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</si>
  <si>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</si>
  <si>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</si>
  <si>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</si>
  <si>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</si>
  <si>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</si>
  <si>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</si>
  <si>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</si>
  <si>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</si>
  <si>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</si>
  <si>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</si>
  <si>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</si>
  <si>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</si>
  <si>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</si>
  <si>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</si>
  <si>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</si>
  <si>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</si>
  <si>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</si>
  <si>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</si>
  <si>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</si>
  <si>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</si>
  <si>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</si>
  <si>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</si>
  <si>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</si>
  <si>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</si>
  <si>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</si>
  <si>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</si>
  <si>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</si>
  <si>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</si>
  <si>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</si>
  <si>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</si>
  <si>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</si>
  <si>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</si>
  <si>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</si>
  <si>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</si>
  <si>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</si>
  <si>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</si>
  <si>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</si>
  <si>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</si>
  <si>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</si>
  <si>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</si>
  <si>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</si>
  <si>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</si>
  <si>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</si>
  <si>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</si>
  <si>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</si>
  <si>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</si>
  <si>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</si>
  <si>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</si>
  <si>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</si>
  <si>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</si>
  <si>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</si>
  <si>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</si>
  <si>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</si>
  <si>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</si>
  <si>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</si>
  <si>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</si>
  <si>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</si>
  <si>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</si>
  <si>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</si>
  <si>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</si>
  <si>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</si>
  <si>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</si>
  <si>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</si>
  <si>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</si>
  <si>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</si>
  <si>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</si>
  <si>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</si>
  <si>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</si>
  <si>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</si>
  <si>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</si>
  <si>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</si>
  <si>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</si>
  <si>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</si>
  <si>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</si>
  <si>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</si>
  <si>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</si>
  <si>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</si>
  <si>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</si>
  <si>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</si>
  <si>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</si>
  <si>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</si>
  <si>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</si>
  <si>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</si>
  <si>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</si>
  <si>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</si>
  <si>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</si>
  <si>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</si>
  <si>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</si>
  <si>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</si>
  <si>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</si>
  <si>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</si>
  <si>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</si>
  <si>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</si>
  <si>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</si>
  <si>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</si>
  <si>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</si>
  <si>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</si>
  <si>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</si>
  <si>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</si>
  <si>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</si>
  <si>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</si>
  <si>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</si>
  <si>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</si>
  <si>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</si>
  <si>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</si>
  <si>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</si>
  <si>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</si>
  <si>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</si>
  <si>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</si>
  <si>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</si>
  <si>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</si>
  <si>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</si>
  <si>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</si>
  <si>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</si>
  <si>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</si>
  <si>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</si>
  <si>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</si>
  <si>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</si>
  <si>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</si>
  <si>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</si>
  <si>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</si>
  <si>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</si>
  <si>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</si>
  <si>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</si>
  <si>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</si>
  <si>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</si>
  <si>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</si>
  <si>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</si>
  <si>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</si>
  <si>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</si>
  <si>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</si>
  <si>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</si>
  <si>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</si>
  <si>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</si>
  <si>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</si>
  <si>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</si>
  <si>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</si>
  <si>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</si>
  <si>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</si>
  <si>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</si>
  <si>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</si>
  <si>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</si>
  <si>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</si>
  <si>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</si>
  <si>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</si>
  <si>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</si>
  <si>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</si>
  <si>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</si>
  <si>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</si>
  <si>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</si>
  <si>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</si>
  <si>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</si>
  <si>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</si>
  <si>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</si>
  <si>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</si>
  <si>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</si>
  <si>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</si>
  <si>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</si>
  <si>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</si>
  <si>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</si>
  <si>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</si>
  <si>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</si>
  <si>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</si>
  <si>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</si>
  <si>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</si>
  <si>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</si>
  <si>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</si>
  <si>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</si>
  <si>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</si>
  <si>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</si>
  <si>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</si>
  <si>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</si>
  <si>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</si>
  <si>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</si>
  <si>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</si>
  <si>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</si>
  <si>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</si>
  <si>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</si>
  <si>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</si>
  <si>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</si>
  <si>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</si>
  <si>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</si>
  <si>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</si>
  <si>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</si>
  <si>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</si>
  <si>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</si>
  <si>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</si>
  <si>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</si>
  <si>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</si>
  <si>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</si>
  <si>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</si>
  <si>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</si>
  <si>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</si>
  <si>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</si>
  <si>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</si>
  <si>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</si>
  <si>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</si>
  <si>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</si>
  <si>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</si>
  <si>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</si>
  <si>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</si>
  <si>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</si>
  <si>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</si>
  <si>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</si>
  <si>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</si>
  <si>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</si>
  <si>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</si>
  <si>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</si>
  <si>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</si>
  <si>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</si>
  <si>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</si>
  <si>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</si>
  <si>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</si>
  <si>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</si>
  <si>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</si>
  <si>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</si>
  <si>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</si>
  <si>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</si>
  <si>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</si>
  <si>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</si>
  <si>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</si>
  <si>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</si>
  <si>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</si>
  <si>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</si>
  <si>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</si>
  <si>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</si>
  <si>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</si>
  <si>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</si>
  <si>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</si>
  <si>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</si>
  <si>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</si>
  <si>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</si>
  <si>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Total</t>
  </si>
  <si>
    <t>Nombre</t>
  </si>
  <si>
    <t>Moyenne</t>
  </si>
  <si>
    <t>Decision</t>
  </si>
  <si>
    <t>Mention</t>
  </si>
  <si>
    <t>Statut_Filiere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</si>
</sst>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280C]dd/mm/yyyy;@"/>
    <numFmt numFmtId="165" formatCode="_-* #,##0\ [$CFA-280C]_-;\-* #,##0\ [$CFA-280C]_-;_-* &quot;-&quot;\ [$CFA-280C]_-;_-@_-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  <font>
      <b/>
      <sz val="11"/>
      <color rgb="FF000000"/>
      <name val="Times New Roman"/>
      <family val="1"/>
      <charset val="1"/>
    </font>
    <font>
      <b/>
      <sz val="11"/>
      <color rgb="FF000000"/>
      <name val="Times New Roman"/>
    </font>
    <font>
      <sz val="11"/>
      <color rgb="FF000000"/>
      <name val="Times New Roman"/>
      <family val="1"/>
      <charset val="1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  <xf numFmtId="0" fontId="2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0" fontId="0" fillId="0" borderId="4" xfId="0" applyBorder="1"/>
    <xf numFmtId="0" fontId="5" fillId="0" borderId="5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/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A985" workbookViewId="0">
      <selection sqref="A1:J1001"/>
    </sheetView>
  </sheetViews>
  <sheetFormatPr defaultRowHeight="15"/>
  <cols>
    <col min="2" max="2" width="18.28515625" customWidth="1"/>
    <col min="4" max="4" width="12" customWidth="1"/>
    <col min="5" max="5" width="14.85546875" style="8" customWidth="1"/>
    <col min="6" max="8" width="9.140625" style="8"/>
    <col min="9" max="9" width="12.28515625" style="8" customWidth="1"/>
    <col min="10" max="10" width="9.140625" style="6"/>
    <col min="11" max="11" width="15.28515625" style="4" customWidth="1"/>
    <col min="12" max="12" width="18" style="2" customWidth="1"/>
    <col min="13" max="13" width="10.7109375" customWidth="1"/>
    <col min="14" max="14" width="13.42578125" customWidth="1"/>
    <col min="15" max="15" width="11" customWidth="1"/>
    <col min="16" max="16" width="11.28515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3" t="s">
        <v>10</v>
      </c>
      <c r="L1" s="10" t="s">
        <v>11</v>
      </c>
      <c r="M1" s="9" t="s">
        <v>12</v>
      </c>
      <c r="N1" s="11" t="s">
        <v>13</v>
      </c>
      <c r="O1" s="12" t="s">
        <v>14</v>
      </c>
      <c r="P1" s="12" t="s">
        <v>15</v>
      </c>
      <c r="Q1" s="1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s="8" t="s">
        <v>21</v>
      </c>
      <c r="F2" s="8">
        <v>12.13</v>
      </c>
      <c r="G2" s="8">
        <v>11.08</v>
      </c>
      <c r="H2" s="8">
        <v>11.09</v>
      </c>
      <c r="I2" s="8">
        <v>14.41</v>
      </c>
      <c r="J2" s="6">
        <v>0.91869999999999996</v>
      </c>
      <c r="K2" s="4">
        <v>75000</v>
      </c>
      <c r="L2" s="2">
        <v>45854</v>
      </c>
      <c r="M2" t="str">
        <f>IF(H2&gt;=10,"Admis","Non admis")</f>
        <v>Admis</v>
      </c>
      <c r="N2" t="str">
        <f>IF(AND(F2&gt;=12,H2&gt;=12,J2&gt;=80%),"Eligible","Non eligible")</f>
        <v>Non eligible</v>
      </c>
      <c r="O2" t="str">
        <f>IF(OR(F2&lt;10,H2&lt;10),"A surveiller","RAS")</f>
        <v>RAS</v>
      </c>
      <c r="P2" t="str">
        <f>IF(NOT(E2="Data"),"Hors data","Data")</f>
        <v>Data</v>
      </c>
      <c r="Q2" t="str" cm="1">
        <f t="array" ref="Q2">_xlfn.IFS(H2&gt;=16,"Excellent",H2&gt;=14,"Très bien",H2&gt;=12,"Bien",H2&gt;=10,"Passable",H2&lt;10,"Insuffisant")</f>
        <v>Passable</v>
      </c>
    </row>
    <row r="3" spans="1:17">
      <c r="A3" t="s">
        <v>22</v>
      </c>
      <c r="B3" t="s">
        <v>23</v>
      </c>
      <c r="C3" t="s">
        <v>24</v>
      </c>
      <c r="D3" t="s">
        <v>25</v>
      </c>
      <c r="E3" s="8" t="s">
        <v>26</v>
      </c>
      <c r="F3" s="8">
        <v>15.39</v>
      </c>
      <c r="G3" s="8">
        <v>18.309999999999999</v>
      </c>
      <c r="H3" s="8">
        <v>20</v>
      </c>
      <c r="I3" s="8">
        <v>12.86</v>
      </c>
      <c r="J3" s="6">
        <v>0.81930000000000003</v>
      </c>
      <c r="K3" s="4">
        <v>90000</v>
      </c>
      <c r="L3" s="2">
        <v>45633</v>
      </c>
      <c r="M3" t="str">
        <f t="shared" ref="M3:M66" si="0">IF(H3&gt;=10,"Admis","Non admis")</f>
        <v>Admis</v>
      </c>
      <c r="N3" t="str">
        <f t="shared" ref="N3:N66" si="1">IF(AND(F3&gt;=12,H3&gt;=12,J3&gt;=80%),"Eligible","Non eligible")</f>
        <v>Eligible</v>
      </c>
      <c r="O3" t="str">
        <f t="shared" ref="O3:O66" si="2">IF(OR(F3&lt;10,H3&lt;10),"A surveiller","RAS")</f>
        <v>RAS</v>
      </c>
      <c r="P3" t="str">
        <f t="shared" ref="P3:P66" si="3">IF(NOT(E3="Data"),"Hors data","Data")</f>
        <v>Hors data</v>
      </c>
      <c r="Q3" t="str" cm="1">
        <f t="array" ref="Q3">_xlfn.IFS(H3&gt;=16,"Excellent",H3&gt;=14,"Très bien",H3&gt;=12,"Bien",H3&gt;=10,"Passable",H3&lt;10,"Insuffisant")</f>
        <v>Excellent</v>
      </c>
    </row>
    <row r="4" spans="1:17">
      <c r="A4" t="s">
        <v>27</v>
      </c>
      <c r="B4" t="s">
        <v>28</v>
      </c>
      <c r="C4" t="s">
        <v>24</v>
      </c>
      <c r="D4" t="s">
        <v>20</v>
      </c>
      <c r="E4" s="8" t="s">
        <v>21</v>
      </c>
      <c r="F4" s="8">
        <v>11.17</v>
      </c>
      <c r="G4" s="8">
        <v>14.41</v>
      </c>
      <c r="H4" s="8">
        <v>19.760000000000002</v>
      </c>
      <c r="I4" s="8">
        <v>13.06</v>
      </c>
      <c r="J4" s="6">
        <v>0.79079999999999995</v>
      </c>
      <c r="K4" s="4">
        <v>85000</v>
      </c>
      <c r="L4" s="2">
        <v>45682</v>
      </c>
      <c r="M4" t="str">
        <f t="shared" si="0"/>
        <v>Admis</v>
      </c>
      <c r="N4" t="str">
        <f t="shared" si="1"/>
        <v>Non eligible</v>
      </c>
      <c r="O4" t="str">
        <f t="shared" si="2"/>
        <v>RAS</v>
      </c>
      <c r="P4" t="str">
        <f t="shared" si="3"/>
        <v>Data</v>
      </c>
      <c r="Q4" t="str" cm="1">
        <f t="array" ref="Q4">_xlfn.IFS(H4&gt;=16,"Excellent",H4&gt;=14,"Très bien",H4&gt;=12,"Bien",H4&gt;=10,"Passable",H4&lt;10,"Insuffisant")</f>
        <v>Excellent</v>
      </c>
    </row>
    <row r="5" spans="1:17">
      <c r="A5" t="s">
        <v>29</v>
      </c>
      <c r="B5" t="s">
        <v>30</v>
      </c>
      <c r="C5" t="s">
        <v>19</v>
      </c>
      <c r="D5" t="s">
        <v>25</v>
      </c>
      <c r="E5" s="8" t="s">
        <v>26</v>
      </c>
      <c r="F5" s="8">
        <v>14.17</v>
      </c>
      <c r="G5" s="8">
        <v>10.220000000000001</v>
      </c>
      <c r="H5" s="8">
        <v>10.26</v>
      </c>
      <c r="I5" s="8">
        <v>14.91</v>
      </c>
      <c r="J5" s="6">
        <v>0.76400000000000001</v>
      </c>
      <c r="K5" s="4">
        <v>120000</v>
      </c>
      <c r="L5" s="2">
        <v>45844</v>
      </c>
      <c r="M5" t="str">
        <f t="shared" si="0"/>
        <v>Admis</v>
      </c>
      <c r="N5" t="str">
        <f t="shared" si="1"/>
        <v>Non eligible</v>
      </c>
      <c r="O5" t="str">
        <f t="shared" si="2"/>
        <v>RAS</v>
      </c>
      <c r="P5" t="str">
        <f t="shared" si="3"/>
        <v>Hors data</v>
      </c>
      <c r="Q5" t="str" cm="1">
        <f t="array" ref="Q5">_xlfn.IFS(H5&gt;=16,"Excellent",H5&gt;=14,"Très bien",H5&gt;=12,"Bien",H5&gt;=10,"Passable",H5&lt;10,"Insuffisant")</f>
        <v>Passable</v>
      </c>
    </row>
    <row r="6" spans="1:17">
      <c r="A6" t="s">
        <v>31</v>
      </c>
      <c r="B6" t="s">
        <v>32</v>
      </c>
      <c r="C6" t="s">
        <v>19</v>
      </c>
      <c r="D6" t="s">
        <v>33</v>
      </c>
      <c r="E6" s="8" t="s">
        <v>34</v>
      </c>
      <c r="F6" s="8">
        <v>13.23</v>
      </c>
      <c r="G6" s="8">
        <v>10.49</v>
      </c>
      <c r="H6" s="8">
        <v>10.63</v>
      </c>
      <c r="I6" s="8">
        <v>13.04</v>
      </c>
      <c r="J6" s="6">
        <v>0.73070000000000002</v>
      </c>
      <c r="K6" s="4">
        <v>70000</v>
      </c>
      <c r="L6" s="2">
        <v>46019</v>
      </c>
      <c r="M6" t="str">
        <f t="shared" si="0"/>
        <v>Admis</v>
      </c>
      <c r="N6" t="str">
        <f t="shared" si="1"/>
        <v>Non eligible</v>
      </c>
      <c r="O6" t="str">
        <f t="shared" si="2"/>
        <v>RAS</v>
      </c>
      <c r="P6" t="str">
        <f t="shared" si="3"/>
        <v>Hors data</v>
      </c>
      <c r="Q6" t="str" cm="1">
        <f t="array" ref="Q6">_xlfn.IFS(H6&gt;=16,"Excellent",H6&gt;=14,"Très bien",H6&gt;=12,"Bien",H6&gt;=10,"Passable",H6&lt;10,"Insuffisant")</f>
        <v>Passable</v>
      </c>
    </row>
    <row r="7" spans="1:17">
      <c r="A7" t="s">
        <v>35</v>
      </c>
      <c r="B7" t="s">
        <v>36</v>
      </c>
      <c r="C7" t="s">
        <v>24</v>
      </c>
      <c r="D7" t="s">
        <v>37</v>
      </c>
      <c r="E7" s="8" t="s">
        <v>26</v>
      </c>
      <c r="F7" s="8">
        <v>16.079999999999998</v>
      </c>
      <c r="G7" s="8">
        <v>16.989999999999998</v>
      </c>
      <c r="H7" s="8">
        <v>12.22</v>
      </c>
      <c r="I7" s="8">
        <v>11.87</v>
      </c>
      <c r="J7" s="6">
        <v>0.7429</v>
      </c>
      <c r="K7" s="4">
        <v>85000</v>
      </c>
      <c r="L7" s="2">
        <v>45826</v>
      </c>
      <c r="M7" t="str">
        <f t="shared" si="0"/>
        <v>Admis</v>
      </c>
      <c r="N7" t="str">
        <f t="shared" si="1"/>
        <v>Non eligible</v>
      </c>
      <c r="O7" t="str">
        <f t="shared" si="2"/>
        <v>RAS</v>
      </c>
      <c r="P7" t="str">
        <f t="shared" si="3"/>
        <v>Hors data</v>
      </c>
      <c r="Q7" t="str" cm="1">
        <f t="array" ref="Q7">_xlfn.IFS(H7&gt;=16,"Excellent",H7&gt;=14,"Très bien",H7&gt;=12,"Bien",H7&gt;=10,"Passable",H7&lt;10,"Insuffisant")</f>
        <v>Bien</v>
      </c>
    </row>
    <row r="8" spans="1:17">
      <c r="A8" t="s">
        <v>38</v>
      </c>
      <c r="B8" t="s">
        <v>39</v>
      </c>
      <c r="C8" t="s">
        <v>19</v>
      </c>
      <c r="D8" t="s">
        <v>40</v>
      </c>
      <c r="E8" s="8" t="s">
        <v>26</v>
      </c>
      <c r="F8" s="8">
        <v>16.97</v>
      </c>
      <c r="G8" s="8">
        <v>18.260000000000002</v>
      </c>
      <c r="H8" s="8">
        <v>15.2</v>
      </c>
      <c r="I8" s="8">
        <v>12.16</v>
      </c>
      <c r="J8" s="6">
        <v>0.75839999999999996</v>
      </c>
      <c r="K8" s="4">
        <v>60000</v>
      </c>
      <c r="L8" s="2">
        <v>45915</v>
      </c>
      <c r="M8" t="str">
        <f t="shared" si="0"/>
        <v>Admis</v>
      </c>
      <c r="N8" t="str">
        <f t="shared" si="1"/>
        <v>Non eligible</v>
      </c>
      <c r="O8" t="str">
        <f t="shared" si="2"/>
        <v>RAS</v>
      </c>
      <c r="P8" t="str">
        <f t="shared" si="3"/>
        <v>Hors data</v>
      </c>
      <c r="Q8" t="str" cm="1">
        <f t="array" ref="Q8">_xlfn.IFS(H8&gt;=16,"Excellent",H8&gt;=14,"Très bien",H8&gt;=12,"Bien",H8&gt;=10,"Passable",H8&lt;10,"Insuffisant")</f>
        <v>Très bien</v>
      </c>
    </row>
    <row r="9" spans="1:17">
      <c r="A9" t="s">
        <v>41</v>
      </c>
      <c r="B9" t="s">
        <v>42</v>
      </c>
      <c r="C9" t="s">
        <v>24</v>
      </c>
      <c r="D9" t="s">
        <v>25</v>
      </c>
      <c r="E9" s="8" t="s">
        <v>26</v>
      </c>
      <c r="F9" s="8">
        <v>7.57</v>
      </c>
      <c r="G9" s="8">
        <v>11.81</v>
      </c>
      <c r="H9" s="8">
        <v>12.87</v>
      </c>
      <c r="I9" s="8">
        <v>10.09</v>
      </c>
      <c r="J9" s="6">
        <v>0.95250000000000001</v>
      </c>
      <c r="K9" s="4">
        <v>90000</v>
      </c>
      <c r="L9" s="2">
        <v>45901</v>
      </c>
      <c r="M9" t="str">
        <f t="shared" si="0"/>
        <v>Admis</v>
      </c>
      <c r="N9" t="str">
        <f t="shared" si="1"/>
        <v>Non eligible</v>
      </c>
      <c r="O9" t="str">
        <f t="shared" si="2"/>
        <v>A surveiller</v>
      </c>
      <c r="P9" t="str">
        <f t="shared" si="3"/>
        <v>Hors data</v>
      </c>
      <c r="Q9" t="str" cm="1">
        <f t="array" ref="Q9">_xlfn.IFS(H9&gt;=16,"Excellent",H9&gt;=14,"Très bien",H9&gt;=12,"Bien",H9&gt;=10,"Passable",H9&lt;10,"Insuffisant")</f>
        <v>Bien</v>
      </c>
    </row>
    <row r="10" spans="1:17">
      <c r="A10" t="s">
        <v>43</v>
      </c>
      <c r="B10" t="s">
        <v>44</v>
      </c>
      <c r="C10" t="s">
        <v>19</v>
      </c>
      <c r="D10" t="s">
        <v>25</v>
      </c>
      <c r="E10" s="8" t="s">
        <v>26</v>
      </c>
      <c r="F10" s="8">
        <v>7.43</v>
      </c>
      <c r="G10" s="8">
        <v>14.27</v>
      </c>
      <c r="H10" s="8">
        <v>12.08</v>
      </c>
      <c r="I10" s="8">
        <v>8.82</v>
      </c>
      <c r="J10" s="6">
        <v>0.87990000000000002</v>
      </c>
      <c r="K10" s="4">
        <v>50000</v>
      </c>
      <c r="L10" s="2">
        <v>45724</v>
      </c>
      <c r="M10" t="str">
        <f t="shared" si="0"/>
        <v>Admis</v>
      </c>
      <c r="N10" t="str">
        <f t="shared" si="1"/>
        <v>Non eligible</v>
      </c>
      <c r="O10" t="str">
        <f t="shared" si="2"/>
        <v>A surveiller</v>
      </c>
      <c r="P10" t="str">
        <f t="shared" si="3"/>
        <v>Hors data</v>
      </c>
      <c r="Q10" t="str" cm="1">
        <f t="array" ref="Q10">_xlfn.IFS(H10&gt;=16,"Excellent",H10&gt;=14,"Très bien",H10&gt;=12,"Bien",H10&gt;=10,"Passable",H10&lt;10,"Insuffisant")</f>
        <v>Bien</v>
      </c>
    </row>
    <row r="11" spans="1:17">
      <c r="A11" t="s">
        <v>45</v>
      </c>
      <c r="B11" t="s">
        <v>46</v>
      </c>
      <c r="C11" t="s">
        <v>19</v>
      </c>
      <c r="D11" t="s">
        <v>40</v>
      </c>
      <c r="E11" s="8" t="s">
        <v>47</v>
      </c>
      <c r="F11" s="8">
        <v>14.93</v>
      </c>
      <c r="G11" s="8">
        <v>19.32</v>
      </c>
      <c r="H11" s="8">
        <v>17.170000000000002</v>
      </c>
      <c r="I11" s="8">
        <v>16.940000000000001</v>
      </c>
      <c r="J11" s="6">
        <v>0.74860000000000004</v>
      </c>
      <c r="K11" s="4">
        <v>80000</v>
      </c>
      <c r="L11" s="2">
        <v>45731</v>
      </c>
      <c r="M11" t="str">
        <f t="shared" si="0"/>
        <v>Admis</v>
      </c>
      <c r="N11" t="str">
        <f t="shared" si="1"/>
        <v>Non eligible</v>
      </c>
      <c r="O11" t="str">
        <f t="shared" si="2"/>
        <v>RAS</v>
      </c>
      <c r="P11" t="str">
        <f t="shared" si="3"/>
        <v>Hors data</v>
      </c>
      <c r="Q11" t="str" cm="1">
        <f t="array" ref="Q11">_xlfn.IFS(H11&gt;=16,"Excellent",H11&gt;=14,"Très bien",H11&gt;=12,"Bien",H11&gt;=10,"Passable",H11&lt;10,"Insuffisant")</f>
        <v>Excellent</v>
      </c>
    </row>
    <row r="12" spans="1:17">
      <c r="A12" t="s">
        <v>48</v>
      </c>
      <c r="B12" t="s">
        <v>49</v>
      </c>
      <c r="C12" t="s">
        <v>24</v>
      </c>
      <c r="D12" t="s">
        <v>37</v>
      </c>
      <c r="E12" s="8" t="s">
        <v>26</v>
      </c>
      <c r="F12" s="8">
        <v>10.02</v>
      </c>
      <c r="G12" s="8">
        <v>14.25</v>
      </c>
      <c r="H12" s="8">
        <v>13.71</v>
      </c>
      <c r="I12" s="8">
        <v>9.16</v>
      </c>
      <c r="J12" s="6">
        <v>0.78959999999999997</v>
      </c>
      <c r="K12" s="4">
        <v>50000</v>
      </c>
      <c r="L12" s="2">
        <v>45834</v>
      </c>
      <c r="M12" t="str">
        <f t="shared" si="0"/>
        <v>Admis</v>
      </c>
      <c r="N12" t="str">
        <f t="shared" si="1"/>
        <v>Non eligible</v>
      </c>
      <c r="O12" t="str">
        <f t="shared" si="2"/>
        <v>RAS</v>
      </c>
      <c r="P12" t="str">
        <f t="shared" si="3"/>
        <v>Hors data</v>
      </c>
      <c r="Q12" t="str" cm="1">
        <f t="array" ref="Q12">_xlfn.IFS(H12&gt;=16,"Excellent",H12&gt;=14,"Très bien",H12&gt;=12,"Bien",H12&gt;=10,"Passable",H12&lt;10,"Insuffisant")</f>
        <v>Bien</v>
      </c>
    </row>
    <row r="13" spans="1:17">
      <c r="A13" t="s">
        <v>50</v>
      </c>
      <c r="B13" t="s">
        <v>51</v>
      </c>
      <c r="C13" t="s">
        <v>24</v>
      </c>
      <c r="D13" t="s">
        <v>52</v>
      </c>
      <c r="E13" s="8" t="s">
        <v>21</v>
      </c>
      <c r="F13" s="8">
        <v>11.19</v>
      </c>
      <c r="G13" s="8">
        <v>7.93</v>
      </c>
      <c r="H13" s="8">
        <v>8.2100000000000009</v>
      </c>
      <c r="I13" s="8">
        <v>11.22</v>
      </c>
      <c r="J13" s="6">
        <v>0.9133</v>
      </c>
      <c r="K13" s="4">
        <v>75000</v>
      </c>
      <c r="L13" s="2">
        <v>45558</v>
      </c>
      <c r="M13" t="str">
        <f t="shared" si="0"/>
        <v>Non admis</v>
      </c>
      <c r="N13" t="str">
        <f t="shared" si="1"/>
        <v>Non eligible</v>
      </c>
      <c r="O13" t="str">
        <f t="shared" si="2"/>
        <v>A surveiller</v>
      </c>
      <c r="P13" t="str">
        <f t="shared" si="3"/>
        <v>Data</v>
      </c>
      <c r="Q13" t="str" cm="1">
        <f t="array" ref="Q13">_xlfn.IFS(H13&gt;=16,"Excellent",H13&gt;=14,"Très bien",H13&gt;=12,"Bien",H13&gt;=10,"Passable",H13&lt;10,"Insuffisant")</f>
        <v>Insuffisant</v>
      </c>
    </row>
    <row r="14" spans="1:17">
      <c r="A14" t="s">
        <v>53</v>
      </c>
      <c r="B14" t="s">
        <v>54</v>
      </c>
      <c r="C14" t="s">
        <v>24</v>
      </c>
      <c r="D14" t="s">
        <v>33</v>
      </c>
      <c r="E14" s="8" t="s">
        <v>21</v>
      </c>
      <c r="F14" s="8">
        <v>15.52</v>
      </c>
      <c r="G14" s="8">
        <v>18.95</v>
      </c>
      <c r="H14" s="8">
        <v>14.41</v>
      </c>
      <c r="I14" s="8">
        <v>14.9</v>
      </c>
      <c r="J14" s="6">
        <v>0.87109999999999999</v>
      </c>
      <c r="K14" s="4">
        <v>85000</v>
      </c>
      <c r="L14" s="2">
        <v>46015</v>
      </c>
      <c r="M14" t="str">
        <f t="shared" si="0"/>
        <v>Admis</v>
      </c>
      <c r="N14" t="str">
        <f t="shared" si="1"/>
        <v>Eligible</v>
      </c>
      <c r="O14" t="str">
        <f t="shared" si="2"/>
        <v>RAS</v>
      </c>
      <c r="P14" t="str">
        <f t="shared" si="3"/>
        <v>Data</v>
      </c>
      <c r="Q14" t="str" cm="1">
        <f t="array" ref="Q14">_xlfn.IFS(H14&gt;=16,"Excellent",H14&gt;=14,"Très bien",H14&gt;=12,"Bien",H14&gt;=10,"Passable",H14&lt;10,"Insuffisant")</f>
        <v>Très bien</v>
      </c>
    </row>
    <row r="15" spans="1:17">
      <c r="A15" t="s">
        <v>55</v>
      </c>
      <c r="B15" t="s">
        <v>56</v>
      </c>
      <c r="C15" t="s">
        <v>24</v>
      </c>
      <c r="D15" t="s">
        <v>37</v>
      </c>
      <c r="E15" s="8" t="s">
        <v>47</v>
      </c>
      <c r="F15" s="8">
        <v>17.22</v>
      </c>
      <c r="G15" s="8">
        <v>16.38</v>
      </c>
      <c r="H15" s="8">
        <v>14.95</v>
      </c>
      <c r="I15" s="8">
        <v>15.12</v>
      </c>
      <c r="J15" s="6">
        <v>0.73260000000000003</v>
      </c>
      <c r="K15" s="4">
        <v>75000</v>
      </c>
      <c r="L15" s="2">
        <v>45966</v>
      </c>
      <c r="M15" t="str">
        <f t="shared" si="0"/>
        <v>Admis</v>
      </c>
      <c r="N15" t="str">
        <f t="shared" si="1"/>
        <v>Non eligible</v>
      </c>
      <c r="O15" t="str">
        <f t="shared" si="2"/>
        <v>RAS</v>
      </c>
      <c r="P15" t="str">
        <f t="shared" si="3"/>
        <v>Hors data</v>
      </c>
      <c r="Q15" t="str" cm="1">
        <f t="array" ref="Q15">_xlfn.IFS(H15&gt;=16,"Excellent",H15&gt;=14,"Très bien",H15&gt;=12,"Bien",H15&gt;=10,"Passable",H15&lt;10,"Insuffisant")</f>
        <v>Très bien</v>
      </c>
    </row>
    <row r="16" spans="1:17">
      <c r="A16" t="s">
        <v>57</v>
      </c>
      <c r="B16" t="s">
        <v>58</v>
      </c>
      <c r="C16" t="s">
        <v>24</v>
      </c>
      <c r="D16" t="s">
        <v>20</v>
      </c>
      <c r="E16" s="8" t="s">
        <v>26</v>
      </c>
      <c r="F16" s="8">
        <v>10.09</v>
      </c>
      <c r="G16" s="8">
        <v>8.77</v>
      </c>
      <c r="H16" s="8">
        <v>5.93</v>
      </c>
      <c r="I16" s="8">
        <v>12.28</v>
      </c>
      <c r="J16" s="6">
        <v>0.95089999999999997</v>
      </c>
      <c r="K16" s="4">
        <v>80000</v>
      </c>
      <c r="L16" s="2">
        <v>45750</v>
      </c>
      <c r="M16" t="str">
        <f t="shared" si="0"/>
        <v>Non admis</v>
      </c>
      <c r="N16" t="str">
        <f t="shared" si="1"/>
        <v>Non eligible</v>
      </c>
      <c r="O16" t="str">
        <f t="shared" si="2"/>
        <v>A surveiller</v>
      </c>
      <c r="P16" t="str">
        <f t="shared" si="3"/>
        <v>Hors data</v>
      </c>
      <c r="Q16" t="str" cm="1">
        <f t="array" ref="Q16">_xlfn.IFS(H16&gt;=16,"Excellent",H16&gt;=14,"Très bien",H16&gt;=12,"Bien",H16&gt;=10,"Passable",H16&lt;10,"Insuffisant")</f>
        <v>Insuffisant</v>
      </c>
    </row>
    <row r="17" spans="1:17">
      <c r="A17" t="s">
        <v>59</v>
      </c>
      <c r="B17" t="s">
        <v>60</v>
      </c>
      <c r="C17" t="s">
        <v>24</v>
      </c>
      <c r="D17" t="s">
        <v>37</v>
      </c>
      <c r="E17" s="8" t="s">
        <v>26</v>
      </c>
      <c r="F17" s="8">
        <v>14.6</v>
      </c>
      <c r="G17" s="8">
        <v>13.07</v>
      </c>
      <c r="H17" s="8">
        <v>11.79</v>
      </c>
      <c r="I17" s="8">
        <v>13.08</v>
      </c>
      <c r="J17" s="6">
        <v>0.79810000000000003</v>
      </c>
      <c r="K17" s="4">
        <v>60000</v>
      </c>
      <c r="L17" s="2">
        <v>45797</v>
      </c>
      <c r="M17" t="str">
        <f t="shared" si="0"/>
        <v>Admis</v>
      </c>
      <c r="N17" t="str">
        <f t="shared" si="1"/>
        <v>Non eligible</v>
      </c>
      <c r="O17" t="str">
        <f t="shared" si="2"/>
        <v>RAS</v>
      </c>
      <c r="P17" t="str">
        <f t="shared" si="3"/>
        <v>Hors data</v>
      </c>
      <c r="Q17" t="str" cm="1">
        <f t="array" ref="Q17">_xlfn.IFS(H17&gt;=16,"Excellent",H17&gt;=14,"Très bien",H17&gt;=12,"Bien",H17&gt;=10,"Passable",H17&lt;10,"Insuffisant")</f>
        <v>Passable</v>
      </c>
    </row>
    <row r="18" spans="1:17">
      <c r="A18" t="s">
        <v>61</v>
      </c>
      <c r="B18" t="s">
        <v>62</v>
      </c>
      <c r="C18" t="s">
        <v>24</v>
      </c>
      <c r="D18" t="s">
        <v>20</v>
      </c>
      <c r="E18" s="8" t="s">
        <v>47</v>
      </c>
      <c r="F18" s="8">
        <v>18.2</v>
      </c>
      <c r="G18" s="8">
        <v>16.52</v>
      </c>
      <c r="H18" s="8">
        <v>13.29</v>
      </c>
      <c r="I18" s="8">
        <v>13.86</v>
      </c>
      <c r="J18" s="6">
        <v>0.84589999999999999</v>
      </c>
      <c r="K18" s="4">
        <v>100000</v>
      </c>
      <c r="L18" s="2">
        <v>45766</v>
      </c>
      <c r="M18" t="str">
        <f t="shared" si="0"/>
        <v>Admis</v>
      </c>
      <c r="N18" t="str">
        <f t="shared" si="1"/>
        <v>Eligible</v>
      </c>
      <c r="O18" t="str">
        <f t="shared" si="2"/>
        <v>RAS</v>
      </c>
      <c r="P18" t="str">
        <f t="shared" si="3"/>
        <v>Hors data</v>
      </c>
      <c r="Q18" t="str" cm="1">
        <f t="array" ref="Q18">_xlfn.IFS(H18&gt;=16,"Excellent",H18&gt;=14,"Très bien",H18&gt;=12,"Bien",H18&gt;=10,"Passable",H18&lt;10,"Insuffisant")</f>
        <v>Bien</v>
      </c>
    </row>
    <row r="19" spans="1:17">
      <c r="A19" t="s">
        <v>63</v>
      </c>
      <c r="B19" t="s">
        <v>64</v>
      </c>
      <c r="C19" t="s">
        <v>19</v>
      </c>
      <c r="D19" t="s">
        <v>20</v>
      </c>
      <c r="E19" s="8" t="s">
        <v>47</v>
      </c>
      <c r="F19" s="8">
        <v>15.58</v>
      </c>
      <c r="G19" s="8">
        <v>11.27</v>
      </c>
      <c r="H19" s="8">
        <v>16.43</v>
      </c>
      <c r="I19" s="8">
        <v>13.24</v>
      </c>
      <c r="J19" s="6">
        <v>0.55000000000000004</v>
      </c>
      <c r="K19" s="4">
        <v>110000</v>
      </c>
      <c r="L19" s="2">
        <v>45991</v>
      </c>
      <c r="M19" t="str">
        <f t="shared" si="0"/>
        <v>Admis</v>
      </c>
      <c r="N19" t="str">
        <f t="shared" si="1"/>
        <v>Non eligible</v>
      </c>
      <c r="O19" t="str">
        <f t="shared" si="2"/>
        <v>RAS</v>
      </c>
      <c r="P19" t="str">
        <f t="shared" si="3"/>
        <v>Hors data</v>
      </c>
      <c r="Q19" t="str" cm="1">
        <f t="array" ref="Q19">_xlfn.IFS(H19&gt;=16,"Excellent",H19&gt;=14,"Très bien",H19&gt;=12,"Bien",H19&gt;=10,"Passable",H19&lt;10,"Insuffisant")</f>
        <v>Excellent</v>
      </c>
    </row>
    <row r="20" spans="1:17">
      <c r="A20" t="s">
        <v>65</v>
      </c>
      <c r="B20" t="s">
        <v>66</v>
      </c>
      <c r="C20" t="s">
        <v>24</v>
      </c>
      <c r="D20" t="s">
        <v>20</v>
      </c>
      <c r="E20" s="8" t="s">
        <v>47</v>
      </c>
      <c r="F20" s="8">
        <v>15.42</v>
      </c>
      <c r="G20" s="8">
        <v>17.21</v>
      </c>
      <c r="H20" s="8">
        <v>16.010000000000002</v>
      </c>
      <c r="I20" s="8">
        <v>14.75</v>
      </c>
      <c r="J20" s="6">
        <v>0.55000000000000004</v>
      </c>
      <c r="K20" s="4">
        <v>85000</v>
      </c>
      <c r="L20" s="2">
        <v>46067</v>
      </c>
      <c r="M20" t="str">
        <f t="shared" si="0"/>
        <v>Admis</v>
      </c>
      <c r="N20" t="str">
        <f t="shared" si="1"/>
        <v>Non eligible</v>
      </c>
      <c r="O20" t="str">
        <f t="shared" si="2"/>
        <v>RAS</v>
      </c>
      <c r="P20" t="str">
        <f t="shared" si="3"/>
        <v>Hors data</v>
      </c>
      <c r="Q20" t="str" cm="1">
        <f t="array" ref="Q20">_xlfn.IFS(H20&gt;=16,"Excellent",H20&gt;=14,"Très bien",H20&gt;=12,"Bien",H20&gt;=10,"Passable",H20&lt;10,"Insuffisant")</f>
        <v>Excellent</v>
      </c>
    </row>
    <row r="21" spans="1:17">
      <c r="A21" t="s">
        <v>67</v>
      </c>
      <c r="B21" t="s">
        <v>68</v>
      </c>
      <c r="C21" t="s">
        <v>19</v>
      </c>
      <c r="D21" t="s">
        <v>25</v>
      </c>
      <c r="E21" s="8" t="s">
        <v>26</v>
      </c>
      <c r="F21" s="8">
        <v>12.83</v>
      </c>
      <c r="G21" s="8">
        <v>7.87</v>
      </c>
      <c r="H21" s="8">
        <v>11.11</v>
      </c>
      <c r="I21" s="8">
        <v>9.27</v>
      </c>
      <c r="J21" s="6">
        <v>0.82350000000000001</v>
      </c>
      <c r="K21" s="4">
        <v>50000</v>
      </c>
      <c r="L21" s="2">
        <v>45612</v>
      </c>
      <c r="M21" t="str">
        <f t="shared" si="0"/>
        <v>Admis</v>
      </c>
      <c r="N21" t="str">
        <f t="shared" si="1"/>
        <v>Non eligible</v>
      </c>
      <c r="O21" t="str">
        <f t="shared" si="2"/>
        <v>RAS</v>
      </c>
      <c r="P21" t="str">
        <f t="shared" si="3"/>
        <v>Hors data</v>
      </c>
      <c r="Q21" t="str" cm="1">
        <f t="array" ref="Q21">_xlfn.IFS(H21&gt;=16,"Excellent",H21&gt;=14,"Très bien",H21&gt;=12,"Bien",H21&gt;=10,"Passable",H21&lt;10,"Insuffisant")</f>
        <v>Passable</v>
      </c>
    </row>
    <row r="22" spans="1:17">
      <c r="A22" t="s">
        <v>69</v>
      </c>
      <c r="B22" t="s">
        <v>70</v>
      </c>
      <c r="C22" t="s">
        <v>24</v>
      </c>
      <c r="D22" t="s">
        <v>33</v>
      </c>
      <c r="E22" s="8" t="s">
        <v>26</v>
      </c>
      <c r="F22" s="8">
        <v>14.68</v>
      </c>
      <c r="G22" s="8">
        <v>15.64</v>
      </c>
      <c r="H22" s="8">
        <v>10.58</v>
      </c>
      <c r="I22" s="8">
        <v>12.5</v>
      </c>
      <c r="J22" s="6">
        <v>0.87709999999999999</v>
      </c>
      <c r="K22" s="4">
        <v>50000</v>
      </c>
      <c r="L22" s="2">
        <v>45825</v>
      </c>
      <c r="M22" t="str">
        <f t="shared" si="0"/>
        <v>Admis</v>
      </c>
      <c r="N22" t="str">
        <f t="shared" si="1"/>
        <v>Non eligible</v>
      </c>
      <c r="O22" t="str">
        <f t="shared" si="2"/>
        <v>RAS</v>
      </c>
      <c r="P22" t="str">
        <f t="shared" si="3"/>
        <v>Hors data</v>
      </c>
      <c r="Q22" t="str" cm="1">
        <f t="array" ref="Q22">_xlfn.IFS(H22&gt;=16,"Excellent",H22&gt;=14,"Très bien",H22&gt;=12,"Bien",H22&gt;=10,"Passable",H22&lt;10,"Insuffisant")</f>
        <v>Passable</v>
      </c>
    </row>
    <row r="23" spans="1:17">
      <c r="A23" t="s">
        <v>71</v>
      </c>
      <c r="B23" t="s">
        <v>72</v>
      </c>
      <c r="C23" t="s">
        <v>19</v>
      </c>
      <c r="D23" t="s">
        <v>20</v>
      </c>
      <c r="E23" s="8" t="s">
        <v>21</v>
      </c>
      <c r="F23" s="8">
        <v>11.98</v>
      </c>
      <c r="G23" s="8">
        <v>11.91</v>
      </c>
      <c r="H23" s="8">
        <v>9.59</v>
      </c>
      <c r="I23" s="8">
        <v>8.1</v>
      </c>
      <c r="J23" s="6">
        <v>0.83630000000000004</v>
      </c>
      <c r="K23" s="4">
        <v>100000</v>
      </c>
      <c r="L23" s="2">
        <v>45545</v>
      </c>
      <c r="M23" t="str">
        <f t="shared" si="0"/>
        <v>Non admis</v>
      </c>
      <c r="N23" t="str">
        <f t="shared" si="1"/>
        <v>Non eligible</v>
      </c>
      <c r="O23" t="str">
        <f t="shared" si="2"/>
        <v>A surveiller</v>
      </c>
      <c r="P23" t="str">
        <f t="shared" si="3"/>
        <v>Data</v>
      </c>
      <c r="Q23" t="str" cm="1">
        <f t="array" ref="Q23">_xlfn.IFS(H23&gt;=16,"Excellent",H23&gt;=14,"Très bien",H23&gt;=12,"Bien",H23&gt;=10,"Passable",H23&lt;10,"Insuffisant")</f>
        <v>Insuffisant</v>
      </c>
    </row>
    <row r="24" spans="1:17">
      <c r="A24" t="s">
        <v>73</v>
      </c>
      <c r="B24" t="s">
        <v>74</v>
      </c>
      <c r="C24" t="s">
        <v>19</v>
      </c>
      <c r="D24" t="s">
        <v>52</v>
      </c>
      <c r="E24" s="8" t="s">
        <v>47</v>
      </c>
      <c r="F24" s="8">
        <v>10.3</v>
      </c>
      <c r="G24" s="8">
        <v>11.97</v>
      </c>
      <c r="H24" s="8">
        <v>13.81</v>
      </c>
      <c r="I24" s="8">
        <v>10.81</v>
      </c>
      <c r="J24" s="6">
        <v>0.94589999999999996</v>
      </c>
      <c r="K24" s="4">
        <v>130000</v>
      </c>
      <c r="L24" s="2">
        <v>45852</v>
      </c>
      <c r="M24" t="str">
        <f t="shared" si="0"/>
        <v>Admis</v>
      </c>
      <c r="N24" t="str">
        <f t="shared" si="1"/>
        <v>Non eligible</v>
      </c>
      <c r="O24" t="str">
        <f t="shared" si="2"/>
        <v>RAS</v>
      </c>
      <c r="P24" t="str">
        <f t="shared" si="3"/>
        <v>Hors data</v>
      </c>
      <c r="Q24" t="str" cm="1">
        <f t="array" ref="Q24">_xlfn.IFS(H24&gt;=16,"Excellent",H24&gt;=14,"Très bien",H24&gt;=12,"Bien",H24&gt;=10,"Passable",H24&lt;10,"Insuffisant")</f>
        <v>Bien</v>
      </c>
    </row>
    <row r="25" spans="1:17">
      <c r="A25" t="s">
        <v>75</v>
      </c>
      <c r="B25" t="s">
        <v>76</v>
      </c>
      <c r="C25" t="s">
        <v>24</v>
      </c>
      <c r="D25" t="s">
        <v>33</v>
      </c>
      <c r="E25" s="8" t="s">
        <v>34</v>
      </c>
      <c r="F25" s="8">
        <v>17.48</v>
      </c>
      <c r="G25" s="8">
        <v>14.67</v>
      </c>
      <c r="H25" s="8">
        <v>10.02</v>
      </c>
      <c r="I25" s="8">
        <v>16.63</v>
      </c>
      <c r="J25" s="6">
        <v>0.58579999999999999</v>
      </c>
      <c r="K25" s="4">
        <v>120000</v>
      </c>
      <c r="L25" s="2">
        <v>45709</v>
      </c>
      <c r="M25" t="str">
        <f t="shared" si="0"/>
        <v>Admis</v>
      </c>
      <c r="N25" t="str">
        <f t="shared" si="1"/>
        <v>Non eligible</v>
      </c>
      <c r="O25" t="str">
        <f t="shared" si="2"/>
        <v>RAS</v>
      </c>
      <c r="P25" t="str">
        <f t="shared" si="3"/>
        <v>Hors data</v>
      </c>
      <c r="Q25" t="str" cm="1">
        <f t="array" ref="Q25">_xlfn.IFS(H25&gt;=16,"Excellent",H25&gt;=14,"Très bien",H25&gt;=12,"Bien",H25&gt;=10,"Passable",H25&lt;10,"Insuffisant")</f>
        <v>Passable</v>
      </c>
    </row>
    <row r="26" spans="1:17">
      <c r="A26" t="s">
        <v>77</v>
      </c>
      <c r="B26" t="s">
        <v>78</v>
      </c>
      <c r="C26" t="s">
        <v>24</v>
      </c>
      <c r="D26" t="s">
        <v>37</v>
      </c>
      <c r="E26" s="8" t="s">
        <v>26</v>
      </c>
      <c r="F26" s="8">
        <v>20</v>
      </c>
      <c r="G26" s="8">
        <v>17.690000000000001</v>
      </c>
      <c r="H26" s="8">
        <v>20</v>
      </c>
      <c r="I26" s="8">
        <v>17.84</v>
      </c>
      <c r="J26" s="6">
        <v>0.9405</v>
      </c>
      <c r="K26" s="4">
        <v>80000</v>
      </c>
      <c r="L26" s="2">
        <v>45771</v>
      </c>
      <c r="M26" t="str">
        <f t="shared" si="0"/>
        <v>Admis</v>
      </c>
      <c r="N26" t="str">
        <f t="shared" si="1"/>
        <v>Eligible</v>
      </c>
      <c r="O26" t="str">
        <f t="shared" si="2"/>
        <v>RAS</v>
      </c>
      <c r="P26" t="str">
        <f t="shared" si="3"/>
        <v>Hors data</v>
      </c>
      <c r="Q26" t="str" cm="1">
        <f t="array" ref="Q26">_xlfn.IFS(H26&gt;=16,"Excellent",H26&gt;=14,"Très bien",H26&gt;=12,"Bien",H26&gt;=10,"Passable",H26&lt;10,"Insuffisant")</f>
        <v>Excellent</v>
      </c>
    </row>
    <row r="27" spans="1:17">
      <c r="A27" t="s">
        <v>79</v>
      </c>
      <c r="B27" t="s">
        <v>80</v>
      </c>
      <c r="C27" t="s">
        <v>24</v>
      </c>
      <c r="D27" t="s">
        <v>37</v>
      </c>
      <c r="E27" s="8" t="s">
        <v>47</v>
      </c>
      <c r="F27" s="8">
        <v>18.41</v>
      </c>
      <c r="G27" s="8">
        <v>20</v>
      </c>
      <c r="H27" s="8">
        <v>14.71</v>
      </c>
      <c r="I27" s="8">
        <v>20</v>
      </c>
      <c r="J27" s="6">
        <v>0.81899999999999995</v>
      </c>
      <c r="K27" s="4">
        <v>85000</v>
      </c>
      <c r="L27" s="2">
        <v>45855</v>
      </c>
      <c r="M27" t="str">
        <f t="shared" si="0"/>
        <v>Admis</v>
      </c>
      <c r="N27" t="str">
        <f t="shared" si="1"/>
        <v>Eligible</v>
      </c>
      <c r="O27" t="str">
        <f t="shared" si="2"/>
        <v>RAS</v>
      </c>
      <c r="P27" t="str">
        <f t="shared" si="3"/>
        <v>Hors data</v>
      </c>
      <c r="Q27" t="str" cm="1">
        <f t="array" ref="Q27">_xlfn.IFS(H27&gt;=16,"Excellent",H27&gt;=14,"Très bien",H27&gt;=12,"Bien",H27&gt;=10,"Passable",H27&lt;10,"Insuffisant")</f>
        <v>Très bien</v>
      </c>
    </row>
    <row r="28" spans="1:17">
      <c r="A28" t="s">
        <v>81</v>
      </c>
      <c r="B28" t="s">
        <v>82</v>
      </c>
      <c r="C28" t="s">
        <v>19</v>
      </c>
      <c r="D28" t="s">
        <v>20</v>
      </c>
      <c r="E28" s="8" t="s">
        <v>26</v>
      </c>
      <c r="F28" s="8">
        <v>20</v>
      </c>
      <c r="G28" s="8">
        <v>20</v>
      </c>
      <c r="H28" s="8">
        <v>19.239999999999998</v>
      </c>
      <c r="I28" s="8">
        <v>20</v>
      </c>
      <c r="J28" s="6">
        <v>0.76739999999999997</v>
      </c>
      <c r="K28" s="4">
        <v>60000</v>
      </c>
      <c r="L28" s="2">
        <v>45762</v>
      </c>
      <c r="M28" t="str">
        <f t="shared" si="0"/>
        <v>Admis</v>
      </c>
      <c r="N28" t="str">
        <f t="shared" si="1"/>
        <v>Non eligible</v>
      </c>
      <c r="O28" t="str">
        <f t="shared" si="2"/>
        <v>RAS</v>
      </c>
      <c r="P28" t="str">
        <f t="shared" si="3"/>
        <v>Hors data</v>
      </c>
      <c r="Q28" t="str" cm="1">
        <f t="array" ref="Q28">_xlfn.IFS(H28&gt;=16,"Excellent",H28&gt;=14,"Très bien",H28&gt;=12,"Bien",H28&gt;=10,"Passable",H28&lt;10,"Insuffisant")</f>
        <v>Excellent</v>
      </c>
    </row>
    <row r="29" spans="1:17">
      <c r="A29" t="s">
        <v>83</v>
      </c>
      <c r="B29" t="s">
        <v>84</v>
      </c>
      <c r="C29" t="s">
        <v>24</v>
      </c>
      <c r="D29" t="s">
        <v>52</v>
      </c>
      <c r="E29" s="8" t="s">
        <v>34</v>
      </c>
      <c r="F29" s="8">
        <v>8.86</v>
      </c>
      <c r="G29" s="8">
        <v>14.37</v>
      </c>
      <c r="H29" s="8">
        <v>11.44</v>
      </c>
      <c r="I29" s="8">
        <v>14.76</v>
      </c>
      <c r="J29" s="6">
        <v>0.81159999999999999</v>
      </c>
      <c r="K29" s="4">
        <v>50000</v>
      </c>
      <c r="L29" s="2">
        <v>45811</v>
      </c>
      <c r="M29" t="str">
        <f t="shared" si="0"/>
        <v>Admis</v>
      </c>
      <c r="N29" t="str">
        <f t="shared" si="1"/>
        <v>Non eligible</v>
      </c>
      <c r="O29" t="str">
        <f t="shared" si="2"/>
        <v>A surveiller</v>
      </c>
      <c r="P29" t="str">
        <f t="shared" si="3"/>
        <v>Hors data</v>
      </c>
      <c r="Q29" t="str" cm="1">
        <f t="array" ref="Q29">_xlfn.IFS(H29&gt;=16,"Excellent",H29&gt;=14,"Très bien",H29&gt;=12,"Bien",H29&gt;=10,"Passable",H29&lt;10,"Insuffisant")</f>
        <v>Passable</v>
      </c>
    </row>
    <row r="30" spans="1:17">
      <c r="A30" t="s">
        <v>85</v>
      </c>
      <c r="B30" t="s">
        <v>58</v>
      </c>
      <c r="C30" t="s">
        <v>24</v>
      </c>
      <c r="D30" t="s">
        <v>20</v>
      </c>
      <c r="E30" s="8" t="s">
        <v>47</v>
      </c>
      <c r="F30" s="8">
        <v>14.37</v>
      </c>
      <c r="G30" s="8">
        <v>14.83</v>
      </c>
      <c r="H30" s="8">
        <v>17</v>
      </c>
      <c r="I30" s="8">
        <v>17.43</v>
      </c>
      <c r="J30" s="6">
        <v>0.97089999999999999</v>
      </c>
      <c r="K30" s="4">
        <v>110000</v>
      </c>
      <c r="L30" s="2">
        <v>46071</v>
      </c>
      <c r="M30" t="str">
        <f t="shared" si="0"/>
        <v>Admis</v>
      </c>
      <c r="N30" t="str">
        <f t="shared" si="1"/>
        <v>Eligible</v>
      </c>
      <c r="O30" t="str">
        <f t="shared" si="2"/>
        <v>RAS</v>
      </c>
      <c r="P30" t="str">
        <f t="shared" si="3"/>
        <v>Hors data</v>
      </c>
      <c r="Q30" t="str" cm="1">
        <f t="array" ref="Q30">_xlfn.IFS(H30&gt;=16,"Excellent",H30&gt;=14,"Très bien",H30&gt;=12,"Bien",H30&gt;=10,"Passable",H30&lt;10,"Insuffisant")</f>
        <v>Excellent</v>
      </c>
    </row>
    <row r="31" spans="1:17">
      <c r="A31" t="s">
        <v>86</v>
      </c>
      <c r="B31" t="s">
        <v>87</v>
      </c>
      <c r="C31" t="s">
        <v>19</v>
      </c>
      <c r="D31" t="s">
        <v>37</v>
      </c>
      <c r="E31" s="8" t="s">
        <v>21</v>
      </c>
      <c r="F31" s="8">
        <v>15.56</v>
      </c>
      <c r="G31" s="8">
        <v>17.899999999999999</v>
      </c>
      <c r="H31" s="8">
        <v>20</v>
      </c>
      <c r="I31" s="8">
        <v>17.23</v>
      </c>
      <c r="J31" s="6">
        <v>0.55000000000000004</v>
      </c>
      <c r="K31" s="4">
        <v>80000</v>
      </c>
      <c r="L31" s="2">
        <v>46103</v>
      </c>
      <c r="M31" t="str">
        <f t="shared" si="0"/>
        <v>Admis</v>
      </c>
      <c r="N31" t="str">
        <f t="shared" si="1"/>
        <v>Non eligible</v>
      </c>
      <c r="O31" t="str">
        <f t="shared" si="2"/>
        <v>RAS</v>
      </c>
      <c r="P31" t="str">
        <f t="shared" si="3"/>
        <v>Data</v>
      </c>
      <c r="Q31" t="str" cm="1">
        <f t="array" ref="Q31">_xlfn.IFS(H31&gt;=16,"Excellent",H31&gt;=14,"Très bien",H31&gt;=12,"Bien",H31&gt;=10,"Passable",H31&lt;10,"Insuffisant")</f>
        <v>Excellent</v>
      </c>
    </row>
    <row r="32" spans="1:17">
      <c r="A32" t="s">
        <v>88</v>
      </c>
      <c r="B32" t="s">
        <v>89</v>
      </c>
      <c r="C32" t="s">
        <v>19</v>
      </c>
      <c r="D32" t="s">
        <v>40</v>
      </c>
      <c r="E32" s="8" t="s">
        <v>26</v>
      </c>
      <c r="F32" s="8">
        <v>12.24</v>
      </c>
      <c r="G32" s="8">
        <v>16.73</v>
      </c>
      <c r="H32" s="8">
        <v>9.0399999999999991</v>
      </c>
      <c r="I32" s="8">
        <v>17.5</v>
      </c>
      <c r="J32" s="6">
        <v>0.98560000000000003</v>
      </c>
      <c r="K32" s="4">
        <v>85000</v>
      </c>
      <c r="L32" s="2">
        <v>45540</v>
      </c>
      <c r="M32" t="str">
        <f t="shared" si="0"/>
        <v>Non admis</v>
      </c>
      <c r="N32" t="str">
        <f t="shared" si="1"/>
        <v>Non eligible</v>
      </c>
      <c r="O32" t="str">
        <f t="shared" si="2"/>
        <v>A surveiller</v>
      </c>
      <c r="P32" t="str">
        <f t="shared" si="3"/>
        <v>Hors data</v>
      </c>
      <c r="Q32" t="str" cm="1">
        <f t="array" ref="Q32">_xlfn.IFS(H32&gt;=16,"Excellent",H32&gt;=14,"Très bien",H32&gt;=12,"Bien",H32&gt;=10,"Passable",H32&lt;10,"Insuffisant")</f>
        <v>Insuffisant</v>
      </c>
    </row>
    <row r="33" spans="1:17">
      <c r="A33" t="s">
        <v>90</v>
      </c>
      <c r="B33" t="s">
        <v>91</v>
      </c>
      <c r="C33" t="s">
        <v>19</v>
      </c>
      <c r="D33" t="s">
        <v>40</v>
      </c>
      <c r="E33" s="8" t="s">
        <v>21</v>
      </c>
      <c r="F33" s="8">
        <v>19.11</v>
      </c>
      <c r="G33" s="8">
        <v>12.44</v>
      </c>
      <c r="H33" s="8">
        <v>15.6</v>
      </c>
      <c r="I33" s="8">
        <v>17.84</v>
      </c>
      <c r="J33" s="6">
        <v>0.93830000000000002</v>
      </c>
      <c r="K33" s="4">
        <v>75000</v>
      </c>
      <c r="L33" s="2">
        <v>45800</v>
      </c>
      <c r="M33" t="str">
        <f t="shared" si="0"/>
        <v>Admis</v>
      </c>
      <c r="N33" t="str">
        <f t="shared" si="1"/>
        <v>Eligible</v>
      </c>
      <c r="O33" t="str">
        <f t="shared" si="2"/>
        <v>RAS</v>
      </c>
      <c r="P33" t="str">
        <f t="shared" si="3"/>
        <v>Data</v>
      </c>
      <c r="Q33" t="str" cm="1">
        <f t="array" ref="Q33">_xlfn.IFS(H33&gt;=16,"Excellent",H33&gt;=14,"Très bien",H33&gt;=12,"Bien",H33&gt;=10,"Passable",H33&lt;10,"Insuffisant")</f>
        <v>Très bien</v>
      </c>
    </row>
    <row r="34" spans="1:17">
      <c r="A34" t="s">
        <v>92</v>
      </c>
      <c r="B34" t="s">
        <v>93</v>
      </c>
      <c r="C34" t="s">
        <v>19</v>
      </c>
      <c r="D34" t="s">
        <v>52</v>
      </c>
      <c r="E34" s="8" t="s">
        <v>34</v>
      </c>
      <c r="F34" s="8">
        <v>15.66</v>
      </c>
      <c r="G34" s="8">
        <v>16.04</v>
      </c>
      <c r="H34" s="8">
        <v>12.03</v>
      </c>
      <c r="I34" s="8">
        <v>17.8</v>
      </c>
      <c r="J34" s="6">
        <v>0.79310000000000003</v>
      </c>
      <c r="K34" s="4">
        <v>75000</v>
      </c>
      <c r="L34" s="2">
        <v>46128</v>
      </c>
      <c r="M34" t="str">
        <f t="shared" si="0"/>
        <v>Admis</v>
      </c>
      <c r="N34" t="str">
        <f t="shared" si="1"/>
        <v>Non eligible</v>
      </c>
      <c r="O34" t="str">
        <f t="shared" si="2"/>
        <v>RAS</v>
      </c>
      <c r="P34" t="str">
        <f t="shared" si="3"/>
        <v>Hors data</v>
      </c>
      <c r="Q34" t="str" cm="1">
        <f t="array" ref="Q34">_xlfn.IFS(H34&gt;=16,"Excellent",H34&gt;=14,"Très bien",H34&gt;=12,"Bien",H34&gt;=10,"Passable",H34&lt;10,"Insuffisant")</f>
        <v>Bien</v>
      </c>
    </row>
    <row r="35" spans="1:17">
      <c r="A35" t="s">
        <v>94</v>
      </c>
      <c r="B35" t="s">
        <v>95</v>
      </c>
      <c r="C35" t="s">
        <v>24</v>
      </c>
      <c r="D35" t="s">
        <v>33</v>
      </c>
      <c r="E35" s="8" t="s">
        <v>26</v>
      </c>
      <c r="F35" s="8">
        <v>12.44</v>
      </c>
      <c r="G35" s="8">
        <v>9.73</v>
      </c>
      <c r="H35" s="8">
        <v>14.47</v>
      </c>
      <c r="I35" s="8">
        <v>14.79</v>
      </c>
      <c r="J35" s="6">
        <v>0.85240000000000005</v>
      </c>
      <c r="K35" s="4">
        <v>130000</v>
      </c>
      <c r="L35" s="2">
        <v>45907</v>
      </c>
      <c r="M35" t="str">
        <f t="shared" si="0"/>
        <v>Admis</v>
      </c>
      <c r="N35" t="str">
        <f t="shared" si="1"/>
        <v>Eligible</v>
      </c>
      <c r="O35" t="str">
        <f t="shared" si="2"/>
        <v>RAS</v>
      </c>
      <c r="P35" t="str">
        <f t="shared" si="3"/>
        <v>Hors data</v>
      </c>
      <c r="Q35" t="str" cm="1">
        <f t="array" ref="Q35">_xlfn.IFS(H35&gt;=16,"Excellent",H35&gt;=14,"Très bien",H35&gt;=12,"Bien",H35&gt;=10,"Passable",H35&lt;10,"Insuffisant")</f>
        <v>Très bien</v>
      </c>
    </row>
    <row r="36" spans="1:17">
      <c r="A36" t="s">
        <v>96</v>
      </c>
      <c r="B36" t="s">
        <v>97</v>
      </c>
      <c r="C36" t="s">
        <v>24</v>
      </c>
      <c r="D36" t="s">
        <v>33</v>
      </c>
      <c r="E36" s="8" t="s">
        <v>26</v>
      </c>
      <c r="F36" s="8">
        <v>11.52</v>
      </c>
      <c r="G36" s="8">
        <v>14.33</v>
      </c>
      <c r="H36" s="8">
        <v>11.2</v>
      </c>
      <c r="I36" s="8">
        <v>10.91</v>
      </c>
      <c r="J36" s="6">
        <v>0.75270000000000004</v>
      </c>
      <c r="K36" s="4">
        <v>110000</v>
      </c>
      <c r="L36" s="2">
        <v>45679</v>
      </c>
      <c r="M36" t="str">
        <f t="shared" si="0"/>
        <v>Admis</v>
      </c>
      <c r="N36" t="str">
        <f t="shared" si="1"/>
        <v>Non eligible</v>
      </c>
      <c r="O36" t="str">
        <f t="shared" si="2"/>
        <v>RAS</v>
      </c>
      <c r="P36" t="str">
        <f t="shared" si="3"/>
        <v>Hors data</v>
      </c>
      <c r="Q36" t="str" cm="1">
        <f t="array" ref="Q36">_xlfn.IFS(H36&gt;=16,"Excellent",H36&gt;=14,"Très bien",H36&gt;=12,"Bien",H36&gt;=10,"Passable",H36&lt;10,"Insuffisant")</f>
        <v>Passable</v>
      </c>
    </row>
    <row r="37" spans="1:17">
      <c r="A37" t="s">
        <v>98</v>
      </c>
      <c r="B37" t="s">
        <v>99</v>
      </c>
      <c r="C37" t="s">
        <v>19</v>
      </c>
      <c r="D37" t="s">
        <v>20</v>
      </c>
      <c r="E37" s="8" t="s">
        <v>34</v>
      </c>
      <c r="F37" s="8">
        <v>7.93</v>
      </c>
      <c r="G37" s="8">
        <v>17.28</v>
      </c>
      <c r="H37" s="8">
        <v>12.82</v>
      </c>
      <c r="I37" s="8">
        <v>12.15</v>
      </c>
      <c r="J37" s="6">
        <v>0.7046</v>
      </c>
      <c r="K37" s="4">
        <v>100000</v>
      </c>
      <c r="L37" s="2">
        <v>45951</v>
      </c>
      <c r="M37" t="str">
        <f t="shared" si="0"/>
        <v>Admis</v>
      </c>
      <c r="N37" t="str">
        <f t="shared" si="1"/>
        <v>Non eligible</v>
      </c>
      <c r="O37" t="str">
        <f t="shared" si="2"/>
        <v>A surveiller</v>
      </c>
      <c r="P37" t="str">
        <f t="shared" si="3"/>
        <v>Hors data</v>
      </c>
      <c r="Q37" t="str" cm="1">
        <f t="array" ref="Q37">_xlfn.IFS(H37&gt;=16,"Excellent",H37&gt;=14,"Très bien",H37&gt;=12,"Bien",H37&gt;=10,"Passable",H37&lt;10,"Insuffisant")</f>
        <v>Bien</v>
      </c>
    </row>
    <row r="38" spans="1:17">
      <c r="A38" t="s">
        <v>100</v>
      </c>
      <c r="B38" t="s">
        <v>101</v>
      </c>
      <c r="C38" t="s">
        <v>24</v>
      </c>
      <c r="D38" t="s">
        <v>20</v>
      </c>
      <c r="E38" s="8" t="s">
        <v>34</v>
      </c>
      <c r="F38" s="8">
        <v>13.6</v>
      </c>
      <c r="G38" s="8">
        <v>15.85</v>
      </c>
      <c r="H38" s="8">
        <v>13.47</v>
      </c>
      <c r="I38" s="8">
        <v>14.43</v>
      </c>
      <c r="J38" s="6">
        <v>0.92279999999999995</v>
      </c>
      <c r="K38" s="4">
        <v>80000</v>
      </c>
      <c r="L38" s="2">
        <v>45637</v>
      </c>
      <c r="M38" t="str">
        <f t="shared" si="0"/>
        <v>Admis</v>
      </c>
      <c r="N38" t="str">
        <f t="shared" si="1"/>
        <v>Eligible</v>
      </c>
      <c r="O38" t="str">
        <f t="shared" si="2"/>
        <v>RAS</v>
      </c>
      <c r="P38" t="str">
        <f t="shared" si="3"/>
        <v>Hors data</v>
      </c>
      <c r="Q38" t="str" cm="1">
        <f t="array" ref="Q38">_xlfn.IFS(H38&gt;=16,"Excellent",H38&gt;=14,"Très bien",H38&gt;=12,"Bien",H38&gt;=10,"Passable",H38&lt;10,"Insuffisant")</f>
        <v>Bien</v>
      </c>
    </row>
    <row r="39" spans="1:17">
      <c r="A39" t="s">
        <v>102</v>
      </c>
      <c r="B39" t="s">
        <v>103</v>
      </c>
      <c r="C39" t="s">
        <v>24</v>
      </c>
      <c r="D39" t="s">
        <v>25</v>
      </c>
      <c r="E39" s="8" t="s">
        <v>21</v>
      </c>
      <c r="F39" s="8">
        <v>15.67</v>
      </c>
      <c r="G39" s="8">
        <v>9.23</v>
      </c>
      <c r="H39" s="8">
        <v>15.43</v>
      </c>
      <c r="I39" s="8">
        <v>14.78</v>
      </c>
      <c r="J39" s="6">
        <v>0.82920000000000005</v>
      </c>
      <c r="K39" s="4">
        <v>100000</v>
      </c>
      <c r="L39" s="2">
        <v>45551</v>
      </c>
      <c r="M39" t="str">
        <f t="shared" si="0"/>
        <v>Admis</v>
      </c>
      <c r="N39" t="str">
        <f t="shared" si="1"/>
        <v>Eligible</v>
      </c>
      <c r="O39" t="str">
        <f t="shared" si="2"/>
        <v>RAS</v>
      </c>
      <c r="P39" t="str">
        <f t="shared" si="3"/>
        <v>Data</v>
      </c>
      <c r="Q39" t="str" cm="1">
        <f t="array" ref="Q39">_xlfn.IFS(H39&gt;=16,"Excellent",H39&gt;=14,"Très bien",H39&gt;=12,"Bien",H39&gt;=10,"Passable",H39&lt;10,"Insuffisant")</f>
        <v>Très bien</v>
      </c>
    </row>
    <row r="40" spans="1:17">
      <c r="A40" t="s">
        <v>104</v>
      </c>
      <c r="B40" t="s">
        <v>105</v>
      </c>
      <c r="C40" t="s">
        <v>19</v>
      </c>
      <c r="D40" t="s">
        <v>20</v>
      </c>
      <c r="E40" s="8" t="s">
        <v>26</v>
      </c>
      <c r="F40" s="8">
        <v>13.07</v>
      </c>
      <c r="G40" s="8">
        <v>16.190000000000001</v>
      </c>
      <c r="H40" s="8">
        <v>11.47</v>
      </c>
      <c r="I40" s="8">
        <v>12.77</v>
      </c>
      <c r="J40" s="6">
        <v>0.92720000000000002</v>
      </c>
      <c r="K40" s="4">
        <v>75000</v>
      </c>
      <c r="L40" s="2">
        <v>45978</v>
      </c>
      <c r="M40" t="str">
        <f t="shared" si="0"/>
        <v>Admis</v>
      </c>
      <c r="N40" t="str">
        <f t="shared" si="1"/>
        <v>Non eligible</v>
      </c>
      <c r="O40" t="str">
        <f t="shared" si="2"/>
        <v>RAS</v>
      </c>
      <c r="P40" t="str">
        <f t="shared" si="3"/>
        <v>Hors data</v>
      </c>
      <c r="Q40" t="str" cm="1">
        <f t="array" ref="Q40">_xlfn.IFS(H40&gt;=16,"Excellent",H40&gt;=14,"Très bien",H40&gt;=12,"Bien",H40&gt;=10,"Passable",H40&lt;10,"Insuffisant")</f>
        <v>Passable</v>
      </c>
    </row>
    <row r="41" spans="1:17">
      <c r="A41" t="s">
        <v>106</v>
      </c>
      <c r="B41" t="s">
        <v>76</v>
      </c>
      <c r="C41" t="s">
        <v>24</v>
      </c>
      <c r="D41" t="s">
        <v>52</v>
      </c>
      <c r="E41" s="8" t="s">
        <v>21</v>
      </c>
      <c r="F41" s="8">
        <v>13.55</v>
      </c>
      <c r="G41" s="8">
        <v>13.79</v>
      </c>
      <c r="H41" s="8">
        <v>18.309999999999999</v>
      </c>
      <c r="I41" s="8">
        <v>14.86</v>
      </c>
      <c r="J41" s="6">
        <v>0.95599999999999996</v>
      </c>
      <c r="K41" s="4">
        <v>85000</v>
      </c>
      <c r="L41" s="2">
        <v>45896</v>
      </c>
      <c r="M41" t="str">
        <f t="shared" si="0"/>
        <v>Admis</v>
      </c>
      <c r="N41" t="str">
        <f t="shared" si="1"/>
        <v>Eligible</v>
      </c>
      <c r="O41" t="str">
        <f t="shared" si="2"/>
        <v>RAS</v>
      </c>
      <c r="P41" t="str">
        <f t="shared" si="3"/>
        <v>Data</v>
      </c>
      <c r="Q41" t="str" cm="1">
        <f t="array" ref="Q41">_xlfn.IFS(H41&gt;=16,"Excellent",H41&gt;=14,"Très bien",H41&gt;=12,"Bien",H41&gt;=10,"Passable",H41&lt;10,"Insuffisant")</f>
        <v>Excellent</v>
      </c>
    </row>
    <row r="42" spans="1:17">
      <c r="A42" t="s">
        <v>107</v>
      </c>
      <c r="B42" t="s">
        <v>108</v>
      </c>
      <c r="C42" t="s">
        <v>19</v>
      </c>
      <c r="D42" t="s">
        <v>20</v>
      </c>
      <c r="E42" s="8" t="s">
        <v>21</v>
      </c>
      <c r="F42" s="8">
        <v>15.33</v>
      </c>
      <c r="G42" s="8">
        <v>11.39</v>
      </c>
      <c r="H42" s="8">
        <v>11.75</v>
      </c>
      <c r="I42" s="8">
        <v>7.17</v>
      </c>
      <c r="J42" s="6">
        <v>0.77600000000000002</v>
      </c>
      <c r="K42" s="4">
        <v>60000</v>
      </c>
      <c r="L42" s="2">
        <v>46065</v>
      </c>
      <c r="M42" t="str">
        <f t="shared" si="0"/>
        <v>Admis</v>
      </c>
      <c r="N42" t="str">
        <f t="shared" si="1"/>
        <v>Non eligible</v>
      </c>
      <c r="O42" t="str">
        <f t="shared" si="2"/>
        <v>RAS</v>
      </c>
      <c r="P42" t="str">
        <f t="shared" si="3"/>
        <v>Data</v>
      </c>
      <c r="Q42" t="str" cm="1">
        <f t="array" ref="Q42">_xlfn.IFS(H42&gt;=16,"Excellent",H42&gt;=14,"Très bien",H42&gt;=12,"Bien",H42&gt;=10,"Passable",H42&lt;10,"Insuffisant")</f>
        <v>Passable</v>
      </c>
    </row>
    <row r="43" spans="1:17">
      <c r="A43" t="s">
        <v>109</v>
      </c>
      <c r="B43" t="s">
        <v>110</v>
      </c>
      <c r="C43" t="s">
        <v>24</v>
      </c>
      <c r="D43" t="s">
        <v>37</v>
      </c>
      <c r="E43" s="8" t="s">
        <v>34</v>
      </c>
      <c r="F43" s="8">
        <v>18.57</v>
      </c>
      <c r="G43" s="8">
        <v>17.399999999999999</v>
      </c>
      <c r="H43" s="8">
        <v>12.73</v>
      </c>
      <c r="I43" s="8">
        <v>19.309999999999999</v>
      </c>
      <c r="J43" s="6">
        <v>0.90200000000000002</v>
      </c>
      <c r="K43" s="4">
        <v>100000</v>
      </c>
      <c r="L43" s="2">
        <v>45777</v>
      </c>
      <c r="M43" t="str">
        <f t="shared" si="0"/>
        <v>Admis</v>
      </c>
      <c r="N43" t="str">
        <f t="shared" si="1"/>
        <v>Eligible</v>
      </c>
      <c r="O43" t="str">
        <f t="shared" si="2"/>
        <v>RAS</v>
      </c>
      <c r="P43" t="str">
        <f t="shared" si="3"/>
        <v>Hors data</v>
      </c>
      <c r="Q43" t="str" cm="1">
        <f t="array" ref="Q43">_xlfn.IFS(H43&gt;=16,"Excellent",H43&gt;=14,"Très bien",H43&gt;=12,"Bien",H43&gt;=10,"Passable",H43&lt;10,"Insuffisant")</f>
        <v>Bien</v>
      </c>
    </row>
    <row r="44" spans="1:17">
      <c r="A44" t="s">
        <v>111</v>
      </c>
      <c r="B44" t="s">
        <v>112</v>
      </c>
      <c r="C44" t="s">
        <v>24</v>
      </c>
      <c r="D44" t="s">
        <v>20</v>
      </c>
      <c r="E44" s="8" t="s">
        <v>21</v>
      </c>
      <c r="F44" s="8">
        <v>15.7</v>
      </c>
      <c r="G44" s="8">
        <v>15.52</v>
      </c>
      <c r="H44" s="8">
        <v>18.27</v>
      </c>
      <c r="I44" s="8">
        <v>13.98</v>
      </c>
      <c r="J44" s="6">
        <v>0.94040000000000001</v>
      </c>
      <c r="K44" s="4">
        <v>50000</v>
      </c>
      <c r="L44" s="2">
        <v>46133</v>
      </c>
      <c r="M44" t="str">
        <f t="shared" si="0"/>
        <v>Admis</v>
      </c>
      <c r="N44" t="str">
        <f t="shared" si="1"/>
        <v>Eligible</v>
      </c>
      <c r="O44" t="str">
        <f t="shared" si="2"/>
        <v>RAS</v>
      </c>
      <c r="P44" t="str">
        <f t="shared" si="3"/>
        <v>Data</v>
      </c>
      <c r="Q44" t="str" cm="1">
        <f t="array" ref="Q44">_xlfn.IFS(H44&gt;=16,"Excellent",H44&gt;=14,"Très bien",H44&gt;=12,"Bien",H44&gt;=10,"Passable",H44&lt;10,"Insuffisant")</f>
        <v>Excellent</v>
      </c>
    </row>
    <row r="45" spans="1:17">
      <c r="A45" t="s">
        <v>113</v>
      </c>
      <c r="B45" t="s">
        <v>114</v>
      </c>
      <c r="C45" t="s">
        <v>19</v>
      </c>
      <c r="D45" t="s">
        <v>37</v>
      </c>
      <c r="E45" s="8" t="s">
        <v>21</v>
      </c>
      <c r="F45" s="8">
        <v>9.0399999999999991</v>
      </c>
      <c r="G45" s="8">
        <v>9.3699999999999992</v>
      </c>
      <c r="H45" s="8">
        <v>10.09</v>
      </c>
      <c r="I45" s="8">
        <v>10.94</v>
      </c>
      <c r="J45" s="6">
        <v>0.86899999999999999</v>
      </c>
      <c r="K45" s="4">
        <v>100000</v>
      </c>
      <c r="L45" s="2">
        <v>45830</v>
      </c>
      <c r="M45" t="str">
        <f t="shared" si="0"/>
        <v>Admis</v>
      </c>
      <c r="N45" t="str">
        <f t="shared" si="1"/>
        <v>Non eligible</v>
      </c>
      <c r="O45" t="str">
        <f t="shared" si="2"/>
        <v>A surveiller</v>
      </c>
      <c r="P45" t="str">
        <f t="shared" si="3"/>
        <v>Data</v>
      </c>
      <c r="Q45" t="str" cm="1">
        <f t="array" ref="Q45">_xlfn.IFS(H45&gt;=16,"Excellent",H45&gt;=14,"Très bien",H45&gt;=12,"Bien",H45&gt;=10,"Passable",H45&lt;10,"Insuffisant")</f>
        <v>Passable</v>
      </c>
    </row>
    <row r="46" spans="1:17">
      <c r="A46" t="s">
        <v>115</v>
      </c>
      <c r="B46" t="s">
        <v>116</v>
      </c>
      <c r="C46" t="s">
        <v>19</v>
      </c>
      <c r="D46" t="s">
        <v>52</v>
      </c>
      <c r="E46" s="8" t="s">
        <v>47</v>
      </c>
      <c r="F46" s="8">
        <v>17.010000000000002</v>
      </c>
      <c r="G46" s="8">
        <v>16.510000000000002</v>
      </c>
      <c r="H46" s="8">
        <v>20</v>
      </c>
      <c r="I46" s="8">
        <v>20</v>
      </c>
      <c r="J46" s="6">
        <v>0.91449999999999998</v>
      </c>
      <c r="K46" s="4">
        <v>90000</v>
      </c>
      <c r="L46" s="2">
        <v>46052</v>
      </c>
      <c r="M46" t="str">
        <f t="shared" si="0"/>
        <v>Admis</v>
      </c>
      <c r="N46" t="str">
        <f t="shared" si="1"/>
        <v>Eligible</v>
      </c>
      <c r="O46" t="str">
        <f t="shared" si="2"/>
        <v>RAS</v>
      </c>
      <c r="P46" t="str">
        <f t="shared" si="3"/>
        <v>Hors data</v>
      </c>
      <c r="Q46" t="str" cm="1">
        <f t="array" ref="Q46">_xlfn.IFS(H46&gt;=16,"Excellent",H46&gt;=14,"Très bien",H46&gt;=12,"Bien",H46&gt;=10,"Passable",H46&lt;10,"Insuffisant")</f>
        <v>Excellent</v>
      </c>
    </row>
    <row r="47" spans="1:17">
      <c r="A47" t="s">
        <v>117</v>
      </c>
      <c r="B47" t="s">
        <v>118</v>
      </c>
      <c r="C47" t="s">
        <v>24</v>
      </c>
      <c r="D47" t="s">
        <v>40</v>
      </c>
      <c r="E47" s="8" t="s">
        <v>47</v>
      </c>
      <c r="F47" s="8">
        <v>10.33</v>
      </c>
      <c r="G47" s="8">
        <v>12.77</v>
      </c>
      <c r="H47" s="8">
        <v>14.98</v>
      </c>
      <c r="I47" s="8">
        <v>12.66</v>
      </c>
      <c r="J47" s="6">
        <v>0.98260000000000003</v>
      </c>
      <c r="K47" s="4">
        <v>50000</v>
      </c>
      <c r="L47" s="2">
        <v>45606</v>
      </c>
      <c r="M47" t="str">
        <f t="shared" si="0"/>
        <v>Admis</v>
      </c>
      <c r="N47" t="str">
        <f t="shared" si="1"/>
        <v>Non eligible</v>
      </c>
      <c r="O47" t="str">
        <f t="shared" si="2"/>
        <v>RAS</v>
      </c>
      <c r="P47" t="str">
        <f t="shared" si="3"/>
        <v>Hors data</v>
      </c>
      <c r="Q47" t="str" cm="1">
        <f t="array" ref="Q47">_xlfn.IFS(H47&gt;=16,"Excellent",H47&gt;=14,"Très bien",H47&gt;=12,"Bien",H47&gt;=10,"Passable",H47&lt;10,"Insuffisant")</f>
        <v>Très bien</v>
      </c>
    </row>
    <row r="48" spans="1:17">
      <c r="A48" t="s">
        <v>119</v>
      </c>
      <c r="B48" t="s">
        <v>120</v>
      </c>
      <c r="C48" t="s">
        <v>19</v>
      </c>
      <c r="D48" t="s">
        <v>52</v>
      </c>
      <c r="E48" s="8" t="s">
        <v>34</v>
      </c>
      <c r="F48" s="8">
        <v>6.68</v>
      </c>
      <c r="G48" s="8">
        <v>8.36</v>
      </c>
      <c r="H48" s="8">
        <v>7.31</v>
      </c>
      <c r="I48" s="8">
        <v>11.94</v>
      </c>
      <c r="J48" s="6">
        <v>0.94130000000000003</v>
      </c>
      <c r="K48" s="4">
        <v>85000</v>
      </c>
      <c r="L48" s="2">
        <v>45604</v>
      </c>
      <c r="M48" t="str">
        <f t="shared" si="0"/>
        <v>Non admis</v>
      </c>
      <c r="N48" t="str">
        <f t="shared" si="1"/>
        <v>Non eligible</v>
      </c>
      <c r="O48" t="str">
        <f t="shared" si="2"/>
        <v>A surveiller</v>
      </c>
      <c r="P48" t="str">
        <f t="shared" si="3"/>
        <v>Hors data</v>
      </c>
      <c r="Q48" t="str" cm="1">
        <f t="array" ref="Q48">_xlfn.IFS(H48&gt;=16,"Excellent",H48&gt;=14,"Très bien",H48&gt;=12,"Bien",H48&gt;=10,"Passable",H48&lt;10,"Insuffisant")</f>
        <v>Insuffisant</v>
      </c>
    </row>
    <row r="49" spans="1:17">
      <c r="A49" t="s">
        <v>121</v>
      </c>
      <c r="B49" t="s">
        <v>122</v>
      </c>
      <c r="C49" t="s">
        <v>24</v>
      </c>
      <c r="D49" t="s">
        <v>25</v>
      </c>
      <c r="E49" s="8" t="s">
        <v>26</v>
      </c>
      <c r="F49" s="8">
        <v>8.2799999999999994</v>
      </c>
      <c r="G49" s="8">
        <v>8.5299999999999994</v>
      </c>
      <c r="H49" s="8">
        <v>10.59</v>
      </c>
      <c r="I49" s="8">
        <v>7.74</v>
      </c>
      <c r="J49" s="6">
        <v>0.93630000000000002</v>
      </c>
      <c r="K49" s="4">
        <v>70000</v>
      </c>
      <c r="L49" s="2">
        <v>46083</v>
      </c>
      <c r="M49" t="str">
        <f t="shared" si="0"/>
        <v>Admis</v>
      </c>
      <c r="N49" t="str">
        <f t="shared" si="1"/>
        <v>Non eligible</v>
      </c>
      <c r="O49" t="str">
        <f t="shared" si="2"/>
        <v>A surveiller</v>
      </c>
      <c r="P49" t="str">
        <f t="shared" si="3"/>
        <v>Hors data</v>
      </c>
      <c r="Q49" t="str" cm="1">
        <f t="array" ref="Q49">_xlfn.IFS(H49&gt;=16,"Excellent",H49&gt;=14,"Très bien",H49&gt;=12,"Bien",H49&gt;=10,"Passable",H49&lt;10,"Insuffisant")</f>
        <v>Passable</v>
      </c>
    </row>
    <row r="50" spans="1:17">
      <c r="A50" t="s">
        <v>123</v>
      </c>
      <c r="B50" t="s">
        <v>124</v>
      </c>
      <c r="C50" t="s">
        <v>24</v>
      </c>
      <c r="D50" t="s">
        <v>25</v>
      </c>
      <c r="E50" s="8" t="s">
        <v>47</v>
      </c>
      <c r="F50" s="8">
        <v>9.2799999999999994</v>
      </c>
      <c r="G50" s="8">
        <v>10.31</v>
      </c>
      <c r="H50" s="8">
        <v>11.11</v>
      </c>
      <c r="I50" s="8">
        <v>15.82</v>
      </c>
      <c r="J50" s="6">
        <v>0.92930000000000001</v>
      </c>
      <c r="K50" s="4">
        <v>85000</v>
      </c>
      <c r="L50" s="2">
        <v>46119</v>
      </c>
      <c r="M50" t="str">
        <f t="shared" si="0"/>
        <v>Admis</v>
      </c>
      <c r="N50" t="str">
        <f t="shared" si="1"/>
        <v>Non eligible</v>
      </c>
      <c r="O50" t="str">
        <f t="shared" si="2"/>
        <v>A surveiller</v>
      </c>
      <c r="P50" t="str">
        <f t="shared" si="3"/>
        <v>Hors data</v>
      </c>
      <c r="Q50" t="str" cm="1">
        <f t="array" ref="Q50">_xlfn.IFS(H50&gt;=16,"Excellent",H50&gt;=14,"Très bien",H50&gt;=12,"Bien",H50&gt;=10,"Passable",H50&lt;10,"Insuffisant")</f>
        <v>Passable</v>
      </c>
    </row>
    <row r="51" spans="1:17">
      <c r="A51" t="s">
        <v>125</v>
      </c>
      <c r="B51" t="s">
        <v>126</v>
      </c>
      <c r="C51" t="s">
        <v>24</v>
      </c>
      <c r="D51" t="s">
        <v>33</v>
      </c>
      <c r="E51" s="8" t="s">
        <v>21</v>
      </c>
      <c r="F51" s="8">
        <v>11.37</v>
      </c>
      <c r="G51" s="8">
        <v>14.79</v>
      </c>
      <c r="H51" s="8">
        <v>17.2</v>
      </c>
      <c r="I51" s="8">
        <v>15.94</v>
      </c>
      <c r="J51" s="6">
        <v>0.77490000000000003</v>
      </c>
      <c r="K51" s="4">
        <v>50000</v>
      </c>
      <c r="L51" s="2">
        <v>46195</v>
      </c>
      <c r="M51" t="str">
        <f t="shared" si="0"/>
        <v>Admis</v>
      </c>
      <c r="N51" t="str">
        <f t="shared" si="1"/>
        <v>Non eligible</v>
      </c>
      <c r="O51" t="str">
        <f t="shared" si="2"/>
        <v>RAS</v>
      </c>
      <c r="P51" t="str">
        <f t="shared" si="3"/>
        <v>Data</v>
      </c>
      <c r="Q51" t="str" cm="1">
        <f t="array" ref="Q51">_xlfn.IFS(H51&gt;=16,"Excellent",H51&gt;=14,"Très bien",H51&gt;=12,"Bien",H51&gt;=10,"Passable",H51&lt;10,"Insuffisant")</f>
        <v>Excellent</v>
      </c>
    </row>
    <row r="52" spans="1:17">
      <c r="A52" t="s">
        <v>127</v>
      </c>
      <c r="B52" t="s">
        <v>128</v>
      </c>
      <c r="C52" t="s">
        <v>24</v>
      </c>
      <c r="D52" t="s">
        <v>40</v>
      </c>
      <c r="E52" s="8" t="s">
        <v>47</v>
      </c>
      <c r="F52" s="8">
        <v>9.2899999999999991</v>
      </c>
      <c r="G52" s="8">
        <v>12.74</v>
      </c>
      <c r="H52" s="8">
        <v>13.9</v>
      </c>
      <c r="I52" s="8">
        <v>13.09</v>
      </c>
      <c r="J52" s="6">
        <v>0.95179999999999998</v>
      </c>
      <c r="K52" s="4">
        <v>100000</v>
      </c>
      <c r="L52" s="2">
        <v>45763</v>
      </c>
      <c r="M52" t="str">
        <f t="shared" si="0"/>
        <v>Admis</v>
      </c>
      <c r="N52" t="str">
        <f t="shared" si="1"/>
        <v>Non eligible</v>
      </c>
      <c r="O52" t="str">
        <f t="shared" si="2"/>
        <v>A surveiller</v>
      </c>
      <c r="P52" t="str">
        <f t="shared" si="3"/>
        <v>Hors data</v>
      </c>
      <c r="Q52" t="str" cm="1">
        <f t="array" ref="Q52">_xlfn.IFS(H52&gt;=16,"Excellent",H52&gt;=14,"Très bien",H52&gt;=12,"Bien",H52&gt;=10,"Passable",H52&lt;10,"Insuffisant")</f>
        <v>Bien</v>
      </c>
    </row>
    <row r="53" spans="1:17">
      <c r="A53" t="s">
        <v>129</v>
      </c>
      <c r="B53" t="s">
        <v>130</v>
      </c>
      <c r="C53" t="s">
        <v>19</v>
      </c>
      <c r="D53" t="s">
        <v>52</v>
      </c>
      <c r="E53" s="8" t="s">
        <v>47</v>
      </c>
      <c r="F53" s="8">
        <v>13.04</v>
      </c>
      <c r="G53" s="8">
        <v>9.85</v>
      </c>
      <c r="H53" s="8">
        <v>13.14</v>
      </c>
      <c r="I53" s="8">
        <v>15.59</v>
      </c>
      <c r="J53" s="6">
        <v>0.9385</v>
      </c>
      <c r="K53" s="4">
        <v>85000</v>
      </c>
      <c r="L53" s="2">
        <v>45551</v>
      </c>
      <c r="M53" t="str">
        <f t="shared" si="0"/>
        <v>Admis</v>
      </c>
      <c r="N53" t="str">
        <f t="shared" si="1"/>
        <v>Eligible</v>
      </c>
      <c r="O53" t="str">
        <f t="shared" si="2"/>
        <v>RAS</v>
      </c>
      <c r="P53" t="str">
        <f t="shared" si="3"/>
        <v>Hors data</v>
      </c>
      <c r="Q53" t="str" cm="1">
        <f t="array" ref="Q53">_xlfn.IFS(H53&gt;=16,"Excellent",H53&gt;=14,"Très bien",H53&gt;=12,"Bien",H53&gt;=10,"Passable",H53&lt;10,"Insuffisant")</f>
        <v>Bien</v>
      </c>
    </row>
    <row r="54" spans="1:17">
      <c r="A54" t="s">
        <v>131</v>
      </c>
      <c r="B54" t="s">
        <v>132</v>
      </c>
      <c r="C54" t="s">
        <v>19</v>
      </c>
      <c r="D54" t="s">
        <v>37</v>
      </c>
      <c r="E54" s="8" t="s">
        <v>26</v>
      </c>
      <c r="F54" s="8">
        <v>15.75</v>
      </c>
      <c r="G54" s="8">
        <v>17.809999999999999</v>
      </c>
      <c r="H54" s="8">
        <v>15</v>
      </c>
      <c r="I54" s="8">
        <v>12.56</v>
      </c>
      <c r="J54" s="6">
        <v>0.92410000000000003</v>
      </c>
      <c r="K54" s="4">
        <v>75000</v>
      </c>
      <c r="L54" s="2">
        <v>46221</v>
      </c>
      <c r="M54" t="str">
        <f t="shared" si="0"/>
        <v>Admis</v>
      </c>
      <c r="N54" t="str">
        <f t="shared" si="1"/>
        <v>Eligible</v>
      </c>
      <c r="O54" t="str">
        <f t="shared" si="2"/>
        <v>RAS</v>
      </c>
      <c r="P54" t="str">
        <f t="shared" si="3"/>
        <v>Hors data</v>
      </c>
      <c r="Q54" t="str" cm="1">
        <f t="array" ref="Q54">_xlfn.IFS(H54&gt;=16,"Excellent",H54&gt;=14,"Très bien",H54&gt;=12,"Bien",H54&gt;=10,"Passable",H54&lt;10,"Insuffisant")</f>
        <v>Très bien</v>
      </c>
    </row>
    <row r="55" spans="1:17">
      <c r="A55" t="s">
        <v>133</v>
      </c>
      <c r="B55" t="s">
        <v>134</v>
      </c>
      <c r="C55" t="s">
        <v>19</v>
      </c>
      <c r="D55" t="s">
        <v>37</v>
      </c>
      <c r="E55" s="8" t="s">
        <v>21</v>
      </c>
      <c r="F55" s="8">
        <v>18.190000000000001</v>
      </c>
      <c r="G55" s="8">
        <v>8.83</v>
      </c>
      <c r="H55" s="8">
        <v>14.54</v>
      </c>
      <c r="I55" s="8">
        <v>13.72</v>
      </c>
      <c r="J55" s="6">
        <v>0.79700000000000004</v>
      </c>
      <c r="K55" s="4">
        <v>120000</v>
      </c>
      <c r="L55" s="2">
        <v>45956</v>
      </c>
      <c r="M55" t="str">
        <f t="shared" si="0"/>
        <v>Admis</v>
      </c>
      <c r="N55" t="str">
        <f t="shared" si="1"/>
        <v>Non eligible</v>
      </c>
      <c r="O55" t="str">
        <f t="shared" si="2"/>
        <v>RAS</v>
      </c>
      <c r="P55" t="str">
        <f t="shared" si="3"/>
        <v>Data</v>
      </c>
      <c r="Q55" t="str" cm="1">
        <f t="array" ref="Q55">_xlfn.IFS(H55&gt;=16,"Excellent",H55&gt;=14,"Très bien",H55&gt;=12,"Bien",H55&gt;=10,"Passable",H55&lt;10,"Insuffisant")</f>
        <v>Très bien</v>
      </c>
    </row>
    <row r="56" spans="1:17">
      <c r="A56" t="s">
        <v>135</v>
      </c>
      <c r="B56" t="s">
        <v>136</v>
      </c>
      <c r="C56" t="s">
        <v>19</v>
      </c>
      <c r="D56" t="s">
        <v>33</v>
      </c>
      <c r="E56" s="8" t="s">
        <v>21</v>
      </c>
      <c r="F56" s="8">
        <v>12.91</v>
      </c>
      <c r="G56" s="8">
        <v>13.8</v>
      </c>
      <c r="H56" s="8">
        <v>17.46</v>
      </c>
      <c r="I56" s="8">
        <v>17.46</v>
      </c>
      <c r="J56" s="6">
        <v>0.80020000000000002</v>
      </c>
      <c r="K56" s="4">
        <v>100000</v>
      </c>
      <c r="L56" s="2">
        <v>45708</v>
      </c>
      <c r="M56" t="str">
        <f t="shared" si="0"/>
        <v>Admis</v>
      </c>
      <c r="N56" t="str">
        <f t="shared" si="1"/>
        <v>Eligible</v>
      </c>
      <c r="O56" t="str">
        <f t="shared" si="2"/>
        <v>RAS</v>
      </c>
      <c r="P56" t="str">
        <f t="shared" si="3"/>
        <v>Data</v>
      </c>
      <c r="Q56" t="str" cm="1">
        <f t="array" ref="Q56">_xlfn.IFS(H56&gt;=16,"Excellent",H56&gt;=14,"Très bien",H56&gt;=12,"Bien",H56&gt;=10,"Passable",H56&lt;10,"Insuffisant")</f>
        <v>Excellent</v>
      </c>
    </row>
    <row r="57" spans="1:17">
      <c r="A57" t="s">
        <v>137</v>
      </c>
      <c r="B57" t="s">
        <v>138</v>
      </c>
      <c r="C57" t="s">
        <v>19</v>
      </c>
      <c r="D57" t="s">
        <v>33</v>
      </c>
      <c r="E57" s="8" t="s">
        <v>34</v>
      </c>
      <c r="F57" s="8">
        <v>15.3</v>
      </c>
      <c r="G57" s="8">
        <v>13.68</v>
      </c>
      <c r="H57" s="8">
        <v>14.86</v>
      </c>
      <c r="I57" s="8">
        <v>10.44</v>
      </c>
      <c r="J57" s="6">
        <v>0.89</v>
      </c>
      <c r="K57" s="4">
        <v>90000</v>
      </c>
      <c r="L57" s="2">
        <v>46070</v>
      </c>
      <c r="M57" t="str">
        <f t="shared" si="0"/>
        <v>Admis</v>
      </c>
      <c r="N57" t="str">
        <f t="shared" si="1"/>
        <v>Eligible</v>
      </c>
      <c r="O57" t="str">
        <f t="shared" si="2"/>
        <v>RAS</v>
      </c>
      <c r="P57" t="str">
        <f t="shared" si="3"/>
        <v>Hors data</v>
      </c>
      <c r="Q57" t="str" cm="1">
        <f t="array" ref="Q57">_xlfn.IFS(H57&gt;=16,"Excellent",H57&gt;=14,"Très bien",H57&gt;=12,"Bien",H57&gt;=10,"Passable",H57&lt;10,"Insuffisant")</f>
        <v>Très bien</v>
      </c>
    </row>
    <row r="58" spans="1:17">
      <c r="A58" t="s">
        <v>139</v>
      </c>
      <c r="B58" t="s">
        <v>140</v>
      </c>
      <c r="C58" t="s">
        <v>24</v>
      </c>
      <c r="D58" t="s">
        <v>40</v>
      </c>
      <c r="E58" s="8" t="s">
        <v>34</v>
      </c>
      <c r="F58" s="8">
        <v>15.91</v>
      </c>
      <c r="G58" s="8">
        <v>15.95</v>
      </c>
      <c r="H58" s="8">
        <v>14.56</v>
      </c>
      <c r="I58" s="8">
        <v>16.36</v>
      </c>
      <c r="J58" s="6">
        <v>0.74680000000000002</v>
      </c>
      <c r="K58" s="4">
        <v>60000</v>
      </c>
      <c r="L58" s="2">
        <v>46168</v>
      </c>
      <c r="M58" t="str">
        <f t="shared" si="0"/>
        <v>Admis</v>
      </c>
      <c r="N58" t="str">
        <f t="shared" si="1"/>
        <v>Non eligible</v>
      </c>
      <c r="O58" t="str">
        <f t="shared" si="2"/>
        <v>RAS</v>
      </c>
      <c r="P58" t="str">
        <f t="shared" si="3"/>
        <v>Hors data</v>
      </c>
      <c r="Q58" t="str" cm="1">
        <f t="array" ref="Q58">_xlfn.IFS(H58&gt;=16,"Excellent",H58&gt;=14,"Très bien",H58&gt;=12,"Bien",H58&gt;=10,"Passable",H58&lt;10,"Insuffisant")</f>
        <v>Très bien</v>
      </c>
    </row>
    <row r="59" spans="1:17">
      <c r="A59" t="s">
        <v>141</v>
      </c>
      <c r="B59" t="s">
        <v>108</v>
      </c>
      <c r="C59" t="s">
        <v>19</v>
      </c>
      <c r="D59" t="s">
        <v>20</v>
      </c>
      <c r="E59" s="8" t="s">
        <v>26</v>
      </c>
      <c r="F59" s="8">
        <v>7.04</v>
      </c>
      <c r="G59" s="8">
        <v>9.23</v>
      </c>
      <c r="H59" s="8">
        <v>6.56</v>
      </c>
      <c r="I59" s="8">
        <v>8.67</v>
      </c>
      <c r="J59" s="6">
        <v>0.6895</v>
      </c>
      <c r="K59" s="4">
        <v>85000</v>
      </c>
      <c r="L59" s="2">
        <v>45735</v>
      </c>
      <c r="M59" t="str">
        <f t="shared" si="0"/>
        <v>Non admis</v>
      </c>
      <c r="N59" t="str">
        <f t="shared" si="1"/>
        <v>Non eligible</v>
      </c>
      <c r="O59" t="str">
        <f t="shared" si="2"/>
        <v>A surveiller</v>
      </c>
      <c r="P59" t="str">
        <f t="shared" si="3"/>
        <v>Hors data</v>
      </c>
      <c r="Q59" t="str" cm="1">
        <f t="array" ref="Q59">_xlfn.IFS(H59&gt;=16,"Excellent",H59&gt;=14,"Très bien",H59&gt;=12,"Bien",H59&gt;=10,"Passable",H59&lt;10,"Insuffisant")</f>
        <v>Insuffisant</v>
      </c>
    </row>
    <row r="60" spans="1:17">
      <c r="A60" t="s">
        <v>142</v>
      </c>
      <c r="B60" t="s">
        <v>143</v>
      </c>
      <c r="C60" t="s">
        <v>24</v>
      </c>
      <c r="D60" t="s">
        <v>37</v>
      </c>
      <c r="E60" s="8" t="s">
        <v>47</v>
      </c>
      <c r="F60" s="8">
        <v>14.12</v>
      </c>
      <c r="G60" s="8">
        <v>15.36</v>
      </c>
      <c r="H60" s="8">
        <v>11.46</v>
      </c>
      <c r="I60" s="8">
        <v>16.71</v>
      </c>
      <c r="J60" s="6">
        <v>0.9617</v>
      </c>
      <c r="K60" s="4">
        <v>100000</v>
      </c>
      <c r="L60" s="2">
        <v>46074</v>
      </c>
      <c r="M60" t="str">
        <f t="shared" si="0"/>
        <v>Admis</v>
      </c>
      <c r="N60" t="str">
        <f t="shared" si="1"/>
        <v>Non eligible</v>
      </c>
      <c r="O60" t="str">
        <f t="shared" si="2"/>
        <v>RAS</v>
      </c>
      <c r="P60" t="str">
        <f t="shared" si="3"/>
        <v>Hors data</v>
      </c>
      <c r="Q60" t="str" cm="1">
        <f t="array" ref="Q60">_xlfn.IFS(H60&gt;=16,"Excellent",H60&gt;=14,"Très bien",H60&gt;=12,"Bien",H60&gt;=10,"Passable",H60&lt;10,"Insuffisant")</f>
        <v>Passable</v>
      </c>
    </row>
    <row r="61" spans="1:17">
      <c r="A61" t="s">
        <v>144</v>
      </c>
      <c r="B61" t="s">
        <v>145</v>
      </c>
      <c r="C61" t="s">
        <v>24</v>
      </c>
      <c r="D61" t="s">
        <v>40</v>
      </c>
      <c r="E61" s="8" t="s">
        <v>47</v>
      </c>
      <c r="F61" s="8">
        <v>9.1</v>
      </c>
      <c r="G61" s="8">
        <v>6.23</v>
      </c>
      <c r="H61" s="8">
        <v>4.51</v>
      </c>
      <c r="I61" s="8">
        <v>3.81</v>
      </c>
      <c r="J61" s="6">
        <v>0.91279999999999994</v>
      </c>
      <c r="K61" s="4">
        <v>130000</v>
      </c>
      <c r="L61" s="2">
        <v>46087</v>
      </c>
      <c r="M61" t="str">
        <f t="shared" si="0"/>
        <v>Non admis</v>
      </c>
      <c r="N61" t="str">
        <f t="shared" si="1"/>
        <v>Non eligible</v>
      </c>
      <c r="O61" t="str">
        <f t="shared" si="2"/>
        <v>A surveiller</v>
      </c>
      <c r="P61" t="str">
        <f t="shared" si="3"/>
        <v>Hors data</v>
      </c>
      <c r="Q61" t="str" cm="1">
        <f t="array" ref="Q61">_xlfn.IFS(H61&gt;=16,"Excellent",H61&gt;=14,"Très bien",H61&gt;=12,"Bien",H61&gt;=10,"Passable",H61&lt;10,"Insuffisant")</f>
        <v>Insuffisant</v>
      </c>
    </row>
    <row r="62" spans="1:17">
      <c r="A62" t="s">
        <v>146</v>
      </c>
      <c r="B62" t="s">
        <v>147</v>
      </c>
      <c r="C62" t="s">
        <v>24</v>
      </c>
      <c r="D62" t="s">
        <v>25</v>
      </c>
      <c r="E62" s="8" t="s">
        <v>47</v>
      </c>
      <c r="F62" s="8">
        <v>14.32</v>
      </c>
      <c r="G62" s="8">
        <v>15.29</v>
      </c>
      <c r="H62" s="8">
        <v>12.15</v>
      </c>
      <c r="I62" s="8">
        <v>17.04</v>
      </c>
      <c r="J62" s="6">
        <v>0.55000000000000004</v>
      </c>
      <c r="K62" s="4">
        <v>90000</v>
      </c>
      <c r="L62" s="2">
        <v>45887</v>
      </c>
      <c r="M62" t="str">
        <f t="shared" si="0"/>
        <v>Admis</v>
      </c>
      <c r="N62" t="str">
        <f t="shared" si="1"/>
        <v>Non eligible</v>
      </c>
      <c r="O62" t="str">
        <f t="shared" si="2"/>
        <v>RAS</v>
      </c>
      <c r="P62" t="str">
        <f t="shared" si="3"/>
        <v>Hors data</v>
      </c>
      <c r="Q62" t="str" cm="1">
        <f t="array" ref="Q62">_xlfn.IFS(H62&gt;=16,"Excellent",H62&gt;=14,"Très bien",H62&gt;=12,"Bien",H62&gt;=10,"Passable",H62&lt;10,"Insuffisant")</f>
        <v>Bien</v>
      </c>
    </row>
    <row r="63" spans="1:17">
      <c r="A63" t="s">
        <v>148</v>
      </c>
      <c r="B63" t="s">
        <v>149</v>
      </c>
      <c r="C63" t="s">
        <v>24</v>
      </c>
      <c r="D63" t="s">
        <v>25</v>
      </c>
      <c r="E63" s="8" t="s">
        <v>26</v>
      </c>
      <c r="F63" s="8">
        <v>12.92</v>
      </c>
      <c r="G63" s="8">
        <v>14.32</v>
      </c>
      <c r="H63" s="8">
        <v>16.98</v>
      </c>
      <c r="I63" s="8">
        <v>12.16</v>
      </c>
      <c r="J63" s="6">
        <v>0.95489999999999997</v>
      </c>
      <c r="K63" s="4">
        <v>60000</v>
      </c>
      <c r="L63" s="2">
        <v>45978</v>
      </c>
      <c r="M63" t="str">
        <f t="shared" si="0"/>
        <v>Admis</v>
      </c>
      <c r="N63" t="str">
        <f t="shared" si="1"/>
        <v>Eligible</v>
      </c>
      <c r="O63" t="str">
        <f t="shared" si="2"/>
        <v>RAS</v>
      </c>
      <c r="P63" t="str">
        <f t="shared" si="3"/>
        <v>Hors data</v>
      </c>
      <c r="Q63" t="str" cm="1">
        <f t="array" ref="Q63">_xlfn.IFS(H63&gt;=16,"Excellent",H63&gt;=14,"Très bien",H63&gt;=12,"Bien",H63&gt;=10,"Passable",H63&lt;10,"Insuffisant")</f>
        <v>Excellent</v>
      </c>
    </row>
    <row r="64" spans="1:17">
      <c r="A64" t="s">
        <v>150</v>
      </c>
      <c r="B64" t="s">
        <v>151</v>
      </c>
      <c r="C64" t="s">
        <v>19</v>
      </c>
      <c r="D64" t="s">
        <v>20</v>
      </c>
      <c r="E64" s="8" t="s">
        <v>34</v>
      </c>
      <c r="F64" s="8">
        <v>15.64</v>
      </c>
      <c r="G64" s="8">
        <v>13.06</v>
      </c>
      <c r="H64" s="8">
        <v>16.170000000000002</v>
      </c>
      <c r="I64" s="8">
        <v>15.34</v>
      </c>
      <c r="J64" s="6">
        <v>0.84250000000000003</v>
      </c>
      <c r="K64" s="4">
        <v>100000</v>
      </c>
      <c r="L64" s="2">
        <v>45724</v>
      </c>
      <c r="M64" t="str">
        <f t="shared" si="0"/>
        <v>Admis</v>
      </c>
      <c r="N64" t="str">
        <f t="shared" si="1"/>
        <v>Eligible</v>
      </c>
      <c r="O64" t="str">
        <f t="shared" si="2"/>
        <v>RAS</v>
      </c>
      <c r="P64" t="str">
        <f t="shared" si="3"/>
        <v>Hors data</v>
      </c>
      <c r="Q64" t="str" cm="1">
        <f t="array" ref="Q64">_xlfn.IFS(H64&gt;=16,"Excellent",H64&gt;=14,"Très bien",H64&gt;=12,"Bien",H64&gt;=10,"Passable",H64&lt;10,"Insuffisant")</f>
        <v>Excellent</v>
      </c>
    </row>
    <row r="65" spans="1:17">
      <c r="A65" t="s">
        <v>152</v>
      </c>
      <c r="B65" t="s">
        <v>51</v>
      </c>
      <c r="C65" t="s">
        <v>24</v>
      </c>
      <c r="D65" t="s">
        <v>20</v>
      </c>
      <c r="E65" s="8" t="s">
        <v>21</v>
      </c>
      <c r="F65" s="8">
        <v>13.82</v>
      </c>
      <c r="G65" s="8">
        <v>20</v>
      </c>
      <c r="H65" s="8">
        <v>18.579999999999998</v>
      </c>
      <c r="I65" s="8">
        <v>14.04</v>
      </c>
      <c r="J65" s="6">
        <v>0.9204</v>
      </c>
      <c r="K65" s="4">
        <v>50000</v>
      </c>
      <c r="L65" s="2">
        <v>46186</v>
      </c>
      <c r="M65" t="str">
        <f t="shared" si="0"/>
        <v>Admis</v>
      </c>
      <c r="N65" t="str">
        <f t="shared" si="1"/>
        <v>Eligible</v>
      </c>
      <c r="O65" t="str">
        <f t="shared" si="2"/>
        <v>RAS</v>
      </c>
      <c r="P65" t="str">
        <f t="shared" si="3"/>
        <v>Data</v>
      </c>
      <c r="Q65" t="str" cm="1">
        <f t="array" ref="Q65">_xlfn.IFS(H65&gt;=16,"Excellent",H65&gt;=14,"Très bien",H65&gt;=12,"Bien",H65&gt;=10,"Passable",H65&lt;10,"Insuffisant")</f>
        <v>Excellent</v>
      </c>
    </row>
    <row r="66" spans="1:17">
      <c r="A66" t="s">
        <v>153</v>
      </c>
      <c r="B66" t="s">
        <v>154</v>
      </c>
      <c r="C66" t="s">
        <v>19</v>
      </c>
      <c r="D66" t="s">
        <v>20</v>
      </c>
      <c r="E66" s="8" t="s">
        <v>21</v>
      </c>
      <c r="F66" s="8">
        <v>12.29</v>
      </c>
      <c r="G66" s="8">
        <v>11.3</v>
      </c>
      <c r="H66" s="8">
        <v>8.81</v>
      </c>
      <c r="I66" s="8">
        <v>11.57</v>
      </c>
      <c r="J66" s="6">
        <v>0.80159999999999998</v>
      </c>
      <c r="K66" s="4">
        <v>75000</v>
      </c>
      <c r="L66" s="2">
        <v>46224</v>
      </c>
      <c r="M66" t="str">
        <f t="shared" si="0"/>
        <v>Non admis</v>
      </c>
      <c r="N66" t="str">
        <f t="shared" si="1"/>
        <v>Non eligible</v>
      </c>
      <c r="O66" t="str">
        <f t="shared" si="2"/>
        <v>A surveiller</v>
      </c>
      <c r="P66" t="str">
        <f t="shared" si="3"/>
        <v>Data</v>
      </c>
      <c r="Q66" t="str" cm="1">
        <f t="array" ref="Q66">_xlfn.IFS(H66&gt;=16,"Excellent",H66&gt;=14,"Très bien",H66&gt;=12,"Bien",H66&gt;=10,"Passable",H66&lt;10,"Insuffisant")</f>
        <v>Insuffisant</v>
      </c>
    </row>
    <row r="67" spans="1:17">
      <c r="A67" t="s">
        <v>155</v>
      </c>
      <c r="B67" t="s">
        <v>156</v>
      </c>
      <c r="C67" t="s">
        <v>19</v>
      </c>
      <c r="D67" t="s">
        <v>25</v>
      </c>
      <c r="E67" s="8" t="s">
        <v>34</v>
      </c>
      <c r="F67" s="8">
        <v>10.73</v>
      </c>
      <c r="G67" s="8">
        <v>13.42</v>
      </c>
      <c r="H67" s="8">
        <v>13.55</v>
      </c>
      <c r="I67" s="8">
        <v>12.89</v>
      </c>
      <c r="J67" s="6">
        <v>0.87060000000000004</v>
      </c>
      <c r="K67" s="4">
        <v>130000</v>
      </c>
      <c r="L67" s="2">
        <v>46222</v>
      </c>
      <c r="M67" t="str">
        <f t="shared" ref="M67:M130" si="4">IF(H67&gt;=10,"Admis","Non admis")</f>
        <v>Admis</v>
      </c>
      <c r="N67" t="str">
        <f t="shared" ref="N67:N130" si="5">IF(AND(F67&gt;=12,H67&gt;=12,J67&gt;=80%),"Eligible","Non eligible")</f>
        <v>Non eligible</v>
      </c>
      <c r="O67" t="str">
        <f t="shared" ref="O67:O130" si="6">IF(OR(F67&lt;10,H67&lt;10),"A surveiller","RAS")</f>
        <v>RAS</v>
      </c>
      <c r="P67" t="str">
        <f t="shared" ref="P67:P130" si="7">IF(NOT(E67="Data"),"Hors data","Data")</f>
        <v>Hors data</v>
      </c>
      <c r="Q67" t="str" cm="1">
        <f t="array" ref="Q67">_xlfn.IFS(H67&gt;=16,"Excellent",H67&gt;=14,"Très bien",H67&gt;=12,"Bien",H67&gt;=10,"Passable",H67&lt;10,"Insuffisant")</f>
        <v>Bien</v>
      </c>
    </row>
    <row r="68" spans="1:17">
      <c r="A68" t="s">
        <v>157</v>
      </c>
      <c r="B68" t="s">
        <v>158</v>
      </c>
      <c r="C68" t="s">
        <v>24</v>
      </c>
      <c r="D68" t="s">
        <v>37</v>
      </c>
      <c r="E68" s="8" t="s">
        <v>47</v>
      </c>
      <c r="F68" s="8">
        <v>12.39</v>
      </c>
      <c r="G68" s="8">
        <v>16.12</v>
      </c>
      <c r="H68" s="8">
        <v>14.7</v>
      </c>
      <c r="I68" s="8">
        <v>12.31</v>
      </c>
      <c r="J68" s="6">
        <v>0.84919999999999995</v>
      </c>
      <c r="K68" s="4">
        <v>110000</v>
      </c>
      <c r="L68" s="2">
        <v>46051</v>
      </c>
      <c r="M68" t="str">
        <f t="shared" si="4"/>
        <v>Admis</v>
      </c>
      <c r="N68" t="str">
        <f t="shared" si="5"/>
        <v>Eligible</v>
      </c>
      <c r="O68" t="str">
        <f t="shared" si="6"/>
        <v>RAS</v>
      </c>
      <c r="P68" t="str">
        <f t="shared" si="7"/>
        <v>Hors data</v>
      </c>
      <c r="Q68" t="str" cm="1">
        <f t="array" ref="Q68">_xlfn.IFS(H68&gt;=16,"Excellent",H68&gt;=14,"Très bien",H68&gt;=12,"Bien",H68&gt;=10,"Passable",H68&lt;10,"Insuffisant")</f>
        <v>Très bien</v>
      </c>
    </row>
    <row r="69" spans="1:17">
      <c r="A69" t="s">
        <v>159</v>
      </c>
      <c r="B69" t="s">
        <v>160</v>
      </c>
      <c r="C69" t="s">
        <v>19</v>
      </c>
      <c r="D69" t="s">
        <v>40</v>
      </c>
      <c r="E69" s="8" t="s">
        <v>34</v>
      </c>
      <c r="F69" s="8">
        <v>12.99</v>
      </c>
      <c r="G69" s="8">
        <v>13.03</v>
      </c>
      <c r="H69" s="8">
        <v>11.16</v>
      </c>
      <c r="I69" s="8">
        <v>13.55</v>
      </c>
      <c r="J69" s="6">
        <v>0.80720000000000003</v>
      </c>
      <c r="K69" s="4">
        <v>120000</v>
      </c>
      <c r="L69" s="2">
        <v>45565</v>
      </c>
      <c r="M69" t="str">
        <f t="shared" si="4"/>
        <v>Admis</v>
      </c>
      <c r="N69" t="str">
        <f t="shared" si="5"/>
        <v>Non eligible</v>
      </c>
      <c r="O69" t="str">
        <f t="shared" si="6"/>
        <v>RAS</v>
      </c>
      <c r="P69" t="str">
        <f t="shared" si="7"/>
        <v>Hors data</v>
      </c>
      <c r="Q69" t="str" cm="1">
        <f t="array" ref="Q69">_xlfn.IFS(H69&gt;=16,"Excellent",H69&gt;=14,"Très bien",H69&gt;=12,"Bien",H69&gt;=10,"Passable",H69&lt;10,"Insuffisant")</f>
        <v>Passable</v>
      </c>
    </row>
    <row r="70" spans="1:17">
      <c r="A70" t="s">
        <v>161</v>
      </c>
      <c r="B70" t="s">
        <v>114</v>
      </c>
      <c r="C70" t="s">
        <v>19</v>
      </c>
      <c r="D70" t="s">
        <v>37</v>
      </c>
      <c r="E70" s="8" t="s">
        <v>34</v>
      </c>
      <c r="F70" s="8">
        <v>16.13</v>
      </c>
      <c r="G70" s="8">
        <v>12.81</v>
      </c>
      <c r="H70" s="8">
        <v>14.09</v>
      </c>
      <c r="I70" s="8">
        <v>11.94</v>
      </c>
      <c r="J70" s="6">
        <v>0.86950000000000005</v>
      </c>
      <c r="K70" s="4">
        <v>75000</v>
      </c>
      <c r="L70" s="2">
        <v>45792</v>
      </c>
      <c r="M70" t="str">
        <f t="shared" si="4"/>
        <v>Admis</v>
      </c>
      <c r="N70" t="str">
        <f t="shared" si="5"/>
        <v>Eligible</v>
      </c>
      <c r="O70" t="str">
        <f t="shared" si="6"/>
        <v>RAS</v>
      </c>
      <c r="P70" t="str">
        <f t="shared" si="7"/>
        <v>Hors data</v>
      </c>
      <c r="Q70" t="str" cm="1">
        <f t="array" ref="Q70">_xlfn.IFS(H70&gt;=16,"Excellent",H70&gt;=14,"Très bien",H70&gt;=12,"Bien",H70&gt;=10,"Passable",H70&lt;10,"Insuffisant")</f>
        <v>Très bien</v>
      </c>
    </row>
    <row r="71" spans="1:17">
      <c r="A71" t="s">
        <v>162</v>
      </c>
      <c r="B71" t="s">
        <v>163</v>
      </c>
      <c r="C71" t="s">
        <v>19</v>
      </c>
      <c r="D71" t="s">
        <v>20</v>
      </c>
      <c r="E71" s="8" t="s">
        <v>34</v>
      </c>
      <c r="F71" s="8">
        <v>14.26</v>
      </c>
      <c r="G71" s="8">
        <v>18.48</v>
      </c>
      <c r="H71" s="8">
        <v>15.37</v>
      </c>
      <c r="I71" s="8">
        <v>13.49</v>
      </c>
      <c r="J71" s="6">
        <v>0.72430000000000005</v>
      </c>
      <c r="K71" s="4">
        <v>100000</v>
      </c>
      <c r="L71" s="2">
        <v>45847</v>
      </c>
      <c r="M71" t="str">
        <f t="shared" si="4"/>
        <v>Admis</v>
      </c>
      <c r="N71" t="str">
        <f t="shared" si="5"/>
        <v>Non eligible</v>
      </c>
      <c r="O71" t="str">
        <f t="shared" si="6"/>
        <v>RAS</v>
      </c>
      <c r="P71" t="str">
        <f t="shared" si="7"/>
        <v>Hors data</v>
      </c>
      <c r="Q71" t="str" cm="1">
        <f t="array" ref="Q71">_xlfn.IFS(H71&gt;=16,"Excellent",H71&gt;=14,"Très bien",H71&gt;=12,"Bien",H71&gt;=10,"Passable",H71&lt;10,"Insuffisant")</f>
        <v>Très bien</v>
      </c>
    </row>
    <row r="72" spans="1:17">
      <c r="A72" t="s">
        <v>164</v>
      </c>
      <c r="B72" t="s">
        <v>165</v>
      </c>
      <c r="C72" t="s">
        <v>24</v>
      </c>
      <c r="D72" t="s">
        <v>37</v>
      </c>
      <c r="E72" s="8" t="s">
        <v>26</v>
      </c>
      <c r="F72" s="8">
        <v>12.56</v>
      </c>
      <c r="G72" s="8">
        <v>8.91</v>
      </c>
      <c r="H72" s="8">
        <v>7.47</v>
      </c>
      <c r="I72" s="8">
        <v>10.68</v>
      </c>
      <c r="J72" s="6">
        <v>0.7157</v>
      </c>
      <c r="K72" s="4">
        <v>100000</v>
      </c>
      <c r="L72" s="2">
        <v>46207</v>
      </c>
      <c r="M72" t="str">
        <f t="shared" si="4"/>
        <v>Non admis</v>
      </c>
      <c r="N72" t="str">
        <f t="shared" si="5"/>
        <v>Non eligible</v>
      </c>
      <c r="O72" t="str">
        <f t="shared" si="6"/>
        <v>A surveiller</v>
      </c>
      <c r="P72" t="str">
        <f t="shared" si="7"/>
        <v>Hors data</v>
      </c>
      <c r="Q72" t="str" cm="1">
        <f t="array" ref="Q72">_xlfn.IFS(H72&gt;=16,"Excellent",H72&gt;=14,"Très bien",H72&gt;=12,"Bien",H72&gt;=10,"Passable",H72&lt;10,"Insuffisant")</f>
        <v>Insuffisant</v>
      </c>
    </row>
    <row r="73" spans="1:17">
      <c r="A73" t="s">
        <v>166</v>
      </c>
      <c r="B73" t="s">
        <v>167</v>
      </c>
      <c r="C73" t="s">
        <v>19</v>
      </c>
      <c r="D73" t="s">
        <v>33</v>
      </c>
      <c r="E73" s="8" t="s">
        <v>26</v>
      </c>
      <c r="F73" s="8">
        <v>13.48</v>
      </c>
      <c r="G73" s="8">
        <v>16.010000000000002</v>
      </c>
      <c r="H73" s="8">
        <v>17.98</v>
      </c>
      <c r="I73" s="8">
        <v>16.399999999999999</v>
      </c>
      <c r="J73" s="6">
        <v>0.88990000000000002</v>
      </c>
      <c r="K73" s="4">
        <v>70000</v>
      </c>
      <c r="L73" s="2">
        <v>45918</v>
      </c>
      <c r="M73" t="str">
        <f t="shared" si="4"/>
        <v>Admis</v>
      </c>
      <c r="N73" t="str">
        <f t="shared" si="5"/>
        <v>Eligible</v>
      </c>
      <c r="O73" t="str">
        <f t="shared" si="6"/>
        <v>RAS</v>
      </c>
      <c r="P73" t="str">
        <f t="shared" si="7"/>
        <v>Hors data</v>
      </c>
      <c r="Q73" t="str" cm="1">
        <f t="array" ref="Q73">_xlfn.IFS(H73&gt;=16,"Excellent",H73&gt;=14,"Très bien",H73&gt;=12,"Bien",H73&gt;=10,"Passable",H73&lt;10,"Insuffisant")</f>
        <v>Excellent</v>
      </c>
    </row>
    <row r="74" spans="1:17">
      <c r="A74" t="s">
        <v>168</v>
      </c>
      <c r="B74" t="s">
        <v>169</v>
      </c>
      <c r="C74" t="s">
        <v>19</v>
      </c>
      <c r="D74" t="s">
        <v>25</v>
      </c>
      <c r="E74" s="8" t="s">
        <v>21</v>
      </c>
      <c r="F74" s="8">
        <v>14.73</v>
      </c>
      <c r="G74" s="8">
        <v>14.56</v>
      </c>
      <c r="H74" s="8">
        <v>16.13</v>
      </c>
      <c r="I74" s="8">
        <v>14.69</v>
      </c>
      <c r="J74" s="6">
        <v>0.76880000000000004</v>
      </c>
      <c r="K74" s="4">
        <v>130000</v>
      </c>
      <c r="L74" s="2">
        <v>45911</v>
      </c>
      <c r="M74" t="str">
        <f t="shared" si="4"/>
        <v>Admis</v>
      </c>
      <c r="N74" t="str">
        <f t="shared" si="5"/>
        <v>Non eligible</v>
      </c>
      <c r="O74" t="str">
        <f t="shared" si="6"/>
        <v>RAS</v>
      </c>
      <c r="P74" t="str">
        <f t="shared" si="7"/>
        <v>Data</v>
      </c>
      <c r="Q74" t="str" cm="1">
        <f t="array" ref="Q74">_xlfn.IFS(H74&gt;=16,"Excellent",H74&gt;=14,"Très bien",H74&gt;=12,"Bien",H74&gt;=10,"Passable",H74&lt;10,"Insuffisant")</f>
        <v>Excellent</v>
      </c>
    </row>
    <row r="75" spans="1:17">
      <c r="A75" t="s">
        <v>170</v>
      </c>
      <c r="B75" t="s">
        <v>132</v>
      </c>
      <c r="C75" t="s">
        <v>19</v>
      </c>
      <c r="D75" t="s">
        <v>40</v>
      </c>
      <c r="E75" s="8" t="s">
        <v>21</v>
      </c>
      <c r="F75" s="8">
        <v>9.31</v>
      </c>
      <c r="G75" s="8">
        <v>9.74</v>
      </c>
      <c r="H75" s="8">
        <v>10.34</v>
      </c>
      <c r="I75" s="8">
        <v>10.8</v>
      </c>
      <c r="J75" s="6">
        <v>0.90290000000000004</v>
      </c>
      <c r="K75" s="4">
        <v>130000</v>
      </c>
      <c r="L75" s="2">
        <v>45638</v>
      </c>
      <c r="M75" t="str">
        <f t="shared" si="4"/>
        <v>Admis</v>
      </c>
      <c r="N75" t="str">
        <f t="shared" si="5"/>
        <v>Non eligible</v>
      </c>
      <c r="O75" t="str">
        <f t="shared" si="6"/>
        <v>A surveiller</v>
      </c>
      <c r="P75" t="str">
        <f t="shared" si="7"/>
        <v>Data</v>
      </c>
      <c r="Q75" t="str" cm="1">
        <f t="array" ref="Q75">_xlfn.IFS(H75&gt;=16,"Excellent",H75&gt;=14,"Très bien",H75&gt;=12,"Bien",H75&gt;=10,"Passable",H75&lt;10,"Insuffisant")</f>
        <v>Passable</v>
      </c>
    </row>
    <row r="76" spans="1:17">
      <c r="A76" t="s">
        <v>171</v>
      </c>
      <c r="B76" t="s">
        <v>172</v>
      </c>
      <c r="C76" t="s">
        <v>24</v>
      </c>
      <c r="D76" t="s">
        <v>25</v>
      </c>
      <c r="E76" s="8" t="s">
        <v>21</v>
      </c>
      <c r="F76" s="8">
        <v>17.55</v>
      </c>
      <c r="G76" s="8">
        <v>17.57</v>
      </c>
      <c r="H76" s="8">
        <v>14.3</v>
      </c>
      <c r="I76" s="8">
        <v>17.66</v>
      </c>
      <c r="J76" s="6">
        <v>0.96130000000000004</v>
      </c>
      <c r="K76" s="4">
        <v>60000</v>
      </c>
      <c r="L76" s="2">
        <v>46091</v>
      </c>
      <c r="M76" t="str">
        <f t="shared" si="4"/>
        <v>Admis</v>
      </c>
      <c r="N76" t="str">
        <f t="shared" si="5"/>
        <v>Eligible</v>
      </c>
      <c r="O76" t="str">
        <f t="shared" si="6"/>
        <v>RAS</v>
      </c>
      <c r="P76" t="str">
        <f t="shared" si="7"/>
        <v>Data</v>
      </c>
      <c r="Q76" t="str" cm="1">
        <f t="array" ref="Q76">_xlfn.IFS(H76&gt;=16,"Excellent",H76&gt;=14,"Très bien",H76&gt;=12,"Bien",H76&gt;=10,"Passable",H76&lt;10,"Insuffisant")</f>
        <v>Très bien</v>
      </c>
    </row>
    <row r="77" spans="1:17">
      <c r="A77" t="s">
        <v>173</v>
      </c>
      <c r="B77" t="s">
        <v>174</v>
      </c>
      <c r="C77" t="s">
        <v>19</v>
      </c>
      <c r="D77" t="s">
        <v>37</v>
      </c>
      <c r="E77" s="8" t="s">
        <v>26</v>
      </c>
      <c r="F77" s="8">
        <v>13.96</v>
      </c>
      <c r="G77" s="8">
        <v>18.23</v>
      </c>
      <c r="H77" s="8">
        <v>12.42</v>
      </c>
      <c r="I77" s="8">
        <v>17.739999999999998</v>
      </c>
      <c r="J77" s="6">
        <v>0.65480000000000005</v>
      </c>
      <c r="K77" s="4">
        <v>110000</v>
      </c>
      <c r="L77" s="2">
        <v>45771</v>
      </c>
      <c r="M77" t="str">
        <f t="shared" si="4"/>
        <v>Admis</v>
      </c>
      <c r="N77" t="str">
        <f t="shared" si="5"/>
        <v>Non eligible</v>
      </c>
      <c r="O77" t="str">
        <f t="shared" si="6"/>
        <v>RAS</v>
      </c>
      <c r="P77" t="str">
        <f t="shared" si="7"/>
        <v>Hors data</v>
      </c>
      <c r="Q77" t="str" cm="1">
        <f t="array" ref="Q77">_xlfn.IFS(H77&gt;=16,"Excellent",H77&gt;=14,"Très bien",H77&gt;=12,"Bien",H77&gt;=10,"Passable",H77&lt;10,"Insuffisant")</f>
        <v>Bien</v>
      </c>
    </row>
    <row r="78" spans="1:17">
      <c r="A78" t="s">
        <v>175</v>
      </c>
      <c r="B78" t="s">
        <v>108</v>
      </c>
      <c r="C78" t="s">
        <v>19</v>
      </c>
      <c r="D78" t="s">
        <v>37</v>
      </c>
      <c r="E78" s="8" t="s">
        <v>34</v>
      </c>
      <c r="F78" s="8">
        <v>16.010000000000002</v>
      </c>
      <c r="G78" s="8">
        <v>13.43</v>
      </c>
      <c r="H78" s="8">
        <v>14.48</v>
      </c>
      <c r="I78" s="8">
        <v>13</v>
      </c>
      <c r="J78" s="6">
        <v>0.92200000000000004</v>
      </c>
      <c r="K78" s="4">
        <v>80000</v>
      </c>
      <c r="L78" s="2">
        <v>45600</v>
      </c>
      <c r="M78" t="str">
        <f t="shared" si="4"/>
        <v>Admis</v>
      </c>
      <c r="N78" t="str">
        <f t="shared" si="5"/>
        <v>Eligible</v>
      </c>
      <c r="O78" t="str">
        <f t="shared" si="6"/>
        <v>RAS</v>
      </c>
      <c r="P78" t="str">
        <f t="shared" si="7"/>
        <v>Hors data</v>
      </c>
      <c r="Q78" t="str" cm="1">
        <f t="array" ref="Q78">_xlfn.IFS(H78&gt;=16,"Excellent",H78&gt;=14,"Très bien",H78&gt;=12,"Bien",H78&gt;=10,"Passable",H78&lt;10,"Insuffisant")</f>
        <v>Très bien</v>
      </c>
    </row>
    <row r="79" spans="1:17">
      <c r="A79" t="s">
        <v>176</v>
      </c>
      <c r="B79" t="s">
        <v>177</v>
      </c>
      <c r="C79" t="s">
        <v>19</v>
      </c>
      <c r="D79" t="s">
        <v>40</v>
      </c>
      <c r="E79" s="8" t="s">
        <v>26</v>
      </c>
      <c r="F79" s="8">
        <v>10.82</v>
      </c>
      <c r="G79" s="8">
        <v>13.48</v>
      </c>
      <c r="H79" s="8">
        <v>15.12</v>
      </c>
      <c r="I79" s="8">
        <v>8.9700000000000006</v>
      </c>
      <c r="J79" s="6">
        <v>0.83409999999999995</v>
      </c>
      <c r="K79" s="4">
        <v>100000</v>
      </c>
      <c r="L79" s="2">
        <v>46227</v>
      </c>
      <c r="M79" t="str">
        <f t="shared" si="4"/>
        <v>Admis</v>
      </c>
      <c r="N79" t="str">
        <f t="shared" si="5"/>
        <v>Non eligible</v>
      </c>
      <c r="O79" t="str">
        <f t="shared" si="6"/>
        <v>RAS</v>
      </c>
      <c r="P79" t="str">
        <f t="shared" si="7"/>
        <v>Hors data</v>
      </c>
      <c r="Q79" t="str" cm="1">
        <f t="array" ref="Q79">_xlfn.IFS(H79&gt;=16,"Excellent",H79&gt;=14,"Très bien",H79&gt;=12,"Bien",H79&gt;=10,"Passable",H79&lt;10,"Insuffisant")</f>
        <v>Très bien</v>
      </c>
    </row>
    <row r="80" spans="1:17">
      <c r="A80" t="s">
        <v>178</v>
      </c>
      <c r="B80" t="s">
        <v>179</v>
      </c>
      <c r="C80" t="s">
        <v>24</v>
      </c>
      <c r="D80" t="s">
        <v>20</v>
      </c>
      <c r="E80" s="8" t="s">
        <v>47</v>
      </c>
      <c r="F80" s="8">
        <v>9.67</v>
      </c>
      <c r="G80" s="8">
        <v>11.6</v>
      </c>
      <c r="H80" s="8">
        <v>11.74</v>
      </c>
      <c r="I80" s="8">
        <v>11.16</v>
      </c>
      <c r="J80" s="6">
        <v>0.87749999999999995</v>
      </c>
      <c r="K80" s="4">
        <v>90000</v>
      </c>
      <c r="L80" s="2">
        <v>45669</v>
      </c>
      <c r="M80" t="str">
        <f t="shared" si="4"/>
        <v>Admis</v>
      </c>
      <c r="N80" t="str">
        <f t="shared" si="5"/>
        <v>Non eligible</v>
      </c>
      <c r="O80" t="str">
        <f t="shared" si="6"/>
        <v>A surveiller</v>
      </c>
      <c r="P80" t="str">
        <f t="shared" si="7"/>
        <v>Hors data</v>
      </c>
      <c r="Q80" t="str" cm="1">
        <f t="array" ref="Q80">_xlfn.IFS(H80&gt;=16,"Excellent",H80&gt;=14,"Très bien",H80&gt;=12,"Bien",H80&gt;=10,"Passable",H80&lt;10,"Insuffisant")</f>
        <v>Passable</v>
      </c>
    </row>
    <row r="81" spans="1:17">
      <c r="A81" t="s">
        <v>180</v>
      </c>
      <c r="B81" t="s">
        <v>181</v>
      </c>
      <c r="C81" t="s">
        <v>24</v>
      </c>
      <c r="D81" t="s">
        <v>52</v>
      </c>
      <c r="E81" s="8" t="s">
        <v>47</v>
      </c>
      <c r="F81" s="8">
        <v>9.24</v>
      </c>
      <c r="G81" s="8">
        <v>10.43</v>
      </c>
      <c r="H81" s="8">
        <v>9.15</v>
      </c>
      <c r="I81" s="8">
        <v>12.93</v>
      </c>
      <c r="J81" s="6">
        <v>0.95140000000000002</v>
      </c>
      <c r="K81" s="4">
        <v>70000</v>
      </c>
      <c r="L81" s="2">
        <v>45547</v>
      </c>
      <c r="M81" t="str">
        <f t="shared" si="4"/>
        <v>Non admis</v>
      </c>
      <c r="N81" t="str">
        <f t="shared" si="5"/>
        <v>Non eligible</v>
      </c>
      <c r="O81" t="str">
        <f t="shared" si="6"/>
        <v>A surveiller</v>
      </c>
      <c r="P81" t="str">
        <f t="shared" si="7"/>
        <v>Hors data</v>
      </c>
      <c r="Q81" t="str" cm="1">
        <f t="array" ref="Q81">_xlfn.IFS(H81&gt;=16,"Excellent",H81&gt;=14,"Très bien",H81&gt;=12,"Bien",H81&gt;=10,"Passable",H81&lt;10,"Insuffisant")</f>
        <v>Insuffisant</v>
      </c>
    </row>
    <row r="82" spans="1:17">
      <c r="A82" t="s">
        <v>182</v>
      </c>
      <c r="B82" t="s">
        <v>183</v>
      </c>
      <c r="C82" t="s">
        <v>24</v>
      </c>
      <c r="D82" t="s">
        <v>25</v>
      </c>
      <c r="E82" s="8" t="s">
        <v>34</v>
      </c>
      <c r="F82" s="8">
        <v>15.58</v>
      </c>
      <c r="G82" s="8">
        <v>14.85</v>
      </c>
      <c r="H82" s="8">
        <v>15.71</v>
      </c>
      <c r="I82" s="8">
        <v>11.71</v>
      </c>
      <c r="J82" s="6">
        <v>0.84179999999999999</v>
      </c>
      <c r="K82" s="4">
        <v>60000</v>
      </c>
      <c r="L82" s="2">
        <v>45590</v>
      </c>
      <c r="M82" t="str">
        <f t="shared" si="4"/>
        <v>Admis</v>
      </c>
      <c r="N82" t="str">
        <f t="shared" si="5"/>
        <v>Eligible</v>
      </c>
      <c r="O82" t="str">
        <f t="shared" si="6"/>
        <v>RAS</v>
      </c>
      <c r="P82" t="str">
        <f t="shared" si="7"/>
        <v>Hors data</v>
      </c>
      <c r="Q82" t="str" cm="1">
        <f t="array" ref="Q82">_xlfn.IFS(H82&gt;=16,"Excellent",H82&gt;=14,"Très bien",H82&gt;=12,"Bien",H82&gt;=10,"Passable",H82&lt;10,"Insuffisant")</f>
        <v>Très bien</v>
      </c>
    </row>
    <row r="83" spans="1:17">
      <c r="A83" t="s">
        <v>184</v>
      </c>
      <c r="B83" t="s">
        <v>185</v>
      </c>
      <c r="C83" t="s">
        <v>19</v>
      </c>
      <c r="D83" t="s">
        <v>33</v>
      </c>
      <c r="E83" s="8" t="s">
        <v>34</v>
      </c>
      <c r="F83" s="8">
        <v>12.79</v>
      </c>
      <c r="G83" s="8">
        <v>10.57</v>
      </c>
      <c r="H83" s="8">
        <v>10.91</v>
      </c>
      <c r="I83" s="8">
        <v>8.76</v>
      </c>
      <c r="J83" s="6">
        <v>0.93310000000000004</v>
      </c>
      <c r="K83" s="4">
        <v>85000</v>
      </c>
      <c r="L83" s="2">
        <v>45852</v>
      </c>
      <c r="M83" t="str">
        <f t="shared" si="4"/>
        <v>Admis</v>
      </c>
      <c r="N83" t="str">
        <f t="shared" si="5"/>
        <v>Non eligible</v>
      </c>
      <c r="O83" t="str">
        <f t="shared" si="6"/>
        <v>RAS</v>
      </c>
      <c r="P83" t="str">
        <f t="shared" si="7"/>
        <v>Hors data</v>
      </c>
      <c r="Q83" t="str" cm="1">
        <f t="array" ref="Q83">_xlfn.IFS(H83&gt;=16,"Excellent",H83&gt;=14,"Très bien",H83&gt;=12,"Bien",H83&gt;=10,"Passable",H83&lt;10,"Insuffisant")</f>
        <v>Passable</v>
      </c>
    </row>
    <row r="84" spans="1:17">
      <c r="A84" t="s">
        <v>186</v>
      </c>
      <c r="B84" t="s">
        <v>187</v>
      </c>
      <c r="C84" t="s">
        <v>19</v>
      </c>
      <c r="D84" t="s">
        <v>52</v>
      </c>
      <c r="E84" s="8" t="s">
        <v>21</v>
      </c>
      <c r="F84" s="8">
        <v>15.33</v>
      </c>
      <c r="G84" s="8">
        <v>13.59</v>
      </c>
      <c r="H84" s="8">
        <v>16.829999999999998</v>
      </c>
      <c r="I84" s="8">
        <v>13.04</v>
      </c>
      <c r="J84" s="6">
        <v>0.93730000000000002</v>
      </c>
      <c r="K84" s="4">
        <v>120000</v>
      </c>
      <c r="L84" s="2">
        <v>45608</v>
      </c>
      <c r="M84" t="str">
        <f t="shared" si="4"/>
        <v>Admis</v>
      </c>
      <c r="N84" t="str">
        <f t="shared" si="5"/>
        <v>Eligible</v>
      </c>
      <c r="O84" t="str">
        <f t="shared" si="6"/>
        <v>RAS</v>
      </c>
      <c r="P84" t="str">
        <f t="shared" si="7"/>
        <v>Data</v>
      </c>
      <c r="Q84" t="str" cm="1">
        <f t="array" ref="Q84">_xlfn.IFS(H84&gt;=16,"Excellent",H84&gt;=14,"Très bien",H84&gt;=12,"Bien",H84&gt;=10,"Passable",H84&lt;10,"Insuffisant")</f>
        <v>Excellent</v>
      </c>
    </row>
    <row r="85" spans="1:17">
      <c r="A85" t="s">
        <v>188</v>
      </c>
      <c r="B85" t="s">
        <v>58</v>
      </c>
      <c r="C85" t="s">
        <v>24</v>
      </c>
      <c r="D85" t="s">
        <v>25</v>
      </c>
      <c r="E85" s="8" t="s">
        <v>47</v>
      </c>
      <c r="F85" s="8">
        <v>14.95</v>
      </c>
      <c r="G85" s="8">
        <v>11.37</v>
      </c>
      <c r="H85" s="8">
        <v>11.56</v>
      </c>
      <c r="I85" s="8">
        <v>9.4700000000000006</v>
      </c>
      <c r="J85" s="6">
        <v>0.83599999999999997</v>
      </c>
      <c r="K85" s="4">
        <v>120000</v>
      </c>
      <c r="L85" s="2">
        <v>46125</v>
      </c>
      <c r="M85" t="str">
        <f t="shared" si="4"/>
        <v>Admis</v>
      </c>
      <c r="N85" t="str">
        <f t="shared" si="5"/>
        <v>Non eligible</v>
      </c>
      <c r="O85" t="str">
        <f t="shared" si="6"/>
        <v>RAS</v>
      </c>
      <c r="P85" t="str">
        <f t="shared" si="7"/>
        <v>Hors data</v>
      </c>
      <c r="Q85" t="str" cm="1">
        <f t="array" ref="Q85">_xlfn.IFS(H85&gt;=16,"Excellent",H85&gt;=14,"Très bien",H85&gt;=12,"Bien",H85&gt;=10,"Passable",H85&lt;10,"Insuffisant")</f>
        <v>Passable</v>
      </c>
    </row>
    <row r="86" spans="1:17">
      <c r="A86" t="s">
        <v>189</v>
      </c>
      <c r="B86" t="s">
        <v>190</v>
      </c>
      <c r="C86" t="s">
        <v>24</v>
      </c>
      <c r="D86" t="s">
        <v>33</v>
      </c>
      <c r="E86" s="8" t="s">
        <v>34</v>
      </c>
      <c r="F86" s="8">
        <v>16.07</v>
      </c>
      <c r="G86" s="8">
        <v>13.84</v>
      </c>
      <c r="H86" s="8">
        <v>6.56</v>
      </c>
      <c r="I86" s="8">
        <v>11.15</v>
      </c>
      <c r="J86" s="6">
        <v>0.84530000000000005</v>
      </c>
      <c r="K86" s="4">
        <v>75000</v>
      </c>
      <c r="L86" s="2">
        <v>45894</v>
      </c>
      <c r="M86" t="str">
        <f t="shared" si="4"/>
        <v>Non admis</v>
      </c>
      <c r="N86" t="str">
        <f t="shared" si="5"/>
        <v>Non eligible</v>
      </c>
      <c r="O86" t="str">
        <f t="shared" si="6"/>
        <v>A surveiller</v>
      </c>
      <c r="P86" t="str">
        <f t="shared" si="7"/>
        <v>Hors data</v>
      </c>
      <c r="Q86" t="str" cm="1">
        <f t="array" ref="Q86">_xlfn.IFS(H86&gt;=16,"Excellent",H86&gt;=14,"Très bien",H86&gt;=12,"Bien",H86&gt;=10,"Passable",H86&lt;10,"Insuffisant")</f>
        <v>Insuffisant</v>
      </c>
    </row>
    <row r="87" spans="1:17">
      <c r="A87" t="s">
        <v>191</v>
      </c>
      <c r="B87" t="s">
        <v>78</v>
      </c>
      <c r="C87" t="s">
        <v>24</v>
      </c>
      <c r="D87" t="s">
        <v>33</v>
      </c>
      <c r="E87" s="8" t="s">
        <v>34</v>
      </c>
      <c r="F87" s="8">
        <v>13.13</v>
      </c>
      <c r="G87" s="8">
        <v>10.71</v>
      </c>
      <c r="H87" s="8">
        <v>15.21</v>
      </c>
      <c r="I87" s="8">
        <v>15.26</v>
      </c>
      <c r="J87" s="6">
        <v>0.74470000000000003</v>
      </c>
      <c r="K87" s="4">
        <v>120000</v>
      </c>
      <c r="L87" s="2">
        <v>45762</v>
      </c>
      <c r="M87" t="str">
        <f t="shared" si="4"/>
        <v>Admis</v>
      </c>
      <c r="N87" t="str">
        <f t="shared" si="5"/>
        <v>Non eligible</v>
      </c>
      <c r="O87" t="str">
        <f t="shared" si="6"/>
        <v>RAS</v>
      </c>
      <c r="P87" t="str">
        <f t="shared" si="7"/>
        <v>Hors data</v>
      </c>
      <c r="Q87" t="str" cm="1">
        <f t="array" ref="Q87">_xlfn.IFS(H87&gt;=16,"Excellent",H87&gt;=14,"Très bien",H87&gt;=12,"Bien",H87&gt;=10,"Passable",H87&lt;10,"Insuffisant")</f>
        <v>Très bien</v>
      </c>
    </row>
    <row r="88" spans="1:17">
      <c r="A88" t="s">
        <v>192</v>
      </c>
      <c r="B88" t="s">
        <v>193</v>
      </c>
      <c r="C88" t="s">
        <v>19</v>
      </c>
      <c r="D88" t="s">
        <v>40</v>
      </c>
      <c r="E88" s="8" t="s">
        <v>21</v>
      </c>
      <c r="F88" s="8">
        <v>19.649999999999999</v>
      </c>
      <c r="G88" s="8">
        <v>17.11</v>
      </c>
      <c r="H88" s="8">
        <v>18.34</v>
      </c>
      <c r="I88" s="8">
        <v>16.72</v>
      </c>
      <c r="J88" s="6">
        <v>0.67400000000000004</v>
      </c>
      <c r="K88" s="4">
        <v>75000</v>
      </c>
      <c r="L88" s="2">
        <v>45538</v>
      </c>
      <c r="M88" t="str">
        <f t="shared" si="4"/>
        <v>Admis</v>
      </c>
      <c r="N88" t="str">
        <f t="shared" si="5"/>
        <v>Non eligible</v>
      </c>
      <c r="O88" t="str">
        <f t="shared" si="6"/>
        <v>RAS</v>
      </c>
      <c r="P88" t="str">
        <f t="shared" si="7"/>
        <v>Data</v>
      </c>
      <c r="Q88" t="str" cm="1">
        <f t="array" ref="Q88">_xlfn.IFS(H88&gt;=16,"Excellent",H88&gt;=14,"Très bien",H88&gt;=12,"Bien",H88&gt;=10,"Passable",H88&lt;10,"Insuffisant")</f>
        <v>Excellent</v>
      </c>
    </row>
    <row r="89" spans="1:17">
      <c r="A89" t="s">
        <v>194</v>
      </c>
      <c r="B89" t="s">
        <v>195</v>
      </c>
      <c r="C89" t="s">
        <v>19</v>
      </c>
      <c r="D89" t="s">
        <v>20</v>
      </c>
      <c r="E89" s="8" t="s">
        <v>26</v>
      </c>
      <c r="F89" s="8">
        <v>10.68</v>
      </c>
      <c r="G89" s="8">
        <v>10.98</v>
      </c>
      <c r="H89" s="8">
        <v>6.72</v>
      </c>
      <c r="I89" s="8">
        <v>6.07</v>
      </c>
      <c r="J89" s="6">
        <v>0.76039999999999996</v>
      </c>
      <c r="K89" s="4">
        <v>90000</v>
      </c>
      <c r="L89" s="2">
        <v>45871</v>
      </c>
      <c r="M89" t="str">
        <f t="shared" si="4"/>
        <v>Non admis</v>
      </c>
      <c r="N89" t="str">
        <f t="shared" si="5"/>
        <v>Non eligible</v>
      </c>
      <c r="O89" t="str">
        <f t="shared" si="6"/>
        <v>A surveiller</v>
      </c>
      <c r="P89" t="str">
        <f t="shared" si="7"/>
        <v>Hors data</v>
      </c>
      <c r="Q89" t="str" cm="1">
        <f t="array" ref="Q89">_xlfn.IFS(H89&gt;=16,"Excellent",H89&gt;=14,"Très bien",H89&gt;=12,"Bien",H89&gt;=10,"Passable",H89&lt;10,"Insuffisant")</f>
        <v>Insuffisant</v>
      </c>
    </row>
    <row r="90" spans="1:17">
      <c r="A90" t="s">
        <v>196</v>
      </c>
      <c r="B90" t="s">
        <v>197</v>
      </c>
      <c r="C90" t="s">
        <v>24</v>
      </c>
      <c r="D90" t="s">
        <v>20</v>
      </c>
      <c r="E90" s="8" t="s">
        <v>26</v>
      </c>
      <c r="F90" s="8">
        <v>15.78</v>
      </c>
      <c r="G90" s="8">
        <v>16.23</v>
      </c>
      <c r="H90" s="8">
        <v>17.41</v>
      </c>
      <c r="I90" s="8">
        <v>16.79</v>
      </c>
      <c r="J90" s="6">
        <v>0.84550000000000003</v>
      </c>
      <c r="K90" s="4">
        <v>75000</v>
      </c>
      <c r="L90" s="2">
        <v>45641</v>
      </c>
      <c r="M90" t="str">
        <f t="shared" si="4"/>
        <v>Admis</v>
      </c>
      <c r="N90" t="str">
        <f t="shared" si="5"/>
        <v>Eligible</v>
      </c>
      <c r="O90" t="str">
        <f t="shared" si="6"/>
        <v>RAS</v>
      </c>
      <c r="P90" t="str">
        <f t="shared" si="7"/>
        <v>Hors data</v>
      </c>
      <c r="Q90" t="str" cm="1">
        <f t="array" ref="Q90">_xlfn.IFS(H90&gt;=16,"Excellent",H90&gt;=14,"Très bien",H90&gt;=12,"Bien",H90&gt;=10,"Passable",H90&lt;10,"Insuffisant")</f>
        <v>Excellent</v>
      </c>
    </row>
    <row r="91" spans="1:17">
      <c r="A91" t="s">
        <v>198</v>
      </c>
      <c r="B91" t="s">
        <v>199</v>
      </c>
      <c r="C91" t="s">
        <v>24</v>
      </c>
      <c r="D91" t="s">
        <v>33</v>
      </c>
      <c r="E91" s="8" t="s">
        <v>34</v>
      </c>
      <c r="F91" s="8">
        <v>16.489999999999998</v>
      </c>
      <c r="G91" s="8">
        <v>14.98</v>
      </c>
      <c r="H91" s="8">
        <v>15.02</v>
      </c>
      <c r="I91" s="8">
        <v>13.43</v>
      </c>
      <c r="J91" s="6">
        <v>0.67589999999999995</v>
      </c>
      <c r="K91" s="4">
        <v>85000</v>
      </c>
      <c r="L91" s="2">
        <v>46220</v>
      </c>
      <c r="M91" t="str">
        <f t="shared" si="4"/>
        <v>Admis</v>
      </c>
      <c r="N91" t="str">
        <f t="shared" si="5"/>
        <v>Non eligible</v>
      </c>
      <c r="O91" t="str">
        <f t="shared" si="6"/>
        <v>RAS</v>
      </c>
      <c r="P91" t="str">
        <f t="shared" si="7"/>
        <v>Hors data</v>
      </c>
      <c r="Q91" t="str" cm="1">
        <f t="array" ref="Q91">_xlfn.IFS(H91&gt;=16,"Excellent",H91&gt;=14,"Très bien",H91&gt;=12,"Bien",H91&gt;=10,"Passable",H91&lt;10,"Insuffisant")</f>
        <v>Très bien</v>
      </c>
    </row>
    <row r="92" spans="1:17">
      <c r="A92" t="s">
        <v>200</v>
      </c>
      <c r="B92" t="s">
        <v>201</v>
      </c>
      <c r="C92" t="s">
        <v>19</v>
      </c>
      <c r="D92" t="s">
        <v>37</v>
      </c>
      <c r="E92" s="8" t="s">
        <v>47</v>
      </c>
      <c r="F92" s="8">
        <v>15.45</v>
      </c>
      <c r="G92" s="8">
        <v>16.77</v>
      </c>
      <c r="H92" s="8">
        <v>11.24</v>
      </c>
      <c r="I92" s="8">
        <v>11.35</v>
      </c>
      <c r="J92" s="6">
        <v>0.89300000000000002</v>
      </c>
      <c r="K92" s="4">
        <v>85000</v>
      </c>
      <c r="L92" s="2">
        <v>45739</v>
      </c>
      <c r="M92" t="str">
        <f t="shared" si="4"/>
        <v>Admis</v>
      </c>
      <c r="N92" t="str">
        <f t="shared" si="5"/>
        <v>Non eligible</v>
      </c>
      <c r="O92" t="str">
        <f t="shared" si="6"/>
        <v>RAS</v>
      </c>
      <c r="P92" t="str">
        <f t="shared" si="7"/>
        <v>Hors data</v>
      </c>
      <c r="Q92" t="str" cm="1">
        <f t="array" ref="Q92">_xlfn.IFS(H92&gt;=16,"Excellent",H92&gt;=14,"Très bien",H92&gt;=12,"Bien",H92&gt;=10,"Passable",H92&lt;10,"Insuffisant")</f>
        <v>Passable</v>
      </c>
    </row>
    <row r="93" spans="1:17">
      <c r="A93" t="s">
        <v>202</v>
      </c>
      <c r="B93" t="s">
        <v>203</v>
      </c>
      <c r="C93" t="s">
        <v>24</v>
      </c>
      <c r="D93" t="s">
        <v>52</v>
      </c>
      <c r="E93" s="8" t="s">
        <v>26</v>
      </c>
      <c r="F93" s="8">
        <v>14.4</v>
      </c>
      <c r="G93" s="8">
        <v>11.44</v>
      </c>
      <c r="H93" s="8">
        <v>15.58</v>
      </c>
      <c r="I93" s="8">
        <v>12.4</v>
      </c>
      <c r="J93" s="6">
        <v>0.94669999999999999</v>
      </c>
      <c r="K93" s="4">
        <v>100000</v>
      </c>
      <c r="L93" s="2">
        <v>45868</v>
      </c>
      <c r="M93" t="str">
        <f t="shared" si="4"/>
        <v>Admis</v>
      </c>
      <c r="N93" t="str">
        <f t="shared" si="5"/>
        <v>Eligible</v>
      </c>
      <c r="O93" t="str">
        <f t="shared" si="6"/>
        <v>RAS</v>
      </c>
      <c r="P93" t="str">
        <f t="shared" si="7"/>
        <v>Hors data</v>
      </c>
      <c r="Q93" t="str" cm="1">
        <f t="array" ref="Q93">_xlfn.IFS(H93&gt;=16,"Excellent",H93&gt;=14,"Très bien",H93&gt;=12,"Bien",H93&gt;=10,"Passable",H93&lt;10,"Insuffisant")</f>
        <v>Très bien</v>
      </c>
    </row>
    <row r="94" spans="1:17">
      <c r="A94" t="s">
        <v>204</v>
      </c>
      <c r="B94" t="s">
        <v>78</v>
      </c>
      <c r="C94" t="s">
        <v>24</v>
      </c>
      <c r="D94" t="s">
        <v>40</v>
      </c>
      <c r="E94" s="8" t="s">
        <v>47</v>
      </c>
      <c r="F94" s="8">
        <v>16.260000000000002</v>
      </c>
      <c r="G94" s="8">
        <v>12.04</v>
      </c>
      <c r="H94" s="8">
        <v>16.62</v>
      </c>
      <c r="I94" s="8">
        <v>13.76</v>
      </c>
      <c r="J94" s="6">
        <v>0.82809999999999995</v>
      </c>
      <c r="K94" s="4">
        <v>85000</v>
      </c>
      <c r="L94" s="2">
        <v>45549</v>
      </c>
      <c r="M94" t="str">
        <f t="shared" si="4"/>
        <v>Admis</v>
      </c>
      <c r="N94" t="str">
        <f t="shared" si="5"/>
        <v>Eligible</v>
      </c>
      <c r="O94" t="str">
        <f t="shared" si="6"/>
        <v>RAS</v>
      </c>
      <c r="P94" t="str">
        <f t="shared" si="7"/>
        <v>Hors data</v>
      </c>
      <c r="Q94" t="str" cm="1">
        <f t="array" ref="Q94">_xlfn.IFS(H94&gt;=16,"Excellent",H94&gt;=14,"Très bien",H94&gt;=12,"Bien",H94&gt;=10,"Passable",H94&lt;10,"Insuffisant")</f>
        <v>Excellent</v>
      </c>
    </row>
    <row r="95" spans="1:17">
      <c r="A95" t="s">
        <v>205</v>
      </c>
      <c r="B95" t="s">
        <v>206</v>
      </c>
      <c r="C95" t="s">
        <v>19</v>
      </c>
      <c r="D95" t="s">
        <v>37</v>
      </c>
      <c r="E95" s="8" t="s">
        <v>47</v>
      </c>
      <c r="F95" s="8">
        <v>16.86</v>
      </c>
      <c r="G95" s="8">
        <v>17.149999999999999</v>
      </c>
      <c r="H95" s="8">
        <v>13.37</v>
      </c>
      <c r="I95" s="8">
        <v>12.1</v>
      </c>
      <c r="J95" s="6">
        <v>0.73799999999999999</v>
      </c>
      <c r="K95" s="4">
        <v>85000</v>
      </c>
      <c r="L95" s="2">
        <v>45627</v>
      </c>
      <c r="M95" t="str">
        <f t="shared" si="4"/>
        <v>Admis</v>
      </c>
      <c r="N95" t="str">
        <f t="shared" si="5"/>
        <v>Non eligible</v>
      </c>
      <c r="O95" t="str">
        <f t="shared" si="6"/>
        <v>RAS</v>
      </c>
      <c r="P95" t="str">
        <f t="shared" si="7"/>
        <v>Hors data</v>
      </c>
      <c r="Q95" t="str" cm="1">
        <f t="array" ref="Q95">_xlfn.IFS(H95&gt;=16,"Excellent",H95&gt;=14,"Très bien",H95&gt;=12,"Bien",H95&gt;=10,"Passable",H95&lt;10,"Insuffisant")</f>
        <v>Bien</v>
      </c>
    </row>
    <row r="96" spans="1:17">
      <c r="A96" t="s">
        <v>207</v>
      </c>
      <c r="B96" t="s">
        <v>95</v>
      </c>
      <c r="C96" t="s">
        <v>24</v>
      </c>
      <c r="D96" t="s">
        <v>33</v>
      </c>
      <c r="E96" s="8" t="s">
        <v>34</v>
      </c>
      <c r="F96" s="8">
        <v>17.95</v>
      </c>
      <c r="G96" s="8">
        <v>18.739999999999998</v>
      </c>
      <c r="H96" s="8">
        <v>15.86</v>
      </c>
      <c r="I96" s="8">
        <v>17.809999999999999</v>
      </c>
      <c r="J96" s="6">
        <v>0.88939999999999997</v>
      </c>
      <c r="K96" s="4">
        <v>100000</v>
      </c>
      <c r="L96" s="2">
        <v>45681</v>
      </c>
      <c r="M96" t="str">
        <f t="shared" si="4"/>
        <v>Admis</v>
      </c>
      <c r="N96" t="str">
        <f t="shared" si="5"/>
        <v>Eligible</v>
      </c>
      <c r="O96" t="str">
        <f t="shared" si="6"/>
        <v>RAS</v>
      </c>
      <c r="P96" t="str">
        <f t="shared" si="7"/>
        <v>Hors data</v>
      </c>
      <c r="Q96" t="str" cm="1">
        <f t="array" ref="Q96">_xlfn.IFS(H96&gt;=16,"Excellent",H96&gt;=14,"Très bien",H96&gt;=12,"Bien",H96&gt;=10,"Passable",H96&lt;10,"Insuffisant")</f>
        <v>Très bien</v>
      </c>
    </row>
    <row r="97" spans="1:17">
      <c r="A97" t="s">
        <v>208</v>
      </c>
      <c r="B97" t="s">
        <v>209</v>
      </c>
      <c r="C97" t="s">
        <v>19</v>
      </c>
      <c r="D97" t="s">
        <v>37</v>
      </c>
      <c r="E97" s="8" t="s">
        <v>47</v>
      </c>
      <c r="F97" s="8">
        <v>11.97</v>
      </c>
      <c r="G97" s="8">
        <v>11.7</v>
      </c>
      <c r="H97" s="8">
        <v>10.27</v>
      </c>
      <c r="I97" s="8">
        <v>10.67</v>
      </c>
      <c r="J97" s="6">
        <v>0.83150000000000002</v>
      </c>
      <c r="K97" s="4">
        <v>80000</v>
      </c>
      <c r="L97" s="2">
        <v>45572</v>
      </c>
      <c r="M97" t="str">
        <f t="shared" si="4"/>
        <v>Admis</v>
      </c>
      <c r="N97" t="str">
        <f t="shared" si="5"/>
        <v>Non eligible</v>
      </c>
      <c r="O97" t="str">
        <f t="shared" si="6"/>
        <v>RAS</v>
      </c>
      <c r="P97" t="str">
        <f t="shared" si="7"/>
        <v>Hors data</v>
      </c>
      <c r="Q97" t="str" cm="1">
        <f t="array" ref="Q97">_xlfn.IFS(H97&gt;=16,"Excellent",H97&gt;=14,"Très bien",H97&gt;=12,"Bien",H97&gt;=10,"Passable",H97&lt;10,"Insuffisant")</f>
        <v>Passable</v>
      </c>
    </row>
    <row r="98" spans="1:17">
      <c r="A98" t="s">
        <v>210</v>
      </c>
      <c r="B98" t="s">
        <v>18</v>
      </c>
      <c r="C98" t="s">
        <v>19</v>
      </c>
      <c r="D98" t="s">
        <v>37</v>
      </c>
      <c r="E98" s="8" t="s">
        <v>47</v>
      </c>
      <c r="F98" s="8">
        <v>19.989999999999998</v>
      </c>
      <c r="G98" s="8">
        <v>15.02</v>
      </c>
      <c r="H98" s="8">
        <v>19.13</v>
      </c>
      <c r="I98" s="8">
        <v>19.82</v>
      </c>
      <c r="J98" s="6">
        <v>0.92949999999999999</v>
      </c>
      <c r="K98" s="4">
        <v>85000</v>
      </c>
      <c r="L98" s="2">
        <v>46044</v>
      </c>
      <c r="M98" t="str">
        <f t="shared" si="4"/>
        <v>Admis</v>
      </c>
      <c r="N98" t="str">
        <f t="shared" si="5"/>
        <v>Eligible</v>
      </c>
      <c r="O98" t="str">
        <f t="shared" si="6"/>
        <v>RAS</v>
      </c>
      <c r="P98" t="str">
        <f t="shared" si="7"/>
        <v>Hors data</v>
      </c>
      <c r="Q98" t="str" cm="1">
        <f t="array" ref="Q98">_xlfn.IFS(H98&gt;=16,"Excellent",H98&gt;=14,"Très bien",H98&gt;=12,"Bien",H98&gt;=10,"Passable",H98&lt;10,"Insuffisant")</f>
        <v>Excellent</v>
      </c>
    </row>
    <row r="99" spans="1:17">
      <c r="A99" t="s">
        <v>211</v>
      </c>
      <c r="B99" t="s">
        <v>212</v>
      </c>
      <c r="C99" t="s">
        <v>24</v>
      </c>
      <c r="D99" t="s">
        <v>33</v>
      </c>
      <c r="E99" s="8" t="s">
        <v>47</v>
      </c>
      <c r="F99" s="8">
        <v>13.82</v>
      </c>
      <c r="G99" s="8">
        <v>10.97</v>
      </c>
      <c r="H99" s="8">
        <v>8.57</v>
      </c>
      <c r="I99" s="8">
        <v>12.67</v>
      </c>
      <c r="J99" s="6">
        <v>0.94189999999999996</v>
      </c>
      <c r="K99" s="4">
        <v>50000</v>
      </c>
      <c r="L99" s="2">
        <v>46197</v>
      </c>
      <c r="M99" t="str">
        <f t="shared" si="4"/>
        <v>Non admis</v>
      </c>
      <c r="N99" t="str">
        <f t="shared" si="5"/>
        <v>Non eligible</v>
      </c>
      <c r="O99" t="str">
        <f t="shared" si="6"/>
        <v>A surveiller</v>
      </c>
      <c r="P99" t="str">
        <f t="shared" si="7"/>
        <v>Hors data</v>
      </c>
      <c r="Q99" t="str" cm="1">
        <f t="array" ref="Q99">_xlfn.IFS(H99&gt;=16,"Excellent",H99&gt;=14,"Très bien",H99&gt;=12,"Bien",H99&gt;=10,"Passable",H99&lt;10,"Insuffisant")</f>
        <v>Insuffisant</v>
      </c>
    </row>
    <row r="100" spans="1:17">
      <c r="A100" t="s">
        <v>213</v>
      </c>
      <c r="B100" t="s">
        <v>103</v>
      </c>
      <c r="C100" t="s">
        <v>24</v>
      </c>
      <c r="D100" t="s">
        <v>25</v>
      </c>
      <c r="E100" s="8" t="s">
        <v>47</v>
      </c>
      <c r="F100" s="8">
        <v>12.63</v>
      </c>
      <c r="G100" s="8">
        <v>11.11</v>
      </c>
      <c r="H100" s="8">
        <v>15.87</v>
      </c>
      <c r="I100" s="8">
        <v>11.46</v>
      </c>
      <c r="J100" s="6">
        <v>0.92549999999999999</v>
      </c>
      <c r="K100" s="4">
        <v>120000</v>
      </c>
      <c r="L100" s="2">
        <v>46225</v>
      </c>
      <c r="M100" t="str">
        <f t="shared" si="4"/>
        <v>Admis</v>
      </c>
      <c r="N100" t="str">
        <f t="shared" si="5"/>
        <v>Eligible</v>
      </c>
      <c r="O100" t="str">
        <f t="shared" si="6"/>
        <v>RAS</v>
      </c>
      <c r="P100" t="str">
        <f t="shared" si="7"/>
        <v>Hors data</v>
      </c>
      <c r="Q100" t="str" cm="1">
        <f t="array" ref="Q100">_xlfn.IFS(H100&gt;=16,"Excellent",H100&gt;=14,"Très bien",H100&gt;=12,"Bien",H100&gt;=10,"Passable",H100&lt;10,"Insuffisant")</f>
        <v>Très bien</v>
      </c>
    </row>
    <row r="101" spans="1:17">
      <c r="A101" t="s">
        <v>214</v>
      </c>
      <c r="B101" t="s">
        <v>215</v>
      </c>
      <c r="C101" t="s">
        <v>19</v>
      </c>
      <c r="D101" t="s">
        <v>20</v>
      </c>
      <c r="E101" s="8" t="s">
        <v>47</v>
      </c>
      <c r="F101" s="8">
        <v>10.51</v>
      </c>
      <c r="G101" s="8">
        <v>12.84</v>
      </c>
      <c r="H101" s="8">
        <v>10.34</v>
      </c>
      <c r="I101" s="8">
        <v>10.61</v>
      </c>
      <c r="J101" s="6">
        <v>0.78510000000000002</v>
      </c>
      <c r="K101" s="4">
        <v>60000</v>
      </c>
      <c r="L101" s="2">
        <v>45722</v>
      </c>
      <c r="M101" t="str">
        <f t="shared" si="4"/>
        <v>Admis</v>
      </c>
      <c r="N101" t="str">
        <f t="shared" si="5"/>
        <v>Non eligible</v>
      </c>
      <c r="O101" t="str">
        <f t="shared" si="6"/>
        <v>RAS</v>
      </c>
      <c r="P101" t="str">
        <f t="shared" si="7"/>
        <v>Hors data</v>
      </c>
      <c r="Q101" t="str" cm="1">
        <f t="array" ref="Q101">_xlfn.IFS(H101&gt;=16,"Excellent",H101&gt;=14,"Très bien",H101&gt;=12,"Bien",H101&gt;=10,"Passable",H101&lt;10,"Insuffisant")</f>
        <v>Passable</v>
      </c>
    </row>
    <row r="102" spans="1:17">
      <c r="A102" t="s">
        <v>216</v>
      </c>
      <c r="B102" t="s">
        <v>217</v>
      </c>
      <c r="C102" t="s">
        <v>24</v>
      </c>
      <c r="D102" t="s">
        <v>52</v>
      </c>
      <c r="E102" s="8" t="s">
        <v>21</v>
      </c>
      <c r="F102" s="8">
        <v>15.2</v>
      </c>
      <c r="G102" s="8">
        <v>13.47</v>
      </c>
      <c r="H102" s="8">
        <v>14.76</v>
      </c>
      <c r="I102" s="8">
        <v>14.95</v>
      </c>
      <c r="J102" s="6">
        <v>0.80259999999999998</v>
      </c>
      <c r="K102" s="4">
        <v>120000</v>
      </c>
      <c r="L102" s="2">
        <v>46088</v>
      </c>
      <c r="M102" t="str">
        <f t="shared" si="4"/>
        <v>Admis</v>
      </c>
      <c r="N102" t="str">
        <f t="shared" si="5"/>
        <v>Eligible</v>
      </c>
      <c r="O102" t="str">
        <f t="shared" si="6"/>
        <v>RAS</v>
      </c>
      <c r="P102" t="str">
        <f t="shared" si="7"/>
        <v>Data</v>
      </c>
      <c r="Q102" t="str" cm="1">
        <f t="array" ref="Q102">_xlfn.IFS(H102&gt;=16,"Excellent",H102&gt;=14,"Très bien",H102&gt;=12,"Bien",H102&gt;=10,"Passable",H102&lt;10,"Insuffisant")</f>
        <v>Très bien</v>
      </c>
    </row>
    <row r="103" spans="1:17">
      <c r="A103" t="s">
        <v>218</v>
      </c>
      <c r="B103" t="s">
        <v>219</v>
      </c>
      <c r="C103" t="s">
        <v>19</v>
      </c>
      <c r="D103" t="s">
        <v>37</v>
      </c>
      <c r="E103" s="8" t="s">
        <v>26</v>
      </c>
      <c r="F103" s="8">
        <v>18.34</v>
      </c>
      <c r="G103" s="8">
        <v>20</v>
      </c>
      <c r="H103" s="8">
        <v>13.99</v>
      </c>
      <c r="I103" s="8">
        <v>20</v>
      </c>
      <c r="J103" s="6">
        <v>0.79849999999999999</v>
      </c>
      <c r="K103" s="4">
        <v>110000</v>
      </c>
      <c r="L103" s="2">
        <v>45888</v>
      </c>
      <c r="M103" t="str">
        <f t="shared" si="4"/>
        <v>Admis</v>
      </c>
      <c r="N103" t="str">
        <f t="shared" si="5"/>
        <v>Non eligible</v>
      </c>
      <c r="O103" t="str">
        <f t="shared" si="6"/>
        <v>RAS</v>
      </c>
      <c r="P103" t="str">
        <f t="shared" si="7"/>
        <v>Hors data</v>
      </c>
      <c r="Q103" t="str" cm="1">
        <f t="array" ref="Q103">_xlfn.IFS(H103&gt;=16,"Excellent",H103&gt;=14,"Très bien",H103&gt;=12,"Bien",H103&gt;=10,"Passable",H103&lt;10,"Insuffisant")</f>
        <v>Bien</v>
      </c>
    </row>
    <row r="104" spans="1:17">
      <c r="A104" t="s">
        <v>220</v>
      </c>
      <c r="B104" t="s">
        <v>36</v>
      </c>
      <c r="C104" t="s">
        <v>24</v>
      </c>
      <c r="D104" t="s">
        <v>52</v>
      </c>
      <c r="E104" s="8" t="s">
        <v>26</v>
      </c>
      <c r="F104" s="8">
        <v>10.3</v>
      </c>
      <c r="G104" s="8">
        <v>12.8</v>
      </c>
      <c r="H104" s="8">
        <v>13.16</v>
      </c>
      <c r="I104" s="8">
        <v>11.86</v>
      </c>
      <c r="J104" s="6">
        <v>0.62409999999999999</v>
      </c>
      <c r="K104" s="4">
        <v>130000</v>
      </c>
      <c r="L104" s="2">
        <v>45568</v>
      </c>
      <c r="M104" t="str">
        <f t="shared" si="4"/>
        <v>Admis</v>
      </c>
      <c r="N104" t="str">
        <f t="shared" si="5"/>
        <v>Non eligible</v>
      </c>
      <c r="O104" t="str">
        <f t="shared" si="6"/>
        <v>RAS</v>
      </c>
      <c r="P104" t="str">
        <f t="shared" si="7"/>
        <v>Hors data</v>
      </c>
      <c r="Q104" t="str" cm="1">
        <f t="array" ref="Q104">_xlfn.IFS(H104&gt;=16,"Excellent",H104&gt;=14,"Très bien",H104&gt;=12,"Bien",H104&gt;=10,"Passable",H104&lt;10,"Insuffisant")</f>
        <v>Bien</v>
      </c>
    </row>
    <row r="105" spans="1:17">
      <c r="A105" t="s">
        <v>221</v>
      </c>
      <c r="B105" t="s">
        <v>177</v>
      </c>
      <c r="C105" t="s">
        <v>19</v>
      </c>
      <c r="D105" t="s">
        <v>40</v>
      </c>
      <c r="E105" s="8" t="s">
        <v>21</v>
      </c>
      <c r="F105" s="8">
        <v>9.56</v>
      </c>
      <c r="G105" s="8">
        <v>11.05</v>
      </c>
      <c r="H105" s="8">
        <v>14.5</v>
      </c>
      <c r="I105" s="8">
        <v>14.54</v>
      </c>
      <c r="J105" s="6">
        <v>0.90580000000000005</v>
      </c>
      <c r="K105" s="4">
        <v>50000</v>
      </c>
      <c r="L105" s="2">
        <v>45599</v>
      </c>
      <c r="M105" t="str">
        <f t="shared" si="4"/>
        <v>Admis</v>
      </c>
      <c r="N105" t="str">
        <f t="shared" si="5"/>
        <v>Non eligible</v>
      </c>
      <c r="O105" t="str">
        <f t="shared" si="6"/>
        <v>A surveiller</v>
      </c>
      <c r="P105" t="str">
        <f t="shared" si="7"/>
        <v>Data</v>
      </c>
      <c r="Q105" t="str" cm="1">
        <f t="array" ref="Q105">_xlfn.IFS(H105&gt;=16,"Excellent",H105&gt;=14,"Très bien",H105&gt;=12,"Bien",H105&gt;=10,"Passable",H105&lt;10,"Insuffisant")</f>
        <v>Très bien</v>
      </c>
    </row>
    <row r="106" spans="1:17">
      <c r="A106" t="s">
        <v>222</v>
      </c>
      <c r="B106" t="s">
        <v>223</v>
      </c>
      <c r="C106" t="s">
        <v>24</v>
      </c>
      <c r="D106" t="s">
        <v>37</v>
      </c>
      <c r="E106" s="8" t="s">
        <v>34</v>
      </c>
      <c r="F106" s="8">
        <v>8.43</v>
      </c>
      <c r="G106" s="8">
        <v>9.84</v>
      </c>
      <c r="H106" s="8">
        <v>7.64</v>
      </c>
      <c r="I106" s="8">
        <v>10.37</v>
      </c>
      <c r="J106" s="6">
        <v>0.6411</v>
      </c>
      <c r="K106" s="4">
        <v>70000</v>
      </c>
      <c r="L106" s="2">
        <v>45919</v>
      </c>
      <c r="M106" t="str">
        <f t="shared" si="4"/>
        <v>Non admis</v>
      </c>
      <c r="N106" t="str">
        <f t="shared" si="5"/>
        <v>Non eligible</v>
      </c>
      <c r="O106" t="str">
        <f t="shared" si="6"/>
        <v>A surveiller</v>
      </c>
      <c r="P106" t="str">
        <f t="shared" si="7"/>
        <v>Hors data</v>
      </c>
      <c r="Q106" t="str" cm="1">
        <f t="array" ref="Q106">_xlfn.IFS(H106&gt;=16,"Excellent",H106&gt;=14,"Très bien",H106&gt;=12,"Bien",H106&gt;=10,"Passable",H106&lt;10,"Insuffisant")</f>
        <v>Insuffisant</v>
      </c>
    </row>
    <row r="107" spans="1:17">
      <c r="A107" t="s">
        <v>224</v>
      </c>
      <c r="B107" t="s">
        <v>225</v>
      </c>
      <c r="C107" t="s">
        <v>24</v>
      </c>
      <c r="D107" t="s">
        <v>20</v>
      </c>
      <c r="E107" s="8" t="s">
        <v>26</v>
      </c>
      <c r="F107" s="8">
        <v>10.74</v>
      </c>
      <c r="G107" s="8">
        <v>7.48</v>
      </c>
      <c r="H107" s="8">
        <v>14.15</v>
      </c>
      <c r="I107" s="8">
        <v>16.04</v>
      </c>
      <c r="J107" s="6">
        <v>0.89759999999999995</v>
      </c>
      <c r="K107" s="4">
        <v>50000</v>
      </c>
      <c r="L107" s="2">
        <v>45832</v>
      </c>
      <c r="M107" t="str">
        <f t="shared" si="4"/>
        <v>Admis</v>
      </c>
      <c r="N107" t="str">
        <f t="shared" si="5"/>
        <v>Non eligible</v>
      </c>
      <c r="O107" t="str">
        <f t="shared" si="6"/>
        <v>RAS</v>
      </c>
      <c r="P107" t="str">
        <f t="shared" si="7"/>
        <v>Hors data</v>
      </c>
      <c r="Q107" t="str" cm="1">
        <f t="array" ref="Q107">_xlfn.IFS(H107&gt;=16,"Excellent",H107&gt;=14,"Très bien",H107&gt;=12,"Bien",H107&gt;=10,"Passable",H107&lt;10,"Insuffisant")</f>
        <v>Très bien</v>
      </c>
    </row>
    <row r="108" spans="1:17">
      <c r="A108" t="s">
        <v>226</v>
      </c>
      <c r="B108" t="s">
        <v>190</v>
      </c>
      <c r="C108" t="s">
        <v>24</v>
      </c>
      <c r="D108" t="s">
        <v>52</v>
      </c>
      <c r="E108" s="8" t="s">
        <v>34</v>
      </c>
      <c r="F108" s="8">
        <v>7.62</v>
      </c>
      <c r="G108" s="8">
        <v>9.17</v>
      </c>
      <c r="H108" s="8">
        <v>9.44</v>
      </c>
      <c r="I108" s="8">
        <v>11.78</v>
      </c>
      <c r="J108" s="6">
        <v>0.85189999999999999</v>
      </c>
      <c r="K108" s="4">
        <v>80000</v>
      </c>
      <c r="L108" s="2">
        <v>45541</v>
      </c>
      <c r="M108" t="str">
        <f t="shared" si="4"/>
        <v>Non admis</v>
      </c>
      <c r="N108" t="str">
        <f t="shared" si="5"/>
        <v>Non eligible</v>
      </c>
      <c r="O108" t="str">
        <f t="shared" si="6"/>
        <v>A surveiller</v>
      </c>
      <c r="P108" t="str">
        <f t="shared" si="7"/>
        <v>Hors data</v>
      </c>
      <c r="Q108" t="str" cm="1">
        <f t="array" ref="Q108">_xlfn.IFS(H108&gt;=16,"Excellent",H108&gt;=14,"Très bien",H108&gt;=12,"Bien",H108&gt;=10,"Passable",H108&lt;10,"Insuffisant")</f>
        <v>Insuffisant</v>
      </c>
    </row>
    <row r="109" spans="1:17">
      <c r="A109" t="s">
        <v>227</v>
      </c>
      <c r="B109" t="s">
        <v>228</v>
      </c>
      <c r="C109" t="s">
        <v>24</v>
      </c>
      <c r="D109" t="s">
        <v>20</v>
      </c>
      <c r="E109" s="8" t="s">
        <v>26</v>
      </c>
      <c r="F109" s="8">
        <v>12.34</v>
      </c>
      <c r="G109" s="8">
        <v>10.97</v>
      </c>
      <c r="H109" s="8">
        <v>9.73</v>
      </c>
      <c r="I109" s="8">
        <v>11.28</v>
      </c>
      <c r="J109" s="6">
        <v>0.79859999999999998</v>
      </c>
      <c r="K109" s="4">
        <v>120000</v>
      </c>
      <c r="L109" s="2">
        <v>46187</v>
      </c>
      <c r="M109" t="str">
        <f t="shared" si="4"/>
        <v>Non admis</v>
      </c>
      <c r="N109" t="str">
        <f t="shared" si="5"/>
        <v>Non eligible</v>
      </c>
      <c r="O109" t="str">
        <f t="shared" si="6"/>
        <v>A surveiller</v>
      </c>
      <c r="P109" t="str">
        <f t="shared" si="7"/>
        <v>Hors data</v>
      </c>
      <c r="Q109" t="str" cm="1">
        <f t="array" ref="Q109">_xlfn.IFS(H109&gt;=16,"Excellent",H109&gt;=14,"Très bien",H109&gt;=12,"Bien",H109&gt;=10,"Passable",H109&lt;10,"Insuffisant")</f>
        <v>Insuffisant</v>
      </c>
    </row>
    <row r="110" spans="1:17">
      <c r="A110" t="s">
        <v>229</v>
      </c>
      <c r="B110" t="s">
        <v>230</v>
      </c>
      <c r="C110" t="s">
        <v>19</v>
      </c>
      <c r="D110" t="s">
        <v>40</v>
      </c>
      <c r="E110" s="8" t="s">
        <v>26</v>
      </c>
      <c r="F110" s="8">
        <v>13.76</v>
      </c>
      <c r="G110" s="8">
        <v>16.350000000000001</v>
      </c>
      <c r="H110" s="8">
        <v>16.22</v>
      </c>
      <c r="I110" s="8">
        <v>13.46</v>
      </c>
      <c r="J110" s="6">
        <v>0.98750000000000004</v>
      </c>
      <c r="K110" s="4">
        <v>110000</v>
      </c>
      <c r="L110" s="2">
        <v>46047</v>
      </c>
      <c r="M110" t="str">
        <f t="shared" si="4"/>
        <v>Admis</v>
      </c>
      <c r="N110" t="str">
        <f t="shared" si="5"/>
        <v>Eligible</v>
      </c>
      <c r="O110" t="str">
        <f t="shared" si="6"/>
        <v>RAS</v>
      </c>
      <c r="P110" t="str">
        <f t="shared" si="7"/>
        <v>Hors data</v>
      </c>
      <c r="Q110" t="str" cm="1">
        <f t="array" ref="Q110">_xlfn.IFS(H110&gt;=16,"Excellent",H110&gt;=14,"Très bien",H110&gt;=12,"Bien",H110&gt;=10,"Passable",H110&lt;10,"Insuffisant")</f>
        <v>Excellent</v>
      </c>
    </row>
    <row r="111" spans="1:17">
      <c r="A111" t="s">
        <v>231</v>
      </c>
      <c r="B111" t="s">
        <v>232</v>
      </c>
      <c r="C111" t="s">
        <v>24</v>
      </c>
      <c r="D111" t="s">
        <v>20</v>
      </c>
      <c r="E111" s="8" t="s">
        <v>26</v>
      </c>
      <c r="F111" s="8">
        <v>17.63</v>
      </c>
      <c r="G111" s="8">
        <v>13.44</v>
      </c>
      <c r="H111" s="8">
        <v>12.55</v>
      </c>
      <c r="I111" s="8">
        <v>18.21</v>
      </c>
      <c r="J111" s="6">
        <v>0.8972</v>
      </c>
      <c r="K111" s="4">
        <v>100000</v>
      </c>
      <c r="L111" s="2">
        <v>45887</v>
      </c>
      <c r="M111" t="str">
        <f t="shared" si="4"/>
        <v>Admis</v>
      </c>
      <c r="N111" t="str">
        <f t="shared" si="5"/>
        <v>Eligible</v>
      </c>
      <c r="O111" t="str">
        <f t="shared" si="6"/>
        <v>RAS</v>
      </c>
      <c r="P111" t="str">
        <f t="shared" si="7"/>
        <v>Hors data</v>
      </c>
      <c r="Q111" t="str" cm="1">
        <f t="array" ref="Q111">_xlfn.IFS(H111&gt;=16,"Excellent",H111&gt;=14,"Très bien",H111&gt;=12,"Bien",H111&gt;=10,"Passable",H111&lt;10,"Insuffisant")</f>
        <v>Bien</v>
      </c>
    </row>
    <row r="112" spans="1:17">
      <c r="A112" t="s">
        <v>233</v>
      </c>
      <c r="B112" t="s">
        <v>234</v>
      </c>
      <c r="C112" t="s">
        <v>19</v>
      </c>
      <c r="D112" t="s">
        <v>33</v>
      </c>
      <c r="E112" s="8" t="s">
        <v>21</v>
      </c>
      <c r="F112" s="8">
        <v>18.670000000000002</v>
      </c>
      <c r="G112" s="8">
        <v>20</v>
      </c>
      <c r="H112" s="8">
        <v>20</v>
      </c>
      <c r="I112" s="8">
        <v>20</v>
      </c>
      <c r="J112" s="6">
        <v>0.88100000000000001</v>
      </c>
      <c r="K112" s="4">
        <v>120000</v>
      </c>
      <c r="L112" s="2">
        <v>46226</v>
      </c>
      <c r="M112" t="str">
        <f t="shared" si="4"/>
        <v>Admis</v>
      </c>
      <c r="N112" t="str">
        <f t="shared" si="5"/>
        <v>Eligible</v>
      </c>
      <c r="O112" t="str">
        <f t="shared" si="6"/>
        <v>RAS</v>
      </c>
      <c r="P112" t="str">
        <f t="shared" si="7"/>
        <v>Data</v>
      </c>
      <c r="Q112" t="str" cm="1">
        <f t="array" ref="Q112">_xlfn.IFS(H112&gt;=16,"Excellent",H112&gt;=14,"Très bien",H112&gt;=12,"Bien",H112&gt;=10,"Passable",H112&lt;10,"Insuffisant")</f>
        <v>Excellent</v>
      </c>
    </row>
    <row r="113" spans="1:17">
      <c r="A113" t="s">
        <v>235</v>
      </c>
      <c r="B113" t="s">
        <v>236</v>
      </c>
      <c r="C113" t="s">
        <v>24</v>
      </c>
      <c r="D113" t="s">
        <v>37</v>
      </c>
      <c r="E113" s="8" t="s">
        <v>34</v>
      </c>
      <c r="F113" s="8">
        <v>10.84</v>
      </c>
      <c r="G113" s="8">
        <v>14.06</v>
      </c>
      <c r="H113" s="8">
        <v>15.62</v>
      </c>
      <c r="I113" s="8">
        <v>15.45</v>
      </c>
      <c r="J113" s="6">
        <v>0.89270000000000005</v>
      </c>
      <c r="K113" s="4">
        <v>50000</v>
      </c>
      <c r="L113" s="2">
        <v>46215</v>
      </c>
      <c r="M113" t="str">
        <f t="shared" si="4"/>
        <v>Admis</v>
      </c>
      <c r="N113" t="str">
        <f t="shared" si="5"/>
        <v>Non eligible</v>
      </c>
      <c r="O113" t="str">
        <f t="shared" si="6"/>
        <v>RAS</v>
      </c>
      <c r="P113" t="str">
        <f t="shared" si="7"/>
        <v>Hors data</v>
      </c>
      <c r="Q113" t="str" cm="1">
        <f t="array" ref="Q113">_xlfn.IFS(H113&gt;=16,"Excellent",H113&gt;=14,"Très bien",H113&gt;=12,"Bien",H113&gt;=10,"Passable",H113&lt;10,"Insuffisant")</f>
        <v>Très bien</v>
      </c>
    </row>
    <row r="114" spans="1:17">
      <c r="A114" t="s">
        <v>237</v>
      </c>
      <c r="B114" t="s">
        <v>238</v>
      </c>
      <c r="C114" t="s">
        <v>24</v>
      </c>
      <c r="D114" t="s">
        <v>52</v>
      </c>
      <c r="E114" s="8" t="s">
        <v>47</v>
      </c>
      <c r="F114" s="8">
        <v>18.809999999999999</v>
      </c>
      <c r="G114" s="8">
        <v>20</v>
      </c>
      <c r="H114" s="8">
        <v>20</v>
      </c>
      <c r="I114" s="8">
        <v>17.59</v>
      </c>
      <c r="J114" s="6">
        <v>0.84499999999999997</v>
      </c>
      <c r="K114" s="4">
        <v>110000</v>
      </c>
      <c r="L114" s="2">
        <v>46217</v>
      </c>
      <c r="M114" t="str">
        <f t="shared" si="4"/>
        <v>Admis</v>
      </c>
      <c r="N114" t="str">
        <f t="shared" si="5"/>
        <v>Eligible</v>
      </c>
      <c r="O114" t="str">
        <f t="shared" si="6"/>
        <v>RAS</v>
      </c>
      <c r="P114" t="str">
        <f t="shared" si="7"/>
        <v>Hors data</v>
      </c>
      <c r="Q114" t="str" cm="1">
        <f t="array" ref="Q114">_xlfn.IFS(H114&gt;=16,"Excellent",H114&gt;=14,"Très bien",H114&gt;=12,"Bien",H114&gt;=10,"Passable",H114&lt;10,"Insuffisant")</f>
        <v>Excellent</v>
      </c>
    </row>
    <row r="115" spans="1:17">
      <c r="A115" t="s">
        <v>239</v>
      </c>
      <c r="B115" t="s">
        <v>240</v>
      </c>
      <c r="C115" t="s">
        <v>19</v>
      </c>
      <c r="D115" t="s">
        <v>25</v>
      </c>
      <c r="E115" s="8" t="s">
        <v>26</v>
      </c>
      <c r="F115" s="8">
        <v>15.49</v>
      </c>
      <c r="G115" s="8">
        <v>14.47</v>
      </c>
      <c r="H115" s="8">
        <v>15.24</v>
      </c>
      <c r="I115" s="8">
        <v>13.19</v>
      </c>
      <c r="J115" s="6">
        <v>0.80830000000000002</v>
      </c>
      <c r="K115" s="4">
        <v>75000</v>
      </c>
      <c r="L115" s="2">
        <v>45717</v>
      </c>
      <c r="M115" t="str">
        <f t="shared" si="4"/>
        <v>Admis</v>
      </c>
      <c r="N115" t="str">
        <f t="shared" si="5"/>
        <v>Eligible</v>
      </c>
      <c r="O115" t="str">
        <f t="shared" si="6"/>
        <v>RAS</v>
      </c>
      <c r="P115" t="str">
        <f t="shared" si="7"/>
        <v>Hors data</v>
      </c>
      <c r="Q115" t="str" cm="1">
        <f t="array" ref="Q115">_xlfn.IFS(H115&gt;=16,"Excellent",H115&gt;=14,"Très bien",H115&gt;=12,"Bien",H115&gt;=10,"Passable",H115&lt;10,"Insuffisant")</f>
        <v>Très bien</v>
      </c>
    </row>
    <row r="116" spans="1:17">
      <c r="A116" t="s">
        <v>241</v>
      </c>
      <c r="B116" t="s">
        <v>242</v>
      </c>
      <c r="C116" t="s">
        <v>24</v>
      </c>
      <c r="D116" t="s">
        <v>52</v>
      </c>
      <c r="E116" s="8" t="s">
        <v>21</v>
      </c>
      <c r="F116" s="8">
        <v>11.48</v>
      </c>
      <c r="G116" s="8">
        <v>15.71</v>
      </c>
      <c r="H116" s="8">
        <v>12.61</v>
      </c>
      <c r="I116" s="8">
        <v>11.97</v>
      </c>
      <c r="J116" s="6">
        <v>0.55089999999999995</v>
      </c>
      <c r="K116" s="4">
        <v>100000</v>
      </c>
      <c r="L116" s="2">
        <v>46152</v>
      </c>
      <c r="M116" t="str">
        <f t="shared" si="4"/>
        <v>Admis</v>
      </c>
      <c r="N116" t="str">
        <f t="shared" si="5"/>
        <v>Non eligible</v>
      </c>
      <c r="O116" t="str">
        <f t="shared" si="6"/>
        <v>RAS</v>
      </c>
      <c r="P116" t="str">
        <f t="shared" si="7"/>
        <v>Data</v>
      </c>
      <c r="Q116" t="str" cm="1">
        <f t="array" ref="Q116">_xlfn.IFS(H116&gt;=16,"Excellent",H116&gt;=14,"Très bien",H116&gt;=12,"Bien",H116&gt;=10,"Passable",H116&lt;10,"Insuffisant")</f>
        <v>Bien</v>
      </c>
    </row>
    <row r="117" spans="1:17">
      <c r="A117" t="s">
        <v>243</v>
      </c>
      <c r="B117" t="s">
        <v>172</v>
      </c>
      <c r="C117" t="s">
        <v>24</v>
      </c>
      <c r="D117" t="s">
        <v>20</v>
      </c>
      <c r="E117" s="8" t="s">
        <v>34</v>
      </c>
      <c r="F117" s="8">
        <v>15.07</v>
      </c>
      <c r="G117" s="8">
        <v>11.87</v>
      </c>
      <c r="H117" s="8">
        <v>13.51</v>
      </c>
      <c r="I117" s="8">
        <v>11.94</v>
      </c>
      <c r="J117" s="6">
        <v>0.91290000000000004</v>
      </c>
      <c r="K117" s="4">
        <v>110000</v>
      </c>
      <c r="L117" s="2">
        <v>45889</v>
      </c>
      <c r="M117" t="str">
        <f t="shared" si="4"/>
        <v>Admis</v>
      </c>
      <c r="N117" t="str">
        <f t="shared" si="5"/>
        <v>Eligible</v>
      </c>
      <c r="O117" t="str">
        <f t="shared" si="6"/>
        <v>RAS</v>
      </c>
      <c r="P117" t="str">
        <f t="shared" si="7"/>
        <v>Hors data</v>
      </c>
      <c r="Q117" t="str" cm="1">
        <f t="array" ref="Q117">_xlfn.IFS(H117&gt;=16,"Excellent",H117&gt;=14,"Très bien",H117&gt;=12,"Bien",H117&gt;=10,"Passable",H117&lt;10,"Insuffisant")</f>
        <v>Bien</v>
      </c>
    </row>
    <row r="118" spans="1:17">
      <c r="A118" t="s">
        <v>244</v>
      </c>
      <c r="B118" t="s">
        <v>245</v>
      </c>
      <c r="C118" t="s">
        <v>19</v>
      </c>
      <c r="D118" t="s">
        <v>37</v>
      </c>
      <c r="E118" s="8" t="s">
        <v>21</v>
      </c>
      <c r="F118" s="8">
        <v>18.510000000000002</v>
      </c>
      <c r="G118" s="8">
        <v>15.64</v>
      </c>
      <c r="H118" s="8">
        <v>13.21</v>
      </c>
      <c r="I118" s="8">
        <v>14.8</v>
      </c>
      <c r="J118" s="6">
        <v>0.66739999999999999</v>
      </c>
      <c r="K118" s="4">
        <v>100000</v>
      </c>
      <c r="L118" s="2">
        <v>46044</v>
      </c>
      <c r="M118" t="str">
        <f t="shared" si="4"/>
        <v>Admis</v>
      </c>
      <c r="N118" t="str">
        <f t="shared" si="5"/>
        <v>Non eligible</v>
      </c>
      <c r="O118" t="str">
        <f t="shared" si="6"/>
        <v>RAS</v>
      </c>
      <c r="P118" t="str">
        <f t="shared" si="7"/>
        <v>Data</v>
      </c>
      <c r="Q118" t="str" cm="1">
        <f t="array" ref="Q118">_xlfn.IFS(H118&gt;=16,"Excellent",H118&gt;=14,"Très bien",H118&gt;=12,"Bien",H118&gt;=10,"Passable",H118&lt;10,"Insuffisant")</f>
        <v>Bien</v>
      </c>
    </row>
    <row r="119" spans="1:17">
      <c r="A119" t="s">
        <v>246</v>
      </c>
      <c r="B119" t="s">
        <v>247</v>
      </c>
      <c r="C119" t="s">
        <v>19</v>
      </c>
      <c r="D119" t="s">
        <v>52</v>
      </c>
      <c r="E119" s="8" t="s">
        <v>26</v>
      </c>
      <c r="F119" s="8">
        <v>13.77</v>
      </c>
      <c r="G119" s="8">
        <v>12.51</v>
      </c>
      <c r="H119" s="8">
        <v>15.21</v>
      </c>
      <c r="I119" s="8">
        <v>11.91</v>
      </c>
      <c r="J119" s="6">
        <v>0.94169999999999998</v>
      </c>
      <c r="K119" s="4">
        <v>80000</v>
      </c>
      <c r="L119" s="2">
        <v>46137</v>
      </c>
      <c r="M119" t="str">
        <f t="shared" si="4"/>
        <v>Admis</v>
      </c>
      <c r="N119" t="str">
        <f t="shared" si="5"/>
        <v>Eligible</v>
      </c>
      <c r="O119" t="str">
        <f t="shared" si="6"/>
        <v>RAS</v>
      </c>
      <c r="P119" t="str">
        <f t="shared" si="7"/>
        <v>Hors data</v>
      </c>
      <c r="Q119" t="str" cm="1">
        <f t="array" ref="Q119">_xlfn.IFS(H119&gt;=16,"Excellent",H119&gt;=14,"Très bien",H119&gt;=12,"Bien",H119&gt;=10,"Passable",H119&lt;10,"Insuffisant")</f>
        <v>Très bien</v>
      </c>
    </row>
    <row r="120" spans="1:17">
      <c r="A120" t="s">
        <v>248</v>
      </c>
      <c r="B120" t="s">
        <v>99</v>
      </c>
      <c r="C120" t="s">
        <v>19</v>
      </c>
      <c r="D120" t="s">
        <v>33</v>
      </c>
      <c r="E120" s="8" t="s">
        <v>26</v>
      </c>
      <c r="F120" s="8">
        <v>10.83</v>
      </c>
      <c r="G120" s="8">
        <v>9.1199999999999992</v>
      </c>
      <c r="H120" s="8">
        <v>10.78</v>
      </c>
      <c r="I120" s="8">
        <v>14.67</v>
      </c>
      <c r="J120" s="6">
        <v>0.82340000000000002</v>
      </c>
      <c r="K120" s="4">
        <v>90000</v>
      </c>
      <c r="L120" s="2">
        <v>45650</v>
      </c>
      <c r="M120" t="str">
        <f t="shared" si="4"/>
        <v>Admis</v>
      </c>
      <c r="N120" t="str">
        <f t="shared" si="5"/>
        <v>Non eligible</v>
      </c>
      <c r="O120" t="str">
        <f t="shared" si="6"/>
        <v>RAS</v>
      </c>
      <c r="P120" t="str">
        <f t="shared" si="7"/>
        <v>Hors data</v>
      </c>
      <c r="Q120" t="str" cm="1">
        <f t="array" ref="Q120">_xlfn.IFS(H120&gt;=16,"Excellent",H120&gt;=14,"Très bien",H120&gt;=12,"Bien",H120&gt;=10,"Passable",H120&lt;10,"Insuffisant")</f>
        <v>Passable</v>
      </c>
    </row>
    <row r="121" spans="1:17">
      <c r="A121" t="s">
        <v>249</v>
      </c>
      <c r="B121" t="s">
        <v>250</v>
      </c>
      <c r="C121" t="s">
        <v>19</v>
      </c>
      <c r="D121" t="s">
        <v>40</v>
      </c>
      <c r="E121" s="8" t="s">
        <v>21</v>
      </c>
      <c r="F121" s="8">
        <v>9.1999999999999993</v>
      </c>
      <c r="G121" s="8">
        <v>7.51</v>
      </c>
      <c r="H121" s="8">
        <v>11.45</v>
      </c>
      <c r="I121" s="8">
        <v>6.64</v>
      </c>
      <c r="J121" s="6">
        <v>0.77759999999999996</v>
      </c>
      <c r="K121" s="4">
        <v>85000</v>
      </c>
      <c r="L121" s="2">
        <v>45849</v>
      </c>
      <c r="M121" t="str">
        <f t="shared" si="4"/>
        <v>Admis</v>
      </c>
      <c r="N121" t="str">
        <f t="shared" si="5"/>
        <v>Non eligible</v>
      </c>
      <c r="O121" t="str">
        <f t="shared" si="6"/>
        <v>A surveiller</v>
      </c>
      <c r="P121" t="str">
        <f t="shared" si="7"/>
        <v>Data</v>
      </c>
      <c r="Q121" t="str" cm="1">
        <f t="array" ref="Q121">_xlfn.IFS(H121&gt;=16,"Excellent",H121&gt;=14,"Très bien",H121&gt;=12,"Bien",H121&gt;=10,"Passable",H121&lt;10,"Insuffisant")</f>
        <v>Passable</v>
      </c>
    </row>
    <row r="122" spans="1:17">
      <c r="A122" t="s">
        <v>251</v>
      </c>
      <c r="B122" t="s">
        <v>252</v>
      </c>
      <c r="C122" t="s">
        <v>19</v>
      </c>
      <c r="D122" t="s">
        <v>52</v>
      </c>
      <c r="E122" s="8" t="s">
        <v>21</v>
      </c>
      <c r="F122" s="8">
        <v>9.3800000000000008</v>
      </c>
      <c r="G122" s="8">
        <v>9.59</v>
      </c>
      <c r="H122" s="8">
        <v>14.07</v>
      </c>
      <c r="I122" s="8">
        <v>9.36</v>
      </c>
      <c r="J122" s="6">
        <v>0.87290000000000001</v>
      </c>
      <c r="K122" s="4">
        <v>90000</v>
      </c>
      <c r="L122" s="2">
        <v>45626</v>
      </c>
      <c r="M122" t="str">
        <f t="shared" si="4"/>
        <v>Admis</v>
      </c>
      <c r="N122" t="str">
        <f t="shared" si="5"/>
        <v>Non eligible</v>
      </c>
      <c r="O122" t="str">
        <f t="shared" si="6"/>
        <v>A surveiller</v>
      </c>
      <c r="P122" t="str">
        <f t="shared" si="7"/>
        <v>Data</v>
      </c>
      <c r="Q122" t="str" cm="1">
        <f t="array" ref="Q122">_xlfn.IFS(H122&gt;=16,"Excellent",H122&gt;=14,"Très bien",H122&gt;=12,"Bien",H122&gt;=10,"Passable",H122&lt;10,"Insuffisant")</f>
        <v>Très bien</v>
      </c>
    </row>
    <row r="123" spans="1:17">
      <c r="A123" t="s">
        <v>253</v>
      </c>
      <c r="B123" t="s">
        <v>70</v>
      </c>
      <c r="C123" t="s">
        <v>24</v>
      </c>
      <c r="D123" t="s">
        <v>25</v>
      </c>
      <c r="E123" s="8" t="s">
        <v>34</v>
      </c>
      <c r="F123" s="8">
        <v>15</v>
      </c>
      <c r="G123" s="8">
        <v>13.92</v>
      </c>
      <c r="H123" s="8">
        <v>15.39</v>
      </c>
      <c r="I123" s="8">
        <v>17.760000000000002</v>
      </c>
      <c r="J123" s="6">
        <v>0.83599999999999997</v>
      </c>
      <c r="K123" s="4">
        <v>85000</v>
      </c>
      <c r="L123" s="2">
        <v>45731</v>
      </c>
      <c r="M123" t="str">
        <f t="shared" si="4"/>
        <v>Admis</v>
      </c>
      <c r="N123" t="str">
        <f t="shared" si="5"/>
        <v>Eligible</v>
      </c>
      <c r="O123" t="str">
        <f t="shared" si="6"/>
        <v>RAS</v>
      </c>
      <c r="P123" t="str">
        <f t="shared" si="7"/>
        <v>Hors data</v>
      </c>
      <c r="Q123" t="str" cm="1">
        <f t="array" ref="Q123">_xlfn.IFS(H123&gt;=16,"Excellent",H123&gt;=14,"Très bien",H123&gt;=12,"Bien",H123&gt;=10,"Passable",H123&lt;10,"Insuffisant")</f>
        <v>Très bien</v>
      </c>
    </row>
    <row r="124" spans="1:17">
      <c r="A124" t="s">
        <v>254</v>
      </c>
      <c r="B124" t="s">
        <v>255</v>
      </c>
      <c r="C124" t="s">
        <v>24</v>
      </c>
      <c r="D124" t="s">
        <v>33</v>
      </c>
      <c r="E124" s="8" t="s">
        <v>26</v>
      </c>
      <c r="F124" s="8">
        <v>12.66</v>
      </c>
      <c r="G124" s="8">
        <v>13.95</v>
      </c>
      <c r="H124" s="8">
        <v>9.9700000000000006</v>
      </c>
      <c r="I124" s="8">
        <v>7.89</v>
      </c>
      <c r="J124" s="6">
        <v>0.8034</v>
      </c>
      <c r="K124" s="4">
        <v>80000</v>
      </c>
      <c r="L124" s="2">
        <v>45825</v>
      </c>
      <c r="M124" t="str">
        <f t="shared" si="4"/>
        <v>Non admis</v>
      </c>
      <c r="N124" t="str">
        <f t="shared" si="5"/>
        <v>Non eligible</v>
      </c>
      <c r="O124" t="str">
        <f t="shared" si="6"/>
        <v>A surveiller</v>
      </c>
      <c r="P124" t="str">
        <f t="shared" si="7"/>
        <v>Hors data</v>
      </c>
      <c r="Q124" t="str" cm="1">
        <f t="array" ref="Q124">_xlfn.IFS(H124&gt;=16,"Excellent",H124&gt;=14,"Très bien",H124&gt;=12,"Bien",H124&gt;=10,"Passable",H124&lt;10,"Insuffisant")</f>
        <v>Insuffisant</v>
      </c>
    </row>
    <row r="125" spans="1:17">
      <c r="A125" t="s">
        <v>256</v>
      </c>
      <c r="B125" t="s">
        <v>257</v>
      </c>
      <c r="C125" t="s">
        <v>19</v>
      </c>
      <c r="D125" t="s">
        <v>25</v>
      </c>
      <c r="E125" s="8" t="s">
        <v>34</v>
      </c>
      <c r="F125" s="8">
        <v>8.66</v>
      </c>
      <c r="G125" s="8">
        <v>8.25</v>
      </c>
      <c r="H125" s="8">
        <v>9.07</v>
      </c>
      <c r="I125" s="8">
        <v>16.170000000000002</v>
      </c>
      <c r="J125" s="6">
        <v>0.70330000000000004</v>
      </c>
      <c r="K125" s="4">
        <v>70000</v>
      </c>
      <c r="L125" s="2">
        <v>46134</v>
      </c>
      <c r="M125" t="str">
        <f t="shared" si="4"/>
        <v>Non admis</v>
      </c>
      <c r="N125" t="str">
        <f t="shared" si="5"/>
        <v>Non eligible</v>
      </c>
      <c r="O125" t="str">
        <f t="shared" si="6"/>
        <v>A surveiller</v>
      </c>
      <c r="P125" t="str">
        <f t="shared" si="7"/>
        <v>Hors data</v>
      </c>
      <c r="Q125" t="str" cm="1">
        <f t="array" ref="Q125">_xlfn.IFS(H125&gt;=16,"Excellent",H125&gt;=14,"Très bien",H125&gt;=12,"Bien",H125&gt;=10,"Passable",H125&lt;10,"Insuffisant")</f>
        <v>Insuffisant</v>
      </c>
    </row>
    <row r="126" spans="1:17">
      <c r="A126" t="s">
        <v>258</v>
      </c>
      <c r="B126" t="s">
        <v>259</v>
      </c>
      <c r="C126" t="s">
        <v>24</v>
      </c>
      <c r="D126" t="s">
        <v>52</v>
      </c>
      <c r="E126" s="8" t="s">
        <v>34</v>
      </c>
      <c r="F126" s="8">
        <v>11.41</v>
      </c>
      <c r="G126" s="8">
        <v>9.24</v>
      </c>
      <c r="H126" s="8">
        <v>15.43</v>
      </c>
      <c r="I126" s="8">
        <v>12.49</v>
      </c>
      <c r="J126" s="6">
        <v>0.77380000000000004</v>
      </c>
      <c r="K126" s="4">
        <v>80000</v>
      </c>
      <c r="L126" s="2">
        <v>46139</v>
      </c>
      <c r="M126" t="str">
        <f t="shared" si="4"/>
        <v>Admis</v>
      </c>
      <c r="N126" t="str">
        <f t="shared" si="5"/>
        <v>Non eligible</v>
      </c>
      <c r="O126" t="str">
        <f t="shared" si="6"/>
        <v>RAS</v>
      </c>
      <c r="P126" t="str">
        <f t="shared" si="7"/>
        <v>Hors data</v>
      </c>
      <c r="Q126" t="str" cm="1">
        <f t="array" ref="Q126">_xlfn.IFS(H126&gt;=16,"Excellent",H126&gt;=14,"Très bien",H126&gt;=12,"Bien",H126&gt;=10,"Passable",H126&lt;10,"Insuffisant")</f>
        <v>Très bien</v>
      </c>
    </row>
    <row r="127" spans="1:17">
      <c r="A127" t="s">
        <v>260</v>
      </c>
      <c r="B127" t="s">
        <v>261</v>
      </c>
      <c r="C127" t="s">
        <v>24</v>
      </c>
      <c r="D127" t="s">
        <v>40</v>
      </c>
      <c r="E127" s="8" t="s">
        <v>34</v>
      </c>
      <c r="F127" s="8">
        <v>15.4</v>
      </c>
      <c r="G127" s="8">
        <v>19.149999999999999</v>
      </c>
      <c r="H127" s="8">
        <v>15.79</v>
      </c>
      <c r="I127" s="8">
        <v>15.94</v>
      </c>
      <c r="J127" s="6">
        <v>0.82779999999999998</v>
      </c>
      <c r="K127" s="4">
        <v>100000</v>
      </c>
      <c r="L127" s="2">
        <v>45808</v>
      </c>
      <c r="M127" t="str">
        <f t="shared" si="4"/>
        <v>Admis</v>
      </c>
      <c r="N127" t="str">
        <f t="shared" si="5"/>
        <v>Eligible</v>
      </c>
      <c r="O127" t="str">
        <f t="shared" si="6"/>
        <v>RAS</v>
      </c>
      <c r="P127" t="str">
        <f t="shared" si="7"/>
        <v>Hors data</v>
      </c>
      <c r="Q127" t="str" cm="1">
        <f t="array" ref="Q127">_xlfn.IFS(H127&gt;=16,"Excellent",H127&gt;=14,"Très bien",H127&gt;=12,"Bien",H127&gt;=10,"Passable",H127&lt;10,"Insuffisant")</f>
        <v>Très bien</v>
      </c>
    </row>
    <row r="128" spans="1:17">
      <c r="A128" t="s">
        <v>262</v>
      </c>
      <c r="B128" t="s">
        <v>263</v>
      </c>
      <c r="C128" t="s">
        <v>19</v>
      </c>
      <c r="D128" t="s">
        <v>52</v>
      </c>
      <c r="E128" s="8" t="s">
        <v>47</v>
      </c>
      <c r="F128" s="8">
        <v>13.64</v>
      </c>
      <c r="G128" s="8">
        <v>16.39</v>
      </c>
      <c r="H128" s="8">
        <v>16.13</v>
      </c>
      <c r="I128" s="8">
        <v>15.16</v>
      </c>
      <c r="J128" s="6">
        <v>0.83150000000000002</v>
      </c>
      <c r="K128" s="4">
        <v>120000</v>
      </c>
      <c r="L128" s="2">
        <v>45766</v>
      </c>
      <c r="M128" t="str">
        <f t="shared" si="4"/>
        <v>Admis</v>
      </c>
      <c r="N128" t="str">
        <f t="shared" si="5"/>
        <v>Eligible</v>
      </c>
      <c r="O128" t="str">
        <f t="shared" si="6"/>
        <v>RAS</v>
      </c>
      <c r="P128" t="str">
        <f t="shared" si="7"/>
        <v>Hors data</v>
      </c>
      <c r="Q128" t="str" cm="1">
        <f t="array" ref="Q128">_xlfn.IFS(H128&gt;=16,"Excellent",H128&gt;=14,"Très bien",H128&gt;=12,"Bien",H128&gt;=10,"Passable",H128&lt;10,"Insuffisant")</f>
        <v>Excellent</v>
      </c>
    </row>
    <row r="129" spans="1:17">
      <c r="A129" t="s">
        <v>264</v>
      </c>
      <c r="B129" t="s">
        <v>122</v>
      </c>
      <c r="C129" t="s">
        <v>24</v>
      </c>
      <c r="D129" t="s">
        <v>40</v>
      </c>
      <c r="E129" s="8" t="s">
        <v>34</v>
      </c>
      <c r="F129" s="8">
        <v>10.42</v>
      </c>
      <c r="G129" s="8">
        <v>9.75</v>
      </c>
      <c r="H129" s="8">
        <v>10.69</v>
      </c>
      <c r="I129" s="8">
        <v>13.16</v>
      </c>
      <c r="J129" s="6">
        <v>0.89610000000000001</v>
      </c>
      <c r="K129" s="4">
        <v>60000</v>
      </c>
      <c r="L129" s="2">
        <v>45907</v>
      </c>
      <c r="M129" t="str">
        <f t="shared" si="4"/>
        <v>Admis</v>
      </c>
      <c r="N129" t="str">
        <f t="shared" si="5"/>
        <v>Non eligible</v>
      </c>
      <c r="O129" t="str">
        <f t="shared" si="6"/>
        <v>RAS</v>
      </c>
      <c r="P129" t="str">
        <f t="shared" si="7"/>
        <v>Hors data</v>
      </c>
      <c r="Q129" t="str" cm="1">
        <f t="array" ref="Q129">_xlfn.IFS(H129&gt;=16,"Excellent",H129&gt;=14,"Très bien",H129&gt;=12,"Bien",H129&gt;=10,"Passable",H129&lt;10,"Insuffisant")</f>
        <v>Passable</v>
      </c>
    </row>
    <row r="130" spans="1:17">
      <c r="A130" t="s">
        <v>265</v>
      </c>
      <c r="B130" t="s">
        <v>28</v>
      </c>
      <c r="C130" t="s">
        <v>24</v>
      </c>
      <c r="D130" t="s">
        <v>33</v>
      </c>
      <c r="E130" s="8" t="s">
        <v>21</v>
      </c>
      <c r="F130" s="8">
        <v>16.54</v>
      </c>
      <c r="G130" s="8">
        <v>17.329999999999998</v>
      </c>
      <c r="H130" s="8">
        <v>18.96</v>
      </c>
      <c r="I130" s="8">
        <v>17.440000000000001</v>
      </c>
      <c r="J130" s="6">
        <v>0.75839999999999996</v>
      </c>
      <c r="K130" s="4">
        <v>70000</v>
      </c>
      <c r="L130" s="2">
        <v>46174</v>
      </c>
      <c r="M130" t="str">
        <f t="shared" si="4"/>
        <v>Admis</v>
      </c>
      <c r="N130" t="str">
        <f t="shared" si="5"/>
        <v>Non eligible</v>
      </c>
      <c r="O130" t="str">
        <f t="shared" si="6"/>
        <v>RAS</v>
      </c>
      <c r="P130" t="str">
        <f t="shared" si="7"/>
        <v>Data</v>
      </c>
      <c r="Q130" t="str" cm="1">
        <f t="array" ref="Q130">_xlfn.IFS(H130&gt;=16,"Excellent",H130&gt;=14,"Très bien",H130&gt;=12,"Bien",H130&gt;=10,"Passable",H130&lt;10,"Insuffisant")</f>
        <v>Excellent</v>
      </c>
    </row>
    <row r="131" spans="1:17">
      <c r="A131" t="s">
        <v>266</v>
      </c>
      <c r="B131" t="s">
        <v>267</v>
      </c>
      <c r="C131" t="s">
        <v>24</v>
      </c>
      <c r="D131" t="s">
        <v>20</v>
      </c>
      <c r="E131" s="8" t="s">
        <v>26</v>
      </c>
      <c r="F131" s="8">
        <v>18.059999999999999</v>
      </c>
      <c r="G131" s="8">
        <v>20</v>
      </c>
      <c r="H131" s="8">
        <v>17.77</v>
      </c>
      <c r="I131" s="8">
        <v>20</v>
      </c>
      <c r="J131" s="6">
        <v>0.76829999999999998</v>
      </c>
      <c r="K131" s="4">
        <v>85000</v>
      </c>
      <c r="L131" s="2">
        <v>46219</v>
      </c>
      <c r="M131" t="str">
        <f t="shared" ref="M131:M194" si="8">IF(H131&gt;=10,"Admis","Non admis")</f>
        <v>Admis</v>
      </c>
      <c r="N131" t="str">
        <f t="shared" ref="N131:N194" si="9">IF(AND(F131&gt;=12,H131&gt;=12,J131&gt;=80%),"Eligible","Non eligible")</f>
        <v>Non eligible</v>
      </c>
      <c r="O131" t="str">
        <f t="shared" ref="O131:O194" si="10">IF(OR(F131&lt;10,H131&lt;10),"A surveiller","RAS")</f>
        <v>RAS</v>
      </c>
      <c r="P131" t="str">
        <f t="shared" ref="P131:P194" si="11">IF(NOT(E131="Data"),"Hors data","Data")</f>
        <v>Hors data</v>
      </c>
      <c r="Q131" t="str" cm="1">
        <f t="array" ref="Q131">_xlfn.IFS(H131&gt;=16,"Excellent",H131&gt;=14,"Très bien",H131&gt;=12,"Bien",H131&gt;=10,"Passable",H131&lt;10,"Insuffisant")</f>
        <v>Excellent</v>
      </c>
    </row>
    <row r="132" spans="1:17">
      <c r="A132" t="s">
        <v>268</v>
      </c>
      <c r="B132" t="s">
        <v>269</v>
      </c>
      <c r="C132" t="s">
        <v>24</v>
      </c>
      <c r="D132" t="s">
        <v>52</v>
      </c>
      <c r="E132" s="8" t="s">
        <v>34</v>
      </c>
      <c r="F132" s="8">
        <v>16.84</v>
      </c>
      <c r="G132" s="8">
        <v>16.21</v>
      </c>
      <c r="H132" s="8">
        <v>13.47</v>
      </c>
      <c r="I132" s="8">
        <v>15.93</v>
      </c>
      <c r="J132" s="6">
        <v>0.56440000000000001</v>
      </c>
      <c r="K132" s="4">
        <v>100000</v>
      </c>
      <c r="L132" s="2">
        <v>45694</v>
      </c>
      <c r="M132" t="str">
        <f t="shared" si="8"/>
        <v>Admis</v>
      </c>
      <c r="N132" t="str">
        <f t="shared" si="9"/>
        <v>Non eligible</v>
      </c>
      <c r="O132" t="str">
        <f t="shared" si="10"/>
        <v>RAS</v>
      </c>
      <c r="P132" t="str">
        <f t="shared" si="11"/>
        <v>Hors data</v>
      </c>
      <c r="Q132" t="str" cm="1">
        <f t="array" ref="Q132">_xlfn.IFS(H132&gt;=16,"Excellent",H132&gt;=14,"Très bien",H132&gt;=12,"Bien",H132&gt;=10,"Passable",H132&lt;10,"Insuffisant")</f>
        <v>Bien</v>
      </c>
    </row>
    <row r="133" spans="1:17">
      <c r="A133" t="s">
        <v>270</v>
      </c>
      <c r="B133" t="s">
        <v>271</v>
      </c>
      <c r="C133" t="s">
        <v>24</v>
      </c>
      <c r="D133" t="s">
        <v>33</v>
      </c>
      <c r="E133" s="8" t="s">
        <v>34</v>
      </c>
      <c r="F133" s="8">
        <v>16.010000000000002</v>
      </c>
      <c r="G133" s="8">
        <v>16.95</v>
      </c>
      <c r="H133" s="8">
        <v>15.54</v>
      </c>
      <c r="I133" s="8">
        <v>20</v>
      </c>
      <c r="J133" s="6">
        <v>0.71589999999999998</v>
      </c>
      <c r="K133" s="4">
        <v>60000</v>
      </c>
      <c r="L133" s="2">
        <v>45666</v>
      </c>
      <c r="M133" t="str">
        <f t="shared" si="8"/>
        <v>Admis</v>
      </c>
      <c r="N133" t="str">
        <f t="shared" si="9"/>
        <v>Non eligible</v>
      </c>
      <c r="O133" t="str">
        <f t="shared" si="10"/>
        <v>RAS</v>
      </c>
      <c r="P133" t="str">
        <f t="shared" si="11"/>
        <v>Hors data</v>
      </c>
      <c r="Q133" t="str" cm="1">
        <f t="array" ref="Q133">_xlfn.IFS(H133&gt;=16,"Excellent",H133&gt;=14,"Très bien",H133&gt;=12,"Bien",H133&gt;=10,"Passable",H133&lt;10,"Insuffisant")</f>
        <v>Très bien</v>
      </c>
    </row>
    <row r="134" spans="1:17">
      <c r="A134" t="s">
        <v>272</v>
      </c>
      <c r="B134" t="s">
        <v>273</v>
      </c>
      <c r="C134" t="s">
        <v>19</v>
      </c>
      <c r="D134" t="s">
        <v>52</v>
      </c>
      <c r="E134" s="8" t="s">
        <v>47</v>
      </c>
      <c r="F134" s="8">
        <v>17.86</v>
      </c>
      <c r="G134" s="8">
        <v>19.79</v>
      </c>
      <c r="H134" s="8">
        <v>14.54</v>
      </c>
      <c r="I134" s="8">
        <v>18.03</v>
      </c>
      <c r="J134" s="6">
        <v>0.58899999999999997</v>
      </c>
      <c r="K134" s="4">
        <v>75000</v>
      </c>
      <c r="L134" s="2">
        <v>46030</v>
      </c>
      <c r="M134" t="str">
        <f t="shared" si="8"/>
        <v>Admis</v>
      </c>
      <c r="N134" t="str">
        <f t="shared" si="9"/>
        <v>Non eligible</v>
      </c>
      <c r="O134" t="str">
        <f t="shared" si="10"/>
        <v>RAS</v>
      </c>
      <c r="P134" t="str">
        <f t="shared" si="11"/>
        <v>Hors data</v>
      </c>
      <c r="Q134" t="str" cm="1">
        <f t="array" ref="Q134">_xlfn.IFS(H134&gt;=16,"Excellent",H134&gt;=14,"Très bien",H134&gt;=12,"Bien",H134&gt;=10,"Passable",H134&lt;10,"Insuffisant")</f>
        <v>Très bien</v>
      </c>
    </row>
    <row r="135" spans="1:17">
      <c r="A135" t="s">
        <v>274</v>
      </c>
      <c r="B135" t="s">
        <v>23</v>
      </c>
      <c r="C135" t="s">
        <v>24</v>
      </c>
      <c r="D135" t="s">
        <v>33</v>
      </c>
      <c r="E135" s="8" t="s">
        <v>47</v>
      </c>
      <c r="F135" s="8">
        <v>15.47</v>
      </c>
      <c r="G135" s="8">
        <v>15.46</v>
      </c>
      <c r="H135" s="8">
        <v>20</v>
      </c>
      <c r="I135" s="8">
        <v>20</v>
      </c>
      <c r="J135" s="6">
        <v>0.81699999999999995</v>
      </c>
      <c r="K135" s="4">
        <v>50000</v>
      </c>
      <c r="L135" s="2">
        <v>45746</v>
      </c>
      <c r="M135" t="str">
        <f t="shared" si="8"/>
        <v>Admis</v>
      </c>
      <c r="N135" t="str">
        <f t="shared" si="9"/>
        <v>Eligible</v>
      </c>
      <c r="O135" t="str">
        <f t="shared" si="10"/>
        <v>RAS</v>
      </c>
      <c r="P135" t="str">
        <f t="shared" si="11"/>
        <v>Hors data</v>
      </c>
      <c r="Q135" t="str" cm="1">
        <f t="array" ref="Q135">_xlfn.IFS(H135&gt;=16,"Excellent",H135&gt;=14,"Très bien",H135&gt;=12,"Bien",H135&gt;=10,"Passable",H135&lt;10,"Insuffisant")</f>
        <v>Excellent</v>
      </c>
    </row>
    <row r="136" spans="1:17">
      <c r="A136" t="s">
        <v>275</v>
      </c>
      <c r="B136" t="s">
        <v>124</v>
      </c>
      <c r="C136" t="s">
        <v>24</v>
      </c>
      <c r="D136" t="s">
        <v>25</v>
      </c>
      <c r="E136" s="8" t="s">
        <v>21</v>
      </c>
      <c r="F136" s="8">
        <v>16.48</v>
      </c>
      <c r="G136" s="8">
        <v>15.69</v>
      </c>
      <c r="H136" s="8">
        <v>15.21</v>
      </c>
      <c r="I136" s="8">
        <v>17.100000000000001</v>
      </c>
      <c r="J136" s="6">
        <v>0.95309999999999995</v>
      </c>
      <c r="K136" s="4">
        <v>50000</v>
      </c>
      <c r="L136" s="2">
        <v>45675</v>
      </c>
      <c r="M136" t="str">
        <f t="shared" si="8"/>
        <v>Admis</v>
      </c>
      <c r="N136" t="str">
        <f t="shared" si="9"/>
        <v>Eligible</v>
      </c>
      <c r="O136" t="str">
        <f t="shared" si="10"/>
        <v>RAS</v>
      </c>
      <c r="P136" t="str">
        <f t="shared" si="11"/>
        <v>Data</v>
      </c>
      <c r="Q136" t="str" cm="1">
        <f t="array" ref="Q136">_xlfn.IFS(H136&gt;=16,"Excellent",H136&gt;=14,"Très bien",H136&gt;=12,"Bien",H136&gt;=10,"Passable",H136&lt;10,"Insuffisant")</f>
        <v>Très bien</v>
      </c>
    </row>
    <row r="137" spans="1:17">
      <c r="A137" t="s">
        <v>276</v>
      </c>
      <c r="B137" t="s">
        <v>277</v>
      </c>
      <c r="C137" t="s">
        <v>19</v>
      </c>
      <c r="D137" t="s">
        <v>37</v>
      </c>
      <c r="E137" s="8" t="s">
        <v>21</v>
      </c>
      <c r="F137" s="8">
        <v>16</v>
      </c>
      <c r="G137" s="8">
        <v>15.54</v>
      </c>
      <c r="H137" s="8">
        <v>16.79</v>
      </c>
      <c r="I137" s="8">
        <v>11.1</v>
      </c>
      <c r="J137" s="6">
        <v>0.94479999999999997</v>
      </c>
      <c r="K137" s="4">
        <v>60000</v>
      </c>
      <c r="L137" s="2">
        <v>45557</v>
      </c>
      <c r="M137" t="str">
        <f t="shared" si="8"/>
        <v>Admis</v>
      </c>
      <c r="N137" t="str">
        <f t="shared" si="9"/>
        <v>Eligible</v>
      </c>
      <c r="O137" t="str">
        <f t="shared" si="10"/>
        <v>RAS</v>
      </c>
      <c r="P137" t="str">
        <f t="shared" si="11"/>
        <v>Data</v>
      </c>
      <c r="Q137" t="str" cm="1">
        <f t="array" ref="Q137">_xlfn.IFS(H137&gt;=16,"Excellent",H137&gt;=14,"Très bien",H137&gt;=12,"Bien",H137&gt;=10,"Passable",H137&lt;10,"Insuffisant")</f>
        <v>Excellent</v>
      </c>
    </row>
    <row r="138" spans="1:17">
      <c r="A138" t="s">
        <v>278</v>
      </c>
      <c r="B138" t="s">
        <v>279</v>
      </c>
      <c r="C138" t="s">
        <v>24</v>
      </c>
      <c r="D138" t="s">
        <v>37</v>
      </c>
      <c r="E138" s="8" t="s">
        <v>21</v>
      </c>
      <c r="F138" s="8">
        <v>16.86</v>
      </c>
      <c r="G138" s="8">
        <v>14.75</v>
      </c>
      <c r="H138" s="8">
        <v>13.97</v>
      </c>
      <c r="I138" s="8">
        <v>20</v>
      </c>
      <c r="J138" s="6">
        <v>0.93310000000000004</v>
      </c>
      <c r="K138" s="4">
        <v>110000</v>
      </c>
      <c r="L138" s="2">
        <v>45818</v>
      </c>
      <c r="M138" t="str">
        <f t="shared" si="8"/>
        <v>Admis</v>
      </c>
      <c r="N138" t="str">
        <f t="shared" si="9"/>
        <v>Eligible</v>
      </c>
      <c r="O138" t="str">
        <f t="shared" si="10"/>
        <v>RAS</v>
      </c>
      <c r="P138" t="str">
        <f t="shared" si="11"/>
        <v>Data</v>
      </c>
      <c r="Q138" t="str" cm="1">
        <f t="array" ref="Q138">_xlfn.IFS(H138&gt;=16,"Excellent",H138&gt;=14,"Très bien",H138&gt;=12,"Bien",H138&gt;=10,"Passable",H138&lt;10,"Insuffisant")</f>
        <v>Bien</v>
      </c>
    </row>
    <row r="139" spans="1:17">
      <c r="A139" t="s">
        <v>280</v>
      </c>
      <c r="B139" t="s">
        <v>114</v>
      </c>
      <c r="C139" t="s">
        <v>19</v>
      </c>
      <c r="D139" t="s">
        <v>37</v>
      </c>
      <c r="E139" s="8" t="s">
        <v>26</v>
      </c>
      <c r="F139" s="8">
        <v>12</v>
      </c>
      <c r="G139" s="8">
        <v>9.9700000000000006</v>
      </c>
      <c r="H139" s="8">
        <v>8.31</v>
      </c>
      <c r="I139" s="8">
        <v>9.06</v>
      </c>
      <c r="J139" s="6">
        <v>0.79290000000000005</v>
      </c>
      <c r="K139" s="4">
        <v>120000</v>
      </c>
      <c r="L139" s="2">
        <v>45810</v>
      </c>
      <c r="M139" t="str">
        <f t="shared" si="8"/>
        <v>Non admis</v>
      </c>
      <c r="N139" t="str">
        <f t="shared" si="9"/>
        <v>Non eligible</v>
      </c>
      <c r="O139" t="str">
        <f t="shared" si="10"/>
        <v>A surveiller</v>
      </c>
      <c r="P139" t="str">
        <f t="shared" si="11"/>
        <v>Hors data</v>
      </c>
      <c r="Q139" t="str" cm="1">
        <f t="array" ref="Q139">_xlfn.IFS(H139&gt;=16,"Excellent",H139&gt;=14,"Très bien",H139&gt;=12,"Bien",H139&gt;=10,"Passable",H139&lt;10,"Insuffisant")</f>
        <v>Insuffisant</v>
      </c>
    </row>
    <row r="140" spans="1:17">
      <c r="A140" t="s">
        <v>281</v>
      </c>
      <c r="B140" t="s">
        <v>282</v>
      </c>
      <c r="C140" t="s">
        <v>19</v>
      </c>
      <c r="D140" t="s">
        <v>37</v>
      </c>
      <c r="E140" s="8" t="s">
        <v>47</v>
      </c>
      <c r="F140" s="8">
        <v>16.760000000000002</v>
      </c>
      <c r="G140" s="8">
        <v>16.02</v>
      </c>
      <c r="H140" s="8">
        <v>15.15</v>
      </c>
      <c r="I140" s="8">
        <v>18.649999999999999</v>
      </c>
      <c r="J140" s="6">
        <v>0.83130000000000004</v>
      </c>
      <c r="K140" s="4">
        <v>85000</v>
      </c>
      <c r="L140" s="2">
        <v>45930</v>
      </c>
      <c r="M140" t="str">
        <f t="shared" si="8"/>
        <v>Admis</v>
      </c>
      <c r="N140" t="str">
        <f t="shared" si="9"/>
        <v>Eligible</v>
      </c>
      <c r="O140" t="str">
        <f t="shared" si="10"/>
        <v>RAS</v>
      </c>
      <c r="P140" t="str">
        <f t="shared" si="11"/>
        <v>Hors data</v>
      </c>
      <c r="Q140" t="str" cm="1">
        <f t="array" ref="Q140">_xlfn.IFS(H140&gt;=16,"Excellent",H140&gt;=14,"Très bien",H140&gt;=12,"Bien",H140&gt;=10,"Passable",H140&lt;10,"Insuffisant")</f>
        <v>Très bien</v>
      </c>
    </row>
    <row r="141" spans="1:17">
      <c r="A141" t="s">
        <v>283</v>
      </c>
      <c r="B141" t="s">
        <v>284</v>
      </c>
      <c r="C141" t="s">
        <v>19</v>
      </c>
      <c r="D141" t="s">
        <v>52</v>
      </c>
      <c r="E141" s="8" t="s">
        <v>26</v>
      </c>
      <c r="F141" s="8">
        <v>9.49</v>
      </c>
      <c r="G141" s="8">
        <v>10.18</v>
      </c>
      <c r="H141" s="8">
        <v>12.33</v>
      </c>
      <c r="I141" s="8">
        <v>9.66</v>
      </c>
      <c r="J141" s="6">
        <v>0.95430000000000004</v>
      </c>
      <c r="K141" s="4">
        <v>60000</v>
      </c>
      <c r="L141" s="2">
        <v>45676</v>
      </c>
      <c r="M141" t="str">
        <f t="shared" si="8"/>
        <v>Admis</v>
      </c>
      <c r="N141" t="str">
        <f t="shared" si="9"/>
        <v>Non eligible</v>
      </c>
      <c r="O141" t="str">
        <f t="shared" si="10"/>
        <v>A surveiller</v>
      </c>
      <c r="P141" t="str">
        <f t="shared" si="11"/>
        <v>Hors data</v>
      </c>
      <c r="Q141" t="str" cm="1">
        <f t="array" ref="Q141">_xlfn.IFS(H141&gt;=16,"Excellent",H141&gt;=14,"Très bien",H141&gt;=12,"Bien",H141&gt;=10,"Passable",H141&lt;10,"Insuffisant")</f>
        <v>Bien</v>
      </c>
    </row>
    <row r="142" spans="1:17">
      <c r="A142" t="s">
        <v>285</v>
      </c>
      <c r="B142" t="s">
        <v>259</v>
      </c>
      <c r="C142" t="s">
        <v>24</v>
      </c>
      <c r="D142" t="s">
        <v>37</v>
      </c>
      <c r="E142" s="8" t="s">
        <v>47</v>
      </c>
      <c r="F142" s="8">
        <v>11.81</v>
      </c>
      <c r="G142" s="8">
        <v>9.3699999999999992</v>
      </c>
      <c r="H142" s="8">
        <v>10.33</v>
      </c>
      <c r="I142" s="8">
        <v>13.51</v>
      </c>
      <c r="J142" s="6">
        <v>0.80449999999999999</v>
      </c>
      <c r="K142" s="4">
        <v>130000</v>
      </c>
      <c r="L142" s="2">
        <v>46036</v>
      </c>
      <c r="M142" t="str">
        <f t="shared" si="8"/>
        <v>Admis</v>
      </c>
      <c r="N142" t="str">
        <f t="shared" si="9"/>
        <v>Non eligible</v>
      </c>
      <c r="O142" t="str">
        <f t="shared" si="10"/>
        <v>RAS</v>
      </c>
      <c r="P142" t="str">
        <f t="shared" si="11"/>
        <v>Hors data</v>
      </c>
      <c r="Q142" t="str" cm="1">
        <f t="array" ref="Q142">_xlfn.IFS(H142&gt;=16,"Excellent",H142&gt;=14,"Très bien",H142&gt;=12,"Bien",H142&gt;=10,"Passable",H142&lt;10,"Insuffisant")</f>
        <v>Passable</v>
      </c>
    </row>
    <row r="143" spans="1:17">
      <c r="A143" t="s">
        <v>286</v>
      </c>
      <c r="B143" t="s">
        <v>287</v>
      </c>
      <c r="C143" t="s">
        <v>19</v>
      </c>
      <c r="D143" t="s">
        <v>33</v>
      </c>
      <c r="E143" s="8" t="s">
        <v>34</v>
      </c>
      <c r="F143" s="8">
        <v>19.489999999999998</v>
      </c>
      <c r="G143" s="8">
        <v>19.309999999999999</v>
      </c>
      <c r="H143" s="8">
        <v>15.43</v>
      </c>
      <c r="I143" s="8">
        <v>15.54</v>
      </c>
      <c r="J143" s="6">
        <v>0.85609999999999997</v>
      </c>
      <c r="K143" s="4">
        <v>75000</v>
      </c>
      <c r="L143" s="2">
        <v>46012</v>
      </c>
      <c r="M143" t="str">
        <f t="shared" si="8"/>
        <v>Admis</v>
      </c>
      <c r="N143" t="str">
        <f t="shared" si="9"/>
        <v>Eligible</v>
      </c>
      <c r="O143" t="str">
        <f t="shared" si="10"/>
        <v>RAS</v>
      </c>
      <c r="P143" t="str">
        <f t="shared" si="11"/>
        <v>Hors data</v>
      </c>
      <c r="Q143" t="str" cm="1">
        <f t="array" ref="Q143">_xlfn.IFS(H143&gt;=16,"Excellent",H143&gt;=14,"Très bien",H143&gt;=12,"Bien",H143&gt;=10,"Passable",H143&lt;10,"Insuffisant")</f>
        <v>Très bien</v>
      </c>
    </row>
    <row r="144" spans="1:17">
      <c r="A144" t="s">
        <v>288</v>
      </c>
      <c r="B144" t="s">
        <v>195</v>
      </c>
      <c r="C144" t="s">
        <v>19</v>
      </c>
      <c r="D144" t="s">
        <v>37</v>
      </c>
      <c r="E144" s="8" t="s">
        <v>47</v>
      </c>
      <c r="F144" s="8">
        <v>14.42</v>
      </c>
      <c r="G144" s="8">
        <v>14.1</v>
      </c>
      <c r="H144" s="8">
        <v>16.39</v>
      </c>
      <c r="I144" s="8">
        <v>17.13</v>
      </c>
      <c r="J144" s="6">
        <v>0.76539999999999997</v>
      </c>
      <c r="K144" s="4">
        <v>60000</v>
      </c>
      <c r="L144" s="2">
        <v>45859</v>
      </c>
      <c r="M144" t="str">
        <f t="shared" si="8"/>
        <v>Admis</v>
      </c>
      <c r="N144" t="str">
        <f t="shared" si="9"/>
        <v>Non eligible</v>
      </c>
      <c r="O144" t="str">
        <f t="shared" si="10"/>
        <v>RAS</v>
      </c>
      <c r="P144" t="str">
        <f t="shared" si="11"/>
        <v>Hors data</v>
      </c>
      <c r="Q144" t="str" cm="1">
        <f t="array" ref="Q144">_xlfn.IFS(H144&gt;=16,"Excellent",H144&gt;=14,"Très bien",H144&gt;=12,"Bien",H144&gt;=10,"Passable",H144&lt;10,"Insuffisant")</f>
        <v>Excellent</v>
      </c>
    </row>
    <row r="145" spans="1:17">
      <c r="A145" t="s">
        <v>289</v>
      </c>
      <c r="B145" t="s">
        <v>290</v>
      </c>
      <c r="C145" t="s">
        <v>19</v>
      </c>
      <c r="D145" t="s">
        <v>25</v>
      </c>
      <c r="E145" s="8" t="s">
        <v>47</v>
      </c>
      <c r="F145" s="8">
        <v>16.28</v>
      </c>
      <c r="G145" s="8">
        <v>17.579999999999998</v>
      </c>
      <c r="H145" s="8">
        <v>18.96</v>
      </c>
      <c r="I145" s="8">
        <v>17.010000000000002</v>
      </c>
      <c r="J145" s="6">
        <v>0.8982</v>
      </c>
      <c r="K145" s="4">
        <v>60000</v>
      </c>
      <c r="L145" s="2">
        <v>45662</v>
      </c>
      <c r="M145" t="str">
        <f t="shared" si="8"/>
        <v>Admis</v>
      </c>
      <c r="N145" t="str">
        <f t="shared" si="9"/>
        <v>Eligible</v>
      </c>
      <c r="O145" t="str">
        <f t="shared" si="10"/>
        <v>RAS</v>
      </c>
      <c r="P145" t="str">
        <f t="shared" si="11"/>
        <v>Hors data</v>
      </c>
      <c r="Q145" t="str" cm="1">
        <f t="array" ref="Q145">_xlfn.IFS(H145&gt;=16,"Excellent",H145&gt;=14,"Très bien",H145&gt;=12,"Bien",H145&gt;=10,"Passable",H145&lt;10,"Insuffisant")</f>
        <v>Excellent</v>
      </c>
    </row>
    <row r="146" spans="1:17">
      <c r="A146" t="s">
        <v>291</v>
      </c>
      <c r="B146" t="s">
        <v>62</v>
      </c>
      <c r="C146" t="s">
        <v>24</v>
      </c>
      <c r="D146" t="s">
        <v>25</v>
      </c>
      <c r="E146" s="8" t="s">
        <v>34</v>
      </c>
      <c r="F146" s="8">
        <v>13.14</v>
      </c>
      <c r="G146" s="8">
        <v>12.49</v>
      </c>
      <c r="H146" s="8">
        <v>16.55</v>
      </c>
      <c r="I146" s="8">
        <v>16.11</v>
      </c>
      <c r="J146" s="6">
        <v>0.72319999999999995</v>
      </c>
      <c r="K146" s="4">
        <v>75000</v>
      </c>
      <c r="L146" s="2">
        <v>45890</v>
      </c>
      <c r="M146" t="str">
        <f t="shared" si="8"/>
        <v>Admis</v>
      </c>
      <c r="N146" t="str">
        <f t="shared" si="9"/>
        <v>Non eligible</v>
      </c>
      <c r="O146" t="str">
        <f t="shared" si="10"/>
        <v>RAS</v>
      </c>
      <c r="P146" t="str">
        <f t="shared" si="11"/>
        <v>Hors data</v>
      </c>
      <c r="Q146" t="str" cm="1">
        <f t="array" ref="Q146">_xlfn.IFS(H146&gt;=16,"Excellent",H146&gt;=14,"Très bien",H146&gt;=12,"Bien",H146&gt;=10,"Passable",H146&lt;10,"Insuffisant")</f>
        <v>Excellent</v>
      </c>
    </row>
    <row r="147" spans="1:17">
      <c r="A147" t="s">
        <v>292</v>
      </c>
      <c r="B147" t="s">
        <v>143</v>
      </c>
      <c r="C147" t="s">
        <v>24</v>
      </c>
      <c r="D147" t="s">
        <v>25</v>
      </c>
      <c r="E147" s="8" t="s">
        <v>26</v>
      </c>
      <c r="F147" s="8">
        <v>11.19</v>
      </c>
      <c r="G147" s="8">
        <v>11.46</v>
      </c>
      <c r="H147" s="8">
        <v>11.25</v>
      </c>
      <c r="I147" s="8">
        <v>11.14</v>
      </c>
      <c r="J147" s="6">
        <v>0.91400000000000003</v>
      </c>
      <c r="K147" s="4">
        <v>110000</v>
      </c>
      <c r="L147" s="2">
        <v>46008</v>
      </c>
      <c r="M147" t="str">
        <f t="shared" si="8"/>
        <v>Admis</v>
      </c>
      <c r="N147" t="str">
        <f t="shared" si="9"/>
        <v>Non eligible</v>
      </c>
      <c r="O147" t="str">
        <f t="shared" si="10"/>
        <v>RAS</v>
      </c>
      <c r="P147" t="str">
        <f t="shared" si="11"/>
        <v>Hors data</v>
      </c>
      <c r="Q147" t="str" cm="1">
        <f t="array" ref="Q147">_xlfn.IFS(H147&gt;=16,"Excellent",H147&gt;=14,"Très bien",H147&gt;=12,"Bien",H147&gt;=10,"Passable",H147&lt;10,"Insuffisant")</f>
        <v>Passable</v>
      </c>
    </row>
    <row r="148" spans="1:17">
      <c r="A148" t="s">
        <v>293</v>
      </c>
      <c r="B148" t="s">
        <v>294</v>
      </c>
      <c r="C148" t="s">
        <v>19</v>
      </c>
      <c r="D148" t="s">
        <v>33</v>
      </c>
      <c r="E148" s="8" t="s">
        <v>26</v>
      </c>
      <c r="F148" s="8">
        <v>11.01</v>
      </c>
      <c r="G148" s="8">
        <v>8.56</v>
      </c>
      <c r="H148" s="8">
        <v>14.44</v>
      </c>
      <c r="I148" s="8">
        <v>14.79</v>
      </c>
      <c r="J148" s="6">
        <v>0.81269999999999998</v>
      </c>
      <c r="K148" s="4">
        <v>80000</v>
      </c>
      <c r="L148" s="2">
        <v>45796</v>
      </c>
      <c r="M148" t="str">
        <f t="shared" si="8"/>
        <v>Admis</v>
      </c>
      <c r="N148" t="str">
        <f t="shared" si="9"/>
        <v>Non eligible</v>
      </c>
      <c r="O148" t="str">
        <f t="shared" si="10"/>
        <v>RAS</v>
      </c>
      <c r="P148" t="str">
        <f t="shared" si="11"/>
        <v>Hors data</v>
      </c>
      <c r="Q148" t="str" cm="1">
        <f t="array" ref="Q148">_xlfn.IFS(H148&gt;=16,"Excellent",H148&gt;=14,"Très bien",H148&gt;=12,"Bien",H148&gt;=10,"Passable",H148&lt;10,"Insuffisant")</f>
        <v>Très bien</v>
      </c>
    </row>
    <row r="149" spans="1:17">
      <c r="A149" t="s">
        <v>295</v>
      </c>
      <c r="B149" t="s">
        <v>296</v>
      </c>
      <c r="C149" t="s">
        <v>19</v>
      </c>
      <c r="D149" t="s">
        <v>37</v>
      </c>
      <c r="E149" s="8" t="s">
        <v>26</v>
      </c>
      <c r="F149" s="8">
        <v>13.62</v>
      </c>
      <c r="G149" s="8">
        <v>16.149999999999999</v>
      </c>
      <c r="H149" s="8">
        <v>15.57</v>
      </c>
      <c r="I149" s="8">
        <v>8.92</v>
      </c>
      <c r="J149" s="6">
        <v>0.94320000000000004</v>
      </c>
      <c r="K149" s="4">
        <v>80000</v>
      </c>
      <c r="L149" s="2">
        <v>45720</v>
      </c>
      <c r="M149" t="str">
        <f t="shared" si="8"/>
        <v>Admis</v>
      </c>
      <c r="N149" t="str">
        <f t="shared" si="9"/>
        <v>Eligible</v>
      </c>
      <c r="O149" t="str">
        <f t="shared" si="10"/>
        <v>RAS</v>
      </c>
      <c r="P149" t="str">
        <f t="shared" si="11"/>
        <v>Hors data</v>
      </c>
      <c r="Q149" t="str" cm="1">
        <f t="array" ref="Q149">_xlfn.IFS(H149&gt;=16,"Excellent",H149&gt;=14,"Très bien",H149&gt;=12,"Bien",H149&gt;=10,"Passable",H149&lt;10,"Insuffisant")</f>
        <v>Très bien</v>
      </c>
    </row>
    <row r="150" spans="1:17">
      <c r="A150" t="s">
        <v>297</v>
      </c>
      <c r="B150" t="s">
        <v>271</v>
      </c>
      <c r="C150" t="s">
        <v>24</v>
      </c>
      <c r="D150" t="s">
        <v>40</v>
      </c>
      <c r="E150" s="8" t="s">
        <v>26</v>
      </c>
      <c r="F150" s="8">
        <v>13.51</v>
      </c>
      <c r="G150" s="8">
        <v>12.63</v>
      </c>
      <c r="H150" s="8">
        <v>11.38</v>
      </c>
      <c r="I150" s="8">
        <v>13.43</v>
      </c>
      <c r="J150" s="6">
        <v>0.70140000000000002</v>
      </c>
      <c r="K150" s="4">
        <v>75000</v>
      </c>
      <c r="L150" s="2">
        <v>45890</v>
      </c>
      <c r="M150" t="str">
        <f t="shared" si="8"/>
        <v>Admis</v>
      </c>
      <c r="N150" t="str">
        <f t="shared" si="9"/>
        <v>Non eligible</v>
      </c>
      <c r="O150" t="str">
        <f t="shared" si="10"/>
        <v>RAS</v>
      </c>
      <c r="P150" t="str">
        <f t="shared" si="11"/>
        <v>Hors data</v>
      </c>
      <c r="Q150" t="str" cm="1">
        <f t="array" ref="Q150">_xlfn.IFS(H150&gt;=16,"Excellent",H150&gt;=14,"Très bien",H150&gt;=12,"Bien",H150&gt;=10,"Passable",H150&lt;10,"Insuffisant")</f>
        <v>Passable</v>
      </c>
    </row>
    <row r="151" spans="1:17">
      <c r="A151" t="s">
        <v>298</v>
      </c>
      <c r="B151" t="s">
        <v>39</v>
      </c>
      <c r="C151" t="s">
        <v>19</v>
      </c>
      <c r="D151" t="s">
        <v>37</v>
      </c>
      <c r="E151" s="8" t="s">
        <v>34</v>
      </c>
      <c r="F151" s="8">
        <v>11.8</v>
      </c>
      <c r="G151" s="8">
        <v>19.760000000000002</v>
      </c>
      <c r="H151" s="8">
        <v>14.75</v>
      </c>
      <c r="I151" s="8">
        <v>17.48</v>
      </c>
      <c r="J151" s="6">
        <v>0.68049999999999999</v>
      </c>
      <c r="K151" s="4">
        <v>130000</v>
      </c>
      <c r="L151" s="2">
        <v>45784</v>
      </c>
      <c r="M151" t="str">
        <f t="shared" si="8"/>
        <v>Admis</v>
      </c>
      <c r="N151" t="str">
        <f t="shared" si="9"/>
        <v>Non eligible</v>
      </c>
      <c r="O151" t="str">
        <f t="shared" si="10"/>
        <v>RAS</v>
      </c>
      <c r="P151" t="str">
        <f t="shared" si="11"/>
        <v>Hors data</v>
      </c>
      <c r="Q151" t="str" cm="1">
        <f t="array" ref="Q151">_xlfn.IFS(H151&gt;=16,"Excellent",H151&gt;=14,"Très bien",H151&gt;=12,"Bien",H151&gt;=10,"Passable",H151&lt;10,"Insuffisant")</f>
        <v>Très bien</v>
      </c>
    </row>
    <row r="152" spans="1:17">
      <c r="A152" t="s">
        <v>299</v>
      </c>
      <c r="B152" t="s">
        <v>300</v>
      </c>
      <c r="C152" t="s">
        <v>24</v>
      </c>
      <c r="D152" t="s">
        <v>20</v>
      </c>
      <c r="E152" s="8" t="s">
        <v>21</v>
      </c>
      <c r="F152" s="8">
        <v>12.01</v>
      </c>
      <c r="G152" s="8">
        <v>11.84</v>
      </c>
      <c r="H152" s="8">
        <v>10.3</v>
      </c>
      <c r="I152" s="8">
        <v>12.88</v>
      </c>
      <c r="J152" s="6">
        <v>0.81130000000000002</v>
      </c>
      <c r="K152" s="4">
        <v>100000</v>
      </c>
      <c r="L152" s="2">
        <v>45816</v>
      </c>
      <c r="M152" t="str">
        <f t="shared" si="8"/>
        <v>Admis</v>
      </c>
      <c r="N152" t="str">
        <f t="shared" si="9"/>
        <v>Non eligible</v>
      </c>
      <c r="O152" t="str">
        <f t="shared" si="10"/>
        <v>RAS</v>
      </c>
      <c r="P152" t="str">
        <f t="shared" si="11"/>
        <v>Data</v>
      </c>
      <c r="Q152" t="str" cm="1">
        <f t="array" ref="Q152">_xlfn.IFS(H152&gt;=16,"Excellent",H152&gt;=14,"Très bien",H152&gt;=12,"Bien",H152&gt;=10,"Passable",H152&lt;10,"Insuffisant")</f>
        <v>Passable</v>
      </c>
    </row>
    <row r="153" spans="1:17">
      <c r="A153" t="s">
        <v>301</v>
      </c>
      <c r="B153" t="s">
        <v>46</v>
      </c>
      <c r="C153" t="s">
        <v>19</v>
      </c>
      <c r="D153" t="s">
        <v>20</v>
      </c>
      <c r="E153" s="8" t="s">
        <v>34</v>
      </c>
      <c r="F153" s="8">
        <v>14.14</v>
      </c>
      <c r="G153" s="8">
        <v>14.78</v>
      </c>
      <c r="H153" s="8">
        <v>11.75</v>
      </c>
      <c r="I153" s="8">
        <v>16.5</v>
      </c>
      <c r="J153" s="6">
        <v>0.90129999999999999</v>
      </c>
      <c r="K153" s="4">
        <v>100000</v>
      </c>
      <c r="L153" s="2">
        <v>45780</v>
      </c>
      <c r="M153" t="str">
        <f t="shared" si="8"/>
        <v>Admis</v>
      </c>
      <c r="N153" t="str">
        <f t="shared" si="9"/>
        <v>Non eligible</v>
      </c>
      <c r="O153" t="str">
        <f t="shared" si="10"/>
        <v>RAS</v>
      </c>
      <c r="P153" t="str">
        <f t="shared" si="11"/>
        <v>Hors data</v>
      </c>
      <c r="Q153" t="str" cm="1">
        <f t="array" ref="Q153">_xlfn.IFS(H153&gt;=16,"Excellent",H153&gt;=14,"Très bien",H153&gt;=12,"Bien",H153&gt;=10,"Passable",H153&lt;10,"Insuffisant")</f>
        <v>Passable</v>
      </c>
    </row>
    <row r="154" spans="1:17">
      <c r="A154" t="s">
        <v>302</v>
      </c>
      <c r="B154" t="s">
        <v>179</v>
      </c>
      <c r="C154" t="s">
        <v>24</v>
      </c>
      <c r="D154" t="s">
        <v>25</v>
      </c>
      <c r="E154" s="8" t="s">
        <v>47</v>
      </c>
      <c r="F154" s="8">
        <v>10.38</v>
      </c>
      <c r="G154" s="8">
        <v>15.34</v>
      </c>
      <c r="H154" s="8">
        <v>12.68</v>
      </c>
      <c r="I154" s="8">
        <v>9.83</v>
      </c>
      <c r="J154" s="6">
        <v>0.74870000000000003</v>
      </c>
      <c r="K154" s="4">
        <v>80000</v>
      </c>
      <c r="L154" s="2">
        <v>45748</v>
      </c>
      <c r="M154" t="str">
        <f t="shared" si="8"/>
        <v>Admis</v>
      </c>
      <c r="N154" t="str">
        <f t="shared" si="9"/>
        <v>Non eligible</v>
      </c>
      <c r="O154" t="str">
        <f t="shared" si="10"/>
        <v>RAS</v>
      </c>
      <c r="P154" t="str">
        <f t="shared" si="11"/>
        <v>Hors data</v>
      </c>
      <c r="Q154" t="str" cm="1">
        <f t="array" ref="Q154">_xlfn.IFS(H154&gt;=16,"Excellent",H154&gt;=14,"Très bien",H154&gt;=12,"Bien",H154&gt;=10,"Passable",H154&lt;10,"Insuffisant")</f>
        <v>Bien</v>
      </c>
    </row>
    <row r="155" spans="1:17">
      <c r="A155" t="s">
        <v>303</v>
      </c>
      <c r="B155" t="s">
        <v>230</v>
      </c>
      <c r="C155" t="s">
        <v>19</v>
      </c>
      <c r="D155" t="s">
        <v>33</v>
      </c>
      <c r="E155" s="8" t="s">
        <v>26</v>
      </c>
      <c r="F155" s="8">
        <v>17.88</v>
      </c>
      <c r="G155" s="8">
        <v>14.55</v>
      </c>
      <c r="H155" s="8">
        <v>15.6</v>
      </c>
      <c r="I155" s="8">
        <v>14.77</v>
      </c>
      <c r="J155" s="6">
        <v>0.84219999999999995</v>
      </c>
      <c r="K155" s="4">
        <v>85000</v>
      </c>
      <c r="L155" s="2">
        <v>46037</v>
      </c>
      <c r="M155" t="str">
        <f t="shared" si="8"/>
        <v>Admis</v>
      </c>
      <c r="N155" t="str">
        <f t="shared" si="9"/>
        <v>Eligible</v>
      </c>
      <c r="O155" t="str">
        <f t="shared" si="10"/>
        <v>RAS</v>
      </c>
      <c r="P155" t="str">
        <f t="shared" si="11"/>
        <v>Hors data</v>
      </c>
      <c r="Q155" t="str" cm="1">
        <f t="array" ref="Q155">_xlfn.IFS(H155&gt;=16,"Excellent",H155&gt;=14,"Très bien",H155&gt;=12,"Bien",H155&gt;=10,"Passable",H155&lt;10,"Insuffisant")</f>
        <v>Très bien</v>
      </c>
    </row>
    <row r="156" spans="1:17">
      <c r="A156" t="s">
        <v>304</v>
      </c>
      <c r="B156" t="s">
        <v>287</v>
      </c>
      <c r="C156" t="s">
        <v>19</v>
      </c>
      <c r="D156" t="s">
        <v>25</v>
      </c>
      <c r="E156" s="8" t="s">
        <v>34</v>
      </c>
      <c r="F156" s="8">
        <v>10.83</v>
      </c>
      <c r="G156" s="8">
        <v>16.63</v>
      </c>
      <c r="H156" s="8">
        <v>13.88</v>
      </c>
      <c r="I156" s="8">
        <v>16.010000000000002</v>
      </c>
      <c r="J156" s="6">
        <v>0.71230000000000004</v>
      </c>
      <c r="K156" s="4">
        <v>120000</v>
      </c>
      <c r="L156" s="2">
        <v>45858</v>
      </c>
      <c r="M156" t="str">
        <f t="shared" si="8"/>
        <v>Admis</v>
      </c>
      <c r="N156" t="str">
        <f t="shared" si="9"/>
        <v>Non eligible</v>
      </c>
      <c r="O156" t="str">
        <f t="shared" si="10"/>
        <v>RAS</v>
      </c>
      <c r="P156" t="str">
        <f t="shared" si="11"/>
        <v>Hors data</v>
      </c>
      <c r="Q156" t="str" cm="1">
        <f t="array" ref="Q156">_xlfn.IFS(H156&gt;=16,"Excellent",H156&gt;=14,"Très bien",H156&gt;=12,"Bien",H156&gt;=10,"Passable",H156&lt;10,"Insuffisant")</f>
        <v>Bien</v>
      </c>
    </row>
    <row r="157" spans="1:17">
      <c r="A157" t="s">
        <v>305</v>
      </c>
      <c r="B157" t="s">
        <v>306</v>
      </c>
      <c r="C157" t="s">
        <v>24</v>
      </c>
      <c r="D157" t="s">
        <v>40</v>
      </c>
      <c r="E157" s="8" t="s">
        <v>34</v>
      </c>
      <c r="F157" s="8">
        <v>9.59</v>
      </c>
      <c r="G157" s="8">
        <v>11.89</v>
      </c>
      <c r="H157" s="8">
        <v>5.9</v>
      </c>
      <c r="I157" s="8">
        <v>6.29</v>
      </c>
      <c r="J157" s="6">
        <v>0.89759999999999995</v>
      </c>
      <c r="K157" s="4">
        <v>100000</v>
      </c>
      <c r="L157" s="2">
        <v>45862</v>
      </c>
      <c r="M157" t="str">
        <f t="shared" si="8"/>
        <v>Non admis</v>
      </c>
      <c r="N157" t="str">
        <f t="shared" si="9"/>
        <v>Non eligible</v>
      </c>
      <c r="O157" t="str">
        <f t="shared" si="10"/>
        <v>A surveiller</v>
      </c>
      <c r="P157" t="str">
        <f t="shared" si="11"/>
        <v>Hors data</v>
      </c>
      <c r="Q157" t="str" cm="1">
        <f t="array" ref="Q157">_xlfn.IFS(H157&gt;=16,"Excellent",H157&gt;=14,"Très bien",H157&gt;=12,"Bien",H157&gt;=10,"Passable",H157&lt;10,"Insuffisant")</f>
        <v>Insuffisant</v>
      </c>
    </row>
    <row r="158" spans="1:17">
      <c r="A158" t="s">
        <v>307</v>
      </c>
      <c r="B158" t="s">
        <v>151</v>
      </c>
      <c r="C158" t="s">
        <v>19</v>
      </c>
      <c r="D158" t="s">
        <v>20</v>
      </c>
      <c r="E158" s="8" t="s">
        <v>34</v>
      </c>
      <c r="F158" s="8">
        <v>7.09</v>
      </c>
      <c r="G158" s="8">
        <v>14.15</v>
      </c>
      <c r="H158" s="8">
        <v>17.559999999999999</v>
      </c>
      <c r="I158" s="8">
        <v>14.04</v>
      </c>
      <c r="J158" s="6">
        <v>0.92930000000000001</v>
      </c>
      <c r="K158" s="4">
        <v>110000</v>
      </c>
      <c r="L158" s="2">
        <v>45993</v>
      </c>
      <c r="M158" t="str">
        <f t="shared" si="8"/>
        <v>Admis</v>
      </c>
      <c r="N158" t="str">
        <f t="shared" si="9"/>
        <v>Non eligible</v>
      </c>
      <c r="O158" t="str">
        <f t="shared" si="10"/>
        <v>A surveiller</v>
      </c>
      <c r="P158" t="str">
        <f t="shared" si="11"/>
        <v>Hors data</v>
      </c>
      <c r="Q158" t="str" cm="1">
        <f t="array" ref="Q158">_xlfn.IFS(H158&gt;=16,"Excellent",H158&gt;=14,"Très bien",H158&gt;=12,"Bien",H158&gt;=10,"Passable",H158&lt;10,"Insuffisant")</f>
        <v>Excellent</v>
      </c>
    </row>
    <row r="159" spans="1:17">
      <c r="A159" t="s">
        <v>308</v>
      </c>
      <c r="B159" t="s">
        <v>309</v>
      </c>
      <c r="C159" t="s">
        <v>24</v>
      </c>
      <c r="D159" t="s">
        <v>40</v>
      </c>
      <c r="E159" s="8" t="s">
        <v>26</v>
      </c>
      <c r="F159" s="8">
        <v>11.93</v>
      </c>
      <c r="G159" s="8">
        <v>13.54</v>
      </c>
      <c r="H159" s="8">
        <v>11.22</v>
      </c>
      <c r="I159" s="8">
        <v>12.15</v>
      </c>
      <c r="J159" s="6">
        <v>0.82089999999999996</v>
      </c>
      <c r="K159" s="4">
        <v>50000</v>
      </c>
      <c r="L159" s="2">
        <v>45788</v>
      </c>
      <c r="M159" t="str">
        <f t="shared" si="8"/>
        <v>Admis</v>
      </c>
      <c r="N159" t="str">
        <f t="shared" si="9"/>
        <v>Non eligible</v>
      </c>
      <c r="O159" t="str">
        <f t="shared" si="10"/>
        <v>RAS</v>
      </c>
      <c r="P159" t="str">
        <f t="shared" si="11"/>
        <v>Hors data</v>
      </c>
      <c r="Q159" t="str" cm="1">
        <f t="array" ref="Q159">_xlfn.IFS(H159&gt;=16,"Excellent",H159&gt;=14,"Très bien",H159&gt;=12,"Bien",H159&gt;=10,"Passable",H159&lt;10,"Insuffisant")</f>
        <v>Passable</v>
      </c>
    </row>
    <row r="160" spans="1:17">
      <c r="A160" t="s">
        <v>310</v>
      </c>
      <c r="B160" t="s">
        <v>223</v>
      </c>
      <c r="C160" t="s">
        <v>24</v>
      </c>
      <c r="D160" t="s">
        <v>37</v>
      </c>
      <c r="E160" s="8" t="s">
        <v>21</v>
      </c>
      <c r="F160" s="8">
        <v>11.87</v>
      </c>
      <c r="G160" s="8">
        <v>15.01</v>
      </c>
      <c r="H160" s="8">
        <v>17.46</v>
      </c>
      <c r="I160" s="8">
        <v>10.64</v>
      </c>
      <c r="J160" s="6">
        <v>0.6431</v>
      </c>
      <c r="K160" s="4">
        <v>120000</v>
      </c>
      <c r="L160" s="2">
        <v>45606</v>
      </c>
      <c r="M160" t="str">
        <f t="shared" si="8"/>
        <v>Admis</v>
      </c>
      <c r="N160" t="str">
        <f t="shared" si="9"/>
        <v>Non eligible</v>
      </c>
      <c r="O160" t="str">
        <f t="shared" si="10"/>
        <v>RAS</v>
      </c>
      <c r="P160" t="str">
        <f t="shared" si="11"/>
        <v>Data</v>
      </c>
      <c r="Q160" t="str" cm="1">
        <f t="array" ref="Q160">_xlfn.IFS(H160&gt;=16,"Excellent",H160&gt;=14,"Très bien",H160&gt;=12,"Bien",H160&gt;=10,"Passable",H160&lt;10,"Insuffisant")</f>
        <v>Excellent</v>
      </c>
    </row>
    <row r="161" spans="1:17">
      <c r="A161" t="s">
        <v>311</v>
      </c>
      <c r="B161" t="s">
        <v>312</v>
      </c>
      <c r="C161" t="s">
        <v>24</v>
      </c>
      <c r="D161" t="s">
        <v>40</v>
      </c>
      <c r="E161" s="8" t="s">
        <v>34</v>
      </c>
      <c r="F161" s="8">
        <v>17.34</v>
      </c>
      <c r="G161" s="8">
        <v>17.350000000000001</v>
      </c>
      <c r="H161" s="8">
        <v>15.47</v>
      </c>
      <c r="I161" s="8">
        <v>19.100000000000001</v>
      </c>
      <c r="J161" s="6">
        <v>0.83650000000000002</v>
      </c>
      <c r="K161" s="4">
        <v>130000</v>
      </c>
      <c r="L161" s="2">
        <v>46132</v>
      </c>
      <c r="M161" t="str">
        <f t="shared" si="8"/>
        <v>Admis</v>
      </c>
      <c r="N161" t="str">
        <f t="shared" si="9"/>
        <v>Eligible</v>
      </c>
      <c r="O161" t="str">
        <f t="shared" si="10"/>
        <v>RAS</v>
      </c>
      <c r="P161" t="str">
        <f t="shared" si="11"/>
        <v>Hors data</v>
      </c>
      <c r="Q161" t="str" cm="1">
        <f t="array" ref="Q161">_xlfn.IFS(H161&gt;=16,"Excellent",H161&gt;=14,"Très bien",H161&gt;=12,"Bien",H161&gt;=10,"Passable",H161&lt;10,"Insuffisant")</f>
        <v>Très bien</v>
      </c>
    </row>
    <row r="162" spans="1:17">
      <c r="A162" t="s">
        <v>313</v>
      </c>
      <c r="B162" t="s">
        <v>314</v>
      </c>
      <c r="C162" t="s">
        <v>24</v>
      </c>
      <c r="D162" t="s">
        <v>37</v>
      </c>
      <c r="E162" s="8" t="s">
        <v>21</v>
      </c>
      <c r="F162" s="8">
        <v>15.66</v>
      </c>
      <c r="G162" s="8">
        <v>11.46</v>
      </c>
      <c r="H162" s="8">
        <v>11.64</v>
      </c>
      <c r="I162" s="8">
        <v>15.82</v>
      </c>
      <c r="J162" s="6">
        <v>0.91639999999999999</v>
      </c>
      <c r="K162" s="4">
        <v>100000</v>
      </c>
      <c r="L162" s="2">
        <v>45574</v>
      </c>
      <c r="M162" t="str">
        <f t="shared" si="8"/>
        <v>Admis</v>
      </c>
      <c r="N162" t="str">
        <f t="shared" si="9"/>
        <v>Non eligible</v>
      </c>
      <c r="O162" t="str">
        <f t="shared" si="10"/>
        <v>RAS</v>
      </c>
      <c r="P162" t="str">
        <f t="shared" si="11"/>
        <v>Data</v>
      </c>
      <c r="Q162" t="str" cm="1">
        <f t="array" ref="Q162">_xlfn.IFS(H162&gt;=16,"Excellent",H162&gt;=14,"Très bien",H162&gt;=12,"Bien",H162&gt;=10,"Passable",H162&lt;10,"Insuffisant")</f>
        <v>Passable</v>
      </c>
    </row>
    <row r="163" spans="1:17">
      <c r="A163" t="s">
        <v>315</v>
      </c>
      <c r="B163" t="s">
        <v>316</v>
      </c>
      <c r="C163" t="s">
        <v>24</v>
      </c>
      <c r="D163" t="s">
        <v>40</v>
      </c>
      <c r="E163" s="8" t="s">
        <v>26</v>
      </c>
      <c r="F163" s="8">
        <v>14.71</v>
      </c>
      <c r="G163" s="8">
        <v>11.81</v>
      </c>
      <c r="H163" s="8">
        <v>8.17</v>
      </c>
      <c r="I163" s="8">
        <v>15</v>
      </c>
      <c r="J163" s="6">
        <v>0.74680000000000002</v>
      </c>
      <c r="K163" s="4">
        <v>130000</v>
      </c>
      <c r="L163" s="2">
        <v>45936</v>
      </c>
      <c r="M163" t="str">
        <f t="shared" si="8"/>
        <v>Non admis</v>
      </c>
      <c r="N163" t="str">
        <f t="shared" si="9"/>
        <v>Non eligible</v>
      </c>
      <c r="O163" t="str">
        <f t="shared" si="10"/>
        <v>A surveiller</v>
      </c>
      <c r="P163" t="str">
        <f t="shared" si="11"/>
        <v>Hors data</v>
      </c>
      <c r="Q163" t="str" cm="1">
        <f t="array" ref="Q163">_xlfn.IFS(H163&gt;=16,"Excellent",H163&gt;=14,"Très bien",H163&gt;=12,"Bien",H163&gt;=10,"Passable",H163&lt;10,"Insuffisant")</f>
        <v>Insuffisant</v>
      </c>
    </row>
    <row r="164" spans="1:17">
      <c r="A164" t="s">
        <v>317</v>
      </c>
      <c r="B164" t="s">
        <v>18</v>
      </c>
      <c r="C164" t="s">
        <v>19</v>
      </c>
      <c r="D164" t="s">
        <v>20</v>
      </c>
      <c r="E164" s="8" t="s">
        <v>34</v>
      </c>
      <c r="F164" s="8">
        <v>7.8</v>
      </c>
      <c r="G164" s="8">
        <v>8.25</v>
      </c>
      <c r="H164" s="8">
        <v>8.6199999999999992</v>
      </c>
      <c r="I164" s="8">
        <v>7.23</v>
      </c>
      <c r="J164" s="6">
        <v>0.91080000000000005</v>
      </c>
      <c r="K164" s="4">
        <v>90000</v>
      </c>
      <c r="L164" s="2">
        <v>45722</v>
      </c>
      <c r="M164" t="str">
        <f t="shared" si="8"/>
        <v>Non admis</v>
      </c>
      <c r="N164" t="str">
        <f t="shared" si="9"/>
        <v>Non eligible</v>
      </c>
      <c r="O164" t="str">
        <f t="shared" si="10"/>
        <v>A surveiller</v>
      </c>
      <c r="P164" t="str">
        <f t="shared" si="11"/>
        <v>Hors data</v>
      </c>
      <c r="Q164" t="str" cm="1">
        <f t="array" ref="Q164">_xlfn.IFS(H164&gt;=16,"Excellent",H164&gt;=14,"Très bien",H164&gt;=12,"Bien",H164&gt;=10,"Passable",H164&lt;10,"Insuffisant")</f>
        <v>Insuffisant</v>
      </c>
    </row>
    <row r="165" spans="1:17">
      <c r="A165" t="s">
        <v>318</v>
      </c>
      <c r="B165" t="s">
        <v>319</v>
      </c>
      <c r="C165" t="s">
        <v>19</v>
      </c>
      <c r="D165" t="s">
        <v>40</v>
      </c>
      <c r="E165" s="8" t="s">
        <v>21</v>
      </c>
      <c r="F165" s="8">
        <v>10.18</v>
      </c>
      <c r="G165" s="8">
        <v>10.91</v>
      </c>
      <c r="H165" s="8">
        <v>8.77</v>
      </c>
      <c r="I165" s="8">
        <v>12.82</v>
      </c>
      <c r="J165" s="6">
        <v>0.9526</v>
      </c>
      <c r="K165" s="4">
        <v>75000</v>
      </c>
      <c r="L165" s="2">
        <v>45685</v>
      </c>
      <c r="M165" t="str">
        <f t="shared" si="8"/>
        <v>Non admis</v>
      </c>
      <c r="N165" t="str">
        <f t="shared" si="9"/>
        <v>Non eligible</v>
      </c>
      <c r="O165" t="str">
        <f t="shared" si="10"/>
        <v>A surveiller</v>
      </c>
      <c r="P165" t="str">
        <f t="shared" si="11"/>
        <v>Data</v>
      </c>
      <c r="Q165" t="str" cm="1">
        <f t="array" ref="Q165">_xlfn.IFS(H165&gt;=16,"Excellent",H165&gt;=14,"Très bien",H165&gt;=12,"Bien",H165&gt;=10,"Passable",H165&lt;10,"Insuffisant")</f>
        <v>Insuffisant</v>
      </c>
    </row>
    <row r="166" spans="1:17">
      <c r="A166" t="s">
        <v>320</v>
      </c>
      <c r="B166" t="s">
        <v>284</v>
      </c>
      <c r="C166" t="s">
        <v>19</v>
      </c>
      <c r="D166" t="s">
        <v>52</v>
      </c>
      <c r="E166" s="8" t="s">
        <v>34</v>
      </c>
      <c r="F166" s="8">
        <v>15.02</v>
      </c>
      <c r="G166" s="8">
        <v>14.73</v>
      </c>
      <c r="H166" s="8">
        <v>10.6</v>
      </c>
      <c r="I166" s="8">
        <v>14.57</v>
      </c>
      <c r="J166" s="6">
        <v>0.55000000000000004</v>
      </c>
      <c r="K166" s="4">
        <v>90000</v>
      </c>
      <c r="L166" s="2">
        <v>45565</v>
      </c>
      <c r="M166" t="str">
        <f t="shared" si="8"/>
        <v>Admis</v>
      </c>
      <c r="N166" t="str">
        <f t="shared" si="9"/>
        <v>Non eligible</v>
      </c>
      <c r="O166" t="str">
        <f t="shared" si="10"/>
        <v>RAS</v>
      </c>
      <c r="P166" t="str">
        <f t="shared" si="11"/>
        <v>Hors data</v>
      </c>
      <c r="Q166" t="str" cm="1">
        <f t="array" ref="Q166">_xlfn.IFS(H166&gt;=16,"Excellent",H166&gt;=14,"Très bien",H166&gt;=12,"Bien",H166&gt;=10,"Passable",H166&lt;10,"Insuffisant")</f>
        <v>Passable</v>
      </c>
    </row>
    <row r="167" spans="1:17">
      <c r="A167" t="s">
        <v>321</v>
      </c>
      <c r="B167" t="s">
        <v>322</v>
      </c>
      <c r="C167" t="s">
        <v>24</v>
      </c>
      <c r="D167" t="s">
        <v>20</v>
      </c>
      <c r="E167" s="8" t="s">
        <v>21</v>
      </c>
      <c r="F167" s="8">
        <v>11.54</v>
      </c>
      <c r="G167" s="8">
        <v>14.85</v>
      </c>
      <c r="H167" s="8">
        <v>8.76</v>
      </c>
      <c r="I167" s="8">
        <v>11.29</v>
      </c>
      <c r="J167" s="6">
        <v>0.86670000000000003</v>
      </c>
      <c r="K167" s="4">
        <v>90000</v>
      </c>
      <c r="L167" s="2">
        <v>46166</v>
      </c>
      <c r="M167" t="str">
        <f t="shared" si="8"/>
        <v>Non admis</v>
      </c>
      <c r="N167" t="str">
        <f t="shared" si="9"/>
        <v>Non eligible</v>
      </c>
      <c r="O167" t="str">
        <f t="shared" si="10"/>
        <v>A surveiller</v>
      </c>
      <c r="P167" t="str">
        <f t="shared" si="11"/>
        <v>Data</v>
      </c>
      <c r="Q167" t="str" cm="1">
        <f t="array" ref="Q167">_xlfn.IFS(H167&gt;=16,"Excellent",H167&gt;=14,"Très bien",H167&gt;=12,"Bien",H167&gt;=10,"Passable",H167&lt;10,"Insuffisant")</f>
        <v>Insuffisant</v>
      </c>
    </row>
    <row r="168" spans="1:17">
      <c r="A168" t="s">
        <v>323</v>
      </c>
      <c r="B168" t="s">
        <v>324</v>
      </c>
      <c r="C168" t="s">
        <v>19</v>
      </c>
      <c r="D168" t="s">
        <v>40</v>
      </c>
      <c r="E168" s="8" t="s">
        <v>34</v>
      </c>
      <c r="F168" s="8">
        <v>15.57</v>
      </c>
      <c r="G168" s="8">
        <v>15.62</v>
      </c>
      <c r="H168" s="8">
        <v>19.28</v>
      </c>
      <c r="I168" s="8">
        <v>15.74</v>
      </c>
      <c r="J168" s="6">
        <v>0.76029999999999998</v>
      </c>
      <c r="K168" s="4">
        <v>60000</v>
      </c>
      <c r="L168" s="2">
        <v>45836</v>
      </c>
      <c r="M168" t="str">
        <f t="shared" si="8"/>
        <v>Admis</v>
      </c>
      <c r="N168" t="str">
        <f t="shared" si="9"/>
        <v>Non eligible</v>
      </c>
      <c r="O168" t="str">
        <f t="shared" si="10"/>
        <v>RAS</v>
      </c>
      <c r="P168" t="str">
        <f t="shared" si="11"/>
        <v>Hors data</v>
      </c>
      <c r="Q168" t="str" cm="1">
        <f t="array" ref="Q168">_xlfn.IFS(H168&gt;=16,"Excellent",H168&gt;=14,"Très bien",H168&gt;=12,"Bien",H168&gt;=10,"Passable",H168&lt;10,"Insuffisant")</f>
        <v>Excellent</v>
      </c>
    </row>
    <row r="169" spans="1:17">
      <c r="A169" t="s">
        <v>325</v>
      </c>
      <c r="B169" t="s">
        <v>87</v>
      </c>
      <c r="C169" t="s">
        <v>19</v>
      </c>
      <c r="D169" t="s">
        <v>52</v>
      </c>
      <c r="E169" s="8" t="s">
        <v>26</v>
      </c>
      <c r="F169" s="8">
        <v>9.26</v>
      </c>
      <c r="G169" s="8">
        <v>11.82</v>
      </c>
      <c r="H169" s="8">
        <v>14.8</v>
      </c>
      <c r="I169" s="8">
        <v>11.54</v>
      </c>
      <c r="J169" s="6">
        <v>0.93049999999999999</v>
      </c>
      <c r="K169" s="4">
        <v>70000</v>
      </c>
      <c r="L169" s="2">
        <v>45775</v>
      </c>
      <c r="M169" t="str">
        <f t="shared" si="8"/>
        <v>Admis</v>
      </c>
      <c r="N169" t="str">
        <f t="shared" si="9"/>
        <v>Non eligible</v>
      </c>
      <c r="O169" t="str">
        <f t="shared" si="10"/>
        <v>A surveiller</v>
      </c>
      <c r="P169" t="str">
        <f t="shared" si="11"/>
        <v>Hors data</v>
      </c>
      <c r="Q169" t="str" cm="1">
        <f t="array" ref="Q169">_xlfn.IFS(H169&gt;=16,"Excellent",H169&gt;=14,"Très bien",H169&gt;=12,"Bien",H169&gt;=10,"Passable",H169&lt;10,"Insuffisant")</f>
        <v>Très bien</v>
      </c>
    </row>
    <row r="170" spans="1:17">
      <c r="A170" t="s">
        <v>326</v>
      </c>
      <c r="B170" t="s">
        <v>230</v>
      </c>
      <c r="C170" t="s">
        <v>19</v>
      </c>
      <c r="D170" t="s">
        <v>37</v>
      </c>
      <c r="E170" s="8" t="s">
        <v>47</v>
      </c>
      <c r="F170" s="8">
        <v>16.14</v>
      </c>
      <c r="G170" s="8">
        <v>14.35</v>
      </c>
      <c r="H170" s="8">
        <v>20</v>
      </c>
      <c r="I170" s="8">
        <v>18.850000000000001</v>
      </c>
      <c r="J170" s="6">
        <v>0.85829999999999995</v>
      </c>
      <c r="K170" s="4">
        <v>75000</v>
      </c>
      <c r="L170" s="2">
        <v>46054</v>
      </c>
      <c r="M170" t="str">
        <f t="shared" si="8"/>
        <v>Admis</v>
      </c>
      <c r="N170" t="str">
        <f t="shared" si="9"/>
        <v>Eligible</v>
      </c>
      <c r="O170" t="str">
        <f t="shared" si="10"/>
        <v>RAS</v>
      </c>
      <c r="P170" t="str">
        <f t="shared" si="11"/>
        <v>Hors data</v>
      </c>
      <c r="Q170" t="str" cm="1">
        <f t="array" ref="Q170">_xlfn.IFS(H170&gt;=16,"Excellent",H170&gt;=14,"Très bien",H170&gt;=12,"Bien",H170&gt;=10,"Passable",H170&lt;10,"Insuffisant")</f>
        <v>Excellent</v>
      </c>
    </row>
    <row r="171" spans="1:17">
      <c r="A171" t="s">
        <v>327</v>
      </c>
      <c r="B171" t="s">
        <v>328</v>
      </c>
      <c r="C171" t="s">
        <v>19</v>
      </c>
      <c r="D171" t="s">
        <v>52</v>
      </c>
      <c r="E171" s="8" t="s">
        <v>26</v>
      </c>
      <c r="F171" s="8">
        <v>15.33</v>
      </c>
      <c r="G171" s="8">
        <v>18.54</v>
      </c>
      <c r="H171" s="8">
        <v>12.36</v>
      </c>
      <c r="I171" s="8">
        <v>13.48</v>
      </c>
      <c r="J171" s="6">
        <v>0.8236</v>
      </c>
      <c r="K171" s="4">
        <v>90000</v>
      </c>
      <c r="L171" s="2">
        <v>45563</v>
      </c>
      <c r="M171" t="str">
        <f t="shared" si="8"/>
        <v>Admis</v>
      </c>
      <c r="N171" t="str">
        <f t="shared" si="9"/>
        <v>Eligible</v>
      </c>
      <c r="O171" t="str">
        <f t="shared" si="10"/>
        <v>RAS</v>
      </c>
      <c r="P171" t="str">
        <f t="shared" si="11"/>
        <v>Hors data</v>
      </c>
      <c r="Q171" t="str" cm="1">
        <f t="array" ref="Q171">_xlfn.IFS(H171&gt;=16,"Excellent",H171&gt;=14,"Très bien",H171&gt;=12,"Bien",H171&gt;=10,"Passable",H171&lt;10,"Insuffisant")</f>
        <v>Bien</v>
      </c>
    </row>
    <row r="172" spans="1:17">
      <c r="A172" t="s">
        <v>329</v>
      </c>
      <c r="B172" t="s">
        <v>330</v>
      </c>
      <c r="C172" t="s">
        <v>19</v>
      </c>
      <c r="D172" t="s">
        <v>37</v>
      </c>
      <c r="E172" s="8" t="s">
        <v>47</v>
      </c>
      <c r="F172" s="8">
        <v>18.61</v>
      </c>
      <c r="G172" s="8">
        <v>14.67</v>
      </c>
      <c r="H172" s="8">
        <v>14.29</v>
      </c>
      <c r="I172" s="8">
        <v>11.2</v>
      </c>
      <c r="J172" s="6">
        <v>0.90839999999999999</v>
      </c>
      <c r="K172" s="4">
        <v>60000</v>
      </c>
      <c r="L172" s="2">
        <v>45931</v>
      </c>
      <c r="M172" t="str">
        <f t="shared" si="8"/>
        <v>Admis</v>
      </c>
      <c r="N172" t="str">
        <f t="shared" si="9"/>
        <v>Eligible</v>
      </c>
      <c r="O172" t="str">
        <f t="shared" si="10"/>
        <v>RAS</v>
      </c>
      <c r="P172" t="str">
        <f t="shared" si="11"/>
        <v>Hors data</v>
      </c>
      <c r="Q172" t="str" cm="1">
        <f t="array" ref="Q172">_xlfn.IFS(H172&gt;=16,"Excellent",H172&gt;=14,"Très bien",H172&gt;=12,"Bien",H172&gt;=10,"Passable",H172&lt;10,"Insuffisant")</f>
        <v>Très bien</v>
      </c>
    </row>
    <row r="173" spans="1:17">
      <c r="A173" t="s">
        <v>331</v>
      </c>
      <c r="B173" t="s">
        <v>160</v>
      </c>
      <c r="C173" t="s">
        <v>19</v>
      </c>
      <c r="D173" t="s">
        <v>20</v>
      </c>
      <c r="E173" s="8" t="s">
        <v>26</v>
      </c>
      <c r="F173" s="8">
        <v>13.39</v>
      </c>
      <c r="G173" s="8">
        <v>14.71</v>
      </c>
      <c r="H173" s="8">
        <v>10.61</v>
      </c>
      <c r="I173" s="8">
        <v>9.44</v>
      </c>
      <c r="J173" s="6">
        <v>0.91259999999999997</v>
      </c>
      <c r="K173" s="4">
        <v>110000</v>
      </c>
      <c r="L173" s="2">
        <v>45882</v>
      </c>
      <c r="M173" t="str">
        <f t="shared" si="8"/>
        <v>Admis</v>
      </c>
      <c r="N173" t="str">
        <f t="shared" si="9"/>
        <v>Non eligible</v>
      </c>
      <c r="O173" t="str">
        <f t="shared" si="10"/>
        <v>RAS</v>
      </c>
      <c r="P173" t="str">
        <f t="shared" si="11"/>
        <v>Hors data</v>
      </c>
      <c r="Q173" t="str" cm="1">
        <f t="array" ref="Q173">_xlfn.IFS(H173&gt;=16,"Excellent",H173&gt;=14,"Très bien",H173&gt;=12,"Bien",H173&gt;=10,"Passable",H173&lt;10,"Insuffisant")</f>
        <v>Passable</v>
      </c>
    </row>
    <row r="174" spans="1:17">
      <c r="A174" t="s">
        <v>332</v>
      </c>
      <c r="B174" t="s">
        <v>312</v>
      </c>
      <c r="C174" t="s">
        <v>24</v>
      </c>
      <c r="D174" t="s">
        <v>33</v>
      </c>
      <c r="E174" s="8" t="s">
        <v>34</v>
      </c>
      <c r="F174" s="8">
        <v>11.83</v>
      </c>
      <c r="G174" s="8">
        <v>10.96</v>
      </c>
      <c r="H174" s="8">
        <v>12.97</v>
      </c>
      <c r="I174" s="8">
        <v>15.24</v>
      </c>
      <c r="J174" s="6">
        <v>0.94269999999999998</v>
      </c>
      <c r="K174" s="4">
        <v>60000</v>
      </c>
      <c r="L174" s="2">
        <v>45923</v>
      </c>
      <c r="M174" t="str">
        <f t="shared" si="8"/>
        <v>Admis</v>
      </c>
      <c r="N174" t="str">
        <f t="shared" si="9"/>
        <v>Non eligible</v>
      </c>
      <c r="O174" t="str">
        <f t="shared" si="10"/>
        <v>RAS</v>
      </c>
      <c r="P174" t="str">
        <f t="shared" si="11"/>
        <v>Hors data</v>
      </c>
      <c r="Q174" t="str" cm="1">
        <f t="array" ref="Q174">_xlfn.IFS(H174&gt;=16,"Excellent",H174&gt;=14,"Très bien",H174&gt;=12,"Bien",H174&gt;=10,"Passable",H174&lt;10,"Insuffisant")</f>
        <v>Bien</v>
      </c>
    </row>
    <row r="175" spans="1:17">
      <c r="A175" t="s">
        <v>333</v>
      </c>
      <c r="B175" t="s">
        <v>118</v>
      </c>
      <c r="C175" t="s">
        <v>24</v>
      </c>
      <c r="D175" t="s">
        <v>37</v>
      </c>
      <c r="E175" s="8" t="s">
        <v>26</v>
      </c>
      <c r="F175" s="8">
        <v>15.71</v>
      </c>
      <c r="G175" s="8">
        <v>18.71</v>
      </c>
      <c r="H175" s="8">
        <v>17.37</v>
      </c>
      <c r="I175" s="8">
        <v>17.010000000000002</v>
      </c>
      <c r="J175" s="6">
        <v>0.85809999999999997</v>
      </c>
      <c r="K175" s="4">
        <v>130000</v>
      </c>
      <c r="L175" s="2">
        <v>45622</v>
      </c>
      <c r="M175" t="str">
        <f t="shared" si="8"/>
        <v>Admis</v>
      </c>
      <c r="N175" t="str">
        <f t="shared" si="9"/>
        <v>Eligible</v>
      </c>
      <c r="O175" t="str">
        <f t="shared" si="10"/>
        <v>RAS</v>
      </c>
      <c r="P175" t="str">
        <f t="shared" si="11"/>
        <v>Hors data</v>
      </c>
      <c r="Q175" t="str" cm="1">
        <f t="array" ref="Q175">_xlfn.IFS(H175&gt;=16,"Excellent",H175&gt;=14,"Très bien",H175&gt;=12,"Bien",H175&gt;=10,"Passable",H175&lt;10,"Insuffisant")</f>
        <v>Excellent</v>
      </c>
    </row>
    <row r="176" spans="1:17">
      <c r="A176" t="s">
        <v>334</v>
      </c>
      <c r="B176" t="s">
        <v>103</v>
      </c>
      <c r="C176" t="s">
        <v>24</v>
      </c>
      <c r="D176" t="s">
        <v>52</v>
      </c>
      <c r="E176" s="8" t="s">
        <v>21</v>
      </c>
      <c r="F176" s="8">
        <v>8.2200000000000006</v>
      </c>
      <c r="G176" s="8">
        <v>8.5299999999999994</v>
      </c>
      <c r="H176" s="8">
        <v>8.23</v>
      </c>
      <c r="I176" s="8">
        <v>7.63</v>
      </c>
      <c r="J176" s="6">
        <v>0.71509999999999996</v>
      </c>
      <c r="K176" s="4">
        <v>100000</v>
      </c>
      <c r="L176" s="2">
        <v>46202</v>
      </c>
      <c r="M176" t="str">
        <f t="shared" si="8"/>
        <v>Non admis</v>
      </c>
      <c r="N176" t="str">
        <f t="shared" si="9"/>
        <v>Non eligible</v>
      </c>
      <c r="O176" t="str">
        <f t="shared" si="10"/>
        <v>A surveiller</v>
      </c>
      <c r="P176" t="str">
        <f t="shared" si="11"/>
        <v>Data</v>
      </c>
      <c r="Q176" t="str" cm="1">
        <f t="array" ref="Q176">_xlfn.IFS(H176&gt;=16,"Excellent",H176&gt;=14,"Très bien",H176&gt;=12,"Bien",H176&gt;=10,"Passable",H176&lt;10,"Insuffisant")</f>
        <v>Insuffisant</v>
      </c>
    </row>
    <row r="177" spans="1:17">
      <c r="A177" t="s">
        <v>335</v>
      </c>
      <c r="B177" t="s">
        <v>336</v>
      </c>
      <c r="C177" t="s">
        <v>19</v>
      </c>
      <c r="D177" t="s">
        <v>37</v>
      </c>
      <c r="E177" s="8" t="s">
        <v>34</v>
      </c>
      <c r="F177" s="8">
        <v>4.01</v>
      </c>
      <c r="G177" s="8">
        <v>7.74</v>
      </c>
      <c r="H177" s="8">
        <v>10.33</v>
      </c>
      <c r="I177" s="8">
        <v>10.52</v>
      </c>
      <c r="J177" s="6">
        <v>0.93520000000000003</v>
      </c>
      <c r="K177" s="4">
        <v>75000</v>
      </c>
      <c r="L177" s="2">
        <v>45702</v>
      </c>
      <c r="M177" t="str">
        <f t="shared" si="8"/>
        <v>Admis</v>
      </c>
      <c r="N177" t="str">
        <f t="shared" si="9"/>
        <v>Non eligible</v>
      </c>
      <c r="O177" t="str">
        <f t="shared" si="10"/>
        <v>A surveiller</v>
      </c>
      <c r="P177" t="str">
        <f t="shared" si="11"/>
        <v>Hors data</v>
      </c>
      <c r="Q177" t="str" cm="1">
        <f t="array" ref="Q177">_xlfn.IFS(H177&gt;=16,"Excellent",H177&gt;=14,"Très bien",H177&gt;=12,"Bien",H177&gt;=10,"Passable",H177&lt;10,"Insuffisant")</f>
        <v>Passable</v>
      </c>
    </row>
    <row r="178" spans="1:17">
      <c r="A178" t="s">
        <v>337</v>
      </c>
      <c r="B178" t="s">
        <v>145</v>
      </c>
      <c r="C178" t="s">
        <v>24</v>
      </c>
      <c r="D178" t="s">
        <v>40</v>
      </c>
      <c r="E178" s="8" t="s">
        <v>47</v>
      </c>
      <c r="F178" s="8">
        <v>13.19</v>
      </c>
      <c r="G178" s="8">
        <v>14.75</v>
      </c>
      <c r="H178" s="8">
        <v>14.36</v>
      </c>
      <c r="I178" s="8">
        <v>9</v>
      </c>
      <c r="J178" s="6">
        <v>0.83160000000000001</v>
      </c>
      <c r="K178" s="4">
        <v>80000</v>
      </c>
      <c r="L178" s="2">
        <v>46010</v>
      </c>
      <c r="M178" t="str">
        <f t="shared" si="8"/>
        <v>Admis</v>
      </c>
      <c r="N178" t="str">
        <f t="shared" si="9"/>
        <v>Eligible</v>
      </c>
      <c r="O178" t="str">
        <f t="shared" si="10"/>
        <v>RAS</v>
      </c>
      <c r="P178" t="str">
        <f t="shared" si="11"/>
        <v>Hors data</v>
      </c>
      <c r="Q178" t="str" cm="1">
        <f t="array" ref="Q178">_xlfn.IFS(H178&gt;=16,"Excellent",H178&gt;=14,"Très bien",H178&gt;=12,"Bien",H178&gt;=10,"Passable",H178&lt;10,"Insuffisant")</f>
        <v>Très bien</v>
      </c>
    </row>
    <row r="179" spans="1:17">
      <c r="A179" t="s">
        <v>338</v>
      </c>
      <c r="B179" t="s">
        <v>339</v>
      </c>
      <c r="C179" t="s">
        <v>19</v>
      </c>
      <c r="D179" t="s">
        <v>40</v>
      </c>
      <c r="E179" s="8" t="s">
        <v>34</v>
      </c>
      <c r="F179" s="8">
        <v>15.34</v>
      </c>
      <c r="G179" s="8">
        <v>19.03</v>
      </c>
      <c r="H179" s="8">
        <v>11.89</v>
      </c>
      <c r="I179" s="8">
        <v>13.34</v>
      </c>
      <c r="J179" s="6">
        <v>0.91769999999999996</v>
      </c>
      <c r="K179" s="4">
        <v>100000</v>
      </c>
      <c r="L179" s="2">
        <v>46058</v>
      </c>
      <c r="M179" t="str">
        <f t="shared" si="8"/>
        <v>Admis</v>
      </c>
      <c r="N179" t="str">
        <f t="shared" si="9"/>
        <v>Non eligible</v>
      </c>
      <c r="O179" t="str">
        <f t="shared" si="10"/>
        <v>RAS</v>
      </c>
      <c r="P179" t="str">
        <f t="shared" si="11"/>
        <v>Hors data</v>
      </c>
      <c r="Q179" t="str" cm="1">
        <f t="array" ref="Q179">_xlfn.IFS(H179&gt;=16,"Excellent",H179&gt;=14,"Très bien",H179&gt;=12,"Bien",H179&gt;=10,"Passable",H179&lt;10,"Insuffisant")</f>
        <v>Passable</v>
      </c>
    </row>
    <row r="180" spans="1:17">
      <c r="A180" t="s">
        <v>340</v>
      </c>
      <c r="B180" t="s">
        <v>341</v>
      </c>
      <c r="C180" t="s">
        <v>24</v>
      </c>
      <c r="D180" t="s">
        <v>37</v>
      </c>
      <c r="E180" s="8" t="s">
        <v>34</v>
      </c>
      <c r="F180" s="8">
        <v>16.39</v>
      </c>
      <c r="G180" s="8">
        <v>13.75</v>
      </c>
      <c r="H180" s="8">
        <v>17.829999999999998</v>
      </c>
      <c r="I180" s="8">
        <v>14.96</v>
      </c>
      <c r="J180" s="6">
        <v>0.77470000000000006</v>
      </c>
      <c r="K180" s="4">
        <v>50000</v>
      </c>
      <c r="L180" s="2">
        <v>45776</v>
      </c>
      <c r="M180" t="str">
        <f t="shared" si="8"/>
        <v>Admis</v>
      </c>
      <c r="N180" t="str">
        <f t="shared" si="9"/>
        <v>Non eligible</v>
      </c>
      <c r="O180" t="str">
        <f t="shared" si="10"/>
        <v>RAS</v>
      </c>
      <c r="P180" t="str">
        <f t="shared" si="11"/>
        <v>Hors data</v>
      </c>
      <c r="Q180" t="str" cm="1">
        <f t="array" ref="Q180">_xlfn.IFS(H180&gt;=16,"Excellent",H180&gt;=14,"Très bien",H180&gt;=12,"Bien",H180&gt;=10,"Passable",H180&lt;10,"Insuffisant")</f>
        <v>Excellent</v>
      </c>
    </row>
    <row r="181" spans="1:17">
      <c r="A181" t="s">
        <v>342</v>
      </c>
      <c r="B181" t="s">
        <v>343</v>
      </c>
      <c r="C181" t="s">
        <v>24</v>
      </c>
      <c r="D181" t="s">
        <v>37</v>
      </c>
      <c r="E181" s="8" t="s">
        <v>21</v>
      </c>
      <c r="F181" s="8">
        <v>14.34</v>
      </c>
      <c r="G181" s="8">
        <v>12.98</v>
      </c>
      <c r="H181" s="8">
        <v>14.93</v>
      </c>
      <c r="I181" s="8">
        <v>15.56</v>
      </c>
      <c r="J181" s="6">
        <v>0.74880000000000002</v>
      </c>
      <c r="K181" s="4">
        <v>100000</v>
      </c>
      <c r="L181" s="2">
        <v>45627</v>
      </c>
      <c r="M181" t="str">
        <f t="shared" si="8"/>
        <v>Admis</v>
      </c>
      <c r="N181" t="str">
        <f t="shared" si="9"/>
        <v>Non eligible</v>
      </c>
      <c r="O181" t="str">
        <f t="shared" si="10"/>
        <v>RAS</v>
      </c>
      <c r="P181" t="str">
        <f t="shared" si="11"/>
        <v>Data</v>
      </c>
      <c r="Q181" t="str" cm="1">
        <f t="array" ref="Q181">_xlfn.IFS(H181&gt;=16,"Excellent",H181&gt;=14,"Très bien",H181&gt;=12,"Bien",H181&gt;=10,"Passable",H181&lt;10,"Insuffisant")</f>
        <v>Très bien</v>
      </c>
    </row>
    <row r="182" spans="1:17">
      <c r="A182" t="s">
        <v>344</v>
      </c>
      <c r="B182" t="s">
        <v>345</v>
      </c>
      <c r="C182" t="s">
        <v>24</v>
      </c>
      <c r="D182" t="s">
        <v>52</v>
      </c>
      <c r="E182" s="8" t="s">
        <v>21</v>
      </c>
      <c r="F182" s="8">
        <v>13.67</v>
      </c>
      <c r="G182" s="8">
        <v>10.89</v>
      </c>
      <c r="H182" s="8">
        <v>11.91</v>
      </c>
      <c r="I182" s="8">
        <v>15.05</v>
      </c>
      <c r="J182" s="6">
        <v>0.74060000000000004</v>
      </c>
      <c r="K182" s="4">
        <v>90000</v>
      </c>
      <c r="L182" s="2">
        <v>45743</v>
      </c>
      <c r="M182" t="str">
        <f t="shared" si="8"/>
        <v>Admis</v>
      </c>
      <c r="N182" t="str">
        <f t="shared" si="9"/>
        <v>Non eligible</v>
      </c>
      <c r="O182" t="str">
        <f t="shared" si="10"/>
        <v>RAS</v>
      </c>
      <c r="P182" t="str">
        <f t="shared" si="11"/>
        <v>Data</v>
      </c>
      <c r="Q182" t="str" cm="1">
        <f t="array" ref="Q182">_xlfn.IFS(H182&gt;=16,"Excellent",H182&gt;=14,"Très bien",H182&gt;=12,"Bien",H182&gt;=10,"Passable",H182&lt;10,"Insuffisant")</f>
        <v>Passable</v>
      </c>
    </row>
    <row r="183" spans="1:17">
      <c r="A183" t="s">
        <v>346</v>
      </c>
      <c r="B183" t="s">
        <v>230</v>
      </c>
      <c r="C183" t="s">
        <v>19</v>
      </c>
      <c r="D183" t="s">
        <v>40</v>
      </c>
      <c r="E183" s="8" t="s">
        <v>47</v>
      </c>
      <c r="F183" s="8">
        <v>16.73</v>
      </c>
      <c r="G183" s="8">
        <v>20</v>
      </c>
      <c r="H183" s="8">
        <v>14.99</v>
      </c>
      <c r="I183" s="8">
        <v>13.33</v>
      </c>
      <c r="J183" s="6">
        <v>0.88170000000000004</v>
      </c>
      <c r="K183" s="4">
        <v>70000</v>
      </c>
      <c r="L183" s="2">
        <v>46100</v>
      </c>
      <c r="M183" t="str">
        <f t="shared" si="8"/>
        <v>Admis</v>
      </c>
      <c r="N183" t="str">
        <f t="shared" si="9"/>
        <v>Eligible</v>
      </c>
      <c r="O183" t="str">
        <f t="shared" si="10"/>
        <v>RAS</v>
      </c>
      <c r="P183" t="str">
        <f t="shared" si="11"/>
        <v>Hors data</v>
      </c>
      <c r="Q183" t="str" cm="1">
        <f t="array" ref="Q183">_xlfn.IFS(H183&gt;=16,"Excellent",H183&gt;=14,"Très bien",H183&gt;=12,"Bien",H183&gt;=10,"Passable",H183&lt;10,"Insuffisant")</f>
        <v>Très bien</v>
      </c>
    </row>
    <row r="184" spans="1:17">
      <c r="A184" t="s">
        <v>347</v>
      </c>
      <c r="B184" t="s">
        <v>234</v>
      </c>
      <c r="C184" t="s">
        <v>19</v>
      </c>
      <c r="D184" t="s">
        <v>25</v>
      </c>
      <c r="E184" s="8" t="s">
        <v>26</v>
      </c>
      <c r="F184" s="8">
        <v>14.67</v>
      </c>
      <c r="G184" s="8">
        <v>19.079999999999998</v>
      </c>
      <c r="H184" s="8">
        <v>15.35</v>
      </c>
      <c r="I184" s="8">
        <v>17.54</v>
      </c>
      <c r="J184" s="6">
        <v>0.83099999999999996</v>
      </c>
      <c r="K184" s="4">
        <v>120000</v>
      </c>
      <c r="L184" s="2">
        <v>46170</v>
      </c>
      <c r="M184" t="str">
        <f t="shared" si="8"/>
        <v>Admis</v>
      </c>
      <c r="N184" t="str">
        <f t="shared" si="9"/>
        <v>Eligible</v>
      </c>
      <c r="O184" t="str">
        <f t="shared" si="10"/>
        <v>RAS</v>
      </c>
      <c r="P184" t="str">
        <f t="shared" si="11"/>
        <v>Hors data</v>
      </c>
      <c r="Q184" t="str" cm="1">
        <f t="array" ref="Q184">_xlfn.IFS(H184&gt;=16,"Excellent",H184&gt;=14,"Très bien",H184&gt;=12,"Bien",H184&gt;=10,"Passable",H184&lt;10,"Insuffisant")</f>
        <v>Très bien</v>
      </c>
    </row>
    <row r="185" spans="1:17">
      <c r="A185" t="s">
        <v>348</v>
      </c>
      <c r="B185" t="s">
        <v>269</v>
      </c>
      <c r="C185" t="s">
        <v>24</v>
      </c>
      <c r="D185" t="s">
        <v>25</v>
      </c>
      <c r="E185" s="8" t="s">
        <v>21</v>
      </c>
      <c r="F185" s="8">
        <v>18.09</v>
      </c>
      <c r="G185" s="8">
        <v>14.12</v>
      </c>
      <c r="H185" s="8">
        <v>18.05</v>
      </c>
      <c r="I185" s="8">
        <v>16.18</v>
      </c>
      <c r="J185" s="6">
        <v>0.90920000000000001</v>
      </c>
      <c r="K185" s="4">
        <v>90000</v>
      </c>
      <c r="L185" s="2">
        <v>46191</v>
      </c>
      <c r="M185" t="str">
        <f t="shared" si="8"/>
        <v>Admis</v>
      </c>
      <c r="N185" t="str">
        <f t="shared" si="9"/>
        <v>Eligible</v>
      </c>
      <c r="O185" t="str">
        <f t="shared" si="10"/>
        <v>RAS</v>
      </c>
      <c r="P185" t="str">
        <f t="shared" si="11"/>
        <v>Data</v>
      </c>
      <c r="Q185" t="str" cm="1">
        <f t="array" ref="Q185">_xlfn.IFS(H185&gt;=16,"Excellent",H185&gt;=14,"Très bien",H185&gt;=12,"Bien",H185&gt;=10,"Passable",H185&lt;10,"Insuffisant")</f>
        <v>Excellent</v>
      </c>
    </row>
    <row r="186" spans="1:17">
      <c r="A186" t="s">
        <v>349</v>
      </c>
      <c r="B186" t="s">
        <v>350</v>
      </c>
      <c r="C186" t="s">
        <v>19</v>
      </c>
      <c r="D186" t="s">
        <v>37</v>
      </c>
      <c r="E186" s="8" t="s">
        <v>34</v>
      </c>
      <c r="F186" s="8">
        <v>15.42</v>
      </c>
      <c r="G186" s="8">
        <v>16.68</v>
      </c>
      <c r="H186" s="8">
        <v>17.07</v>
      </c>
      <c r="I186" s="8">
        <v>15.69</v>
      </c>
      <c r="J186" s="6">
        <v>0.89990000000000003</v>
      </c>
      <c r="K186" s="4">
        <v>60000</v>
      </c>
      <c r="L186" s="2">
        <v>45694</v>
      </c>
      <c r="M186" t="str">
        <f t="shared" si="8"/>
        <v>Admis</v>
      </c>
      <c r="N186" t="str">
        <f t="shared" si="9"/>
        <v>Eligible</v>
      </c>
      <c r="O186" t="str">
        <f t="shared" si="10"/>
        <v>RAS</v>
      </c>
      <c r="P186" t="str">
        <f t="shared" si="11"/>
        <v>Hors data</v>
      </c>
      <c r="Q186" t="str" cm="1">
        <f t="array" ref="Q186">_xlfn.IFS(H186&gt;=16,"Excellent",H186&gt;=14,"Très bien",H186&gt;=12,"Bien",H186&gt;=10,"Passable",H186&lt;10,"Insuffisant")</f>
        <v>Excellent</v>
      </c>
    </row>
    <row r="187" spans="1:17">
      <c r="A187" t="s">
        <v>351</v>
      </c>
      <c r="B187" t="s">
        <v>114</v>
      </c>
      <c r="C187" t="s">
        <v>19</v>
      </c>
      <c r="D187" t="s">
        <v>33</v>
      </c>
      <c r="E187" s="8" t="s">
        <v>26</v>
      </c>
      <c r="F187" s="8">
        <v>15.97</v>
      </c>
      <c r="G187" s="8">
        <v>12.87</v>
      </c>
      <c r="H187" s="8">
        <v>14.85</v>
      </c>
      <c r="I187" s="8">
        <v>13.86</v>
      </c>
      <c r="J187" s="6">
        <v>0.77890000000000004</v>
      </c>
      <c r="K187" s="4">
        <v>100000</v>
      </c>
      <c r="L187" s="2">
        <v>45960</v>
      </c>
      <c r="M187" t="str">
        <f t="shared" si="8"/>
        <v>Admis</v>
      </c>
      <c r="N187" t="str">
        <f t="shared" si="9"/>
        <v>Non eligible</v>
      </c>
      <c r="O187" t="str">
        <f t="shared" si="10"/>
        <v>RAS</v>
      </c>
      <c r="P187" t="str">
        <f t="shared" si="11"/>
        <v>Hors data</v>
      </c>
      <c r="Q187" t="str" cm="1">
        <f t="array" ref="Q187">_xlfn.IFS(H187&gt;=16,"Excellent",H187&gt;=14,"Très bien",H187&gt;=12,"Bien",H187&gt;=10,"Passable",H187&lt;10,"Insuffisant")</f>
        <v>Très bien</v>
      </c>
    </row>
    <row r="188" spans="1:17">
      <c r="A188" t="s">
        <v>352</v>
      </c>
      <c r="B188" t="s">
        <v>353</v>
      </c>
      <c r="C188" t="s">
        <v>19</v>
      </c>
      <c r="D188" t="s">
        <v>52</v>
      </c>
      <c r="E188" s="8" t="s">
        <v>26</v>
      </c>
      <c r="F188" s="8">
        <v>6.61</v>
      </c>
      <c r="G188" s="8">
        <v>14.29</v>
      </c>
      <c r="H188" s="8">
        <v>11.55</v>
      </c>
      <c r="I188" s="8">
        <v>12.75</v>
      </c>
      <c r="J188" s="6">
        <v>0.77200000000000002</v>
      </c>
      <c r="K188" s="4">
        <v>80000</v>
      </c>
      <c r="L188" s="2">
        <v>45641</v>
      </c>
      <c r="M188" t="str">
        <f t="shared" si="8"/>
        <v>Admis</v>
      </c>
      <c r="N188" t="str">
        <f t="shared" si="9"/>
        <v>Non eligible</v>
      </c>
      <c r="O188" t="str">
        <f t="shared" si="10"/>
        <v>A surveiller</v>
      </c>
      <c r="P188" t="str">
        <f t="shared" si="11"/>
        <v>Hors data</v>
      </c>
      <c r="Q188" t="str" cm="1">
        <f t="array" ref="Q188">_xlfn.IFS(H188&gt;=16,"Excellent",H188&gt;=14,"Très bien",H188&gt;=12,"Bien",H188&gt;=10,"Passable",H188&lt;10,"Insuffisant")</f>
        <v>Passable</v>
      </c>
    </row>
    <row r="189" spans="1:17">
      <c r="A189" t="s">
        <v>354</v>
      </c>
      <c r="B189" t="s">
        <v>46</v>
      </c>
      <c r="C189" t="s">
        <v>19</v>
      </c>
      <c r="D189" t="s">
        <v>25</v>
      </c>
      <c r="E189" s="8" t="s">
        <v>21</v>
      </c>
      <c r="F189" s="8">
        <v>18.260000000000002</v>
      </c>
      <c r="G189" s="8">
        <v>15.02</v>
      </c>
      <c r="H189" s="8">
        <v>20</v>
      </c>
      <c r="I189" s="8">
        <v>16.11</v>
      </c>
      <c r="J189" s="6">
        <v>0.83209999999999995</v>
      </c>
      <c r="K189" s="4">
        <v>110000</v>
      </c>
      <c r="L189" s="2">
        <v>46033</v>
      </c>
      <c r="M189" t="str">
        <f t="shared" si="8"/>
        <v>Admis</v>
      </c>
      <c r="N189" t="str">
        <f t="shared" si="9"/>
        <v>Eligible</v>
      </c>
      <c r="O189" t="str">
        <f t="shared" si="10"/>
        <v>RAS</v>
      </c>
      <c r="P189" t="str">
        <f t="shared" si="11"/>
        <v>Data</v>
      </c>
      <c r="Q189" t="str" cm="1">
        <f t="array" ref="Q189">_xlfn.IFS(H189&gt;=16,"Excellent",H189&gt;=14,"Très bien",H189&gt;=12,"Bien",H189&gt;=10,"Passable",H189&lt;10,"Insuffisant")</f>
        <v>Excellent</v>
      </c>
    </row>
    <row r="190" spans="1:17">
      <c r="A190" t="s">
        <v>355</v>
      </c>
      <c r="B190" t="s">
        <v>356</v>
      </c>
      <c r="C190" t="s">
        <v>19</v>
      </c>
      <c r="D190" t="s">
        <v>33</v>
      </c>
      <c r="E190" s="8" t="s">
        <v>47</v>
      </c>
      <c r="F190" s="8">
        <v>17.04</v>
      </c>
      <c r="G190" s="8">
        <v>13.64</v>
      </c>
      <c r="H190" s="8">
        <v>16.88</v>
      </c>
      <c r="I190" s="8">
        <v>14.99</v>
      </c>
      <c r="J190" s="6">
        <v>0.90059999999999996</v>
      </c>
      <c r="K190" s="4">
        <v>85000</v>
      </c>
      <c r="L190" s="2">
        <v>45827</v>
      </c>
      <c r="M190" t="str">
        <f t="shared" si="8"/>
        <v>Admis</v>
      </c>
      <c r="N190" t="str">
        <f t="shared" si="9"/>
        <v>Eligible</v>
      </c>
      <c r="O190" t="str">
        <f t="shared" si="10"/>
        <v>RAS</v>
      </c>
      <c r="P190" t="str">
        <f t="shared" si="11"/>
        <v>Hors data</v>
      </c>
      <c r="Q190" t="str" cm="1">
        <f t="array" ref="Q190">_xlfn.IFS(H190&gt;=16,"Excellent",H190&gt;=14,"Très bien",H190&gt;=12,"Bien",H190&gt;=10,"Passable",H190&lt;10,"Insuffisant")</f>
        <v>Excellent</v>
      </c>
    </row>
    <row r="191" spans="1:17">
      <c r="A191" t="s">
        <v>357</v>
      </c>
      <c r="B191" t="s">
        <v>358</v>
      </c>
      <c r="C191" t="s">
        <v>19</v>
      </c>
      <c r="D191" t="s">
        <v>37</v>
      </c>
      <c r="E191" s="8" t="s">
        <v>21</v>
      </c>
      <c r="F191" s="8">
        <v>13.57</v>
      </c>
      <c r="G191" s="8">
        <v>15.24</v>
      </c>
      <c r="H191" s="8">
        <v>12.12</v>
      </c>
      <c r="I191" s="8">
        <v>14.64</v>
      </c>
      <c r="J191" s="6">
        <v>0.96360000000000001</v>
      </c>
      <c r="K191" s="4">
        <v>130000</v>
      </c>
      <c r="L191" s="2">
        <v>46035</v>
      </c>
      <c r="M191" t="str">
        <f t="shared" si="8"/>
        <v>Admis</v>
      </c>
      <c r="N191" t="str">
        <f t="shared" si="9"/>
        <v>Eligible</v>
      </c>
      <c r="O191" t="str">
        <f t="shared" si="10"/>
        <v>RAS</v>
      </c>
      <c r="P191" t="str">
        <f t="shared" si="11"/>
        <v>Data</v>
      </c>
      <c r="Q191" t="str" cm="1">
        <f t="array" ref="Q191">_xlfn.IFS(H191&gt;=16,"Excellent",H191&gt;=14,"Très bien",H191&gt;=12,"Bien",H191&gt;=10,"Passable",H191&lt;10,"Insuffisant")</f>
        <v>Bien</v>
      </c>
    </row>
    <row r="192" spans="1:17">
      <c r="A192" t="s">
        <v>359</v>
      </c>
      <c r="B192" t="s">
        <v>269</v>
      </c>
      <c r="C192" t="s">
        <v>24</v>
      </c>
      <c r="D192" t="s">
        <v>25</v>
      </c>
      <c r="E192" s="8" t="s">
        <v>21</v>
      </c>
      <c r="F192" s="8">
        <v>18.850000000000001</v>
      </c>
      <c r="G192" s="8">
        <v>17.61</v>
      </c>
      <c r="H192" s="8">
        <v>17.22</v>
      </c>
      <c r="I192" s="8">
        <v>15.36</v>
      </c>
      <c r="J192" s="6">
        <v>0.6754</v>
      </c>
      <c r="K192" s="4">
        <v>130000</v>
      </c>
      <c r="L192" s="2">
        <v>46015</v>
      </c>
      <c r="M192" t="str">
        <f t="shared" si="8"/>
        <v>Admis</v>
      </c>
      <c r="N192" t="str">
        <f t="shared" si="9"/>
        <v>Non eligible</v>
      </c>
      <c r="O192" t="str">
        <f t="shared" si="10"/>
        <v>RAS</v>
      </c>
      <c r="P192" t="str">
        <f t="shared" si="11"/>
        <v>Data</v>
      </c>
      <c r="Q192" t="str" cm="1">
        <f t="array" ref="Q192">_xlfn.IFS(H192&gt;=16,"Excellent",H192&gt;=14,"Très bien",H192&gt;=12,"Bien",H192&gt;=10,"Passable",H192&lt;10,"Insuffisant")</f>
        <v>Excellent</v>
      </c>
    </row>
    <row r="193" spans="1:17">
      <c r="A193" t="s">
        <v>360</v>
      </c>
      <c r="B193" t="s">
        <v>361</v>
      </c>
      <c r="C193" t="s">
        <v>24</v>
      </c>
      <c r="D193" t="s">
        <v>33</v>
      </c>
      <c r="E193" s="8" t="s">
        <v>21</v>
      </c>
      <c r="F193" s="8">
        <v>7.87</v>
      </c>
      <c r="G193" s="8">
        <v>6.52</v>
      </c>
      <c r="H193" s="8">
        <v>6.37</v>
      </c>
      <c r="I193" s="8">
        <v>8.7200000000000006</v>
      </c>
      <c r="J193" s="6">
        <v>0.97640000000000005</v>
      </c>
      <c r="K193" s="4">
        <v>50000</v>
      </c>
      <c r="L193" s="2">
        <v>46230</v>
      </c>
      <c r="M193" t="str">
        <f t="shared" si="8"/>
        <v>Non admis</v>
      </c>
      <c r="N193" t="str">
        <f t="shared" si="9"/>
        <v>Non eligible</v>
      </c>
      <c r="O193" t="str">
        <f t="shared" si="10"/>
        <v>A surveiller</v>
      </c>
      <c r="P193" t="str">
        <f t="shared" si="11"/>
        <v>Data</v>
      </c>
      <c r="Q193" t="str" cm="1">
        <f t="array" ref="Q193">_xlfn.IFS(H193&gt;=16,"Excellent",H193&gt;=14,"Très bien",H193&gt;=12,"Bien",H193&gt;=10,"Passable",H193&lt;10,"Insuffisant")</f>
        <v>Insuffisant</v>
      </c>
    </row>
    <row r="194" spans="1:17">
      <c r="A194" t="s">
        <v>362</v>
      </c>
      <c r="B194" t="s">
        <v>126</v>
      </c>
      <c r="C194" t="s">
        <v>24</v>
      </c>
      <c r="D194" t="s">
        <v>20</v>
      </c>
      <c r="E194" s="8" t="s">
        <v>47</v>
      </c>
      <c r="F194" s="8">
        <v>8.1199999999999992</v>
      </c>
      <c r="G194" s="8">
        <v>9.9499999999999993</v>
      </c>
      <c r="H194" s="8">
        <v>10.050000000000001</v>
      </c>
      <c r="I194" s="8">
        <v>12</v>
      </c>
      <c r="J194" s="6">
        <v>0.91849999999999998</v>
      </c>
      <c r="K194" s="4">
        <v>80000</v>
      </c>
      <c r="L194" s="2">
        <v>45878</v>
      </c>
      <c r="M194" t="str">
        <f t="shared" si="8"/>
        <v>Admis</v>
      </c>
      <c r="N194" t="str">
        <f t="shared" si="9"/>
        <v>Non eligible</v>
      </c>
      <c r="O194" t="str">
        <f t="shared" si="10"/>
        <v>A surveiller</v>
      </c>
      <c r="P194" t="str">
        <f t="shared" si="11"/>
        <v>Hors data</v>
      </c>
      <c r="Q194" t="str" cm="1">
        <f t="array" ref="Q194">_xlfn.IFS(H194&gt;=16,"Excellent",H194&gt;=14,"Très bien",H194&gt;=12,"Bien",H194&gt;=10,"Passable",H194&lt;10,"Insuffisant")</f>
        <v>Passable</v>
      </c>
    </row>
    <row r="195" spans="1:17">
      <c r="A195" t="s">
        <v>363</v>
      </c>
      <c r="B195" t="s">
        <v>99</v>
      </c>
      <c r="C195" t="s">
        <v>19</v>
      </c>
      <c r="D195" t="s">
        <v>37</v>
      </c>
      <c r="E195" s="8" t="s">
        <v>21</v>
      </c>
      <c r="F195" s="8">
        <v>11.38</v>
      </c>
      <c r="G195" s="8">
        <v>12.33</v>
      </c>
      <c r="H195" s="8">
        <v>8.83</v>
      </c>
      <c r="I195" s="8">
        <v>10.49</v>
      </c>
      <c r="J195" s="6">
        <v>0.72919999999999996</v>
      </c>
      <c r="K195" s="4">
        <v>70000</v>
      </c>
      <c r="L195" s="2">
        <v>45775</v>
      </c>
      <c r="M195" t="str">
        <f t="shared" ref="M195:M258" si="12">IF(H195&gt;=10,"Admis","Non admis")</f>
        <v>Non admis</v>
      </c>
      <c r="N195" t="str">
        <f t="shared" ref="N195:N258" si="13">IF(AND(F195&gt;=12,H195&gt;=12,J195&gt;=80%),"Eligible","Non eligible")</f>
        <v>Non eligible</v>
      </c>
      <c r="O195" t="str">
        <f t="shared" ref="O195:O258" si="14">IF(OR(F195&lt;10,H195&lt;10),"A surveiller","RAS")</f>
        <v>A surveiller</v>
      </c>
      <c r="P195" t="str">
        <f t="shared" ref="P195:P258" si="15">IF(NOT(E195="Data"),"Hors data","Data")</f>
        <v>Data</v>
      </c>
      <c r="Q195" t="str" cm="1">
        <f t="array" ref="Q195">_xlfn.IFS(H195&gt;=16,"Excellent",H195&gt;=14,"Très bien",H195&gt;=12,"Bien",H195&gt;=10,"Passable",H195&lt;10,"Insuffisant")</f>
        <v>Insuffisant</v>
      </c>
    </row>
    <row r="196" spans="1:17">
      <c r="A196" t="s">
        <v>364</v>
      </c>
      <c r="B196" t="s">
        <v>365</v>
      </c>
      <c r="C196" t="s">
        <v>24</v>
      </c>
      <c r="D196" t="s">
        <v>52</v>
      </c>
      <c r="E196" s="8" t="s">
        <v>34</v>
      </c>
      <c r="F196" s="8">
        <v>10.7</v>
      </c>
      <c r="G196" s="8">
        <v>16.510000000000002</v>
      </c>
      <c r="H196" s="8">
        <v>13.65</v>
      </c>
      <c r="I196" s="8">
        <v>9.1</v>
      </c>
      <c r="J196" s="6">
        <v>0.76680000000000004</v>
      </c>
      <c r="K196" s="4">
        <v>80000</v>
      </c>
      <c r="L196" s="2">
        <v>45904</v>
      </c>
      <c r="M196" t="str">
        <f t="shared" si="12"/>
        <v>Admis</v>
      </c>
      <c r="N196" t="str">
        <f t="shared" si="13"/>
        <v>Non eligible</v>
      </c>
      <c r="O196" t="str">
        <f t="shared" si="14"/>
        <v>RAS</v>
      </c>
      <c r="P196" t="str">
        <f t="shared" si="15"/>
        <v>Hors data</v>
      </c>
      <c r="Q196" t="str" cm="1">
        <f t="array" ref="Q196">_xlfn.IFS(H196&gt;=16,"Excellent",H196&gt;=14,"Très bien",H196&gt;=12,"Bien",H196&gt;=10,"Passable",H196&lt;10,"Insuffisant")</f>
        <v>Bien</v>
      </c>
    </row>
    <row r="197" spans="1:17">
      <c r="A197" t="s">
        <v>366</v>
      </c>
      <c r="B197" t="s">
        <v>330</v>
      </c>
      <c r="C197" t="s">
        <v>19</v>
      </c>
      <c r="D197" t="s">
        <v>40</v>
      </c>
      <c r="E197" s="8" t="s">
        <v>21</v>
      </c>
      <c r="F197" s="8">
        <v>11.45</v>
      </c>
      <c r="G197" s="8">
        <v>14.48</v>
      </c>
      <c r="H197" s="8">
        <v>16.18</v>
      </c>
      <c r="I197" s="8">
        <v>12.43</v>
      </c>
      <c r="J197" s="6">
        <v>0.74980000000000002</v>
      </c>
      <c r="K197" s="4">
        <v>60000</v>
      </c>
      <c r="L197" s="2">
        <v>45649</v>
      </c>
      <c r="M197" t="str">
        <f t="shared" si="12"/>
        <v>Admis</v>
      </c>
      <c r="N197" t="str">
        <f t="shared" si="13"/>
        <v>Non eligible</v>
      </c>
      <c r="O197" t="str">
        <f t="shared" si="14"/>
        <v>RAS</v>
      </c>
      <c r="P197" t="str">
        <f t="shared" si="15"/>
        <v>Data</v>
      </c>
      <c r="Q197" t="str" cm="1">
        <f t="array" ref="Q197">_xlfn.IFS(H197&gt;=16,"Excellent",H197&gt;=14,"Très bien",H197&gt;=12,"Bien",H197&gt;=10,"Passable",H197&lt;10,"Insuffisant")</f>
        <v>Excellent</v>
      </c>
    </row>
    <row r="198" spans="1:17">
      <c r="A198" t="s">
        <v>367</v>
      </c>
      <c r="B198" t="s">
        <v>282</v>
      </c>
      <c r="C198" t="s">
        <v>19</v>
      </c>
      <c r="D198" t="s">
        <v>37</v>
      </c>
      <c r="E198" s="8" t="s">
        <v>34</v>
      </c>
      <c r="F198" s="8">
        <v>11.76</v>
      </c>
      <c r="G198" s="8">
        <v>11.45</v>
      </c>
      <c r="H198" s="8">
        <v>6.59</v>
      </c>
      <c r="I198" s="8">
        <v>9.61</v>
      </c>
      <c r="J198" s="6">
        <v>0.8337</v>
      </c>
      <c r="K198" s="4">
        <v>85000</v>
      </c>
      <c r="L198" s="2">
        <v>45614</v>
      </c>
      <c r="M198" t="str">
        <f t="shared" si="12"/>
        <v>Non admis</v>
      </c>
      <c r="N198" t="str">
        <f t="shared" si="13"/>
        <v>Non eligible</v>
      </c>
      <c r="O198" t="str">
        <f t="shared" si="14"/>
        <v>A surveiller</v>
      </c>
      <c r="P198" t="str">
        <f t="shared" si="15"/>
        <v>Hors data</v>
      </c>
      <c r="Q198" t="str" cm="1">
        <f t="array" ref="Q198">_xlfn.IFS(H198&gt;=16,"Excellent",H198&gt;=14,"Très bien",H198&gt;=12,"Bien",H198&gt;=10,"Passable",H198&lt;10,"Insuffisant")</f>
        <v>Insuffisant</v>
      </c>
    </row>
    <row r="199" spans="1:17">
      <c r="A199" t="s">
        <v>368</v>
      </c>
      <c r="B199" t="s">
        <v>369</v>
      </c>
      <c r="C199" t="s">
        <v>19</v>
      </c>
      <c r="D199" t="s">
        <v>37</v>
      </c>
      <c r="E199" s="8" t="s">
        <v>47</v>
      </c>
      <c r="F199" s="8">
        <v>12.89</v>
      </c>
      <c r="G199" s="8">
        <v>10.7</v>
      </c>
      <c r="H199" s="8">
        <v>8.4600000000000009</v>
      </c>
      <c r="I199" s="8">
        <v>8.1199999999999992</v>
      </c>
      <c r="J199" s="6">
        <v>0.94599999999999995</v>
      </c>
      <c r="K199" s="4">
        <v>60000</v>
      </c>
      <c r="L199" s="2">
        <v>45899</v>
      </c>
      <c r="M199" t="str">
        <f t="shared" si="12"/>
        <v>Non admis</v>
      </c>
      <c r="N199" t="str">
        <f t="shared" si="13"/>
        <v>Non eligible</v>
      </c>
      <c r="O199" t="str">
        <f t="shared" si="14"/>
        <v>A surveiller</v>
      </c>
      <c r="P199" t="str">
        <f t="shared" si="15"/>
        <v>Hors data</v>
      </c>
      <c r="Q199" t="str" cm="1">
        <f t="array" ref="Q199">_xlfn.IFS(H199&gt;=16,"Excellent",H199&gt;=14,"Très bien",H199&gt;=12,"Bien",H199&gt;=10,"Passable",H199&lt;10,"Insuffisant")</f>
        <v>Insuffisant</v>
      </c>
    </row>
    <row r="200" spans="1:17">
      <c r="A200" t="s">
        <v>370</v>
      </c>
      <c r="B200" t="s">
        <v>371</v>
      </c>
      <c r="C200" t="s">
        <v>19</v>
      </c>
      <c r="D200" t="s">
        <v>25</v>
      </c>
      <c r="E200" s="8" t="s">
        <v>34</v>
      </c>
      <c r="F200" s="8">
        <v>9.5399999999999991</v>
      </c>
      <c r="G200" s="8">
        <v>9.93</v>
      </c>
      <c r="H200" s="8">
        <v>10.23</v>
      </c>
      <c r="I200" s="8">
        <v>10.199999999999999</v>
      </c>
      <c r="J200" s="6">
        <v>0.93899999999999995</v>
      </c>
      <c r="K200" s="4">
        <v>90000</v>
      </c>
      <c r="L200" s="2">
        <v>46113</v>
      </c>
      <c r="M200" t="str">
        <f t="shared" si="12"/>
        <v>Admis</v>
      </c>
      <c r="N200" t="str">
        <f t="shared" si="13"/>
        <v>Non eligible</v>
      </c>
      <c r="O200" t="str">
        <f t="shared" si="14"/>
        <v>A surveiller</v>
      </c>
      <c r="P200" t="str">
        <f t="shared" si="15"/>
        <v>Hors data</v>
      </c>
      <c r="Q200" t="str" cm="1">
        <f t="array" ref="Q200">_xlfn.IFS(H200&gt;=16,"Excellent",H200&gt;=14,"Très bien",H200&gt;=12,"Bien",H200&gt;=10,"Passable",H200&lt;10,"Insuffisant")</f>
        <v>Passable</v>
      </c>
    </row>
    <row r="201" spans="1:17">
      <c r="A201" t="s">
        <v>372</v>
      </c>
      <c r="B201" t="s">
        <v>271</v>
      </c>
      <c r="C201" t="s">
        <v>24</v>
      </c>
      <c r="D201" t="s">
        <v>37</v>
      </c>
      <c r="E201" s="8" t="s">
        <v>34</v>
      </c>
      <c r="F201" s="8">
        <v>18.77</v>
      </c>
      <c r="G201" s="8">
        <v>20</v>
      </c>
      <c r="H201" s="8">
        <v>19.62</v>
      </c>
      <c r="I201" s="8">
        <v>17.18</v>
      </c>
      <c r="J201" s="6">
        <v>0.61180000000000001</v>
      </c>
      <c r="K201" s="4">
        <v>80000</v>
      </c>
      <c r="L201" s="2">
        <v>45909</v>
      </c>
      <c r="M201" t="str">
        <f t="shared" si="12"/>
        <v>Admis</v>
      </c>
      <c r="N201" t="str">
        <f t="shared" si="13"/>
        <v>Non eligible</v>
      </c>
      <c r="O201" t="str">
        <f t="shared" si="14"/>
        <v>RAS</v>
      </c>
      <c r="P201" t="str">
        <f t="shared" si="15"/>
        <v>Hors data</v>
      </c>
      <c r="Q201" t="str" cm="1">
        <f t="array" ref="Q201">_xlfn.IFS(H201&gt;=16,"Excellent",H201&gt;=14,"Très bien",H201&gt;=12,"Bien",H201&gt;=10,"Passable",H201&lt;10,"Insuffisant")</f>
        <v>Excellent</v>
      </c>
    </row>
    <row r="202" spans="1:17">
      <c r="A202" t="s">
        <v>373</v>
      </c>
      <c r="B202" t="s">
        <v>193</v>
      </c>
      <c r="C202" t="s">
        <v>19</v>
      </c>
      <c r="D202" t="s">
        <v>20</v>
      </c>
      <c r="E202" s="8" t="s">
        <v>47</v>
      </c>
      <c r="F202" s="8">
        <v>17.12</v>
      </c>
      <c r="G202" s="8">
        <v>19.32</v>
      </c>
      <c r="H202" s="8">
        <v>20</v>
      </c>
      <c r="I202" s="8">
        <v>19.78</v>
      </c>
      <c r="J202" s="6">
        <v>0.67989999999999995</v>
      </c>
      <c r="K202" s="4">
        <v>130000</v>
      </c>
      <c r="L202" s="2">
        <v>46083</v>
      </c>
      <c r="M202" t="str">
        <f t="shared" si="12"/>
        <v>Admis</v>
      </c>
      <c r="N202" t="str">
        <f t="shared" si="13"/>
        <v>Non eligible</v>
      </c>
      <c r="O202" t="str">
        <f t="shared" si="14"/>
        <v>RAS</v>
      </c>
      <c r="P202" t="str">
        <f t="shared" si="15"/>
        <v>Hors data</v>
      </c>
      <c r="Q202" t="str" cm="1">
        <f t="array" ref="Q202">_xlfn.IFS(H202&gt;=16,"Excellent",H202&gt;=14,"Très bien",H202&gt;=12,"Bien",H202&gt;=10,"Passable",H202&lt;10,"Insuffisant")</f>
        <v>Excellent</v>
      </c>
    </row>
    <row r="203" spans="1:17">
      <c r="A203" t="s">
        <v>374</v>
      </c>
      <c r="B203" t="s">
        <v>375</v>
      </c>
      <c r="C203" t="s">
        <v>24</v>
      </c>
      <c r="D203" t="s">
        <v>25</v>
      </c>
      <c r="E203" s="8" t="s">
        <v>47</v>
      </c>
      <c r="F203" s="8">
        <v>13.96</v>
      </c>
      <c r="G203" s="8">
        <v>9.6199999999999992</v>
      </c>
      <c r="H203" s="8">
        <v>14.75</v>
      </c>
      <c r="I203" s="8">
        <v>12.61</v>
      </c>
      <c r="J203" s="6">
        <v>0.74199999999999999</v>
      </c>
      <c r="K203" s="4">
        <v>120000</v>
      </c>
      <c r="L203" s="2">
        <v>45660</v>
      </c>
      <c r="M203" t="str">
        <f t="shared" si="12"/>
        <v>Admis</v>
      </c>
      <c r="N203" t="str">
        <f t="shared" si="13"/>
        <v>Non eligible</v>
      </c>
      <c r="O203" t="str">
        <f t="shared" si="14"/>
        <v>RAS</v>
      </c>
      <c r="P203" t="str">
        <f t="shared" si="15"/>
        <v>Hors data</v>
      </c>
      <c r="Q203" t="str" cm="1">
        <f t="array" ref="Q203">_xlfn.IFS(H203&gt;=16,"Excellent",H203&gt;=14,"Très bien",H203&gt;=12,"Bien",H203&gt;=10,"Passable",H203&lt;10,"Insuffisant")</f>
        <v>Très bien</v>
      </c>
    </row>
    <row r="204" spans="1:17">
      <c r="A204" t="s">
        <v>376</v>
      </c>
      <c r="B204" t="s">
        <v>377</v>
      </c>
      <c r="C204" t="s">
        <v>19</v>
      </c>
      <c r="D204" t="s">
        <v>33</v>
      </c>
      <c r="E204" s="8" t="s">
        <v>21</v>
      </c>
      <c r="F204" s="8">
        <v>10.28</v>
      </c>
      <c r="G204" s="8">
        <v>12.16</v>
      </c>
      <c r="H204" s="8">
        <v>14.76</v>
      </c>
      <c r="I204" s="8">
        <v>8.76</v>
      </c>
      <c r="J204" s="6">
        <v>0.77929999999999999</v>
      </c>
      <c r="K204" s="4">
        <v>90000</v>
      </c>
      <c r="L204" s="2">
        <v>45850</v>
      </c>
      <c r="M204" t="str">
        <f t="shared" si="12"/>
        <v>Admis</v>
      </c>
      <c r="N204" t="str">
        <f t="shared" si="13"/>
        <v>Non eligible</v>
      </c>
      <c r="O204" t="str">
        <f t="shared" si="14"/>
        <v>RAS</v>
      </c>
      <c r="P204" t="str">
        <f t="shared" si="15"/>
        <v>Data</v>
      </c>
      <c r="Q204" t="str" cm="1">
        <f t="array" ref="Q204">_xlfn.IFS(H204&gt;=16,"Excellent",H204&gt;=14,"Très bien",H204&gt;=12,"Bien",H204&gt;=10,"Passable",H204&lt;10,"Insuffisant")</f>
        <v>Très bien</v>
      </c>
    </row>
    <row r="205" spans="1:17">
      <c r="A205" t="s">
        <v>378</v>
      </c>
      <c r="B205" t="s">
        <v>379</v>
      </c>
      <c r="C205" t="s">
        <v>24</v>
      </c>
      <c r="D205" t="s">
        <v>33</v>
      </c>
      <c r="E205" s="8" t="s">
        <v>26</v>
      </c>
      <c r="F205" s="8">
        <v>11.07</v>
      </c>
      <c r="G205" s="8">
        <v>10.5</v>
      </c>
      <c r="H205" s="8">
        <v>9.9</v>
      </c>
      <c r="I205" s="8">
        <v>10.96</v>
      </c>
      <c r="J205" s="6">
        <v>0.89129999999999998</v>
      </c>
      <c r="K205" s="4">
        <v>80000</v>
      </c>
      <c r="L205" s="2">
        <v>45965</v>
      </c>
      <c r="M205" t="str">
        <f t="shared" si="12"/>
        <v>Non admis</v>
      </c>
      <c r="N205" t="str">
        <f t="shared" si="13"/>
        <v>Non eligible</v>
      </c>
      <c r="O205" t="str">
        <f t="shared" si="14"/>
        <v>A surveiller</v>
      </c>
      <c r="P205" t="str">
        <f t="shared" si="15"/>
        <v>Hors data</v>
      </c>
      <c r="Q205" t="str" cm="1">
        <f t="array" ref="Q205">_xlfn.IFS(H205&gt;=16,"Excellent",H205&gt;=14,"Très bien",H205&gt;=12,"Bien",H205&gt;=10,"Passable",H205&lt;10,"Insuffisant")</f>
        <v>Insuffisant</v>
      </c>
    </row>
    <row r="206" spans="1:17">
      <c r="A206" t="s">
        <v>380</v>
      </c>
      <c r="B206" t="s">
        <v>381</v>
      </c>
      <c r="C206" t="s">
        <v>19</v>
      </c>
      <c r="D206" t="s">
        <v>52</v>
      </c>
      <c r="E206" s="8" t="s">
        <v>26</v>
      </c>
      <c r="F206" s="8">
        <v>9.8000000000000007</v>
      </c>
      <c r="G206" s="8">
        <v>7.43</v>
      </c>
      <c r="H206" s="8">
        <v>7.73</v>
      </c>
      <c r="I206" s="8">
        <v>7.93</v>
      </c>
      <c r="J206" s="6">
        <v>0.57250000000000001</v>
      </c>
      <c r="K206" s="4">
        <v>100000</v>
      </c>
      <c r="L206" s="2">
        <v>45779</v>
      </c>
      <c r="M206" t="str">
        <f t="shared" si="12"/>
        <v>Non admis</v>
      </c>
      <c r="N206" t="str">
        <f t="shared" si="13"/>
        <v>Non eligible</v>
      </c>
      <c r="O206" t="str">
        <f t="shared" si="14"/>
        <v>A surveiller</v>
      </c>
      <c r="P206" t="str">
        <f t="shared" si="15"/>
        <v>Hors data</v>
      </c>
      <c r="Q206" t="str" cm="1">
        <f t="array" ref="Q206">_xlfn.IFS(H206&gt;=16,"Excellent",H206&gt;=14,"Très bien",H206&gt;=12,"Bien",H206&gt;=10,"Passable",H206&lt;10,"Insuffisant")</f>
        <v>Insuffisant</v>
      </c>
    </row>
    <row r="207" spans="1:17">
      <c r="A207" t="s">
        <v>382</v>
      </c>
      <c r="B207" t="s">
        <v>377</v>
      </c>
      <c r="C207" t="s">
        <v>19</v>
      </c>
      <c r="D207" t="s">
        <v>20</v>
      </c>
      <c r="E207" s="8" t="s">
        <v>47</v>
      </c>
      <c r="F207" s="8">
        <v>12.98</v>
      </c>
      <c r="G207" s="8">
        <v>16.829999999999998</v>
      </c>
      <c r="H207" s="8">
        <v>10.18</v>
      </c>
      <c r="I207" s="8">
        <v>14.21</v>
      </c>
      <c r="J207" s="6">
        <v>0.86299999999999999</v>
      </c>
      <c r="K207" s="4">
        <v>100000</v>
      </c>
      <c r="L207" s="2">
        <v>45545</v>
      </c>
      <c r="M207" t="str">
        <f t="shared" si="12"/>
        <v>Admis</v>
      </c>
      <c r="N207" t="str">
        <f t="shared" si="13"/>
        <v>Non eligible</v>
      </c>
      <c r="O207" t="str">
        <f t="shared" si="14"/>
        <v>RAS</v>
      </c>
      <c r="P207" t="str">
        <f t="shared" si="15"/>
        <v>Hors data</v>
      </c>
      <c r="Q207" t="str" cm="1">
        <f t="array" ref="Q207">_xlfn.IFS(H207&gt;=16,"Excellent",H207&gt;=14,"Très bien",H207&gt;=12,"Bien",H207&gt;=10,"Passable",H207&lt;10,"Insuffisant")</f>
        <v>Passable</v>
      </c>
    </row>
    <row r="208" spans="1:17">
      <c r="A208" t="s">
        <v>383</v>
      </c>
      <c r="B208" t="s">
        <v>128</v>
      </c>
      <c r="C208" t="s">
        <v>24</v>
      </c>
      <c r="D208" t="s">
        <v>20</v>
      </c>
      <c r="E208" s="8" t="s">
        <v>47</v>
      </c>
      <c r="F208" s="8">
        <v>12.93</v>
      </c>
      <c r="G208" s="8">
        <v>12.16</v>
      </c>
      <c r="H208" s="8">
        <v>12.63</v>
      </c>
      <c r="I208" s="8">
        <v>9.74</v>
      </c>
      <c r="J208" s="6">
        <v>0.97829999999999995</v>
      </c>
      <c r="K208" s="4">
        <v>60000</v>
      </c>
      <c r="L208" s="2">
        <v>45587</v>
      </c>
      <c r="M208" t="str">
        <f t="shared" si="12"/>
        <v>Admis</v>
      </c>
      <c r="N208" t="str">
        <f t="shared" si="13"/>
        <v>Eligible</v>
      </c>
      <c r="O208" t="str">
        <f t="shared" si="14"/>
        <v>RAS</v>
      </c>
      <c r="P208" t="str">
        <f t="shared" si="15"/>
        <v>Hors data</v>
      </c>
      <c r="Q208" t="str" cm="1">
        <f t="array" ref="Q208">_xlfn.IFS(H208&gt;=16,"Excellent",H208&gt;=14,"Très bien",H208&gt;=12,"Bien",H208&gt;=10,"Passable",H208&lt;10,"Insuffisant")</f>
        <v>Bien</v>
      </c>
    </row>
    <row r="209" spans="1:17">
      <c r="A209" t="s">
        <v>384</v>
      </c>
      <c r="B209" t="s">
        <v>385</v>
      </c>
      <c r="C209" t="s">
        <v>24</v>
      </c>
      <c r="D209" t="s">
        <v>33</v>
      </c>
      <c r="E209" s="8" t="s">
        <v>47</v>
      </c>
      <c r="F209" s="8">
        <v>12.59</v>
      </c>
      <c r="G209" s="8">
        <v>16.68</v>
      </c>
      <c r="H209" s="8">
        <v>14.54</v>
      </c>
      <c r="I209" s="8">
        <v>11.4</v>
      </c>
      <c r="J209" s="6">
        <v>0.98960000000000004</v>
      </c>
      <c r="K209" s="4">
        <v>80000</v>
      </c>
      <c r="L209" s="2">
        <v>46185</v>
      </c>
      <c r="M209" t="str">
        <f t="shared" si="12"/>
        <v>Admis</v>
      </c>
      <c r="N209" t="str">
        <f t="shared" si="13"/>
        <v>Eligible</v>
      </c>
      <c r="O209" t="str">
        <f t="shared" si="14"/>
        <v>RAS</v>
      </c>
      <c r="P209" t="str">
        <f t="shared" si="15"/>
        <v>Hors data</v>
      </c>
      <c r="Q209" t="str" cm="1">
        <f t="array" ref="Q209">_xlfn.IFS(H209&gt;=16,"Excellent",H209&gt;=14,"Très bien",H209&gt;=12,"Bien",H209&gt;=10,"Passable",H209&lt;10,"Insuffisant")</f>
        <v>Très bien</v>
      </c>
    </row>
    <row r="210" spans="1:17">
      <c r="A210" t="s">
        <v>386</v>
      </c>
      <c r="B210" t="s">
        <v>387</v>
      </c>
      <c r="C210" t="s">
        <v>19</v>
      </c>
      <c r="D210" t="s">
        <v>52</v>
      </c>
      <c r="E210" s="8" t="s">
        <v>34</v>
      </c>
      <c r="F210" s="8">
        <v>8.5500000000000007</v>
      </c>
      <c r="G210" s="8">
        <v>10</v>
      </c>
      <c r="H210" s="8">
        <v>12.05</v>
      </c>
      <c r="I210" s="8">
        <v>7.22</v>
      </c>
      <c r="J210" s="6">
        <v>0.90839999999999999</v>
      </c>
      <c r="K210" s="4">
        <v>130000</v>
      </c>
      <c r="L210" s="2">
        <v>45959</v>
      </c>
      <c r="M210" t="str">
        <f t="shared" si="12"/>
        <v>Admis</v>
      </c>
      <c r="N210" t="str">
        <f t="shared" si="13"/>
        <v>Non eligible</v>
      </c>
      <c r="O210" t="str">
        <f t="shared" si="14"/>
        <v>A surveiller</v>
      </c>
      <c r="P210" t="str">
        <f t="shared" si="15"/>
        <v>Hors data</v>
      </c>
      <c r="Q210" t="str" cm="1">
        <f t="array" ref="Q210">_xlfn.IFS(H210&gt;=16,"Excellent",H210&gt;=14,"Très bien",H210&gt;=12,"Bien",H210&gt;=10,"Passable",H210&lt;10,"Insuffisant")</f>
        <v>Bien</v>
      </c>
    </row>
    <row r="211" spans="1:17">
      <c r="A211" t="s">
        <v>388</v>
      </c>
      <c r="B211" t="s">
        <v>36</v>
      </c>
      <c r="C211" t="s">
        <v>24</v>
      </c>
      <c r="D211" t="s">
        <v>52</v>
      </c>
      <c r="E211" s="8" t="s">
        <v>34</v>
      </c>
      <c r="F211" s="8">
        <v>9.2200000000000006</v>
      </c>
      <c r="G211" s="8">
        <v>11.95</v>
      </c>
      <c r="H211" s="8">
        <v>11.1</v>
      </c>
      <c r="I211" s="8">
        <v>10.08</v>
      </c>
      <c r="J211" s="6">
        <v>0.64800000000000002</v>
      </c>
      <c r="K211" s="4">
        <v>75000</v>
      </c>
      <c r="L211" s="2">
        <v>45721</v>
      </c>
      <c r="M211" t="str">
        <f t="shared" si="12"/>
        <v>Admis</v>
      </c>
      <c r="N211" t="str">
        <f t="shared" si="13"/>
        <v>Non eligible</v>
      </c>
      <c r="O211" t="str">
        <f t="shared" si="14"/>
        <v>A surveiller</v>
      </c>
      <c r="P211" t="str">
        <f t="shared" si="15"/>
        <v>Hors data</v>
      </c>
      <c r="Q211" t="str" cm="1">
        <f t="array" ref="Q211">_xlfn.IFS(H211&gt;=16,"Excellent",H211&gt;=14,"Très bien",H211&gt;=12,"Bien",H211&gt;=10,"Passable",H211&lt;10,"Insuffisant")</f>
        <v>Passable</v>
      </c>
    </row>
    <row r="212" spans="1:17">
      <c r="A212" t="s">
        <v>389</v>
      </c>
      <c r="B212" t="s">
        <v>160</v>
      </c>
      <c r="C212" t="s">
        <v>19</v>
      </c>
      <c r="D212" t="s">
        <v>25</v>
      </c>
      <c r="E212" s="8" t="s">
        <v>34</v>
      </c>
      <c r="F212" s="8">
        <v>16.149999999999999</v>
      </c>
      <c r="G212" s="8">
        <v>12.26</v>
      </c>
      <c r="H212" s="8">
        <v>13.8</v>
      </c>
      <c r="I212" s="8">
        <v>13.86</v>
      </c>
      <c r="J212" s="6">
        <v>0.79520000000000002</v>
      </c>
      <c r="K212" s="4">
        <v>50000</v>
      </c>
      <c r="L212" s="2">
        <v>45717</v>
      </c>
      <c r="M212" t="str">
        <f t="shared" si="12"/>
        <v>Admis</v>
      </c>
      <c r="N212" t="str">
        <f t="shared" si="13"/>
        <v>Non eligible</v>
      </c>
      <c r="O212" t="str">
        <f t="shared" si="14"/>
        <v>RAS</v>
      </c>
      <c r="P212" t="str">
        <f t="shared" si="15"/>
        <v>Hors data</v>
      </c>
      <c r="Q212" t="str" cm="1">
        <f t="array" ref="Q212">_xlfn.IFS(H212&gt;=16,"Excellent",H212&gt;=14,"Très bien",H212&gt;=12,"Bien",H212&gt;=10,"Passable",H212&lt;10,"Insuffisant")</f>
        <v>Bien</v>
      </c>
    </row>
    <row r="213" spans="1:17">
      <c r="A213" t="s">
        <v>390</v>
      </c>
      <c r="B213" t="s">
        <v>391</v>
      </c>
      <c r="C213" t="s">
        <v>24</v>
      </c>
      <c r="D213" t="s">
        <v>25</v>
      </c>
      <c r="E213" s="8" t="s">
        <v>21</v>
      </c>
      <c r="F213" s="8">
        <v>12.84</v>
      </c>
      <c r="G213" s="8">
        <v>14.95</v>
      </c>
      <c r="H213" s="8">
        <v>15.1</v>
      </c>
      <c r="I213" s="8">
        <v>14.75</v>
      </c>
      <c r="J213" s="6">
        <v>0.76449999999999996</v>
      </c>
      <c r="K213" s="4">
        <v>120000</v>
      </c>
      <c r="L213" s="2">
        <v>45563</v>
      </c>
      <c r="M213" t="str">
        <f t="shared" si="12"/>
        <v>Admis</v>
      </c>
      <c r="N213" t="str">
        <f t="shared" si="13"/>
        <v>Non eligible</v>
      </c>
      <c r="O213" t="str">
        <f t="shared" si="14"/>
        <v>RAS</v>
      </c>
      <c r="P213" t="str">
        <f t="shared" si="15"/>
        <v>Data</v>
      </c>
      <c r="Q213" t="str" cm="1">
        <f t="array" ref="Q213">_xlfn.IFS(H213&gt;=16,"Excellent",H213&gt;=14,"Très bien",H213&gt;=12,"Bien",H213&gt;=10,"Passable",H213&lt;10,"Insuffisant")</f>
        <v>Très bien</v>
      </c>
    </row>
    <row r="214" spans="1:17">
      <c r="A214" t="s">
        <v>392</v>
      </c>
      <c r="B214" t="s">
        <v>112</v>
      </c>
      <c r="C214" t="s">
        <v>24</v>
      </c>
      <c r="D214" t="s">
        <v>25</v>
      </c>
      <c r="E214" s="8" t="s">
        <v>26</v>
      </c>
      <c r="F214" s="8">
        <v>15.44</v>
      </c>
      <c r="G214" s="8">
        <v>15.1</v>
      </c>
      <c r="H214" s="8">
        <v>16.829999999999998</v>
      </c>
      <c r="I214" s="8">
        <v>14.15</v>
      </c>
      <c r="J214" s="6">
        <v>0.84589999999999999</v>
      </c>
      <c r="K214" s="4">
        <v>130000</v>
      </c>
      <c r="L214" s="2">
        <v>46197</v>
      </c>
      <c r="M214" t="str">
        <f t="shared" si="12"/>
        <v>Admis</v>
      </c>
      <c r="N214" t="str">
        <f t="shared" si="13"/>
        <v>Eligible</v>
      </c>
      <c r="O214" t="str">
        <f t="shared" si="14"/>
        <v>RAS</v>
      </c>
      <c r="P214" t="str">
        <f t="shared" si="15"/>
        <v>Hors data</v>
      </c>
      <c r="Q214" t="str" cm="1">
        <f t="array" ref="Q214">_xlfn.IFS(H214&gt;=16,"Excellent",H214&gt;=14,"Très bien",H214&gt;=12,"Bien",H214&gt;=10,"Passable",H214&lt;10,"Insuffisant")</f>
        <v>Excellent</v>
      </c>
    </row>
    <row r="215" spans="1:17">
      <c r="A215" t="s">
        <v>393</v>
      </c>
      <c r="B215" t="s">
        <v>18</v>
      </c>
      <c r="C215" t="s">
        <v>19</v>
      </c>
      <c r="D215" t="s">
        <v>37</v>
      </c>
      <c r="E215" s="8" t="s">
        <v>34</v>
      </c>
      <c r="F215" s="8">
        <v>9.65</v>
      </c>
      <c r="G215" s="8">
        <v>7.19</v>
      </c>
      <c r="H215" s="8">
        <v>6.77</v>
      </c>
      <c r="I215" s="8">
        <v>8.77</v>
      </c>
      <c r="J215" s="6">
        <v>0.97270000000000001</v>
      </c>
      <c r="K215" s="4">
        <v>100000</v>
      </c>
      <c r="L215" s="2">
        <v>45611</v>
      </c>
      <c r="M215" t="str">
        <f t="shared" si="12"/>
        <v>Non admis</v>
      </c>
      <c r="N215" t="str">
        <f t="shared" si="13"/>
        <v>Non eligible</v>
      </c>
      <c r="O215" t="str">
        <f t="shared" si="14"/>
        <v>A surveiller</v>
      </c>
      <c r="P215" t="str">
        <f t="shared" si="15"/>
        <v>Hors data</v>
      </c>
      <c r="Q215" t="str" cm="1">
        <f t="array" ref="Q215">_xlfn.IFS(H215&gt;=16,"Excellent",H215&gt;=14,"Très bien",H215&gt;=12,"Bien",H215&gt;=10,"Passable",H215&lt;10,"Insuffisant")</f>
        <v>Insuffisant</v>
      </c>
    </row>
    <row r="216" spans="1:17">
      <c r="A216" t="s">
        <v>394</v>
      </c>
      <c r="B216" t="s">
        <v>80</v>
      </c>
      <c r="C216" t="s">
        <v>24</v>
      </c>
      <c r="D216" t="s">
        <v>40</v>
      </c>
      <c r="E216" s="8" t="s">
        <v>34</v>
      </c>
      <c r="F216" s="8">
        <v>13.58</v>
      </c>
      <c r="G216" s="8">
        <v>15.11</v>
      </c>
      <c r="H216" s="8">
        <v>17.71</v>
      </c>
      <c r="I216" s="8">
        <v>15.02</v>
      </c>
      <c r="J216" s="6">
        <v>0.89070000000000005</v>
      </c>
      <c r="K216" s="4">
        <v>90000</v>
      </c>
      <c r="L216" s="2">
        <v>46067</v>
      </c>
      <c r="M216" t="str">
        <f t="shared" si="12"/>
        <v>Admis</v>
      </c>
      <c r="N216" t="str">
        <f t="shared" si="13"/>
        <v>Eligible</v>
      </c>
      <c r="O216" t="str">
        <f t="shared" si="14"/>
        <v>RAS</v>
      </c>
      <c r="P216" t="str">
        <f t="shared" si="15"/>
        <v>Hors data</v>
      </c>
      <c r="Q216" t="str" cm="1">
        <f t="array" ref="Q216">_xlfn.IFS(H216&gt;=16,"Excellent",H216&gt;=14,"Très bien",H216&gt;=12,"Bien",H216&gt;=10,"Passable",H216&lt;10,"Insuffisant")</f>
        <v>Excellent</v>
      </c>
    </row>
    <row r="217" spans="1:17">
      <c r="A217" t="s">
        <v>395</v>
      </c>
      <c r="B217" t="s">
        <v>91</v>
      </c>
      <c r="C217" t="s">
        <v>19</v>
      </c>
      <c r="D217" t="s">
        <v>37</v>
      </c>
      <c r="E217" s="8" t="s">
        <v>26</v>
      </c>
      <c r="F217" s="8">
        <v>9.92</v>
      </c>
      <c r="G217" s="8">
        <v>10.95</v>
      </c>
      <c r="H217" s="8">
        <v>11.41</v>
      </c>
      <c r="I217" s="8">
        <v>16.68</v>
      </c>
      <c r="J217" s="6">
        <v>0.79590000000000005</v>
      </c>
      <c r="K217" s="4">
        <v>75000</v>
      </c>
      <c r="L217" s="2">
        <v>45704</v>
      </c>
      <c r="M217" t="str">
        <f t="shared" si="12"/>
        <v>Admis</v>
      </c>
      <c r="N217" t="str">
        <f t="shared" si="13"/>
        <v>Non eligible</v>
      </c>
      <c r="O217" t="str">
        <f t="shared" si="14"/>
        <v>A surveiller</v>
      </c>
      <c r="P217" t="str">
        <f t="shared" si="15"/>
        <v>Hors data</v>
      </c>
      <c r="Q217" t="str" cm="1">
        <f t="array" ref="Q217">_xlfn.IFS(H217&gt;=16,"Excellent",H217&gt;=14,"Très bien",H217&gt;=12,"Bien",H217&gt;=10,"Passable",H217&lt;10,"Insuffisant")</f>
        <v>Passable</v>
      </c>
    </row>
    <row r="218" spans="1:17">
      <c r="A218" t="s">
        <v>396</v>
      </c>
      <c r="B218" t="s">
        <v>132</v>
      </c>
      <c r="C218" t="s">
        <v>19</v>
      </c>
      <c r="D218" t="s">
        <v>33</v>
      </c>
      <c r="E218" s="8" t="s">
        <v>47</v>
      </c>
      <c r="F218" s="8">
        <v>18.309999999999999</v>
      </c>
      <c r="G218" s="8">
        <v>16.579999999999998</v>
      </c>
      <c r="H218" s="8">
        <v>13.14</v>
      </c>
      <c r="I218" s="8">
        <v>13.48</v>
      </c>
      <c r="J218" s="6">
        <v>0.55000000000000004</v>
      </c>
      <c r="K218" s="4">
        <v>75000</v>
      </c>
      <c r="L218" s="2">
        <v>45770</v>
      </c>
      <c r="M218" t="str">
        <f t="shared" si="12"/>
        <v>Admis</v>
      </c>
      <c r="N218" t="str">
        <f t="shared" si="13"/>
        <v>Non eligible</v>
      </c>
      <c r="O218" t="str">
        <f t="shared" si="14"/>
        <v>RAS</v>
      </c>
      <c r="P218" t="str">
        <f t="shared" si="15"/>
        <v>Hors data</v>
      </c>
      <c r="Q218" t="str" cm="1">
        <f t="array" ref="Q218">_xlfn.IFS(H218&gt;=16,"Excellent",H218&gt;=14,"Très bien",H218&gt;=12,"Bien",H218&gt;=10,"Passable",H218&lt;10,"Insuffisant")</f>
        <v>Bien</v>
      </c>
    </row>
    <row r="219" spans="1:17">
      <c r="A219" t="s">
        <v>397</v>
      </c>
      <c r="B219" t="s">
        <v>273</v>
      </c>
      <c r="C219" t="s">
        <v>19</v>
      </c>
      <c r="D219" t="s">
        <v>52</v>
      </c>
      <c r="E219" s="8" t="s">
        <v>47</v>
      </c>
      <c r="F219" s="8">
        <v>13.91</v>
      </c>
      <c r="G219" s="8">
        <v>14.89</v>
      </c>
      <c r="H219" s="8">
        <v>9.08</v>
      </c>
      <c r="I219" s="8">
        <v>12.14</v>
      </c>
      <c r="J219" s="6">
        <v>0.92500000000000004</v>
      </c>
      <c r="K219" s="4">
        <v>130000</v>
      </c>
      <c r="L219" s="2">
        <v>45727</v>
      </c>
      <c r="M219" t="str">
        <f t="shared" si="12"/>
        <v>Non admis</v>
      </c>
      <c r="N219" t="str">
        <f t="shared" si="13"/>
        <v>Non eligible</v>
      </c>
      <c r="O219" t="str">
        <f t="shared" si="14"/>
        <v>A surveiller</v>
      </c>
      <c r="P219" t="str">
        <f t="shared" si="15"/>
        <v>Hors data</v>
      </c>
      <c r="Q219" t="str" cm="1">
        <f t="array" ref="Q219">_xlfn.IFS(H219&gt;=16,"Excellent",H219&gt;=14,"Très bien",H219&gt;=12,"Bien",H219&gt;=10,"Passable",H219&lt;10,"Insuffisant")</f>
        <v>Insuffisant</v>
      </c>
    </row>
    <row r="220" spans="1:17">
      <c r="A220" t="s">
        <v>398</v>
      </c>
      <c r="B220" t="s">
        <v>371</v>
      </c>
      <c r="C220" t="s">
        <v>19</v>
      </c>
      <c r="D220" t="s">
        <v>40</v>
      </c>
      <c r="E220" s="8" t="s">
        <v>21</v>
      </c>
      <c r="F220" s="8">
        <v>7.43</v>
      </c>
      <c r="G220" s="8">
        <v>8.77</v>
      </c>
      <c r="H220" s="8">
        <v>9.5500000000000007</v>
      </c>
      <c r="I220" s="8">
        <v>16.79</v>
      </c>
      <c r="J220" s="6">
        <v>0.86780000000000002</v>
      </c>
      <c r="K220" s="4">
        <v>120000</v>
      </c>
      <c r="L220" s="2">
        <v>46113</v>
      </c>
      <c r="M220" t="str">
        <f t="shared" si="12"/>
        <v>Non admis</v>
      </c>
      <c r="N220" t="str">
        <f t="shared" si="13"/>
        <v>Non eligible</v>
      </c>
      <c r="O220" t="str">
        <f t="shared" si="14"/>
        <v>A surveiller</v>
      </c>
      <c r="P220" t="str">
        <f t="shared" si="15"/>
        <v>Data</v>
      </c>
      <c r="Q220" t="str" cm="1">
        <f t="array" ref="Q220">_xlfn.IFS(H220&gt;=16,"Excellent",H220&gt;=14,"Très bien",H220&gt;=12,"Bien",H220&gt;=10,"Passable",H220&lt;10,"Insuffisant")</f>
        <v>Insuffisant</v>
      </c>
    </row>
    <row r="221" spans="1:17">
      <c r="A221" t="s">
        <v>399</v>
      </c>
      <c r="B221" t="s">
        <v>172</v>
      </c>
      <c r="C221" t="s">
        <v>24</v>
      </c>
      <c r="D221" t="s">
        <v>37</v>
      </c>
      <c r="E221" s="8" t="s">
        <v>34</v>
      </c>
      <c r="F221" s="8">
        <v>13.29</v>
      </c>
      <c r="G221" s="8">
        <v>14.05</v>
      </c>
      <c r="H221" s="8">
        <v>16</v>
      </c>
      <c r="I221" s="8">
        <v>13.44</v>
      </c>
      <c r="J221" s="6">
        <v>0.7833</v>
      </c>
      <c r="K221" s="4">
        <v>85000</v>
      </c>
      <c r="L221" s="2">
        <v>45558</v>
      </c>
      <c r="M221" t="str">
        <f t="shared" si="12"/>
        <v>Admis</v>
      </c>
      <c r="N221" t="str">
        <f t="shared" si="13"/>
        <v>Non eligible</v>
      </c>
      <c r="O221" t="str">
        <f t="shared" si="14"/>
        <v>RAS</v>
      </c>
      <c r="P221" t="str">
        <f t="shared" si="15"/>
        <v>Hors data</v>
      </c>
      <c r="Q221" t="str" cm="1">
        <f t="array" ref="Q221">_xlfn.IFS(H221&gt;=16,"Excellent",H221&gt;=14,"Très bien",H221&gt;=12,"Bien",H221&gt;=10,"Passable",H221&lt;10,"Insuffisant")</f>
        <v>Excellent</v>
      </c>
    </row>
    <row r="222" spans="1:17">
      <c r="A222" t="s">
        <v>400</v>
      </c>
      <c r="B222" t="s">
        <v>330</v>
      </c>
      <c r="C222" t="s">
        <v>19</v>
      </c>
      <c r="D222" t="s">
        <v>25</v>
      </c>
      <c r="E222" s="8" t="s">
        <v>47</v>
      </c>
      <c r="F222" s="8">
        <v>14.2</v>
      </c>
      <c r="G222" s="8">
        <v>14.52</v>
      </c>
      <c r="H222" s="8">
        <v>18.41</v>
      </c>
      <c r="I222" s="8">
        <v>11.39</v>
      </c>
      <c r="J222" s="6">
        <v>0.71450000000000002</v>
      </c>
      <c r="K222" s="4">
        <v>75000</v>
      </c>
      <c r="L222" s="2">
        <v>45782</v>
      </c>
      <c r="M222" t="str">
        <f t="shared" si="12"/>
        <v>Admis</v>
      </c>
      <c r="N222" t="str">
        <f t="shared" si="13"/>
        <v>Non eligible</v>
      </c>
      <c r="O222" t="str">
        <f t="shared" si="14"/>
        <v>RAS</v>
      </c>
      <c r="P222" t="str">
        <f t="shared" si="15"/>
        <v>Hors data</v>
      </c>
      <c r="Q222" t="str" cm="1">
        <f t="array" ref="Q222">_xlfn.IFS(H222&gt;=16,"Excellent",H222&gt;=14,"Très bien",H222&gt;=12,"Bien",H222&gt;=10,"Passable",H222&lt;10,"Insuffisant")</f>
        <v>Excellent</v>
      </c>
    </row>
    <row r="223" spans="1:17">
      <c r="A223" t="s">
        <v>401</v>
      </c>
      <c r="B223" t="s">
        <v>201</v>
      </c>
      <c r="C223" t="s">
        <v>19</v>
      </c>
      <c r="D223" t="s">
        <v>37</v>
      </c>
      <c r="E223" s="8" t="s">
        <v>34</v>
      </c>
      <c r="F223" s="8">
        <v>20</v>
      </c>
      <c r="G223" s="8">
        <v>9.3000000000000007</v>
      </c>
      <c r="H223" s="8">
        <v>16.2</v>
      </c>
      <c r="I223" s="8">
        <v>16.97</v>
      </c>
      <c r="J223" s="6">
        <v>0.59699999999999998</v>
      </c>
      <c r="K223" s="4">
        <v>70000</v>
      </c>
      <c r="L223" s="2">
        <v>45731</v>
      </c>
      <c r="M223" t="str">
        <f t="shared" si="12"/>
        <v>Admis</v>
      </c>
      <c r="N223" t="str">
        <f t="shared" si="13"/>
        <v>Non eligible</v>
      </c>
      <c r="O223" t="str">
        <f t="shared" si="14"/>
        <v>RAS</v>
      </c>
      <c r="P223" t="str">
        <f t="shared" si="15"/>
        <v>Hors data</v>
      </c>
      <c r="Q223" t="str" cm="1">
        <f t="array" ref="Q223">_xlfn.IFS(H223&gt;=16,"Excellent",H223&gt;=14,"Très bien",H223&gt;=12,"Bien",H223&gt;=10,"Passable",H223&lt;10,"Insuffisant")</f>
        <v>Excellent</v>
      </c>
    </row>
    <row r="224" spans="1:17">
      <c r="A224" t="s">
        <v>402</v>
      </c>
      <c r="B224" t="s">
        <v>403</v>
      </c>
      <c r="C224" t="s">
        <v>24</v>
      </c>
      <c r="D224" t="s">
        <v>25</v>
      </c>
      <c r="E224" s="8" t="s">
        <v>21</v>
      </c>
      <c r="F224" s="8">
        <v>13.73</v>
      </c>
      <c r="G224" s="8">
        <v>12.44</v>
      </c>
      <c r="H224" s="8">
        <v>17.62</v>
      </c>
      <c r="I224" s="8">
        <v>11</v>
      </c>
      <c r="J224" s="6">
        <v>0.76500000000000001</v>
      </c>
      <c r="K224" s="4">
        <v>50000</v>
      </c>
      <c r="L224" s="2">
        <v>45727</v>
      </c>
      <c r="M224" t="str">
        <f t="shared" si="12"/>
        <v>Admis</v>
      </c>
      <c r="N224" t="str">
        <f t="shared" si="13"/>
        <v>Non eligible</v>
      </c>
      <c r="O224" t="str">
        <f t="shared" si="14"/>
        <v>RAS</v>
      </c>
      <c r="P224" t="str">
        <f t="shared" si="15"/>
        <v>Data</v>
      </c>
      <c r="Q224" t="str" cm="1">
        <f t="array" ref="Q224">_xlfn.IFS(H224&gt;=16,"Excellent",H224&gt;=14,"Très bien",H224&gt;=12,"Bien",H224&gt;=10,"Passable",H224&lt;10,"Insuffisant")</f>
        <v>Excellent</v>
      </c>
    </row>
    <row r="225" spans="1:17">
      <c r="A225" t="s">
        <v>404</v>
      </c>
      <c r="B225" t="s">
        <v>405</v>
      </c>
      <c r="C225" t="s">
        <v>19</v>
      </c>
      <c r="D225" t="s">
        <v>20</v>
      </c>
      <c r="E225" s="8" t="s">
        <v>26</v>
      </c>
      <c r="F225" s="8">
        <v>16.95</v>
      </c>
      <c r="G225" s="8">
        <v>20</v>
      </c>
      <c r="H225" s="8">
        <v>17.89</v>
      </c>
      <c r="I225" s="8">
        <v>19.690000000000001</v>
      </c>
      <c r="J225" s="6">
        <v>0.86499999999999999</v>
      </c>
      <c r="K225" s="4">
        <v>85000</v>
      </c>
      <c r="L225" s="2">
        <v>45671</v>
      </c>
      <c r="M225" t="str">
        <f t="shared" si="12"/>
        <v>Admis</v>
      </c>
      <c r="N225" t="str">
        <f t="shared" si="13"/>
        <v>Eligible</v>
      </c>
      <c r="O225" t="str">
        <f t="shared" si="14"/>
        <v>RAS</v>
      </c>
      <c r="P225" t="str">
        <f t="shared" si="15"/>
        <v>Hors data</v>
      </c>
      <c r="Q225" t="str" cm="1">
        <f t="array" ref="Q225">_xlfn.IFS(H225&gt;=16,"Excellent",H225&gt;=14,"Très bien",H225&gt;=12,"Bien",H225&gt;=10,"Passable",H225&lt;10,"Insuffisant")</f>
        <v>Excellent</v>
      </c>
    </row>
    <row r="226" spans="1:17">
      <c r="A226" t="s">
        <v>406</v>
      </c>
      <c r="B226" t="s">
        <v>407</v>
      </c>
      <c r="C226" t="s">
        <v>24</v>
      </c>
      <c r="D226" t="s">
        <v>52</v>
      </c>
      <c r="E226" s="8" t="s">
        <v>34</v>
      </c>
      <c r="F226" s="8">
        <v>19.45</v>
      </c>
      <c r="G226" s="8">
        <v>13.02</v>
      </c>
      <c r="H226" s="8">
        <v>18.62</v>
      </c>
      <c r="I226" s="8">
        <v>15.76</v>
      </c>
      <c r="J226" s="6">
        <v>0.94030000000000002</v>
      </c>
      <c r="K226" s="4">
        <v>90000</v>
      </c>
      <c r="L226" s="2">
        <v>46174</v>
      </c>
      <c r="M226" t="str">
        <f t="shared" si="12"/>
        <v>Admis</v>
      </c>
      <c r="N226" t="str">
        <f t="shared" si="13"/>
        <v>Eligible</v>
      </c>
      <c r="O226" t="str">
        <f t="shared" si="14"/>
        <v>RAS</v>
      </c>
      <c r="P226" t="str">
        <f t="shared" si="15"/>
        <v>Hors data</v>
      </c>
      <c r="Q226" t="str" cm="1">
        <f t="array" ref="Q226">_xlfn.IFS(H226&gt;=16,"Excellent",H226&gt;=14,"Très bien",H226&gt;=12,"Bien",H226&gt;=10,"Passable",H226&lt;10,"Insuffisant")</f>
        <v>Excellent</v>
      </c>
    </row>
    <row r="227" spans="1:17">
      <c r="A227" t="s">
        <v>408</v>
      </c>
      <c r="B227" t="s">
        <v>409</v>
      </c>
      <c r="C227" t="s">
        <v>19</v>
      </c>
      <c r="D227" t="s">
        <v>37</v>
      </c>
      <c r="E227" s="8" t="s">
        <v>47</v>
      </c>
      <c r="F227" s="8">
        <v>8.73</v>
      </c>
      <c r="G227" s="8">
        <v>13.43</v>
      </c>
      <c r="H227" s="8">
        <v>11.99</v>
      </c>
      <c r="I227" s="8">
        <v>11.71</v>
      </c>
      <c r="J227" s="6">
        <v>0.67549999999999999</v>
      </c>
      <c r="K227" s="4">
        <v>100000</v>
      </c>
      <c r="L227" s="2">
        <v>45801</v>
      </c>
      <c r="M227" t="str">
        <f t="shared" si="12"/>
        <v>Admis</v>
      </c>
      <c r="N227" t="str">
        <f t="shared" si="13"/>
        <v>Non eligible</v>
      </c>
      <c r="O227" t="str">
        <f t="shared" si="14"/>
        <v>A surveiller</v>
      </c>
      <c r="P227" t="str">
        <f t="shared" si="15"/>
        <v>Hors data</v>
      </c>
      <c r="Q227" t="str" cm="1">
        <f t="array" ref="Q227">_xlfn.IFS(H227&gt;=16,"Excellent",H227&gt;=14,"Très bien",H227&gt;=12,"Bien",H227&gt;=10,"Passable",H227&lt;10,"Insuffisant")</f>
        <v>Passable</v>
      </c>
    </row>
    <row r="228" spans="1:17">
      <c r="A228" t="s">
        <v>410</v>
      </c>
      <c r="B228" t="s">
        <v>411</v>
      </c>
      <c r="C228" t="s">
        <v>24</v>
      </c>
      <c r="D228" t="s">
        <v>25</v>
      </c>
      <c r="E228" s="8" t="s">
        <v>34</v>
      </c>
      <c r="F228" s="8">
        <v>15.81</v>
      </c>
      <c r="G228" s="8">
        <v>19.489999999999998</v>
      </c>
      <c r="H228" s="8">
        <v>14.67</v>
      </c>
      <c r="I228" s="8">
        <v>19.04</v>
      </c>
      <c r="J228" s="6">
        <v>0.9395</v>
      </c>
      <c r="K228" s="4">
        <v>110000</v>
      </c>
      <c r="L228" s="2">
        <v>45828</v>
      </c>
      <c r="M228" t="str">
        <f t="shared" si="12"/>
        <v>Admis</v>
      </c>
      <c r="N228" t="str">
        <f t="shared" si="13"/>
        <v>Eligible</v>
      </c>
      <c r="O228" t="str">
        <f t="shared" si="14"/>
        <v>RAS</v>
      </c>
      <c r="P228" t="str">
        <f t="shared" si="15"/>
        <v>Hors data</v>
      </c>
      <c r="Q228" t="str" cm="1">
        <f t="array" ref="Q228">_xlfn.IFS(H228&gt;=16,"Excellent",H228&gt;=14,"Très bien",H228&gt;=12,"Bien",H228&gt;=10,"Passable",H228&lt;10,"Insuffisant")</f>
        <v>Très bien</v>
      </c>
    </row>
    <row r="229" spans="1:17">
      <c r="A229" t="s">
        <v>412</v>
      </c>
      <c r="B229" t="s">
        <v>228</v>
      </c>
      <c r="C229" t="s">
        <v>24</v>
      </c>
      <c r="D229" t="s">
        <v>37</v>
      </c>
      <c r="E229" s="8" t="s">
        <v>47</v>
      </c>
      <c r="F229" s="8">
        <v>20</v>
      </c>
      <c r="G229" s="8">
        <v>17.64</v>
      </c>
      <c r="H229" s="8">
        <v>17.62</v>
      </c>
      <c r="I229" s="8">
        <v>20</v>
      </c>
      <c r="J229" s="6">
        <v>0.79869999999999997</v>
      </c>
      <c r="K229" s="4">
        <v>80000</v>
      </c>
      <c r="L229" s="2">
        <v>45805</v>
      </c>
      <c r="M229" t="str">
        <f t="shared" si="12"/>
        <v>Admis</v>
      </c>
      <c r="N229" t="str">
        <f t="shared" si="13"/>
        <v>Non eligible</v>
      </c>
      <c r="O229" t="str">
        <f t="shared" si="14"/>
        <v>RAS</v>
      </c>
      <c r="P229" t="str">
        <f t="shared" si="15"/>
        <v>Hors data</v>
      </c>
      <c r="Q229" t="str" cm="1">
        <f t="array" ref="Q229">_xlfn.IFS(H229&gt;=16,"Excellent",H229&gt;=14,"Très bien",H229&gt;=12,"Bien",H229&gt;=10,"Passable",H229&lt;10,"Insuffisant")</f>
        <v>Excellent</v>
      </c>
    </row>
    <row r="230" spans="1:17">
      <c r="A230" t="s">
        <v>413</v>
      </c>
      <c r="B230" t="s">
        <v>414</v>
      </c>
      <c r="C230" t="s">
        <v>24</v>
      </c>
      <c r="D230" t="s">
        <v>37</v>
      </c>
      <c r="E230" s="8" t="s">
        <v>26</v>
      </c>
      <c r="F230" s="8">
        <v>18.73</v>
      </c>
      <c r="G230" s="8">
        <v>19.39</v>
      </c>
      <c r="H230" s="8">
        <v>14.66</v>
      </c>
      <c r="I230" s="8">
        <v>20</v>
      </c>
      <c r="J230" s="6">
        <v>0.64900000000000002</v>
      </c>
      <c r="K230" s="4">
        <v>60000</v>
      </c>
      <c r="L230" s="2">
        <v>46222</v>
      </c>
      <c r="M230" t="str">
        <f t="shared" si="12"/>
        <v>Admis</v>
      </c>
      <c r="N230" t="str">
        <f t="shared" si="13"/>
        <v>Non eligible</v>
      </c>
      <c r="O230" t="str">
        <f t="shared" si="14"/>
        <v>RAS</v>
      </c>
      <c r="P230" t="str">
        <f t="shared" si="15"/>
        <v>Hors data</v>
      </c>
      <c r="Q230" t="str" cm="1">
        <f t="array" ref="Q230">_xlfn.IFS(H230&gt;=16,"Excellent",H230&gt;=14,"Très bien",H230&gt;=12,"Bien",H230&gt;=10,"Passable",H230&lt;10,"Insuffisant")</f>
        <v>Très bien</v>
      </c>
    </row>
    <row r="231" spans="1:17">
      <c r="A231" t="s">
        <v>415</v>
      </c>
      <c r="B231" t="s">
        <v>416</v>
      </c>
      <c r="C231" t="s">
        <v>19</v>
      </c>
      <c r="D231" t="s">
        <v>33</v>
      </c>
      <c r="E231" s="8" t="s">
        <v>26</v>
      </c>
      <c r="F231" s="8">
        <v>6.25</v>
      </c>
      <c r="G231" s="8">
        <v>7.59</v>
      </c>
      <c r="H231" s="8">
        <v>13.09</v>
      </c>
      <c r="I231" s="8">
        <v>10.92</v>
      </c>
      <c r="J231" s="6">
        <v>0.79449999999999998</v>
      </c>
      <c r="K231" s="4">
        <v>120000</v>
      </c>
      <c r="L231" s="2">
        <v>45773</v>
      </c>
      <c r="M231" t="str">
        <f t="shared" si="12"/>
        <v>Admis</v>
      </c>
      <c r="N231" t="str">
        <f t="shared" si="13"/>
        <v>Non eligible</v>
      </c>
      <c r="O231" t="str">
        <f t="shared" si="14"/>
        <v>A surveiller</v>
      </c>
      <c r="P231" t="str">
        <f t="shared" si="15"/>
        <v>Hors data</v>
      </c>
      <c r="Q231" t="str" cm="1">
        <f t="array" ref="Q231">_xlfn.IFS(H231&gt;=16,"Excellent",H231&gt;=14,"Très bien",H231&gt;=12,"Bien",H231&gt;=10,"Passable",H231&lt;10,"Insuffisant")</f>
        <v>Bien</v>
      </c>
    </row>
    <row r="232" spans="1:17">
      <c r="A232" t="s">
        <v>417</v>
      </c>
      <c r="B232" t="s">
        <v>39</v>
      </c>
      <c r="C232" t="s">
        <v>19</v>
      </c>
      <c r="D232" t="s">
        <v>37</v>
      </c>
      <c r="E232" s="8" t="s">
        <v>21</v>
      </c>
      <c r="F232" s="8">
        <v>10.029999999999999</v>
      </c>
      <c r="G232" s="8">
        <v>14.89</v>
      </c>
      <c r="H232" s="8">
        <v>9.69</v>
      </c>
      <c r="I232" s="8">
        <v>9.83</v>
      </c>
      <c r="J232" s="6">
        <v>0.94510000000000005</v>
      </c>
      <c r="K232" s="4">
        <v>110000</v>
      </c>
      <c r="L232" s="2">
        <v>45775</v>
      </c>
      <c r="M232" t="str">
        <f t="shared" si="12"/>
        <v>Non admis</v>
      </c>
      <c r="N232" t="str">
        <f t="shared" si="13"/>
        <v>Non eligible</v>
      </c>
      <c r="O232" t="str">
        <f t="shared" si="14"/>
        <v>A surveiller</v>
      </c>
      <c r="P232" t="str">
        <f t="shared" si="15"/>
        <v>Data</v>
      </c>
      <c r="Q232" t="str" cm="1">
        <f t="array" ref="Q232">_xlfn.IFS(H232&gt;=16,"Excellent",H232&gt;=14,"Très bien",H232&gt;=12,"Bien",H232&gt;=10,"Passable",H232&lt;10,"Insuffisant")</f>
        <v>Insuffisant</v>
      </c>
    </row>
    <row r="233" spans="1:17">
      <c r="A233" t="s">
        <v>418</v>
      </c>
      <c r="B233" t="s">
        <v>419</v>
      </c>
      <c r="C233" t="s">
        <v>24</v>
      </c>
      <c r="D233" t="s">
        <v>52</v>
      </c>
      <c r="E233" s="8" t="s">
        <v>47</v>
      </c>
      <c r="F233" s="8">
        <v>20</v>
      </c>
      <c r="G233" s="8">
        <v>17.87</v>
      </c>
      <c r="H233" s="8">
        <v>16.09</v>
      </c>
      <c r="I233" s="8">
        <v>18.899999999999999</v>
      </c>
      <c r="J233" s="6">
        <v>0.75680000000000003</v>
      </c>
      <c r="K233" s="4">
        <v>85000</v>
      </c>
      <c r="L233" s="2">
        <v>45765</v>
      </c>
      <c r="M233" t="str">
        <f t="shared" si="12"/>
        <v>Admis</v>
      </c>
      <c r="N233" t="str">
        <f t="shared" si="13"/>
        <v>Non eligible</v>
      </c>
      <c r="O233" t="str">
        <f t="shared" si="14"/>
        <v>RAS</v>
      </c>
      <c r="P233" t="str">
        <f t="shared" si="15"/>
        <v>Hors data</v>
      </c>
      <c r="Q233" t="str" cm="1">
        <f t="array" ref="Q233">_xlfn.IFS(H233&gt;=16,"Excellent",H233&gt;=14,"Très bien",H233&gt;=12,"Bien",H233&gt;=10,"Passable",H233&lt;10,"Insuffisant")</f>
        <v>Excellent</v>
      </c>
    </row>
    <row r="234" spans="1:17">
      <c r="A234" t="s">
        <v>420</v>
      </c>
      <c r="B234" t="s">
        <v>134</v>
      </c>
      <c r="C234" t="s">
        <v>19</v>
      </c>
      <c r="D234" t="s">
        <v>33</v>
      </c>
      <c r="E234" s="8" t="s">
        <v>26</v>
      </c>
      <c r="F234" s="8">
        <v>11.36</v>
      </c>
      <c r="G234" s="8">
        <v>11.04</v>
      </c>
      <c r="H234" s="8">
        <v>8.14</v>
      </c>
      <c r="I234" s="8">
        <v>13.1</v>
      </c>
      <c r="J234" s="6">
        <v>0.55000000000000004</v>
      </c>
      <c r="K234" s="4">
        <v>50000</v>
      </c>
      <c r="L234" s="2">
        <v>45764</v>
      </c>
      <c r="M234" t="str">
        <f t="shared" si="12"/>
        <v>Non admis</v>
      </c>
      <c r="N234" t="str">
        <f t="shared" si="13"/>
        <v>Non eligible</v>
      </c>
      <c r="O234" t="str">
        <f t="shared" si="14"/>
        <v>A surveiller</v>
      </c>
      <c r="P234" t="str">
        <f t="shared" si="15"/>
        <v>Hors data</v>
      </c>
      <c r="Q234" t="str" cm="1">
        <f t="array" ref="Q234">_xlfn.IFS(H234&gt;=16,"Excellent",H234&gt;=14,"Très bien",H234&gt;=12,"Bien",H234&gt;=10,"Passable",H234&lt;10,"Insuffisant")</f>
        <v>Insuffisant</v>
      </c>
    </row>
    <row r="235" spans="1:17">
      <c r="A235" t="s">
        <v>421</v>
      </c>
      <c r="B235" t="s">
        <v>422</v>
      </c>
      <c r="C235" t="s">
        <v>24</v>
      </c>
      <c r="D235" t="s">
        <v>25</v>
      </c>
      <c r="E235" s="8" t="s">
        <v>47</v>
      </c>
      <c r="F235" s="8">
        <v>7.95</v>
      </c>
      <c r="G235" s="8">
        <v>13.18</v>
      </c>
      <c r="H235" s="8">
        <v>9.5500000000000007</v>
      </c>
      <c r="I235" s="8">
        <v>9.99</v>
      </c>
      <c r="J235" s="6">
        <v>0.90759999999999996</v>
      </c>
      <c r="K235" s="4">
        <v>85000</v>
      </c>
      <c r="L235" s="2">
        <v>45598</v>
      </c>
      <c r="M235" t="str">
        <f t="shared" si="12"/>
        <v>Non admis</v>
      </c>
      <c r="N235" t="str">
        <f t="shared" si="13"/>
        <v>Non eligible</v>
      </c>
      <c r="O235" t="str">
        <f t="shared" si="14"/>
        <v>A surveiller</v>
      </c>
      <c r="P235" t="str">
        <f t="shared" si="15"/>
        <v>Hors data</v>
      </c>
      <c r="Q235" t="str" cm="1">
        <f t="array" ref="Q235">_xlfn.IFS(H235&gt;=16,"Excellent",H235&gt;=14,"Très bien",H235&gt;=12,"Bien",H235&gt;=10,"Passable",H235&lt;10,"Insuffisant")</f>
        <v>Insuffisant</v>
      </c>
    </row>
    <row r="236" spans="1:17">
      <c r="A236" t="s">
        <v>423</v>
      </c>
      <c r="B236" t="s">
        <v>424</v>
      </c>
      <c r="C236" t="s">
        <v>19</v>
      </c>
      <c r="D236" t="s">
        <v>25</v>
      </c>
      <c r="E236" s="8" t="s">
        <v>21</v>
      </c>
      <c r="F236" s="8">
        <v>10.63</v>
      </c>
      <c r="G236" s="8">
        <v>13.99</v>
      </c>
      <c r="H236" s="8">
        <v>16.22</v>
      </c>
      <c r="I236" s="8">
        <v>16</v>
      </c>
      <c r="J236" s="6">
        <v>0.59889999999999999</v>
      </c>
      <c r="K236" s="4">
        <v>90000</v>
      </c>
      <c r="L236" s="2">
        <v>45958</v>
      </c>
      <c r="M236" t="str">
        <f t="shared" si="12"/>
        <v>Admis</v>
      </c>
      <c r="N236" t="str">
        <f t="shared" si="13"/>
        <v>Non eligible</v>
      </c>
      <c r="O236" t="str">
        <f t="shared" si="14"/>
        <v>RAS</v>
      </c>
      <c r="P236" t="str">
        <f t="shared" si="15"/>
        <v>Data</v>
      </c>
      <c r="Q236" t="str" cm="1">
        <f t="array" ref="Q236">_xlfn.IFS(H236&gt;=16,"Excellent",H236&gt;=14,"Très bien",H236&gt;=12,"Bien",H236&gt;=10,"Passable",H236&lt;10,"Insuffisant")</f>
        <v>Excellent</v>
      </c>
    </row>
    <row r="237" spans="1:17">
      <c r="A237" t="s">
        <v>425</v>
      </c>
      <c r="B237" t="s">
        <v>300</v>
      </c>
      <c r="C237" t="s">
        <v>24</v>
      </c>
      <c r="D237" t="s">
        <v>40</v>
      </c>
      <c r="E237" s="8" t="s">
        <v>21</v>
      </c>
      <c r="F237" s="8">
        <v>13.45</v>
      </c>
      <c r="G237" s="8">
        <v>13.15</v>
      </c>
      <c r="H237" s="8">
        <v>19.48</v>
      </c>
      <c r="I237" s="8">
        <v>16.45</v>
      </c>
      <c r="J237" s="6">
        <v>0.69740000000000002</v>
      </c>
      <c r="K237" s="4">
        <v>120000</v>
      </c>
      <c r="L237" s="2">
        <v>45553</v>
      </c>
      <c r="M237" t="str">
        <f t="shared" si="12"/>
        <v>Admis</v>
      </c>
      <c r="N237" t="str">
        <f t="shared" si="13"/>
        <v>Non eligible</v>
      </c>
      <c r="O237" t="str">
        <f t="shared" si="14"/>
        <v>RAS</v>
      </c>
      <c r="P237" t="str">
        <f t="shared" si="15"/>
        <v>Data</v>
      </c>
      <c r="Q237" t="str" cm="1">
        <f t="array" ref="Q237">_xlfn.IFS(H237&gt;=16,"Excellent",H237&gt;=14,"Très bien",H237&gt;=12,"Bien",H237&gt;=10,"Passable",H237&lt;10,"Insuffisant")</f>
        <v>Excellent</v>
      </c>
    </row>
    <row r="238" spans="1:17">
      <c r="A238" t="s">
        <v>426</v>
      </c>
      <c r="B238" t="s">
        <v>427</v>
      </c>
      <c r="C238" t="s">
        <v>24</v>
      </c>
      <c r="D238" t="s">
        <v>52</v>
      </c>
      <c r="E238" s="8" t="s">
        <v>21</v>
      </c>
      <c r="F238" s="8">
        <v>14.01</v>
      </c>
      <c r="G238" s="8">
        <v>12.19</v>
      </c>
      <c r="H238" s="8">
        <v>9.76</v>
      </c>
      <c r="I238" s="8">
        <v>13.58</v>
      </c>
      <c r="J238" s="6">
        <v>0.77359999999999995</v>
      </c>
      <c r="K238" s="4">
        <v>85000</v>
      </c>
      <c r="L238" s="2">
        <v>45694</v>
      </c>
      <c r="M238" t="str">
        <f t="shared" si="12"/>
        <v>Non admis</v>
      </c>
      <c r="N238" t="str">
        <f t="shared" si="13"/>
        <v>Non eligible</v>
      </c>
      <c r="O238" t="str">
        <f t="shared" si="14"/>
        <v>A surveiller</v>
      </c>
      <c r="P238" t="str">
        <f t="shared" si="15"/>
        <v>Data</v>
      </c>
      <c r="Q238" t="str" cm="1">
        <f t="array" ref="Q238">_xlfn.IFS(H238&gt;=16,"Excellent",H238&gt;=14,"Très bien",H238&gt;=12,"Bien",H238&gt;=10,"Passable",H238&lt;10,"Insuffisant")</f>
        <v>Insuffisant</v>
      </c>
    </row>
    <row r="239" spans="1:17">
      <c r="A239" t="s">
        <v>428</v>
      </c>
      <c r="B239" t="s">
        <v>353</v>
      </c>
      <c r="C239" t="s">
        <v>19</v>
      </c>
      <c r="D239" t="s">
        <v>20</v>
      </c>
      <c r="E239" s="8" t="s">
        <v>21</v>
      </c>
      <c r="F239" s="8">
        <v>14.62</v>
      </c>
      <c r="G239" s="8">
        <v>13.17</v>
      </c>
      <c r="H239" s="8">
        <v>11.1</v>
      </c>
      <c r="I239" s="8">
        <v>12.13</v>
      </c>
      <c r="J239" s="6">
        <v>0.91810000000000003</v>
      </c>
      <c r="K239" s="4">
        <v>85000</v>
      </c>
      <c r="L239" s="2">
        <v>45677</v>
      </c>
      <c r="M239" t="str">
        <f t="shared" si="12"/>
        <v>Admis</v>
      </c>
      <c r="N239" t="str">
        <f t="shared" si="13"/>
        <v>Non eligible</v>
      </c>
      <c r="O239" t="str">
        <f t="shared" si="14"/>
        <v>RAS</v>
      </c>
      <c r="P239" t="str">
        <f t="shared" si="15"/>
        <v>Data</v>
      </c>
      <c r="Q239" t="str" cm="1">
        <f t="array" ref="Q239">_xlfn.IFS(H239&gt;=16,"Excellent",H239&gt;=14,"Très bien",H239&gt;=12,"Bien",H239&gt;=10,"Passable",H239&lt;10,"Insuffisant")</f>
        <v>Passable</v>
      </c>
    </row>
    <row r="240" spans="1:17">
      <c r="A240" t="s">
        <v>429</v>
      </c>
      <c r="B240" t="s">
        <v>430</v>
      </c>
      <c r="C240" t="s">
        <v>19</v>
      </c>
      <c r="D240" t="s">
        <v>37</v>
      </c>
      <c r="E240" s="8" t="s">
        <v>26</v>
      </c>
      <c r="F240" s="8">
        <v>13.93</v>
      </c>
      <c r="G240" s="8">
        <v>10.64</v>
      </c>
      <c r="H240" s="8">
        <v>9.5399999999999991</v>
      </c>
      <c r="I240" s="8">
        <v>11.81</v>
      </c>
      <c r="J240" s="6">
        <v>0.8478</v>
      </c>
      <c r="K240" s="4">
        <v>80000</v>
      </c>
      <c r="L240" s="2">
        <v>45740</v>
      </c>
      <c r="M240" t="str">
        <f t="shared" si="12"/>
        <v>Non admis</v>
      </c>
      <c r="N240" t="str">
        <f t="shared" si="13"/>
        <v>Non eligible</v>
      </c>
      <c r="O240" t="str">
        <f t="shared" si="14"/>
        <v>A surveiller</v>
      </c>
      <c r="P240" t="str">
        <f t="shared" si="15"/>
        <v>Hors data</v>
      </c>
      <c r="Q240" t="str" cm="1">
        <f t="array" ref="Q240">_xlfn.IFS(H240&gt;=16,"Excellent",H240&gt;=14,"Très bien",H240&gt;=12,"Bien",H240&gt;=10,"Passable",H240&lt;10,"Insuffisant")</f>
        <v>Insuffisant</v>
      </c>
    </row>
    <row r="241" spans="1:17">
      <c r="A241" t="s">
        <v>431</v>
      </c>
      <c r="B241" t="s">
        <v>432</v>
      </c>
      <c r="C241" t="s">
        <v>24</v>
      </c>
      <c r="D241" t="s">
        <v>40</v>
      </c>
      <c r="E241" s="8" t="s">
        <v>26</v>
      </c>
      <c r="F241" s="8">
        <v>12.51</v>
      </c>
      <c r="G241" s="8">
        <v>7.25</v>
      </c>
      <c r="H241" s="8">
        <v>13.88</v>
      </c>
      <c r="I241" s="8">
        <v>8.65</v>
      </c>
      <c r="J241" s="6">
        <v>0.93389999999999995</v>
      </c>
      <c r="K241" s="4">
        <v>80000</v>
      </c>
      <c r="L241" s="2">
        <v>46065</v>
      </c>
      <c r="M241" t="str">
        <f t="shared" si="12"/>
        <v>Admis</v>
      </c>
      <c r="N241" t="str">
        <f t="shared" si="13"/>
        <v>Eligible</v>
      </c>
      <c r="O241" t="str">
        <f t="shared" si="14"/>
        <v>RAS</v>
      </c>
      <c r="P241" t="str">
        <f t="shared" si="15"/>
        <v>Hors data</v>
      </c>
      <c r="Q241" t="str" cm="1">
        <f t="array" ref="Q241">_xlfn.IFS(H241&gt;=16,"Excellent",H241&gt;=14,"Très bien",H241&gt;=12,"Bien",H241&gt;=10,"Passable",H241&lt;10,"Insuffisant")</f>
        <v>Bien</v>
      </c>
    </row>
    <row r="242" spans="1:17">
      <c r="A242" t="s">
        <v>433</v>
      </c>
      <c r="B242" t="s">
        <v>284</v>
      </c>
      <c r="C242" t="s">
        <v>19</v>
      </c>
      <c r="D242" t="s">
        <v>33</v>
      </c>
      <c r="E242" s="8" t="s">
        <v>47</v>
      </c>
      <c r="F242" s="8">
        <v>8.11</v>
      </c>
      <c r="G242" s="8">
        <v>11.32</v>
      </c>
      <c r="H242" s="8">
        <v>11.87</v>
      </c>
      <c r="I242" s="8">
        <v>10.74</v>
      </c>
      <c r="J242" s="6">
        <v>0.80379999999999996</v>
      </c>
      <c r="K242" s="4">
        <v>50000</v>
      </c>
      <c r="L242" s="2">
        <v>45955</v>
      </c>
      <c r="M242" t="str">
        <f t="shared" si="12"/>
        <v>Admis</v>
      </c>
      <c r="N242" t="str">
        <f t="shared" si="13"/>
        <v>Non eligible</v>
      </c>
      <c r="O242" t="str">
        <f t="shared" si="14"/>
        <v>A surveiller</v>
      </c>
      <c r="P242" t="str">
        <f t="shared" si="15"/>
        <v>Hors data</v>
      </c>
      <c r="Q242" t="str" cm="1">
        <f t="array" ref="Q242">_xlfn.IFS(H242&gt;=16,"Excellent",H242&gt;=14,"Très bien",H242&gt;=12,"Bien",H242&gt;=10,"Passable",H242&lt;10,"Insuffisant")</f>
        <v>Passable</v>
      </c>
    </row>
    <row r="243" spans="1:17">
      <c r="A243" t="s">
        <v>434</v>
      </c>
      <c r="B243" t="s">
        <v>435</v>
      </c>
      <c r="C243" t="s">
        <v>24</v>
      </c>
      <c r="D243" t="s">
        <v>52</v>
      </c>
      <c r="E243" s="8" t="s">
        <v>47</v>
      </c>
      <c r="F243" s="8">
        <v>16.97</v>
      </c>
      <c r="G243" s="8">
        <v>17.03</v>
      </c>
      <c r="H243" s="8">
        <v>18.690000000000001</v>
      </c>
      <c r="I243" s="8">
        <v>20</v>
      </c>
      <c r="J243" s="6">
        <v>0.72509999999999997</v>
      </c>
      <c r="K243" s="4">
        <v>60000</v>
      </c>
      <c r="L243" s="2">
        <v>46229</v>
      </c>
      <c r="M243" t="str">
        <f t="shared" si="12"/>
        <v>Admis</v>
      </c>
      <c r="N243" t="str">
        <f t="shared" si="13"/>
        <v>Non eligible</v>
      </c>
      <c r="O243" t="str">
        <f t="shared" si="14"/>
        <v>RAS</v>
      </c>
      <c r="P243" t="str">
        <f t="shared" si="15"/>
        <v>Hors data</v>
      </c>
      <c r="Q243" t="str" cm="1">
        <f t="array" ref="Q243">_xlfn.IFS(H243&gt;=16,"Excellent",H243&gt;=14,"Très bien",H243&gt;=12,"Bien",H243&gt;=10,"Passable",H243&lt;10,"Insuffisant")</f>
        <v>Excellent</v>
      </c>
    </row>
    <row r="244" spans="1:17">
      <c r="A244" t="s">
        <v>436</v>
      </c>
      <c r="B244" t="s">
        <v>138</v>
      </c>
      <c r="C244" t="s">
        <v>19</v>
      </c>
      <c r="D244" t="s">
        <v>25</v>
      </c>
      <c r="E244" s="8" t="s">
        <v>26</v>
      </c>
      <c r="F244" s="8">
        <v>15.51</v>
      </c>
      <c r="G244" s="8">
        <v>18.29</v>
      </c>
      <c r="H244" s="8">
        <v>14.69</v>
      </c>
      <c r="I244" s="8">
        <v>13.32</v>
      </c>
      <c r="J244" s="6">
        <v>0.87749999999999995</v>
      </c>
      <c r="K244" s="4">
        <v>110000</v>
      </c>
      <c r="L244" s="2">
        <v>45781</v>
      </c>
      <c r="M244" t="str">
        <f t="shared" si="12"/>
        <v>Admis</v>
      </c>
      <c r="N244" t="str">
        <f t="shared" si="13"/>
        <v>Eligible</v>
      </c>
      <c r="O244" t="str">
        <f t="shared" si="14"/>
        <v>RAS</v>
      </c>
      <c r="P244" t="str">
        <f t="shared" si="15"/>
        <v>Hors data</v>
      </c>
      <c r="Q244" t="str" cm="1">
        <f t="array" ref="Q244">_xlfn.IFS(H244&gt;=16,"Excellent",H244&gt;=14,"Très bien",H244&gt;=12,"Bien",H244&gt;=10,"Passable",H244&lt;10,"Insuffisant")</f>
        <v>Très bien</v>
      </c>
    </row>
    <row r="245" spans="1:17">
      <c r="A245" t="s">
        <v>437</v>
      </c>
      <c r="B245" t="s">
        <v>316</v>
      </c>
      <c r="C245" t="s">
        <v>24</v>
      </c>
      <c r="D245" t="s">
        <v>52</v>
      </c>
      <c r="E245" s="8" t="s">
        <v>34</v>
      </c>
      <c r="F245" s="8">
        <v>13.02</v>
      </c>
      <c r="G245" s="8">
        <v>16.77</v>
      </c>
      <c r="H245" s="8">
        <v>15.13</v>
      </c>
      <c r="I245" s="8">
        <v>16.63</v>
      </c>
      <c r="J245" s="6">
        <v>0.79690000000000005</v>
      </c>
      <c r="K245" s="4">
        <v>75000</v>
      </c>
      <c r="L245" s="2">
        <v>46185</v>
      </c>
      <c r="M245" t="str">
        <f t="shared" si="12"/>
        <v>Admis</v>
      </c>
      <c r="N245" t="str">
        <f t="shared" si="13"/>
        <v>Non eligible</v>
      </c>
      <c r="O245" t="str">
        <f t="shared" si="14"/>
        <v>RAS</v>
      </c>
      <c r="P245" t="str">
        <f t="shared" si="15"/>
        <v>Hors data</v>
      </c>
      <c r="Q245" t="str" cm="1">
        <f t="array" ref="Q245">_xlfn.IFS(H245&gt;=16,"Excellent",H245&gt;=14,"Très bien",H245&gt;=12,"Bien",H245&gt;=10,"Passable",H245&lt;10,"Insuffisant")</f>
        <v>Très bien</v>
      </c>
    </row>
    <row r="246" spans="1:17">
      <c r="A246" t="s">
        <v>438</v>
      </c>
      <c r="B246" t="s">
        <v>110</v>
      </c>
      <c r="C246" t="s">
        <v>24</v>
      </c>
      <c r="D246" t="s">
        <v>37</v>
      </c>
      <c r="E246" s="8" t="s">
        <v>34</v>
      </c>
      <c r="F246" s="8">
        <v>11.63</v>
      </c>
      <c r="G246" s="8">
        <v>10.54</v>
      </c>
      <c r="H246" s="8">
        <v>15.88</v>
      </c>
      <c r="I246" s="8">
        <v>12.08</v>
      </c>
      <c r="J246" s="6">
        <v>0.76190000000000002</v>
      </c>
      <c r="K246" s="4">
        <v>120000</v>
      </c>
      <c r="L246" s="2">
        <v>45567</v>
      </c>
      <c r="M246" t="str">
        <f t="shared" si="12"/>
        <v>Admis</v>
      </c>
      <c r="N246" t="str">
        <f t="shared" si="13"/>
        <v>Non eligible</v>
      </c>
      <c r="O246" t="str">
        <f t="shared" si="14"/>
        <v>RAS</v>
      </c>
      <c r="P246" t="str">
        <f t="shared" si="15"/>
        <v>Hors data</v>
      </c>
      <c r="Q246" t="str" cm="1">
        <f t="array" ref="Q246">_xlfn.IFS(H246&gt;=16,"Excellent",H246&gt;=14,"Très bien",H246&gt;=12,"Bien",H246&gt;=10,"Passable",H246&lt;10,"Insuffisant")</f>
        <v>Très bien</v>
      </c>
    </row>
    <row r="247" spans="1:17">
      <c r="A247" t="s">
        <v>439</v>
      </c>
      <c r="B247" t="s">
        <v>138</v>
      </c>
      <c r="C247" t="s">
        <v>19</v>
      </c>
      <c r="D247" t="s">
        <v>25</v>
      </c>
      <c r="E247" s="8" t="s">
        <v>47</v>
      </c>
      <c r="F247" s="8">
        <v>13.65</v>
      </c>
      <c r="G247" s="8">
        <v>11.84</v>
      </c>
      <c r="H247" s="8">
        <v>14.38</v>
      </c>
      <c r="I247" s="8">
        <v>14.58</v>
      </c>
      <c r="J247" s="6">
        <v>0.95069999999999999</v>
      </c>
      <c r="K247" s="4">
        <v>80000</v>
      </c>
      <c r="L247" s="2">
        <v>45888</v>
      </c>
      <c r="M247" t="str">
        <f t="shared" si="12"/>
        <v>Admis</v>
      </c>
      <c r="N247" t="str">
        <f t="shared" si="13"/>
        <v>Eligible</v>
      </c>
      <c r="O247" t="str">
        <f t="shared" si="14"/>
        <v>RAS</v>
      </c>
      <c r="P247" t="str">
        <f t="shared" si="15"/>
        <v>Hors data</v>
      </c>
      <c r="Q247" t="str" cm="1">
        <f t="array" ref="Q247">_xlfn.IFS(H247&gt;=16,"Excellent",H247&gt;=14,"Très bien",H247&gt;=12,"Bien",H247&gt;=10,"Passable",H247&lt;10,"Insuffisant")</f>
        <v>Très bien</v>
      </c>
    </row>
    <row r="248" spans="1:17">
      <c r="A248" t="s">
        <v>440</v>
      </c>
      <c r="B248" t="s">
        <v>441</v>
      </c>
      <c r="C248" t="s">
        <v>24</v>
      </c>
      <c r="D248" t="s">
        <v>33</v>
      </c>
      <c r="E248" s="8" t="s">
        <v>34</v>
      </c>
      <c r="F248" s="8">
        <v>9</v>
      </c>
      <c r="G248" s="8">
        <v>7.75</v>
      </c>
      <c r="H248" s="8">
        <v>13.18</v>
      </c>
      <c r="I248" s="8">
        <v>12.86</v>
      </c>
      <c r="J248" s="6">
        <v>0.84540000000000004</v>
      </c>
      <c r="K248" s="4">
        <v>130000</v>
      </c>
      <c r="L248" s="2">
        <v>46095</v>
      </c>
      <c r="M248" t="str">
        <f t="shared" si="12"/>
        <v>Admis</v>
      </c>
      <c r="N248" t="str">
        <f t="shared" si="13"/>
        <v>Non eligible</v>
      </c>
      <c r="O248" t="str">
        <f t="shared" si="14"/>
        <v>A surveiller</v>
      </c>
      <c r="P248" t="str">
        <f t="shared" si="15"/>
        <v>Hors data</v>
      </c>
      <c r="Q248" t="str" cm="1">
        <f t="array" ref="Q248">_xlfn.IFS(H248&gt;=16,"Excellent",H248&gt;=14,"Très bien",H248&gt;=12,"Bien",H248&gt;=10,"Passable",H248&lt;10,"Insuffisant")</f>
        <v>Bien</v>
      </c>
    </row>
    <row r="249" spans="1:17">
      <c r="A249" t="s">
        <v>442</v>
      </c>
      <c r="B249" t="s">
        <v>443</v>
      </c>
      <c r="C249" t="s">
        <v>19</v>
      </c>
      <c r="D249" t="s">
        <v>25</v>
      </c>
      <c r="E249" s="8" t="s">
        <v>21</v>
      </c>
      <c r="F249" s="8">
        <v>3.82</v>
      </c>
      <c r="G249" s="8">
        <v>4.0599999999999996</v>
      </c>
      <c r="H249" s="8">
        <v>0.41</v>
      </c>
      <c r="I249" s="8">
        <v>6.34</v>
      </c>
      <c r="J249" s="6">
        <v>0.92369999999999997</v>
      </c>
      <c r="K249" s="4">
        <v>60000</v>
      </c>
      <c r="L249" s="2">
        <v>45908</v>
      </c>
      <c r="M249" t="str">
        <f t="shared" si="12"/>
        <v>Non admis</v>
      </c>
      <c r="N249" t="str">
        <f t="shared" si="13"/>
        <v>Non eligible</v>
      </c>
      <c r="O249" t="str">
        <f t="shared" si="14"/>
        <v>A surveiller</v>
      </c>
      <c r="P249" t="str">
        <f t="shared" si="15"/>
        <v>Data</v>
      </c>
      <c r="Q249" t="str" cm="1">
        <f t="array" ref="Q249">_xlfn.IFS(H249&gt;=16,"Excellent",H249&gt;=14,"Très bien",H249&gt;=12,"Bien",H249&gt;=10,"Passable",H249&lt;10,"Insuffisant")</f>
        <v>Insuffisant</v>
      </c>
    </row>
    <row r="250" spans="1:17">
      <c r="A250" t="s">
        <v>444</v>
      </c>
      <c r="B250" t="s">
        <v>300</v>
      </c>
      <c r="C250" t="s">
        <v>24</v>
      </c>
      <c r="D250" t="s">
        <v>33</v>
      </c>
      <c r="E250" s="8" t="s">
        <v>47</v>
      </c>
      <c r="F250" s="8">
        <v>9.43</v>
      </c>
      <c r="G250" s="8">
        <v>12.28</v>
      </c>
      <c r="H250" s="8">
        <v>9.69</v>
      </c>
      <c r="I250" s="8">
        <v>6.53</v>
      </c>
      <c r="J250" s="6">
        <v>0.87739999999999996</v>
      </c>
      <c r="K250" s="4">
        <v>70000</v>
      </c>
      <c r="L250" s="2">
        <v>46189</v>
      </c>
      <c r="M250" t="str">
        <f t="shared" si="12"/>
        <v>Non admis</v>
      </c>
      <c r="N250" t="str">
        <f t="shared" si="13"/>
        <v>Non eligible</v>
      </c>
      <c r="O250" t="str">
        <f t="shared" si="14"/>
        <v>A surveiller</v>
      </c>
      <c r="P250" t="str">
        <f t="shared" si="15"/>
        <v>Hors data</v>
      </c>
      <c r="Q250" t="str" cm="1">
        <f t="array" ref="Q250">_xlfn.IFS(H250&gt;=16,"Excellent",H250&gt;=14,"Très bien",H250&gt;=12,"Bien",H250&gt;=10,"Passable",H250&lt;10,"Insuffisant")</f>
        <v>Insuffisant</v>
      </c>
    </row>
    <row r="251" spans="1:17">
      <c r="A251" t="s">
        <v>445</v>
      </c>
      <c r="B251" t="s">
        <v>230</v>
      </c>
      <c r="C251" t="s">
        <v>19</v>
      </c>
      <c r="D251" t="s">
        <v>40</v>
      </c>
      <c r="E251" s="8" t="s">
        <v>26</v>
      </c>
      <c r="F251" s="8">
        <v>9.5399999999999991</v>
      </c>
      <c r="G251" s="8">
        <v>13.74</v>
      </c>
      <c r="H251" s="8">
        <v>13.21</v>
      </c>
      <c r="I251" s="8">
        <v>12.27</v>
      </c>
      <c r="J251" s="6">
        <v>0.94869999999999999</v>
      </c>
      <c r="K251" s="4">
        <v>90000</v>
      </c>
      <c r="L251" s="2">
        <v>45756</v>
      </c>
      <c r="M251" t="str">
        <f t="shared" si="12"/>
        <v>Admis</v>
      </c>
      <c r="N251" t="str">
        <f t="shared" si="13"/>
        <v>Non eligible</v>
      </c>
      <c r="O251" t="str">
        <f t="shared" si="14"/>
        <v>A surveiller</v>
      </c>
      <c r="P251" t="str">
        <f t="shared" si="15"/>
        <v>Hors data</v>
      </c>
      <c r="Q251" t="str" cm="1">
        <f t="array" ref="Q251">_xlfn.IFS(H251&gt;=16,"Excellent",H251&gt;=14,"Très bien",H251&gt;=12,"Bien",H251&gt;=10,"Passable",H251&lt;10,"Insuffisant")</f>
        <v>Bien</v>
      </c>
    </row>
    <row r="252" spans="1:17">
      <c r="A252" t="s">
        <v>446</v>
      </c>
      <c r="B252" t="s">
        <v>430</v>
      </c>
      <c r="C252" t="s">
        <v>19</v>
      </c>
      <c r="D252" t="s">
        <v>33</v>
      </c>
      <c r="E252" s="8" t="s">
        <v>21</v>
      </c>
      <c r="F252" s="8">
        <v>9.5399999999999991</v>
      </c>
      <c r="G252" s="8">
        <v>9.1999999999999993</v>
      </c>
      <c r="H252" s="8">
        <v>10.32</v>
      </c>
      <c r="I252" s="8">
        <v>6.79</v>
      </c>
      <c r="J252" s="6">
        <v>0.83479999999999999</v>
      </c>
      <c r="K252" s="4">
        <v>110000</v>
      </c>
      <c r="L252" s="2">
        <v>45559</v>
      </c>
      <c r="M252" t="str">
        <f t="shared" si="12"/>
        <v>Admis</v>
      </c>
      <c r="N252" t="str">
        <f t="shared" si="13"/>
        <v>Non eligible</v>
      </c>
      <c r="O252" t="str">
        <f t="shared" si="14"/>
        <v>A surveiller</v>
      </c>
      <c r="P252" t="str">
        <f t="shared" si="15"/>
        <v>Data</v>
      </c>
      <c r="Q252" t="str" cm="1">
        <f t="array" ref="Q252">_xlfn.IFS(H252&gt;=16,"Excellent",H252&gt;=14,"Très bien",H252&gt;=12,"Bien",H252&gt;=10,"Passable",H252&lt;10,"Insuffisant")</f>
        <v>Passable</v>
      </c>
    </row>
    <row r="253" spans="1:17">
      <c r="A253" t="s">
        <v>447</v>
      </c>
      <c r="B253" t="s">
        <v>448</v>
      </c>
      <c r="C253" t="s">
        <v>19</v>
      </c>
      <c r="D253" t="s">
        <v>52</v>
      </c>
      <c r="E253" s="8" t="s">
        <v>21</v>
      </c>
      <c r="F253" s="8">
        <v>11.49</v>
      </c>
      <c r="G253" s="8">
        <v>10.35</v>
      </c>
      <c r="H253" s="8">
        <v>6.29</v>
      </c>
      <c r="I253" s="8">
        <v>9.8800000000000008</v>
      </c>
      <c r="J253" s="6">
        <v>0.91059999999999997</v>
      </c>
      <c r="K253" s="4">
        <v>60000</v>
      </c>
      <c r="L253" s="2">
        <v>46077</v>
      </c>
      <c r="M253" t="str">
        <f t="shared" si="12"/>
        <v>Non admis</v>
      </c>
      <c r="N253" t="str">
        <f t="shared" si="13"/>
        <v>Non eligible</v>
      </c>
      <c r="O253" t="str">
        <f t="shared" si="14"/>
        <v>A surveiller</v>
      </c>
      <c r="P253" t="str">
        <f t="shared" si="15"/>
        <v>Data</v>
      </c>
      <c r="Q253" t="str" cm="1">
        <f t="array" ref="Q253">_xlfn.IFS(H253&gt;=16,"Excellent",H253&gt;=14,"Très bien",H253&gt;=12,"Bien",H253&gt;=10,"Passable",H253&lt;10,"Insuffisant")</f>
        <v>Insuffisant</v>
      </c>
    </row>
    <row r="254" spans="1:17">
      <c r="A254" t="s">
        <v>449</v>
      </c>
      <c r="B254" t="s">
        <v>450</v>
      </c>
      <c r="C254" t="s">
        <v>19</v>
      </c>
      <c r="D254" t="s">
        <v>52</v>
      </c>
      <c r="E254" s="8" t="s">
        <v>34</v>
      </c>
      <c r="F254" s="8">
        <v>17.37</v>
      </c>
      <c r="G254" s="8">
        <v>16.66</v>
      </c>
      <c r="H254" s="8">
        <v>16.72</v>
      </c>
      <c r="I254" s="8">
        <v>16.36</v>
      </c>
      <c r="J254" s="6">
        <v>0.94679999999999997</v>
      </c>
      <c r="K254" s="4">
        <v>85000</v>
      </c>
      <c r="L254" s="2">
        <v>45583</v>
      </c>
      <c r="M254" t="str">
        <f t="shared" si="12"/>
        <v>Admis</v>
      </c>
      <c r="N254" t="str">
        <f t="shared" si="13"/>
        <v>Eligible</v>
      </c>
      <c r="O254" t="str">
        <f t="shared" si="14"/>
        <v>RAS</v>
      </c>
      <c r="P254" t="str">
        <f t="shared" si="15"/>
        <v>Hors data</v>
      </c>
      <c r="Q254" t="str" cm="1">
        <f t="array" ref="Q254">_xlfn.IFS(H254&gt;=16,"Excellent",H254&gt;=14,"Très bien",H254&gt;=12,"Bien",H254&gt;=10,"Passable",H254&lt;10,"Insuffisant")</f>
        <v>Excellent</v>
      </c>
    </row>
    <row r="255" spans="1:17">
      <c r="A255" t="s">
        <v>451</v>
      </c>
      <c r="B255" t="s">
        <v>452</v>
      </c>
      <c r="C255" t="s">
        <v>19</v>
      </c>
      <c r="D255" t="s">
        <v>25</v>
      </c>
      <c r="E255" s="8" t="s">
        <v>26</v>
      </c>
      <c r="F255" s="8">
        <v>11.73</v>
      </c>
      <c r="G255" s="8">
        <v>11.67</v>
      </c>
      <c r="H255" s="8">
        <v>10.93</v>
      </c>
      <c r="I255" s="8">
        <v>12.2</v>
      </c>
      <c r="J255" s="6">
        <v>0.68320000000000003</v>
      </c>
      <c r="K255" s="4">
        <v>70000</v>
      </c>
      <c r="L255" s="2">
        <v>46071</v>
      </c>
      <c r="M255" t="str">
        <f t="shared" si="12"/>
        <v>Admis</v>
      </c>
      <c r="N255" t="str">
        <f t="shared" si="13"/>
        <v>Non eligible</v>
      </c>
      <c r="O255" t="str">
        <f t="shared" si="14"/>
        <v>RAS</v>
      </c>
      <c r="P255" t="str">
        <f t="shared" si="15"/>
        <v>Hors data</v>
      </c>
      <c r="Q255" t="str" cm="1">
        <f t="array" ref="Q255">_xlfn.IFS(H255&gt;=16,"Excellent",H255&gt;=14,"Très bien",H255&gt;=12,"Bien",H255&gt;=10,"Passable",H255&lt;10,"Insuffisant")</f>
        <v>Passable</v>
      </c>
    </row>
    <row r="256" spans="1:17">
      <c r="A256" t="s">
        <v>453</v>
      </c>
      <c r="B256" t="s">
        <v>454</v>
      </c>
      <c r="C256" t="s">
        <v>24</v>
      </c>
      <c r="D256" t="s">
        <v>52</v>
      </c>
      <c r="E256" s="8" t="s">
        <v>47</v>
      </c>
      <c r="F256" s="8">
        <v>14.76</v>
      </c>
      <c r="G256" s="8">
        <v>20</v>
      </c>
      <c r="H256" s="8">
        <v>20</v>
      </c>
      <c r="I256" s="8">
        <v>20</v>
      </c>
      <c r="J256" s="6">
        <v>0.96360000000000001</v>
      </c>
      <c r="K256" s="4">
        <v>110000</v>
      </c>
      <c r="L256" s="2">
        <v>46049</v>
      </c>
      <c r="M256" t="str">
        <f t="shared" si="12"/>
        <v>Admis</v>
      </c>
      <c r="N256" t="str">
        <f t="shared" si="13"/>
        <v>Eligible</v>
      </c>
      <c r="O256" t="str">
        <f t="shared" si="14"/>
        <v>RAS</v>
      </c>
      <c r="P256" t="str">
        <f t="shared" si="15"/>
        <v>Hors data</v>
      </c>
      <c r="Q256" t="str" cm="1">
        <f t="array" ref="Q256">_xlfn.IFS(H256&gt;=16,"Excellent",H256&gt;=14,"Très bien",H256&gt;=12,"Bien",H256&gt;=10,"Passable",H256&lt;10,"Insuffisant")</f>
        <v>Excellent</v>
      </c>
    </row>
    <row r="257" spans="1:17">
      <c r="A257" t="s">
        <v>455</v>
      </c>
      <c r="B257" t="s">
        <v>450</v>
      </c>
      <c r="C257" t="s">
        <v>19</v>
      </c>
      <c r="D257" t="s">
        <v>20</v>
      </c>
      <c r="E257" s="8" t="s">
        <v>47</v>
      </c>
      <c r="F257" s="8">
        <v>13.53</v>
      </c>
      <c r="G257" s="8">
        <v>14.64</v>
      </c>
      <c r="H257" s="8">
        <v>15.39</v>
      </c>
      <c r="I257" s="8">
        <v>17.600000000000001</v>
      </c>
      <c r="J257" s="6">
        <v>0.63129999999999997</v>
      </c>
      <c r="K257" s="4">
        <v>90000</v>
      </c>
      <c r="L257" s="2">
        <v>46126</v>
      </c>
      <c r="M257" t="str">
        <f t="shared" si="12"/>
        <v>Admis</v>
      </c>
      <c r="N257" t="str">
        <f t="shared" si="13"/>
        <v>Non eligible</v>
      </c>
      <c r="O257" t="str">
        <f t="shared" si="14"/>
        <v>RAS</v>
      </c>
      <c r="P257" t="str">
        <f t="shared" si="15"/>
        <v>Hors data</v>
      </c>
      <c r="Q257" t="str" cm="1">
        <f t="array" ref="Q257">_xlfn.IFS(H257&gt;=16,"Excellent",H257&gt;=14,"Très bien",H257&gt;=12,"Bien",H257&gt;=10,"Passable",H257&lt;10,"Insuffisant")</f>
        <v>Très bien</v>
      </c>
    </row>
    <row r="258" spans="1:17">
      <c r="A258" t="s">
        <v>456</v>
      </c>
      <c r="B258" t="s">
        <v>457</v>
      </c>
      <c r="C258" t="s">
        <v>24</v>
      </c>
      <c r="D258" t="s">
        <v>52</v>
      </c>
      <c r="E258" s="8" t="s">
        <v>47</v>
      </c>
      <c r="F258" s="8">
        <v>16.59</v>
      </c>
      <c r="G258" s="8">
        <v>20</v>
      </c>
      <c r="H258" s="8">
        <v>14.2</v>
      </c>
      <c r="I258" s="8">
        <v>16.57</v>
      </c>
      <c r="J258" s="6">
        <v>0.92749999999999999</v>
      </c>
      <c r="K258" s="4">
        <v>100000</v>
      </c>
      <c r="L258" s="2">
        <v>45871</v>
      </c>
      <c r="M258" t="str">
        <f t="shared" si="12"/>
        <v>Admis</v>
      </c>
      <c r="N258" t="str">
        <f t="shared" si="13"/>
        <v>Eligible</v>
      </c>
      <c r="O258" t="str">
        <f t="shared" si="14"/>
        <v>RAS</v>
      </c>
      <c r="P258" t="str">
        <f t="shared" si="15"/>
        <v>Hors data</v>
      </c>
      <c r="Q258" t="str" cm="1">
        <f t="array" ref="Q258">_xlfn.IFS(H258&gt;=16,"Excellent",H258&gt;=14,"Très bien",H258&gt;=12,"Bien",H258&gt;=10,"Passable",H258&lt;10,"Insuffisant")</f>
        <v>Très bien</v>
      </c>
    </row>
    <row r="259" spans="1:17">
      <c r="A259" t="s">
        <v>458</v>
      </c>
      <c r="B259" t="s">
        <v>459</v>
      </c>
      <c r="C259" t="s">
        <v>19</v>
      </c>
      <c r="D259" t="s">
        <v>37</v>
      </c>
      <c r="E259" s="8" t="s">
        <v>34</v>
      </c>
      <c r="F259" s="8">
        <v>11.72</v>
      </c>
      <c r="G259" s="8">
        <v>14.44</v>
      </c>
      <c r="H259" s="8">
        <v>11.25</v>
      </c>
      <c r="I259" s="8">
        <v>10.64</v>
      </c>
      <c r="J259" s="6">
        <v>0.79310000000000003</v>
      </c>
      <c r="K259" s="4">
        <v>70000</v>
      </c>
      <c r="L259" s="2">
        <v>46162</v>
      </c>
      <c r="M259" t="str">
        <f t="shared" ref="M259:M322" si="16">IF(H259&gt;=10,"Admis","Non admis")</f>
        <v>Admis</v>
      </c>
      <c r="N259" t="str">
        <f t="shared" ref="N259:N322" si="17">IF(AND(F259&gt;=12,H259&gt;=12,J259&gt;=80%),"Eligible","Non eligible")</f>
        <v>Non eligible</v>
      </c>
      <c r="O259" t="str">
        <f t="shared" ref="O259:O322" si="18">IF(OR(F259&lt;10,H259&lt;10),"A surveiller","RAS")</f>
        <v>RAS</v>
      </c>
      <c r="P259" t="str">
        <f t="shared" ref="P259:P322" si="19">IF(NOT(E259="Data"),"Hors data","Data")</f>
        <v>Hors data</v>
      </c>
      <c r="Q259" t="str" cm="1">
        <f t="array" ref="Q259">_xlfn.IFS(H259&gt;=16,"Excellent",H259&gt;=14,"Très bien",H259&gt;=12,"Bien",H259&gt;=10,"Passable",H259&lt;10,"Insuffisant")</f>
        <v>Passable</v>
      </c>
    </row>
    <row r="260" spans="1:17">
      <c r="A260" t="s">
        <v>460</v>
      </c>
      <c r="B260" t="s">
        <v>284</v>
      </c>
      <c r="C260" t="s">
        <v>19</v>
      </c>
      <c r="D260" t="s">
        <v>33</v>
      </c>
      <c r="E260" s="8" t="s">
        <v>47</v>
      </c>
      <c r="F260" s="8">
        <v>10.35</v>
      </c>
      <c r="G260" s="8">
        <v>11.54</v>
      </c>
      <c r="H260" s="8">
        <v>9.43</v>
      </c>
      <c r="I260" s="8">
        <v>16.23</v>
      </c>
      <c r="J260" s="6">
        <v>0.97809999999999997</v>
      </c>
      <c r="K260" s="4">
        <v>75000</v>
      </c>
      <c r="L260" s="2">
        <v>45654</v>
      </c>
      <c r="M260" t="str">
        <f t="shared" si="16"/>
        <v>Non admis</v>
      </c>
      <c r="N260" t="str">
        <f t="shared" si="17"/>
        <v>Non eligible</v>
      </c>
      <c r="O260" t="str">
        <f t="shared" si="18"/>
        <v>A surveiller</v>
      </c>
      <c r="P260" t="str">
        <f t="shared" si="19"/>
        <v>Hors data</v>
      </c>
      <c r="Q260" t="str" cm="1">
        <f t="array" ref="Q260">_xlfn.IFS(H260&gt;=16,"Excellent",H260&gt;=14,"Très bien",H260&gt;=12,"Bien",H260&gt;=10,"Passable",H260&lt;10,"Insuffisant")</f>
        <v>Insuffisant</v>
      </c>
    </row>
    <row r="261" spans="1:17">
      <c r="A261" t="s">
        <v>461</v>
      </c>
      <c r="B261" t="s">
        <v>309</v>
      </c>
      <c r="C261" t="s">
        <v>24</v>
      </c>
      <c r="D261" t="s">
        <v>37</v>
      </c>
      <c r="E261" s="8" t="s">
        <v>21</v>
      </c>
      <c r="F261" s="8">
        <v>13.81</v>
      </c>
      <c r="G261" s="8">
        <v>14.48</v>
      </c>
      <c r="H261" s="8">
        <v>13.35</v>
      </c>
      <c r="I261" s="8">
        <v>15.6</v>
      </c>
      <c r="J261" s="6">
        <v>0.82909999999999995</v>
      </c>
      <c r="K261" s="4">
        <v>100000</v>
      </c>
      <c r="L261" s="2">
        <v>45840</v>
      </c>
      <c r="M261" t="str">
        <f t="shared" si="16"/>
        <v>Admis</v>
      </c>
      <c r="N261" t="str">
        <f t="shared" si="17"/>
        <v>Eligible</v>
      </c>
      <c r="O261" t="str">
        <f t="shared" si="18"/>
        <v>RAS</v>
      </c>
      <c r="P261" t="str">
        <f t="shared" si="19"/>
        <v>Data</v>
      </c>
      <c r="Q261" t="str" cm="1">
        <f t="array" ref="Q261">_xlfn.IFS(H261&gt;=16,"Excellent",H261&gt;=14,"Très bien",H261&gt;=12,"Bien",H261&gt;=10,"Passable",H261&lt;10,"Insuffisant")</f>
        <v>Bien</v>
      </c>
    </row>
    <row r="262" spans="1:17">
      <c r="A262" t="s">
        <v>462</v>
      </c>
      <c r="B262" t="s">
        <v>463</v>
      </c>
      <c r="C262" t="s">
        <v>24</v>
      </c>
      <c r="D262" t="s">
        <v>20</v>
      </c>
      <c r="E262" s="8" t="s">
        <v>21</v>
      </c>
      <c r="F262" s="8">
        <v>14.54</v>
      </c>
      <c r="G262" s="8">
        <v>10.81</v>
      </c>
      <c r="H262" s="8">
        <v>12.17</v>
      </c>
      <c r="I262" s="8">
        <v>11.37</v>
      </c>
      <c r="J262" s="6">
        <v>0.83850000000000002</v>
      </c>
      <c r="K262" s="4">
        <v>75000</v>
      </c>
      <c r="L262" s="2">
        <v>45621</v>
      </c>
      <c r="M262" t="str">
        <f t="shared" si="16"/>
        <v>Admis</v>
      </c>
      <c r="N262" t="str">
        <f t="shared" si="17"/>
        <v>Eligible</v>
      </c>
      <c r="O262" t="str">
        <f t="shared" si="18"/>
        <v>RAS</v>
      </c>
      <c r="P262" t="str">
        <f t="shared" si="19"/>
        <v>Data</v>
      </c>
      <c r="Q262" t="str" cm="1">
        <f t="array" ref="Q262">_xlfn.IFS(H262&gt;=16,"Excellent",H262&gt;=14,"Très bien",H262&gt;=12,"Bien",H262&gt;=10,"Passable",H262&lt;10,"Insuffisant")</f>
        <v>Bien</v>
      </c>
    </row>
    <row r="263" spans="1:17">
      <c r="A263" t="s">
        <v>464</v>
      </c>
      <c r="B263" t="s">
        <v>409</v>
      </c>
      <c r="C263" t="s">
        <v>19</v>
      </c>
      <c r="D263" t="s">
        <v>40</v>
      </c>
      <c r="E263" s="8" t="s">
        <v>26</v>
      </c>
      <c r="F263" s="8">
        <v>15.24</v>
      </c>
      <c r="G263" s="8">
        <v>15.29</v>
      </c>
      <c r="H263" s="8">
        <v>17.13</v>
      </c>
      <c r="I263" s="8">
        <v>15.71</v>
      </c>
      <c r="J263" s="6">
        <v>0.92810000000000004</v>
      </c>
      <c r="K263" s="4">
        <v>100000</v>
      </c>
      <c r="L263" s="2">
        <v>46072</v>
      </c>
      <c r="M263" t="str">
        <f t="shared" si="16"/>
        <v>Admis</v>
      </c>
      <c r="N263" t="str">
        <f t="shared" si="17"/>
        <v>Eligible</v>
      </c>
      <c r="O263" t="str">
        <f t="shared" si="18"/>
        <v>RAS</v>
      </c>
      <c r="P263" t="str">
        <f t="shared" si="19"/>
        <v>Hors data</v>
      </c>
      <c r="Q263" t="str" cm="1">
        <f t="array" ref="Q263">_xlfn.IFS(H263&gt;=16,"Excellent",H263&gt;=14,"Très bien",H263&gt;=12,"Bien",H263&gt;=10,"Passable",H263&lt;10,"Insuffisant")</f>
        <v>Excellent</v>
      </c>
    </row>
    <row r="264" spans="1:17">
      <c r="A264" t="s">
        <v>465</v>
      </c>
      <c r="B264" t="s">
        <v>466</v>
      </c>
      <c r="C264" t="s">
        <v>19</v>
      </c>
      <c r="D264" t="s">
        <v>52</v>
      </c>
      <c r="E264" s="8" t="s">
        <v>47</v>
      </c>
      <c r="F264" s="8">
        <v>11.97</v>
      </c>
      <c r="G264" s="8">
        <v>15.35</v>
      </c>
      <c r="H264" s="8">
        <v>11.01</v>
      </c>
      <c r="I264" s="8">
        <v>14.01</v>
      </c>
      <c r="J264" s="6">
        <v>0.82140000000000002</v>
      </c>
      <c r="K264" s="4">
        <v>60000</v>
      </c>
      <c r="L264" s="2">
        <v>46035</v>
      </c>
      <c r="M264" t="str">
        <f t="shared" si="16"/>
        <v>Admis</v>
      </c>
      <c r="N264" t="str">
        <f t="shared" si="17"/>
        <v>Non eligible</v>
      </c>
      <c r="O264" t="str">
        <f t="shared" si="18"/>
        <v>RAS</v>
      </c>
      <c r="P264" t="str">
        <f t="shared" si="19"/>
        <v>Hors data</v>
      </c>
      <c r="Q264" t="str" cm="1">
        <f t="array" ref="Q264">_xlfn.IFS(H264&gt;=16,"Excellent",H264&gt;=14,"Très bien",H264&gt;=12,"Bien",H264&gt;=10,"Passable",H264&lt;10,"Insuffisant")</f>
        <v>Passable</v>
      </c>
    </row>
    <row r="265" spans="1:17">
      <c r="A265" t="s">
        <v>467</v>
      </c>
      <c r="B265" t="s">
        <v>468</v>
      </c>
      <c r="C265" t="s">
        <v>24</v>
      </c>
      <c r="D265" t="s">
        <v>52</v>
      </c>
      <c r="E265" s="8" t="s">
        <v>21</v>
      </c>
      <c r="F265" s="8">
        <v>17.14</v>
      </c>
      <c r="G265" s="8">
        <v>18.95</v>
      </c>
      <c r="H265" s="8">
        <v>11.32</v>
      </c>
      <c r="I265" s="8">
        <v>12.42</v>
      </c>
      <c r="J265" s="6">
        <v>0.93889999999999996</v>
      </c>
      <c r="K265" s="4">
        <v>75000</v>
      </c>
      <c r="L265" s="2">
        <v>46100</v>
      </c>
      <c r="M265" t="str">
        <f t="shared" si="16"/>
        <v>Admis</v>
      </c>
      <c r="N265" t="str">
        <f t="shared" si="17"/>
        <v>Non eligible</v>
      </c>
      <c r="O265" t="str">
        <f t="shared" si="18"/>
        <v>RAS</v>
      </c>
      <c r="P265" t="str">
        <f t="shared" si="19"/>
        <v>Data</v>
      </c>
      <c r="Q265" t="str" cm="1">
        <f t="array" ref="Q265">_xlfn.IFS(H265&gt;=16,"Excellent",H265&gt;=14,"Très bien",H265&gt;=12,"Bien",H265&gt;=10,"Passable",H265&lt;10,"Insuffisant")</f>
        <v>Passable</v>
      </c>
    </row>
    <row r="266" spans="1:17">
      <c r="A266" t="s">
        <v>469</v>
      </c>
      <c r="B266" t="s">
        <v>470</v>
      </c>
      <c r="C266" t="s">
        <v>24</v>
      </c>
      <c r="D266" t="s">
        <v>37</v>
      </c>
      <c r="E266" s="8" t="s">
        <v>34</v>
      </c>
      <c r="F266" s="8">
        <v>10.29</v>
      </c>
      <c r="G266" s="8">
        <v>8.39</v>
      </c>
      <c r="H266" s="8">
        <v>12.78</v>
      </c>
      <c r="I266" s="8">
        <v>10.71</v>
      </c>
      <c r="J266" s="6">
        <v>0.98360000000000003</v>
      </c>
      <c r="K266" s="4">
        <v>60000</v>
      </c>
      <c r="L266" s="2">
        <v>46071</v>
      </c>
      <c r="M266" t="str">
        <f t="shared" si="16"/>
        <v>Admis</v>
      </c>
      <c r="N266" t="str">
        <f t="shared" si="17"/>
        <v>Non eligible</v>
      </c>
      <c r="O266" t="str">
        <f t="shared" si="18"/>
        <v>RAS</v>
      </c>
      <c r="P266" t="str">
        <f t="shared" si="19"/>
        <v>Hors data</v>
      </c>
      <c r="Q266" t="str" cm="1">
        <f t="array" ref="Q266">_xlfn.IFS(H266&gt;=16,"Excellent",H266&gt;=14,"Très bien",H266&gt;=12,"Bien",H266&gt;=10,"Passable",H266&lt;10,"Insuffisant")</f>
        <v>Bien</v>
      </c>
    </row>
    <row r="267" spans="1:17">
      <c r="A267" t="s">
        <v>471</v>
      </c>
      <c r="B267" t="s">
        <v>97</v>
      </c>
      <c r="C267" t="s">
        <v>24</v>
      </c>
      <c r="D267" t="s">
        <v>25</v>
      </c>
      <c r="E267" s="8" t="s">
        <v>21</v>
      </c>
      <c r="F267" s="8">
        <v>11.03</v>
      </c>
      <c r="G267" s="8">
        <v>11.09</v>
      </c>
      <c r="H267" s="8">
        <v>7.19</v>
      </c>
      <c r="I267" s="8">
        <v>11.41</v>
      </c>
      <c r="J267" s="6">
        <v>0.98909999999999998</v>
      </c>
      <c r="K267" s="4">
        <v>50000</v>
      </c>
      <c r="L267" s="2">
        <v>45751</v>
      </c>
      <c r="M267" t="str">
        <f t="shared" si="16"/>
        <v>Non admis</v>
      </c>
      <c r="N267" t="str">
        <f t="shared" si="17"/>
        <v>Non eligible</v>
      </c>
      <c r="O267" t="str">
        <f t="shared" si="18"/>
        <v>A surveiller</v>
      </c>
      <c r="P267" t="str">
        <f t="shared" si="19"/>
        <v>Data</v>
      </c>
      <c r="Q267" t="str" cm="1">
        <f t="array" ref="Q267">_xlfn.IFS(H267&gt;=16,"Excellent",H267&gt;=14,"Très bien",H267&gt;=12,"Bien",H267&gt;=10,"Passable",H267&lt;10,"Insuffisant")</f>
        <v>Insuffisant</v>
      </c>
    </row>
    <row r="268" spans="1:17">
      <c r="A268" t="s">
        <v>472</v>
      </c>
      <c r="B268" t="s">
        <v>473</v>
      </c>
      <c r="C268" t="s">
        <v>19</v>
      </c>
      <c r="D268" t="s">
        <v>20</v>
      </c>
      <c r="E268" s="8" t="s">
        <v>47</v>
      </c>
      <c r="F268" s="8">
        <v>14.62</v>
      </c>
      <c r="G268" s="8">
        <v>15.5</v>
      </c>
      <c r="H268" s="8">
        <v>14.45</v>
      </c>
      <c r="I268" s="8">
        <v>12.28</v>
      </c>
      <c r="J268" s="6">
        <v>0.9153</v>
      </c>
      <c r="K268" s="4">
        <v>70000</v>
      </c>
      <c r="L268" s="2">
        <v>45583</v>
      </c>
      <c r="M268" t="str">
        <f t="shared" si="16"/>
        <v>Admis</v>
      </c>
      <c r="N268" t="str">
        <f t="shared" si="17"/>
        <v>Eligible</v>
      </c>
      <c r="O268" t="str">
        <f t="shared" si="18"/>
        <v>RAS</v>
      </c>
      <c r="P268" t="str">
        <f t="shared" si="19"/>
        <v>Hors data</v>
      </c>
      <c r="Q268" t="str" cm="1">
        <f t="array" ref="Q268">_xlfn.IFS(H268&gt;=16,"Excellent",H268&gt;=14,"Très bien",H268&gt;=12,"Bien",H268&gt;=10,"Passable",H268&lt;10,"Insuffisant")</f>
        <v>Très bien</v>
      </c>
    </row>
    <row r="269" spans="1:17">
      <c r="A269" t="s">
        <v>474</v>
      </c>
      <c r="B269" t="s">
        <v>87</v>
      </c>
      <c r="C269" t="s">
        <v>19</v>
      </c>
      <c r="D269" t="s">
        <v>33</v>
      </c>
      <c r="E269" s="8" t="s">
        <v>26</v>
      </c>
      <c r="F269" s="8">
        <v>13.61</v>
      </c>
      <c r="G269" s="8">
        <v>14.81</v>
      </c>
      <c r="H269" s="8">
        <v>14.76</v>
      </c>
      <c r="I269" s="8">
        <v>15.88</v>
      </c>
      <c r="J269" s="6">
        <v>0.67179999999999995</v>
      </c>
      <c r="K269" s="4">
        <v>85000</v>
      </c>
      <c r="L269" s="2">
        <v>46186</v>
      </c>
      <c r="M269" t="str">
        <f t="shared" si="16"/>
        <v>Admis</v>
      </c>
      <c r="N269" t="str">
        <f t="shared" si="17"/>
        <v>Non eligible</v>
      </c>
      <c r="O269" t="str">
        <f t="shared" si="18"/>
        <v>RAS</v>
      </c>
      <c r="P269" t="str">
        <f t="shared" si="19"/>
        <v>Hors data</v>
      </c>
      <c r="Q269" t="str" cm="1">
        <f t="array" ref="Q269">_xlfn.IFS(H269&gt;=16,"Excellent",H269&gt;=14,"Très bien",H269&gt;=12,"Bien",H269&gt;=10,"Passable",H269&lt;10,"Insuffisant")</f>
        <v>Très bien</v>
      </c>
    </row>
    <row r="270" spans="1:17">
      <c r="A270" t="s">
        <v>475</v>
      </c>
      <c r="B270" t="s">
        <v>476</v>
      </c>
      <c r="C270" t="s">
        <v>24</v>
      </c>
      <c r="D270" t="s">
        <v>52</v>
      </c>
      <c r="E270" s="8" t="s">
        <v>34</v>
      </c>
      <c r="F270" s="8">
        <v>9.68</v>
      </c>
      <c r="G270" s="8">
        <v>11.92</v>
      </c>
      <c r="H270" s="8">
        <v>15.25</v>
      </c>
      <c r="I270" s="8">
        <v>9.19</v>
      </c>
      <c r="J270" s="6">
        <v>0.81479999999999997</v>
      </c>
      <c r="K270" s="4">
        <v>60000</v>
      </c>
      <c r="L270" s="2">
        <v>45880</v>
      </c>
      <c r="M270" t="str">
        <f t="shared" si="16"/>
        <v>Admis</v>
      </c>
      <c r="N270" t="str">
        <f t="shared" si="17"/>
        <v>Non eligible</v>
      </c>
      <c r="O270" t="str">
        <f t="shared" si="18"/>
        <v>A surveiller</v>
      </c>
      <c r="P270" t="str">
        <f t="shared" si="19"/>
        <v>Hors data</v>
      </c>
      <c r="Q270" t="str" cm="1">
        <f t="array" ref="Q270">_xlfn.IFS(H270&gt;=16,"Excellent",H270&gt;=14,"Très bien",H270&gt;=12,"Bien",H270&gt;=10,"Passable",H270&lt;10,"Insuffisant")</f>
        <v>Très bien</v>
      </c>
    </row>
    <row r="271" spans="1:17">
      <c r="A271" t="s">
        <v>477</v>
      </c>
      <c r="B271" t="s">
        <v>478</v>
      </c>
      <c r="C271" t="s">
        <v>24</v>
      </c>
      <c r="D271" t="s">
        <v>25</v>
      </c>
      <c r="E271" s="8" t="s">
        <v>34</v>
      </c>
      <c r="F271" s="8">
        <v>18.239999999999998</v>
      </c>
      <c r="G271" s="8">
        <v>11.68</v>
      </c>
      <c r="H271" s="8">
        <v>13.27</v>
      </c>
      <c r="I271" s="8">
        <v>12.21</v>
      </c>
      <c r="J271" s="6">
        <v>0.55000000000000004</v>
      </c>
      <c r="K271" s="4">
        <v>60000</v>
      </c>
      <c r="L271" s="2">
        <v>45602</v>
      </c>
      <c r="M271" t="str">
        <f t="shared" si="16"/>
        <v>Admis</v>
      </c>
      <c r="N271" t="str">
        <f t="shared" si="17"/>
        <v>Non eligible</v>
      </c>
      <c r="O271" t="str">
        <f t="shared" si="18"/>
        <v>RAS</v>
      </c>
      <c r="P271" t="str">
        <f t="shared" si="19"/>
        <v>Hors data</v>
      </c>
      <c r="Q271" t="str" cm="1">
        <f t="array" ref="Q271">_xlfn.IFS(H271&gt;=16,"Excellent",H271&gt;=14,"Très bien",H271&gt;=12,"Bien",H271&gt;=10,"Passable",H271&lt;10,"Insuffisant")</f>
        <v>Bien</v>
      </c>
    </row>
    <row r="272" spans="1:17">
      <c r="A272" t="s">
        <v>479</v>
      </c>
      <c r="B272" t="s">
        <v>87</v>
      </c>
      <c r="C272" t="s">
        <v>19</v>
      </c>
      <c r="D272" t="s">
        <v>52</v>
      </c>
      <c r="E272" s="8" t="s">
        <v>21</v>
      </c>
      <c r="F272" s="8">
        <v>17.3</v>
      </c>
      <c r="G272" s="8">
        <v>15.73</v>
      </c>
      <c r="H272" s="8">
        <v>14.92</v>
      </c>
      <c r="I272" s="8">
        <v>13.83</v>
      </c>
      <c r="J272" s="6">
        <v>0.83330000000000004</v>
      </c>
      <c r="K272" s="4">
        <v>120000</v>
      </c>
      <c r="L272" s="2">
        <v>46184</v>
      </c>
      <c r="M272" t="str">
        <f t="shared" si="16"/>
        <v>Admis</v>
      </c>
      <c r="N272" t="str">
        <f t="shared" si="17"/>
        <v>Eligible</v>
      </c>
      <c r="O272" t="str">
        <f t="shared" si="18"/>
        <v>RAS</v>
      </c>
      <c r="P272" t="str">
        <f t="shared" si="19"/>
        <v>Data</v>
      </c>
      <c r="Q272" t="str" cm="1">
        <f t="array" ref="Q272">_xlfn.IFS(H272&gt;=16,"Excellent",H272&gt;=14,"Très bien",H272&gt;=12,"Bien",H272&gt;=10,"Passable",H272&lt;10,"Insuffisant")</f>
        <v>Très bien</v>
      </c>
    </row>
    <row r="273" spans="1:17">
      <c r="A273" t="s">
        <v>480</v>
      </c>
      <c r="B273" t="s">
        <v>481</v>
      </c>
      <c r="C273" t="s">
        <v>19</v>
      </c>
      <c r="D273" t="s">
        <v>25</v>
      </c>
      <c r="E273" s="8" t="s">
        <v>34</v>
      </c>
      <c r="F273" s="8">
        <v>17.04</v>
      </c>
      <c r="G273" s="8">
        <v>16.760000000000002</v>
      </c>
      <c r="H273" s="8">
        <v>17.309999999999999</v>
      </c>
      <c r="I273" s="8">
        <v>12.77</v>
      </c>
      <c r="J273" s="6">
        <v>0.84279999999999999</v>
      </c>
      <c r="K273" s="4">
        <v>85000</v>
      </c>
      <c r="L273" s="2">
        <v>46231</v>
      </c>
      <c r="M273" t="str">
        <f t="shared" si="16"/>
        <v>Admis</v>
      </c>
      <c r="N273" t="str">
        <f t="shared" si="17"/>
        <v>Eligible</v>
      </c>
      <c r="O273" t="str">
        <f t="shared" si="18"/>
        <v>RAS</v>
      </c>
      <c r="P273" t="str">
        <f t="shared" si="19"/>
        <v>Hors data</v>
      </c>
      <c r="Q273" t="str" cm="1">
        <f t="array" ref="Q273">_xlfn.IFS(H273&gt;=16,"Excellent",H273&gt;=14,"Très bien",H273&gt;=12,"Bien",H273&gt;=10,"Passable",H273&lt;10,"Insuffisant")</f>
        <v>Excellent</v>
      </c>
    </row>
    <row r="274" spans="1:17">
      <c r="A274" t="s">
        <v>482</v>
      </c>
      <c r="B274" t="s">
        <v>134</v>
      </c>
      <c r="C274" t="s">
        <v>19</v>
      </c>
      <c r="D274" t="s">
        <v>52</v>
      </c>
      <c r="E274" s="8" t="s">
        <v>34</v>
      </c>
      <c r="F274" s="8">
        <v>19.11</v>
      </c>
      <c r="G274" s="8">
        <v>18.97</v>
      </c>
      <c r="H274" s="8">
        <v>15.13</v>
      </c>
      <c r="I274" s="8">
        <v>19.98</v>
      </c>
      <c r="J274" s="6">
        <v>0.55000000000000004</v>
      </c>
      <c r="K274" s="4">
        <v>100000</v>
      </c>
      <c r="L274" s="2">
        <v>45847</v>
      </c>
      <c r="M274" t="str">
        <f t="shared" si="16"/>
        <v>Admis</v>
      </c>
      <c r="N274" t="str">
        <f t="shared" si="17"/>
        <v>Non eligible</v>
      </c>
      <c r="O274" t="str">
        <f t="shared" si="18"/>
        <v>RAS</v>
      </c>
      <c r="P274" t="str">
        <f t="shared" si="19"/>
        <v>Hors data</v>
      </c>
      <c r="Q274" t="str" cm="1">
        <f t="array" ref="Q274">_xlfn.IFS(H274&gt;=16,"Excellent",H274&gt;=14,"Très bien",H274&gt;=12,"Bien",H274&gt;=10,"Passable",H274&lt;10,"Insuffisant")</f>
        <v>Très bien</v>
      </c>
    </row>
    <row r="275" spans="1:17">
      <c r="A275" t="s">
        <v>483</v>
      </c>
      <c r="B275" t="s">
        <v>484</v>
      </c>
      <c r="C275" t="s">
        <v>24</v>
      </c>
      <c r="D275" t="s">
        <v>40</v>
      </c>
      <c r="E275" s="8" t="s">
        <v>21</v>
      </c>
      <c r="F275" s="8">
        <v>14.87</v>
      </c>
      <c r="G275" s="8">
        <v>18.73</v>
      </c>
      <c r="H275" s="8">
        <v>16.79</v>
      </c>
      <c r="I275" s="8">
        <v>14.84</v>
      </c>
      <c r="J275" s="6">
        <v>0.62019999999999997</v>
      </c>
      <c r="K275" s="4">
        <v>100000</v>
      </c>
      <c r="L275" s="2">
        <v>46075</v>
      </c>
      <c r="M275" t="str">
        <f t="shared" si="16"/>
        <v>Admis</v>
      </c>
      <c r="N275" t="str">
        <f t="shared" si="17"/>
        <v>Non eligible</v>
      </c>
      <c r="O275" t="str">
        <f t="shared" si="18"/>
        <v>RAS</v>
      </c>
      <c r="P275" t="str">
        <f t="shared" si="19"/>
        <v>Data</v>
      </c>
      <c r="Q275" t="str" cm="1">
        <f t="array" ref="Q275">_xlfn.IFS(H275&gt;=16,"Excellent",H275&gt;=14,"Très bien",H275&gt;=12,"Bien",H275&gt;=10,"Passable",H275&lt;10,"Insuffisant")</f>
        <v>Excellent</v>
      </c>
    </row>
    <row r="276" spans="1:17">
      <c r="A276" t="s">
        <v>485</v>
      </c>
      <c r="B276" t="s">
        <v>154</v>
      </c>
      <c r="C276" t="s">
        <v>19</v>
      </c>
      <c r="D276" t="s">
        <v>37</v>
      </c>
      <c r="E276" s="8" t="s">
        <v>34</v>
      </c>
      <c r="F276" s="8">
        <v>13.51</v>
      </c>
      <c r="G276" s="8">
        <v>14.2</v>
      </c>
      <c r="H276" s="8">
        <v>9.89</v>
      </c>
      <c r="I276" s="8">
        <v>9.06</v>
      </c>
      <c r="J276" s="6">
        <v>0.88829999999999998</v>
      </c>
      <c r="K276" s="4">
        <v>60000</v>
      </c>
      <c r="L276" s="2">
        <v>45561</v>
      </c>
      <c r="M276" t="str">
        <f t="shared" si="16"/>
        <v>Non admis</v>
      </c>
      <c r="N276" t="str">
        <f t="shared" si="17"/>
        <v>Non eligible</v>
      </c>
      <c r="O276" t="str">
        <f t="shared" si="18"/>
        <v>A surveiller</v>
      </c>
      <c r="P276" t="str">
        <f t="shared" si="19"/>
        <v>Hors data</v>
      </c>
      <c r="Q276" t="str" cm="1">
        <f t="array" ref="Q276">_xlfn.IFS(H276&gt;=16,"Excellent",H276&gt;=14,"Très bien",H276&gt;=12,"Bien",H276&gt;=10,"Passable",H276&lt;10,"Insuffisant")</f>
        <v>Insuffisant</v>
      </c>
    </row>
    <row r="277" spans="1:17">
      <c r="A277" t="s">
        <v>486</v>
      </c>
      <c r="B277" t="s">
        <v>452</v>
      </c>
      <c r="C277" t="s">
        <v>19</v>
      </c>
      <c r="D277" t="s">
        <v>37</v>
      </c>
      <c r="E277" s="8" t="s">
        <v>26</v>
      </c>
      <c r="F277" s="8">
        <v>16.36</v>
      </c>
      <c r="G277" s="8">
        <v>20</v>
      </c>
      <c r="H277" s="8">
        <v>18.11</v>
      </c>
      <c r="I277" s="8">
        <v>20</v>
      </c>
      <c r="J277" s="6">
        <v>0.60209999999999997</v>
      </c>
      <c r="K277" s="4">
        <v>90000</v>
      </c>
      <c r="L277" s="2">
        <v>45601</v>
      </c>
      <c r="M277" t="str">
        <f t="shared" si="16"/>
        <v>Admis</v>
      </c>
      <c r="N277" t="str">
        <f t="shared" si="17"/>
        <v>Non eligible</v>
      </c>
      <c r="O277" t="str">
        <f t="shared" si="18"/>
        <v>RAS</v>
      </c>
      <c r="P277" t="str">
        <f t="shared" si="19"/>
        <v>Hors data</v>
      </c>
      <c r="Q277" t="str" cm="1">
        <f t="array" ref="Q277">_xlfn.IFS(H277&gt;=16,"Excellent",H277&gt;=14,"Très bien",H277&gt;=12,"Bien",H277&gt;=10,"Passable",H277&lt;10,"Insuffisant")</f>
        <v>Excellent</v>
      </c>
    </row>
    <row r="278" spans="1:17">
      <c r="A278" t="s">
        <v>487</v>
      </c>
      <c r="B278" t="s">
        <v>381</v>
      </c>
      <c r="C278" t="s">
        <v>19</v>
      </c>
      <c r="D278" t="s">
        <v>20</v>
      </c>
      <c r="E278" s="8" t="s">
        <v>26</v>
      </c>
      <c r="F278" s="8">
        <v>12.64</v>
      </c>
      <c r="G278" s="8">
        <v>12.57</v>
      </c>
      <c r="H278" s="8">
        <v>14.08</v>
      </c>
      <c r="I278" s="8">
        <v>10.66</v>
      </c>
      <c r="J278" s="6">
        <v>0.83730000000000004</v>
      </c>
      <c r="K278" s="4">
        <v>120000</v>
      </c>
      <c r="L278" s="2">
        <v>45729</v>
      </c>
      <c r="M278" t="str">
        <f t="shared" si="16"/>
        <v>Admis</v>
      </c>
      <c r="N278" t="str">
        <f t="shared" si="17"/>
        <v>Eligible</v>
      </c>
      <c r="O278" t="str">
        <f t="shared" si="18"/>
        <v>RAS</v>
      </c>
      <c r="P278" t="str">
        <f t="shared" si="19"/>
        <v>Hors data</v>
      </c>
      <c r="Q278" t="str" cm="1">
        <f t="array" ref="Q278">_xlfn.IFS(H278&gt;=16,"Excellent",H278&gt;=14,"Très bien",H278&gt;=12,"Bien",H278&gt;=10,"Passable",H278&lt;10,"Insuffisant")</f>
        <v>Très bien</v>
      </c>
    </row>
    <row r="279" spans="1:17">
      <c r="A279" t="s">
        <v>488</v>
      </c>
      <c r="B279" t="s">
        <v>489</v>
      </c>
      <c r="C279" t="s">
        <v>24</v>
      </c>
      <c r="D279" t="s">
        <v>52</v>
      </c>
      <c r="E279" s="8" t="s">
        <v>34</v>
      </c>
      <c r="F279" s="8">
        <v>12.82</v>
      </c>
      <c r="G279" s="8">
        <v>14.25</v>
      </c>
      <c r="H279" s="8">
        <v>17.84</v>
      </c>
      <c r="I279" s="8">
        <v>15.91</v>
      </c>
      <c r="J279" s="6">
        <v>0.85229999999999995</v>
      </c>
      <c r="K279" s="4">
        <v>80000</v>
      </c>
      <c r="L279" s="2">
        <v>45995</v>
      </c>
      <c r="M279" t="str">
        <f t="shared" si="16"/>
        <v>Admis</v>
      </c>
      <c r="N279" t="str">
        <f t="shared" si="17"/>
        <v>Eligible</v>
      </c>
      <c r="O279" t="str">
        <f t="shared" si="18"/>
        <v>RAS</v>
      </c>
      <c r="P279" t="str">
        <f t="shared" si="19"/>
        <v>Hors data</v>
      </c>
      <c r="Q279" t="str" cm="1">
        <f t="array" ref="Q279">_xlfn.IFS(H279&gt;=16,"Excellent",H279&gt;=14,"Très bien",H279&gt;=12,"Bien",H279&gt;=10,"Passable",H279&lt;10,"Insuffisant")</f>
        <v>Excellent</v>
      </c>
    </row>
    <row r="280" spans="1:17">
      <c r="A280" t="s">
        <v>490</v>
      </c>
      <c r="B280" t="s">
        <v>491</v>
      </c>
      <c r="C280" t="s">
        <v>19</v>
      </c>
      <c r="D280" t="s">
        <v>52</v>
      </c>
      <c r="E280" s="8" t="s">
        <v>26</v>
      </c>
      <c r="F280" s="8">
        <v>9.1999999999999993</v>
      </c>
      <c r="G280" s="8">
        <v>12.77</v>
      </c>
      <c r="H280" s="8">
        <v>12.24</v>
      </c>
      <c r="I280" s="8">
        <v>11.36</v>
      </c>
      <c r="J280" s="6">
        <v>0.82589999999999997</v>
      </c>
      <c r="K280" s="4">
        <v>120000</v>
      </c>
      <c r="L280" s="2">
        <v>45629</v>
      </c>
      <c r="M280" t="str">
        <f t="shared" si="16"/>
        <v>Admis</v>
      </c>
      <c r="N280" t="str">
        <f t="shared" si="17"/>
        <v>Non eligible</v>
      </c>
      <c r="O280" t="str">
        <f t="shared" si="18"/>
        <v>A surveiller</v>
      </c>
      <c r="P280" t="str">
        <f t="shared" si="19"/>
        <v>Hors data</v>
      </c>
      <c r="Q280" t="str" cm="1">
        <f t="array" ref="Q280">_xlfn.IFS(H280&gt;=16,"Excellent",H280&gt;=14,"Très bien",H280&gt;=12,"Bien",H280&gt;=10,"Passable",H280&lt;10,"Insuffisant")</f>
        <v>Bien</v>
      </c>
    </row>
    <row r="281" spans="1:17">
      <c r="A281" t="s">
        <v>492</v>
      </c>
      <c r="B281" t="s">
        <v>493</v>
      </c>
      <c r="C281" t="s">
        <v>19</v>
      </c>
      <c r="D281" t="s">
        <v>33</v>
      </c>
      <c r="E281" s="8" t="s">
        <v>21</v>
      </c>
      <c r="F281" s="8">
        <v>13.05</v>
      </c>
      <c r="G281" s="8">
        <v>12.26</v>
      </c>
      <c r="H281" s="8">
        <v>12.85</v>
      </c>
      <c r="I281" s="8">
        <v>14.08</v>
      </c>
      <c r="J281" s="6">
        <v>0.88490000000000002</v>
      </c>
      <c r="K281" s="4">
        <v>130000</v>
      </c>
      <c r="L281" s="2">
        <v>45559</v>
      </c>
      <c r="M281" t="str">
        <f t="shared" si="16"/>
        <v>Admis</v>
      </c>
      <c r="N281" t="str">
        <f t="shared" si="17"/>
        <v>Eligible</v>
      </c>
      <c r="O281" t="str">
        <f t="shared" si="18"/>
        <v>RAS</v>
      </c>
      <c r="P281" t="str">
        <f t="shared" si="19"/>
        <v>Data</v>
      </c>
      <c r="Q281" t="str" cm="1">
        <f t="array" ref="Q281">_xlfn.IFS(H281&gt;=16,"Excellent",H281&gt;=14,"Très bien",H281&gt;=12,"Bien",H281&gt;=10,"Passable",H281&lt;10,"Insuffisant")</f>
        <v>Bien</v>
      </c>
    </row>
    <row r="282" spans="1:17">
      <c r="A282" t="s">
        <v>494</v>
      </c>
      <c r="B282" t="s">
        <v>495</v>
      </c>
      <c r="C282" t="s">
        <v>19</v>
      </c>
      <c r="D282" t="s">
        <v>37</v>
      </c>
      <c r="E282" s="8" t="s">
        <v>26</v>
      </c>
      <c r="F282" s="8">
        <v>6.66</v>
      </c>
      <c r="G282" s="8">
        <v>9.39</v>
      </c>
      <c r="H282" s="8">
        <v>11.92</v>
      </c>
      <c r="I282" s="8">
        <v>10.199999999999999</v>
      </c>
      <c r="J282" s="6">
        <v>0.95240000000000002</v>
      </c>
      <c r="K282" s="4">
        <v>90000</v>
      </c>
      <c r="L282" s="2">
        <v>46004</v>
      </c>
      <c r="M282" t="str">
        <f t="shared" si="16"/>
        <v>Admis</v>
      </c>
      <c r="N282" t="str">
        <f t="shared" si="17"/>
        <v>Non eligible</v>
      </c>
      <c r="O282" t="str">
        <f t="shared" si="18"/>
        <v>A surveiller</v>
      </c>
      <c r="P282" t="str">
        <f t="shared" si="19"/>
        <v>Hors data</v>
      </c>
      <c r="Q282" t="str" cm="1">
        <f t="array" ref="Q282">_xlfn.IFS(H282&gt;=16,"Excellent",H282&gt;=14,"Très bien",H282&gt;=12,"Bien",H282&gt;=10,"Passable",H282&lt;10,"Insuffisant")</f>
        <v>Passable</v>
      </c>
    </row>
    <row r="283" spans="1:17">
      <c r="A283" t="s">
        <v>496</v>
      </c>
      <c r="B283" t="s">
        <v>452</v>
      </c>
      <c r="C283" t="s">
        <v>19</v>
      </c>
      <c r="D283" t="s">
        <v>20</v>
      </c>
      <c r="E283" s="8" t="s">
        <v>34</v>
      </c>
      <c r="F283" s="8">
        <v>8.64</v>
      </c>
      <c r="G283" s="8">
        <v>12.37</v>
      </c>
      <c r="H283" s="8">
        <v>11.39</v>
      </c>
      <c r="I283" s="8">
        <v>14.55</v>
      </c>
      <c r="J283" s="6">
        <v>0.74180000000000001</v>
      </c>
      <c r="K283" s="4">
        <v>60000</v>
      </c>
      <c r="L283" s="2">
        <v>46075</v>
      </c>
      <c r="M283" t="str">
        <f t="shared" si="16"/>
        <v>Admis</v>
      </c>
      <c r="N283" t="str">
        <f t="shared" si="17"/>
        <v>Non eligible</v>
      </c>
      <c r="O283" t="str">
        <f t="shared" si="18"/>
        <v>A surveiller</v>
      </c>
      <c r="P283" t="str">
        <f t="shared" si="19"/>
        <v>Hors data</v>
      </c>
      <c r="Q283" t="str" cm="1">
        <f t="array" ref="Q283">_xlfn.IFS(H283&gt;=16,"Excellent",H283&gt;=14,"Très bien",H283&gt;=12,"Bien",H283&gt;=10,"Passable",H283&lt;10,"Insuffisant")</f>
        <v>Passable</v>
      </c>
    </row>
    <row r="284" spans="1:17">
      <c r="A284" t="s">
        <v>497</v>
      </c>
      <c r="B284" t="s">
        <v>145</v>
      </c>
      <c r="C284" t="s">
        <v>24</v>
      </c>
      <c r="D284" t="s">
        <v>25</v>
      </c>
      <c r="E284" s="8" t="s">
        <v>47</v>
      </c>
      <c r="F284" s="8">
        <v>10.32</v>
      </c>
      <c r="G284" s="8">
        <v>7.48</v>
      </c>
      <c r="H284" s="8">
        <v>9.65</v>
      </c>
      <c r="I284" s="8">
        <v>10.220000000000001</v>
      </c>
      <c r="J284" s="6">
        <v>0.95789999999999997</v>
      </c>
      <c r="K284" s="4">
        <v>90000</v>
      </c>
      <c r="L284" s="2">
        <v>46053</v>
      </c>
      <c r="M284" t="str">
        <f t="shared" si="16"/>
        <v>Non admis</v>
      </c>
      <c r="N284" t="str">
        <f t="shared" si="17"/>
        <v>Non eligible</v>
      </c>
      <c r="O284" t="str">
        <f t="shared" si="18"/>
        <v>A surveiller</v>
      </c>
      <c r="P284" t="str">
        <f t="shared" si="19"/>
        <v>Hors data</v>
      </c>
      <c r="Q284" t="str" cm="1">
        <f t="array" ref="Q284">_xlfn.IFS(H284&gt;=16,"Excellent",H284&gt;=14,"Très bien",H284&gt;=12,"Bien",H284&gt;=10,"Passable",H284&lt;10,"Insuffisant")</f>
        <v>Insuffisant</v>
      </c>
    </row>
    <row r="285" spans="1:17">
      <c r="A285" t="s">
        <v>498</v>
      </c>
      <c r="B285" t="s">
        <v>499</v>
      </c>
      <c r="C285" t="s">
        <v>19</v>
      </c>
      <c r="D285" t="s">
        <v>52</v>
      </c>
      <c r="E285" s="8" t="s">
        <v>21</v>
      </c>
      <c r="F285" s="8">
        <v>20</v>
      </c>
      <c r="G285" s="8">
        <v>13.99</v>
      </c>
      <c r="H285" s="8">
        <v>15.98</v>
      </c>
      <c r="I285" s="8">
        <v>16.27</v>
      </c>
      <c r="J285" s="6">
        <v>0.71940000000000004</v>
      </c>
      <c r="K285" s="4">
        <v>120000</v>
      </c>
      <c r="L285" s="2">
        <v>46095</v>
      </c>
      <c r="M285" t="str">
        <f t="shared" si="16"/>
        <v>Admis</v>
      </c>
      <c r="N285" t="str">
        <f t="shared" si="17"/>
        <v>Non eligible</v>
      </c>
      <c r="O285" t="str">
        <f t="shared" si="18"/>
        <v>RAS</v>
      </c>
      <c r="P285" t="str">
        <f t="shared" si="19"/>
        <v>Data</v>
      </c>
      <c r="Q285" t="str" cm="1">
        <f t="array" ref="Q285">_xlfn.IFS(H285&gt;=16,"Excellent",H285&gt;=14,"Très bien",H285&gt;=12,"Bien",H285&gt;=10,"Passable",H285&lt;10,"Insuffisant")</f>
        <v>Très bien</v>
      </c>
    </row>
    <row r="286" spans="1:17">
      <c r="A286" t="s">
        <v>500</v>
      </c>
      <c r="B286" t="s">
        <v>287</v>
      </c>
      <c r="C286" t="s">
        <v>19</v>
      </c>
      <c r="D286" t="s">
        <v>20</v>
      </c>
      <c r="E286" s="8" t="s">
        <v>26</v>
      </c>
      <c r="F286" s="8">
        <v>20</v>
      </c>
      <c r="G286" s="8">
        <v>14.51</v>
      </c>
      <c r="H286" s="8">
        <v>17.809999999999999</v>
      </c>
      <c r="I286" s="8">
        <v>16.489999999999998</v>
      </c>
      <c r="J286" s="6">
        <v>0.91659999999999997</v>
      </c>
      <c r="K286" s="4">
        <v>90000</v>
      </c>
      <c r="L286" s="2">
        <v>46097</v>
      </c>
      <c r="M286" t="str">
        <f t="shared" si="16"/>
        <v>Admis</v>
      </c>
      <c r="N286" t="str">
        <f t="shared" si="17"/>
        <v>Eligible</v>
      </c>
      <c r="O286" t="str">
        <f t="shared" si="18"/>
        <v>RAS</v>
      </c>
      <c r="P286" t="str">
        <f t="shared" si="19"/>
        <v>Hors data</v>
      </c>
      <c r="Q286" t="str" cm="1">
        <f t="array" ref="Q286">_xlfn.IFS(H286&gt;=16,"Excellent",H286&gt;=14,"Très bien",H286&gt;=12,"Bien",H286&gt;=10,"Passable",H286&lt;10,"Insuffisant")</f>
        <v>Excellent</v>
      </c>
    </row>
    <row r="287" spans="1:17">
      <c r="A287" t="s">
        <v>501</v>
      </c>
      <c r="B287" t="s">
        <v>432</v>
      </c>
      <c r="C287" t="s">
        <v>24</v>
      </c>
      <c r="D287" t="s">
        <v>37</v>
      </c>
      <c r="E287" s="8" t="s">
        <v>34</v>
      </c>
      <c r="F287" s="8">
        <v>10.7</v>
      </c>
      <c r="G287" s="8">
        <v>11.15</v>
      </c>
      <c r="H287" s="8">
        <v>7.88</v>
      </c>
      <c r="I287" s="8">
        <v>9.3800000000000008</v>
      </c>
      <c r="J287" s="6">
        <v>0.83550000000000002</v>
      </c>
      <c r="K287" s="4">
        <v>110000</v>
      </c>
      <c r="L287" s="2">
        <v>45957</v>
      </c>
      <c r="M287" t="str">
        <f t="shared" si="16"/>
        <v>Non admis</v>
      </c>
      <c r="N287" t="str">
        <f t="shared" si="17"/>
        <v>Non eligible</v>
      </c>
      <c r="O287" t="str">
        <f t="shared" si="18"/>
        <v>A surveiller</v>
      </c>
      <c r="P287" t="str">
        <f t="shared" si="19"/>
        <v>Hors data</v>
      </c>
      <c r="Q287" t="str" cm="1">
        <f t="array" ref="Q287">_xlfn.IFS(H287&gt;=16,"Excellent",H287&gt;=14,"Très bien",H287&gt;=12,"Bien",H287&gt;=10,"Passable",H287&lt;10,"Insuffisant")</f>
        <v>Insuffisant</v>
      </c>
    </row>
    <row r="288" spans="1:17">
      <c r="A288" t="s">
        <v>502</v>
      </c>
      <c r="B288" t="s">
        <v>369</v>
      </c>
      <c r="C288" t="s">
        <v>19</v>
      </c>
      <c r="D288" t="s">
        <v>20</v>
      </c>
      <c r="E288" s="8" t="s">
        <v>26</v>
      </c>
      <c r="F288" s="8">
        <v>14.36</v>
      </c>
      <c r="G288" s="8">
        <v>11.51</v>
      </c>
      <c r="H288" s="8">
        <v>17.649999999999999</v>
      </c>
      <c r="I288" s="8">
        <v>17.079999999999998</v>
      </c>
      <c r="J288" s="6">
        <v>0.67620000000000002</v>
      </c>
      <c r="K288" s="4">
        <v>85000</v>
      </c>
      <c r="L288" s="2">
        <v>45899</v>
      </c>
      <c r="M288" t="str">
        <f t="shared" si="16"/>
        <v>Admis</v>
      </c>
      <c r="N288" t="str">
        <f t="shared" si="17"/>
        <v>Non eligible</v>
      </c>
      <c r="O288" t="str">
        <f t="shared" si="18"/>
        <v>RAS</v>
      </c>
      <c r="P288" t="str">
        <f t="shared" si="19"/>
        <v>Hors data</v>
      </c>
      <c r="Q288" t="str" cm="1">
        <f t="array" ref="Q288">_xlfn.IFS(H288&gt;=16,"Excellent",H288&gt;=14,"Très bien",H288&gt;=12,"Bien",H288&gt;=10,"Passable",H288&lt;10,"Insuffisant")</f>
        <v>Excellent</v>
      </c>
    </row>
    <row r="289" spans="1:17">
      <c r="A289" t="s">
        <v>503</v>
      </c>
      <c r="B289" t="s">
        <v>54</v>
      </c>
      <c r="C289" t="s">
        <v>24</v>
      </c>
      <c r="D289" t="s">
        <v>37</v>
      </c>
      <c r="E289" s="8" t="s">
        <v>21</v>
      </c>
      <c r="F289" s="8">
        <v>13.42</v>
      </c>
      <c r="G289" s="8">
        <v>9.67</v>
      </c>
      <c r="H289" s="8">
        <v>9.9700000000000006</v>
      </c>
      <c r="I289" s="8">
        <v>13.05</v>
      </c>
      <c r="J289" s="6">
        <v>0.59109999999999996</v>
      </c>
      <c r="K289" s="4">
        <v>80000</v>
      </c>
      <c r="L289" s="2">
        <v>46135</v>
      </c>
      <c r="M289" t="str">
        <f t="shared" si="16"/>
        <v>Non admis</v>
      </c>
      <c r="N289" t="str">
        <f t="shared" si="17"/>
        <v>Non eligible</v>
      </c>
      <c r="O289" t="str">
        <f t="shared" si="18"/>
        <v>A surveiller</v>
      </c>
      <c r="P289" t="str">
        <f t="shared" si="19"/>
        <v>Data</v>
      </c>
      <c r="Q289" t="str" cm="1">
        <f t="array" ref="Q289">_xlfn.IFS(H289&gt;=16,"Excellent",H289&gt;=14,"Très bien",H289&gt;=12,"Bien",H289&gt;=10,"Passable",H289&lt;10,"Insuffisant")</f>
        <v>Insuffisant</v>
      </c>
    </row>
    <row r="290" spans="1:17">
      <c r="A290" t="s">
        <v>504</v>
      </c>
      <c r="B290" t="s">
        <v>505</v>
      </c>
      <c r="C290" t="s">
        <v>24</v>
      </c>
      <c r="D290" t="s">
        <v>52</v>
      </c>
      <c r="E290" s="8" t="s">
        <v>47</v>
      </c>
      <c r="F290" s="8">
        <v>14.21</v>
      </c>
      <c r="G290" s="8">
        <v>11.27</v>
      </c>
      <c r="H290" s="8">
        <v>14.2</v>
      </c>
      <c r="I290" s="8">
        <v>10.11</v>
      </c>
      <c r="J290" s="6">
        <v>0.91249999999999998</v>
      </c>
      <c r="K290" s="4">
        <v>130000</v>
      </c>
      <c r="L290" s="2">
        <v>45779</v>
      </c>
      <c r="M290" t="str">
        <f t="shared" si="16"/>
        <v>Admis</v>
      </c>
      <c r="N290" t="str">
        <f t="shared" si="17"/>
        <v>Eligible</v>
      </c>
      <c r="O290" t="str">
        <f t="shared" si="18"/>
        <v>RAS</v>
      </c>
      <c r="P290" t="str">
        <f t="shared" si="19"/>
        <v>Hors data</v>
      </c>
      <c r="Q290" t="str" cm="1">
        <f t="array" ref="Q290">_xlfn.IFS(H290&gt;=16,"Excellent",H290&gt;=14,"Très bien",H290&gt;=12,"Bien",H290&gt;=10,"Passable",H290&lt;10,"Insuffisant")</f>
        <v>Très bien</v>
      </c>
    </row>
    <row r="291" spans="1:17">
      <c r="A291" t="s">
        <v>506</v>
      </c>
      <c r="B291" t="s">
        <v>160</v>
      </c>
      <c r="C291" t="s">
        <v>19</v>
      </c>
      <c r="D291" t="s">
        <v>52</v>
      </c>
      <c r="E291" s="8" t="s">
        <v>21</v>
      </c>
      <c r="F291" s="8">
        <v>14.91</v>
      </c>
      <c r="G291" s="8">
        <v>13.13</v>
      </c>
      <c r="H291" s="8">
        <v>14.5</v>
      </c>
      <c r="I291" s="8">
        <v>15.66</v>
      </c>
      <c r="J291" s="6">
        <v>0.84230000000000005</v>
      </c>
      <c r="K291" s="4">
        <v>60000</v>
      </c>
      <c r="L291" s="2">
        <v>45604</v>
      </c>
      <c r="M291" t="str">
        <f t="shared" si="16"/>
        <v>Admis</v>
      </c>
      <c r="N291" t="str">
        <f t="shared" si="17"/>
        <v>Eligible</v>
      </c>
      <c r="O291" t="str">
        <f t="shared" si="18"/>
        <v>RAS</v>
      </c>
      <c r="P291" t="str">
        <f t="shared" si="19"/>
        <v>Data</v>
      </c>
      <c r="Q291" t="str" cm="1">
        <f t="array" ref="Q291">_xlfn.IFS(H291&gt;=16,"Excellent",H291&gt;=14,"Très bien",H291&gt;=12,"Bien",H291&gt;=10,"Passable",H291&lt;10,"Insuffisant")</f>
        <v>Très bien</v>
      </c>
    </row>
    <row r="292" spans="1:17">
      <c r="A292" t="s">
        <v>507</v>
      </c>
      <c r="B292" t="s">
        <v>508</v>
      </c>
      <c r="C292" t="s">
        <v>24</v>
      </c>
      <c r="D292" t="s">
        <v>40</v>
      </c>
      <c r="E292" s="8" t="s">
        <v>26</v>
      </c>
      <c r="F292" s="8">
        <v>13.47</v>
      </c>
      <c r="G292" s="8">
        <v>14.63</v>
      </c>
      <c r="H292" s="8">
        <v>12.22</v>
      </c>
      <c r="I292" s="8">
        <v>12.63</v>
      </c>
      <c r="J292" s="6">
        <v>0.83460000000000001</v>
      </c>
      <c r="K292" s="4">
        <v>80000</v>
      </c>
      <c r="L292" s="2">
        <v>46062</v>
      </c>
      <c r="M292" t="str">
        <f t="shared" si="16"/>
        <v>Admis</v>
      </c>
      <c r="N292" t="str">
        <f t="shared" si="17"/>
        <v>Eligible</v>
      </c>
      <c r="O292" t="str">
        <f t="shared" si="18"/>
        <v>RAS</v>
      </c>
      <c r="P292" t="str">
        <f t="shared" si="19"/>
        <v>Hors data</v>
      </c>
      <c r="Q292" t="str" cm="1">
        <f t="array" ref="Q292">_xlfn.IFS(H292&gt;=16,"Excellent",H292&gt;=14,"Très bien",H292&gt;=12,"Bien",H292&gt;=10,"Passable",H292&lt;10,"Insuffisant")</f>
        <v>Bien</v>
      </c>
    </row>
    <row r="293" spans="1:17">
      <c r="A293" t="s">
        <v>509</v>
      </c>
      <c r="B293" t="s">
        <v>510</v>
      </c>
      <c r="C293" t="s">
        <v>19</v>
      </c>
      <c r="D293" t="s">
        <v>52</v>
      </c>
      <c r="E293" s="8" t="s">
        <v>34</v>
      </c>
      <c r="F293" s="8">
        <v>19.03</v>
      </c>
      <c r="G293" s="8">
        <v>20</v>
      </c>
      <c r="H293" s="8">
        <v>20</v>
      </c>
      <c r="I293" s="8">
        <v>15.79</v>
      </c>
      <c r="J293" s="6">
        <v>0.88360000000000005</v>
      </c>
      <c r="K293" s="4">
        <v>60000</v>
      </c>
      <c r="L293" s="2">
        <v>45729</v>
      </c>
      <c r="M293" t="str">
        <f t="shared" si="16"/>
        <v>Admis</v>
      </c>
      <c r="N293" t="str">
        <f t="shared" si="17"/>
        <v>Eligible</v>
      </c>
      <c r="O293" t="str">
        <f t="shared" si="18"/>
        <v>RAS</v>
      </c>
      <c r="P293" t="str">
        <f t="shared" si="19"/>
        <v>Hors data</v>
      </c>
      <c r="Q293" t="str" cm="1">
        <f t="array" ref="Q293">_xlfn.IFS(H293&gt;=16,"Excellent",H293&gt;=14,"Très bien",H293&gt;=12,"Bien",H293&gt;=10,"Passable",H293&lt;10,"Insuffisant")</f>
        <v>Excellent</v>
      </c>
    </row>
    <row r="294" spans="1:17">
      <c r="A294" t="s">
        <v>511</v>
      </c>
      <c r="B294" t="s">
        <v>112</v>
      </c>
      <c r="C294" t="s">
        <v>24</v>
      </c>
      <c r="D294" t="s">
        <v>25</v>
      </c>
      <c r="E294" s="8" t="s">
        <v>47</v>
      </c>
      <c r="F294" s="8">
        <v>13.37</v>
      </c>
      <c r="G294" s="8">
        <v>11.34</v>
      </c>
      <c r="H294" s="8">
        <v>14.54</v>
      </c>
      <c r="I294" s="8">
        <v>12.44</v>
      </c>
      <c r="J294" s="6">
        <v>0.89810000000000001</v>
      </c>
      <c r="K294" s="4">
        <v>100000</v>
      </c>
      <c r="L294" s="2">
        <v>46221</v>
      </c>
      <c r="M294" t="str">
        <f t="shared" si="16"/>
        <v>Admis</v>
      </c>
      <c r="N294" t="str">
        <f t="shared" si="17"/>
        <v>Eligible</v>
      </c>
      <c r="O294" t="str">
        <f t="shared" si="18"/>
        <v>RAS</v>
      </c>
      <c r="P294" t="str">
        <f t="shared" si="19"/>
        <v>Hors data</v>
      </c>
      <c r="Q294" t="str" cm="1">
        <f t="array" ref="Q294">_xlfn.IFS(H294&gt;=16,"Excellent",H294&gt;=14,"Très bien",H294&gt;=12,"Bien",H294&gt;=10,"Passable",H294&lt;10,"Insuffisant")</f>
        <v>Très bien</v>
      </c>
    </row>
    <row r="295" spans="1:17">
      <c r="A295" t="s">
        <v>512</v>
      </c>
      <c r="B295" t="s">
        <v>513</v>
      </c>
      <c r="C295" t="s">
        <v>19</v>
      </c>
      <c r="D295" t="s">
        <v>40</v>
      </c>
      <c r="E295" s="8" t="s">
        <v>26</v>
      </c>
      <c r="F295" s="8">
        <v>16.010000000000002</v>
      </c>
      <c r="G295" s="8">
        <v>15.74</v>
      </c>
      <c r="H295" s="8">
        <v>16.96</v>
      </c>
      <c r="I295" s="8">
        <v>15.28</v>
      </c>
      <c r="J295" s="6">
        <v>0.92490000000000006</v>
      </c>
      <c r="K295" s="4">
        <v>130000</v>
      </c>
      <c r="L295" s="2">
        <v>45825</v>
      </c>
      <c r="M295" t="str">
        <f t="shared" si="16"/>
        <v>Admis</v>
      </c>
      <c r="N295" t="str">
        <f t="shared" si="17"/>
        <v>Eligible</v>
      </c>
      <c r="O295" t="str">
        <f t="shared" si="18"/>
        <v>RAS</v>
      </c>
      <c r="P295" t="str">
        <f t="shared" si="19"/>
        <v>Hors data</v>
      </c>
      <c r="Q295" t="str" cm="1">
        <f t="array" ref="Q295">_xlfn.IFS(H295&gt;=16,"Excellent",H295&gt;=14,"Très bien",H295&gt;=12,"Bien",H295&gt;=10,"Passable",H295&lt;10,"Insuffisant")</f>
        <v>Excellent</v>
      </c>
    </row>
    <row r="296" spans="1:17">
      <c r="A296" t="s">
        <v>514</v>
      </c>
      <c r="B296" t="s">
        <v>515</v>
      </c>
      <c r="C296" t="s">
        <v>24</v>
      </c>
      <c r="D296" t="s">
        <v>20</v>
      </c>
      <c r="E296" s="8" t="s">
        <v>47</v>
      </c>
      <c r="F296" s="8">
        <v>13.51</v>
      </c>
      <c r="G296" s="8">
        <v>15.36</v>
      </c>
      <c r="H296" s="8">
        <v>15.65</v>
      </c>
      <c r="I296" s="8">
        <v>11.58</v>
      </c>
      <c r="J296" s="6">
        <v>0.87549999999999994</v>
      </c>
      <c r="K296" s="4">
        <v>130000</v>
      </c>
      <c r="L296" s="2">
        <v>46132</v>
      </c>
      <c r="M296" t="str">
        <f t="shared" si="16"/>
        <v>Admis</v>
      </c>
      <c r="N296" t="str">
        <f t="shared" si="17"/>
        <v>Eligible</v>
      </c>
      <c r="O296" t="str">
        <f t="shared" si="18"/>
        <v>RAS</v>
      </c>
      <c r="P296" t="str">
        <f t="shared" si="19"/>
        <v>Hors data</v>
      </c>
      <c r="Q296" t="str" cm="1">
        <f t="array" ref="Q296">_xlfn.IFS(H296&gt;=16,"Excellent",H296&gt;=14,"Très bien",H296&gt;=12,"Bien",H296&gt;=10,"Passable",H296&lt;10,"Insuffisant")</f>
        <v>Très bien</v>
      </c>
    </row>
    <row r="297" spans="1:17">
      <c r="A297" t="s">
        <v>516</v>
      </c>
      <c r="B297" t="s">
        <v>517</v>
      </c>
      <c r="C297" t="s">
        <v>24</v>
      </c>
      <c r="D297" t="s">
        <v>37</v>
      </c>
      <c r="E297" s="8" t="s">
        <v>21</v>
      </c>
      <c r="F297" s="8">
        <v>18.760000000000002</v>
      </c>
      <c r="G297" s="8">
        <v>14.56</v>
      </c>
      <c r="H297" s="8">
        <v>15.29</v>
      </c>
      <c r="I297" s="8">
        <v>12.37</v>
      </c>
      <c r="J297" s="6">
        <v>0.94489999999999996</v>
      </c>
      <c r="K297" s="4">
        <v>70000</v>
      </c>
      <c r="L297" s="2">
        <v>45565</v>
      </c>
      <c r="M297" t="str">
        <f t="shared" si="16"/>
        <v>Admis</v>
      </c>
      <c r="N297" t="str">
        <f t="shared" si="17"/>
        <v>Eligible</v>
      </c>
      <c r="O297" t="str">
        <f t="shared" si="18"/>
        <v>RAS</v>
      </c>
      <c r="P297" t="str">
        <f t="shared" si="19"/>
        <v>Data</v>
      </c>
      <c r="Q297" t="str" cm="1">
        <f t="array" ref="Q297">_xlfn.IFS(H297&gt;=16,"Excellent",H297&gt;=14,"Très bien",H297&gt;=12,"Bien",H297&gt;=10,"Passable",H297&lt;10,"Insuffisant")</f>
        <v>Très bien</v>
      </c>
    </row>
    <row r="298" spans="1:17">
      <c r="A298" t="s">
        <v>518</v>
      </c>
      <c r="B298" t="s">
        <v>190</v>
      </c>
      <c r="C298" t="s">
        <v>24</v>
      </c>
      <c r="D298" t="s">
        <v>25</v>
      </c>
      <c r="E298" s="8" t="s">
        <v>21</v>
      </c>
      <c r="F298" s="8">
        <v>14.91</v>
      </c>
      <c r="G298" s="8">
        <v>10.93</v>
      </c>
      <c r="H298" s="8">
        <v>12.43</v>
      </c>
      <c r="I298" s="8">
        <v>8.7100000000000009</v>
      </c>
      <c r="J298" s="6">
        <v>0.71930000000000005</v>
      </c>
      <c r="K298" s="4">
        <v>110000</v>
      </c>
      <c r="L298" s="2">
        <v>45997</v>
      </c>
      <c r="M298" t="str">
        <f t="shared" si="16"/>
        <v>Admis</v>
      </c>
      <c r="N298" t="str">
        <f t="shared" si="17"/>
        <v>Non eligible</v>
      </c>
      <c r="O298" t="str">
        <f t="shared" si="18"/>
        <v>RAS</v>
      </c>
      <c r="P298" t="str">
        <f t="shared" si="19"/>
        <v>Data</v>
      </c>
      <c r="Q298" t="str" cm="1">
        <f t="array" ref="Q298">_xlfn.IFS(H298&gt;=16,"Excellent",H298&gt;=14,"Très bien",H298&gt;=12,"Bien",H298&gt;=10,"Passable",H298&lt;10,"Insuffisant")</f>
        <v>Bien</v>
      </c>
    </row>
    <row r="299" spans="1:17">
      <c r="A299" t="s">
        <v>519</v>
      </c>
      <c r="B299" t="s">
        <v>520</v>
      </c>
      <c r="C299" t="s">
        <v>19</v>
      </c>
      <c r="D299" t="s">
        <v>40</v>
      </c>
      <c r="E299" s="8" t="s">
        <v>21</v>
      </c>
      <c r="F299" s="8">
        <v>14.41</v>
      </c>
      <c r="G299" s="8">
        <v>16.39</v>
      </c>
      <c r="H299" s="8">
        <v>12.11</v>
      </c>
      <c r="I299" s="8">
        <v>12.44</v>
      </c>
      <c r="J299" s="6">
        <v>0.78539999999999999</v>
      </c>
      <c r="K299" s="4">
        <v>120000</v>
      </c>
      <c r="L299" s="2">
        <v>45849</v>
      </c>
      <c r="M299" t="str">
        <f t="shared" si="16"/>
        <v>Admis</v>
      </c>
      <c r="N299" t="str">
        <f t="shared" si="17"/>
        <v>Non eligible</v>
      </c>
      <c r="O299" t="str">
        <f t="shared" si="18"/>
        <v>RAS</v>
      </c>
      <c r="P299" t="str">
        <f t="shared" si="19"/>
        <v>Data</v>
      </c>
      <c r="Q299" t="str" cm="1">
        <f t="array" ref="Q299">_xlfn.IFS(H299&gt;=16,"Excellent",H299&gt;=14,"Très bien",H299&gt;=12,"Bien",H299&gt;=10,"Passable",H299&lt;10,"Insuffisant")</f>
        <v>Bien</v>
      </c>
    </row>
    <row r="300" spans="1:17">
      <c r="A300" t="s">
        <v>521</v>
      </c>
      <c r="B300" t="s">
        <v>459</v>
      </c>
      <c r="C300" t="s">
        <v>19</v>
      </c>
      <c r="D300" t="s">
        <v>52</v>
      </c>
      <c r="E300" s="8" t="s">
        <v>26</v>
      </c>
      <c r="F300" s="8">
        <v>16.96</v>
      </c>
      <c r="G300" s="8">
        <v>15.52</v>
      </c>
      <c r="H300" s="8">
        <v>15.37</v>
      </c>
      <c r="I300" s="8">
        <v>12.89</v>
      </c>
      <c r="J300" s="6">
        <v>0.75690000000000002</v>
      </c>
      <c r="K300" s="4">
        <v>120000</v>
      </c>
      <c r="L300" s="2">
        <v>45859</v>
      </c>
      <c r="M300" t="str">
        <f t="shared" si="16"/>
        <v>Admis</v>
      </c>
      <c r="N300" t="str">
        <f t="shared" si="17"/>
        <v>Non eligible</v>
      </c>
      <c r="O300" t="str">
        <f t="shared" si="18"/>
        <v>RAS</v>
      </c>
      <c r="P300" t="str">
        <f t="shared" si="19"/>
        <v>Hors data</v>
      </c>
      <c r="Q300" t="str" cm="1">
        <f t="array" ref="Q300">_xlfn.IFS(H300&gt;=16,"Excellent",H300&gt;=14,"Très bien",H300&gt;=12,"Bien",H300&gt;=10,"Passable",H300&lt;10,"Insuffisant")</f>
        <v>Très bien</v>
      </c>
    </row>
    <row r="301" spans="1:17">
      <c r="A301" t="s">
        <v>522</v>
      </c>
      <c r="B301" t="s">
        <v>82</v>
      </c>
      <c r="C301" t="s">
        <v>19</v>
      </c>
      <c r="D301" t="s">
        <v>40</v>
      </c>
      <c r="E301" s="8" t="s">
        <v>26</v>
      </c>
      <c r="F301" s="8">
        <v>10.31</v>
      </c>
      <c r="G301" s="8">
        <v>12.88</v>
      </c>
      <c r="H301" s="8">
        <v>9.83</v>
      </c>
      <c r="I301" s="8">
        <v>9.1300000000000008</v>
      </c>
      <c r="J301" s="6">
        <v>0.69230000000000003</v>
      </c>
      <c r="K301" s="4">
        <v>85000</v>
      </c>
      <c r="L301" s="2">
        <v>45721</v>
      </c>
      <c r="M301" t="str">
        <f t="shared" si="16"/>
        <v>Non admis</v>
      </c>
      <c r="N301" t="str">
        <f t="shared" si="17"/>
        <v>Non eligible</v>
      </c>
      <c r="O301" t="str">
        <f t="shared" si="18"/>
        <v>A surveiller</v>
      </c>
      <c r="P301" t="str">
        <f t="shared" si="19"/>
        <v>Hors data</v>
      </c>
      <c r="Q301" t="str" cm="1">
        <f t="array" ref="Q301">_xlfn.IFS(H301&gt;=16,"Excellent",H301&gt;=14,"Très bien",H301&gt;=12,"Bien",H301&gt;=10,"Passable",H301&lt;10,"Insuffisant")</f>
        <v>Insuffisant</v>
      </c>
    </row>
    <row r="302" spans="1:17">
      <c r="A302" t="s">
        <v>523</v>
      </c>
      <c r="B302" t="s">
        <v>273</v>
      </c>
      <c r="C302" t="s">
        <v>19</v>
      </c>
      <c r="D302" t="s">
        <v>40</v>
      </c>
      <c r="E302" s="8" t="s">
        <v>34</v>
      </c>
      <c r="F302" s="8">
        <v>18.920000000000002</v>
      </c>
      <c r="G302" s="8">
        <v>17.79</v>
      </c>
      <c r="H302" s="8">
        <v>18.82</v>
      </c>
      <c r="I302" s="8">
        <v>16.690000000000001</v>
      </c>
      <c r="J302" s="6">
        <v>0.97560000000000002</v>
      </c>
      <c r="K302" s="4">
        <v>60000</v>
      </c>
      <c r="L302" s="2">
        <v>46215</v>
      </c>
      <c r="M302" t="str">
        <f t="shared" si="16"/>
        <v>Admis</v>
      </c>
      <c r="N302" t="str">
        <f t="shared" si="17"/>
        <v>Eligible</v>
      </c>
      <c r="O302" t="str">
        <f t="shared" si="18"/>
        <v>RAS</v>
      </c>
      <c r="P302" t="str">
        <f t="shared" si="19"/>
        <v>Hors data</v>
      </c>
      <c r="Q302" t="str" cm="1">
        <f t="array" ref="Q302">_xlfn.IFS(H302&gt;=16,"Excellent",H302&gt;=14,"Très bien",H302&gt;=12,"Bien",H302&gt;=10,"Passable",H302&lt;10,"Insuffisant")</f>
        <v>Excellent</v>
      </c>
    </row>
    <row r="303" spans="1:17">
      <c r="A303" t="s">
        <v>524</v>
      </c>
      <c r="B303" t="s">
        <v>525</v>
      </c>
      <c r="C303" t="s">
        <v>24</v>
      </c>
      <c r="D303" t="s">
        <v>52</v>
      </c>
      <c r="E303" s="8" t="s">
        <v>26</v>
      </c>
      <c r="F303" s="8">
        <v>16.510000000000002</v>
      </c>
      <c r="G303" s="8">
        <v>11.37</v>
      </c>
      <c r="H303" s="8">
        <v>14.83</v>
      </c>
      <c r="I303" s="8">
        <v>15.08</v>
      </c>
      <c r="J303" s="6">
        <v>0.81740000000000002</v>
      </c>
      <c r="K303" s="4">
        <v>85000</v>
      </c>
      <c r="L303" s="2">
        <v>45810</v>
      </c>
      <c r="M303" t="str">
        <f t="shared" si="16"/>
        <v>Admis</v>
      </c>
      <c r="N303" t="str">
        <f t="shared" si="17"/>
        <v>Eligible</v>
      </c>
      <c r="O303" t="str">
        <f t="shared" si="18"/>
        <v>RAS</v>
      </c>
      <c r="P303" t="str">
        <f t="shared" si="19"/>
        <v>Hors data</v>
      </c>
      <c r="Q303" t="str" cm="1">
        <f t="array" ref="Q303">_xlfn.IFS(H303&gt;=16,"Excellent",H303&gt;=14,"Très bien",H303&gt;=12,"Bien",H303&gt;=10,"Passable",H303&lt;10,"Insuffisant")</f>
        <v>Très bien</v>
      </c>
    </row>
    <row r="304" spans="1:17">
      <c r="A304" t="s">
        <v>526</v>
      </c>
      <c r="B304" t="s">
        <v>527</v>
      </c>
      <c r="C304" t="s">
        <v>19</v>
      </c>
      <c r="D304" t="s">
        <v>52</v>
      </c>
      <c r="E304" s="8" t="s">
        <v>21</v>
      </c>
      <c r="F304" s="8">
        <v>20</v>
      </c>
      <c r="G304" s="8">
        <v>18.54</v>
      </c>
      <c r="H304" s="8">
        <v>15.41</v>
      </c>
      <c r="I304" s="8">
        <v>16.329999999999998</v>
      </c>
      <c r="J304" s="6">
        <v>0.7198</v>
      </c>
      <c r="K304" s="4">
        <v>110000</v>
      </c>
      <c r="L304" s="2">
        <v>46131</v>
      </c>
      <c r="M304" t="str">
        <f t="shared" si="16"/>
        <v>Admis</v>
      </c>
      <c r="N304" t="str">
        <f t="shared" si="17"/>
        <v>Non eligible</v>
      </c>
      <c r="O304" t="str">
        <f t="shared" si="18"/>
        <v>RAS</v>
      </c>
      <c r="P304" t="str">
        <f t="shared" si="19"/>
        <v>Data</v>
      </c>
      <c r="Q304" t="str" cm="1">
        <f t="array" ref="Q304">_xlfn.IFS(H304&gt;=16,"Excellent",H304&gt;=14,"Très bien",H304&gt;=12,"Bien",H304&gt;=10,"Passable",H304&lt;10,"Insuffisant")</f>
        <v>Très bien</v>
      </c>
    </row>
    <row r="305" spans="1:17">
      <c r="A305" t="s">
        <v>528</v>
      </c>
      <c r="B305" t="s">
        <v>60</v>
      </c>
      <c r="C305" t="s">
        <v>24</v>
      </c>
      <c r="D305" t="s">
        <v>25</v>
      </c>
      <c r="E305" s="8" t="s">
        <v>47</v>
      </c>
      <c r="F305" s="8">
        <v>15.18</v>
      </c>
      <c r="G305" s="8">
        <v>19.07</v>
      </c>
      <c r="H305" s="8">
        <v>19.670000000000002</v>
      </c>
      <c r="I305" s="8">
        <v>17.3</v>
      </c>
      <c r="J305" s="6">
        <v>0.7026</v>
      </c>
      <c r="K305" s="4">
        <v>90000</v>
      </c>
      <c r="L305" s="2">
        <v>45833</v>
      </c>
      <c r="M305" t="str">
        <f t="shared" si="16"/>
        <v>Admis</v>
      </c>
      <c r="N305" t="str">
        <f t="shared" si="17"/>
        <v>Non eligible</v>
      </c>
      <c r="O305" t="str">
        <f t="shared" si="18"/>
        <v>RAS</v>
      </c>
      <c r="P305" t="str">
        <f t="shared" si="19"/>
        <v>Hors data</v>
      </c>
      <c r="Q305" t="str" cm="1">
        <f t="array" ref="Q305">_xlfn.IFS(H305&gt;=16,"Excellent",H305&gt;=14,"Très bien",H305&gt;=12,"Bien",H305&gt;=10,"Passable",H305&lt;10,"Insuffisant")</f>
        <v>Excellent</v>
      </c>
    </row>
    <row r="306" spans="1:17">
      <c r="A306" t="s">
        <v>529</v>
      </c>
      <c r="B306" t="s">
        <v>124</v>
      </c>
      <c r="C306" t="s">
        <v>24</v>
      </c>
      <c r="D306" t="s">
        <v>52</v>
      </c>
      <c r="E306" s="8" t="s">
        <v>34</v>
      </c>
      <c r="F306" s="8">
        <v>16.04</v>
      </c>
      <c r="G306" s="8">
        <v>20</v>
      </c>
      <c r="H306" s="8">
        <v>17.809999999999999</v>
      </c>
      <c r="I306" s="8">
        <v>15.73</v>
      </c>
      <c r="J306" s="6">
        <v>0.84230000000000005</v>
      </c>
      <c r="K306" s="4">
        <v>80000</v>
      </c>
      <c r="L306" s="2">
        <v>45569</v>
      </c>
      <c r="M306" t="str">
        <f t="shared" si="16"/>
        <v>Admis</v>
      </c>
      <c r="N306" t="str">
        <f t="shared" si="17"/>
        <v>Eligible</v>
      </c>
      <c r="O306" t="str">
        <f t="shared" si="18"/>
        <v>RAS</v>
      </c>
      <c r="P306" t="str">
        <f t="shared" si="19"/>
        <v>Hors data</v>
      </c>
      <c r="Q306" t="str" cm="1">
        <f t="array" ref="Q306">_xlfn.IFS(H306&gt;=16,"Excellent",H306&gt;=14,"Très bien",H306&gt;=12,"Bien",H306&gt;=10,"Passable",H306&lt;10,"Insuffisant")</f>
        <v>Excellent</v>
      </c>
    </row>
    <row r="307" spans="1:17">
      <c r="A307" t="s">
        <v>530</v>
      </c>
      <c r="B307" t="s">
        <v>531</v>
      </c>
      <c r="C307" t="s">
        <v>19</v>
      </c>
      <c r="D307" t="s">
        <v>33</v>
      </c>
      <c r="E307" s="8" t="s">
        <v>21</v>
      </c>
      <c r="F307" s="8">
        <v>13.37</v>
      </c>
      <c r="G307" s="8">
        <v>13.7</v>
      </c>
      <c r="H307" s="8">
        <v>11.99</v>
      </c>
      <c r="I307" s="8">
        <v>12.6</v>
      </c>
      <c r="J307" s="6">
        <v>0.55000000000000004</v>
      </c>
      <c r="K307" s="4">
        <v>70000</v>
      </c>
      <c r="L307" s="2">
        <v>46151</v>
      </c>
      <c r="M307" t="str">
        <f t="shared" si="16"/>
        <v>Admis</v>
      </c>
      <c r="N307" t="str">
        <f t="shared" si="17"/>
        <v>Non eligible</v>
      </c>
      <c r="O307" t="str">
        <f t="shared" si="18"/>
        <v>RAS</v>
      </c>
      <c r="P307" t="str">
        <f t="shared" si="19"/>
        <v>Data</v>
      </c>
      <c r="Q307" t="str" cm="1">
        <f t="array" ref="Q307">_xlfn.IFS(H307&gt;=16,"Excellent",H307&gt;=14,"Très bien",H307&gt;=12,"Bien",H307&gt;=10,"Passable",H307&lt;10,"Insuffisant")</f>
        <v>Passable</v>
      </c>
    </row>
    <row r="308" spans="1:17">
      <c r="A308" t="s">
        <v>532</v>
      </c>
      <c r="B308" t="s">
        <v>430</v>
      </c>
      <c r="C308" t="s">
        <v>19</v>
      </c>
      <c r="D308" t="s">
        <v>52</v>
      </c>
      <c r="E308" s="8" t="s">
        <v>34</v>
      </c>
      <c r="F308" s="8">
        <v>15.42</v>
      </c>
      <c r="G308" s="8">
        <v>15.05</v>
      </c>
      <c r="H308" s="8">
        <v>14.68</v>
      </c>
      <c r="I308" s="8">
        <v>11.67</v>
      </c>
      <c r="J308" s="6">
        <v>0.79059999999999997</v>
      </c>
      <c r="K308" s="4">
        <v>100000</v>
      </c>
      <c r="L308" s="2">
        <v>45665</v>
      </c>
      <c r="M308" t="str">
        <f t="shared" si="16"/>
        <v>Admis</v>
      </c>
      <c r="N308" t="str">
        <f t="shared" si="17"/>
        <v>Non eligible</v>
      </c>
      <c r="O308" t="str">
        <f t="shared" si="18"/>
        <v>RAS</v>
      </c>
      <c r="P308" t="str">
        <f t="shared" si="19"/>
        <v>Hors data</v>
      </c>
      <c r="Q308" t="str" cm="1">
        <f t="array" ref="Q308">_xlfn.IFS(H308&gt;=16,"Excellent",H308&gt;=14,"Très bien",H308&gt;=12,"Bien",H308&gt;=10,"Passable",H308&lt;10,"Insuffisant")</f>
        <v>Très bien</v>
      </c>
    </row>
    <row r="309" spans="1:17">
      <c r="A309" t="s">
        <v>533</v>
      </c>
      <c r="B309" t="s">
        <v>534</v>
      </c>
      <c r="C309" t="s">
        <v>24</v>
      </c>
      <c r="D309" t="s">
        <v>25</v>
      </c>
      <c r="E309" s="8" t="s">
        <v>34</v>
      </c>
      <c r="F309" s="8">
        <v>16.04</v>
      </c>
      <c r="G309" s="8">
        <v>11.55</v>
      </c>
      <c r="H309" s="8">
        <v>13.92</v>
      </c>
      <c r="I309" s="8">
        <v>12.84</v>
      </c>
      <c r="J309" s="6">
        <v>0.74919999999999998</v>
      </c>
      <c r="K309" s="4">
        <v>80000</v>
      </c>
      <c r="L309" s="2">
        <v>45725</v>
      </c>
      <c r="M309" t="str">
        <f t="shared" si="16"/>
        <v>Admis</v>
      </c>
      <c r="N309" t="str">
        <f t="shared" si="17"/>
        <v>Non eligible</v>
      </c>
      <c r="O309" t="str">
        <f t="shared" si="18"/>
        <v>RAS</v>
      </c>
      <c r="P309" t="str">
        <f t="shared" si="19"/>
        <v>Hors data</v>
      </c>
      <c r="Q309" t="str" cm="1">
        <f t="array" ref="Q309">_xlfn.IFS(H309&gt;=16,"Excellent",H309&gt;=14,"Très bien",H309&gt;=12,"Bien",H309&gt;=10,"Passable",H309&lt;10,"Insuffisant")</f>
        <v>Bien</v>
      </c>
    </row>
    <row r="310" spans="1:17">
      <c r="A310" t="s">
        <v>535</v>
      </c>
      <c r="B310" t="s">
        <v>443</v>
      </c>
      <c r="C310" t="s">
        <v>19</v>
      </c>
      <c r="D310" t="s">
        <v>37</v>
      </c>
      <c r="E310" s="8" t="s">
        <v>34</v>
      </c>
      <c r="F310" s="8">
        <v>12.09</v>
      </c>
      <c r="G310" s="8">
        <v>14.77</v>
      </c>
      <c r="H310" s="8">
        <v>12.31</v>
      </c>
      <c r="I310" s="8">
        <v>11.4</v>
      </c>
      <c r="J310" s="6">
        <v>0.77869999999999995</v>
      </c>
      <c r="K310" s="4">
        <v>85000</v>
      </c>
      <c r="L310" s="2">
        <v>46138</v>
      </c>
      <c r="M310" t="str">
        <f t="shared" si="16"/>
        <v>Admis</v>
      </c>
      <c r="N310" t="str">
        <f t="shared" si="17"/>
        <v>Non eligible</v>
      </c>
      <c r="O310" t="str">
        <f t="shared" si="18"/>
        <v>RAS</v>
      </c>
      <c r="P310" t="str">
        <f t="shared" si="19"/>
        <v>Hors data</v>
      </c>
      <c r="Q310" t="str" cm="1">
        <f t="array" ref="Q310">_xlfn.IFS(H310&gt;=16,"Excellent",H310&gt;=14,"Très bien",H310&gt;=12,"Bien",H310&gt;=10,"Passable",H310&lt;10,"Insuffisant")</f>
        <v>Bien</v>
      </c>
    </row>
    <row r="311" spans="1:17">
      <c r="A311" t="s">
        <v>536</v>
      </c>
      <c r="B311" t="s">
        <v>371</v>
      </c>
      <c r="C311" t="s">
        <v>19</v>
      </c>
      <c r="D311" t="s">
        <v>52</v>
      </c>
      <c r="E311" s="8" t="s">
        <v>21</v>
      </c>
      <c r="F311" s="8">
        <v>13.81</v>
      </c>
      <c r="G311" s="8">
        <v>11.53</v>
      </c>
      <c r="H311" s="8">
        <v>11.74</v>
      </c>
      <c r="I311" s="8">
        <v>13.74</v>
      </c>
      <c r="J311" s="6">
        <v>0.64239999999999997</v>
      </c>
      <c r="K311" s="4">
        <v>130000</v>
      </c>
      <c r="L311" s="2">
        <v>46161</v>
      </c>
      <c r="M311" t="str">
        <f t="shared" si="16"/>
        <v>Admis</v>
      </c>
      <c r="N311" t="str">
        <f t="shared" si="17"/>
        <v>Non eligible</v>
      </c>
      <c r="O311" t="str">
        <f t="shared" si="18"/>
        <v>RAS</v>
      </c>
      <c r="P311" t="str">
        <f t="shared" si="19"/>
        <v>Data</v>
      </c>
      <c r="Q311" t="str" cm="1">
        <f t="array" ref="Q311">_xlfn.IFS(H311&gt;=16,"Excellent",H311&gt;=14,"Très bien",H311&gt;=12,"Bien",H311&gt;=10,"Passable",H311&lt;10,"Insuffisant")</f>
        <v>Passable</v>
      </c>
    </row>
    <row r="312" spans="1:17">
      <c r="A312" t="s">
        <v>537</v>
      </c>
      <c r="B312" t="s">
        <v>538</v>
      </c>
      <c r="C312" t="s">
        <v>24</v>
      </c>
      <c r="D312" t="s">
        <v>52</v>
      </c>
      <c r="E312" s="8" t="s">
        <v>34</v>
      </c>
      <c r="F312" s="8">
        <v>20</v>
      </c>
      <c r="G312" s="8">
        <v>20</v>
      </c>
      <c r="H312" s="8">
        <v>18.260000000000002</v>
      </c>
      <c r="I312" s="8">
        <v>17.190000000000001</v>
      </c>
      <c r="J312" s="6">
        <v>0.91190000000000004</v>
      </c>
      <c r="K312" s="4">
        <v>50000</v>
      </c>
      <c r="L312" s="2">
        <v>46177</v>
      </c>
      <c r="M312" t="str">
        <f t="shared" si="16"/>
        <v>Admis</v>
      </c>
      <c r="N312" t="str">
        <f t="shared" si="17"/>
        <v>Eligible</v>
      </c>
      <c r="O312" t="str">
        <f t="shared" si="18"/>
        <v>RAS</v>
      </c>
      <c r="P312" t="str">
        <f t="shared" si="19"/>
        <v>Hors data</v>
      </c>
      <c r="Q312" t="str" cm="1">
        <f t="array" ref="Q312">_xlfn.IFS(H312&gt;=16,"Excellent",H312&gt;=14,"Très bien",H312&gt;=12,"Bien",H312&gt;=10,"Passable",H312&lt;10,"Insuffisant")</f>
        <v>Excellent</v>
      </c>
    </row>
    <row r="313" spans="1:17">
      <c r="A313" t="s">
        <v>539</v>
      </c>
      <c r="B313" t="s">
        <v>540</v>
      </c>
      <c r="C313" t="s">
        <v>24</v>
      </c>
      <c r="D313" t="s">
        <v>37</v>
      </c>
      <c r="E313" s="8" t="s">
        <v>21</v>
      </c>
      <c r="F313" s="8">
        <v>16.07</v>
      </c>
      <c r="G313" s="8">
        <v>11.43</v>
      </c>
      <c r="H313" s="8">
        <v>16.62</v>
      </c>
      <c r="I313" s="8">
        <v>16.760000000000002</v>
      </c>
      <c r="J313" s="6">
        <v>0.8952</v>
      </c>
      <c r="K313" s="4">
        <v>70000</v>
      </c>
      <c r="L313" s="2">
        <v>45834</v>
      </c>
      <c r="M313" t="str">
        <f t="shared" si="16"/>
        <v>Admis</v>
      </c>
      <c r="N313" t="str">
        <f t="shared" si="17"/>
        <v>Eligible</v>
      </c>
      <c r="O313" t="str">
        <f t="shared" si="18"/>
        <v>RAS</v>
      </c>
      <c r="P313" t="str">
        <f t="shared" si="19"/>
        <v>Data</v>
      </c>
      <c r="Q313" t="str" cm="1">
        <f t="array" ref="Q313">_xlfn.IFS(H313&gt;=16,"Excellent",H313&gt;=14,"Très bien",H313&gt;=12,"Bien",H313&gt;=10,"Passable",H313&lt;10,"Insuffisant")</f>
        <v>Excellent</v>
      </c>
    </row>
    <row r="314" spans="1:17">
      <c r="A314" t="s">
        <v>541</v>
      </c>
      <c r="B314" t="s">
        <v>542</v>
      </c>
      <c r="C314" t="s">
        <v>19</v>
      </c>
      <c r="D314" t="s">
        <v>33</v>
      </c>
      <c r="E314" s="8" t="s">
        <v>26</v>
      </c>
      <c r="F314" s="8">
        <v>10.78</v>
      </c>
      <c r="G314" s="8">
        <v>12.1</v>
      </c>
      <c r="H314" s="8">
        <v>12.87</v>
      </c>
      <c r="I314" s="8">
        <v>10.32</v>
      </c>
      <c r="J314" s="6">
        <v>0.88970000000000005</v>
      </c>
      <c r="K314" s="4">
        <v>130000</v>
      </c>
      <c r="L314" s="2">
        <v>46065</v>
      </c>
      <c r="M314" t="str">
        <f t="shared" si="16"/>
        <v>Admis</v>
      </c>
      <c r="N314" t="str">
        <f t="shared" si="17"/>
        <v>Non eligible</v>
      </c>
      <c r="O314" t="str">
        <f t="shared" si="18"/>
        <v>RAS</v>
      </c>
      <c r="P314" t="str">
        <f t="shared" si="19"/>
        <v>Hors data</v>
      </c>
      <c r="Q314" t="str" cm="1">
        <f t="array" ref="Q314">_xlfn.IFS(H314&gt;=16,"Excellent",H314&gt;=14,"Très bien",H314&gt;=12,"Bien",H314&gt;=10,"Passable",H314&lt;10,"Insuffisant")</f>
        <v>Bien</v>
      </c>
    </row>
    <row r="315" spans="1:17">
      <c r="A315" t="s">
        <v>543</v>
      </c>
      <c r="B315" t="s">
        <v>510</v>
      </c>
      <c r="C315" t="s">
        <v>19</v>
      </c>
      <c r="D315" t="s">
        <v>52</v>
      </c>
      <c r="E315" s="8" t="s">
        <v>34</v>
      </c>
      <c r="F315" s="8">
        <v>19.940000000000001</v>
      </c>
      <c r="G315" s="8">
        <v>20</v>
      </c>
      <c r="H315" s="8">
        <v>20</v>
      </c>
      <c r="I315" s="8">
        <v>15.25</v>
      </c>
      <c r="J315" s="6">
        <v>0.78210000000000002</v>
      </c>
      <c r="K315" s="4">
        <v>130000</v>
      </c>
      <c r="L315" s="2">
        <v>45765</v>
      </c>
      <c r="M315" t="str">
        <f t="shared" si="16"/>
        <v>Admis</v>
      </c>
      <c r="N315" t="str">
        <f t="shared" si="17"/>
        <v>Non eligible</v>
      </c>
      <c r="O315" t="str">
        <f t="shared" si="18"/>
        <v>RAS</v>
      </c>
      <c r="P315" t="str">
        <f t="shared" si="19"/>
        <v>Hors data</v>
      </c>
      <c r="Q315" t="str" cm="1">
        <f t="array" ref="Q315">_xlfn.IFS(H315&gt;=16,"Excellent",H315&gt;=14,"Très bien",H315&gt;=12,"Bien",H315&gt;=10,"Passable",H315&lt;10,"Insuffisant")</f>
        <v>Excellent</v>
      </c>
    </row>
    <row r="316" spans="1:17">
      <c r="A316" t="s">
        <v>544</v>
      </c>
      <c r="B316" t="s">
        <v>245</v>
      </c>
      <c r="C316" t="s">
        <v>19</v>
      </c>
      <c r="D316" t="s">
        <v>25</v>
      </c>
      <c r="E316" s="8" t="s">
        <v>21</v>
      </c>
      <c r="F316" s="8">
        <v>10.130000000000001</v>
      </c>
      <c r="G316" s="8">
        <v>6.44</v>
      </c>
      <c r="H316" s="8">
        <v>7.28</v>
      </c>
      <c r="I316" s="8">
        <v>8.16</v>
      </c>
      <c r="J316" s="6">
        <v>0.78939999999999999</v>
      </c>
      <c r="K316" s="4">
        <v>75000</v>
      </c>
      <c r="L316" s="2">
        <v>46054</v>
      </c>
      <c r="M316" t="str">
        <f t="shared" si="16"/>
        <v>Non admis</v>
      </c>
      <c r="N316" t="str">
        <f t="shared" si="17"/>
        <v>Non eligible</v>
      </c>
      <c r="O316" t="str">
        <f t="shared" si="18"/>
        <v>A surveiller</v>
      </c>
      <c r="P316" t="str">
        <f t="shared" si="19"/>
        <v>Data</v>
      </c>
      <c r="Q316" t="str" cm="1">
        <f t="array" ref="Q316">_xlfn.IFS(H316&gt;=16,"Excellent",H316&gt;=14,"Très bien",H316&gt;=12,"Bien",H316&gt;=10,"Passable",H316&lt;10,"Insuffisant")</f>
        <v>Insuffisant</v>
      </c>
    </row>
    <row r="317" spans="1:17">
      <c r="A317" t="s">
        <v>545</v>
      </c>
      <c r="B317" t="s">
        <v>255</v>
      </c>
      <c r="C317" t="s">
        <v>24</v>
      </c>
      <c r="D317" t="s">
        <v>33</v>
      </c>
      <c r="E317" s="8" t="s">
        <v>47</v>
      </c>
      <c r="F317" s="8">
        <v>9.18</v>
      </c>
      <c r="G317" s="8">
        <v>7.74</v>
      </c>
      <c r="H317" s="8">
        <v>7.54</v>
      </c>
      <c r="I317" s="8">
        <v>10.34</v>
      </c>
      <c r="J317" s="6">
        <v>0.60060000000000002</v>
      </c>
      <c r="K317" s="4">
        <v>130000</v>
      </c>
      <c r="L317" s="2">
        <v>45887</v>
      </c>
      <c r="M317" t="str">
        <f t="shared" si="16"/>
        <v>Non admis</v>
      </c>
      <c r="N317" t="str">
        <f t="shared" si="17"/>
        <v>Non eligible</v>
      </c>
      <c r="O317" t="str">
        <f t="shared" si="18"/>
        <v>A surveiller</v>
      </c>
      <c r="P317" t="str">
        <f t="shared" si="19"/>
        <v>Hors data</v>
      </c>
      <c r="Q317" t="str" cm="1">
        <f t="array" ref="Q317">_xlfn.IFS(H317&gt;=16,"Excellent",H317&gt;=14,"Très bien",H317&gt;=12,"Bien",H317&gt;=10,"Passable",H317&lt;10,"Insuffisant")</f>
        <v>Insuffisant</v>
      </c>
    </row>
    <row r="318" spans="1:17">
      <c r="A318" t="s">
        <v>546</v>
      </c>
      <c r="B318" t="s">
        <v>422</v>
      </c>
      <c r="C318" t="s">
        <v>24</v>
      </c>
      <c r="D318" t="s">
        <v>37</v>
      </c>
      <c r="E318" s="8" t="s">
        <v>26</v>
      </c>
      <c r="F318" s="8">
        <v>16.18</v>
      </c>
      <c r="G318" s="8">
        <v>14.19</v>
      </c>
      <c r="H318" s="8">
        <v>15.55</v>
      </c>
      <c r="I318" s="8">
        <v>19.29</v>
      </c>
      <c r="J318" s="6">
        <v>0.86739999999999995</v>
      </c>
      <c r="K318" s="4">
        <v>70000</v>
      </c>
      <c r="L318" s="2">
        <v>45572</v>
      </c>
      <c r="M318" t="str">
        <f t="shared" si="16"/>
        <v>Admis</v>
      </c>
      <c r="N318" t="str">
        <f t="shared" si="17"/>
        <v>Eligible</v>
      </c>
      <c r="O318" t="str">
        <f t="shared" si="18"/>
        <v>RAS</v>
      </c>
      <c r="P318" t="str">
        <f t="shared" si="19"/>
        <v>Hors data</v>
      </c>
      <c r="Q318" t="str" cm="1">
        <f t="array" ref="Q318">_xlfn.IFS(H318&gt;=16,"Excellent",H318&gt;=14,"Très bien",H318&gt;=12,"Bien",H318&gt;=10,"Passable",H318&lt;10,"Insuffisant")</f>
        <v>Très bien</v>
      </c>
    </row>
    <row r="319" spans="1:17">
      <c r="A319" t="s">
        <v>547</v>
      </c>
      <c r="B319" t="s">
        <v>538</v>
      </c>
      <c r="C319" t="s">
        <v>24</v>
      </c>
      <c r="D319" t="s">
        <v>40</v>
      </c>
      <c r="E319" s="8" t="s">
        <v>34</v>
      </c>
      <c r="F319" s="8">
        <v>14.17</v>
      </c>
      <c r="G319" s="8">
        <v>14.81</v>
      </c>
      <c r="H319" s="8">
        <v>10.97</v>
      </c>
      <c r="I319" s="8">
        <v>13.66</v>
      </c>
      <c r="J319" s="6">
        <v>0.98650000000000004</v>
      </c>
      <c r="K319" s="4">
        <v>50000</v>
      </c>
      <c r="L319" s="2">
        <v>45828</v>
      </c>
      <c r="M319" t="str">
        <f t="shared" si="16"/>
        <v>Admis</v>
      </c>
      <c r="N319" t="str">
        <f t="shared" si="17"/>
        <v>Non eligible</v>
      </c>
      <c r="O319" t="str">
        <f t="shared" si="18"/>
        <v>RAS</v>
      </c>
      <c r="P319" t="str">
        <f t="shared" si="19"/>
        <v>Hors data</v>
      </c>
      <c r="Q319" t="str" cm="1">
        <f t="array" ref="Q319">_xlfn.IFS(H319&gt;=16,"Excellent",H319&gt;=14,"Très bien",H319&gt;=12,"Bien",H319&gt;=10,"Passable",H319&lt;10,"Insuffisant")</f>
        <v>Passable</v>
      </c>
    </row>
    <row r="320" spans="1:17">
      <c r="A320" t="s">
        <v>548</v>
      </c>
      <c r="B320" t="s">
        <v>549</v>
      </c>
      <c r="C320" t="s">
        <v>24</v>
      </c>
      <c r="D320" t="s">
        <v>33</v>
      </c>
      <c r="E320" s="8" t="s">
        <v>26</v>
      </c>
      <c r="F320" s="8">
        <v>14.03</v>
      </c>
      <c r="G320" s="8">
        <v>12.98</v>
      </c>
      <c r="H320" s="8">
        <v>12.12</v>
      </c>
      <c r="I320" s="8">
        <v>18.14</v>
      </c>
      <c r="J320" s="6">
        <v>0.87139999999999995</v>
      </c>
      <c r="K320" s="4">
        <v>75000</v>
      </c>
      <c r="L320" s="2">
        <v>45863</v>
      </c>
      <c r="M320" t="str">
        <f t="shared" si="16"/>
        <v>Admis</v>
      </c>
      <c r="N320" t="str">
        <f t="shared" si="17"/>
        <v>Eligible</v>
      </c>
      <c r="O320" t="str">
        <f t="shared" si="18"/>
        <v>RAS</v>
      </c>
      <c r="P320" t="str">
        <f t="shared" si="19"/>
        <v>Hors data</v>
      </c>
      <c r="Q320" t="str" cm="1">
        <f t="array" ref="Q320">_xlfn.IFS(H320&gt;=16,"Excellent",H320&gt;=14,"Très bien",H320&gt;=12,"Bien",H320&gt;=10,"Passable",H320&lt;10,"Insuffisant")</f>
        <v>Bien</v>
      </c>
    </row>
    <row r="321" spans="1:17">
      <c r="A321" t="s">
        <v>550</v>
      </c>
      <c r="B321" t="s">
        <v>551</v>
      </c>
      <c r="C321" t="s">
        <v>24</v>
      </c>
      <c r="D321" t="s">
        <v>25</v>
      </c>
      <c r="E321" s="8" t="s">
        <v>47</v>
      </c>
      <c r="F321" s="8">
        <v>11.2</v>
      </c>
      <c r="G321" s="8">
        <v>9.7799999999999994</v>
      </c>
      <c r="H321" s="8">
        <v>8.82</v>
      </c>
      <c r="I321" s="8">
        <v>9.0500000000000007</v>
      </c>
      <c r="J321" s="6">
        <v>0.96179999999999999</v>
      </c>
      <c r="K321" s="4">
        <v>85000</v>
      </c>
      <c r="L321" s="2">
        <v>45716</v>
      </c>
      <c r="M321" t="str">
        <f t="shared" si="16"/>
        <v>Non admis</v>
      </c>
      <c r="N321" t="str">
        <f t="shared" si="17"/>
        <v>Non eligible</v>
      </c>
      <c r="O321" t="str">
        <f t="shared" si="18"/>
        <v>A surveiller</v>
      </c>
      <c r="P321" t="str">
        <f t="shared" si="19"/>
        <v>Hors data</v>
      </c>
      <c r="Q321" t="str" cm="1">
        <f t="array" ref="Q321">_xlfn.IFS(H321&gt;=16,"Excellent",H321&gt;=14,"Très bien",H321&gt;=12,"Bien",H321&gt;=10,"Passable",H321&lt;10,"Insuffisant")</f>
        <v>Insuffisant</v>
      </c>
    </row>
    <row r="322" spans="1:17">
      <c r="A322" t="s">
        <v>552</v>
      </c>
      <c r="B322" t="s">
        <v>174</v>
      </c>
      <c r="C322" t="s">
        <v>19</v>
      </c>
      <c r="D322" t="s">
        <v>37</v>
      </c>
      <c r="E322" s="8" t="s">
        <v>47</v>
      </c>
      <c r="F322" s="8">
        <v>13.5</v>
      </c>
      <c r="G322" s="8">
        <v>15.7</v>
      </c>
      <c r="H322" s="8">
        <v>16.13</v>
      </c>
      <c r="I322" s="8">
        <v>15.75</v>
      </c>
      <c r="J322" s="6">
        <v>0.55000000000000004</v>
      </c>
      <c r="K322" s="4">
        <v>50000</v>
      </c>
      <c r="L322" s="2">
        <v>45798</v>
      </c>
      <c r="M322" t="str">
        <f t="shared" si="16"/>
        <v>Admis</v>
      </c>
      <c r="N322" t="str">
        <f t="shared" si="17"/>
        <v>Non eligible</v>
      </c>
      <c r="O322" t="str">
        <f t="shared" si="18"/>
        <v>RAS</v>
      </c>
      <c r="P322" t="str">
        <f t="shared" si="19"/>
        <v>Hors data</v>
      </c>
      <c r="Q322" t="str" cm="1">
        <f t="array" ref="Q322">_xlfn.IFS(H322&gt;=16,"Excellent",H322&gt;=14,"Très bien",H322&gt;=12,"Bien",H322&gt;=10,"Passable",H322&lt;10,"Insuffisant")</f>
        <v>Excellent</v>
      </c>
    </row>
    <row r="323" spans="1:17">
      <c r="A323" t="s">
        <v>553</v>
      </c>
      <c r="B323" t="s">
        <v>554</v>
      </c>
      <c r="C323" t="s">
        <v>19</v>
      </c>
      <c r="D323" t="s">
        <v>25</v>
      </c>
      <c r="E323" s="8" t="s">
        <v>34</v>
      </c>
      <c r="F323" s="8">
        <v>17.239999999999998</v>
      </c>
      <c r="G323" s="8">
        <v>17.97</v>
      </c>
      <c r="H323" s="8">
        <v>19.239999999999998</v>
      </c>
      <c r="I323" s="8">
        <v>16.940000000000001</v>
      </c>
      <c r="J323" s="6">
        <v>0.67400000000000004</v>
      </c>
      <c r="K323" s="4">
        <v>60000</v>
      </c>
      <c r="L323" s="2">
        <v>45887</v>
      </c>
      <c r="M323" t="str">
        <f t="shared" ref="M323:M386" si="20">IF(H323&gt;=10,"Admis","Non admis")</f>
        <v>Admis</v>
      </c>
      <c r="N323" t="str">
        <f t="shared" ref="N323:N386" si="21">IF(AND(F323&gt;=12,H323&gt;=12,J323&gt;=80%),"Eligible","Non eligible")</f>
        <v>Non eligible</v>
      </c>
      <c r="O323" t="str">
        <f t="shared" ref="O323:O386" si="22">IF(OR(F323&lt;10,H323&lt;10),"A surveiller","RAS")</f>
        <v>RAS</v>
      </c>
      <c r="P323" t="str">
        <f t="shared" ref="P323:P386" si="23">IF(NOT(E323="Data"),"Hors data","Data")</f>
        <v>Hors data</v>
      </c>
      <c r="Q323" t="str" cm="1">
        <f t="array" ref="Q323">_xlfn.IFS(H323&gt;=16,"Excellent",H323&gt;=14,"Très bien",H323&gt;=12,"Bien",H323&gt;=10,"Passable",H323&lt;10,"Insuffisant")</f>
        <v>Excellent</v>
      </c>
    </row>
    <row r="324" spans="1:17">
      <c r="A324" t="s">
        <v>555</v>
      </c>
      <c r="B324" t="s">
        <v>556</v>
      </c>
      <c r="C324" t="s">
        <v>24</v>
      </c>
      <c r="D324" t="s">
        <v>33</v>
      </c>
      <c r="E324" s="8" t="s">
        <v>21</v>
      </c>
      <c r="F324" s="8">
        <v>13.5</v>
      </c>
      <c r="G324" s="8">
        <v>17.940000000000001</v>
      </c>
      <c r="H324" s="8">
        <v>14.94</v>
      </c>
      <c r="I324" s="8">
        <v>16.63</v>
      </c>
      <c r="J324" s="6">
        <v>0.8901</v>
      </c>
      <c r="K324" s="4">
        <v>110000</v>
      </c>
      <c r="L324" s="2">
        <v>45570</v>
      </c>
      <c r="M324" t="str">
        <f t="shared" si="20"/>
        <v>Admis</v>
      </c>
      <c r="N324" t="str">
        <f t="shared" si="21"/>
        <v>Eligible</v>
      </c>
      <c r="O324" t="str">
        <f t="shared" si="22"/>
        <v>RAS</v>
      </c>
      <c r="P324" t="str">
        <f t="shared" si="23"/>
        <v>Data</v>
      </c>
      <c r="Q324" t="str" cm="1">
        <f t="array" ref="Q324">_xlfn.IFS(H324&gt;=16,"Excellent",H324&gt;=14,"Très bien",H324&gt;=12,"Bien",H324&gt;=10,"Passable",H324&lt;10,"Insuffisant")</f>
        <v>Très bien</v>
      </c>
    </row>
    <row r="325" spans="1:17">
      <c r="A325" t="s">
        <v>557</v>
      </c>
      <c r="B325" t="s">
        <v>181</v>
      </c>
      <c r="C325" t="s">
        <v>24</v>
      </c>
      <c r="D325" t="s">
        <v>40</v>
      </c>
      <c r="E325" s="8" t="s">
        <v>34</v>
      </c>
      <c r="F325" s="8">
        <v>12.32</v>
      </c>
      <c r="G325" s="8">
        <v>16.18</v>
      </c>
      <c r="H325" s="8">
        <v>16.87</v>
      </c>
      <c r="I325" s="8">
        <v>8.7200000000000006</v>
      </c>
      <c r="J325" s="6">
        <v>0.66690000000000005</v>
      </c>
      <c r="K325" s="4">
        <v>90000</v>
      </c>
      <c r="L325" s="2">
        <v>45642</v>
      </c>
      <c r="M325" t="str">
        <f t="shared" si="20"/>
        <v>Admis</v>
      </c>
      <c r="N325" t="str">
        <f t="shared" si="21"/>
        <v>Non eligible</v>
      </c>
      <c r="O325" t="str">
        <f t="shared" si="22"/>
        <v>RAS</v>
      </c>
      <c r="P325" t="str">
        <f t="shared" si="23"/>
        <v>Hors data</v>
      </c>
      <c r="Q325" t="str" cm="1">
        <f t="array" ref="Q325">_xlfn.IFS(H325&gt;=16,"Excellent",H325&gt;=14,"Très bien",H325&gt;=12,"Bien",H325&gt;=10,"Passable",H325&lt;10,"Insuffisant")</f>
        <v>Excellent</v>
      </c>
    </row>
    <row r="326" spans="1:17">
      <c r="A326" t="s">
        <v>558</v>
      </c>
      <c r="B326" t="s">
        <v>78</v>
      </c>
      <c r="C326" t="s">
        <v>24</v>
      </c>
      <c r="D326" t="s">
        <v>20</v>
      </c>
      <c r="E326" s="8" t="s">
        <v>26</v>
      </c>
      <c r="F326" s="8">
        <v>12.76</v>
      </c>
      <c r="G326" s="8">
        <v>14.99</v>
      </c>
      <c r="H326" s="8">
        <v>15.88</v>
      </c>
      <c r="I326" s="8">
        <v>9.6999999999999993</v>
      </c>
      <c r="J326" s="6">
        <v>0.92649999999999999</v>
      </c>
      <c r="K326" s="4">
        <v>90000</v>
      </c>
      <c r="L326" s="2">
        <v>46072</v>
      </c>
      <c r="M326" t="str">
        <f t="shared" si="20"/>
        <v>Admis</v>
      </c>
      <c r="N326" t="str">
        <f t="shared" si="21"/>
        <v>Eligible</v>
      </c>
      <c r="O326" t="str">
        <f t="shared" si="22"/>
        <v>RAS</v>
      </c>
      <c r="P326" t="str">
        <f t="shared" si="23"/>
        <v>Hors data</v>
      </c>
      <c r="Q326" t="str" cm="1">
        <f t="array" ref="Q326">_xlfn.IFS(H326&gt;=16,"Excellent",H326&gt;=14,"Très bien",H326&gt;=12,"Bien",H326&gt;=10,"Passable",H326&lt;10,"Insuffisant")</f>
        <v>Très bien</v>
      </c>
    </row>
    <row r="327" spans="1:17">
      <c r="A327" t="s">
        <v>559</v>
      </c>
      <c r="B327" t="s">
        <v>68</v>
      </c>
      <c r="C327" t="s">
        <v>19</v>
      </c>
      <c r="D327" t="s">
        <v>25</v>
      </c>
      <c r="E327" s="8" t="s">
        <v>26</v>
      </c>
      <c r="F327" s="8">
        <v>12.34</v>
      </c>
      <c r="G327" s="8">
        <v>13.1</v>
      </c>
      <c r="H327" s="8">
        <v>15.36</v>
      </c>
      <c r="I327" s="8">
        <v>13.32</v>
      </c>
      <c r="J327" s="6">
        <v>0.9254</v>
      </c>
      <c r="K327" s="4">
        <v>130000</v>
      </c>
      <c r="L327" s="2">
        <v>45782</v>
      </c>
      <c r="M327" t="str">
        <f t="shared" si="20"/>
        <v>Admis</v>
      </c>
      <c r="N327" t="str">
        <f t="shared" si="21"/>
        <v>Eligible</v>
      </c>
      <c r="O327" t="str">
        <f t="shared" si="22"/>
        <v>RAS</v>
      </c>
      <c r="P327" t="str">
        <f t="shared" si="23"/>
        <v>Hors data</v>
      </c>
      <c r="Q327" t="str" cm="1">
        <f t="array" ref="Q327">_xlfn.IFS(H327&gt;=16,"Excellent",H327&gt;=14,"Très bien",H327&gt;=12,"Bien",H327&gt;=10,"Passable",H327&lt;10,"Insuffisant")</f>
        <v>Très bien</v>
      </c>
    </row>
    <row r="328" spans="1:17">
      <c r="A328" t="s">
        <v>560</v>
      </c>
      <c r="B328" t="s">
        <v>561</v>
      </c>
      <c r="C328" t="s">
        <v>19</v>
      </c>
      <c r="D328" t="s">
        <v>20</v>
      </c>
      <c r="E328" s="8" t="s">
        <v>26</v>
      </c>
      <c r="F328" s="8">
        <v>8.01</v>
      </c>
      <c r="G328" s="8">
        <v>15.07</v>
      </c>
      <c r="H328" s="8">
        <v>5.86</v>
      </c>
      <c r="I328" s="8">
        <v>4.55</v>
      </c>
      <c r="J328" s="6">
        <v>0.89339999999999997</v>
      </c>
      <c r="K328" s="4">
        <v>70000</v>
      </c>
      <c r="L328" s="2">
        <v>45961</v>
      </c>
      <c r="M328" t="str">
        <f t="shared" si="20"/>
        <v>Non admis</v>
      </c>
      <c r="N328" t="str">
        <f t="shared" si="21"/>
        <v>Non eligible</v>
      </c>
      <c r="O328" t="str">
        <f t="shared" si="22"/>
        <v>A surveiller</v>
      </c>
      <c r="P328" t="str">
        <f t="shared" si="23"/>
        <v>Hors data</v>
      </c>
      <c r="Q328" t="str" cm="1">
        <f t="array" ref="Q328">_xlfn.IFS(H328&gt;=16,"Excellent",H328&gt;=14,"Très bien",H328&gt;=12,"Bien",H328&gt;=10,"Passable",H328&lt;10,"Insuffisant")</f>
        <v>Insuffisant</v>
      </c>
    </row>
    <row r="329" spans="1:17">
      <c r="A329" t="s">
        <v>562</v>
      </c>
      <c r="B329" t="s">
        <v>563</v>
      </c>
      <c r="C329" t="s">
        <v>19</v>
      </c>
      <c r="D329" t="s">
        <v>52</v>
      </c>
      <c r="E329" s="8" t="s">
        <v>26</v>
      </c>
      <c r="F329" s="8">
        <v>15.32</v>
      </c>
      <c r="G329" s="8">
        <v>16.940000000000001</v>
      </c>
      <c r="H329" s="8">
        <v>13.33</v>
      </c>
      <c r="I329" s="8">
        <v>15.06</v>
      </c>
      <c r="J329" s="6">
        <v>0.80220000000000002</v>
      </c>
      <c r="K329" s="4">
        <v>120000</v>
      </c>
      <c r="L329" s="2">
        <v>45932</v>
      </c>
      <c r="M329" t="str">
        <f t="shared" si="20"/>
        <v>Admis</v>
      </c>
      <c r="N329" t="str">
        <f t="shared" si="21"/>
        <v>Eligible</v>
      </c>
      <c r="O329" t="str">
        <f t="shared" si="22"/>
        <v>RAS</v>
      </c>
      <c r="P329" t="str">
        <f t="shared" si="23"/>
        <v>Hors data</v>
      </c>
      <c r="Q329" t="str" cm="1">
        <f t="array" ref="Q329">_xlfn.IFS(H329&gt;=16,"Excellent",H329&gt;=14,"Très bien",H329&gt;=12,"Bien",H329&gt;=10,"Passable",H329&lt;10,"Insuffisant")</f>
        <v>Bien</v>
      </c>
    </row>
    <row r="330" spans="1:17">
      <c r="A330" t="s">
        <v>564</v>
      </c>
      <c r="B330" t="s">
        <v>381</v>
      </c>
      <c r="C330" t="s">
        <v>19</v>
      </c>
      <c r="D330" t="s">
        <v>52</v>
      </c>
      <c r="E330" s="8" t="s">
        <v>34</v>
      </c>
      <c r="F330" s="8">
        <v>14.49</v>
      </c>
      <c r="G330" s="8">
        <v>16.98</v>
      </c>
      <c r="H330" s="8">
        <v>20</v>
      </c>
      <c r="I330" s="8">
        <v>17.760000000000002</v>
      </c>
      <c r="J330" s="6">
        <v>0.67269999999999996</v>
      </c>
      <c r="K330" s="4">
        <v>75000</v>
      </c>
      <c r="L330" s="2">
        <v>45921</v>
      </c>
      <c r="M330" t="str">
        <f t="shared" si="20"/>
        <v>Admis</v>
      </c>
      <c r="N330" t="str">
        <f t="shared" si="21"/>
        <v>Non eligible</v>
      </c>
      <c r="O330" t="str">
        <f t="shared" si="22"/>
        <v>RAS</v>
      </c>
      <c r="P330" t="str">
        <f t="shared" si="23"/>
        <v>Hors data</v>
      </c>
      <c r="Q330" t="str" cm="1">
        <f t="array" ref="Q330">_xlfn.IFS(H330&gt;=16,"Excellent",H330&gt;=14,"Très bien",H330&gt;=12,"Bien",H330&gt;=10,"Passable",H330&lt;10,"Insuffisant")</f>
        <v>Excellent</v>
      </c>
    </row>
    <row r="331" spans="1:17">
      <c r="A331" t="s">
        <v>565</v>
      </c>
      <c r="B331" t="s">
        <v>551</v>
      </c>
      <c r="C331" t="s">
        <v>24</v>
      </c>
      <c r="D331" t="s">
        <v>40</v>
      </c>
      <c r="E331" s="8" t="s">
        <v>34</v>
      </c>
      <c r="F331" s="8">
        <v>12.31</v>
      </c>
      <c r="G331" s="8">
        <v>7.56</v>
      </c>
      <c r="H331" s="8">
        <v>9.82</v>
      </c>
      <c r="I331" s="8">
        <v>7.89</v>
      </c>
      <c r="J331" s="6">
        <v>0.85360000000000003</v>
      </c>
      <c r="K331" s="4">
        <v>130000</v>
      </c>
      <c r="L331" s="2">
        <v>45825</v>
      </c>
      <c r="M331" t="str">
        <f t="shared" si="20"/>
        <v>Non admis</v>
      </c>
      <c r="N331" t="str">
        <f t="shared" si="21"/>
        <v>Non eligible</v>
      </c>
      <c r="O331" t="str">
        <f t="shared" si="22"/>
        <v>A surveiller</v>
      </c>
      <c r="P331" t="str">
        <f t="shared" si="23"/>
        <v>Hors data</v>
      </c>
      <c r="Q331" t="str" cm="1">
        <f t="array" ref="Q331">_xlfn.IFS(H331&gt;=16,"Excellent",H331&gt;=14,"Très bien",H331&gt;=12,"Bien",H331&gt;=10,"Passable",H331&lt;10,"Insuffisant")</f>
        <v>Insuffisant</v>
      </c>
    </row>
    <row r="332" spans="1:17">
      <c r="A332" t="s">
        <v>566</v>
      </c>
      <c r="B332" t="s">
        <v>269</v>
      </c>
      <c r="C332" t="s">
        <v>24</v>
      </c>
      <c r="D332" t="s">
        <v>25</v>
      </c>
      <c r="E332" s="8" t="s">
        <v>26</v>
      </c>
      <c r="F332" s="8">
        <v>11.06</v>
      </c>
      <c r="G332" s="8">
        <v>11.83</v>
      </c>
      <c r="H332" s="8">
        <v>11.26</v>
      </c>
      <c r="I332" s="8">
        <v>9.42</v>
      </c>
      <c r="J332" s="6">
        <v>0.78349999999999997</v>
      </c>
      <c r="K332" s="4">
        <v>110000</v>
      </c>
      <c r="L332" s="2">
        <v>45874</v>
      </c>
      <c r="M332" t="str">
        <f t="shared" si="20"/>
        <v>Admis</v>
      </c>
      <c r="N332" t="str">
        <f t="shared" si="21"/>
        <v>Non eligible</v>
      </c>
      <c r="O332" t="str">
        <f t="shared" si="22"/>
        <v>RAS</v>
      </c>
      <c r="P332" t="str">
        <f t="shared" si="23"/>
        <v>Hors data</v>
      </c>
      <c r="Q332" t="str" cm="1">
        <f t="array" ref="Q332">_xlfn.IFS(H332&gt;=16,"Excellent",H332&gt;=14,"Très bien",H332&gt;=12,"Bien",H332&gt;=10,"Passable",H332&lt;10,"Insuffisant")</f>
        <v>Passable</v>
      </c>
    </row>
    <row r="333" spans="1:17">
      <c r="A333" t="s">
        <v>567</v>
      </c>
      <c r="B333" t="s">
        <v>452</v>
      </c>
      <c r="C333" t="s">
        <v>19</v>
      </c>
      <c r="D333" t="s">
        <v>20</v>
      </c>
      <c r="E333" s="8" t="s">
        <v>47</v>
      </c>
      <c r="F333" s="8">
        <v>9.31</v>
      </c>
      <c r="G333" s="8">
        <v>13.8</v>
      </c>
      <c r="H333" s="8">
        <v>12.04</v>
      </c>
      <c r="I333" s="8">
        <v>9.1199999999999992</v>
      </c>
      <c r="J333" s="6">
        <v>0.83299999999999996</v>
      </c>
      <c r="K333" s="4">
        <v>70000</v>
      </c>
      <c r="L333" s="2">
        <v>46112</v>
      </c>
      <c r="M333" t="str">
        <f t="shared" si="20"/>
        <v>Admis</v>
      </c>
      <c r="N333" t="str">
        <f t="shared" si="21"/>
        <v>Non eligible</v>
      </c>
      <c r="O333" t="str">
        <f t="shared" si="22"/>
        <v>A surveiller</v>
      </c>
      <c r="P333" t="str">
        <f t="shared" si="23"/>
        <v>Hors data</v>
      </c>
      <c r="Q333" t="str" cm="1">
        <f t="array" ref="Q333">_xlfn.IFS(H333&gt;=16,"Excellent",H333&gt;=14,"Très bien",H333&gt;=12,"Bien",H333&gt;=10,"Passable",H333&lt;10,"Insuffisant")</f>
        <v>Bien</v>
      </c>
    </row>
    <row r="334" spans="1:17">
      <c r="A334" t="s">
        <v>568</v>
      </c>
      <c r="B334" t="s">
        <v>219</v>
      </c>
      <c r="C334" t="s">
        <v>19</v>
      </c>
      <c r="D334" t="s">
        <v>25</v>
      </c>
      <c r="E334" s="8" t="s">
        <v>34</v>
      </c>
      <c r="F334" s="8">
        <v>11.86</v>
      </c>
      <c r="G334" s="8">
        <v>14.96</v>
      </c>
      <c r="H334" s="8">
        <v>13.21</v>
      </c>
      <c r="I334" s="8">
        <v>8.57</v>
      </c>
      <c r="J334" s="6">
        <v>0.95879999999999999</v>
      </c>
      <c r="K334" s="4">
        <v>70000</v>
      </c>
      <c r="L334" s="2">
        <v>46211</v>
      </c>
      <c r="M334" t="str">
        <f t="shared" si="20"/>
        <v>Admis</v>
      </c>
      <c r="N334" t="str">
        <f t="shared" si="21"/>
        <v>Non eligible</v>
      </c>
      <c r="O334" t="str">
        <f t="shared" si="22"/>
        <v>RAS</v>
      </c>
      <c r="P334" t="str">
        <f t="shared" si="23"/>
        <v>Hors data</v>
      </c>
      <c r="Q334" t="str" cm="1">
        <f t="array" ref="Q334">_xlfn.IFS(H334&gt;=16,"Excellent",H334&gt;=14,"Très bien",H334&gt;=12,"Bien",H334&gt;=10,"Passable",H334&lt;10,"Insuffisant")</f>
        <v>Bien</v>
      </c>
    </row>
    <row r="335" spans="1:17">
      <c r="A335" t="s">
        <v>569</v>
      </c>
      <c r="B335" t="s">
        <v>110</v>
      </c>
      <c r="C335" t="s">
        <v>24</v>
      </c>
      <c r="D335" t="s">
        <v>52</v>
      </c>
      <c r="E335" s="8" t="s">
        <v>34</v>
      </c>
      <c r="F335" s="8">
        <v>9.61</v>
      </c>
      <c r="G335" s="8">
        <v>17.3</v>
      </c>
      <c r="H335" s="8">
        <v>12.59</v>
      </c>
      <c r="I335" s="8">
        <v>13.33</v>
      </c>
      <c r="J335" s="6">
        <v>0.95950000000000002</v>
      </c>
      <c r="K335" s="4">
        <v>85000</v>
      </c>
      <c r="L335" s="2">
        <v>45715</v>
      </c>
      <c r="M335" t="str">
        <f t="shared" si="20"/>
        <v>Admis</v>
      </c>
      <c r="N335" t="str">
        <f t="shared" si="21"/>
        <v>Non eligible</v>
      </c>
      <c r="O335" t="str">
        <f t="shared" si="22"/>
        <v>A surveiller</v>
      </c>
      <c r="P335" t="str">
        <f t="shared" si="23"/>
        <v>Hors data</v>
      </c>
      <c r="Q335" t="str" cm="1">
        <f t="array" ref="Q335">_xlfn.IFS(H335&gt;=16,"Excellent",H335&gt;=14,"Très bien",H335&gt;=12,"Bien",H335&gt;=10,"Passable",H335&lt;10,"Insuffisant")</f>
        <v>Bien</v>
      </c>
    </row>
    <row r="336" spans="1:17">
      <c r="A336" t="s">
        <v>570</v>
      </c>
      <c r="B336" t="s">
        <v>319</v>
      </c>
      <c r="C336" t="s">
        <v>19</v>
      </c>
      <c r="D336" t="s">
        <v>52</v>
      </c>
      <c r="E336" s="8" t="s">
        <v>26</v>
      </c>
      <c r="F336" s="8">
        <v>5.92</v>
      </c>
      <c r="G336" s="8">
        <v>9.7899999999999991</v>
      </c>
      <c r="H336" s="8">
        <v>8.35</v>
      </c>
      <c r="I336" s="8">
        <v>7.79</v>
      </c>
      <c r="J336" s="6">
        <v>0.93059999999999998</v>
      </c>
      <c r="K336" s="4">
        <v>85000</v>
      </c>
      <c r="L336" s="2">
        <v>46004</v>
      </c>
      <c r="M336" t="str">
        <f t="shared" si="20"/>
        <v>Non admis</v>
      </c>
      <c r="N336" t="str">
        <f t="shared" si="21"/>
        <v>Non eligible</v>
      </c>
      <c r="O336" t="str">
        <f t="shared" si="22"/>
        <v>A surveiller</v>
      </c>
      <c r="P336" t="str">
        <f t="shared" si="23"/>
        <v>Hors data</v>
      </c>
      <c r="Q336" t="str" cm="1">
        <f t="array" ref="Q336">_xlfn.IFS(H336&gt;=16,"Excellent",H336&gt;=14,"Très bien",H336&gt;=12,"Bien",H336&gt;=10,"Passable",H336&lt;10,"Insuffisant")</f>
        <v>Insuffisant</v>
      </c>
    </row>
    <row r="337" spans="1:17">
      <c r="A337" t="s">
        <v>571</v>
      </c>
      <c r="B337" t="s">
        <v>476</v>
      </c>
      <c r="C337" t="s">
        <v>24</v>
      </c>
      <c r="D337" t="s">
        <v>33</v>
      </c>
      <c r="E337" s="8" t="s">
        <v>21</v>
      </c>
      <c r="F337" s="8">
        <v>17.38</v>
      </c>
      <c r="G337" s="8">
        <v>12.86</v>
      </c>
      <c r="H337" s="8">
        <v>17.46</v>
      </c>
      <c r="I337" s="8">
        <v>14.45</v>
      </c>
      <c r="J337" s="6">
        <v>0.84789999999999999</v>
      </c>
      <c r="K337" s="4">
        <v>70000</v>
      </c>
      <c r="L337" s="2">
        <v>46214</v>
      </c>
      <c r="M337" t="str">
        <f t="shared" si="20"/>
        <v>Admis</v>
      </c>
      <c r="N337" t="str">
        <f t="shared" si="21"/>
        <v>Eligible</v>
      </c>
      <c r="O337" t="str">
        <f t="shared" si="22"/>
        <v>RAS</v>
      </c>
      <c r="P337" t="str">
        <f t="shared" si="23"/>
        <v>Data</v>
      </c>
      <c r="Q337" t="str" cm="1">
        <f t="array" ref="Q337">_xlfn.IFS(H337&gt;=16,"Excellent",H337&gt;=14,"Très bien",H337&gt;=12,"Bien",H337&gt;=10,"Passable",H337&lt;10,"Insuffisant")</f>
        <v>Excellent</v>
      </c>
    </row>
    <row r="338" spans="1:17">
      <c r="A338" t="s">
        <v>572</v>
      </c>
      <c r="B338" t="s">
        <v>484</v>
      </c>
      <c r="C338" t="s">
        <v>24</v>
      </c>
      <c r="D338" t="s">
        <v>33</v>
      </c>
      <c r="E338" s="8" t="s">
        <v>21</v>
      </c>
      <c r="F338" s="8">
        <v>11.79</v>
      </c>
      <c r="G338" s="8">
        <v>17.079999999999998</v>
      </c>
      <c r="H338" s="8">
        <v>13.26</v>
      </c>
      <c r="I338" s="8">
        <v>19.190000000000001</v>
      </c>
      <c r="J338" s="6">
        <v>0.8589</v>
      </c>
      <c r="K338" s="4">
        <v>70000</v>
      </c>
      <c r="L338" s="2">
        <v>45541</v>
      </c>
      <c r="M338" t="str">
        <f t="shared" si="20"/>
        <v>Admis</v>
      </c>
      <c r="N338" t="str">
        <f t="shared" si="21"/>
        <v>Non eligible</v>
      </c>
      <c r="O338" t="str">
        <f t="shared" si="22"/>
        <v>RAS</v>
      </c>
      <c r="P338" t="str">
        <f t="shared" si="23"/>
        <v>Data</v>
      </c>
      <c r="Q338" t="str" cm="1">
        <f t="array" ref="Q338">_xlfn.IFS(H338&gt;=16,"Excellent",H338&gt;=14,"Très bien",H338&gt;=12,"Bien",H338&gt;=10,"Passable",H338&lt;10,"Insuffisant")</f>
        <v>Bien</v>
      </c>
    </row>
    <row r="339" spans="1:17">
      <c r="A339" t="s">
        <v>573</v>
      </c>
      <c r="B339" t="s">
        <v>574</v>
      </c>
      <c r="C339" t="s">
        <v>19</v>
      </c>
      <c r="D339" t="s">
        <v>40</v>
      </c>
      <c r="E339" s="8" t="s">
        <v>47</v>
      </c>
      <c r="F339" s="8">
        <v>15.26</v>
      </c>
      <c r="G339" s="8">
        <v>10.47</v>
      </c>
      <c r="H339" s="8">
        <v>13.02</v>
      </c>
      <c r="I339" s="8">
        <v>11.11</v>
      </c>
      <c r="J339" s="6">
        <v>0.73309999999999997</v>
      </c>
      <c r="K339" s="4">
        <v>120000</v>
      </c>
      <c r="L339" s="2">
        <v>46085</v>
      </c>
      <c r="M339" t="str">
        <f t="shared" si="20"/>
        <v>Admis</v>
      </c>
      <c r="N339" t="str">
        <f t="shared" si="21"/>
        <v>Non eligible</v>
      </c>
      <c r="O339" t="str">
        <f t="shared" si="22"/>
        <v>RAS</v>
      </c>
      <c r="P339" t="str">
        <f t="shared" si="23"/>
        <v>Hors data</v>
      </c>
      <c r="Q339" t="str" cm="1">
        <f t="array" ref="Q339">_xlfn.IFS(H339&gt;=16,"Excellent",H339&gt;=14,"Très bien",H339&gt;=12,"Bien",H339&gt;=10,"Passable",H339&lt;10,"Insuffisant")</f>
        <v>Bien</v>
      </c>
    </row>
    <row r="340" spans="1:17">
      <c r="A340" t="s">
        <v>575</v>
      </c>
      <c r="B340" t="s">
        <v>169</v>
      </c>
      <c r="C340" t="s">
        <v>19</v>
      </c>
      <c r="D340" t="s">
        <v>25</v>
      </c>
      <c r="E340" s="8" t="s">
        <v>21</v>
      </c>
      <c r="F340" s="8">
        <v>9.8800000000000008</v>
      </c>
      <c r="G340" s="8">
        <v>3.68</v>
      </c>
      <c r="H340" s="8">
        <v>4.3</v>
      </c>
      <c r="I340" s="8">
        <v>9.52</v>
      </c>
      <c r="J340" s="6">
        <v>0.80679999999999996</v>
      </c>
      <c r="K340" s="4">
        <v>110000</v>
      </c>
      <c r="L340" s="2">
        <v>45883</v>
      </c>
      <c r="M340" t="str">
        <f t="shared" si="20"/>
        <v>Non admis</v>
      </c>
      <c r="N340" t="str">
        <f t="shared" si="21"/>
        <v>Non eligible</v>
      </c>
      <c r="O340" t="str">
        <f t="shared" si="22"/>
        <v>A surveiller</v>
      </c>
      <c r="P340" t="str">
        <f t="shared" si="23"/>
        <v>Data</v>
      </c>
      <c r="Q340" t="str" cm="1">
        <f t="array" ref="Q340">_xlfn.IFS(H340&gt;=16,"Excellent",H340&gt;=14,"Très bien",H340&gt;=12,"Bien",H340&gt;=10,"Passable",H340&lt;10,"Insuffisant")</f>
        <v>Insuffisant</v>
      </c>
    </row>
    <row r="341" spans="1:17">
      <c r="A341" t="s">
        <v>576</v>
      </c>
      <c r="B341" t="s">
        <v>577</v>
      </c>
      <c r="C341" t="s">
        <v>24</v>
      </c>
      <c r="D341" t="s">
        <v>37</v>
      </c>
      <c r="E341" s="8" t="s">
        <v>21</v>
      </c>
      <c r="F341" s="8">
        <v>9.9</v>
      </c>
      <c r="G341" s="8">
        <v>11.64</v>
      </c>
      <c r="H341" s="8">
        <v>8.75</v>
      </c>
      <c r="I341" s="8">
        <v>8.32</v>
      </c>
      <c r="J341" s="6">
        <v>0.95840000000000003</v>
      </c>
      <c r="K341" s="4">
        <v>70000</v>
      </c>
      <c r="L341" s="2">
        <v>46213</v>
      </c>
      <c r="M341" t="str">
        <f t="shared" si="20"/>
        <v>Non admis</v>
      </c>
      <c r="N341" t="str">
        <f t="shared" si="21"/>
        <v>Non eligible</v>
      </c>
      <c r="O341" t="str">
        <f t="shared" si="22"/>
        <v>A surveiller</v>
      </c>
      <c r="P341" t="str">
        <f t="shared" si="23"/>
        <v>Data</v>
      </c>
      <c r="Q341" t="str" cm="1">
        <f t="array" ref="Q341">_xlfn.IFS(H341&gt;=16,"Excellent",H341&gt;=14,"Très bien",H341&gt;=12,"Bien",H341&gt;=10,"Passable",H341&lt;10,"Insuffisant")</f>
        <v>Insuffisant</v>
      </c>
    </row>
    <row r="342" spans="1:17">
      <c r="A342" t="s">
        <v>578</v>
      </c>
      <c r="B342" t="s">
        <v>28</v>
      </c>
      <c r="C342" t="s">
        <v>24</v>
      </c>
      <c r="D342" t="s">
        <v>25</v>
      </c>
      <c r="E342" s="8" t="s">
        <v>26</v>
      </c>
      <c r="F342" s="8">
        <v>17.59</v>
      </c>
      <c r="G342" s="8">
        <v>18.5</v>
      </c>
      <c r="H342" s="8">
        <v>15.91</v>
      </c>
      <c r="I342" s="8">
        <v>17.010000000000002</v>
      </c>
      <c r="J342" s="6">
        <v>0.93799999999999994</v>
      </c>
      <c r="K342" s="4">
        <v>100000</v>
      </c>
      <c r="L342" s="2">
        <v>45940</v>
      </c>
      <c r="M342" t="str">
        <f t="shared" si="20"/>
        <v>Admis</v>
      </c>
      <c r="N342" t="str">
        <f t="shared" si="21"/>
        <v>Eligible</v>
      </c>
      <c r="O342" t="str">
        <f t="shared" si="22"/>
        <v>RAS</v>
      </c>
      <c r="P342" t="str">
        <f t="shared" si="23"/>
        <v>Hors data</v>
      </c>
      <c r="Q342" t="str" cm="1">
        <f t="array" ref="Q342">_xlfn.IFS(H342&gt;=16,"Excellent",H342&gt;=14,"Très bien",H342&gt;=12,"Bien",H342&gt;=10,"Passable",H342&lt;10,"Insuffisant")</f>
        <v>Très bien</v>
      </c>
    </row>
    <row r="343" spans="1:17">
      <c r="A343" t="s">
        <v>579</v>
      </c>
      <c r="B343" t="s">
        <v>580</v>
      </c>
      <c r="C343" t="s">
        <v>19</v>
      </c>
      <c r="D343" t="s">
        <v>20</v>
      </c>
      <c r="E343" s="8" t="s">
        <v>34</v>
      </c>
      <c r="F343" s="8">
        <v>8.18</v>
      </c>
      <c r="G343" s="8">
        <v>8.11</v>
      </c>
      <c r="H343" s="8">
        <v>6.97</v>
      </c>
      <c r="I343" s="8">
        <v>8.2200000000000006</v>
      </c>
      <c r="J343" s="6">
        <v>0.81640000000000001</v>
      </c>
      <c r="K343" s="4">
        <v>60000</v>
      </c>
      <c r="L343" s="2">
        <v>46122</v>
      </c>
      <c r="M343" t="str">
        <f t="shared" si="20"/>
        <v>Non admis</v>
      </c>
      <c r="N343" t="str">
        <f t="shared" si="21"/>
        <v>Non eligible</v>
      </c>
      <c r="O343" t="str">
        <f t="shared" si="22"/>
        <v>A surveiller</v>
      </c>
      <c r="P343" t="str">
        <f t="shared" si="23"/>
        <v>Hors data</v>
      </c>
      <c r="Q343" t="str" cm="1">
        <f t="array" ref="Q343">_xlfn.IFS(H343&gt;=16,"Excellent",H343&gt;=14,"Très bien",H343&gt;=12,"Bien",H343&gt;=10,"Passable",H343&lt;10,"Insuffisant")</f>
        <v>Insuffisant</v>
      </c>
    </row>
    <row r="344" spans="1:17">
      <c r="A344" t="s">
        <v>581</v>
      </c>
      <c r="B344" t="s">
        <v>242</v>
      </c>
      <c r="C344" t="s">
        <v>24</v>
      </c>
      <c r="D344" t="s">
        <v>25</v>
      </c>
      <c r="E344" s="8" t="s">
        <v>47</v>
      </c>
      <c r="F344" s="8">
        <v>11.5</v>
      </c>
      <c r="G344" s="8">
        <v>14.02</v>
      </c>
      <c r="H344" s="8">
        <v>12.02</v>
      </c>
      <c r="I344" s="8">
        <v>14.92</v>
      </c>
      <c r="J344" s="6">
        <v>0.67269999999999996</v>
      </c>
      <c r="K344" s="4">
        <v>80000</v>
      </c>
      <c r="L344" s="2">
        <v>45652</v>
      </c>
      <c r="M344" t="str">
        <f t="shared" si="20"/>
        <v>Admis</v>
      </c>
      <c r="N344" t="str">
        <f t="shared" si="21"/>
        <v>Non eligible</v>
      </c>
      <c r="O344" t="str">
        <f t="shared" si="22"/>
        <v>RAS</v>
      </c>
      <c r="P344" t="str">
        <f t="shared" si="23"/>
        <v>Hors data</v>
      </c>
      <c r="Q344" t="str" cm="1">
        <f t="array" ref="Q344">_xlfn.IFS(H344&gt;=16,"Excellent",H344&gt;=14,"Très bien",H344&gt;=12,"Bien",H344&gt;=10,"Passable",H344&lt;10,"Insuffisant")</f>
        <v>Bien</v>
      </c>
    </row>
    <row r="345" spans="1:17">
      <c r="A345" t="s">
        <v>582</v>
      </c>
      <c r="B345" t="s">
        <v>538</v>
      </c>
      <c r="C345" t="s">
        <v>24</v>
      </c>
      <c r="D345" t="s">
        <v>37</v>
      </c>
      <c r="E345" s="8" t="s">
        <v>34</v>
      </c>
      <c r="F345" s="8">
        <v>12.11</v>
      </c>
      <c r="G345" s="8">
        <v>11.77</v>
      </c>
      <c r="H345" s="8">
        <v>8.9700000000000006</v>
      </c>
      <c r="I345" s="8">
        <v>9.17</v>
      </c>
      <c r="J345" s="6">
        <v>0.82779999999999998</v>
      </c>
      <c r="K345" s="4">
        <v>50000</v>
      </c>
      <c r="L345" s="2">
        <v>45635</v>
      </c>
      <c r="M345" t="str">
        <f t="shared" si="20"/>
        <v>Non admis</v>
      </c>
      <c r="N345" t="str">
        <f t="shared" si="21"/>
        <v>Non eligible</v>
      </c>
      <c r="O345" t="str">
        <f t="shared" si="22"/>
        <v>A surveiller</v>
      </c>
      <c r="P345" t="str">
        <f t="shared" si="23"/>
        <v>Hors data</v>
      </c>
      <c r="Q345" t="str" cm="1">
        <f t="array" ref="Q345">_xlfn.IFS(H345&gt;=16,"Excellent",H345&gt;=14,"Très bien",H345&gt;=12,"Bien",H345&gt;=10,"Passable",H345&lt;10,"Insuffisant")</f>
        <v>Insuffisant</v>
      </c>
    </row>
    <row r="346" spans="1:17">
      <c r="A346" t="s">
        <v>583</v>
      </c>
      <c r="B346" t="s">
        <v>584</v>
      </c>
      <c r="C346" t="s">
        <v>24</v>
      </c>
      <c r="D346" t="s">
        <v>52</v>
      </c>
      <c r="E346" s="8" t="s">
        <v>21</v>
      </c>
      <c r="F346" s="8">
        <v>14.28</v>
      </c>
      <c r="G346" s="8">
        <v>13.99</v>
      </c>
      <c r="H346" s="8">
        <v>16.07</v>
      </c>
      <c r="I346" s="8">
        <v>16.87</v>
      </c>
      <c r="J346" s="6">
        <v>0.79369999999999996</v>
      </c>
      <c r="K346" s="4">
        <v>100000</v>
      </c>
      <c r="L346" s="2">
        <v>46184</v>
      </c>
      <c r="M346" t="str">
        <f t="shared" si="20"/>
        <v>Admis</v>
      </c>
      <c r="N346" t="str">
        <f t="shared" si="21"/>
        <v>Non eligible</v>
      </c>
      <c r="O346" t="str">
        <f t="shared" si="22"/>
        <v>RAS</v>
      </c>
      <c r="P346" t="str">
        <f t="shared" si="23"/>
        <v>Data</v>
      </c>
      <c r="Q346" t="str" cm="1">
        <f t="array" ref="Q346">_xlfn.IFS(H346&gt;=16,"Excellent",H346&gt;=14,"Très bien",H346&gt;=12,"Bien",H346&gt;=10,"Passable",H346&lt;10,"Insuffisant")</f>
        <v>Excellent</v>
      </c>
    </row>
    <row r="347" spans="1:17">
      <c r="A347" t="s">
        <v>585</v>
      </c>
      <c r="B347" t="s">
        <v>377</v>
      </c>
      <c r="C347" t="s">
        <v>19</v>
      </c>
      <c r="D347" t="s">
        <v>52</v>
      </c>
      <c r="E347" s="8" t="s">
        <v>21</v>
      </c>
      <c r="F347" s="8">
        <v>10.56</v>
      </c>
      <c r="G347" s="8">
        <v>11.78</v>
      </c>
      <c r="H347" s="8">
        <v>9.2899999999999991</v>
      </c>
      <c r="I347" s="8">
        <v>12.44</v>
      </c>
      <c r="J347" s="6">
        <v>0.85799999999999998</v>
      </c>
      <c r="K347" s="4">
        <v>70000</v>
      </c>
      <c r="L347" s="2">
        <v>45904</v>
      </c>
      <c r="M347" t="str">
        <f t="shared" si="20"/>
        <v>Non admis</v>
      </c>
      <c r="N347" t="str">
        <f t="shared" si="21"/>
        <v>Non eligible</v>
      </c>
      <c r="O347" t="str">
        <f t="shared" si="22"/>
        <v>A surveiller</v>
      </c>
      <c r="P347" t="str">
        <f t="shared" si="23"/>
        <v>Data</v>
      </c>
      <c r="Q347" t="str" cm="1">
        <f t="array" ref="Q347">_xlfn.IFS(H347&gt;=16,"Excellent",H347&gt;=14,"Très bien",H347&gt;=12,"Bien",H347&gt;=10,"Passable",H347&lt;10,"Insuffisant")</f>
        <v>Insuffisant</v>
      </c>
    </row>
    <row r="348" spans="1:17">
      <c r="A348" t="s">
        <v>586</v>
      </c>
      <c r="B348" t="s">
        <v>309</v>
      </c>
      <c r="C348" t="s">
        <v>24</v>
      </c>
      <c r="D348" t="s">
        <v>40</v>
      </c>
      <c r="E348" s="8" t="s">
        <v>26</v>
      </c>
      <c r="F348" s="8">
        <v>12.87</v>
      </c>
      <c r="G348" s="8">
        <v>11.72</v>
      </c>
      <c r="H348" s="8">
        <v>15.77</v>
      </c>
      <c r="I348" s="8">
        <v>13.34</v>
      </c>
      <c r="J348" s="6">
        <v>0.86880000000000002</v>
      </c>
      <c r="K348" s="4">
        <v>70000</v>
      </c>
      <c r="L348" s="2">
        <v>45926</v>
      </c>
      <c r="M348" t="str">
        <f t="shared" si="20"/>
        <v>Admis</v>
      </c>
      <c r="N348" t="str">
        <f t="shared" si="21"/>
        <v>Eligible</v>
      </c>
      <c r="O348" t="str">
        <f t="shared" si="22"/>
        <v>RAS</v>
      </c>
      <c r="P348" t="str">
        <f t="shared" si="23"/>
        <v>Hors data</v>
      </c>
      <c r="Q348" t="str" cm="1">
        <f t="array" ref="Q348">_xlfn.IFS(H348&gt;=16,"Excellent",H348&gt;=14,"Très bien",H348&gt;=12,"Bien",H348&gt;=10,"Passable",H348&lt;10,"Insuffisant")</f>
        <v>Très bien</v>
      </c>
    </row>
    <row r="349" spans="1:17">
      <c r="A349" t="s">
        <v>587</v>
      </c>
      <c r="B349" t="s">
        <v>588</v>
      </c>
      <c r="C349" t="s">
        <v>24</v>
      </c>
      <c r="D349" t="s">
        <v>52</v>
      </c>
      <c r="E349" s="8" t="s">
        <v>21</v>
      </c>
      <c r="F349" s="8">
        <v>15.84</v>
      </c>
      <c r="G349" s="8">
        <v>11.08</v>
      </c>
      <c r="H349" s="8">
        <v>17.77</v>
      </c>
      <c r="I349" s="8">
        <v>16.34</v>
      </c>
      <c r="J349" s="6">
        <v>0.80469999999999997</v>
      </c>
      <c r="K349" s="4">
        <v>70000</v>
      </c>
      <c r="L349" s="2">
        <v>45654</v>
      </c>
      <c r="M349" t="str">
        <f t="shared" si="20"/>
        <v>Admis</v>
      </c>
      <c r="N349" t="str">
        <f t="shared" si="21"/>
        <v>Eligible</v>
      </c>
      <c r="O349" t="str">
        <f t="shared" si="22"/>
        <v>RAS</v>
      </c>
      <c r="P349" t="str">
        <f t="shared" si="23"/>
        <v>Data</v>
      </c>
      <c r="Q349" t="str" cm="1">
        <f t="array" ref="Q349">_xlfn.IFS(H349&gt;=16,"Excellent",H349&gt;=14,"Très bien",H349&gt;=12,"Bien",H349&gt;=10,"Passable",H349&lt;10,"Insuffisant")</f>
        <v>Excellent</v>
      </c>
    </row>
    <row r="350" spans="1:17">
      <c r="A350" t="s">
        <v>589</v>
      </c>
      <c r="B350" t="s">
        <v>44</v>
      </c>
      <c r="C350" t="s">
        <v>19</v>
      </c>
      <c r="D350" t="s">
        <v>40</v>
      </c>
      <c r="E350" s="8" t="s">
        <v>47</v>
      </c>
      <c r="F350" s="8">
        <v>20</v>
      </c>
      <c r="G350" s="8">
        <v>20</v>
      </c>
      <c r="H350" s="8">
        <v>18.670000000000002</v>
      </c>
      <c r="I350" s="8">
        <v>20</v>
      </c>
      <c r="J350" s="6">
        <v>0.9738</v>
      </c>
      <c r="K350" s="4">
        <v>70000</v>
      </c>
      <c r="L350" s="2">
        <v>45694</v>
      </c>
      <c r="M350" t="str">
        <f t="shared" si="20"/>
        <v>Admis</v>
      </c>
      <c r="N350" t="str">
        <f t="shared" si="21"/>
        <v>Eligible</v>
      </c>
      <c r="O350" t="str">
        <f t="shared" si="22"/>
        <v>RAS</v>
      </c>
      <c r="P350" t="str">
        <f t="shared" si="23"/>
        <v>Hors data</v>
      </c>
      <c r="Q350" t="str" cm="1">
        <f t="array" ref="Q350">_xlfn.IFS(H350&gt;=16,"Excellent",H350&gt;=14,"Très bien",H350&gt;=12,"Bien",H350&gt;=10,"Passable",H350&lt;10,"Insuffisant")</f>
        <v>Excellent</v>
      </c>
    </row>
    <row r="351" spans="1:17">
      <c r="A351" t="s">
        <v>590</v>
      </c>
      <c r="B351" t="s">
        <v>201</v>
      </c>
      <c r="C351" t="s">
        <v>19</v>
      </c>
      <c r="D351" t="s">
        <v>25</v>
      </c>
      <c r="E351" s="8" t="s">
        <v>34</v>
      </c>
      <c r="F351" s="8">
        <v>12.53</v>
      </c>
      <c r="G351" s="8">
        <v>11.67</v>
      </c>
      <c r="H351" s="8">
        <v>12.69</v>
      </c>
      <c r="I351" s="8">
        <v>13.87</v>
      </c>
      <c r="J351" s="6">
        <v>0.58009999999999995</v>
      </c>
      <c r="K351" s="4">
        <v>50000</v>
      </c>
      <c r="L351" s="2">
        <v>46108</v>
      </c>
      <c r="M351" t="str">
        <f t="shared" si="20"/>
        <v>Admis</v>
      </c>
      <c r="N351" t="str">
        <f t="shared" si="21"/>
        <v>Non eligible</v>
      </c>
      <c r="O351" t="str">
        <f t="shared" si="22"/>
        <v>RAS</v>
      </c>
      <c r="P351" t="str">
        <f t="shared" si="23"/>
        <v>Hors data</v>
      </c>
      <c r="Q351" t="str" cm="1">
        <f t="array" ref="Q351">_xlfn.IFS(H351&gt;=16,"Excellent",H351&gt;=14,"Très bien",H351&gt;=12,"Bien",H351&gt;=10,"Passable",H351&lt;10,"Insuffisant")</f>
        <v>Bien</v>
      </c>
    </row>
    <row r="352" spans="1:17">
      <c r="A352" t="s">
        <v>591</v>
      </c>
      <c r="B352" t="s">
        <v>478</v>
      </c>
      <c r="C352" t="s">
        <v>24</v>
      </c>
      <c r="D352" t="s">
        <v>52</v>
      </c>
      <c r="E352" s="8" t="s">
        <v>34</v>
      </c>
      <c r="F352" s="8">
        <v>11.76</v>
      </c>
      <c r="G352" s="8">
        <v>16.87</v>
      </c>
      <c r="H352" s="8">
        <v>15.57</v>
      </c>
      <c r="I352" s="8">
        <v>15.7</v>
      </c>
      <c r="J352" s="6">
        <v>0.83930000000000005</v>
      </c>
      <c r="K352" s="4">
        <v>90000</v>
      </c>
      <c r="L352" s="2">
        <v>45748</v>
      </c>
      <c r="M352" t="str">
        <f t="shared" si="20"/>
        <v>Admis</v>
      </c>
      <c r="N352" t="str">
        <f t="shared" si="21"/>
        <v>Non eligible</v>
      </c>
      <c r="O352" t="str">
        <f t="shared" si="22"/>
        <v>RAS</v>
      </c>
      <c r="P352" t="str">
        <f t="shared" si="23"/>
        <v>Hors data</v>
      </c>
      <c r="Q352" t="str" cm="1">
        <f t="array" ref="Q352">_xlfn.IFS(H352&gt;=16,"Excellent",H352&gt;=14,"Très bien",H352&gt;=12,"Bien",H352&gt;=10,"Passable",H352&lt;10,"Insuffisant")</f>
        <v>Très bien</v>
      </c>
    </row>
    <row r="353" spans="1:17">
      <c r="A353" t="s">
        <v>592</v>
      </c>
      <c r="B353" t="s">
        <v>593</v>
      </c>
      <c r="C353" t="s">
        <v>19</v>
      </c>
      <c r="D353" t="s">
        <v>40</v>
      </c>
      <c r="E353" s="8" t="s">
        <v>26</v>
      </c>
      <c r="F353" s="8">
        <v>6.96</v>
      </c>
      <c r="G353" s="8">
        <v>12.18</v>
      </c>
      <c r="H353" s="8">
        <v>5.08</v>
      </c>
      <c r="I353" s="8">
        <v>10.72</v>
      </c>
      <c r="J353" s="6">
        <v>0.85319999999999996</v>
      </c>
      <c r="K353" s="4">
        <v>120000</v>
      </c>
      <c r="L353" s="2">
        <v>45944</v>
      </c>
      <c r="M353" t="str">
        <f t="shared" si="20"/>
        <v>Non admis</v>
      </c>
      <c r="N353" t="str">
        <f t="shared" si="21"/>
        <v>Non eligible</v>
      </c>
      <c r="O353" t="str">
        <f t="shared" si="22"/>
        <v>A surveiller</v>
      </c>
      <c r="P353" t="str">
        <f t="shared" si="23"/>
        <v>Hors data</v>
      </c>
      <c r="Q353" t="str" cm="1">
        <f t="array" ref="Q353">_xlfn.IFS(H353&gt;=16,"Excellent",H353&gt;=14,"Très bien",H353&gt;=12,"Bien",H353&gt;=10,"Passable",H353&lt;10,"Insuffisant")</f>
        <v>Insuffisant</v>
      </c>
    </row>
    <row r="354" spans="1:17">
      <c r="A354" t="s">
        <v>594</v>
      </c>
      <c r="B354" t="s">
        <v>64</v>
      </c>
      <c r="C354" t="s">
        <v>19</v>
      </c>
      <c r="D354" t="s">
        <v>52</v>
      </c>
      <c r="E354" s="8" t="s">
        <v>47</v>
      </c>
      <c r="F354" s="8">
        <v>17.7</v>
      </c>
      <c r="G354" s="8">
        <v>15.87</v>
      </c>
      <c r="H354" s="8">
        <v>18.21</v>
      </c>
      <c r="I354" s="8">
        <v>13.52</v>
      </c>
      <c r="J354" s="6">
        <v>0.84409999999999996</v>
      </c>
      <c r="K354" s="4">
        <v>75000</v>
      </c>
      <c r="L354" s="2">
        <v>45757</v>
      </c>
      <c r="M354" t="str">
        <f t="shared" si="20"/>
        <v>Admis</v>
      </c>
      <c r="N354" t="str">
        <f t="shared" si="21"/>
        <v>Eligible</v>
      </c>
      <c r="O354" t="str">
        <f t="shared" si="22"/>
        <v>RAS</v>
      </c>
      <c r="P354" t="str">
        <f t="shared" si="23"/>
        <v>Hors data</v>
      </c>
      <c r="Q354" t="str" cm="1">
        <f t="array" ref="Q354">_xlfn.IFS(H354&gt;=16,"Excellent",H354&gt;=14,"Très bien",H354&gt;=12,"Bien",H354&gt;=10,"Passable",H354&lt;10,"Insuffisant")</f>
        <v>Excellent</v>
      </c>
    </row>
    <row r="355" spans="1:17">
      <c r="A355" t="s">
        <v>595</v>
      </c>
      <c r="B355" t="s">
        <v>377</v>
      </c>
      <c r="C355" t="s">
        <v>19</v>
      </c>
      <c r="D355" t="s">
        <v>52</v>
      </c>
      <c r="E355" s="8" t="s">
        <v>47</v>
      </c>
      <c r="F355" s="8">
        <v>15.43</v>
      </c>
      <c r="G355" s="8">
        <v>13.07</v>
      </c>
      <c r="H355" s="8">
        <v>18.39</v>
      </c>
      <c r="I355" s="8">
        <v>12.28</v>
      </c>
      <c r="J355" s="6">
        <v>0.83609999999999995</v>
      </c>
      <c r="K355" s="4">
        <v>110000</v>
      </c>
      <c r="L355" s="2">
        <v>45720</v>
      </c>
      <c r="M355" t="str">
        <f t="shared" si="20"/>
        <v>Admis</v>
      </c>
      <c r="N355" t="str">
        <f t="shared" si="21"/>
        <v>Eligible</v>
      </c>
      <c r="O355" t="str">
        <f t="shared" si="22"/>
        <v>RAS</v>
      </c>
      <c r="P355" t="str">
        <f t="shared" si="23"/>
        <v>Hors data</v>
      </c>
      <c r="Q355" t="str" cm="1">
        <f t="array" ref="Q355">_xlfn.IFS(H355&gt;=16,"Excellent",H355&gt;=14,"Très bien",H355&gt;=12,"Bien",H355&gt;=10,"Passable",H355&lt;10,"Insuffisant")</f>
        <v>Excellent</v>
      </c>
    </row>
    <row r="356" spans="1:17">
      <c r="A356" t="s">
        <v>596</v>
      </c>
      <c r="B356" t="s">
        <v>255</v>
      </c>
      <c r="C356" t="s">
        <v>24</v>
      </c>
      <c r="D356" t="s">
        <v>33</v>
      </c>
      <c r="E356" s="8" t="s">
        <v>34</v>
      </c>
      <c r="F356" s="8">
        <v>12.8</v>
      </c>
      <c r="G356" s="8">
        <v>10.88</v>
      </c>
      <c r="H356" s="8">
        <v>11.86</v>
      </c>
      <c r="I356" s="8">
        <v>9.59</v>
      </c>
      <c r="J356" s="6">
        <v>0.82279999999999998</v>
      </c>
      <c r="K356" s="4">
        <v>85000</v>
      </c>
      <c r="L356" s="2">
        <v>45652</v>
      </c>
      <c r="M356" t="str">
        <f t="shared" si="20"/>
        <v>Admis</v>
      </c>
      <c r="N356" t="str">
        <f t="shared" si="21"/>
        <v>Non eligible</v>
      </c>
      <c r="O356" t="str">
        <f t="shared" si="22"/>
        <v>RAS</v>
      </c>
      <c r="P356" t="str">
        <f t="shared" si="23"/>
        <v>Hors data</v>
      </c>
      <c r="Q356" t="str" cm="1">
        <f t="array" ref="Q356">_xlfn.IFS(H356&gt;=16,"Excellent",H356&gt;=14,"Très bien",H356&gt;=12,"Bien",H356&gt;=10,"Passable",H356&lt;10,"Insuffisant")</f>
        <v>Passable</v>
      </c>
    </row>
    <row r="357" spans="1:17">
      <c r="A357" t="s">
        <v>597</v>
      </c>
      <c r="B357" t="s">
        <v>112</v>
      </c>
      <c r="C357" t="s">
        <v>24</v>
      </c>
      <c r="D357" t="s">
        <v>37</v>
      </c>
      <c r="E357" s="8" t="s">
        <v>34</v>
      </c>
      <c r="F357" s="8">
        <v>12.59</v>
      </c>
      <c r="G357" s="8">
        <v>9.7799999999999994</v>
      </c>
      <c r="H357" s="8">
        <v>13.38</v>
      </c>
      <c r="I357" s="8">
        <v>12.04</v>
      </c>
      <c r="J357" s="6">
        <v>0.90110000000000001</v>
      </c>
      <c r="K357" s="4">
        <v>70000</v>
      </c>
      <c r="L357" s="2">
        <v>46186</v>
      </c>
      <c r="M357" t="str">
        <f t="shared" si="20"/>
        <v>Admis</v>
      </c>
      <c r="N357" t="str">
        <f t="shared" si="21"/>
        <v>Eligible</v>
      </c>
      <c r="O357" t="str">
        <f t="shared" si="22"/>
        <v>RAS</v>
      </c>
      <c r="P357" t="str">
        <f t="shared" si="23"/>
        <v>Hors data</v>
      </c>
      <c r="Q357" t="str" cm="1">
        <f t="array" ref="Q357">_xlfn.IFS(H357&gt;=16,"Excellent",H357&gt;=14,"Très bien",H357&gt;=12,"Bien",H357&gt;=10,"Passable",H357&lt;10,"Insuffisant")</f>
        <v>Bien</v>
      </c>
    </row>
    <row r="358" spans="1:17">
      <c r="A358" t="s">
        <v>598</v>
      </c>
      <c r="B358" t="s">
        <v>599</v>
      </c>
      <c r="C358" t="s">
        <v>19</v>
      </c>
      <c r="D358" t="s">
        <v>37</v>
      </c>
      <c r="E358" s="8" t="s">
        <v>47</v>
      </c>
      <c r="F358" s="8">
        <v>10.81</v>
      </c>
      <c r="G358" s="8">
        <v>9.8000000000000007</v>
      </c>
      <c r="H358" s="8">
        <v>10.96</v>
      </c>
      <c r="I358" s="8">
        <v>13.78</v>
      </c>
      <c r="J358" s="6">
        <v>0.84319999999999995</v>
      </c>
      <c r="K358" s="4">
        <v>50000</v>
      </c>
      <c r="L358" s="2">
        <v>46194</v>
      </c>
      <c r="M358" t="str">
        <f t="shared" si="20"/>
        <v>Admis</v>
      </c>
      <c r="N358" t="str">
        <f t="shared" si="21"/>
        <v>Non eligible</v>
      </c>
      <c r="O358" t="str">
        <f t="shared" si="22"/>
        <v>RAS</v>
      </c>
      <c r="P358" t="str">
        <f t="shared" si="23"/>
        <v>Hors data</v>
      </c>
      <c r="Q358" t="str" cm="1">
        <f t="array" ref="Q358">_xlfn.IFS(H358&gt;=16,"Excellent",H358&gt;=14,"Très bien",H358&gt;=12,"Bien",H358&gt;=10,"Passable",H358&lt;10,"Insuffisant")</f>
        <v>Passable</v>
      </c>
    </row>
    <row r="359" spans="1:17">
      <c r="A359" t="s">
        <v>600</v>
      </c>
      <c r="B359" t="s">
        <v>118</v>
      </c>
      <c r="C359" t="s">
        <v>24</v>
      </c>
      <c r="D359" t="s">
        <v>37</v>
      </c>
      <c r="E359" s="8" t="s">
        <v>21</v>
      </c>
      <c r="F359" s="8">
        <v>13.61</v>
      </c>
      <c r="G359" s="8">
        <v>13.5</v>
      </c>
      <c r="H359" s="8">
        <v>17.96</v>
      </c>
      <c r="I359" s="8">
        <v>13.48</v>
      </c>
      <c r="J359" s="6">
        <v>0.94010000000000005</v>
      </c>
      <c r="K359" s="4">
        <v>110000</v>
      </c>
      <c r="L359" s="2">
        <v>45616</v>
      </c>
      <c r="M359" t="str">
        <f t="shared" si="20"/>
        <v>Admis</v>
      </c>
      <c r="N359" t="str">
        <f t="shared" si="21"/>
        <v>Eligible</v>
      </c>
      <c r="O359" t="str">
        <f t="shared" si="22"/>
        <v>RAS</v>
      </c>
      <c r="P359" t="str">
        <f t="shared" si="23"/>
        <v>Data</v>
      </c>
      <c r="Q359" t="str" cm="1">
        <f t="array" ref="Q359">_xlfn.IFS(H359&gt;=16,"Excellent",H359&gt;=14,"Très bien",H359&gt;=12,"Bien",H359&gt;=10,"Passable",H359&lt;10,"Insuffisant")</f>
        <v>Excellent</v>
      </c>
    </row>
    <row r="360" spans="1:17">
      <c r="A360" t="s">
        <v>601</v>
      </c>
      <c r="B360" t="s">
        <v>339</v>
      </c>
      <c r="C360" t="s">
        <v>19</v>
      </c>
      <c r="D360" t="s">
        <v>33</v>
      </c>
      <c r="E360" s="8" t="s">
        <v>21</v>
      </c>
      <c r="F360" s="8">
        <v>15.38</v>
      </c>
      <c r="G360" s="8">
        <v>15.64</v>
      </c>
      <c r="H360" s="8">
        <v>18.55</v>
      </c>
      <c r="I360" s="8">
        <v>14.48</v>
      </c>
      <c r="J360" s="6">
        <v>0.87829999999999997</v>
      </c>
      <c r="K360" s="4">
        <v>50000</v>
      </c>
      <c r="L360" s="2">
        <v>45783</v>
      </c>
      <c r="M360" t="str">
        <f t="shared" si="20"/>
        <v>Admis</v>
      </c>
      <c r="N360" t="str">
        <f t="shared" si="21"/>
        <v>Eligible</v>
      </c>
      <c r="O360" t="str">
        <f t="shared" si="22"/>
        <v>RAS</v>
      </c>
      <c r="P360" t="str">
        <f t="shared" si="23"/>
        <v>Data</v>
      </c>
      <c r="Q360" t="str" cm="1">
        <f t="array" ref="Q360">_xlfn.IFS(H360&gt;=16,"Excellent",H360&gt;=14,"Très bien",H360&gt;=12,"Bien",H360&gt;=10,"Passable",H360&lt;10,"Insuffisant")</f>
        <v>Excellent</v>
      </c>
    </row>
    <row r="361" spans="1:17">
      <c r="A361" t="s">
        <v>602</v>
      </c>
      <c r="B361" t="s">
        <v>145</v>
      </c>
      <c r="C361" t="s">
        <v>24</v>
      </c>
      <c r="D361" t="s">
        <v>52</v>
      </c>
      <c r="E361" s="8" t="s">
        <v>47</v>
      </c>
      <c r="F361" s="8">
        <v>12.21</v>
      </c>
      <c r="G361" s="8">
        <v>19.07</v>
      </c>
      <c r="H361" s="8">
        <v>9.7799999999999994</v>
      </c>
      <c r="I361" s="8">
        <v>16.760000000000002</v>
      </c>
      <c r="J361" s="6">
        <v>0.9587</v>
      </c>
      <c r="K361" s="4">
        <v>80000</v>
      </c>
      <c r="L361" s="2">
        <v>45930</v>
      </c>
      <c r="M361" t="str">
        <f t="shared" si="20"/>
        <v>Non admis</v>
      </c>
      <c r="N361" t="str">
        <f t="shared" si="21"/>
        <v>Non eligible</v>
      </c>
      <c r="O361" t="str">
        <f t="shared" si="22"/>
        <v>A surveiller</v>
      </c>
      <c r="P361" t="str">
        <f t="shared" si="23"/>
        <v>Hors data</v>
      </c>
      <c r="Q361" t="str" cm="1">
        <f t="array" ref="Q361">_xlfn.IFS(H361&gt;=16,"Excellent",H361&gt;=14,"Très bien",H361&gt;=12,"Bien",H361&gt;=10,"Passable",H361&lt;10,"Insuffisant")</f>
        <v>Insuffisant</v>
      </c>
    </row>
    <row r="362" spans="1:17">
      <c r="A362" t="s">
        <v>603</v>
      </c>
      <c r="B362" t="s">
        <v>232</v>
      </c>
      <c r="C362" t="s">
        <v>24</v>
      </c>
      <c r="D362" t="s">
        <v>37</v>
      </c>
      <c r="E362" s="8" t="s">
        <v>47</v>
      </c>
      <c r="F362" s="8">
        <v>12.15</v>
      </c>
      <c r="G362" s="8">
        <v>6.09</v>
      </c>
      <c r="H362" s="8">
        <v>10.49</v>
      </c>
      <c r="I362" s="8">
        <v>6.87</v>
      </c>
      <c r="J362" s="6">
        <v>0.76790000000000003</v>
      </c>
      <c r="K362" s="4">
        <v>50000</v>
      </c>
      <c r="L362" s="2">
        <v>45804</v>
      </c>
      <c r="M362" t="str">
        <f t="shared" si="20"/>
        <v>Admis</v>
      </c>
      <c r="N362" t="str">
        <f t="shared" si="21"/>
        <v>Non eligible</v>
      </c>
      <c r="O362" t="str">
        <f t="shared" si="22"/>
        <v>RAS</v>
      </c>
      <c r="P362" t="str">
        <f t="shared" si="23"/>
        <v>Hors data</v>
      </c>
      <c r="Q362" t="str" cm="1">
        <f t="array" ref="Q362">_xlfn.IFS(H362&gt;=16,"Excellent",H362&gt;=14,"Très bien",H362&gt;=12,"Bien",H362&gt;=10,"Passable",H362&lt;10,"Insuffisant")</f>
        <v>Passable</v>
      </c>
    </row>
    <row r="363" spans="1:17">
      <c r="A363" t="s">
        <v>604</v>
      </c>
      <c r="B363" t="s">
        <v>80</v>
      </c>
      <c r="C363" t="s">
        <v>24</v>
      </c>
      <c r="D363" t="s">
        <v>33</v>
      </c>
      <c r="E363" s="8" t="s">
        <v>21</v>
      </c>
      <c r="F363" s="8">
        <v>7.57</v>
      </c>
      <c r="G363" s="8">
        <v>14.4</v>
      </c>
      <c r="H363" s="8">
        <v>19.010000000000002</v>
      </c>
      <c r="I363" s="8">
        <v>12.07</v>
      </c>
      <c r="J363" s="6">
        <v>0.80830000000000002</v>
      </c>
      <c r="K363" s="4">
        <v>110000</v>
      </c>
      <c r="L363" s="2">
        <v>46040</v>
      </c>
      <c r="M363" t="str">
        <f t="shared" si="20"/>
        <v>Admis</v>
      </c>
      <c r="N363" t="str">
        <f t="shared" si="21"/>
        <v>Non eligible</v>
      </c>
      <c r="O363" t="str">
        <f t="shared" si="22"/>
        <v>A surveiller</v>
      </c>
      <c r="P363" t="str">
        <f t="shared" si="23"/>
        <v>Data</v>
      </c>
      <c r="Q363" t="str" cm="1">
        <f t="array" ref="Q363">_xlfn.IFS(H363&gt;=16,"Excellent",H363&gt;=14,"Très bien",H363&gt;=12,"Bien",H363&gt;=10,"Passable",H363&lt;10,"Insuffisant")</f>
        <v>Excellent</v>
      </c>
    </row>
    <row r="364" spans="1:17">
      <c r="A364" t="s">
        <v>605</v>
      </c>
      <c r="B364" t="s">
        <v>606</v>
      </c>
      <c r="C364" t="s">
        <v>19</v>
      </c>
      <c r="D364" t="s">
        <v>20</v>
      </c>
      <c r="E364" s="8" t="s">
        <v>26</v>
      </c>
      <c r="F364" s="8">
        <v>17.329999999999998</v>
      </c>
      <c r="G364" s="8">
        <v>13.79</v>
      </c>
      <c r="H364" s="8">
        <v>17.149999999999999</v>
      </c>
      <c r="I364" s="8">
        <v>18.23</v>
      </c>
      <c r="J364" s="6">
        <v>0.87450000000000006</v>
      </c>
      <c r="K364" s="4">
        <v>130000</v>
      </c>
      <c r="L364" s="2">
        <v>45718</v>
      </c>
      <c r="M364" t="str">
        <f t="shared" si="20"/>
        <v>Admis</v>
      </c>
      <c r="N364" t="str">
        <f t="shared" si="21"/>
        <v>Eligible</v>
      </c>
      <c r="O364" t="str">
        <f t="shared" si="22"/>
        <v>RAS</v>
      </c>
      <c r="P364" t="str">
        <f t="shared" si="23"/>
        <v>Hors data</v>
      </c>
      <c r="Q364" t="str" cm="1">
        <f t="array" ref="Q364">_xlfn.IFS(H364&gt;=16,"Excellent",H364&gt;=14,"Très bien",H364&gt;=12,"Bien",H364&gt;=10,"Passable",H364&lt;10,"Insuffisant")</f>
        <v>Excellent</v>
      </c>
    </row>
    <row r="365" spans="1:17">
      <c r="A365" t="s">
        <v>607</v>
      </c>
      <c r="B365" t="s">
        <v>463</v>
      </c>
      <c r="C365" t="s">
        <v>24</v>
      </c>
      <c r="D365" t="s">
        <v>25</v>
      </c>
      <c r="E365" s="8" t="s">
        <v>47</v>
      </c>
      <c r="F365" s="8">
        <v>7.22</v>
      </c>
      <c r="G365" s="8">
        <v>10.64</v>
      </c>
      <c r="H365" s="8">
        <v>5.9</v>
      </c>
      <c r="I365" s="8">
        <v>8.24</v>
      </c>
      <c r="J365" s="6">
        <v>0.79049999999999998</v>
      </c>
      <c r="K365" s="4">
        <v>75000</v>
      </c>
      <c r="L365" s="2">
        <v>45577</v>
      </c>
      <c r="M365" t="str">
        <f t="shared" si="20"/>
        <v>Non admis</v>
      </c>
      <c r="N365" t="str">
        <f t="shared" si="21"/>
        <v>Non eligible</v>
      </c>
      <c r="O365" t="str">
        <f t="shared" si="22"/>
        <v>A surveiller</v>
      </c>
      <c r="P365" t="str">
        <f t="shared" si="23"/>
        <v>Hors data</v>
      </c>
      <c r="Q365" t="str" cm="1">
        <f t="array" ref="Q365">_xlfn.IFS(H365&gt;=16,"Excellent",H365&gt;=14,"Très bien",H365&gt;=12,"Bien",H365&gt;=10,"Passable",H365&lt;10,"Insuffisant")</f>
        <v>Insuffisant</v>
      </c>
    </row>
    <row r="366" spans="1:17">
      <c r="A366" t="s">
        <v>608</v>
      </c>
      <c r="B366" t="s">
        <v>356</v>
      </c>
      <c r="C366" t="s">
        <v>19</v>
      </c>
      <c r="D366" t="s">
        <v>37</v>
      </c>
      <c r="E366" s="8" t="s">
        <v>21</v>
      </c>
      <c r="F366" s="8">
        <v>9.59</v>
      </c>
      <c r="G366" s="8">
        <v>11.55</v>
      </c>
      <c r="H366" s="8">
        <v>11.31</v>
      </c>
      <c r="I366" s="8">
        <v>6.96</v>
      </c>
      <c r="J366" s="6">
        <v>0.75980000000000003</v>
      </c>
      <c r="K366" s="4">
        <v>75000</v>
      </c>
      <c r="L366" s="2">
        <v>45771</v>
      </c>
      <c r="M366" t="str">
        <f t="shared" si="20"/>
        <v>Admis</v>
      </c>
      <c r="N366" t="str">
        <f t="shared" si="21"/>
        <v>Non eligible</v>
      </c>
      <c r="O366" t="str">
        <f t="shared" si="22"/>
        <v>A surveiller</v>
      </c>
      <c r="P366" t="str">
        <f t="shared" si="23"/>
        <v>Data</v>
      </c>
      <c r="Q366" t="str" cm="1">
        <f t="array" ref="Q366">_xlfn.IFS(H366&gt;=16,"Excellent",H366&gt;=14,"Très bien",H366&gt;=12,"Bien",H366&gt;=10,"Passable",H366&lt;10,"Insuffisant")</f>
        <v>Passable</v>
      </c>
    </row>
    <row r="367" spans="1:17">
      <c r="A367" t="s">
        <v>609</v>
      </c>
      <c r="B367" t="s">
        <v>610</v>
      </c>
      <c r="C367" t="s">
        <v>24</v>
      </c>
      <c r="D367" t="s">
        <v>33</v>
      </c>
      <c r="E367" s="8" t="s">
        <v>26</v>
      </c>
      <c r="F367" s="8">
        <v>19.68</v>
      </c>
      <c r="G367" s="8">
        <v>17.190000000000001</v>
      </c>
      <c r="H367" s="8">
        <v>13.34</v>
      </c>
      <c r="I367" s="8">
        <v>17.05</v>
      </c>
      <c r="J367" s="6">
        <v>0.80969999999999998</v>
      </c>
      <c r="K367" s="4">
        <v>90000</v>
      </c>
      <c r="L367" s="2">
        <v>45954</v>
      </c>
      <c r="M367" t="str">
        <f t="shared" si="20"/>
        <v>Admis</v>
      </c>
      <c r="N367" t="str">
        <f t="shared" si="21"/>
        <v>Eligible</v>
      </c>
      <c r="O367" t="str">
        <f t="shared" si="22"/>
        <v>RAS</v>
      </c>
      <c r="P367" t="str">
        <f t="shared" si="23"/>
        <v>Hors data</v>
      </c>
      <c r="Q367" t="str" cm="1">
        <f t="array" ref="Q367">_xlfn.IFS(H367&gt;=16,"Excellent",H367&gt;=14,"Très bien",H367&gt;=12,"Bien",H367&gt;=10,"Passable",H367&lt;10,"Insuffisant")</f>
        <v>Bien</v>
      </c>
    </row>
    <row r="368" spans="1:17">
      <c r="A368" t="s">
        <v>611</v>
      </c>
      <c r="B368" t="s">
        <v>599</v>
      </c>
      <c r="C368" t="s">
        <v>19</v>
      </c>
      <c r="D368" t="s">
        <v>25</v>
      </c>
      <c r="E368" s="8" t="s">
        <v>26</v>
      </c>
      <c r="F368" s="8">
        <v>12.69</v>
      </c>
      <c r="G368" s="8">
        <v>12.58</v>
      </c>
      <c r="H368" s="8">
        <v>17.170000000000002</v>
      </c>
      <c r="I368" s="8">
        <v>13.28</v>
      </c>
      <c r="J368" s="6">
        <v>0.8569</v>
      </c>
      <c r="K368" s="4">
        <v>85000</v>
      </c>
      <c r="L368" s="2">
        <v>45662</v>
      </c>
      <c r="M368" t="str">
        <f t="shared" si="20"/>
        <v>Admis</v>
      </c>
      <c r="N368" t="str">
        <f t="shared" si="21"/>
        <v>Eligible</v>
      </c>
      <c r="O368" t="str">
        <f t="shared" si="22"/>
        <v>RAS</v>
      </c>
      <c r="P368" t="str">
        <f t="shared" si="23"/>
        <v>Hors data</v>
      </c>
      <c r="Q368" t="str" cm="1">
        <f t="array" ref="Q368">_xlfn.IFS(H368&gt;=16,"Excellent",H368&gt;=14,"Très bien",H368&gt;=12,"Bien",H368&gt;=10,"Passable",H368&lt;10,"Insuffisant")</f>
        <v>Excellent</v>
      </c>
    </row>
    <row r="369" spans="1:17">
      <c r="A369" t="s">
        <v>612</v>
      </c>
      <c r="B369" t="s">
        <v>64</v>
      </c>
      <c r="C369" t="s">
        <v>19</v>
      </c>
      <c r="D369" t="s">
        <v>20</v>
      </c>
      <c r="E369" s="8" t="s">
        <v>34</v>
      </c>
      <c r="F369" s="8">
        <v>13.16</v>
      </c>
      <c r="G369" s="8">
        <v>13.37</v>
      </c>
      <c r="H369" s="8">
        <v>12.75</v>
      </c>
      <c r="I369" s="8">
        <v>17.940000000000001</v>
      </c>
      <c r="J369" s="6">
        <v>0.93240000000000001</v>
      </c>
      <c r="K369" s="4">
        <v>80000</v>
      </c>
      <c r="L369" s="2">
        <v>46107</v>
      </c>
      <c r="M369" t="str">
        <f t="shared" si="20"/>
        <v>Admis</v>
      </c>
      <c r="N369" t="str">
        <f t="shared" si="21"/>
        <v>Eligible</v>
      </c>
      <c r="O369" t="str">
        <f t="shared" si="22"/>
        <v>RAS</v>
      </c>
      <c r="P369" t="str">
        <f t="shared" si="23"/>
        <v>Hors data</v>
      </c>
      <c r="Q369" t="str" cm="1">
        <f t="array" ref="Q369">_xlfn.IFS(H369&gt;=16,"Excellent",H369&gt;=14,"Très bien",H369&gt;=12,"Bien",H369&gt;=10,"Passable",H369&lt;10,"Insuffisant")</f>
        <v>Bien</v>
      </c>
    </row>
    <row r="370" spans="1:17">
      <c r="A370" t="s">
        <v>613</v>
      </c>
      <c r="B370" t="s">
        <v>187</v>
      </c>
      <c r="C370" t="s">
        <v>19</v>
      </c>
      <c r="D370" t="s">
        <v>37</v>
      </c>
      <c r="E370" s="8" t="s">
        <v>34</v>
      </c>
      <c r="F370" s="8">
        <v>18.420000000000002</v>
      </c>
      <c r="G370" s="8">
        <v>20</v>
      </c>
      <c r="H370" s="8">
        <v>19.07</v>
      </c>
      <c r="I370" s="8">
        <v>17.27</v>
      </c>
      <c r="J370" s="6">
        <v>0.72989999999999999</v>
      </c>
      <c r="K370" s="4">
        <v>80000</v>
      </c>
      <c r="L370" s="2">
        <v>45544</v>
      </c>
      <c r="M370" t="str">
        <f t="shared" si="20"/>
        <v>Admis</v>
      </c>
      <c r="N370" t="str">
        <f t="shared" si="21"/>
        <v>Non eligible</v>
      </c>
      <c r="O370" t="str">
        <f t="shared" si="22"/>
        <v>RAS</v>
      </c>
      <c r="P370" t="str">
        <f t="shared" si="23"/>
        <v>Hors data</v>
      </c>
      <c r="Q370" t="str" cm="1">
        <f t="array" ref="Q370">_xlfn.IFS(H370&gt;=16,"Excellent",H370&gt;=14,"Très bien",H370&gt;=12,"Bien",H370&gt;=10,"Passable",H370&lt;10,"Insuffisant")</f>
        <v>Excellent</v>
      </c>
    </row>
    <row r="371" spans="1:17">
      <c r="A371" t="s">
        <v>614</v>
      </c>
      <c r="B371" t="s">
        <v>271</v>
      </c>
      <c r="C371" t="s">
        <v>24</v>
      </c>
      <c r="D371" t="s">
        <v>33</v>
      </c>
      <c r="E371" s="8" t="s">
        <v>34</v>
      </c>
      <c r="F371" s="8">
        <v>15.72</v>
      </c>
      <c r="G371" s="8">
        <v>19.11</v>
      </c>
      <c r="H371" s="8">
        <v>13.12</v>
      </c>
      <c r="I371" s="8">
        <v>17.02</v>
      </c>
      <c r="J371" s="6">
        <v>0.98099999999999998</v>
      </c>
      <c r="K371" s="4">
        <v>70000</v>
      </c>
      <c r="L371" s="2">
        <v>45583</v>
      </c>
      <c r="M371" t="str">
        <f t="shared" si="20"/>
        <v>Admis</v>
      </c>
      <c r="N371" t="str">
        <f t="shared" si="21"/>
        <v>Eligible</v>
      </c>
      <c r="O371" t="str">
        <f t="shared" si="22"/>
        <v>RAS</v>
      </c>
      <c r="P371" t="str">
        <f t="shared" si="23"/>
        <v>Hors data</v>
      </c>
      <c r="Q371" t="str" cm="1">
        <f t="array" ref="Q371">_xlfn.IFS(H371&gt;=16,"Excellent",H371&gt;=14,"Très bien",H371&gt;=12,"Bien",H371&gt;=10,"Passable",H371&lt;10,"Insuffisant")</f>
        <v>Bien</v>
      </c>
    </row>
    <row r="372" spans="1:17">
      <c r="A372" t="s">
        <v>615</v>
      </c>
      <c r="B372" t="s">
        <v>193</v>
      </c>
      <c r="C372" t="s">
        <v>19</v>
      </c>
      <c r="D372" t="s">
        <v>33</v>
      </c>
      <c r="E372" s="8" t="s">
        <v>47</v>
      </c>
      <c r="F372" s="8">
        <v>14.37</v>
      </c>
      <c r="G372" s="8">
        <v>16.8</v>
      </c>
      <c r="H372" s="8">
        <v>14.34</v>
      </c>
      <c r="I372" s="8">
        <v>19.149999999999999</v>
      </c>
      <c r="J372" s="6">
        <v>0.66879999999999995</v>
      </c>
      <c r="K372" s="4">
        <v>70000</v>
      </c>
      <c r="L372" s="2">
        <v>45892</v>
      </c>
      <c r="M372" t="str">
        <f t="shared" si="20"/>
        <v>Admis</v>
      </c>
      <c r="N372" t="str">
        <f t="shared" si="21"/>
        <v>Non eligible</v>
      </c>
      <c r="O372" t="str">
        <f t="shared" si="22"/>
        <v>RAS</v>
      </c>
      <c r="P372" t="str">
        <f t="shared" si="23"/>
        <v>Hors data</v>
      </c>
      <c r="Q372" t="str" cm="1">
        <f t="array" ref="Q372">_xlfn.IFS(H372&gt;=16,"Excellent",H372&gt;=14,"Très bien",H372&gt;=12,"Bien",H372&gt;=10,"Passable",H372&lt;10,"Insuffisant")</f>
        <v>Très bien</v>
      </c>
    </row>
    <row r="373" spans="1:17">
      <c r="A373" t="s">
        <v>616</v>
      </c>
      <c r="B373" t="s">
        <v>617</v>
      </c>
      <c r="C373" t="s">
        <v>24</v>
      </c>
      <c r="D373" t="s">
        <v>52</v>
      </c>
      <c r="E373" s="8" t="s">
        <v>21</v>
      </c>
      <c r="F373" s="8">
        <v>17.63</v>
      </c>
      <c r="G373" s="8">
        <v>19.52</v>
      </c>
      <c r="H373" s="8">
        <v>20</v>
      </c>
      <c r="I373" s="8">
        <v>19.12</v>
      </c>
      <c r="J373" s="6">
        <v>0.88249999999999995</v>
      </c>
      <c r="K373" s="4">
        <v>90000</v>
      </c>
      <c r="L373" s="2">
        <v>45894</v>
      </c>
      <c r="M373" t="str">
        <f t="shared" si="20"/>
        <v>Admis</v>
      </c>
      <c r="N373" t="str">
        <f t="shared" si="21"/>
        <v>Eligible</v>
      </c>
      <c r="O373" t="str">
        <f t="shared" si="22"/>
        <v>RAS</v>
      </c>
      <c r="P373" t="str">
        <f t="shared" si="23"/>
        <v>Data</v>
      </c>
      <c r="Q373" t="str" cm="1">
        <f t="array" ref="Q373">_xlfn.IFS(H373&gt;=16,"Excellent",H373&gt;=14,"Très bien",H373&gt;=12,"Bien",H373&gt;=10,"Passable",H373&lt;10,"Insuffisant")</f>
        <v>Excellent</v>
      </c>
    </row>
    <row r="374" spans="1:17">
      <c r="A374" t="s">
        <v>618</v>
      </c>
      <c r="B374" t="s">
        <v>619</v>
      </c>
      <c r="C374" t="s">
        <v>19</v>
      </c>
      <c r="D374" t="s">
        <v>33</v>
      </c>
      <c r="E374" s="8" t="s">
        <v>34</v>
      </c>
      <c r="F374" s="8">
        <v>11</v>
      </c>
      <c r="G374" s="8">
        <v>14.05</v>
      </c>
      <c r="H374" s="8">
        <v>13.33</v>
      </c>
      <c r="I374" s="8">
        <v>12.38</v>
      </c>
      <c r="J374" s="6">
        <v>0.69179999999999997</v>
      </c>
      <c r="K374" s="4">
        <v>110000</v>
      </c>
      <c r="L374" s="2">
        <v>45742</v>
      </c>
      <c r="M374" t="str">
        <f t="shared" si="20"/>
        <v>Admis</v>
      </c>
      <c r="N374" t="str">
        <f t="shared" si="21"/>
        <v>Non eligible</v>
      </c>
      <c r="O374" t="str">
        <f t="shared" si="22"/>
        <v>RAS</v>
      </c>
      <c r="P374" t="str">
        <f t="shared" si="23"/>
        <v>Hors data</v>
      </c>
      <c r="Q374" t="str" cm="1">
        <f t="array" ref="Q374">_xlfn.IFS(H374&gt;=16,"Excellent",H374&gt;=14,"Très bien",H374&gt;=12,"Bien",H374&gt;=10,"Passable",H374&lt;10,"Insuffisant")</f>
        <v>Bien</v>
      </c>
    </row>
    <row r="375" spans="1:17">
      <c r="A375" t="s">
        <v>620</v>
      </c>
      <c r="B375" t="s">
        <v>443</v>
      </c>
      <c r="C375" t="s">
        <v>19</v>
      </c>
      <c r="D375" t="s">
        <v>52</v>
      </c>
      <c r="E375" s="8" t="s">
        <v>21</v>
      </c>
      <c r="F375" s="8">
        <v>14.08</v>
      </c>
      <c r="G375" s="8">
        <v>17.010000000000002</v>
      </c>
      <c r="H375" s="8">
        <v>10.24</v>
      </c>
      <c r="I375" s="8">
        <v>12.02</v>
      </c>
      <c r="J375" s="6">
        <v>0.89070000000000005</v>
      </c>
      <c r="K375" s="4">
        <v>110000</v>
      </c>
      <c r="L375" s="2">
        <v>45716</v>
      </c>
      <c r="M375" t="str">
        <f t="shared" si="20"/>
        <v>Admis</v>
      </c>
      <c r="N375" t="str">
        <f t="shared" si="21"/>
        <v>Non eligible</v>
      </c>
      <c r="O375" t="str">
        <f t="shared" si="22"/>
        <v>RAS</v>
      </c>
      <c r="P375" t="str">
        <f t="shared" si="23"/>
        <v>Data</v>
      </c>
      <c r="Q375" t="str" cm="1">
        <f t="array" ref="Q375">_xlfn.IFS(H375&gt;=16,"Excellent",H375&gt;=14,"Très bien",H375&gt;=12,"Bien",H375&gt;=10,"Passable",H375&lt;10,"Insuffisant")</f>
        <v>Passable</v>
      </c>
    </row>
    <row r="376" spans="1:17">
      <c r="A376" t="s">
        <v>621</v>
      </c>
      <c r="B376" t="s">
        <v>622</v>
      </c>
      <c r="C376" t="s">
        <v>24</v>
      </c>
      <c r="D376" t="s">
        <v>33</v>
      </c>
      <c r="E376" s="8" t="s">
        <v>21</v>
      </c>
      <c r="F376" s="8">
        <v>14.86</v>
      </c>
      <c r="G376" s="8">
        <v>15.32</v>
      </c>
      <c r="H376" s="8">
        <v>12.38</v>
      </c>
      <c r="I376" s="8">
        <v>12.71</v>
      </c>
      <c r="J376" s="6">
        <v>0.64280000000000004</v>
      </c>
      <c r="K376" s="4">
        <v>85000</v>
      </c>
      <c r="L376" s="2">
        <v>45584</v>
      </c>
      <c r="M376" t="str">
        <f t="shared" si="20"/>
        <v>Admis</v>
      </c>
      <c r="N376" t="str">
        <f t="shared" si="21"/>
        <v>Non eligible</v>
      </c>
      <c r="O376" t="str">
        <f t="shared" si="22"/>
        <v>RAS</v>
      </c>
      <c r="P376" t="str">
        <f t="shared" si="23"/>
        <v>Data</v>
      </c>
      <c r="Q376" t="str" cm="1">
        <f t="array" ref="Q376">_xlfn.IFS(H376&gt;=16,"Excellent",H376&gt;=14,"Très bien",H376&gt;=12,"Bien",H376&gt;=10,"Passable",H376&lt;10,"Insuffisant")</f>
        <v>Bien</v>
      </c>
    </row>
    <row r="377" spans="1:17">
      <c r="A377" t="s">
        <v>623</v>
      </c>
      <c r="B377" t="s">
        <v>624</v>
      </c>
      <c r="C377" t="s">
        <v>19</v>
      </c>
      <c r="D377" t="s">
        <v>40</v>
      </c>
      <c r="E377" s="8" t="s">
        <v>34</v>
      </c>
      <c r="F377" s="8">
        <v>15.72</v>
      </c>
      <c r="G377" s="8">
        <v>18.350000000000001</v>
      </c>
      <c r="H377" s="8">
        <v>10.81</v>
      </c>
      <c r="I377" s="8">
        <v>15.22</v>
      </c>
      <c r="J377" s="6">
        <v>0.95150000000000001</v>
      </c>
      <c r="K377" s="4">
        <v>110000</v>
      </c>
      <c r="L377" s="2">
        <v>46000</v>
      </c>
      <c r="M377" t="str">
        <f t="shared" si="20"/>
        <v>Admis</v>
      </c>
      <c r="N377" t="str">
        <f t="shared" si="21"/>
        <v>Non eligible</v>
      </c>
      <c r="O377" t="str">
        <f t="shared" si="22"/>
        <v>RAS</v>
      </c>
      <c r="P377" t="str">
        <f t="shared" si="23"/>
        <v>Hors data</v>
      </c>
      <c r="Q377" t="str" cm="1">
        <f t="array" ref="Q377">_xlfn.IFS(H377&gt;=16,"Excellent",H377&gt;=14,"Très bien",H377&gt;=12,"Bien",H377&gt;=10,"Passable",H377&lt;10,"Insuffisant")</f>
        <v>Passable</v>
      </c>
    </row>
    <row r="378" spans="1:17">
      <c r="A378" t="s">
        <v>625</v>
      </c>
      <c r="B378" t="s">
        <v>626</v>
      </c>
      <c r="C378" t="s">
        <v>24</v>
      </c>
      <c r="D378" t="s">
        <v>33</v>
      </c>
      <c r="E378" s="8" t="s">
        <v>47</v>
      </c>
      <c r="F378" s="8">
        <v>11.45</v>
      </c>
      <c r="G378" s="8">
        <v>10.8</v>
      </c>
      <c r="H378" s="8">
        <v>9.4700000000000006</v>
      </c>
      <c r="I378" s="8">
        <v>11.43</v>
      </c>
      <c r="J378" s="6">
        <v>0.90229999999999999</v>
      </c>
      <c r="K378" s="4">
        <v>90000</v>
      </c>
      <c r="L378" s="2">
        <v>45801</v>
      </c>
      <c r="M378" t="str">
        <f t="shared" si="20"/>
        <v>Non admis</v>
      </c>
      <c r="N378" t="str">
        <f t="shared" si="21"/>
        <v>Non eligible</v>
      </c>
      <c r="O378" t="str">
        <f t="shared" si="22"/>
        <v>A surveiller</v>
      </c>
      <c r="P378" t="str">
        <f t="shared" si="23"/>
        <v>Hors data</v>
      </c>
      <c r="Q378" t="str" cm="1">
        <f t="array" ref="Q378">_xlfn.IFS(H378&gt;=16,"Excellent",H378&gt;=14,"Très bien",H378&gt;=12,"Bien",H378&gt;=10,"Passable",H378&lt;10,"Insuffisant")</f>
        <v>Insuffisant</v>
      </c>
    </row>
    <row r="379" spans="1:17">
      <c r="A379" t="s">
        <v>627</v>
      </c>
      <c r="B379" t="s">
        <v>588</v>
      </c>
      <c r="C379" t="s">
        <v>24</v>
      </c>
      <c r="D379" t="s">
        <v>25</v>
      </c>
      <c r="E379" s="8" t="s">
        <v>26</v>
      </c>
      <c r="F379" s="8">
        <v>9.16</v>
      </c>
      <c r="G379" s="8">
        <v>10.92</v>
      </c>
      <c r="H379" s="8">
        <v>11.06</v>
      </c>
      <c r="I379" s="8">
        <v>9.9700000000000006</v>
      </c>
      <c r="J379" s="6">
        <v>0.84560000000000002</v>
      </c>
      <c r="K379" s="4">
        <v>75000</v>
      </c>
      <c r="L379" s="2">
        <v>45619</v>
      </c>
      <c r="M379" t="str">
        <f t="shared" si="20"/>
        <v>Admis</v>
      </c>
      <c r="N379" t="str">
        <f t="shared" si="21"/>
        <v>Non eligible</v>
      </c>
      <c r="O379" t="str">
        <f t="shared" si="22"/>
        <v>A surveiller</v>
      </c>
      <c r="P379" t="str">
        <f t="shared" si="23"/>
        <v>Hors data</v>
      </c>
      <c r="Q379" t="str" cm="1">
        <f t="array" ref="Q379">_xlfn.IFS(H379&gt;=16,"Excellent",H379&gt;=14,"Très bien",H379&gt;=12,"Bien",H379&gt;=10,"Passable",H379&lt;10,"Insuffisant")</f>
        <v>Passable</v>
      </c>
    </row>
    <row r="380" spans="1:17">
      <c r="A380" t="s">
        <v>628</v>
      </c>
      <c r="B380" t="s">
        <v>629</v>
      </c>
      <c r="C380" t="s">
        <v>19</v>
      </c>
      <c r="D380" t="s">
        <v>37</v>
      </c>
      <c r="E380" s="8" t="s">
        <v>21</v>
      </c>
      <c r="F380" s="8">
        <v>20</v>
      </c>
      <c r="G380" s="8">
        <v>20</v>
      </c>
      <c r="H380" s="8">
        <v>20</v>
      </c>
      <c r="I380" s="8">
        <v>19.98</v>
      </c>
      <c r="J380" s="6">
        <v>0.96209999999999996</v>
      </c>
      <c r="K380" s="4">
        <v>75000</v>
      </c>
      <c r="L380" s="2">
        <v>45815</v>
      </c>
      <c r="M380" t="str">
        <f t="shared" si="20"/>
        <v>Admis</v>
      </c>
      <c r="N380" t="str">
        <f t="shared" si="21"/>
        <v>Eligible</v>
      </c>
      <c r="O380" t="str">
        <f t="shared" si="22"/>
        <v>RAS</v>
      </c>
      <c r="P380" t="str">
        <f t="shared" si="23"/>
        <v>Data</v>
      </c>
      <c r="Q380" t="str" cm="1">
        <f t="array" ref="Q380">_xlfn.IFS(H380&gt;=16,"Excellent",H380&gt;=14,"Très bien",H380&gt;=12,"Bien",H380&gt;=10,"Passable",H380&lt;10,"Insuffisant")</f>
        <v>Excellent</v>
      </c>
    </row>
    <row r="381" spans="1:17">
      <c r="A381" t="s">
        <v>630</v>
      </c>
      <c r="B381" t="s">
        <v>631</v>
      </c>
      <c r="C381" t="s">
        <v>19</v>
      </c>
      <c r="D381" t="s">
        <v>40</v>
      </c>
      <c r="E381" s="8" t="s">
        <v>21</v>
      </c>
      <c r="F381" s="8">
        <v>14</v>
      </c>
      <c r="G381" s="8">
        <v>15.69</v>
      </c>
      <c r="H381" s="8">
        <v>13.38</v>
      </c>
      <c r="I381" s="8">
        <v>14.47</v>
      </c>
      <c r="J381" s="6">
        <v>0.67779999999999996</v>
      </c>
      <c r="K381" s="4">
        <v>85000</v>
      </c>
      <c r="L381" s="2">
        <v>46191</v>
      </c>
      <c r="M381" t="str">
        <f t="shared" si="20"/>
        <v>Admis</v>
      </c>
      <c r="N381" t="str">
        <f t="shared" si="21"/>
        <v>Non eligible</v>
      </c>
      <c r="O381" t="str">
        <f t="shared" si="22"/>
        <v>RAS</v>
      </c>
      <c r="P381" t="str">
        <f t="shared" si="23"/>
        <v>Data</v>
      </c>
      <c r="Q381" t="str" cm="1">
        <f t="array" ref="Q381">_xlfn.IFS(H381&gt;=16,"Excellent",H381&gt;=14,"Très bien",H381&gt;=12,"Bien",H381&gt;=10,"Passable",H381&lt;10,"Insuffisant")</f>
        <v>Bien</v>
      </c>
    </row>
    <row r="382" spans="1:17">
      <c r="A382" t="s">
        <v>632</v>
      </c>
      <c r="B382" t="s">
        <v>134</v>
      </c>
      <c r="C382" t="s">
        <v>19</v>
      </c>
      <c r="D382" t="s">
        <v>25</v>
      </c>
      <c r="E382" s="8" t="s">
        <v>34</v>
      </c>
      <c r="F382" s="8">
        <v>10.47</v>
      </c>
      <c r="G382" s="8">
        <v>10.16</v>
      </c>
      <c r="H382" s="8">
        <v>15.1</v>
      </c>
      <c r="I382" s="8">
        <v>11.71</v>
      </c>
      <c r="J382" s="6">
        <v>0.9073</v>
      </c>
      <c r="K382" s="4">
        <v>75000</v>
      </c>
      <c r="L382" s="2">
        <v>45718</v>
      </c>
      <c r="M382" t="str">
        <f t="shared" si="20"/>
        <v>Admis</v>
      </c>
      <c r="N382" t="str">
        <f t="shared" si="21"/>
        <v>Non eligible</v>
      </c>
      <c r="O382" t="str">
        <f t="shared" si="22"/>
        <v>RAS</v>
      </c>
      <c r="P382" t="str">
        <f t="shared" si="23"/>
        <v>Hors data</v>
      </c>
      <c r="Q382" t="str" cm="1">
        <f t="array" ref="Q382">_xlfn.IFS(H382&gt;=16,"Excellent",H382&gt;=14,"Très bien",H382&gt;=12,"Bien",H382&gt;=10,"Passable",H382&lt;10,"Insuffisant")</f>
        <v>Très bien</v>
      </c>
    </row>
    <row r="383" spans="1:17">
      <c r="A383" t="s">
        <v>633</v>
      </c>
      <c r="B383" t="s">
        <v>508</v>
      </c>
      <c r="C383" t="s">
        <v>24</v>
      </c>
      <c r="D383" t="s">
        <v>40</v>
      </c>
      <c r="E383" s="8" t="s">
        <v>47</v>
      </c>
      <c r="F383" s="8">
        <v>18.48</v>
      </c>
      <c r="G383" s="8">
        <v>14.68</v>
      </c>
      <c r="H383" s="8">
        <v>14.69</v>
      </c>
      <c r="I383" s="8">
        <v>14.65</v>
      </c>
      <c r="J383" s="6">
        <v>0.65949999999999998</v>
      </c>
      <c r="K383" s="4">
        <v>110000</v>
      </c>
      <c r="L383" s="2">
        <v>46162</v>
      </c>
      <c r="M383" t="str">
        <f t="shared" si="20"/>
        <v>Admis</v>
      </c>
      <c r="N383" t="str">
        <f t="shared" si="21"/>
        <v>Non eligible</v>
      </c>
      <c r="O383" t="str">
        <f t="shared" si="22"/>
        <v>RAS</v>
      </c>
      <c r="P383" t="str">
        <f t="shared" si="23"/>
        <v>Hors data</v>
      </c>
      <c r="Q383" t="str" cm="1">
        <f t="array" ref="Q383">_xlfn.IFS(H383&gt;=16,"Excellent",H383&gt;=14,"Très bien",H383&gt;=12,"Bien",H383&gt;=10,"Passable",H383&lt;10,"Insuffisant")</f>
        <v>Très bien</v>
      </c>
    </row>
    <row r="384" spans="1:17">
      <c r="A384" t="s">
        <v>634</v>
      </c>
      <c r="B384" t="s">
        <v>635</v>
      </c>
      <c r="C384" t="s">
        <v>24</v>
      </c>
      <c r="D384" t="s">
        <v>25</v>
      </c>
      <c r="E384" s="8" t="s">
        <v>26</v>
      </c>
      <c r="F384" s="8">
        <v>11.61</v>
      </c>
      <c r="G384" s="8">
        <v>15.77</v>
      </c>
      <c r="H384" s="8">
        <v>12.87</v>
      </c>
      <c r="I384" s="8">
        <v>11.87</v>
      </c>
      <c r="J384" s="6">
        <v>0.80689999999999995</v>
      </c>
      <c r="K384" s="4">
        <v>70000</v>
      </c>
      <c r="L384" s="2">
        <v>45717</v>
      </c>
      <c r="M384" t="str">
        <f t="shared" si="20"/>
        <v>Admis</v>
      </c>
      <c r="N384" t="str">
        <f t="shared" si="21"/>
        <v>Non eligible</v>
      </c>
      <c r="O384" t="str">
        <f t="shared" si="22"/>
        <v>RAS</v>
      </c>
      <c r="P384" t="str">
        <f t="shared" si="23"/>
        <v>Hors data</v>
      </c>
      <c r="Q384" t="str" cm="1">
        <f t="array" ref="Q384">_xlfn.IFS(H384&gt;=16,"Excellent",H384&gt;=14,"Très bien",H384&gt;=12,"Bien",H384&gt;=10,"Passable",H384&lt;10,"Insuffisant")</f>
        <v>Bien</v>
      </c>
    </row>
    <row r="385" spans="1:17">
      <c r="A385" t="s">
        <v>636</v>
      </c>
      <c r="B385" t="s">
        <v>74</v>
      </c>
      <c r="C385" t="s">
        <v>19</v>
      </c>
      <c r="D385" t="s">
        <v>33</v>
      </c>
      <c r="E385" s="8" t="s">
        <v>47</v>
      </c>
      <c r="F385" s="8">
        <v>11.48</v>
      </c>
      <c r="G385" s="8">
        <v>15.81</v>
      </c>
      <c r="H385" s="8">
        <v>10.62</v>
      </c>
      <c r="I385" s="8">
        <v>12.43</v>
      </c>
      <c r="J385" s="6">
        <v>0.87890000000000001</v>
      </c>
      <c r="K385" s="4">
        <v>50000</v>
      </c>
      <c r="L385" s="2">
        <v>45666</v>
      </c>
      <c r="M385" t="str">
        <f t="shared" si="20"/>
        <v>Admis</v>
      </c>
      <c r="N385" t="str">
        <f t="shared" si="21"/>
        <v>Non eligible</v>
      </c>
      <c r="O385" t="str">
        <f t="shared" si="22"/>
        <v>RAS</v>
      </c>
      <c r="P385" t="str">
        <f t="shared" si="23"/>
        <v>Hors data</v>
      </c>
      <c r="Q385" t="str" cm="1">
        <f t="array" ref="Q385">_xlfn.IFS(H385&gt;=16,"Excellent",H385&gt;=14,"Très bien",H385&gt;=12,"Bien",H385&gt;=10,"Passable",H385&lt;10,"Insuffisant")</f>
        <v>Passable</v>
      </c>
    </row>
    <row r="386" spans="1:17">
      <c r="A386" t="s">
        <v>637</v>
      </c>
      <c r="B386" t="s">
        <v>156</v>
      </c>
      <c r="C386" t="s">
        <v>19</v>
      </c>
      <c r="D386" t="s">
        <v>33</v>
      </c>
      <c r="E386" s="8" t="s">
        <v>47</v>
      </c>
      <c r="F386" s="8">
        <v>15.1</v>
      </c>
      <c r="G386" s="8">
        <v>18.8</v>
      </c>
      <c r="H386" s="8">
        <v>17.45</v>
      </c>
      <c r="I386" s="8">
        <v>14.88</v>
      </c>
      <c r="J386" s="6">
        <v>0.73029999999999995</v>
      </c>
      <c r="K386" s="4">
        <v>85000</v>
      </c>
      <c r="L386" s="2">
        <v>45718</v>
      </c>
      <c r="M386" t="str">
        <f t="shared" si="20"/>
        <v>Admis</v>
      </c>
      <c r="N386" t="str">
        <f t="shared" si="21"/>
        <v>Non eligible</v>
      </c>
      <c r="O386" t="str">
        <f t="shared" si="22"/>
        <v>RAS</v>
      </c>
      <c r="P386" t="str">
        <f t="shared" si="23"/>
        <v>Hors data</v>
      </c>
      <c r="Q386" t="str" cm="1">
        <f t="array" ref="Q386">_xlfn.IFS(H386&gt;=16,"Excellent",H386&gt;=14,"Très bien",H386&gt;=12,"Bien",H386&gt;=10,"Passable",H386&lt;10,"Insuffisant")</f>
        <v>Excellent</v>
      </c>
    </row>
    <row r="387" spans="1:17">
      <c r="A387" t="s">
        <v>638</v>
      </c>
      <c r="B387" t="s">
        <v>639</v>
      </c>
      <c r="C387" t="s">
        <v>19</v>
      </c>
      <c r="D387" t="s">
        <v>40</v>
      </c>
      <c r="E387" s="8" t="s">
        <v>21</v>
      </c>
      <c r="F387" s="8">
        <v>9.8800000000000008</v>
      </c>
      <c r="G387" s="8">
        <v>14.25</v>
      </c>
      <c r="H387" s="8">
        <v>14.7</v>
      </c>
      <c r="I387" s="8">
        <v>8.82</v>
      </c>
      <c r="J387" s="6">
        <v>0.9486</v>
      </c>
      <c r="K387" s="4">
        <v>50000</v>
      </c>
      <c r="L387" s="2">
        <v>45762</v>
      </c>
      <c r="M387" t="str">
        <f t="shared" ref="M387:M450" si="24">IF(H387&gt;=10,"Admis","Non admis")</f>
        <v>Admis</v>
      </c>
      <c r="N387" t="str">
        <f t="shared" ref="N387:N450" si="25">IF(AND(F387&gt;=12,H387&gt;=12,J387&gt;=80%),"Eligible","Non eligible")</f>
        <v>Non eligible</v>
      </c>
      <c r="O387" t="str">
        <f t="shared" ref="O387:O450" si="26">IF(OR(F387&lt;10,H387&lt;10),"A surveiller","RAS")</f>
        <v>A surveiller</v>
      </c>
      <c r="P387" t="str">
        <f t="shared" ref="P387:P450" si="27">IF(NOT(E387="Data"),"Hors data","Data")</f>
        <v>Data</v>
      </c>
      <c r="Q387" t="str" cm="1">
        <f t="array" ref="Q387">_xlfn.IFS(H387&gt;=16,"Excellent",H387&gt;=14,"Très bien",H387&gt;=12,"Bien",H387&gt;=10,"Passable",H387&lt;10,"Insuffisant")</f>
        <v>Très bien</v>
      </c>
    </row>
    <row r="388" spans="1:17">
      <c r="A388" t="s">
        <v>640</v>
      </c>
      <c r="B388" t="s">
        <v>247</v>
      </c>
      <c r="C388" t="s">
        <v>19</v>
      </c>
      <c r="D388" t="s">
        <v>40</v>
      </c>
      <c r="E388" s="8" t="s">
        <v>21</v>
      </c>
      <c r="F388" s="8">
        <v>15.06</v>
      </c>
      <c r="G388" s="8">
        <v>15.18</v>
      </c>
      <c r="H388" s="8">
        <v>10.81</v>
      </c>
      <c r="I388" s="8">
        <v>15.1</v>
      </c>
      <c r="J388" s="6">
        <v>0.60780000000000001</v>
      </c>
      <c r="K388" s="4">
        <v>70000</v>
      </c>
      <c r="L388" s="2">
        <v>45620</v>
      </c>
      <c r="M388" t="str">
        <f t="shared" si="24"/>
        <v>Admis</v>
      </c>
      <c r="N388" t="str">
        <f t="shared" si="25"/>
        <v>Non eligible</v>
      </c>
      <c r="O388" t="str">
        <f t="shared" si="26"/>
        <v>RAS</v>
      </c>
      <c r="P388" t="str">
        <f t="shared" si="27"/>
        <v>Data</v>
      </c>
      <c r="Q388" t="str" cm="1">
        <f t="array" ref="Q388">_xlfn.IFS(H388&gt;=16,"Excellent",H388&gt;=14,"Très bien",H388&gt;=12,"Bien",H388&gt;=10,"Passable",H388&lt;10,"Insuffisant")</f>
        <v>Passable</v>
      </c>
    </row>
    <row r="389" spans="1:17">
      <c r="A389" t="s">
        <v>641</v>
      </c>
      <c r="B389" t="s">
        <v>551</v>
      </c>
      <c r="C389" t="s">
        <v>24</v>
      </c>
      <c r="D389" t="s">
        <v>20</v>
      </c>
      <c r="E389" s="8" t="s">
        <v>21</v>
      </c>
      <c r="F389" s="8">
        <v>20</v>
      </c>
      <c r="G389" s="8">
        <v>18.57</v>
      </c>
      <c r="H389" s="8">
        <v>18.29</v>
      </c>
      <c r="I389" s="8">
        <v>14.76</v>
      </c>
      <c r="J389" s="6">
        <v>0.86929999999999996</v>
      </c>
      <c r="K389" s="4">
        <v>80000</v>
      </c>
      <c r="L389" s="2">
        <v>45947</v>
      </c>
      <c r="M389" t="str">
        <f t="shared" si="24"/>
        <v>Admis</v>
      </c>
      <c r="N389" t="str">
        <f t="shared" si="25"/>
        <v>Eligible</v>
      </c>
      <c r="O389" t="str">
        <f t="shared" si="26"/>
        <v>RAS</v>
      </c>
      <c r="P389" t="str">
        <f t="shared" si="27"/>
        <v>Data</v>
      </c>
      <c r="Q389" t="str" cm="1">
        <f t="array" ref="Q389">_xlfn.IFS(H389&gt;=16,"Excellent",H389&gt;=14,"Très bien",H389&gt;=12,"Bien",H389&gt;=10,"Passable",H389&lt;10,"Insuffisant")</f>
        <v>Excellent</v>
      </c>
    </row>
    <row r="390" spans="1:17">
      <c r="A390" t="s">
        <v>642</v>
      </c>
      <c r="B390" t="s">
        <v>261</v>
      </c>
      <c r="C390" t="s">
        <v>24</v>
      </c>
      <c r="D390" t="s">
        <v>52</v>
      </c>
      <c r="E390" s="8" t="s">
        <v>47</v>
      </c>
      <c r="F390" s="8">
        <v>15.55</v>
      </c>
      <c r="G390" s="8">
        <v>18.18</v>
      </c>
      <c r="H390" s="8">
        <v>17.79</v>
      </c>
      <c r="I390" s="8">
        <v>13.1</v>
      </c>
      <c r="J390" s="6">
        <v>0.9224</v>
      </c>
      <c r="K390" s="4">
        <v>50000</v>
      </c>
      <c r="L390" s="2">
        <v>45769</v>
      </c>
      <c r="M390" t="str">
        <f t="shared" si="24"/>
        <v>Admis</v>
      </c>
      <c r="N390" t="str">
        <f t="shared" si="25"/>
        <v>Eligible</v>
      </c>
      <c r="O390" t="str">
        <f t="shared" si="26"/>
        <v>RAS</v>
      </c>
      <c r="P390" t="str">
        <f t="shared" si="27"/>
        <v>Hors data</v>
      </c>
      <c r="Q390" t="str" cm="1">
        <f t="array" ref="Q390">_xlfn.IFS(H390&gt;=16,"Excellent",H390&gt;=14,"Très bien",H390&gt;=12,"Bien",H390&gt;=10,"Passable",H390&lt;10,"Insuffisant")</f>
        <v>Excellent</v>
      </c>
    </row>
    <row r="391" spans="1:17">
      <c r="A391" t="s">
        <v>643</v>
      </c>
      <c r="B391" t="s">
        <v>369</v>
      </c>
      <c r="C391" t="s">
        <v>19</v>
      </c>
      <c r="D391" t="s">
        <v>52</v>
      </c>
      <c r="E391" s="8" t="s">
        <v>34</v>
      </c>
      <c r="F391" s="8">
        <v>7.21</v>
      </c>
      <c r="G391" s="8">
        <v>14.42</v>
      </c>
      <c r="H391" s="8">
        <v>9.4600000000000009</v>
      </c>
      <c r="I391" s="8">
        <v>11.73</v>
      </c>
      <c r="J391" s="6">
        <v>0.78449999999999998</v>
      </c>
      <c r="K391" s="4">
        <v>70000</v>
      </c>
      <c r="L391" s="2">
        <v>46038</v>
      </c>
      <c r="M391" t="str">
        <f t="shared" si="24"/>
        <v>Non admis</v>
      </c>
      <c r="N391" t="str">
        <f t="shared" si="25"/>
        <v>Non eligible</v>
      </c>
      <c r="O391" t="str">
        <f t="shared" si="26"/>
        <v>A surveiller</v>
      </c>
      <c r="P391" t="str">
        <f t="shared" si="27"/>
        <v>Hors data</v>
      </c>
      <c r="Q391" t="str" cm="1">
        <f t="array" ref="Q391">_xlfn.IFS(H391&gt;=16,"Excellent",H391&gt;=14,"Très bien",H391&gt;=12,"Bien",H391&gt;=10,"Passable",H391&lt;10,"Insuffisant")</f>
        <v>Insuffisant</v>
      </c>
    </row>
    <row r="392" spans="1:17">
      <c r="A392" t="s">
        <v>644</v>
      </c>
      <c r="B392" t="s">
        <v>645</v>
      </c>
      <c r="C392" t="s">
        <v>24</v>
      </c>
      <c r="D392" t="s">
        <v>37</v>
      </c>
      <c r="E392" s="8" t="s">
        <v>21</v>
      </c>
      <c r="F392" s="8">
        <v>12.8</v>
      </c>
      <c r="G392" s="8">
        <v>10.32</v>
      </c>
      <c r="H392" s="8">
        <v>13.53</v>
      </c>
      <c r="I392" s="8">
        <v>10.1</v>
      </c>
      <c r="J392" s="6">
        <v>0.92059999999999997</v>
      </c>
      <c r="K392" s="4">
        <v>85000</v>
      </c>
      <c r="L392" s="2">
        <v>45879</v>
      </c>
      <c r="M392" t="str">
        <f t="shared" si="24"/>
        <v>Admis</v>
      </c>
      <c r="N392" t="str">
        <f t="shared" si="25"/>
        <v>Eligible</v>
      </c>
      <c r="O392" t="str">
        <f t="shared" si="26"/>
        <v>RAS</v>
      </c>
      <c r="P392" t="str">
        <f t="shared" si="27"/>
        <v>Data</v>
      </c>
      <c r="Q392" t="str" cm="1">
        <f t="array" ref="Q392">_xlfn.IFS(H392&gt;=16,"Excellent",H392&gt;=14,"Très bien",H392&gt;=12,"Bien",H392&gt;=10,"Passable",H392&lt;10,"Insuffisant")</f>
        <v>Bien</v>
      </c>
    </row>
    <row r="393" spans="1:17">
      <c r="A393" t="s">
        <v>646</v>
      </c>
      <c r="B393" t="s">
        <v>201</v>
      </c>
      <c r="C393" t="s">
        <v>19</v>
      </c>
      <c r="D393" t="s">
        <v>52</v>
      </c>
      <c r="E393" s="8" t="s">
        <v>47</v>
      </c>
      <c r="F393" s="8">
        <v>12.43</v>
      </c>
      <c r="G393" s="8">
        <v>10.48</v>
      </c>
      <c r="H393" s="8">
        <v>15.24</v>
      </c>
      <c r="I393" s="8">
        <v>15.84</v>
      </c>
      <c r="J393" s="6">
        <v>0.82630000000000003</v>
      </c>
      <c r="K393" s="4">
        <v>80000</v>
      </c>
      <c r="L393" s="2">
        <v>45845</v>
      </c>
      <c r="M393" t="str">
        <f t="shared" si="24"/>
        <v>Admis</v>
      </c>
      <c r="N393" t="str">
        <f t="shared" si="25"/>
        <v>Eligible</v>
      </c>
      <c r="O393" t="str">
        <f t="shared" si="26"/>
        <v>RAS</v>
      </c>
      <c r="P393" t="str">
        <f t="shared" si="27"/>
        <v>Hors data</v>
      </c>
      <c r="Q393" t="str" cm="1">
        <f t="array" ref="Q393">_xlfn.IFS(H393&gt;=16,"Excellent",H393&gt;=14,"Très bien",H393&gt;=12,"Bien",H393&gt;=10,"Passable",H393&lt;10,"Insuffisant")</f>
        <v>Très bien</v>
      </c>
    </row>
    <row r="394" spans="1:17">
      <c r="A394" t="s">
        <v>647</v>
      </c>
      <c r="B394" t="s">
        <v>648</v>
      </c>
      <c r="C394" t="s">
        <v>19</v>
      </c>
      <c r="D394" t="s">
        <v>37</v>
      </c>
      <c r="E394" s="8" t="s">
        <v>26</v>
      </c>
      <c r="F394" s="8">
        <v>12.88</v>
      </c>
      <c r="G394" s="8">
        <v>14.27</v>
      </c>
      <c r="H394" s="8">
        <v>13.16</v>
      </c>
      <c r="I394" s="8">
        <v>12.73</v>
      </c>
      <c r="J394" s="6">
        <v>0.94930000000000003</v>
      </c>
      <c r="K394" s="4">
        <v>120000</v>
      </c>
      <c r="L394" s="2">
        <v>45865</v>
      </c>
      <c r="M394" t="str">
        <f t="shared" si="24"/>
        <v>Admis</v>
      </c>
      <c r="N394" t="str">
        <f t="shared" si="25"/>
        <v>Eligible</v>
      </c>
      <c r="O394" t="str">
        <f t="shared" si="26"/>
        <v>RAS</v>
      </c>
      <c r="P394" t="str">
        <f t="shared" si="27"/>
        <v>Hors data</v>
      </c>
      <c r="Q394" t="str" cm="1">
        <f t="array" ref="Q394">_xlfn.IFS(H394&gt;=16,"Excellent",H394&gt;=14,"Très bien",H394&gt;=12,"Bien",H394&gt;=10,"Passable",H394&lt;10,"Insuffisant")</f>
        <v>Bien</v>
      </c>
    </row>
    <row r="395" spans="1:17">
      <c r="A395" t="s">
        <v>649</v>
      </c>
      <c r="B395" t="s">
        <v>650</v>
      </c>
      <c r="C395" t="s">
        <v>24</v>
      </c>
      <c r="D395" t="s">
        <v>52</v>
      </c>
      <c r="E395" s="8" t="s">
        <v>34</v>
      </c>
      <c r="F395" s="8">
        <v>12.98</v>
      </c>
      <c r="G395" s="8">
        <v>12.45</v>
      </c>
      <c r="H395" s="8">
        <v>13.85</v>
      </c>
      <c r="I395" s="8">
        <v>12.73</v>
      </c>
      <c r="J395" s="6">
        <v>0.55000000000000004</v>
      </c>
      <c r="K395" s="4">
        <v>60000</v>
      </c>
      <c r="L395" s="2">
        <v>45645</v>
      </c>
      <c r="M395" t="str">
        <f t="shared" si="24"/>
        <v>Admis</v>
      </c>
      <c r="N395" t="str">
        <f t="shared" si="25"/>
        <v>Non eligible</v>
      </c>
      <c r="O395" t="str">
        <f t="shared" si="26"/>
        <v>RAS</v>
      </c>
      <c r="P395" t="str">
        <f t="shared" si="27"/>
        <v>Hors data</v>
      </c>
      <c r="Q395" t="str" cm="1">
        <f t="array" ref="Q395">_xlfn.IFS(H395&gt;=16,"Excellent",H395&gt;=14,"Très bien",H395&gt;=12,"Bien",H395&gt;=10,"Passable",H395&lt;10,"Insuffisant")</f>
        <v>Bien</v>
      </c>
    </row>
    <row r="396" spans="1:17">
      <c r="A396" t="s">
        <v>651</v>
      </c>
      <c r="B396" t="s">
        <v>652</v>
      </c>
      <c r="C396" t="s">
        <v>24</v>
      </c>
      <c r="D396" t="s">
        <v>40</v>
      </c>
      <c r="E396" s="8" t="s">
        <v>26</v>
      </c>
      <c r="F396" s="8">
        <v>16</v>
      </c>
      <c r="G396" s="8">
        <v>16.41</v>
      </c>
      <c r="H396" s="8">
        <v>20</v>
      </c>
      <c r="I396" s="8">
        <v>14.9</v>
      </c>
      <c r="J396" s="6">
        <v>0.89339999999999997</v>
      </c>
      <c r="K396" s="4">
        <v>100000</v>
      </c>
      <c r="L396" s="2">
        <v>46035</v>
      </c>
      <c r="M396" t="str">
        <f t="shared" si="24"/>
        <v>Admis</v>
      </c>
      <c r="N396" t="str">
        <f t="shared" si="25"/>
        <v>Eligible</v>
      </c>
      <c r="O396" t="str">
        <f t="shared" si="26"/>
        <v>RAS</v>
      </c>
      <c r="P396" t="str">
        <f t="shared" si="27"/>
        <v>Hors data</v>
      </c>
      <c r="Q396" t="str" cm="1">
        <f t="array" ref="Q396">_xlfn.IFS(H396&gt;=16,"Excellent",H396&gt;=14,"Très bien",H396&gt;=12,"Bien",H396&gt;=10,"Passable",H396&lt;10,"Insuffisant")</f>
        <v>Excellent</v>
      </c>
    </row>
    <row r="397" spans="1:17">
      <c r="A397" t="s">
        <v>653</v>
      </c>
      <c r="B397" t="s">
        <v>654</v>
      </c>
      <c r="C397" t="s">
        <v>24</v>
      </c>
      <c r="D397" t="s">
        <v>52</v>
      </c>
      <c r="E397" s="8" t="s">
        <v>47</v>
      </c>
      <c r="F397" s="8">
        <v>8.5299999999999994</v>
      </c>
      <c r="G397" s="8">
        <v>11.41</v>
      </c>
      <c r="H397" s="8">
        <v>13.13</v>
      </c>
      <c r="I397" s="8">
        <v>8.51</v>
      </c>
      <c r="J397" s="6">
        <v>0.95520000000000005</v>
      </c>
      <c r="K397" s="4">
        <v>90000</v>
      </c>
      <c r="L397" s="2">
        <v>45608</v>
      </c>
      <c r="M397" t="str">
        <f t="shared" si="24"/>
        <v>Admis</v>
      </c>
      <c r="N397" t="str">
        <f t="shared" si="25"/>
        <v>Non eligible</v>
      </c>
      <c r="O397" t="str">
        <f t="shared" si="26"/>
        <v>A surveiller</v>
      </c>
      <c r="P397" t="str">
        <f t="shared" si="27"/>
        <v>Hors data</v>
      </c>
      <c r="Q397" t="str" cm="1">
        <f t="array" ref="Q397">_xlfn.IFS(H397&gt;=16,"Excellent",H397&gt;=14,"Très bien",H397&gt;=12,"Bien",H397&gt;=10,"Passable",H397&lt;10,"Insuffisant")</f>
        <v>Bien</v>
      </c>
    </row>
    <row r="398" spans="1:17">
      <c r="A398" t="s">
        <v>655</v>
      </c>
      <c r="B398" t="s">
        <v>656</v>
      </c>
      <c r="C398" t="s">
        <v>19</v>
      </c>
      <c r="D398" t="s">
        <v>33</v>
      </c>
      <c r="E398" s="8" t="s">
        <v>47</v>
      </c>
      <c r="F398" s="8">
        <v>17.260000000000002</v>
      </c>
      <c r="G398" s="8">
        <v>17.98</v>
      </c>
      <c r="H398" s="8">
        <v>15.98</v>
      </c>
      <c r="I398" s="8">
        <v>13.14</v>
      </c>
      <c r="J398" s="6">
        <v>0.81210000000000004</v>
      </c>
      <c r="K398" s="4">
        <v>100000</v>
      </c>
      <c r="L398" s="2">
        <v>46041</v>
      </c>
      <c r="M398" t="str">
        <f t="shared" si="24"/>
        <v>Admis</v>
      </c>
      <c r="N398" t="str">
        <f t="shared" si="25"/>
        <v>Eligible</v>
      </c>
      <c r="O398" t="str">
        <f t="shared" si="26"/>
        <v>RAS</v>
      </c>
      <c r="P398" t="str">
        <f t="shared" si="27"/>
        <v>Hors data</v>
      </c>
      <c r="Q398" t="str" cm="1">
        <f t="array" ref="Q398">_xlfn.IFS(H398&gt;=16,"Excellent",H398&gt;=14,"Très bien",H398&gt;=12,"Bien",H398&gt;=10,"Passable",H398&lt;10,"Insuffisant")</f>
        <v>Très bien</v>
      </c>
    </row>
    <row r="399" spans="1:17">
      <c r="A399" t="s">
        <v>657</v>
      </c>
      <c r="B399" t="s">
        <v>658</v>
      </c>
      <c r="C399" t="s">
        <v>19</v>
      </c>
      <c r="D399" t="s">
        <v>20</v>
      </c>
      <c r="E399" s="8" t="s">
        <v>26</v>
      </c>
      <c r="F399" s="8">
        <v>11.24</v>
      </c>
      <c r="G399" s="8">
        <v>15.76</v>
      </c>
      <c r="H399" s="8">
        <v>11.47</v>
      </c>
      <c r="I399" s="8">
        <v>11.96</v>
      </c>
      <c r="J399" s="6">
        <v>0.86140000000000005</v>
      </c>
      <c r="K399" s="4">
        <v>100000</v>
      </c>
      <c r="L399" s="2">
        <v>46235</v>
      </c>
      <c r="M399" t="str">
        <f t="shared" si="24"/>
        <v>Admis</v>
      </c>
      <c r="N399" t="str">
        <f t="shared" si="25"/>
        <v>Non eligible</v>
      </c>
      <c r="O399" t="str">
        <f t="shared" si="26"/>
        <v>RAS</v>
      </c>
      <c r="P399" t="str">
        <f t="shared" si="27"/>
        <v>Hors data</v>
      </c>
      <c r="Q399" t="str" cm="1">
        <f t="array" ref="Q399">_xlfn.IFS(H399&gt;=16,"Excellent",H399&gt;=14,"Très bien",H399&gt;=12,"Bien",H399&gt;=10,"Passable",H399&lt;10,"Insuffisant")</f>
        <v>Passable</v>
      </c>
    </row>
    <row r="400" spans="1:17">
      <c r="A400" t="s">
        <v>659</v>
      </c>
      <c r="B400" t="s">
        <v>513</v>
      </c>
      <c r="C400" t="s">
        <v>19</v>
      </c>
      <c r="D400" t="s">
        <v>37</v>
      </c>
      <c r="E400" s="8" t="s">
        <v>21</v>
      </c>
      <c r="F400" s="8">
        <v>12.47</v>
      </c>
      <c r="G400" s="8">
        <v>10.71</v>
      </c>
      <c r="H400" s="8">
        <v>12.73</v>
      </c>
      <c r="I400" s="8">
        <v>12.39</v>
      </c>
      <c r="J400" s="6">
        <v>0.76500000000000001</v>
      </c>
      <c r="K400" s="4">
        <v>50000</v>
      </c>
      <c r="L400" s="2">
        <v>46070</v>
      </c>
      <c r="M400" t="str">
        <f t="shared" si="24"/>
        <v>Admis</v>
      </c>
      <c r="N400" t="str">
        <f t="shared" si="25"/>
        <v>Non eligible</v>
      </c>
      <c r="O400" t="str">
        <f t="shared" si="26"/>
        <v>RAS</v>
      </c>
      <c r="P400" t="str">
        <f t="shared" si="27"/>
        <v>Data</v>
      </c>
      <c r="Q400" t="str" cm="1">
        <f t="array" ref="Q400">_xlfn.IFS(H400&gt;=16,"Excellent",H400&gt;=14,"Très bien",H400&gt;=12,"Bien",H400&gt;=10,"Passable",H400&lt;10,"Insuffisant")</f>
        <v>Bien</v>
      </c>
    </row>
    <row r="401" spans="1:17">
      <c r="A401" t="s">
        <v>660</v>
      </c>
      <c r="B401" t="s">
        <v>661</v>
      </c>
      <c r="C401" t="s">
        <v>19</v>
      </c>
      <c r="D401" t="s">
        <v>25</v>
      </c>
      <c r="E401" s="8" t="s">
        <v>26</v>
      </c>
      <c r="F401" s="8">
        <v>17</v>
      </c>
      <c r="G401" s="8">
        <v>11.3</v>
      </c>
      <c r="H401" s="8">
        <v>12.69</v>
      </c>
      <c r="I401" s="8">
        <v>9.6300000000000008</v>
      </c>
      <c r="J401" s="6">
        <v>0.94640000000000002</v>
      </c>
      <c r="K401" s="4">
        <v>110000</v>
      </c>
      <c r="L401" s="2">
        <v>45854</v>
      </c>
      <c r="M401" t="str">
        <f t="shared" si="24"/>
        <v>Admis</v>
      </c>
      <c r="N401" t="str">
        <f t="shared" si="25"/>
        <v>Eligible</v>
      </c>
      <c r="O401" t="str">
        <f t="shared" si="26"/>
        <v>RAS</v>
      </c>
      <c r="P401" t="str">
        <f t="shared" si="27"/>
        <v>Hors data</v>
      </c>
      <c r="Q401" t="str" cm="1">
        <f t="array" ref="Q401">_xlfn.IFS(H401&gt;=16,"Excellent",H401&gt;=14,"Très bien",H401&gt;=12,"Bien",H401&gt;=10,"Passable",H401&lt;10,"Insuffisant")</f>
        <v>Bien</v>
      </c>
    </row>
    <row r="402" spans="1:17">
      <c r="A402" t="s">
        <v>662</v>
      </c>
      <c r="B402" t="s">
        <v>78</v>
      </c>
      <c r="C402" t="s">
        <v>24</v>
      </c>
      <c r="D402" t="s">
        <v>40</v>
      </c>
      <c r="E402" s="8" t="s">
        <v>26</v>
      </c>
      <c r="F402" s="8">
        <v>15.65</v>
      </c>
      <c r="G402" s="8">
        <v>19.149999999999999</v>
      </c>
      <c r="H402" s="8">
        <v>14.4</v>
      </c>
      <c r="I402" s="8">
        <v>11.49</v>
      </c>
      <c r="J402" s="6">
        <v>0.96989999999999998</v>
      </c>
      <c r="K402" s="4">
        <v>75000</v>
      </c>
      <c r="L402" s="2">
        <v>45756</v>
      </c>
      <c r="M402" t="str">
        <f t="shared" si="24"/>
        <v>Admis</v>
      </c>
      <c r="N402" t="str">
        <f t="shared" si="25"/>
        <v>Eligible</v>
      </c>
      <c r="O402" t="str">
        <f t="shared" si="26"/>
        <v>RAS</v>
      </c>
      <c r="P402" t="str">
        <f t="shared" si="27"/>
        <v>Hors data</v>
      </c>
      <c r="Q402" t="str" cm="1">
        <f t="array" ref="Q402">_xlfn.IFS(H402&gt;=16,"Excellent",H402&gt;=14,"Très bien",H402&gt;=12,"Bien",H402&gt;=10,"Passable",H402&lt;10,"Insuffisant")</f>
        <v>Très bien</v>
      </c>
    </row>
    <row r="403" spans="1:17">
      <c r="A403" t="s">
        <v>663</v>
      </c>
      <c r="B403" t="s">
        <v>361</v>
      </c>
      <c r="C403" t="s">
        <v>24</v>
      </c>
      <c r="D403" t="s">
        <v>25</v>
      </c>
      <c r="E403" s="8" t="s">
        <v>26</v>
      </c>
      <c r="F403" s="8">
        <v>17.21</v>
      </c>
      <c r="G403" s="8">
        <v>14.03</v>
      </c>
      <c r="H403" s="8">
        <v>16.63</v>
      </c>
      <c r="I403" s="8">
        <v>14.41</v>
      </c>
      <c r="J403" s="6">
        <v>0.84499999999999997</v>
      </c>
      <c r="K403" s="4">
        <v>100000</v>
      </c>
      <c r="L403" s="2">
        <v>46146</v>
      </c>
      <c r="M403" t="str">
        <f t="shared" si="24"/>
        <v>Admis</v>
      </c>
      <c r="N403" t="str">
        <f t="shared" si="25"/>
        <v>Eligible</v>
      </c>
      <c r="O403" t="str">
        <f t="shared" si="26"/>
        <v>RAS</v>
      </c>
      <c r="P403" t="str">
        <f t="shared" si="27"/>
        <v>Hors data</v>
      </c>
      <c r="Q403" t="str" cm="1">
        <f t="array" ref="Q403">_xlfn.IFS(H403&gt;=16,"Excellent",H403&gt;=14,"Très bien",H403&gt;=12,"Bien",H403&gt;=10,"Passable",H403&lt;10,"Insuffisant")</f>
        <v>Excellent</v>
      </c>
    </row>
    <row r="404" spans="1:17">
      <c r="A404" t="s">
        <v>664</v>
      </c>
      <c r="B404" t="s">
        <v>257</v>
      </c>
      <c r="C404" t="s">
        <v>19</v>
      </c>
      <c r="D404" t="s">
        <v>40</v>
      </c>
      <c r="E404" s="8" t="s">
        <v>47</v>
      </c>
      <c r="F404" s="8">
        <v>12.9</v>
      </c>
      <c r="G404" s="8">
        <v>15.15</v>
      </c>
      <c r="H404" s="8">
        <v>16.61</v>
      </c>
      <c r="I404" s="8">
        <v>19.309999999999999</v>
      </c>
      <c r="J404" s="6">
        <v>0.91410000000000002</v>
      </c>
      <c r="K404" s="4">
        <v>75000</v>
      </c>
      <c r="L404" s="2">
        <v>45716</v>
      </c>
      <c r="M404" t="str">
        <f t="shared" si="24"/>
        <v>Admis</v>
      </c>
      <c r="N404" t="str">
        <f t="shared" si="25"/>
        <v>Eligible</v>
      </c>
      <c r="O404" t="str">
        <f t="shared" si="26"/>
        <v>RAS</v>
      </c>
      <c r="P404" t="str">
        <f t="shared" si="27"/>
        <v>Hors data</v>
      </c>
      <c r="Q404" t="str" cm="1">
        <f t="array" ref="Q404">_xlfn.IFS(H404&gt;=16,"Excellent",H404&gt;=14,"Très bien",H404&gt;=12,"Bien",H404&gt;=10,"Passable",H404&lt;10,"Insuffisant")</f>
        <v>Excellent</v>
      </c>
    </row>
    <row r="405" spans="1:17">
      <c r="A405" t="s">
        <v>665</v>
      </c>
      <c r="B405" t="s">
        <v>666</v>
      </c>
      <c r="C405" t="s">
        <v>24</v>
      </c>
      <c r="D405" t="s">
        <v>33</v>
      </c>
      <c r="E405" s="8" t="s">
        <v>26</v>
      </c>
      <c r="F405" s="8">
        <v>9.51</v>
      </c>
      <c r="G405" s="8">
        <v>7.81</v>
      </c>
      <c r="H405" s="8">
        <v>8.35</v>
      </c>
      <c r="I405" s="8">
        <v>10.99</v>
      </c>
      <c r="J405" s="6">
        <v>0.66739999999999999</v>
      </c>
      <c r="K405" s="4">
        <v>80000</v>
      </c>
      <c r="L405" s="2">
        <v>45873</v>
      </c>
      <c r="M405" t="str">
        <f t="shared" si="24"/>
        <v>Non admis</v>
      </c>
      <c r="N405" t="str">
        <f t="shared" si="25"/>
        <v>Non eligible</v>
      </c>
      <c r="O405" t="str">
        <f t="shared" si="26"/>
        <v>A surveiller</v>
      </c>
      <c r="P405" t="str">
        <f t="shared" si="27"/>
        <v>Hors data</v>
      </c>
      <c r="Q405" t="str" cm="1">
        <f t="array" ref="Q405">_xlfn.IFS(H405&gt;=16,"Excellent",H405&gt;=14,"Très bien",H405&gt;=12,"Bien",H405&gt;=10,"Passable",H405&lt;10,"Insuffisant")</f>
        <v>Insuffisant</v>
      </c>
    </row>
    <row r="406" spans="1:17">
      <c r="A406" t="s">
        <v>667</v>
      </c>
      <c r="B406" t="s">
        <v>668</v>
      </c>
      <c r="C406" t="s">
        <v>19</v>
      </c>
      <c r="D406" t="s">
        <v>25</v>
      </c>
      <c r="E406" s="8" t="s">
        <v>26</v>
      </c>
      <c r="F406" s="8">
        <v>13.77</v>
      </c>
      <c r="G406" s="8">
        <v>16.27</v>
      </c>
      <c r="H406" s="8">
        <v>16.64</v>
      </c>
      <c r="I406" s="8">
        <v>18.62</v>
      </c>
      <c r="J406" s="6">
        <v>0.80230000000000001</v>
      </c>
      <c r="K406" s="4">
        <v>100000</v>
      </c>
      <c r="L406" s="2">
        <v>46075</v>
      </c>
      <c r="M406" t="str">
        <f t="shared" si="24"/>
        <v>Admis</v>
      </c>
      <c r="N406" t="str">
        <f t="shared" si="25"/>
        <v>Eligible</v>
      </c>
      <c r="O406" t="str">
        <f t="shared" si="26"/>
        <v>RAS</v>
      </c>
      <c r="P406" t="str">
        <f t="shared" si="27"/>
        <v>Hors data</v>
      </c>
      <c r="Q406" t="str" cm="1">
        <f t="array" ref="Q406">_xlfn.IFS(H406&gt;=16,"Excellent",H406&gt;=14,"Très bien",H406&gt;=12,"Bien",H406&gt;=10,"Passable",H406&lt;10,"Insuffisant")</f>
        <v>Excellent</v>
      </c>
    </row>
    <row r="407" spans="1:17">
      <c r="A407" t="s">
        <v>669</v>
      </c>
      <c r="B407" t="s">
        <v>670</v>
      </c>
      <c r="C407" t="s">
        <v>24</v>
      </c>
      <c r="D407" t="s">
        <v>52</v>
      </c>
      <c r="E407" s="8" t="s">
        <v>26</v>
      </c>
      <c r="F407" s="8">
        <v>13.66</v>
      </c>
      <c r="G407" s="8">
        <v>18.61</v>
      </c>
      <c r="H407" s="8">
        <v>20</v>
      </c>
      <c r="I407" s="8">
        <v>17.59</v>
      </c>
      <c r="J407" s="6">
        <v>0.92069999999999996</v>
      </c>
      <c r="K407" s="4">
        <v>130000</v>
      </c>
      <c r="L407" s="2">
        <v>46181</v>
      </c>
      <c r="M407" t="str">
        <f t="shared" si="24"/>
        <v>Admis</v>
      </c>
      <c r="N407" t="str">
        <f t="shared" si="25"/>
        <v>Eligible</v>
      </c>
      <c r="O407" t="str">
        <f t="shared" si="26"/>
        <v>RAS</v>
      </c>
      <c r="P407" t="str">
        <f t="shared" si="27"/>
        <v>Hors data</v>
      </c>
      <c r="Q407" t="str" cm="1">
        <f t="array" ref="Q407">_xlfn.IFS(H407&gt;=16,"Excellent",H407&gt;=14,"Très bien",H407&gt;=12,"Bien",H407&gt;=10,"Passable",H407&lt;10,"Insuffisant")</f>
        <v>Excellent</v>
      </c>
    </row>
    <row r="408" spans="1:17">
      <c r="A408" t="s">
        <v>671</v>
      </c>
      <c r="B408" t="s">
        <v>336</v>
      </c>
      <c r="C408" t="s">
        <v>19</v>
      </c>
      <c r="D408" t="s">
        <v>40</v>
      </c>
      <c r="E408" s="8" t="s">
        <v>26</v>
      </c>
      <c r="F408" s="8">
        <v>11.3</v>
      </c>
      <c r="G408" s="8">
        <v>13.85</v>
      </c>
      <c r="H408" s="8">
        <v>8.94</v>
      </c>
      <c r="I408" s="8">
        <v>10.39</v>
      </c>
      <c r="J408" s="6">
        <v>0.87849999999999995</v>
      </c>
      <c r="K408" s="4">
        <v>120000</v>
      </c>
      <c r="L408" s="2">
        <v>46180</v>
      </c>
      <c r="M408" t="str">
        <f t="shared" si="24"/>
        <v>Non admis</v>
      </c>
      <c r="N408" t="str">
        <f t="shared" si="25"/>
        <v>Non eligible</v>
      </c>
      <c r="O408" t="str">
        <f t="shared" si="26"/>
        <v>A surveiller</v>
      </c>
      <c r="P408" t="str">
        <f t="shared" si="27"/>
        <v>Hors data</v>
      </c>
      <c r="Q408" t="str" cm="1">
        <f t="array" ref="Q408">_xlfn.IFS(H408&gt;=16,"Excellent",H408&gt;=14,"Très bien",H408&gt;=12,"Bien",H408&gt;=10,"Passable",H408&lt;10,"Insuffisant")</f>
        <v>Insuffisant</v>
      </c>
    </row>
    <row r="409" spans="1:17">
      <c r="A409" t="s">
        <v>672</v>
      </c>
      <c r="B409" t="s">
        <v>290</v>
      </c>
      <c r="C409" t="s">
        <v>19</v>
      </c>
      <c r="D409" t="s">
        <v>25</v>
      </c>
      <c r="E409" s="8" t="s">
        <v>26</v>
      </c>
      <c r="F409" s="8">
        <v>14.47</v>
      </c>
      <c r="G409" s="8">
        <v>12.04</v>
      </c>
      <c r="H409" s="8">
        <v>12.67</v>
      </c>
      <c r="I409" s="8">
        <v>12.34</v>
      </c>
      <c r="J409" s="6">
        <v>0.66169999999999995</v>
      </c>
      <c r="K409" s="4">
        <v>100000</v>
      </c>
      <c r="L409" s="2">
        <v>45597</v>
      </c>
      <c r="M409" t="str">
        <f t="shared" si="24"/>
        <v>Admis</v>
      </c>
      <c r="N409" t="str">
        <f t="shared" si="25"/>
        <v>Non eligible</v>
      </c>
      <c r="O409" t="str">
        <f t="shared" si="26"/>
        <v>RAS</v>
      </c>
      <c r="P409" t="str">
        <f t="shared" si="27"/>
        <v>Hors data</v>
      </c>
      <c r="Q409" t="str" cm="1">
        <f t="array" ref="Q409">_xlfn.IFS(H409&gt;=16,"Excellent",H409&gt;=14,"Très bien",H409&gt;=12,"Bien",H409&gt;=10,"Passable",H409&lt;10,"Insuffisant")</f>
        <v>Bien</v>
      </c>
    </row>
    <row r="410" spans="1:17">
      <c r="A410" t="s">
        <v>673</v>
      </c>
      <c r="B410" t="s">
        <v>674</v>
      </c>
      <c r="C410" t="s">
        <v>24</v>
      </c>
      <c r="D410" t="s">
        <v>37</v>
      </c>
      <c r="E410" s="8" t="s">
        <v>34</v>
      </c>
      <c r="F410" s="8">
        <v>15.77</v>
      </c>
      <c r="G410" s="8">
        <v>16.079999999999998</v>
      </c>
      <c r="H410" s="8">
        <v>16.95</v>
      </c>
      <c r="I410" s="8">
        <v>12.14</v>
      </c>
      <c r="J410" s="6">
        <v>0.86729999999999996</v>
      </c>
      <c r="K410" s="4">
        <v>85000</v>
      </c>
      <c r="L410" s="2">
        <v>46164</v>
      </c>
      <c r="M410" t="str">
        <f t="shared" si="24"/>
        <v>Admis</v>
      </c>
      <c r="N410" t="str">
        <f t="shared" si="25"/>
        <v>Eligible</v>
      </c>
      <c r="O410" t="str">
        <f t="shared" si="26"/>
        <v>RAS</v>
      </c>
      <c r="P410" t="str">
        <f t="shared" si="27"/>
        <v>Hors data</v>
      </c>
      <c r="Q410" t="str" cm="1">
        <f t="array" ref="Q410">_xlfn.IFS(H410&gt;=16,"Excellent",H410&gt;=14,"Très bien",H410&gt;=12,"Bien",H410&gt;=10,"Passable",H410&lt;10,"Insuffisant")</f>
        <v>Excellent</v>
      </c>
    </row>
    <row r="411" spans="1:17">
      <c r="A411" t="s">
        <v>675</v>
      </c>
      <c r="B411" t="s">
        <v>416</v>
      </c>
      <c r="C411" t="s">
        <v>19</v>
      </c>
      <c r="D411" t="s">
        <v>20</v>
      </c>
      <c r="E411" s="8" t="s">
        <v>47</v>
      </c>
      <c r="F411" s="8">
        <v>11.16</v>
      </c>
      <c r="G411" s="8">
        <v>16.690000000000001</v>
      </c>
      <c r="H411" s="8">
        <v>15.78</v>
      </c>
      <c r="I411" s="8">
        <v>17.48</v>
      </c>
      <c r="J411" s="6">
        <v>0.80100000000000005</v>
      </c>
      <c r="K411" s="4">
        <v>85000</v>
      </c>
      <c r="L411" s="2">
        <v>45615</v>
      </c>
      <c r="M411" t="str">
        <f t="shared" si="24"/>
        <v>Admis</v>
      </c>
      <c r="N411" t="str">
        <f t="shared" si="25"/>
        <v>Non eligible</v>
      </c>
      <c r="O411" t="str">
        <f t="shared" si="26"/>
        <v>RAS</v>
      </c>
      <c r="P411" t="str">
        <f t="shared" si="27"/>
        <v>Hors data</v>
      </c>
      <c r="Q411" t="str" cm="1">
        <f t="array" ref="Q411">_xlfn.IFS(H411&gt;=16,"Excellent",H411&gt;=14,"Très bien",H411&gt;=12,"Bien",H411&gt;=10,"Passable",H411&lt;10,"Insuffisant")</f>
        <v>Très bien</v>
      </c>
    </row>
    <row r="412" spans="1:17">
      <c r="A412" t="s">
        <v>676</v>
      </c>
      <c r="B412" t="s">
        <v>563</v>
      </c>
      <c r="C412" t="s">
        <v>19</v>
      </c>
      <c r="D412" t="s">
        <v>33</v>
      </c>
      <c r="E412" s="8" t="s">
        <v>34</v>
      </c>
      <c r="F412" s="8">
        <v>18.04</v>
      </c>
      <c r="G412" s="8">
        <v>15.25</v>
      </c>
      <c r="H412" s="8">
        <v>17.36</v>
      </c>
      <c r="I412" s="8">
        <v>14.04</v>
      </c>
      <c r="J412" s="6">
        <v>0.77969999999999995</v>
      </c>
      <c r="K412" s="4">
        <v>130000</v>
      </c>
      <c r="L412" s="2">
        <v>45945</v>
      </c>
      <c r="M412" t="str">
        <f t="shared" si="24"/>
        <v>Admis</v>
      </c>
      <c r="N412" t="str">
        <f t="shared" si="25"/>
        <v>Non eligible</v>
      </c>
      <c r="O412" t="str">
        <f t="shared" si="26"/>
        <v>RAS</v>
      </c>
      <c r="P412" t="str">
        <f t="shared" si="27"/>
        <v>Hors data</v>
      </c>
      <c r="Q412" t="str" cm="1">
        <f t="array" ref="Q412">_xlfn.IFS(H412&gt;=16,"Excellent",H412&gt;=14,"Très bien",H412&gt;=12,"Bien",H412&gt;=10,"Passable",H412&lt;10,"Insuffisant")</f>
        <v>Excellent</v>
      </c>
    </row>
    <row r="413" spans="1:17">
      <c r="A413" t="s">
        <v>677</v>
      </c>
      <c r="B413" t="s">
        <v>678</v>
      </c>
      <c r="C413" t="s">
        <v>19</v>
      </c>
      <c r="D413" t="s">
        <v>52</v>
      </c>
      <c r="E413" s="8" t="s">
        <v>26</v>
      </c>
      <c r="F413" s="8">
        <v>11.69</v>
      </c>
      <c r="G413" s="8">
        <v>15.59</v>
      </c>
      <c r="H413" s="8">
        <v>14.88</v>
      </c>
      <c r="I413" s="8">
        <v>19.7</v>
      </c>
      <c r="J413" s="6">
        <v>0.6956</v>
      </c>
      <c r="K413" s="4">
        <v>70000</v>
      </c>
      <c r="L413" s="2">
        <v>46186</v>
      </c>
      <c r="M413" t="str">
        <f t="shared" si="24"/>
        <v>Admis</v>
      </c>
      <c r="N413" t="str">
        <f t="shared" si="25"/>
        <v>Non eligible</v>
      </c>
      <c r="O413" t="str">
        <f t="shared" si="26"/>
        <v>RAS</v>
      </c>
      <c r="P413" t="str">
        <f t="shared" si="27"/>
        <v>Hors data</v>
      </c>
      <c r="Q413" t="str" cm="1">
        <f t="array" ref="Q413">_xlfn.IFS(H413&gt;=16,"Excellent",H413&gt;=14,"Très bien",H413&gt;=12,"Bien",H413&gt;=10,"Passable",H413&lt;10,"Insuffisant")</f>
        <v>Très bien</v>
      </c>
    </row>
    <row r="414" spans="1:17">
      <c r="A414" t="s">
        <v>679</v>
      </c>
      <c r="B414" t="s">
        <v>554</v>
      </c>
      <c r="C414" t="s">
        <v>19</v>
      </c>
      <c r="D414" t="s">
        <v>25</v>
      </c>
      <c r="E414" s="8" t="s">
        <v>26</v>
      </c>
      <c r="F414" s="8">
        <v>20</v>
      </c>
      <c r="G414" s="8">
        <v>18.690000000000001</v>
      </c>
      <c r="H414" s="8">
        <v>17.28</v>
      </c>
      <c r="I414" s="8">
        <v>16.72</v>
      </c>
      <c r="J414" s="6">
        <v>0.95930000000000004</v>
      </c>
      <c r="K414" s="4">
        <v>130000</v>
      </c>
      <c r="L414" s="2">
        <v>45994</v>
      </c>
      <c r="M414" t="str">
        <f t="shared" si="24"/>
        <v>Admis</v>
      </c>
      <c r="N414" t="str">
        <f t="shared" si="25"/>
        <v>Eligible</v>
      </c>
      <c r="O414" t="str">
        <f t="shared" si="26"/>
        <v>RAS</v>
      </c>
      <c r="P414" t="str">
        <f t="shared" si="27"/>
        <v>Hors data</v>
      </c>
      <c r="Q414" t="str" cm="1">
        <f t="array" ref="Q414">_xlfn.IFS(H414&gt;=16,"Excellent",H414&gt;=14,"Très bien",H414&gt;=12,"Bien",H414&gt;=10,"Passable",H414&lt;10,"Insuffisant")</f>
        <v>Excellent</v>
      </c>
    </row>
    <row r="415" spans="1:17">
      <c r="A415" t="s">
        <v>680</v>
      </c>
      <c r="B415" t="s">
        <v>116</v>
      </c>
      <c r="C415" t="s">
        <v>19</v>
      </c>
      <c r="D415" t="s">
        <v>37</v>
      </c>
      <c r="E415" s="8" t="s">
        <v>26</v>
      </c>
      <c r="F415" s="8">
        <v>19.18</v>
      </c>
      <c r="G415" s="8">
        <v>20</v>
      </c>
      <c r="H415" s="8">
        <v>13.21</v>
      </c>
      <c r="I415" s="8">
        <v>20</v>
      </c>
      <c r="J415" s="6">
        <v>0.72550000000000003</v>
      </c>
      <c r="K415" s="4">
        <v>100000</v>
      </c>
      <c r="L415" s="2">
        <v>46199</v>
      </c>
      <c r="M415" t="str">
        <f t="shared" si="24"/>
        <v>Admis</v>
      </c>
      <c r="N415" t="str">
        <f t="shared" si="25"/>
        <v>Non eligible</v>
      </c>
      <c r="O415" t="str">
        <f t="shared" si="26"/>
        <v>RAS</v>
      </c>
      <c r="P415" t="str">
        <f t="shared" si="27"/>
        <v>Hors data</v>
      </c>
      <c r="Q415" t="str" cm="1">
        <f t="array" ref="Q415">_xlfn.IFS(H415&gt;=16,"Excellent",H415&gt;=14,"Très bien",H415&gt;=12,"Bien",H415&gt;=10,"Passable",H415&lt;10,"Insuffisant")</f>
        <v>Bien</v>
      </c>
    </row>
    <row r="416" spans="1:17">
      <c r="A416" t="s">
        <v>681</v>
      </c>
      <c r="B416" t="s">
        <v>682</v>
      </c>
      <c r="C416" t="s">
        <v>19</v>
      </c>
      <c r="D416" t="s">
        <v>52</v>
      </c>
      <c r="E416" s="8" t="s">
        <v>47</v>
      </c>
      <c r="F416" s="8">
        <v>6.74</v>
      </c>
      <c r="G416" s="8">
        <v>8.3000000000000007</v>
      </c>
      <c r="H416" s="8">
        <v>2.11</v>
      </c>
      <c r="I416" s="8">
        <v>5.03</v>
      </c>
      <c r="J416" s="6">
        <v>0.77539999999999998</v>
      </c>
      <c r="K416" s="4">
        <v>90000</v>
      </c>
      <c r="L416" s="2">
        <v>45777</v>
      </c>
      <c r="M416" t="str">
        <f t="shared" si="24"/>
        <v>Non admis</v>
      </c>
      <c r="N416" t="str">
        <f t="shared" si="25"/>
        <v>Non eligible</v>
      </c>
      <c r="O416" t="str">
        <f t="shared" si="26"/>
        <v>A surveiller</v>
      </c>
      <c r="P416" t="str">
        <f t="shared" si="27"/>
        <v>Hors data</v>
      </c>
      <c r="Q416" t="str" cm="1">
        <f t="array" ref="Q416">_xlfn.IFS(H416&gt;=16,"Excellent",H416&gt;=14,"Très bien",H416&gt;=12,"Bien",H416&gt;=10,"Passable",H416&lt;10,"Insuffisant")</f>
        <v>Insuffisant</v>
      </c>
    </row>
    <row r="417" spans="1:17">
      <c r="A417" t="s">
        <v>683</v>
      </c>
      <c r="B417" t="s">
        <v>147</v>
      </c>
      <c r="C417" t="s">
        <v>24</v>
      </c>
      <c r="D417" t="s">
        <v>37</v>
      </c>
      <c r="E417" s="8" t="s">
        <v>34</v>
      </c>
      <c r="F417" s="8">
        <v>10.73</v>
      </c>
      <c r="G417" s="8">
        <v>10.68</v>
      </c>
      <c r="H417" s="8">
        <v>8.77</v>
      </c>
      <c r="I417" s="8">
        <v>15.45</v>
      </c>
      <c r="J417" s="6">
        <v>0.80400000000000005</v>
      </c>
      <c r="K417" s="4">
        <v>90000</v>
      </c>
      <c r="L417" s="2">
        <v>45756</v>
      </c>
      <c r="M417" t="str">
        <f t="shared" si="24"/>
        <v>Non admis</v>
      </c>
      <c r="N417" t="str">
        <f t="shared" si="25"/>
        <v>Non eligible</v>
      </c>
      <c r="O417" t="str">
        <f t="shared" si="26"/>
        <v>A surveiller</v>
      </c>
      <c r="P417" t="str">
        <f t="shared" si="27"/>
        <v>Hors data</v>
      </c>
      <c r="Q417" t="str" cm="1">
        <f t="array" ref="Q417">_xlfn.IFS(H417&gt;=16,"Excellent",H417&gt;=14,"Très bien",H417&gt;=12,"Bien",H417&gt;=10,"Passable",H417&lt;10,"Insuffisant")</f>
        <v>Insuffisant</v>
      </c>
    </row>
    <row r="418" spans="1:17">
      <c r="A418" t="s">
        <v>684</v>
      </c>
      <c r="B418" t="s">
        <v>345</v>
      </c>
      <c r="C418" t="s">
        <v>24</v>
      </c>
      <c r="D418" t="s">
        <v>40</v>
      </c>
      <c r="E418" s="8" t="s">
        <v>21</v>
      </c>
      <c r="F418" s="8">
        <v>13.37</v>
      </c>
      <c r="G418" s="8">
        <v>15.19</v>
      </c>
      <c r="H418" s="8">
        <v>14.07</v>
      </c>
      <c r="I418" s="8">
        <v>16.670000000000002</v>
      </c>
      <c r="J418" s="6">
        <v>0.88229999999999997</v>
      </c>
      <c r="K418" s="4">
        <v>110000</v>
      </c>
      <c r="L418" s="2">
        <v>45764</v>
      </c>
      <c r="M418" t="str">
        <f t="shared" si="24"/>
        <v>Admis</v>
      </c>
      <c r="N418" t="str">
        <f t="shared" si="25"/>
        <v>Eligible</v>
      </c>
      <c r="O418" t="str">
        <f t="shared" si="26"/>
        <v>RAS</v>
      </c>
      <c r="P418" t="str">
        <f t="shared" si="27"/>
        <v>Data</v>
      </c>
      <c r="Q418" t="str" cm="1">
        <f t="array" ref="Q418">_xlfn.IFS(H418&gt;=16,"Excellent",H418&gt;=14,"Très bien",H418&gt;=12,"Bien",H418&gt;=10,"Passable",H418&lt;10,"Insuffisant")</f>
        <v>Très bien</v>
      </c>
    </row>
    <row r="419" spans="1:17">
      <c r="A419" t="s">
        <v>685</v>
      </c>
      <c r="B419" t="s">
        <v>250</v>
      </c>
      <c r="C419" t="s">
        <v>19</v>
      </c>
      <c r="D419" t="s">
        <v>37</v>
      </c>
      <c r="E419" s="8" t="s">
        <v>47</v>
      </c>
      <c r="F419" s="8">
        <v>7.56</v>
      </c>
      <c r="G419" s="8">
        <v>10.96</v>
      </c>
      <c r="H419" s="8">
        <v>5.8</v>
      </c>
      <c r="I419" s="8">
        <v>6.24</v>
      </c>
      <c r="J419" s="6">
        <v>0.61419999999999997</v>
      </c>
      <c r="K419" s="4">
        <v>100000</v>
      </c>
      <c r="L419" s="2">
        <v>45784</v>
      </c>
      <c r="M419" t="str">
        <f t="shared" si="24"/>
        <v>Non admis</v>
      </c>
      <c r="N419" t="str">
        <f t="shared" si="25"/>
        <v>Non eligible</v>
      </c>
      <c r="O419" t="str">
        <f t="shared" si="26"/>
        <v>A surveiller</v>
      </c>
      <c r="P419" t="str">
        <f t="shared" si="27"/>
        <v>Hors data</v>
      </c>
      <c r="Q419" t="str" cm="1">
        <f t="array" ref="Q419">_xlfn.IFS(H419&gt;=16,"Excellent",H419&gt;=14,"Très bien",H419&gt;=12,"Bien",H419&gt;=10,"Passable",H419&lt;10,"Insuffisant")</f>
        <v>Insuffisant</v>
      </c>
    </row>
    <row r="420" spans="1:17">
      <c r="A420" t="s">
        <v>686</v>
      </c>
      <c r="B420" t="s">
        <v>371</v>
      </c>
      <c r="C420" t="s">
        <v>19</v>
      </c>
      <c r="D420" t="s">
        <v>33</v>
      </c>
      <c r="E420" s="8" t="s">
        <v>47</v>
      </c>
      <c r="F420" s="8">
        <v>13.83</v>
      </c>
      <c r="G420" s="8">
        <v>14.86</v>
      </c>
      <c r="H420" s="8">
        <v>16.73</v>
      </c>
      <c r="I420" s="8">
        <v>12.6</v>
      </c>
      <c r="J420" s="6">
        <v>0.75819999999999999</v>
      </c>
      <c r="K420" s="4">
        <v>60000</v>
      </c>
      <c r="L420" s="2">
        <v>46013</v>
      </c>
      <c r="M420" t="str">
        <f t="shared" si="24"/>
        <v>Admis</v>
      </c>
      <c r="N420" t="str">
        <f t="shared" si="25"/>
        <v>Non eligible</v>
      </c>
      <c r="O420" t="str">
        <f t="shared" si="26"/>
        <v>RAS</v>
      </c>
      <c r="P420" t="str">
        <f t="shared" si="27"/>
        <v>Hors data</v>
      </c>
      <c r="Q420" t="str" cm="1">
        <f t="array" ref="Q420">_xlfn.IFS(H420&gt;=16,"Excellent",H420&gt;=14,"Très bien",H420&gt;=12,"Bien",H420&gt;=10,"Passable",H420&lt;10,"Insuffisant")</f>
        <v>Excellent</v>
      </c>
    </row>
    <row r="421" spans="1:17">
      <c r="A421" t="s">
        <v>687</v>
      </c>
      <c r="B421" t="s">
        <v>269</v>
      </c>
      <c r="C421" t="s">
        <v>24</v>
      </c>
      <c r="D421" t="s">
        <v>25</v>
      </c>
      <c r="E421" s="8" t="s">
        <v>47</v>
      </c>
      <c r="F421" s="8">
        <v>16.45</v>
      </c>
      <c r="G421" s="8">
        <v>19.89</v>
      </c>
      <c r="H421" s="8">
        <v>17.260000000000002</v>
      </c>
      <c r="I421" s="8">
        <v>14.62</v>
      </c>
      <c r="J421" s="6">
        <v>0.89410000000000001</v>
      </c>
      <c r="K421" s="4">
        <v>110000</v>
      </c>
      <c r="L421" s="2">
        <v>45852</v>
      </c>
      <c r="M421" t="str">
        <f t="shared" si="24"/>
        <v>Admis</v>
      </c>
      <c r="N421" t="str">
        <f t="shared" si="25"/>
        <v>Eligible</v>
      </c>
      <c r="O421" t="str">
        <f t="shared" si="26"/>
        <v>RAS</v>
      </c>
      <c r="P421" t="str">
        <f t="shared" si="27"/>
        <v>Hors data</v>
      </c>
      <c r="Q421" t="str" cm="1">
        <f t="array" ref="Q421">_xlfn.IFS(H421&gt;=16,"Excellent",H421&gt;=14,"Très bien",H421&gt;=12,"Bien",H421&gt;=10,"Passable",H421&lt;10,"Insuffisant")</f>
        <v>Excellent</v>
      </c>
    </row>
    <row r="422" spans="1:17">
      <c r="A422" t="s">
        <v>688</v>
      </c>
      <c r="B422" t="s">
        <v>689</v>
      </c>
      <c r="C422" t="s">
        <v>24</v>
      </c>
      <c r="D422" t="s">
        <v>52</v>
      </c>
      <c r="E422" s="8" t="s">
        <v>47</v>
      </c>
      <c r="F422" s="8">
        <v>5.97</v>
      </c>
      <c r="G422" s="8">
        <v>11.27</v>
      </c>
      <c r="H422" s="8">
        <v>10.119999999999999</v>
      </c>
      <c r="I422" s="8">
        <v>7.65</v>
      </c>
      <c r="J422" s="6">
        <v>0.6915</v>
      </c>
      <c r="K422" s="4">
        <v>110000</v>
      </c>
      <c r="L422" s="2">
        <v>46052</v>
      </c>
      <c r="M422" t="str">
        <f t="shared" si="24"/>
        <v>Admis</v>
      </c>
      <c r="N422" t="str">
        <f t="shared" si="25"/>
        <v>Non eligible</v>
      </c>
      <c r="O422" t="str">
        <f t="shared" si="26"/>
        <v>A surveiller</v>
      </c>
      <c r="P422" t="str">
        <f t="shared" si="27"/>
        <v>Hors data</v>
      </c>
      <c r="Q422" t="str" cm="1">
        <f t="array" ref="Q422">_xlfn.IFS(H422&gt;=16,"Excellent",H422&gt;=14,"Très bien",H422&gt;=12,"Bien",H422&gt;=10,"Passable",H422&lt;10,"Insuffisant")</f>
        <v>Passable</v>
      </c>
    </row>
    <row r="423" spans="1:17">
      <c r="A423" t="s">
        <v>690</v>
      </c>
      <c r="B423" t="s">
        <v>476</v>
      </c>
      <c r="C423" t="s">
        <v>24</v>
      </c>
      <c r="D423" t="s">
        <v>25</v>
      </c>
      <c r="E423" s="8" t="s">
        <v>26</v>
      </c>
      <c r="F423" s="8">
        <v>16.91</v>
      </c>
      <c r="G423" s="8">
        <v>15.28</v>
      </c>
      <c r="H423" s="8">
        <v>12.79</v>
      </c>
      <c r="I423" s="8">
        <v>15.81</v>
      </c>
      <c r="J423" s="6">
        <v>0.8911</v>
      </c>
      <c r="K423" s="4">
        <v>130000</v>
      </c>
      <c r="L423" s="2">
        <v>45827</v>
      </c>
      <c r="M423" t="str">
        <f t="shared" si="24"/>
        <v>Admis</v>
      </c>
      <c r="N423" t="str">
        <f t="shared" si="25"/>
        <v>Eligible</v>
      </c>
      <c r="O423" t="str">
        <f t="shared" si="26"/>
        <v>RAS</v>
      </c>
      <c r="P423" t="str">
        <f t="shared" si="27"/>
        <v>Hors data</v>
      </c>
      <c r="Q423" t="str" cm="1">
        <f t="array" ref="Q423">_xlfn.IFS(H423&gt;=16,"Excellent",H423&gt;=14,"Très bien",H423&gt;=12,"Bien",H423&gt;=10,"Passable",H423&lt;10,"Insuffisant")</f>
        <v>Bien</v>
      </c>
    </row>
    <row r="424" spans="1:17">
      <c r="A424" t="s">
        <v>691</v>
      </c>
      <c r="B424" t="s">
        <v>654</v>
      </c>
      <c r="C424" t="s">
        <v>24</v>
      </c>
      <c r="D424" t="s">
        <v>37</v>
      </c>
      <c r="E424" s="8" t="s">
        <v>21</v>
      </c>
      <c r="F424" s="8">
        <v>10.76</v>
      </c>
      <c r="G424" s="8">
        <v>11.6</v>
      </c>
      <c r="H424" s="8">
        <v>12.5</v>
      </c>
      <c r="I424" s="8">
        <v>10.4</v>
      </c>
      <c r="J424" s="6">
        <v>0.83109999999999995</v>
      </c>
      <c r="K424" s="4">
        <v>130000</v>
      </c>
      <c r="L424" s="2">
        <v>45751</v>
      </c>
      <c r="M424" t="str">
        <f t="shared" si="24"/>
        <v>Admis</v>
      </c>
      <c r="N424" t="str">
        <f t="shared" si="25"/>
        <v>Non eligible</v>
      </c>
      <c r="O424" t="str">
        <f t="shared" si="26"/>
        <v>RAS</v>
      </c>
      <c r="P424" t="str">
        <f t="shared" si="27"/>
        <v>Data</v>
      </c>
      <c r="Q424" t="str" cm="1">
        <f t="array" ref="Q424">_xlfn.IFS(H424&gt;=16,"Excellent",H424&gt;=14,"Très bien",H424&gt;=12,"Bien",H424&gt;=10,"Passable",H424&lt;10,"Insuffisant")</f>
        <v>Bien</v>
      </c>
    </row>
    <row r="425" spans="1:17">
      <c r="A425" t="s">
        <v>692</v>
      </c>
      <c r="B425" t="s">
        <v>454</v>
      </c>
      <c r="C425" t="s">
        <v>24</v>
      </c>
      <c r="D425" t="s">
        <v>25</v>
      </c>
      <c r="E425" s="8" t="s">
        <v>34</v>
      </c>
      <c r="F425" s="8">
        <v>10.55</v>
      </c>
      <c r="G425" s="8">
        <v>7.58</v>
      </c>
      <c r="H425" s="8">
        <v>10.050000000000001</v>
      </c>
      <c r="I425" s="8">
        <v>11.63</v>
      </c>
      <c r="J425" s="6">
        <v>0.75629999999999997</v>
      </c>
      <c r="K425" s="4">
        <v>130000</v>
      </c>
      <c r="L425" s="2">
        <v>45669</v>
      </c>
      <c r="M425" t="str">
        <f t="shared" si="24"/>
        <v>Admis</v>
      </c>
      <c r="N425" t="str">
        <f t="shared" si="25"/>
        <v>Non eligible</v>
      </c>
      <c r="O425" t="str">
        <f t="shared" si="26"/>
        <v>RAS</v>
      </c>
      <c r="P425" t="str">
        <f t="shared" si="27"/>
        <v>Hors data</v>
      </c>
      <c r="Q425" t="str" cm="1">
        <f t="array" ref="Q425">_xlfn.IFS(H425&gt;=16,"Excellent",H425&gt;=14,"Très bien",H425&gt;=12,"Bien",H425&gt;=10,"Passable",H425&lt;10,"Insuffisant")</f>
        <v>Passable</v>
      </c>
    </row>
    <row r="426" spans="1:17">
      <c r="A426" t="s">
        <v>693</v>
      </c>
      <c r="B426" t="s">
        <v>554</v>
      </c>
      <c r="C426" t="s">
        <v>19</v>
      </c>
      <c r="D426" t="s">
        <v>37</v>
      </c>
      <c r="E426" s="8" t="s">
        <v>47</v>
      </c>
      <c r="F426" s="8">
        <v>16.399999999999999</v>
      </c>
      <c r="G426" s="8">
        <v>17.86</v>
      </c>
      <c r="H426" s="8">
        <v>15.67</v>
      </c>
      <c r="I426" s="8">
        <v>18.760000000000002</v>
      </c>
      <c r="J426" s="6">
        <v>0.61680000000000001</v>
      </c>
      <c r="K426" s="4">
        <v>50000</v>
      </c>
      <c r="L426" s="2">
        <v>45921</v>
      </c>
      <c r="M426" t="str">
        <f t="shared" si="24"/>
        <v>Admis</v>
      </c>
      <c r="N426" t="str">
        <f t="shared" si="25"/>
        <v>Non eligible</v>
      </c>
      <c r="O426" t="str">
        <f t="shared" si="26"/>
        <v>RAS</v>
      </c>
      <c r="P426" t="str">
        <f t="shared" si="27"/>
        <v>Hors data</v>
      </c>
      <c r="Q426" t="str" cm="1">
        <f t="array" ref="Q426">_xlfn.IFS(H426&gt;=16,"Excellent",H426&gt;=14,"Très bien",H426&gt;=12,"Bien",H426&gt;=10,"Passable",H426&lt;10,"Insuffisant")</f>
        <v>Très bien</v>
      </c>
    </row>
    <row r="427" spans="1:17">
      <c r="A427" t="s">
        <v>694</v>
      </c>
      <c r="B427" t="s">
        <v>263</v>
      </c>
      <c r="C427" t="s">
        <v>19</v>
      </c>
      <c r="D427" t="s">
        <v>52</v>
      </c>
      <c r="E427" s="8" t="s">
        <v>26</v>
      </c>
      <c r="F427" s="8">
        <v>12.77</v>
      </c>
      <c r="G427" s="8">
        <v>10.91</v>
      </c>
      <c r="H427" s="8">
        <v>14.8</v>
      </c>
      <c r="I427" s="8">
        <v>7.79</v>
      </c>
      <c r="J427" s="6">
        <v>0.90069999999999995</v>
      </c>
      <c r="K427" s="4">
        <v>90000</v>
      </c>
      <c r="L427" s="2">
        <v>46164</v>
      </c>
      <c r="M427" t="str">
        <f t="shared" si="24"/>
        <v>Admis</v>
      </c>
      <c r="N427" t="str">
        <f t="shared" si="25"/>
        <v>Eligible</v>
      </c>
      <c r="O427" t="str">
        <f t="shared" si="26"/>
        <v>RAS</v>
      </c>
      <c r="P427" t="str">
        <f t="shared" si="27"/>
        <v>Hors data</v>
      </c>
      <c r="Q427" t="str" cm="1">
        <f t="array" ref="Q427">_xlfn.IFS(H427&gt;=16,"Excellent",H427&gt;=14,"Très bien",H427&gt;=12,"Bien",H427&gt;=10,"Passable",H427&lt;10,"Insuffisant")</f>
        <v>Très bien</v>
      </c>
    </row>
    <row r="428" spans="1:17">
      <c r="A428" t="s">
        <v>695</v>
      </c>
      <c r="B428" t="s">
        <v>696</v>
      </c>
      <c r="C428" t="s">
        <v>24</v>
      </c>
      <c r="D428" t="s">
        <v>25</v>
      </c>
      <c r="E428" s="8" t="s">
        <v>26</v>
      </c>
      <c r="F428" s="8">
        <v>12.83</v>
      </c>
      <c r="G428" s="8">
        <v>12.58</v>
      </c>
      <c r="H428" s="8">
        <v>15.77</v>
      </c>
      <c r="I428" s="8">
        <v>17.53</v>
      </c>
      <c r="J428" s="6">
        <v>0.89200000000000002</v>
      </c>
      <c r="K428" s="4">
        <v>130000</v>
      </c>
      <c r="L428" s="2">
        <v>46137</v>
      </c>
      <c r="M428" t="str">
        <f t="shared" si="24"/>
        <v>Admis</v>
      </c>
      <c r="N428" t="str">
        <f t="shared" si="25"/>
        <v>Eligible</v>
      </c>
      <c r="O428" t="str">
        <f t="shared" si="26"/>
        <v>RAS</v>
      </c>
      <c r="P428" t="str">
        <f t="shared" si="27"/>
        <v>Hors data</v>
      </c>
      <c r="Q428" t="str" cm="1">
        <f t="array" ref="Q428">_xlfn.IFS(H428&gt;=16,"Excellent",H428&gt;=14,"Très bien",H428&gt;=12,"Bien",H428&gt;=10,"Passable",H428&lt;10,"Insuffisant")</f>
        <v>Très bien</v>
      </c>
    </row>
    <row r="429" spans="1:17">
      <c r="A429" t="s">
        <v>697</v>
      </c>
      <c r="B429" t="s">
        <v>698</v>
      </c>
      <c r="C429" t="s">
        <v>24</v>
      </c>
      <c r="D429" t="s">
        <v>25</v>
      </c>
      <c r="E429" s="8" t="s">
        <v>26</v>
      </c>
      <c r="F429" s="8">
        <v>3.3</v>
      </c>
      <c r="G429" s="8">
        <v>11.82</v>
      </c>
      <c r="H429" s="8">
        <v>7.94</v>
      </c>
      <c r="I429" s="8">
        <v>7.39</v>
      </c>
      <c r="J429" s="6">
        <v>0.89590000000000003</v>
      </c>
      <c r="K429" s="4">
        <v>130000</v>
      </c>
      <c r="L429" s="2">
        <v>45713</v>
      </c>
      <c r="M429" t="str">
        <f t="shared" si="24"/>
        <v>Non admis</v>
      </c>
      <c r="N429" t="str">
        <f t="shared" si="25"/>
        <v>Non eligible</v>
      </c>
      <c r="O429" t="str">
        <f t="shared" si="26"/>
        <v>A surveiller</v>
      </c>
      <c r="P429" t="str">
        <f t="shared" si="27"/>
        <v>Hors data</v>
      </c>
      <c r="Q429" t="str" cm="1">
        <f t="array" ref="Q429">_xlfn.IFS(H429&gt;=16,"Excellent",H429&gt;=14,"Très bien",H429&gt;=12,"Bien",H429&gt;=10,"Passable",H429&lt;10,"Insuffisant")</f>
        <v>Insuffisant</v>
      </c>
    </row>
    <row r="430" spans="1:17">
      <c r="A430" t="s">
        <v>699</v>
      </c>
      <c r="B430" t="s">
        <v>257</v>
      </c>
      <c r="C430" t="s">
        <v>19</v>
      </c>
      <c r="D430" t="s">
        <v>40</v>
      </c>
      <c r="E430" s="8" t="s">
        <v>26</v>
      </c>
      <c r="F430" s="8">
        <v>19.61</v>
      </c>
      <c r="G430" s="8">
        <v>20</v>
      </c>
      <c r="H430" s="8">
        <v>20</v>
      </c>
      <c r="I430" s="8">
        <v>19.79</v>
      </c>
      <c r="J430" s="6">
        <v>0.74160000000000004</v>
      </c>
      <c r="K430" s="4">
        <v>90000</v>
      </c>
      <c r="L430" s="2">
        <v>45870</v>
      </c>
      <c r="M430" t="str">
        <f t="shared" si="24"/>
        <v>Admis</v>
      </c>
      <c r="N430" t="str">
        <f t="shared" si="25"/>
        <v>Non eligible</v>
      </c>
      <c r="O430" t="str">
        <f t="shared" si="26"/>
        <v>RAS</v>
      </c>
      <c r="P430" t="str">
        <f t="shared" si="27"/>
        <v>Hors data</v>
      </c>
      <c r="Q430" t="str" cm="1">
        <f t="array" ref="Q430">_xlfn.IFS(H430&gt;=16,"Excellent",H430&gt;=14,"Très bien",H430&gt;=12,"Bien",H430&gt;=10,"Passable",H430&lt;10,"Insuffisant")</f>
        <v>Excellent</v>
      </c>
    </row>
    <row r="431" spans="1:17">
      <c r="A431" t="s">
        <v>700</v>
      </c>
      <c r="B431" t="s">
        <v>379</v>
      </c>
      <c r="C431" t="s">
        <v>24</v>
      </c>
      <c r="D431" t="s">
        <v>25</v>
      </c>
      <c r="E431" s="8" t="s">
        <v>26</v>
      </c>
      <c r="F431" s="8">
        <v>16.329999999999998</v>
      </c>
      <c r="G431" s="8">
        <v>15.52</v>
      </c>
      <c r="H431" s="8">
        <v>15.41</v>
      </c>
      <c r="I431" s="8">
        <v>16.45</v>
      </c>
      <c r="J431" s="6">
        <v>0.626</v>
      </c>
      <c r="K431" s="4">
        <v>130000</v>
      </c>
      <c r="L431" s="2">
        <v>46029</v>
      </c>
      <c r="M431" t="str">
        <f t="shared" si="24"/>
        <v>Admis</v>
      </c>
      <c r="N431" t="str">
        <f t="shared" si="25"/>
        <v>Non eligible</v>
      </c>
      <c r="O431" t="str">
        <f t="shared" si="26"/>
        <v>RAS</v>
      </c>
      <c r="P431" t="str">
        <f t="shared" si="27"/>
        <v>Hors data</v>
      </c>
      <c r="Q431" t="str" cm="1">
        <f t="array" ref="Q431">_xlfn.IFS(H431&gt;=16,"Excellent",H431&gt;=14,"Très bien",H431&gt;=12,"Bien",H431&gt;=10,"Passable",H431&lt;10,"Insuffisant")</f>
        <v>Très bien</v>
      </c>
    </row>
    <row r="432" spans="1:17">
      <c r="A432" t="s">
        <v>701</v>
      </c>
      <c r="B432" t="s">
        <v>466</v>
      </c>
      <c r="C432" t="s">
        <v>19</v>
      </c>
      <c r="D432" t="s">
        <v>20</v>
      </c>
      <c r="E432" s="8" t="s">
        <v>47</v>
      </c>
      <c r="F432" s="8">
        <v>12.55</v>
      </c>
      <c r="G432" s="8">
        <v>12.15</v>
      </c>
      <c r="H432" s="8">
        <v>14.03</v>
      </c>
      <c r="I432" s="8">
        <v>15.9</v>
      </c>
      <c r="J432" s="6">
        <v>0.67689999999999995</v>
      </c>
      <c r="K432" s="4">
        <v>120000</v>
      </c>
      <c r="L432" s="2">
        <v>45964</v>
      </c>
      <c r="M432" t="str">
        <f t="shared" si="24"/>
        <v>Admis</v>
      </c>
      <c r="N432" t="str">
        <f t="shared" si="25"/>
        <v>Non eligible</v>
      </c>
      <c r="O432" t="str">
        <f t="shared" si="26"/>
        <v>RAS</v>
      </c>
      <c r="P432" t="str">
        <f t="shared" si="27"/>
        <v>Hors data</v>
      </c>
      <c r="Q432" t="str" cm="1">
        <f t="array" ref="Q432">_xlfn.IFS(H432&gt;=16,"Excellent",H432&gt;=14,"Très bien",H432&gt;=12,"Bien",H432&gt;=10,"Passable",H432&lt;10,"Insuffisant")</f>
        <v>Très bien</v>
      </c>
    </row>
    <row r="433" spans="1:17">
      <c r="A433" t="s">
        <v>702</v>
      </c>
      <c r="B433" t="s">
        <v>411</v>
      </c>
      <c r="C433" t="s">
        <v>24</v>
      </c>
      <c r="D433" t="s">
        <v>37</v>
      </c>
      <c r="E433" s="8" t="s">
        <v>21</v>
      </c>
      <c r="F433" s="8">
        <v>12.59</v>
      </c>
      <c r="G433" s="8">
        <v>16.16</v>
      </c>
      <c r="H433" s="8">
        <v>13.51</v>
      </c>
      <c r="I433" s="8">
        <v>14.78</v>
      </c>
      <c r="J433" s="6">
        <v>0.76980000000000004</v>
      </c>
      <c r="K433" s="4">
        <v>50000</v>
      </c>
      <c r="L433" s="2">
        <v>45583</v>
      </c>
      <c r="M433" t="str">
        <f t="shared" si="24"/>
        <v>Admis</v>
      </c>
      <c r="N433" t="str">
        <f t="shared" si="25"/>
        <v>Non eligible</v>
      </c>
      <c r="O433" t="str">
        <f t="shared" si="26"/>
        <v>RAS</v>
      </c>
      <c r="P433" t="str">
        <f t="shared" si="27"/>
        <v>Data</v>
      </c>
      <c r="Q433" t="str" cm="1">
        <f t="array" ref="Q433">_xlfn.IFS(H433&gt;=16,"Excellent",H433&gt;=14,"Très bien",H433&gt;=12,"Bien",H433&gt;=10,"Passable",H433&lt;10,"Insuffisant")</f>
        <v>Bien</v>
      </c>
    </row>
    <row r="434" spans="1:17">
      <c r="A434" t="s">
        <v>703</v>
      </c>
      <c r="B434" t="s">
        <v>411</v>
      </c>
      <c r="C434" t="s">
        <v>24</v>
      </c>
      <c r="D434" t="s">
        <v>37</v>
      </c>
      <c r="E434" s="8" t="s">
        <v>47</v>
      </c>
      <c r="F434" s="8">
        <v>9.75</v>
      </c>
      <c r="G434" s="8">
        <v>12.13</v>
      </c>
      <c r="H434" s="8">
        <v>14.31</v>
      </c>
      <c r="I434" s="8">
        <v>4.78</v>
      </c>
      <c r="J434" s="6">
        <v>0.55000000000000004</v>
      </c>
      <c r="K434" s="4">
        <v>120000</v>
      </c>
      <c r="L434" s="2">
        <v>45949</v>
      </c>
      <c r="M434" t="str">
        <f t="shared" si="24"/>
        <v>Admis</v>
      </c>
      <c r="N434" t="str">
        <f t="shared" si="25"/>
        <v>Non eligible</v>
      </c>
      <c r="O434" t="str">
        <f t="shared" si="26"/>
        <v>A surveiller</v>
      </c>
      <c r="P434" t="str">
        <f t="shared" si="27"/>
        <v>Hors data</v>
      </c>
      <c r="Q434" t="str" cm="1">
        <f t="array" ref="Q434">_xlfn.IFS(H434&gt;=16,"Excellent",H434&gt;=14,"Très bien",H434&gt;=12,"Bien",H434&gt;=10,"Passable",H434&lt;10,"Insuffisant")</f>
        <v>Très bien</v>
      </c>
    </row>
    <row r="435" spans="1:17">
      <c r="A435" t="s">
        <v>704</v>
      </c>
      <c r="B435" t="s">
        <v>682</v>
      </c>
      <c r="C435" t="s">
        <v>19</v>
      </c>
      <c r="D435" t="s">
        <v>33</v>
      </c>
      <c r="E435" s="8" t="s">
        <v>47</v>
      </c>
      <c r="F435" s="8">
        <v>13.59</v>
      </c>
      <c r="G435" s="8">
        <v>15.39</v>
      </c>
      <c r="H435" s="8">
        <v>15.74</v>
      </c>
      <c r="I435" s="8">
        <v>16.84</v>
      </c>
      <c r="J435" s="6">
        <v>0.877</v>
      </c>
      <c r="K435" s="4">
        <v>100000</v>
      </c>
      <c r="L435" s="2">
        <v>45563</v>
      </c>
      <c r="M435" t="str">
        <f t="shared" si="24"/>
        <v>Admis</v>
      </c>
      <c r="N435" t="str">
        <f t="shared" si="25"/>
        <v>Eligible</v>
      </c>
      <c r="O435" t="str">
        <f t="shared" si="26"/>
        <v>RAS</v>
      </c>
      <c r="P435" t="str">
        <f t="shared" si="27"/>
        <v>Hors data</v>
      </c>
      <c r="Q435" t="str" cm="1">
        <f t="array" ref="Q435">_xlfn.IFS(H435&gt;=16,"Excellent",H435&gt;=14,"Très bien",H435&gt;=12,"Bien",H435&gt;=10,"Passable",H435&lt;10,"Insuffisant")</f>
        <v>Très bien</v>
      </c>
    </row>
    <row r="436" spans="1:17">
      <c r="A436" t="s">
        <v>705</v>
      </c>
      <c r="B436" t="s">
        <v>156</v>
      </c>
      <c r="C436" t="s">
        <v>19</v>
      </c>
      <c r="D436" t="s">
        <v>20</v>
      </c>
      <c r="E436" s="8" t="s">
        <v>21</v>
      </c>
      <c r="F436" s="8">
        <v>10.33</v>
      </c>
      <c r="G436" s="8">
        <v>12.98</v>
      </c>
      <c r="H436" s="8">
        <v>16.22</v>
      </c>
      <c r="I436" s="8">
        <v>12.93</v>
      </c>
      <c r="J436" s="6">
        <v>0.77610000000000001</v>
      </c>
      <c r="K436" s="4">
        <v>90000</v>
      </c>
      <c r="L436" s="2">
        <v>45617</v>
      </c>
      <c r="M436" t="str">
        <f t="shared" si="24"/>
        <v>Admis</v>
      </c>
      <c r="N436" t="str">
        <f t="shared" si="25"/>
        <v>Non eligible</v>
      </c>
      <c r="O436" t="str">
        <f t="shared" si="26"/>
        <v>RAS</v>
      </c>
      <c r="P436" t="str">
        <f t="shared" si="27"/>
        <v>Data</v>
      </c>
      <c r="Q436" t="str" cm="1">
        <f t="array" ref="Q436">_xlfn.IFS(H436&gt;=16,"Excellent",H436&gt;=14,"Très bien",H436&gt;=12,"Bien",H436&gt;=10,"Passable",H436&lt;10,"Insuffisant")</f>
        <v>Excellent</v>
      </c>
    </row>
    <row r="437" spans="1:17">
      <c r="A437" t="s">
        <v>706</v>
      </c>
      <c r="B437" t="s">
        <v>91</v>
      </c>
      <c r="C437" t="s">
        <v>19</v>
      </c>
      <c r="D437" t="s">
        <v>20</v>
      </c>
      <c r="E437" s="8" t="s">
        <v>26</v>
      </c>
      <c r="F437" s="8">
        <v>11.28</v>
      </c>
      <c r="G437" s="8">
        <v>15.24</v>
      </c>
      <c r="H437" s="8">
        <v>12.71</v>
      </c>
      <c r="I437" s="8">
        <v>10.55</v>
      </c>
      <c r="J437" s="6">
        <v>0.7661</v>
      </c>
      <c r="K437" s="4">
        <v>60000</v>
      </c>
      <c r="L437" s="2">
        <v>45993</v>
      </c>
      <c r="M437" t="str">
        <f t="shared" si="24"/>
        <v>Admis</v>
      </c>
      <c r="N437" t="str">
        <f t="shared" si="25"/>
        <v>Non eligible</v>
      </c>
      <c r="O437" t="str">
        <f t="shared" si="26"/>
        <v>RAS</v>
      </c>
      <c r="P437" t="str">
        <f t="shared" si="27"/>
        <v>Hors data</v>
      </c>
      <c r="Q437" t="str" cm="1">
        <f t="array" ref="Q437">_xlfn.IFS(H437&gt;=16,"Excellent",H437&gt;=14,"Très bien",H437&gt;=12,"Bien",H437&gt;=10,"Passable",H437&lt;10,"Insuffisant")</f>
        <v>Bien</v>
      </c>
    </row>
    <row r="438" spans="1:17">
      <c r="A438" t="s">
        <v>707</v>
      </c>
      <c r="B438" t="s">
        <v>407</v>
      </c>
      <c r="C438" t="s">
        <v>24</v>
      </c>
      <c r="D438" t="s">
        <v>37</v>
      </c>
      <c r="E438" s="8" t="s">
        <v>47</v>
      </c>
      <c r="F438" s="8">
        <v>13.98</v>
      </c>
      <c r="G438" s="8">
        <v>8.26</v>
      </c>
      <c r="H438" s="8">
        <v>14.1</v>
      </c>
      <c r="I438" s="8">
        <v>12.35</v>
      </c>
      <c r="J438" s="6">
        <v>0.55000000000000004</v>
      </c>
      <c r="K438" s="4">
        <v>130000</v>
      </c>
      <c r="L438" s="2">
        <v>45607</v>
      </c>
      <c r="M438" t="str">
        <f t="shared" si="24"/>
        <v>Admis</v>
      </c>
      <c r="N438" t="str">
        <f t="shared" si="25"/>
        <v>Non eligible</v>
      </c>
      <c r="O438" t="str">
        <f t="shared" si="26"/>
        <v>RAS</v>
      </c>
      <c r="P438" t="str">
        <f t="shared" si="27"/>
        <v>Hors data</v>
      </c>
      <c r="Q438" t="str" cm="1">
        <f t="array" ref="Q438">_xlfn.IFS(H438&gt;=16,"Excellent",H438&gt;=14,"Très bien",H438&gt;=12,"Bien",H438&gt;=10,"Passable",H438&lt;10,"Insuffisant")</f>
        <v>Très bien</v>
      </c>
    </row>
    <row r="439" spans="1:17">
      <c r="A439" t="s">
        <v>708</v>
      </c>
      <c r="B439" t="s">
        <v>709</v>
      </c>
      <c r="C439" t="s">
        <v>24</v>
      </c>
      <c r="D439" t="s">
        <v>20</v>
      </c>
      <c r="E439" s="8" t="s">
        <v>26</v>
      </c>
      <c r="F439" s="8">
        <v>11.08</v>
      </c>
      <c r="G439" s="8">
        <v>12.15</v>
      </c>
      <c r="H439" s="8">
        <v>13.69</v>
      </c>
      <c r="I439" s="8">
        <v>10.98</v>
      </c>
      <c r="J439" s="6">
        <v>0.71079999999999999</v>
      </c>
      <c r="K439" s="4">
        <v>75000</v>
      </c>
      <c r="L439" s="2">
        <v>45773</v>
      </c>
      <c r="M439" t="str">
        <f t="shared" si="24"/>
        <v>Admis</v>
      </c>
      <c r="N439" t="str">
        <f t="shared" si="25"/>
        <v>Non eligible</v>
      </c>
      <c r="O439" t="str">
        <f t="shared" si="26"/>
        <v>RAS</v>
      </c>
      <c r="P439" t="str">
        <f t="shared" si="27"/>
        <v>Hors data</v>
      </c>
      <c r="Q439" t="str" cm="1">
        <f t="array" ref="Q439">_xlfn.IFS(H439&gt;=16,"Excellent",H439&gt;=14,"Très bien",H439&gt;=12,"Bien",H439&gt;=10,"Passable",H439&lt;10,"Insuffisant")</f>
        <v>Bien</v>
      </c>
    </row>
    <row r="440" spans="1:17">
      <c r="A440" t="s">
        <v>710</v>
      </c>
      <c r="B440" t="s">
        <v>711</v>
      </c>
      <c r="C440" t="s">
        <v>19</v>
      </c>
      <c r="D440" t="s">
        <v>37</v>
      </c>
      <c r="E440" s="8" t="s">
        <v>21</v>
      </c>
      <c r="F440" s="8">
        <v>14.46</v>
      </c>
      <c r="G440" s="8">
        <v>14.9</v>
      </c>
      <c r="H440" s="8">
        <v>18.170000000000002</v>
      </c>
      <c r="I440" s="8">
        <v>12.39</v>
      </c>
      <c r="J440" s="6">
        <v>0.89910000000000001</v>
      </c>
      <c r="K440" s="4">
        <v>80000</v>
      </c>
      <c r="L440" s="2">
        <v>45947</v>
      </c>
      <c r="M440" t="str">
        <f t="shared" si="24"/>
        <v>Admis</v>
      </c>
      <c r="N440" t="str">
        <f t="shared" si="25"/>
        <v>Eligible</v>
      </c>
      <c r="O440" t="str">
        <f t="shared" si="26"/>
        <v>RAS</v>
      </c>
      <c r="P440" t="str">
        <f t="shared" si="27"/>
        <v>Data</v>
      </c>
      <c r="Q440" t="str" cm="1">
        <f t="array" ref="Q440">_xlfn.IFS(H440&gt;=16,"Excellent",H440&gt;=14,"Très bien",H440&gt;=12,"Bien",H440&gt;=10,"Passable",H440&lt;10,"Insuffisant")</f>
        <v>Excellent</v>
      </c>
    </row>
    <row r="441" spans="1:17">
      <c r="A441" t="s">
        <v>712</v>
      </c>
      <c r="B441" t="s">
        <v>377</v>
      </c>
      <c r="C441" t="s">
        <v>19</v>
      </c>
      <c r="D441" t="s">
        <v>52</v>
      </c>
      <c r="E441" s="8" t="s">
        <v>26</v>
      </c>
      <c r="F441" s="8">
        <v>18.52</v>
      </c>
      <c r="G441" s="8">
        <v>14.32</v>
      </c>
      <c r="H441" s="8">
        <v>12.57</v>
      </c>
      <c r="I441" s="8">
        <v>15.59</v>
      </c>
      <c r="J441" s="6">
        <v>0.98099999999999998</v>
      </c>
      <c r="K441" s="4">
        <v>75000</v>
      </c>
      <c r="L441" s="2">
        <v>45994</v>
      </c>
      <c r="M441" t="str">
        <f t="shared" si="24"/>
        <v>Admis</v>
      </c>
      <c r="N441" t="str">
        <f t="shared" si="25"/>
        <v>Eligible</v>
      </c>
      <c r="O441" t="str">
        <f t="shared" si="26"/>
        <v>RAS</v>
      </c>
      <c r="P441" t="str">
        <f t="shared" si="27"/>
        <v>Hors data</v>
      </c>
      <c r="Q441" t="str" cm="1">
        <f t="array" ref="Q441">_xlfn.IFS(H441&gt;=16,"Excellent",H441&gt;=14,"Très bien",H441&gt;=12,"Bien",H441&gt;=10,"Passable",H441&lt;10,"Insuffisant")</f>
        <v>Bien</v>
      </c>
    </row>
    <row r="442" spans="1:17">
      <c r="A442" t="s">
        <v>713</v>
      </c>
      <c r="B442" t="s">
        <v>51</v>
      </c>
      <c r="C442" t="s">
        <v>24</v>
      </c>
      <c r="D442" t="s">
        <v>52</v>
      </c>
      <c r="E442" s="8" t="s">
        <v>34</v>
      </c>
      <c r="F442" s="8">
        <v>16.100000000000001</v>
      </c>
      <c r="G442" s="8">
        <v>14.62</v>
      </c>
      <c r="H442" s="8">
        <v>17.89</v>
      </c>
      <c r="I442" s="8">
        <v>13.98</v>
      </c>
      <c r="J442" s="6">
        <v>0.55000000000000004</v>
      </c>
      <c r="K442" s="4">
        <v>130000</v>
      </c>
      <c r="L442" s="2">
        <v>45848</v>
      </c>
      <c r="M442" t="str">
        <f t="shared" si="24"/>
        <v>Admis</v>
      </c>
      <c r="N442" t="str">
        <f t="shared" si="25"/>
        <v>Non eligible</v>
      </c>
      <c r="O442" t="str">
        <f t="shared" si="26"/>
        <v>RAS</v>
      </c>
      <c r="P442" t="str">
        <f t="shared" si="27"/>
        <v>Hors data</v>
      </c>
      <c r="Q442" t="str" cm="1">
        <f t="array" ref="Q442">_xlfn.IFS(H442&gt;=16,"Excellent",H442&gt;=14,"Très bien",H442&gt;=12,"Bien",H442&gt;=10,"Passable",H442&lt;10,"Insuffisant")</f>
        <v>Excellent</v>
      </c>
    </row>
    <row r="443" spans="1:17">
      <c r="A443" t="s">
        <v>714</v>
      </c>
      <c r="B443" t="s">
        <v>631</v>
      </c>
      <c r="C443" t="s">
        <v>19</v>
      </c>
      <c r="D443" t="s">
        <v>33</v>
      </c>
      <c r="E443" s="8" t="s">
        <v>47</v>
      </c>
      <c r="F443" s="8">
        <v>14.22</v>
      </c>
      <c r="G443" s="8">
        <v>14.18</v>
      </c>
      <c r="H443" s="8">
        <v>17.739999999999998</v>
      </c>
      <c r="I443" s="8">
        <v>12.48</v>
      </c>
      <c r="J443" s="6">
        <v>0.84509999999999996</v>
      </c>
      <c r="K443" s="4">
        <v>85000</v>
      </c>
      <c r="L443" s="2">
        <v>45601</v>
      </c>
      <c r="M443" t="str">
        <f t="shared" si="24"/>
        <v>Admis</v>
      </c>
      <c r="N443" t="str">
        <f t="shared" si="25"/>
        <v>Eligible</v>
      </c>
      <c r="O443" t="str">
        <f t="shared" si="26"/>
        <v>RAS</v>
      </c>
      <c r="P443" t="str">
        <f t="shared" si="27"/>
        <v>Hors data</v>
      </c>
      <c r="Q443" t="str" cm="1">
        <f t="array" ref="Q443">_xlfn.IFS(H443&gt;=16,"Excellent",H443&gt;=14,"Très bien",H443&gt;=12,"Bien",H443&gt;=10,"Passable",H443&lt;10,"Insuffisant")</f>
        <v>Excellent</v>
      </c>
    </row>
    <row r="444" spans="1:17">
      <c r="A444" t="s">
        <v>715</v>
      </c>
      <c r="B444" t="s">
        <v>134</v>
      </c>
      <c r="C444" t="s">
        <v>19</v>
      </c>
      <c r="D444" t="s">
        <v>20</v>
      </c>
      <c r="E444" s="8" t="s">
        <v>47</v>
      </c>
      <c r="F444" s="8">
        <v>14.12</v>
      </c>
      <c r="G444" s="8">
        <v>19.57</v>
      </c>
      <c r="H444" s="8">
        <v>14.57</v>
      </c>
      <c r="I444" s="8">
        <v>13.82</v>
      </c>
      <c r="J444" s="6">
        <v>0.69399999999999995</v>
      </c>
      <c r="K444" s="4">
        <v>60000</v>
      </c>
      <c r="L444" s="2">
        <v>46095</v>
      </c>
      <c r="M444" t="str">
        <f t="shared" si="24"/>
        <v>Admis</v>
      </c>
      <c r="N444" t="str">
        <f t="shared" si="25"/>
        <v>Non eligible</v>
      </c>
      <c r="O444" t="str">
        <f t="shared" si="26"/>
        <v>RAS</v>
      </c>
      <c r="P444" t="str">
        <f t="shared" si="27"/>
        <v>Hors data</v>
      </c>
      <c r="Q444" t="str" cm="1">
        <f t="array" ref="Q444">_xlfn.IFS(H444&gt;=16,"Excellent",H444&gt;=14,"Très bien",H444&gt;=12,"Bien",H444&gt;=10,"Passable",H444&lt;10,"Insuffisant")</f>
        <v>Très bien</v>
      </c>
    </row>
    <row r="445" spans="1:17">
      <c r="A445" t="s">
        <v>716</v>
      </c>
      <c r="B445" t="s">
        <v>717</v>
      </c>
      <c r="C445" t="s">
        <v>19</v>
      </c>
      <c r="D445" t="s">
        <v>52</v>
      </c>
      <c r="E445" s="8" t="s">
        <v>47</v>
      </c>
      <c r="F445" s="8">
        <v>11.02</v>
      </c>
      <c r="G445" s="8">
        <v>12.01</v>
      </c>
      <c r="H445" s="8">
        <v>12.6</v>
      </c>
      <c r="I445" s="8">
        <v>14.95</v>
      </c>
      <c r="J445" s="6">
        <v>0.89570000000000005</v>
      </c>
      <c r="K445" s="4">
        <v>50000</v>
      </c>
      <c r="L445" s="2">
        <v>46200</v>
      </c>
      <c r="M445" t="str">
        <f t="shared" si="24"/>
        <v>Admis</v>
      </c>
      <c r="N445" t="str">
        <f t="shared" si="25"/>
        <v>Non eligible</v>
      </c>
      <c r="O445" t="str">
        <f t="shared" si="26"/>
        <v>RAS</v>
      </c>
      <c r="P445" t="str">
        <f t="shared" si="27"/>
        <v>Hors data</v>
      </c>
      <c r="Q445" t="str" cm="1">
        <f t="array" ref="Q445">_xlfn.IFS(H445&gt;=16,"Excellent",H445&gt;=14,"Très bien",H445&gt;=12,"Bien",H445&gt;=10,"Passable",H445&lt;10,"Insuffisant")</f>
        <v>Bien</v>
      </c>
    </row>
    <row r="446" spans="1:17">
      <c r="A446" t="s">
        <v>718</v>
      </c>
      <c r="B446" t="s">
        <v>719</v>
      </c>
      <c r="C446" t="s">
        <v>24</v>
      </c>
      <c r="D446" t="s">
        <v>33</v>
      </c>
      <c r="E446" s="8" t="s">
        <v>26</v>
      </c>
      <c r="F446" s="8">
        <v>14.93</v>
      </c>
      <c r="G446" s="8">
        <v>20</v>
      </c>
      <c r="H446" s="8">
        <v>18.79</v>
      </c>
      <c r="I446" s="8">
        <v>19.55</v>
      </c>
      <c r="J446" s="6">
        <v>0.87239999999999995</v>
      </c>
      <c r="K446" s="4">
        <v>130000</v>
      </c>
      <c r="L446" s="2">
        <v>46158</v>
      </c>
      <c r="M446" t="str">
        <f t="shared" si="24"/>
        <v>Admis</v>
      </c>
      <c r="N446" t="str">
        <f t="shared" si="25"/>
        <v>Eligible</v>
      </c>
      <c r="O446" t="str">
        <f t="shared" si="26"/>
        <v>RAS</v>
      </c>
      <c r="P446" t="str">
        <f t="shared" si="27"/>
        <v>Hors data</v>
      </c>
      <c r="Q446" t="str" cm="1">
        <f t="array" ref="Q446">_xlfn.IFS(H446&gt;=16,"Excellent",H446&gt;=14,"Très bien",H446&gt;=12,"Bien",H446&gt;=10,"Passable",H446&lt;10,"Insuffisant")</f>
        <v>Excellent</v>
      </c>
    </row>
    <row r="447" spans="1:17">
      <c r="A447" t="s">
        <v>720</v>
      </c>
      <c r="B447" t="s">
        <v>97</v>
      </c>
      <c r="C447" t="s">
        <v>24</v>
      </c>
      <c r="D447" t="s">
        <v>52</v>
      </c>
      <c r="E447" s="8" t="s">
        <v>21</v>
      </c>
      <c r="F447" s="8">
        <v>11.24</v>
      </c>
      <c r="G447" s="8">
        <v>13.9</v>
      </c>
      <c r="H447" s="8">
        <v>8.5500000000000007</v>
      </c>
      <c r="I447" s="8">
        <v>9.18</v>
      </c>
      <c r="J447" s="6">
        <v>0.71199999999999997</v>
      </c>
      <c r="K447" s="4">
        <v>70000</v>
      </c>
      <c r="L447" s="2">
        <v>46059</v>
      </c>
      <c r="M447" t="str">
        <f t="shared" si="24"/>
        <v>Non admis</v>
      </c>
      <c r="N447" t="str">
        <f t="shared" si="25"/>
        <v>Non eligible</v>
      </c>
      <c r="O447" t="str">
        <f t="shared" si="26"/>
        <v>A surveiller</v>
      </c>
      <c r="P447" t="str">
        <f t="shared" si="27"/>
        <v>Data</v>
      </c>
      <c r="Q447" t="str" cm="1">
        <f t="array" ref="Q447">_xlfn.IFS(H447&gt;=16,"Excellent",H447&gt;=14,"Très bien",H447&gt;=12,"Bien",H447&gt;=10,"Passable",H447&lt;10,"Insuffisant")</f>
        <v>Insuffisant</v>
      </c>
    </row>
    <row r="448" spans="1:17">
      <c r="A448" t="s">
        <v>721</v>
      </c>
      <c r="B448" t="s">
        <v>409</v>
      </c>
      <c r="C448" t="s">
        <v>19</v>
      </c>
      <c r="D448" t="s">
        <v>52</v>
      </c>
      <c r="E448" s="8" t="s">
        <v>47</v>
      </c>
      <c r="F448" s="8">
        <v>18.02</v>
      </c>
      <c r="G448" s="8">
        <v>16.22</v>
      </c>
      <c r="H448" s="8">
        <v>20</v>
      </c>
      <c r="I448" s="8">
        <v>15.96</v>
      </c>
      <c r="J448" s="6">
        <v>0.72119999999999995</v>
      </c>
      <c r="K448" s="4">
        <v>110000</v>
      </c>
      <c r="L448" s="2">
        <v>45817</v>
      </c>
      <c r="M448" t="str">
        <f t="shared" si="24"/>
        <v>Admis</v>
      </c>
      <c r="N448" t="str">
        <f t="shared" si="25"/>
        <v>Non eligible</v>
      </c>
      <c r="O448" t="str">
        <f t="shared" si="26"/>
        <v>RAS</v>
      </c>
      <c r="P448" t="str">
        <f t="shared" si="27"/>
        <v>Hors data</v>
      </c>
      <c r="Q448" t="str" cm="1">
        <f t="array" ref="Q448">_xlfn.IFS(H448&gt;=16,"Excellent",H448&gt;=14,"Très bien",H448&gt;=12,"Bien",H448&gt;=10,"Passable",H448&lt;10,"Insuffisant")</f>
        <v>Excellent</v>
      </c>
    </row>
    <row r="449" spans="1:17">
      <c r="A449" t="s">
        <v>722</v>
      </c>
      <c r="B449" t="s">
        <v>723</v>
      </c>
      <c r="C449" t="s">
        <v>24</v>
      </c>
      <c r="D449" t="s">
        <v>52</v>
      </c>
      <c r="E449" s="8" t="s">
        <v>26</v>
      </c>
      <c r="F449" s="8">
        <v>16.940000000000001</v>
      </c>
      <c r="G449" s="8">
        <v>20</v>
      </c>
      <c r="H449" s="8">
        <v>15.32</v>
      </c>
      <c r="I449" s="8">
        <v>18.25</v>
      </c>
      <c r="J449" s="6">
        <v>0.82889999999999997</v>
      </c>
      <c r="K449" s="4">
        <v>50000</v>
      </c>
      <c r="L449" s="2">
        <v>46149</v>
      </c>
      <c r="M449" t="str">
        <f t="shared" si="24"/>
        <v>Admis</v>
      </c>
      <c r="N449" t="str">
        <f t="shared" si="25"/>
        <v>Eligible</v>
      </c>
      <c r="O449" t="str">
        <f t="shared" si="26"/>
        <v>RAS</v>
      </c>
      <c r="P449" t="str">
        <f t="shared" si="27"/>
        <v>Hors data</v>
      </c>
      <c r="Q449" t="str" cm="1">
        <f t="array" ref="Q449">_xlfn.IFS(H449&gt;=16,"Excellent",H449&gt;=14,"Très bien",H449&gt;=12,"Bien",H449&gt;=10,"Passable",H449&lt;10,"Insuffisant")</f>
        <v>Très bien</v>
      </c>
    </row>
    <row r="450" spans="1:17">
      <c r="A450" t="s">
        <v>724</v>
      </c>
      <c r="B450" t="s">
        <v>379</v>
      </c>
      <c r="C450" t="s">
        <v>24</v>
      </c>
      <c r="D450" t="s">
        <v>20</v>
      </c>
      <c r="E450" s="8" t="s">
        <v>21</v>
      </c>
      <c r="F450" s="8">
        <v>10.81</v>
      </c>
      <c r="G450" s="8">
        <v>11.53</v>
      </c>
      <c r="H450" s="8">
        <v>9.24</v>
      </c>
      <c r="I450" s="8">
        <v>13.98</v>
      </c>
      <c r="J450" s="6">
        <v>0.6764</v>
      </c>
      <c r="K450" s="4">
        <v>120000</v>
      </c>
      <c r="L450" s="2">
        <v>45877</v>
      </c>
      <c r="M450" t="str">
        <f t="shared" si="24"/>
        <v>Non admis</v>
      </c>
      <c r="N450" t="str">
        <f t="shared" si="25"/>
        <v>Non eligible</v>
      </c>
      <c r="O450" t="str">
        <f t="shared" si="26"/>
        <v>A surveiller</v>
      </c>
      <c r="P450" t="str">
        <f t="shared" si="27"/>
        <v>Data</v>
      </c>
      <c r="Q450" t="str" cm="1">
        <f t="array" ref="Q450">_xlfn.IFS(H450&gt;=16,"Excellent",H450&gt;=14,"Très bien",H450&gt;=12,"Bien",H450&gt;=10,"Passable",H450&lt;10,"Insuffisant")</f>
        <v>Insuffisant</v>
      </c>
    </row>
    <row r="451" spans="1:17">
      <c r="A451" t="s">
        <v>725</v>
      </c>
      <c r="B451" t="s">
        <v>580</v>
      </c>
      <c r="C451" t="s">
        <v>19</v>
      </c>
      <c r="D451" t="s">
        <v>40</v>
      </c>
      <c r="E451" s="8" t="s">
        <v>34</v>
      </c>
      <c r="F451" s="8">
        <v>20</v>
      </c>
      <c r="G451" s="8">
        <v>20</v>
      </c>
      <c r="H451" s="8">
        <v>20</v>
      </c>
      <c r="I451" s="8">
        <v>20</v>
      </c>
      <c r="J451" s="6">
        <v>0.55000000000000004</v>
      </c>
      <c r="K451" s="4">
        <v>100000</v>
      </c>
      <c r="L451" s="2">
        <v>45631</v>
      </c>
      <c r="M451" t="str">
        <f t="shared" ref="M451:M514" si="28">IF(H451&gt;=10,"Admis","Non admis")</f>
        <v>Admis</v>
      </c>
      <c r="N451" t="str">
        <f t="shared" ref="N451:N514" si="29">IF(AND(F451&gt;=12,H451&gt;=12,J451&gt;=80%),"Eligible","Non eligible")</f>
        <v>Non eligible</v>
      </c>
      <c r="O451" t="str">
        <f t="shared" ref="O451:O514" si="30">IF(OR(F451&lt;10,H451&lt;10),"A surveiller","RAS")</f>
        <v>RAS</v>
      </c>
      <c r="P451" t="str">
        <f t="shared" ref="P451:P514" si="31">IF(NOT(E451="Data"),"Hors data","Data")</f>
        <v>Hors data</v>
      </c>
      <c r="Q451" t="str" cm="1">
        <f t="array" ref="Q451">_xlfn.IFS(H451&gt;=16,"Excellent",H451&gt;=14,"Très bien",H451&gt;=12,"Bien",H451&gt;=10,"Passable",H451&lt;10,"Insuffisant")</f>
        <v>Excellent</v>
      </c>
    </row>
    <row r="452" spans="1:17">
      <c r="A452" t="s">
        <v>726</v>
      </c>
      <c r="B452" t="s">
        <v>49</v>
      </c>
      <c r="C452" t="s">
        <v>24</v>
      </c>
      <c r="D452" t="s">
        <v>37</v>
      </c>
      <c r="E452" s="8" t="s">
        <v>34</v>
      </c>
      <c r="F452" s="8">
        <v>12.87</v>
      </c>
      <c r="G452" s="8">
        <v>18.34</v>
      </c>
      <c r="H452" s="8">
        <v>17.86</v>
      </c>
      <c r="I452" s="8">
        <v>17.7</v>
      </c>
      <c r="J452" s="6">
        <v>0.91100000000000003</v>
      </c>
      <c r="K452" s="4">
        <v>70000</v>
      </c>
      <c r="L452" s="2">
        <v>46131</v>
      </c>
      <c r="M452" t="str">
        <f t="shared" si="28"/>
        <v>Admis</v>
      </c>
      <c r="N452" t="str">
        <f t="shared" si="29"/>
        <v>Eligible</v>
      </c>
      <c r="O452" t="str">
        <f t="shared" si="30"/>
        <v>RAS</v>
      </c>
      <c r="P452" t="str">
        <f t="shared" si="31"/>
        <v>Hors data</v>
      </c>
      <c r="Q452" t="str" cm="1">
        <f t="array" ref="Q452">_xlfn.IFS(H452&gt;=16,"Excellent",H452&gt;=14,"Très bien",H452&gt;=12,"Bien",H452&gt;=10,"Passable",H452&lt;10,"Insuffisant")</f>
        <v>Excellent</v>
      </c>
    </row>
    <row r="453" spans="1:17">
      <c r="A453" t="s">
        <v>727</v>
      </c>
      <c r="B453" t="s">
        <v>728</v>
      </c>
      <c r="C453" t="s">
        <v>24</v>
      </c>
      <c r="D453" t="s">
        <v>37</v>
      </c>
      <c r="E453" s="8" t="s">
        <v>47</v>
      </c>
      <c r="F453" s="8">
        <v>14.92</v>
      </c>
      <c r="G453" s="8">
        <v>17.29</v>
      </c>
      <c r="H453" s="8">
        <v>20</v>
      </c>
      <c r="I453" s="8">
        <v>17.45</v>
      </c>
      <c r="J453" s="6">
        <v>0.9627</v>
      </c>
      <c r="K453" s="4">
        <v>120000</v>
      </c>
      <c r="L453" s="2">
        <v>45760</v>
      </c>
      <c r="M453" t="str">
        <f t="shared" si="28"/>
        <v>Admis</v>
      </c>
      <c r="N453" t="str">
        <f t="shared" si="29"/>
        <v>Eligible</v>
      </c>
      <c r="O453" t="str">
        <f t="shared" si="30"/>
        <v>RAS</v>
      </c>
      <c r="P453" t="str">
        <f t="shared" si="31"/>
        <v>Hors data</v>
      </c>
      <c r="Q453" t="str" cm="1">
        <f t="array" ref="Q453">_xlfn.IFS(H453&gt;=16,"Excellent",H453&gt;=14,"Très bien",H453&gt;=12,"Bien",H453&gt;=10,"Passable",H453&lt;10,"Insuffisant")</f>
        <v>Excellent</v>
      </c>
    </row>
    <row r="454" spans="1:17">
      <c r="A454" t="s">
        <v>729</v>
      </c>
      <c r="B454" t="s">
        <v>730</v>
      </c>
      <c r="C454" t="s">
        <v>19</v>
      </c>
      <c r="D454" t="s">
        <v>37</v>
      </c>
      <c r="E454" s="8" t="s">
        <v>26</v>
      </c>
      <c r="F454" s="8">
        <v>11.08</v>
      </c>
      <c r="G454" s="8">
        <v>13.83</v>
      </c>
      <c r="H454" s="8">
        <v>12.79</v>
      </c>
      <c r="I454" s="8">
        <v>10.44</v>
      </c>
      <c r="J454" s="6">
        <v>0.68140000000000001</v>
      </c>
      <c r="K454" s="4">
        <v>75000</v>
      </c>
      <c r="L454" s="2">
        <v>46193</v>
      </c>
      <c r="M454" t="str">
        <f t="shared" si="28"/>
        <v>Admis</v>
      </c>
      <c r="N454" t="str">
        <f t="shared" si="29"/>
        <v>Non eligible</v>
      </c>
      <c r="O454" t="str">
        <f t="shared" si="30"/>
        <v>RAS</v>
      </c>
      <c r="P454" t="str">
        <f t="shared" si="31"/>
        <v>Hors data</v>
      </c>
      <c r="Q454" t="str" cm="1">
        <f t="array" ref="Q454">_xlfn.IFS(H454&gt;=16,"Excellent",H454&gt;=14,"Très bien",H454&gt;=12,"Bien",H454&gt;=10,"Passable",H454&lt;10,"Insuffisant")</f>
        <v>Bien</v>
      </c>
    </row>
    <row r="455" spans="1:17">
      <c r="A455" t="s">
        <v>731</v>
      </c>
      <c r="B455" t="s">
        <v>639</v>
      </c>
      <c r="C455" t="s">
        <v>19</v>
      </c>
      <c r="D455" t="s">
        <v>20</v>
      </c>
      <c r="E455" s="8" t="s">
        <v>26</v>
      </c>
      <c r="F455" s="8">
        <v>16.79</v>
      </c>
      <c r="G455" s="8">
        <v>11.92</v>
      </c>
      <c r="H455" s="8">
        <v>13.37</v>
      </c>
      <c r="I455" s="8">
        <v>10.86</v>
      </c>
      <c r="J455" s="6">
        <v>0.86570000000000003</v>
      </c>
      <c r="K455" s="4">
        <v>130000</v>
      </c>
      <c r="L455" s="2">
        <v>45793</v>
      </c>
      <c r="M455" t="str">
        <f t="shared" si="28"/>
        <v>Admis</v>
      </c>
      <c r="N455" t="str">
        <f t="shared" si="29"/>
        <v>Eligible</v>
      </c>
      <c r="O455" t="str">
        <f t="shared" si="30"/>
        <v>RAS</v>
      </c>
      <c r="P455" t="str">
        <f t="shared" si="31"/>
        <v>Hors data</v>
      </c>
      <c r="Q455" t="str" cm="1">
        <f t="array" ref="Q455">_xlfn.IFS(H455&gt;=16,"Excellent",H455&gt;=14,"Très bien",H455&gt;=12,"Bien",H455&gt;=10,"Passable",H455&lt;10,"Insuffisant")</f>
        <v>Bien</v>
      </c>
    </row>
    <row r="456" spans="1:17">
      <c r="A456" t="s">
        <v>732</v>
      </c>
      <c r="B456" t="s">
        <v>733</v>
      </c>
      <c r="C456" t="s">
        <v>24</v>
      </c>
      <c r="D456" t="s">
        <v>25</v>
      </c>
      <c r="E456" s="8" t="s">
        <v>26</v>
      </c>
      <c r="F456" s="8">
        <v>14.84</v>
      </c>
      <c r="G456" s="8">
        <v>13.48</v>
      </c>
      <c r="H456" s="8">
        <v>11.66</v>
      </c>
      <c r="I456" s="8">
        <v>12.36</v>
      </c>
      <c r="J456" s="6">
        <v>0.93779999999999997</v>
      </c>
      <c r="K456" s="4">
        <v>90000</v>
      </c>
      <c r="L456" s="2">
        <v>46144</v>
      </c>
      <c r="M456" t="str">
        <f t="shared" si="28"/>
        <v>Admis</v>
      </c>
      <c r="N456" t="str">
        <f t="shared" si="29"/>
        <v>Non eligible</v>
      </c>
      <c r="O456" t="str">
        <f t="shared" si="30"/>
        <v>RAS</v>
      </c>
      <c r="P456" t="str">
        <f t="shared" si="31"/>
        <v>Hors data</v>
      </c>
      <c r="Q456" t="str" cm="1">
        <f t="array" ref="Q456">_xlfn.IFS(H456&gt;=16,"Excellent",H456&gt;=14,"Très bien",H456&gt;=12,"Bien",H456&gt;=10,"Passable",H456&lt;10,"Insuffisant")</f>
        <v>Passable</v>
      </c>
    </row>
    <row r="457" spans="1:17">
      <c r="A457" t="s">
        <v>734</v>
      </c>
      <c r="B457" t="s">
        <v>103</v>
      </c>
      <c r="C457" t="s">
        <v>24</v>
      </c>
      <c r="D457" t="s">
        <v>37</v>
      </c>
      <c r="E457" s="8" t="s">
        <v>34</v>
      </c>
      <c r="F457" s="8">
        <v>9.75</v>
      </c>
      <c r="G457" s="8">
        <v>16.97</v>
      </c>
      <c r="H457" s="8">
        <v>15.11</v>
      </c>
      <c r="I457" s="8">
        <v>12.9</v>
      </c>
      <c r="J457" s="6">
        <v>0.68189999999999995</v>
      </c>
      <c r="K457" s="4">
        <v>80000</v>
      </c>
      <c r="L457" s="2">
        <v>45912</v>
      </c>
      <c r="M457" t="str">
        <f t="shared" si="28"/>
        <v>Admis</v>
      </c>
      <c r="N457" t="str">
        <f t="shared" si="29"/>
        <v>Non eligible</v>
      </c>
      <c r="O457" t="str">
        <f t="shared" si="30"/>
        <v>A surveiller</v>
      </c>
      <c r="P457" t="str">
        <f t="shared" si="31"/>
        <v>Hors data</v>
      </c>
      <c r="Q457" t="str" cm="1">
        <f t="array" ref="Q457">_xlfn.IFS(H457&gt;=16,"Excellent",H457&gt;=14,"Très bien",H457&gt;=12,"Bien",H457&gt;=10,"Passable",H457&lt;10,"Insuffisant")</f>
        <v>Très bien</v>
      </c>
    </row>
    <row r="458" spans="1:17">
      <c r="A458" t="s">
        <v>735</v>
      </c>
      <c r="B458" t="s">
        <v>736</v>
      </c>
      <c r="C458" t="s">
        <v>19</v>
      </c>
      <c r="D458" t="s">
        <v>33</v>
      </c>
      <c r="E458" s="8" t="s">
        <v>47</v>
      </c>
      <c r="F458" s="8">
        <v>14.09</v>
      </c>
      <c r="G458" s="8">
        <v>17.79</v>
      </c>
      <c r="H458" s="8">
        <v>13.72</v>
      </c>
      <c r="I458" s="8">
        <v>14.98</v>
      </c>
      <c r="J458" s="6">
        <v>0.67410000000000003</v>
      </c>
      <c r="K458" s="4">
        <v>50000</v>
      </c>
      <c r="L458" s="2">
        <v>45863</v>
      </c>
      <c r="M458" t="str">
        <f t="shared" si="28"/>
        <v>Admis</v>
      </c>
      <c r="N458" t="str">
        <f t="shared" si="29"/>
        <v>Non eligible</v>
      </c>
      <c r="O458" t="str">
        <f t="shared" si="30"/>
        <v>RAS</v>
      </c>
      <c r="P458" t="str">
        <f t="shared" si="31"/>
        <v>Hors data</v>
      </c>
      <c r="Q458" t="str" cm="1">
        <f t="array" ref="Q458">_xlfn.IFS(H458&gt;=16,"Excellent",H458&gt;=14,"Très bien",H458&gt;=12,"Bien",H458&gt;=10,"Passable",H458&lt;10,"Insuffisant")</f>
        <v>Bien</v>
      </c>
    </row>
    <row r="459" spans="1:17">
      <c r="A459" t="s">
        <v>737</v>
      </c>
      <c r="B459" t="s">
        <v>217</v>
      </c>
      <c r="C459" t="s">
        <v>24</v>
      </c>
      <c r="D459" t="s">
        <v>40</v>
      </c>
      <c r="E459" s="8" t="s">
        <v>21</v>
      </c>
      <c r="F459" s="8">
        <v>13.72</v>
      </c>
      <c r="G459" s="8">
        <v>13.71</v>
      </c>
      <c r="H459" s="8">
        <v>15.71</v>
      </c>
      <c r="I459" s="8">
        <v>9.7899999999999991</v>
      </c>
      <c r="J459" s="6">
        <v>0.86150000000000004</v>
      </c>
      <c r="K459" s="4">
        <v>70000</v>
      </c>
      <c r="L459" s="2">
        <v>45743</v>
      </c>
      <c r="M459" t="str">
        <f t="shared" si="28"/>
        <v>Admis</v>
      </c>
      <c r="N459" t="str">
        <f t="shared" si="29"/>
        <v>Eligible</v>
      </c>
      <c r="O459" t="str">
        <f t="shared" si="30"/>
        <v>RAS</v>
      </c>
      <c r="P459" t="str">
        <f t="shared" si="31"/>
        <v>Data</v>
      </c>
      <c r="Q459" t="str" cm="1">
        <f t="array" ref="Q459">_xlfn.IFS(H459&gt;=16,"Excellent",H459&gt;=14,"Très bien",H459&gt;=12,"Bien",H459&gt;=10,"Passable",H459&lt;10,"Insuffisant")</f>
        <v>Très bien</v>
      </c>
    </row>
    <row r="460" spans="1:17">
      <c r="A460" t="s">
        <v>738</v>
      </c>
      <c r="B460" t="s">
        <v>470</v>
      </c>
      <c r="C460" t="s">
        <v>24</v>
      </c>
      <c r="D460" t="s">
        <v>40</v>
      </c>
      <c r="E460" s="8" t="s">
        <v>34</v>
      </c>
      <c r="F460" s="8">
        <v>9.91</v>
      </c>
      <c r="G460" s="8">
        <v>10.8</v>
      </c>
      <c r="H460" s="8">
        <v>11.86</v>
      </c>
      <c r="I460" s="8">
        <v>7.89</v>
      </c>
      <c r="J460" s="6">
        <v>0.55000000000000004</v>
      </c>
      <c r="K460" s="4">
        <v>50000</v>
      </c>
      <c r="L460" s="2">
        <v>46120</v>
      </c>
      <c r="M460" t="str">
        <f t="shared" si="28"/>
        <v>Admis</v>
      </c>
      <c r="N460" t="str">
        <f t="shared" si="29"/>
        <v>Non eligible</v>
      </c>
      <c r="O460" t="str">
        <f t="shared" si="30"/>
        <v>A surveiller</v>
      </c>
      <c r="P460" t="str">
        <f t="shared" si="31"/>
        <v>Hors data</v>
      </c>
      <c r="Q460" t="str" cm="1">
        <f t="array" ref="Q460">_xlfn.IFS(H460&gt;=16,"Excellent",H460&gt;=14,"Très bien",H460&gt;=12,"Bien",H460&gt;=10,"Passable",H460&lt;10,"Insuffisant")</f>
        <v>Passable</v>
      </c>
    </row>
    <row r="461" spans="1:17">
      <c r="A461" t="s">
        <v>739</v>
      </c>
      <c r="B461" t="s">
        <v>284</v>
      </c>
      <c r="C461" t="s">
        <v>19</v>
      </c>
      <c r="D461" t="s">
        <v>33</v>
      </c>
      <c r="E461" s="8" t="s">
        <v>21</v>
      </c>
      <c r="F461" s="8">
        <v>12.89</v>
      </c>
      <c r="G461" s="8">
        <v>18.39</v>
      </c>
      <c r="H461" s="8">
        <v>15.88</v>
      </c>
      <c r="I461" s="8">
        <v>15.14</v>
      </c>
      <c r="J461" s="6">
        <v>0.99160000000000004</v>
      </c>
      <c r="K461" s="4">
        <v>120000</v>
      </c>
      <c r="L461" s="2">
        <v>45578</v>
      </c>
      <c r="M461" t="str">
        <f t="shared" si="28"/>
        <v>Admis</v>
      </c>
      <c r="N461" t="str">
        <f t="shared" si="29"/>
        <v>Eligible</v>
      </c>
      <c r="O461" t="str">
        <f t="shared" si="30"/>
        <v>RAS</v>
      </c>
      <c r="P461" t="str">
        <f t="shared" si="31"/>
        <v>Data</v>
      </c>
      <c r="Q461" t="str" cm="1">
        <f t="array" ref="Q461">_xlfn.IFS(H461&gt;=16,"Excellent",H461&gt;=14,"Très bien",H461&gt;=12,"Bien",H461&gt;=10,"Passable",H461&lt;10,"Insuffisant")</f>
        <v>Très bien</v>
      </c>
    </row>
    <row r="462" spans="1:17">
      <c r="A462" t="s">
        <v>740</v>
      </c>
      <c r="B462" t="s">
        <v>147</v>
      </c>
      <c r="C462" t="s">
        <v>24</v>
      </c>
      <c r="D462" t="s">
        <v>25</v>
      </c>
      <c r="E462" s="8" t="s">
        <v>21</v>
      </c>
      <c r="F462" s="8">
        <v>20</v>
      </c>
      <c r="G462" s="8">
        <v>19.170000000000002</v>
      </c>
      <c r="H462" s="8">
        <v>15.42</v>
      </c>
      <c r="I462" s="8">
        <v>15.83</v>
      </c>
      <c r="J462" s="6">
        <v>0.55000000000000004</v>
      </c>
      <c r="K462" s="4">
        <v>60000</v>
      </c>
      <c r="L462" s="2">
        <v>45864</v>
      </c>
      <c r="M462" t="str">
        <f t="shared" si="28"/>
        <v>Admis</v>
      </c>
      <c r="N462" t="str">
        <f t="shared" si="29"/>
        <v>Non eligible</v>
      </c>
      <c r="O462" t="str">
        <f t="shared" si="30"/>
        <v>RAS</v>
      </c>
      <c r="P462" t="str">
        <f t="shared" si="31"/>
        <v>Data</v>
      </c>
      <c r="Q462" t="str" cm="1">
        <f t="array" ref="Q462">_xlfn.IFS(H462&gt;=16,"Excellent",H462&gt;=14,"Très bien",H462&gt;=12,"Bien",H462&gt;=10,"Passable",H462&lt;10,"Insuffisant")</f>
        <v>Très bien</v>
      </c>
    </row>
    <row r="463" spans="1:17">
      <c r="A463" t="s">
        <v>741</v>
      </c>
      <c r="B463" t="s">
        <v>599</v>
      </c>
      <c r="C463" t="s">
        <v>19</v>
      </c>
      <c r="D463" t="s">
        <v>40</v>
      </c>
      <c r="E463" s="8" t="s">
        <v>26</v>
      </c>
      <c r="F463" s="8">
        <v>16.02</v>
      </c>
      <c r="G463" s="8">
        <v>14.27</v>
      </c>
      <c r="H463" s="8">
        <v>13.56</v>
      </c>
      <c r="I463" s="8">
        <v>13.49</v>
      </c>
      <c r="J463" s="6">
        <v>0.83799999999999997</v>
      </c>
      <c r="K463" s="4">
        <v>60000</v>
      </c>
      <c r="L463" s="2">
        <v>45794</v>
      </c>
      <c r="M463" t="str">
        <f t="shared" si="28"/>
        <v>Admis</v>
      </c>
      <c r="N463" t="str">
        <f t="shared" si="29"/>
        <v>Eligible</v>
      </c>
      <c r="O463" t="str">
        <f t="shared" si="30"/>
        <v>RAS</v>
      </c>
      <c r="P463" t="str">
        <f t="shared" si="31"/>
        <v>Hors data</v>
      </c>
      <c r="Q463" t="str" cm="1">
        <f t="array" ref="Q463">_xlfn.IFS(H463&gt;=16,"Excellent",H463&gt;=14,"Très bien",H463&gt;=12,"Bien",H463&gt;=10,"Passable",H463&lt;10,"Insuffisant")</f>
        <v>Bien</v>
      </c>
    </row>
    <row r="464" spans="1:17">
      <c r="A464" t="s">
        <v>742</v>
      </c>
      <c r="B464" t="s">
        <v>743</v>
      </c>
      <c r="C464" t="s">
        <v>24</v>
      </c>
      <c r="D464" t="s">
        <v>25</v>
      </c>
      <c r="E464" s="8" t="s">
        <v>26</v>
      </c>
      <c r="F464" s="8">
        <v>16.63</v>
      </c>
      <c r="G464" s="8">
        <v>14.52</v>
      </c>
      <c r="H464" s="8">
        <v>17.39</v>
      </c>
      <c r="I464" s="8">
        <v>15.66</v>
      </c>
      <c r="J464" s="6">
        <v>0.98150000000000004</v>
      </c>
      <c r="K464" s="4">
        <v>60000</v>
      </c>
      <c r="L464" s="2">
        <v>45916</v>
      </c>
      <c r="M464" t="str">
        <f t="shared" si="28"/>
        <v>Admis</v>
      </c>
      <c r="N464" t="str">
        <f t="shared" si="29"/>
        <v>Eligible</v>
      </c>
      <c r="O464" t="str">
        <f t="shared" si="30"/>
        <v>RAS</v>
      </c>
      <c r="P464" t="str">
        <f t="shared" si="31"/>
        <v>Hors data</v>
      </c>
      <c r="Q464" t="str" cm="1">
        <f t="array" ref="Q464">_xlfn.IFS(H464&gt;=16,"Excellent",H464&gt;=14,"Très bien",H464&gt;=12,"Bien",H464&gt;=10,"Passable",H464&lt;10,"Insuffisant")</f>
        <v>Excellent</v>
      </c>
    </row>
    <row r="465" spans="1:17">
      <c r="A465" t="s">
        <v>744</v>
      </c>
      <c r="B465" t="s">
        <v>136</v>
      </c>
      <c r="C465" t="s">
        <v>19</v>
      </c>
      <c r="D465" t="s">
        <v>37</v>
      </c>
      <c r="E465" s="8" t="s">
        <v>47</v>
      </c>
      <c r="F465" s="8">
        <v>11.22</v>
      </c>
      <c r="G465" s="8">
        <v>13.98</v>
      </c>
      <c r="H465" s="8">
        <v>10.37</v>
      </c>
      <c r="I465" s="8">
        <v>11.69</v>
      </c>
      <c r="J465" s="6">
        <v>0.89729999999999999</v>
      </c>
      <c r="K465" s="4">
        <v>130000</v>
      </c>
      <c r="L465" s="2">
        <v>45714</v>
      </c>
      <c r="M465" t="str">
        <f t="shared" si="28"/>
        <v>Admis</v>
      </c>
      <c r="N465" t="str">
        <f t="shared" si="29"/>
        <v>Non eligible</v>
      </c>
      <c r="O465" t="str">
        <f t="shared" si="30"/>
        <v>RAS</v>
      </c>
      <c r="P465" t="str">
        <f t="shared" si="31"/>
        <v>Hors data</v>
      </c>
      <c r="Q465" t="str" cm="1">
        <f t="array" ref="Q465">_xlfn.IFS(H465&gt;=16,"Excellent",H465&gt;=14,"Très bien",H465&gt;=12,"Bien",H465&gt;=10,"Passable",H465&lt;10,"Insuffisant")</f>
        <v>Passable</v>
      </c>
    </row>
    <row r="466" spans="1:17">
      <c r="A466" t="s">
        <v>745</v>
      </c>
      <c r="B466" t="s">
        <v>18</v>
      </c>
      <c r="C466" t="s">
        <v>19</v>
      </c>
      <c r="D466" t="s">
        <v>52</v>
      </c>
      <c r="E466" s="8" t="s">
        <v>21</v>
      </c>
      <c r="F466" s="8">
        <v>12.49</v>
      </c>
      <c r="G466" s="8">
        <v>14.66</v>
      </c>
      <c r="H466" s="8">
        <v>12.23</v>
      </c>
      <c r="I466" s="8">
        <v>13.2</v>
      </c>
      <c r="J466" s="6">
        <v>0.82530000000000003</v>
      </c>
      <c r="K466" s="4">
        <v>130000</v>
      </c>
      <c r="L466" s="2">
        <v>46001</v>
      </c>
      <c r="M466" t="str">
        <f t="shared" si="28"/>
        <v>Admis</v>
      </c>
      <c r="N466" t="str">
        <f t="shared" si="29"/>
        <v>Eligible</v>
      </c>
      <c r="O466" t="str">
        <f t="shared" si="30"/>
        <v>RAS</v>
      </c>
      <c r="P466" t="str">
        <f t="shared" si="31"/>
        <v>Data</v>
      </c>
      <c r="Q466" t="str" cm="1">
        <f t="array" ref="Q466">_xlfn.IFS(H466&gt;=16,"Excellent",H466&gt;=14,"Très bien",H466&gt;=12,"Bien",H466&gt;=10,"Passable",H466&lt;10,"Insuffisant")</f>
        <v>Bien</v>
      </c>
    </row>
    <row r="467" spans="1:17">
      <c r="A467" t="s">
        <v>746</v>
      </c>
      <c r="B467" t="s">
        <v>747</v>
      </c>
      <c r="C467" t="s">
        <v>24</v>
      </c>
      <c r="D467" t="s">
        <v>52</v>
      </c>
      <c r="E467" s="8" t="s">
        <v>21</v>
      </c>
      <c r="F467" s="8">
        <v>10.23</v>
      </c>
      <c r="G467" s="8">
        <v>13.99</v>
      </c>
      <c r="H467" s="8">
        <v>15.83</v>
      </c>
      <c r="I467" s="8">
        <v>10.61</v>
      </c>
      <c r="J467" s="6">
        <v>0.78610000000000002</v>
      </c>
      <c r="K467" s="4">
        <v>100000</v>
      </c>
      <c r="L467" s="2">
        <v>45806</v>
      </c>
      <c r="M467" t="str">
        <f t="shared" si="28"/>
        <v>Admis</v>
      </c>
      <c r="N467" t="str">
        <f t="shared" si="29"/>
        <v>Non eligible</v>
      </c>
      <c r="O467" t="str">
        <f t="shared" si="30"/>
        <v>RAS</v>
      </c>
      <c r="P467" t="str">
        <f t="shared" si="31"/>
        <v>Data</v>
      </c>
      <c r="Q467" t="str" cm="1">
        <f t="array" ref="Q467">_xlfn.IFS(H467&gt;=16,"Excellent",H467&gt;=14,"Très bien",H467&gt;=12,"Bien",H467&gt;=10,"Passable",H467&lt;10,"Insuffisant")</f>
        <v>Très bien</v>
      </c>
    </row>
    <row r="468" spans="1:17">
      <c r="A468" t="s">
        <v>748</v>
      </c>
      <c r="B468" t="s">
        <v>531</v>
      </c>
      <c r="C468" t="s">
        <v>19</v>
      </c>
      <c r="D468" t="s">
        <v>40</v>
      </c>
      <c r="E468" s="8" t="s">
        <v>21</v>
      </c>
      <c r="F468" s="8">
        <v>8.3000000000000007</v>
      </c>
      <c r="G468" s="8">
        <v>6.57</v>
      </c>
      <c r="H468" s="8">
        <v>12.39</v>
      </c>
      <c r="I468" s="8">
        <v>10.35</v>
      </c>
      <c r="J468" s="6">
        <v>0.74929999999999997</v>
      </c>
      <c r="K468" s="4">
        <v>50000</v>
      </c>
      <c r="L468" s="2">
        <v>45667</v>
      </c>
      <c r="M468" t="str">
        <f t="shared" si="28"/>
        <v>Admis</v>
      </c>
      <c r="N468" t="str">
        <f t="shared" si="29"/>
        <v>Non eligible</v>
      </c>
      <c r="O468" t="str">
        <f t="shared" si="30"/>
        <v>A surveiller</v>
      </c>
      <c r="P468" t="str">
        <f t="shared" si="31"/>
        <v>Data</v>
      </c>
      <c r="Q468" t="str" cm="1">
        <f t="array" ref="Q468">_xlfn.IFS(H468&gt;=16,"Excellent",H468&gt;=14,"Très bien",H468&gt;=12,"Bien",H468&gt;=10,"Passable",H468&lt;10,"Insuffisant")</f>
        <v>Bien</v>
      </c>
    </row>
    <row r="469" spans="1:17">
      <c r="A469" t="s">
        <v>749</v>
      </c>
      <c r="B469" t="s">
        <v>750</v>
      </c>
      <c r="C469" t="s">
        <v>24</v>
      </c>
      <c r="D469" t="s">
        <v>33</v>
      </c>
      <c r="E469" s="8" t="s">
        <v>47</v>
      </c>
      <c r="F469" s="8">
        <v>15.51</v>
      </c>
      <c r="G469" s="8">
        <v>13.98</v>
      </c>
      <c r="H469" s="8">
        <v>11.05</v>
      </c>
      <c r="I469" s="8">
        <v>14.51</v>
      </c>
      <c r="J469" s="6">
        <v>0.94889999999999997</v>
      </c>
      <c r="K469" s="4">
        <v>85000</v>
      </c>
      <c r="L469" s="2">
        <v>45673</v>
      </c>
      <c r="M469" t="str">
        <f t="shared" si="28"/>
        <v>Admis</v>
      </c>
      <c r="N469" t="str">
        <f t="shared" si="29"/>
        <v>Non eligible</v>
      </c>
      <c r="O469" t="str">
        <f t="shared" si="30"/>
        <v>RAS</v>
      </c>
      <c r="P469" t="str">
        <f t="shared" si="31"/>
        <v>Hors data</v>
      </c>
      <c r="Q469" t="str" cm="1">
        <f t="array" ref="Q469">_xlfn.IFS(H469&gt;=16,"Excellent",H469&gt;=14,"Très bien",H469&gt;=12,"Bien",H469&gt;=10,"Passable",H469&lt;10,"Insuffisant")</f>
        <v>Passable</v>
      </c>
    </row>
    <row r="470" spans="1:17">
      <c r="A470" t="s">
        <v>751</v>
      </c>
      <c r="B470" t="s">
        <v>154</v>
      </c>
      <c r="C470" t="s">
        <v>19</v>
      </c>
      <c r="D470" t="s">
        <v>37</v>
      </c>
      <c r="E470" s="8" t="s">
        <v>21</v>
      </c>
      <c r="F470" s="8">
        <v>9.68</v>
      </c>
      <c r="G470" s="8">
        <v>11.62</v>
      </c>
      <c r="H470" s="8">
        <v>12.29</v>
      </c>
      <c r="I470" s="8">
        <v>10.08</v>
      </c>
      <c r="J470" s="6">
        <v>0.93579999999999997</v>
      </c>
      <c r="K470" s="4">
        <v>130000</v>
      </c>
      <c r="L470" s="2">
        <v>46023</v>
      </c>
      <c r="M470" t="str">
        <f t="shared" si="28"/>
        <v>Admis</v>
      </c>
      <c r="N470" t="str">
        <f t="shared" si="29"/>
        <v>Non eligible</v>
      </c>
      <c r="O470" t="str">
        <f t="shared" si="30"/>
        <v>A surveiller</v>
      </c>
      <c r="P470" t="str">
        <f t="shared" si="31"/>
        <v>Data</v>
      </c>
      <c r="Q470" t="str" cm="1">
        <f t="array" ref="Q470">_xlfn.IFS(H470&gt;=16,"Excellent",H470&gt;=14,"Très bien",H470&gt;=12,"Bien",H470&gt;=10,"Passable",H470&lt;10,"Insuffisant")</f>
        <v>Bien</v>
      </c>
    </row>
    <row r="471" spans="1:17">
      <c r="A471" t="s">
        <v>752</v>
      </c>
      <c r="B471" t="s">
        <v>743</v>
      </c>
      <c r="C471" t="s">
        <v>24</v>
      </c>
      <c r="D471" t="s">
        <v>20</v>
      </c>
      <c r="E471" s="8" t="s">
        <v>34</v>
      </c>
      <c r="F471" s="8">
        <v>15.78</v>
      </c>
      <c r="G471" s="8">
        <v>12.08</v>
      </c>
      <c r="H471" s="8">
        <v>13.4</v>
      </c>
      <c r="I471" s="8">
        <v>11.97</v>
      </c>
      <c r="J471" s="6">
        <v>0.97750000000000004</v>
      </c>
      <c r="K471" s="4">
        <v>60000</v>
      </c>
      <c r="L471" s="2">
        <v>45719</v>
      </c>
      <c r="M471" t="str">
        <f t="shared" si="28"/>
        <v>Admis</v>
      </c>
      <c r="N471" t="str">
        <f t="shared" si="29"/>
        <v>Eligible</v>
      </c>
      <c r="O471" t="str">
        <f t="shared" si="30"/>
        <v>RAS</v>
      </c>
      <c r="P471" t="str">
        <f t="shared" si="31"/>
        <v>Hors data</v>
      </c>
      <c r="Q471" t="str" cm="1">
        <f t="array" ref="Q471">_xlfn.IFS(H471&gt;=16,"Excellent",H471&gt;=14,"Très bien",H471&gt;=12,"Bien",H471&gt;=10,"Passable",H471&lt;10,"Insuffisant")</f>
        <v>Bien</v>
      </c>
    </row>
    <row r="472" spans="1:17">
      <c r="A472" t="s">
        <v>753</v>
      </c>
      <c r="B472" t="s">
        <v>309</v>
      </c>
      <c r="C472" t="s">
        <v>24</v>
      </c>
      <c r="D472" t="s">
        <v>37</v>
      </c>
      <c r="E472" s="8" t="s">
        <v>26</v>
      </c>
      <c r="F472" s="8">
        <v>5.63</v>
      </c>
      <c r="G472" s="8">
        <v>9.15</v>
      </c>
      <c r="H472" s="8">
        <v>5.27</v>
      </c>
      <c r="I472" s="8">
        <v>2.41</v>
      </c>
      <c r="J472" s="6">
        <v>0.72319999999999995</v>
      </c>
      <c r="K472" s="4">
        <v>110000</v>
      </c>
      <c r="L472" s="2">
        <v>45751</v>
      </c>
      <c r="M472" t="str">
        <f t="shared" si="28"/>
        <v>Non admis</v>
      </c>
      <c r="N472" t="str">
        <f t="shared" si="29"/>
        <v>Non eligible</v>
      </c>
      <c r="O472" t="str">
        <f t="shared" si="30"/>
        <v>A surveiller</v>
      </c>
      <c r="P472" t="str">
        <f t="shared" si="31"/>
        <v>Hors data</v>
      </c>
      <c r="Q472" t="str" cm="1">
        <f t="array" ref="Q472">_xlfn.IFS(H472&gt;=16,"Excellent",H472&gt;=14,"Très bien",H472&gt;=12,"Bien",H472&gt;=10,"Passable",H472&lt;10,"Insuffisant")</f>
        <v>Insuffisant</v>
      </c>
    </row>
    <row r="473" spans="1:17">
      <c r="A473" t="s">
        <v>754</v>
      </c>
      <c r="B473" t="s">
        <v>124</v>
      </c>
      <c r="C473" t="s">
        <v>24</v>
      </c>
      <c r="D473" t="s">
        <v>25</v>
      </c>
      <c r="E473" s="8" t="s">
        <v>26</v>
      </c>
      <c r="F473" s="8">
        <v>12.83</v>
      </c>
      <c r="G473" s="8">
        <v>7.28</v>
      </c>
      <c r="H473" s="8">
        <v>7.13</v>
      </c>
      <c r="I473" s="8">
        <v>9.67</v>
      </c>
      <c r="J473" s="6">
        <v>0.86040000000000005</v>
      </c>
      <c r="K473" s="4">
        <v>50000</v>
      </c>
      <c r="L473" s="2">
        <v>45974</v>
      </c>
      <c r="M473" t="str">
        <f t="shared" si="28"/>
        <v>Non admis</v>
      </c>
      <c r="N473" t="str">
        <f t="shared" si="29"/>
        <v>Non eligible</v>
      </c>
      <c r="O473" t="str">
        <f t="shared" si="30"/>
        <v>A surveiller</v>
      </c>
      <c r="P473" t="str">
        <f t="shared" si="31"/>
        <v>Hors data</v>
      </c>
      <c r="Q473" t="str" cm="1">
        <f t="array" ref="Q473">_xlfn.IFS(H473&gt;=16,"Excellent",H473&gt;=14,"Très bien",H473&gt;=12,"Bien",H473&gt;=10,"Passable",H473&lt;10,"Insuffisant")</f>
        <v>Insuffisant</v>
      </c>
    </row>
    <row r="474" spans="1:17">
      <c r="A474" t="s">
        <v>755</v>
      </c>
      <c r="B474" t="s">
        <v>756</v>
      </c>
      <c r="C474" t="s">
        <v>19</v>
      </c>
      <c r="D474" t="s">
        <v>33</v>
      </c>
      <c r="E474" s="8" t="s">
        <v>26</v>
      </c>
      <c r="F474" s="8">
        <v>14.27</v>
      </c>
      <c r="G474" s="8">
        <v>13.48</v>
      </c>
      <c r="H474" s="8">
        <v>17.690000000000001</v>
      </c>
      <c r="I474" s="8">
        <v>14.9</v>
      </c>
      <c r="J474" s="6">
        <v>0.93049999999999999</v>
      </c>
      <c r="K474" s="4">
        <v>110000</v>
      </c>
      <c r="L474" s="2">
        <v>45766</v>
      </c>
      <c r="M474" t="str">
        <f t="shared" si="28"/>
        <v>Admis</v>
      </c>
      <c r="N474" t="str">
        <f t="shared" si="29"/>
        <v>Eligible</v>
      </c>
      <c r="O474" t="str">
        <f t="shared" si="30"/>
        <v>RAS</v>
      </c>
      <c r="P474" t="str">
        <f t="shared" si="31"/>
        <v>Hors data</v>
      </c>
      <c r="Q474" t="str" cm="1">
        <f t="array" ref="Q474">_xlfn.IFS(H474&gt;=16,"Excellent",H474&gt;=14,"Très bien",H474&gt;=12,"Bien",H474&gt;=10,"Passable",H474&lt;10,"Insuffisant")</f>
        <v>Excellent</v>
      </c>
    </row>
    <row r="475" spans="1:17">
      <c r="A475" t="s">
        <v>757</v>
      </c>
      <c r="B475" t="s">
        <v>758</v>
      </c>
      <c r="C475" t="s">
        <v>19</v>
      </c>
      <c r="D475" t="s">
        <v>40</v>
      </c>
      <c r="E475" s="8" t="s">
        <v>34</v>
      </c>
      <c r="F475" s="8">
        <v>9.61</v>
      </c>
      <c r="G475" s="8">
        <v>10.220000000000001</v>
      </c>
      <c r="H475" s="8">
        <v>11.82</v>
      </c>
      <c r="I475" s="8">
        <v>12.38</v>
      </c>
      <c r="J475" s="6">
        <v>0.85699999999999998</v>
      </c>
      <c r="K475" s="4">
        <v>85000</v>
      </c>
      <c r="L475" s="2">
        <v>45807</v>
      </c>
      <c r="M475" t="str">
        <f t="shared" si="28"/>
        <v>Admis</v>
      </c>
      <c r="N475" t="str">
        <f t="shared" si="29"/>
        <v>Non eligible</v>
      </c>
      <c r="O475" t="str">
        <f t="shared" si="30"/>
        <v>A surveiller</v>
      </c>
      <c r="P475" t="str">
        <f t="shared" si="31"/>
        <v>Hors data</v>
      </c>
      <c r="Q475" t="str" cm="1">
        <f t="array" ref="Q475">_xlfn.IFS(H475&gt;=16,"Excellent",H475&gt;=14,"Très bien",H475&gt;=12,"Bien",H475&gt;=10,"Passable",H475&lt;10,"Insuffisant")</f>
        <v>Passable</v>
      </c>
    </row>
    <row r="476" spans="1:17">
      <c r="A476" t="s">
        <v>759</v>
      </c>
      <c r="B476" t="s">
        <v>760</v>
      </c>
      <c r="C476" t="s">
        <v>24</v>
      </c>
      <c r="D476" t="s">
        <v>37</v>
      </c>
      <c r="E476" s="8" t="s">
        <v>47</v>
      </c>
      <c r="F476" s="8">
        <v>11.95</v>
      </c>
      <c r="G476" s="8">
        <v>15.54</v>
      </c>
      <c r="H476" s="8">
        <v>18.920000000000002</v>
      </c>
      <c r="I476" s="8">
        <v>11.46</v>
      </c>
      <c r="J476" s="6">
        <v>0.70750000000000002</v>
      </c>
      <c r="K476" s="4">
        <v>120000</v>
      </c>
      <c r="L476" s="2">
        <v>45707</v>
      </c>
      <c r="M476" t="str">
        <f t="shared" si="28"/>
        <v>Admis</v>
      </c>
      <c r="N476" t="str">
        <f t="shared" si="29"/>
        <v>Non eligible</v>
      </c>
      <c r="O476" t="str">
        <f t="shared" si="30"/>
        <v>RAS</v>
      </c>
      <c r="P476" t="str">
        <f t="shared" si="31"/>
        <v>Hors data</v>
      </c>
      <c r="Q476" t="str" cm="1">
        <f t="array" ref="Q476">_xlfn.IFS(H476&gt;=16,"Excellent",H476&gt;=14,"Très bien",H476&gt;=12,"Bien",H476&gt;=10,"Passable",H476&lt;10,"Insuffisant")</f>
        <v>Excellent</v>
      </c>
    </row>
    <row r="477" spans="1:17">
      <c r="A477" t="s">
        <v>761</v>
      </c>
      <c r="B477" t="s">
        <v>617</v>
      </c>
      <c r="C477" t="s">
        <v>24</v>
      </c>
      <c r="D477" t="s">
        <v>20</v>
      </c>
      <c r="E477" s="8" t="s">
        <v>21</v>
      </c>
      <c r="F477" s="8">
        <v>10.16</v>
      </c>
      <c r="G477" s="8">
        <v>11.37</v>
      </c>
      <c r="H477" s="8">
        <v>9.25</v>
      </c>
      <c r="I477" s="8">
        <v>9.5399999999999991</v>
      </c>
      <c r="J477" s="6">
        <v>0.9546</v>
      </c>
      <c r="K477" s="4">
        <v>80000</v>
      </c>
      <c r="L477" s="2">
        <v>45777</v>
      </c>
      <c r="M477" t="str">
        <f t="shared" si="28"/>
        <v>Non admis</v>
      </c>
      <c r="N477" t="str">
        <f t="shared" si="29"/>
        <v>Non eligible</v>
      </c>
      <c r="O477" t="str">
        <f t="shared" si="30"/>
        <v>A surveiller</v>
      </c>
      <c r="P477" t="str">
        <f t="shared" si="31"/>
        <v>Data</v>
      </c>
      <c r="Q477" t="str" cm="1">
        <f t="array" ref="Q477">_xlfn.IFS(H477&gt;=16,"Excellent",H477&gt;=14,"Très bien",H477&gt;=12,"Bien",H477&gt;=10,"Passable",H477&lt;10,"Insuffisant")</f>
        <v>Insuffisant</v>
      </c>
    </row>
    <row r="478" spans="1:17">
      <c r="A478" t="s">
        <v>762</v>
      </c>
      <c r="B478" t="s">
        <v>172</v>
      </c>
      <c r="C478" t="s">
        <v>24</v>
      </c>
      <c r="D478" t="s">
        <v>52</v>
      </c>
      <c r="E478" s="8" t="s">
        <v>26</v>
      </c>
      <c r="F478" s="8">
        <v>17.670000000000002</v>
      </c>
      <c r="G478" s="8">
        <v>18.89</v>
      </c>
      <c r="H478" s="8">
        <v>20</v>
      </c>
      <c r="I478" s="8">
        <v>18.690000000000001</v>
      </c>
      <c r="J478" s="6">
        <v>0.74709999999999999</v>
      </c>
      <c r="K478" s="4">
        <v>110000</v>
      </c>
      <c r="L478" s="2">
        <v>46020</v>
      </c>
      <c r="M478" t="str">
        <f t="shared" si="28"/>
        <v>Admis</v>
      </c>
      <c r="N478" t="str">
        <f t="shared" si="29"/>
        <v>Non eligible</v>
      </c>
      <c r="O478" t="str">
        <f t="shared" si="30"/>
        <v>RAS</v>
      </c>
      <c r="P478" t="str">
        <f t="shared" si="31"/>
        <v>Hors data</v>
      </c>
      <c r="Q478" t="str" cm="1">
        <f t="array" ref="Q478">_xlfn.IFS(H478&gt;=16,"Excellent",H478&gt;=14,"Très bien",H478&gt;=12,"Bien",H478&gt;=10,"Passable",H478&lt;10,"Insuffisant")</f>
        <v>Excellent</v>
      </c>
    </row>
    <row r="479" spans="1:17">
      <c r="A479" t="s">
        <v>763</v>
      </c>
      <c r="B479" t="s">
        <v>606</v>
      </c>
      <c r="C479" t="s">
        <v>19</v>
      </c>
      <c r="D479" t="s">
        <v>40</v>
      </c>
      <c r="E479" s="8" t="s">
        <v>21</v>
      </c>
      <c r="F479" s="8">
        <v>12.08</v>
      </c>
      <c r="G479" s="8">
        <v>16.079999999999998</v>
      </c>
      <c r="H479" s="8">
        <v>10.51</v>
      </c>
      <c r="I479" s="8">
        <v>14.99</v>
      </c>
      <c r="J479" s="6">
        <v>0.75880000000000003</v>
      </c>
      <c r="K479" s="4">
        <v>120000</v>
      </c>
      <c r="L479" s="2">
        <v>45909</v>
      </c>
      <c r="M479" t="str">
        <f t="shared" si="28"/>
        <v>Admis</v>
      </c>
      <c r="N479" t="str">
        <f t="shared" si="29"/>
        <v>Non eligible</v>
      </c>
      <c r="O479" t="str">
        <f t="shared" si="30"/>
        <v>RAS</v>
      </c>
      <c r="P479" t="str">
        <f t="shared" si="31"/>
        <v>Data</v>
      </c>
      <c r="Q479" t="str" cm="1">
        <f t="array" ref="Q479">_xlfn.IFS(H479&gt;=16,"Excellent",H479&gt;=14,"Très bien",H479&gt;=12,"Bien",H479&gt;=10,"Passable",H479&lt;10,"Insuffisant")</f>
        <v>Passable</v>
      </c>
    </row>
    <row r="480" spans="1:17">
      <c r="A480" t="s">
        <v>764</v>
      </c>
      <c r="B480" t="s">
        <v>49</v>
      </c>
      <c r="C480" t="s">
        <v>24</v>
      </c>
      <c r="D480" t="s">
        <v>33</v>
      </c>
      <c r="E480" s="8" t="s">
        <v>47</v>
      </c>
      <c r="F480" s="8">
        <v>12.08</v>
      </c>
      <c r="G480" s="8">
        <v>10.83</v>
      </c>
      <c r="H480" s="8">
        <v>12.25</v>
      </c>
      <c r="I480" s="8">
        <v>12.53</v>
      </c>
      <c r="J480" s="6">
        <v>0.8881</v>
      </c>
      <c r="K480" s="4">
        <v>75000</v>
      </c>
      <c r="L480" s="2">
        <v>46234</v>
      </c>
      <c r="M480" t="str">
        <f t="shared" si="28"/>
        <v>Admis</v>
      </c>
      <c r="N480" t="str">
        <f t="shared" si="29"/>
        <v>Eligible</v>
      </c>
      <c r="O480" t="str">
        <f t="shared" si="30"/>
        <v>RAS</v>
      </c>
      <c r="P480" t="str">
        <f t="shared" si="31"/>
        <v>Hors data</v>
      </c>
      <c r="Q480" t="str" cm="1">
        <f t="array" ref="Q480">_xlfn.IFS(H480&gt;=16,"Excellent",H480&gt;=14,"Très bien",H480&gt;=12,"Bien",H480&gt;=10,"Passable",H480&lt;10,"Insuffisant")</f>
        <v>Bien</v>
      </c>
    </row>
    <row r="481" spans="1:17">
      <c r="A481" t="s">
        <v>765</v>
      </c>
      <c r="B481" t="s">
        <v>219</v>
      </c>
      <c r="C481" t="s">
        <v>19</v>
      </c>
      <c r="D481" t="s">
        <v>33</v>
      </c>
      <c r="E481" s="8" t="s">
        <v>47</v>
      </c>
      <c r="F481" s="8">
        <v>17.23</v>
      </c>
      <c r="G481" s="8">
        <v>20</v>
      </c>
      <c r="H481" s="8">
        <v>20</v>
      </c>
      <c r="I481" s="8">
        <v>19.95</v>
      </c>
      <c r="J481" s="6">
        <v>0.87219999999999998</v>
      </c>
      <c r="K481" s="4">
        <v>100000</v>
      </c>
      <c r="L481" s="2">
        <v>46076</v>
      </c>
      <c r="M481" t="str">
        <f t="shared" si="28"/>
        <v>Admis</v>
      </c>
      <c r="N481" t="str">
        <f t="shared" si="29"/>
        <v>Eligible</v>
      </c>
      <c r="O481" t="str">
        <f t="shared" si="30"/>
        <v>RAS</v>
      </c>
      <c r="P481" t="str">
        <f t="shared" si="31"/>
        <v>Hors data</v>
      </c>
      <c r="Q481" t="str" cm="1">
        <f t="array" ref="Q481">_xlfn.IFS(H481&gt;=16,"Excellent",H481&gt;=14,"Très bien",H481&gt;=12,"Bien",H481&gt;=10,"Passable",H481&lt;10,"Insuffisant")</f>
        <v>Excellent</v>
      </c>
    </row>
    <row r="482" spans="1:17">
      <c r="A482" t="s">
        <v>766</v>
      </c>
      <c r="B482" t="s">
        <v>177</v>
      </c>
      <c r="C482" t="s">
        <v>19</v>
      </c>
      <c r="D482" t="s">
        <v>20</v>
      </c>
      <c r="E482" s="8" t="s">
        <v>26</v>
      </c>
      <c r="F482" s="8">
        <v>17.64</v>
      </c>
      <c r="G482" s="8">
        <v>17.46</v>
      </c>
      <c r="H482" s="8">
        <v>20</v>
      </c>
      <c r="I482" s="8">
        <v>18.05</v>
      </c>
      <c r="J482" s="6">
        <v>0.89580000000000004</v>
      </c>
      <c r="K482" s="4">
        <v>85000</v>
      </c>
      <c r="L482" s="2">
        <v>45547</v>
      </c>
      <c r="M482" t="str">
        <f t="shared" si="28"/>
        <v>Admis</v>
      </c>
      <c r="N482" t="str">
        <f t="shared" si="29"/>
        <v>Eligible</v>
      </c>
      <c r="O482" t="str">
        <f t="shared" si="30"/>
        <v>RAS</v>
      </c>
      <c r="P482" t="str">
        <f t="shared" si="31"/>
        <v>Hors data</v>
      </c>
      <c r="Q482" t="str" cm="1">
        <f t="array" ref="Q482">_xlfn.IFS(H482&gt;=16,"Excellent",H482&gt;=14,"Très bien",H482&gt;=12,"Bien",H482&gt;=10,"Passable",H482&lt;10,"Insuffisant")</f>
        <v>Excellent</v>
      </c>
    </row>
    <row r="483" spans="1:17">
      <c r="A483" t="s">
        <v>767</v>
      </c>
      <c r="B483" t="s">
        <v>610</v>
      </c>
      <c r="C483" t="s">
        <v>24</v>
      </c>
      <c r="D483" t="s">
        <v>37</v>
      </c>
      <c r="E483" s="8" t="s">
        <v>34</v>
      </c>
      <c r="F483" s="8">
        <v>11.62</v>
      </c>
      <c r="G483" s="8">
        <v>14.65</v>
      </c>
      <c r="H483" s="8">
        <v>10.74</v>
      </c>
      <c r="I483" s="8">
        <v>15.95</v>
      </c>
      <c r="J483" s="6">
        <v>0.83789999999999998</v>
      </c>
      <c r="K483" s="4">
        <v>80000</v>
      </c>
      <c r="L483" s="2">
        <v>45801</v>
      </c>
      <c r="M483" t="str">
        <f t="shared" si="28"/>
        <v>Admis</v>
      </c>
      <c r="N483" t="str">
        <f t="shared" si="29"/>
        <v>Non eligible</v>
      </c>
      <c r="O483" t="str">
        <f t="shared" si="30"/>
        <v>RAS</v>
      </c>
      <c r="P483" t="str">
        <f t="shared" si="31"/>
        <v>Hors data</v>
      </c>
      <c r="Q483" t="str" cm="1">
        <f t="array" ref="Q483">_xlfn.IFS(H483&gt;=16,"Excellent",H483&gt;=14,"Très bien",H483&gt;=12,"Bien",H483&gt;=10,"Passable",H483&lt;10,"Insuffisant")</f>
        <v>Passable</v>
      </c>
    </row>
    <row r="484" spans="1:17">
      <c r="A484" t="s">
        <v>768</v>
      </c>
      <c r="B484" t="s">
        <v>769</v>
      </c>
      <c r="C484" t="s">
        <v>19</v>
      </c>
      <c r="D484" t="s">
        <v>40</v>
      </c>
      <c r="E484" s="8" t="s">
        <v>21</v>
      </c>
      <c r="F484" s="8">
        <v>10.33</v>
      </c>
      <c r="G484" s="8">
        <v>9.33</v>
      </c>
      <c r="H484" s="8">
        <v>12.09</v>
      </c>
      <c r="I484" s="8">
        <v>8.48</v>
      </c>
      <c r="J484" s="6">
        <v>0.61839999999999995</v>
      </c>
      <c r="K484" s="4">
        <v>110000</v>
      </c>
      <c r="L484" s="2">
        <v>45738</v>
      </c>
      <c r="M484" t="str">
        <f t="shared" si="28"/>
        <v>Admis</v>
      </c>
      <c r="N484" t="str">
        <f t="shared" si="29"/>
        <v>Non eligible</v>
      </c>
      <c r="O484" t="str">
        <f t="shared" si="30"/>
        <v>RAS</v>
      </c>
      <c r="P484" t="str">
        <f t="shared" si="31"/>
        <v>Data</v>
      </c>
      <c r="Q484" t="str" cm="1">
        <f t="array" ref="Q484">_xlfn.IFS(H484&gt;=16,"Excellent",H484&gt;=14,"Très bien",H484&gt;=12,"Bien",H484&gt;=10,"Passable",H484&lt;10,"Insuffisant")</f>
        <v>Bien</v>
      </c>
    </row>
    <row r="485" spans="1:17">
      <c r="A485" t="s">
        <v>770</v>
      </c>
      <c r="B485" t="s">
        <v>242</v>
      </c>
      <c r="C485" t="s">
        <v>24</v>
      </c>
      <c r="D485" t="s">
        <v>20</v>
      </c>
      <c r="E485" s="8" t="s">
        <v>26</v>
      </c>
      <c r="F485" s="8">
        <v>15.99</v>
      </c>
      <c r="G485" s="8">
        <v>13</v>
      </c>
      <c r="H485" s="8">
        <v>9.75</v>
      </c>
      <c r="I485" s="8">
        <v>10.48</v>
      </c>
      <c r="J485" s="6">
        <v>0.68830000000000002</v>
      </c>
      <c r="K485" s="4">
        <v>70000</v>
      </c>
      <c r="L485" s="2">
        <v>45947</v>
      </c>
      <c r="M485" t="str">
        <f t="shared" si="28"/>
        <v>Non admis</v>
      </c>
      <c r="N485" t="str">
        <f t="shared" si="29"/>
        <v>Non eligible</v>
      </c>
      <c r="O485" t="str">
        <f t="shared" si="30"/>
        <v>A surveiller</v>
      </c>
      <c r="P485" t="str">
        <f t="shared" si="31"/>
        <v>Hors data</v>
      </c>
      <c r="Q485" t="str" cm="1">
        <f t="array" ref="Q485">_xlfn.IFS(H485&gt;=16,"Excellent",H485&gt;=14,"Très bien",H485&gt;=12,"Bien",H485&gt;=10,"Passable",H485&lt;10,"Insuffisant")</f>
        <v>Insuffisant</v>
      </c>
    </row>
    <row r="486" spans="1:17">
      <c r="A486" t="s">
        <v>771</v>
      </c>
      <c r="B486" t="s">
        <v>105</v>
      </c>
      <c r="C486" t="s">
        <v>19</v>
      </c>
      <c r="D486" t="s">
        <v>25</v>
      </c>
      <c r="E486" s="8" t="s">
        <v>47</v>
      </c>
      <c r="F486" s="8">
        <v>14.75</v>
      </c>
      <c r="G486" s="8">
        <v>15.85</v>
      </c>
      <c r="H486" s="8">
        <v>14.73</v>
      </c>
      <c r="I486" s="8">
        <v>20</v>
      </c>
      <c r="J486" s="6">
        <v>0.73089999999999999</v>
      </c>
      <c r="K486" s="4">
        <v>60000</v>
      </c>
      <c r="L486" s="2">
        <v>45721</v>
      </c>
      <c r="M486" t="str">
        <f t="shared" si="28"/>
        <v>Admis</v>
      </c>
      <c r="N486" t="str">
        <f t="shared" si="29"/>
        <v>Non eligible</v>
      </c>
      <c r="O486" t="str">
        <f t="shared" si="30"/>
        <v>RAS</v>
      </c>
      <c r="P486" t="str">
        <f t="shared" si="31"/>
        <v>Hors data</v>
      </c>
      <c r="Q486" t="str" cm="1">
        <f t="array" ref="Q486">_xlfn.IFS(H486&gt;=16,"Excellent",H486&gt;=14,"Très bien",H486&gt;=12,"Bien",H486&gt;=10,"Passable",H486&lt;10,"Insuffisant")</f>
        <v>Très bien</v>
      </c>
    </row>
    <row r="487" spans="1:17">
      <c r="A487" t="s">
        <v>772</v>
      </c>
      <c r="B487" t="s">
        <v>371</v>
      </c>
      <c r="C487" t="s">
        <v>19</v>
      </c>
      <c r="D487" t="s">
        <v>52</v>
      </c>
      <c r="E487" s="8" t="s">
        <v>34</v>
      </c>
      <c r="F487" s="8">
        <v>16</v>
      </c>
      <c r="G487" s="8">
        <v>16.149999999999999</v>
      </c>
      <c r="H487" s="8">
        <v>15.25</v>
      </c>
      <c r="I487" s="8">
        <v>12.5</v>
      </c>
      <c r="J487" s="6">
        <v>0.97099999999999997</v>
      </c>
      <c r="K487" s="4">
        <v>85000</v>
      </c>
      <c r="L487" s="2">
        <v>46212</v>
      </c>
      <c r="M487" t="str">
        <f t="shared" si="28"/>
        <v>Admis</v>
      </c>
      <c r="N487" t="str">
        <f t="shared" si="29"/>
        <v>Eligible</v>
      </c>
      <c r="O487" t="str">
        <f t="shared" si="30"/>
        <v>RAS</v>
      </c>
      <c r="P487" t="str">
        <f t="shared" si="31"/>
        <v>Hors data</v>
      </c>
      <c r="Q487" t="str" cm="1">
        <f t="array" ref="Q487">_xlfn.IFS(H487&gt;=16,"Excellent",H487&gt;=14,"Très bien",H487&gt;=12,"Bien",H487&gt;=10,"Passable",H487&lt;10,"Insuffisant")</f>
        <v>Très bien</v>
      </c>
    </row>
    <row r="488" spans="1:17">
      <c r="A488" t="s">
        <v>773</v>
      </c>
      <c r="B488" t="s">
        <v>339</v>
      </c>
      <c r="C488" t="s">
        <v>19</v>
      </c>
      <c r="D488" t="s">
        <v>37</v>
      </c>
      <c r="E488" s="8" t="s">
        <v>34</v>
      </c>
      <c r="F488" s="8">
        <v>11.22</v>
      </c>
      <c r="G488" s="8">
        <v>9.31</v>
      </c>
      <c r="H488" s="8">
        <v>11.64</v>
      </c>
      <c r="I488" s="8">
        <v>8.1300000000000008</v>
      </c>
      <c r="J488" s="6">
        <v>0.55000000000000004</v>
      </c>
      <c r="K488" s="4">
        <v>120000</v>
      </c>
      <c r="L488" s="2">
        <v>45745</v>
      </c>
      <c r="M488" t="str">
        <f t="shared" si="28"/>
        <v>Admis</v>
      </c>
      <c r="N488" t="str">
        <f t="shared" si="29"/>
        <v>Non eligible</v>
      </c>
      <c r="O488" t="str">
        <f t="shared" si="30"/>
        <v>RAS</v>
      </c>
      <c r="P488" t="str">
        <f t="shared" si="31"/>
        <v>Hors data</v>
      </c>
      <c r="Q488" t="str" cm="1">
        <f t="array" ref="Q488">_xlfn.IFS(H488&gt;=16,"Excellent",H488&gt;=14,"Très bien",H488&gt;=12,"Bien",H488&gt;=10,"Passable",H488&lt;10,"Insuffisant")</f>
        <v>Passable</v>
      </c>
    </row>
    <row r="489" spans="1:17">
      <c r="A489" t="s">
        <v>774</v>
      </c>
      <c r="B489" t="s">
        <v>70</v>
      </c>
      <c r="C489" t="s">
        <v>24</v>
      </c>
      <c r="D489" t="s">
        <v>25</v>
      </c>
      <c r="E489" s="8" t="s">
        <v>34</v>
      </c>
      <c r="F489" s="8">
        <v>18.149999999999999</v>
      </c>
      <c r="G489" s="8">
        <v>18.079999999999998</v>
      </c>
      <c r="H489" s="8">
        <v>17.260000000000002</v>
      </c>
      <c r="I489" s="8">
        <v>16.23</v>
      </c>
      <c r="J489" s="6">
        <v>0.87280000000000002</v>
      </c>
      <c r="K489" s="4">
        <v>60000</v>
      </c>
      <c r="L489" s="2">
        <v>45901</v>
      </c>
      <c r="M489" t="str">
        <f t="shared" si="28"/>
        <v>Admis</v>
      </c>
      <c r="N489" t="str">
        <f t="shared" si="29"/>
        <v>Eligible</v>
      </c>
      <c r="O489" t="str">
        <f t="shared" si="30"/>
        <v>RAS</v>
      </c>
      <c r="P489" t="str">
        <f t="shared" si="31"/>
        <v>Hors data</v>
      </c>
      <c r="Q489" t="str" cm="1">
        <f t="array" ref="Q489">_xlfn.IFS(H489&gt;=16,"Excellent",H489&gt;=14,"Très bien",H489&gt;=12,"Bien",H489&gt;=10,"Passable",H489&lt;10,"Insuffisant")</f>
        <v>Excellent</v>
      </c>
    </row>
    <row r="490" spans="1:17">
      <c r="A490" t="s">
        <v>775</v>
      </c>
      <c r="B490" t="s">
        <v>776</v>
      </c>
      <c r="C490" t="s">
        <v>24</v>
      </c>
      <c r="D490" t="s">
        <v>52</v>
      </c>
      <c r="E490" s="8" t="s">
        <v>34</v>
      </c>
      <c r="F490" s="8">
        <v>13.06</v>
      </c>
      <c r="G490" s="8">
        <v>11.19</v>
      </c>
      <c r="H490" s="8">
        <v>10.89</v>
      </c>
      <c r="I490" s="8">
        <v>6.99</v>
      </c>
      <c r="J490" s="6">
        <v>0.55000000000000004</v>
      </c>
      <c r="K490" s="4">
        <v>75000</v>
      </c>
      <c r="L490" s="2">
        <v>45622</v>
      </c>
      <c r="M490" t="str">
        <f t="shared" si="28"/>
        <v>Admis</v>
      </c>
      <c r="N490" t="str">
        <f t="shared" si="29"/>
        <v>Non eligible</v>
      </c>
      <c r="O490" t="str">
        <f t="shared" si="30"/>
        <v>RAS</v>
      </c>
      <c r="P490" t="str">
        <f t="shared" si="31"/>
        <v>Hors data</v>
      </c>
      <c r="Q490" t="str" cm="1">
        <f t="array" ref="Q490">_xlfn.IFS(H490&gt;=16,"Excellent",H490&gt;=14,"Très bien",H490&gt;=12,"Bien",H490&gt;=10,"Passable",H490&lt;10,"Insuffisant")</f>
        <v>Passable</v>
      </c>
    </row>
    <row r="491" spans="1:17">
      <c r="A491" t="s">
        <v>777</v>
      </c>
      <c r="B491" t="s">
        <v>42</v>
      </c>
      <c r="C491" t="s">
        <v>24</v>
      </c>
      <c r="D491" t="s">
        <v>52</v>
      </c>
      <c r="E491" s="8" t="s">
        <v>34</v>
      </c>
      <c r="F491" s="8">
        <v>16.2</v>
      </c>
      <c r="G491" s="8">
        <v>20</v>
      </c>
      <c r="H491" s="8">
        <v>18.71</v>
      </c>
      <c r="I491" s="8">
        <v>20</v>
      </c>
      <c r="J491" s="6">
        <v>0.75860000000000005</v>
      </c>
      <c r="K491" s="4">
        <v>100000</v>
      </c>
      <c r="L491" s="2">
        <v>46172</v>
      </c>
      <c r="M491" t="str">
        <f t="shared" si="28"/>
        <v>Admis</v>
      </c>
      <c r="N491" t="str">
        <f t="shared" si="29"/>
        <v>Non eligible</v>
      </c>
      <c r="O491" t="str">
        <f t="shared" si="30"/>
        <v>RAS</v>
      </c>
      <c r="P491" t="str">
        <f t="shared" si="31"/>
        <v>Hors data</v>
      </c>
      <c r="Q491" t="str" cm="1">
        <f t="array" ref="Q491">_xlfn.IFS(H491&gt;=16,"Excellent",H491&gt;=14,"Très bien",H491&gt;=12,"Bien",H491&gt;=10,"Passable",H491&lt;10,"Insuffisant")</f>
        <v>Excellent</v>
      </c>
    </row>
    <row r="492" spans="1:17">
      <c r="A492" t="s">
        <v>778</v>
      </c>
      <c r="B492" t="s">
        <v>652</v>
      </c>
      <c r="C492" t="s">
        <v>24</v>
      </c>
      <c r="D492" t="s">
        <v>25</v>
      </c>
      <c r="E492" s="8" t="s">
        <v>34</v>
      </c>
      <c r="F492" s="8">
        <v>16.899999999999999</v>
      </c>
      <c r="G492" s="8">
        <v>15.86</v>
      </c>
      <c r="H492" s="8">
        <v>17.82</v>
      </c>
      <c r="I492" s="8">
        <v>15.44</v>
      </c>
      <c r="J492" s="6">
        <v>0.59540000000000004</v>
      </c>
      <c r="K492" s="4">
        <v>85000</v>
      </c>
      <c r="L492" s="2">
        <v>46174</v>
      </c>
      <c r="M492" t="str">
        <f t="shared" si="28"/>
        <v>Admis</v>
      </c>
      <c r="N492" t="str">
        <f t="shared" si="29"/>
        <v>Non eligible</v>
      </c>
      <c r="O492" t="str">
        <f t="shared" si="30"/>
        <v>RAS</v>
      </c>
      <c r="P492" t="str">
        <f t="shared" si="31"/>
        <v>Hors data</v>
      </c>
      <c r="Q492" t="str" cm="1">
        <f t="array" ref="Q492">_xlfn.IFS(H492&gt;=16,"Excellent",H492&gt;=14,"Très bien",H492&gt;=12,"Bien",H492&gt;=10,"Passable",H492&lt;10,"Insuffisant")</f>
        <v>Excellent</v>
      </c>
    </row>
    <row r="493" spans="1:17">
      <c r="A493" t="s">
        <v>779</v>
      </c>
      <c r="B493" t="s">
        <v>780</v>
      </c>
      <c r="C493" t="s">
        <v>24</v>
      </c>
      <c r="D493" t="s">
        <v>37</v>
      </c>
      <c r="E493" s="8" t="s">
        <v>34</v>
      </c>
      <c r="F493" s="8">
        <v>18.2</v>
      </c>
      <c r="G493" s="8">
        <v>20</v>
      </c>
      <c r="H493" s="8">
        <v>18.86</v>
      </c>
      <c r="I493" s="8">
        <v>16.39</v>
      </c>
      <c r="J493" s="6">
        <v>0.89380000000000004</v>
      </c>
      <c r="K493" s="4">
        <v>90000</v>
      </c>
      <c r="L493" s="2">
        <v>46091</v>
      </c>
      <c r="M493" t="str">
        <f t="shared" si="28"/>
        <v>Admis</v>
      </c>
      <c r="N493" t="str">
        <f t="shared" si="29"/>
        <v>Eligible</v>
      </c>
      <c r="O493" t="str">
        <f t="shared" si="30"/>
        <v>RAS</v>
      </c>
      <c r="P493" t="str">
        <f t="shared" si="31"/>
        <v>Hors data</v>
      </c>
      <c r="Q493" t="str" cm="1">
        <f t="array" ref="Q493">_xlfn.IFS(H493&gt;=16,"Excellent",H493&gt;=14,"Très bien",H493&gt;=12,"Bien",H493&gt;=10,"Passable",H493&lt;10,"Insuffisant")</f>
        <v>Excellent</v>
      </c>
    </row>
    <row r="494" spans="1:17">
      <c r="A494" t="s">
        <v>781</v>
      </c>
      <c r="B494" t="s">
        <v>728</v>
      </c>
      <c r="C494" t="s">
        <v>24</v>
      </c>
      <c r="D494" t="s">
        <v>37</v>
      </c>
      <c r="E494" s="8" t="s">
        <v>21</v>
      </c>
      <c r="F494" s="8">
        <v>16.14</v>
      </c>
      <c r="G494" s="8">
        <v>13.72</v>
      </c>
      <c r="H494" s="8">
        <v>12.5</v>
      </c>
      <c r="I494" s="8">
        <v>13.36</v>
      </c>
      <c r="J494" s="6">
        <v>0.81130000000000002</v>
      </c>
      <c r="K494" s="4">
        <v>85000</v>
      </c>
      <c r="L494" s="2">
        <v>45782</v>
      </c>
      <c r="M494" t="str">
        <f t="shared" si="28"/>
        <v>Admis</v>
      </c>
      <c r="N494" t="str">
        <f t="shared" si="29"/>
        <v>Eligible</v>
      </c>
      <c r="O494" t="str">
        <f t="shared" si="30"/>
        <v>RAS</v>
      </c>
      <c r="P494" t="str">
        <f t="shared" si="31"/>
        <v>Data</v>
      </c>
      <c r="Q494" t="str" cm="1">
        <f t="array" ref="Q494">_xlfn.IFS(H494&gt;=16,"Excellent",H494&gt;=14,"Très bien",H494&gt;=12,"Bien",H494&gt;=10,"Passable",H494&lt;10,"Insuffisant")</f>
        <v>Bien</v>
      </c>
    </row>
    <row r="495" spans="1:17">
      <c r="A495" t="s">
        <v>782</v>
      </c>
      <c r="B495" t="s">
        <v>223</v>
      </c>
      <c r="C495" t="s">
        <v>24</v>
      </c>
      <c r="D495" t="s">
        <v>33</v>
      </c>
      <c r="E495" s="8" t="s">
        <v>26</v>
      </c>
      <c r="F495" s="8">
        <v>14.54</v>
      </c>
      <c r="G495" s="8">
        <v>18.64</v>
      </c>
      <c r="H495" s="8">
        <v>15.7</v>
      </c>
      <c r="I495" s="8">
        <v>18.13</v>
      </c>
      <c r="J495" s="6">
        <v>0.92859999999999998</v>
      </c>
      <c r="K495" s="4">
        <v>110000</v>
      </c>
      <c r="L495" s="2">
        <v>45577</v>
      </c>
      <c r="M495" t="str">
        <f t="shared" si="28"/>
        <v>Admis</v>
      </c>
      <c r="N495" t="str">
        <f t="shared" si="29"/>
        <v>Eligible</v>
      </c>
      <c r="O495" t="str">
        <f t="shared" si="30"/>
        <v>RAS</v>
      </c>
      <c r="P495" t="str">
        <f t="shared" si="31"/>
        <v>Hors data</v>
      </c>
      <c r="Q495" t="str" cm="1">
        <f t="array" ref="Q495">_xlfn.IFS(H495&gt;=16,"Excellent",H495&gt;=14,"Très bien",H495&gt;=12,"Bien",H495&gt;=10,"Passable",H495&lt;10,"Insuffisant")</f>
        <v>Très bien</v>
      </c>
    </row>
    <row r="496" spans="1:17">
      <c r="A496" t="s">
        <v>783</v>
      </c>
      <c r="B496" t="s">
        <v>105</v>
      </c>
      <c r="C496" t="s">
        <v>19</v>
      </c>
      <c r="D496" t="s">
        <v>37</v>
      </c>
      <c r="E496" s="8" t="s">
        <v>21</v>
      </c>
      <c r="F496" s="8">
        <v>11.11</v>
      </c>
      <c r="G496" s="8">
        <v>14.87</v>
      </c>
      <c r="H496" s="8">
        <v>8.16</v>
      </c>
      <c r="I496" s="8">
        <v>7.52</v>
      </c>
      <c r="J496" s="6">
        <v>0.81899999999999995</v>
      </c>
      <c r="K496" s="4">
        <v>120000</v>
      </c>
      <c r="L496" s="2">
        <v>46033</v>
      </c>
      <c r="M496" t="str">
        <f t="shared" si="28"/>
        <v>Non admis</v>
      </c>
      <c r="N496" t="str">
        <f t="shared" si="29"/>
        <v>Non eligible</v>
      </c>
      <c r="O496" t="str">
        <f t="shared" si="30"/>
        <v>A surveiller</v>
      </c>
      <c r="P496" t="str">
        <f t="shared" si="31"/>
        <v>Data</v>
      </c>
      <c r="Q496" t="str" cm="1">
        <f t="array" ref="Q496">_xlfn.IFS(H496&gt;=16,"Excellent",H496&gt;=14,"Très bien",H496&gt;=12,"Bien",H496&gt;=10,"Passable",H496&lt;10,"Insuffisant")</f>
        <v>Insuffisant</v>
      </c>
    </row>
    <row r="497" spans="1:17">
      <c r="A497" t="s">
        <v>784</v>
      </c>
      <c r="B497" t="s">
        <v>250</v>
      </c>
      <c r="C497" t="s">
        <v>19</v>
      </c>
      <c r="D497" t="s">
        <v>52</v>
      </c>
      <c r="E497" s="8" t="s">
        <v>21</v>
      </c>
      <c r="F497" s="8">
        <v>9.1999999999999993</v>
      </c>
      <c r="G497" s="8">
        <v>7.89</v>
      </c>
      <c r="H497" s="8">
        <v>9.08</v>
      </c>
      <c r="I497" s="8">
        <v>8.1</v>
      </c>
      <c r="J497" s="6">
        <v>0.80289999999999995</v>
      </c>
      <c r="K497" s="4">
        <v>80000</v>
      </c>
      <c r="L497" s="2">
        <v>45836</v>
      </c>
      <c r="M497" t="str">
        <f t="shared" si="28"/>
        <v>Non admis</v>
      </c>
      <c r="N497" t="str">
        <f t="shared" si="29"/>
        <v>Non eligible</v>
      </c>
      <c r="O497" t="str">
        <f t="shared" si="30"/>
        <v>A surveiller</v>
      </c>
      <c r="P497" t="str">
        <f t="shared" si="31"/>
        <v>Data</v>
      </c>
      <c r="Q497" t="str" cm="1">
        <f t="array" ref="Q497">_xlfn.IFS(H497&gt;=16,"Excellent",H497&gt;=14,"Très bien",H497&gt;=12,"Bien",H497&gt;=10,"Passable",H497&lt;10,"Insuffisant")</f>
        <v>Insuffisant</v>
      </c>
    </row>
    <row r="498" spans="1:17">
      <c r="A498" t="s">
        <v>785</v>
      </c>
      <c r="B498" t="s">
        <v>682</v>
      </c>
      <c r="C498" t="s">
        <v>19</v>
      </c>
      <c r="D498" t="s">
        <v>52</v>
      </c>
      <c r="E498" s="8" t="s">
        <v>21</v>
      </c>
      <c r="F498" s="8">
        <v>17.510000000000002</v>
      </c>
      <c r="G498" s="8">
        <v>16.53</v>
      </c>
      <c r="H498" s="8">
        <v>17.98</v>
      </c>
      <c r="I498" s="8">
        <v>14.19</v>
      </c>
      <c r="J498" s="6">
        <v>0.80859999999999999</v>
      </c>
      <c r="K498" s="4">
        <v>80000</v>
      </c>
      <c r="L498" s="2">
        <v>46229</v>
      </c>
      <c r="M498" t="str">
        <f t="shared" si="28"/>
        <v>Admis</v>
      </c>
      <c r="N498" t="str">
        <f t="shared" si="29"/>
        <v>Eligible</v>
      </c>
      <c r="O498" t="str">
        <f t="shared" si="30"/>
        <v>RAS</v>
      </c>
      <c r="P498" t="str">
        <f t="shared" si="31"/>
        <v>Data</v>
      </c>
      <c r="Q498" t="str" cm="1">
        <f t="array" ref="Q498">_xlfn.IFS(H498&gt;=16,"Excellent",H498&gt;=14,"Très bien",H498&gt;=12,"Bien",H498&gt;=10,"Passable",H498&lt;10,"Insuffisant")</f>
        <v>Excellent</v>
      </c>
    </row>
    <row r="499" spans="1:17">
      <c r="A499" t="s">
        <v>786</v>
      </c>
      <c r="B499" t="s">
        <v>99</v>
      </c>
      <c r="C499" t="s">
        <v>19</v>
      </c>
      <c r="D499" t="s">
        <v>52</v>
      </c>
      <c r="E499" s="8" t="s">
        <v>26</v>
      </c>
      <c r="F499" s="8">
        <v>16.95</v>
      </c>
      <c r="G499" s="8">
        <v>18.78</v>
      </c>
      <c r="H499" s="8">
        <v>16.149999999999999</v>
      </c>
      <c r="I499" s="8">
        <v>14.51</v>
      </c>
      <c r="J499" s="6">
        <v>0.95950000000000002</v>
      </c>
      <c r="K499" s="4">
        <v>75000</v>
      </c>
      <c r="L499" s="2">
        <v>46024</v>
      </c>
      <c r="M499" t="str">
        <f t="shared" si="28"/>
        <v>Admis</v>
      </c>
      <c r="N499" t="str">
        <f t="shared" si="29"/>
        <v>Eligible</v>
      </c>
      <c r="O499" t="str">
        <f t="shared" si="30"/>
        <v>RAS</v>
      </c>
      <c r="P499" t="str">
        <f t="shared" si="31"/>
        <v>Hors data</v>
      </c>
      <c r="Q499" t="str" cm="1">
        <f t="array" ref="Q499">_xlfn.IFS(H499&gt;=16,"Excellent",H499&gt;=14,"Très bien",H499&gt;=12,"Bien",H499&gt;=10,"Passable",H499&lt;10,"Insuffisant")</f>
        <v>Excellent</v>
      </c>
    </row>
    <row r="500" spans="1:17">
      <c r="A500" t="s">
        <v>787</v>
      </c>
      <c r="B500" t="s">
        <v>269</v>
      </c>
      <c r="C500" t="s">
        <v>24</v>
      </c>
      <c r="D500" t="s">
        <v>52</v>
      </c>
      <c r="E500" s="8" t="s">
        <v>34</v>
      </c>
      <c r="F500" s="8">
        <v>14.42</v>
      </c>
      <c r="G500" s="8">
        <v>13.44</v>
      </c>
      <c r="H500" s="8">
        <v>17.97</v>
      </c>
      <c r="I500" s="8">
        <v>12.87</v>
      </c>
      <c r="J500" s="6">
        <v>0.90559999999999996</v>
      </c>
      <c r="K500" s="4">
        <v>80000</v>
      </c>
      <c r="L500" s="2">
        <v>45913</v>
      </c>
      <c r="M500" t="str">
        <f t="shared" si="28"/>
        <v>Admis</v>
      </c>
      <c r="N500" t="str">
        <f t="shared" si="29"/>
        <v>Eligible</v>
      </c>
      <c r="O500" t="str">
        <f t="shared" si="30"/>
        <v>RAS</v>
      </c>
      <c r="P500" t="str">
        <f t="shared" si="31"/>
        <v>Hors data</v>
      </c>
      <c r="Q500" t="str" cm="1">
        <f t="array" ref="Q500">_xlfn.IFS(H500&gt;=16,"Excellent",H500&gt;=14,"Très bien",H500&gt;=12,"Bien",H500&gt;=10,"Passable",H500&lt;10,"Insuffisant")</f>
        <v>Excellent</v>
      </c>
    </row>
    <row r="501" spans="1:17">
      <c r="A501" t="s">
        <v>788</v>
      </c>
      <c r="B501" t="s">
        <v>371</v>
      </c>
      <c r="C501" t="s">
        <v>19</v>
      </c>
      <c r="D501" t="s">
        <v>25</v>
      </c>
      <c r="E501" s="8" t="s">
        <v>34</v>
      </c>
      <c r="F501" s="8">
        <v>12.89</v>
      </c>
      <c r="G501" s="8">
        <v>7.63</v>
      </c>
      <c r="H501" s="8">
        <v>9.89</v>
      </c>
      <c r="I501" s="8">
        <v>7.02</v>
      </c>
      <c r="J501" s="6">
        <v>0.86729999999999996</v>
      </c>
      <c r="K501" s="4">
        <v>120000</v>
      </c>
      <c r="L501" s="2">
        <v>46226</v>
      </c>
      <c r="M501" t="str">
        <f t="shared" si="28"/>
        <v>Non admis</v>
      </c>
      <c r="N501" t="str">
        <f t="shared" si="29"/>
        <v>Non eligible</v>
      </c>
      <c r="O501" t="str">
        <f t="shared" si="30"/>
        <v>A surveiller</v>
      </c>
      <c r="P501" t="str">
        <f t="shared" si="31"/>
        <v>Hors data</v>
      </c>
      <c r="Q501" t="str" cm="1">
        <f t="array" ref="Q501">_xlfn.IFS(H501&gt;=16,"Excellent",H501&gt;=14,"Très bien",H501&gt;=12,"Bien",H501&gt;=10,"Passable",H501&lt;10,"Insuffisant")</f>
        <v>Insuffisant</v>
      </c>
    </row>
    <row r="502" spans="1:17">
      <c r="A502" t="s">
        <v>789</v>
      </c>
      <c r="B502" t="s">
        <v>294</v>
      </c>
      <c r="C502" t="s">
        <v>19</v>
      </c>
      <c r="D502" t="s">
        <v>37</v>
      </c>
      <c r="E502" s="8" t="s">
        <v>34</v>
      </c>
      <c r="F502" s="8">
        <v>12.24</v>
      </c>
      <c r="G502" s="8">
        <v>12.17</v>
      </c>
      <c r="H502" s="8">
        <v>9.81</v>
      </c>
      <c r="I502" s="8">
        <v>10.06</v>
      </c>
      <c r="J502" s="6">
        <v>0.85519999999999996</v>
      </c>
      <c r="K502" s="4">
        <v>85000</v>
      </c>
      <c r="L502" s="2">
        <v>46096</v>
      </c>
      <c r="M502" t="str">
        <f t="shared" si="28"/>
        <v>Non admis</v>
      </c>
      <c r="N502" t="str">
        <f t="shared" si="29"/>
        <v>Non eligible</v>
      </c>
      <c r="O502" t="str">
        <f t="shared" si="30"/>
        <v>A surveiller</v>
      </c>
      <c r="P502" t="str">
        <f t="shared" si="31"/>
        <v>Hors data</v>
      </c>
      <c r="Q502" t="str" cm="1">
        <f t="array" ref="Q502">_xlfn.IFS(H502&gt;=16,"Excellent",H502&gt;=14,"Très bien",H502&gt;=12,"Bien",H502&gt;=10,"Passable",H502&lt;10,"Insuffisant")</f>
        <v>Insuffisant</v>
      </c>
    </row>
    <row r="503" spans="1:17">
      <c r="A503" t="s">
        <v>790</v>
      </c>
      <c r="B503" t="s">
        <v>236</v>
      </c>
      <c r="C503" t="s">
        <v>24</v>
      </c>
      <c r="D503" t="s">
        <v>52</v>
      </c>
      <c r="E503" s="8" t="s">
        <v>21</v>
      </c>
      <c r="F503" s="8">
        <v>11.19</v>
      </c>
      <c r="G503" s="8">
        <v>7.27</v>
      </c>
      <c r="H503" s="8">
        <v>11.11</v>
      </c>
      <c r="I503" s="8">
        <v>9.08</v>
      </c>
      <c r="J503" s="6">
        <v>0.75849999999999995</v>
      </c>
      <c r="K503" s="4">
        <v>100000</v>
      </c>
      <c r="L503" s="2">
        <v>45856</v>
      </c>
      <c r="M503" t="str">
        <f t="shared" si="28"/>
        <v>Admis</v>
      </c>
      <c r="N503" t="str">
        <f t="shared" si="29"/>
        <v>Non eligible</v>
      </c>
      <c r="O503" t="str">
        <f t="shared" si="30"/>
        <v>RAS</v>
      </c>
      <c r="P503" t="str">
        <f t="shared" si="31"/>
        <v>Data</v>
      </c>
      <c r="Q503" t="str" cm="1">
        <f t="array" ref="Q503">_xlfn.IFS(H503&gt;=16,"Excellent",H503&gt;=14,"Très bien",H503&gt;=12,"Bien",H503&gt;=10,"Passable",H503&lt;10,"Insuffisant")</f>
        <v>Passable</v>
      </c>
    </row>
    <row r="504" spans="1:17">
      <c r="A504" t="s">
        <v>791</v>
      </c>
      <c r="B504" t="s">
        <v>792</v>
      </c>
      <c r="C504" t="s">
        <v>24</v>
      </c>
      <c r="D504" t="s">
        <v>52</v>
      </c>
      <c r="E504" s="8" t="s">
        <v>34</v>
      </c>
      <c r="F504" s="8">
        <v>5.42</v>
      </c>
      <c r="G504" s="8">
        <v>8.56</v>
      </c>
      <c r="H504" s="8">
        <v>2.87</v>
      </c>
      <c r="I504" s="8">
        <v>9.66</v>
      </c>
      <c r="J504" s="6">
        <v>0.71250000000000002</v>
      </c>
      <c r="K504" s="4">
        <v>80000</v>
      </c>
      <c r="L504" s="2">
        <v>45549</v>
      </c>
      <c r="M504" t="str">
        <f t="shared" si="28"/>
        <v>Non admis</v>
      </c>
      <c r="N504" t="str">
        <f t="shared" si="29"/>
        <v>Non eligible</v>
      </c>
      <c r="O504" t="str">
        <f t="shared" si="30"/>
        <v>A surveiller</v>
      </c>
      <c r="P504" t="str">
        <f t="shared" si="31"/>
        <v>Hors data</v>
      </c>
      <c r="Q504" t="str" cm="1">
        <f t="array" ref="Q504">_xlfn.IFS(H504&gt;=16,"Excellent",H504&gt;=14,"Très bien",H504&gt;=12,"Bien",H504&gt;=10,"Passable",H504&lt;10,"Insuffisant")</f>
        <v>Insuffisant</v>
      </c>
    </row>
    <row r="505" spans="1:17">
      <c r="A505" t="s">
        <v>793</v>
      </c>
      <c r="B505" t="s">
        <v>62</v>
      </c>
      <c r="C505" t="s">
        <v>24</v>
      </c>
      <c r="D505" t="s">
        <v>20</v>
      </c>
      <c r="E505" s="8" t="s">
        <v>21</v>
      </c>
      <c r="F505" s="8">
        <v>12.28</v>
      </c>
      <c r="G505" s="8">
        <v>14.12</v>
      </c>
      <c r="H505" s="8">
        <v>14.46</v>
      </c>
      <c r="I505" s="8">
        <v>14.15</v>
      </c>
      <c r="J505" s="6">
        <v>0.55000000000000004</v>
      </c>
      <c r="K505" s="4">
        <v>100000</v>
      </c>
      <c r="L505" s="2">
        <v>45600</v>
      </c>
      <c r="M505" t="str">
        <f t="shared" si="28"/>
        <v>Admis</v>
      </c>
      <c r="N505" t="str">
        <f t="shared" si="29"/>
        <v>Non eligible</v>
      </c>
      <c r="O505" t="str">
        <f t="shared" si="30"/>
        <v>RAS</v>
      </c>
      <c r="P505" t="str">
        <f t="shared" si="31"/>
        <v>Data</v>
      </c>
      <c r="Q505" t="str" cm="1">
        <f t="array" ref="Q505">_xlfn.IFS(H505&gt;=16,"Excellent",H505&gt;=14,"Très bien",H505&gt;=12,"Bien",H505&gt;=10,"Passable",H505&lt;10,"Insuffisant")</f>
        <v>Très bien</v>
      </c>
    </row>
    <row r="506" spans="1:17">
      <c r="A506" t="s">
        <v>794</v>
      </c>
      <c r="B506" t="s">
        <v>247</v>
      </c>
      <c r="C506" t="s">
        <v>19</v>
      </c>
      <c r="D506" t="s">
        <v>40</v>
      </c>
      <c r="E506" s="8" t="s">
        <v>26</v>
      </c>
      <c r="F506" s="8">
        <v>14.44</v>
      </c>
      <c r="G506" s="8">
        <v>18.62</v>
      </c>
      <c r="H506" s="8">
        <v>16.739999999999998</v>
      </c>
      <c r="I506" s="8">
        <v>17</v>
      </c>
      <c r="J506" s="6">
        <v>0.73099999999999998</v>
      </c>
      <c r="K506" s="4">
        <v>100000</v>
      </c>
      <c r="L506" s="2">
        <v>45846</v>
      </c>
      <c r="M506" t="str">
        <f t="shared" si="28"/>
        <v>Admis</v>
      </c>
      <c r="N506" t="str">
        <f t="shared" si="29"/>
        <v>Non eligible</v>
      </c>
      <c r="O506" t="str">
        <f t="shared" si="30"/>
        <v>RAS</v>
      </c>
      <c r="P506" t="str">
        <f t="shared" si="31"/>
        <v>Hors data</v>
      </c>
      <c r="Q506" t="str" cm="1">
        <f t="array" ref="Q506">_xlfn.IFS(H506&gt;=16,"Excellent",H506&gt;=14,"Très bien",H506&gt;=12,"Bien",H506&gt;=10,"Passable",H506&lt;10,"Insuffisant")</f>
        <v>Excellent</v>
      </c>
    </row>
    <row r="507" spans="1:17">
      <c r="A507" t="s">
        <v>795</v>
      </c>
      <c r="B507" t="s">
        <v>769</v>
      </c>
      <c r="C507" t="s">
        <v>19</v>
      </c>
      <c r="D507" t="s">
        <v>20</v>
      </c>
      <c r="E507" s="8" t="s">
        <v>21</v>
      </c>
      <c r="F507" s="8">
        <v>15.06</v>
      </c>
      <c r="G507" s="8">
        <v>12.48</v>
      </c>
      <c r="H507" s="8">
        <v>16.93</v>
      </c>
      <c r="I507" s="8">
        <v>10.18</v>
      </c>
      <c r="J507" s="6">
        <v>0.55000000000000004</v>
      </c>
      <c r="K507" s="4">
        <v>85000</v>
      </c>
      <c r="L507" s="2">
        <v>45929</v>
      </c>
      <c r="M507" t="str">
        <f t="shared" si="28"/>
        <v>Admis</v>
      </c>
      <c r="N507" t="str">
        <f t="shared" si="29"/>
        <v>Non eligible</v>
      </c>
      <c r="O507" t="str">
        <f t="shared" si="30"/>
        <v>RAS</v>
      </c>
      <c r="P507" t="str">
        <f t="shared" si="31"/>
        <v>Data</v>
      </c>
      <c r="Q507" t="str" cm="1">
        <f t="array" ref="Q507">_xlfn.IFS(H507&gt;=16,"Excellent",H507&gt;=14,"Très bien",H507&gt;=12,"Bien",H507&gt;=10,"Passable",H507&lt;10,"Insuffisant")</f>
        <v>Excellent</v>
      </c>
    </row>
    <row r="508" spans="1:17">
      <c r="A508" t="s">
        <v>796</v>
      </c>
      <c r="B508" t="s">
        <v>403</v>
      </c>
      <c r="C508" t="s">
        <v>24</v>
      </c>
      <c r="D508" t="s">
        <v>52</v>
      </c>
      <c r="E508" s="8" t="s">
        <v>34</v>
      </c>
      <c r="F508" s="8">
        <v>7.55</v>
      </c>
      <c r="G508" s="8">
        <v>6.06</v>
      </c>
      <c r="H508" s="8">
        <v>9.49</v>
      </c>
      <c r="I508" s="8">
        <v>8.15</v>
      </c>
      <c r="J508" s="6">
        <v>0.79430000000000001</v>
      </c>
      <c r="K508" s="4">
        <v>130000</v>
      </c>
      <c r="L508" s="2">
        <v>45557</v>
      </c>
      <c r="M508" t="str">
        <f t="shared" si="28"/>
        <v>Non admis</v>
      </c>
      <c r="N508" t="str">
        <f t="shared" si="29"/>
        <v>Non eligible</v>
      </c>
      <c r="O508" t="str">
        <f t="shared" si="30"/>
        <v>A surveiller</v>
      </c>
      <c r="P508" t="str">
        <f t="shared" si="31"/>
        <v>Hors data</v>
      </c>
      <c r="Q508" t="str" cm="1">
        <f t="array" ref="Q508">_xlfn.IFS(H508&gt;=16,"Excellent",H508&gt;=14,"Très bien",H508&gt;=12,"Bien",H508&gt;=10,"Passable",H508&lt;10,"Insuffisant")</f>
        <v>Insuffisant</v>
      </c>
    </row>
    <row r="509" spans="1:17">
      <c r="A509" t="s">
        <v>797</v>
      </c>
      <c r="B509" t="s">
        <v>619</v>
      </c>
      <c r="C509" t="s">
        <v>19</v>
      </c>
      <c r="D509" t="s">
        <v>37</v>
      </c>
      <c r="E509" s="8" t="s">
        <v>26</v>
      </c>
      <c r="F509" s="8">
        <v>9.91</v>
      </c>
      <c r="G509" s="8">
        <v>13.58</v>
      </c>
      <c r="H509" s="8">
        <v>10.67</v>
      </c>
      <c r="I509" s="8">
        <v>12.14</v>
      </c>
      <c r="J509" s="6">
        <v>0.87590000000000001</v>
      </c>
      <c r="K509" s="4">
        <v>120000</v>
      </c>
      <c r="L509" s="2">
        <v>45624</v>
      </c>
      <c r="M509" t="str">
        <f t="shared" si="28"/>
        <v>Admis</v>
      </c>
      <c r="N509" t="str">
        <f t="shared" si="29"/>
        <v>Non eligible</v>
      </c>
      <c r="O509" t="str">
        <f t="shared" si="30"/>
        <v>A surveiller</v>
      </c>
      <c r="P509" t="str">
        <f t="shared" si="31"/>
        <v>Hors data</v>
      </c>
      <c r="Q509" t="str" cm="1">
        <f t="array" ref="Q509">_xlfn.IFS(H509&gt;=16,"Excellent",H509&gt;=14,"Très bien",H509&gt;=12,"Bien",H509&gt;=10,"Passable",H509&lt;10,"Insuffisant")</f>
        <v>Passable</v>
      </c>
    </row>
    <row r="510" spans="1:17">
      <c r="A510" t="s">
        <v>798</v>
      </c>
      <c r="B510" t="s">
        <v>193</v>
      </c>
      <c r="C510" t="s">
        <v>19</v>
      </c>
      <c r="D510" t="s">
        <v>20</v>
      </c>
      <c r="E510" s="8" t="s">
        <v>26</v>
      </c>
      <c r="F510" s="8">
        <v>12.63</v>
      </c>
      <c r="G510" s="8">
        <v>15.66</v>
      </c>
      <c r="H510" s="8">
        <v>15.98</v>
      </c>
      <c r="I510" s="8">
        <v>12.58</v>
      </c>
      <c r="J510" s="6">
        <v>0.89390000000000003</v>
      </c>
      <c r="K510" s="4">
        <v>60000</v>
      </c>
      <c r="L510" s="2">
        <v>46029</v>
      </c>
      <c r="M510" t="str">
        <f t="shared" si="28"/>
        <v>Admis</v>
      </c>
      <c r="N510" t="str">
        <f t="shared" si="29"/>
        <v>Eligible</v>
      </c>
      <c r="O510" t="str">
        <f t="shared" si="30"/>
        <v>RAS</v>
      </c>
      <c r="P510" t="str">
        <f t="shared" si="31"/>
        <v>Hors data</v>
      </c>
      <c r="Q510" t="str" cm="1">
        <f t="array" ref="Q510">_xlfn.IFS(H510&gt;=16,"Excellent",H510&gt;=14,"Très bien",H510&gt;=12,"Bien",H510&gt;=10,"Passable",H510&lt;10,"Insuffisant")</f>
        <v>Très bien</v>
      </c>
    </row>
    <row r="511" spans="1:17">
      <c r="A511" t="s">
        <v>799</v>
      </c>
      <c r="B511" t="s">
        <v>531</v>
      </c>
      <c r="C511" t="s">
        <v>19</v>
      </c>
      <c r="D511" t="s">
        <v>37</v>
      </c>
      <c r="E511" s="8" t="s">
        <v>47</v>
      </c>
      <c r="F511" s="8">
        <v>16.079999999999998</v>
      </c>
      <c r="G511" s="8">
        <v>20</v>
      </c>
      <c r="H511" s="8">
        <v>18.989999999999998</v>
      </c>
      <c r="I511" s="8">
        <v>20</v>
      </c>
      <c r="J511" s="6">
        <v>0.90200000000000002</v>
      </c>
      <c r="K511" s="4">
        <v>70000</v>
      </c>
      <c r="L511" s="2">
        <v>46062</v>
      </c>
      <c r="M511" t="str">
        <f t="shared" si="28"/>
        <v>Admis</v>
      </c>
      <c r="N511" t="str">
        <f t="shared" si="29"/>
        <v>Eligible</v>
      </c>
      <c r="O511" t="str">
        <f t="shared" si="30"/>
        <v>RAS</v>
      </c>
      <c r="P511" t="str">
        <f t="shared" si="31"/>
        <v>Hors data</v>
      </c>
      <c r="Q511" t="str" cm="1">
        <f t="array" ref="Q511">_xlfn.IFS(H511&gt;=16,"Excellent",H511&gt;=14,"Très bien",H511&gt;=12,"Bien",H511&gt;=10,"Passable",H511&lt;10,"Insuffisant")</f>
        <v>Excellent</v>
      </c>
    </row>
    <row r="512" spans="1:17">
      <c r="A512" t="s">
        <v>800</v>
      </c>
      <c r="B512" t="s">
        <v>540</v>
      </c>
      <c r="C512" t="s">
        <v>24</v>
      </c>
      <c r="D512" t="s">
        <v>40</v>
      </c>
      <c r="E512" s="8" t="s">
        <v>21</v>
      </c>
      <c r="F512" s="8">
        <v>9.3000000000000007</v>
      </c>
      <c r="G512" s="8">
        <v>6.5</v>
      </c>
      <c r="H512" s="8">
        <v>7.63</v>
      </c>
      <c r="I512" s="8">
        <v>7.74</v>
      </c>
      <c r="J512" s="6">
        <v>0.84670000000000001</v>
      </c>
      <c r="K512" s="4">
        <v>130000</v>
      </c>
      <c r="L512" s="2">
        <v>45556</v>
      </c>
      <c r="M512" t="str">
        <f t="shared" si="28"/>
        <v>Non admis</v>
      </c>
      <c r="N512" t="str">
        <f t="shared" si="29"/>
        <v>Non eligible</v>
      </c>
      <c r="O512" t="str">
        <f t="shared" si="30"/>
        <v>A surveiller</v>
      </c>
      <c r="P512" t="str">
        <f t="shared" si="31"/>
        <v>Data</v>
      </c>
      <c r="Q512" t="str" cm="1">
        <f t="array" ref="Q512">_xlfn.IFS(H512&gt;=16,"Excellent",H512&gt;=14,"Très bien",H512&gt;=12,"Bien",H512&gt;=10,"Passable",H512&lt;10,"Insuffisant")</f>
        <v>Insuffisant</v>
      </c>
    </row>
    <row r="513" spans="1:17">
      <c r="A513" t="s">
        <v>801</v>
      </c>
      <c r="B513" t="s">
        <v>802</v>
      </c>
      <c r="C513" t="s">
        <v>24</v>
      </c>
      <c r="D513" t="s">
        <v>25</v>
      </c>
      <c r="E513" s="8" t="s">
        <v>34</v>
      </c>
      <c r="F513" s="8">
        <v>8.76</v>
      </c>
      <c r="G513" s="8">
        <v>13.5</v>
      </c>
      <c r="H513" s="8">
        <v>13.04</v>
      </c>
      <c r="I513" s="8">
        <v>15.28</v>
      </c>
      <c r="J513" s="6">
        <v>0.95030000000000003</v>
      </c>
      <c r="K513" s="4">
        <v>80000</v>
      </c>
      <c r="L513" s="2">
        <v>45891</v>
      </c>
      <c r="M513" t="str">
        <f t="shared" si="28"/>
        <v>Admis</v>
      </c>
      <c r="N513" t="str">
        <f t="shared" si="29"/>
        <v>Non eligible</v>
      </c>
      <c r="O513" t="str">
        <f t="shared" si="30"/>
        <v>A surveiller</v>
      </c>
      <c r="P513" t="str">
        <f t="shared" si="31"/>
        <v>Hors data</v>
      </c>
      <c r="Q513" t="str" cm="1">
        <f t="array" ref="Q513">_xlfn.IFS(H513&gt;=16,"Excellent",H513&gt;=14,"Très bien",H513&gt;=12,"Bien",H513&gt;=10,"Passable",H513&lt;10,"Insuffisant")</f>
        <v>Bien</v>
      </c>
    </row>
    <row r="514" spans="1:17">
      <c r="A514" t="s">
        <v>803</v>
      </c>
      <c r="B514" t="s">
        <v>804</v>
      </c>
      <c r="C514" t="s">
        <v>24</v>
      </c>
      <c r="D514" t="s">
        <v>20</v>
      </c>
      <c r="E514" s="8" t="s">
        <v>21</v>
      </c>
      <c r="F514" s="8">
        <v>19.440000000000001</v>
      </c>
      <c r="G514" s="8">
        <v>16.29</v>
      </c>
      <c r="H514" s="8">
        <v>18.03</v>
      </c>
      <c r="I514" s="8">
        <v>20</v>
      </c>
      <c r="J514" s="6">
        <v>0.64149999999999996</v>
      </c>
      <c r="K514" s="4">
        <v>75000</v>
      </c>
      <c r="L514" s="2">
        <v>45592</v>
      </c>
      <c r="M514" t="str">
        <f t="shared" si="28"/>
        <v>Admis</v>
      </c>
      <c r="N514" t="str">
        <f t="shared" si="29"/>
        <v>Non eligible</v>
      </c>
      <c r="O514" t="str">
        <f t="shared" si="30"/>
        <v>RAS</v>
      </c>
      <c r="P514" t="str">
        <f t="shared" si="31"/>
        <v>Data</v>
      </c>
      <c r="Q514" t="str" cm="1">
        <f t="array" ref="Q514">_xlfn.IFS(H514&gt;=16,"Excellent",H514&gt;=14,"Très bien",H514&gt;=12,"Bien",H514&gt;=10,"Passable",H514&lt;10,"Insuffisant")</f>
        <v>Excellent</v>
      </c>
    </row>
    <row r="515" spans="1:17">
      <c r="A515" t="s">
        <v>805</v>
      </c>
      <c r="B515" t="s">
        <v>95</v>
      </c>
      <c r="C515" t="s">
        <v>24</v>
      </c>
      <c r="D515" t="s">
        <v>40</v>
      </c>
      <c r="E515" s="8" t="s">
        <v>47</v>
      </c>
      <c r="F515" s="8">
        <v>15.59</v>
      </c>
      <c r="G515" s="8">
        <v>17.399999999999999</v>
      </c>
      <c r="H515" s="8">
        <v>18.34</v>
      </c>
      <c r="I515" s="8">
        <v>16.32</v>
      </c>
      <c r="J515" s="6">
        <v>0.79949999999999999</v>
      </c>
      <c r="K515" s="4">
        <v>110000</v>
      </c>
      <c r="L515" s="2">
        <v>46042</v>
      </c>
      <c r="M515" t="str">
        <f t="shared" ref="M515:M578" si="32">IF(H515&gt;=10,"Admis","Non admis")</f>
        <v>Admis</v>
      </c>
      <c r="N515" t="str">
        <f t="shared" ref="N515:N578" si="33">IF(AND(F515&gt;=12,H515&gt;=12,J515&gt;=80%),"Eligible","Non eligible")</f>
        <v>Non eligible</v>
      </c>
      <c r="O515" t="str">
        <f t="shared" ref="O515:O578" si="34">IF(OR(F515&lt;10,H515&lt;10),"A surveiller","RAS")</f>
        <v>RAS</v>
      </c>
      <c r="P515" t="str">
        <f t="shared" ref="P515:P578" si="35">IF(NOT(E515="Data"),"Hors data","Data")</f>
        <v>Hors data</v>
      </c>
      <c r="Q515" t="str" cm="1">
        <f t="array" ref="Q515">_xlfn.IFS(H515&gt;=16,"Excellent",H515&gt;=14,"Très bien",H515&gt;=12,"Bien",H515&gt;=10,"Passable",H515&lt;10,"Insuffisant")</f>
        <v>Excellent</v>
      </c>
    </row>
    <row r="516" spans="1:17">
      <c r="A516" t="s">
        <v>806</v>
      </c>
      <c r="B516" t="s">
        <v>341</v>
      </c>
      <c r="C516" t="s">
        <v>24</v>
      </c>
      <c r="D516" t="s">
        <v>37</v>
      </c>
      <c r="E516" s="8" t="s">
        <v>34</v>
      </c>
      <c r="F516" s="8">
        <v>19.27</v>
      </c>
      <c r="G516" s="8">
        <v>13.41</v>
      </c>
      <c r="H516" s="8">
        <v>16.03</v>
      </c>
      <c r="I516" s="8">
        <v>12.82</v>
      </c>
      <c r="J516" s="6">
        <v>0.90680000000000005</v>
      </c>
      <c r="K516" s="4">
        <v>90000</v>
      </c>
      <c r="L516" s="2">
        <v>46119</v>
      </c>
      <c r="M516" t="str">
        <f t="shared" si="32"/>
        <v>Admis</v>
      </c>
      <c r="N516" t="str">
        <f t="shared" si="33"/>
        <v>Eligible</v>
      </c>
      <c r="O516" t="str">
        <f t="shared" si="34"/>
        <v>RAS</v>
      </c>
      <c r="P516" t="str">
        <f t="shared" si="35"/>
        <v>Hors data</v>
      </c>
      <c r="Q516" t="str" cm="1">
        <f t="array" ref="Q516">_xlfn.IFS(H516&gt;=16,"Excellent",H516&gt;=14,"Très bien",H516&gt;=12,"Bien",H516&gt;=10,"Passable",H516&lt;10,"Insuffisant")</f>
        <v>Excellent</v>
      </c>
    </row>
    <row r="517" spans="1:17">
      <c r="A517" t="s">
        <v>807</v>
      </c>
      <c r="B517" t="s">
        <v>736</v>
      </c>
      <c r="C517" t="s">
        <v>19</v>
      </c>
      <c r="D517" t="s">
        <v>52</v>
      </c>
      <c r="E517" s="8" t="s">
        <v>47</v>
      </c>
      <c r="F517" s="8">
        <v>15.69</v>
      </c>
      <c r="G517" s="8">
        <v>12.74</v>
      </c>
      <c r="H517" s="8">
        <v>14.47</v>
      </c>
      <c r="I517" s="8">
        <v>8.91</v>
      </c>
      <c r="J517" s="6">
        <v>0.81320000000000003</v>
      </c>
      <c r="K517" s="4">
        <v>60000</v>
      </c>
      <c r="L517" s="2">
        <v>46144</v>
      </c>
      <c r="M517" t="str">
        <f t="shared" si="32"/>
        <v>Admis</v>
      </c>
      <c r="N517" t="str">
        <f t="shared" si="33"/>
        <v>Eligible</v>
      </c>
      <c r="O517" t="str">
        <f t="shared" si="34"/>
        <v>RAS</v>
      </c>
      <c r="P517" t="str">
        <f t="shared" si="35"/>
        <v>Hors data</v>
      </c>
      <c r="Q517" t="str" cm="1">
        <f t="array" ref="Q517">_xlfn.IFS(H517&gt;=16,"Excellent",H517&gt;=14,"Très bien",H517&gt;=12,"Bien",H517&gt;=10,"Passable",H517&lt;10,"Insuffisant")</f>
        <v>Très bien</v>
      </c>
    </row>
    <row r="518" spans="1:17">
      <c r="A518" t="s">
        <v>808</v>
      </c>
      <c r="B518" t="s">
        <v>203</v>
      </c>
      <c r="C518" t="s">
        <v>24</v>
      </c>
      <c r="D518" t="s">
        <v>40</v>
      </c>
      <c r="E518" s="8" t="s">
        <v>47</v>
      </c>
      <c r="F518" s="8">
        <v>13.49</v>
      </c>
      <c r="G518" s="8">
        <v>13.53</v>
      </c>
      <c r="H518" s="8">
        <v>16.61</v>
      </c>
      <c r="I518" s="8">
        <v>16.7</v>
      </c>
      <c r="J518" s="6">
        <v>0.86909999999999998</v>
      </c>
      <c r="K518" s="4">
        <v>60000</v>
      </c>
      <c r="L518" s="2">
        <v>45954</v>
      </c>
      <c r="M518" t="str">
        <f t="shared" si="32"/>
        <v>Admis</v>
      </c>
      <c r="N518" t="str">
        <f t="shared" si="33"/>
        <v>Eligible</v>
      </c>
      <c r="O518" t="str">
        <f t="shared" si="34"/>
        <v>RAS</v>
      </c>
      <c r="P518" t="str">
        <f t="shared" si="35"/>
        <v>Hors data</v>
      </c>
      <c r="Q518" t="str" cm="1">
        <f t="array" ref="Q518">_xlfn.IFS(H518&gt;=16,"Excellent",H518&gt;=14,"Très bien",H518&gt;=12,"Bien",H518&gt;=10,"Passable",H518&lt;10,"Insuffisant")</f>
        <v>Excellent</v>
      </c>
    </row>
    <row r="519" spans="1:17">
      <c r="A519" t="s">
        <v>809</v>
      </c>
      <c r="B519" t="s">
        <v>491</v>
      </c>
      <c r="C519" t="s">
        <v>19</v>
      </c>
      <c r="D519" t="s">
        <v>40</v>
      </c>
      <c r="E519" s="8" t="s">
        <v>26</v>
      </c>
      <c r="F519" s="8">
        <v>17.48</v>
      </c>
      <c r="G519" s="8">
        <v>15.91</v>
      </c>
      <c r="H519" s="8">
        <v>18.28</v>
      </c>
      <c r="I519" s="8">
        <v>15.82</v>
      </c>
      <c r="J519" s="6">
        <v>0.94379999999999997</v>
      </c>
      <c r="K519" s="4">
        <v>110000</v>
      </c>
      <c r="L519" s="2">
        <v>45976</v>
      </c>
      <c r="M519" t="str">
        <f t="shared" si="32"/>
        <v>Admis</v>
      </c>
      <c r="N519" t="str">
        <f t="shared" si="33"/>
        <v>Eligible</v>
      </c>
      <c r="O519" t="str">
        <f t="shared" si="34"/>
        <v>RAS</v>
      </c>
      <c r="P519" t="str">
        <f t="shared" si="35"/>
        <v>Hors data</v>
      </c>
      <c r="Q519" t="str" cm="1">
        <f t="array" ref="Q519">_xlfn.IFS(H519&gt;=16,"Excellent",H519&gt;=14,"Très bien",H519&gt;=12,"Bien",H519&gt;=10,"Passable",H519&lt;10,"Insuffisant")</f>
        <v>Excellent</v>
      </c>
    </row>
    <row r="520" spans="1:17">
      <c r="A520" t="s">
        <v>810</v>
      </c>
      <c r="B520" t="s">
        <v>466</v>
      </c>
      <c r="C520" t="s">
        <v>19</v>
      </c>
      <c r="D520" t="s">
        <v>37</v>
      </c>
      <c r="E520" s="8" t="s">
        <v>34</v>
      </c>
      <c r="F520" s="8">
        <v>8.16</v>
      </c>
      <c r="G520" s="8">
        <v>12.34</v>
      </c>
      <c r="H520" s="8">
        <v>13.16</v>
      </c>
      <c r="I520" s="8">
        <v>9.49</v>
      </c>
      <c r="J520" s="6">
        <v>0.71540000000000004</v>
      </c>
      <c r="K520" s="4">
        <v>110000</v>
      </c>
      <c r="L520" s="2">
        <v>46184</v>
      </c>
      <c r="M520" t="str">
        <f t="shared" si="32"/>
        <v>Admis</v>
      </c>
      <c r="N520" t="str">
        <f t="shared" si="33"/>
        <v>Non eligible</v>
      </c>
      <c r="O520" t="str">
        <f t="shared" si="34"/>
        <v>A surveiller</v>
      </c>
      <c r="P520" t="str">
        <f t="shared" si="35"/>
        <v>Hors data</v>
      </c>
      <c r="Q520" t="str" cm="1">
        <f t="array" ref="Q520">_xlfn.IFS(H520&gt;=16,"Excellent",H520&gt;=14,"Très bien",H520&gt;=12,"Bien",H520&gt;=10,"Passable",H520&lt;10,"Insuffisant")</f>
        <v>Bien</v>
      </c>
    </row>
    <row r="521" spans="1:17">
      <c r="A521" t="s">
        <v>811</v>
      </c>
      <c r="B521" t="s">
        <v>269</v>
      </c>
      <c r="C521" t="s">
        <v>24</v>
      </c>
      <c r="D521" t="s">
        <v>33</v>
      </c>
      <c r="E521" s="8" t="s">
        <v>26</v>
      </c>
      <c r="F521" s="8">
        <v>13.84</v>
      </c>
      <c r="G521" s="8">
        <v>17.420000000000002</v>
      </c>
      <c r="H521" s="8">
        <v>19.28</v>
      </c>
      <c r="I521" s="8">
        <v>18.440000000000001</v>
      </c>
      <c r="J521" s="6">
        <v>0.58179999999999998</v>
      </c>
      <c r="K521" s="4">
        <v>75000</v>
      </c>
      <c r="L521" s="2">
        <v>45964</v>
      </c>
      <c r="M521" t="str">
        <f t="shared" si="32"/>
        <v>Admis</v>
      </c>
      <c r="N521" t="str">
        <f t="shared" si="33"/>
        <v>Non eligible</v>
      </c>
      <c r="O521" t="str">
        <f t="shared" si="34"/>
        <v>RAS</v>
      </c>
      <c r="P521" t="str">
        <f t="shared" si="35"/>
        <v>Hors data</v>
      </c>
      <c r="Q521" t="str" cm="1">
        <f t="array" ref="Q521">_xlfn.IFS(H521&gt;=16,"Excellent",H521&gt;=14,"Très bien",H521&gt;=12,"Bien",H521&gt;=10,"Passable",H521&lt;10,"Insuffisant")</f>
        <v>Excellent</v>
      </c>
    </row>
    <row r="522" spans="1:17">
      <c r="A522" t="s">
        <v>812</v>
      </c>
      <c r="B522" t="s">
        <v>290</v>
      </c>
      <c r="C522" t="s">
        <v>19</v>
      </c>
      <c r="D522" t="s">
        <v>37</v>
      </c>
      <c r="E522" s="8" t="s">
        <v>34</v>
      </c>
      <c r="F522" s="8">
        <v>10.39</v>
      </c>
      <c r="G522" s="8">
        <v>10.039999999999999</v>
      </c>
      <c r="H522" s="8">
        <v>11.19</v>
      </c>
      <c r="I522" s="8">
        <v>7.66</v>
      </c>
      <c r="J522" s="6">
        <v>0.92800000000000005</v>
      </c>
      <c r="K522" s="4">
        <v>120000</v>
      </c>
      <c r="L522" s="2">
        <v>45848</v>
      </c>
      <c r="M522" t="str">
        <f t="shared" si="32"/>
        <v>Admis</v>
      </c>
      <c r="N522" t="str">
        <f t="shared" si="33"/>
        <v>Non eligible</v>
      </c>
      <c r="O522" t="str">
        <f t="shared" si="34"/>
        <v>RAS</v>
      </c>
      <c r="P522" t="str">
        <f t="shared" si="35"/>
        <v>Hors data</v>
      </c>
      <c r="Q522" t="str" cm="1">
        <f t="array" ref="Q522">_xlfn.IFS(H522&gt;=16,"Excellent",H522&gt;=14,"Très bien",H522&gt;=12,"Bien",H522&gt;=10,"Passable",H522&lt;10,"Insuffisant")</f>
        <v>Passable</v>
      </c>
    </row>
    <row r="523" spans="1:17">
      <c r="A523" t="s">
        <v>813</v>
      </c>
      <c r="B523" t="s">
        <v>273</v>
      </c>
      <c r="C523" t="s">
        <v>19</v>
      </c>
      <c r="D523" t="s">
        <v>33</v>
      </c>
      <c r="E523" s="8" t="s">
        <v>47</v>
      </c>
      <c r="F523" s="8">
        <v>9.67</v>
      </c>
      <c r="G523" s="8">
        <v>11.89</v>
      </c>
      <c r="H523" s="8">
        <v>14.99</v>
      </c>
      <c r="I523" s="8">
        <v>13.39</v>
      </c>
      <c r="J523" s="6">
        <v>0.94699999999999995</v>
      </c>
      <c r="K523" s="4">
        <v>60000</v>
      </c>
      <c r="L523" s="2">
        <v>46064</v>
      </c>
      <c r="M523" t="str">
        <f t="shared" si="32"/>
        <v>Admis</v>
      </c>
      <c r="N523" t="str">
        <f t="shared" si="33"/>
        <v>Non eligible</v>
      </c>
      <c r="O523" t="str">
        <f t="shared" si="34"/>
        <v>A surveiller</v>
      </c>
      <c r="P523" t="str">
        <f t="shared" si="35"/>
        <v>Hors data</v>
      </c>
      <c r="Q523" t="str" cm="1">
        <f t="array" ref="Q523">_xlfn.IFS(H523&gt;=16,"Excellent",H523&gt;=14,"Très bien",H523&gt;=12,"Bien",H523&gt;=10,"Passable",H523&lt;10,"Insuffisant")</f>
        <v>Très bien</v>
      </c>
    </row>
    <row r="524" spans="1:17">
      <c r="A524" t="s">
        <v>814</v>
      </c>
      <c r="B524" t="s">
        <v>580</v>
      </c>
      <c r="C524" t="s">
        <v>19</v>
      </c>
      <c r="D524" t="s">
        <v>25</v>
      </c>
      <c r="E524" s="8" t="s">
        <v>47</v>
      </c>
      <c r="F524" s="8">
        <v>13.92</v>
      </c>
      <c r="G524" s="8">
        <v>16</v>
      </c>
      <c r="H524" s="8">
        <v>16.93</v>
      </c>
      <c r="I524" s="8">
        <v>15.06</v>
      </c>
      <c r="J524" s="6">
        <v>0.82799999999999996</v>
      </c>
      <c r="K524" s="4">
        <v>120000</v>
      </c>
      <c r="L524" s="2">
        <v>45949</v>
      </c>
      <c r="M524" t="str">
        <f t="shared" si="32"/>
        <v>Admis</v>
      </c>
      <c r="N524" t="str">
        <f t="shared" si="33"/>
        <v>Eligible</v>
      </c>
      <c r="O524" t="str">
        <f t="shared" si="34"/>
        <v>RAS</v>
      </c>
      <c r="P524" t="str">
        <f t="shared" si="35"/>
        <v>Hors data</v>
      </c>
      <c r="Q524" t="str" cm="1">
        <f t="array" ref="Q524">_xlfn.IFS(H524&gt;=16,"Excellent",H524&gt;=14,"Très bien",H524&gt;=12,"Bien",H524&gt;=10,"Passable",H524&lt;10,"Insuffisant")</f>
        <v>Excellent</v>
      </c>
    </row>
    <row r="525" spans="1:17">
      <c r="A525" t="s">
        <v>815</v>
      </c>
      <c r="B525" t="s">
        <v>199</v>
      </c>
      <c r="C525" t="s">
        <v>24</v>
      </c>
      <c r="D525" t="s">
        <v>25</v>
      </c>
      <c r="E525" s="8" t="s">
        <v>26</v>
      </c>
      <c r="F525" s="8">
        <v>9.5299999999999994</v>
      </c>
      <c r="G525" s="8">
        <v>12.06</v>
      </c>
      <c r="H525" s="8">
        <v>11.77</v>
      </c>
      <c r="I525" s="8">
        <v>9.2200000000000006</v>
      </c>
      <c r="J525" s="6">
        <v>0.91100000000000003</v>
      </c>
      <c r="K525" s="4">
        <v>50000</v>
      </c>
      <c r="L525" s="2">
        <v>46125</v>
      </c>
      <c r="M525" t="str">
        <f t="shared" si="32"/>
        <v>Admis</v>
      </c>
      <c r="N525" t="str">
        <f t="shared" si="33"/>
        <v>Non eligible</v>
      </c>
      <c r="O525" t="str">
        <f t="shared" si="34"/>
        <v>A surveiller</v>
      </c>
      <c r="P525" t="str">
        <f t="shared" si="35"/>
        <v>Hors data</v>
      </c>
      <c r="Q525" t="str" cm="1">
        <f t="array" ref="Q525">_xlfn.IFS(H525&gt;=16,"Excellent",H525&gt;=14,"Très bien",H525&gt;=12,"Bien",H525&gt;=10,"Passable",H525&lt;10,"Insuffisant")</f>
        <v>Passable</v>
      </c>
    </row>
    <row r="526" spans="1:17">
      <c r="A526" t="s">
        <v>816</v>
      </c>
      <c r="B526" t="s">
        <v>561</v>
      </c>
      <c r="C526" t="s">
        <v>19</v>
      </c>
      <c r="D526" t="s">
        <v>33</v>
      </c>
      <c r="E526" s="8" t="s">
        <v>34</v>
      </c>
      <c r="F526" s="8">
        <v>13.66</v>
      </c>
      <c r="G526" s="8">
        <v>16.39</v>
      </c>
      <c r="H526" s="8">
        <v>13.71</v>
      </c>
      <c r="I526" s="8">
        <v>13.1</v>
      </c>
      <c r="J526" s="6">
        <v>0.75600000000000001</v>
      </c>
      <c r="K526" s="4">
        <v>90000</v>
      </c>
      <c r="L526" s="2">
        <v>45903</v>
      </c>
      <c r="M526" t="str">
        <f t="shared" si="32"/>
        <v>Admis</v>
      </c>
      <c r="N526" t="str">
        <f t="shared" si="33"/>
        <v>Non eligible</v>
      </c>
      <c r="O526" t="str">
        <f t="shared" si="34"/>
        <v>RAS</v>
      </c>
      <c r="P526" t="str">
        <f t="shared" si="35"/>
        <v>Hors data</v>
      </c>
      <c r="Q526" t="str" cm="1">
        <f t="array" ref="Q526">_xlfn.IFS(H526&gt;=16,"Excellent",H526&gt;=14,"Très bien",H526&gt;=12,"Bien",H526&gt;=10,"Passable",H526&lt;10,"Insuffisant")</f>
        <v>Bien</v>
      </c>
    </row>
    <row r="527" spans="1:17">
      <c r="A527" t="s">
        <v>817</v>
      </c>
      <c r="B527" t="s">
        <v>136</v>
      </c>
      <c r="C527" t="s">
        <v>19</v>
      </c>
      <c r="D527" t="s">
        <v>25</v>
      </c>
      <c r="E527" s="8" t="s">
        <v>26</v>
      </c>
      <c r="F527" s="8">
        <v>9.39</v>
      </c>
      <c r="G527" s="8">
        <v>10.6</v>
      </c>
      <c r="H527" s="8">
        <v>15.74</v>
      </c>
      <c r="I527" s="8">
        <v>14.05</v>
      </c>
      <c r="J527" s="6">
        <v>0.92679999999999996</v>
      </c>
      <c r="K527" s="4">
        <v>120000</v>
      </c>
      <c r="L527" s="2">
        <v>46144</v>
      </c>
      <c r="M527" t="str">
        <f t="shared" si="32"/>
        <v>Admis</v>
      </c>
      <c r="N527" t="str">
        <f t="shared" si="33"/>
        <v>Non eligible</v>
      </c>
      <c r="O527" t="str">
        <f t="shared" si="34"/>
        <v>A surveiller</v>
      </c>
      <c r="P527" t="str">
        <f t="shared" si="35"/>
        <v>Hors data</v>
      </c>
      <c r="Q527" t="str" cm="1">
        <f t="array" ref="Q527">_xlfn.IFS(H527&gt;=16,"Excellent",H527&gt;=14,"Très bien",H527&gt;=12,"Bien",H527&gt;=10,"Passable",H527&lt;10,"Insuffisant")</f>
        <v>Très bien</v>
      </c>
    </row>
    <row r="528" spans="1:17">
      <c r="A528" t="s">
        <v>818</v>
      </c>
      <c r="B528" t="s">
        <v>819</v>
      </c>
      <c r="C528" t="s">
        <v>24</v>
      </c>
      <c r="D528" t="s">
        <v>33</v>
      </c>
      <c r="E528" s="8" t="s">
        <v>34</v>
      </c>
      <c r="F528" s="8">
        <v>11.43</v>
      </c>
      <c r="G528" s="8">
        <v>7.37</v>
      </c>
      <c r="H528" s="8">
        <v>14.27</v>
      </c>
      <c r="I528" s="8">
        <v>10.86</v>
      </c>
      <c r="J528" s="6">
        <v>0.89890000000000003</v>
      </c>
      <c r="K528" s="4">
        <v>90000</v>
      </c>
      <c r="L528" s="2">
        <v>45567</v>
      </c>
      <c r="M528" t="str">
        <f t="shared" si="32"/>
        <v>Admis</v>
      </c>
      <c r="N528" t="str">
        <f t="shared" si="33"/>
        <v>Non eligible</v>
      </c>
      <c r="O528" t="str">
        <f t="shared" si="34"/>
        <v>RAS</v>
      </c>
      <c r="P528" t="str">
        <f t="shared" si="35"/>
        <v>Hors data</v>
      </c>
      <c r="Q528" t="str" cm="1">
        <f t="array" ref="Q528">_xlfn.IFS(H528&gt;=16,"Excellent",H528&gt;=14,"Très bien",H528&gt;=12,"Bien",H528&gt;=10,"Passable",H528&lt;10,"Insuffisant")</f>
        <v>Très bien</v>
      </c>
    </row>
    <row r="529" spans="1:17">
      <c r="A529" t="s">
        <v>820</v>
      </c>
      <c r="B529" t="s">
        <v>821</v>
      </c>
      <c r="C529" t="s">
        <v>19</v>
      </c>
      <c r="D529" t="s">
        <v>25</v>
      </c>
      <c r="E529" s="8" t="s">
        <v>34</v>
      </c>
      <c r="F529" s="8">
        <v>12.55</v>
      </c>
      <c r="G529" s="8">
        <v>12.84</v>
      </c>
      <c r="H529" s="8">
        <v>12.69</v>
      </c>
      <c r="I529" s="8">
        <v>15.15</v>
      </c>
      <c r="J529" s="6">
        <v>0.84360000000000002</v>
      </c>
      <c r="K529" s="4">
        <v>110000</v>
      </c>
      <c r="L529" s="2">
        <v>45561</v>
      </c>
      <c r="M529" t="str">
        <f t="shared" si="32"/>
        <v>Admis</v>
      </c>
      <c r="N529" t="str">
        <f t="shared" si="33"/>
        <v>Eligible</v>
      </c>
      <c r="O529" t="str">
        <f t="shared" si="34"/>
        <v>RAS</v>
      </c>
      <c r="P529" t="str">
        <f t="shared" si="35"/>
        <v>Hors data</v>
      </c>
      <c r="Q529" t="str" cm="1">
        <f t="array" ref="Q529">_xlfn.IFS(H529&gt;=16,"Excellent",H529&gt;=14,"Très bien",H529&gt;=12,"Bien",H529&gt;=10,"Passable",H529&lt;10,"Insuffisant")</f>
        <v>Bien</v>
      </c>
    </row>
    <row r="530" spans="1:17">
      <c r="A530" t="s">
        <v>822</v>
      </c>
      <c r="B530" t="s">
        <v>343</v>
      </c>
      <c r="C530" t="s">
        <v>24</v>
      </c>
      <c r="D530" t="s">
        <v>37</v>
      </c>
      <c r="E530" s="8" t="s">
        <v>34</v>
      </c>
      <c r="F530" s="8">
        <v>13.49</v>
      </c>
      <c r="G530" s="8">
        <v>13.66</v>
      </c>
      <c r="H530" s="8">
        <v>9.61</v>
      </c>
      <c r="I530" s="8">
        <v>12.8</v>
      </c>
      <c r="J530" s="6">
        <v>0.68110000000000004</v>
      </c>
      <c r="K530" s="4">
        <v>75000</v>
      </c>
      <c r="L530" s="2">
        <v>45605</v>
      </c>
      <c r="M530" t="str">
        <f t="shared" si="32"/>
        <v>Non admis</v>
      </c>
      <c r="N530" t="str">
        <f t="shared" si="33"/>
        <v>Non eligible</v>
      </c>
      <c r="O530" t="str">
        <f t="shared" si="34"/>
        <v>A surveiller</v>
      </c>
      <c r="P530" t="str">
        <f t="shared" si="35"/>
        <v>Hors data</v>
      </c>
      <c r="Q530" t="str" cm="1">
        <f t="array" ref="Q530">_xlfn.IFS(H530&gt;=16,"Excellent",H530&gt;=14,"Très bien",H530&gt;=12,"Bien",H530&gt;=10,"Passable",H530&lt;10,"Insuffisant")</f>
        <v>Insuffisant</v>
      </c>
    </row>
    <row r="531" spans="1:17">
      <c r="A531" t="s">
        <v>823</v>
      </c>
      <c r="B531" t="s">
        <v>824</v>
      </c>
      <c r="C531" t="s">
        <v>24</v>
      </c>
      <c r="D531" t="s">
        <v>20</v>
      </c>
      <c r="E531" s="8" t="s">
        <v>47</v>
      </c>
      <c r="F531" s="8">
        <v>14.42</v>
      </c>
      <c r="G531" s="8">
        <v>15.16</v>
      </c>
      <c r="H531" s="8">
        <v>17.82</v>
      </c>
      <c r="I531" s="8">
        <v>14.32</v>
      </c>
      <c r="J531" s="6">
        <v>0.81059999999999999</v>
      </c>
      <c r="K531" s="4">
        <v>75000</v>
      </c>
      <c r="L531" s="2">
        <v>45925</v>
      </c>
      <c r="M531" t="str">
        <f t="shared" si="32"/>
        <v>Admis</v>
      </c>
      <c r="N531" t="str">
        <f t="shared" si="33"/>
        <v>Eligible</v>
      </c>
      <c r="O531" t="str">
        <f t="shared" si="34"/>
        <v>RAS</v>
      </c>
      <c r="P531" t="str">
        <f t="shared" si="35"/>
        <v>Hors data</v>
      </c>
      <c r="Q531" t="str" cm="1">
        <f t="array" ref="Q531">_xlfn.IFS(H531&gt;=16,"Excellent",H531&gt;=14,"Très bien",H531&gt;=12,"Bien",H531&gt;=10,"Passable",H531&lt;10,"Insuffisant")</f>
        <v>Excellent</v>
      </c>
    </row>
    <row r="532" spans="1:17">
      <c r="A532" t="s">
        <v>825</v>
      </c>
      <c r="B532" t="s">
        <v>728</v>
      </c>
      <c r="C532" t="s">
        <v>24</v>
      </c>
      <c r="D532" t="s">
        <v>20</v>
      </c>
      <c r="E532" s="8" t="s">
        <v>47</v>
      </c>
      <c r="F532" s="8">
        <v>8.59</v>
      </c>
      <c r="G532" s="8">
        <v>10.24</v>
      </c>
      <c r="H532" s="8">
        <v>12.24</v>
      </c>
      <c r="I532" s="8">
        <v>5.04</v>
      </c>
      <c r="J532" s="6">
        <v>0.61350000000000005</v>
      </c>
      <c r="K532" s="4">
        <v>70000</v>
      </c>
      <c r="L532" s="2">
        <v>46032</v>
      </c>
      <c r="M532" t="str">
        <f t="shared" si="32"/>
        <v>Admis</v>
      </c>
      <c r="N532" t="str">
        <f t="shared" si="33"/>
        <v>Non eligible</v>
      </c>
      <c r="O532" t="str">
        <f t="shared" si="34"/>
        <v>A surveiller</v>
      </c>
      <c r="P532" t="str">
        <f t="shared" si="35"/>
        <v>Hors data</v>
      </c>
      <c r="Q532" t="str" cm="1">
        <f t="array" ref="Q532">_xlfn.IFS(H532&gt;=16,"Excellent",H532&gt;=14,"Très bien",H532&gt;=12,"Bien",H532&gt;=10,"Passable",H532&lt;10,"Insuffisant")</f>
        <v>Bien</v>
      </c>
    </row>
    <row r="533" spans="1:17">
      <c r="A533" t="s">
        <v>826</v>
      </c>
      <c r="B533" t="s">
        <v>563</v>
      </c>
      <c r="C533" t="s">
        <v>19</v>
      </c>
      <c r="D533" t="s">
        <v>33</v>
      </c>
      <c r="E533" s="8" t="s">
        <v>21</v>
      </c>
      <c r="F533" s="8">
        <v>14.95</v>
      </c>
      <c r="G533" s="8">
        <v>13.98</v>
      </c>
      <c r="H533" s="8">
        <v>16.39</v>
      </c>
      <c r="I533" s="8">
        <v>12.96</v>
      </c>
      <c r="J533" s="6">
        <v>0.89029999999999998</v>
      </c>
      <c r="K533" s="4">
        <v>60000</v>
      </c>
      <c r="L533" s="2">
        <v>45687</v>
      </c>
      <c r="M533" t="str">
        <f t="shared" si="32"/>
        <v>Admis</v>
      </c>
      <c r="N533" t="str">
        <f t="shared" si="33"/>
        <v>Eligible</v>
      </c>
      <c r="O533" t="str">
        <f t="shared" si="34"/>
        <v>RAS</v>
      </c>
      <c r="P533" t="str">
        <f t="shared" si="35"/>
        <v>Data</v>
      </c>
      <c r="Q533" t="str" cm="1">
        <f t="array" ref="Q533">_xlfn.IFS(H533&gt;=16,"Excellent",H533&gt;=14,"Très bien",H533&gt;=12,"Bien",H533&gt;=10,"Passable",H533&lt;10,"Insuffisant")</f>
        <v>Excellent</v>
      </c>
    </row>
    <row r="534" spans="1:17">
      <c r="A534" t="s">
        <v>827</v>
      </c>
      <c r="B534" t="s">
        <v>328</v>
      </c>
      <c r="C534" t="s">
        <v>19</v>
      </c>
      <c r="D534" t="s">
        <v>52</v>
      </c>
      <c r="E534" s="8" t="s">
        <v>26</v>
      </c>
      <c r="F534" s="8">
        <v>7.23</v>
      </c>
      <c r="G534" s="8">
        <v>14.46</v>
      </c>
      <c r="H534" s="8">
        <v>9.68</v>
      </c>
      <c r="I534" s="8">
        <v>11.77</v>
      </c>
      <c r="J534" s="6">
        <v>0.9899</v>
      </c>
      <c r="K534" s="4">
        <v>75000</v>
      </c>
      <c r="L534" s="2">
        <v>45645</v>
      </c>
      <c r="M534" t="str">
        <f t="shared" si="32"/>
        <v>Non admis</v>
      </c>
      <c r="N534" t="str">
        <f t="shared" si="33"/>
        <v>Non eligible</v>
      </c>
      <c r="O534" t="str">
        <f t="shared" si="34"/>
        <v>A surveiller</v>
      </c>
      <c r="P534" t="str">
        <f t="shared" si="35"/>
        <v>Hors data</v>
      </c>
      <c r="Q534" t="str" cm="1">
        <f t="array" ref="Q534">_xlfn.IFS(H534&gt;=16,"Excellent",H534&gt;=14,"Très bien",H534&gt;=12,"Bien",H534&gt;=10,"Passable",H534&lt;10,"Insuffisant")</f>
        <v>Insuffisant</v>
      </c>
    </row>
    <row r="535" spans="1:17">
      <c r="A535" t="s">
        <v>828</v>
      </c>
      <c r="B535" t="s">
        <v>174</v>
      </c>
      <c r="C535" t="s">
        <v>19</v>
      </c>
      <c r="D535" t="s">
        <v>37</v>
      </c>
      <c r="E535" s="8" t="s">
        <v>26</v>
      </c>
      <c r="F535" s="8">
        <v>12.81</v>
      </c>
      <c r="G535" s="8">
        <v>10.050000000000001</v>
      </c>
      <c r="H535" s="8">
        <v>12.84</v>
      </c>
      <c r="I535" s="8">
        <v>8.4</v>
      </c>
      <c r="J535" s="6">
        <v>0.64270000000000005</v>
      </c>
      <c r="K535" s="4">
        <v>70000</v>
      </c>
      <c r="L535" s="2">
        <v>46138</v>
      </c>
      <c r="M535" t="str">
        <f t="shared" si="32"/>
        <v>Admis</v>
      </c>
      <c r="N535" t="str">
        <f t="shared" si="33"/>
        <v>Non eligible</v>
      </c>
      <c r="O535" t="str">
        <f t="shared" si="34"/>
        <v>RAS</v>
      </c>
      <c r="P535" t="str">
        <f t="shared" si="35"/>
        <v>Hors data</v>
      </c>
      <c r="Q535" t="str" cm="1">
        <f t="array" ref="Q535">_xlfn.IFS(H535&gt;=16,"Excellent",H535&gt;=14,"Très bien",H535&gt;=12,"Bien",H535&gt;=10,"Passable",H535&lt;10,"Insuffisant")</f>
        <v>Bien</v>
      </c>
    </row>
    <row r="536" spans="1:17">
      <c r="A536" t="s">
        <v>829</v>
      </c>
      <c r="B536" t="s">
        <v>261</v>
      </c>
      <c r="C536" t="s">
        <v>24</v>
      </c>
      <c r="D536" t="s">
        <v>40</v>
      </c>
      <c r="E536" s="8" t="s">
        <v>21</v>
      </c>
      <c r="F536" s="8">
        <v>13.05</v>
      </c>
      <c r="G536" s="8">
        <v>10.56</v>
      </c>
      <c r="H536" s="8">
        <v>11.9</v>
      </c>
      <c r="I536" s="8">
        <v>10.93</v>
      </c>
      <c r="J536" s="6">
        <v>0.55000000000000004</v>
      </c>
      <c r="K536" s="4">
        <v>110000</v>
      </c>
      <c r="L536" s="2">
        <v>46061</v>
      </c>
      <c r="M536" t="str">
        <f t="shared" si="32"/>
        <v>Admis</v>
      </c>
      <c r="N536" t="str">
        <f t="shared" si="33"/>
        <v>Non eligible</v>
      </c>
      <c r="O536" t="str">
        <f t="shared" si="34"/>
        <v>RAS</v>
      </c>
      <c r="P536" t="str">
        <f t="shared" si="35"/>
        <v>Data</v>
      </c>
      <c r="Q536" t="str" cm="1">
        <f t="array" ref="Q536">_xlfn.IFS(H536&gt;=16,"Excellent",H536&gt;=14,"Très bien",H536&gt;=12,"Bien",H536&gt;=10,"Passable",H536&lt;10,"Insuffisant")</f>
        <v>Passable</v>
      </c>
    </row>
    <row r="537" spans="1:17">
      <c r="A537" t="s">
        <v>830</v>
      </c>
      <c r="B537" t="s">
        <v>491</v>
      </c>
      <c r="C537" t="s">
        <v>19</v>
      </c>
      <c r="D537" t="s">
        <v>52</v>
      </c>
      <c r="E537" s="8" t="s">
        <v>26</v>
      </c>
      <c r="F537" s="8">
        <v>20</v>
      </c>
      <c r="G537" s="8">
        <v>18.86</v>
      </c>
      <c r="H537" s="8">
        <v>15.95</v>
      </c>
      <c r="I537" s="8">
        <v>17.86</v>
      </c>
      <c r="J537" s="6">
        <v>0.97529999999999994</v>
      </c>
      <c r="K537" s="4">
        <v>70000</v>
      </c>
      <c r="L537" s="2">
        <v>45989</v>
      </c>
      <c r="M537" t="str">
        <f t="shared" si="32"/>
        <v>Admis</v>
      </c>
      <c r="N537" t="str">
        <f t="shared" si="33"/>
        <v>Eligible</v>
      </c>
      <c r="O537" t="str">
        <f t="shared" si="34"/>
        <v>RAS</v>
      </c>
      <c r="P537" t="str">
        <f t="shared" si="35"/>
        <v>Hors data</v>
      </c>
      <c r="Q537" t="str" cm="1">
        <f t="array" ref="Q537">_xlfn.IFS(H537&gt;=16,"Excellent",H537&gt;=14,"Très bien",H537&gt;=12,"Bien",H537&gt;=10,"Passable",H537&lt;10,"Insuffisant")</f>
        <v>Très bien</v>
      </c>
    </row>
    <row r="538" spans="1:17">
      <c r="A538" t="s">
        <v>831</v>
      </c>
      <c r="B538" t="s">
        <v>832</v>
      </c>
      <c r="C538" t="s">
        <v>19</v>
      </c>
      <c r="D538" t="s">
        <v>33</v>
      </c>
      <c r="E538" s="8" t="s">
        <v>47</v>
      </c>
      <c r="F538" s="8">
        <v>13.06</v>
      </c>
      <c r="G538" s="8">
        <v>10.74</v>
      </c>
      <c r="H538" s="8">
        <v>14.91</v>
      </c>
      <c r="I538" s="8">
        <v>17.559999999999999</v>
      </c>
      <c r="J538" s="6">
        <v>0.55000000000000004</v>
      </c>
      <c r="K538" s="4">
        <v>60000</v>
      </c>
      <c r="L538" s="2">
        <v>45877</v>
      </c>
      <c r="M538" t="str">
        <f t="shared" si="32"/>
        <v>Admis</v>
      </c>
      <c r="N538" t="str">
        <f t="shared" si="33"/>
        <v>Non eligible</v>
      </c>
      <c r="O538" t="str">
        <f t="shared" si="34"/>
        <v>RAS</v>
      </c>
      <c r="P538" t="str">
        <f t="shared" si="35"/>
        <v>Hors data</v>
      </c>
      <c r="Q538" t="str" cm="1">
        <f t="array" ref="Q538">_xlfn.IFS(H538&gt;=16,"Excellent",H538&gt;=14,"Très bien",H538&gt;=12,"Bien",H538&gt;=10,"Passable",H538&lt;10,"Insuffisant")</f>
        <v>Très bien</v>
      </c>
    </row>
    <row r="539" spans="1:17">
      <c r="A539" t="s">
        <v>833</v>
      </c>
      <c r="B539" t="s">
        <v>353</v>
      </c>
      <c r="C539" t="s">
        <v>19</v>
      </c>
      <c r="D539" t="s">
        <v>33</v>
      </c>
      <c r="E539" s="8" t="s">
        <v>21</v>
      </c>
      <c r="F539" s="8">
        <v>12.32</v>
      </c>
      <c r="G539" s="8">
        <v>16.11</v>
      </c>
      <c r="H539" s="8">
        <v>13.69</v>
      </c>
      <c r="I539" s="8">
        <v>11.54</v>
      </c>
      <c r="J539" s="6">
        <v>0.86860000000000004</v>
      </c>
      <c r="K539" s="4">
        <v>110000</v>
      </c>
      <c r="L539" s="2">
        <v>45830</v>
      </c>
      <c r="M539" t="str">
        <f t="shared" si="32"/>
        <v>Admis</v>
      </c>
      <c r="N539" t="str">
        <f t="shared" si="33"/>
        <v>Eligible</v>
      </c>
      <c r="O539" t="str">
        <f t="shared" si="34"/>
        <v>RAS</v>
      </c>
      <c r="P539" t="str">
        <f t="shared" si="35"/>
        <v>Data</v>
      </c>
      <c r="Q539" t="str" cm="1">
        <f t="array" ref="Q539">_xlfn.IFS(H539&gt;=16,"Excellent",H539&gt;=14,"Très bien",H539&gt;=12,"Bien",H539&gt;=10,"Passable",H539&lt;10,"Insuffisant")</f>
        <v>Bien</v>
      </c>
    </row>
    <row r="540" spans="1:17">
      <c r="A540" t="s">
        <v>834</v>
      </c>
      <c r="B540" t="s">
        <v>379</v>
      </c>
      <c r="C540" t="s">
        <v>24</v>
      </c>
      <c r="D540" t="s">
        <v>20</v>
      </c>
      <c r="E540" s="8" t="s">
        <v>34</v>
      </c>
      <c r="F540" s="8">
        <v>13.63</v>
      </c>
      <c r="G540" s="8">
        <v>16.670000000000002</v>
      </c>
      <c r="H540" s="8">
        <v>14.27</v>
      </c>
      <c r="I540" s="8">
        <v>13.38</v>
      </c>
      <c r="J540" s="6">
        <v>0.97550000000000003</v>
      </c>
      <c r="K540" s="4">
        <v>85000</v>
      </c>
      <c r="L540" s="2">
        <v>45550</v>
      </c>
      <c r="M540" t="str">
        <f t="shared" si="32"/>
        <v>Admis</v>
      </c>
      <c r="N540" t="str">
        <f t="shared" si="33"/>
        <v>Eligible</v>
      </c>
      <c r="O540" t="str">
        <f t="shared" si="34"/>
        <v>RAS</v>
      </c>
      <c r="P540" t="str">
        <f t="shared" si="35"/>
        <v>Hors data</v>
      </c>
      <c r="Q540" t="str" cm="1">
        <f t="array" ref="Q540">_xlfn.IFS(H540&gt;=16,"Excellent",H540&gt;=14,"Très bien",H540&gt;=12,"Bien",H540&gt;=10,"Passable",H540&lt;10,"Insuffisant")</f>
        <v>Très bien</v>
      </c>
    </row>
    <row r="541" spans="1:17">
      <c r="A541" t="s">
        <v>835</v>
      </c>
      <c r="B541" t="s">
        <v>381</v>
      </c>
      <c r="C541" t="s">
        <v>19</v>
      </c>
      <c r="D541" t="s">
        <v>52</v>
      </c>
      <c r="E541" s="8" t="s">
        <v>26</v>
      </c>
      <c r="F541" s="8">
        <v>8.07</v>
      </c>
      <c r="G541" s="8">
        <v>9.98</v>
      </c>
      <c r="H541" s="8">
        <v>9.7899999999999991</v>
      </c>
      <c r="I541" s="8">
        <v>7.38</v>
      </c>
      <c r="J541" s="6">
        <v>0.92479999999999996</v>
      </c>
      <c r="K541" s="4">
        <v>70000</v>
      </c>
      <c r="L541" s="2">
        <v>45667</v>
      </c>
      <c r="M541" t="str">
        <f t="shared" si="32"/>
        <v>Non admis</v>
      </c>
      <c r="N541" t="str">
        <f t="shared" si="33"/>
        <v>Non eligible</v>
      </c>
      <c r="O541" t="str">
        <f t="shared" si="34"/>
        <v>A surveiller</v>
      </c>
      <c r="P541" t="str">
        <f t="shared" si="35"/>
        <v>Hors data</v>
      </c>
      <c r="Q541" t="str" cm="1">
        <f t="array" ref="Q541">_xlfn.IFS(H541&gt;=16,"Excellent",H541&gt;=14,"Très bien",H541&gt;=12,"Bien",H541&gt;=10,"Passable",H541&lt;10,"Insuffisant")</f>
        <v>Insuffisant</v>
      </c>
    </row>
    <row r="542" spans="1:17">
      <c r="A542" t="s">
        <v>836</v>
      </c>
      <c r="B542" t="s">
        <v>217</v>
      </c>
      <c r="C542" t="s">
        <v>24</v>
      </c>
      <c r="D542" t="s">
        <v>52</v>
      </c>
      <c r="E542" s="8" t="s">
        <v>34</v>
      </c>
      <c r="F542" s="8">
        <v>14.22</v>
      </c>
      <c r="G542" s="8">
        <v>15.01</v>
      </c>
      <c r="H542" s="8">
        <v>16.41</v>
      </c>
      <c r="I542" s="8">
        <v>14.05</v>
      </c>
      <c r="J542" s="6">
        <v>0.88629999999999998</v>
      </c>
      <c r="K542" s="4">
        <v>100000</v>
      </c>
      <c r="L542" s="2">
        <v>46163</v>
      </c>
      <c r="M542" t="str">
        <f t="shared" si="32"/>
        <v>Admis</v>
      </c>
      <c r="N542" t="str">
        <f t="shared" si="33"/>
        <v>Eligible</v>
      </c>
      <c r="O542" t="str">
        <f t="shared" si="34"/>
        <v>RAS</v>
      </c>
      <c r="P542" t="str">
        <f t="shared" si="35"/>
        <v>Hors data</v>
      </c>
      <c r="Q542" t="str" cm="1">
        <f t="array" ref="Q542">_xlfn.IFS(H542&gt;=16,"Excellent",H542&gt;=14,"Très bien",H542&gt;=12,"Bien",H542&gt;=10,"Passable",H542&lt;10,"Insuffisant")</f>
        <v>Excellent</v>
      </c>
    </row>
    <row r="543" spans="1:17">
      <c r="A543" t="s">
        <v>837</v>
      </c>
      <c r="B543" t="s">
        <v>240</v>
      </c>
      <c r="C543" t="s">
        <v>19</v>
      </c>
      <c r="D543" t="s">
        <v>37</v>
      </c>
      <c r="E543" s="8" t="s">
        <v>26</v>
      </c>
      <c r="F543" s="8">
        <v>18.98</v>
      </c>
      <c r="G543" s="8">
        <v>19.14</v>
      </c>
      <c r="H543" s="8">
        <v>20</v>
      </c>
      <c r="I543" s="8">
        <v>18.649999999999999</v>
      </c>
      <c r="J543" s="6">
        <v>0.88</v>
      </c>
      <c r="K543" s="4">
        <v>70000</v>
      </c>
      <c r="L543" s="2">
        <v>45773</v>
      </c>
      <c r="M543" t="str">
        <f t="shared" si="32"/>
        <v>Admis</v>
      </c>
      <c r="N543" t="str">
        <f t="shared" si="33"/>
        <v>Eligible</v>
      </c>
      <c r="O543" t="str">
        <f t="shared" si="34"/>
        <v>RAS</v>
      </c>
      <c r="P543" t="str">
        <f t="shared" si="35"/>
        <v>Hors data</v>
      </c>
      <c r="Q543" t="str" cm="1">
        <f t="array" ref="Q543">_xlfn.IFS(H543&gt;=16,"Excellent",H543&gt;=14,"Très bien",H543&gt;=12,"Bien",H543&gt;=10,"Passable",H543&lt;10,"Insuffisant")</f>
        <v>Excellent</v>
      </c>
    </row>
    <row r="544" spans="1:17">
      <c r="A544" t="s">
        <v>838</v>
      </c>
      <c r="B544" t="s">
        <v>450</v>
      </c>
      <c r="C544" t="s">
        <v>19</v>
      </c>
      <c r="D544" t="s">
        <v>52</v>
      </c>
      <c r="E544" s="8" t="s">
        <v>34</v>
      </c>
      <c r="F544" s="8">
        <v>16.260000000000002</v>
      </c>
      <c r="G544" s="8">
        <v>11.93</v>
      </c>
      <c r="H544" s="8">
        <v>13.46</v>
      </c>
      <c r="I544" s="8">
        <v>16.079999999999998</v>
      </c>
      <c r="J544" s="6">
        <v>0.91969999999999996</v>
      </c>
      <c r="K544" s="4">
        <v>110000</v>
      </c>
      <c r="L544" s="2">
        <v>46029</v>
      </c>
      <c r="M544" t="str">
        <f t="shared" si="32"/>
        <v>Admis</v>
      </c>
      <c r="N544" t="str">
        <f t="shared" si="33"/>
        <v>Eligible</v>
      </c>
      <c r="O544" t="str">
        <f t="shared" si="34"/>
        <v>RAS</v>
      </c>
      <c r="P544" t="str">
        <f t="shared" si="35"/>
        <v>Hors data</v>
      </c>
      <c r="Q544" t="str" cm="1">
        <f t="array" ref="Q544">_xlfn.IFS(H544&gt;=16,"Excellent",H544&gt;=14,"Très bien",H544&gt;=12,"Bien",H544&gt;=10,"Passable",H544&lt;10,"Insuffisant")</f>
        <v>Bien</v>
      </c>
    </row>
    <row r="545" spans="1:17">
      <c r="A545" t="s">
        <v>839</v>
      </c>
      <c r="B545" t="s">
        <v>132</v>
      </c>
      <c r="C545" t="s">
        <v>19</v>
      </c>
      <c r="D545" t="s">
        <v>52</v>
      </c>
      <c r="E545" s="8" t="s">
        <v>21</v>
      </c>
      <c r="F545" s="8">
        <v>12.33</v>
      </c>
      <c r="G545" s="8">
        <v>13.78</v>
      </c>
      <c r="H545" s="8">
        <v>15.55</v>
      </c>
      <c r="I545" s="8">
        <v>11.83</v>
      </c>
      <c r="J545" s="6">
        <v>0.96040000000000003</v>
      </c>
      <c r="K545" s="4">
        <v>50000</v>
      </c>
      <c r="L545" s="2">
        <v>46028</v>
      </c>
      <c r="M545" t="str">
        <f t="shared" si="32"/>
        <v>Admis</v>
      </c>
      <c r="N545" t="str">
        <f t="shared" si="33"/>
        <v>Eligible</v>
      </c>
      <c r="O545" t="str">
        <f t="shared" si="34"/>
        <v>RAS</v>
      </c>
      <c r="P545" t="str">
        <f t="shared" si="35"/>
        <v>Data</v>
      </c>
      <c r="Q545" t="str" cm="1">
        <f t="array" ref="Q545">_xlfn.IFS(H545&gt;=16,"Excellent",H545&gt;=14,"Très bien",H545&gt;=12,"Bien",H545&gt;=10,"Passable",H545&lt;10,"Insuffisant")</f>
        <v>Très bien</v>
      </c>
    </row>
    <row r="546" spans="1:17">
      <c r="A546" t="s">
        <v>840</v>
      </c>
      <c r="B546" t="s">
        <v>190</v>
      </c>
      <c r="C546" t="s">
        <v>24</v>
      </c>
      <c r="D546" t="s">
        <v>52</v>
      </c>
      <c r="E546" s="8" t="s">
        <v>34</v>
      </c>
      <c r="F546" s="8">
        <v>17.2</v>
      </c>
      <c r="G546" s="8">
        <v>13.29</v>
      </c>
      <c r="H546" s="8">
        <v>15.41</v>
      </c>
      <c r="I546" s="8">
        <v>15.2</v>
      </c>
      <c r="J546" s="6">
        <v>0.65920000000000001</v>
      </c>
      <c r="K546" s="4">
        <v>90000</v>
      </c>
      <c r="L546" s="2">
        <v>45752</v>
      </c>
      <c r="M546" t="str">
        <f t="shared" si="32"/>
        <v>Admis</v>
      </c>
      <c r="N546" t="str">
        <f t="shared" si="33"/>
        <v>Non eligible</v>
      </c>
      <c r="O546" t="str">
        <f t="shared" si="34"/>
        <v>RAS</v>
      </c>
      <c r="P546" t="str">
        <f t="shared" si="35"/>
        <v>Hors data</v>
      </c>
      <c r="Q546" t="str" cm="1">
        <f t="array" ref="Q546">_xlfn.IFS(H546&gt;=16,"Excellent",H546&gt;=14,"Très bien",H546&gt;=12,"Bien",H546&gt;=10,"Passable",H546&lt;10,"Insuffisant")</f>
        <v>Très bien</v>
      </c>
    </row>
    <row r="547" spans="1:17">
      <c r="A547" t="s">
        <v>841</v>
      </c>
      <c r="B547" t="s">
        <v>201</v>
      </c>
      <c r="C547" t="s">
        <v>19</v>
      </c>
      <c r="D547" t="s">
        <v>37</v>
      </c>
      <c r="E547" s="8" t="s">
        <v>47</v>
      </c>
      <c r="F547" s="8">
        <v>17.190000000000001</v>
      </c>
      <c r="G547" s="8">
        <v>17.48</v>
      </c>
      <c r="H547" s="8">
        <v>13.49</v>
      </c>
      <c r="I547" s="8">
        <v>16.89</v>
      </c>
      <c r="J547" s="6">
        <v>0.87029999999999996</v>
      </c>
      <c r="K547" s="4">
        <v>90000</v>
      </c>
      <c r="L547" s="2">
        <v>45679</v>
      </c>
      <c r="M547" t="str">
        <f t="shared" si="32"/>
        <v>Admis</v>
      </c>
      <c r="N547" t="str">
        <f t="shared" si="33"/>
        <v>Eligible</v>
      </c>
      <c r="O547" t="str">
        <f t="shared" si="34"/>
        <v>RAS</v>
      </c>
      <c r="P547" t="str">
        <f t="shared" si="35"/>
        <v>Hors data</v>
      </c>
      <c r="Q547" t="str" cm="1">
        <f t="array" ref="Q547">_xlfn.IFS(H547&gt;=16,"Excellent",H547&gt;=14,"Très bien",H547&gt;=12,"Bien",H547&gt;=10,"Passable",H547&lt;10,"Insuffisant")</f>
        <v>Bien</v>
      </c>
    </row>
    <row r="548" spans="1:17">
      <c r="A548" t="s">
        <v>842</v>
      </c>
      <c r="B548" t="s">
        <v>656</v>
      </c>
      <c r="C548" t="s">
        <v>19</v>
      </c>
      <c r="D548" t="s">
        <v>40</v>
      </c>
      <c r="E548" s="8" t="s">
        <v>47</v>
      </c>
      <c r="F548" s="8">
        <v>7.88</v>
      </c>
      <c r="G548" s="8">
        <v>10.08</v>
      </c>
      <c r="H548" s="8">
        <v>9.59</v>
      </c>
      <c r="I548" s="8">
        <v>6.93</v>
      </c>
      <c r="J548" s="6">
        <v>0.86019999999999996</v>
      </c>
      <c r="K548" s="4">
        <v>80000</v>
      </c>
      <c r="L548" s="2">
        <v>46020</v>
      </c>
      <c r="M548" t="str">
        <f t="shared" si="32"/>
        <v>Non admis</v>
      </c>
      <c r="N548" t="str">
        <f t="shared" si="33"/>
        <v>Non eligible</v>
      </c>
      <c r="O548" t="str">
        <f t="shared" si="34"/>
        <v>A surveiller</v>
      </c>
      <c r="P548" t="str">
        <f t="shared" si="35"/>
        <v>Hors data</v>
      </c>
      <c r="Q548" t="str" cm="1">
        <f t="array" ref="Q548">_xlfn.IFS(H548&gt;=16,"Excellent",H548&gt;=14,"Très bien",H548&gt;=12,"Bien",H548&gt;=10,"Passable",H548&lt;10,"Insuffisant")</f>
        <v>Insuffisant</v>
      </c>
    </row>
    <row r="549" spans="1:17">
      <c r="A549" t="s">
        <v>843</v>
      </c>
      <c r="B549" t="s">
        <v>110</v>
      </c>
      <c r="C549" t="s">
        <v>24</v>
      </c>
      <c r="D549" t="s">
        <v>33</v>
      </c>
      <c r="E549" s="8" t="s">
        <v>26</v>
      </c>
      <c r="F549" s="8">
        <v>8.1</v>
      </c>
      <c r="G549" s="8">
        <v>12.44</v>
      </c>
      <c r="H549" s="8">
        <v>9.31</v>
      </c>
      <c r="I549" s="8">
        <v>10.54</v>
      </c>
      <c r="J549" s="6">
        <v>0.89280000000000004</v>
      </c>
      <c r="K549" s="4">
        <v>100000</v>
      </c>
      <c r="L549" s="2">
        <v>45601</v>
      </c>
      <c r="M549" t="str">
        <f t="shared" si="32"/>
        <v>Non admis</v>
      </c>
      <c r="N549" t="str">
        <f t="shared" si="33"/>
        <v>Non eligible</v>
      </c>
      <c r="O549" t="str">
        <f t="shared" si="34"/>
        <v>A surveiller</v>
      </c>
      <c r="P549" t="str">
        <f t="shared" si="35"/>
        <v>Hors data</v>
      </c>
      <c r="Q549" t="str" cm="1">
        <f t="array" ref="Q549">_xlfn.IFS(H549&gt;=16,"Excellent",H549&gt;=14,"Très bien",H549&gt;=12,"Bien",H549&gt;=10,"Passable",H549&lt;10,"Insuffisant")</f>
        <v>Insuffisant</v>
      </c>
    </row>
    <row r="550" spans="1:17">
      <c r="A550" t="s">
        <v>844</v>
      </c>
      <c r="B550" t="s">
        <v>179</v>
      </c>
      <c r="C550" t="s">
        <v>24</v>
      </c>
      <c r="D550" t="s">
        <v>52</v>
      </c>
      <c r="E550" s="8" t="s">
        <v>21</v>
      </c>
      <c r="F550" s="8">
        <v>19.43</v>
      </c>
      <c r="G550" s="8">
        <v>15.31</v>
      </c>
      <c r="H550" s="8">
        <v>19.989999999999998</v>
      </c>
      <c r="I550" s="8">
        <v>14.32</v>
      </c>
      <c r="J550" s="6">
        <v>0.96479999999999999</v>
      </c>
      <c r="K550" s="4">
        <v>80000</v>
      </c>
      <c r="L550" s="2">
        <v>45882</v>
      </c>
      <c r="M550" t="str">
        <f t="shared" si="32"/>
        <v>Admis</v>
      </c>
      <c r="N550" t="str">
        <f t="shared" si="33"/>
        <v>Eligible</v>
      </c>
      <c r="O550" t="str">
        <f t="shared" si="34"/>
        <v>RAS</v>
      </c>
      <c r="P550" t="str">
        <f t="shared" si="35"/>
        <v>Data</v>
      </c>
      <c r="Q550" t="str" cm="1">
        <f t="array" ref="Q550">_xlfn.IFS(H550&gt;=16,"Excellent",H550&gt;=14,"Très bien",H550&gt;=12,"Bien",H550&gt;=10,"Passable",H550&lt;10,"Insuffisant")</f>
        <v>Excellent</v>
      </c>
    </row>
    <row r="551" spans="1:17">
      <c r="A551" t="s">
        <v>845</v>
      </c>
      <c r="B551" t="s">
        <v>343</v>
      </c>
      <c r="C551" t="s">
        <v>24</v>
      </c>
      <c r="D551" t="s">
        <v>33</v>
      </c>
      <c r="E551" s="8" t="s">
        <v>26</v>
      </c>
      <c r="F551" s="8">
        <v>9.6999999999999993</v>
      </c>
      <c r="G551" s="8">
        <v>13.93</v>
      </c>
      <c r="H551" s="8">
        <v>14.9</v>
      </c>
      <c r="I551" s="8">
        <v>13.13</v>
      </c>
      <c r="J551" s="6">
        <v>0.71599999999999997</v>
      </c>
      <c r="K551" s="4">
        <v>100000</v>
      </c>
      <c r="L551" s="2">
        <v>46157</v>
      </c>
      <c r="M551" t="str">
        <f t="shared" si="32"/>
        <v>Admis</v>
      </c>
      <c r="N551" t="str">
        <f t="shared" si="33"/>
        <v>Non eligible</v>
      </c>
      <c r="O551" t="str">
        <f t="shared" si="34"/>
        <v>A surveiller</v>
      </c>
      <c r="P551" t="str">
        <f t="shared" si="35"/>
        <v>Hors data</v>
      </c>
      <c r="Q551" t="str" cm="1">
        <f t="array" ref="Q551">_xlfn.IFS(H551&gt;=16,"Excellent",H551&gt;=14,"Très bien",H551&gt;=12,"Bien",H551&gt;=10,"Passable",H551&lt;10,"Insuffisant")</f>
        <v>Très bien</v>
      </c>
    </row>
    <row r="552" spans="1:17">
      <c r="A552" t="s">
        <v>846</v>
      </c>
      <c r="B552" t="s">
        <v>457</v>
      </c>
      <c r="C552" t="s">
        <v>24</v>
      </c>
      <c r="D552" t="s">
        <v>52</v>
      </c>
      <c r="E552" s="8" t="s">
        <v>47</v>
      </c>
      <c r="F552" s="8">
        <v>17.829999999999998</v>
      </c>
      <c r="G552" s="8">
        <v>16.920000000000002</v>
      </c>
      <c r="H552" s="8">
        <v>18.940000000000001</v>
      </c>
      <c r="I552" s="8">
        <v>17.5</v>
      </c>
      <c r="J552" s="6">
        <v>0.94040000000000001</v>
      </c>
      <c r="K552" s="4">
        <v>70000</v>
      </c>
      <c r="L552" s="2">
        <v>46033</v>
      </c>
      <c r="M552" t="str">
        <f t="shared" si="32"/>
        <v>Admis</v>
      </c>
      <c r="N552" t="str">
        <f t="shared" si="33"/>
        <v>Eligible</v>
      </c>
      <c r="O552" t="str">
        <f t="shared" si="34"/>
        <v>RAS</v>
      </c>
      <c r="P552" t="str">
        <f t="shared" si="35"/>
        <v>Hors data</v>
      </c>
      <c r="Q552" t="str" cm="1">
        <f t="array" ref="Q552">_xlfn.IFS(H552&gt;=16,"Excellent",H552&gt;=14,"Très bien",H552&gt;=12,"Bien",H552&gt;=10,"Passable",H552&lt;10,"Insuffisant")</f>
        <v>Excellent</v>
      </c>
    </row>
    <row r="553" spans="1:17">
      <c r="A553" t="s">
        <v>847</v>
      </c>
      <c r="B553" t="s">
        <v>193</v>
      </c>
      <c r="C553" t="s">
        <v>19</v>
      </c>
      <c r="D553" t="s">
        <v>20</v>
      </c>
      <c r="E553" s="8" t="s">
        <v>21</v>
      </c>
      <c r="F553" s="8">
        <v>10.97</v>
      </c>
      <c r="G553" s="8">
        <v>11.97</v>
      </c>
      <c r="H553" s="8">
        <v>13.37</v>
      </c>
      <c r="I553" s="8">
        <v>13.35</v>
      </c>
      <c r="J553" s="6">
        <v>0.86550000000000005</v>
      </c>
      <c r="K553" s="4">
        <v>90000</v>
      </c>
      <c r="L553" s="2">
        <v>46070</v>
      </c>
      <c r="M553" t="str">
        <f t="shared" si="32"/>
        <v>Admis</v>
      </c>
      <c r="N553" t="str">
        <f t="shared" si="33"/>
        <v>Non eligible</v>
      </c>
      <c r="O553" t="str">
        <f t="shared" si="34"/>
        <v>RAS</v>
      </c>
      <c r="P553" t="str">
        <f t="shared" si="35"/>
        <v>Data</v>
      </c>
      <c r="Q553" t="str" cm="1">
        <f t="array" ref="Q553">_xlfn.IFS(H553&gt;=16,"Excellent",H553&gt;=14,"Très bien",H553&gt;=12,"Bien",H553&gt;=10,"Passable",H553&lt;10,"Insuffisant")</f>
        <v>Bien</v>
      </c>
    </row>
    <row r="554" spans="1:17">
      <c r="A554" t="s">
        <v>848</v>
      </c>
      <c r="B554" t="s">
        <v>538</v>
      </c>
      <c r="C554" t="s">
        <v>24</v>
      </c>
      <c r="D554" t="s">
        <v>52</v>
      </c>
      <c r="E554" s="8" t="s">
        <v>26</v>
      </c>
      <c r="F554" s="8">
        <v>12.01</v>
      </c>
      <c r="G554" s="8">
        <v>9.5299999999999994</v>
      </c>
      <c r="H554" s="8">
        <v>8.64</v>
      </c>
      <c r="I554" s="8">
        <v>6.59</v>
      </c>
      <c r="J554" s="6">
        <v>0.75460000000000005</v>
      </c>
      <c r="K554" s="4">
        <v>110000</v>
      </c>
      <c r="L554" s="2">
        <v>45594</v>
      </c>
      <c r="M554" t="str">
        <f t="shared" si="32"/>
        <v>Non admis</v>
      </c>
      <c r="N554" t="str">
        <f t="shared" si="33"/>
        <v>Non eligible</v>
      </c>
      <c r="O554" t="str">
        <f t="shared" si="34"/>
        <v>A surveiller</v>
      </c>
      <c r="P554" t="str">
        <f t="shared" si="35"/>
        <v>Hors data</v>
      </c>
      <c r="Q554" t="str" cm="1">
        <f t="array" ref="Q554">_xlfn.IFS(H554&gt;=16,"Excellent",H554&gt;=14,"Très bien",H554&gt;=12,"Bien",H554&gt;=10,"Passable",H554&lt;10,"Insuffisant")</f>
        <v>Insuffisant</v>
      </c>
    </row>
    <row r="555" spans="1:17">
      <c r="A555" t="s">
        <v>849</v>
      </c>
      <c r="B555" t="s">
        <v>405</v>
      </c>
      <c r="C555" t="s">
        <v>19</v>
      </c>
      <c r="D555" t="s">
        <v>52</v>
      </c>
      <c r="E555" s="8" t="s">
        <v>34</v>
      </c>
      <c r="F555" s="8">
        <v>11.9</v>
      </c>
      <c r="G555" s="8">
        <v>9.5</v>
      </c>
      <c r="H555" s="8">
        <v>7.94</v>
      </c>
      <c r="I555" s="8">
        <v>8.4600000000000009</v>
      </c>
      <c r="J555" s="6">
        <v>0.88370000000000004</v>
      </c>
      <c r="K555" s="4">
        <v>130000</v>
      </c>
      <c r="L555" s="2">
        <v>45675</v>
      </c>
      <c r="M555" t="str">
        <f t="shared" si="32"/>
        <v>Non admis</v>
      </c>
      <c r="N555" t="str">
        <f t="shared" si="33"/>
        <v>Non eligible</v>
      </c>
      <c r="O555" t="str">
        <f t="shared" si="34"/>
        <v>A surveiller</v>
      </c>
      <c r="P555" t="str">
        <f t="shared" si="35"/>
        <v>Hors data</v>
      </c>
      <c r="Q555" t="str" cm="1">
        <f t="array" ref="Q555">_xlfn.IFS(H555&gt;=16,"Excellent",H555&gt;=14,"Très bien",H555&gt;=12,"Bien",H555&gt;=10,"Passable",H555&lt;10,"Insuffisant")</f>
        <v>Insuffisant</v>
      </c>
    </row>
    <row r="556" spans="1:17">
      <c r="A556" t="s">
        <v>850</v>
      </c>
      <c r="B556" t="s">
        <v>375</v>
      </c>
      <c r="C556" t="s">
        <v>24</v>
      </c>
      <c r="D556" t="s">
        <v>52</v>
      </c>
      <c r="E556" s="8" t="s">
        <v>47</v>
      </c>
      <c r="F556" s="8">
        <v>4.3099999999999996</v>
      </c>
      <c r="G556" s="8">
        <v>6.79</v>
      </c>
      <c r="H556" s="8">
        <v>2.1800000000000002</v>
      </c>
      <c r="I556" s="8">
        <v>8.39</v>
      </c>
      <c r="J556" s="6">
        <v>0.89329999999999998</v>
      </c>
      <c r="K556" s="4">
        <v>75000</v>
      </c>
      <c r="L556" s="2">
        <v>45728</v>
      </c>
      <c r="M556" t="str">
        <f t="shared" si="32"/>
        <v>Non admis</v>
      </c>
      <c r="N556" t="str">
        <f t="shared" si="33"/>
        <v>Non eligible</v>
      </c>
      <c r="O556" t="str">
        <f t="shared" si="34"/>
        <v>A surveiller</v>
      </c>
      <c r="P556" t="str">
        <f t="shared" si="35"/>
        <v>Hors data</v>
      </c>
      <c r="Q556" t="str" cm="1">
        <f t="array" ref="Q556">_xlfn.IFS(H556&gt;=16,"Excellent",H556&gt;=14,"Très bien",H556&gt;=12,"Bien",H556&gt;=10,"Passable",H556&lt;10,"Insuffisant")</f>
        <v>Insuffisant</v>
      </c>
    </row>
    <row r="557" spans="1:17">
      <c r="A557" t="s">
        <v>851</v>
      </c>
      <c r="B557" t="s">
        <v>852</v>
      </c>
      <c r="C557" t="s">
        <v>24</v>
      </c>
      <c r="D557" t="s">
        <v>20</v>
      </c>
      <c r="E557" s="8" t="s">
        <v>47</v>
      </c>
      <c r="F557" s="8">
        <v>13.97</v>
      </c>
      <c r="G557" s="8">
        <v>10.91</v>
      </c>
      <c r="H557" s="8">
        <v>11.12</v>
      </c>
      <c r="I557" s="8">
        <v>14.14</v>
      </c>
      <c r="J557" s="6">
        <v>0.80640000000000001</v>
      </c>
      <c r="K557" s="4">
        <v>85000</v>
      </c>
      <c r="L557" s="2">
        <v>45740</v>
      </c>
      <c r="M557" t="str">
        <f t="shared" si="32"/>
        <v>Admis</v>
      </c>
      <c r="N557" t="str">
        <f t="shared" si="33"/>
        <v>Non eligible</v>
      </c>
      <c r="O557" t="str">
        <f t="shared" si="34"/>
        <v>RAS</v>
      </c>
      <c r="P557" t="str">
        <f t="shared" si="35"/>
        <v>Hors data</v>
      </c>
      <c r="Q557" t="str" cm="1">
        <f t="array" ref="Q557">_xlfn.IFS(H557&gt;=16,"Excellent",H557&gt;=14,"Très bien",H557&gt;=12,"Bien",H557&gt;=10,"Passable",H557&lt;10,"Insuffisant")</f>
        <v>Passable</v>
      </c>
    </row>
    <row r="558" spans="1:17">
      <c r="A558" t="s">
        <v>853</v>
      </c>
      <c r="B558" t="s">
        <v>261</v>
      </c>
      <c r="C558" t="s">
        <v>24</v>
      </c>
      <c r="D558" t="s">
        <v>20</v>
      </c>
      <c r="E558" s="8" t="s">
        <v>21</v>
      </c>
      <c r="F558" s="8">
        <v>13.54</v>
      </c>
      <c r="G558" s="8">
        <v>11.43</v>
      </c>
      <c r="H558" s="8">
        <v>13.07</v>
      </c>
      <c r="I558" s="8">
        <v>10.62</v>
      </c>
      <c r="J558" s="6">
        <v>0.85580000000000001</v>
      </c>
      <c r="K558" s="4">
        <v>85000</v>
      </c>
      <c r="L558" s="2">
        <v>45671</v>
      </c>
      <c r="M558" t="str">
        <f t="shared" si="32"/>
        <v>Admis</v>
      </c>
      <c r="N558" t="str">
        <f t="shared" si="33"/>
        <v>Eligible</v>
      </c>
      <c r="O558" t="str">
        <f t="shared" si="34"/>
        <v>RAS</v>
      </c>
      <c r="P558" t="str">
        <f t="shared" si="35"/>
        <v>Data</v>
      </c>
      <c r="Q558" t="str" cm="1">
        <f t="array" ref="Q558">_xlfn.IFS(H558&gt;=16,"Excellent",H558&gt;=14,"Très bien",H558&gt;=12,"Bien",H558&gt;=10,"Passable",H558&lt;10,"Insuffisant")</f>
        <v>Bien</v>
      </c>
    </row>
    <row r="559" spans="1:17">
      <c r="A559" t="s">
        <v>854</v>
      </c>
      <c r="B559" t="s">
        <v>391</v>
      </c>
      <c r="C559" t="s">
        <v>24</v>
      </c>
      <c r="D559" t="s">
        <v>20</v>
      </c>
      <c r="E559" s="8" t="s">
        <v>21</v>
      </c>
      <c r="F559" s="8">
        <v>11.17</v>
      </c>
      <c r="G559" s="8">
        <v>14.11</v>
      </c>
      <c r="H559" s="8">
        <v>7.88</v>
      </c>
      <c r="I559" s="8">
        <v>12.61</v>
      </c>
      <c r="J559" s="6">
        <v>0.93220000000000003</v>
      </c>
      <c r="K559" s="4">
        <v>120000</v>
      </c>
      <c r="L559" s="2">
        <v>46216</v>
      </c>
      <c r="M559" t="str">
        <f t="shared" si="32"/>
        <v>Non admis</v>
      </c>
      <c r="N559" t="str">
        <f t="shared" si="33"/>
        <v>Non eligible</v>
      </c>
      <c r="O559" t="str">
        <f t="shared" si="34"/>
        <v>A surveiller</v>
      </c>
      <c r="P559" t="str">
        <f t="shared" si="35"/>
        <v>Data</v>
      </c>
      <c r="Q559" t="str" cm="1">
        <f t="array" ref="Q559">_xlfn.IFS(H559&gt;=16,"Excellent",H559&gt;=14,"Très bien",H559&gt;=12,"Bien",H559&gt;=10,"Passable",H559&lt;10,"Insuffisant")</f>
        <v>Insuffisant</v>
      </c>
    </row>
    <row r="560" spans="1:17">
      <c r="A560" t="s">
        <v>855</v>
      </c>
      <c r="B560" t="s">
        <v>698</v>
      </c>
      <c r="C560" t="s">
        <v>24</v>
      </c>
      <c r="D560" t="s">
        <v>33</v>
      </c>
      <c r="E560" s="8" t="s">
        <v>47</v>
      </c>
      <c r="F560" s="8">
        <v>18.190000000000001</v>
      </c>
      <c r="G560" s="8">
        <v>18.87</v>
      </c>
      <c r="H560" s="8">
        <v>15.52</v>
      </c>
      <c r="I560" s="8">
        <v>11.2</v>
      </c>
      <c r="J560" s="6">
        <v>0.86670000000000003</v>
      </c>
      <c r="K560" s="4">
        <v>130000</v>
      </c>
      <c r="L560" s="2">
        <v>45651</v>
      </c>
      <c r="M560" t="str">
        <f t="shared" si="32"/>
        <v>Admis</v>
      </c>
      <c r="N560" t="str">
        <f t="shared" si="33"/>
        <v>Eligible</v>
      </c>
      <c r="O560" t="str">
        <f t="shared" si="34"/>
        <v>RAS</v>
      </c>
      <c r="P560" t="str">
        <f t="shared" si="35"/>
        <v>Hors data</v>
      </c>
      <c r="Q560" t="str" cm="1">
        <f t="array" ref="Q560">_xlfn.IFS(H560&gt;=16,"Excellent",H560&gt;=14,"Très bien",H560&gt;=12,"Bien",H560&gt;=10,"Passable",H560&lt;10,"Insuffisant")</f>
        <v>Très bien</v>
      </c>
    </row>
    <row r="561" spans="1:17">
      <c r="A561" t="s">
        <v>856</v>
      </c>
      <c r="B561" t="s">
        <v>857</v>
      </c>
      <c r="C561" t="s">
        <v>24</v>
      </c>
      <c r="D561" t="s">
        <v>25</v>
      </c>
      <c r="E561" s="8" t="s">
        <v>34</v>
      </c>
      <c r="F561" s="8">
        <v>17.71</v>
      </c>
      <c r="G561" s="8">
        <v>15.09</v>
      </c>
      <c r="H561" s="8">
        <v>16.510000000000002</v>
      </c>
      <c r="I561" s="8">
        <v>15.49</v>
      </c>
      <c r="J561" s="6">
        <v>0.8669</v>
      </c>
      <c r="K561" s="4">
        <v>100000</v>
      </c>
      <c r="L561" s="2">
        <v>46031</v>
      </c>
      <c r="M561" t="str">
        <f t="shared" si="32"/>
        <v>Admis</v>
      </c>
      <c r="N561" t="str">
        <f t="shared" si="33"/>
        <v>Eligible</v>
      </c>
      <c r="O561" t="str">
        <f t="shared" si="34"/>
        <v>RAS</v>
      </c>
      <c r="P561" t="str">
        <f t="shared" si="35"/>
        <v>Hors data</v>
      </c>
      <c r="Q561" t="str" cm="1">
        <f t="array" ref="Q561">_xlfn.IFS(H561&gt;=16,"Excellent",H561&gt;=14,"Très bien",H561&gt;=12,"Bien",H561&gt;=10,"Passable",H561&lt;10,"Insuffisant")</f>
        <v>Excellent</v>
      </c>
    </row>
    <row r="562" spans="1:17">
      <c r="A562" t="s">
        <v>858</v>
      </c>
      <c r="B562" t="s">
        <v>255</v>
      </c>
      <c r="C562" t="s">
        <v>24</v>
      </c>
      <c r="D562" t="s">
        <v>25</v>
      </c>
      <c r="E562" s="8" t="s">
        <v>21</v>
      </c>
      <c r="F562" s="8">
        <v>13.5</v>
      </c>
      <c r="G562" s="8">
        <v>14.9</v>
      </c>
      <c r="H562" s="8">
        <v>12.75</v>
      </c>
      <c r="I562" s="8">
        <v>15.04</v>
      </c>
      <c r="J562" s="6">
        <v>0.91290000000000004</v>
      </c>
      <c r="K562" s="4">
        <v>120000</v>
      </c>
      <c r="L562" s="2">
        <v>45946</v>
      </c>
      <c r="M562" t="str">
        <f t="shared" si="32"/>
        <v>Admis</v>
      </c>
      <c r="N562" t="str">
        <f t="shared" si="33"/>
        <v>Eligible</v>
      </c>
      <c r="O562" t="str">
        <f t="shared" si="34"/>
        <v>RAS</v>
      </c>
      <c r="P562" t="str">
        <f t="shared" si="35"/>
        <v>Data</v>
      </c>
      <c r="Q562" t="str" cm="1">
        <f t="array" ref="Q562">_xlfn.IFS(H562&gt;=16,"Excellent",H562&gt;=14,"Très bien",H562&gt;=12,"Bien",H562&gt;=10,"Passable",H562&lt;10,"Insuffisant")</f>
        <v>Bien</v>
      </c>
    </row>
    <row r="563" spans="1:17">
      <c r="A563" t="s">
        <v>859</v>
      </c>
      <c r="B563" t="s">
        <v>639</v>
      </c>
      <c r="C563" t="s">
        <v>19</v>
      </c>
      <c r="D563" t="s">
        <v>33</v>
      </c>
      <c r="E563" s="8" t="s">
        <v>21</v>
      </c>
      <c r="F563" s="8">
        <v>7.43</v>
      </c>
      <c r="G563" s="8">
        <v>6.75</v>
      </c>
      <c r="H563" s="8">
        <v>6.27</v>
      </c>
      <c r="I563" s="8">
        <v>7.15</v>
      </c>
      <c r="J563" s="6">
        <v>0.7671</v>
      </c>
      <c r="K563" s="4">
        <v>50000</v>
      </c>
      <c r="L563" s="2">
        <v>45963</v>
      </c>
      <c r="M563" t="str">
        <f t="shared" si="32"/>
        <v>Non admis</v>
      </c>
      <c r="N563" t="str">
        <f t="shared" si="33"/>
        <v>Non eligible</v>
      </c>
      <c r="O563" t="str">
        <f t="shared" si="34"/>
        <v>A surveiller</v>
      </c>
      <c r="P563" t="str">
        <f t="shared" si="35"/>
        <v>Data</v>
      </c>
      <c r="Q563" t="str" cm="1">
        <f t="array" ref="Q563">_xlfn.IFS(H563&gt;=16,"Excellent",H563&gt;=14,"Très bien",H563&gt;=12,"Bien",H563&gt;=10,"Passable",H563&lt;10,"Insuffisant")</f>
        <v>Insuffisant</v>
      </c>
    </row>
    <row r="564" spans="1:17">
      <c r="A564" t="s">
        <v>860</v>
      </c>
      <c r="B564" t="s">
        <v>661</v>
      </c>
      <c r="C564" t="s">
        <v>19</v>
      </c>
      <c r="D564" t="s">
        <v>33</v>
      </c>
      <c r="E564" s="8" t="s">
        <v>26</v>
      </c>
      <c r="F564" s="8">
        <v>16.18</v>
      </c>
      <c r="G564" s="8">
        <v>15.66</v>
      </c>
      <c r="H564" s="8">
        <v>14.68</v>
      </c>
      <c r="I564" s="8">
        <v>15.39</v>
      </c>
      <c r="J564" s="6">
        <v>0.76170000000000004</v>
      </c>
      <c r="K564" s="4">
        <v>110000</v>
      </c>
      <c r="L564" s="2">
        <v>45686</v>
      </c>
      <c r="M564" t="str">
        <f t="shared" si="32"/>
        <v>Admis</v>
      </c>
      <c r="N564" t="str">
        <f t="shared" si="33"/>
        <v>Non eligible</v>
      </c>
      <c r="O564" t="str">
        <f t="shared" si="34"/>
        <v>RAS</v>
      </c>
      <c r="P564" t="str">
        <f t="shared" si="35"/>
        <v>Hors data</v>
      </c>
      <c r="Q564" t="str" cm="1">
        <f t="array" ref="Q564">_xlfn.IFS(H564&gt;=16,"Excellent",H564&gt;=14,"Très bien",H564&gt;=12,"Bien",H564&gt;=10,"Passable",H564&lt;10,"Insuffisant")</f>
        <v>Très bien</v>
      </c>
    </row>
    <row r="565" spans="1:17">
      <c r="A565" t="s">
        <v>861</v>
      </c>
      <c r="B565" t="s">
        <v>736</v>
      </c>
      <c r="C565" t="s">
        <v>19</v>
      </c>
      <c r="D565" t="s">
        <v>20</v>
      </c>
      <c r="E565" s="8" t="s">
        <v>21</v>
      </c>
      <c r="F565" s="8">
        <v>15.56</v>
      </c>
      <c r="G565" s="8">
        <v>18.57</v>
      </c>
      <c r="H565" s="8">
        <v>19.05</v>
      </c>
      <c r="I565" s="8">
        <v>8.32</v>
      </c>
      <c r="J565" s="6">
        <v>0.90059999999999996</v>
      </c>
      <c r="K565" s="4">
        <v>110000</v>
      </c>
      <c r="L565" s="2">
        <v>45751</v>
      </c>
      <c r="M565" t="str">
        <f t="shared" si="32"/>
        <v>Admis</v>
      </c>
      <c r="N565" t="str">
        <f t="shared" si="33"/>
        <v>Eligible</v>
      </c>
      <c r="O565" t="str">
        <f t="shared" si="34"/>
        <v>RAS</v>
      </c>
      <c r="P565" t="str">
        <f t="shared" si="35"/>
        <v>Data</v>
      </c>
      <c r="Q565" t="str" cm="1">
        <f t="array" ref="Q565">_xlfn.IFS(H565&gt;=16,"Excellent",H565&gt;=14,"Très bien",H565&gt;=12,"Bien",H565&gt;=10,"Passable",H565&lt;10,"Insuffisant")</f>
        <v>Excellent</v>
      </c>
    </row>
    <row r="566" spans="1:17">
      <c r="A566" t="s">
        <v>862</v>
      </c>
      <c r="B566" t="s">
        <v>314</v>
      </c>
      <c r="C566" t="s">
        <v>24</v>
      </c>
      <c r="D566" t="s">
        <v>37</v>
      </c>
      <c r="E566" s="8" t="s">
        <v>21</v>
      </c>
      <c r="F566" s="8">
        <v>14.5</v>
      </c>
      <c r="G566" s="8">
        <v>16.54</v>
      </c>
      <c r="H566" s="8">
        <v>16.02</v>
      </c>
      <c r="I566" s="8">
        <v>13.4</v>
      </c>
      <c r="J566" s="6">
        <v>0.76729999999999998</v>
      </c>
      <c r="K566" s="4">
        <v>100000</v>
      </c>
      <c r="L566" s="2">
        <v>45960</v>
      </c>
      <c r="M566" t="str">
        <f t="shared" si="32"/>
        <v>Admis</v>
      </c>
      <c r="N566" t="str">
        <f t="shared" si="33"/>
        <v>Non eligible</v>
      </c>
      <c r="O566" t="str">
        <f t="shared" si="34"/>
        <v>RAS</v>
      </c>
      <c r="P566" t="str">
        <f t="shared" si="35"/>
        <v>Data</v>
      </c>
      <c r="Q566" t="str" cm="1">
        <f t="array" ref="Q566">_xlfn.IFS(H566&gt;=16,"Excellent",H566&gt;=14,"Très bien",H566&gt;=12,"Bien",H566&gt;=10,"Passable",H566&lt;10,"Insuffisant")</f>
        <v>Excellent</v>
      </c>
    </row>
    <row r="567" spans="1:17">
      <c r="A567" t="s">
        <v>863</v>
      </c>
      <c r="B567" t="s">
        <v>864</v>
      </c>
      <c r="C567" t="s">
        <v>19</v>
      </c>
      <c r="D567" t="s">
        <v>20</v>
      </c>
      <c r="E567" s="8" t="s">
        <v>47</v>
      </c>
      <c r="F567" s="8">
        <v>14.84</v>
      </c>
      <c r="G567" s="8">
        <v>18.399999999999999</v>
      </c>
      <c r="H567" s="8">
        <v>15.22</v>
      </c>
      <c r="I567" s="8">
        <v>16.89</v>
      </c>
      <c r="J567" s="6">
        <v>0.89539999999999997</v>
      </c>
      <c r="K567" s="4">
        <v>90000</v>
      </c>
      <c r="L567" s="2">
        <v>45745</v>
      </c>
      <c r="M567" t="str">
        <f t="shared" si="32"/>
        <v>Admis</v>
      </c>
      <c r="N567" t="str">
        <f t="shared" si="33"/>
        <v>Eligible</v>
      </c>
      <c r="O567" t="str">
        <f t="shared" si="34"/>
        <v>RAS</v>
      </c>
      <c r="P567" t="str">
        <f t="shared" si="35"/>
        <v>Hors data</v>
      </c>
      <c r="Q567" t="str" cm="1">
        <f t="array" ref="Q567">_xlfn.IFS(H567&gt;=16,"Excellent",H567&gt;=14,"Très bien",H567&gt;=12,"Bien",H567&gt;=10,"Passable",H567&lt;10,"Insuffisant")</f>
        <v>Très bien</v>
      </c>
    </row>
    <row r="568" spans="1:17">
      <c r="A568" t="s">
        <v>865</v>
      </c>
      <c r="B568" t="s">
        <v>328</v>
      </c>
      <c r="C568" t="s">
        <v>19</v>
      </c>
      <c r="D568" t="s">
        <v>52</v>
      </c>
      <c r="E568" s="8" t="s">
        <v>21</v>
      </c>
      <c r="F568" s="8">
        <v>13.96</v>
      </c>
      <c r="G568" s="8">
        <v>14.84</v>
      </c>
      <c r="H568" s="8">
        <v>10.29</v>
      </c>
      <c r="I568" s="8">
        <v>11.16</v>
      </c>
      <c r="J568" s="6">
        <v>0.91439999999999999</v>
      </c>
      <c r="K568" s="4">
        <v>120000</v>
      </c>
      <c r="L568" s="2">
        <v>46021</v>
      </c>
      <c r="M568" t="str">
        <f t="shared" si="32"/>
        <v>Admis</v>
      </c>
      <c r="N568" t="str">
        <f t="shared" si="33"/>
        <v>Non eligible</v>
      </c>
      <c r="O568" t="str">
        <f t="shared" si="34"/>
        <v>RAS</v>
      </c>
      <c r="P568" t="str">
        <f t="shared" si="35"/>
        <v>Data</v>
      </c>
      <c r="Q568" t="str" cm="1">
        <f t="array" ref="Q568">_xlfn.IFS(H568&gt;=16,"Excellent",H568&gt;=14,"Très bien",H568&gt;=12,"Bien",H568&gt;=10,"Passable",H568&lt;10,"Insuffisant")</f>
        <v>Passable</v>
      </c>
    </row>
    <row r="569" spans="1:17">
      <c r="A569" t="s">
        <v>866</v>
      </c>
      <c r="B569" t="s">
        <v>527</v>
      </c>
      <c r="C569" t="s">
        <v>19</v>
      </c>
      <c r="D569" t="s">
        <v>40</v>
      </c>
      <c r="E569" s="8" t="s">
        <v>47</v>
      </c>
      <c r="F569" s="8">
        <v>16.809999999999999</v>
      </c>
      <c r="G569" s="8">
        <v>17.98</v>
      </c>
      <c r="H569" s="8">
        <v>19.260000000000002</v>
      </c>
      <c r="I569" s="8">
        <v>20</v>
      </c>
      <c r="J569" s="6">
        <v>0.6361</v>
      </c>
      <c r="K569" s="4">
        <v>100000</v>
      </c>
      <c r="L569" s="2">
        <v>45563</v>
      </c>
      <c r="M569" t="str">
        <f t="shared" si="32"/>
        <v>Admis</v>
      </c>
      <c r="N569" t="str">
        <f t="shared" si="33"/>
        <v>Non eligible</v>
      </c>
      <c r="O569" t="str">
        <f t="shared" si="34"/>
        <v>RAS</v>
      </c>
      <c r="P569" t="str">
        <f t="shared" si="35"/>
        <v>Hors data</v>
      </c>
      <c r="Q569" t="str" cm="1">
        <f t="array" ref="Q569">_xlfn.IFS(H569&gt;=16,"Excellent",H569&gt;=14,"Très bien",H569&gt;=12,"Bien",H569&gt;=10,"Passable",H569&lt;10,"Insuffisant")</f>
        <v>Excellent</v>
      </c>
    </row>
    <row r="570" spans="1:17">
      <c r="A570" t="s">
        <v>867</v>
      </c>
      <c r="B570" t="s">
        <v>101</v>
      </c>
      <c r="C570" t="s">
        <v>24</v>
      </c>
      <c r="D570" t="s">
        <v>20</v>
      </c>
      <c r="E570" s="8" t="s">
        <v>47</v>
      </c>
      <c r="F570" s="8">
        <v>11.75</v>
      </c>
      <c r="G570" s="8">
        <v>9.0399999999999991</v>
      </c>
      <c r="H570" s="8">
        <v>9.32</v>
      </c>
      <c r="I570" s="8">
        <v>10.25</v>
      </c>
      <c r="J570" s="6">
        <v>0.79779999999999995</v>
      </c>
      <c r="K570" s="4">
        <v>120000</v>
      </c>
      <c r="L570" s="2">
        <v>45586</v>
      </c>
      <c r="M570" t="str">
        <f t="shared" si="32"/>
        <v>Non admis</v>
      </c>
      <c r="N570" t="str">
        <f t="shared" si="33"/>
        <v>Non eligible</v>
      </c>
      <c r="O570" t="str">
        <f t="shared" si="34"/>
        <v>A surveiller</v>
      </c>
      <c r="P570" t="str">
        <f t="shared" si="35"/>
        <v>Hors data</v>
      </c>
      <c r="Q570" t="str" cm="1">
        <f t="array" ref="Q570">_xlfn.IFS(H570&gt;=16,"Excellent",H570&gt;=14,"Très bien",H570&gt;=12,"Bien",H570&gt;=10,"Passable",H570&lt;10,"Insuffisant")</f>
        <v>Insuffisant</v>
      </c>
    </row>
    <row r="571" spans="1:17">
      <c r="A571" t="s">
        <v>868</v>
      </c>
      <c r="B571" t="s">
        <v>824</v>
      </c>
      <c r="C571" t="s">
        <v>24</v>
      </c>
      <c r="D571" t="s">
        <v>25</v>
      </c>
      <c r="E571" s="8" t="s">
        <v>47</v>
      </c>
      <c r="F571" s="8">
        <v>14.89</v>
      </c>
      <c r="G571" s="8">
        <v>14.41</v>
      </c>
      <c r="H571" s="8">
        <v>14.11</v>
      </c>
      <c r="I571" s="8">
        <v>15.13</v>
      </c>
      <c r="J571" s="6">
        <v>0.91149999999999998</v>
      </c>
      <c r="K571" s="4">
        <v>60000</v>
      </c>
      <c r="L571" s="2">
        <v>46045</v>
      </c>
      <c r="M571" t="str">
        <f t="shared" si="32"/>
        <v>Admis</v>
      </c>
      <c r="N571" t="str">
        <f t="shared" si="33"/>
        <v>Eligible</v>
      </c>
      <c r="O571" t="str">
        <f t="shared" si="34"/>
        <v>RAS</v>
      </c>
      <c r="P571" t="str">
        <f t="shared" si="35"/>
        <v>Hors data</v>
      </c>
      <c r="Q571" t="str" cm="1">
        <f t="array" ref="Q571">_xlfn.IFS(H571&gt;=16,"Excellent",H571&gt;=14,"Très bien",H571&gt;=12,"Bien",H571&gt;=10,"Passable",H571&lt;10,"Insuffisant")</f>
        <v>Très bien</v>
      </c>
    </row>
    <row r="572" spans="1:17">
      <c r="A572" t="s">
        <v>869</v>
      </c>
      <c r="B572" t="s">
        <v>610</v>
      </c>
      <c r="C572" t="s">
        <v>24</v>
      </c>
      <c r="D572" t="s">
        <v>40</v>
      </c>
      <c r="E572" s="8" t="s">
        <v>34</v>
      </c>
      <c r="F572" s="8">
        <v>12.65</v>
      </c>
      <c r="G572" s="8">
        <v>8.6199999999999992</v>
      </c>
      <c r="H572" s="8">
        <v>11.2</v>
      </c>
      <c r="I572" s="8">
        <v>5.74</v>
      </c>
      <c r="J572" s="6">
        <v>0.67059999999999997</v>
      </c>
      <c r="K572" s="4">
        <v>100000</v>
      </c>
      <c r="L572" s="2">
        <v>45967</v>
      </c>
      <c r="M572" t="str">
        <f t="shared" si="32"/>
        <v>Admis</v>
      </c>
      <c r="N572" t="str">
        <f t="shared" si="33"/>
        <v>Non eligible</v>
      </c>
      <c r="O572" t="str">
        <f t="shared" si="34"/>
        <v>RAS</v>
      </c>
      <c r="P572" t="str">
        <f t="shared" si="35"/>
        <v>Hors data</v>
      </c>
      <c r="Q572" t="str" cm="1">
        <f t="array" ref="Q572">_xlfn.IFS(H572&gt;=16,"Excellent",H572&gt;=14,"Très bien",H572&gt;=12,"Bien",H572&gt;=10,"Passable",H572&lt;10,"Insuffisant")</f>
        <v>Passable</v>
      </c>
    </row>
    <row r="573" spans="1:17">
      <c r="A573" t="s">
        <v>870</v>
      </c>
      <c r="B573" t="s">
        <v>871</v>
      </c>
      <c r="C573" t="s">
        <v>19</v>
      </c>
      <c r="D573" t="s">
        <v>20</v>
      </c>
      <c r="E573" s="8" t="s">
        <v>26</v>
      </c>
      <c r="F573" s="8">
        <v>8.91</v>
      </c>
      <c r="G573" s="8">
        <v>6.12</v>
      </c>
      <c r="H573" s="8">
        <v>10.17</v>
      </c>
      <c r="I573" s="8">
        <v>10.35</v>
      </c>
      <c r="J573" s="6">
        <v>0.97309999999999997</v>
      </c>
      <c r="K573" s="4">
        <v>80000</v>
      </c>
      <c r="L573" s="2">
        <v>45566</v>
      </c>
      <c r="M573" t="str">
        <f t="shared" si="32"/>
        <v>Admis</v>
      </c>
      <c r="N573" t="str">
        <f t="shared" si="33"/>
        <v>Non eligible</v>
      </c>
      <c r="O573" t="str">
        <f t="shared" si="34"/>
        <v>A surveiller</v>
      </c>
      <c r="P573" t="str">
        <f t="shared" si="35"/>
        <v>Hors data</v>
      </c>
      <c r="Q573" t="str" cm="1">
        <f t="array" ref="Q573">_xlfn.IFS(H573&gt;=16,"Excellent",H573&gt;=14,"Très bien",H573&gt;=12,"Bien",H573&gt;=10,"Passable",H573&lt;10,"Insuffisant")</f>
        <v>Passable</v>
      </c>
    </row>
    <row r="574" spans="1:17">
      <c r="A574" t="s">
        <v>872</v>
      </c>
      <c r="B574" t="s">
        <v>108</v>
      </c>
      <c r="C574" t="s">
        <v>19</v>
      </c>
      <c r="D574" t="s">
        <v>40</v>
      </c>
      <c r="E574" s="8" t="s">
        <v>47</v>
      </c>
      <c r="F574" s="8">
        <v>16.13</v>
      </c>
      <c r="G574" s="8">
        <v>17.690000000000001</v>
      </c>
      <c r="H574" s="8">
        <v>15.54</v>
      </c>
      <c r="I574" s="8">
        <v>14.87</v>
      </c>
      <c r="J574" s="6">
        <v>0.84619999999999995</v>
      </c>
      <c r="K574" s="4">
        <v>120000</v>
      </c>
      <c r="L574" s="2">
        <v>46165</v>
      </c>
      <c r="M574" t="str">
        <f t="shared" si="32"/>
        <v>Admis</v>
      </c>
      <c r="N574" t="str">
        <f t="shared" si="33"/>
        <v>Eligible</v>
      </c>
      <c r="O574" t="str">
        <f t="shared" si="34"/>
        <v>RAS</v>
      </c>
      <c r="P574" t="str">
        <f t="shared" si="35"/>
        <v>Hors data</v>
      </c>
      <c r="Q574" t="str" cm="1">
        <f t="array" ref="Q574">_xlfn.IFS(H574&gt;=16,"Excellent",H574&gt;=14,"Très bien",H574&gt;=12,"Bien",H574&gt;=10,"Passable",H574&lt;10,"Insuffisant")</f>
        <v>Très bien</v>
      </c>
    </row>
    <row r="575" spans="1:17">
      <c r="A575" t="s">
        <v>873</v>
      </c>
      <c r="B575" t="s">
        <v>874</v>
      </c>
      <c r="C575" t="s">
        <v>19</v>
      </c>
      <c r="D575" t="s">
        <v>20</v>
      </c>
      <c r="E575" s="8" t="s">
        <v>34</v>
      </c>
      <c r="F575" s="8">
        <v>10.64</v>
      </c>
      <c r="G575" s="8">
        <v>11.97</v>
      </c>
      <c r="H575" s="8">
        <v>12.87</v>
      </c>
      <c r="I575" s="8">
        <v>8.6</v>
      </c>
      <c r="J575" s="6">
        <v>0.78520000000000001</v>
      </c>
      <c r="K575" s="4">
        <v>120000</v>
      </c>
      <c r="L575" s="2">
        <v>45539</v>
      </c>
      <c r="M575" t="str">
        <f t="shared" si="32"/>
        <v>Admis</v>
      </c>
      <c r="N575" t="str">
        <f t="shared" si="33"/>
        <v>Non eligible</v>
      </c>
      <c r="O575" t="str">
        <f t="shared" si="34"/>
        <v>RAS</v>
      </c>
      <c r="P575" t="str">
        <f t="shared" si="35"/>
        <v>Hors data</v>
      </c>
      <c r="Q575" t="str" cm="1">
        <f t="array" ref="Q575">_xlfn.IFS(H575&gt;=16,"Excellent",H575&gt;=14,"Très bien",H575&gt;=12,"Bien",H575&gt;=10,"Passable",H575&lt;10,"Insuffisant")</f>
        <v>Bien</v>
      </c>
    </row>
    <row r="576" spans="1:17">
      <c r="A576" t="s">
        <v>875</v>
      </c>
      <c r="B576" t="s">
        <v>481</v>
      </c>
      <c r="C576" t="s">
        <v>19</v>
      </c>
      <c r="D576" t="s">
        <v>52</v>
      </c>
      <c r="E576" s="8" t="s">
        <v>21</v>
      </c>
      <c r="F576" s="8">
        <v>16.559999999999999</v>
      </c>
      <c r="G576" s="8">
        <v>17.98</v>
      </c>
      <c r="H576" s="8">
        <v>16.309999999999999</v>
      </c>
      <c r="I576" s="8">
        <v>13.36</v>
      </c>
      <c r="J576" s="6">
        <v>0.72130000000000005</v>
      </c>
      <c r="K576" s="4">
        <v>120000</v>
      </c>
      <c r="L576" s="2">
        <v>46204</v>
      </c>
      <c r="M576" t="str">
        <f t="shared" si="32"/>
        <v>Admis</v>
      </c>
      <c r="N576" t="str">
        <f t="shared" si="33"/>
        <v>Non eligible</v>
      </c>
      <c r="O576" t="str">
        <f t="shared" si="34"/>
        <v>RAS</v>
      </c>
      <c r="P576" t="str">
        <f t="shared" si="35"/>
        <v>Data</v>
      </c>
      <c r="Q576" t="str" cm="1">
        <f t="array" ref="Q576">_xlfn.IFS(H576&gt;=16,"Excellent",H576&gt;=14,"Très bien",H576&gt;=12,"Bien",H576&gt;=10,"Passable",H576&lt;10,"Insuffisant")</f>
        <v>Excellent</v>
      </c>
    </row>
    <row r="577" spans="1:17">
      <c r="A577" t="s">
        <v>876</v>
      </c>
      <c r="B577" t="s">
        <v>877</v>
      </c>
      <c r="C577" t="s">
        <v>19</v>
      </c>
      <c r="D577" t="s">
        <v>52</v>
      </c>
      <c r="E577" s="8" t="s">
        <v>34</v>
      </c>
      <c r="F577" s="8">
        <v>11.14</v>
      </c>
      <c r="G577" s="8">
        <v>15.34</v>
      </c>
      <c r="H577" s="8">
        <v>10.02</v>
      </c>
      <c r="I577" s="8">
        <v>17.38</v>
      </c>
      <c r="J577" s="6">
        <v>0.72009999999999996</v>
      </c>
      <c r="K577" s="4">
        <v>70000</v>
      </c>
      <c r="L577" s="2">
        <v>46046</v>
      </c>
      <c r="M577" t="str">
        <f t="shared" si="32"/>
        <v>Admis</v>
      </c>
      <c r="N577" t="str">
        <f t="shared" si="33"/>
        <v>Non eligible</v>
      </c>
      <c r="O577" t="str">
        <f t="shared" si="34"/>
        <v>RAS</v>
      </c>
      <c r="P577" t="str">
        <f t="shared" si="35"/>
        <v>Hors data</v>
      </c>
      <c r="Q577" t="str" cm="1">
        <f t="array" ref="Q577">_xlfn.IFS(H577&gt;=16,"Excellent",H577&gt;=14,"Très bien",H577&gt;=12,"Bien",H577&gt;=10,"Passable",H577&lt;10,"Insuffisant")</f>
        <v>Passable</v>
      </c>
    </row>
    <row r="578" spans="1:17">
      <c r="A578" t="s">
        <v>878</v>
      </c>
      <c r="B578" t="s">
        <v>879</v>
      </c>
      <c r="C578" t="s">
        <v>24</v>
      </c>
      <c r="D578" t="s">
        <v>52</v>
      </c>
      <c r="E578" s="8" t="s">
        <v>21</v>
      </c>
      <c r="F578" s="8">
        <v>12.15</v>
      </c>
      <c r="G578" s="8">
        <v>12.28</v>
      </c>
      <c r="H578" s="8">
        <v>13.32</v>
      </c>
      <c r="I578" s="8">
        <v>12.51</v>
      </c>
      <c r="J578" s="6">
        <v>0.61860000000000004</v>
      </c>
      <c r="K578" s="4">
        <v>85000</v>
      </c>
      <c r="L578" s="2">
        <v>46227</v>
      </c>
      <c r="M578" t="str">
        <f t="shared" si="32"/>
        <v>Admis</v>
      </c>
      <c r="N578" t="str">
        <f t="shared" si="33"/>
        <v>Non eligible</v>
      </c>
      <c r="O578" t="str">
        <f t="shared" si="34"/>
        <v>RAS</v>
      </c>
      <c r="P578" t="str">
        <f t="shared" si="35"/>
        <v>Data</v>
      </c>
      <c r="Q578" t="str" cm="1">
        <f t="array" ref="Q578">_xlfn.IFS(H578&gt;=16,"Excellent",H578&gt;=14,"Très bien",H578&gt;=12,"Bien",H578&gt;=10,"Passable",H578&lt;10,"Insuffisant")</f>
        <v>Bien</v>
      </c>
    </row>
    <row r="579" spans="1:17">
      <c r="A579" t="s">
        <v>880</v>
      </c>
      <c r="B579" t="s">
        <v>489</v>
      </c>
      <c r="C579" t="s">
        <v>24</v>
      </c>
      <c r="D579" t="s">
        <v>40</v>
      </c>
      <c r="E579" s="8" t="s">
        <v>21</v>
      </c>
      <c r="F579" s="8">
        <v>12.58</v>
      </c>
      <c r="G579" s="8">
        <v>19.02</v>
      </c>
      <c r="H579" s="8">
        <v>19.43</v>
      </c>
      <c r="I579" s="8">
        <v>17.7</v>
      </c>
      <c r="J579" s="6">
        <v>0.88939999999999997</v>
      </c>
      <c r="K579" s="4">
        <v>50000</v>
      </c>
      <c r="L579" s="2">
        <v>46200</v>
      </c>
      <c r="M579" t="str">
        <f t="shared" ref="M579:M642" si="36">IF(H579&gt;=10,"Admis","Non admis")</f>
        <v>Admis</v>
      </c>
      <c r="N579" t="str">
        <f t="shared" ref="N579:N642" si="37">IF(AND(F579&gt;=12,H579&gt;=12,J579&gt;=80%),"Eligible","Non eligible")</f>
        <v>Eligible</v>
      </c>
      <c r="O579" t="str">
        <f t="shared" ref="O579:O642" si="38">IF(OR(F579&lt;10,H579&lt;10),"A surveiller","RAS")</f>
        <v>RAS</v>
      </c>
      <c r="P579" t="str">
        <f t="shared" ref="P579:P642" si="39">IF(NOT(E579="Data"),"Hors data","Data")</f>
        <v>Data</v>
      </c>
      <c r="Q579" t="str" cm="1">
        <f t="array" ref="Q579">_xlfn.IFS(H579&gt;=16,"Excellent",H579&gt;=14,"Très bien",H579&gt;=12,"Bien",H579&gt;=10,"Passable",H579&lt;10,"Insuffisant")</f>
        <v>Excellent</v>
      </c>
    </row>
    <row r="580" spans="1:17">
      <c r="A580" t="s">
        <v>881</v>
      </c>
      <c r="B580" t="s">
        <v>199</v>
      </c>
      <c r="C580" t="s">
        <v>24</v>
      </c>
      <c r="D580" t="s">
        <v>20</v>
      </c>
      <c r="E580" s="8" t="s">
        <v>34</v>
      </c>
      <c r="F580" s="8">
        <v>13.37</v>
      </c>
      <c r="G580" s="8">
        <v>14.83</v>
      </c>
      <c r="H580" s="8">
        <v>14.03</v>
      </c>
      <c r="I580" s="8">
        <v>11.61</v>
      </c>
      <c r="J580" s="6">
        <v>0.99139999999999995</v>
      </c>
      <c r="K580" s="4">
        <v>130000</v>
      </c>
      <c r="L580" s="2">
        <v>45755</v>
      </c>
      <c r="M580" t="str">
        <f t="shared" si="36"/>
        <v>Admis</v>
      </c>
      <c r="N580" t="str">
        <f t="shared" si="37"/>
        <v>Eligible</v>
      </c>
      <c r="O580" t="str">
        <f t="shared" si="38"/>
        <v>RAS</v>
      </c>
      <c r="P580" t="str">
        <f t="shared" si="39"/>
        <v>Hors data</v>
      </c>
      <c r="Q580" t="str" cm="1">
        <f t="array" ref="Q580">_xlfn.IFS(H580&gt;=16,"Excellent",H580&gt;=14,"Très bien",H580&gt;=12,"Bien",H580&gt;=10,"Passable",H580&lt;10,"Insuffisant")</f>
        <v>Très bien</v>
      </c>
    </row>
    <row r="581" spans="1:17">
      <c r="A581" t="s">
        <v>882</v>
      </c>
      <c r="B581" t="s">
        <v>531</v>
      </c>
      <c r="C581" t="s">
        <v>19</v>
      </c>
      <c r="D581" t="s">
        <v>37</v>
      </c>
      <c r="E581" s="8" t="s">
        <v>21</v>
      </c>
      <c r="F581" s="8">
        <v>7.41</v>
      </c>
      <c r="G581" s="8">
        <v>7.22</v>
      </c>
      <c r="H581" s="8">
        <v>13.62</v>
      </c>
      <c r="I581" s="8">
        <v>4.47</v>
      </c>
      <c r="J581" s="6">
        <v>0.75329999999999997</v>
      </c>
      <c r="K581" s="4">
        <v>70000</v>
      </c>
      <c r="L581" s="2">
        <v>46065</v>
      </c>
      <c r="M581" t="str">
        <f t="shared" si="36"/>
        <v>Admis</v>
      </c>
      <c r="N581" t="str">
        <f t="shared" si="37"/>
        <v>Non eligible</v>
      </c>
      <c r="O581" t="str">
        <f t="shared" si="38"/>
        <v>A surveiller</v>
      </c>
      <c r="P581" t="str">
        <f t="shared" si="39"/>
        <v>Data</v>
      </c>
      <c r="Q581" t="str" cm="1">
        <f t="array" ref="Q581">_xlfn.IFS(H581&gt;=16,"Excellent",H581&gt;=14,"Très bien",H581&gt;=12,"Bien",H581&gt;=10,"Passable",H581&lt;10,"Insuffisant")</f>
        <v>Bien</v>
      </c>
    </row>
    <row r="582" spans="1:17">
      <c r="A582" t="s">
        <v>883</v>
      </c>
      <c r="B582" t="s">
        <v>430</v>
      </c>
      <c r="C582" t="s">
        <v>19</v>
      </c>
      <c r="D582" t="s">
        <v>20</v>
      </c>
      <c r="E582" s="8" t="s">
        <v>21</v>
      </c>
      <c r="F582" s="8">
        <v>7.98</v>
      </c>
      <c r="G582" s="8">
        <v>10.57</v>
      </c>
      <c r="H582" s="8">
        <v>14.2</v>
      </c>
      <c r="I582" s="8">
        <v>13.21</v>
      </c>
      <c r="J582" s="6">
        <v>0.68700000000000006</v>
      </c>
      <c r="K582" s="4">
        <v>90000</v>
      </c>
      <c r="L582" s="2">
        <v>45683</v>
      </c>
      <c r="M582" t="str">
        <f t="shared" si="36"/>
        <v>Admis</v>
      </c>
      <c r="N582" t="str">
        <f t="shared" si="37"/>
        <v>Non eligible</v>
      </c>
      <c r="O582" t="str">
        <f t="shared" si="38"/>
        <v>A surveiller</v>
      </c>
      <c r="P582" t="str">
        <f t="shared" si="39"/>
        <v>Data</v>
      </c>
      <c r="Q582" t="str" cm="1">
        <f t="array" ref="Q582">_xlfn.IFS(H582&gt;=16,"Excellent",H582&gt;=14,"Très bien",H582&gt;=12,"Bien",H582&gt;=10,"Passable",H582&lt;10,"Insuffisant")</f>
        <v>Très bien</v>
      </c>
    </row>
    <row r="583" spans="1:17">
      <c r="A583" t="s">
        <v>884</v>
      </c>
      <c r="B583" t="s">
        <v>49</v>
      </c>
      <c r="C583" t="s">
        <v>24</v>
      </c>
      <c r="D583" t="s">
        <v>37</v>
      </c>
      <c r="E583" s="8" t="s">
        <v>34</v>
      </c>
      <c r="F583" s="8">
        <v>17.43</v>
      </c>
      <c r="G583" s="8">
        <v>10.55</v>
      </c>
      <c r="H583" s="8">
        <v>18.43</v>
      </c>
      <c r="I583" s="8">
        <v>10.16</v>
      </c>
      <c r="J583" s="6">
        <v>0.61609999999999998</v>
      </c>
      <c r="K583" s="4">
        <v>85000</v>
      </c>
      <c r="L583" s="2">
        <v>45866</v>
      </c>
      <c r="M583" t="str">
        <f t="shared" si="36"/>
        <v>Admis</v>
      </c>
      <c r="N583" t="str">
        <f t="shared" si="37"/>
        <v>Non eligible</v>
      </c>
      <c r="O583" t="str">
        <f t="shared" si="38"/>
        <v>RAS</v>
      </c>
      <c r="P583" t="str">
        <f t="shared" si="39"/>
        <v>Hors data</v>
      </c>
      <c r="Q583" t="str" cm="1">
        <f t="array" ref="Q583">_xlfn.IFS(H583&gt;=16,"Excellent",H583&gt;=14,"Très bien",H583&gt;=12,"Bien",H583&gt;=10,"Passable",H583&lt;10,"Insuffisant")</f>
        <v>Excellent</v>
      </c>
    </row>
    <row r="584" spans="1:17">
      <c r="A584" t="s">
        <v>885</v>
      </c>
      <c r="B584" t="s">
        <v>356</v>
      </c>
      <c r="C584" t="s">
        <v>19</v>
      </c>
      <c r="D584" t="s">
        <v>40</v>
      </c>
      <c r="E584" s="8" t="s">
        <v>47</v>
      </c>
      <c r="F584" s="8">
        <v>11.73</v>
      </c>
      <c r="G584" s="8">
        <v>12.61</v>
      </c>
      <c r="H584" s="8">
        <v>20</v>
      </c>
      <c r="I584" s="8">
        <v>13.29</v>
      </c>
      <c r="J584" s="6">
        <v>0.71809999999999996</v>
      </c>
      <c r="K584" s="4">
        <v>120000</v>
      </c>
      <c r="L584" s="2">
        <v>45704</v>
      </c>
      <c r="M584" t="str">
        <f t="shared" si="36"/>
        <v>Admis</v>
      </c>
      <c r="N584" t="str">
        <f t="shared" si="37"/>
        <v>Non eligible</v>
      </c>
      <c r="O584" t="str">
        <f t="shared" si="38"/>
        <v>RAS</v>
      </c>
      <c r="P584" t="str">
        <f t="shared" si="39"/>
        <v>Hors data</v>
      </c>
      <c r="Q584" t="str" cm="1">
        <f t="array" ref="Q584">_xlfn.IFS(H584&gt;=16,"Excellent",H584&gt;=14,"Très bien",H584&gt;=12,"Bien",H584&gt;=10,"Passable",H584&lt;10,"Insuffisant")</f>
        <v>Excellent</v>
      </c>
    </row>
    <row r="585" spans="1:17">
      <c r="A585" t="s">
        <v>886</v>
      </c>
      <c r="B585" t="s">
        <v>105</v>
      </c>
      <c r="C585" t="s">
        <v>19</v>
      </c>
      <c r="D585" t="s">
        <v>40</v>
      </c>
      <c r="E585" s="8" t="s">
        <v>21</v>
      </c>
      <c r="F585" s="8">
        <v>10.87</v>
      </c>
      <c r="G585" s="8">
        <v>7.88</v>
      </c>
      <c r="H585" s="8">
        <v>10.98</v>
      </c>
      <c r="I585" s="8">
        <v>8.89</v>
      </c>
      <c r="J585" s="6">
        <v>0.78890000000000005</v>
      </c>
      <c r="K585" s="4">
        <v>120000</v>
      </c>
      <c r="L585" s="2">
        <v>45876</v>
      </c>
      <c r="M585" t="str">
        <f t="shared" si="36"/>
        <v>Admis</v>
      </c>
      <c r="N585" t="str">
        <f t="shared" si="37"/>
        <v>Non eligible</v>
      </c>
      <c r="O585" t="str">
        <f t="shared" si="38"/>
        <v>RAS</v>
      </c>
      <c r="P585" t="str">
        <f t="shared" si="39"/>
        <v>Data</v>
      </c>
      <c r="Q585" t="str" cm="1">
        <f t="array" ref="Q585">_xlfn.IFS(H585&gt;=16,"Excellent",H585&gt;=14,"Très bien",H585&gt;=12,"Bien",H585&gt;=10,"Passable",H585&lt;10,"Insuffisant")</f>
        <v>Passable</v>
      </c>
    </row>
    <row r="586" spans="1:17">
      <c r="A586" t="s">
        <v>887</v>
      </c>
      <c r="B586" t="s">
        <v>527</v>
      </c>
      <c r="C586" t="s">
        <v>19</v>
      </c>
      <c r="D586" t="s">
        <v>52</v>
      </c>
      <c r="E586" s="8" t="s">
        <v>34</v>
      </c>
      <c r="F586" s="8">
        <v>9.93</v>
      </c>
      <c r="G586" s="8">
        <v>12.04</v>
      </c>
      <c r="H586" s="8">
        <v>12.03</v>
      </c>
      <c r="I586" s="8">
        <v>11.88</v>
      </c>
      <c r="J586" s="6">
        <v>0.79039999999999999</v>
      </c>
      <c r="K586" s="4">
        <v>110000</v>
      </c>
      <c r="L586" s="2">
        <v>46146</v>
      </c>
      <c r="M586" t="str">
        <f t="shared" si="36"/>
        <v>Admis</v>
      </c>
      <c r="N586" t="str">
        <f t="shared" si="37"/>
        <v>Non eligible</v>
      </c>
      <c r="O586" t="str">
        <f t="shared" si="38"/>
        <v>A surveiller</v>
      </c>
      <c r="P586" t="str">
        <f t="shared" si="39"/>
        <v>Hors data</v>
      </c>
      <c r="Q586" t="str" cm="1">
        <f t="array" ref="Q586">_xlfn.IFS(H586&gt;=16,"Excellent",H586&gt;=14,"Très bien",H586&gt;=12,"Bien",H586&gt;=10,"Passable",H586&lt;10,"Insuffisant")</f>
        <v>Bien</v>
      </c>
    </row>
    <row r="587" spans="1:17">
      <c r="A587" t="s">
        <v>888</v>
      </c>
      <c r="B587" t="s">
        <v>540</v>
      </c>
      <c r="C587" t="s">
        <v>24</v>
      </c>
      <c r="D587" t="s">
        <v>25</v>
      </c>
      <c r="E587" s="8" t="s">
        <v>21</v>
      </c>
      <c r="F587" s="8">
        <v>15.39</v>
      </c>
      <c r="G587" s="8">
        <v>10.19</v>
      </c>
      <c r="H587" s="8">
        <v>14.21</v>
      </c>
      <c r="I587" s="8">
        <v>10.17</v>
      </c>
      <c r="J587" s="6">
        <v>0.66379999999999995</v>
      </c>
      <c r="K587" s="4">
        <v>100000</v>
      </c>
      <c r="L587" s="2">
        <v>45841</v>
      </c>
      <c r="M587" t="str">
        <f t="shared" si="36"/>
        <v>Admis</v>
      </c>
      <c r="N587" t="str">
        <f t="shared" si="37"/>
        <v>Non eligible</v>
      </c>
      <c r="O587" t="str">
        <f t="shared" si="38"/>
        <v>RAS</v>
      </c>
      <c r="P587" t="str">
        <f t="shared" si="39"/>
        <v>Data</v>
      </c>
      <c r="Q587" t="str" cm="1">
        <f t="array" ref="Q587">_xlfn.IFS(H587&gt;=16,"Excellent",H587&gt;=14,"Très bien",H587&gt;=12,"Bien",H587&gt;=10,"Passable",H587&lt;10,"Insuffisant")</f>
        <v>Très bien</v>
      </c>
    </row>
    <row r="588" spans="1:17">
      <c r="A588" t="s">
        <v>889</v>
      </c>
      <c r="B588" t="s">
        <v>78</v>
      </c>
      <c r="C588" t="s">
        <v>24</v>
      </c>
      <c r="D588" t="s">
        <v>20</v>
      </c>
      <c r="E588" s="8" t="s">
        <v>21</v>
      </c>
      <c r="F588" s="8">
        <v>14.13</v>
      </c>
      <c r="G588" s="8">
        <v>11.75</v>
      </c>
      <c r="H588" s="8">
        <v>11.45</v>
      </c>
      <c r="I588" s="8">
        <v>8.33</v>
      </c>
      <c r="J588" s="6">
        <v>0.94240000000000002</v>
      </c>
      <c r="K588" s="4">
        <v>60000</v>
      </c>
      <c r="L588" s="2">
        <v>45600</v>
      </c>
      <c r="M588" t="str">
        <f t="shared" si="36"/>
        <v>Admis</v>
      </c>
      <c r="N588" t="str">
        <f t="shared" si="37"/>
        <v>Non eligible</v>
      </c>
      <c r="O588" t="str">
        <f t="shared" si="38"/>
        <v>RAS</v>
      </c>
      <c r="P588" t="str">
        <f t="shared" si="39"/>
        <v>Data</v>
      </c>
      <c r="Q588" t="str" cm="1">
        <f t="array" ref="Q588">_xlfn.IFS(H588&gt;=16,"Excellent",H588&gt;=14,"Très bien",H588&gt;=12,"Bien",H588&gt;=10,"Passable",H588&lt;10,"Insuffisant")</f>
        <v>Passable</v>
      </c>
    </row>
    <row r="589" spans="1:17">
      <c r="A589" t="s">
        <v>890</v>
      </c>
      <c r="B589" t="s">
        <v>450</v>
      </c>
      <c r="C589" t="s">
        <v>19</v>
      </c>
      <c r="D589" t="s">
        <v>52</v>
      </c>
      <c r="E589" s="8" t="s">
        <v>21</v>
      </c>
      <c r="F589" s="8">
        <v>7.43</v>
      </c>
      <c r="G589" s="8">
        <v>7.35</v>
      </c>
      <c r="H589" s="8">
        <v>10.08</v>
      </c>
      <c r="I589" s="8">
        <v>7.79</v>
      </c>
      <c r="J589" s="6">
        <v>0.86570000000000003</v>
      </c>
      <c r="K589" s="4">
        <v>130000</v>
      </c>
      <c r="L589" s="2">
        <v>45763</v>
      </c>
      <c r="M589" t="str">
        <f t="shared" si="36"/>
        <v>Admis</v>
      </c>
      <c r="N589" t="str">
        <f t="shared" si="37"/>
        <v>Non eligible</v>
      </c>
      <c r="O589" t="str">
        <f t="shared" si="38"/>
        <v>A surveiller</v>
      </c>
      <c r="P589" t="str">
        <f t="shared" si="39"/>
        <v>Data</v>
      </c>
      <c r="Q589" t="str" cm="1">
        <f t="array" ref="Q589">_xlfn.IFS(H589&gt;=16,"Excellent",H589&gt;=14,"Très bien",H589&gt;=12,"Bien",H589&gt;=10,"Passable",H589&lt;10,"Insuffisant")</f>
        <v>Passable</v>
      </c>
    </row>
    <row r="590" spans="1:17">
      <c r="A590" t="s">
        <v>891</v>
      </c>
      <c r="B590" t="s">
        <v>76</v>
      </c>
      <c r="C590" t="s">
        <v>24</v>
      </c>
      <c r="D590" t="s">
        <v>40</v>
      </c>
      <c r="E590" s="8" t="s">
        <v>34</v>
      </c>
      <c r="F590" s="8">
        <v>9.7200000000000006</v>
      </c>
      <c r="G590" s="8">
        <v>12.52</v>
      </c>
      <c r="H590" s="8">
        <v>10.52</v>
      </c>
      <c r="I590" s="8">
        <v>9.99</v>
      </c>
      <c r="J590" s="6">
        <v>0.62649999999999995</v>
      </c>
      <c r="K590" s="4">
        <v>50000</v>
      </c>
      <c r="L590" s="2">
        <v>46086</v>
      </c>
      <c r="M590" t="str">
        <f t="shared" si="36"/>
        <v>Admis</v>
      </c>
      <c r="N590" t="str">
        <f t="shared" si="37"/>
        <v>Non eligible</v>
      </c>
      <c r="O590" t="str">
        <f t="shared" si="38"/>
        <v>A surveiller</v>
      </c>
      <c r="P590" t="str">
        <f t="shared" si="39"/>
        <v>Hors data</v>
      </c>
      <c r="Q590" t="str" cm="1">
        <f t="array" ref="Q590">_xlfn.IFS(H590&gt;=16,"Excellent",H590&gt;=14,"Très bien",H590&gt;=12,"Bien",H590&gt;=10,"Passable",H590&lt;10,"Insuffisant")</f>
        <v>Passable</v>
      </c>
    </row>
    <row r="591" spans="1:17">
      <c r="A591" t="s">
        <v>892</v>
      </c>
      <c r="B591" t="s">
        <v>674</v>
      </c>
      <c r="C591" t="s">
        <v>24</v>
      </c>
      <c r="D591" t="s">
        <v>52</v>
      </c>
      <c r="E591" s="8" t="s">
        <v>47</v>
      </c>
      <c r="F591" s="8">
        <v>12.79</v>
      </c>
      <c r="G591" s="8">
        <v>12.8</v>
      </c>
      <c r="H591" s="8">
        <v>12.54</v>
      </c>
      <c r="I591" s="8">
        <v>9.66</v>
      </c>
      <c r="J591" s="6">
        <v>0.91310000000000002</v>
      </c>
      <c r="K591" s="4">
        <v>85000</v>
      </c>
      <c r="L591" s="2">
        <v>45901</v>
      </c>
      <c r="M591" t="str">
        <f t="shared" si="36"/>
        <v>Admis</v>
      </c>
      <c r="N591" t="str">
        <f t="shared" si="37"/>
        <v>Eligible</v>
      </c>
      <c r="O591" t="str">
        <f t="shared" si="38"/>
        <v>RAS</v>
      </c>
      <c r="P591" t="str">
        <f t="shared" si="39"/>
        <v>Hors data</v>
      </c>
      <c r="Q591" t="str" cm="1">
        <f t="array" ref="Q591">_xlfn.IFS(H591&gt;=16,"Excellent",H591&gt;=14,"Très bien",H591&gt;=12,"Bien",H591&gt;=10,"Passable",H591&lt;10,"Insuffisant")</f>
        <v>Bien</v>
      </c>
    </row>
    <row r="592" spans="1:17">
      <c r="A592" t="s">
        <v>893</v>
      </c>
      <c r="B592" t="s">
        <v>212</v>
      </c>
      <c r="C592" t="s">
        <v>24</v>
      </c>
      <c r="D592" t="s">
        <v>37</v>
      </c>
      <c r="E592" s="8" t="s">
        <v>26</v>
      </c>
      <c r="F592" s="8">
        <v>15.08</v>
      </c>
      <c r="G592" s="8">
        <v>16.95</v>
      </c>
      <c r="H592" s="8">
        <v>14.43</v>
      </c>
      <c r="I592" s="8">
        <v>17.690000000000001</v>
      </c>
      <c r="J592" s="6">
        <v>0.75449999999999995</v>
      </c>
      <c r="K592" s="4">
        <v>80000</v>
      </c>
      <c r="L592" s="2">
        <v>45928</v>
      </c>
      <c r="M592" t="str">
        <f t="shared" si="36"/>
        <v>Admis</v>
      </c>
      <c r="N592" t="str">
        <f t="shared" si="37"/>
        <v>Non eligible</v>
      </c>
      <c r="O592" t="str">
        <f t="shared" si="38"/>
        <v>RAS</v>
      </c>
      <c r="P592" t="str">
        <f t="shared" si="39"/>
        <v>Hors data</v>
      </c>
      <c r="Q592" t="str" cm="1">
        <f t="array" ref="Q592">_xlfn.IFS(H592&gt;=16,"Excellent",H592&gt;=14,"Très bien",H592&gt;=12,"Bien",H592&gt;=10,"Passable",H592&lt;10,"Insuffisant")</f>
        <v>Très bien</v>
      </c>
    </row>
    <row r="593" spans="1:17">
      <c r="A593" t="s">
        <v>894</v>
      </c>
      <c r="B593" t="s">
        <v>635</v>
      </c>
      <c r="C593" t="s">
        <v>24</v>
      </c>
      <c r="D593" t="s">
        <v>52</v>
      </c>
      <c r="E593" s="8" t="s">
        <v>47</v>
      </c>
      <c r="F593" s="8">
        <v>15.39</v>
      </c>
      <c r="G593" s="8">
        <v>16.190000000000001</v>
      </c>
      <c r="H593" s="8">
        <v>14.45</v>
      </c>
      <c r="I593" s="8">
        <v>13</v>
      </c>
      <c r="J593" s="6">
        <v>0.8861</v>
      </c>
      <c r="K593" s="4">
        <v>80000</v>
      </c>
      <c r="L593" s="2">
        <v>45837</v>
      </c>
      <c r="M593" t="str">
        <f t="shared" si="36"/>
        <v>Admis</v>
      </c>
      <c r="N593" t="str">
        <f t="shared" si="37"/>
        <v>Eligible</v>
      </c>
      <c r="O593" t="str">
        <f t="shared" si="38"/>
        <v>RAS</v>
      </c>
      <c r="P593" t="str">
        <f t="shared" si="39"/>
        <v>Hors data</v>
      </c>
      <c r="Q593" t="str" cm="1">
        <f t="array" ref="Q593">_xlfn.IFS(H593&gt;=16,"Excellent",H593&gt;=14,"Très bien",H593&gt;=12,"Bien",H593&gt;=10,"Passable",H593&lt;10,"Insuffisant")</f>
        <v>Très bien</v>
      </c>
    </row>
    <row r="594" spans="1:17">
      <c r="A594" t="s">
        <v>895</v>
      </c>
      <c r="B594" t="s">
        <v>877</v>
      </c>
      <c r="C594" t="s">
        <v>19</v>
      </c>
      <c r="D594" t="s">
        <v>20</v>
      </c>
      <c r="E594" s="8" t="s">
        <v>47</v>
      </c>
      <c r="F594" s="8">
        <v>15.89</v>
      </c>
      <c r="G594" s="8">
        <v>10.1</v>
      </c>
      <c r="H594" s="8">
        <v>14.2</v>
      </c>
      <c r="I594" s="8">
        <v>13.65</v>
      </c>
      <c r="J594" s="6">
        <v>0.6996</v>
      </c>
      <c r="K594" s="4">
        <v>130000</v>
      </c>
      <c r="L594" s="2">
        <v>45740</v>
      </c>
      <c r="M594" t="str">
        <f t="shared" si="36"/>
        <v>Admis</v>
      </c>
      <c r="N594" t="str">
        <f t="shared" si="37"/>
        <v>Non eligible</v>
      </c>
      <c r="O594" t="str">
        <f t="shared" si="38"/>
        <v>RAS</v>
      </c>
      <c r="P594" t="str">
        <f t="shared" si="39"/>
        <v>Hors data</v>
      </c>
      <c r="Q594" t="str" cm="1">
        <f t="array" ref="Q594">_xlfn.IFS(H594&gt;=16,"Excellent",H594&gt;=14,"Très bien",H594&gt;=12,"Bien",H594&gt;=10,"Passable",H594&lt;10,"Insuffisant")</f>
        <v>Très bien</v>
      </c>
    </row>
    <row r="595" spans="1:17">
      <c r="A595" t="s">
        <v>896</v>
      </c>
      <c r="B595" t="s">
        <v>897</v>
      </c>
      <c r="C595" t="s">
        <v>24</v>
      </c>
      <c r="D595" t="s">
        <v>33</v>
      </c>
      <c r="E595" s="8" t="s">
        <v>26</v>
      </c>
      <c r="F595" s="8">
        <v>10.76</v>
      </c>
      <c r="G595" s="8">
        <v>11.44</v>
      </c>
      <c r="H595" s="8">
        <v>12.3</v>
      </c>
      <c r="I595" s="8">
        <v>12.65</v>
      </c>
      <c r="J595" s="6">
        <v>0.80689999999999995</v>
      </c>
      <c r="K595" s="4">
        <v>70000</v>
      </c>
      <c r="L595" s="2">
        <v>45954</v>
      </c>
      <c r="M595" t="str">
        <f t="shared" si="36"/>
        <v>Admis</v>
      </c>
      <c r="N595" t="str">
        <f t="shared" si="37"/>
        <v>Non eligible</v>
      </c>
      <c r="O595" t="str">
        <f t="shared" si="38"/>
        <v>RAS</v>
      </c>
      <c r="P595" t="str">
        <f t="shared" si="39"/>
        <v>Hors data</v>
      </c>
      <c r="Q595" t="str" cm="1">
        <f t="array" ref="Q595">_xlfn.IFS(H595&gt;=16,"Excellent",H595&gt;=14,"Très bien",H595&gt;=12,"Bien",H595&gt;=10,"Passable",H595&lt;10,"Insuffisant")</f>
        <v>Bien</v>
      </c>
    </row>
    <row r="596" spans="1:17">
      <c r="A596" t="s">
        <v>898</v>
      </c>
      <c r="B596" t="s">
        <v>273</v>
      </c>
      <c r="C596" t="s">
        <v>19</v>
      </c>
      <c r="D596" t="s">
        <v>37</v>
      </c>
      <c r="E596" s="8" t="s">
        <v>34</v>
      </c>
      <c r="F596" s="8">
        <v>14.09</v>
      </c>
      <c r="G596" s="8">
        <v>13.4</v>
      </c>
      <c r="H596" s="8">
        <v>9.85</v>
      </c>
      <c r="I596" s="8">
        <v>15.9</v>
      </c>
      <c r="J596" s="6">
        <v>0.94950000000000001</v>
      </c>
      <c r="K596" s="4">
        <v>90000</v>
      </c>
      <c r="L596" s="2">
        <v>45979</v>
      </c>
      <c r="M596" t="str">
        <f t="shared" si="36"/>
        <v>Non admis</v>
      </c>
      <c r="N596" t="str">
        <f t="shared" si="37"/>
        <v>Non eligible</v>
      </c>
      <c r="O596" t="str">
        <f t="shared" si="38"/>
        <v>A surveiller</v>
      </c>
      <c r="P596" t="str">
        <f t="shared" si="39"/>
        <v>Hors data</v>
      </c>
      <c r="Q596" t="str" cm="1">
        <f t="array" ref="Q596">_xlfn.IFS(H596&gt;=16,"Excellent",H596&gt;=14,"Très bien",H596&gt;=12,"Bien",H596&gt;=10,"Passable",H596&lt;10,"Insuffisant")</f>
        <v>Insuffisant</v>
      </c>
    </row>
    <row r="597" spans="1:17">
      <c r="A597" t="s">
        <v>899</v>
      </c>
      <c r="B597" t="s">
        <v>411</v>
      </c>
      <c r="C597" t="s">
        <v>24</v>
      </c>
      <c r="D597" t="s">
        <v>52</v>
      </c>
      <c r="E597" s="8" t="s">
        <v>26</v>
      </c>
      <c r="F597" s="8">
        <v>13.31</v>
      </c>
      <c r="G597" s="8">
        <v>10.73</v>
      </c>
      <c r="H597" s="8">
        <v>8.2100000000000009</v>
      </c>
      <c r="I597" s="8">
        <v>10.82</v>
      </c>
      <c r="J597" s="6">
        <v>0.86019999999999996</v>
      </c>
      <c r="K597" s="4">
        <v>70000</v>
      </c>
      <c r="L597" s="2">
        <v>46164</v>
      </c>
      <c r="M597" t="str">
        <f t="shared" si="36"/>
        <v>Non admis</v>
      </c>
      <c r="N597" t="str">
        <f t="shared" si="37"/>
        <v>Non eligible</v>
      </c>
      <c r="O597" t="str">
        <f t="shared" si="38"/>
        <v>A surveiller</v>
      </c>
      <c r="P597" t="str">
        <f t="shared" si="39"/>
        <v>Hors data</v>
      </c>
      <c r="Q597" t="str" cm="1">
        <f t="array" ref="Q597">_xlfn.IFS(H597&gt;=16,"Excellent",H597&gt;=14,"Très bien",H597&gt;=12,"Bien",H597&gt;=10,"Passable",H597&lt;10,"Insuffisant")</f>
        <v>Insuffisant</v>
      </c>
    </row>
    <row r="598" spans="1:17">
      <c r="A598" t="s">
        <v>900</v>
      </c>
      <c r="B598" t="s">
        <v>709</v>
      </c>
      <c r="C598" t="s">
        <v>24</v>
      </c>
      <c r="D598" t="s">
        <v>52</v>
      </c>
      <c r="E598" s="8" t="s">
        <v>26</v>
      </c>
      <c r="F598" s="8">
        <v>12.07</v>
      </c>
      <c r="G598" s="8">
        <v>10.85</v>
      </c>
      <c r="H598" s="8">
        <v>7.96</v>
      </c>
      <c r="I598" s="8">
        <v>11.93</v>
      </c>
      <c r="J598" s="6">
        <v>0.59350000000000003</v>
      </c>
      <c r="K598" s="4">
        <v>130000</v>
      </c>
      <c r="L598" s="2">
        <v>45968</v>
      </c>
      <c r="M598" t="str">
        <f t="shared" si="36"/>
        <v>Non admis</v>
      </c>
      <c r="N598" t="str">
        <f t="shared" si="37"/>
        <v>Non eligible</v>
      </c>
      <c r="O598" t="str">
        <f t="shared" si="38"/>
        <v>A surveiller</v>
      </c>
      <c r="P598" t="str">
        <f t="shared" si="39"/>
        <v>Hors data</v>
      </c>
      <c r="Q598" t="str" cm="1">
        <f t="array" ref="Q598">_xlfn.IFS(H598&gt;=16,"Excellent",H598&gt;=14,"Très bien",H598&gt;=12,"Bien",H598&gt;=10,"Passable",H598&lt;10,"Insuffisant")</f>
        <v>Insuffisant</v>
      </c>
    </row>
    <row r="599" spans="1:17">
      <c r="A599" t="s">
        <v>901</v>
      </c>
      <c r="B599" t="s">
        <v>804</v>
      </c>
      <c r="C599" t="s">
        <v>24</v>
      </c>
      <c r="D599" t="s">
        <v>40</v>
      </c>
      <c r="E599" s="8" t="s">
        <v>47</v>
      </c>
      <c r="F599" s="8">
        <v>10.52</v>
      </c>
      <c r="G599" s="8">
        <v>14.4</v>
      </c>
      <c r="H599" s="8">
        <v>9.1199999999999992</v>
      </c>
      <c r="I599" s="8">
        <v>10.39</v>
      </c>
      <c r="J599" s="6">
        <v>0.87170000000000003</v>
      </c>
      <c r="K599" s="4">
        <v>110000</v>
      </c>
      <c r="L599" s="2">
        <v>46232</v>
      </c>
      <c r="M599" t="str">
        <f t="shared" si="36"/>
        <v>Non admis</v>
      </c>
      <c r="N599" t="str">
        <f t="shared" si="37"/>
        <v>Non eligible</v>
      </c>
      <c r="O599" t="str">
        <f t="shared" si="38"/>
        <v>A surveiller</v>
      </c>
      <c r="P599" t="str">
        <f t="shared" si="39"/>
        <v>Hors data</v>
      </c>
      <c r="Q599" t="str" cm="1">
        <f t="array" ref="Q599">_xlfn.IFS(H599&gt;=16,"Excellent",H599&gt;=14,"Très bien",H599&gt;=12,"Bien",H599&gt;=10,"Passable",H599&lt;10,"Insuffisant")</f>
        <v>Insuffisant</v>
      </c>
    </row>
    <row r="600" spans="1:17">
      <c r="A600" t="s">
        <v>902</v>
      </c>
      <c r="B600" t="s">
        <v>60</v>
      </c>
      <c r="C600" t="s">
        <v>24</v>
      </c>
      <c r="D600" t="s">
        <v>25</v>
      </c>
      <c r="E600" s="8" t="s">
        <v>26</v>
      </c>
      <c r="F600" s="8">
        <v>11.09</v>
      </c>
      <c r="G600" s="8">
        <v>13.91</v>
      </c>
      <c r="H600" s="8">
        <v>12.83</v>
      </c>
      <c r="I600" s="8">
        <v>12.58</v>
      </c>
      <c r="J600" s="6">
        <v>0.76070000000000004</v>
      </c>
      <c r="K600" s="4">
        <v>80000</v>
      </c>
      <c r="L600" s="2">
        <v>46114</v>
      </c>
      <c r="M600" t="str">
        <f t="shared" si="36"/>
        <v>Admis</v>
      </c>
      <c r="N600" t="str">
        <f t="shared" si="37"/>
        <v>Non eligible</v>
      </c>
      <c r="O600" t="str">
        <f t="shared" si="38"/>
        <v>RAS</v>
      </c>
      <c r="P600" t="str">
        <f t="shared" si="39"/>
        <v>Hors data</v>
      </c>
      <c r="Q600" t="str" cm="1">
        <f t="array" ref="Q600">_xlfn.IFS(H600&gt;=16,"Excellent",H600&gt;=14,"Très bien",H600&gt;=12,"Bien",H600&gt;=10,"Passable",H600&lt;10,"Insuffisant")</f>
        <v>Bien</v>
      </c>
    </row>
    <row r="601" spans="1:17">
      <c r="A601" t="s">
        <v>903</v>
      </c>
      <c r="B601" t="s">
        <v>391</v>
      </c>
      <c r="C601" t="s">
        <v>24</v>
      </c>
      <c r="D601" t="s">
        <v>40</v>
      </c>
      <c r="E601" s="8" t="s">
        <v>21</v>
      </c>
      <c r="F601" s="8">
        <v>6.42</v>
      </c>
      <c r="G601" s="8">
        <v>8.4700000000000006</v>
      </c>
      <c r="H601" s="8">
        <v>10.92</v>
      </c>
      <c r="I601" s="8">
        <v>6.84</v>
      </c>
      <c r="J601" s="6">
        <v>0.94220000000000004</v>
      </c>
      <c r="K601" s="4">
        <v>50000</v>
      </c>
      <c r="L601" s="2">
        <v>45591</v>
      </c>
      <c r="M601" t="str">
        <f t="shared" si="36"/>
        <v>Admis</v>
      </c>
      <c r="N601" t="str">
        <f t="shared" si="37"/>
        <v>Non eligible</v>
      </c>
      <c r="O601" t="str">
        <f t="shared" si="38"/>
        <v>A surveiller</v>
      </c>
      <c r="P601" t="str">
        <f t="shared" si="39"/>
        <v>Data</v>
      </c>
      <c r="Q601" t="str" cm="1">
        <f t="array" ref="Q601">_xlfn.IFS(H601&gt;=16,"Excellent",H601&gt;=14,"Très bien",H601&gt;=12,"Bien",H601&gt;=10,"Passable",H601&lt;10,"Insuffisant")</f>
        <v>Passable</v>
      </c>
    </row>
    <row r="602" spans="1:17">
      <c r="A602" t="s">
        <v>904</v>
      </c>
      <c r="B602" t="s">
        <v>300</v>
      </c>
      <c r="C602" t="s">
        <v>24</v>
      </c>
      <c r="D602" t="s">
        <v>33</v>
      </c>
      <c r="E602" s="8" t="s">
        <v>26</v>
      </c>
      <c r="F602" s="8">
        <v>11.63</v>
      </c>
      <c r="G602" s="8">
        <v>15.85</v>
      </c>
      <c r="H602" s="8">
        <v>16.5</v>
      </c>
      <c r="I602" s="8">
        <v>8.0500000000000007</v>
      </c>
      <c r="J602" s="6">
        <v>0.89649999999999996</v>
      </c>
      <c r="K602" s="4">
        <v>60000</v>
      </c>
      <c r="L602" s="2">
        <v>45810</v>
      </c>
      <c r="M602" t="str">
        <f t="shared" si="36"/>
        <v>Admis</v>
      </c>
      <c r="N602" t="str">
        <f t="shared" si="37"/>
        <v>Non eligible</v>
      </c>
      <c r="O602" t="str">
        <f t="shared" si="38"/>
        <v>RAS</v>
      </c>
      <c r="P602" t="str">
        <f t="shared" si="39"/>
        <v>Hors data</v>
      </c>
      <c r="Q602" t="str" cm="1">
        <f t="array" ref="Q602">_xlfn.IFS(H602&gt;=16,"Excellent",H602&gt;=14,"Très bien",H602&gt;=12,"Bien",H602&gt;=10,"Passable",H602&lt;10,"Insuffisant")</f>
        <v>Excellent</v>
      </c>
    </row>
    <row r="603" spans="1:17">
      <c r="A603" t="s">
        <v>905</v>
      </c>
      <c r="B603" t="s">
        <v>588</v>
      </c>
      <c r="C603" t="s">
        <v>24</v>
      </c>
      <c r="D603" t="s">
        <v>33</v>
      </c>
      <c r="E603" s="8" t="s">
        <v>47</v>
      </c>
      <c r="F603" s="8">
        <v>16.239999999999998</v>
      </c>
      <c r="G603" s="8">
        <v>17.350000000000001</v>
      </c>
      <c r="H603" s="8">
        <v>17.399999999999999</v>
      </c>
      <c r="I603" s="8">
        <v>16.27</v>
      </c>
      <c r="J603" s="6">
        <v>0.9133</v>
      </c>
      <c r="K603" s="4">
        <v>70000</v>
      </c>
      <c r="L603" s="2">
        <v>45805</v>
      </c>
      <c r="M603" t="str">
        <f t="shared" si="36"/>
        <v>Admis</v>
      </c>
      <c r="N603" t="str">
        <f t="shared" si="37"/>
        <v>Eligible</v>
      </c>
      <c r="O603" t="str">
        <f t="shared" si="38"/>
        <v>RAS</v>
      </c>
      <c r="P603" t="str">
        <f t="shared" si="39"/>
        <v>Hors data</v>
      </c>
      <c r="Q603" t="str" cm="1">
        <f t="array" ref="Q603">_xlfn.IFS(H603&gt;=16,"Excellent",H603&gt;=14,"Très bien",H603&gt;=12,"Bien",H603&gt;=10,"Passable",H603&lt;10,"Insuffisant")</f>
        <v>Excellent</v>
      </c>
    </row>
    <row r="604" spans="1:17">
      <c r="A604" t="s">
        <v>906</v>
      </c>
      <c r="B604" t="s">
        <v>907</v>
      </c>
      <c r="C604" t="s">
        <v>24</v>
      </c>
      <c r="D604" t="s">
        <v>25</v>
      </c>
      <c r="E604" s="8" t="s">
        <v>21</v>
      </c>
      <c r="F604" s="8">
        <v>8.75</v>
      </c>
      <c r="G604" s="8">
        <v>7.68</v>
      </c>
      <c r="H604" s="8">
        <v>11.61</v>
      </c>
      <c r="I604" s="8">
        <v>9.9</v>
      </c>
      <c r="J604" s="6">
        <v>0.73009999999999997</v>
      </c>
      <c r="K604" s="4">
        <v>80000</v>
      </c>
      <c r="L604" s="2">
        <v>45538</v>
      </c>
      <c r="M604" t="str">
        <f t="shared" si="36"/>
        <v>Admis</v>
      </c>
      <c r="N604" t="str">
        <f t="shared" si="37"/>
        <v>Non eligible</v>
      </c>
      <c r="O604" t="str">
        <f t="shared" si="38"/>
        <v>A surveiller</v>
      </c>
      <c r="P604" t="str">
        <f t="shared" si="39"/>
        <v>Data</v>
      </c>
      <c r="Q604" t="str" cm="1">
        <f t="array" ref="Q604">_xlfn.IFS(H604&gt;=16,"Excellent",H604&gt;=14,"Très bien",H604&gt;=12,"Bien",H604&gt;=10,"Passable",H604&lt;10,"Insuffisant")</f>
        <v>Passable</v>
      </c>
    </row>
    <row r="605" spans="1:17">
      <c r="A605" t="s">
        <v>908</v>
      </c>
      <c r="B605" t="s">
        <v>114</v>
      </c>
      <c r="C605" t="s">
        <v>19</v>
      </c>
      <c r="D605" t="s">
        <v>33</v>
      </c>
      <c r="E605" s="8" t="s">
        <v>21</v>
      </c>
      <c r="F605" s="8">
        <v>13.74</v>
      </c>
      <c r="G605" s="8">
        <v>15.84</v>
      </c>
      <c r="H605" s="8">
        <v>15.11</v>
      </c>
      <c r="I605" s="8">
        <v>14.52</v>
      </c>
      <c r="J605" s="6">
        <v>0.91159999999999997</v>
      </c>
      <c r="K605" s="4">
        <v>120000</v>
      </c>
      <c r="L605" s="2">
        <v>45662</v>
      </c>
      <c r="M605" t="str">
        <f t="shared" si="36"/>
        <v>Admis</v>
      </c>
      <c r="N605" t="str">
        <f t="shared" si="37"/>
        <v>Eligible</v>
      </c>
      <c r="O605" t="str">
        <f t="shared" si="38"/>
        <v>RAS</v>
      </c>
      <c r="P605" t="str">
        <f t="shared" si="39"/>
        <v>Data</v>
      </c>
      <c r="Q605" t="str" cm="1">
        <f t="array" ref="Q605">_xlfn.IFS(H605&gt;=16,"Excellent",H605&gt;=14,"Très bien",H605&gt;=12,"Bien",H605&gt;=10,"Passable",H605&lt;10,"Insuffisant")</f>
        <v>Très bien</v>
      </c>
    </row>
    <row r="606" spans="1:17">
      <c r="A606" t="s">
        <v>909</v>
      </c>
      <c r="B606" t="s">
        <v>238</v>
      </c>
      <c r="C606" t="s">
        <v>24</v>
      </c>
      <c r="D606" t="s">
        <v>20</v>
      </c>
      <c r="E606" s="8" t="s">
        <v>47</v>
      </c>
      <c r="F606" s="8">
        <v>15.17</v>
      </c>
      <c r="G606" s="8">
        <v>12.93</v>
      </c>
      <c r="H606" s="8">
        <v>13.55</v>
      </c>
      <c r="I606" s="8">
        <v>11.63</v>
      </c>
      <c r="J606" s="6">
        <v>0.55000000000000004</v>
      </c>
      <c r="K606" s="4">
        <v>60000</v>
      </c>
      <c r="L606" s="2">
        <v>46069</v>
      </c>
      <c r="M606" t="str">
        <f t="shared" si="36"/>
        <v>Admis</v>
      </c>
      <c r="N606" t="str">
        <f t="shared" si="37"/>
        <v>Non eligible</v>
      </c>
      <c r="O606" t="str">
        <f t="shared" si="38"/>
        <v>RAS</v>
      </c>
      <c r="P606" t="str">
        <f t="shared" si="39"/>
        <v>Hors data</v>
      </c>
      <c r="Q606" t="str" cm="1">
        <f t="array" ref="Q606">_xlfn.IFS(H606&gt;=16,"Excellent",H606&gt;=14,"Très bien",H606&gt;=12,"Bien",H606&gt;=10,"Passable",H606&lt;10,"Insuffisant")</f>
        <v>Bien</v>
      </c>
    </row>
    <row r="607" spans="1:17">
      <c r="A607" t="s">
        <v>910</v>
      </c>
      <c r="B607" t="s">
        <v>911</v>
      </c>
      <c r="C607" t="s">
        <v>24</v>
      </c>
      <c r="D607" t="s">
        <v>37</v>
      </c>
      <c r="E607" s="8" t="s">
        <v>34</v>
      </c>
      <c r="F607" s="8">
        <v>11.84</v>
      </c>
      <c r="G607" s="8">
        <v>11.75</v>
      </c>
      <c r="H607" s="8">
        <v>17.07</v>
      </c>
      <c r="I607" s="8">
        <v>17.63</v>
      </c>
      <c r="J607" s="6">
        <v>0.9637</v>
      </c>
      <c r="K607" s="4">
        <v>90000</v>
      </c>
      <c r="L607" s="2">
        <v>45782</v>
      </c>
      <c r="M607" t="str">
        <f t="shared" si="36"/>
        <v>Admis</v>
      </c>
      <c r="N607" t="str">
        <f t="shared" si="37"/>
        <v>Non eligible</v>
      </c>
      <c r="O607" t="str">
        <f t="shared" si="38"/>
        <v>RAS</v>
      </c>
      <c r="P607" t="str">
        <f t="shared" si="39"/>
        <v>Hors data</v>
      </c>
      <c r="Q607" t="str" cm="1">
        <f t="array" ref="Q607">_xlfn.IFS(H607&gt;=16,"Excellent",H607&gt;=14,"Très bien",H607&gt;=12,"Bien",H607&gt;=10,"Passable",H607&lt;10,"Insuffisant")</f>
        <v>Excellent</v>
      </c>
    </row>
    <row r="608" spans="1:17">
      <c r="A608" t="s">
        <v>912</v>
      </c>
      <c r="B608" t="s">
        <v>832</v>
      </c>
      <c r="C608" t="s">
        <v>19</v>
      </c>
      <c r="D608" t="s">
        <v>20</v>
      </c>
      <c r="E608" s="8" t="s">
        <v>34</v>
      </c>
      <c r="F608" s="8">
        <v>12.94</v>
      </c>
      <c r="G608" s="8">
        <v>14.87</v>
      </c>
      <c r="H608" s="8">
        <v>15.69</v>
      </c>
      <c r="I608" s="8">
        <v>12.35</v>
      </c>
      <c r="J608" s="6">
        <v>0.66120000000000001</v>
      </c>
      <c r="K608" s="4">
        <v>75000</v>
      </c>
      <c r="L608" s="2">
        <v>45639</v>
      </c>
      <c r="M608" t="str">
        <f t="shared" si="36"/>
        <v>Admis</v>
      </c>
      <c r="N608" t="str">
        <f t="shared" si="37"/>
        <v>Non eligible</v>
      </c>
      <c r="O608" t="str">
        <f t="shared" si="38"/>
        <v>RAS</v>
      </c>
      <c r="P608" t="str">
        <f t="shared" si="39"/>
        <v>Hors data</v>
      </c>
      <c r="Q608" t="str" cm="1">
        <f t="array" ref="Q608">_xlfn.IFS(H608&gt;=16,"Excellent",H608&gt;=14,"Très bien",H608&gt;=12,"Bien",H608&gt;=10,"Passable",H608&lt;10,"Insuffisant")</f>
        <v>Très bien</v>
      </c>
    </row>
    <row r="609" spans="1:17">
      <c r="A609" t="s">
        <v>913</v>
      </c>
      <c r="B609" t="s">
        <v>914</v>
      </c>
      <c r="C609" t="s">
        <v>24</v>
      </c>
      <c r="D609" t="s">
        <v>52</v>
      </c>
      <c r="E609" s="8" t="s">
        <v>34</v>
      </c>
      <c r="F609" s="8">
        <v>9.85</v>
      </c>
      <c r="G609" s="8">
        <v>10.31</v>
      </c>
      <c r="H609" s="8">
        <v>10.46</v>
      </c>
      <c r="I609" s="8">
        <v>10.26</v>
      </c>
      <c r="J609" s="6">
        <v>0.84309999999999996</v>
      </c>
      <c r="K609" s="4">
        <v>50000</v>
      </c>
      <c r="L609" s="2">
        <v>45737</v>
      </c>
      <c r="M609" t="str">
        <f t="shared" si="36"/>
        <v>Admis</v>
      </c>
      <c r="N609" t="str">
        <f t="shared" si="37"/>
        <v>Non eligible</v>
      </c>
      <c r="O609" t="str">
        <f t="shared" si="38"/>
        <v>A surveiller</v>
      </c>
      <c r="P609" t="str">
        <f t="shared" si="39"/>
        <v>Hors data</v>
      </c>
      <c r="Q609" t="str" cm="1">
        <f t="array" ref="Q609">_xlfn.IFS(H609&gt;=16,"Excellent",H609&gt;=14,"Très bien",H609&gt;=12,"Bien",H609&gt;=10,"Passable",H609&lt;10,"Insuffisant")</f>
        <v>Passable</v>
      </c>
    </row>
    <row r="610" spans="1:17">
      <c r="A610" t="s">
        <v>915</v>
      </c>
      <c r="B610" t="s">
        <v>652</v>
      </c>
      <c r="C610" t="s">
        <v>24</v>
      </c>
      <c r="D610" t="s">
        <v>37</v>
      </c>
      <c r="E610" s="8" t="s">
        <v>26</v>
      </c>
      <c r="F610" s="8">
        <v>8.42</v>
      </c>
      <c r="G610" s="8">
        <v>9.86</v>
      </c>
      <c r="H610" s="8">
        <v>12.96</v>
      </c>
      <c r="I610" s="8">
        <v>11.17</v>
      </c>
      <c r="J610" s="6">
        <v>0.75800000000000001</v>
      </c>
      <c r="K610" s="4">
        <v>90000</v>
      </c>
      <c r="L610" s="2">
        <v>45728</v>
      </c>
      <c r="M610" t="str">
        <f t="shared" si="36"/>
        <v>Admis</v>
      </c>
      <c r="N610" t="str">
        <f t="shared" si="37"/>
        <v>Non eligible</v>
      </c>
      <c r="O610" t="str">
        <f t="shared" si="38"/>
        <v>A surveiller</v>
      </c>
      <c r="P610" t="str">
        <f t="shared" si="39"/>
        <v>Hors data</v>
      </c>
      <c r="Q610" t="str" cm="1">
        <f t="array" ref="Q610">_xlfn.IFS(H610&gt;=16,"Excellent",H610&gt;=14,"Très bien",H610&gt;=12,"Bien",H610&gt;=10,"Passable",H610&lt;10,"Insuffisant")</f>
        <v>Bien</v>
      </c>
    </row>
    <row r="611" spans="1:17">
      <c r="A611" t="s">
        <v>916</v>
      </c>
      <c r="B611" t="s">
        <v>322</v>
      </c>
      <c r="C611" t="s">
        <v>24</v>
      </c>
      <c r="D611" t="s">
        <v>25</v>
      </c>
      <c r="E611" s="8" t="s">
        <v>34</v>
      </c>
      <c r="F611" s="8">
        <v>16.73</v>
      </c>
      <c r="G611" s="8">
        <v>13.9</v>
      </c>
      <c r="H611" s="8">
        <v>8.6199999999999992</v>
      </c>
      <c r="I611" s="8">
        <v>17.260000000000002</v>
      </c>
      <c r="J611" s="6">
        <v>0.86609999999999998</v>
      </c>
      <c r="K611" s="4">
        <v>100000</v>
      </c>
      <c r="L611" s="2">
        <v>45658</v>
      </c>
      <c r="M611" t="str">
        <f t="shared" si="36"/>
        <v>Non admis</v>
      </c>
      <c r="N611" t="str">
        <f t="shared" si="37"/>
        <v>Non eligible</v>
      </c>
      <c r="O611" t="str">
        <f t="shared" si="38"/>
        <v>A surveiller</v>
      </c>
      <c r="P611" t="str">
        <f t="shared" si="39"/>
        <v>Hors data</v>
      </c>
      <c r="Q611" t="str" cm="1">
        <f t="array" ref="Q611">_xlfn.IFS(H611&gt;=16,"Excellent",H611&gt;=14,"Très bien",H611&gt;=12,"Bien",H611&gt;=10,"Passable",H611&lt;10,"Insuffisant")</f>
        <v>Insuffisant</v>
      </c>
    </row>
    <row r="612" spans="1:17">
      <c r="A612" t="s">
        <v>917</v>
      </c>
      <c r="B612" t="s">
        <v>379</v>
      </c>
      <c r="C612" t="s">
        <v>24</v>
      </c>
      <c r="D612" t="s">
        <v>40</v>
      </c>
      <c r="E612" s="8" t="s">
        <v>21</v>
      </c>
      <c r="F612" s="8">
        <v>18.38</v>
      </c>
      <c r="G612" s="8">
        <v>15.2</v>
      </c>
      <c r="H612" s="8">
        <v>15.94</v>
      </c>
      <c r="I612" s="8">
        <v>15.58</v>
      </c>
      <c r="J612" s="6">
        <v>0.55000000000000004</v>
      </c>
      <c r="K612" s="4">
        <v>130000</v>
      </c>
      <c r="L612" s="2">
        <v>45606</v>
      </c>
      <c r="M612" t="str">
        <f t="shared" si="36"/>
        <v>Admis</v>
      </c>
      <c r="N612" t="str">
        <f t="shared" si="37"/>
        <v>Non eligible</v>
      </c>
      <c r="O612" t="str">
        <f t="shared" si="38"/>
        <v>RAS</v>
      </c>
      <c r="P612" t="str">
        <f t="shared" si="39"/>
        <v>Data</v>
      </c>
      <c r="Q612" t="str" cm="1">
        <f t="array" ref="Q612">_xlfn.IFS(H612&gt;=16,"Excellent",H612&gt;=14,"Très bien",H612&gt;=12,"Bien",H612&gt;=10,"Passable",H612&lt;10,"Insuffisant")</f>
        <v>Très bien</v>
      </c>
    </row>
    <row r="613" spans="1:17">
      <c r="A613" t="s">
        <v>918</v>
      </c>
      <c r="B613" t="s">
        <v>68</v>
      </c>
      <c r="C613" t="s">
        <v>19</v>
      </c>
      <c r="D613" t="s">
        <v>52</v>
      </c>
      <c r="E613" s="8" t="s">
        <v>34</v>
      </c>
      <c r="F613" s="8">
        <v>7.94</v>
      </c>
      <c r="G613" s="8">
        <v>9.0399999999999991</v>
      </c>
      <c r="H613" s="8">
        <v>6.83</v>
      </c>
      <c r="I613" s="8">
        <v>5.76</v>
      </c>
      <c r="J613" s="6">
        <v>0.74650000000000005</v>
      </c>
      <c r="K613" s="4">
        <v>85000</v>
      </c>
      <c r="L613" s="2">
        <v>46070</v>
      </c>
      <c r="M613" t="str">
        <f t="shared" si="36"/>
        <v>Non admis</v>
      </c>
      <c r="N613" t="str">
        <f t="shared" si="37"/>
        <v>Non eligible</v>
      </c>
      <c r="O613" t="str">
        <f t="shared" si="38"/>
        <v>A surveiller</v>
      </c>
      <c r="P613" t="str">
        <f t="shared" si="39"/>
        <v>Hors data</v>
      </c>
      <c r="Q613" t="str" cm="1">
        <f t="array" ref="Q613">_xlfn.IFS(H613&gt;=16,"Excellent",H613&gt;=14,"Très bien",H613&gt;=12,"Bien",H613&gt;=10,"Passable",H613&lt;10,"Insuffisant")</f>
        <v>Insuffisant</v>
      </c>
    </row>
    <row r="614" spans="1:17">
      <c r="A614" t="s">
        <v>919</v>
      </c>
      <c r="B614" t="s">
        <v>696</v>
      </c>
      <c r="C614" t="s">
        <v>24</v>
      </c>
      <c r="D614" t="s">
        <v>52</v>
      </c>
      <c r="E614" s="8" t="s">
        <v>21</v>
      </c>
      <c r="F614" s="8">
        <v>18.420000000000002</v>
      </c>
      <c r="G614" s="8">
        <v>14.77</v>
      </c>
      <c r="H614" s="8">
        <v>17.2</v>
      </c>
      <c r="I614" s="8">
        <v>11.07</v>
      </c>
      <c r="J614" s="6">
        <v>0.55000000000000004</v>
      </c>
      <c r="K614" s="4">
        <v>75000</v>
      </c>
      <c r="L614" s="2">
        <v>46113</v>
      </c>
      <c r="M614" t="str">
        <f t="shared" si="36"/>
        <v>Admis</v>
      </c>
      <c r="N614" t="str">
        <f t="shared" si="37"/>
        <v>Non eligible</v>
      </c>
      <c r="O614" t="str">
        <f t="shared" si="38"/>
        <v>RAS</v>
      </c>
      <c r="P614" t="str">
        <f t="shared" si="39"/>
        <v>Data</v>
      </c>
      <c r="Q614" t="str" cm="1">
        <f t="array" ref="Q614">_xlfn.IFS(H614&gt;=16,"Excellent",H614&gt;=14,"Très bien",H614&gt;=12,"Bien",H614&gt;=10,"Passable",H614&lt;10,"Insuffisant")</f>
        <v>Excellent</v>
      </c>
    </row>
    <row r="615" spans="1:17">
      <c r="A615" t="s">
        <v>920</v>
      </c>
      <c r="B615" t="s">
        <v>160</v>
      </c>
      <c r="C615" t="s">
        <v>19</v>
      </c>
      <c r="D615" t="s">
        <v>52</v>
      </c>
      <c r="E615" s="8" t="s">
        <v>47</v>
      </c>
      <c r="F615" s="8">
        <v>13.53</v>
      </c>
      <c r="G615" s="8">
        <v>17.600000000000001</v>
      </c>
      <c r="H615" s="8">
        <v>20</v>
      </c>
      <c r="I615" s="8">
        <v>20</v>
      </c>
      <c r="J615" s="6">
        <v>0.96399999999999997</v>
      </c>
      <c r="K615" s="4">
        <v>120000</v>
      </c>
      <c r="L615" s="2">
        <v>45883</v>
      </c>
      <c r="M615" t="str">
        <f t="shared" si="36"/>
        <v>Admis</v>
      </c>
      <c r="N615" t="str">
        <f t="shared" si="37"/>
        <v>Eligible</v>
      </c>
      <c r="O615" t="str">
        <f t="shared" si="38"/>
        <v>RAS</v>
      </c>
      <c r="P615" t="str">
        <f t="shared" si="39"/>
        <v>Hors data</v>
      </c>
      <c r="Q615" t="str" cm="1">
        <f t="array" ref="Q615">_xlfn.IFS(H615&gt;=16,"Excellent",H615&gt;=14,"Très bien",H615&gt;=12,"Bien",H615&gt;=10,"Passable",H615&lt;10,"Insuffisant")</f>
        <v>Excellent</v>
      </c>
    </row>
    <row r="616" spans="1:17">
      <c r="A616" t="s">
        <v>921</v>
      </c>
      <c r="B616" t="s">
        <v>922</v>
      </c>
      <c r="C616" t="s">
        <v>24</v>
      </c>
      <c r="D616" t="s">
        <v>25</v>
      </c>
      <c r="E616" s="8" t="s">
        <v>26</v>
      </c>
      <c r="F616" s="8">
        <v>13.05</v>
      </c>
      <c r="G616" s="8">
        <v>14.26</v>
      </c>
      <c r="H616" s="8">
        <v>10.08</v>
      </c>
      <c r="I616" s="8">
        <v>13.9</v>
      </c>
      <c r="J616" s="6">
        <v>0.73899999999999999</v>
      </c>
      <c r="K616" s="4">
        <v>70000</v>
      </c>
      <c r="L616" s="2">
        <v>45966</v>
      </c>
      <c r="M616" t="str">
        <f t="shared" si="36"/>
        <v>Admis</v>
      </c>
      <c r="N616" t="str">
        <f t="shared" si="37"/>
        <v>Non eligible</v>
      </c>
      <c r="O616" t="str">
        <f t="shared" si="38"/>
        <v>RAS</v>
      </c>
      <c r="P616" t="str">
        <f t="shared" si="39"/>
        <v>Hors data</v>
      </c>
      <c r="Q616" t="str" cm="1">
        <f t="array" ref="Q616">_xlfn.IFS(H616&gt;=16,"Excellent",H616&gt;=14,"Très bien",H616&gt;=12,"Bien",H616&gt;=10,"Passable",H616&lt;10,"Insuffisant")</f>
        <v>Passable</v>
      </c>
    </row>
    <row r="617" spans="1:17">
      <c r="A617" t="s">
        <v>923</v>
      </c>
      <c r="B617" t="s">
        <v>776</v>
      </c>
      <c r="C617" t="s">
        <v>24</v>
      </c>
      <c r="D617" t="s">
        <v>37</v>
      </c>
      <c r="E617" s="8" t="s">
        <v>26</v>
      </c>
      <c r="F617" s="8">
        <v>15.85</v>
      </c>
      <c r="G617" s="8">
        <v>12.9</v>
      </c>
      <c r="H617" s="8">
        <v>18.350000000000001</v>
      </c>
      <c r="I617" s="8">
        <v>15.94</v>
      </c>
      <c r="J617" s="6">
        <v>0.80759999999999998</v>
      </c>
      <c r="K617" s="4">
        <v>100000</v>
      </c>
      <c r="L617" s="2">
        <v>46179</v>
      </c>
      <c r="M617" t="str">
        <f t="shared" si="36"/>
        <v>Admis</v>
      </c>
      <c r="N617" t="str">
        <f t="shared" si="37"/>
        <v>Eligible</v>
      </c>
      <c r="O617" t="str">
        <f t="shared" si="38"/>
        <v>RAS</v>
      </c>
      <c r="P617" t="str">
        <f t="shared" si="39"/>
        <v>Hors data</v>
      </c>
      <c r="Q617" t="str" cm="1">
        <f t="array" ref="Q617">_xlfn.IFS(H617&gt;=16,"Excellent",H617&gt;=14,"Très bien",H617&gt;=12,"Bien",H617&gt;=10,"Passable",H617&lt;10,"Insuffisant")</f>
        <v>Excellent</v>
      </c>
    </row>
    <row r="618" spans="1:17">
      <c r="A618" t="s">
        <v>924</v>
      </c>
      <c r="B618" t="s">
        <v>925</v>
      </c>
      <c r="C618" t="s">
        <v>19</v>
      </c>
      <c r="D618" t="s">
        <v>37</v>
      </c>
      <c r="E618" s="8" t="s">
        <v>47</v>
      </c>
      <c r="F618" s="8">
        <v>9.52</v>
      </c>
      <c r="G618" s="8">
        <v>9.9600000000000009</v>
      </c>
      <c r="H618" s="8">
        <v>9.15</v>
      </c>
      <c r="I618" s="8">
        <v>18.29</v>
      </c>
      <c r="J618" s="6">
        <v>0.85309999999999997</v>
      </c>
      <c r="K618" s="4">
        <v>130000</v>
      </c>
      <c r="L618" s="2">
        <v>46125</v>
      </c>
      <c r="M618" t="str">
        <f t="shared" si="36"/>
        <v>Non admis</v>
      </c>
      <c r="N618" t="str">
        <f t="shared" si="37"/>
        <v>Non eligible</v>
      </c>
      <c r="O618" t="str">
        <f t="shared" si="38"/>
        <v>A surveiller</v>
      </c>
      <c r="P618" t="str">
        <f t="shared" si="39"/>
        <v>Hors data</v>
      </c>
      <c r="Q618" t="str" cm="1">
        <f t="array" ref="Q618">_xlfn.IFS(H618&gt;=16,"Excellent",H618&gt;=14,"Très bien",H618&gt;=12,"Bien",H618&gt;=10,"Passable",H618&lt;10,"Insuffisant")</f>
        <v>Insuffisant</v>
      </c>
    </row>
    <row r="619" spans="1:17">
      <c r="A619" t="s">
        <v>926</v>
      </c>
      <c r="B619" t="s">
        <v>927</v>
      </c>
      <c r="C619" t="s">
        <v>19</v>
      </c>
      <c r="D619" t="s">
        <v>52</v>
      </c>
      <c r="E619" s="8" t="s">
        <v>26</v>
      </c>
      <c r="F619" s="8">
        <v>13.83</v>
      </c>
      <c r="G619" s="8">
        <v>8.6999999999999993</v>
      </c>
      <c r="H619" s="8">
        <v>10.86</v>
      </c>
      <c r="I619" s="8">
        <v>13.78</v>
      </c>
      <c r="J619" s="6">
        <v>0.77849999999999997</v>
      </c>
      <c r="K619" s="4">
        <v>50000</v>
      </c>
      <c r="L619" s="2">
        <v>45558</v>
      </c>
      <c r="M619" t="str">
        <f t="shared" si="36"/>
        <v>Admis</v>
      </c>
      <c r="N619" t="str">
        <f t="shared" si="37"/>
        <v>Non eligible</v>
      </c>
      <c r="O619" t="str">
        <f t="shared" si="38"/>
        <v>RAS</v>
      </c>
      <c r="P619" t="str">
        <f t="shared" si="39"/>
        <v>Hors data</v>
      </c>
      <c r="Q619" t="str" cm="1">
        <f t="array" ref="Q619">_xlfn.IFS(H619&gt;=16,"Excellent",H619&gt;=14,"Très bien",H619&gt;=12,"Bien",H619&gt;=10,"Passable",H619&lt;10,"Insuffisant")</f>
        <v>Passable</v>
      </c>
    </row>
    <row r="620" spans="1:17">
      <c r="A620" t="s">
        <v>928</v>
      </c>
      <c r="B620" t="s">
        <v>929</v>
      </c>
      <c r="C620" t="s">
        <v>19</v>
      </c>
      <c r="D620" t="s">
        <v>40</v>
      </c>
      <c r="E620" s="8" t="s">
        <v>34</v>
      </c>
      <c r="F620" s="8">
        <v>6.53</v>
      </c>
      <c r="G620" s="8">
        <v>10.6</v>
      </c>
      <c r="H620" s="8">
        <v>8.65</v>
      </c>
      <c r="I620" s="8">
        <v>6</v>
      </c>
      <c r="J620" s="6">
        <v>0.64100000000000001</v>
      </c>
      <c r="K620" s="4">
        <v>130000</v>
      </c>
      <c r="L620" s="2">
        <v>46203</v>
      </c>
      <c r="M620" t="str">
        <f t="shared" si="36"/>
        <v>Non admis</v>
      </c>
      <c r="N620" t="str">
        <f t="shared" si="37"/>
        <v>Non eligible</v>
      </c>
      <c r="O620" t="str">
        <f t="shared" si="38"/>
        <v>A surveiller</v>
      </c>
      <c r="P620" t="str">
        <f t="shared" si="39"/>
        <v>Hors data</v>
      </c>
      <c r="Q620" t="str" cm="1">
        <f t="array" ref="Q620">_xlfn.IFS(H620&gt;=16,"Excellent",H620&gt;=14,"Très bien",H620&gt;=12,"Bien",H620&gt;=10,"Passable",H620&lt;10,"Insuffisant")</f>
        <v>Insuffisant</v>
      </c>
    </row>
    <row r="621" spans="1:17">
      <c r="A621" t="s">
        <v>930</v>
      </c>
      <c r="B621" t="s">
        <v>185</v>
      </c>
      <c r="C621" t="s">
        <v>19</v>
      </c>
      <c r="D621" t="s">
        <v>20</v>
      </c>
      <c r="E621" s="8" t="s">
        <v>47</v>
      </c>
      <c r="F621" s="8">
        <v>8.4600000000000009</v>
      </c>
      <c r="G621" s="8">
        <v>4.67</v>
      </c>
      <c r="H621" s="8">
        <v>6.44</v>
      </c>
      <c r="I621" s="8">
        <v>6.4</v>
      </c>
      <c r="J621" s="6">
        <v>0.92290000000000005</v>
      </c>
      <c r="K621" s="4">
        <v>70000</v>
      </c>
      <c r="L621" s="2">
        <v>45582</v>
      </c>
      <c r="M621" t="str">
        <f t="shared" si="36"/>
        <v>Non admis</v>
      </c>
      <c r="N621" t="str">
        <f t="shared" si="37"/>
        <v>Non eligible</v>
      </c>
      <c r="O621" t="str">
        <f t="shared" si="38"/>
        <v>A surveiller</v>
      </c>
      <c r="P621" t="str">
        <f t="shared" si="39"/>
        <v>Hors data</v>
      </c>
      <c r="Q621" t="str" cm="1">
        <f t="array" ref="Q621">_xlfn.IFS(H621&gt;=16,"Excellent",H621&gt;=14,"Très bien",H621&gt;=12,"Bien",H621&gt;=10,"Passable",H621&lt;10,"Insuffisant")</f>
        <v>Insuffisant</v>
      </c>
    </row>
    <row r="622" spans="1:17">
      <c r="A622" t="s">
        <v>931</v>
      </c>
      <c r="B622" t="s">
        <v>430</v>
      </c>
      <c r="C622" t="s">
        <v>19</v>
      </c>
      <c r="D622" t="s">
        <v>25</v>
      </c>
      <c r="E622" s="8" t="s">
        <v>21</v>
      </c>
      <c r="F622" s="8">
        <v>18.47</v>
      </c>
      <c r="G622" s="8">
        <v>16.829999999999998</v>
      </c>
      <c r="H622" s="8">
        <v>12.91</v>
      </c>
      <c r="I622" s="8">
        <v>13.9</v>
      </c>
      <c r="J622" s="6">
        <v>0.88260000000000005</v>
      </c>
      <c r="K622" s="4">
        <v>85000</v>
      </c>
      <c r="L622" s="2">
        <v>45554</v>
      </c>
      <c r="M622" t="str">
        <f t="shared" si="36"/>
        <v>Admis</v>
      </c>
      <c r="N622" t="str">
        <f t="shared" si="37"/>
        <v>Eligible</v>
      </c>
      <c r="O622" t="str">
        <f t="shared" si="38"/>
        <v>RAS</v>
      </c>
      <c r="P622" t="str">
        <f t="shared" si="39"/>
        <v>Data</v>
      </c>
      <c r="Q622" t="str" cm="1">
        <f t="array" ref="Q622">_xlfn.IFS(H622&gt;=16,"Excellent",H622&gt;=14,"Très bien",H622&gt;=12,"Bien",H622&gt;=10,"Passable",H622&lt;10,"Insuffisant")</f>
        <v>Bien</v>
      </c>
    </row>
    <row r="623" spans="1:17">
      <c r="A623" t="s">
        <v>932</v>
      </c>
      <c r="B623" t="s">
        <v>209</v>
      </c>
      <c r="C623" t="s">
        <v>19</v>
      </c>
      <c r="D623" t="s">
        <v>25</v>
      </c>
      <c r="E623" s="8" t="s">
        <v>47</v>
      </c>
      <c r="F623" s="8">
        <v>11.34</v>
      </c>
      <c r="G623" s="8">
        <v>11.96</v>
      </c>
      <c r="H623" s="8">
        <v>12.37</v>
      </c>
      <c r="I623" s="8">
        <v>9.77</v>
      </c>
      <c r="J623" s="6">
        <v>0.9829</v>
      </c>
      <c r="K623" s="4">
        <v>70000</v>
      </c>
      <c r="L623" s="2">
        <v>45818</v>
      </c>
      <c r="M623" t="str">
        <f t="shared" si="36"/>
        <v>Admis</v>
      </c>
      <c r="N623" t="str">
        <f t="shared" si="37"/>
        <v>Non eligible</v>
      </c>
      <c r="O623" t="str">
        <f t="shared" si="38"/>
        <v>RAS</v>
      </c>
      <c r="P623" t="str">
        <f t="shared" si="39"/>
        <v>Hors data</v>
      </c>
      <c r="Q623" t="str" cm="1">
        <f t="array" ref="Q623">_xlfn.IFS(H623&gt;=16,"Excellent",H623&gt;=14,"Très bien",H623&gt;=12,"Bien",H623&gt;=10,"Passable",H623&lt;10,"Insuffisant")</f>
        <v>Bien</v>
      </c>
    </row>
    <row r="624" spans="1:17">
      <c r="A624" t="s">
        <v>933</v>
      </c>
      <c r="B624" t="s">
        <v>369</v>
      </c>
      <c r="C624" t="s">
        <v>19</v>
      </c>
      <c r="D624" t="s">
        <v>52</v>
      </c>
      <c r="E624" s="8" t="s">
        <v>47</v>
      </c>
      <c r="F624" s="8">
        <v>8.15</v>
      </c>
      <c r="G624" s="8">
        <v>13.95</v>
      </c>
      <c r="H624" s="8">
        <v>13.92</v>
      </c>
      <c r="I624" s="8">
        <v>11.24</v>
      </c>
      <c r="J624" s="6">
        <v>0.95050000000000001</v>
      </c>
      <c r="K624" s="4">
        <v>60000</v>
      </c>
      <c r="L624" s="2">
        <v>46058</v>
      </c>
      <c r="M624" t="str">
        <f t="shared" si="36"/>
        <v>Admis</v>
      </c>
      <c r="N624" t="str">
        <f t="shared" si="37"/>
        <v>Non eligible</v>
      </c>
      <c r="O624" t="str">
        <f t="shared" si="38"/>
        <v>A surveiller</v>
      </c>
      <c r="P624" t="str">
        <f t="shared" si="39"/>
        <v>Hors data</v>
      </c>
      <c r="Q624" t="str" cm="1">
        <f t="array" ref="Q624">_xlfn.IFS(H624&gt;=16,"Excellent",H624&gt;=14,"Très bien",H624&gt;=12,"Bien",H624&gt;=10,"Passable",H624&lt;10,"Insuffisant")</f>
        <v>Bien</v>
      </c>
    </row>
    <row r="625" spans="1:17">
      <c r="A625" t="s">
        <v>934</v>
      </c>
      <c r="B625" t="s">
        <v>163</v>
      </c>
      <c r="C625" t="s">
        <v>19</v>
      </c>
      <c r="D625" t="s">
        <v>25</v>
      </c>
      <c r="E625" s="8" t="s">
        <v>21</v>
      </c>
      <c r="F625" s="8">
        <v>7.49</v>
      </c>
      <c r="G625" s="8">
        <v>7.37</v>
      </c>
      <c r="H625" s="8">
        <v>12.14</v>
      </c>
      <c r="I625" s="8">
        <v>8.23</v>
      </c>
      <c r="J625" s="6">
        <v>0.87350000000000005</v>
      </c>
      <c r="K625" s="4">
        <v>100000</v>
      </c>
      <c r="L625" s="2">
        <v>45592</v>
      </c>
      <c r="M625" t="str">
        <f t="shared" si="36"/>
        <v>Admis</v>
      </c>
      <c r="N625" t="str">
        <f t="shared" si="37"/>
        <v>Non eligible</v>
      </c>
      <c r="O625" t="str">
        <f t="shared" si="38"/>
        <v>A surveiller</v>
      </c>
      <c r="P625" t="str">
        <f t="shared" si="39"/>
        <v>Data</v>
      </c>
      <c r="Q625" t="str" cm="1">
        <f t="array" ref="Q625">_xlfn.IFS(H625&gt;=16,"Excellent",H625&gt;=14,"Très bien",H625&gt;=12,"Bien",H625&gt;=10,"Passable",H625&lt;10,"Insuffisant")</f>
        <v>Bien</v>
      </c>
    </row>
    <row r="626" spans="1:17">
      <c r="A626" t="s">
        <v>935</v>
      </c>
      <c r="B626" t="s">
        <v>58</v>
      </c>
      <c r="C626" t="s">
        <v>24</v>
      </c>
      <c r="D626" t="s">
        <v>33</v>
      </c>
      <c r="E626" s="8" t="s">
        <v>47</v>
      </c>
      <c r="F626" s="8">
        <v>10.79</v>
      </c>
      <c r="G626" s="8">
        <v>9.81</v>
      </c>
      <c r="H626" s="8">
        <v>8.8000000000000007</v>
      </c>
      <c r="I626" s="8">
        <v>6.39</v>
      </c>
      <c r="J626" s="6">
        <v>0.75249999999999995</v>
      </c>
      <c r="K626" s="4">
        <v>85000</v>
      </c>
      <c r="L626" s="2">
        <v>45741</v>
      </c>
      <c r="M626" t="str">
        <f t="shared" si="36"/>
        <v>Non admis</v>
      </c>
      <c r="N626" t="str">
        <f t="shared" si="37"/>
        <v>Non eligible</v>
      </c>
      <c r="O626" t="str">
        <f t="shared" si="38"/>
        <v>A surveiller</v>
      </c>
      <c r="P626" t="str">
        <f t="shared" si="39"/>
        <v>Hors data</v>
      </c>
      <c r="Q626" t="str" cm="1">
        <f t="array" ref="Q626">_xlfn.IFS(H626&gt;=16,"Excellent",H626&gt;=14,"Très bien",H626&gt;=12,"Bien",H626&gt;=10,"Passable",H626&lt;10,"Insuffisant")</f>
        <v>Insuffisant</v>
      </c>
    </row>
    <row r="627" spans="1:17">
      <c r="A627" t="s">
        <v>936</v>
      </c>
      <c r="B627" t="s">
        <v>736</v>
      </c>
      <c r="C627" t="s">
        <v>19</v>
      </c>
      <c r="D627" t="s">
        <v>33</v>
      </c>
      <c r="E627" s="8" t="s">
        <v>47</v>
      </c>
      <c r="F627" s="8">
        <v>13.06</v>
      </c>
      <c r="G627" s="8">
        <v>17.09</v>
      </c>
      <c r="H627" s="8">
        <v>13.13</v>
      </c>
      <c r="I627" s="8">
        <v>16.420000000000002</v>
      </c>
      <c r="J627" s="6">
        <v>0.98350000000000004</v>
      </c>
      <c r="K627" s="4">
        <v>85000</v>
      </c>
      <c r="L627" s="2">
        <v>45719</v>
      </c>
      <c r="M627" t="str">
        <f t="shared" si="36"/>
        <v>Admis</v>
      </c>
      <c r="N627" t="str">
        <f t="shared" si="37"/>
        <v>Eligible</v>
      </c>
      <c r="O627" t="str">
        <f t="shared" si="38"/>
        <v>RAS</v>
      </c>
      <c r="P627" t="str">
        <f t="shared" si="39"/>
        <v>Hors data</v>
      </c>
      <c r="Q627" t="str" cm="1">
        <f t="array" ref="Q627">_xlfn.IFS(H627&gt;=16,"Excellent",H627&gt;=14,"Très bien",H627&gt;=12,"Bien",H627&gt;=10,"Passable",H627&lt;10,"Insuffisant")</f>
        <v>Bien</v>
      </c>
    </row>
    <row r="628" spans="1:17">
      <c r="A628" t="s">
        <v>937</v>
      </c>
      <c r="B628" t="s">
        <v>938</v>
      </c>
      <c r="C628" t="s">
        <v>19</v>
      </c>
      <c r="D628" t="s">
        <v>37</v>
      </c>
      <c r="E628" s="8" t="s">
        <v>34</v>
      </c>
      <c r="F628" s="8">
        <v>5.53</v>
      </c>
      <c r="G628" s="8">
        <v>15.63</v>
      </c>
      <c r="H628" s="8">
        <v>11.59</v>
      </c>
      <c r="I628" s="8">
        <v>12.01</v>
      </c>
      <c r="J628" s="6">
        <v>0.90610000000000002</v>
      </c>
      <c r="K628" s="4">
        <v>85000</v>
      </c>
      <c r="L628" s="2">
        <v>45814</v>
      </c>
      <c r="M628" t="str">
        <f t="shared" si="36"/>
        <v>Admis</v>
      </c>
      <c r="N628" t="str">
        <f t="shared" si="37"/>
        <v>Non eligible</v>
      </c>
      <c r="O628" t="str">
        <f t="shared" si="38"/>
        <v>A surveiller</v>
      </c>
      <c r="P628" t="str">
        <f t="shared" si="39"/>
        <v>Hors data</v>
      </c>
      <c r="Q628" t="str" cm="1">
        <f t="array" ref="Q628">_xlfn.IFS(H628&gt;=16,"Excellent",H628&gt;=14,"Très bien",H628&gt;=12,"Bien",H628&gt;=10,"Passable",H628&lt;10,"Insuffisant")</f>
        <v>Passable</v>
      </c>
    </row>
    <row r="629" spans="1:17">
      <c r="A629" t="s">
        <v>939</v>
      </c>
      <c r="B629" t="s">
        <v>459</v>
      </c>
      <c r="C629" t="s">
        <v>19</v>
      </c>
      <c r="D629" t="s">
        <v>40</v>
      </c>
      <c r="E629" s="8" t="s">
        <v>47</v>
      </c>
      <c r="F629" s="8">
        <v>17.29</v>
      </c>
      <c r="G629" s="8">
        <v>17.13</v>
      </c>
      <c r="H629" s="8">
        <v>18.47</v>
      </c>
      <c r="I629" s="8">
        <v>13.96</v>
      </c>
      <c r="J629" s="6">
        <v>0.93130000000000002</v>
      </c>
      <c r="K629" s="4">
        <v>110000</v>
      </c>
      <c r="L629" s="2">
        <v>46226</v>
      </c>
      <c r="M629" t="str">
        <f t="shared" si="36"/>
        <v>Admis</v>
      </c>
      <c r="N629" t="str">
        <f t="shared" si="37"/>
        <v>Eligible</v>
      </c>
      <c r="O629" t="str">
        <f t="shared" si="38"/>
        <v>RAS</v>
      </c>
      <c r="P629" t="str">
        <f t="shared" si="39"/>
        <v>Hors data</v>
      </c>
      <c r="Q629" t="str" cm="1">
        <f t="array" ref="Q629">_xlfn.IFS(H629&gt;=16,"Excellent",H629&gt;=14,"Très bien",H629&gt;=12,"Bien",H629&gt;=10,"Passable",H629&lt;10,"Insuffisant")</f>
        <v>Excellent</v>
      </c>
    </row>
    <row r="630" spans="1:17">
      <c r="A630" t="s">
        <v>940</v>
      </c>
      <c r="B630" t="s">
        <v>617</v>
      </c>
      <c r="C630" t="s">
        <v>24</v>
      </c>
      <c r="D630" t="s">
        <v>40</v>
      </c>
      <c r="E630" s="8" t="s">
        <v>34</v>
      </c>
      <c r="F630" s="8">
        <v>15.07</v>
      </c>
      <c r="G630" s="8">
        <v>15.91</v>
      </c>
      <c r="H630" s="8">
        <v>8.73</v>
      </c>
      <c r="I630" s="8">
        <v>16.329999999999998</v>
      </c>
      <c r="J630" s="6">
        <v>0.73860000000000003</v>
      </c>
      <c r="K630" s="4">
        <v>130000</v>
      </c>
      <c r="L630" s="2">
        <v>45767</v>
      </c>
      <c r="M630" t="str">
        <f t="shared" si="36"/>
        <v>Non admis</v>
      </c>
      <c r="N630" t="str">
        <f t="shared" si="37"/>
        <v>Non eligible</v>
      </c>
      <c r="O630" t="str">
        <f t="shared" si="38"/>
        <v>A surveiller</v>
      </c>
      <c r="P630" t="str">
        <f t="shared" si="39"/>
        <v>Hors data</v>
      </c>
      <c r="Q630" t="str" cm="1">
        <f t="array" ref="Q630">_xlfn.IFS(H630&gt;=16,"Excellent",H630&gt;=14,"Très bien",H630&gt;=12,"Bien",H630&gt;=10,"Passable",H630&lt;10,"Insuffisant")</f>
        <v>Insuffisant</v>
      </c>
    </row>
    <row r="631" spans="1:17">
      <c r="A631" t="s">
        <v>941</v>
      </c>
      <c r="B631" t="s">
        <v>832</v>
      </c>
      <c r="C631" t="s">
        <v>19</v>
      </c>
      <c r="D631" t="s">
        <v>20</v>
      </c>
      <c r="E631" s="8" t="s">
        <v>34</v>
      </c>
      <c r="F631" s="8">
        <v>12.6</v>
      </c>
      <c r="G631" s="8">
        <v>12.59</v>
      </c>
      <c r="H631" s="8">
        <v>12.49</v>
      </c>
      <c r="I631" s="8">
        <v>15.33</v>
      </c>
      <c r="J631" s="6">
        <v>0.80720000000000003</v>
      </c>
      <c r="K631" s="4">
        <v>85000</v>
      </c>
      <c r="L631" s="2">
        <v>45682</v>
      </c>
      <c r="M631" t="str">
        <f t="shared" si="36"/>
        <v>Admis</v>
      </c>
      <c r="N631" t="str">
        <f t="shared" si="37"/>
        <v>Eligible</v>
      </c>
      <c r="O631" t="str">
        <f t="shared" si="38"/>
        <v>RAS</v>
      </c>
      <c r="P631" t="str">
        <f t="shared" si="39"/>
        <v>Hors data</v>
      </c>
      <c r="Q631" t="str" cm="1">
        <f t="array" ref="Q631">_xlfn.IFS(H631&gt;=16,"Excellent",H631&gt;=14,"Très bien",H631&gt;=12,"Bien",H631&gt;=10,"Passable",H631&lt;10,"Insuffisant")</f>
        <v>Bien</v>
      </c>
    </row>
    <row r="632" spans="1:17">
      <c r="A632" t="s">
        <v>942</v>
      </c>
      <c r="B632" t="s">
        <v>517</v>
      </c>
      <c r="C632" t="s">
        <v>24</v>
      </c>
      <c r="D632" t="s">
        <v>52</v>
      </c>
      <c r="E632" s="8" t="s">
        <v>21</v>
      </c>
      <c r="F632" s="8">
        <v>16.36</v>
      </c>
      <c r="G632" s="8">
        <v>16.149999999999999</v>
      </c>
      <c r="H632" s="8">
        <v>14.38</v>
      </c>
      <c r="I632" s="8">
        <v>14.67</v>
      </c>
      <c r="J632" s="6">
        <v>0.70789999999999997</v>
      </c>
      <c r="K632" s="4">
        <v>60000</v>
      </c>
      <c r="L632" s="2">
        <v>45621</v>
      </c>
      <c r="M632" t="str">
        <f t="shared" si="36"/>
        <v>Admis</v>
      </c>
      <c r="N632" t="str">
        <f t="shared" si="37"/>
        <v>Non eligible</v>
      </c>
      <c r="O632" t="str">
        <f t="shared" si="38"/>
        <v>RAS</v>
      </c>
      <c r="P632" t="str">
        <f t="shared" si="39"/>
        <v>Data</v>
      </c>
      <c r="Q632" t="str" cm="1">
        <f t="array" ref="Q632">_xlfn.IFS(H632&gt;=16,"Excellent",H632&gt;=14,"Très bien",H632&gt;=12,"Bien",H632&gt;=10,"Passable",H632&lt;10,"Insuffisant")</f>
        <v>Très bien</v>
      </c>
    </row>
    <row r="633" spans="1:17">
      <c r="A633" t="s">
        <v>943</v>
      </c>
      <c r="B633" t="s">
        <v>290</v>
      </c>
      <c r="C633" t="s">
        <v>19</v>
      </c>
      <c r="D633" t="s">
        <v>40</v>
      </c>
      <c r="E633" s="8" t="s">
        <v>34</v>
      </c>
      <c r="F633" s="8">
        <v>16.43</v>
      </c>
      <c r="G633" s="8">
        <v>17.97</v>
      </c>
      <c r="H633" s="8">
        <v>15.73</v>
      </c>
      <c r="I633" s="8">
        <v>19.32</v>
      </c>
      <c r="J633" s="6">
        <v>0.83879999999999999</v>
      </c>
      <c r="K633" s="4">
        <v>75000</v>
      </c>
      <c r="L633" s="2">
        <v>45674</v>
      </c>
      <c r="M633" t="str">
        <f t="shared" si="36"/>
        <v>Admis</v>
      </c>
      <c r="N633" t="str">
        <f t="shared" si="37"/>
        <v>Eligible</v>
      </c>
      <c r="O633" t="str">
        <f t="shared" si="38"/>
        <v>RAS</v>
      </c>
      <c r="P633" t="str">
        <f t="shared" si="39"/>
        <v>Hors data</v>
      </c>
      <c r="Q633" t="str" cm="1">
        <f t="array" ref="Q633">_xlfn.IFS(H633&gt;=16,"Excellent",H633&gt;=14,"Très bien",H633&gt;=12,"Bien",H633&gt;=10,"Passable",H633&lt;10,"Insuffisant")</f>
        <v>Très bien</v>
      </c>
    </row>
    <row r="634" spans="1:17">
      <c r="A634" t="s">
        <v>944</v>
      </c>
      <c r="B634" t="s">
        <v>473</v>
      </c>
      <c r="C634" t="s">
        <v>19</v>
      </c>
      <c r="D634" t="s">
        <v>40</v>
      </c>
      <c r="E634" s="8" t="s">
        <v>26</v>
      </c>
      <c r="F634" s="8">
        <v>9</v>
      </c>
      <c r="G634" s="8">
        <v>12.14</v>
      </c>
      <c r="H634" s="8">
        <v>10.14</v>
      </c>
      <c r="I634" s="8">
        <v>10.71</v>
      </c>
      <c r="J634" s="6">
        <v>0.59550000000000003</v>
      </c>
      <c r="K634" s="4">
        <v>85000</v>
      </c>
      <c r="L634" s="2">
        <v>45629</v>
      </c>
      <c r="M634" t="str">
        <f t="shared" si="36"/>
        <v>Admis</v>
      </c>
      <c r="N634" t="str">
        <f t="shared" si="37"/>
        <v>Non eligible</v>
      </c>
      <c r="O634" t="str">
        <f t="shared" si="38"/>
        <v>A surveiller</v>
      </c>
      <c r="P634" t="str">
        <f t="shared" si="39"/>
        <v>Hors data</v>
      </c>
      <c r="Q634" t="str" cm="1">
        <f t="array" ref="Q634">_xlfn.IFS(H634&gt;=16,"Excellent",H634&gt;=14,"Très bien",H634&gt;=12,"Bien",H634&gt;=10,"Passable",H634&lt;10,"Insuffisant")</f>
        <v>Passable</v>
      </c>
    </row>
    <row r="635" spans="1:17">
      <c r="A635" t="s">
        <v>945</v>
      </c>
      <c r="B635" t="s">
        <v>18</v>
      </c>
      <c r="C635" t="s">
        <v>19</v>
      </c>
      <c r="D635" t="s">
        <v>33</v>
      </c>
      <c r="E635" s="8" t="s">
        <v>26</v>
      </c>
      <c r="F635" s="8">
        <v>14.13</v>
      </c>
      <c r="G635" s="8">
        <v>12.35</v>
      </c>
      <c r="H635" s="8">
        <v>13.27</v>
      </c>
      <c r="I635" s="8">
        <v>14.72</v>
      </c>
      <c r="J635" s="6">
        <v>0.87860000000000005</v>
      </c>
      <c r="K635" s="4">
        <v>60000</v>
      </c>
      <c r="L635" s="2">
        <v>45937</v>
      </c>
      <c r="M635" t="str">
        <f t="shared" si="36"/>
        <v>Admis</v>
      </c>
      <c r="N635" t="str">
        <f t="shared" si="37"/>
        <v>Eligible</v>
      </c>
      <c r="O635" t="str">
        <f t="shared" si="38"/>
        <v>RAS</v>
      </c>
      <c r="P635" t="str">
        <f t="shared" si="39"/>
        <v>Hors data</v>
      </c>
      <c r="Q635" t="str" cm="1">
        <f t="array" ref="Q635">_xlfn.IFS(H635&gt;=16,"Excellent",H635&gt;=14,"Très bien",H635&gt;=12,"Bien",H635&gt;=10,"Passable",H635&lt;10,"Insuffisant")</f>
        <v>Bien</v>
      </c>
    </row>
    <row r="636" spans="1:17">
      <c r="A636" t="s">
        <v>946</v>
      </c>
      <c r="B636" t="s">
        <v>250</v>
      </c>
      <c r="C636" t="s">
        <v>19</v>
      </c>
      <c r="D636" t="s">
        <v>33</v>
      </c>
      <c r="E636" s="8" t="s">
        <v>47</v>
      </c>
      <c r="F636" s="8">
        <v>20</v>
      </c>
      <c r="G636" s="8">
        <v>16.690000000000001</v>
      </c>
      <c r="H636" s="8">
        <v>15.42</v>
      </c>
      <c r="I636" s="8">
        <v>18.23</v>
      </c>
      <c r="J636" s="6">
        <v>0.71719999999999995</v>
      </c>
      <c r="K636" s="4">
        <v>70000</v>
      </c>
      <c r="L636" s="2">
        <v>45830</v>
      </c>
      <c r="M636" t="str">
        <f t="shared" si="36"/>
        <v>Admis</v>
      </c>
      <c r="N636" t="str">
        <f t="shared" si="37"/>
        <v>Non eligible</v>
      </c>
      <c r="O636" t="str">
        <f t="shared" si="38"/>
        <v>RAS</v>
      </c>
      <c r="P636" t="str">
        <f t="shared" si="39"/>
        <v>Hors data</v>
      </c>
      <c r="Q636" t="str" cm="1">
        <f t="array" ref="Q636">_xlfn.IFS(H636&gt;=16,"Excellent",H636&gt;=14,"Très bien",H636&gt;=12,"Bien",H636&gt;=10,"Passable",H636&lt;10,"Insuffisant")</f>
        <v>Très bien</v>
      </c>
    </row>
    <row r="637" spans="1:17">
      <c r="A637" t="s">
        <v>947</v>
      </c>
      <c r="B637" t="s">
        <v>948</v>
      </c>
      <c r="C637" t="s">
        <v>24</v>
      </c>
      <c r="D637" t="s">
        <v>37</v>
      </c>
      <c r="E637" s="8" t="s">
        <v>47</v>
      </c>
      <c r="F637" s="8">
        <v>20</v>
      </c>
      <c r="G637" s="8">
        <v>17.8</v>
      </c>
      <c r="H637" s="8">
        <v>17.38</v>
      </c>
      <c r="I637" s="8">
        <v>17.3</v>
      </c>
      <c r="J637" s="6">
        <v>0.87719999999999998</v>
      </c>
      <c r="K637" s="4">
        <v>70000</v>
      </c>
      <c r="L637" s="2">
        <v>45884</v>
      </c>
      <c r="M637" t="str">
        <f t="shared" si="36"/>
        <v>Admis</v>
      </c>
      <c r="N637" t="str">
        <f t="shared" si="37"/>
        <v>Eligible</v>
      </c>
      <c r="O637" t="str">
        <f t="shared" si="38"/>
        <v>RAS</v>
      </c>
      <c r="P637" t="str">
        <f t="shared" si="39"/>
        <v>Hors data</v>
      </c>
      <c r="Q637" t="str" cm="1">
        <f t="array" ref="Q637">_xlfn.IFS(H637&gt;=16,"Excellent",H637&gt;=14,"Très bien",H637&gt;=12,"Bien",H637&gt;=10,"Passable",H637&lt;10,"Insuffisant")</f>
        <v>Excellent</v>
      </c>
    </row>
    <row r="638" spans="1:17">
      <c r="A638" t="s">
        <v>949</v>
      </c>
      <c r="B638" t="s">
        <v>580</v>
      </c>
      <c r="C638" t="s">
        <v>19</v>
      </c>
      <c r="D638" t="s">
        <v>52</v>
      </c>
      <c r="E638" s="8" t="s">
        <v>47</v>
      </c>
      <c r="F638" s="8">
        <v>10.31</v>
      </c>
      <c r="G638" s="8">
        <v>10.46</v>
      </c>
      <c r="H638" s="8">
        <v>11.1</v>
      </c>
      <c r="I638" s="8">
        <v>8.93</v>
      </c>
      <c r="J638" s="6">
        <v>0.86419999999999997</v>
      </c>
      <c r="K638" s="4">
        <v>130000</v>
      </c>
      <c r="L638" s="2">
        <v>46118</v>
      </c>
      <c r="M638" t="str">
        <f t="shared" si="36"/>
        <v>Admis</v>
      </c>
      <c r="N638" t="str">
        <f t="shared" si="37"/>
        <v>Non eligible</v>
      </c>
      <c r="O638" t="str">
        <f t="shared" si="38"/>
        <v>RAS</v>
      </c>
      <c r="P638" t="str">
        <f t="shared" si="39"/>
        <v>Hors data</v>
      </c>
      <c r="Q638" t="str" cm="1">
        <f t="array" ref="Q638">_xlfn.IFS(H638&gt;=16,"Excellent",H638&gt;=14,"Très bien",H638&gt;=12,"Bien",H638&gt;=10,"Passable",H638&lt;10,"Insuffisant")</f>
        <v>Passable</v>
      </c>
    </row>
    <row r="639" spans="1:17">
      <c r="A639" t="s">
        <v>950</v>
      </c>
      <c r="B639" t="s">
        <v>561</v>
      </c>
      <c r="C639" t="s">
        <v>19</v>
      </c>
      <c r="D639" t="s">
        <v>40</v>
      </c>
      <c r="E639" s="8" t="s">
        <v>34</v>
      </c>
      <c r="F639" s="8">
        <v>13.64</v>
      </c>
      <c r="G639" s="8">
        <v>14.11</v>
      </c>
      <c r="H639" s="8">
        <v>12.31</v>
      </c>
      <c r="I639" s="8">
        <v>15.89</v>
      </c>
      <c r="J639" s="6">
        <v>0.76659999999999995</v>
      </c>
      <c r="K639" s="4">
        <v>80000</v>
      </c>
      <c r="L639" s="2">
        <v>45942</v>
      </c>
      <c r="M639" t="str">
        <f t="shared" si="36"/>
        <v>Admis</v>
      </c>
      <c r="N639" t="str">
        <f t="shared" si="37"/>
        <v>Non eligible</v>
      </c>
      <c r="O639" t="str">
        <f t="shared" si="38"/>
        <v>RAS</v>
      </c>
      <c r="P639" t="str">
        <f t="shared" si="39"/>
        <v>Hors data</v>
      </c>
      <c r="Q639" t="str" cm="1">
        <f t="array" ref="Q639">_xlfn.IFS(H639&gt;=16,"Excellent",H639&gt;=14,"Très bien",H639&gt;=12,"Bien",H639&gt;=10,"Passable",H639&lt;10,"Insuffisant")</f>
        <v>Bien</v>
      </c>
    </row>
    <row r="640" spans="1:17">
      <c r="A640" t="s">
        <v>951</v>
      </c>
      <c r="B640" t="s">
        <v>670</v>
      </c>
      <c r="C640" t="s">
        <v>24</v>
      </c>
      <c r="D640" t="s">
        <v>20</v>
      </c>
      <c r="E640" s="8" t="s">
        <v>34</v>
      </c>
      <c r="F640" s="8">
        <v>19.04</v>
      </c>
      <c r="G640" s="8">
        <v>16.43</v>
      </c>
      <c r="H640" s="8">
        <v>16.510000000000002</v>
      </c>
      <c r="I640" s="8">
        <v>16.149999999999999</v>
      </c>
      <c r="J640" s="6">
        <v>0.85640000000000005</v>
      </c>
      <c r="K640" s="4">
        <v>120000</v>
      </c>
      <c r="L640" s="2">
        <v>45644</v>
      </c>
      <c r="M640" t="str">
        <f t="shared" si="36"/>
        <v>Admis</v>
      </c>
      <c r="N640" t="str">
        <f t="shared" si="37"/>
        <v>Eligible</v>
      </c>
      <c r="O640" t="str">
        <f t="shared" si="38"/>
        <v>RAS</v>
      </c>
      <c r="P640" t="str">
        <f t="shared" si="39"/>
        <v>Hors data</v>
      </c>
      <c r="Q640" t="str" cm="1">
        <f t="array" ref="Q640">_xlfn.IFS(H640&gt;=16,"Excellent",H640&gt;=14,"Très bien",H640&gt;=12,"Bien",H640&gt;=10,"Passable",H640&lt;10,"Insuffisant")</f>
        <v>Excellent</v>
      </c>
    </row>
    <row r="641" spans="1:17">
      <c r="A641" t="s">
        <v>952</v>
      </c>
      <c r="B641" t="s">
        <v>255</v>
      </c>
      <c r="C641" t="s">
        <v>24</v>
      </c>
      <c r="D641" t="s">
        <v>37</v>
      </c>
      <c r="E641" s="8" t="s">
        <v>47</v>
      </c>
      <c r="F641" s="8">
        <v>12.16</v>
      </c>
      <c r="G641" s="8">
        <v>12.37</v>
      </c>
      <c r="H641" s="8">
        <v>14.76</v>
      </c>
      <c r="I641" s="8">
        <v>15.68</v>
      </c>
      <c r="J641" s="6">
        <v>0.68010000000000004</v>
      </c>
      <c r="K641" s="4">
        <v>90000</v>
      </c>
      <c r="L641" s="2">
        <v>45799</v>
      </c>
      <c r="M641" t="str">
        <f t="shared" si="36"/>
        <v>Admis</v>
      </c>
      <c r="N641" t="str">
        <f t="shared" si="37"/>
        <v>Non eligible</v>
      </c>
      <c r="O641" t="str">
        <f t="shared" si="38"/>
        <v>RAS</v>
      </c>
      <c r="P641" t="str">
        <f t="shared" si="39"/>
        <v>Hors data</v>
      </c>
      <c r="Q641" t="str" cm="1">
        <f t="array" ref="Q641">_xlfn.IFS(H641&gt;=16,"Excellent",H641&gt;=14,"Très bien",H641&gt;=12,"Bien",H641&gt;=10,"Passable",H641&lt;10,"Insuffisant")</f>
        <v>Très bien</v>
      </c>
    </row>
    <row r="642" spans="1:17">
      <c r="A642" t="s">
        <v>953</v>
      </c>
      <c r="B642" t="s">
        <v>147</v>
      </c>
      <c r="C642" t="s">
        <v>24</v>
      </c>
      <c r="D642" t="s">
        <v>25</v>
      </c>
      <c r="E642" s="8" t="s">
        <v>26</v>
      </c>
      <c r="F642" s="8">
        <v>15.46</v>
      </c>
      <c r="G642" s="8">
        <v>18.02</v>
      </c>
      <c r="H642" s="8">
        <v>14.23</v>
      </c>
      <c r="I642" s="8">
        <v>14.86</v>
      </c>
      <c r="J642" s="6">
        <v>0.55000000000000004</v>
      </c>
      <c r="K642" s="4">
        <v>85000</v>
      </c>
      <c r="L642" s="2">
        <v>45754</v>
      </c>
      <c r="M642" t="str">
        <f t="shared" si="36"/>
        <v>Admis</v>
      </c>
      <c r="N642" t="str">
        <f t="shared" si="37"/>
        <v>Non eligible</v>
      </c>
      <c r="O642" t="str">
        <f t="shared" si="38"/>
        <v>RAS</v>
      </c>
      <c r="P642" t="str">
        <f t="shared" si="39"/>
        <v>Hors data</v>
      </c>
      <c r="Q642" t="str" cm="1">
        <f t="array" ref="Q642">_xlfn.IFS(H642&gt;=16,"Excellent",H642&gt;=14,"Très bien",H642&gt;=12,"Bien",H642&gt;=10,"Passable",H642&lt;10,"Insuffisant")</f>
        <v>Très bien</v>
      </c>
    </row>
    <row r="643" spans="1:17">
      <c r="A643" t="s">
        <v>954</v>
      </c>
      <c r="B643" t="s">
        <v>432</v>
      </c>
      <c r="C643" t="s">
        <v>24</v>
      </c>
      <c r="D643" t="s">
        <v>52</v>
      </c>
      <c r="E643" s="8" t="s">
        <v>34</v>
      </c>
      <c r="F643" s="8">
        <v>11.28</v>
      </c>
      <c r="G643" s="8">
        <v>18.77</v>
      </c>
      <c r="H643" s="8">
        <v>9.26</v>
      </c>
      <c r="I643" s="8">
        <v>11.45</v>
      </c>
      <c r="J643" s="6">
        <v>0.91769999999999996</v>
      </c>
      <c r="K643" s="4">
        <v>130000</v>
      </c>
      <c r="L643" s="2">
        <v>46114</v>
      </c>
      <c r="M643" t="str">
        <f t="shared" ref="M643:M706" si="40">IF(H643&gt;=10,"Admis","Non admis")</f>
        <v>Non admis</v>
      </c>
      <c r="N643" t="str">
        <f t="shared" ref="N643:N706" si="41">IF(AND(F643&gt;=12,H643&gt;=12,J643&gt;=80%),"Eligible","Non eligible")</f>
        <v>Non eligible</v>
      </c>
      <c r="O643" t="str">
        <f t="shared" ref="O643:O706" si="42">IF(OR(F643&lt;10,H643&lt;10),"A surveiller","RAS")</f>
        <v>A surveiller</v>
      </c>
      <c r="P643" t="str">
        <f t="shared" ref="P643:P706" si="43">IF(NOT(E643="Data"),"Hors data","Data")</f>
        <v>Hors data</v>
      </c>
      <c r="Q643" t="str" cm="1">
        <f t="array" ref="Q643">_xlfn.IFS(H643&gt;=16,"Excellent",H643&gt;=14,"Très bien",H643&gt;=12,"Bien",H643&gt;=10,"Passable",H643&lt;10,"Insuffisant")</f>
        <v>Insuffisant</v>
      </c>
    </row>
    <row r="644" spans="1:17">
      <c r="A644" t="s">
        <v>955</v>
      </c>
      <c r="B644" t="s">
        <v>179</v>
      </c>
      <c r="C644" t="s">
        <v>24</v>
      </c>
      <c r="D644" t="s">
        <v>52</v>
      </c>
      <c r="E644" s="8" t="s">
        <v>47</v>
      </c>
      <c r="F644" s="8">
        <v>13.13</v>
      </c>
      <c r="G644" s="8">
        <v>13.81</v>
      </c>
      <c r="H644" s="8">
        <v>13.64</v>
      </c>
      <c r="I644" s="8">
        <v>10.55</v>
      </c>
      <c r="J644" s="6">
        <v>0.85019999999999996</v>
      </c>
      <c r="K644" s="4">
        <v>100000</v>
      </c>
      <c r="L644" s="2">
        <v>45750</v>
      </c>
      <c r="M644" t="str">
        <f t="shared" si="40"/>
        <v>Admis</v>
      </c>
      <c r="N644" t="str">
        <f t="shared" si="41"/>
        <v>Eligible</v>
      </c>
      <c r="O644" t="str">
        <f t="shared" si="42"/>
        <v>RAS</v>
      </c>
      <c r="P644" t="str">
        <f t="shared" si="43"/>
        <v>Hors data</v>
      </c>
      <c r="Q644" t="str" cm="1">
        <f t="array" ref="Q644">_xlfn.IFS(H644&gt;=16,"Excellent",H644&gt;=14,"Très bien",H644&gt;=12,"Bien",H644&gt;=10,"Passable",H644&lt;10,"Insuffisant")</f>
        <v>Bien</v>
      </c>
    </row>
    <row r="645" spans="1:17">
      <c r="A645" t="s">
        <v>956</v>
      </c>
      <c r="B645" t="s">
        <v>284</v>
      </c>
      <c r="C645" t="s">
        <v>19</v>
      </c>
      <c r="D645" t="s">
        <v>37</v>
      </c>
      <c r="E645" s="8" t="s">
        <v>34</v>
      </c>
      <c r="F645" s="8">
        <v>13.81</v>
      </c>
      <c r="G645" s="8">
        <v>11.79</v>
      </c>
      <c r="H645" s="8">
        <v>13.51</v>
      </c>
      <c r="I645" s="8">
        <v>13.43</v>
      </c>
      <c r="J645" s="6">
        <v>0.92879999999999996</v>
      </c>
      <c r="K645" s="4">
        <v>70000</v>
      </c>
      <c r="L645" s="2">
        <v>45633</v>
      </c>
      <c r="M645" t="str">
        <f t="shared" si="40"/>
        <v>Admis</v>
      </c>
      <c r="N645" t="str">
        <f t="shared" si="41"/>
        <v>Eligible</v>
      </c>
      <c r="O645" t="str">
        <f t="shared" si="42"/>
        <v>RAS</v>
      </c>
      <c r="P645" t="str">
        <f t="shared" si="43"/>
        <v>Hors data</v>
      </c>
      <c r="Q645" t="str" cm="1">
        <f t="array" ref="Q645">_xlfn.IFS(H645&gt;=16,"Excellent",H645&gt;=14,"Très bien",H645&gt;=12,"Bien",H645&gt;=10,"Passable",H645&lt;10,"Insuffisant")</f>
        <v>Bien</v>
      </c>
    </row>
    <row r="646" spans="1:17">
      <c r="A646" t="s">
        <v>957</v>
      </c>
      <c r="B646" t="s">
        <v>126</v>
      </c>
      <c r="C646" t="s">
        <v>24</v>
      </c>
      <c r="D646" t="s">
        <v>20</v>
      </c>
      <c r="E646" s="8" t="s">
        <v>34</v>
      </c>
      <c r="F646" s="8">
        <v>13.9</v>
      </c>
      <c r="G646" s="8">
        <v>11.49</v>
      </c>
      <c r="H646" s="8">
        <v>15.77</v>
      </c>
      <c r="I646" s="8">
        <v>11.61</v>
      </c>
      <c r="J646" s="6">
        <v>0.97140000000000004</v>
      </c>
      <c r="K646" s="4">
        <v>75000</v>
      </c>
      <c r="L646" s="2">
        <v>46051</v>
      </c>
      <c r="M646" t="str">
        <f t="shared" si="40"/>
        <v>Admis</v>
      </c>
      <c r="N646" t="str">
        <f t="shared" si="41"/>
        <v>Eligible</v>
      </c>
      <c r="O646" t="str">
        <f t="shared" si="42"/>
        <v>RAS</v>
      </c>
      <c r="P646" t="str">
        <f t="shared" si="43"/>
        <v>Hors data</v>
      </c>
      <c r="Q646" t="str" cm="1">
        <f t="array" ref="Q646">_xlfn.IFS(H646&gt;=16,"Excellent",H646&gt;=14,"Très bien",H646&gt;=12,"Bien",H646&gt;=10,"Passable",H646&lt;10,"Insuffisant")</f>
        <v>Très bien</v>
      </c>
    </row>
    <row r="647" spans="1:17">
      <c r="A647" t="s">
        <v>958</v>
      </c>
      <c r="B647" t="s">
        <v>240</v>
      </c>
      <c r="C647" t="s">
        <v>19</v>
      </c>
      <c r="D647" t="s">
        <v>20</v>
      </c>
      <c r="E647" s="8" t="s">
        <v>34</v>
      </c>
      <c r="F647" s="8">
        <v>13.64</v>
      </c>
      <c r="G647" s="8">
        <v>14.9</v>
      </c>
      <c r="H647" s="8">
        <v>14.88</v>
      </c>
      <c r="I647" s="8">
        <v>10.07</v>
      </c>
      <c r="J647" s="6">
        <v>0.94579999999999997</v>
      </c>
      <c r="K647" s="4">
        <v>100000</v>
      </c>
      <c r="L647" s="2">
        <v>45835</v>
      </c>
      <c r="M647" t="str">
        <f t="shared" si="40"/>
        <v>Admis</v>
      </c>
      <c r="N647" t="str">
        <f t="shared" si="41"/>
        <v>Eligible</v>
      </c>
      <c r="O647" t="str">
        <f t="shared" si="42"/>
        <v>RAS</v>
      </c>
      <c r="P647" t="str">
        <f t="shared" si="43"/>
        <v>Hors data</v>
      </c>
      <c r="Q647" t="str" cm="1">
        <f t="array" ref="Q647">_xlfn.IFS(H647&gt;=16,"Excellent",H647&gt;=14,"Très bien",H647&gt;=12,"Bien",H647&gt;=10,"Passable",H647&lt;10,"Insuffisant")</f>
        <v>Très bien</v>
      </c>
    </row>
    <row r="648" spans="1:17">
      <c r="A648" t="s">
        <v>959</v>
      </c>
      <c r="B648" t="s">
        <v>871</v>
      </c>
      <c r="C648" t="s">
        <v>19</v>
      </c>
      <c r="D648" t="s">
        <v>37</v>
      </c>
      <c r="E648" s="8" t="s">
        <v>21</v>
      </c>
      <c r="F648" s="8">
        <v>6.96</v>
      </c>
      <c r="G648" s="8">
        <v>17.07</v>
      </c>
      <c r="H648" s="8">
        <v>16.489999999999998</v>
      </c>
      <c r="I648" s="8">
        <v>12.19</v>
      </c>
      <c r="J648" s="6">
        <v>0.80489999999999995</v>
      </c>
      <c r="K648" s="4">
        <v>50000</v>
      </c>
      <c r="L648" s="2">
        <v>45603</v>
      </c>
      <c r="M648" t="str">
        <f t="shared" si="40"/>
        <v>Admis</v>
      </c>
      <c r="N648" t="str">
        <f t="shared" si="41"/>
        <v>Non eligible</v>
      </c>
      <c r="O648" t="str">
        <f t="shared" si="42"/>
        <v>A surveiller</v>
      </c>
      <c r="P648" t="str">
        <f t="shared" si="43"/>
        <v>Data</v>
      </c>
      <c r="Q648" t="str" cm="1">
        <f t="array" ref="Q648">_xlfn.IFS(H648&gt;=16,"Excellent",H648&gt;=14,"Très bien",H648&gt;=12,"Bien",H648&gt;=10,"Passable",H648&lt;10,"Insuffisant")</f>
        <v>Excellent</v>
      </c>
    </row>
    <row r="649" spans="1:17">
      <c r="A649" t="s">
        <v>960</v>
      </c>
      <c r="B649" t="s">
        <v>484</v>
      </c>
      <c r="C649" t="s">
        <v>24</v>
      </c>
      <c r="D649" t="s">
        <v>20</v>
      </c>
      <c r="E649" s="8" t="s">
        <v>34</v>
      </c>
      <c r="F649" s="8">
        <v>11.99</v>
      </c>
      <c r="G649" s="8">
        <v>9.33</v>
      </c>
      <c r="H649" s="8">
        <v>9.58</v>
      </c>
      <c r="I649" s="8">
        <v>12.09</v>
      </c>
      <c r="J649" s="6">
        <v>0.9093</v>
      </c>
      <c r="K649" s="4">
        <v>60000</v>
      </c>
      <c r="L649" s="2">
        <v>46018</v>
      </c>
      <c r="M649" t="str">
        <f t="shared" si="40"/>
        <v>Non admis</v>
      </c>
      <c r="N649" t="str">
        <f t="shared" si="41"/>
        <v>Non eligible</v>
      </c>
      <c r="O649" t="str">
        <f t="shared" si="42"/>
        <v>A surveiller</v>
      </c>
      <c r="P649" t="str">
        <f t="shared" si="43"/>
        <v>Hors data</v>
      </c>
      <c r="Q649" t="str" cm="1">
        <f t="array" ref="Q649">_xlfn.IFS(H649&gt;=16,"Excellent",H649&gt;=14,"Très bien",H649&gt;=12,"Bien",H649&gt;=10,"Passable",H649&lt;10,"Insuffisant")</f>
        <v>Insuffisant</v>
      </c>
    </row>
    <row r="650" spans="1:17">
      <c r="A650" t="s">
        <v>961</v>
      </c>
      <c r="B650" t="s">
        <v>760</v>
      </c>
      <c r="C650" t="s">
        <v>24</v>
      </c>
      <c r="D650" t="s">
        <v>20</v>
      </c>
      <c r="E650" s="8" t="s">
        <v>47</v>
      </c>
      <c r="F650" s="8">
        <v>16.399999999999999</v>
      </c>
      <c r="G650" s="8">
        <v>15.12</v>
      </c>
      <c r="H650" s="8">
        <v>14.37</v>
      </c>
      <c r="I650" s="8">
        <v>17.68</v>
      </c>
      <c r="J650" s="6">
        <v>0.70750000000000002</v>
      </c>
      <c r="K650" s="4">
        <v>50000</v>
      </c>
      <c r="L650" s="2">
        <v>45683</v>
      </c>
      <c r="M650" t="str">
        <f t="shared" si="40"/>
        <v>Admis</v>
      </c>
      <c r="N650" t="str">
        <f t="shared" si="41"/>
        <v>Non eligible</v>
      </c>
      <c r="O650" t="str">
        <f t="shared" si="42"/>
        <v>RAS</v>
      </c>
      <c r="P650" t="str">
        <f t="shared" si="43"/>
        <v>Hors data</v>
      </c>
      <c r="Q650" t="str" cm="1">
        <f t="array" ref="Q650">_xlfn.IFS(H650&gt;=16,"Excellent",H650&gt;=14,"Très bien",H650&gt;=12,"Bien",H650&gt;=10,"Passable",H650&lt;10,"Insuffisant")</f>
        <v>Très bien</v>
      </c>
    </row>
    <row r="651" spans="1:17">
      <c r="A651" t="s">
        <v>962</v>
      </c>
      <c r="B651" t="s">
        <v>76</v>
      </c>
      <c r="C651" t="s">
        <v>24</v>
      </c>
      <c r="D651" t="s">
        <v>33</v>
      </c>
      <c r="E651" s="8" t="s">
        <v>47</v>
      </c>
      <c r="F651" s="8">
        <v>20</v>
      </c>
      <c r="G651" s="8">
        <v>20</v>
      </c>
      <c r="H651" s="8">
        <v>19.13</v>
      </c>
      <c r="I651" s="8">
        <v>20</v>
      </c>
      <c r="J651" s="6">
        <v>0.89190000000000003</v>
      </c>
      <c r="K651" s="4">
        <v>100000</v>
      </c>
      <c r="L651" s="2">
        <v>46143</v>
      </c>
      <c r="M651" t="str">
        <f t="shared" si="40"/>
        <v>Admis</v>
      </c>
      <c r="N651" t="str">
        <f t="shared" si="41"/>
        <v>Eligible</v>
      </c>
      <c r="O651" t="str">
        <f t="shared" si="42"/>
        <v>RAS</v>
      </c>
      <c r="P651" t="str">
        <f t="shared" si="43"/>
        <v>Hors data</v>
      </c>
      <c r="Q651" t="str" cm="1">
        <f t="array" ref="Q651">_xlfn.IFS(H651&gt;=16,"Excellent",H651&gt;=14,"Très bien",H651&gt;=12,"Bien",H651&gt;=10,"Passable",H651&lt;10,"Insuffisant")</f>
        <v>Excellent</v>
      </c>
    </row>
    <row r="652" spans="1:17">
      <c r="A652" t="s">
        <v>963</v>
      </c>
      <c r="B652" t="s">
        <v>832</v>
      </c>
      <c r="C652" t="s">
        <v>19</v>
      </c>
      <c r="D652" t="s">
        <v>33</v>
      </c>
      <c r="E652" s="8" t="s">
        <v>26</v>
      </c>
      <c r="F652" s="8">
        <v>8.3000000000000007</v>
      </c>
      <c r="G652" s="8">
        <v>10.83</v>
      </c>
      <c r="H652" s="8">
        <v>7.17</v>
      </c>
      <c r="I652" s="8">
        <v>2.71</v>
      </c>
      <c r="J652" s="6">
        <v>0.94720000000000004</v>
      </c>
      <c r="K652" s="4">
        <v>80000</v>
      </c>
      <c r="L652" s="2">
        <v>46118</v>
      </c>
      <c r="M652" t="str">
        <f t="shared" si="40"/>
        <v>Non admis</v>
      </c>
      <c r="N652" t="str">
        <f t="shared" si="41"/>
        <v>Non eligible</v>
      </c>
      <c r="O652" t="str">
        <f t="shared" si="42"/>
        <v>A surveiller</v>
      </c>
      <c r="P652" t="str">
        <f t="shared" si="43"/>
        <v>Hors data</v>
      </c>
      <c r="Q652" t="str" cm="1">
        <f t="array" ref="Q652">_xlfn.IFS(H652&gt;=16,"Excellent",H652&gt;=14,"Très bien",H652&gt;=12,"Bien",H652&gt;=10,"Passable",H652&lt;10,"Insuffisant")</f>
        <v>Insuffisant</v>
      </c>
    </row>
    <row r="653" spans="1:17">
      <c r="A653" t="s">
        <v>964</v>
      </c>
      <c r="B653" t="s">
        <v>97</v>
      </c>
      <c r="C653" t="s">
        <v>24</v>
      </c>
      <c r="D653" t="s">
        <v>40</v>
      </c>
      <c r="E653" s="8" t="s">
        <v>21</v>
      </c>
      <c r="F653" s="8">
        <v>18.02</v>
      </c>
      <c r="G653" s="8">
        <v>14.05</v>
      </c>
      <c r="H653" s="8">
        <v>17.36</v>
      </c>
      <c r="I653" s="8">
        <v>15.72</v>
      </c>
      <c r="J653" s="6">
        <v>0.78739999999999999</v>
      </c>
      <c r="K653" s="4">
        <v>50000</v>
      </c>
      <c r="L653" s="2">
        <v>45794</v>
      </c>
      <c r="M653" t="str">
        <f t="shared" si="40"/>
        <v>Admis</v>
      </c>
      <c r="N653" t="str">
        <f t="shared" si="41"/>
        <v>Non eligible</v>
      </c>
      <c r="O653" t="str">
        <f t="shared" si="42"/>
        <v>RAS</v>
      </c>
      <c r="P653" t="str">
        <f t="shared" si="43"/>
        <v>Data</v>
      </c>
      <c r="Q653" t="str" cm="1">
        <f t="array" ref="Q653">_xlfn.IFS(H653&gt;=16,"Excellent",H653&gt;=14,"Très bien",H653&gt;=12,"Bien",H653&gt;=10,"Passable",H653&lt;10,"Insuffisant")</f>
        <v>Excellent</v>
      </c>
    </row>
    <row r="654" spans="1:17">
      <c r="A654" t="s">
        <v>965</v>
      </c>
      <c r="B654" t="s">
        <v>563</v>
      </c>
      <c r="C654" t="s">
        <v>19</v>
      </c>
      <c r="D654" t="s">
        <v>25</v>
      </c>
      <c r="E654" s="8" t="s">
        <v>26</v>
      </c>
      <c r="F654" s="8">
        <v>12.06</v>
      </c>
      <c r="G654" s="8">
        <v>8.33</v>
      </c>
      <c r="H654" s="8">
        <v>14.84</v>
      </c>
      <c r="I654" s="8">
        <v>10.039999999999999</v>
      </c>
      <c r="J654" s="6">
        <v>0.85770000000000002</v>
      </c>
      <c r="K654" s="4">
        <v>110000</v>
      </c>
      <c r="L654" s="2">
        <v>45924</v>
      </c>
      <c r="M654" t="str">
        <f t="shared" si="40"/>
        <v>Admis</v>
      </c>
      <c r="N654" t="str">
        <f t="shared" si="41"/>
        <v>Eligible</v>
      </c>
      <c r="O654" t="str">
        <f t="shared" si="42"/>
        <v>RAS</v>
      </c>
      <c r="P654" t="str">
        <f t="shared" si="43"/>
        <v>Hors data</v>
      </c>
      <c r="Q654" t="str" cm="1">
        <f t="array" ref="Q654">_xlfn.IFS(H654&gt;=16,"Excellent",H654&gt;=14,"Très bien",H654&gt;=12,"Bien",H654&gt;=10,"Passable",H654&lt;10,"Insuffisant")</f>
        <v>Très bien</v>
      </c>
    </row>
    <row r="655" spans="1:17">
      <c r="A655" t="s">
        <v>966</v>
      </c>
      <c r="B655" t="s">
        <v>879</v>
      </c>
      <c r="C655" t="s">
        <v>24</v>
      </c>
      <c r="D655" t="s">
        <v>37</v>
      </c>
      <c r="E655" s="8" t="s">
        <v>26</v>
      </c>
      <c r="F655" s="8">
        <v>16.079999999999998</v>
      </c>
      <c r="G655" s="8">
        <v>16.88</v>
      </c>
      <c r="H655" s="8">
        <v>12.79</v>
      </c>
      <c r="I655" s="8">
        <v>16.010000000000002</v>
      </c>
      <c r="J655" s="6">
        <v>0.95340000000000003</v>
      </c>
      <c r="K655" s="4">
        <v>100000</v>
      </c>
      <c r="L655" s="2">
        <v>45933</v>
      </c>
      <c r="M655" t="str">
        <f t="shared" si="40"/>
        <v>Admis</v>
      </c>
      <c r="N655" t="str">
        <f t="shared" si="41"/>
        <v>Eligible</v>
      </c>
      <c r="O655" t="str">
        <f t="shared" si="42"/>
        <v>RAS</v>
      </c>
      <c r="P655" t="str">
        <f t="shared" si="43"/>
        <v>Hors data</v>
      </c>
      <c r="Q655" t="str" cm="1">
        <f t="array" ref="Q655">_xlfn.IFS(H655&gt;=16,"Excellent",H655&gt;=14,"Très bien",H655&gt;=12,"Bien",H655&gt;=10,"Passable",H655&lt;10,"Insuffisant")</f>
        <v>Bien</v>
      </c>
    </row>
    <row r="656" spans="1:17">
      <c r="A656" t="s">
        <v>967</v>
      </c>
      <c r="B656" t="s">
        <v>225</v>
      </c>
      <c r="C656" t="s">
        <v>24</v>
      </c>
      <c r="D656" t="s">
        <v>40</v>
      </c>
      <c r="E656" s="8" t="s">
        <v>34</v>
      </c>
      <c r="F656" s="8">
        <v>15.93</v>
      </c>
      <c r="G656" s="8">
        <v>16.5</v>
      </c>
      <c r="H656" s="8">
        <v>12.82</v>
      </c>
      <c r="I656" s="8">
        <v>13.5</v>
      </c>
      <c r="J656" s="6">
        <v>0.93410000000000004</v>
      </c>
      <c r="K656" s="4">
        <v>100000</v>
      </c>
      <c r="L656" s="2">
        <v>45993</v>
      </c>
      <c r="M656" t="str">
        <f t="shared" si="40"/>
        <v>Admis</v>
      </c>
      <c r="N656" t="str">
        <f t="shared" si="41"/>
        <v>Eligible</v>
      </c>
      <c r="O656" t="str">
        <f t="shared" si="42"/>
        <v>RAS</v>
      </c>
      <c r="P656" t="str">
        <f t="shared" si="43"/>
        <v>Hors data</v>
      </c>
      <c r="Q656" t="str" cm="1">
        <f t="array" ref="Q656">_xlfn.IFS(H656&gt;=16,"Excellent",H656&gt;=14,"Très bien",H656&gt;=12,"Bien",H656&gt;=10,"Passable",H656&lt;10,"Insuffisant")</f>
        <v>Bien</v>
      </c>
    </row>
    <row r="657" spans="1:17">
      <c r="A657" t="s">
        <v>968</v>
      </c>
      <c r="B657" t="s">
        <v>49</v>
      </c>
      <c r="C657" t="s">
        <v>24</v>
      </c>
      <c r="D657" t="s">
        <v>33</v>
      </c>
      <c r="E657" s="8" t="s">
        <v>34</v>
      </c>
      <c r="F657" s="8">
        <v>16.43</v>
      </c>
      <c r="G657" s="8">
        <v>15.85</v>
      </c>
      <c r="H657" s="8">
        <v>15.67</v>
      </c>
      <c r="I657" s="8">
        <v>15.11</v>
      </c>
      <c r="J657" s="6">
        <v>0.88429999999999997</v>
      </c>
      <c r="K657" s="4">
        <v>60000</v>
      </c>
      <c r="L657" s="2">
        <v>45584</v>
      </c>
      <c r="M657" t="str">
        <f t="shared" si="40"/>
        <v>Admis</v>
      </c>
      <c r="N657" t="str">
        <f t="shared" si="41"/>
        <v>Eligible</v>
      </c>
      <c r="O657" t="str">
        <f t="shared" si="42"/>
        <v>RAS</v>
      </c>
      <c r="P657" t="str">
        <f t="shared" si="43"/>
        <v>Hors data</v>
      </c>
      <c r="Q657" t="str" cm="1">
        <f t="array" ref="Q657">_xlfn.IFS(H657&gt;=16,"Excellent",H657&gt;=14,"Très bien",H657&gt;=12,"Bien",H657&gt;=10,"Passable",H657&lt;10,"Insuffisant")</f>
        <v>Très bien</v>
      </c>
    </row>
    <row r="658" spans="1:17">
      <c r="A658" t="s">
        <v>969</v>
      </c>
      <c r="B658" t="s">
        <v>60</v>
      </c>
      <c r="C658" t="s">
        <v>24</v>
      </c>
      <c r="D658" t="s">
        <v>37</v>
      </c>
      <c r="E658" s="8" t="s">
        <v>34</v>
      </c>
      <c r="F658" s="8">
        <v>14.82</v>
      </c>
      <c r="G658" s="8">
        <v>18.079999999999998</v>
      </c>
      <c r="H658" s="8">
        <v>18.28</v>
      </c>
      <c r="I658" s="8">
        <v>16.47</v>
      </c>
      <c r="J658" s="6">
        <v>0.86040000000000005</v>
      </c>
      <c r="K658" s="4">
        <v>120000</v>
      </c>
      <c r="L658" s="2">
        <v>45763</v>
      </c>
      <c r="M658" t="str">
        <f t="shared" si="40"/>
        <v>Admis</v>
      </c>
      <c r="N658" t="str">
        <f t="shared" si="41"/>
        <v>Eligible</v>
      </c>
      <c r="O658" t="str">
        <f t="shared" si="42"/>
        <v>RAS</v>
      </c>
      <c r="P658" t="str">
        <f t="shared" si="43"/>
        <v>Hors data</v>
      </c>
      <c r="Q658" t="str" cm="1">
        <f t="array" ref="Q658">_xlfn.IFS(H658&gt;=16,"Excellent",H658&gt;=14,"Très bien",H658&gt;=12,"Bien",H658&gt;=10,"Passable",H658&lt;10,"Insuffisant")</f>
        <v>Excellent</v>
      </c>
    </row>
    <row r="659" spans="1:17">
      <c r="A659" t="s">
        <v>970</v>
      </c>
      <c r="B659" t="s">
        <v>309</v>
      </c>
      <c r="C659" t="s">
        <v>24</v>
      </c>
      <c r="D659" t="s">
        <v>20</v>
      </c>
      <c r="E659" s="8" t="s">
        <v>47</v>
      </c>
      <c r="F659" s="8">
        <v>8.67</v>
      </c>
      <c r="G659" s="8">
        <v>13.39</v>
      </c>
      <c r="H659" s="8">
        <v>10.37</v>
      </c>
      <c r="I659" s="8">
        <v>13.89</v>
      </c>
      <c r="J659" s="6">
        <v>0.89090000000000003</v>
      </c>
      <c r="K659" s="4">
        <v>60000</v>
      </c>
      <c r="L659" s="2">
        <v>45655</v>
      </c>
      <c r="M659" t="str">
        <f t="shared" si="40"/>
        <v>Admis</v>
      </c>
      <c r="N659" t="str">
        <f t="shared" si="41"/>
        <v>Non eligible</v>
      </c>
      <c r="O659" t="str">
        <f t="shared" si="42"/>
        <v>A surveiller</v>
      </c>
      <c r="P659" t="str">
        <f t="shared" si="43"/>
        <v>Hors data</v>
      </c>
      <c r="Q659" t="str" cm="1">
        <f t="array" ref="Q659">_xlfn.IFS(H659&gt;=16,"Excellent",H659&gt;=14,"Très bien",H659&gt;=12,"Bien",H659&gt;=10,"Passable",H659&lt;10,"Insuffisant")</f>
        <v>Passable</v>
      </c>
    </row>
    <row r="660" spans="1:17">
      <c r="A660" t="s">
        <v>971</v>
      </c>
      <c r="B660" t="s">
        <v>493</v>
      </c>
      <c r="C660" t="s">
        <v>19</v>
      </c>
      <c r="D660" t="s">
        <v>25</v>
      </c>
      <c r="E660" s="8" t="s">
        <v>26</v>
      </c>
      <c r="F660" s="8">
        <v>15.62</v>
      </c>
      <c r="G660" s="8">
        <v>15.21</v>
      </c>
      <c r="H660" s="8">
        <v>13.34</v>
      </c>
      <c r="I660" s="8">
        <v>19.53</v>
      </c>
      <c r="J660" s="6">
        <v>0.69230000000000003</v>
      </c>
      <c r="K660" s="4">
        <v>90000</v>
      </c>
      <c r="L660" s="2">
        <v>46024</v>
      </c>
      <c r="M660" t="str">
        <f t="shared" si="40"/>
        <v>Admis</v>
      </c>
      <c r="N660" t="str">
        <f t="shared" si="41"/>
        <v>Non eligible</v>
      </c>
      <c r="O660" t="str">
        <f t="shared" si="42"/>
        <v>RAS</v>
      </c>
      <c r="P660" t="str">
        <f t="shared" si="43"/>
        <v>Hors data</v>
      </c>
      <c r="Q660" t="str" cm="1">
        <f t="array" ref="Q660">_xlfn.IFS(H660&gt;=16,"Excellent",H660&gt;=14,"Très bien",H660&gt;=12,"Bien",H660&gt;=10,"Passable",H660&lt;10,"Insuffisant")</f>
        <v>Bien</v>
      </c>
    </row>
    <row r="661" spans="1:17">
      <c r="A661" t="s">
        <v>972</v>
      </c>
      <c r="B661" t="s">
        <v>554</v>
      </c>
      <c r="C661" t="s">
        <v>19</v>
      </c>
      <c r="D661" t="s">
        <v>25</v>
      </c>
      <c r="E661" s="8" t="s">
        <v>47</v>
      </c>
      <c r="F661" s="8">
        <v>8.61</v>
      </c>
      <c r="G661" s="8">
        <v>9.59</v>
      </c>
      <c r="H661" s="8">
        <v>8.2100000000000009</v>
      </c>
      <c r="I661" s="8">
        <v>6.79</v>
      </c>
      <c r="J661" s="6">
        <v>0.60650000000000004</v>
      </c>
      <c r="K661" s="4">
        <v>90000</v>
      </c>
      <c r="L661" s="2">
        <v>45584</v>
      </c>
      <c r="M661" t="str">
        <f t="shared" si="40"/>
        <v>Non admis</v>
      </c>
      <c r="N661" t="str">
        <f t="shared" si="41"/>
        <v>Non eligible</v>
      </c>
      <c r="O661" t="str">
        <f t="shared" si="42"/>
        <v>A surveiller</v>
      </c>
      <c r="P661" t="str">
        <f t="shared" si="43"/>
        <v>Hors data</v>
      </c>
      <c r="Q661" t="str" cm="1">
        <f t="array" ref="Q661">_xlfn.IFS(H661&gt;=16,"Excellent",H661&gt;=14,"Très bien",H661&gt;=12,"Bien",H661&gt;=10,"Passable",H661&lt;10,"Insuffisant")</f>
        <v>Insuffisant</v>
      </c>
    </row>
    <row r="662" spans="1:17">
      <c r="A662" t="s">
        <v>973</v>
      </c>
      <c r="B662" t="s">
        <v>974</v>
      </c>
      <c r="C662" t="s">
        <v>19</v>
      </c>
      <c r="D662" t="s">
        <v>20</v>
      </c>
      <c r="E662" s="8" t="s">
        <v>47</v>
      </c>
      <c r="F662" s="8">
        <v>17.18</v>
      </c>
      <c r="G662" s="8">
        <v>19.21</v>
      </c>
      <c r="H662" s="8">
        <v>13.87</v>
      </c>
      <c r="I662" s="8">
        <v>20</v>
      </c>
      <c r="J662" s="6">
        <v>0.95640000000000003</v>
      </c>
      <c r="K662" s="4">
        <v>70000</v>
      </c>
      <c r="L662" s="2">
        <v>45897</v>
      </c>
      <c r="M662" t="str">
        <f t="shared" si="40"/>
        <v>Admis</v>
      </c>
      <c r="N662" t="str">
        <f t="shared" si="41"/>
        <v>Eligible</v>
      </c>
      <c r="O662" t="str">
        <f t="shared" si="42"/>
        <v>RAS</v>
      </c>
      <c r="P662" t="str">
        <f t="shared" si="43"/>
        <v>Hors data</v>
      </c>
      <c r="Q662" t="str" cm="1">
        <f t="array" ref="Q662">_xlfn.IFS(H662&gt;=16,"Excellent",H662&gt;=14,"Très bien",H662&gt;=12,"Bien",H662&gt;=10,"Passable",H662&lt;10,"Insuffisant")</f>
        <v>Bien</v>
      </c>
    </row>
    <row r="663" spans="1:17">
      <c r="A663" t="s">
        <v>975</v>
      </c>
      <c r="B663" t="s">
        <v>165</v>
      </c>
      <c r="C663" t="s">
        <v>24</v>
      </c>
      <c r="D663" t="s">
        <v>52</v>
      </c>
      <c r="E663" s="8" t="s">
        <v>47</v>
      </c>
      <c r="F663" s="8">
        <v>16.309999999999999</v>
      </c>
      <c r="G663" s="8">
        <v>16.03</v>
      </c>
      <c r="H663" s="8">
        <v>13.77</v>
      </c>
      <c r="I663" s="8">
        <v>16.52</v>
      </c>
      <c r="J663" s="6">
        <v>0.90159999999999996</v>
      </c>
      <c r="K663" s="4">
        <v>80000</v>
      </c>
      <c r="L663" s="2">
        <v>46045</v>
      </c>
      <c r="M663" t="str">
        <f t="shared" si="40"/>
        <v>Admis</v>
      </c>
      <c r="N663" t="str">
        <f t="shared" si="41"/>
        <v>Eligible</v>
      </c>
      <c r="O663" t="str">
        <f t="shared" si="42"/>
        <v>RAS</v>
      </c>
      <c r="P663" t="str">
        <f t="shared" si="43"/>
        <v>Hors data</v>
      </c>
      <c r="Q663" t="str" cm="1">
        <f t="array" ref="Q663">_xlfn.IFS(H663&gt;=16,"Excellent",H663&gt;=14,"Très bien",H663&gt;=12,"Bien",H663&gt;=10,"Passable",H663&lt;10,"Insuffisant")</f>
        <v>Bien</v>
      </c>
    </row>
    <row r="664" spans="1:17">
      <c r="A664" t="s">
        <v>976</v>
      </c>
      <c r="B664" t="s">
        <v>481</v>
      </c>
      <c r="C664" t="s">
        <v>19</v>
      </c>
      <c r="D664" t="s">
        <v>37</v>
      </c>
      <c r="E664" s="8" t="s">
        <v>21</v>
      </c>
      <c r="F664" s="8">
        <v>16.850000000000001</v>
      </c>
      <c r="G664" s="8">
        <v>20</v>
      </c>
      <c r="H664" s="8">
        <v>17.07</v>
      </c>
      <c r="I664" s="8">
        <v>17.89</v>
      </c>
      <c r="J664" s="6">
        <v>0.91339999999999999</v>
      </c>
      <c r="K664" s="4">
        <v>50000</v>
      </c>
      <c r="L664" s="2">
        <v>46199</v>
      </c>
      <c r="M664" t="str">
        <f t="shared" si="40"/>
        <v>Admis</v>
      </c>
      <c r="N664" t="str">
        <f t="shared" si="41"/>
        <v>Eligible</v>
      </c>
      <c r="O664" t="str">
        <f t="shared" si="42"/>
        <v>RAS</v>
      </c>
      <c r="P664" t="str">
        <f t="shared" si="43"/>
        <v>Data</v>
      </c>
      <c r="Q664" t="str" cm="1">
        <f t="array" ref="Q664">_xlfn.IFS(H664&gt;=16,"Excellent",H664&gt;=14,"Très bien",H664&gt;=12,"Bien",H664&gt;=10,"Passable",H664&lt;10,"Insuffisant")</f>
        <v>Excellent</v>
      </c>
    </row>
    <row r="665" spans="1:17">
      <c r="A665" t="s">
        <v>977</v>
      </c>
      <c r="B665" t="s">
        <v>201</v>
      </c>
      <c r="C665" t="s">
        <v>19</v>
      </c>
      <c r="D665" t="s">
        <v>52</v>
      </c>
      <c r="E665" s="8" t="s">
        <v>47</v>
      </c>
      <c r="F665" s="8">
        <v>12.92</v>
      </c>
      <c r="G665" s="8">
        <v>8.16</v>
      </c>
      <c r="H665" s="8">
        <v>11.2</v>
      </c>
      <c r="I665" s="8">
        <v>6.05</v>
      </c>
      <c r="J665" s="6">
        <v>0.94720000000000004</v>
      </c>
      <c r="K665" s="4">
        <v>85000</v>
      </c>
      <c r="L665" s="2">
        <v>45737</v>
      </c>
      <c r="M665" t="str">
        <f t="shared" si="40"/>
        <v>Admis</v>
      </c>
      <c r="N665" t="str">
        <f t="shared" si="41"/>
        <v>Non eligible</v>
      </c>
      <c r="O665" t="str">
        <f t="shared" si="42"/>
        <v>RAS</v>
      </c>
      <c r="P665" t="str">
        <f t="shared" si="43"/>
        <v>Hors data</v>
      </c>
      <c r="Q665" t="str" cm="1">
        <f t="array" ref="Q665">_xlfn.IFS(H665&gt;=16,"Excellent",H665&gt;=14,"Très bien",H665&gt;=12,"Bien",H665&gt;=10,"Passable",H665&lt;10,"Insuffisant")</f>
        <v>Passable</v>
      </c>
    </row>
    <row r="666" spans="1:17">
      <c r="A666" t="s">
        <v>978</v>
      </c>
      <c r="B666" t="s">
        <v>314</v>
      </c>
      <c r="C666" t="s">
        <v>24</v>
      </c>
      <c r="D666" t="s">
        <v>25</v>
      </c>
      <c r="E666" s="8" t="s">
        <v>21</v>
      </c>
      <c r="F666" s="8">
        <v>10.52</v>
      </c>
      <c r="G666" s="8">
        <v>10.36</v>
      </c>
      <c r="H666" s="8">
        <v>11.06</v>
      </c>
      <c r="I666" s="8">
        <v>13.53</v>
      </c>
      <c r="J666" s="6">
        <v>0.97170000000000001</v>
      </c>
      <c r="K666" s="4">
        <v>100000</v>
      </c>
      <c r="L666" s="2">
        <v>45541</v>
      </c>
      <c r="M666" t="str">
        <f t="shared" si="40"/>
        <v>Admis</v>
      </c>
      <c r="N666" t="str">
        <f t="shared" si="41"/>
        <v>Non eligible</v>
      </c>
      <c r="O666" t="str">
        <f t="shared" si="42"/>
        <v>RAS</v>
      </c>
      <c r="P666" t="str">
        <f t="shared" si="43"/>
        <v>Data</v>
      </c>
      <c r="Q666" t="str" cm="1">
        <f t="array" ref="Q666">_xlfn.IFS(H666&gt;=16,"Excellent",H666&gt;=14,"Très bien",H666&gt;=12,"Bien",H666&gt;=10,"Passable",H666&lt;10,"Insuffisant")</f>
        <v>Passable</v>
      </c>
    </row>
    <row r="667" spans="1:17">
      <c r="A667" t="s">
        <v>979</v>
      </c>
      <c r="B667" t="s">
        <v>300</v>
      </c>
      <c r="C667" t="s">
        <v>24</v>
      </c>
      <c r="D667" t="s">
        <v>33</v>
      </c>
      <c r="E667" s="8" t="s">
        <v>26</v>
      </c>
      <c r="F667" s="8">
        <v>14.94</v>
      </c>
      <c r="G667" s="8">
        <v>14.66</v>
      </c>
      <c r="H667" s="8">
        <v>13.3</v>
      </c>
      <c r="I667" s="8">
        <v>12.8</v>
      </c>
      <c r="J667" s="6">
        <v>0.93730000000000002</v>
      </c>
      <c r="K667" s="4">
        <v>75000</v>
      </c>
      <c r="L667" s="2">
        <v>46042</v>
      </c>
      <c r="M667" t="str">
        <f t="shared" si="40"/>
        <v>Admis</v>
      </c>
      <c r="N667" t="str">
        <f t="shared" si="41"/>
        <v>Eligible</v>
      </c>
      <c r="O667" t="str">
        <f t="shared" si="42"/>
        <v>RAS</v>
      </c>
      <c r="P667" t="str">
        <f t="shared" si="43"/>
        <v>Hors data</v>
      </c>
      <c r="Q667" t="str" cm="1">
        <f t="array" ref="Q667">_xlfn.IFS(H667&gt;=16,"Excellent",H667&gt;=14,"Très bien",H667&gt;=12,"Bien",H667&gt;=10,"Passable",H667&lt;10,"Insuffisant")</f>
        <v>Bien</v>
      </c>
    </row>
    <row r="668" spans="1:17">
      <c r="A668" t="s">
        <v>980</v>
      </c>
      <c r="B668" t="s">
        <v>419</v>
      </c>
      <c r="C668" t="s">
        <v>24</v>
      </c>
      <c r="D668" t="s">
        <v>20</v>
      </c>
      <c r="E668" s="8" t="s">
        <v>26</v>
      </c>
      <c r="F668" s="8">
        <v>14.57</v>
      </c>
      <c r="G668" s="8">
        <v>12.61</v>
      </c>
      <c r="H668" s="8">
        <v>15.51</v>
      </c>
      <c r="I668" s="8">
        <v>14.93</v>
      </c>
      <c r="J668" s="6">
        <v>0.80459999999999998</v>
      </c>
      <c r="K668" s="4">
        <v>85000</v>
      </c>
      <c r="L668" s="2">
        <v>45537</v>
      </c>
      <c r="M668" t="str">
        <f t="shared" si="40"/>
        <v>Admis</v>
      </c>
      <c r="N668" t="str">
        <f t="shared" si="41"/>
        <v>Eligible</v>
      </c>
      <c r="O668" t="str">
        <f t="shared" si="42"/>
        <v>RAS</v>
      </c>
      <c r="P668" t="str">
        <f t="shared" si="43"/>
        <v>Hors data</v>
      </c>
      <c r="Q668" t="str" cm="1">
        <f t="array" ref="Q668">_xlfn.IFS(H668&gt;=16,"Excellent",H668&gt;=14,"Très bien",H668&gt;=12,"Bien",H668&gt;=10,"Passable",H668&lt;10,"Insuffisant")</f>
        <v>Très bien</v>
      </c>
    </row>
    <row r="669" spans="1:17">
      <c r="A669" t="s">
        <v>981</v>
      </c>
      <c r="B669" t="s">
        <v>122</v>
      </c>
      <c r="C669" t="s">
        <v>24</v>
      </c>
      <c r="D669" t="s">
        <v>25</v>
      </c>
      <c r="E669" s="8" t="s">
        <v>47</v>
      </c>
      <c r="F669" s="8">
        <v>17.600000000000001</v>
      </c>
      <c r="G669" s="8">
        <v>16.420000000000002</v>
      </c>
      <c r="H669" s="8">
        <v>15.12</v>
      </c>
      <c r="I669" s="8">
        <v>12.05</v>
      </c>
      <c r="J669" s="6">
        <v>0.86370000000000002</v>
      </c>
      <c r="K669" s="4">
        <v>130000</v>
      </c>
      <c r="L669" s="2">
        <v>45582</v>
      </c>
      <c r="M669" t="str">
        <f t="shared" si="40"/>
        <v>Admis</v>
      </c>
      <c r="N669" t="str">
        <f t="shared" si="41"/>
        <v>Eligible</v>
      </c>
      <c r="O669" t="str">
        <f t="shared" si="42"/>
        <v>RAS</v>
      </c>
      <c r="P669" t="str">
        <f t="shared" si="43"/>
        <v>Hors data</v>
      </c>
      <c r="Q669" t="str" cm="1">
        <f t="array" ref="Q669">_xlfn.IFS(H669&gt;=16,"Excellent",H669&gt;=14,"Très bien",H669&gt;=12,"Bien",H669&gt;=10,"Passable",H669&lt;10,"Insuffisant")</f>
        <v>Très bien</v>
      </c>
    </row>
    <row r="670" spans="1:17">
      <c r="A670" t="s">
        <v>982</v>
      </c>
      <c r="B670" t="s">
        <v>983</v>
      </c>
      <c r="C670" t="s">
        <v>24</v>
      </c>
      <c r="D670" t="s">
        <v>25</v>
      </c>
      <c r="E670" s="8" t="s">
        <v>34</v>
      </c>
      <c r="F670" s="8">
        <v>12.78</v>
      </c>
      <c r="G670" s="8">
        <v>16.52</v>
      </c>
      <c r="H670" s="8">
        <v>15.31</v>
      </c>
      <c r="I670" s="8">
        <v>13.83</v>
      </c>
      <c r="J670" s="6">
        <v>0.71220000000000006</v>
      </c>
      <c r="K670" s="4">
        <v>70000</v>
      </c>
      <c r="L670" s="2">
        <v>46229</v>
      </c>
      <c r="M670" t="str">
        <f t="shared" si="40"/>
        <v>Admis</v>
      </c>
      <c r="N670" t="str">
        <f t="shared" si="41"/>
        <v>Non eligible</v>
      </c>
      <c r="O670" t="str">
        <f t="shared" si="42"/>
        <v>RAS</v>
      </c>
      <c r="P670" t="str">
        <f t="shared" si="43"/>
        <v>Hors data</v>
      </c>
      <c r="Q670" t="str" cm="1">
        <f t="array" ref="Q670">_xlfn.IFS(H670&gt;=16,"Excellent",H670&gt;=14,"Très bien",H670&gt;=12,"Bien",H670&gt;=10,"Passable",H670&lt;10,"Insuffisant")</f>
        <v>Très bien</v>
      </c>
    </row>
    <row r="671" spans="1:17">
      <c r="A671" t="s">
        <v>984</v>
      </c>
      <c r="B671" t="s">
        <v>495</v>
      </c>
      <c r="C671" t="s">
        <v>19</v>
      </c>
      <c r="D671" t="s">
        <v>25</v>
      </c>
      <c r="E671" s="8" t="s">
        <v>47</v>
      </c>
      <c r="F671" s="8">
        <v>7.55</v>
      </c>
      <c r="G671" s="8">
        <v>6.77</v>
      </c>
      <c r="H671" s="8">
        <v>8.84</v>
      </c>
      <c r="I671" s="8">
        <v>12.81</v>
      </c>
      <c r="J671" s="6">
        <v>0.88290000000000002</v>
      </c>
      <c r="K671" s="4">
        <v>75000</v>
      </c>
      <c r="L671" s="2">
        <v>46139</v>
      </c>
      <c r="M671" t="str">
        <f t="shared" si="40"/>
        <v>Non admis</v>
      </c>
      <c r="N671" t="str">
        <f t="shared" si="41"/>
        <v>Non eligible</v>
      </c>
      <c r="O671" t="str">
        <f t="shared" si="42"/>
        <v>A surveiller</v>
      </c>
      <c r="P671" t="str">
        <f t="shared" si="43"/>
        <v>Hors data</v>
      </c>
      <c r="Q671" t="str" cm="1">
        <f t="array" ref="Q671">_xlfn.IFS(H671&gt;=16,"Excellent",H671&gt;=14,"Très bien",H671&gt;=12,"Bien",H671&gt;=10,"Passable",H671&lt;10,"Insuffisant")</f>
        <v>Insuffisant</v>
      </c>
    </row>
    <row r="672" spans="1:17">
      <c r="A672" t="s">
        <v>985</v>
      </c>
      <c r="B672" t="s">
        <v>212</v>
      </c>
      <c r="C672" t="s">
        <v>24</v>
      </c>
      <c r="D672" t="s">
        <v>52</v>
      </c>
      <c r="E672" s="8" t="s">
        <v>47</v>
      </c>
      <c r="F672" s="8">
        <v>18.09</v>
      </c>
      <c r="G672" s="8">
        <v>16.77</v>
      </c>
      <c r="H672" s="8">
        <v>17.27</v>
      </c>
      <c r="I672" s="8">
        <v>14.02</v>
      </c>
      <c r="J672" s="6">
        <v>0.84699999999999998</v>
      </c>
      <c r="K672" s="4">
        <v>60000</v>
      </c>
      <c r="L672" s="2">
        <v>46031</v>
      </c>
      <c r="M672" t="str">
        <f t="shared" si="40"/>
        <v>Admis</v>
      </c>
      <c r="N672" t="str">
        <f t="shared" si="41"/>
        <v>Eligible</v>
      </c>
      <c r="O672" t="str">
        <f t="shared" si="42"/>
        <v>RAS</v>
      </c>
      <c r="P672" t="str">
        <f t="shared" si="43"/>
        <v>Hors data</v>
      </c>
      <c r="Q672" t="str" cm="1">
        <f t="array" ref="Q672">_xlfn.IFS(H672&gt;=16,"Excellent",H672&gt;=14,"Très bien",H672&gt;=12,"Bien",H672&gt;=10,"Passable",H672&lt;10,"Insuffisant")</f>
        <v>Excellent</v>
      </c>
    </row>
    <row r="673" spans="1:17">
      <c r="A673" t="s">
        <v>986</v>
      </c>
      <c r="B673" t="s">
        <v>733</v>
      </c>
      <c r="C673" t="s">
        <v>24</v>
      </c>
      <c r="D673" t="s">
        <v>33</v>
      </c>
      <c r="E673" s="8" t="s">
        <v>47</v>
      </c>
      <c r="F673" s="8">
        <v>16.920000000000002</v>
      </c>
      <c r="G673" s="8">
        <v>14.3</v>
      </c>
      <c r="H673" s="8">
        <v>17.5</v>
      </c>
      <c r="I673" s="8">
        <v>15.94</v>
      </c>
      <c r="J673" s="6">
        <v>0.55000000000000004</v>
      </c>
      <c r="K673" s="4">
        <v>85000</v>
      </c>
      <c r="L673" s="2">
        <v>46120</v>
      </c>
      <c r="M673" t="str">
        <f t="shared" si="40"/>
        <v>Admis</v>
      </c>
      <c r="N673" t="str">
        <f t="shared" si="41"/>
        <v>Non eligible</v>
      </c>
      <c r="O673" t="str">
        <f t="shared" si="42"/>
        <v>RAS</v>
      </c>
      <c r="P673" t="str">
        <f t="shared" si="43"/>
        <v>Hors data</v>
      </c>
      <c r="Q673" t="str" cm="1">
        <f t="array" ref="Q673">_xlfn.IFS(H673&gt;=16,"Excellent",H673&gt;=14,"Très bien",H673&gt;=12,"Bien",H673&gt;=10,"Passable",H673&lt;10,"Insuffisant")</f>
        <v>Excellent</v>
      </c>
    </row>
    <row r="674" spans="1:17">
      <c r="A674" t="s">
        <v>987</v>
      </c>
      <c r="B674" t="s">
        <v>236</v>
      </c>
      <c r="C674" t="s">
        <v>24</v>
      </c>
      <c r="D674" t="s">
        <v>40</v>
      </c>
      <c r="E674" s="8" t="s">
        <v>47</v>
      </c>
      <c r="F674" s="8">
        <v>13.46</v>
      </c>
      <c r="G674" s="8">
        <v>15.39</v>
      </c>
      <c r="H674" s="8">
        <v>14.86</v>
      </c>
      <c r="I674" s="8">
        <v>13.09</v>
      </c>
      <c r="J674" s="6">
        <v>0.65739999999999998</v>
      </c>
      <c r="K674" s="4">
        <v>70000</v>
      </c>
      <c r="L674" s="2">
        <v>45588</v>
      </c>
      <c r="M674" t="str">
        <f t="shared" si="40"/>
        <v>Admis</v>
      </c>
      <c r="N674" t="str">
        <f t="shared" si="41"/>
        <v>Non eligible</v>
      </c>
      <c r="O674" t="str">
        <f t="shared" si="42"/>
        <v>RAS</v>
      </c>
      <c r="P674" t="str">
        <f t="shared" si="43"/>
        <v>Hors data</v>
      </c>
      <c r="Q674" t="str" cm="1">
        <f t="array" ref="Q674">_xlfn.IFS(H674&gt;=16,"Excellent",H674&gt;=14,"Très bien",H674&gt;=12,"Bien",H674&gt;=10,"Passable",H674&lt;10,"Insuffisant")</f>
        <v>Très bien</v>
      </c>
    </row>
    <row r="675" spans="1:17">
      <c r="A675" t="s">
        <v>988</v>
      </c>
      <c r="B675" t="s">
        <v>925</v>
      </c>
      <c r="C675" t="s">
        <v>19</v>
      </c>
      <c r="D675" t="s">
        <v>25</v>
      </c>
      <c r="E675" s="8" t="s">
        <v>21</v>
      </c>
      <c r="F675" s="8">
        <v>8.74</v>
      </c>
      <c r="G675" s="8">
        <v>10.65</v>
      </c>
      <c r="H675" s="8">
        <v>12.25</v>
      </c>
      <c r="I675" s="8">
        <v>8.36</v>
      </c>
      <c r="J675" s="6">
        <v>0.59</v>
      </c>
      <c r="K675" s="4">
        <v>120000</v>
      </c>
      <c r="L675" s="2">
        <v>45598</v>
      </c>
      <c r="M675" t="str">
        <f t="shared" si="40"/>
        <v>Admis</v>
      </c>
      <c r="N675" t="str">
        <f t="shared" si="41"/>
        <v>Non eligible</v>
      </c>
      <c r="O675" t="str">
        <f t="shared" si="42"/>
        <v>A surveiller</v>
      </c>
      <c r="P675" t="str">
        <f t="shared" si="43"/>
        <v>Data</v>
      </c>
      <c r="Q675" t="str" cm="1">
        <f t="array" ref="Q675">_xlfn.IFS(H675&gt;=16,"Excellent",H675&gt;=14,"Très bien",H675&gt;=12,"Bien",H675&gt;=10,"Passable",H675&lt;10,"Insuffisant")</f>
        <v>Bien</v>
      </c>
    </row>
    <row r="676" spans="1:17">
      <c r="A676" t="s">
        <v>989</v>
      </c>
      <c r="B676" t="s">
        <v>588</v>
      </c>
      <c r="C676" t="s">
        <v>24</v>
      </c>
      <c r="D676" t="s">
        <v>37</v>
      </c>
      <c r="E676" s="8" t="s">
        <v>21</v>
      </c>
      <c r="F676" s="8">
        <v>16.57</v>
      </c>
      <c r="G676" s="8">
        <v>16.32</v>
      </c>
      <c r="H676" s="8">
        <v>13.77</v>
      </c>
      <c r="I676" s="8">
        <v>14.71</v>
      </c>
      <c r="J676" s="6">
        <v>0.73750000000000004</v>
      </c>
      <c r="K676" s="4">
        <v>75000</v>
      </c>
      <c r="L676" s="2">
        <v>45746</v>
      </c>
      <c r="M676" t="str">
        <f t="shared" si="40"/>
        <v>Admis</v>
      </c>
      <c r="N676" t="str">
        <f t="shared" si="41"/>
        <v>Non eligible</v>
      </c>
      <c r="O676" t="str">
        <f t="shared" si="42"/>
        <v>RAS</v>
      </c>
      <c r="P676" t="str">
        <f t="shared" si="43"/>
        <v>Data</v>
      </c>
      <c r="Q676" t="str" cm="1">
        <f t="array" ref="Q676">_xlfn.IFS(H676&gt;=16,"Excellent",H676&gt;=14,"Très bien",H676&gt;=12,"Bien",H676&gt;=10,"Passable",H676&lt;10,"Insuffisant")</f>
        <v>Bien</v>
      </c>
    </row>
    <row r="677" spans="1:17">
      <c r="A677" t="s">
        <v>990</v>
      </c>
      <c r="B677" t="s">
        <v>228</v>
      </c>
      <c r="C677" t="s">
        <v>24</v>
      </c>
      <c r="D677" t="s">
        <v>20</v>
      </c>
      <c r="E677" s="8" t="s">
        <v>34</v>
      </c>
      <c r="F677" s="8">
        <v>8.65</v>
      </c>
      <c r="G677" s="8">
        <v>7.85</v>
      </c>
      <c r="H677" s="8">
        <v>5.79</v>
      </c>
      <c r="I677" s="8">
        <v>3.78</v>
      </c>
      <c r="J677" s="6">
        <v>0.88280000000000003</v>
      </c>
      <c r="K677" s="4">
        <v>100000</v>
      </c>
      <c r="L677" s="2">
        <v>45552</v>
      </c>
      <c r="M677" t="str">
        <f t="shared" si="40"/>
        <v>Non admis</v>
      </c>
      <c r="N677" t="str">
        <f t="shared" si="41"/>
        <v>Non eligible</v>
      </c>
      <c r="O677" t="str">
        <f t="shared" si="42"/>
        <v>A surveiller</v>
      </c>
      <c r="P677" t="str">
        <f t="shared" si="43"/>
        <v>Hors data</v>
      </c>
      <c r="Q677" t="str" cm="1">
        <f t="array" ref="Q677">_xlfn.IFS(H677&gt;=16,"Excellent",H677&gt;=14,"Très bien",H677&gt;=12,"Bien",H677&gt;=10,"Passable",H677&lt;10,"Insuffisant")</f>
        <v>Insuffisant</v>
      </c>
    </row>
    <row r="678" spans="1:17">
      <c r="A678" t="s">
        <v>991</v>
      </c>
      <c r="B678" t="s">
        <v>225</v>
      </c>
      <c r="C678" t="s">
        <v>24</v>
      </c>
      <c r="D678" t="s">
        <v>40</v>
      </c>
      <c r="E678" s="8" t="s">
        <v>47</v>
      </c>
      <c r="F678" s="8">
        <v>14.52</v>
      </c>
      <c r="G678" s="8">
        <v>15.3</v>
      </c>
      <c r="H678" s="8">
        <v>15</v>
      </c>
      <c r="I678" s="8">
        <v>15.19</v>
      </c>
      <c r="J678" s="6">
        <v>0.93310000000000004</v>
      </c>
      <c r="K678" s="4">
        <v>70000</v>
      </c>
      <c r="L678" s="2">
        <v>46157</v>
      </c>
      <c r="M678" t="str">
        <f t="shared" si="40"/>
        <v>Admis</v>
      </c>
      <c r="N678" t="str">
        <f t="shared" si="41"/>
        <v>Eligible</v>
      </c>
      <c r="O678" t="str">
        <f t="shared" si="42"/>
        <v>RAS</v>
      </c>
      <c r="P678" t="str">
        <f t="shared" si="43"/>
        <v>Hors data</v>
      </c>
      <c r="Q678" t="str" cm="1">
        <f t="array" ref="Q678">_xlfn.IFS(H678&gt;=16,"Excellent",H678&gt;=14,"Très bien",H678&gt;=12,"Bien",H678&gt;=10,"Passable",H678&lt;10,"Insuffisant")</f>
        <v>Très bien</v>
      </c>
    </row>
    <row r="679" spans="1:17">
      <c r="A679" t="s">
        <v>992</v>
      </c>
      <c r="B679" t="s">
        <v>443</v>
      </c>
      <c r="C679" t="s">
        <v>19</v>
      </c>
      <c r="D679" t="s">
        <v>52</v>
      </c>
      <c r="E679" s="8" t="s">
        <v>34</v>
      </c>
      <c r="F679" s="8">
        <v>10.050000000000001</v>
      </c>
      <c r="G679" s="8">
        <v>8.15</v>
      </c>
      <c r="H679" s="8">
        <v>9.2100000000000009</v>
      </c>
      <c r="I679" s="8">
        <v>6.84</v>
      </c>
      <c r="J679" s="6">
        <v>0.85160000000000002</v>
      </c>
      <c r="K679" s="4">
        <v>75000</v>
      </c>
      <c r="L679" s="2">
        <v>45575</v>
      </c>
      <c r="M679" t="str">
        <f t="shared" si="40"/>
        <v>Non admis</v>
      </c>
      <c r="N679" t="str">
        <f t="shared" si="41"/>
        <v>Non eligible</v>
      </c>
      <c r="O679" t="str">
        <f t="shared" si="42"/>
        <v>A surveiller</v>
      </c>
      <c r="P679" t="str">
        <f t="shared" si="43"/>
        <v>Hors data</v>
      </c>
      <c r="Q679" t="str" cm="1">
        <f t="array" ref="Q679">_xlfn.IFS(H679&gt;=16,"Excellent",H679&gt;=14,"Très bien",H679&gt;=12,"Bien",H679&gt;=10,"Passable",H679&lt;10,"Insuffisant")</f>
        <v>Insuffisant</v>
      </c>
    </row>
    <row r="680" spans="1:17">
      <c r="A680" t="s">
        <v>993</v>
      </c>
      <c r="B680" t="s">
        <v>689</v>
      </c>
      <c r="C680" t="s">
        <v>24</v>
      </c>
      <c r="D680" t="s">
        <v>33</v>
      </c>
      <c r="E680" s="8" t="s">
        <v>47</v>
      </c>
      <c r="F680" s="8">
        <v>16.25</v>
      </c>
      <c r="G680" s="8">
        <v>14.69</v>
      </c>
      <c r="H680" s="8">
        <v>11.63</v>
      </c>
      <c r="I680" s="8">
        <v>12.68</v>
      </c>
      <c r="J680" s="6">
        <v>0.75070000000000003</v>
      </c>
      <c r="K680" s="4">
        <v>60000</v>
      </c>
      <c r="L680" s="2">
        <v>45916</v>
      </c>
      <c r="M680" t="str">
        <f t="shared" si="40"/>
        <v>Admis</v>
      </c>
      <c r="N680" t="str">
        <f t="shared" si="41"/>
        <v>Non eligible</v>
      </c>
      <c r="O680" t="str">
        <f t="shared" si="42"/>
        <v>RAS</v>
      </c>
      <c r="P680" t="str">
        <f t="shared" si="43"/>
        <v>Hors data</v>
      </c>
      <c r="Q680" t="str" cm="1">
        <f t="array" ref="Q680">_xlfn.IFS(H680&gt;=16,"Excellent",H680&gt;=14,"Très bien",H680&gt;=12,"Bien",H680&gt;=10,"Passable",H680&lt;10,"Insuffisant")</f>
        <v>Passable</v>
      </c>
    </row>
    <row r="681" spans="1:17">
      <c r="A681" t="s">
        <v>994</v>
      </c>
      <c r="B681" t="s">
        <v>306</v>
      </c>
      <c r="C681" t="s">
        <v>24</v>
      </c>
      <c r="D681" t="s">
        <v>52</v>
      </c>
      <c r="E681" s="8" t="s">
        <v>34</v>
      </c>
      <c r="F681" s="8">
        <v>17.329999999999998</v>
      </c>
      <c r="G681" s="8">
        <v>12.83</v>
      </c>
      <c r="H681" s="8">
        <v>16.149999999999999</v>
      </c>
      <c r="I681" s="8">
        <v>15.1</v>
      </c>
      <c r="J681" s="6">
        <v>0.84740000000000004</v>
      </c>
      <c r="K681" s="4">
        <v>90000</v>
      </c>
      <c r="L681" s="2">
        <v>46133</v>
      </c>
      <c r="M681" t="str">
        <f t="shared" si="40"/>
        <v>Admis</v>
      </c>
      <c r="N681" t="str">
        <f t="shared" si="41"/>
        <v>Eligible</v>
      </c>
      <c r="O681" t="str">
        <f t="shared" si="42"/>
        <v>RAS</v>
      </c>
      <c r="P681" t="str">
        <f t="shared" si="43"/>
        <v>Hors data</v>
      </c>
      <c r="Q681" t="str" cm="1">
        <f t="array" ref="Q681">_xlfn.IFS(H681&gt;=16,"Excellent",H681&gt;=14,"Très bien",H681&gt;=12,"Bien",H681&gt;=10,"Passable",H681&lt;10,"Insuffisant")</f>
        <v>Excellent</v>
      </c>
    </row>
    <row r="682" spans="1:17">
      <c r="A682" t="s">
        <v>995</v>
      </c>
      <c r="B682" t="s">
        <v>689</v>
      </c>
      <c r="C682" t="s">
        <v>24</v>
      </c>
      <c r="D682" t="s">
        <v>40</v>
      </c>
      <c r="E682" s="8" t="s">
        <v>26</v>
      </c>
      <c r="F682" s="8">
        <v>18.41</v>
      </c>
      <c r="G682" s="8">
        <v>20</v>
      </c>
      <c r="H682" s="8">
        <v>18.920000000000002</v>
      </c>
      <c r="I682" s="8">
        <v>17.23</v>
      </c>
      <c r="J682" s="6">
        <v>0.73050000000000004</v>
      </c>
      <c r="K682" s="4">
        <v>50000</v>
      </c>
      <c r="L682" s="2">
        <v>46050</v>
      </c>
      <c r="M682" t="str">
        <f t="shared" si="40"/>
        <v>Admis</v>
      </c>
      <c r="N682" t="str">
        <f t="shared" si="41"/>
        <v>Non eligible</v>
      </c>
      <c r="O682" t="str">
        <f t="shared" si="42"/>
        <v>RAS</v>
      </c>
      <c r="P682" t="str">
        <f t="shared" si="43"/>
        <v>Hors data</v>
      </c>
      <c r="Q682" t="str" cm="1">
        <f t="array" ref="Q682">_xlfn.IFS(H682&gt;=16,"Excellent",H682&gt;=14,"Très bien",H682&gt;=12,"Bien",H682&gt;=10,"Passable",H682&lt;10,"Insuffisant")</f>
        <v>Excellent</v>
      </c>
    </row>
    <row r="683" spans="1:17">
      <c r="A683" t="s">
        <v>996</v>
      </c>
      <c r="B683" t="s">
        <v>473</v>
      </c>
      <c r="C683" t="s">
        <v>19</v>
      </c>
      <c r="D683" t="s">
        <v>52</v>
      </c>
      <c r="E683" s="8" t="s">
        <v>34</v>
      </c>
      <c r="F683" s="8">
        <v>13.1</v>
      </c>
      <c r="G683" s="8">
        <v>16.350000000000001</v>
      </c>
      <c r="H683" s="8">
        <v>12.53</v>
      </c>
      <c r="I683" s="8">
        <v>9.64</v>
      </c>
      <c r="J683" s="6">
        <v>0.82169999999999999</v>
      </c>
      <c r="K683" s="4">
        <v>50000</v>
      </c>
      <c r="L683" s="2">
        <v>45700</v>
      </c>
      <c r="M683" t="str">
        <f t="shared" si="40"/>
        <v>Admis</v>
      </c>
      <c r="N683" t="str">
        <f t="shared" si="41"/>
        <v>Eligible</v>
      </c>
      <c r="O683" t="str">
        <f t="shared" si="42"/>
        <v>RAS</v>
      </c>
      <c r="P683" t="str">
        <f t="shared" si="43"/>
        <v>Hors data</v>
      </c>
      <c r="Q683" t="str" cm="1">
        <f t="array" ref="Q683">_xlfn.IFS(H683&gt;=16,"Excellent",H683&gt;=14,"Très bien",H683&gt;=12,"Bien",H683&gt;=10,"Passable",H683&lt;10,"Insuffisant")</f>
        <v>Bien</v>
      </c>
    </row>
    <row r="684" spans="1:17">
      <c r="A684" t="s">
        <v>997</v>
      </c>
      <c r="B684" t="s">
        <v>66</v>
      </c>
      <c r="C684" t="s">
        <v>24</v>
      </c>
      <c r="D684" t="s">
        <v>52</v>
      </c>
      <c r="E684" s="8" t="s">
        <v>26</v>
      </c>
      <c r="F684" s="8">
        <v>11.44</v>
      </c>
      <c r="G684" s="8">
        <v>13.35</v>
      </c>
      <c r="H684" s="8">
        <v>13.17</v>
      </c>
      <c r="I684" s="8">
        <v>13.33</v>
      </c>
      <c r="J684" s="6">
        <v>0.83730000000000004</v>
      </c>
      <c r="K684" s="4">
        <v>85000</v>
      </c>
      <c r="L684" s="2">
        <v>45865</v>
      </c>
      <c r="M684" t="str">
        <f t="shared" si="40"/>
        <v>Admis</v>
      </c>
      <c r="N684" t="str">
        <f t="shared" si="41"/>
        <v>Non eligible</v>
      </c>
      <c r="O684" t="str">
        <f t="shared" si="42"/>
        <v>RAS</v>
      </c>
      <c r="P684" t="str">
        <f t="shared" si="43"/>
        <v>Hors data</v>
      </c>
      <c r="Q684" t="str" cm="1">
        <f t="array" ref="Q684">_xlfn.IFS(H684&gt;=16,"Excellent",H684&gt;=14,"Très bien",H684&gt;=12,"Bien",H684&gt;=10,"Passable",H684&lt;10,"Insuffisant")</f>
        <v>Bien</v>
      </c>
    </row>
    <row r="685" spans="1:17">
      <c r="A685" t="s">
        <v>998</v>
      </c>
      <c r="B685" t="s">
        <v>419</v>
      </c>
      <c r="C685" t="s">
        <v>24</v>
      </c>
      <c r="D685" t="s">
        <v>37</v>
      </c>
      <c r="E685" s="8" t="s">
        <v>34</v>
      </c>
      <c r="F685" s="8">
        <v>13.31</v>
      </c>
      <c r="G685" s="8">
        <v>13.31</v>
      </c>
      <c r="H685" s="8">
        <v>12.77</v>
      </c>
      <c r="I685" s="8">
        <v>11.97</v>
      </c>
      <c r="J685" s="6">
        <v>0.92469999999999997</v>
      </c>
      <c r="K685" s="4">
        <v>90000</v>
      </c>
      <c r="L685" s="2">
        <v>45919</v>
      </c>
      <c r="M685" t="str">
        <f t="shared" si="40"/>
        <v>Admis</v>
      </c>
      <c r="N685" t="str">
        <f t="shared" si="41"/>
        <v>Eligible</v>
      </c>
      <c r="O685" t="str">
        <f t="shared" si="42"/>
        <v>RAS</v>
      </c>
      <c r="P685" t="str">
        <f t="shared" si="43"/>
        <v>Hors data</v>
      </c>
      <c r="Q685" t="str" cm="1">
        <f t="array" ref="Q685">_xlfn.IFS(H685&gt;=16,"Excellent",H685&gt;=14,"Très bien",H685&gt;=12,"Bien",H685&gt;=10,"Passable",H685&lt;10,"Insuffisant")</f>
        <v>Bien</v>
      </c>
    </row>
    <row r="686" spans="1:17">
      <c r="A686" t="s">
        <v>999</v>
      </c>
      <c r="B686" t="s">
        <v>156</v>
      </c>
      <c r="C686" t="s">
        <v>19</v>
      </c>
      <c r="D686" t="s">
        <v>37</v>
      </c>
      <c r="E686" s="8" t="s">
        <v>34</v>
      </c>
      <c r="F686" s="8">
        <v>16.809999999999999</v>
      </c>
      <c r="G686" s="8">
        <v>17.27</v>
      </c>
      <c r="H686" s="8">
        <v>18.850000000000001</v>
      </c>
      <c r="I686" s="8">
        <v>15.77</v>
      </c>
      <c r="J686" s="6">
        <v>0.55000000000000004</v>
      </c>
      <c r="K686" s="4">
        <v>75000</v>
      </c>
      <c r="L686" s="2">
        <v>46073</v>
      </c>
      <c r="M686" t="str">
        <f t="shared" si="40"/>
        <v>Admis</v>
      </c>
      <c r="N686" t="str">
        <f t="shared" si="41"/>
        <v>Non eligible</v>
      </c>
      <c r="O686" t="str">
        <f t="shared" si="42"/>
        <v>RAS</v>
      </c>
      <c r="P686" t="str">
        <f t="shared" si="43"/>
        <v>Hors data</v>
      </c>
      <c r="Q686" t="str" cm="1">
        <f t="array" ref="Q686">_xlfn.IFS(H686&gt;=16,"Excellent",H686&gt;=14,"Très bien",H686&gt;=12,"Bien",H686&gt;=10,"Passable",H686&lt;10,"Insuffisant")</f>
        <v>Excellent</v>
      </c>
    </row>
    <row r="687" spans="1:17">
      <c r="A687" t="s">
        <v>1000</v>
      </c>
      <c r="B687" t="s">
        <v>314</v>
      </c>
      <c r="C687" t="s">
        <v>24</v>
      </c>
      <c r="D687" t="s">
        <v>20</v>
      </c>
      <c r="E687" s="8" t="s">
        <v>47</v>
      </c>
      <c r="F687" s="8">
        <v>15.42</v>
      </c>
      <c r="G687" s="8">
        <v>12.63</v>
      </c>
      <c r="H687" s="8">
        <v>12.24</v>
      </c>
      <c r="I687" s="8">
        <v>16.54</v>
      </c>
      <c r="J687" s="6">
        <v>0.93669999999999998</v>
      </c>
      <c r="K687" s="4">
        <v>80000</v>
      </c>
      <c r="L687" s="2">
        <v>45834</v>
      </c>
      <c r="M687" t="str">
        <f t="shared" si="40"/>
        <v>Admis</v>
      </c>
      <c r="N687" t="str">
        <f t="shared" si="41"/>
        <v>Eligible</v>
      </c>
      <c r="O687" t="str">
        <f t="shared" si="42"/>
        <v>RAS</v>
      </c>
      <c r="P687" t="str">
        <f t="shared" si="43"/>
        <v>Hors data</v>
      </c>
      <c r="Q687" t="str" cm="1">
        <f t="array" ref="Q687">_xlfn.IFS(H687&gt;=16,"Excellent",H687&gt;=14,"Très bien",H687&gt;=12,"Bien",H687&gt;=10,"Passable",H687&lt;10,"Insuffisant")</f>
        <v>Bien</v>
      </c>
    </row>
    <row r="688" spans="1:17">
      <c r="A688" t="s">
        <v>1001</v>
      </c>
      <c r="B688" t="s">
        <v>466</v>
      </c>
      <c r="C688" t="s">
        <v>19</v>
      </c>
      <c r="D688" t="s">
        <v>37</v>
      </c>
      <c r="E688" s="8" t="s">
        <v>34</v>
      </c>
      <c r="F688" s="8">
        <v>10.09</v>
      </c>
      <c r="G688" s="8">
        <v>12.34</v>
      </c>
      <c r="H688" s="8">
        <v>12.3</v>
      </c>
      <c r="I688" s="8">
        <v>11.95</v>
      </c>
      <c r="J688" s="6">
        <v>0.81459999999999999</v>
      </c>
      <c r="K688" s="4">
        <v>80000</v>
      </c>
      <c r="L688" s="2">
        <v>45735</v>
      </c>
      <c r="M688" t="str">
        <f t="shared" si="40"/>
        <v>Admis</v>
      </c>
      <c r="N688" t="str">
        <f t="shared" si="41"/>
        <v>Non eligible</v>
      </c>
      <c r="O688" t="str">
        <f t="shared" si="42"/>
        <v>RAS</v>
      </c>
      <c r="P688" t="str">
        <f t="shared" si="43"/>
        <v>Hors data</v>
      </c>
      <c r="Q688" t="str" cm="1">
        <f t="array" ref="Q688">_xlfn.IFS(H688&gt;=16,"Excellent",H688&gt;=14,"Très bien",H688&gt;=12,"Bien",H688&gt;=10,"Passable",H688&lt;10,"Insuffisant")</f>
        <v>Bien</v>
      </c>
    </row>
    <row r="689" spans="1:17">
      <c r="A689" t="s">
        <v>1002</v>
      </c>
      <c r="B689" t="s">
        <v>172</v>
      </c>
      <c r="C689" t="s">
        <v>24</v>
      </c>
      <c r="D689" t="s">
        <v>20</v>
      </c>
      <c r="E689" s="8" t="s">
        <v>21</v>
      </c>
      <c r="F689" s="8">
        <v>15.69</v>
      </c>
      <c r="G689" s="8">
        <v>13.46</v>
      </c>
      <c r="H689" s="8">
        <v>12.91</v>
      </c>
      <c r="I689" s="8">
        <v>10.17</v>
      </c>
      <c r="J689" s="6">
        <v>0.90949999999999998</v>
      </c>
      <c r="K689" s="4">
        <v>110000</v>
      </c>
      <c r="L689" s="2">
        <v>46092</v>
      </c>
      <c r="M689" t="str">
        <f t="shared" si="40"/>
        <v>Admis</v>
      </c>
      <c r="N689" t="str">
        <f t="shared" si="41"/>
        <v>Eligible</v>
      </c>
      <c r="O689" t="str">
        <f t="shared" si="42"/>
        <v>RAS</v>
      </c>
      <c r="P689" t="str">
        <f t="shared" si="43"/>
        <v>Data</v>
      </c>
      <c r="Q689" t="str" cm="1">
        <f t="array" ref="Q689">_xlfn.IFS(H689&gt;=16,"Excellent",H689&gt;=14,"Très bien",H689&gt;=12,"Bien",H689&gt;=10,"Passable",H689&lt;10,"Insuffisant")</f>
        <v>Bien</v>
      </c>
    </row>
    <row r="690" spans="1:17">
      <c r="A690" t="s">
        <v>1003</v>
      </c>
      <c r="B690" t="s">
        <v>230</v>
      </c>
      <c r="C690" t="s">
        <v>19</v>
      </c>
      <c r="D690" t="s">
        <v>33</v>
      </c>
      <c r="E690" s="8" t="s">
        <v>34</v>
      </c>
      <c r="F690" s="8">
        <v>6.6</v>
      </c>
      <c r="G690" s="8">
        <v>10.02</v>
      </c>
      <c r="H690" s="8">
        <v>10.68</v>
      </c>
      <c r="I690" s="8">
        <v>13.08</v>
      </c>
      <c r="J690" s="6">
        <v>0.81869999999999998</v>
      </c>
      <c r="K690" s="4">
        <v>80000</v>
      </c>
      <c r="L690" s="2">
        <v>46156</v>
      </c>
      <c r="M690" t="str">
        <f t="shared" si="40"/>
        <v>Admis</v>
      </c>
      <c r="N690" t="str">
        <f t="shared" si="41"/>
        <v>Non eligible</v>
      </c>
      <c r="O690" t="str">
        <f t="shared" si="42"/>
        <v>A surveiller</v>
      </c>
      <c r="P690" t="str">
        <f t="shared" si="43"/>
        <v>Hors data</v>
      </c>
      <c r="Q690" t="str" cm="1">
        <f t="array" ref="Q690">_xlfn.IFS(H690&gt;=16,"Excellent",H690&gt;=14,"Très bien",H690&gt;=12,"Bien",H690&gt;=10,"Passable",H690&lt;10,"Insuffisant")</f>
        <v>Passable</v>
      </c>
    </row>
    <row r="691" spans="1:17">
      <c r="A691" t="s">
        <v>1004</v>
      </c>
      <c r="B691" t="s">
        <v>343</v>
      </c>
      <c r="C691" t="s">
        <v>24</v>
      </c>
      <c r="D691" t="s">
        <v>33</v>
      </c>
      <c r="E691" s="8" t="s">
        <v>26</v>
      </c>
      <c r="F691" s="8">
        <v>13.64</v>
      </c>
      <c r="G691" s="8">
        <v>16.02</v>
      </c>
      <c r="H691" s="8">
        <v>13.41</v>
      </c>
      <c r="I691" s="8">
        <v>14.45</v>
      </c>
      <c r="J691" s="6">
        <v>0.95199999999999996</v>
      </c>
      <c r="K691" s="4">
        <v>120000</v>
      </c>
      <c r="L691" s="2">
        <v>45878</v>
      </c>
      <c r="M691" t="str">
        <f t="shared" si="40"/>
        <v>Admis</v>
      </c>
      <c r="N691" t="str">
        <f t="shared" si="41"/>
        <v>Eligible</v>
      </c>
      <c r="O691" t="str">
        <f t="shared" si="42"/>
        <v>RAS</v>
      </c>
      <c r="P691" t="str">
        <f t="shared" si="43"/>
        <v>Hors data</v>
      </c>
      <c r="Q691" t="str" cm="1">
        <f t="array" ref="Q691">_xlfn.IFS(H691&gt;=16,"Excellent",H691&gt;=14,"Très bien",H691&gt;=12,"Bien",H691&gt;=10,"Passable",H691&lt;10,"Insuffisant")</f>
        <v>Bien</v>
      </c>
    </row>
    <row r="692" spans="1:17">
      <c r="A692" t="s">
        <v>1005</v>
      </c>
      <c r="B692" t="s">
        <v>489</v>
      </c>
      <c r="C692" t="s">
        <v>24</v>
      </c>
      <c r="D692" t="s">
        <v>40</v>
      </c>
      <c r="E692" s="8" t="s">
        <v>21</v>
      </c>
      <c r="F692" s="8">
        <v>8.7899999999999991</v>
      </c>
      <c r="G692" s="8">
        <v>11</v>
      </c>
      <c r="H692" s="8">
        <v>3.27</v>
      </c>
      <c r="I692" s="8">
        <v>8.2899999999999991</v>
      </c>
      <c r="J692" s="6">
        <v>0.57320000000000004</v>
      </c>
      <c r="K692" s="4">
        <v>70000</v>
      </c>
      <c r="L692" s="2">
        <v>45555</v>
      </c>
      <c r="M692" t="str">
        <f t="shared" si="40"/>
        <v>Non admis</v>
      </c>
      <c r="N692" t="str">
        <f t="shared" si="41"/>
        <v>Non eligible</v>
      </c>
      <c r="O692" t="str">
        <f t="shared" si="42"/>
        <v>A surveiller</v>
      </c>
      <c r="P692" t="str">
        <f t="shared" si="43"/>
        <v>Data</v>
      </c>
      <c r="Q692" t="str" cm="1">
        <f t="array" ref="Q692">_xlfn.IFS(H692&gt;=16,"Excellent",H692&gt;=14,"Très bien",H692&gt;=12,"Bien",H692&gt;=10,"Passable",H692&lt;10,"Insuffisant")</f>
        <v>Insuffisant</v>
      </c>
    </row>
    <row r="693" spans="1:17">
      <c r="A693" t="s">
        <v>1006</v>
      </c>
      <c r="B693" t="s">
        <v>907</v>
      </c>
      <c r="C693" t="s">
        <v>24</v>
      </c>
      <c r="D693" t="s">
        <v>20</v>
      </c>
      <c r="E693" s="8" t="s">
        <v>34</v>
      </c>
      <c r="F693" s="8">
        <v>19.989999999999998</v>
      </c>
      <c r="G693" s="8">
        <v>14.48</v>
      </c>
      <c r="H693" s="8">
        <v>13.43</v>
      </c>
      <c r="I693" s="8">
        <v>14.61</v>
      </c>
      <c r="J693" s="6">
        <v>0.87280000000000002</v>
      </c>
      <c r="K693" s="4">
        <v>70000</v>
      </c>
      <c r="L693" s="2">
        <v>45886</v>
      </c>
      <c r="M693" t="str">
        <f t="shared" si="40"/>
        <v>Admis</v>
      </c>
      <c r="N693" t="str">
        <f t="shared" si="41"/>
        <v>Eligible</v>
      </c>
      <c r="O693" t="str">
        <f t="shared" si="42"/>
        <v>RAS</v>
      </c>
      <c r="P693" t="str">
        <f t="shared" si="43"/>
        <v>Hors data</v>
      </c>
      <c r="Q693" t="str" cm="1">
        <f t="array" ref="Q693">_xlfn.IFS(H693&gt;=16,"Excellent",H693&gt;=14,"Très bien",H693&gt;=12,"Bien",H693&gt;=10,"Passable",H693&lt;10,"Insuffisant")</f>
        <v>Bien</v>
      </c>
    </row>
    <row r="694" spans="1:17">
      <c r="A694" t="s">
        <v>1007</v>
      </c>
      <c r="B694" t="s">
        <v>1008</v>
      </c>
      <c r="C694" t="s">
        <v>24</v>
      </c>
      <c r="D694" t="s">
        <v>33</v>
      </c>
      <c r="E694" s="8" t="s">
        <v>47</v>
      </c>
      <c r="F694" s="8">
        <v>12.93</v>
      </c>
      <c r="G694" s="8">
        <v>12.76</v>
      </c>
      <c r="H694" s="8">
        <v>13.93</v>
      </c>
      <c r="I694" s="8">
        <v>16.36</v>
      </c>
      <c r="J694" s="6">
        <v>0.78190000000000004</v>
      </c>
      <c r="K694" s="4">
        <v>80000</v>
      </c>
      <c r="L694" s="2">
        <v>46158</v>
      </c>
      <c r="M694" t="str">
        <f t="shared" si="40"/>
        <v>Admis</v>
      </c>
      <c r="N694" t="str">
        <f t="shared" si="41"/>
        <v>Non eligible</v>
      </c>
      <c r="O694" t="str">
        <f t="shared" si="42"/>
        <v>RAS</v>
      </c>
      <c r="P694" t="str">
        <f t="shared" si="43"/>
        <v>Hors data</v>
      </c>
      <c r="Q694" t="str" cm="1">
        <f t="array" ref="Q694">_xlfn.IFS(H694&gt;=16,"Excellent",H694&gt;=14,"Très bien",H694&gt;=12,"Bien",H694&gt;=10,"Passable",H694&lt;10,"Insuffisant")</f>
        <v>Bien</v>
      </c>
    </row>
    <row r="695" spans="1:17">
      <c r="A695" t="s">
        <v>1009</v>
      </c>
      <c r="B695" t="s">
        <v>635</v>
      </c>
      <c r="C695" t="s">
        <v>24</v>
      </c>
      <c r="D695" t="s">
        <v>25</v>
      </c>
      <c r="E695" s="8" t="s">
        <v>47</v>
      </c>
      <c r="F695" s="8">
        <v>18.72</v>
      </c>
      <c r="G695" s="8">
        <v>20</v>
      </c>
      <c r="H695" s="8">
        <v>20</v>
      </c>
      <c r="I695" s="8">
        <v>18.93</v>
      </c>
      <c r="J695" s="6">
        <v>0.91690000000000005</v>
      </c>
      <c r="K695" s="4">
        <v>50000</v>
      </c>
      <c r="L695" s="2">
        <v>46228</v>
      </c>
      <c r="M695" t="str">
        <f t="shared" si="40"/>
        <v>Admis</v>
      </c>
      <c r="N695" t="str">
        <f t="shared" si="41"/>
        <v>Eligible</v>
      </c>
      <c r="O695" t="str">
        <f t="shared" si="42"/>
        <v>RAS</v>
      </c>
      <c r="P695" t="str">
        <f t="shared" si="43"/>
        <v>Hors data</v>
      </c>
      <c r="Q695" t="str" cm="1">
        <f t="array" ref="Q695">_xlfn.IFS(H695&gt;=16,"Excellent",H695&gt;=14,"Très bien",H695&gt;=12,"Bien",H695&gt;=10,"Passable",H695&lt;10,"Insuffisant")</f>
        <v>Excellent</v>
      </c>
    </row>
    <row r="696" spans="1:17">
      <c r="A696" t="s">
        <v>1010</v>
      </c>
      <c r="B696" t="s">
        <v>668</v>
      </c>
      <c r="C696" t="s">
        <v>19</v>
      </c>
      <c r="D696" t="s">
        <v>37</v>
      </c>
      <c r="E696" s="8" t="s">
        <v>34</v>
      </c>
      <c r="F696" s="8">
        <v>9.2100000000000009</v>
      </c>
      <c r="G696" s="8">
        <v>12.52</v>
      </c>
      <c r="H696" s="8">
        <v>14.32</v>
      </c>
      <c r="I696" s="8">
        <v>6.92</v>
      </c>
      <c r="J696" s="6">
        <v>0.99099999999999999</v>
      </c>
      <c r="K696" s="4">
        <v>100000</v>
      </c>
      <c r="L696" s="2">
        <v>45816</v>
      </c>
      <c r="M696" t="str">
        <f t="shared" si="40"/>
        <v>Admis</v>
      </c>
      <c r="N696" t="str">
        <f t="shared" si="41"/>
        <v>Non eligible</v>
      </c>
      <c r="O696" t="str">
        <f t="shared" si="42"/>
        <v>A surveiller</v>
      </c>
      <c r="P696" t="str">
        <f t="shared" si="43"/>
        <v>Hors data</v>
      </c>
      <c r="Q696" t="str" cm="1">
        <f t="array" ref="Q696">_xlfn.IFS(H696&gt;=16,"Excellent",H696&gt;=14,"Très bien",H696&gt;=12,"Bien",H696&gt;=10,"Passable",H696&lt;10,"Insuffisant")</f>
        <v>Très bien</v>
      </c>
    </row>
    <row r="697" spans="1:17">
      <c r="A697" t="s">
        <v>1011</v>
      </c>
      <c r="B697" t="s">
        <v>531</v>
      </c>
      <c r="C697" t="s">
        <v>19</v>
      </c>
      <c r="D697" t="s">
        <v>25</v>
      </c>
      <c r="E697" s="8" t="s">
        <v>21</v>
      </c>
      <c r="F697" s="8">
        <v>16.86</v>
      </c>
      <c r="G697" s="8">
        <v>12.75</v>
      </c>
      <c r="H697" s="8">
        <v>14.69</v>
      </c>
      <c r="I697" s="8">
        <v>11.62</v>
      </c>
      <c r="J697" s="6">
        <v>0.84560000000000002</v>
      </c>
      <c r="K697" s="4">
        <v>80000</v>
      </c>
      <c r="L697" s="2">
        <v>45641</v>
      </c>
      <c r="M697" t="str">
        <f t="shared" si="40"/>
        <v>Admis</v>
      </c>
      <c r="N697" t="str">
        <f t="shared" si="41"/>
        <v>Eligible</v>
      </c>
      <c r="O697" t="str">
        <f t="shared" si="42"/>
        <v>RAS</v>
      </c>
      <c r="P697" t="str">
        <f t="shared" si="43"/>
        <v>Data</v>
      </c>
      <c r="Q697" t="str" cm="1">
        <f t="array" ref="Q697">_xlfn.IFS(H697&gt;=16,"Excellent",H697&gt;=14,"Très bien",H697&gt;=12,"Bien",H697&gt;=10,"Passable",H697&lt;10,"Insuffisant")</f>
        <v>Très bien</v>
      </c>
    </row>
    <row r="698" spans="1:17">
      <c r="A698" t="s">
        <v>1012</v>
      </c>
      <c r="B698" t="s">
        <v>172</v>
      </c>
      <c r="C698" t="s">
        <v>24</v>
      </c>
      <c r="D698" t="s">
        <v>40</v>
      </c>
      <c r="E698" s="8" t="s">
        <v>21</v>
      </c>
      <c r="F698" s="8">
        <v>12.35</v>
      </c>
      <c r="G698" s="8">
        <v>18.7</v>
      </c>
      <c r="H698" s="8">
        <v>18.91</v>
      </c>
      <c r="I698" s="8">
        <v>20</v>
      </c>
      <c r="J698" s="6">
        <v>0.82499999999999996</v>
      </c>
      <c r="K698" s="4">
        <v>80000</v>
      </c>
      <c r="L698" s="2">
        <v>45936</v>
      </c>
      <c r="M698" t="str">
        <f t="shared" si="40"/>
        <v>Admis</v>
      </c>
      <c r="N698" t="str">
        <f t="shared" si="41"/>
        <v>Eligible</v>
      </c>
      <c r="O698" t="str">
        <f t="shared" si="42"/>
        <v>RAS</v>
      </c>
      <c r="P698" t="str">
        <f t="shared" si="43"/>
        <v>Data</v>
      </c>
      <c r="Q698" t="str" cm="1">
        <f t="array" ref="Q698">_xlfn.IFS(H698&gt;=16,"Excellent",H698&gt;=14,"Très bien",H698&gt;=12,"Bien",H698&gt;=10,"Passable",H698&lt;10,"Insuffisant")</f>
        <v>Excellent</v>
      </c>
    </row>
    <row r="699" spans="1:17">
      <c r="A699" t="s">
        <v>1013</v>
      </c>
      <c r="B699" t="s">
        <v>852</v>
      </c>
      <c r="C699" t="s">
        <v>24</v>
      </c>
      <c r="D699" t="s">
        <v>37</v>
      </c>
      <c r="E699" s="8" t="s">
        <v>34</v>
      </c>
      <c r="F699" s="8">
        <v>14.63</v>
      </c>
      <c r="G699" s="8">
        <v>17.010000000000002</v>
      </c>
      <c r="H699" s="8">
        <v>16.96</v>
      </c>
      <c r="I699" s="8">
        <v>18.57</v>
      </c>
      <c r="J699" s="6">
        <v>0.93830000000000002</v>
      </c>
      <c r="K699" s="4">
        <v>85000</v>
      </c>
      <c r="L699" s="2">
        <v>46117</v>
      </c>
      <c r="M699" t="str">
        <f t="shared" si="40"/>
        <v>Admis</v>
      </c>
      <c r="N699" t="str">
        <f t="shared" si="41"/>
        <v>Eligible</v>
      </c>
      <c r="O699" t="str">
        <f t="shared" si="42"/>
        <v>RAS</v>
      </c>
      <c r="P699" t="str">
        <f t="shared" si="43"/>
        <v>Hors data</v>
      </c>
      <c r="Q699" t="str" cm="1">
        <f t="array" ref="Q699">_xlfn.IFS(H699&gt;=16,"Excellent",H699&gt;=14,"Très bien",H699&gt;=12,"Bien",H699&gt;=10,"Passable",H699&lt;10,"Insuffisant")</f>
        <v>Excellent</v>
      </c>
    </row>
    <row r="700" spans="1:17">
      <c r="A700" t="s">
        <v>1014</v>
      </c>
      <c r="B700" t="s">
        <v>593</v>
      </c>
      <c r="C700" t="s">
        <v>19</v>
      </c>
      <c r="D700" t="s">
        <v>37</v>
      </c>
      <c r="E700" s="8" t="s">
        <v>26</v>
      </c>
      <c r="F700" s="8">
        <v>17.559999999999999</v>
      </c>
      <c r="G700" s="8">
        <v>12.02</v>
      </c>
      <c r="H700" s="8">
        <v>14.18</v>
      </c>
      <c r="I700" s="8">
        <v>10.89</v>
      </c>
      <c r="J700" s="6">
        <v>0.83220000000000005</v>
      </c>
      <c r="K700" s="4">
        <v>50000</v>
      </c>
      <c r="L700" s="2">
        <v>46197</v>
      </c>
      <c r="M700" t="str">
        <f t="shared" si="40"/>
        <v>Admis</v>
      </c>
      <c r="N700" t="str">
        <f t="shared" si="41"/>
        <v>Eligible</v>
      </c>
      <c r="O700" t="str">
        <f t="shared" si="42"/>
        <v>RAS</v>
      </c>
      <c r="P700" t="str">
        <f t="shared" si="43"/>
        <v>Hors data</v>
      </c>
      <c r="Q700" t="str" cm="1">
        <f t="array" ref="Q700">_xlfn.IFS(H700&gt;=16,"Excellent",H700&gt;=14,"Très bien",H700&gt;=12,"Bien",H700&gt;=10,"Passable",H700&lt;10,"Insuffisant")</f>
        <v>Très bien</v>
      </c>
    </row>
    <row r="701" spans="1:17">
      <c r="A701" t="s">
        <v>1015</v>
      </c>
      <c r="B701" t="s">
        <v>138</v>
      </c>
      <c r="C701" t="s">
        <v>19</v>
      </c>
      <c r="D701" t="s">
        <v>20</v>
      </c>
      <c r="E701" s="8" t="s">
        <v>21</v>
      </c>
      <c r="F701" s="8">
        <v>15.43</v>
      </c>
      <c r="G701" s="8">
        <v>15.57</v>
      </c>
      <c r="H701" s="8">
        <v>13.03</v>
      </c>
      <c r="I701" s="8">
        <v>17.05</v>
      </c>
      <c r="J701" s="6">
        <v>0.76729999999999998</v>
      </c>
      <c r="K701" s="4">
        <v>80000</v>
      </c>
      <c r="L701" s="2">
        <v>45572</v>
      </c>
      <c r="M701" t="str">
        <f t="shared" si="40"/>
        <v>Admis</v>
      </c>
      <c r="N701" t="str">
        <f t="shared" si="41"/>
        <v>Non eligible</v>
      </c>
      <c r="O701" t="str">
        <f t="shared" si="42"/>
        <v>RAS</v>
      </c>
      <c r="P701" t="str">
        <f t="shared" si="43"/>
        <v>Data</v>
      </c>
      <c r="Q701" t="str" cm="1">
        <f t="array" ref="Q701">_xlfn.IFS(H701&gt;=16,"Excellent",H701&gt;=14,"Très bien",H701&gt;=12,"Bien",H701&gt;=10,"Passable",H701&lt;10,"Insuffisant")</f>
        <v>Bien</v>
      </c>
    </row>
    <row r="702" spans="1:17">
      <c r="A702" t="s">
        <v>1016</v>
      </c>
      <c r="B702" t="s">
        <v>361</v>
      </c>
      <c r="C702" t="s">
        <v>24</v>
      </c>
      <c r="D702" t="s">
        <v>37</v>
      </c>
      <c r="E702" s="8" t="s">
        <v>26</v>
      </c>
      <c r="F702" s="8">
        <v>11.07</v>
      </c>
      <c r="G702" s="8">
        <v>19.48</v>
      </c>
      <c r="H702" s="8">
        <v>13.4</v>
      </c>
      <c r="I702" s="8">
        <v>15.05</v>
      </c>
      <c r="J702" s="6">
        <v>0.79579999999999995</v>
      </c>
      <c r="K702" s="4">
        <v>130000</v>
      </c>
      <c r="L702" s="2">
        <v>45739</v>
      </c>
      <c r="M702" t="str">
        <f t="shared" si="40"/>
        <v>Admis</v>
      </c>
      <c r="N702" t="str">
        <f t="shared" si="41"/>
        <v>Non eligible</v>
      </c>
      <c r="O702" t="str">
        <f t="shared" si="42"/>
        <v>RAS</v>
      </c>
      <c r="P702" t="str">
        <f t="shared" si="43"/>
        <v>Hors data</v>
      </c>
      <c r="Q702" t="str" cm="1">
        <f t="array" ref="Q702">_xlfn.IFS(H702&gt;=16,"Excellent",H702&gt;=14,"Très bien",H702&gt;=12,"Bien",H702&gt;=10,"Passable",H702&lt;10,"Insuffisant")</f>
        <v>Bien</v>
      </c>
    </row>
    <row r="703" spans="1:17">
      <c r="A703" t="s">
        <v>1017</v>
      </c>
      <c r="B703" t="s">
        <v>747</v>
      </c>
      <c r="C703" t="s">
        <v>24</v>
      </c>
      <c r="D703" t="s">
        <v>33</v>
      </c>
      <c r="E703" s="8" t="s">
        <v>47</v>
      </c>
      <c r="F703" s="8">
        <v>14.2</v>
      </c>
      <c r="G703" s="8">
        <v>15.11</v>
      </c>
      <c r="H703" s="8">
        <v>12.09</v>
      </c>
      <c r="I703" s="8">
        <v>13.6</v>
      </c>
      <c r="J703" s="6">
        <v>0.96560000000000001</v>
      </c>
      <c r="K703" s="4">
        <v>90000</v>
      </c>
      <c r="L703" s="2">
        <v>45870</v>
      </c>
      <c r="M703" t="str">
        <f t="shared" si="40"/>
        <v>Admis</v>
      </c>
      <c r="N703" t="str">
        <f t="shared" si="41"/>
        <v>Eligible</v>
      </c>
      <c r="O703" t="str">
        <f t="shared" si="42"/>
        <v>RAS</v>
      </c>
      <c r="P703" t="str">
        <f t="shared" si="43"/>
        <v>Hors data</v>
      </c>
      <c r="Q703" t="str" cm="1">
        <f t="array" ref="Q703">_xlfn.IFS(H703&gt;=16,"Excellent",H703&gt;=14,"Très bien",H703&gt;=12,"Bien",H703&gt;=10,"Passable",H703&lt;10,"Insuffisant")</f>
        <v>Bien</v>
      </c>
    </row>
    <row r="704" spans="1:17">
      <c r="A704" t="s">
        <v>1018</v>
      </c>
      <c r="B704" t="s">
        <v>974</v>
      </c>
      <c r="C704" t="s">
        <v>19</v>
      </c>
      <c r="D704" t="s">
        <v>40</v>
      </c>
      <c r="E704" s="8" t="s">
        <v>21</v>
      </c>
      <c r="F704" s="8">
        <v>11.69</v>
      </c>
      <c r="G704" s="8">
        <v>13.4</v>
      </c>
      <c r="H704" s="8">
        <v>14.87</v>
      </c>
      <c r="I704" s="8">
        <v>11.08</v>
      </c>
      <c r="J704" s="6">
        <v>0.90649999999999997</v>
      </c>
      <c r="K704" s="4">
        <v>90000</v>
      </c>
      <c r="L704" s="2">
        <v>45604</v>
      </c>
      <c r="M704" t="str">
        <f t="shared" si="40"/>
        <v>Admis</v>
      </c>
      <c r="N704" t="str">
        <f t="shared" si="41"/>
        <v>Non eligible</v>
      </c>
      <c r="O704" t="str">
        <f t="shared" si="42"/>
        <v>RAS</v>
      </c>
      <c r="P704" t="str">
        <f t="shared" si="43"/>
        <v>Data</v>
      </c>
      <c r="Q704" t="str" cm="1">
        <f t="array" ref="Q704">_xlfn.IFS(H704&gt;=16,"Excellent",H704&gt;=14,"Très bien",H704&gt;=12,"Bien",H704&gt;=10,"Passable",H704&lt;10,"Insuffisant")</f>
        <v>Très bien</v>
      </c>
    </row>
    <row r="705" spans="1:17">
      <c r="A705" t="s">
        <v>1019</v>
      </c>
      <c r="B705" t="s">
        <v>353</v>
      </c>
      <c r="C705" t="s">
        <v>19</v>
      </c>
      <c r="D705" t="s">
        <v>33</v>
      </c>
      <c r="E705" s="8" t="s">
        <v>34</v>
      </c>
      <c r="F705" s="8">
        <v>15.11</v>
      </c>
      <c r="G705" s="8">
        <v>9.94</v>
      </c>
      <c r="H705" s="8">
        <v>14.31</v>
      </c>
      <c r="I705" s="8">
        <v>13.87</v>
      </c>
      <c r="J705" s="6">
        <v>0.74729999999999996</v>
      </c>
      <c r="K705" s="4">
        <v>85000</v>
      </c>
      <c r="L705" s="2">
        <v>46156</v>
      </c>
      <c r="M705" t="str">
        <f t="shared" si="40"/>
        <v>Admis</v>
      </c>
      <c r="N705" t="str">
        <f t="shared" si="41"/>
        <v>Non eligible</v>
      </c>
      <c r="O705" t="str">
        <f t="shared" si="42"/>
        <v>RAS</v>
      </c>
      <c r="P705" t="str">
        <f t="shared" si="43"/>
        <v>Hors data</v>
      </c>
      <c r="Q705" t="str" cm="1">
        <f t="array" ref="Q705">_xlfn.IFS(H705&gt;=16,"Excellent",H705&gt;=14,"Très bien",H705&gt;=12,"Bien",H705&gt;=10,"Passable",H705&lt;10,"Insuffisant")</f>
        <v>Très bien</v>
      </c>
    </row>
    <row r="706" spans="1:17">
      <c r="A706" t="s">
        <v>1020</v>
      </c>
      <c r="B706" t="s">
        <v>245</v>
      </c>
      <c r="C706" t="s">
        <v>19</v>
      </c>
      <c r="D706" t="s">
        <v>52</v>
      </c>
      <c r="E706" s="8" t="s">
        <v>21</v>
      </c>
      <c r="F706" s="8">
        <v>13.07</v>
      </c>
      <c r="G706" s="8">
        <v>8.36</v>
      </c>
      <c r="H706" s="8">
        <v>7.67</v>
      </c>
      <c r="I706" s="8">
        <v>7.1</v>
      </c>
      <c r="J706" s="6">
        <v>0.95489999999999997</v>
      </c>
      <c r="K706" s="4">
        <v>85000</v>
      </c>
      <c r="L706" s="2">
        <v>45614</v>
      </c>
      <c r="M706" t="str">
        <f t="shared" si="40"/>
        <v>Non admis</v>
      </c>
      <c r="N706" t="str">
        <f t="shared" si="41"/>
        <v>Non eligible</v>
      </c>
      <c r="O706" t="str">
        <f t="shared" si="42"/>
        <v>A surveiller</v>
      </c>
      <c r="P706" t="str">
        <f t="shared" si="43"/>
        <v>Data</v>
      </c>
      <c r="Q706" t="str" cm="1">
        <f t="array" ref="Q706">_xlfn.IFS(H706&gt;=16,"Excellent",H706&gt;=14,"Très bien",H706&gt;=12,"Bien",H706&gt;=10,"Passable",H706&lt;10,"Insuffisant")</f>
        <v>Insuffisant</v>
      </c>
    </row>
    <row r="707" spans="1:17">
      <c r="A707" t="s">
        <v>1021</v>
      </c>
      <c r="B707" t="s">
        <v>907</v>
      </c>
      <c r="C707" t="s">
        <v>24</v>
      </c>
      <c r="D707" t="s">
        <v>37</v>
      </c>
      <c r="E707" s="8" t="s">
        <v>26</v>
      </c>
      <c r="F707" s="8">
        <v>14.73</v>
      </c>
      <c r="G707" s="8">
        <v>16.98</v>
      </c>
      <c r="H707" s="8">
        <v>13.83</v>
      </c>
      <c r="I707" s="8">
        <v>13.79</v>
      </c>
      <c r="J707" s="6">
        <v>0.95860000000000001</v>
      </c>
      <c r="K707" s="4">
        <v>130000</v>
      </c>
      <c r="L707" s="2">
        <v>46001</v>
      </c>
      <c r="M707" t="str">
        <f t="shared" ref="M707:M770" si="44">IF(H707&gt;=10,"Admis","Non admis")</f>
        <v>Admis</v>
      </c>
      <c r="N707" t="str">
        <f t="shared" ref="N707:N770" si="45">IF(AND(F707&gt;=12,H707&gt;=12,J707&gt;=80%),"Eligible","Non eligible")</f>
        <v>Eligible</v>
      </c>
      <c r="O707" t="str">
        <f t="shared" ref="O707:O770" si="46">IF(OR(F707&lt;10,H707&lt;10),"A surveiller","RAS")</f>
        <v>RAS</v>
      </c>
      <c r="P707" t="str">
        <f t="shared" ref="P707:P770" si="47">IF(NOT(E707="Data"),"Hors data","Data")</f>
        <v>Hors data</v>
      </c>
      <c r="Q707" t="str" cm="1">
        <f t="array" ref="Q707">_xlfn.IFS(H707&gt;=16,"Excellent",H707&gt;=14,"Très bien",H707&gt;=12,"Bien",H707&gt;=10,"Passable",H707&lt;10,"Insuffisant")</f>
        <v>Bien</v>
      </c>
    </row>
    <row r="708" spans="1:17">
      <c r="A708" t="s">
        <v>1022</v>
      </c>
      <c r="B708" t="s">
        <v>624</v>
      </c>
      <c r="C708" t="s">
        <v>19</v>
      </c>
      <c r="D708" t="s">
        <v>25</v>
      </c>
      <c r="E708" s="8" t="s">
        <v>47</v>
      </c>
      <c r="F708" s="8">
        <v>13.57</v>
      </c>
      <c r="G708" s="8">
        <v>16.05</v>
      </c>
      <c r="H708" s="8">
        <v>16.079999999999998</v>
      </c>
      <c r="I708" s="8">
        <v>15.34</v>
      </c>
      <c r="J708" s="6">
        <v>0.65720000000000001</v>
      </c>
      <c r="K708" s="4">
        <v>130000</v>
      </c>
      <c r="L708" s="2">
        <v>46179</v>
      </c>
      <c r="M708" t="str">
        <f t="shared" si="44"/>
        <v>Admis</v>
      </c>
      <c r="N708" t="str">
        <f t="shared" si="45"/>
        <v>Non eligible</v>
      </c>
      <c r="O708" t="str">
        <f t="shared" si="46"/>
        <v>RAS</v>
      </c>
      <c r="P708" t="str">
        <f t="shared" si="47"/>
        <v>Hors data</v>
      </c>
      <c r="Q708" t="str" cm="1">
        <f t="array" ref="Q708">_xlfn.IFS(H708&gt;=16,"Excellent",H708&gt;=14,"Très bien",H708&gt;=12,"Bien",H708&gt;=10,"Passable",H708&lt;10,"Insuffisant")</f>
        <v>Excellent</v>
      </c>
    </row>
    <row r="709" spans="1:17">
      <c r="A709" t="s">
        <v>1023</v>
      </c>
      <c r="B709" t="s">
        <v>183</v>
      </c>
      <c r="C709" t="s">
        <v>24</v>
      </c>
      <c r="D709" t="s">
        <v>37</v>
      </c>
      <c r="E709" s="8" t="s">
        <v>34</v>
      </c>
      <c r="F709" s="8">
        <v>14.59</v>
      </c>
      <c r="G709" s="8">
        <v>3.61</v>
      </c>
      <c r="H709" s="8">
        <v>12.51</v>
      </c>
      <c r="I709" s="8">
        <v>9.0500000000000007</v>
      </c>
      <c r="J709" s="6">
        <v>0.83020000000000005</v>
      </c>
      <c r="K709" s="4">
        <v>80000</v>
      </c>
      <c r="L709" s="2">
        <v>46015</v>
      </c>
      <c r="M709" t="str">
        <f t="shared" si="44"/>
        <v>Admis</v>
      </c>
      <c r="N709" t="str">
        <f t="shared" si="45"/>
        <v>Eligible</v>
      </c>
      <c r="O709" t="str">
        <f t="shared" si="46"/>
        <v>RAS</v>
      </c>
      <c r="P709" t="str">
        <f t="shared" si="47"/>
        <v>Hors data</v>
      </c>
      <c r="Q709" t="str" cm="1">
        <f t="array" ref="Q709">_xlfn.IFS(H709&gt;=16,"Excellent",H709&gt;=14,"Très bien",H709&gt;=12,"Bien",H709&gt;=10,"Passable",H709&lt;10,"Insuffisant")</f>
        <v>Bien</v>
      </c>
    </row>
    <row r="710" spans="1:17">
      <c r="A710" t="s">
        <v>1024</v>
      </c>
      <c r="B710" t="s">
        <v>257</v>
      </c>
      <c r="C710" t="s">
        <v>19</v>
      </c>
      <c r="D710" t="s">
        <v>33</v>
      </c>
      <c r="E710" s="8" t="s">
        <v>34</v>
      </c>
      <c r="F710" s="8">
        <v>7.44</v>
      </c>
      <c r="G710" s="8">
        <v>10.86</v>
      </c>
      <c r="H710" s="8">
        <v>8</v>
      </c>
      <c r="I710" s="8">
        <v>8.4600000000000009</v>
      </c>
      <c r="J710" s="6">
        <v>0.8266</v>
      </c>
      <c r="K710" s="4">
        <v>130000</v>
      </c>
      <c r="L710" s="2">
        <v>46070</v>
      </c>
      <c r="M710" t="str">
        <f t="shared" si="44"/>
        <v>Non admis</v>
      </c>
      <c r="N710" t="str">
        <f t="shared" si="45"/>
        <v>Non eligible</v>
      </c>
      <c r="O710" t="str">
        <f t="shared" si="46"/>
        <v>A surveiller</v>
      </c>
      <c r="P710" t="str">
        <f t="shared" si="47"/>
        <v>Hors data</v>
      </c>
      <c r="Q710" t="str" cm="1">
        <f t="array" ref="Q710">_xlfn.IFS(H710&gt;=16,"Excellent",H710&gt;=14,"Très bien",H710&gt;=12,"Bien",H710&gt;=10,"Passable",H710&lt;10,"Insuffisant")</f>
        <v>Insuffisant</v>
      </c>
    </row>
    <row r="711" spans="1:17">
      <c r="A711" t="s">
        <v>1025</v>
      </c>
      <c r="B711" t="s">
        <v>554</v>
      </c>
      <c r="C711" t="s">
        <v>19</v>
      </c>
      <c r="D711" t="s">
        <v>25</v>
      </c>
      <c r="E711" s="8" t="s">
        <v>47</v>
      </c>
      <c r="F711" s="8">
        <v>13.99</v>
      </c>
      <c r="G711" s="8">
        <v>20</v>
      </c>
      <c r="H711" s="8">
        <v>15.03</v>
      </c>
      <c r="I711" s="8">
        <v>15.5</v>
      </c>
      <c r="J711" s="6">
        <v>0.8448</v>
      </c>
      <c r="K711" s="4">
        <v>50000</v>
      </c>
      <c r="L711" s="2">
        <v>45720</v>
      </c>
      <c r="M711" t="str">
        <f t="shared" si="44"/>
        <v>Admis</v>
      </c>
      <c r="N711" t="str">
        <f t="shared" si="45"/>
        <v>Eligible</v>
      </c>
      <c r="O711" t="str">
        <f t="shared" si="46"/>
        <v>RAS</v>
      </c>
      <c r="P711" t="str">
        <f t="shared" si="47"/>
        <v>Hors data</v>
      </c>
      <c r="Q711" t="str" cm="1">
        <f t="array" ref="Q711">_xlfn.IFS(H711&gt;=16,"Excellent",H711&gt;=14,"Très bien",H711&gt;=12,"Bien",H711&gt;=10,"Passable",H711&lt;10,"Insuffisant")</f>
        <v>Très bien</v>
      </c>
    </row>
    <row r="712" spans="1:17">
      <c r="A712" t="s">
        <v>1026</v>
      </c>
      <c r="B712" t="s">
        <v>223</v>
      </c>
      <c r="C712" t="s">
        <v>24</v>
      </c>
      <c r="D712" t="s">
        <v>37</v>
      </c>
      <c r="E712" s="8" t="s">
        <v>21</v>
      </c>
      <c r="F712" s="8">
        <v>10.65</v>
      </c>
      <c r="G712" s="8">
        <v>10.53</v>
      </c>
      <c r="H712" s="8">
        <v>15.47</v>
      </c>
      <c r="I712" s="8">
        <v>16.68</v>
      </c>
      <c r="J712" s="6">
        <v>0.87219999999999998</v>
      </c>
      <c r="K712" s="4">
        <v>75000</v>
      </c>
      <c r="L712" s="2">
        <v>46115</v>
      </c>
      <c r="M712" t="str">
        <f t="shared" si="44"/>
        <v>Admis</v>
      </c>
      <c r="N712" t="str">
        <f t="shared" si="45"/>
        <v>Non eligible</v>
      </c>
      <c r="O712" t="str">
        <f t="shared" si="46"/>
        <v>RAS</v>
      </c>
      <c r="P712" t="str">
        <f t="shared" si="47"/>
        <v>Data</v>
      </c>
      <c r="Q712" t="str" cm="1">
        <f t="array" ref="Q712">_xlfn.IFS(H712&gt;=16,"Excellent",H712&gt;=14,"Très bien",H712&gt;=12,"Bien",H712&gt;=10,"Passable",H712&lt;10,"Insuffisant")</f>
        <v>Très bien</v>
      </c>
    </row>
    <row r="713" spans="1:17">
      <c r="A713" t="s">
        <v>1027</v>
      </c>
      <c r="B713" t="s">
        <v>112</v>
      </c>
      <c r="C713" t="s">
        <v>24</v>
      </c>
      <c r="D713" t="s">
        <v>33</v>
      </c>
      <c r="E713" s="8" t="s">
        <v>34</v>
      </c>
      <c r="F713" s="8">
        <v>8.02</v>
      </c>
      <c r="G713" s="8">
        <v>15.21</v>
      </c>
      <c r="H713" s="8">
        <v>10.88</v>
      </c>
      <c r="I713" s="8">
        <v>7.31</v>
      </c>
      <c r="J713" s="6">
        <v>0.96599999999999997</v>
      </c>
      <c r="K713" s="4">
        <v>75000</v>
      </c>
      <c r="L713" s="2">
        <v>45829</v>
      </c>
      <c r="M713" t="str">
        <f t="shared" si="44"/>
        <v>Admis</v>
      </c>
      <c r="N713" t="str">
        <f t="shared" si="45"/>
        <v>Non eligible</v>
      </c>
      <c r="O713" t="str">
        <f t="shared" si="46"/>
        <v>A surveiller</v>
      </c>
      <c r="P713" t="str">
        <f t="shared" si="47"/>
        <v>Hors data</v>
      </c>
      <c r="Q713" t="str" cm="1">
        <f t="array" ref="Q713">_xlfn.IFS(H713&gt;=16,"Excellent",H713&gt;=14,"Très bien",H713&gt;=12,"Bien",H713&gt;=10,"Passable",H713&lt;10,"Insuffisant")</f>
        <v>Passable</v>
      </c>
    </row>
    <row r="714" spans="1:17">
      <c r="A714" t="s">
        <v>1028</v>
      </c>
      <c r="B714" t="s">
        <v>78</v>
      </c>
      <c r="C714" t="s">
        <v>24</v>
      </c>
      <c r="D714" t="s">
        <v>20</v>
      </c>
      <c r="E714" s="8" t="s">
        <v>21</v>
      </c>
      <c r="F714" s="8">
        <v>10.74</v>
      </c>
      <c r="G714" s="8">
        <v>7.02</v>
      </c>
      <c r="H714" s="8">
        <v>11.92</v>
      </c>
      <c r="I714" s="8">
        <v>11.78</v>
      </c>
      <c r="J714" s="6">
        <v>0.76700000000000002</v>
      </c>
      <c r="K714" s="4">
        <v>100000</v>
      </c>
      <c r="L714" s="2">
        <v>45578</v>
      </c>
      <c r="M714" t="str">
        <f t="shared" si="44"/>
        <v>Admis</v>
      </c>
      <c r="N714" t="str">
        <f t="shared" si="45"/>
        <v>Non eligible</v>
      </c>
      <c r="O714" t="str">
        <f t="shared" si="46"/>
        <v>RAS</v>
      </c>
      <c r="P714" t="str">
        <f t="shared" si="47"/>
        <v>Data</v>
      </c>
      <c r="Q714" t="str" cm="1">
        <f t="array" ref="Q714">_xlfn.IFS(H714&gt;=16,"Excellent",H714&gt;=14,"Très bien",H714&gt;=12,"Bien",H714&gt;=10,"Passable",H714&lt;10,"Insuffisant")</f>
        <v>Passable</v>
      </c>
    </row>
    <row r="715" spans="1:17">
      <c r="A715" t="s">
        <v>1029</v>
      </c>
      <c r="B715" t="s">
        <v>435</v>
      </c>
      <c r="C715" t="s">
        <v>24</v>
      </c>
      <c r="D715" t="s">
        <v>52</v>
      </c>
      <c r="E715" s="8" t="s">
        <v>47</v>
      </c>
      <c r="F715" s="8">
        <v>6.71</v>
      </c>
      <c r="G715" s="8">
        <v>11.76</v>
      </c>
      <c r="H715" s="8">
        <v>6.56</v>
      </c>
      <c r="I715" s="8">
        <v>8.14</v>
      </c>
      <c r="J715" s="6">
        <v>0.99</v>
      </c>
      <c r="K715" s="4">
        <v>90000</v>
      </c>
      <c r="L715" s="2">
        <v>45792</v>
      </c>
      <c r="M715" t="str">
        <f t="shared" si="44"/>
        <v>Non admis</v>
      </c>
      <c r="N715" t="str">
        <f t="shared" si="45"/>
        <v>Non eligible</v>
      </c>
      <c r="O715" t="str">
        <f t="shared" si="46"/>
        <v>A surveiller</v>
      </c>
      <c r="P715" t="str">
        <f t="shared" si="47"/>
        <v>Hors data</v>
      </c>
      <c r="Q715" t="str" cm="1">
        <f t="array" ref="Q715">_xlfn.IFS(H715&gt;=16,"Excellent",H715&gt;=14,"Très bien",H715&gt;=12,"Bien",H715&gt;=10,"Passable",H715&lt;10,"Insuffisant")</f>
        <v>Insuffisant</v>
      </c>
    </row>
    <row r="716" spans="1:17">
      <c r="A716" t="s">
        <v>1030</v>
      </c>
      <c r="B716" t="s">
        <v>1008</v>
      </c>
      <c r="C716" t="s">
        <v>24</v>
      </c>
      <c r="D716" t="s">
        <v>20</v>
      </c>
      <c r="E716" s="8" t="s">
        <v>47</v>
      </c>
      <c r="F716" s="8">
        <v>11.32</v>
      </c>
      <c r="G716" s="8">
        <v>11.01</v>
      </c>
      <c r="H716" s="8">
        <v>11</v>
      </c>
      <c r="I716" s="8">
        <v>12.64</v>
      </c>
      <c r="J716" s="6">
        <v>0.89849999999999997</v>
      </c>
      <c r="K716" s="4">
        <v>85000</v>
      </c>
      <c r="L716" s="2">
        <v>45780</v>
      </c>
      <c r="M716" t="str">
        <f t="shared" si="44"/>
        <v>Admis</v>
      </c>
      <c r="N716" t="str">
        <f t="shared" si="45"/>
        <v>Non eligible</v>
      </c>
      <c r="O716" t="str">
        <f t="shared" si="46"/>
        <v>RAS</v>
      </c>
      <c r="P716" t="str">
        <f t="shared" si="47"/>
        <v>Hors data</v>
      </c>
      <c r="Q716" t="str" cm="1">
        <f t="array" ref="Q716">_xlfn.IFS(H716&gt;=16,"Excellent",H716&gt;=14,"Très bien",H716&gt;=12,"Bien",H716&gt;=10,"Passable",H716&lt;10,"Insuffisant")</f>
        <v>Passable</v>
      </c>
    </row>
    <row r="717" spans="1:17">
      <c r="A717" t="s">
        <v>1031</v>
      </c>
      <c r="B717" t="s">
        <v>911</v>
      </c>
      <c r="C717" t="s">
        <v>24</v>
      </c>
      <c r="D717" t="s">
        <v>20</v>
      </c>
      <c r="E717" s="8" t="s">
        <v>34</v>
      </c>
      <c r="F717" s="8">
        <v>9.36</v>
      </c>
      <c r="G717" s="8">
        <v>7.22</v>
      </c>
      <c r="H717" s="8">
        <v>11.8</v>
      </c>
      <c r="I717" s="8">
        <v>11.8</v>
      </c>
      <c r="J717" s="6">
        <v>0.71240000000000003</v>
      </c>
      <c r="K717" s="4">
        <v>70000</v>
      </c>
      <c r="L717" s="2">
        <v>45901</v>
      </c>
      <c r="M717" t="str">
        <f t="shared" si="44"/>
        <v>Admis</v>
      </c>
      <c r="N717" t="str">
        <f t="shared" si="45"/>
        <v>Non eligible</v>
      </c>
      <c r="O717" t="str">
        <f t="shared" si="46"/>
        <v>A surveiller</v>
      </c>
      <c r="P717" t="str">
        <f t="shared" si="47"/>
        <v>Hors data</v>
      </c>
      <c r="Q717" t="str" cm="1">
        <f t="array" ref="Q717">_xlfn.IFS(H717&gt;=16,"Excellent",H717&gt;=14,"Très bien",H717&gt;=12,"Bien",H717&gt;=10,"Passable",H717&lt;10,"Insuffisant")</f>
        <v>Passable</v>
      </c>
    </row>
    <row r="718" spans="1:17">
      <c r="A718" t="s">
        <v>1032</v>
      </c>
      <c r="B718" t="s">
        <v>1033</v>
      </c>
      <c r="C718" t="s">
        <v>24</v>
      </c>
      <c r="D718" t="s">
        <v>52</v>
      </c>
      <c r="E718" s="8" t="s">
        <v>21</v>
      </c>
      <c r="F718" s="8">
        <v>10.02</v>
      </c>
      <c r="G718" s="8">
        <v>18.32</v>
      </c>
      <c r="H718" s="8">
        <v>16.43</v>
      </c>
      <c r="I718" s="8">
        <v>20</v>
      </c>
      <c r="J718" s="6">
        <v>0.88649999999999995</v>
      </c>
      <c r="K718" s="4">
        <v>85000</v>
      </c>
      <c r="L718" s="2">
        <v>45721</v>
      </c>
      <c r="M718" t="str">
        <f t="shared" si="44"/>
        <v>Admis</v>
      </c>
      <c r="N718" t="str">
        <f t="shared" si="45"/>
        <v>Non eligible</v>
      </c>
      <c r="O718" t="str">
        <f t="shared" si="46"/>
        <v>RAS</v>
      </c>
      <c r="P718" t="str">
        <f t="shared" si="47"/>
        <v>Data</v>
      </c>
      <c r="Q718" t="str" cm="1">
        <f t="array" ref="Q718">_xlfn.IFS(H718&gt;=16,"Excellent",H718&gt;=14,"Très bien",H718&gt;=12,"Bien",H718&gt;=10,"Passable",H718&lt;10,"Insuffisant")</f>
        <v>Excellent</v>
      </c>
    </row>
    <row r="719" spans="1:17">
      <c r="A719" t="s">
        <v>1034</v>
      </c>
      <c r="B719" t="s">
        <v>1035</v>
      </c>
      <c r="C719" t="s">
        <v>19</v>
      </c>
      <c r="D719" t="s">
        <v>40</v>
      </c>
      <c r="E719" s="8" t="s">
        <v>34</v>
      </c>
      <c r="F719" s="8">
        <v>9.41</v>
      </c>
      <c r="G719" s="8">
        <v>14.64</v>
      </c>
      <c r="H719" s="8">
        <v>12.35</v>
      </c>
      <c r="I719" s="8">
        <v>13.07</v>
      </c>
      <c r="J719" s="6">
        <v>0.92649999999999999</v>
      </c>
      <c r="K719" s="4">
        <v>70000</v>
      </c>
      <c r="L719" s="2">
        <v>45859</v>
      </c>
      <c r="M719" t="str">
        <f t="shared" si="44"/>
        <v>Admis</v>
      </c>
      <c r="N719" t="str">
        <f t="shared" si="45"/>
        <v>Non eligible</v>
      </c>
      <c r="O719" t="str">
        <f t="shared" si="46"/>
        <v>A surveiller</v>
      </c>
      <c r="P719" t="str">
        <f t="shared" si="47"/>
        <v>Hors data</v>
      </c>
      <c r="Q719" t="str" cm="1">
        <f t="array" ref="Q719">_xlfn.IFS(H719&gt;=16,"Excellent",H719&gt;=14,"Très bien",H719&gt;=12,"Bien",H719&gt;=10,"Passable",H719&lt;10,"Insuffisant")</f>
        <v>Bien</v>
      </c>
    </row>
    <row r="720" spans="1:17">
      <c r="A720" t="s">
        <v>1036</v>
      </c>
      <c r="B720" t="s">
        <v>1037</v>
      </c>
      <c r="C720" t="s">
        <v>19</v>
      </c>
      <c r="D720" t="s">
        <v>33</v>
      </c>
      <c r="E720" s="8" t="s">
        <v>26</v>
      </c>
      <c r="F720" s="8">
        <v>14.25</v>
      </c>
      <c r="G720" s="8">
        <v>16.489999999999998</v>
      </c>
      <c r="H720" s="8">
        <v>17.14</v>
      </c>
      <c r="I720" s="8">
        <v>14.29</v>
      </c>
      <c r="J720" s="6">
        <v>0.93859999999999999</v>
      </c>
      <c r="K720" s="4">
        <v>85000</v>
      </c>
      <c r="L720" s="2">
        <v>45835</v>
      </c>
      <c r="M720" t="str">
        <f t="shared" si="44"/>
        <v>Admis</v>
      </c>
      <c r="N720" t="str">
        <f t="shared" si="45"/>
        <v>Eligible</v>
      </c>
      <c r="O720" t="str">
        <f t="shared" si="46"/>
        <v>RAS</v>
      </c>
      <c r="P720" t="str">
        <f t="shared" si="47"/>
        <v>Hors data</v>
      </c>
      <c r="Q720" t="str" cm="1">
        <f t="array" ref="Q720">_xlfn.IFS(H720&gt;=16,"Excellent",H720&gt;=14,"Très bien",H720&gt;=12,"Bien",H720&gt;=10,"Passable",H720&lt;10,"Insuffisant")</f>
        <v>Excellent</v>
      </c>
    </row>
    <row r="721" spans="1:17">
      <c r="A721" t="s">
        <v>1038</v>
      </c>
      <c r="B721" t="s">
        <v>556</v>
      </c>
      <c r="C721" t="s">
        <v>24</v>
      </c>
      <c r="D721" t="s">
        <v>52</v>
      </c>
      <c r="E721" s="8" t="s">
        <v>21</v>
      </c>
      <c r="F721" s="8">
        <v>10.66</v>
      </c>
      <c r="G721" s="8">
        <v>13.68</v>
      </c>
      <c r="H721" s="8">
        <v>13.74</v>
      </c>
      <c r="I721" s="8">
        <v>12.42</v>
      </c>
      <c r="J721" s="6">
        <v>0.80149999999999999</v>
      </c>
      <c r="K721" s="4">
        <v>75000</v>
      </c>
      <c r="L721" s="2">
        <v>45764</v>
      </c>
      <c r="M721" t="str">
        <f t="shared" si="44"/>
        <v>Admis</v>
      </c>
      <c r="N721" t="str">
        <f t="shared" si="45"/>
        <v>Non eligible</v>
      </c>
      <c r="O721" t="str">
        <f t="shared" si="46"/>
        <v>RAS</v>
      </c>
      <c r="P721" t="str">
        <f t="shared" si="47"/>
        <v>Data</v>
      </c>
      <c r="Q721" t="str" cm="1">
        <f t="array" ref="Q721">_xlfn.IFS(H721&gt;=16,"Excellent",H721&gt;=14,"Très bien",H721&gt;=12,"Bien",H721&gt;=10,"Passable",H721&lt;10,"Insuffisant")</f>
        <v>Bien</v>
      </c>
    </row>
    <row r="722" spans="1:17">
      <c r="A722" t="s">
        <v>1039</v>
      </c>
      <c r="B722" t="s">
        <v>209</v>
      </c>
      <c r="C722" t="s">
        <v>19</v>
      </c>
      <c r="D722" t="s">
        <v>40</v>
      </c>
      <c r="E722" s="8" t="s">
        <v>21</v>
      </c>
      <c r="F722" s="8">
        <v>17.54</v>
      </c>
      <c r="G722" s="8">
        <v>13.69</v>
      </c>
      <c r="H722" s="8">
        <v>15.61</v>
      </c>
      <c r="I722" s="8">
        <v>13.32</v>
      </c>
      <c r="J722" s="6">
        <v>0.55000000000000004</v>
      </c>
      <c r="K722" s="4">
        <v>120000</v>
      </c>
      <c r="L722" s="2">
        <v>46023</v>
      </c>
      <c r="M722" t="str">
        <f t="shared" si="44"/>
        <v>Admis</v>
      </c>
      <c r="N722" t="str">
        <f t="shared" si="45"/>
        <v>Non eligible</v>
      </c>
      <c r="O722" t="str">
        <f t="shared" si="46"/>
        <v>RAS</v>
      </c>
      <c r="P722" t="str">
        <f t="shared" si="47"/>
        <v>Data</v>
      </c>
      <c r="Q722" t="str" cm="1">
        <f t="array" ref="Q722">_xlfn.IFS(H722&gt;=16,"Excellent",H722&gt;=14,"Très bien",H722&gt;=12,"Bien",H722&gt;=10,"Passable",H722&lt;10,"Insuffisant")</f>
        <v>Très bien</v>
      </c>
    </row>
    <row r="723" spans="1:17">
      <c r="A723" t="s">
        <v>1040</v>
      </c>
      <c r="B723" t="s">
        <v>804</v>
      </c>
      <c r="C723" t="s">
        <v>24</v>
      </c>
      <c r="D723" t="s">
        <v>40</v>
      </c>
      <c r="E723" s="8" t="s">
        <v>21</v>
      </c>
      <c r="F723" s="8">
        <v>11.75</v>
      </c>
      <c r="G723" s="8">
        <v>9.41</v>
      </c>
      <c r="H723" s="8">
        <v>12.77</v>
      </c>
      <c r="I723" s="8">
        <v>14.89</v>
      </c>
      <c r="J723" s="6">
        <v>0.9073</v>
      </c>
      <c r="K723" s="4">
        <v>110000</v>
      </c>
      <c r="L723" s="2">
        <v>45749</v>
      </c>
      <c r="M723" t="str">
        <f t="shared" si="44"/>
        <v>Admis</v>
      </c>
      <c r="N723" t="str">
        <f t="shared" si="45"/>
        <v>Non eligible</v>
      </c>
      <c r="O723" t="str">
        <f t="shared" si="46"/>
        <v>RAS</v>
      </c>
      <c r="P723" t="str">
        <f t="shared" si="47"/>
        <v>Data</v>
      </c>
      <c r="Q723" t="str" cm="1">
        <f t="array" ref="Q723">_xlfn.IFS(H723&gt;=16,"Excellent",H723&gt;=14,"Très bien",H723&gt;=12,"Bien",H723&gt;=10,"Passable",H723&lt;10,"Insuffisant")</f>
        <v>Bien</v>
      </c>
    </row>
    <row r="724" spans="1:17">
      <c r="A724" t="s">
        <v>1041</v>
      </c>
      <c r="B724" t="s">
        <v>454</v>
      </c>
      <c r="C724" t="s">
        <v>24</v>
      </c>
      <c r="D724" t="s">
        <v>52</v>
      </c>
      <c r="E724" s="8" t="s">
        <v>26</v>
      </c>
      <c r="F724" s="8">
        <v>17.88</v>
      </c>
      <c r="G724" s="8">
        <v>17.87</v>
      </c>
      <c r="H724" s="8">
        <v>14.9</v>
      </c>
      <c r="I724" s="8">
        <v>12.91</v>
      </c>
      <c r="J724" s="6">
        <v>0.55000000000000004</v>
      </c>
      <c r="K724" s="4">
        <v>60000</v>
      </c>
      <c r="L724" s="2">
        <v>46072</v>
      </c>
      <c r="M724" t="str">
        <f t="shared" si="44"/>
        <v>Admis</v>
      </c>
      <c r="N724" t="str">
        <f t="shared" si="45"/>
        <v>Non eligible</v>
      </c>
      <c r="O724" t="str">
        <f t="shared" si="46"/>
        <v>RAS</v>
      </c>
      <c r="P724" t="str">
        <f t="shared" si="47"/>
        <v>Hors data</v>
      </c>
      <c r="Q724" t="str" cm="1">
        <f t="array" ref="Q724">_xlfn.IFS(H724&gt;=16,"Excellent",H724&gt;=14,"Très bien",H724&gt;=12,"Bien",H724&gt;=10,"Passable",H724&lt;10,"Insuffisant")</f>
        <v>Très bien</v>
      </c>
    </row>
    <row r="725" spans="1:17">
      <c r="A725" t="s">
        <v>1042</v>
      </c>
      <c r="B725" t="s">
        <v>495</v>
      </c>
      <c r="C725" t="s">
        <v>19</v>
      </c>
      <c r="D725" t="s">
        <v>52</v>
      </c>
      <c r="E725" s="8" t="s">
        <v>21</v>
      </c>
      <c r="F725" s="8">
        <v>11.96</v>
      </c>
      <c r="G725" s="8">
        <v>16.25</v>
      </c>
      <c r="H725" s="8">
        <v>9.91</v>
      </c>
      <c r="I725" s="8">
        <v>10.09</v>
      </c>
      <c r="J725" s="6">
        <v>0.91900000000000004</v>
      </c>
      <c r="K725" s="4">
        <v>130000</v>
      </c>
      <c r="L725" s="2">
        <v>45711</v>
      </c>
      <c r="M725" t="str">
        <f t="shared" si="44"/>
        <v>Non admis</v>
      </c>
      <c r="N725" t="str">
        <f t="shared" si="45"/>
        <v>Non eligible</v>
      </c>
      <c r="O725" t="str">
        <f t="shared" si="46"/>
        <v>A surveiller</v>
      </c>
      <c r="P725" t="str">
        <f t="shared" si="47"/>
        <v>Data</v>
      </c>
      <c r="Q725" t="str" cm="1">
        <f t="array" ref="Q725">_xlfn.IFS(H725&gt;=16,"Excellent",H725&gt;=14,"Très bien",H725&gt;=12,"Bien",H725&gt;=10,"Passable",H725&lt;10,"Insuffisant")</f>
        <v>Insuffisant</v>
      </c>
    </row>
    <row r="726" spans="1:17">
      <c r="A726" t="s">
        <v>1043</v>
      </c>
      <c r="B726" t="s">
        <v>983</v>
      </c>
      <c r="C726" t="s">
        <v>24</v>
      </c>
      <c r="D726" t="s">
        <v>20</v>
      </c>
      <c r="E726" s="8" t="s">
        <v>47</v>
      </c>
      <c r="F726" s="8">
        <v>9</v>
      </c>
      <c r="G726" s="8">
        <v>11.98</v>
      </c>
      <c r="H726" s="8">
        <v>7.99</v>
      </c>
      <c r="I726" s="8">
        <v>10</v>
      </c>
      <c r="J726" s="6">
        <v>0.86519999999999997</v>
      </c>
      <c r="K726" s="4">
        <v>100000</v>
      </c>
      <c r="L726" s="2">
        <v>46141</v>
      </c>
      <c r="M726" t="str">
        <f t="shared" si="44"/>
        <v>Non admis</v>
      </c>
      <c r="N726" t="str">
        <f t="shared" si="45"/>
        <v>Non eligible</v>
      </c>
      <c r="O726" t="str">
        <f t="shared" si="46"/>
        <v>A surveiller</v>
      </c>
      <c r="P726" t="str">
        <f t="shared" si="47"/>
        <v>Hors data</v>
      </c>
      <c r="Q726" t="str" cm="1">
        <f t="array" ref="Q726">_xlfn.IFS(H726&gt;=16,"Excellent",H726&gt;=14,"Très bien",H726&gt;=12,"Bien",H726&gt;=10,"Passable",H726&lt;10,"Insuffisant")</f>
        <v>Insuffisant</v>
      </c>
    </row>
    <row r="727" spans="1:17">
      <c r="A727" t="s">
        <v>1044</v>
      </c>
      <c r="B727" t="s">
        <v>1045</v>
      </c>
      <c r="C727" t="s">
        <v>19</v>
      </c>
      <c r="D727" t="s">
        <v>33</v>
      </c>
      <c r="E727" s="8" t="s">
        <v>26</v>
      </c>
      <c r="F727" s="8">
        <v>7.79</v>
      </c>
      <c r="G727" s="8">
        <v>5.66</v>
      </c>
      <c r="H727" s="8">
        <v>9.8699999999999992</v>
      </c>
      <c r="I727" s="8">
        <v>12.23</v>
      </c>
      <c r="J727" s="6">
        <v>0.83299999999999996</v>
      </c>
      <c r="K727" s="4">
        <v>75000</v>
      </c>
      <c r="L727" s="2">
        <v>45791</v>
      </c>
      <c r="M727" t="str">
        <f t="shared" si="44"/>
        <v>Non admis</v>
      </c>
      <c r="N727" t="str">
        <f t="shared" si="45"/>
        <v>Non eligible</v>
      </c>
      <c r="O727" t="str">
        <f t="shared" si="46"/>
        <v>A surveiller</v>
      </c>
      <c r="P727" t="str">
        <f t="shared" si="47"/>
        <v>Hors data</v>
      </c>
      <c r="Q727" t="str" cm="1">
        <f t="array" ref="Q727">_xlfn.IFS(H727&gt;=16,"Excellent",H727&gt;=14,"Très bien",H727&gt;=12,"Bien",H727&gt;=10,"Passable",H727&lt;10,"Insuffisant")</f>
        <v>Insuffisant</v>
      </c>
    </row>
    <row r="728" spans="1:17">
      <c r="A728" t="s">
        <v>1046</v>
      </c>
      <c r="B728" t="s">
        <v>158</v>
      </c>
      <c r="C728" t="s">
        <v>24</v>
      </c>
      <c r="D728" t="s">
        <v>25</v>
      </c>
      <c r="E728" s="8" t="s">
        <v>47</v>
      </c>
      <c r="F728" s="8">
        <v>11.88</v>
      </c>
      <c r="G728" s="8">
        <v>9.08</v>
      </c>
      <c r="H728" s="8">
        <v>10.48</v>
      </c>
      <c r="I728" s="8">
        <v>7.07</v>
      </c>
      <c r="J728" s="6">
        <v>0.74470000000000003</v>
      </c>
      <c r="K728" s="4">
        <v>85000</v>
      </c>
      <c r="L728" s="2">
        <v>45564</v>
      </c>
      <c r="M728" t="str">
        <f t="shared" si="44"/>
        <v>Admis</v>
      </c>
      <c r="N728" t="str">
        <f t="shared" si="45"/>
        <v>Non eligible</v>
      </c>
      <c r="O728" t="str">
        <f t="shared" si="46"/>
        <v>RAS</v>
      </c>
      <c r="P728" t="str">
        <f t="shared" si="47"/>
        <v>Hors data</v>
      </c>
      <c r="Q728" t="str" cm="1">
        <f t="array" ref="Q728">_xlfn.IFS(H728&gt;=16,"Excellent",H728&gt;=14,"Très bien",H728&gt;=12,"Bien",H728&gt;=10,"Passable",H728&lt;10,"Insuffisant")</f>
        <v>Passable</v>
      </c>
    </row>
    <row r="729" spans="1:17">
      <c r="A729" t="s">
        <v>1047</v>
      </c>
      <c r="B729" t="s">
        <v>201</v>
      </c>
      <c r="C729" t="s">
        <v>19</v>
      </c>
      <c r="D729" t="s">
        <v>20</v>
      </c>
      <c r="E729" s="8" t="s">
        <v>34</v>
      </c>
      <c r="F729" s="8">
        <v>8.32</v>
      </c>
      <c r="G729" s="8">
        <v>8.5399999999999991</v>
      </c>
      <c r="H729" s="8">
        <v>10.41</v>
      </c>
      <c r="I729" s="8">
        <v>12.93</v>
      </c>
      <c r="J729" s="6">
        <v>0.90090000000000003</v>
      </c>
      <c r="K729" s="4">
        <v>70000</v>
      </c>
      <c r="L729" s="2">
        <v>45640</v>
      </c>
      <c r="M729" t="str">
        <f t="shared" si="44"/>
        <v>Admis</v>
      </c>
      <c r="N729" t="str">
        <f t="shared" si="45"/>
        <v>Non eligible</v>
      </c>
      <c r="O729" t="str">
        <f t="shared" si="46"/>
        <v>A surveiller</v>
      </c>
      <c r="P729" t="str">
        <f t="shared" si="47"/>
        <v>Hors data</v>
      </c>
      <c r="Q729" t="str" cm="1">
        <f t="array" ref="Q729">_xlfn.IFS(H729&gt;=16,"Excellent",H729&gt;=14,"Très bien",H729&gt;=12,"Bien",H729&gt;=10,"Passable",H729&lt;10,"Insuffisant")</f>
        <v>Passable</v>
      </c>
    </row>
    <row r="730" spans="1:17">
      <c r="A730" t="s">
        <v>1048</v>
      </c>
      <c r="B730" t="s">
        <v>1049</v>
      </c>
      <c r="C730" t="s">
        <v>19</v>
      </c>
      <c r="D730" t="s">
        <v>33</v>
      </c>
      <c r="E730" s="8" t="s">
        <v>21</v>
      </c>
      <c r="F730" s="8">
        <v>15.02</v>
      </c>
      <c r="G730" s="8">
        <v>11.54</v>
      </c>
      <c r="H730" s="8">
        <v>12.72</v>
      </c>
      <c r="I730" s="8">
        <v>14.24</v>
      </c>
      <c r="J730" s="6">
        <v>0.94320000000000004</v>
      </c>
      <c r="K730" s="4">
        <v>50000</v>
      </c>
      <c r="L730" s="2">
        <v>46100</v>
      </c>
      <c r="M730" t="str">
        <f t="shared" si="44"/>
        <v>Admis</v>
      </c>
      <c r="N730" t="str">
        <f t="shared" si="45"/>
        <v>Eligible</v>
      </c>
      <c r="O730" t="str">
        <f t="shared" si="46"/>
        <v>RAS</v>
      </c>
      <c r="P730" t="str">
        <f t="shared" si="47"/>
        <v>Data</v>
      </c>
      <c r="Q730" t="str" cm="1">
        <f t="array" ref="Q730">_xlfn.IFS(H730&gt;=16,"Excellent",H730&gt;=14,"Très bien",H730&gt;=12,"Bien",H730&gt;=10,"Passable",H730&lt;10,"Insuffisant")</f>
        <v>Bien</v>
      </c>
    </row>
    <row r="731" spans="1:17">
      <c r="A731" t="s">
        <v>1050</v>
      </c>
      <c r="B731" t="s">
        <v>322</v>
      </c>
      <c r="C731" t="s">
        <v>24</v>
      </c>
      <c r="D731" t="s">
        <v>52</v>
      </c>
      <c r="E731" s="8" t="s">
        <v>21</v>
      </c>
      <c r="F731" s="8">
        <v>11.68</v>
      </c>
      <c r="G731" s="8">
        <v>12.69</v>
      </c>
      <c r="H731" s="8">
        <v>8.74</v>
      </c>
      <c r="I731" s="8">
        <v>7.95</v>
      </c>
      <c r="J731" s="6">
        <v>0.71120000000000005</v>
      </c>
      <c r="K731" s="4">
        <v>80000</v>
      </c>
      <c r="L731" s="2">
        <v>46146</v>
      </c>
      <c r="M731" t="str">
        <f t="shared" si="44"/>
        <v>Non admis</v>
      </c>
      <c r="N731" t="str">
        <f t="shared" si="45"/>
        <v>Non eligible</v>
      </c>
      <c r="O731" t="str">
        <f t="shared" si="46"/>
        <v>A surveiller</v>
      </c>
      <c r="P731" t="str">
        <f t="shared" si="47"/>
        <v>Data</v>
      </c>
      <c r="Q731" t="str" cm="1">
        <f t="array" ref="Q731">_xlfn.IFS(H731&gt;=16,"Excellent",H731&gt;=14,"Très bien",H731&gt;=12,"Bien",H731&gt;=10,"Passable",H731&lt;10,"Insuffisant")</f>
        <v>Insuffisant</v>
      </c>
    </row>
    <row r="732" spans="1:17">
      <c r="A732" t="s">
        <v>1051</v>
      </c>
      <c r="B732" t="s">
        <v>650</v>
      </c>
      <c r="C732" t="s">
        <v>24</v>
      </c>
      <c r="D732" t="s">
        <v>33</v>
      </c>
      <c r="E732" s="8" t="s">
        <v>21</v>
      </c>
      <c r="F732" s="8">
        <v>18.07</v>
      </c>
      <c r="G732" s="8">
        <v>20</v>
      </c>
      <c r="H732" s="8">
        <v>20</v>
      </c>
      <c r="I732" s="8">
        <v>13.45</v>
      </c>
      <c r="J732" s="6">
        <v>0.88790000000000002</v>
      </c>
      <c r="K732" s="4">
        <v>110000</v>
      </c>
      <c r="L732" s="2">
        <v>45684</v>
      </c>
      <c r="M732" t="str">
        <f t="shared" si="44"/>
        <v>Admis</v>
      </c>
      <c r="N732" t="str">
        <f t="shared" si="45"/>
        <v>Eligible</v>
      </c>
      <c r="O732" t="str">
        <f t="shared" si="46"/>
        <v>RAS</v>
      </c>
      <c r="P732" t="str">
        <f t="shared" si="47"/>
        <v>Data</v>
      </c>
      <c r="Q732" t="str" cm="1">
        <f t="array" ref="Q732">_xlfn.IFS(H732&gt;=16,"Excellent",H732&gt;=14,"Très bien",H732&gt;=12,"Bien",H732&gt;=10,"Passable",H732&lt;10,"Insuffisant")</f>
        <v>Excellent</v>
      </c>
    </row>
    <row r="733" spans="1:17">
      <c r="A733" t="s">
        <v>1052</v>
      </c>
      <c r="B733" t="s">
        <v>245</v>
      </c>
      <c r="C733" t="s">
        <v>19</v>
      </c>
      <c r="D733" t="s">
        <v>40</v>
      </c>
      <c r="E733" s="8" t="s">
        <v>26</v>
      </c>
      <c r="F733" s="8">
        <v>10.82</v>
      </c>
      <c r="G733" s="8">
        <v>5.89</v>
      </c>
      <c r="H733" s="8">
        <v>7.79</v>
      </c>
      <c r="I733" s="8">
        <v>5.17</v>
      </c>
      <c r="J733" s="6">
        <v>0.74019999999999997</v>
      </c>
      <c r="K733" s="4">
        <v>75000</v>
      </c>
      <c r="L733" s="2">
        <v>45957</v>
      </c>
      <c r="M733" t="str">
        <f t="shared" si="44"/>
        <v>Non admis</v>
      </c>
      <c r="N733" t="str">
        <f t="shared" si="45"/>
        <v>Non eligible</v>
      </c>
      <c r="O733" t="str">
        <f t="shared" si="46"/>
        <v>A surveiller</v>
      </c>
      <c r="P733" t="str">
        <f t="shared" si="47"/>
        <v>Hors data</v>
      </c>
      <c r="Q733" t="str" cm="1">
        <f t="array" ref="Q733">_xlfn.IFS(H733&gt;=16,"Excellent",H733&gt;=14,"Très bien",H733&gt;=12,"Bien",H733&gt;=10,"Passable",H733&lt;10,"Insuffisant")</f>
        <v>Insuffisant</v>
      </c>
    </row>
    <row r="734" spans="1:17">
      <c r="A734" t="s">
        <v>1053</v>
      </c>
      <c r="B734" t="s">
        <v>149</v>
      </c>
      <c r="C734" t="s">
        <v>24</v>
      </c>
      <c r="D734" t="s">
        <v>33</v>
      </c>
      <c r="E734" s="8" t="s">
        <v>21</v>
      </c>
      <c r="F734" s="8">
        <v>15.01</v>
      </c>
      <c r="G734" s="8">
        <v>16.18</v>
      </c>
      <c r="H734" s="8">
        <v>12.43</v>
      </c>
      <c r="I734" s="8">
        <v>13.93</v>
      </c>
      <c r="J734" s="6">
        <v>0.81210000000000004</v>
      </c>
      <c r="K734" s="4">
        <v>80000</v>
      </c>
      <c r="L734" s="2">
        <v>45938</v>
      </c>
      <c r="M734" t="str">
        <f t="shared" si="44"/>
        <v>Admis</v>
      </c>
      <c r="N734" t="str">
        <f t="shared" si="45"/>
        <v>Eligible</v>
      </c>
      <c r="O734" t="str">
        <f t="shared" si="46"/>
        <v>RAS</v>
      </c>
      <c r="P734" t="str">
        <f t="shared" si="47"/>
        <v>Data</v>
      </c>
      <c r="Q734" t="str" cm="1">
        <f t="array" ref="Q734">_xlfn.IFS(H734&gt;=16,"Excellent",H734&gt;=14,"Très bien",H734&gt;=12,"Bien",H734&gt;=10,"Passable",H734&lt;10,"Insuffisant")</f>
        <v>Bien</v>
      </c>
    </row>
    <row r="735" spans="1:17">
      <c r="A735" t="s">
        <v>1054</v>
      </c>
      <c r="B735" t="s">
        <v>261</v>
      </c>
      <c r="C735" t="s">
        <v>24</v>
      </c>
      <c r="D735" t="s">
        <v>20</v>
      </c>
      <c r="E735" s="8" t="s">
        <v>21</v>
      </c>
      <c r="F735" s="8">
        <v>9.36</v>
      </c>
      <c r="G735" s="8">
        <v>12.06</v>
      </c>
      <c r="H735" s="8">
        <v>8.14</v>
      </c>
      <c r="I735" s="8">
        <v>10.1</v>
      </c>
      <c r="J735" s="6">
        <v>0.70140000000000002</v>
      </c>
      <c r="K735" s="4">
        <v>130000</v>
      </c>
      <c r="L735" s="2">
        <v>45629</v>
      </c>
      <c r="M735" t="str">
        <f t="shared" si="44"/>
        <v>Non admis</v>
      </c>
      <c r="N735" t="str">
        <f t="shared" si="45"/>
        <v>Non eligible</v>
      </c>
      <c r="O735" t="str">
        <f t="shared" si="46"/>
        <v>A surveiller</v>
      </c>
      <c r="P735" t="str">
        <f t="shared" si="47"/>
        <v>Data</v>
      </c>
      <c r="Q735" t="str" cm="1">
        <f t="array" ref="Q735">_xlfn.IFS(H735&gt;=16,"Excellent",H735&gt;=14,"Très bien",H735&gt;=12,"Bien",H735&gt;=10,"Passable",H735&lt;10,"Insuffisant")</f>
        <v>Insuffisant</v>
      </c>
    </row>
    <row r="736" spans="1:17">
      <c r="A736" t="s">
        <v>1055</v>
      </c>
      <c r="B736" t="s">
        <v>193</v>
      </c>
      <c r="C736" t="s">
        <v>19</v>
      </c>
      <c r="D736" t="s">
        <v>37</v>
      </c>
      <c r="E736" s="8" t="s">
        <v>26</v>
      </c>
      <c r="F736" s="8">
        <v>12.44</v>
      </c>
      <c r="G736" s="8">
        <v>11.31</v>
      </c>
      <c r="H736" s="8">
        <v>13.25</v>
      </c>
      <c r="I736" s="8">
        <v>13.41</v>
      </c>
      <c r="J736" s="6">
        <v>0.99739999999999995</v>
      </c>
      <c r="K736" s="4">
        <v>130000</v>
      </c>
      <c r="L736" s="2">
        <v>45852</v>
      </c>
      <c r="M736" t="str">
        <f t="shared" si="44"/>
        <v>Admis</v>
      </c>
      <c r="N736" t="str">
        <f t="shared" si="45"/>
        <v>Eligible</v>
      </c>
      <c r="O736" t="str">
        <f t="shared" si="46"/>
        <v>RAS</v>
      </c>
      <c r="P736" t="str">
        <f t="shared" si="47"/>
        <v>Hors data</v>
      </c>
      <c r="Q736" t="str" cm="1">
        <f t="array" ref="Q736">_xlfn.IFS(H736&gt;=16,"Excellent",H736&gt;=14,"Très bien",H736&gt;=12,"Bien",H736&gt;=10,"Passable",H736&lt;10,"Insuffisant")</f>
        <v>Bien</v>
      </c>
    </row>
    <row r="737" spans="1:17">
      <c r="A737" t="s">
        <v>1056</v>
      </c>
      <c r="B737" t="s">
        <v>804</v>
      </c>
      <c r="C737" t="s">
        <v>24</v>
      </c>
      <c r="D737" t="s">
        <v>40</v>
      </c>
      <c r="E737" s="8" t="s">
        <v>34</v>
      </c>
      <c r="F737" s="8">
        <v>13.71</v>
      </c>
      <c r="G737" s="8">
        <v>13.92</v>
      </c>
      <c r="H737" s="8">
        <v>17.12</v>
      </c>
      <c r="I737" s="8">
        <v>12.59</v>
      </c>
      <c r="J737" s="6">
        <v>0.90329999999999999</v>
      </c>
      <c r="K737" s="4">
        <v>85000</v>
      </c>
      <c r="L737" s="2">
        <v>46021</v>
      </c>
      <c r="M737" t="str">
        <f t="shared" si="44"/>
        <v>Admis</v>
      </c>
      <c r="N737" t="str">
        <f t="shared" si="45"/>
        <v>Eligible</v>
      </c>
      <c r="O737" t="str">
        <f t="shared" si="46"/>
        <v>RAS</v>
      </c>
      <c r="P737" t="str">
        <f t="shared" si="47"/>
        <v>Hors data</v>
      </c>
      <c r="Q737" t="str" cm="1">
        <f t="array" ref="Q737">_xlfn.IFS(H737&gt;=16,"Excellent",H737&gt;=14,"Très bien",H737&gt;=12,"Bien",H737&gt;=10,"Passable",H737&lt;10,"Insuffisant")</f>
        <v>Excellent</v>
      </c>
    </row>
    <row r="738" spans="1:17">
      <c r="A738" t="s">
        <v>1057</v>
      </c>
      <c r="B738" t="s">
        <v>733</v>
      </c>
      <c r="C738" t="s">
        <v>24</v>
      </c>
      <c r="D738" t="s">
        <v>52</v>
      </c>
      <c r="E738" s="8" t="s">
        <v>34</v>
      </c>
      <c r="F738" s="8">
        <v>5.08</v>
      </c>
      <c r="G738" s="8">
        <v>3.1</v>
      </c>
      <c r="H738" s="8">
        <v>6.3</v>
      </c>
      <c r="I738" s="8">
        <v>4.45</v>
      </c>
      <c r="J738" s="6">
        <v>0.90510000000000002</v>
      </c>
      <c r="K738" s="4">
        <v>50000</v>
      </c>
      <c r="L738" s="2">
        <v>46212</v>
      </c>
      <c r="M738" t="str">
        <f t="shared" si="44"/>
        <v>Non admis</v>
      </c>
      <c r="N738" t="str">
        <f t="shared" si="45"/>
        <v>Non eligible</v>
      </c>
      <c r="O738" t="str">
        <f t="shared" si="46"/>
        <v>A surveiller</v>
      </c>
      <c r="P738" t="str">
        <f t="shared" si="47"/>
        <v>Hors data</v>
      </c>
      <c r="Q738" t="str" cm="1">
        <f t="array" ref="Q738">_xlfn.IFS(H738&gt;=16,"Excellent",H738&gt;=14,"Très bien",H738&gt;=12,"Bien",H738&gt;=10,"Passable",H738&lt;10,"Insuffisant")</f>
        <v>Insuffisant</v>
      </c>
    </row>
    <row r="739" spans="1:17">
      <c r="A739" t="s">
        <v>1058</v>
      </c>
      <c r="B739" t="s">
        <v>491</v>
      </c>
      <c r="C739" t="s">
        <v>19</v>
      </c>
      <c r="D739" t="s">
        <v>37</v>
      </c>
      <c r="E739" s="8" t="s">
        <v>47</v>
      </c>
      <c r="F739" s="8">
        <v>14.32</v>
      </c>
      <c r="G739" s="8">
        <v>13.83</v>
      </c>
      <c r="H739" s="8">
        <v>13.89</v>
      </c>
      <c r="I739" s="8">
        <v>13.15</v>
      </c>
      <c r="J739" s="6">
        <v>0.96609999999999996</v>
      </c>
      <c r="K739" s="4">
        <v>100000</v>
      </c>
      <c r="L739" s="2">
        <v>46129</v>
      </c>
      <c r="M739" t="str">
        <f t="shared" si="44"/>
        <v>Admis</v>
      </c>
      <c r="N739" t="str">
        <f t="shared" si="45"/>
        <v>Eligible</v>
      </c>
      <c r="O739" t="str">
        <f t="shared" si="46"/>
        <v>RAS</v>
      </c>
      <c r="P739" t="str">
        <f t="shared" si="47"/>
        <v>Hors data</v>
      </c>
      <c r="Q739" t="str" cm="1">
        <f t="array" ref="Q739">_xlfn.IFS(H739&gt;=16,"Excellent",H739&gt;=14,"Très bien",H739&gt;=12,"Bien",H739&gt;=10,"Passable",H739&lt;10,"Insuffisant")</f>
        <v>Bien</v>
      </c>
    </row>
    <row r="740" spans="1:17">
      <c r="A740" t="s">
        <v>1059</v>
      </c>
      <c r="B740" t="s">
        <v>743</v>
      </c>
      <c r="C740" t="s">
        <v>24</v>
      </c>
      <c r="D740" t="s">
        <v>52</v>
      </c>
      <c r="E740" s="8" t="s">
        <v>47</v>
      </c>
      <c r="F740" s="8">
        <v>17.46</v>
      </c>
      <c r="G740" s="8">
        <v>19.239999999999998</v>
      </c>
      <c r="H740" s="8">
        <v>20</v>
      </c>
      <c r="I740" s="8">
        <v>18.8</v>
      </c>
      <c r="J740" s="6">
        <v>0.95450000000000002</v>
      </c>
      <c r="K740" s="4">
        <v>100000</v>
      </c>
      <c r="L740" s="2">
        <v>45604</v>
      </c>
      <c r="M740" t="str">
        <f t="shared" si="44"/>
        <v>Admis</v>
      </c>
      <c r="N740" t="str">
        <f t="shared" si="45"/>
        <v>Eligible</v>
      </c>
      <c r="O740" t="str">
        <f t="shared" si="46"/>
        <v>RAS</v>
      </c>
      <c r="P740" t="str">
        <f t="shared" si="47"/>
        <v>Hors data</v>
      </c>
      <c r="Q740" t="str" cm="1">
        <f t="array" ref="Q740">_xlfn.IFS(H740&gt;=16,"Excellent",H740&gt;=14,"Très bien",H740&gt;=12,"Bien",H740&gt;=10,"Passable",H740&lt;10,"Insuffisant")</f>
        <v>Excellent</v>
      </c>
    </row>
    <row r="741" spans="1:17">
      <c r="A741" t="s">
        <v>1060</v>
      </c>
      <c r="B741" t="s">
        <v>236</v>
      </c>
      <c r="C741" t="s">
        <v>24</v>
      </c>
      <c r="D741" t="s">
        <v>40</v>
      </c>
      <c r="E741" s="8" t="s">
        <v>26</v>
      </c>
      <c r="F741" s="8">
        <v>10.15</v>
      </c>
      <c r="G741" s="8">
        <v>13</v>
      </c>
      <c r="H741" s="8">
        <v>8.4499999999999993</v>
      </c>
      <c r="I741" s="8">
        <v>12.64</v>
      </c>
      <c r="J741" s="6">
        <v>0.97</v>
      </c>
      <c r="K741" s="4">
        <v>130000</v>
      </c>
      <c r="L741" s="2">
        <v>45702</v>
      </c>
      <c r="M741" t="str">
        <f t="shared" si="44"/>
        <v>Non admis</v>
      </c>
      <c r="N741" t="str">
        <f t="shared" si="45"/>
        <v>Non eligible</v>
      </c>
      <c r="O741" t="str">
        <f t="shared" si="46"/>
        <v>A surveiller</v>
      </c>
      <c r="P741" t="str">
        <f t="shared" si="47"/>
        <v>Hors data</v>
      </c>
      <c r="Q741" t="str" cm="1">
        <f t="array" ref="Q741">_xlfn.IFS(H741&gt;=16,"Excellent",H741&gt;=14,"Très bien",H741&gt;=12,"Bien",H741&gt;=10,"Passable",H741&lt;10,"Insuffisant")</f>
        <v>Insuffisant</v>
      </c>
    </row>
    <row r="742" spans="1:17">
      <c r="A742" t="s">
        <v>1061</v>
      </c>
      <c r="B742" t="s">
        <v>140</v>
      </c>
      <c r="C742" t="s">
        <v>24</v>
      </c>
      <c r="D742" t="s">
        <v>20</v>
      </c>
      <c r="E742" s="8" t="s">
        <v>34</v>
      </c>
      <c r="F742" s="8">
        <v>10.66</v>
      </c>
      <c r="G742" s="8">
        <v>15.46</v>
      </c>
      <c r="H742" s="8">
        <v>18.75</v>
      </c>
      <c r="I742" s="8">
        <v>12.39</v>
      </c>
      <c r="J742" s="6">
        <v>0.90059999999999996</v>
      </c>
      <c r="K742" s="4">
        <v>130000</v>
      </c>
      <c r="L742" s="2">
        <v>45841</v>
      </c>
      <c r="M742" t="str">
        <f t="shared" si="44"/>
        <v>Admis</v>
      </c>
      <c r="N742" t="str">
        <f t="shared" si="45"/>
        <v>Non eligible</v>
      </c>
      <c r="O742" t="str">
        <f t="shared" si="46"/>
        <v>RAS</v>
      </c>
      <c r="P742" t="str">
        <f t="shared" si="47"/>
        <v>Hors data</v>
      </c>
      <c r="Q742" t="str" cm="1">
        <f t="array" ref="Q742">_xlfn.IFS(H742&gt;=16,"Excellent",H742&gt;=14,"Très bien",H742&gt;=12,"Bien",H742&gt;=10,"Passable",H742&lt;10,"Insuffisant")</f>
        <v>Excellent</v>
      </c>
    </row>
    <row r="743" spans="1:17">
      <c r="A743" t="s">
        <v>1062</v>
      </c>
      <c r="B743" t="s">
        <v>147</v>
      </c>
      <c r="C743" t="s">
        <v>24</v>
      </c>
      <c r="D743" t="s">
        <v>40</v>
      </c>
      <c r="E743" s="8" t="s">
        <v>47</v>
      </c>
      <c r="F743" s="8">
        <v>15.58</v>
      </c>
      <c r="G743" s="8">
        <v>17.309999999999999</v>
      </c>
      <c r="H743" s="8">
        <v>20</v>
      </c>
      <c r="I743" s="8">
        <v>18.25</v>
      </c>
      <c r="J743" s="6">
        <v>0.82840000000000003</v>
      </c>
      <c r="K743" s="4">
        <v>90000</v>
      </c>
      <c r="L743" s="2">
        <v>45641</v>
      </c>
      <c r="M743" t="str">
        <f t="shared" si="44"/>
        <v>Admis</v>
      </c>
      <c r="N743" t="str">
        <f t="shared" si="45"/>
        <v>Eligible</v>
      </c>
      <c r="O743" t="str">
        <f t="shared" si="46"/>
        <v>RAS</v>
      </c>
      <c r="P743" t="str">
        <f t="shared" si="47"/>
        <v>Hors data</v>
      </c>
      <c r="Q743" t="str" cm="1">
        <f t="array" ref="Q743">_xlfn.IFS(H743&gt;=16,"Excellent",H743&gt;=14,"Très bien",H743&gt;=12,"Bien",H743&gt;=10,"Passable",H743&lt;10,"Insuffisant")</f>
        <v>Excellent</v>
      </c>
    </row>
    <row r="744" spans="1:17">
      <c r="A744" t="s">
        <v>1063</v>
      </c>
      <c r="B744" t="s">
        <v>203</v>
      </c>
      <c r="C744" t="s">
        <v>24</v>
      </c>
      <c r="D744" t="s">
        <v>33</v>
      </c>
      <c r="E744" s="8" t="s">
        <v>26</v>
      </c>
      <c r="F744" s="8">
        <v>14.29</v>
      </c>
      <c r="G744" s="8">
        <v>12.86</v>
      </c>
      <c r="H744" s="8">
        <v>7.29</v>
      </c>
      <c r="I744" s="8">
        <v>11.57</v>
      </c>
      <c r="J744" s="6">
        <v>0.90700000000000003</v>
      </c>
      <c r="K744" s="4">
        <v>60000</v>
      </c>
      <c r="L744" s="2">
        <v>45935</v>
      </c>
      <c r="M744" t="str">
        <f t="shared" si="44"/>
        <v>Non admis</v>
      </c>
      <c r="N744" t="str">
        <f t="shared" si="45"/>
        <v>Non eligible</v>
      </c>
      <c r="O744" t="str">
        <f t="shared" si="46"/>
        <v>A surveiller</v>
      </c>
      <c r="P744" t="str">
        <f t="shared" si="47"/>
        <v>Hors data</v>
      </c>
      <c r="Q744" t="str" cm="1">
        <f t="array" ref="Q744">_xlfn.IFS(H744&gt;=16,"Excellent",H744&gt;=14,"Très bien",H744&gt;=12,"Bien",H744&gt;=10,"Passable",H744&lt;10,"Insuffisant")</f>
        <v>Insuffisant</v>
      </c>
    </row>
    <row r="745" spans="1:17">
      <c r="A745" t="s">
        <v>1064</v>
      </c>
      <c r="B745" t="s">
        <v>72</v>
      </c>
      <c r="C745" t="s">
        <v>19</v>
      </c>
      <c r="D745" t="s">
        <v>33</v>
      </c>
      <c r="E745" s="8" t="s">
        <v>34</v>
      </c>
      <c r="F745" s="8">
        <v>10.35</v>
      </c>
      <c r="G745" s="8">
        <v>12.9</v>
      </c>
      <c r="H745" s="8">
        <v>11.86</v>
      </c>
      <c r="I745" s="8">
        <v>9.86</v>
      </c>
      <c r="J745" s="6">
        <v>0.87639999999999996</v>
      </c>
      <c r="K745" s="4">
        <v>70000</v>
      </c>
      <c r="L745" s="2">
        <v>45542</v>
      </c>
      <c r="M745" t="str">
        <f t="shared" si="44"/>
        <v>Admis</v>
      </c>
      <c r="N745" t="str">
        <f t="shared" si="45"/>
        <v>Non eligible</v>
      </c>
      <c r="O745" t="str">
        <f t="shared" si="46"/>
        <v>RAS</v>
      </c>
      <c r="P745" t="str">
        <f t="shared" si="47"/>
        <v>Hors data</v>
      </c>
      <c r="Q745" t="str" cm="1">
        <f t="array" ref="Q745">_xlfn.IFS(H745&gt;=16,"Excellent",H745&gt;=14,"Très bien",H745&gt;=12,"Bien",H745&gt;=10,"Passable",H745&lt;10,"Insuffisant")</f>
        <v>Passable</v>
      </c>
    </row>
    <row r="746" spans="1:17">
      <c r="A746" t="s">
        <v>1065</v>
      </c>
      <c r="B746" t="s">
        <v>255</v>
      </c>
      <c r="C746" t="s">
        <v>24</v>
      </c>
      <c r="D746" t="s">
        <v>33</v>
      </c>
      <c r="E746" s="8" t="s">
        <v>34</v>
      </c>
      <c r="F746" s="8">
        <v>12.67</v>
      </c>
      <c r="G746" s="8">
        <v>9.73</v>
      </c>
      <c r="H746" s="8">
        <v>5.75</v>
      </c>
      <c r="I746" s="8">
        <v>5.83</v>
      </c>
      <c r="J746" s="6">
        <v>0.78259999999999996</v>
      </c>
      <c r="K746" s="4">
        <v>100000</v>
      </c>
      <c r="L746" s="2">
        <v>45615</v>
      </c>
      <c r="M746" t="str">
        <f t="shared" si="44"/>
        <v>Non admis</v>
      </c>
      <c r="N746" t="str">
        <f t="shared" si="45"/>
        <v>Non eligible</v>
      </c>
      <c r="O746" t="str">
        <f t="shared" si="46"/>
        <v>A surveiller</v>
      </c>
      <c r="P746" t="str">
        <f t="shared" si="47"/>
        <v>Hors data</v>
      </c>
      <c r="Q746" t="str" cm="1">
        <f t="array" ref="Q746">_xlfn.IFS(H746&gt;=16,"Excellent",H746&gt;=14,"Très bien",H746&gt;=12,"Bien",H746&gt;=10,"Passable",H746&lt;10,"Insuffisant")</f>
        <v>Insuffisant</v>
      </c>
    </row>
    <row r="747" spans="1:17">
      <c r="A747" t="s">
        <v>1066</v>
      </c>
      <c r="B747" t="s">
        <v>138</v>
      </c>
      <c r="C747" t="s">
        <v>19</v>
      </c>
      <c r="D747" t="s">
        <v>37</v>
      </c>
      <c r="E747" s="8" t="s">
        <v>26</v>
      </c>
      <c r="F747" s="8">
        <v>17.239999999999998</v>
      </c>
      <c r="G747" s="8">
        <v>15.48</v>
      </c>
      <c r="H747" s="8">
        <v>14.91</v>
      </c>
      <c r="I747" s="8">
        <v>17.559999999999999</v>
      </c>
      <c r="J747" s="6">
        <v>0.62980000000000003</v>
      </c>
      <c r="K747" s="4">
        <v>90000</v>
      </c>
      <c r="L747" s="2">
        <v>45569</v>
      </c>
      <c r="M747" t="str">
        <f t="shared" si="44"/>
        <v>Admis</v>
      </c>
      <c r="N747" t="str">
        <f t="shared" si="45"/>
        <v>Non eligible</v>
      </c>
      <c r="O747" t="str">
        <f t="shared" si="46"/>
        <v>RAS</v>
      </c>
      <c r="P747" t="str">
        <f t="shared" si="47"/>
        <v>Hors data</v>
      </c>
      <c r="Q747" t="str" cm="1">
        <f t="array" ref="Q747">_xlfn.IFS(H747&gt;=16,"Excellent",H747&gt;=14,"Très bien",H747&gt;=12,"Bien",H747&gt;=10,"Passable",H747&lt;10,"Insuffisant")</f>
        <v>Très bien</v>
      </c>
    </row>
    <row r="748" spans="1:17">
      <c r="A748" t="s">
        <v>1067</v>
      </c>
      <c r="B748" t="s">
        <v>476</v>
      </c>
      <c r="C748" t="s">
        <v>24</v>
      </c>
      <c r="D748" t="s">
        <v>33</v>
      </c>
      <c r="E748" s="8" t="s">
        <v>21</v>
      </c>
      <c r="F748" s="8">
        <v>16.05</v>
      </c>
      <c r="G748" s="8">
        <v>14.28</v>
      </c>
      <c r="H748" s="8">
        <v>12.46</v>
      </c>
      <c r="I748" s="8">
        <v>12.79</v>
      </c>
      <c r="J748" s="6">
        <v>0.95550000000000002</v>
      </c>
      <c r="K748" s="4">
        <v>80000</v>
      </c>
      <c r="L748" s="2">
        <v>45742</v>
      </c>
      <c r="M748" t="str">
        <f t="shared" si="44"/>
        <v>Admis</v>
      </c>
      <c r="N748" t="str">
        <f t="shared" si="45"/>
        <v>Eligible</v>
      </c>
      <c r="O748" t="str">
        <f t="shared" si="46"/>
        <v>RAS</v>
      </c>
      <c r="P748" t="str">
        <f t="shared" si="47"/>
        <v>Data</v>
      </c>
      <c r="Q748" t="str" cm="1">
        <f t="array" ref="Q748">_xlfn.IFS(H748&gt;=16,"Excellent",H748&gt;=14,"Très bien",H748&gt;=12,"Bien",H748&gt;=10,"Passable",H748&lt;10,"Insuffisant")</f>
        <v>Bien</v>
      </c>
    </row>
    <row r="749" spans="1:17">
      <c r="A749" t="s">
        <v>1068</v>
      </c>
      <c r="B749" t="s">
        <v>606</v>
      </c>
      <c r="C749" t="s">
        <v>19</v>
      </c>
      <c r="D749" t="s">
        <v>25</v>
      </c>
      <c r="E749" s="8" t="s">
        <v>21</v>
      </c>
      <c r="F749" s="8">
        <v>12.41</v>
      </c>
      <c r="G749" s="8">
        <v>10.65</v>
      </c>
      <c r="H749" s="8">
        <v>12.65</v>
      </c>
      <c r="I749" s="8">
        <v>9.0399999999999991</v>
      </c>
      <c r="J749" s="6">
        <v>0.79549999999999998</v>
      </c>
      <c r="K749" s="4">
        <v>80000</v>
      </c>
      <c r="L749" s="2">
        <v>46069</v>
      </c>
      <c r="M749" t="str">
        <f t="shared" si="44"/>
        <v>Admis</v>
      </c>
      <c r="N749" t="str">
        <f t="shared" si="45"/>
        <v>Non eligible</v>
      </c>
      <c r="O749" t="str">
        <f t="shared" si="46"/>
        <v>RAS</v>
      </c>
      <c r="P749" t="str">
        <f t="shared" si="47"/>
        <v>Data</v>
      </c>
      <c r="Q749" t="str" cm="1">
        <f t="array" ref="Q749">_xlfn.IFS(H749&gt;=16,"Excellent",H749&gt;=14,"Très bien",H749&gt;=12,"Bien",H749&gt;=10,"Passable",H749&lt;10,"Insuffisant")</f>
        <v>Bien</v>
      </c>
    </row>
    <row r="750" spans="1:17">
      <c r="A750" t="s">
        <v>1069</v>
      </c>
      <c r="B750" t="s">
        <v>493</v>
      </c>
      <c r="C750" t="s">
        <v>19</v>
      </c>
      <c r="D750" t="s">
        <v>40</v>
      </c>
      <c r="E750" s="8" t="s">
        <v>47</v>
      </c>
      <c r="F750" s="8">
        <v>17.93</v>
      </c>
      <c r="G750" s="8">
        <v>12.83</v>
      </c>
      <c r="H750" s="8">
        <v>13.81</v>
      </c>
      <c r="I750" s="8">
        <v>15.79</v>
      </c>
      <c r="J750" s="6">
        <v>0.93710000000000004</v>
      </c>
      <c r="K750" s="4">
        <v>100000</v>
      </c>
      <c r="L750" s="2">
        <v>45660</v>
      </c>
      <c r="M750" t="str">
        <f t="shared" si="44"/>
        <v>Admis</v>
      </c>
      <c r="N750" t="str">
        <f t="shared" si="45"/>
        <v>Eligible</v>
      </c>
      <c r="O750" t="str">
        <f t="shared" si="46"/>
        <v>RAS</v>
      </c>
      <c r="P750" t="str">
        <f t="shared" si="47"/>
        <v>Hors data</v>
      </c>
      <c r="Q750" t="str" cm="1">
        <f t="array" ref="Q750">_xlfn.IFS(H750&gt;=16,"Excellent",H750&gt;=14,"Très bien",H750&gt;=12,"Bien",H750&gt;=10,"Passable",H750&lt;10,"Insuffisant")</f>
        <v>Bien</v>
      </c>
    </row>
    <row r="751" spans="1:17">
      <c r="A751" t="s">
        <v>1070</v>
      </c>
      <c r="B751" t="s">
        <v>116</v>
      </c>
      <c r="C751" t="s">
        <v>19</v>
      </c>
      <c r="D751" t="s">
        <v>33</v>
      </c>
      <c r="E751" s="8" t="s">
        <v>26</v>
      </c>
      <c r="F751" s="8">
        <v>10.130000000000001</v>
      </c>
      <c r="G751" s="8">
        <v>13.42</v>
      </c>
      <c r="H751" s="8">
        <v>10.06</v>
      </c>
      <c r="I751" s="8">
        <v>16.48</v>
      </c>
      <c r="J751" s="6">
        <v>0.90339999999999998</v>
      </c>
      <c r="K751" s="4">
        <v>80000</v>
      </c>
      <c r="L751" s="2">
        <v>46227</v>
      </c>
      <c r="M751" t="str">
        <f t="shared" si="44"/>
        <v>Admis</v>
      </c>
      <c r="N751" t="str">
        <f t="shared" si="45"/>
        <v>Non eligible</v>
      </c>
      <c r="O751" t="str">
        <f t="shared" si="46"/>
        <v>RAS</v>
      </c>
      <c r="P751" t="str">
        <f t="shared" si="47"/>
        <v>Hors data</v>
      </c>
      <c r="Q751" t="str" cm="1">
        <f t="array" ref="Q751">_xlfn.IFS(H751&gt;=16,"Excellent",H751&gt;=14,"Très bien",H751&gt;=12,"Bien",H751&gt;=10,"Passable",H751&lt;10,"Insuffisant")</f>
        <v>Passable</v>
      </c>
    </row>
    <row r="752" spans="1:17">
      <c r="A752" t="s">
        <v>1071</v>
      </c>
      <c r="B752" t="s">
        <v>723</v>
      </c>
      <c r="C752" t="s">
        <v>24</v>
      </c>
      <c r="D752" t="s">
        <v>40</v>
      </c>
      <c r="E752" s="8" t="s">
        <v>21</v>
      </c>
      <c r="F752" s="8">
        <v>6.39</v>
      </c>
      <c r="G752" s="8">
        <v>11.2</v>
      </c>
      <c r="H752" s="8">
        <v>11.84</v>
      </c>
      <c r="I752" s="8">
        <v>12.38</v>
      </c>
      <c r="J752" s="6">
        <v>0.76139999999999997</v>
      </c>
      <c r="K752" s="4">
        <v>60000</v>
      </c>
      <c r="L752" s="2">
        <v>45724</v>
      </c>
      <c r="M752" t="str">
        <f t="shared" si="44"/>
        <v>Admis</v>
      </c>
      <c r="N752" t="str">
        <f t="shared" si="45"/>
        <v>Non eligible</v>
      </c>
      <c r="O752" t="str">
        <f t="shared" si="46"/>
        <v>A surveiller</v>
      </c>
      <c r="P752" t="str">
        <f t="shared" si="47"/>
        <v>Data</v>
      </c>
      <c r="Q752" t="str" cm="1">
        <f t="array" ref="Q752">_xlfn.IFS(H752&gt;=16,"Excellent",H752&gt;=14,"Très bien",H752&gt;=12,"Bien",H752&gt;=10,"Passable",H752&lt;10,"Insuffisant")</f>
        <v>Passable</v>
      </c>
    </row>
    <row r="753" spans="1:17">
      <c r="A753" t="s">
        <v>1072</v>
      </c>
      <c r="B753" t="s">
        <v>1073</v>
      </c>
      <c r="C753" t="s">
        <v>19</v>
      </c>
      <c r="D753" t="s">
        <v>40</v>
      </c>
      <c r="E753" s="8" t="s">
        <v>26</v>
      </c>
      <c r="F753" s="8">
        <v>14.22</v>
      </c>
      <c r="G753" s="8">
        <v>16.45</v>
      </c>
      <c r="H753" s="8">
        <v>16.53</v>
      </c>
      <c r="I753" s="8">
        <v>17.809999999999999</v>
      </c>
      <c r="J753" s="6">
        <v>0.95430000000000004</v>
      </c>
      <c r="K753" s="4">
        <v>130000</v>
      </c>
      <c r="L753" s="2">
        <v>45567</v>
      </c>
      <c r="M753" t="str">
        <f t="shared" si="44"/>
        <v>Admis</v>
      </c>
      <c r="N753" t="str">
        <f t="shared" si="45"/>
        <v>Eligible</v>
      </c>
      <c r="O753" t="str">
        <f t="shared" si="46"/>
        <v>RAS</v>
      </c>
      <c r="P753" t="str">
        <f t="shared" si="47"/>
        <v>Hors data</v>
      </c>
      <c r="Q753" t="str" cm="1">
        <f t="array" ref="Q753">_xlfn.IFS(H753&gt;=16,"Excellent",H753&gt;=14,"Très bien",H753&gt;=12,"Bien",H753&gt;=10,"Passable",H753&lt;10,"Insuffisant")</f>
        <v>Excellent</v>
      </c>
    </row>
    <row r="754" spans="1:17">
      <c r="A754" t="s">
        <v>1074</v>
      </c>
      <c r="B754" t="s">
        <v>160</v>
      </c>
      <c r="C754" t="s">
        <v>19</v>
      </c>
      <c r="D754" t="s">
        <v>33</v>
      </c>
      <c r="E754" s="8" t="s">
        <v>26</v>
      </c>
      <c r="F754" s="8">
        <v>10.98</v>
      </c>
      <c r="G754" s="8">
        <v>10.210000000000001</v>
      </c>
      <c r="H754" s="8">
        <v>7.35</v>
      </c>
      <c r="I754" s="8">
        <v>11.93</v>
      </c>
      <c r="J754" s="6">
        <v>0.55000000000000004</v>
      </c>
      <c r="K754" s="4">
        <v>75000</v>
      </c>
      <c r="L754" s="2">
        <v>45770</v>
      </c>
      <c r="M754" t="str">
        <f t="shared" si="44"/>
        <v>Non admis</v>
      </c>
      <c r="N754" t="str">
        <f t="shared" si="45"/>
        <v>Non eligible</v>
      </c>
      <c r="O754" t="str">
        <f t="shared" si="46"/>
        <v>A surveiller</v>
      </c>
      <c r="P754" t="str">
        <f t="shared" si="47"/>
        <v>Hors data</v>
      </c>
      <c r="Q754" t="str" cm="1">
        <f t="array" ref="Q754">_xlfn.IFS(H754&gt;=16,"Excellent",H754&gt;=14,"Très bien",H754&gt;=12,"Bien",H754&gt;=10,"Passable",H754&lt;10,"Insuffisant")</f>
        <v>Insuffisant</v>
      </c>
    </row>
    <row r="755" spans="1:17">
      <c r="A755" t="s">
        <v>1075</v>
      </c>
      <c r="B755" t="s">
        <v>540</v>
      </c>
      <c r="C755" t="s">
        <v>24</v>
      </c>
      <c r="D755" t="s">
        <v>20</v>
      </c>
      <c r="E755" s="8" t="s">
        <v>26</v>
      </c>
      <c r="F755" s="8">
        <v>16.77</v>
      </c>
      <c r="G755" s="8">
        <v>16.16</v>
      </c>
      <c r="H755" s="8">
        <v>13.01</v>
      </c>
      <c r="I755" s="8">
        <v>15</v>
      </c>
      <c r="J755" s="6">
        <v>0.89139999999999997</v>
      </c>
      <c r="K755" s="4">
        <v>75000</v>
      </c>
      <c r="L755" s="2">
        <v>46059</v>
      </c>
      <c r="M755" t="str">
        <f t="shared" si="44"/>
        <v>Admis</v>
      </c>
      <c r="N755" t="str">
        <f t="shared" si="45"/>
        <v>Eligible</v>
      </c>
      <c r="O755" t="str">
        <f t="shared" si="46"/>
        <v>RAS</v>
      </c>
      <c r="P755" t="str">
        <f t="shared" si="47"/>
        <v>Hors data</v>
      </c>
      <c r="Q755" t="str" cm="1">
        <f t="array" ref="Q755">_xlfn.IFS(H755&gt;=16,"Excellent",H755&gt;=14,"Très bien",H755&gt;=12,"Bien",H755&gt;=10,"Passable",H755&lt;10,"Insuffisant")</f>
        <v>Bien</v>
      </c>
    </row>
    <row r="756" spans="1:17">
      <c r="A756" t="s">
        <v>1076</v>
      </c>
      <c r="B756" t="s">
        <v>267</v>
      </c>
      <c r="C756" t="s">
        <v>24</v>
      </c>
      <c r="D756" t="s">
        <v>52</v>
      </c>
      <c r="E756" s="8" t="s">
        <v>34</v>
      </c>
      <c r="F756" s="8">
        <v>10.19</v>
      </c>
      <c r="G756" s="8">
        <v>9.26</v>
      </c>
      <c r="H756" s="8">
        <v>14.17</v>
      </c>
      <c r="I756" s="8">
        <v>9.5500000000000007</v>
      </c>
      <c r="J756" s="6">
        <v>0.88549999999999995</v>
      </c>
      <c r="K756" s="4">
        <v>50000</v>
      </c>
      <c r="L756" s="2">
        <v>45610</v>
      </c>
      <c r="M756" t="str">
        <f t="shared" si="44"/>
        <v>Admis</v>
      </c>
      <c r="N756" t="str">
        <f t="shared" si="45"/>
        <v>Non eligible</v>
      </c>
      <c r="O756" t="str">
        <f t="shared" si="46"/>
        <v>RAS</v>
      </c>
      <c r="P756" t="str">
        <f t="shared" si="47"/>
        <v>Hors data</v>
      </c>
      <c r="Q756" t="str" cm="1">
        <f t="array" ref="Q756">_xlfn.IFS(H756&gt;=16,"Excellent",H756&gt;=14,"Très bien",H756&gt;=12,"Bien",H756&gt;=10,"Passable",H756&lt;10,"Insuffisant")</f>
        <v>Très bien</v>
      </c>
    </row>
    <row r="757" spans="1:17">
      <c r="A757" t="s">
        <v>1077</v>
      </c>
      <c r="B757" t="s">
        <v>599</v>
      </c>
      <c r="C757" t="s">
        <v>19</v>
      </c>
      <c r="D757" t="s">
        <v>37</v>
      </c>
      <c r="E757" s="8" t="s">
        <v>34</v>
      </c>
      <c r="F757" s="8">
        <v>14.55</v>
      </c>
      <c r="G757" s="8">
        <v>10.93</v>
      </c>
      <c r="H757" s="8">
        <v>10.43</v>
      </c>
      <c r="I757" s="8">
        <v>8.7200000000000006</v>
      </c>
      <c r="J757" s="6">
        <v>0.8679</v>
      </c>
      <c r="K757" s="4">
        <v>85000</v>
      </c>
      <c r="L757" s="2">
        <v>45586</v>
      </c>
      <c r="M757" t="str">
        <f t="shared" si="44"/>
        <v>Admis</v>
      </c>
      <c r="N757" t="str">
        <f t="shared" si="45"/>
        <v>Non eligible</v>
      </c>
      <c r="O757" t="str">
        <f t="shared" si="46"/>
        <v>RAS</v>
      </c>
      <c r="P757" t="str">
        <f t="shared" si="47"/>
        <v>Hors data</v>
      </c>
      <c r="Q757" t="str" cm="1">
        <f t="array" ref="Q757">_xlfn.IFS(H757&gt;=16,"Excellent",H757&gt;=14,"Très bien",H757&gt;=12,"Bien",H757&gt;=10,"Passable",H757&lt;10,"Insuffisant")</f>
        <v>Passable</v>
      </c>
    </row>
    <row r="758" spans="1:17">
      <c r="A758" t="s">
        <v>1078</v>
      </c>
      <c r="B758" t="s">
        <v>300</v>
      </c>
      <c r="C758" t="s">
        <v>24</v>
      </c>
      <c r="D758" t="s">
        <v>40</v>
      </c>
      <c r="E758" s="8" t="s">
        <v>47</v>
      </c>
      <c r="F758" s="8">
        <v>19.72</v>
      </c>
      <c r="G758" s="8">
        <v>15.66</v>
      </c>
      <c r="H758" s="8">
        <v>18.78</v>
      </c>
      <c r="I758" s="8">
        <v>18.329999999999998</v>
      </c>
      <c r="J758" s="6">
        <v>0.72019999999999995</v>
      </c>
      <c r="K758" s="4">
        <v>130000</v>
      </c>
      <c r="L758" s="2">
        <v>46130</v>
      </c>
      <c r="M758" t="str">
        <f t="shared" si="44"/>
        <v>Admis</v>
      </c>
      <c r="N758" t="str">
        <f t="shared" si="45"/>
        <v>Non eligible</v>
      </c>
      <c r="O758" t="str">
        <f t="shared" si="46"/>
        <v>RAS</v>
      </c>
      <c r="P758" t="str">
        <f t="shared" si="47"/>
        <v>Hors data</v>
      </c>
      <c r="Q758" t="str" cm="1">
        <f t="array" ref="Q758">_xlfn.IFS(H758&gt;=16,"Excellent",H758&gt;=14,"Très bien",H758&gt;=12,"Bien",H758&gt;=10,"Passable",H758&lt;10,"Insuffisant")</f>
        <v>Excellent</v>
      </c>
    </row>
    <row r="759" spans="1:17">
      <c r="A759" t="s">
        <v>1079</v>
      </c>
      <c r="B759" t="s">
        <v>1080</v>
      </c>
      <c r="C759" t="s">
        <v>19</v>
      </c>
      <c r="D759" t="s">
        <v>52</v>
      </c>
      <c r="E759" s="8" t="s">
        <v>21</v>
      </c>
      <c r="F759" s="8">
        <v>18.41</v>
      </c>
      <c r="G759" s="8">
        <v>17.899999999999999</v>
      </c>
      <c r="H759" s="8">
        <v>15.98</v>
      </c>
      <c r="I759" s="8">
        <v>15.18</v>
      </c>
      <c r="J759" s="6">
        <v>0.83409999999999995</v>
      </c>
      <c r="K759" s="4">
        <v>60000</v>
      </c>
      <c r="L759" s="2">
        <v>45950</v>
      </c>
      <c r="M759" t="str">
        <f t="shared" si="44"/>
        <v>Admis</v>
      </c>
      <c r="N759" t="str">
        <f t="shared" si="45"/>
        <v>Eligible</v>
      </c>
      <c r="O759" t="str">
        <f t="shared" si="46"/>
        <v>RAS</v>
      </c>
      <c r="P759" t="str">
        <f t="shared" si="47"/>
        <v>Data</v>
      </c>
      <c r="Q759" t="str" cm="1">
        <f t="array" ref="Q759">_xlfn.IFS(H759&gt;=16,"Excellent",H759&gt;=14,"Très bien",H759&gt;=12,"Bien",H759&gt;=10,"Passable",H759&lt;10,"Insuffisant")</f>
        <v>Très bien</v>
      </c>
    </row>
    <row r="760" spans="1:17">
      <c r="A760" t="s">
        <v>1081</v>
      </c>
      <c r="B760" t="s">
        <v>938</v>
      </c>
      <c r="C760" t="s">
        <v>19</v>
      </c>
      <c r="D760" t="s">
        <v>20</v>
      </c>
      <c r="E760" s="8" t="s">
        <v>26</v>
      </c>
      <c r="F760" s="8">
        <v>11.71</v>
      </c>
      <c r="G760" s="8">
        <v>14.68</v>
      </c>
      <c r="H760" s="8">
        <v>15.18</v>
      </c>
      <c r="I760" s="8">
        <v>12.79</v>
      </c>
      <c r="J760" s="6">
        <v>0.6169</v>
      </c>
      <c r="K760" s="4">
        <v>70000</v>
      </c>
      <c r="L760" s="2">
        <v>45776</v>
      </c>
      <c r="M760" t="str">
        <f t="shared" si="44"/>
        <v>Admis</v>
      </c>
      <c r="N760" t="str">
        <f t="shared" si="45"/>
        <v>Non eligible</v>
      </c>
      <c r="O760" t="str">
        <f t="shared" si="46"/>
        <v>RAS</v>
      </c>
      <c r="P760" t="str">
        <f t="shared" si="47"/>
        <v>Hors data</v>
      </c>
      <c r="Q760" t="str" cm="1">
        <f t="array" ref="Q760">_xlfn.IFS(H760&gt;=16,"Excellent",H760&gt;=14,"Très bien",H760&gt;=12,"Bien",H760&gt;=10,"Passable",H760&lt;10,"Insuffisant")</f>
        <v>Très bien</v>
      </c>
    </row>
    <row r="761" spans="1:17">
      <c r="A761" t="s">
        <v>1082</v>
      </c>
      <c r="B761" t="s">
        <v>58</v>
      </c>
      <c r="C761" t="s">
        <v>24</v>
      </c>
      <c r="D761" t="s">
        <v>25</v>
      </c>
      <c r="E761" s="8" t="s">
        <v>47</v>
      </c>
      <c r="F761" s="8">
        <v>8.4600000000000009</v>
      </c>
      <c r="G761" s="8">
        <v>13.14</v>
      </c>
      <c r="H761" s="8">
        <v>14.97</v>
      </c>
      <c r="I761" s="8">
        <v>9.1199999999999992</v>
      </c>
      <c r="J761" s="6">
        <v>0.94889999999999997</v>
      </c>
      <c r="K761" s="4">
        <v>60000</v>
      </c>
      <c r="L761" s="2">
        <v>46065</v>
      </c>
      <c r="M761" t="str">
        <f t="shared" si="44"/>
        <v>Admis</v>
      </c>
      <c r="N761" t="str">
        <f t="shared" si="45"/>
        <v>Non eligible</v>
      </c>
      <c r="O761" t="str">
        <f t="shared" si="46"/>
        <v>A surveiller</v>
      </c>
      <c r="P761" t="str">
        <f t="shared" si="47"/>
        <v>Hors data</v>
      </c>
      <c r="Q761" t="str" cm="1">
        <f t="array" ref="Q761">_xlfn.IFS(H761&gt;=16,"Excellent",H761&gt;=14,"Très bien",H761&gt;=12,"Bien",H761&gt;=10,"Passable",H761&lt;10,"Insuffisant")</f>
        <v>Très bien</v>
      </c>
    </row>
    <row r="762" spans="1:17">
      <c r="A762" t="s">
        <v>1083</v>
      </c>
      <c r="B762" t="s">
        <v>1035</v>
      </c>
      <c r="C762" t="s">
        <v>19</v>
      </c>
      <c r="D762" t="s">
        <v>37</v>
      </c>
      <c r="E762" s="8" t="s">
        <v>34</v>
      </c>
      <c r="F762" s="8">
        <v>15.57</v>
      </c>
      <c r="G762" s="8">
        <v>11.25</v>
      </c>
      <c r="H762" s="8">
        <v>13.49</v>
      </c>
      <c r="I762" s="8">
        <v>11.29</v>
      </c>
      <c r="J762" s="6">
        <v>0.99560000000000004</v>
      </c>
      <c r="K762" s="4">
        <v>60000</v>
      </c>
      <c r="L762" s="2">
        <v>46127</v>
      </c>
      <c r="M762" t="str">
        <f t="shared" si="44"/>
        <v>Admis</v>
      </c>
      <c r="N762" t="str">
        <f t="shared" si="45"/>
        <v>Eligible</v>
      </c>
      <c r="O762" t="str">
        <f t="shared" si="46"/>
        <v>RAS</v>
      </c>
      <c r="P762" t="str">
        <f t="shared" si="47"/>
        <v>Hors data</v>
      </c>
      <c r="Q762" t="str" cm="1">
        <f t="array" ref="Q762">_xlfn.IFS(H762&gt;=16,"Excellent",H762&gt;=14,"Très bien",H762&gt;=12,"Bien",H762&gt;=10,"Passable",H762&lt;10,"Insuffisant")</f>
        <v>Bien</v>
      </c>
    </row>
    <row r="763" spans="1:17">
      <c r="A763" t="s">
        <v>1084</v>
      </c>
      <c r="B763" t="s">
        <v>549</v>
      </c>
      <c r="C763" t="s">
        <v>24</v>
      </c>
      <c r="D763" t="s">
        <v>40</v>
      </c>
      <c r="E763" s="8" t="s">
        <v>47</v>
      </c>
      <c r="F763" s="8">
        <v>13.93</v>
      </c>
      <c r="G763" s="8">
        <v>18.28</v>
      </c>
      <c r="H763" s="8">
        <v>10.56</v>
      </c>
      <c r="I763" s="8">
        <v>14.78</v>
      </c>
      <c r="J763" s="6">
        <v>0.80189999999999995</v>
      </c>
      <c r="K763" s="4">
        <v>90000</v>
      </c>
      <c r="L763" s="2">
        <v>45787</v>
      </c>
      <c r="M763" t="str">
        <f t="shared" si="44"/>
        <v>Admis</v>
      </c>
      <c r="N763" t="str">
        <f t="shared" si="45"/>
        <v>Non eligible</v>
      </c>
      <c r="O763" t="str">
        <f t="shared" si="46"/>
        <v>RAS</v>
      </c>
      <c r="P763" t="str">
        <f t="shared" si="47"/>
        <v>Hors data</v>
      </c>
      <c r="Q763" t="str" cm="1">
        <f t="array" ref="Q763">_xlfn.IFS(H763&gt;=16,"Excellent",H763&gt;=14,"Très bien",H763&gt;=12,"Bien",H763&gt;=10,"Passable",H763&lt;10,"Insuffisant")</f>
        <v>Passable</v>
      </c>
    </row>
    <row r="764" spans="1:17">
      <c r="A764" t="s">
        <v>1085</v>
      </c>
      <c r="B764" t="s">
        <v>343</v>
      </c>
      <c r="C764" t="s">
        <v>24</v>
      </c>
      <c r="D764" t="s">
        <v>33</v>
      </c>
      <c r="E764" s="8" t="s">
        <v>47</v>
      </c>
      <c r="F764" s="8">
        <v>12.23</v>
      </c>
      <c r="G764" s="8">
        <v>13.17</v>
      </c>
      <c r="H764" s="8">
        <v>10.76</v>
      </c>
      <c r="I764" s="8">
        <v>13.24</v>
      </c>
      <c r="J764" s="6">
        <v>0.83889999999999998</v>
      </c>
      <c r="K764" s="4">
        <v>75000</v>
      </c>
      <c r="L764" s="2">
        <v>45928</v>
      </c>
      <c r="M764" t="str">
        <f t="shared" si="44"/>
        <v>Admis</v>
      </c>
      <c r="N764" t="str">
        <f t="shared" si="45"/>
        <v>Non eligible</v>
      </c>
      <c r="O764" t="str">
        <f t="shared" si="46"/>
        <v>RAS</v>
      </c>
      <c r="P764" t="str">
        <f t="shared" si="47"/>
        <v>Hors data</v>
      </c>
      <c r="Q764" t="str" cm="1">
        <f t="array" ref="Q764">_xlfn.IFS(H764&gt;=16,"Excellent",H764&gt;=14,"Très bien",H764&gt;=12,"Bien",H764&gt;=10,"Passable",H764&lt;10,"Insuffisant")</f>
        <v>Passable</v>
      </c>
    </row>
    <row r="765" spans="1:17">
      <c r="A765" t="s">
        <v>1086</v>
      </c>
      <c r="B765" t="s">
        <v>122</v>
      </c>
      <c r="C765" t="s">
        <v>24</v>
      </c>
      <c r="D765" t="s">
        <v>52</v>
      </c>
      <c r="E765" s="8" t="s">
        <v>47</v>
      </c>
      <c r="F765" s="8">
        <v>11.88</v>
      </c>
      <c r="G765" s="8">
        <v>11.72</v>
      </c>
      <c r="H765" s="8">
        <v>12.57</v>
      </c>
      <c r="I765" s="8">
        <v>9.0399999999999991</v>
      </c>
      <c r="J765" s="6">
        <v>0.92620000000000002</v>
      </c>
      <c r="K765" s="4">
        <v>110000</v>
      </c>
      <c r="L765" s="2">
        <v>45543</v>
      </c>
      <c r="M765" t="str">
        <f t="shared" si="44"/>
        <v>Admis</v>
      </c>
      <c r="N765" t="str">
        <f t="shared" si="45"/>
        <v>Non eligible</v>
      </c>
      <c r="O765" t="str">
        <f t="shared" si="46"/>
        <v>RAS</v>
      </c>
      <c r="P765" t="str">
        <f t="shared" si="47"/>
        <v>Hors data</v>
      </c>
      <c r="Q765" t="str" cm="1">
        <f t="array" ref="Q765">_xlfn.IFS(H765&gt;=16,"Excellent",H765&gt;=14,"Très bien",H765&gt;=12,"Bien",H765&gt;=10,"Passable",H765&lt;10,"Insuffisant")</f>
        <v>Bien</v>
      </c>
    </row>
    <row r="766" spans="1:17">
      <c r="A766" t="s">
        <v>1087</v>
      </c>
      <c r="B766" t="s">
        <v>631</v>
      </c>
      <c r="C766" t="s">
        <v>19</v>
      </c>
      <c r="D766" t="s">
        <v>37</v>
      </c>
      <c r="E766" s="8" t="s">
        <v>26</v>
      </c>
      <c r="F766" s="8">
        <v>11.99</v>
      </c>
      <c r="G766" s="8">
        <v>11.63</v>
      </c>
      <c r="H766" s="8">
        <v>13.02</v>
      </c>
      <c r="I766" s="8">
        <v>11.67</v>
      </c>
      <c r="J766" s="6">
        <v>0.90510000000000002</v>
      </c>
      <c r="K766" s="4">
        <v>80000</v>
      </c>
      <c r="L766" s="2">
        <v>45750</v>
      </c>
      <c r="M766" t="str">
        <f t="shared" si="44"/>
        <v>Admis</v>
      </c>
      <c r="N766" t="str">
        <f t="shared" si="45"/>
        <v>Non eligible</v>
      </c>
      <c r="O766" t="str">
        <f t="shared" si="46"/>
        <v>RAS</v>
      </c>
      <c r="P766" t="str">
        <f t="shared" si="47"/>
        <v>Hors data</v>
      </c>
      <c r="Q766" t="str" cm="1">
        <f t="array" ref="Q766">_xlfn.IFS(H766&gt;=16,"Excellent",H766&gt;=14,"Très bien",H766&gt;=12,"Bien",H766&gt;=10,"Passable",H766&lt;10,"Insuffisant")</f>
        <v>Bien</v>
      </c>
    </row>
    <row r="767" spans="1:17">
      <c r="A767" t="s">
        <v>1088</v>
      </c>
      <c r="B767" t="s">
        <v>760</v>
      </c>
      <c r="C767" t="s">
        <v>24</v>
      </c>
      <c r="D767" t="s">
        <v>25</v>
      </c>
      <c r="E767" s="8" t="s">
        <v>26</v>
      </c>
      <c r="F767" s="8">
        <v>11.34</v>
      </c>
      <c r="G767" s="8">
        <v>9.49</v>
      </c>
      <c r="H767" s="8">
        <v>9.31</v>
      </c>
      <c r="I767" s="8">
        <v>9.4600000000000009</v>
      </c>
      <c r="J767" s="6">
        <v>0.55000000000000004</v>
      </c>
      <c r="K767" s="4">
        <v>100000</v>
      </c>
      <c r="L767" s="2">
        <v>45952</v>
      </c>
      <c r="M767" t="str">
        <f t="shared" si="44"/>
        <v>Non admis</v>
      </c>
      <c r="N767" t="str">
        <f t="shared" si="45"/>
        <v>Non eligible</v>
      </c>
      <c r="O767" t="str">
        <f t="shared" si="46"/>
        <v>A surveiller</v>
      </c>
      <c r="P767" t="str">
        <f t="shared" si="47"/>
        <v>Hors data</v>
      </c>
      <c r="Q767" t="str" cm="1">
        <f t="array" ref="Q767">_xlfn.IFS(H767&gt;=16,"Excellent",H767&gt;=14,"Très bien",H767&gt;=12,"Bien",H767&gt;=10,"Passable",H767&lt;10,"Insuffisant")</f>
        <v>Insuffisant</v>
      </c>
    </row>
    <row r="768" spans="1:17">
      <c r="A768" t="s">
        <v>1089</v>
      </c>
      <c r="B768" t="s">
        <v>948</v>
      </c>
      <c r="C768" t="s">
        <v>24</v>
      </c>
      <c r="D768" t="s">
        <v>40</v>
      </c>
      <c r="E768" s="8" t="s">
        <v>26</v>
      </c>
      <c r="F768" s="8">
        <v>6.64</v>
      </c>
      <c r="G768" s="8">
        <v>13.23</v>
      </c>
      <c r="H768" s="8">
        <v>11.47</v>
      </c>
      <c r="I768" s="8">
        <v>9.9</v>
      </c>
      <c r="J768" s="6">
        <v>0.80379999999999996</v>
      </c>
      <c r="K768" s="4">
        <v>50000</v>
      </c>
      <c r="L768" s="2">
        <v>45673</v>
      </c>
      <c r="M768" t="str">
        <f t="shared" si="44"/>
        <v>Admis</v>
      </c>
      <c r="N768" t="str">
        <f t="shared" si="45"/>
        <v>Non eligible</v>
      </c>
      <c r="O768" t="str">
        <f t="shared" si="46"/>
        <v>A surveiller</v>
      </c>
      <c r="P768" t="str">
        <f t="shared" si="47"/>
        <v>Hors data</v>
      </c>
      <c r="Q768" t="str" cm="1">
        <f t="array" ref="Q768">_xlfn.IFS(H768&gt;=16,"Excellent",H768&gt;=14,"Très bien",H768&gt;=12,"Bien",H768&gt;=10,"Passable",H768&lt;10,"Insuffisant")</f>
        <v>Passable</v>
      </c>
    </row>
    <row r="769" spans="1:17">
      <c r="A769" t="s">
        <v>1090</v>
      </c>
      <c r="B769" t="s">
        <v>1049</v>
      </c>
      <c r="C769" t="s">
        <v>19</v>
      </c>
      <c r="D769" t="s">
        <v>40</v>
      </c>
      <c r="E769" s="8" t="s">
        <v>47</v>
      </c>
      <c r="F769" s="8">
        <v>8.75</v>
      </c>
      <c r="G769" s="8">
        <v>15.47</v>
      </c>
      <c r="H769" s="8">
        <v>9.86</v>
      </c>
      <c r="I769" s="8">
        <v>13.06</v>
      </c>
      <c r="J769" s="6">
        <v>0.85829999999999995</v>
      </c>
      <c r="K769" s="4">
        <v>75000</v>
      </c>
      <c r="L769" s="2">
        <v>46229</v>
      </c>
      <c r="M769" t="str">
        <f t="shared" si="44"/>
        <v>Non admis</v>
      </c>
      <c r="N769" t="str">
        <f t="shared" si="45"/>
        <v>Non eligible</v>
      </c>
      <c r="O769" t="str">
        <f t="shared" si="46"/>
        <v>A surveiller</v>
      </c>
      <c r="P769" t="str">
        <f t="shared" si="47"/>
        <v>Hors data</v>
      </c>
      <c r="Q769" t="str" cm="1">
        <f t="array" ref="Q769">_xlfn.IFS(H769&gt;=16,"Excellent",H769&gt;=14,"Très bien",H769&gt;=12,"Bien",H769&gt;=10,"Passable",H769&lt;10,"Insuffisant")</f>
        <v>Insuffisant</v>
      </c>
    </row>
    <row r="770" spans="1:17">
      <c r="A770" t="s">
        <v>1091</v>
      </c>
      <c r="B770" t="s">
        <v>82</v>
      </c>
      <c r="C770" t="s">
        <v>19</v>
      </c>
      <c r="D770" t="s">
        <v>40</v>
      </c>
      <c r="E770" s="8" t="s">
        <v>47</v>
      </c>
      <c r="F770" s="8">
        <v>15.63</v>
      </c>
      <c r="G770" s="8">
        <v>17.78</v>
      </c>
      <c r="H770" s="8">
        <v>19.55</v>
      </c>
      <c r="I770" s="8">
        <v>16.53</v>
      </c>
      <c r="J770" s="6">
        <v>0.71250000000000002</v>
      </c>
      <c r="K770" s="4">
        <v>80000</v>
      </c>
      <c r="L770" s="2">
        <v>46215</v>
      </c>
      <c r="M770" t="str">
        <f t="shared" si="44"/>
        <v>Admis</v>
      </c>
      <c r="N770" t="str">
        <f t="shared" si="45"/>
        <v>Non eligible</v>
      </c>
      <c r="O770" t="str">
        <f t="shared" si="46"/>
        <v>RAS</v>
      </c>
      <c r="P770" t="str">
        <f t="shared" si="47"/>
        <v>Hors data</v>
      </c>
      <c r="Q770" t="str" cm="1">
        <f t="array" ref="Q770">_xlfn.IFS(H770&gt;=16,"Excellent",H770&gt;=14,"Très bien",H770&gt;=12,"Bien",H770&gt;=10,"Passable",H770&lt;10,"Insuffisant")</f>
        <v>Excellent</v>
      </c>
    </row>
    <row r="771" spans="1:17">
      <c r="A771" t="s">
        <v>1092</v>
      </c>
      <c r="B771" t="s">
        <v>1093</v>
      </c>
      <c r="C771" t="s">
        <v>19</v>
      </c>
      <c r="D771" t="s">
        <v>52</v>
      </c>
      <c r="E771" s="8" t="s">
        <v>34</v>
      </c>
      <c r="F771" s="8">
        <v>8.36</v>
      </c>
      <c r="G771" s="8">
        <v>8.1</v>
      </c>
      <c r="H771" s="8">
        <v>13.87</v>
      </c>
      <c r="I771" s="8">
        <v>7.84</v>
      </c>
      <c r="J771" s="6">
        <v>0.84809999999999997</v>
      </c>
      <c r="K771" s="4">
        <v>50000</v>
      </c>
      <c r="L771" s="2">
        <v>45716</v>
      </c>
      <c r="M771" t="str">
        <f t="shared" ref="M771:M834" si="48">IF(H771&gt;=10,"Admis","Non admis")</f>
        <v>Admis</v>
      </c>
      <c r="N771" t="str">
        <f t="shared" ref="N771:N834" si="49">IF(AND(F771&gt;=12,H771&gt;=12,J771&gt;=80%),"Eligible","Non eligible")</f>
        <v>Non eligible</v>
      </c>
      <c r="O771" t="str">
        <f t="shared" ref="O771:O834" si="50">IF(OR(F771&lt;10,H771&lt;10),"A surveiller","RAS")</f>
        <v>A surveiller</v>
      </c>
      <c r="P771" t="str">
        <f t="shared" ref="P771:P834" si="51">IF(NOT(E771="Data"),"Hors data","Data")</f>
        <v>Hors data</v>
      </c>
      <c r="Q771" t="str" cm="1">
        <f t="array" ref="Q771">_xlfn.IFS(H771&gt;=16,"Excellent",H771&gt;=14,"Très bien",H771&gt;=12,"Bien",H771&gt;=10,"Passable",H771&lt;10,"Insuffisant")</f>
        <v>Bien</v>
      </c>
    </row>
    <row r="772" spans="1:17">
      <c r="A772" t="s">
        <v>1094</v>
      </c>
      <c r="B772" t="s">
        <v>145</v>
      </c>
      <c r="C772" t="s">
        <v>24</v>
      </c>
      <c r="D772" t="s">
        <v>25</v>
      </c>
      <c r="E772" s="8" t="s">
        <v>21</v>
      </c>
      <c r="F772" s="8">
        <v>15.4</v>
      </c>
      <c r="G772" s="8">
        <v>17.350000000000001</v>
      </c>
      <c r="H772" s="8">
        <v>12.62</v>
      </c>
      <c r="I772" s="8">
        <v>13.41</v>
      </c>
      <c r="J772" s="6">
        <v>0.74060000000000004</v>
      </c>
      <c r="K772" s="4">
        <v>80000</v>
      </c>
      <c r="L772" s="2">
        <v>45813</v>
      </c>
      <c r="M772" t="str">
        <f t="shared" si="48"/>
        <v>Admis</v>
      </c>
      <c r="N772" t="str">
        <f t="shared" si="49"/>
        <v>Non eligible</v>
      </c>
      <c r="O772" t="str">
        <f t="shared" si="50"/>
        <v>RAS</v>
      </c>
      <c r="P772" t="str">
        <f t="shared" si="51"/>
        <v>Data</v>
      </c>
      <c r="Q772" t="str" cm="1">
        <f t="array" ref="Q772">_xlfn.IFS(H772&gt;=16,"Excellent",H772&gt;=14,"Très bien",H772&gt;=12,"Bien",H772&gt;=10,"Passable",H772&lt;10,"Insuffisant")</f>
        <v>Bien</v>
      </c>
    </row>
    <row r="773" spans="1:17">
      <c r="A773" t="s">
        <v>1095</v>
      </c>
      <c r="B773" t="s">
        <v>300</v>
      </c>
      <c r="C773" t="s">
        <v>24</v>
      </c>
      <c r="D773" t="s">
        <v>52</v>
      </c>
      <c r="E773" s="8" t="s">
        <v>34</v>
      </c>
      <c r="F773" s="8">
        <v>11.85</v>
      </c>
      <c r="G773" s="8">
        <v>10.83</v>
      </c>
      <c r="H773" s="8">
        <v>12.37</v>
      </c>
      <c r="I773" s="8">
        <v>10.07</v>
      </c>
      <c r="J773" s="6">
        <v>0.82869999999999999</v>
      </c>
      <c r="K773" s="4">
        <v>85000</v>
      </c>
      <c r="L773" s="2">
        <v>45668</v>
      </c>
      <c r="M773" t="str">
        <f t="shared" si="48"/>
        <v>Admis</v>
      </c>
      <c r="N773" t="str">
        <f t="shared" si="49"/>
        <v>Non eligible</v>
      </c>
      <c r="O773" t="str">
        <f t="shared" si="50"/>
        <v>RAS</v>
      </c>
      <c r="P773" t="str">
        <f t="shared" si="51"/>
        <v>Hors data</v>
      </c>
      <c r="Q773" t="str" cm="1">
        <f t="array" ref="Q773">_xlfn.IFS(H773&gt;=16,"Excellent",H773&gt;=14,"Très bien",H773&gt;=12,"Bien",H773&gt;=10,"Passable",H773&lt;10,"Insuffisant")</f>
        <v>Bien</v>
      </c>
    </row>
    <row r="774" spans="1:17">
      <c r="A774" t="s">
        <v>1096</v>
      </c>
      <c r="B774" t="s">
        <v>1097</v>
      </c>
      <c r="C774" t="s">
        <v>19</v>
      </c>
      <c r="D774" t="s">
        <v>52</v>
      </c>
      <c r="E774" s="8" t="s">
        <v>26</v>
      </c>
      <c r="F774" s="8">
        <v>14.4</v>
      </c>
      <c r="G774" s="8">
        <v>13.62</v>
      </c>
      <c r="H774" s="8">
        <v>11.3</v>
      </c>
      <c r="I774" s="8">
        <v>11.21</v>
      </c>
      <c r="J774" s="6">
        <v>0.67949999999999999</v>
      </c>
      <c r="K774" s="4">
        <v>80000</v>
      </c>
      <c r="L774" s="2">
        <v>45888</v>
      </c>
      <c r="M774" t="str">
        <f t="shared" si="48"/>
        <v>Admis</v>
      </c>
      <c r="N774" t="str">
        <f t="shared" si="49"/>
        <v>Non eligible</v>
      </c>
      <c r="O774" t="str">
        <f t="shared" si="50"/>
        <v>RAS</v>
      </c>
      <c r="P774" t="str">
        <f t="shared" si="51"/>
        <v>Hors data</v>
      </c>
      <c r="Q774" t="str" cm="1">
        <f t="array" ref="Q774">_xlfn.IFS(H774&gt;=16,"Excellent",H774&gt;=14,"Très bien",H774&gt;=12,"Bien",H774&gt;=10,"Passable",H774&lt;10,"Insuffisant")</f>
        <v>Passable</v>
      </c>
    </row>
    <row r="775" spans="1:17">
      <c r="A775" t="s">
        <v>1098</v>
      </c>
      <c r="B775" t="s">
        <v>819</v>
      </c>
      <c r="C775" t="s">
        <v>24</v>
      </c>
      <c r="D775" t="s">
        <v>25</v>
      </c>
      <c r="E775" s="8" t="s">
        <v>21</v>
      </c>
      <c r="F775" s="8">
        <v>10.78</v>
      </c>
      <c r="G775" s="8">
        <v>15.97</v>
      </c>
      <c r="H775" s="8">
        <v>13.98</v>
      </c>
      <c r="I775" s="8">
        <v>13.94</v>
      </c>
      <c r="J775" s="6">
        <v>0.5958</v>
      </c>
      <c r="K775" s="4">
        <v>85000</v>
      </c>
      <c r="L775" s="2">
        <v>45622</v>
      </c>
      <c r="M775" t="str">
        <f t="shared" si="48"/>
        <v>Admis</v>
      </c>
      <c r="N775" t="str">
        <f t="shared" si="49"/>
        <v>Non eligible</v>
      </c>
      <c r="O775" t="str">
        <f t="shared" si="50"/>
        <v>RAS</v>
      </c>
      <c r="P775" t="str">
        <f t="shared" si="51"/>
        <v>Data</v>
      </c>
      <c r="Q775" t="str" cm="1">
        <f t="array" ref="Q775">_xlfn.IFS(H775&gt;=16,"Excellent",H775&gt;=14,"Très bien",H775&gt;=12,"Bien",H775&gt;=10,"Passable",H775&lt;10,"Insuffisant")</f>
        <v>Bien</v>
      </c>
    </row>
    <row r="776" spans="1:17">
      <c r="A776" t="s">
        <v>1099</v>
      </c>
      <c r="B776" t="s">
        <v>212</v>
      </c>
      <c r="C776" t="s">
        <v>24</v>
      </c>
      <c r="D776" t="s">
        <v>20</v>
      </c>
      <c r="E776" s="8" t="s">
        <v>47</v>
      </c>
      <c r="F776" s="8">
        <v>17.37</v>
      </c>
      <c r="G776" s="8">
        <v>19.489999999999998</v>
      </c>
      <c r="H776" s="8">
        <v>16.739999999999998</v>
      </c>
      <c r="I776" s="8">
        <v>19.34</v>
      </c>
      <c r="J776" s="6">
        <v>0.87680000000000002</v>
      </c>
      <c r="K776" s="4">
        <v>110000</v>
      </c>
      <c r="L776" s="2">
        <v>45809</v>
      </c>
      <c r="M776" t="str">
        <f t="shared" si="48"/>
        <v>Admis</v>
      </c>
      <c r="N776" t="str">
        <f t="shared" si="49"/>
        <v>Eligible</v>
      </c>
      <c r="O776" t="str">
        <f t="shared" si="50"/>
        <v>RAS</v>
      </c>
      <c r="P776" t="str">
        <f t="shared" si="51"/>
        <v>Hors data</v>
      </c>
      <c r="Q776" t="str" cm="1">
        <f t="array" ref="Q776">_xlfn.IFS(H776&gt;=16,"Excellent",H776&gt;=14,"Très bien",H776&gt;=12,"Bien",H776&gt;=10,"Passable",H776&lt;10,"Insuffisant")</f>
        <v>Excellent</v>
      </c>
    </row>
    <row r="777" spans="1:17">
      <c r="A777" t="s">
        <v>1100</v>
      </c>
      <c r="B777" t="s">
        <v>852</v>
      </c>
      <c r="C777" t="s">
        <v>24</v>
      </c>
      <c r="D777" t="s">
        <v>33</v>
      </c>
      <c r="E777" s="8" t="s">
        <v>21</v>
      </c>
      <c r="F777" s="8">
        <v>15.71</v>
      </c>
      <c r="G777" s="8">
        <v>20</v>
      </c>
      <c r="H777" s="8">
        <v>12.73</v>
      </c>
      <c r="I777" s="8">
        <v>16.91</v>
      </c>
      <c r="J777" s="6">
        <v>0.84550000000000003</v>
      </c>
      <c r="K777" s="4">
        <v>110000</v>
      </c>
      <c r="L777" s="2">
        <v>45924</v>
      </c>
      <c r="M777" t="str">
        <f t="shared" si="48"/>
        <v>Admis</v>
      </c>
      <c r="N777" t="str">
        <f t="shared" si="49"/>
        <v>Eligible</v>
      </c>
      <c r="O777" t="str">
        <f t="shared" si="50"/>
        <v>RAS</v>
      </c>
      <c r="P777" t="str">
        <f t="shared" si="51"/>
        <v>Data</v>
      </c>
      <c r="Q777" t="str" cm="1">
        <f t="array" ref="Q777">_xlfn.IFS(H777&gt;=16,"Excellent",H777&gt;=14,"Très bien",H777&gt;=12,"Bien",H777&gt;=10,"Passable",H777&lt;10,"Insuffisant")</f>
        <v>Bien</v>
      </c>
    </row>
    <row r="778" spans="1:17">
      <c r="A778" t="s">
        <v>1101</v>
      </c>
      <c r="B778" t="s">
        <v>287</v>
      </c>
      <c r="C778" t="s">
        <v>19</v>
      </c>
      <c r="D778" t="s">
        <v>40</v>
      </c>
      <c r="E778" s="8" t="s">
        <v>34</v>
      </c>
      <c r="F778" s="8">
        <v>11.4</v>
      </c>
      <c r="G778" s="8">
        <v>10.77</v>
      </c>
      <c r="H778" s="8">
        <v>9.39</v>
      </c>
      <c r="I778" s="8">
        <v>8.39</v>
      </c>
      <c r="J778" s="6">
        <v>0.81420000000000003</v>
      </c>
      <c r="K778" s="4">
        <v>50000</v>
      </c>
      <c r="L778" s="2">
        <v>45964</v>
      </c>
      <c r="M778" t="str">
        <f t="shared" si="48"/>
        <v>Non admis</v>
      </c>
      <c r="N778" t="str">
        <f t="shared" si="49"/>
        <v>Non eligible</v>
      </c>
      <c r="O778" t="str">
        <f t="shared" si="50"/>
        <v>A surveiller</v>
      </c>
      <c r="P778" t="str">
        <f t="shared" si="51"/>
        <v>Hors data</v>
      </c>
      <c r="Q778" t="str" cm="1">
        <f t="array" ref="Q778">_xlfn.IFS(H778&gt;=16,"Excellent",H778&gt;=14,"Très bien",H778&gt;=12,"Bien",H778&gt;=10,"Passable",H778&lt;10,"Insuffisant")</f>
        <v>Insuffisant</v>
      </c>
    </row>
    <row r="779" spans="1:17">
      <c r="A779" t="s">
        <v>1102</v>
      </c>
      <c r="B779" t="s">
        <v>339</v>
      </c>
      <c r="C779" t="s">
        <v>19</v>
      </c>
      <c r="D779" t="s">
        <v>52</v>
      </c>
      <c r="E779" s="8" t="s">
        <v>21</v>
      </c>
      <c r="F779" s="8">
        <v>15.17</v>
      </c>
      <c r="G779" s="8">
        <v>14.91</v>
      </c>
      <c r="H779" s="8">
        <v>14.55</v>
      </c>
      <c r="I779" s="8">
        <v>17.87</v>
      </c>
      <c r="J779" s="6">
        <v>0.76249999999999996</v>
      </c>
      <c r="K779" s="4">
        <v>100000</v>
      </c>
      <c r="L779" s="2">
        <v>45953</v>
      </c>
      <c r="M779" t="str">
        <f t="shared" si="48"/>
        <v>Admis</v>
      </c>
      <c r="N779" t="str">
        <f t="shared" si="49"/>
        <v>Non eligible</v>
      </c>
      <c r="O779" t="str">
        <f t="shared" si="50"/>
        <v>RAS</v>
      </c>
      <c r="P779" t="str">
        <f t="shared" si="51"/>
        <v>Data</v>
      </c>
      <c r="Q779" t="str" cm="1">
        <f t="array" ref="Q779">_xlfn.IFS(H779&gt;=16,"Excellent",H779&gt;=14,"Très bien",H779&gt;=12,"Bien",H779&gt;=10,"Passable",H779&lt;10,"Insuffisant")</f>
        <v>Très bien</v>
      </c>
    </row>
    <row r="780" spans="1:17">
      <c r="A780" t="s">
        <v>1103</v>
      </c>
      <c r="B780" t="s">
        <v>130</v>
      </c>
      <c r="C780" t="s">
        <v>19</v>
      </c>
      <c r="D780" t="s">
        <v>33</v>
      </c>
      <c r="E780" s="8" t="s">
        <v>47</v>
      </c>
      <c r="F780" s="8">
        <v>13.71</v>
      </c>
      <c r="G780" s="8">
        <v>10.39</v>
      </c>
      <c r="H780" s="8">
        <v>10.82</v>
      </c>
      <c r="I780" s="8">
        <v>10.15</v>
      </c>
      <c r="J780" s="6">
        <v>0.82840000000000003</v>
      </c>
      <c r="K780" s="4">
        <v>120000</v>
      </c>
      <c r="L780" s="2">
        <v>45690</v>
      </c>
      <c r="M780" t="str">
        <f t="shared" si="48"/>
        <v>Admis</v>
      </c>
      <c r="N780" t="str">
        <f t="shared" si="49"/>
        <v>Non eligible</v>
      </c>
      <c r="O780" t="str">
        <f t="shared" si="50"/>
        <v>RAS</v>
      </c>
      <c r="P780" t="str">
        <f t="shared" si="51"/>
        <v>Hors data</v>
      </c>
      <c r="Q780" t="str" cm="1">
        <f t="array" ref="Q780">_xlfn.IFS(H780&gt;=16,"Excellent",H780&gt;=14,"Très bien",H780&gt;=12,"Bien",H780&gt;=10,"Passable",H780&lt;10,"Insuffisant")</f>
        <v>Passable</v>
      </c>
    </row>
    <row r="781" spans="1:17">
      <c r="A781" t="s">
        <v>1104</v>
      </c>
      <c r="B781" t="s">
        <v>1105</v>
      </c>
      <c r="C781" t="s">
        <v>24</v>
      </c>
      <c r="D781" t="s">
        <v>40</v>
      </c>
      <c r="E781" s="8" t="s">
        <v>26</v>
      </c>
      <c r="F781" s="8">
        <v>11.9</v>
      </c>
      <c r="G781" s="8">
        <v>8.2200000000000006</v>
      </c>
      <c r="H781" s="8">
        <v>14.17</v>
      </c>
      <c r="I781" s="8">
        <v>13.22</v>
      </c>
      <c r="J781" s="6">
        <v>0.80620000000000003</v>
      </c>
      <c r="K781" s="4">
        <v>120000</v>
      </c>
      <c r="L781" s="2">
        <v>46090</v>
      </c>
      <c r="M781" t="str">
        <f t="shared" si="48"/>
        <v>Admis</v>
      </c>
      <c r="N781" t="str">
        <f t="shared" si="49"/>
        <v>Non eligible</v>
      </c>
      <c r="O781" t="str">
        <f t="shared" si="50"/>
        <v>RAS</v>
      </c>
      <c r="P781" t="str">
        <f t="shared" si="51"/>
        <v>Hors data</v>
      </c>
      <c r="Q781" t="str" cm="1">
        <f t="array" ref="Q781">_xlfn.IFS(H781&gt;=16,"Excellent",H781&gt;=14,"Très bien",H781&gt;=12,"Bien",H781&gt;=10,"Passable",H781&lt;10,"Insuffisant")</f>
        <v>Très bien</v>
      </c>
    </row>
    <row r="782" spans="1:17">
      <c r="A782" t="s">
        <v>1106</v>
      </c>
      <c r="B782" t="s">
        <v>97</v>
      </c>
      <c r="C782" t="s">
        <v>24</v>
      </c>
      <c r="D782" t="s">
        <v>20</v>
      </c>
      <c r="E782" s="8" t="s">
        <v>26</v>
      </c>
      <c r="F782" s="8">
        <v>16.12</v>
      </c>
      <c r="G782" s="8">
        <v>14.17</v>
      </c>
      <c r="H782" s="8">
        <v>12.85</v>
      </c>
      <c r="I782" s="8">
        <v>13.15</v>
      </c>
      <c r="J782" s="6">
        <v>0.90510000000000002</v>
      </c>
      <c r="K782" s="4">
        <v>75000</v>
      </c>
      <c r="L782" s="2">
        <v>46020</v>
      </c>
      <c r="M782" t="str">
        <f t="shared" si="48"/>
        <v>Admis</v>
      </c>
      <c r="N782" t="str">
        <f t="shared" si="49"/>
        <v>Eligible</v>
      </c>
      <c r="O782" t="str">
        <f t="shared" si="50"/>
        <v>RAS</v>
      </c>
      <c r="P782" t="str">
        <f t="shared" si="51"/>
        <v>Hors data</v>
      </c>
      <c r="Q782" t="str" cm="1">
        <f t="array" ref="Q782">_xlfn.IFS(H782&gt;=16,"Excellent",H782&gt;=14,"Très bien",H782&gt;=12,"Bien",H782&gt;=10,"Passable",H782&lt;10,"Insuffisant")</f>
        <v>Bien</v>
      </c>
    </row>
    <row r="783" spans="1:17">
      <c r="A783" t="s">
        <v>1107</v>
      </c>
      <c r="B783" t="s">
        <v>666</v>
      </c>
      <c r="C783" t="s">
        <v>24</v>
      </c>
      <c r="D783" t="s">
        <v>33</v>
      </c>
      <c r="E783" s="8" t="s">
        <v>47</v>
      </c>
      <c r="F783" s="8">
        <v>11.05</v>
      </c>
      <c r="G783" s="8">
        <v>15.04</v>
      </c>
      <c r="H783" s="8">
        <v>16.14</v>
      </c>
      <c r="I783" s="8">
        <v>11.53</v>
      </c>
      <c r="J783" s="6">
        <v>0.69879999999999998</v>
      </c>
      <c r="K783" s="4">
        <v>110000</v>
      </c>
      <c r="L783" s="2">
        <v>46063</v>
      </c>
      <c r="M783" t="str">
        <f t="shared" si="48"/>
        <v>Admis</v>
      </c>
      <c r="N783" t="str">
        <f t="shared" si="49"/>
        <v>Non eligible</v>
      </c>
      <c r="O783" t="str">
        <f t="shared" si="50"/>
        <v>RAS</v>
      </c>
      <c r="P783" t="str">
        <f t="shared" si="51"/>
        <v>Hors data</v>
      </c>
      <c r="Q783" t="str" cm="1">
        <f t="array" ref="Q783">_xlfn.IFS(H783&gt;=16,"Excellent",H783&gt;=14,"Très bien",H783&gt;=12,"Bien",H783&gt;=10,"Passable",H783&lt;10,"Insuffisant")</f>
        <v>Excellent</v>
      </c>
    </row>
    <row r="784" spans="1:17">
      <c r="A784" t="s">
        <v>1108</v>
      </c>
      <c r="B784" t="s">
        <v>82</v>
      </c>
      <c r="C784" t="s">
        <v>19</v>
      </c>
      <c r="D784" t="s">
        <v>20</v>
      </c>
      <c r="E784" s="8" t="s">
        <v>21</v>
      </c>
      <c r="F784" s="8">
        <v>12.01</v>
      </c>
      <c r="G784" s="8">
        <v>17.72</v>
      </c>
      <c r="H784" s="8">
        <v>13.28</v>
      </c>
      <c r="I784" s="8">
        <v>10.57</v>
      </c>
      <c r="J784" s="6">
        <v>0.82950000000000002</v>
      </c>
      <c r="K784" s="4">
        <v>110000</v>
      </c>
      <c r="L784" s="2">
        <v>45863</v>
      </c>
      <c r="M784" t="str">
        <f t="shared" si="48"/>
        <v>Admis</v>
      </c>
      <c r="N784" t="str">
        <f t="shared" si="49"/>
        <v>Eligible</v>
      </c>
      <c r="O784" t="str">
        <f t="shared" si="50"/>
        <v>RAS</v>
      </c>
      <c r="P784" t="str">
        <f t="shared" si="51"/>
        <v>Data</v>
      </c>
      <c r="Q784" t="str" cm="1">
        <f t="array" ref="Q784">_xlfn.IFS(H784&gt;=16,"Excellent",H784&gt;=14,"Très bien",H784&gt;=12,"Bien",H784&gt;=10,"Passable",H784&lt;10,"Insuffisant")</f>
        <v>Bien</v>
      </c>
    </row>
    <row r="785" spans="1:17">
      <c r="A785" t="s">
        <v>1109</v>
      </c>
      <c r="B785" t="s">
        <v>736</v>
      </c>
      <c r="C785" t="s">
        <v>19</v>
      </c>
      <c r="D785" t="s">
        <v>40</v>
      </c>
      <c r="E785" s="8" t="s">
        <v>47</v>
      </c>
      <c r="F785" s="8">
        <v>11.92</v>
      </c>
      <c r="G785" s="8">
        <v>11.78</v>
      </c>
      <c r="H785" s="8">
        <v>15.09</v>
      </c>
      <c r="I785" s="8">
        <v>10.57</v>
      </c>
      <c r="J785" s="6">
        <v>0.80069999999999997</v>
      </c>
      <c r="K785" s="4">
        <v>80000</v>
      </c>
      <c r="L785" s="2">
        <v>46160</v>
      </c>
      <c r="M785" t="str">
        <f t="shared" si="48"/>
        <v>Admis</v>
      </c>
      <c r="N785" t="str">
        <f t="shared" si="49"/>
        <v>Non eligible</v>
      </c>
      <c r="O785" t="str">
        <f t="shared" si="50"/>
        <v>RAS</v>
      </c>
      <c r="P785" t="str">
        <f t="shared" si="51"/>
        <v>Hors data</v>
      </c>
      <c r="Q785" t="str" cm="1">
        <f t="array" ref="Q785">_xlfn.IFS(H785&gt;=16,"Excellent",H785&gt;=14,"Très bien",H785&gt;=12,"Bien",H785&gt;=10,"Passable",H785&lt;10,"Insuffisant")</f>
        <v>Très bien</v>
      </c>
    </row>
    <row r="786" spans="1:17">
      <c r="A786" t="s">
        <v>1110</v>
      </c>
      <c r="B786" t="s">
        <v>296</v>
      </c>
      <c r="C786" t="s">
        <v>19</v>
      </c>
      <c r="D786" t="s">
        <v>52</v>
      </c>
      <c r="E786" s="8" t="s">
        <v>21</v>
      </c>
      <c r="F786" s="8">
        <v>13.36</v>
      </c>
      <c r="G786" s="8">
        <v>9.98</v>
      </c>
      <c r="H786" s="8">
        <v>9.73</v>
      </c>
      <c r="I786" s="8">
        <v>11.87</v>
      </c>
      <c r="J786" s="6">
        <v>0.93810000000000004</v>
      </c>
      <c r="K786" s="4">
        <v>120000</v>
      </c>
      <c r="L786" s="2">
        <v>45808</v>
      </c>
      <c r="M786" t="str">
        <f t="shared" si="48"/>
        <v>Non admis</v>
      </c>
      <c r="N786" t="str">
        <f t="shared" si="49"/>
        <v>Non eligible</v>
      </c>
      <c r="O786" t="str">
        <f t="shared" si="50"/>
        <v>A surveiller</v>
      </c>
      <c r="P786" t="str">
        <f t="shared" si="51"/>
        <v>Data</v>
      </c>
      <c r="Q786" t="str" cm="1">
        <f t="array" ref="Q786">_xlfn.IFS(H786&gt;=16,"Excellent",H786&gt;=14,"Très bien",H786&gt;=12,"Bien",H786&gt;=10,"Passable",H786&lt;10,"Insuffisant")</f>
        <v>Insuffisant</v>
      </c>
    </row>
    <row r="787" spans="1:17">
      <c r="A787" t="s">
        <v>1111</v>
      </c>
      <c r="B787" t="s">
        <v>508</v>
      </c>
      <c r="C787" t="s">
        <v>24</v>
      </c>
      <c r="D787" t="s">
        <v>40</v>
      </c>
      <c r="E787" s="8" t="s">
        <v>34</v>
      </c>
      <c r="F787" s="8">
        <v>12.93</v>
      </c>
      <c r="G787" s="8">
        <v>12.56</v>
      </c>
      <c r="H787" s="8">
        <v>11.86</v>
      </c>
      <c r="I787" s="8">
        <v>10.66</v>
      </c>
      <c r="J787" s="6">
        <v>0.91359999999999997</v>
      </c>
      <c r="K787" s="4">
        <v>90000</v>
      </c>
      <c r="L787" s="2">
        <v>46100</v>
      </c>
      <c r="M787" t="str">
        <f t="shared" si="48"/>
        <v>Admis</v>
      </c>
      <c r="N787" t="str">
        <f t="shared" si="49"/>
        <v>Non eligible</v>
      </c>
      <c r="O787" t="str">
        <f t="shared" si="50"/>
        <v>RAS</v>
      </c>
      <c r="P787" t="str">
        <f t="shared" si="51"/>
        <v>Hors data</v>
      </c>
      <c r="Q787" t="str" cm="1">
        <f t="array" ref="Q787">_xlfn.IFS(H787&gt;=16,"Excellent",H787&gt;=14,"Très bien",H787&gt;=12,"Bien",H787&gt;=10,"Passable",H787&lt;10,"Insuffisant")</f>
        <v>Passable</v>
      </c>
    </row>
    <row r="788" spans="1:17">
      <c r="A788" t="s">
        <v>1112</v>
      </c>
      <c r="B788" t="s">
        <v>929</v>
      </c>
      <c r="C788" t="s">
        <v>19</v>
      </c>
      <c r="D788" t="s">
        <v>25</v>
      </c>
      <c r="E788" s="8" t="s">
        <v>47</v>
      </c>
      <c r="F788" s="8">
        <v>12.85</v>
      </c>
      <c r="G788" s="8">
        <v>14.54</v>
      </c>
      <c r="H788" s="8">
        <v>11.04</v>
      </c>
      <c r="I788" s="8">
        <v>15.68</v>
      </c>
      <c r="J788" s="6">
        <v>0.88260000000000005</v>
      </c>
      <c r="K788" s="4">
        <v>110000</v>
      </c>
      <c r="L788" s="2">
        <v>45678</v>
      </c>
      <c r="M788" t="str">
        <f t="shared" si="48"/>
        <v>Admis</v>
      </c>
      <c r="N788" t="str">
        <f t="shared" si="49"/>
        <v>Non eligible</v>
      </c>
      <c r="O788" t="str">
        <f t="shared" si="50"/>
        <v>RAS</v>
      </c>
      <c r="P788" t="str">
        <f t="shared" si="51"/>
        <v>Hors data</v>
      </c>
      <c r="Q788" t="str" cm="1">
        <f t="array" ref="Q788">_xlfn.IFS(H788&gt;=16,"Excellent",H788&gt;=14,"Très bien",H788&gt;=12,"Bien",H788&gt;=10,"Passable",H788&lt;10,"Insuffisant")</f>
        <v>Passable</v>
      </c>
    </row>
    <row r="789" spans="1:17">
      <c r="A789" t="s">
        <v>1113</v>
      </c>
      <c r="B789" t="s">
        <v>343</v>
      </c>
      <c r="C789" t="s">
        <v>24</v>
      </c>
      <c r="D789" t="s">
        <v>25</v>
      </c>
      <c r="E789" s="8" t="s">
        <v>47</v>
      </c>
      <c r="F789" s="8">
        <v>15.81</v>
      </c>
      <c r="G789" s="8">
        <v>17.93</v>
      </c>
      <c r="H789" s="8">
        <v>16.02</v>
      </c>
      <c r="I789" s="8">
        <v>13.92</v>
      </c>
      <c r="J789" s="6">
        <v>0.81179999999999997</v>
      </c>
      <c r="K789" s="4">
        <v>110000</v>
      </c>
      <c r="L789" s="2">
        <v>45709</v>
      </c>
      <c r="M789" t="str">
        <f t="shared" si="48"/>
        <v>Admis</v>
      </c>
      <c r="N789" t="str">
        <f t="shared" si="49"/>
        <v>Eligible</v>
      </c>
      <c r="O789" t="str">
        <f t="shared" si="50"/>
        <v>RAS</v>
      </c>
      <c r="P789" t="str">
        <f t="shared" si="51"/>
        <v>Hors data</v>
      </c>
      <c r="Q789" t="str" cm="1">
        <f t="array" ref="Q789">_xlfn.IFS(H789&gt;=16,"Excellent",H789&gt;=14,"Très bien",H789&gt;=12,"Bien",H789&gt;=10,"Passable",H789&lt;10,"Insuffisant")</f>
        <v>Excellent</v>
      </c>
    </row>
    <row r="790" spans="1:17">
      <c r="A790" t="s">
        <v>1114</v>
      </c>
      <c r="B790" t="s">
        <v>203</v>
      </c>
      <c r="C790" t="s">
        <v>24</v>
      </c>
      <c r="D790" t="s">
        <v>20</v>
      </c>
      <c r="E790" s="8" t="s">
        <v>21</v>
      </c>
      <c r="F790" s="8">
        <v>13.49</v>
      </c>
      <c r="G790" s="8">
        <v>16.03</v>
      </c>
      <c r="H790" s="8">
        <v>17.22</v>
      </c>
      <c r="I790" s="8">
        <v>13.92</v>
      </c>
      <c r="J790" s="6">
        <v>0.55000000000000004</v>
      </c>
      <c r="K790" s="4">
        <v>110000</v>
      </c>
      <c r="L790" s="2">
        <v>45904</v>
      </c>
      <c r="M790" t="str">
        <f t="shared" si="48"/>
        <v>Admis</v>
      </c>
      <c r="N790" t="str">
        <f t="shared" si="49"/>
        <v>Non eligible</v>
      </c>
      <c r="O790" t="str">
        <f t="shared" si="50"/>
        <v>RAS</v>
      </c>
      <c r="P790" t="str">
        <f t="shared" si="51"/>
        <v>Data</v>
      </c>
      <c r="Q790" t="str" cm="1">
        <f t="array" ref="Q790">_xlfn.IFS(H790&gt;=16,"Excellent",H790&gt;=14,"Très bien",H790&gt;=12,"Bien",H790&gt;=10,"Passable",H790&lt;10,"Insuffisant")</f>
        <v>Excellent</v>
      </c>
    </row>
    <row r="791" spans="1:17">
      <c r="A791" t="s">
        <v>1115</v>
      </c>
      <c r="B791" t="s">
        <v>93</v>
      </c>
      <c r="C791" t="s">
        <v>19</v>
      </c>
      <c r="D791" t="s">
        <v>33</v>
      </c>
      <c r="E791" s="8" t="s">
        <v>26</v>
      </c>
      <c r="F791" s="8">
        <v>19.5</v>
      </c>
      <c r="G791" s="8">
        <v>16.93</v>
      </c>
      <c r="H791" s="8">
        <v>20</v>
      </c>
      <c r="I791" s="8">
        <v>16.2</v>
      </c>
      <c r="J791" s="6">
        <v>0.85599999999999998</v>
      </c>
      <c r="K791" s="4">
        <v>130000</v>
      </c>
      <c r="L791" s="2">
        <v>45925</v>
      </c>
      <c r="M791" t="str">
        <f t="shared" si="48"/>
        <v>Admis</v>
      </c>
      <c r="N791" t="str">
        <f t="shared" si="49"/>
        <v>Eligible</v>
      </c>
      <c r="O791" t="str">
        <f t="shared" si="50"/>
        <v>RAS</v>
      </c>
      <c r="P791" t="str">
        <f t="shared" si="51"/>
        <v>Hors data</v>
      </c>
      <c r="Q791" t="str" cm="1">
        <f t="array" ref="Q791">_xlfn.IFS(H791&gt;=16,"Excellent",H791&gt;=14,"Très bien",H791&gt;=12,"Bien",H791&gt;=10,"Passable",H791&lt;10,"Insuffisant")</f>
        <v>Excellent</v>
      </c>
    </row>
    <row r="792" spans="1:17">
      <c r="A792" t="s">
        <v>1116</v>
      </c>
      <c r="B792" t="s">
        <v>294</v>
      </c>
      <c r="C792" t="s">
        <v>19</v>
      </c>
      <c r="D792" t="s">
        <v>20</v>
      </c>
      <c r="E792" s="8" t="s">
        <v>34</v>
      </c>
      <c r="F792" s="8">
        <v>20</v>
      </c>
      <c r="G792" s="8">
        <v>20</v>
      </c>
      <c r="H792" s="8">
        <v>20</v>
      </c>
      <c r="I792" s="8">
        <v>18.510000000000002</v>
      </c>
      <c r="J792" s="6">
        <v>0.96150000000000002</v>
      </c>
      <c r="K792" s="4">
        <v>120000</v>
      </c>
      <c r="L792" s="2">
        <v>46058</v>
      </c>
      <c r="M792" t="str">
        <f t="shared" si="48"/>
        <v>Admis</v>
      </c>
      <c r="N792" t="str">
        <f t="shared" si="49"/>
        <v>Eligible</v>
      </c>
      <c r="O792" t="str">
        <f t="shared" si="50"/>
        <v>RAS</v>
      </c>
      <c r="P792" t="str">
        <f t="shared" si="51"/>
        <v>Hors data</v>
      </c>
      <c r="Q792" t="str" cm="1">
        <f t="array" ref="Q792">_xlfn.IFS(H792&gt;=16,"Excellent",H792&gt;=14,"Très bien",H792&gt;=12,"Bien",H792&gt;=10,"Passable",H792&lt;10,"Insuffisant")</f>
        <v>Excellent</v>
      </c>
    </row>
    <row r="793" spans="1:17">
      <c r="A793" t="s">
        <v>1117</v>
      </c>
      <c r="B793" t="s">
        <v>1118</v>
      </c>
      <c r="C793" t="s">
        <v>19</v>
      </c>
      <c r="D793" t="s">
        <v>37</v>
      </c>
      <c r="E793" s="8" t="s">
        <v>26</v>
      </c>
      <c r="F793" s="8">
        <v>9.3800000000000008</v>
      </c>
      <c r="G793" s="8">
        <v>4.12</v>
      </c>
      <c r="H793" s="8">
        <v>9.92</v>
      </c>
      <c r="I793" s="8">
        <v>12.78</v>
      </c>
      <c r="J793" s="6">
        <v>0.71220000000000006</v>
      </c>
      <c r="K793" s="4">
        <v>80000</v>
      </c>
      <c r="L793" s="2">
        <v>45744</v>
      </c>
      <c r="M793" t="str">
        <f t="shared" si="48"/>
        <v>Non admis</v>
      </c>
      <c r="N793" t="str">
        <f t="shared" si="49"/>
        <v>Non eligible</v>
      </c>
      <c r="O793" t="str">
        <f t="shared" si="50"/>
        <v>A surveiller</v>
      </c>
      <c r="P793" t="str">
        <f t="shared" si="51"/>
        <v>Hors data</v>
      </c>
      <c r="Q793" t="str" cm="1">
        <f t="array" ref="Q793">_xlfn.IFS(H793&gt;=16,"Excellent",H793&gt;=14,"Très bien",H793&gt;=12,"Bien",H793&gt;=10,"Passable",H793&lt;10,"Insuffisant")</f>
        <v>Insuffisant</v>
      </c>
    </row>
    <row r="794" spans="1:17">
      <c r="A794" t="s">
        <v>1119</v>
      </c>
      <c r="B794" t="s">
        <v>145</v>
      </c>
      <c r="C794" t="s">
        <v>24</v>
      </c>
      <c r="D794" t="s">
        <v>40</v>
      </c>
      <c r="E794" s="8" t="s">
        <v>47</v>
      </c>
      <c r="F794" s="8">
        <v>16.14</v>
      </c>
      <c r="G794" s="8">
        <v>14.94</v>
      </c>
      <c r="H794" s="8">
        <v>14.3</v>
      </c>
      <c r="I794" s="8">
        <v>16.850000000000001</v>
      </c>
      <c r="J794" s="6">
        <v>0.9073</v>
      </c>
      <c r="K794" s="4">
        <v>90000</v>
      </c>
      <c r="L794" s="2">
        <v>46146</v>
      </c>
      <c r="M794" t="str">
        <f t="shared" si="48"/>
        <v>Admis</v>
      </c>
      <c r="N794" t="str">
        <f t="shared" si="49"/>
        <v>Eligible</v>
      </c>
      <c r="O794" t="str">
        <f t="shared" si="50"/>
        <v>RAS</v>
      </c>
      <c r="P794" t="str">
        <f t="shared" si="51"/>
        <v>Hors data</v>
      </c>
      <c r="Q794" t="str" cm="1">
        <f t="array" ref="Q794">_xlfn.IFS(H794&gt;=16,"Excellent",H794&gt;=14,"Très bien",H794&gt;=12,"Bien",H794&gt;=10,"Passable",H794&lt;10,"Insuffisant")</f>
        <v>Très bien</v>
      </c>
    </row>
    <row r="795" spans="1:17">
      <c r="A795" t="s">
        <v>1120</v>
      </c>
      <c r="B795" t="s">
        <v>54</v>
      </c>
      <c r="C795" t="s">
        <v>24</v>
      </c>
      <c r="D795" t="s">
        <v>33</v>
      </c>
      <c r="E795" s="8" t="s">
        <v>47</v>
      </c>
      <c r="F795" s="8">
        <v>8.26</v>
      </c>
      <c r="G795" s="8">
        <v>16.260000000000002</v>
      </c>
      <c r="H795" s="8">
        <v>8.69</v>
      </c>
      <c r="I795" s="8">
        <v>8.56</v>
      </c>
      <c r="J795" s="6">
        <v>0.74050000000000005</v>
      </c>
      <c r="K795" s="4">
        <v>100000</v>
      </c>
      <c r="L795" s="2">
        <v>45766</v>
      </c>
      <c r="M795" t="str">
        <f t="shared" si="48"/>
        <v>Non admis</v>
      </c>
      <c r="N795" t="str">
        <f t="shared" si="49"/>
        <v>Non eligible</v>
      </c>
      <c r="O795" t="str">
        <f t="shared" si="50"/>
        <v>A surveiller</v>
      </c>
      <c r="P795" t="str">
        <f t="shared" si="51"/>
        <v>Hors data</v>
      </c>
      <c r="Q795" t="str" cm="1">
        <f t="array" ref="Q795">_xlfn.IFS(H795&gt;=16,"Excellent",H795&gt;=14,"Très bien",H795&gt;=12,"Bien",H795&gt;=10,"Passable",H795&lt;10,"Insuffisant")</f>
        <v>Insuffisant</v>
      </c>
    </row>
    <row r="796" spans="1:17">
      <c r="A796" t="s">
        <v>1121</v>
      </c>
      <c r="B796" t="s">
        <v>443</v>
      </c>
      <c r="C796" t="s">
        <v>19</v>
      </c>
      <c r="D796" t="s">
        <v>25</v>
      </c>
      <c r="E796" s="8" t="s">
        <v>47</v>
      </c>
      <c r="F796" s="8">
        <v>10.039999999999999</v>
      </c>
      <c r="G796" s="8">
        <v>8.4</v>
      </c>
      <c r="H796" s="8">
        <v>9.34</v>
      </c>
      <c r="I796" s="8">
        <v>9.6300000000000008</v>
      </c>
      <c r="J796" s="6">
        <v>0.67169999999999996</v>
      </c>
      <c r="K796" s="4">
        <v>120000</v>
      </c>
      <c r="L796" s="2">
        <v>45909</v>
      </c>
      <c r="M796" t="str">
        <f t="shared" si="48"/>
        <v>Non admis</v>
      </c>
      <c r="N796" t="str">
        <f t="shared" si="49"/>
        <v>Non eligible</v>
      </c>
      <c r="O796" t="str">
        <f t="shared" si="50"/>
        <v>A surveiller</v>
      </c>
      <c r="P796" t="str">
        <f t="shared" si="51"/>
        <v>Hors data</v>
      </c>
      <c r="Q796" t="str" cm="1">
        <f t="array" ref="Q796">_xlfn.IFS(H796&gt;=16,"Excellent",H796&gt;=14,"Très bien",H796&gt;=12,"Bien",H796&gt;=10,"Passable",H796&lt;10,"Insuffisant")</f>
        <v>Insuffisant</v>
      </c>
    </row>
    <row r="797" spans="1:17">
      <c r="A797" t="s">
        <v>1122</v>
      </c>
      <c r="B797" t="s">
        <v>430</v>
      </c>
      <c r="C797" t="s">
        <v>19</v>
      </c>
      <c r="D797" t="s">
        <v>52</v>
      </c>
      <c r="E797" s="8" t="s">
        <v>26</v>
      </c>
      <c r="F797" s="8">
        <v>15.34</v>
      </c>
      <c r="G797" s="8">
        <v>11.6</v>
      </c>
      <c r="H797" s="8">
        <v>9.41</v>
      </c>
      <c r="I797" s="8">
        <v>9.09</v>
      </c>
      <c r="J797" s="6">
        <v>0.92059999999999997</v>
      </c>
      <c r="K797" s="4">
        <v>80000</v>
      </c>
      <c r="L797" s="2">
        <v>46188</v>
      </c>
      <c r="M797" t="str">
        <f t="shared" si="48"/>
        <v>Non admis</v>
      </c>
      <c r="N797" t="str">
        <f t="shared" si="49"/>
        <v>Non eligible</v>
      </c>
      <c r="O797" t="str">
        <f t="shared" si="50"/>
        <v>A surveiller</v>
      </c>
      <c r="P797" t="str">
        <f t="shared" si="51"/>
        <v>Hors data</v>
      </c>
      <c r="Q797" t="str" cm="1">
        <f t="array" ref="Q797">_xlfn.IFS(H797&gt;=16,"Excellent",H797&gt;=14,"Très bien",H797&gt;=12,"Bien",H797&gt;=10,"Passable",H797&lt;10,"Insuffisant")</f>
        <v>Insuffisant</v>
      </c>
    </row>
    <row r="798" spans="1:17">
      <c r="A798" t="s">
        <v>1123</v>
      </c>
      <c r="B798" t="s">
        <v>403</v>
      </c>
      <c r="C798" t="s">
        <v>24</v>
      </c>
      <c r="D798" t="s">
        <v>25</v>
      </c>
      <c r="E798" s="8" t="s">
        <v>21</v>
      </c>
      <c r="F798" s="8">
        <v>12.45</v>
      </c>
      <c r="G798" s="8">
        <v>10.92</v>
      </c>
      <c r="H798" s="8">
        <v>9.7799999999999994</v>
      </c>
      <c r="I798" s="8">
        <v>13.31</v>
      </c>
      <c r="J798" s="6">
        <v>0.96179999999999999</v>
      </c>
      <c r="K798" s="4">
        <v>75000</v>
      </c>
      <c r="L798" s="2">
        <v>45913</v>
      </c>
      <c r="M798" t="str">
        <f t="shared" si="48"/>
        <v>Non admis</v>
      </c>
      <c r="N798" t="str">
        <f t="shared" si="49"/>
        <v>Non eligible</v>
      </c>
      <c r="O798" t="str">
        <f t="shared" si="50"/>
        <v>A surveiller</v>
      </c>
      <c r="P798" t="str">
        <f t="shared" si="51"/>
        <v>Data</v>
      </c>
      <c r="Q798" t="str" cm="1">
        <f t="array" ref="Q798">_xlfn.IFS(H798&gt;=16,"Excellent",H798&gt;=14,"Très bien",H798&gt;=12,"Bien",H798&gt;=10,"Passable",H798&lt;10,"Insuffisant")</f>
        <v>Insuffisant</v>
      </c>
    </row>
    <row r="799" spans="1:17">
      <c r="A799" t="s">
        <v>1124</v>
      </c>
      <c r="B799" t="s">
        <v>32</v>
      </c>
      <c r="C799" t="s">
        <v>19</v>
      </c>
      <c r="D799" t="s">
        <v>33</v>
      </c>
      <c r="E799" s="8" t="s">
        <v>47</v>
      </c>
      <c r="F799" s="8">
        <v>9.77</v>
      </c>
      <c r="G799" s="8">
        <v>9.94</v>
      </c>
      <c r="H799" s="8">
        <v>11.3</v>
      </c>
      <c r="I799" s="8">
        <v>12.92</v>
      </c>
      <c r="J799" s="6">
        <v>0.80249999999999999</v>
      </c>
      <c r="K799" s="4">
        <v>110000</v>
      </c>
      <c r="L799" s="2">
        <v>46013</v>
      </c>
      <c r="M799" t="str">
        <f t="shared" si="48"/>
        <v>Admis</v>
      </c>
      <c r="N799" t="str">
        <f t="shared" si="49"/>
        <v>Non eligible</v>
      </c>
      <c r="O799" t="str">
        <f t="shared" si="50"/>
        <v>A surveiller</v>
      </c>
      <c r="P799" t="str">
        <f t="shared" si="51"/>
        <v>Hors data</v>
      </c>
      <c r="Q799" t="str" cm="1">
        <f t="array" ref="Q799">_xlfn.IFS(H799&gt;=16,"Excellent",H799&gt;=14,"Très bien",H799&gt;=12,"Bien",H799&gt;=10,"Passable",H799&lt;10,"Insuffisant")</f>
        <v>Passable</v>
      </c>
    </row>
    <row r="800" spans="1:17">
      <c r="A800" t="s">
        <v>1125</v>
      </c>
      <c r="B800" t="s">
        <v>864</v>
      </c>
      <c r="C800" t="s">
        <v>19</v>
      </c>
      <c r="D800" t="s">
        <v>40</v>
      </c>
      <c r="E800" s="8" t="s">
        <v>21</v>
      </c>
      <c r="F800" s="8">
        <v>13.73</v>
      </c>
      <c r="G800" s="8">
        <v>15.78</v>
      </c>
      <c r="H800" s="8">
        <v>9.09</v>
      </c>
      <c r="I800" s="8">
        <v>12.76</v>
      </c>
      <c r="J800" s="6">
        <v>0.74519999999999997</v>
      </c>
      <c r="K800" s="4">
        <v>130000</v>
      </c>
      <c r="L800" s="2">
        <v>46172</v>
      </c>
      <c r="M800" t="str">
        <f t="shared" si="48"/>
        <v>Non admis</v>
      </c>
      <c r="N800" t="str">
        <f t="shared" si="49"/>
        <v>Non eligible</v>
      </c>
      <c r="O800" t="str">
        <f t="shared" si="50"/>
        <v>A surveiller</v>
      </c>
      <c r="P800" t="str">
        <f t="shared" si="51"/>
        <v>Data</v>
      </c>
      <c r="Q800" t="str" cm="1">
        <f t="array" ref="Q800">_xlfn.IFS(H800&gt;=16,"Excellent",H800&gt;=14,"Très bien",H800&gt;=12,"Bien",H800&gt;=10,"Passable",H800&lt;10,"Insuffisant")</f>
        <v>Insuffisant</v>
      </c>
    </row>
    <row r="801" spans="1:17">
      <c r="A801" t="s">
        <v>1126</v>
      </c>
      <c r="B801" t="s">
        <v>46</v>
      </c>
      <c r="C801" t="s">
        <v>19</v>
      </c>
      <c r="D801" t="s">
        <v>52</v>
      </c>
      <c r="E801" s="8" t="s">
        <v>34</v>
      </c>
      <c r="F801" s="8">
        <v>10.43</v>
      </c>
      <c r="G801" s="8">
        <v>11.53</v>
      </c>
      <c r="H801" s="8">
        <v>10.19</v>
      </c>
      <c r="I801" s="8">
        <v>6.92</v>
      </c>
      <c r="J801" s="6">
        <v>0.90649999999999997</v>
      </c>
      <c r="K801" s="4">
        <v>130000</v>
      </c>
      <c r="L801" s="2">
        <v>46218</v>
      </c>
      <c r="M801" t="str">
        <f t="shared" si="48"/>
        <v>Admis</v>
      </c>
      <c r="N801" t="str">
        <f t="shared" si="49"/>
        <v>Non eligible</v>
      </c>
      <c r="O801" t="str">
        <f t="shared" si="50"/>
        <v>RAS</v>
      </c>
      <c r="P801" t="str">
        <f t="shared" si="51"/>
        <v>Hors data</v>
      </c>
      <c r="Q801" t="str" cm="1">
        <f t="array" ref="Q801">_xlfn.IFS(H801&gt;=16,"Excellent",H801&gt;=14,"Très bien",H801&gt;=12,"Bien",H801&gt;=10,"Passable",H801&lt;10,"Insuffisant")</f>
        <v>Passable</v>
      </c>
    </row>
    <row r="802" spans="1:17">
      <c r="A802" t="s">
        <v>1127</v>
      </c>
      <c r="B802" t="s">
        <v>563</v>
      </c>
      <c r="C802" t="s">
        <v>19</v>
      </c>
      <c r="D802" t="s">
        <v>33</v>
      </c>
      <c r="E802" s="8" t="s">
        <v>26</v>
      </c>
      <c r="F802" s="8">
        <v>9.82</v>
      </c>
      <c r="G802" s="8">
        <v>16.59</v>
      </c>
      <c r="H802" s="8">
        <v>19.39</v>
      </c>
      <c r="I802" s="8">
        <v>12.88</v>
      </c>
      <c r="J802" s="6">
        <v>0.9163</v>
      </c>
      <c r="K802" s="4">
        <v>60000</v>
      </c>
      <c r="L802" s="2">
        <v>45885</v>
      </c>
      <c r="M802" t="str">
        <f t="shared" si="48"/>
        <v>Admis</v>
      </c>
      <c r="N802" t="str">
        <f t="shared" si="49"/>
        <v>Non eligible</v>
      </c>
      <c r="O802" t="str">
        <f t="shared" si="50"/>
        <v>A surveiller</v>
      </c>
      <c r="P802" t="str">
        <f t="shared" si="51"/>
        <v>Hors data</v>
      </c>
      <c r="Q802" t="str" cm="1">
        <f t="array" ref="Q802">_xlfn.IFS(H802&gt;=16,"Excellent",H802&gt;=14,"Très bien",H802&gt;=12,"Bien",H802&gt;=10,"Passable",H802&lt;10,"Insuffisant")</f>
        <v>Excellent</v>
      </c>
    </row>
    <row r="803" spans="1:17">
      <c r="A803" t="s">
        <v>1128</v>
      </c>
      <c r="B803" t="s">
        <v>250</v>
      </c>
      <c r="C803" t="s">
        <v>19</v>
      </c>
      <c r="D803" t="s">
        <v>33</v>
      </c>
      <c r="E803" s="8" t="s">
        <v>26</v>
      </c>
      <c r="F803" s="8">
        <v>8.94</v>
      </c>
      <c r="G803" s="8">
        <v>13.08</v>
      </c>
      <c r="H803" s="8">
        <v>13.6</v>
      </c>
      <c r="I803" s="8">
        <v>11.21</v>
      </c>
      <c r="J803" s="6">
        <v>0.92020000000000002</v>
      </c>
      <c r="K803" s="4">
        <v>130000</v>
      </c>
      <c r="L803" s="2">
        <v>45827</v>
      </c>
      <c r="M803" t="str">
        <f t="shared" si="48"/>
        <v>Admis</v>
      </c>
      <c r="N803" t="str">
        <f t="shared" si="49"/>
        <v>Non eligible</v>
      </c>
      <c r="O803" t="str">
        <f t="shared" si="50"/>
        <v>A surveiller</v>
      </c>
      <c r="P803" t="str">
        <f t="shared" si="51"/>
        <v>Hors data</v>
      </c>
      <c r="Q803" t="str" cm="1">
        <f t="array" ref="Q803">_xlfn.IFS(H803&gt;=16,"Excellent",H803&gt;=14,"Très bien",H803&gt;=12,"Bien",H803&gt;=10,"Passable",H803&lt;10,"Insuffisant")</f>
        <v>Bien</v>
      </c>
    </row>
    <row r="804" spans="1:17">
      <c r="A804" t="s">
        <v>1129</v>
      </c>
      <c r="B804" t="s">
        <v>1130</v>
      </c>
      <c r="C804" t="s">
        <v>24</v>
      </c>
      <c r="D804" t="s">
        <v>33</v>
      </c>
      <c r="E804" s="8" t="s">
        <v>34</v>
      </c>
      <c r="F804" s="8">
        <v>20</v>
      </c>
      <c r="G804" s="8">
        <v>20</v>
      </c>
      <c r="H804" s="8">
        <v>20</v>
      </c>
      <c r="I804" s="8">
        <v>20</v>
      </c>
      <c r="J804" s="6">
        <v>0.87329999999999997</v>
      </c>
      <c r="K804" s="4">
        <v>110000</v>
      </c>
      <c r="L804" s="2">
        <v>45673</v>
      </c>
      <c r="M804" t="str">
        <f t="shared" si="48"/>
        <v>Admis</v>
      </c>
      <c r="N804" t="str">
        <f t="shared" si="49"/>
        <v>Eligible</v>
      </c>
      <c r="O804" t="str">
        <f t="shared" si="50"/>
        <v>RAS</v>
      </c>
      <c r="P804" t="str">
        <f t="shared" si="51"/>
        <v>Hors data</v>
      </c>
      <c r="Q804" t="str" cm="1">
        <f t="array" ref="Q804">_xlfn.IFS(H804&gt;=16,"Excellent",H804&gt;=14,"Très bien",H804&gt;=12,"Bien",H804&gt;=10,"Passable",H804&lt;10,"Insuffisant")</f>
        <v>Excellent</v>
      </c>
    </row>
    <row r="805" spans="1:17">
      <c r="A805" t="s">
        <v>1131</v>
      </c>
      <c r="B805" t="s">
        <v>802</v>
      </c>
      <c r="C805" t="s">
        <v>24</v>
      </c>
      <c r="D805" t="s">
        <v>52</v>
      </c>
      <c r="E805" s="8" t="s">
        <v>34</v>
      </c>
      <c r="F805" s="8">
        <v>11.45</v>
      </c>
      <c r="G805" s="8">
        <v>19.63</v>
      </c>
      <c r="H805" s="8">
        <v>9.36</v>
      </c>
      <c r="I805" s="8">
        <v>7.59</v>
      </c>
      <c r="J805" s="6">
        <v>0.94850000000000001</v>
      </c>
      <c r="K805" s="4">
        <v>60000</v>
      </c>
      <c r="L805" s="2">
        <v>45912</v>
      </c>
      <c r="M805" t="str">
        <f t="shared" si="48"/>
        <v>Non admis</v>
      </c>
      <c r="N805" t="str">
        <f t="shared" si="49"/>
        <v>Non eligible</v>
      </c>
      <c r="O805" t="str">
        <f t="shared" si="50"/>
        <v>A surveiller</v>
      </c>
      <c r="P805" t="str">
        <f t="shared" si="51"/>
        <v>Hors data</v>
      </c>
      <c r="Q805" t="str" cm="1">
        <f t="array" ref="Q805">_xlfn.IFS(H805&gt;=16,"Excellent",H805&gt;=14,"Très bien",H805&gt;=12,"Bien",H805&gt;=10,"Passable",H805&lt;10,"Insuffisant")</f>
        <v>Insuffisant</v>
      </c>
    </row>
    <row r="806" spans="1:17">
      <c r="A806" t="s">
        <v>1132</v>
      </c>
      <c r="B806" t="s">
        <v>242</v>
      </c>
      <c r="C806" t="s">
        <v>24</v>
      </c>
      <c r="D806" t="s">
        <v>20</v>
      </c>
      <c r="E806" s="8" t="s">
        <v>47</v>
      </c>
      <c r="F806" s="8">
        <v>14.25</v>
      </c>
      <c r="G806" s="8">
        <v>14.43</v>
      </c>
      <c r="H806" s="8">
        <v>14.91</v>
      </c>
      <c r="I806" s="8">
        <v>12.89</v>
      </c>
      <c r="J806" s="6">
        <v>0.89100000000000001</v>
      </c>
      <c r="K806" s="4">
        <v>50000</v>
      </c>
      <c r="L806" s="2">
        <v>46178</v>
      </c>
      <c r="M806" t="str">
        <f t="shared" si="48"/>
        <v>Admis</v>
      </c>
      <c r="N806" t="str">
        <f t="shared" si="49"/>
        <v>Eligible</v>
      </c>
      <c r="O806" t="str">
        <f t="shared" si="50"/>
        <v>RAS</v>
      </c>
      <c r="P806" t="str">
        <f t="shared" si="51"/>
        <v>Hors data</v>
      </c>
      <c r="Q806" t="str" cm="1">
        <f t="array" ref="Q806">_xlfn.IFS(H806&gt;=16,"Excellent",H806&gt;=14,"Très bien",H806&gt;=12,"Bien",H806&gt;=10,"Passable",H806&lt;10,"Insuffisant")</f>
        <v>Très bien</v>
      </c>
    </row>
    <row r="807" spans="1:17">
      <c r="A807" t="s">
        <v>1133</v>
      </c>
      <c r="B807" t="s">
        <v>432</v>
      </c>
      <c r="C807" t="s">
        <v>24</v>
      </c>
      <c r="D807" t="s">
        <v>37</v>
      </c>
      <c r="E807" s="8" t="s">
        <v>34</v>
      </c>
      <c r="F807" s="8">
        <v>12.36</v>
      </c>
      <c r="G807" s="8">
        <v>10.7</v>
      </c>
      <c r="H807" s="8">
        <v>4.97</v>
      </c>
      <c r="I807" s="8">
        <v>13.33</v>
      </c>
      <c r="J807" s="6">
        <v>0.84650000000000003</v>
      </c>
      <c r="K807" s="4">
        <v>70000</v>
      </c>
      <c r="L807" s="2">
        <v>45876</v>
      </c>
      <c r="M807" t="str">
        <f t="shared" si="48"/>
        <v>Non admis</v>
      </c>
      <c r="N807" t="str">
        <f t="shared" si="49"/>
        <v>Non eligible</v>
      </c>
      <c r="O807" t="str">
        <f t="shared" si="50"/>
        <v>A surveiller</v>
      </c>
      <c r="P807" t="str">
        <f t="shared" si="51"/>
        <v>Hors data</v>
      </c>
      <c r="Q807" t="str" cm="1">
        <f t="array" ref="Q807">_xlfn.IFS(H807&gt;=16,"Excellent",H807&gt;=14,"Très bien",H807&gt;=12,"Bien",H807&gt;=10,"Passable",H807&lt;10,"Insuffisant")</f>
        <v>Insuffisant</v>
      </c>
    </row>
    <row r="808" spans="1:17">
      <c r="A808" t="s">
        <v>1134</v>
      </c>
      <c r="B808" t="s">
        <v>674</v>
      </c>
      <c r="C808" t="s">
        <v>24</v>
      </c>
      <c r="D808" t="s">
        <v>33</v>
      </c>
      <c r="E808" s="8" t="s">
        <v>21</v>
      </c>
      <c r="F808" s="8">
        <v>17.57</v>
      </c>
      <c r="G808" s="8">
        <v>14.91</v>
      </c>
      <c r="H808" s="8">
        <v>20</v>
      </c>
      <c r="I808" s="8">
        <v>17.7</v>
      </c>
      <c r="J808" s="6">
        <v>0.94710000000000005</v>
      </c>
      <c r="K808" s="4">
        <v>130000</v>
      </c>
      <c r="L808" s="2">
        <v>45779</v>
      </c>
      <c r="M808" t="str">
        <f t="shared" si="48"/>
        <v>Admis</v>
      </c>
      <c r="N808" t="str">
        <f t="shared" si="49"/>
        <v>Eligible</v>
      </c>
      <c r="O808" t="str">
        <f t="shared" si="50"/>
        <v>RAS</v>
      </c>
      <c r="P808" t="str">
        <f t="shared" si="51"/>
        <v>Data</v>
      </c>
      <c r="Q808" t="str" cm="1">
        <f t="array" ref="Q808">_xlfn.IFS(H808&gt;=16,"Excellent",H808&gt;=14,"Très bien",H808&gt;=12,"Bien",H808&gt;=10,"Passable",H808&lt;10,"Insuffisant")</f>
        <v>Excellent</v>
      </c>
    </row>
    <row r="809" spans="1:17">
      <c r="A809" t="s">
        <v>1135</v>
      </c>
      <c r="B809" t="s">
        <v>64</v>
      </c>
      <c r="C809" t="s">
        <v>19</v>
      </c>
      <c r="D809" t="s">
        <v>37</v>
      </c>
      <c r="E809" s="8" t="s">
        <v>34</v>
      </c>
      <c r="F809" s="8">
        <v>14.31</v>
      </c>
      <c r="G809" s="8">
        <v>15.84</v>
      </c>
      <c r="H809" s="8">
        <v>16.36</v>
      </c>
      <c r="I809" s="8">
        <v>19.809999999999999</v>
      </c>
      <c r="J809" s="6">
        <v>0.92200000000000004</v>
      </c>
      <c r="K809" s="4">
        <v>110000</v>
      </c>
      <c r="L809" s="2">
        <v>45611</v>
      </c>
      <c r="M809" t="str">
        <f t="shared" si="48"/>
        <v>Admis</v>
      </c>
      <c r="N809" t="str">
        <f t="shared" si="49"/>
        <v>Eligible</v>
      </c>
      <c r="O809" t="str">
        <f t="shared" si="50"/>
        <v>RAS</v>
      </c>
      <c r="P809" t="str">
        <f t="shared" si="51"/>
        <v>Hors data</v>
      </c>
      <c r="Q809" t="str" cm="1">
        <f t="array" ref="Q809">_xlfn.IFS(H809&gt;=16,"Excellent",H809&gt;=14,"Très bien",H809&gt;=12,"Bien",H809&gt;=10,"Passable",H809&lt;10,"Insuffisant")</f>
        <v>Excellent</v>
      </c>
    </row>
    <row r="810" spans="1:17">
      <c r="A810" t="s">
        <v>1136</v>
      </c>
      <c r="B810" t="s">
        <v>473</v>
      </c>
      <c r="C810" t="s">
        <v>19</v>
      </c>
      <c r="D810" t="s">
        <v>20</v>
      </c>
      <c r="E810" s="8" t="s">
        <v>34</v>
      </c>
      <c r="F810" s="8">
        <v>15.05</v>
      </c>
      <c r="G810" s="8">
        <v>17.260000000000002</v>
      </c>
      <c r="H810" s="8">
        <v>18.559999999999999</v>
      </c>
      <c r="I810" s="8">
        <v>15.66</v>
      </c>
      <c r="J810" s="6">
        <v>0.95009999999999994</v>
      </c>
      <c r="K810" s="4">
        <v>90000</v>
      </c>
      <c r="L810" s="2">
        <v>45808</v>
      </c>
      <c r="M810" t="str">
        <f t="shared" si="48"/>
        <v>Admis</v>
      </c>
      <c r="N810" t="str">
        <f t="shared" si="49"/>
        <v>Eligible</v>
      </c>
      <c r="O810" t="str">
        <f t="shared" si="50"/>
        <v>RAS</v>
      </c>
      <c r="P810" t="str">
        <f t="shared" si="51"/>
        <v>Hors data</v>
      </c>
      <c r="Q810" t="str" cm="1">
        <f t="array" ref="Q810">_xlfn.IFS(H810&gt;=16,"Excellent",H810&gt;=14,"Très bien",H810&gt;=12,"Bien",H810&gt;=10,"Passable",H810&lt;10,"Insuffisant")</f>
        <v>Excellent</v>
      </c>
    </row>
    <row r="811" spans="1:17">
      <c r="A811" t="s">
        <v>1137</v>
      </c>
      <c r="B811" t="s">
        <v>36</v>
      </c>
      <c r="C811" t="s">
        <v>24</v>
      </c>
      <c r="D811" t="s">
        <v>33</v>
      </c>
      <c r="E811" s="8" t="s">
        <v>47</v>
      </c>
      <c r="F811" s="8">
        <v>9.01</v>
      </c>
      <c r="G811" s="8">
        <v>7.19</v>
      </c>
      <c r="H811" s="8">
        <v>6.13</v>
      </c>
      <c r="I811" s="8">
        <v>7.24</v>
      </c>
      <c r="J811" s="6">
        <v>0.74590000000000001</v>
      </c>
      <c r="K811" s="4">
        <v>90000</v>
      </c>
      <c r="L811" s="2">
        <v>45701</v>
      </c>
      <c r="M811" t="str">
        <f t="shared" si="48"/>
        <v>Non admis</v>
      </c>
      <c r="N811" t="str">
        <f t="shared" si="49"/>
        <v>Non eligible</v>
      </c>
      <c r="O811" t="str">
        <f t="shared" si="50"/>
        <v>A surveiller</v>
      </c>
      <c r="P811" t="str">
        <f t="shared" si="51"/>
        <v>Hors data</v>
      </c>
      <c r="Q811" t="str" cm="1">
        <f t="array" ref="Q811">_xlfn.IFS(H811&gt;=16,"Excellent",H811&gt;=14,"Très bien",H811&gt;=12,"Bien",H811&gt;=10,"Passable",H811&lt;10,"Insuffisant")</f>
        <v>Insuffisant</v>
      </c>
    </row>
    <row r="812" spans="1:17">
      <c r="A812" t="s">
        <v>1138</v>
      </c>
      <c r="B812" t="s">
        <v>387</v>
      </c>
      <c r="C812" t="s">
        <v>19</v>
      </c>
      <c r="D812" t="s">
        <v>52</v>
      </c>
      <c r="E812" s="8" t="s">
        <v>26</v>
      </c>
      <c r="F812" s="8">
        <v>13.75</v>
      </c>
      <c r="G812" s="8">
        <v>9.74</v>
      </c>
      <c r="H812" s="8">
        <v>16.309999999999999</v>
      </c>
      <c r="I812" s="8">
        <v>13.35</v>
      </c>
      <c r="J812" s="6">
        <v>0.85399999999999998</v>
      </c>
      <c r="K812" s="4">
        <v>80000</v>
      </c>
      <c r="L812" s="2">
        <v>46219</v>
      </c>
      <c r="M812" t="str">
        <f t="shared" si="48"/>
        <v>Admis</v>
      </c>
      <c r="N812" t="str">
        <f t="shared" si="49"/>
        <v>Eligible</v>
      </c>
      <c r="O812" t="str">
        <f t="shared" si="50"/>
        <v>RAS</v>
      </c>
      <c r="P812" t="str">
        <f t="shared" si="51"/>
        <v>Hors data</v>
      </c>
      <c r="Q812" t="str" cm="1">
        <f t="array" ref="Q812">_xlfn.IFS(H812&gt;=16,"Excellent",H812&gt;=14,"Très bien",H812&gt;=12,"Bien",H812&gt;=10,"Passable",H812&lt;10,"Insuffisant")</f>
        <v>Excellent</v>
      </c>
    </row>
    <row r="813" spans="1:17">
      <c r="A813" t="s">
        <v>1139</v>
      </c>
      <c r="B813" t="s">
        <v>271</v>
      </c>
      <c r="C813" t="s">
        <v>24</v>
      </c>
      <c r="D813" t="s">
        <v>25</v>
      </c>
      <c r="E813" s="8" t="s">
        <v>47</v>
      </c>
      <c r="F813" s="8">
        <v>9.7200000000000006</v>
      </c>
      <c r="G813" s="8">
        <v>10.83</v>
      </c>
      <c r="H813" s="8">
        <v>10.34</v>
      </c>
      <c r="I813" s="8">
        <v>9.98</v>
      </c>
      <c r="J813" s="6">
        <v>0.7349</v>
      </c>
      <c r="K813" s="4">
        <v>120000</v>
      </c>
      <c r="L813" s="2">
        <v>45905</v>
      </c>
      <c r="M813" t="str">
        <f t="shared" si="48"/>
        <v>Admis</v>
      </c>
      <c r="N813" t="str">
        <f t="shared" si="49"/>
        <v>Non eligible</v>
      </c>
      <c r="O813" t="str">
        <f t="shared" si="50"/>
        <v>A surveiller</v>
      </c>
      <c r="P813" t="str">
        <f t="shared" si="51"/>
        <v>Hors data</v>
      </c>
      <c r="Q813" t="str" cm="1">
        <f t="array" ref="Q813">_xlfn.IFS(H813&gt;=16,"Excellent",H813&gt;=14,"Très bien",H813&gt;=12,"Bien",H813&gt;=10,"Passable",H813&lt;10,"Insuffisant")</f>
        <v>Passable</v>
      </c>
    </row>
    <row r="814" spans="1:17">
      <c r="A814" t="s">
        <v>1140</v>
      </c>
      <c r="B814" t="s">
        <v>1105</v>
      </c>
      <c r="C814" t="s">
        <v>24</v>
      </c>
      <c r="D814" t="s">
        <v>25</v>
      </c>
      <c r="E814" s="8" t="s">
        <v>34</v>
      </c>
      <c r="F814" s="8">
        <v>20</v>
      </c>
      <c r="G814" s="8">
        <v>20</v>
      </c>
      <c r="H814" s="8">
        <v>17.07</v>
      </c>
      <c r="I814" s="8">
        <v>15.4</v>
      </c>
      <c r="J814" s="6">
        <v>0.91690000000000005</v>
      </c>
      <c r="K814" s="4">
        <v>60000</v>
      </c>
      <c r="L814" s="2">
        <v>45631</v>
      </c>
      <c r="M814" t="str">
        <f t="shared" si="48"/>
        <v>Admis</v>
      </c>
      <c r="N814" t="str">
        <f t="shared" si="49"/>
        <v>Eligible</v>
      </c>
      <c r="O814" t="str">
        <f t="shared" si="50"/>
        <v>RAS</v>
      </c>
      <c r="P814" t="str">
        <f t="shared" si="51"/>
        <v>Hors data</v>
      </c>
      <c r="Q814" t="str" cm="1">
        <f t="array" ref="Q814">_xlfn.IFS(H814&gt;=16,"Excellent",H814&gt;=14,"Très bien",H814&gt;=12,"Bien",H814&gt;=10,"Passable",H814&lt;10,"Insuffisant")</f>
        <v>Excellent</v>
      </c>
    </row>
    <row r="815" spans="1:17">
      <c r="A815" t="s">
        <v>1141</v>
      </c>
      <c r="B815" t="s">
        <v>89</v>
      </c>
      <c r="C815" t="s">
        <v>19</v>
      </c>
      <c r="D815" t="s">
        <v>52</v>
      </c>
      <c r="E815" s="8" t="s">
        <v>47</v>
      </c>
      <c r="F815" s="8">
        <v>10.84</v>
      </c>
      <c r="G815" s="8">
        <v>16.260000000000002</v>
      </c>
      <c r="H815" s="8">
        <v>12.95</v>
      </c>
      <c r="I815" s="8">
        <v>13.53</v>
      </c>
      <c r="J815" s="6">
        <v>0.88139999999999996</v>
      </c>
      <c r="K815" s="4">
        <v>75000</v>
      </c>
      <c r="L815" s="2">
        <v>45583</v>
      </c>
      <c r="M815" t="str">
        <f t="shared" si="48"/>
        <v>Admis</v>
      </c>
      <c r="N815" t="str">
        <f t="shared" si="49"/>
        <v>Non eligible</v>
      </c>
      <c r="O815" t="str">
        <f t="shared" si="50"/>
        <v>RAS</v>
      </c>
      <c r="P815" t="str">
        <f t="shared" si="51"/>
        <v>Hors data</v>
      </c>
      <c r="Q815" t="str" cm="1">
        <f t="array" ref="Q815">_xlfn.IFS(H815&gt;=16,"Excellent",H815&gt;=14,"Très bien",H815&gt;=12,"Bien",H815&gt;=10,"Passable",H815&lt;10,"Insuffisant")</f>
        <v>Bien</v>
      </c>
    </row>
    <row r="816" spans="1:17">
      <c r="A816" t="s">
        <v>1142</v>
      </c>
      <c r="B816" t="s">
        <v>78</v>
      </c>
      <c r="C816" t="s">
        <v>24</v>
      </c>
      <c r="D816" t="s">
        <v>52</v>
      </c>
      <c r="E816" s="8" t="s">
        <v>26</v>
      </c>
      <c r="F816" s="8">
        <v>12.91</v>
      </c>
      <c r="G816" s="8">
        <v>13.43</v>
      </c>
      <c r="H816" s="8">
        <v>15.28</v>
      </c>
      <c r="I816" s="8">
        <v>16.98</v>
      </c>
      <c r="J816" s="6">
        <v>0.92849999999999999</v>
      </c>
      <c r="K816" s="4">
        <v>70000</v>
      </c>
      <c r="L816" s="2">
        <v>46131</v>
      </c>
      <c r="M816" t="str">
        <f t="shared" si="48"/>
        <v>Admis</v>
      </c>
      <c r="N816" t="str">
        <f t="shared" si="49"/>
        <v>Eligible</v>
      </c>
      <c r="O816" t="str">
        <f t="shared" si="50"/>
        <v>RAS</v>
      </c>
      <c r="P816" t="str">
        <f t="shared" si="51"/>
        <v>Hors data</v>
      </c>
      <c r="Q816" t="str" cm="1">
        <f t="array" ref="Q816">_xlfn.IFS(H816&gt;=16,"Excellent",H816&gt;=14,"Très bien",H816&gt;=12,"Bien",H816&gt;=10,"Passable",H816&lt;10,"Insuffisant")</f>
        <v>Très bien</v>
      </c>
    </row>
    <row r="817" spans="1:17">
      <c r="A817" t="s">
        <v>1143</v>
      </c>
      <c r="B817" t="s">
        <v>414</v>
      </c>
      <c r="C817" t="s">
        <v>24</v>
      </c>
      <c r="D817" t="s">
        <v>40</v>
      </c>
      <c r="E817" s="8" t="s">
        <v>34</v>
      </c>
      <c r="F817" s="8">
        <v>6.67</v>
      </c>
      <c r="G817" s="8">
        <v>2.99</v>
      </c>
      <c r="H817" s="8">
        <v>8.3699999999999992</v>
      </c>
      <c r="I817" s="8">
        <v>4.43</v>
      </c>
      <c r="J817" s="6">
        <v>0.80820000000000003</v>
      </c>
      <c r="K817" s="4">
        <v>120000</v>
      </c>
      <c r="L817" s="2">
        <v>46188</v>
      </c>
      <c r="M817" t="str">
        <f t="shared" si="48"/>
        <v>Non admis</v>
      </c>
      <c r="N817" t="str">
        <f t="shared" si="49"/>
        <v>Non eligible</v>
      </c>
      <c r="O817" t="str">
        <f t="shared" si="50"/>
        <v>A surveiller</v>
      </c>
      <c r="P817" t="str">
        <f t="shared" si="51"/>
        <v>Hors data</v>
      </c>
      <c r="Q817" t="str" cm="1">
        <f t="array" ref="Q817">_xlfn.IFS(H817&gt;=16,"Excellent",H817&gt;=14,"Très bien",H817&gt;=12,"Bien",H817&gt;=10,"Passable",H817&lt;10,"Insuffisant")</f>
        <v>Insuffisant</v>
      </c>
    </row>
    <row r="818" spans="1:17">
      <c r="A818" t="s">
        <v>1144</v>
      </c>
      <c r="B818" t="s">
        <v>574</v>
      </c>
      <c r="C818" t="s">
        <v>19</v>
      </c>
      <c r="D818" t="s">
        <v>37</v>
      </c>
      <c r="E818" s="8" t="s">
        <v>34</v>
      </c>
      <c r="F818" s="8">
        <v>9.0299999999999994</v>
      </c>
      <c r="G818" s="8">
        <v>12.14</v>
      </c>
      <c r="H818" s="8">
        <v>14.87</v>
      </c>
      <c r="I818" s="8">
        <v>13.02</v>
      </c>
      <c r="J818" s="6">
        <v>0.82210000000000005</v>
      </c>
      <c r="K818" s="4">
        <v>85000</v>
      </c>
      <c r="L818" s="2">
        <v>46070</v>
      </c>
      <c r="M818" t="str">
        <f t="shared" si="48"/>
        <v>Admis</v>
      </c>
      <c r="N818" t="str">
        <f t="shared" si="49"/>
        <v>Non eligible</v>
      </c>
      <c r="O818" t="str">
        <f t="shared" si="50"/>
        <v>A surveiller</v>
      </c>
      <c r="P818" t="str">
        <f t="shared" si="51"/>
        <v>Hors data</v>
      </c>
      <c r="Q818" t="str" cm="1">
        <f t="array" ref="Q818">_xlfn.IFS(H818&gt;=16,"Excellent",H818&gt;=14,"Très bien",H818&gt;=12,"Bien",H818&gt;=10,"Passable",H818&lt;10,"Insuffisant")</f>
        <v>Très bien</v>
      </c>
    </row>
    <row r="819" spans="1:17">
      <c r="A819" t="s">
        <v>1145</v>
      </c>
      <c r="B819" t="s">
        <v>1146</v>
      </c>
      <c r="C819" t="s">
        <v>19</v>
      </c>
      <c r="D819" t="s">
        <v>40</v>
      </c>
      <c r="E819" s="8" t="s">
        <v>21</v>
      </c>
      <c r="F819" s="8">
        <v>17.41</v>
      </c>
      <c r="G819" s="8">
        <v>17.28</v>
      </c>
      <c r="H819" s="8">
        <v>17.84</v>
      </c>
      <c r="I819" s="8">
        <v>14.37</v>
      </c>
      <c r="J819" s="6">
        <v>0.86709999999999998</v>
      </c>
      <c r="K819" s="4">
        <v>100000</v>
      </c>
      <c r="L819" s="2">
        <v>45622</v>
      </c>
      <c r="M819" t="str">
        <f t="shared" si="48"/>
        <v>Admis</v>
      </c>
      <c r="N819" t="str">
        <f t="shared" si="49"/>
        <v>Eligible</v>
      </c>
      <c r="O819" t="str">
        <f t="shared" si="50"/>
        <v>RAS</v>
      </c>
      <c r="P819" t="str">
        <f t="shared" si="51"/>
        <v>Data</v>
      </c>
      <c r="Q819" t="str" cm="1">
        <f t="array" ref="Q819">_xlfn.IFS(H819&gt;=16,"Excellent",H819&gt;=14,"Très bien",H819&gt;=12,"Bien",H819&gt;=10,"Passable",H819&lt;10,"Insuffisant")</f>
        <v>Excellent</v>
      </c>
    </row>
    <row r="820" spans="1:17">
      <c r="A820" t="s">
        <v>1147</v>
      </c>
      <c r="B820" t="s">
        <v>719</v>
      </c>
      <c r="C820" t="s">
        <v>24</v>
      </c>
      <c r="D820" t="s">
        <v>20</v>
      </c>
      <c r="E820" s="8" t="s">
        <v>26</v>
      </c>
      <c r="F820" s="8">
        <v>18.690000000000001</v>
      </c>
      <c r="G820" s="8">
        <v>13.38</v>
      </c>
      <c r="H820" s="8">
        <v>15.79</v>
      </c>
      <c r="I820" s="8">
        <v>16.739999999999998</v>
      </c>
      <c r="J820" s="6">
        <v>0.95279999999999998</v>
      </c>
      <c r="K820" s="4">
        <v>130000</v>
      </c>
      <c r="L820" s="2">
        <v>45604</v>
      </c>
      <c r="M820" t="str">
        <f t="shared" si="48"/>
        <v>Admis</v>
      </c>
      <c r="N820" t="str">
        <f t="shared" si="49"/>
        <v>Eligible</v>
      </c>
      <c r="O820" t="str">
        <f t="shared" si="50"/>
        <v>RAS</v>
      </c>
      <c r="P820" t="str">
        <f t="shared" si="51"/>
        <v>Hors data</v>
      </c>
      <c r="Q820" t="str" cm="1">
        <f t="array" ref="Q820">_xlfn.IFS(H820&gt;=16,"Excellent",H820&gt;=14,"Très bien",H820&gt;=12,"Bien",H820&gt;=10,"Passable",H820&lt;10,"Insuffisant")</f>
        <v>Très bien</v>
      </c>
    </row>
    <row r="821" spans="1:17">
      <c r="A821" t="s">
        <v>1148</v>
      </c>
      <c r="B821" t="s">
        <v>49</v>
      </c>
      <c r="C821" t="s">
        <v>24</v>
      </c>
      <c r="D821" t="s">
        <v>20</v>
      </c>
      <c r="E821" s="8" t="s">
        <v>26</v>
      </c>
      <c r="F821" s="8">
        <v>16.5</v>
      </c>
      <c r="G821" s="8">
        <v>19.5</v>
      </c>
      <c r="H821" s="8">
        <v>14.6</v>
      </c>
      <c r="I821" s="8">
        <v>17.739999999999998</v>
      </c>
      <c r="J821" s="6">
        <v>0.95979999999999999</v>
      </c>
      <c r="K821" s="4">
        <v>70000</v>
      </c>
      <c r="L821" s="2">
        <v>45674</v>
      </c>
      <c r="M821" t="str">
        <f t="shared" si="48"/>
        <v>Admis</v>
      </c>
      <c r="N821" t="str">
        <f t="shared" si="49"/>
        <v>Eligible</v>
      </c>
      <c r="O821" t="str">
        <f t="shared" si="50"/>
        <v>RAS</v>
      </c>
      <c r="P821" t="str">
        <f t="shared" si="51"/>
        <v>Hors data</v>
      </c>
      <c r="Q821" t="str" cm="1">
        <f t="array" ref="Q821">_xlfn.IFS(H821&gt;=16,"Excellent",H821&gt;=14,"Très bien",H821&gt;=12,"Bien",H821&gt;=10,"Passable",H821&lt;10,"Insuffisant")</f>
        <v>Très bien</v>
      </c>
    </row>
    <row r="822" spans="1:17">
      <c r="A822" t="s">
        <v>1149</v>
      </c>
      <c r="B822" t="s">
        <v>1097</v>
      </c>
      <c r="C822" t="s">
        <v>19</v>
      </c>
      <c r="D822" t="s">
        <v>37</v>
      </c>
      <c r="E822" s="8" t="s">
        <v>21</v>
      </c>
      <c r="F822" s="8">
        <v>8.4499999999999993</v>
      </c>
      <c r="G822" s="8">
        <v>11.13</v>
      </c>
      <c r="H822" s="8">
        <v>6.23</v>
      </c>
      <c r="I822" s="8">
        <v>7.63</v>
      </c>
      <c r="J822" s="6">
        <v>0.84289999999999998</v>
      </c>
      <c r="K822" s="4">
        <v>130000</v>
      </c>
      <c r="L822" s="2">
        <v>46061</v>
      </c>
      <c r="M822" t="str">
        <f t="shared" si="48"/>
        <v>Non admis</v>
      </c>
      <c r="N822" t="str">
        <f t="shared" si="49"/>
        <v>Non eligible</v>
      </c>
      <c r="O822" t="str">
        <f t="shared" si="50"/>
        <v>A surveiller</v>
      </c>
      <c r="P822" t="str">
        <f t="shared" si="51"/>
        <v>Data</v>
      </c>
      <c r="Q822" t="str" cm="1">
        <f t="array" ref="Q822">_xlfn.IFS(H822&gt;=16,"Excellent",H822&gt;=14,"Très bien",H822&gt;=12,"Bien",H822&gt;=10,"Passable",H822&lt;10,"Insuffisant")</f>
        <v>Insuffisant</v>
      </c>
    </row>
    <row r="823" spans="1:17">
      <c r="A823" t="s">
        <v>1150</v>
      </c>
      <c r="B823" t="s">
        <v>650</v>
      </c>
      <c r="C823" t="s">
        <v>24</v>
      </c>
      <c r="D823" t="s">
        <v>33</v>
      </c>
      <c r="E823" s="8" t="s">
        <v>34</v>
      </c>
      <c r="F823" s="8">
        <v>14.1</v>
      </c>
      <c r="G823" s="8">
        <v>17.239999999999998</v>
      </c>
      <c r="H823" s="8">
        <v>17.79</v>
      </c>
      <c r="I823" s="8">
        <v>15.49</v>
      </c>
      <c r="J823" s="6">
        <v>0.96679999999999999</v>
      </c>
      <c r="K823" s="4">
        <v>60000</v>
      </c>
      <c r="L823" s="2">
        <v>46071</v>
      </c>
      <c r="M823" t="str">
        <f t="shared" si="48"/>
        <v>Admis</v>
      </c>
      <c r="N823" t="str">
        <f t="shared" si="49"/>
        <v>Eligible</v>
      </c>
      <c r="O823" t="str">
        <f t="shared" si="50"/>
        <v>RAS</v>
      </c>
      <c r="P823" t="str">
        <f t="shared" si="51"/>
        <v>Hors data</v>
      </c>
      <c r="Q823" t="str" cm="1">
        <f t="array" ref="Q823">_xlfn.IFS(H823&gt;=16,"Excellent",H823&gt;=14,"Très bien",H823&gt;=12,"Bien",H823&gt;=10,"Passable",H823&lt;10,"Insuffisant")</f>
        <v>Excellent</v>
      </c>
    </row>
    <row r="824" spans="1:17">
      <c r="A824" t="s">
        <v>1151</v>
      </c>
      <c r="B824" t="s">
        <v>287</v>
      </c>
      <c r="C824" t="s">
        <v>19</v>
      </c>
      <c r="D824" t="s">
        <v>52</v>
      </c>
      <c r="E824" s="8" t="s">
        <v>34</v>
      </c>
      <c r="F824" s="8">
        <v>16.11</v>
      </c>
      <c r="G824" s="8">
        <v>18.03</v>
      </c>
      <c r="H824" s="8">
        <v>14.83</v>
      </c>
      <c r="I824" s="8">
        <v>11.74</v>
      </c>
      <c r="J824" s="6">
        <v>0.95730000000000004</v>
      </c>
      <c r="K824" s="4">
        <v>110000</v>
      </c>
      <c r="L824" s="2">
        <v>46122</v>
      </c>
      <c r="M824" t="str">
        <f t="shared" si="48"/>
        <v>Admis</v>
      </c>
      <c r="N824" t="str">
        <f t="shared" si="49"/>
        <v>Eligible</v>
      </c>
      <c r="O824" t="str">
        <f t="shared" si="50"/>
        <v>RAS</v>
      </c>
      <c r="P824" t="str">
        <f t="shared" si="51"/>
        <v>Hors data</v>
      </c>
      <c r="Q824" t="str" cm="1">
        <f t="array" ref="Q824">_xlfn.IFS(H824&gt;=16,"Excellent",H824&gt;=14,"Très bien",H824&gt;=12,"Bien",H824&gt;=10,"Passable",H824&lt;10,"Insuffisant")</f>
        <v>Très bien</v>
      </c>
    </row>
    <row r="825" spans="1:17">
      <c r="A825" t="s">
        <v>1152</v>
      </c>
      <c r="B825" t="s">
        <v>76</v>
      </c>
      <c r="C825" t="s">
        <v>24</v>
      </c>
      <c r="D825" t="s">
        <v>20</v>
      </c>
      <c r="E825" s="8" t="s">
        <v>26</v>
      </c>
      <c r="F825" s="8">
        <v>8.68</v>
      </c>
      <c r="G825" s="8">
        <v>10.69</v>
      </c>
      <c r="H825" s="8">
        <v>12.31</v>
      </c>
      <c r="I825" s="8">
        <v>9.7200000000000006</v>
      </c>
      <c r="J825" s="6">
        <v>0.94520000000000004</v>
      </c>
      <c r="K825" s="4">
        <v>100000</v>
      </c>
      <c r="L825" s="2">
        <v>45603</v>
      </c>
      <c r="M825" t="str">
        <f t="shared" si="48"/>
        <v>Admis</v>
      </c>
      <c r="N825" t="str">
        <f t="shared" si="49"/>
        <v>Non eligible</v>
      </c>
      <c r="O825" t="str">
        <f t="shared" si="50"/>
        <v>A surveiller</v>
      </c>
      <c r="P825" t="str">
        <f t="shared" si="51"/>
        <v>Hors data</v>
      </c>
      <c r="Q825" t="str" cm="1">
        <f t="array" ref="Q825">_xlfn.IFS(H825&gt;=16,"Excellent",H825&gt;=14,"Très bien",H825&gt;=12,"Bien",H825&gt;=10,"Passable",H825&lt;10,"Insuffisant")</f>
        <v>Bien</v>
      </c>
    </row>
    <row r="826" spans="1:17">
      <c r="A826" t="s">
        <v>1153</v>
      </c>
      <c r="B826" t="s">
        <v>212</v>
      </c>
      <c r="C826" t="s">
        <v>24</v>
      </c>
      <c r="D826" t="s">
        <v>20</v>
      </c>
      <c r="E826" s="8" t="s">
        <v>21</v>
      </c>
      <c r="F826" s="8">
        <v>13.06</v>
      </c>
      <c r="G826" s="8">
        <v>15.02</v>
      </c>
      <c r="H826" s="8">
        <v>14.83</v>
      </c>
      <c r="I826" s="8">
        <v>7.95</v>
      </c>
      <c r="J826" s="6">
        <v>0.88039999999999996</v>
      </c>
      <c r="K826" s="4">
        <v>120000</v>
      </c>
      <c r="L826" s="2">
        <v>45643</v>
      </c>
      <c r="M826" t="str">
        <f t="shared" si="48"/>
        <v>Admis</v>
      </c>
      <c r="N826" t="str">
        <f t="shared" si="49"/>
        <v>Eligible</v>
      </c>
      <c r="O826" t="str">
        <f t="shared" si="50"/>
        <v>RAS</v>
      </c>
      <c r="P826" t="str">
        <f t="shared" si="51"/>
        <v>Data</v>
      </c>
      <c r="Q826" t="str" cm="1">
        <f t="array" ref="Q826">_xlfn.IFS(H826&gt;=16,"Excellent",H826&gt;=14,"Très bien",H826&gt;=12,"Bien",H826&gt;=10,"Passable",H826&lt;10,"Insuffisant")</f>
        <v>Très bien</v>
      </c>
    </row>
    <row r="827" spans="1:17">
      <c r="A827" t="s">
        <v>1154</v>
      </c>
      <c r="B827" t="s">
        <v>134</v>
      </c>
      <c r="C827" t="s">
        <v>19</v>
      </c>
      <c r="D827" t="s">
        <v>52</v>
      </c>
      <c r="E827" s="8" t="s">
        <v>21</v>
      </c>
      <c r="F827" s="8">
        <v>14.82</v>
      </c>
      <c r="G827" s="8">
        <v>16.579999999999998</v>
      </c>
      <c r="H827" s="8">
        <v>15.19</v>
      </c>
      <c r="I827" s="8">
        <v>13.67</v>
      </c>
      <c r="J827" s="6">
        <v>0.93130000000000002</v>
      </c>
      <c r="K827" s="4">
        <v>60000</v>
      </c>
      <c r="L827" s="2">
        <v>46166</v>
      </c>
      <c r="M827" t="str">
        <f t="shared" si="48"/>
        <v>Admis</v>
      </c>
      <c r="N827" t="str">
        <f t="shared" si="49"/>
        <v>Eligible</v>
      </c>
      <c r="O827" t="str">
        <f t="shared" si="50"/>
        <v>RAS</v>
      </c>
      <c r="P827" t="str">
        <f t="shared" si="51"/>
        <v>Data</v>
      </c>
      <c r="Q827" t="str" cm="1">
        <f t="array" ref="Q827">_xlfn.IFS(H827&gt;=16,"Excellent",H827&gt;=14,"Très bien",H827&gt;=12,"Bien",H827&gt;=10,"Passable",H827&lt;10,"Insuffisant")</f>
        <v>Très bien</v>
      </c>
    </row>
    <row r="828" spans="1:17">
      <c r="A828" t="s">
        <v>1155</v>
      </c>
      <c r="B828" t="s">
        <v>411</v>
      </c>
      <c r="C828" t="s">
        <v>24</v>
      </c>
      <c r="D828" t="s">
        <v>20</v>
      </c>
      <c r="E828" s="8" t="s">
        <v>34</v>
      </c>
      <c r="F828" s="8">
        <v>14.31</v>
      </c>
      <c r="G828" s="8">
        <v>9.06</v>
      </c>
      <c r="H828" s="8">
        <v>12.18</v>
      </c>
      <c r="I828" s="8">
        <v>14.44</v>
      </c>
      <c r="J828" s="6">
        <v>0.73350000000000004</v>
      </c>
      <c r="K828" s="4">
        <v>130000</v>
      </c>
      <c r="L828" s="2">
        <v>46186</v>
      </c>
      <c r="M828" t="str">
        <f t="shared" si="48"/>
        <v>Admis</v>
      </c>
      <c r="N828" t="str">
        <f t="shared" si="49"/>
        <v>Non eligible</v>
      </c>
      <c r="O828" t="str">
        <f t="shared" si="50"/>
        <v>RAS</v>
      </c>
      <c r="P828" t="str">
        <f t="shared" si="51"/>
        <v>Hors data</v>
      </c>
      <c r="Q828" t="str" cm="1">
        <f t="array" ref="Q828">_xlfn.IFS(H828&gt;=16,"Excellent",H828&gt;=14,"Très bien",H828&gt;=12,"Bien",H828&gt;=10,"Passable",H828&lt;10,"Insuffisant")</f>
        <v>Bien</v>
      </c>
    </row>
    <row r="829" spans="1:17">
      <c r="A829" t="s">
        <v>1156</v>
      </c>
      <c r="B829" t="s">
        <v>403</v>
      </c>
      <c r="C829" t="s">
        <v>24</v>
      </c>
      <c r="D829" t="s">
        <v>33</v>
      </c>
      <c r="E829" s="8" t="s">
        <v>47</v>
      </c>
      <c r="F829" s="8">
        <v>5.61</v>
      </c>
      <c r="G829" s="8">
        <v>5.41</v>
      </c>
      <c r="H829" s="8">
        <v>9.9700000000000006</v>
      </c>
      <c r="I829" s="8">
        <v>9.58</v>
      </c>
      <c r="J829" s="6">
        <v>0.97170000000000001</v>
      </c>
      <c r="K829" s="4">
        <v>110000</v>
      </c>
      <c r="L829" s="2">
        <v>46043</v>
      </c>
      <c r="M829" t="str">
        <f t="shared" si="48"/>
        <v>Non admis</v>
      </c>
      <c r="N829" t="str">
        <f t="shared" si="49"/>
        <v>Non eligible</v>
      </c>
      <c r="O829" t="str">
        <f t="shared" si="50"/>
        <v>A surveiller</v>
      </c>
      <c r="P829" t="str">
        <f t="shared" si="51"/>
        <v>Hors data</v>
      </c>
      <c r="Q829" t="str" cm="1">
        <f t="array" ref="Q829">_xlfn.IFS(H829&gt;=16,"Excellent",H829&gt;=14,"Très bien",H829&gt;=12,"Bien",H829&gt;=10,"Passable",H829&lt;10,"Insuffisant")</f>
        <v>Insuffisant</v>
      </c>
    </row>
    <row r="830" spans="1:17">
      <c r="A830" t="s">
        <v>1157</v>
      </c>
      <c r="B830" t="s">
        <v>696</v>
      </c>
      <c r="C830" t="s">
        <v>24</v>
      </c>
      <c r="D830" t="s">
        <v>25</v>
      </c>
      <c r="E830" s="8" t="s">
        <v>21</v>
      </c>
      <c r="F830" s="8">
        <v>10.28</v>
      </c>
      <c r="G830" s="8">
        <v>11.37</v>
      </c>
      <c r="H830" s="8">
        <v>12.75</v>
      </c>
      <c r="I830" s="8">
        <v>9.6300000000000008</v>
      </c>
      <c r="J830" s="6">
        <v>0.81640000000000001</v>
      </c>
      <c r="K830" s="4">
        <v>60000</v>
      </c>
      <c r="L830" s="2">
        <v>45610</v>
      </c>
      <c r="M830" t="str">
        <f t="shared" si="48"/>
        <v>Admis</v>
      </c>
      <c r="N830" t="str">
        <f t="shared" si="49"/>
        <v>Non eligible</v>
      </c>
      <c r="O830" t="str">
        <f t="shared" si="50"/>
        <v>RAS</v>
      </c>
      <c r="P830" t="str">
        <f t="shared" si="51"/>
        <v>Data</v>
      </c>
      <c r="Q830" t="str" cm="1">
        <f t="array" ref="Q830">_xlfn.IFS(H830&gt;=16,"Excellent",H830&gt;=14,"Très bien",H830&gt;=12,"Bien",H830&gt;=10,"Passable",H830&lt;10,"Insuffisant")</f>
        <v>Bien</v>
      </c>
    </row>
    <row r="831" spans="1:17">
      <c r="A831" t="s">
        <v>1158</v>
      </c>
      <c r="B831" t="s">
        <v>185</v>
      </c>
      <c r="C831" t="s">
        <v>19</v>
      </c>
      <c r="D831" t="s">
        <v>52</v>
      </c>
      <c r="E831" s="8" t="s">
        <v>47</v>
      </c>
      <c r="F831" s="8">
        <v>8.74</v>
      </c>
      <c r="G831" s="8">
        <v>12.7</v>
      </c>
      <c r="H831" s="8">
        <v>11.97</v>
      </c>
      <c r="I831" s="8">
        <v>9.91</v>
      </c>
      <c r="J831" s="6">
        <v>0.98939999999999995</v>
      </c>
      <c r="K831" s="4">
        <v>90000</v>
      </c>
      <c r="L831" s="2">
        <v>45584</v>
      </c>
      <c r="M831" t="str">
        <f t="shared" si="48"/>
        <v>Admis</v>
      </c>
      <c r="N831" t="str">
        <f t="shared" si="49"/>
        <v>Non eligible</v>
      </c>
      <c r="O831" t="str">
        <f t="shared" si="50"/>
        <v>A surveiller</v>
      </c>
      <c r="P831" t="str">
        <f t="shared" si="51"/>
        <v>Hors data</v>
      </c>
      <c r="Q831" t="str" cm="1">
        <f t="array" ref="Q831">_xlfn.IFS(H831&gt;=16,"Excellent",H831&gt;=14,"Très bien",H831&gt;=12,"Bien",H831&gt;=10,"Passable",H831&lt;10,"Insuffisant")</f>
        <v>Passable</v>
      </c>
    </row>
    <row r="832" spans="1:17">
      <c r="A832" t="s">
        <v>1159</v>
      </c>
      <c r="B832" t="s">
        <v>130</v>
      </c>
      <c r="C832" t="s">
        <v>19</v>
      </c>
      <c r="D832" t="s">
        <v>40</v>
      </c>
      <c r="E832" s="8" t="s">
        <v>47</v>
      </c>
      <c r="F832" s="8">
        <v>14.99</v>
      </c>
      <c r="G832" s="8">
        <v>14.34</v>
      </c>
      <c r="H832" s="8">
        <v>14.82</v>
      </c>
      <c r="I832" s="8">
        <v>11.47</v>
      </c>
      <c r="J832" s="6">
        <v>0.87290000000000001</v>
      </c>
      <c r="K832" s="4">
        <v>110000</v>
      </c>
      <c r="L832" s="2">
        <v>45574</v>
      </c>
      <c r="M832" t="str">
        <f t="shared" si="48"/>
        <v>Admis</v>
      </c>
      <c r="N832" t="str">
        <f t="shared" si="49"/>
        <v>Eligible</v>
      </c>
      <c r="O832" t="str">
        <f t="shared" si="50"/>
        <v>RAS</v>
      </c>
      <c r="P832" t="str">
        <f t="shared" si="51"/>
        <v>Hors data</v>
      </c>
      <c r="Q832" t="str" cm="1">
        <f t="array" ref="Q832">_xlfn.IFS(H832&gt;=16,"Excellent",H832&gt;=14,"Très bien",H832&gt;=12,"Bien",H832&gt;=10,"Passable",H832&lt;10,"Insuffisant")</f>
        <v>Très bien</v>
      </c>
    </row>
    <row r="833" spans="1:17">
      <c r="A833" t="s">
        <v>1160</v>
      </c>
      <c r="B833" t="s">
        <v>409</v>
      </c>
      <c r="C833" t="s">
        <v>19</v>
      </c>
      <c r="D833" t="s">
        <v>40</v>
      </c>
      <c r="E833" s="8" t="s">
        <v>26</v>
      </c>
      <c r="F833" s="8">
        <v>12.47</v>
      </c>
      <c r="G833" s="8">
        <v>13.04</v>
      </c>
      <c r="H833" s="8">
        <v>11.81</v>
      </c>
      <c r="I833" s="8">
        <v>12.23</v>
      </c>
      <c r="J833" s="6">
        <v>0.77400000000000002</v>
      </c>
      <c r="K833" s="4">
        <v>85000</v>
      </c>
      <c r="L833" s="2">
        <v>46020</v>
      </c>
      <c r="M833" t="str">
        <f t="shared" si="48"/>
        <v>Admis</v>
      </c>
      <c r="N833" t="str">
        <f t="shared" si="49"/>
        <v>Non eligible</v>
      </c>
      <c r="O833" t="str">
        <f t="shared" si="50"/>
        <v>RAS</v>
      </c>
      <c r="P833" t="str">
        <f t="shared" si="51"/>
        <v>Hors data</v>
      </c>
      <c r="Q833" t="str" cm="1">
        <f t="array" ref="Q833">_xlfn.IFS(H833&gt;=16,"Excellent",H833&gt;=14,"Très bien",H833&gt;=12,"Bien",H833&gt;=10,"Passable",H833&lt;10,"Insuffisant")</f>
        <v>Passable</v>
      </c>
    </row>
    <row r="834" spans="1:17">
      <c r="A834" t="s">
        <v>1161</v>
      </c>
      <c r="B834" t="s">
        <v>356</v>
      </c>
      <c r="C834" t="s">
        <v>19</v>
      </c>
      <c r="D834" t="s">
        <v>25</v>
      </c>
      <c r="E834" s="8" t="s">
        <v>21</v>
      </c>
      <c r="F834" s="8">
        <v>13.37</v>
      </c>
      <c r="G834" s="8">
        <v>15.12</v>
      </c>
      <c r="H834" s="8">
        <v>10.7</v>
      </c>
      <c r="I834" s="8">
        <v>7.69</v>
      </c>
      <c r="J834" s="6">
        <v>0.88780000000000003</v>
      </c>
      <c r="K834" s="4">
        <v>80000</v>
      </c>
      <c r="L834" s="2">
        <v>46128</v>
      </c>
      <c r="M834" t="str">
        <f t="shared" si="48"/>
        <v>Admis</v>
      </c>
      <c r="N834" t="str">
        <f t="shared" si="49"/>
        <v>Non eligible</v>
      </c>
      <c r="O834" t="str">
        <f t="shared" si="50"/>
        <v>RAS</v>
      </c>
      <c r="P834" t="str">
        <f t="shared" si="51"/>
        <v>Data</v>
      </c>
      <c r="Q834" t="str" cm="1">
        <f t="array" ref="Q834">_xlfn.IFS(H834&gt;=16,"Excellent",H834&gt;=14,"Très bien",H834&gt;=12,"Bien",H834&gt;=10,"Passable",H834&lt;10,"Insuffisant")</f>
        <v>Passable</v>
      </c>
    </row>
    <row r="835" spans="1:17">
      <c r="A835" t="s">
        <v>1162</v>
      </c>
      <c r="B835" t="s">
        <v>72</v>
      </c>
      <c r="C835" t="s">
        <v>19</v>
      </c>
      <c r="D835" t="s">
        <v>40</v>
      </c>
      <c r="E835" s="8" t="s">
        <v>21</v>
      </c>
      <c r="F835" s="8">
        <v>10.24</v>
      </c>
      <c r="G835" s="8">
        <v>16.32</v>
      </c>
      <c r="H835" s="8">
        <v>14.91</v>
      </c>
      <c r="I835" s="8">
        <v>13.26</v>
      </c>
      <c r="J835" s="6">
        <v>0.86470000000000002</v>
      </c>
      <c r="K835" s="4">
        <v>75000</v>
      </c>
      <c r="L835" s="2">
        <v>45978</v>
      </c>
      <c r="M835" t="str">
        <f t="shared" ref="M835:M898" si="52">IF(H835&gt;=10,"Admis","Non admis")</f>
        <v>Admis</v>
      </c>
      <c r="N835" t="str">
        <f t="shared" ref="N835:N898" si="53">IF(AND(F835&gt;=12,H835&gt;=12,J835&gt;=80%),"Eligible","Non eligible")</f>
        <v>Non eligible</v>
      </c>
      <c r="O835" t="str">
        <f t="shared" ref="O835:O898" si="54">IF(OR(F835&lt;10,H835&lt;10),"A surveiller","RAS")</f>
        <v>RAS</v>
      </c>
      <c r="P835" t="str">
        <f t="shared" ref="P835:P898" si="55">IF(NOT(E835="Data"),"Hors data","Data")</f>
        <v>Data</v>
      </c>
      <c r="Q835" t="str" cm="1">
        <f t="array" ref="Q835">_xlfn.IFS(H835&gt;=16,"Excellent",H835&gt;=14,"Très bien",H835&gt;=12,"Bien",H835&gt;=10,"Passable",H835&lt;10,"Insuffisant")</f>
        <v>Très bien</v>
      </c>
    </row>
    <row r="836" spans="1:17">
      <c r="A836" t="s">
        <v>1163</v>
      </c>
      <c r="B836" t="s">
        <v>140</v>
      </c>
      <c r="C836" t="s">
        <v>24</v>
      </c>
      <c r="D836" t="s">
        <v>20</v>
      </c>
      <c r="E836" s="8" t="s">
        <v>21</v>
      </c>
      <c r="F836" s="8">
        <v>18.670000000000002</v>
      </c>
      <c r="G836" s="8">
        <v>13.22</v>
      </c>
      <c r="H836" s="8">
        <v>14.8</v>
      </c>
      <c r="I836" s="8">
        <v>15.32</v>
      </c>
      <c r="J836" s="6">
        <v>0.84540000000000004</v>
      </c>
      <c r="K836" s="4">
        <v>85000</v>
      </c>
      <c r="L836" s="2">
        <v>45719</v>
      </c>
      <c r="M836" t="str">
        <f t="shared" si="52"/>
        <v>Admis</v>
      </c>
      <c r="N836" t="str">
        <f t="shared" si="53"/>
        <v>Eligible</v>
      </c>
      <c r="O836" t="str">
        <f t="shared" si="54"/>
        <v>RAS</v>
      </c>
      <c r="P836" t="str">
        <f t="shared" si="55"/>
        <v>Data</v>
      </c>
      <c r="Q836" t="str" cm="1">
        <f t="array" ref="Q836">_xlfn.IFS(H836&gt;=16,"Excellent",H836&gt;=14,"Très bien",H836&gt;=12,"Bien",H836&gt;=10,"Passable",H836&lt;10,"Insuffisant")</f>
        <v>Très bien</v>
      </c>
    </row>
    <row r="837" spans="1:17">
      <c r="A837" t="s">
        <v>1164</v>
      </c>
      <c r="B837" t="s">
        <v>414</v>
      </c>
      <c r="C837" t="s">
        <v>24</v>
      </c>
      <c r="D837" t="s">
        <v>25</v>
      </c>
      <c r="E837" s="8" t="s">
        <v>26</v>
      </c>
      <c r="F837" s="8">
        <v>11.31</v>
      </c>
      <c r="G837" s="8">
        <v>13.57</v>
      </c>
      <c r="H837" s="8">
        <v>13.92</v>
      </c>
      <c r="I837" s="8">
        <v>11.92</v>
      </c>
      <c r="J837" s="6">
        <v>0.98080000000000001</v>
      </c>
      <c r="K837" s="4">
        <v>130000</v>
      </c>
      <c r="L837" s="2">
        <v>46066</v>
      </c>
      <c r="M837" t="str">
        <f t="shared" si="52"/>
        <v>Admis</v>
      </c>
      <c r="N837" t="str">
        <f t="shared" si="53"/>
        <v>Non eligible</v>
      </c>
      <c r="O837" t="str">
        <f t="shared" si="54"/>
        <v>RAS</v>
      </c>
      <c r="P837" t="str">
        <f t="shared" si="55"/>
        <v>Hors data</v>
      </c>
      <c r="Q837" t="str" cm="1">
        <f t="array" ref="Q837">_xlfn.IFS(H837&gt;=16,"Excellent",H837&gt;=14,"Très bien",H837&gt;=12,"Bien",H837&gt;=10,"Passable",H837&lt;10,"Insuffisant")</f>
        <v>Bien</v>
      </c>
    </row>
    <row r="838" spans="1:17">
      <c r="A838" t="s">
        <v>1165</v>
      </c>
      <c r="B838" t="s">
        <v>101</v>
      </c>
      <c r="C838" t="s">
        <v>24</v>
      </c>
      <c r="D838" t="s">
        <v>25</v>
      </c>
      <c r="E838" s="8" t="s">
        <v>47</v>
      </c>
      <c r="F838" s="8">
        <v>12.72</v>
      </c>
      <c r="G838" s="8">
        <v>10.89</v>
      </c>
      <c r="H838" s="8">
        <v>11.55</v>
      </c>
      <c r="I838" s="8">
        <v>13.41</v>
      </c>
      <c r="J838" s="6">
        <v>0.69789999999999996</v>
      </c>
      <c r="K838" s="4">
        <v>90000</v>
      </c>
      <c r="L838" s="2">
        <v>45577</v>
      </c>
      <c r="M838" t="str">
        <f t="shared" si="52"/>
        <v>Admis</v>
      </c>
      <c r="N838" t="str">
        <f t="shared" si="53"/>
        <v>Non eligible</v>
      </c>
      <c r="O838" t="str">
        <f t="shared" si="54"/>
        <v>RAS</v>
      </c>
      <c r="P838" t="str">
        <f t="shared" si="55"/>
        <v>Hors data</v>
      </c>
      <c r="Q838" t="str" cm="1">
        <f t="array" ref="Q838">_xlfn.IFS(H838&gt;=16,"Excellent",H838&gt;=14,"Très bien",H838&gt;=12,"Bien",H838&gt;=10,"Passable",H838&lt;10,"Insuffisant")</f>
        <v>Passable</v>
      </c>
    </row>
    <row r="839" spans="1:17">
      <c r="A839" t="s">
        <v>1166</v>
      </c>
      <c r="B839" t="s">
        <v>1035</v>
      </c>
      <c r="C839" t="s">
        <v>19</v>
      </c>
      <c r="D839" t="s">
        <v>33</v>
      </c>
      <c r="E839" s="8" t="s">
        <v>47</v>
      </c>
      <c r="F839" s="8">
        <v>15.64</v>
      </c>
      <c r="G839" s="8">
        <v>13.74</v>
      </c>
      <c r="H839" s="8">
        <v>11.3</v>
      </c>
      <c r="I839" s="8">
        <v>14.15</v>
      </c>
      <c r="J839" s="6">
        <v>0.60809999999999997</v>
      </c>
      <c r="K839" s="4">
        <v>100000</v>
      </c>
      <c r="L839" s="2">
        <v>46115</v>
      </c>
      <c r="M839" t="str">
        <f t="shared" si="52"/>
        <v>Admis</v>
      </c>
      <c r="N839" t="str">
        <f t="shared" si="53"/>
        <v>Non eligible</v>
      </c>
      <c r="O839" t="str">
        <f t="shared" si="54"/>
        <v>RAS</v>
      </c>
      <c r="P839" t="str">
        <f t="shared" si="55"/>
        <v>Hors data</v>
      </c>
      <c r="Q839" t="str" cm="1">
        <f t="array" ref="Q839">_xlfn.IFS(H839&gt;=16,"Excellent",H839&gt;=14,"Très bien",H839&gt;=12,"Bien",H839&gt;=10,"Passable",H839&lt;10,"Insuffisant")</f>
        <v>Passable</v>
      </c>
    </row>
    <row r="840" spans="1:17">
      <c r="A840" t="s">
        <v>1167</v>
      </c>
      <c r="B840" t="s">
        <v>430</v>
      </c>
      <c r="C840" t="s">
        <v>19</v>
      </c>
      <c r="D840" t="s">
        <v>37</v>
      </c>
      <c r="E840" s="8" t="s">
        <v>26</v>
      </c>
      <c r="F840" s="8">
        <v>5.95</v>
      </c>
      <c r="G840" s="8">
        <v>9.23</v>
      </c>
      <c r="H840" s="8">
        <v>12.14</v>
      </c>
      <c r="I840" s="8">
        <v>6.83</v>
      </c>
      <c r="J840" s="6">
        <v>0.7288</v>
      </c>
      <c r="K840" s="4">
        <v>110000</v>
      </c>
      <c r="L840" s="2">
        <v>46160</v>
      </c>
      <c r="M840" t="str">
        <f t="shared" si="52"/>
        <v>Admis</v>
      </c>
      <c r="N840" t="str">
        <f t="shared" si="53"/>
        <v>Non eligible</v>
      </c>
      <c r="O840" t="str">
        <f t="shared" si="54"/>
        <v>A surveiller</v>
      </c>
      <c r="P840" t="str">
        <f t="shared" si="55"/>
        <v>Hors data</v>
      </c>
      <c r="Q840" t="str" cm="1">
        <f t="array" ref="Q840">_xlfn.IFS(H840&gt;=16,"Excellent",H840&gt;=14,"Très bien",H840&gt;=12,"Bien",H840&gt;=10,"Passable",H840&lt;10,"Insuffisant")</f>
        <v>Bien</v>
      </c>
    </row>
    <row r="841" spans="1:17">
      <c r="A841" t="s">
        <v>1168</v>
      </c>
      <c r="B841" t="s">
        <v>517</v>
      </c>
      <c r="C841" t="s">
        <v>24</v>
      </c>
      <c r="D841" t="s">
        <v>33</v>
      </c>
      <c r="E841" s="8" t="s">
        <v>47</v>
      </c>
      <c r="F841" s="8">
        <v>13.63</v>
      </c>
      <c r="G841" s="8">
        <v>7.74</v>
      </c>
      <c r="H841" s="8">
        <v>18.440000000000001</v>
      </c>
      <c r="I841" s="8">
        <v>10.48</v>
      </c>
      <c r="J841" s="6">
        <v>0.92059999999999997</v>
      </c>
      <c r="K841" s="4">
        <v>110000</v>
      </c>
      <c r="L841" s="2">
        <v>46038</v>
      </c>
      <c r="M841" t="str">
        <f t="shared" si="52"/>
        <v>Admis</v>
      </c>
      <c r="N841" t="str">
        <f t="shared" si="53"/>
        <v>Eligible</v>
      </c>
      <c r="O841" t="str">
        <f t="shared" si="54"/>
        <v>RAS</v>
      </c>
      <c r="P841" t="str">
        <f t="shared" si="55"/>
        <v>Hors data</v>
      </c>
      <c r="Q841" t="str" cm="1">
        <f t="array" ref="Q841">_xlfn.IFS(H841&gt;=16,"Excellent",H841&gt;=14,"Très bien",H841&gt;=12,"Bien",H841&gt;=10,"Passable",H841&lt;10,"Insuffisant")</f>
        <v>Excellent</v>
      </c>
    </row>
    <row r="842" spans="1:17">
      <c r="A842" t="s">
        <v>1169</v>
      </c>
      <c r="B842" t="s">
        <v>1037</v>
      </c>
      <c r="C842" t="s">
        <v>19</v>
      </c>
      <c r="D842" t="s">
        <v>40</v>
      </c>
      <c r="E842" s="8" t="s">
        <v>21</v>
      </c>
      <c r="F842" s="8">
        <v>13.89</v>
      </c>
      <c r="G842" s="8">
        <v>19.2</v>
      </c>
      <c r="H842" s="8">
        <v>15.64</v>
      </c>
      <c r="I842" s="8">
        <v>13.69</v>
      </c>
      <c r="J842" s="6">
        <v>0.69040000000000001</v>
      </c>
      <c r="K842" s="4">
        <v>80000</v>
      </c>
      <c r="L842" s="2">
        <v>46151</v>
      </c>
      <c r="M842" t="str">
        <f t="shared" si="52"/>
        <v>Admis</v>
      </c>
      <c r="N842" t="str">
        <f t="shared" si="53"/>
        <v>Non eligible</v>
      </c>
      <c r="O842" t="str">
        <f t="shared" si="54"/>
        <v>RAS</v>
      </c>
      <c r="P842" t="str">
        <f t="shared" si="55"/>
        <v>Data</v>
      </c>
      <c r="Q842" t="str" cm="1">
        <f t="array" ref="Q842">_xlfn.IFS(H842&gt;=16,"Excellent",H842&gt;=14,"Très bien",H842&gt;=12,"Bien",H842&gt;=10,"Passable",H842&lt;10,"Insuffisant")</f>
        <v>Très bien</v>
      </c>
    </row>
    <row r="843" spans="1:17">
      <c r="A843" t="s">
        <v>1170</v>
      </c>
      <c r="B843" t="s">
        <v>103</v>
      </c>
      <c r="C843" t="s">
        <v>24</v>
      </c>
      <c r="D843" t="s">
        <v>40</v>
      </c>
      <c r="E843" s="8" t="s">
        <v>47</v>
      </c>
      <c r="F843" s="8">
        <v>19.899999999999999</v>
      </c>
      <c r="G843" s="8">
        <v>15.26</v>
      </c>
      <c r="H843" s="8">
        <v>12.96</v>
      </c>
      <c r="I843" s="8">
        <v>11.41</v>
      </c>
      <c r="J843" s="6">
        <v>0.93700000000000006</v>
      </c>
      <c r="K843" s="4">
        <v>110000</v>
      </c>
      <c r="L843" s="2">
        <v>45946</v>
      </c>
      <c r="M843" t="str">
        <f t="shared" si="52"/>
        <v>Admis</v>
      </c>
      <c r="N843" t="str">
        <f t="shared" si="53"/>
        <v>Eligible</v>
      </c>
      <c r="O843" t="str">
        <f t="shared" si="54"/>
        <v>RAS</v>
      </c>
      <c r="P843" t="str">
        <f t="shared" si="55"/>
        <v>Hors data</v>
      </c>
      <c r="Q843" t="str" cm="1">
        <f t="array" ref="Q843">_xlfn.IFS(H843&gt;=16,"Excellent",H843&gt;=14,"Très bien",H843&gt;=12,"Bien",H843&gt;=10,"Passable",H843&lt;10,"Insuffisant")</f>
        <v>Bien</v>
      </c>
    </row>
    <row r="844" spans="1:17">
      <c r="A844" t="s">
        <v>1171</v>
      </c>
      <c r="B844" t="s">
        <v>110</v>
      </c>
      <c r="C844" t="s">
        <v>24</v>
      </c>
      <c r="D844" t="s">
        <v>20</v>
      </c>
      <c r="E844" s="8" t="s">
        <v>47</v>
      </c>
      <c r="F844" s="8">
        <v>16.850000000000001</v>
      </c>
      <c r="G844" s="8">
        <v>15.28</v>
      </c>
      <c r="H844" s="8">
        <v>15.73</v>
      </c>
      <c r="I844" s="8">
        <v>14.82</v>
      </c>
      <c r="J844" s="6">
        <v>0.77559999999999996</v>
      </c>
      <c r="K844" s="4">
        <v>75000</v>
      </c>
      <c r="L844" s="2">
        <v>45863</v>
      </c>
      <c r="M844" t="str">
        <f t="shared" si="52"/>
        <v>Admis</v>
      </c>
      <c r="N844" t="str">
        <f t="shared" si="53"/>
        <v>Non eligible</v>
      </c>
      <c r="O844" t="str">
        <f t="shared" si="54"/>
        <v>RAS</v>
      </c>
      <c r="P844" t="str">
        <f t="shared" si="55"/>
        <v>Hors data</v>
      </c>
      <c r="Q844" t="str" cm="1">
        <f t="array" ref="Q844">_xlfn.IFS(H844&gt;=16,"Excellent",H844&gt;=14,"Très bien",H844&gt;=12,"Bien",H844&gt;=10,"Passable",H844&lt;10,"Insuffisant")</f>
        <v>Très bien</v>
      </c>
    </row>
    <row r="845" spans="1:17">
      <c r="A845" t="s">
        <v>1172</v>
      </c>
      <c r="B845" t="s">
        <v>371</v>
      </c>
      <c r="C845" t="s">
        <v>19</v>
      </c>
      <c r="D845" t="s">
        <v>37</v>
      </c>
      <c r="E845" s="8" t="s">
        <v>21</v>
      </c>
      <c r="F845" s="8">
        <v>11.57</v>
      </c>
      <c r="G845" s="8">
        <v>12.67</v>
      </c>
      <c r="H845" s="8">
        <v>11.27</v>
      </c>
      <c r="I845" s="8">
        <v>8.99</v>
      </c>
      <c r="J845" s="6">
        <v>0.63160000000000005</v>
      </c>
      <c r="K845" s="4">
        <v>90000</v>
      </c>
      <c r="L845" s="2">
        <v>45761</v>
      </c>
      <c r="M845" t="str">
        <f t="shared" si="52"/>
        <v>Admis</v>
      </c>
      <c r="N845" t="str">
        <f t="shared" si="53"/>
        <v>Non eligible</v>
      </c>
      <c r="O845" t="str">
        <f t="shared" si="54"/>
        <v>RAS</v>
      </c>
      <c r="P845" t="str">
        <f t="shared" si="55"/>
        <v>Data</v>
      </c>
      <c r="Q845" t="str" cm="1">
        <f t="array" ref="Q845">_xlfn.IFS(H845&gt;=16,"Excellent",H845&gt;=14,"Très bien",H845&gt;=12,"Bien",H845&gt;=10,"Passable",H845&lt;10,"Insuffisant")</f>
        <v>Passable</v>
      </c>
    </row>
    <row r="846" spans="1:17">
      <c r="A846" t="s">
        <v>1173</v>
      </c>
      <c r="B846" t="s">
        <v>273</v>
      </c>
      <c r="C846" t="s">
        <v>19</v>
      </c>
      <c r="D846" t="s">
        <v>25</v>
      </c>
      <c r="E846" s="8" t="s">
        <v>47</v>
      </c>
      <c r="F846" s="8">
        <v>10.63</v>
      </c>
      <c r="G846" s="8">
        <v>7.61</v>
      </c>
      <c r="H846" s="8">
        <v>7.39</v>
      </c>
      <c r="I846" s="8">
        <v>10.99</v>
      </c>
      <c r="J846" s="6">
        <v>0.99750000000000005</v>
      </c>
      <c r="K846" s="4">
        <v>75000</v>
      </c>
      <c r="L846" s="2">
        <v>46181</v>
      </c>
      <c r="M846" t="str">
        <f t="shared" si="52"/>
        <v>Non admis</v>
      </c>
      <c r="N846" t="str">
        <f t="shared" si="53"/>
        <v>Non eligible</v>
      </c>
      <c r="O846" t="str">
        <f t="shared" si="54"/>
        <v>A surveiller</v>
      </c>
      <c r="P846" t="str">
        <f t="shared" si="55"/>
        <v>Hors data</v>
      </c>
      <c r="Q846" t="str" cm="1">
        <f t="array" ref="Q846">_xlfn.IFS(H846&gt;=16,"Excellent",H846&gt;=14,"Très bien",H846&gt;=12,"Bien",H846&gt;=10,"Passable",H846&lt;10,"Insuffisant")</f>
        <v>Insuffisant</v>
      </c>
    </row>
    <row r="847" spans="1:17">
      <c r="A847" t="s">
        <v>1174</v>
      </c>
      <c r="B847" t="s">
        <v>424</v>
      </c>
      <c r="C847" t="s">
        <v>19</v>
      </c>
      <c r="D847" t="s">
        <v>52</v>
      </c>
      <c r="E847" s="8" t="s">
        <v>34</v>
      </c>
      <c r="F847" s="8">
        <v>15.08</v>
      </c>
      <c r="G847" s="8">
        <v>14.96</v>
      </c>
      <c r="H847" s="8">
        <v>13.08</v>
      </c>
      <c r="I847" s="8">
        <v>14.08</v>
      </c>
      <c r="J847" s="6">
        <v>0.91039999999999999</v>
      </c>
      <c r="K847" s="4">
        <v>130000</v>
      </c>
      <c r="L847" s="2">
        <v>46024</v>
      </c>
      <c r="M847" t="str">
        <f t="shared" si="52"/>
        <v>Admis</v>
      </c>
      <c r="N847" t="str">
        <f t="shared" si="53"/>
        <v>Eligible</v>
      </c>
      <c r="O847" t="str">
        <f t="shared" si="54"/>
        <v>RAS</v>
      </c>
      <c r="P847" t="str">
        <f t="shared" si="55"/>
        <v>Hors data</v>
      </c>
      <c r="Q847" t="str" cm="1">
        <f t="array" ref="Q847">_xlfn.IFS(H847&gt;=16,"Excellent",H847&gt;=14,"Très bien",H847&gt;=12,"Bien",H847&gt;=10,"Passable",H847&lt;10,"Insuffisant")</f>
        <v>Bien</v>
      </c>
    </row>
    <row r="848" spans="1:17">
      <c r="A848" t="s">
        <v>1175</v>
      </c>
      <c r="B848" t="s">
        <v>756</v>
      </c>
      <c r="C848" t="s">
        <v>19</v>
      </c>
      <c r="D848" t="s">
        <v>52</v>
      </c>
      <c r="E848" s="8" t="s">
        <v>21</v>
      </c>
      <c r="F848" s="8">
        <v>11.3</v>
      </c>
      <c r="G848" s="8">
        <v>12.81</v>
      </c>
      <c r="H848" s="8">
        <v>17.8</v>
      </c>
      <c r="I848" s="8">
        <v>14.6</v>
      </c>
      <c r="J848" s="6">
        <v>0.83069999999999999</v>
      </c>
      <c r="K848" s="4">
        <v>110000</v>
      </c>
      <c r="L848" s="2">
        <v>45669</v>
      </c>
      <c r="M848" t="str">
        <f t="shared" si="52"/>
        <v>Admis</v>
      </c>
      <c r="N848" t="str">
        <f t="shared" si="53"/>
        <v>Non eligible</v>
      </c>
      <c r="O848" t="str">
        <f t="shared" si="54"/>
        <v>RAS</v>
      </c>
      <c r="P848" t="str">
        <f t="shared" si="55"/>
        <v>Data</v>
      </c>
      <c r="Q848" t="str" cm="1">
        <f t="array" ref="Q848">_xlfn.IFS(H848&gt;=16,"Excellent",H848&gt;=14,"Très bien",H848&gt;=12,"Bien",H848&gt;=10,"Passable",H848&lt;10,"Insuffisant")</f>
        <v>Excellent</v>
      </c>
    </row>
    <row r="849" spans="1:17">
      <c r="A849" t="s">
        <v>1176</v>
      </c>
      <c r="B849" t="s">
        <v>356</v>
      </c>
      <c r="C849" t="s">
        <v>19</v>
      </c>
      <c r="D849" t="s">
        <v>33</v>
      </c>
      <c r="E849" s="8" t="s">
        <v>34</v>
      </c>
      <c r="F849" s="8">
        <v>16.309999999999999</v>
      </c>
      <c r="G849" s="8">
        <v>18.010000000000002</v>
      </c>
      <c r="H849" s="8">
        <v>14.07</v>
      </c>
      <c r="I849" s="8">
        <v>10.7</v>
      </c>
      <c r="J849" s="6">
        <v>0.86129999999999995</v>
      </c>
      <c r="K849" s="4">
        <v>90000</v>
      </c>
      <c r="L849" s="2">
        <v>46205</v>
      </c>
      <c r="M849" t="str">
        <f t="shared" si="52"/>
        <v>Admis</v>
      </c>
      <c r="N849" t="str">
        <f t="shared" si="53"/>
        <v>Eligible</v>
      </c>
      <c r="O849" t="str">
        <f t="shared" si="54"/>
        <v>RAS</v>
      </c>
      <c r="P849" t="str">
        <f t="shared" si="55"/>
        <v>Hors data</v>
      </c>
      <c r="Q849" t="str" cm="1">
        <f t="array" ref="Q849">_xlfn.IFS(H849&gt;=16,"Excellent",H849&gt;=14,"Très bien",H849&gt;=12,"Bien",H849&gt;=10,"Passable",H849&lt;10,"Insuffisant")</f>
        <v>Très bien</v>
      </c>
    </row>
    <row r="850" spans="1:17">
      <c r="A850" t="s">
        <v>1177</v>
      </c>
      <c r="B850" t="s">
        <v>948</v>
      </c>
      <c r="C850" t="s">
        <v>24</v>
      </c>
      <c r="D850" t="s">
        <v>40</v>
      </c>
      <c r="E850" s="8" t="s">
        <v>34</v>
      </c>
      <c r="F850" s="8">
        <v>8.91</v>
      </c>
      <c r="G850" s="8">
        <v>12.38</v>
      </c>
      <c r="H850" s="8">
        <v>16.3</v>
      </c>
      <c r="I850" s="8">
        <v>12.65</v>
      </c>
      <c r="J850" s="6">
        <v>0.55000000000000004</v>
      </c>
      <c r="K850" s="4">
        <v>80000</v>
      </c>
      <c r="L850" s="2">
        <v>45577</v>
      </c>
      <c r="M850" t="str">
        <f t="shared" si="52"/>
        <v>Admis</v>
      </c>
      <c r="N850" t="str">
        <f t="shared" si="53"/>
        <v>Non eligible</v>
      </c>
      <c r="O850" t="str">
        <f t="shared" si="54"/>
        <v>A surveiller</v>
      </c>
      <c r="P850" t="str">
        <f t="shared" si="55"/>
        <v>Hors data</v>
      </c>
      <c r="Q850" t="str" cm="1">
        <f t="array" ref="Q850">_xlfn.IFS(H850&gt;=16,"Excellent",H850&gt;=14,"Très bien",H850&gt;=12,"Bien",H850&gt;=10,"Passable",H850&lt;10,"Insuffisant")</f>
        <v>Excellent</v>
      </c>
    </row>
    <row r="851" spans="1:17">
      <c r="A851" t="s">
        <v>1178</v>
      </c>
      <c r="B851" t="s">
        <v>747</v>
      </c>
      <c r="C851" t="s">
        <v>24</v>
      </c>
      <c r="D851" t="s">
        <v>37</v>
      </c>
      <c r="E851" s="8" t="s">
        <v>34</v>
      </c>
      <c r="F851" s="8">
        <v>18.88</v>
      </c>
      <c r="G851" s="8">
        <v>16.09</v>
      </c>
      <c r="H851" s="8">
        <v>12.48</v>
      </c>
      <c r="I851" s="8">
        <v>15.13</v>
      </c>
      <c r="J851" s="6">
        <v>0.55000000000000004</v>
      </c>
      <c r="K851" s="4">
        <v>85000</v>
      </c>
      <c r="L851" s="2">
        <v>45947</v>
      </c>
      <c r="M851" t="str">
        <f t="shared" si="52"/>
        <v>Admis</v>
      </c>
      <c r="N851" t="str">
        <f t="shared" si="53"/>
        <v>Non eligible</v>
      </c>
      <c r="O851" t="str">
        <f t="shared" si="54"/>
        <v>RAS</v>
      </c>
      <c r="P851" t="str">
        <f t="shared" si="55"/>
        <v>Hors data</v>
      </c>
      <c r="Q851" t="str" cm="1">
        <f t="array" ref="Q851">_xlfn.IFS(H851&gt;=16,"Excellent",H851&gt;=14,"Très bien",H851&gt;=12,"Bien",H851&gt;=10,"Passable",H851&lt;10,"Insuffisant")</f>
        <v>Bien</v>
      </c>
    </row>
    <row r="852" spans="1:17">
      <c r="A852" t="s">
        <v>1179</v>
      </c>
      <c r="B852" t="s">
        <v>478</v>
      </c>
      <c r="C852" t="s">
        <v>24</v>
      </c>
      <c r="D852" t="s">
        <v>20</v>
      </c>
      <c r="E852" s="8" t="s">
        <v>34</v>
      </c>
      <c r="F852" s="8">
        <v>16.55</v>
      </c>
      <c r="G852" s="8">
        <v>19.16</v>
      </c>
      <c r="H852" s="8">
        <v>17.45</v>
      </c>
      <c r="I852" s="8">
        <v>18.72</v>
      </c>
      <c r="J852" s="6">
        <v>0.91310000000000002</v>
      </c>
      <c r="K852" s="4">
        <v>110000</v>
      </c>
      <c r="L852" s="2">
        <v>45669</v>
      </c>
      <c r="M852" t="str">
        <f t="shared" si="52"/>
        <v>Admis</v>
      </c>
      <c r="N852" t="str">
        <f t="shared" si="53"/>
        <v>Eligible</v>
      </c>
      <c r="O852" t="str">
        <f t="shared" si="54"/>
        <v>RAS</v>
      </c>
      <c r="P852" t="str">
        <f t="shared" si="55"/>
        <v>Hors data</v>
      </c>
      <c r="Q852" t="str" cm="1">
        <f t="array" ref="Q852">_xlfn.IFS(H852&gt;=16,"Excellent",H852&gt;=14,"Très bien",H852&gt;=12,"Bien",H852&gt;=10,"Passable",H852&lt;10,"Insuffisant")</f>
        <v>Excellent</v>
      </c>
    </row>
    <row r="853" spans="1:17">
      <c r="A853" t="s">
        <v>1180</v>
      </c>
      <c r="B853" t="s">
        <v>236</v>
      </c>
      <c r="C853" t="s">
        <v>24</v>
      </c>
      <c r="D853" t="s">
        <v>37</v>
      </c>
      <c r="E853" s="8" t="s">
        <v>47</v>
      </c>
      <c r="F853" s="8">
        <v>9.02</v>
      </c>
      <c r="G853" s="8">
        <v>16.54</v>
      </c>
      <c r="H853" s="8">
        <v>19.61</v>
      </c>
      <c r="I853" s="8">
        <v>13.57</v>
      </c>
      <c r="J853" s="6">
        <v>0.95920000000000005</v>
      </c>
      <c r="K853" s="4">
        <v>75000</v>
      </c>
      <c r="L853" s="2">
        <v>46001</v>
      </c>
      <c r="M853" t="str">
        <f t="shared" si="52"/>
        <v>Admis</v>
      </c>
      <c r="N853" t="str">
        <f t="shared" si="53"/>
        <v>Non eligible</v>
      </c>
      <c r="O853" t="str">
        <f t="shared" si="54"/>
        <v>A surveiller</v>
      </c>
      <c r="P853" t="str">
        <f t="shared" si="55"/>
        <v>Hors data</v>
      </c>
      <c r="Q853" t="str" cm="1">
        <f t="array" ref="Q853">_xlfn.IFS(H853&gt;=16,"Excellent",H853&gt;=14,"Très bien",H853&gt;=12,"Bien",H853&gt;=10,"Passable",H853&lt;10,"Insuffisant")</f>
        <v>Excellent</v>
      </c>
    </row>
    <row r="854" spans="1:17">
      <c r="A854" t="s">
        <v>1181</v>
      </c>
      <c r="B854" t="s">
        <v>407</v>
      </c>
      <c r="C854" t="s">
        <v>24</v>
      </c>
      <c r="D854" t="s">
        <v>20</v>
      </c>
      <c r="E854" s="8" t="s">
        <v>34</v>
      </c>
      <c r="F854" s="8">
        <v>12.02</v>
      </c>
      <c r="G854" s="8">
        <v>13.05</v>
      </c>
      <c r="H854" s="8">
        <v>13.04</v>
      </c>
      <c r="I854" s="8">
        <v>12.14</v>
      </c>
      <c r="J854" s="6">
        <v>0.96989999999999998</v>
      </c>
      <c r="K854" s="4">
        <v>120000</v>
      </c>
      <c r="L854" s="2">
        <v>45824</v>
      </c>
      <c r="M854" t="str">
        <f t="shared" si="52"/>
        <v>Admis</v>
      </c>
      <c r="N854" t="str">
        <f t="shared" si="53"/>
        <v>Eligible</v>
      </c>
      <c r="O854" t="str">
        <f t="shared" si="54"/>
        <v>RAS</v>
      </c>
      <c r="P854" t="str">
        <f t="shared" si="55"/>
        <v>Hors data</v>
      </c>
      <c r="Q854" t="str" cm="1">
        <f t="array" ref="Q854">_xlfn.IFS(H854&gt;=16,"Excellent",H854&gt;=14,"Très bien",H854&gt;=12,"Bien",H854&gt;=10,"Passable",H854&lt;10,"Insuffisant")</f>
        <v>Bien</v>
      </c>
    </row>
    <row r="855" spans="1:17">
      <c r="A855" t="s">
        <v>1182</v>
      </c>
      <c r="B855" t="s">
        <v>1183</v>
      </c>
      <c r="C855" t="s">
        <v>19</v>
      </c>
      <c r="D855" t="s">
        <v>52</v>
      </c>
      <c r="E855" s="8" t="s">
        <v>34</v>
      </c>
      <c r="F855" s="8">
        <v>9.0399999999999991</v>
      </c>
      <c r="G855" s="8">
        <v>10.44</v>
      </c>
      <c r="H855" s="8">
        <v>7.22</v>
      </c>
      <c r="I855" s="8">
        <v>9.83</v>
      </c>
      <c r="J855" s="6">
        <v>0.86260000000000003</v>
      </c>
      <c r="K855" s="4">
        <v>75000</v>
      </c>
      <c r="L855" s="2">
        <v>45841</v>
      </c>
      <c r="M855" t="str">
        <f t="shared" si="52"/>
        <v>Non admis</v>
      </c>
      <c r="N855" t="str">
        <f t="shared" si="53"/>
        <v>Non eligible</v>
      </c>
      <c r="O855" t="str">
        <f t="shared" si="54"/>
        <v>A surveiller</v>
      </c>
      <c r="P855" t="str">
        <f t="shared" si="55"/>
        <v>Hors data</v>
      </c>
      <c r="Q855" t="str" cm="1">
        <f t="array" ref="Q855">_xlfn.IFS(H855&gt;=16,"Excellent",H855&gt;=14,"Très bien",H855&gt;=12,"Bien",H855&gt;=10,"Passable",H855&lt;10,"Insuffisant")</f>
        <v>Insuffisant</v>
      </c>
    </row>
    <row r="856" spans="1:17">
      <c r="A856" t="s">
        <v>1184</v>
      </c>
      <c r="B856" t="s">
        <v>929</v>
      </c>
      <c r="C856" t="s">
        <v>19</v>
      </c>
      <c r="D856" t="s">
        <v>33</v>
      </c>
      <c r="E856" s="8" t="s">
        <v>26</v>
      </c>
      <c r="F856" s="8">
        <v>15.13</v>
      </c>
      <c r="G856" s="8">
        <v>20</v>
      </c>
      <c r="H856" s="8">
        <v>13.28</v>
      </c>
      <c r="I856" s="8">
        <v>15.35</v>
      </c>
      <c r="J856" s="6">
        <v>0.8266</v>
      </c>
      <c r="K856" s="4">
        <v>60000</v>
      </c>
      <c r="L856" s="2">
        <v>46006</v>
      </c>
      <c r="M856" t="str">
        <f t="shared" si="52"/>
        <v>Admis</v>
      </c>
      <c r="N856" t="str">
        <f t="shared" si="53"/>
        <v>Eligible</v>
      </c>
      <c r="O856" t="str">
        <f t="shared" si="54"/>
        <v>RAS</v>
      </c>
      <c r="P856" t="str">
        <f t="shared" si="55"/>
        <v>Hors data</v>
      </c>
      <c r="Q856" t="str" cm="1">
        <f t="array" ref="Q856">_xlfn.IFS(H856&gt;=16,"Excellent",H856&gt;=14,"Très bien",H856&gt;=12,"Bien",H856&gt;=10,"Passable",H856&lt;10,"Insuffisant")</f>
        <v>Bien</v>
      </c>
    </row>
    <row r="857" spans="1:17">
      <c r="A857" t="s">
        <v>1185</v>
      </c>
      <c r="B857" t="s">
        <v>911</v>
      </c>
      <c r="C857" t="s">
        <v>24</v>
      </c>
      <c r="D857" t="s">
        <v>33</v>
      </c>
      <c r="E857" s="8" t="s">
        <v>21</v>
      </c>
      <c r="F857" s="8">
        <v>18.489999999999998</v>
      </c>
      <c r="G857" s="8">
        <v>18.02</v>
      </c>
      <c r="H857" s="8">
        <v>19.5</v>
      </c>
      <c r="I857" s="8">
        <v>14.38</v>
      </c>
      <c r="J857" s="6">
        <v>0.88739999999999997</v>
      </c>
      <c r="K857" s="4">
        <v>110000</v>
      </c>
      <c r="L857" s="2">
        <v>46065</v>
      </c>
      <c r="M857" t="str">
        <f t="shared" si="52"/>
        <v>Admis</v>
      </c>
      <c r="N857" t="str">
        <f t="shared" si="53"/>
        <v>Eligible</v>
      </c>
      <c r="O857" t="str">
        <f t="shared" si="54"/>
        <v>RAS</v>
      </c>
      <c r="P857" t="str">
        <f t="shared" si="55"/>
        <v>Data</v>
      </c>
      <c r="Q857" t="str" cm="1">
        <f t="array" ref="Q857">_xlfn.IFS(H857&gt;=16,"Excellent",H857&gt;=14,"Très bien",H857&gt;=12,"Bien",H857&gt;=10,"Passable",H857&lt;10,"Insuffisant")</f>
        <v>Excellent</v>
      </c>
    </row>
    <row r="858" spans="1:17">
      <c r="A858" t="s">
        <v>1186</v>
      </c>
      <c r="B858" t="s">
        <v>599</v>
      </c>
      <c r="C858" t="s">
        <v>19</v>
      </c>
      <c r="D858" t="s">
        <v>37</v>
      </c>
      <c r="E858" s="8" t="s">
        <v>34</v>
      </c>
      <c r="F858" s="8">
        <v>13.43</v>
      </c>
      <c r="G858" s="8">
        <v>15.96</v>
      </c>
      <c r="H858" s="8">
        <v>13.81</v>
      </c>
      <c r="I858" s="8">
        <v>20</v>
      </c>
      <c r="J858" s="6">
        <v>0.57750000000000001</v>
      </c>
      <c r="K858" s="4">
        <v>100000</v>
      </c>
      <c r="L858" s="2">
        <v>45802</v>
      </c>
      <c r="M858" t="str">
        <f t="shared" si="52"/>
        <v>Admis</v>
      </c>
      <c r="N858" t="str">
        <f t="shared" si="53"/>
        <v>Non eligible</v>
      </c>
      <c r="O858" t="str">
        <f t="shared" si="54"/>
        <v>RAS</v>
      </c>
      <c r="P858" t="str">
        <f t="shared" si="55"/>
        <v>Hors data</v>
      </c>
      <c r="Q858" t="str" cm="1">
        <f t="array" ref="Q858">_xlfn.IFS(H858&gt;=16,"Excellent",H858&gt;=14,"Très bien",H858&gt;=12,"Bien",H858&gt;=10,"Passable",H858&lt;10,"Insuffisant")</f>
        <v>Bien</v>
      </c>
    </row>
    <row r="859" spans="1:17">
      <c r="A859" t="s">
        <v>1187</v>
      </c>
      <c r="B859" t="s">
        <v>678</v>
      </c>
      <c r="C859" t="s">
        <v>19</v>
      </c>
      <c r="D859" t="s">
        <v>37</v>
      </c>
      <c r="E859" s="8" t="s">
        <v>21</v>
      </c>
      <c r="F859" s="8">
        <v>8.16</v>
      </c>
      <c r="G859" s="8">
        <v>11.81</v>
      </c>
      <c r="H859" s="8">
        <v>11.03</v>
      </c>
      <c r="I859" s="8">
        <v>8.56</v>
      </c>
      <c r="J859" s="6">
        <v>0.82110000000000005</v>
      </c>
      <c r="K859" s="4">
        <v>75000</v>
      </c>
      <c r="L859" s="2">
        <v>46234</v>
      </c>
      <c r="M859" t="str">
        <f t="shared" si="52"/>
        <v>Admis</v>
      </c>
      <c r="N859" t="str">
        <f t="shared" si="53"/>
        <v>Non eligible</v>
      </c>
      <c r="O859" t="str">
        <f t="shared" si="54"/>
        <v>A surveiller</v>
      </c>
      <c r="P859" t="str">
        <f t="shared" si="55"/>
        <v>Data</v>
      </c>
      <c r="Q859" t="str" cm="1">
        <f t="array" ref="Q859">_xlfn.IFS(H859&gt;=16,"Excellent",H859&gt;=14,"Très bien",H859&gt;=12,"Bien",H859&gt;=10,"Passable",H859&lt;10,"Insuffisant")</f>
        <v>Passable</v>
      </c>
    </row>
    <row r="860" spans="1:17">
      <c r="A860" t="s">
        <v>1188</v>
      </c>
      <c r="B860" t="s">
        <v>42</v>
      </c>
      <c r="C860" t="s">
        <v>24</v>
      </c>
      <c r="D860" t="s">
        <v>25</v>
      </c>
      <c r="E860" s="8" t="s">
        <v>26</v>
      </c>
      <c r="F860" s="8">
        <v>15.23</v>
      </c>
      <c r="G860" s="8">
        <v>18.670000000000002</v>
      </c>
      <c r="H860" s="8">
        <v>12.87</v>
      </c>
      <c r="I860" s="8">
        <v>15.14</v>
      </c>
      <c r="J860" s="6">
        <v>0.97829999999999995</v>
      </c>
      <c r="K860" s="4">
        <v>100000</v>
      </c>
      <c r="L860" s="2">
        <v>45884</v>
      </c>
      <c r="M860" t="str">
        <f t="shared" si="52"/>
        <v>Admis</v>
      </c>
      <c r="N860" t="str">
        <f t="shared" si="53"/>
        <v>Eligible</v>
      </c>
      <c r="O860" t="str">
        <f t="shared" si="54"/>
        <v>RAS</v>
      </c>
      <c r="P860" t="str">
        <f t="shared" si="55"/>
        <v>Hors data</v>
      </c>
      <c r="Q860" t="str" cm="1">
        <f t="array" ref="Q860">_xlfn.IFS(H860&gt;=16,"Excellent",H860&gt;=14,"Très bien",H860&gt;=12,"Bien",H860&gt;=10,"Passable",H860&lt;10,"Insuffisant")</f>
        <v>Bien</v>
      </c>
    </row>
    <row r="861" spans="1:17">
      <c r="A861" t="s">
        <v>1189</v>
      </c>
      <c r="B861" t="s">
        <v>51</v>
      </c>
      <c r="C861" t="s">
        <v>24</v>
      </c>
      <c r="D861" t="s">
        <v>37</v>
      </c>
      <c r="E861" s="8" t="s">
        <v>21</v>
      </c>
      <c r="F861" s="8">
        <v>15.98</v>
      </c>
      <c r="G861" s="8">
        <v>14.99</v>
      </c>
      <c r="H861" s="8">
        <v>19.53</v>
      </c>
      <c r="I861" s="8">
        <v>16.57</v>
      </c>
      <c r="J861" s="6">
        <v>0.85309999999999997</v>
      </c>
      <c r="K861" s="4">
        <v>110000</v>
      </c>
      <c r="L861" s="2">
        <v>45648</v>
      </c>
      <c r="M861" t="str">
        <f t="shared" si="52"/>
        <v>Admis</v>
      </c>
      <c r="N861" t="str">
        <f t="shared" si="53"/>
        <v>Eligible</v>
      </c>
      <c r="O861" t="str">
        <f t="shared" si="54"/>
        <v>RAS</v>
      </c>
      <c r="P861" t="str">
        <f t="shared" si="55"/>
        <v>Data</v>
      </c>
      <c r="Q861" t="str" cm="1">
        <f t="array" ref="Q861">_xlfn.IFS(H861&gt;=16,"Excellent",H861&gt;=14,"Très bien",H861&gt;=12,"Bien",H861&gt;=10,"Passable",H861&lt;10,"Insuffisant")</f>
        <v>Excellent</v>
      </c>
    </row>
    <row r="862" spans="1:17">
      <c r="A862" t="s">
        <v>1190</v>
      </c>
      <c r="B862" t="s">
        <v>650</v>
      </c>
      <c r="C862" t="s">
        <v>24</v>
      </c>
      <c r="D862" t="s">
        <v>52</v>
      </c>
      <c r="E862" s="8" t="s">
        <v>26</v>
      </c>
      <c r="F862" s="8">
        <v>17.100000000000001</v>
      </c>
      <c r="G862" s="8">
        <v>17.649999999999999</v>
      </c>
      <c r="H862" s="8">
        <v>20</v>
      </c>
      <c r="I862" s="8">
        <v>18.350000000000001</v>
      </c>
      <c r="J862" s="6">
        <v>0.83660000000000001</v>
      </c>
      <c r="K862" s="4">
        <v>110000</v>
      </c>
      <c r="L862" s="2">
        <v>45540</v>
      </c>
      <c r="M862" t="str">
        <f t="shared" si="52"/>
        <v>Admis</v>
      </c>
      <c r="N862" t="str">
        <f t="shared" si="53"/>
        <v>Eligible</v>
      </c>
      <c r="O862" t="str">
        <f t="shared" si="54"/>
        <v>RAS</v>
      </c>
      <c r="P862" t="str">
        <f t="shared" si="55"/>
        <v>Hors data</v>
      </c>
      <c r="Q862" t="str" cm="1">
        <f t="array" ref="Q862">_xlfn.IFS(H862&gt;=16,"Excellent",H862&gt;=14,"Très bien",H862&gt;=12,"Bien",H862&gt;=10,"Passable",H862&lt;10,"Insuffisant")</f>
        <v>Excellent</v>
      </c>
    </row>
    <row r="863" spans="1:17">
      <c r="A863" t="s">
        <v>1191</v>
      </c>
      <c r="B863" t="s">
        <v>341</v>
      </c>
      <c r="C863" t="s">
        <v>24</v>
      </c>
      <c r="D863" t="s">
        <v>52</v>
      </c>
      <c r="E863" s="8" t="s">
        <v>21</v>
      </c>
      <c r="F863" s="8">
        <v>13.75</v>
      </c>
      <c r="G863" s="8">
        <v>8.06</v>
      </c>
      <c r="H863" s="8">
        <v>11.18</v>
      </c>
      <c r="I863" s="8">
        <v>10.53</v>
      </c>
      <c r="J863" s="6">
        <v>0.8891</v>
      </c>
      <c r="K863" s="4">
        <v>130000</v>
      </c>
      <c r="L863" s="2">
        <v>45677</v>
      </c>
      <c r="M863" t="str">
        <f t="shared" si="52"/>
        <v>Admis</v>
      </c>
      <c r="N863" t="str">
        <f t="shared" si="53"/>
        <v>Non eligible</v>
      </c>
      <c r="O863" t="str">
        <f t="shared" si="54"/>
        <v>RAS</v>
      </c>
      <c r="P863" t="str">
        <f t="shared" si="55"/>
        <v>Data</v>
      </c>
      <c r="Q863" t="str" cm="1">
        <f t="array" ref="Q863">_xlfn.IFS(H863&gt;=16,"Excellent",H863&gt;=14,"Très bien",H863&gt;=12,"Bien",H863&gt;=10,"Passable",H863&lt;10,"Insuffisant")</f>
        <v>Passable</v>
      </c>
    </row>
    <row r="864" spans="1:17">
      <c r="A864" t="s">
        <v>1192</v>
      </c>
      <c r="B864" t="s">
        <v>1073</v>
      </c>
      <c r="C864" t="s">
        <v>19</v>
      </c>
      <c r="D864" t="s">
        <v>40</v>
      </c>
      <c r="E864" s="8" t="s">
        <v>34</v>
      </c>
      <c r="F864" s="8">
        <v>11</v>
      </c>
      <c r="G864" s="8">
        <v>10.66</v>
      </c>
      <c r="H864" s="8">
        <v>10.53</v>
      </c>
      <c r="I864" s="8">
        <v>12.36</v>
      </c>
      <c r="J864" s="6">
        <v>0.99199999999999999</v>
      </c>
      <c r="K864" s="4">
        <v>120000</v>
      </c>
      <c r="L864" s="2">
        <v>46019</v>
      </c>
      <c r="M864" t="str">
        <f t="shared" si="52"/>
        <v>Admis</v>
      </c>
      <c r="N864" t="str">
        <f t="shared" si="53"/>
        <v>Non eligible</v>
      </c>
      <c r="O864" t="str">
        <f t="shared" si="54"/>
        <v>RAS</v>
      </c>
      <c r="P864" t="str">
        <f t="shared" si="55"/>
        <v>Hors data</v>
      </c>
      <c r="Q864" t="str" cm="1">
        <f t="array" ref="Q864">_xlfn.IFS(H864&gt;=16,"Excellent",H864&gt;=14,"Très bien",H864&gt;=12,"Bien",H864&gt;=10,"Passable",H864&lt;10,"Insuffisant")</f>
        <v>Passable</v>
      </c>
    </row>
    <row r="865" spans="1:17">
      <c r="A865" t="s">
        <v>1193</v>
      </c>
      <c r="B865" t="s">
        <v>666</v>
      </c>
      <c r="C865" t="s">
        <v>24</v>
      </c>
      <c r="D865" t="s">
        <v>20</v>
      </c>
      <c r="E865" s="8" t="s">
        <v>47</v>
      </c>
      <c r="F865" s="8">
        <v>16.28</v>
      </c>
      <c r="G865" s="8">
        <v>14.85</v>
      </c>
      <c r="H865" s="8">
        <v>19.170000000000002</v>
      </c>
      <c r="I865" s="8">
        <v>14.98</v>
      </c>
      <c r="J865" s="6">
        <v>0.71740000000000004</v>
      </c>
      <c r="K865" s="4">
        <v>80000</v>
      </c>
      <c r="L865" s="2">
        <v>45913</v>
      </c>
      <c r="M865" t="str">
        <f t="shared" si="52"/>
        <v>Admis</v>
      </c>
      <c r="N865" t="str">
        <f t="shared" si="53"/>
        <v>Non eligible</v>
      </c>
      <c r="O865" t="str">
        <f t="shared" si="54"/>
        <v>RAS</v>
      </c>
      <c r="P865" t="str">
        <f t="shared" si="55"/>
        <v>Hors data</v>
      </c>
      <c r="Q865" t="str" cm="1">
        <f t="array" ref="Q865">_xlfn.IFS(H865&gt;=16,"Excellent",H865&gt;=14,"Très bien",H865&gt;=12,"Bien",H865&gt;=10,"Passable",H865&lt;10,"Insuffisant")</f>
        <v>Excellent</v>
      </c>
    </row>
    <row r="866" spans="1:17">
      <c r="A866" t="s">
        <v>1194</v>
      </c>
      <c r="B866" t="s">
        <v>76</v>
      </c>
      <c r="C866" t="s">
        <v>24</v>
      </c>
      <c r="D866" t="s">
        <v>52</v>
      </c>
      <c r="E866" s="8" t="s">
        <v>26</v>
      </c>
      <c r="F866" s="8">
        <v>13.81</v>
      </c>
      <c r="G866" s="8">
        <v>13.94</v>
      </c>
      <c r="H866" s="8">
        <v>13.06</v>
      </c>
      <c r="I866" s="8">
        <v>11.11</v>
      </c>
      <c r="J866" s="6">
        <v>0.81459999999999999</v>
      </c>
      <c r="K866" s="4">
        <v>70000</v>
      </c>
      <c r="L866" s="2">
        <v>45772</v>
      </c>
      <c r="M866" t="str">
        <f t="shared" si="52"/>
        <v>Admis</v>
      </c>
      <c r="N866" t="str">
        <f t="shared" si="53"/>
        <v>Eligible</v>
      </c>
      <c r="O866" t="str">
        <f t="shared" si="54"/>
        <v>RAS</v>
      </c>
      <c r="P866" t="str">
        <f t="shared" si="55"/>
        <v>Hors data</v>
      </c>
      <c r="Q866" t="str" cm="1">
        <f t="array" ref="Q866">_xlfn.IFS(H866&gt;=16,"Excellent",H866&gt;=14,"Très bien",H866&gt;=12,"Bien",H866&gt;=10,"Passable",H866&lt;10,"Insuffisant")</f>
        <v>Bien</v>
      </c>
    </row>
    <row r="867" spans="1:17">
      <c r="A867" t="s">
        <v>1195</v>
      </c>
      <c r="B867" t="s">
        <v>203</v>
      </c>
      <c r="C867" t="s">
        <v>24</v>
      </c>
      <c r="D867" t="s">
        <v>40</v>
      </c>
      <c r="E867" s="8" t="s">
        <v>21</v>
      </c>
      <c r="F867" s="8">
        <v>6.95</v>
      </c>
      <c r="G867" s="8">
        <v>14.66</v>
      </c>
      <c r="H867" s="8">
        <v>8.14</v>
      </c>
      <c r="I867" s="8">
        <v>15</v>
      </c>
      <c r="J867" s="6">
        <v>0.88529999999999998</v>
      </c>
      <c r="K867" s="4">
        <v>60000</v>
      </c>
      <c r="L867" s="2">
        <v>45872</v>
      </c>
      <c r="M867" t="str">
        <f t="shared" si="52"/>
        <v>Non admis</v>
      </c>
      <c r="N867" t="str">
        <f t="shared" si="53"/>
        <v>Non eligible</v>
      </c>
      <c r="O867" t="str">
        <f t="shared" si="54"/>
        <v>A surveiller</v>
      </c>
      <c r="P867" t="str">
        <f t="shared" si="55"/>
        <v>Data</v>
      </c>
      <c r="Q867" t="str" cm="1">
        <f t="array" ref="Q867">_xlfn.IFS(H867&gt;=16,"Excellent",H867&gt;=14,"Très bien",H867&gt;=12,"Bien",H867&gt;=10,"Passable",H867&lt;10,"Insuffisant")</f>
        <v>Insuffisant</v>
      </c>
    </row>
    <row r="868" spans="1:17">
      <c r="A868" t="s">
        <v>1196</v>
      </c>
      <c r="B868" t="s">
        <v>414</v>
      </c>
      <c r="C868" t="s">
        <v>24</v>
      </c>
      <c r="D868" t="s">
        <v>52</v>
      </c>
      <c r="E868" s="8" t="s">
        <v>21</v>
      </c>
      <c r="F868" s="8">
        <v>11.76</v>
      </c>
      <c r="G868" s="8">
        <v>16.239999999999998</v>
      </c>
      <c r="H868" s="8">
        <v>10.98</v>
      </c>
      <c r="I868" s="8">
        <v>14.08</v>
      </c>
      <c r="J868" s="6">
        <v>0.9496</v>
      </c>
      <c r="K868" s="4">
        <v>90000</v>
      </c>
      <c r="L868" s="2">
        <v>46122</v>
      </c>
      <c r="M868" t="str">
        <f t="shared" si="52"/>
        <v>Admis</v>
      </c>
      <c r="N868" t="str">
        <f t="shared" si="53"/>
        <v>Non eligible</v>
      </c>
      <c r="O868" t="str">
        <f t="shared" si="54"/>
        <v>RAS</v>
      </c>
      <c r="P868" t="str">
        <f t="shared" si="55"/>
        <v>Data</v>
      </c>
      <c r="Q868" t="str" cm="1">
        <f t="array" ref="Q868">_xlfn.IFS(H868&gt;=16,"Excellent",H868&gt;=14,"Très bien",H868&gt;=12,"Bien",H868&gt;=10,"Passable",H868&lt;10,"Insuffisant")</f>
        <v>Passable</v>
      </c>
    </row>
    <row r="869" spans="1:17">
      <c r="A869" t="s">
        <v>1197</v>
      </c>
      <c r="B869" t="s">
        <v>279</v>
      </c>
      <c r="C869" t="s">
        <v>24</v>
      </c>
      <c r="D869" t="s">
        <v>20</v>
      </c>
      <c r="E869" s="8" t="s">
        <v>26</v>
      </c>
      <c r="F869" s="8">
        <v>15.15</v>
      </c>
      <c r="G869" s="8">
        <v>13.51</v>
      </c>
      <c r="H869" s="8">
        <v>13.9</v>
      </c>
      <c r="I869" s="8">
        <v>16.329999999999998</v>
      </c>
      <c r="J869" s="6">
        <v>0.7762</v>
      </c>
      <c r="K869" s="4">
        <v>100000</v>
      </c>
      <c r="L869" s="2">
        <v>45936</v>
      </c>
      <c r="M869" t="str">
        <f t="shared" si="52"/>
        <v>Admis</v>
      </c>
      <c r="N869" t="str">
        <f t="shared" si="53"/>
        <v>Non eligible</v>
      </c>
      <c r="O869" t="str">
        <f t="shared" si="54"/>
        <v>RAS</v>
      </c>
      <c r="P869" t="str">
        <f t="shared" si="55"/>
        <v>Hors data</v>
      </c>
      <c r="Q869" t="str" cm="1">
        <f t="array" ref="Q869">_xlfn.IFS(H869&gt;=16,"Excellent",H869&gt;=14,"Très bien",H869&gt;=12,"Bien",H869&gt;=10,"Passable",H869&lt;10,"Insuffisant")</f>
        <v>Bien</v>
      </c>
    </row>
    <row r="870" spans="1:17">
      <c r="A870" t="s">
        <v>1198</v>
      </c>
      <c r="B870" t="s">
        <v>491</v>
      </c>
      <c r="C870" t="s">
        <v>19</v>
      </c>
      <c r="D870" t="s">
        <v>52</v>
      </c>
      <c r="E870" s="8" t="s">
        <v>34</v>
      </c>
      <c r="F870" s="8">
        <v>18.100000000000001</v>
      </c>
      <c r="G870" s="8">
        <v>12.54</v>
      </c>
      <c r="H870" s="8">
        <v>10.75</v>
      </c>
      <c r="I870" s="8">
        <v>12.91</v>
      </c>
      <c r="J870" s="6">
        <v>0.78990000000000005</v>
      </c>
      <c r="K870" s="4">
        <v>100000</v>
      </c>
      <c r="L870" s="2">
        <v>45576</v>
      </c>
      <c r="M870" t="str">
        <f t="shared" si="52"/>
        <v>Admis</v>
      </c>
      <c r="N870" t="str">
        <f t="shared" si="53"/>
        <v>Non eligible</v>
      </c>
      <c r="O870" t="str">
        <f t="shared" si="54"/>
        <v>RAS</v>
      </c>
      <c r="P870" t="str">
        <f t="shared" si="55"/>
        <v>Hors data</v>
      </c>
      <c r="Q870" t="str" cm="1">
        <f t="array" ref="Q870">_xlfn.IFS(H870&gt;=16,"Excellent",H870&gt;=14,"Très bien",H870&gt;=12,"Bien",H870&gt;=10,"Passable",H870&lt;10,"Insuffisant")</f>
        <v>Passable</v>
      </c>
    </row>
    <row r="871" spans="1:17">
      <c r="A871" t="s">
        <v>1199</v>
      </c>
      <c r="B871" t="s">
        <v>44</v>
      </c>
      <c r="C871" t="s">
        <v>19</v>
      </c>
      <c r="D871" t="s">
        <v>25</v>
      </c>
      <c r="E871" s="8" t="s">
        <v>21</v>
      </c>
      <c r="F871" s="8">
        <v>15.39</v>
      </c>
      <c r="G871" s="8">
        <v>17.54</v>
      </c>
      <c r="H871" s="8">
        <v>12.94</v>
      </c>
      <c r="I871" s="8">
        <v>13.23</v>
      </c>
      <c r="J871" s="6">
        <v>0.86750000000000005</v>
      </c>
      <c r="K871" s="4">
        <v>50000</v>
      </c>
      <c r="L871" s="2">
        <v>45570</v>
      </c>
      <c r="M871" t="str">
        <f t="shared" si="52"/>
        <v>Admis</v>
      </c>
      <c r="N871" t="str">
        <f t="shared" si="53"/>
        <v>Eligible</v>
      </c>
      <c r="O871" t="str">
        <f t="shared" si="54"/>
        <v>RAS</v>
      </c>
      <c r="P871" t="str">
        <f t="shared" si="55"/>
        <v>Data</v>
      </c>
      <c r="Q871" t="str" cm="1">
        <f t="array" ref="Q871">_xlfn.IFS(H871&gt;=16,"Excellent",H871&gt;=14,"Très bien",H871&gt;=12,"Bien",H871&gt;=10,"Passable",H871&lt;10,"Insuffisant")</f>
        <v>Bien</v>
      </c>
    </row>
    <row r="872" spans="1:17">
      <c r="A872" t="s">
        <v>1200</v>
      </c>
      <c r="B872" t="s">
        <v>563</v>
      </c>
      <c r="C872" t="s">
        <v>19</v>
      </c>
      <c r="D872" t="s">
        <v>25</v>
      </c>
      <c r="E872" s="8" t="s">
        <v>47</v>
      </c>
      <c r="F872" s="8">
        <v>8.98</v>
      </c>
      <c r="G872" s="8">
        <v>15.65</v>
      </c>
      <c r="H872" s="8">
        <v>14.61</v>
      </c>
      <c r="I872" s="8">
        <v>11.67</v>
      </c>
      <c r="J872" s="6">
        <v>0.97450000000000003</v>
      </c>
      <c r="K872" s="4">
        <v>100000</v>
      </c>
      <c r="L872" s="2">
        <v>45873</v>
      </c>
      <c r="M872" t="str">
        <f t="shared" si="52"/>
        <v>Admis</v>
      </c>
      <c r="N872" t="str">
        <f t="shared" si="53"/>
        <v>Non eligible</v>
      </c>
      <c r="O872" t="str">
        <f t="shared" si="54"/>
        <v>A surveiller</v>
      </c>
      <c r="P872" t="str">
        <f t="shared" si="55"/>
        <v>Hors data</v>
      </c>
      <c r="Q872" t="str" cm="1">
        <f t="array" ref="Q872">_xlfn.IFS(H872&gt;=16,"Excellent",H872&gt;=14,"Très bien",H872&gt;=12,"Bien",H872&gt;=10,"Passable",H872&lt;10,"Insuffisant")</f>
        <v>Très bien</v>
      </c>
    </row>
    <row r="873" spans="1:17">
      <c r="A873" t="s">
        <v>1201</v>
      </c>
      <c r="B873" t="s">
        <v>574</v>
      </c>
      <c r="C873" t="s">
        <v>19</v>
      </c>
      <c r="D873" t="s">
        <v>25</v>
      </c>
      <c r="E873" s="8" t="s">
        <v>21</v>
      </c>
      <c r="F873" s="8">
        <v>10.8</v>
      </c>
      <c r="G873" s="8">
        <v>18.100000000000001</v>
      </c>
      <c r="H873" s="8">
        <v>17.010000000000002</v>
      </c>
      <c r="I873" s="8">
        <v>14.13</v>
      </c>
      <c r="J873" s="6">
        <v>0.97970000000000002</v>
      </c>
      <c r="K873" s="4">
        <v>110000</v>
      </c>
      <c r="L873" s="2">
        <v>45818</v>
      </c>
      <c r="M873" t="str">
        <f t="shared" si="52"/>
        <v>Admis</v>
      </c>
      <c r="N873" t="str">
        <f t="shared" si="53"/>
        <v>Non eligible</v>
      </c>
      <c r="O873" t="str">
        <f t="shared" si="54"/>
        <v>RAS</v>
      </c>
      <c r="P873" t="str">
        <f t="shared" si="55"/>
        <v>Data</v>
      </c>
      <c r="Q873" t="str" cm="1">
        <f t="array" ref="Q873">_xlfn.IFS(H873&gt;=16,"Excellent",H873&gt;=14,"Très bien",H873&gt;=12,"Bien",H873&gt;=10,"Passable",H873&lt;10,"Insuffisant")</f>
        <v>Excellent</v>
      </c>
    </row>
    <row r="874" spans="1:17">
      <c r="A874" t="s">
        <v>1202</v>
      </c>
      <c r="B874" t="s">
        <v>1203</v>
      </c>
      <c r="C874" t="s">
        <v>19</v>
      </c>
      <c r="D874" t="s">
        <v>37</v>
      </c>
      <c r="E874" s="8" t="s">
        <v>26</v>
      </c>
      <c r="F874" s="8">
        <v>12.59</v>
      </c>
      <c r="G874" s="8">
        <v>10.4</v>
      </c>
      <c r="H874" s="8">
        <v>11.96</v>
      </c>
      <c r="I874" s="8">
        <v>10.52</v>
      </c>
      <c r="J874" s="6">
        <v>0.92959999999999998</v>
      </c>
      <c r="K874" s="4">
        <v>100000</v>
      </c>
      <c r="L874" s="2">
        <v>46131</v>
      </c>
      <c r="M874" t="str">
        <f t="shared" si="52"/>
        <v>Admis</v>
      </c>
      <c r="N874" t="str">
        <f t="shared" si="53"/>
        <v>Non eligible</v>
      </c>
      <c r="O874" t="str">
        <f t="shared" si="54"/>
        <v>RAS</v>
      </c>
      <c r="P874" t="str">
        <f t="shared" si="55"/>
        <v>Hors data</v>
      </c>
      <c r="Q874" t="str" cm="1">
        <f t="array" ref="Q874">_xlfn.IFS(H874&gt;=16,"Excellent",H874&gt;=14,"Très bien",H874&gt;=12,"Bien",H874&gt;=10,"Passable",H874&lt;10,"Insuffisant")</f>
        <v>Passable</v>
      </c>
    </row>
    <row r="875" spans="1:17">
      <c r="A875" t="s">
        <v>1204</v>
      </c>
      <c r="B875" t="s">
        <v>736</v>
      </c>
      <c r="C875" t="s">
        <v>19</v>
      </c>
      <c r="D875" t="s">
        <v>37</v>
      </c>
      <c r="E875" s="8" t="s">
        <v>26</v>
      </c>
      <c r="F875" s="8">
        <v>11.64</v>
      </c>
      <c r="G875" s="8">
        <v>14.73</v>
      </c>
      <c r="H875" s="8">
        <v>10.46</v>
      </c>
      <c r="I875" s="8">
        <v>10.86</v>
      </c>
      <c r="J875" s="6">
        <v>0.6784</v>
      </c>
      <c r="K875" s="4">
        <v>85000</v>
      </c>
      <c r="L875" s="2">
        <v>45944</v>
      </c>
      <c r="M875" t="str">
        <f t="shared" si="52"/>
        <v>Admis</v>
      </c>
      <c r="N875" t="str">
        <f t="shared" si="53"/>
        <v>Non eligible</v>
      </c>
      <c r="O875" t="str">
        <f t="shared" si="54"/>
        <v>RAS</v>
      </c>
      <c r="P875" t="str">
        <f t="shared" si="55"/>
        <v>Hors data</v>
      </c>
      <c r="Q875" t="str" cm="1">
        <f t="array" ref="Q875">_xlfn.IFS(H875&gt;=16,"Excellent",H875&gt;=14,"Très bien",H875&gt;=12,"Bien",H875&gt;=10,"Passable",H875&lt;10,"Insuffisant")</f>
        <v>Passable</v>
      </c>
    </row>
    <row r="876" spans="1:17">
      <c r="A876" t="s">
        <v>1205</v>
      </c>
      <c r="B876" t="s">
        <v>316</v>
      </c>
      <c r="C876" t="s">
        <v>24</v>
      </c>
      <c r="D876" t="s">
        <v>40</v>
      </c>
      <c r="E876" s="8" t="s">
        <v>26</v>
      </c>
      <c r="F876" s="8">
        <v>16.04</v>
      </c>
      <c r="G876" s="8">
        <v>11.75</v>
      </c>
      <c r="H876" s="8">
        <v>13.87</v>
      </c>
      <c r="I876" s="8">
        <v>16.010000000000002</v>
      </c>
      <c r="J876" s="6">
        <v>0.68859999999999999</v>
      </c>
      <c r="K876" s="4">
        <v>50000</v>
      </c>
      <c r="L876" s="2">
        <v>46065</v>
      </c>
      <c r="M876" t="str">
        <f t="shared" si="52"/>
        <v>Admis</v>
      </c>
      <c r="N876" t="str">
        <f t="shared" si="53"/>
        <v>Non eligible</v>
      </c>
      <c r="O876" t="str">
        <f t="shared" si="54"/>
        <v>RAS</v>
      </c>
      <c r="P876" t="str">
        <f t="shared" si="55"/>
        <v>Hors data</v>
      </c>
      <c r="Q876" t="str" cm="1">
        <f t="array" ref="Q876">_xlfn.IFS(H876&gt;=16,"Excellent",H876&gt;=14,"Très bien",H876&gt;=12,"Bien",H876&gt;=10,"Passable",H876&lt;10,"Insuffisant")</f>
        <v>Bien</v>
      </c>
    </row>
    <row r="877" spans="1:17">
      <c r="A877" t="s">
        <v>1206</v>
      </c>
      <c r="B877" t="s">
        <v>776</v>
      </c>
      <c r="C877" t="s">
        <v>24</v>
      </c>
      <c r="D877" t="s">
        <v>25</v>
      </c>
      <c r="E877" s="8" t="s">
        <v>34</v>
      </c>
      <c r="F877" s="8">
        <v>14.02</v>
      </c>
      <c r="G877" s="8">
        <v>17.22</v>
      </c>
      <c r="H877" s="8">
        <v>20</v>
      </c>
      <c r="I877" s="8">
        <v>13.23</v>
      </c>
      <c r="J877" s="6">
        <v>0.92969999999999997</v>
      </c>
      <c r="K877" s="4">
        <v>85000</v>
      </c>
      <c r="L877" s="2">
        <v>45945</v>
      </c>
      <c r="M877" t="str">
        <f t="shared" si="52"/>
        <v>Admis</v>
      </c>
      <c r="N877" t="str">
        <f t="shared" si="53"/>
        <v>Eligible</v>
      </c>
      <c r="O877" t="str">
        <f t="shared" si="54"/>
        <v>RAS</v>
      </c>
      <c r="P877" t="str">
        <f t="shared" si="55"/>
        <v>Hors data</v>
      </c>
      <c r="Q877" t="str" cm="1">
        <f t="array" ref="Q877">_xlfn.IFS(H877&gt;=16,"Excellent",H877&gt;=14,"Très bien",H877&gt;=12,"Bien",H877&gt;=10,"Passable",H877&lt;10,"Insuffisant")</f>
        <v>Excellent</v>
      </c>
    </row>
    <row r="878" spans="1:17">
      <c r="A878" t="s">
        <v>1207</v>
      </c>
      <c r="B878" t="s">
        <v>54</v>
      </c>
      <c r="C878" t="s">
        <v>24</v>
      </c>
      <c r="D878" t="s">
        <v>52</v>
      </c>
      <c r="E878" s="8" t="s">
        <v>21</v>
      </c>
      <c r="F878" s="8">
        <v>10.08</v>
      </c>
      <c r="G878" s="8">
        <v>14.71</v>
      </c>
      <c r="H878" s="8">
        <v>8.74</v>
      </c>
      <c r="I878" s="8">
        <v>7.94</v>
      </c>
      <c r="J878" s="6">
        <v>0.97289999999999999</v>
      </c>
      <c r="K878" s="4">
        <v>100000</v>
      </c>
      <c r="L878" s="2">
        <v>45777</v>
      </c>
      <c r="M878" t="str">
        <f t="shared" si="52"/>
        <v>Non admis</v>
      </c>
      <c r="N878" t="str">
        <f t="shared" si="53"/>
        <v>Non eligible</v>
      </c>
      <c r="O878" t="str">
        <f t="shared" si="54"/>
        <v>A surveiller</v>
      </c>
      <c r="P878" t="str">
        <f t="shared" si="55"/>
        <v>Data</v>
      </c>
      <c r="Q878" t="str" cm="1">
        <f t="array" ref="Q878">_xlfn.IFS(H878&gt;=16,"Excellent",H878&gt;=14,"Très bien",H878&gt;=12,"Bien",H878&gt;=10,"Passable",H878&lt;10,"Insuffisant")</f>
        <v>Insuffisant</v>
      </c>
    </row>
    <row r="879" spans="1:17">
      <c r="A879" t="s">
        <v>1208</v>
      </c>
      <c r="B879" t="s">
        <v>441</v>
      </c>
      <c r="C879" t="s">
        <v>24</v>
      </c>
      <c r="D879" t="s">
        <v>25</v>
      </c>
      <c r="E879" s="8" t="s">
        <v>34</v>
      </c>
      <c r="F879" s="8">
        <v>11.69</v>
      </c>
      <c r="G879" s="8">
        <v>10.68</v>
      </c>
      <c r="H879" s="8">
        <v>10.88</v>
      </c>
      <c r="I879" s="8">
        <v>7.75</v>
      </c>
      <c r="J879" s="6">
        <v>0.82310000000000005</v>
      </c>
      <c r="K879" s="4">
        <v>90000</v>
      </c>
      <c r="L879" s="2">
        <v>45996</v>
      </c>
      <c r="M879" t="str">
        <f t="shared" si="52"/>
        <v>Admis</v>
      </c>
      <c r="N879" t="str">
        <f t="shared" si="53"/>
        <v>Non eligible</v>
      </c>
      <c r="O879" t="str">
        <f t="shared" si="54"/>
        <v>RAS</v>
      </c>
      <c r="P879" t="str">
        <f t="shared" si="55"/>
        <v>Hors data</v>
      </c>
      <c r="Q879" t="str" cm="1">
        <f t="array" ref="Q879">_xlfn.IFS(H879&gt;=16,"Excellent",H879&gt;=14,"Très bien",H879&gt;=12,"Bien",H879&gt;=10,"Passable",H879&lt;10,"Insuffisant")</f>
        <v>Passable</v>
      </c>
    </row>
    <row r="880" spans="1:17">
      <c r="A880" t="s">
        <v>1209</v>
      </c>
      <c r="B880" t="s">
        <v>23</v>
      </c>
      <c r="C880" t="s">
        <v>24</v>
      </c>
      <c r="D880" t="s">
        <v>25</v>
      </c>
      <c r="E880" s="8" t="s">
        <v>34</v>
      </c>
      <c r="F880" s="8">
        <v>6.81</v>
      </c>
      <c r="G880" s="8">
        <v>6.49</v>
      </c>
      <c r="H880" s="8">
        <v>4.55</v>
      </c>
      <c r="I880" s="8">
        <v>10.87</v>
      </c>
      <c r="J880" s="6">
        <v>0.77610000000000001</v>
      </c>
      <c r="K880" s="4">
        <v>90000</v>
      </c>
      <c r="L880" s="2">
        <v>45971</v>
      </c>
      <c r="M880" t="str">
        <f t="shared" si="52"/>
        <v>Non admis</v>
      </c>
      <c r="N880" t="str">
        <f t="shared" si="53"/>
        <v>Non eligible</v>
      </c>
      <c r="O880" t="str">
        <f t="shared" si="54"/>
        <v>A surveiller</v>
      </c>
      <c r="P880" t="str">
        <f t="shared" si="55"/>
        <v>Hors data</v>
      </c>
      <c r="Q880" t="str" cm="1">
        <f t="array" ref="Q880">_xlfn.IFS(H880&gt;=16,"Excellent",H880&gt;=14,"Très bien",H880&gt;=12,"Bien",H880&gt;=10,"Passable",H880&lt;10,"Insuffisant")</f>
        <v>Insuffisant</v>
      </c>
    </row>
    <row r="881" spans="1:17">
      <c r="A881" t="s">
        <v>1210</v>
      </c>
      <c r="B881" t="s">
        <v>126</v>
      </c>
      <c r="C881" t="s">
        <v>24</v>
      </c>
      <c r="D881" t="s">
        <v>33</v>
      </c>
      <c r="E881" s="8" t="s">
        <v>26</v>
      </c>
      <c r="F881" s="8">
        <v>12.65</v>
      </c>
      <c r="G881" s="8">
        <v>14.89</v>
      </c>
      <c r="H881" s="8">
        <v>17.14</v>
      </c>
      <c r="I881" s="8">
        <v>11.58</v>
      </c>
      <c r="J881" s="6">
        <v>0.94079999999999997</v>
      </c>
      <c r="K881" s="4">
        <v>85000</v>
      </c>
      <c r="L881" s="2">
        <v>46040</v>
      </c>
      <c r="M881" t="str">
        <f t="shared" si="52"/>
        <v>Admis</v>
      </c>
      <c r="N881" t="str">
        <f t="shared" si="53"/>
        <v>Eligible</v>
      </c>
      <c r="O881" t="str">
        <f t="shared" si="54"/>
        <v>RAS</v>
      </c>
      <c r="P881" t="str">
        <f t="shared" si="55"/>
        <v>Hors data</v>
      </c>
      <c r="Q881" t="str" cm="1">
        <f t="array" ref="Q881">_xlfn.IFS(H881&gt;=16,"Excellent",H881&gt;=14,"Très bien",H881&gt;=12,"Bien",H881&gt;=10,"Passable",H881&lt;10,"Insuffisant")</f>
        <v>Excellent</v>
      </c>
    </row>
    <row r="882" spans="1:17">
      <c r="A882" t="s">
        <v>1211</v>
      </c>
      <c r="B882" t="s">
        <v>606</v>
      </c>
      <c r="C882" t="s">
        <v>19</v>
      </c>
      <c r="D882" t="s">
        <v>33</v>
      </c>
      <c r="E882" s="8" t="s">
        <v>47</v>
      </c>
      <c r="F882" s="8">
        <v>10.42</v>
      </c>
      <c r="G882" s="8">
        <v>9.73</v>
      </c>
      <c r="H882" s="8">
        <v>9.52</v>
      </c>
      <c r="I882" s="8">
        <v>11.51</v>
      </c>
      <c r="J882" s="6">
        <v>0.65229999999999999</v>
      </c>
      <c r="K882" s="4">
        <v>90000</v>
      </c>
      <c r="L882" s="2">
        <v>45668</v>
      </c>
      <c r="M882" t="str">
        <f t="shared" si="52"/>
        <v>Non admis</v>
      </c>
      <c r="N882" t="str">
        <f t="shared" si="53"/>
        <v>Non eligible</v>
      </c>
      <c r="O882" t="str">
        <f t="shared" si="54"/>
        <v>A surveiller</v>
      </c>
      <c r="P882" t="str">
        <f t="shared" si="55"/>
        <v>Hors data</v>
      </c>
      <c r="Q882" t="str" cm="1">
        <f t="array" ref="Q882">_xlfn.IFS(H882&gt;=16,"Excellent",H882&gt;=14,"Très bien",H882&gt;=12,"Bien",H882&gt;=10,"Passable",H882&lt;10,"Insuffisant")</f>
        <v>Insuffisant</v>
      </c>
    </row>
    <row r="883" spans="1:17">
      <c r="A883" t="s">
        <v>1212</v>
      </c>
      <c r="B883" t="s">
        <v>84</v>
      </c>
      <c r="C883" t="s">
        <v>24</v>
      </c>
      <c r="D883" t="s">
        <v>52</v>
      </c>
      <c r="E883" s="8" t="s">
        <v>26</v>
      </c>
      <c r="F883" s="8">
        <v>13.62</v>
      </c>
      <c r="G883" s="8">
        <v>9.76</v>
      </c>
      <c r="H883" s="8">
        <v>14.93</v>
      </c>
      <c r="I883" s="8">
        <v>14.46</v>
      </c>
      <c r="J883" s="6">
        <v>0.55000000000000004</v>
      </c>
      <c r="K883" s="4">
        <v>75000</v>
      </c>
      <c r="L883" s="2">
        <v>45985</v>
      </c>
      <c r="M883" t="str">
        <f t="shared" si="52"/>
        <v>Admis</v>
      </c>
      <c r="N883" t="str">
        <f t="shared" si="53"/>
        <v>Non eligible</v>
      </c>
      <c r="O883" t="str">
        <f t="shared" si="54"/>
        <v>RAS</v>
      </c>
      <c r="P883" t="str">
        <f t="shared" si="55"/>
        <v>Hors data</v>
      </c>
      <c r="Q883" t="str" cm="1">
        <f t="array" ref="Q883">_xlfn.IFS(H883&gt;=16,"Excellent",H883&gt;=14,"Très bien",H883&gt;=12,"Bien",H883&gt;=10,"Passable",H883&lt;10,"Insuffisant")</f>
        <v>Très bien</v>
      </c>
    </row>
    <row r="884" spans="1:17">
      <c r="A884" t="s">
        <v>1213</v>
      </c>
      <c r="B884" t="s">
        <v>832</v>
      </c>
      <c r="C884" t="s">
        <v>19</v>
      </c>
      <c r="D884" t="s">
        <v>52</v>
      </c>
      <c r="E884" s="8" t="s">
        <v>26</v>
      </c>
      <c r="F884" s="8">
        <v>15.32</v>
      </c>
      <c r="G884" s="8">
        <v>17.29</v>
      </c>
      <c r="H884" s="8">
        <v>15.28</v>
      </c>
      <c r="I884" s="8">
        <v>14.93</v>
      </c>
      <c r="J884" s="6">
        <v>0.61939999999999995</v>
      </c>
      <c r="K884" s="4">
        <v>90000</v>
      </c>
      <c r="L884" s="2">
        <v>45735</v>
      </c>
      <c r="M884" t="str">
        <f t="shared" si="52"/>
        <v>Admis</v>
      </c>
      <c r="N884" t="str">
        <f t="shared" si="53"/>
        <v>Non eligible</v>
      </c>
      <c r="O884" t="str">
        <f t="shared" si="54"/>
        <v>RAS</v>
      </c>
      <c r="P884" t="str">
        <f t="shared" si="55"/>
        <v>Hors data</v>
      </c>
      <c r="Q884" t="str" cm="1">
        <f t="array" ref="Q884">_xlfn.IFS(H884&gt;=16,"Excellent",H884&gt;=14,"Très bien",H884&gt;=12,"Bien",H884&gt;=10,"Passable",H884&lt;10,"Insuffisant")</f>
        <v>Très bien</v>
      </c>
    </row>
    <row r="885" spans="1:17">
      <c r="A885" t="s">
        <v>1214</v>
      </c>
      <c r="B885" t="s">
        <v>371</v>
      </c>
      <c r="C885" t="s">
        <v>19</v>
      </c>
      <c r="D885" t="s">
        <v>52</v>
      </c>
      <c r="E885" s="8" t="s">
        <v>47</v>
      </c>
      <c r="F885" s="8">
        <v>13.85</v>
      </c>
      <c r="G885" s="8">
        <v>14.56</v>
      </c>
      <c r="H885" s="8">
        <v>13.25</v>
      </c>
      <c r="I885" s="8">
        <v>8.57</v>
      </c>
      <c r="J885" s="6">
        <v>0.72609999999999997</v>
      </c>
      <c r="K885" s="4">
        <v>75000</v>
      </c>
      <c r="L885" s="2">
        <v>46089</v>
      </c>
      <c r="M885" t="str">
        <f t="shared" si="52"/>
        <v>Admis</v>
      </c>
      <c r="N885" t="str">
        <f t="shared" si="53"/>
        <v>Non eligible</v>
      </c>
      <c r="O885" t="str">
        <f t="shared" si="54"/>
        <v>RAS</v>
      </c>
      <c r="P885" t="str">
        <f t="shared" si="55"/>
        <v>Hors data</v>
      </c>
      <c r="Q885" t="str" cm="1">
        <f t="array" ref="Q885">_xlfn.IFS(H885&gt;=16,"Excellent",H885&gt;=14,"Très bien",H885&gt;=12,"Bien",H885&gt;=10,"Passable",H885&lt;10,"Insuffisant")</f>
        <v>Bien</v>
      </c>
    </row>
    <row r="886" spans="1:17">
      <c r="A886" t="s">
        <v>1215</v>
      </c>
      <c r="B886" t="s">
        <v>1033</v>
      </c>
      <c r="C886" t="s">
        <v>24</v>
      </c>
      <c r="D886" t="s">
        <v>52</v>
      </c>
      <c r="E886" s="8" t="s">
        <v>21</v>
      </c>
      <c r="F886" s="8">
        <v>13.13</v>
      </c>
      <c r="G886" s="8">
        <v>13.86</v>
      </c>
      <c r="H886" s="8">
        <v>15.82</v>
      </c>
      <c r="I886" s="8">
        <v>11.05</v>
      </c>
      <c r="J886" s="6">
        <v>0.76170000000000004</v>
      </c>
      <c r="K886" s="4">
        <v>85000</v>
      </c>
      <c r="L886" s="2">
        <v>46094</v>
      </c>
      <c r="M886" t="str">
        <f t="shared" si="52"/>
        <v>Admis</v>
      </c>
      <c r="N886" t="str">
        <f t="shared" si="53"/>
        <v>Non eligible</v>
      </c>
      <c r="O886" t="str">
        <f t="shared" si="54"/>
        <v>RAS</v>
      </c>
      <c r="P886" t="str">
        <f t="shared" si="55"/>
        <v>Data</v>
      </c>
      <c r="Q886" t="str" cm="1">
        <f t="array" ref="Q886">_xlfn.IFS(H886&gt;=16,"Excellent",H886&gt;=14,"Très bien",H886&gt;=12,"Bien",H886&gt;=10,"Passable",H886&lt;10,"Insuffisant")</f>
        <v>Très bien</v>
      </c>
    </row>
    <row r="887" spans="1:17">
      <c r="A887" t="s">
        <v>1216</v>
      </c>
      <c r="B887" t="s">
        <v>719</v>
      </c>
      <c r="C887" t="s">
        <v>24</v>
      </c>
      <c r="D887" t="s">
        <v>40</v>
      </c>
      <c r="E887" s="8" t="s">
        <v>21</v>
      </c>
      <c r="F887" s="8">
        <v>9.74</v>
      </c>
      <c r="G887" s="8">
        <v>12.23</v>
      </c>
      <c r="H887" s="8">
        <v>11.87</v>
      </c>
      <c r="I887" s="8">
        <v>14.45</v>
      </c>
      <c r="J887" s="6">
        <v>0.66259999999999997</v>
      </c>
      <c r="K887" s="4">
        <v>80000</v>
      </c>
      <c r="L887" s="2">
        <v>45973</v>
      </c>
      <c r="M887" t="str">
        <f t="shared" si="52"/>
        <v>Admis</v>
      </c>
      <c r="N887" t="str">
        <f t="shared" si="53"/>
        <v>Non eligible</v>
      </c>
      <c r="O887" t="str">
        <f t="shared" si="54"/>
        <v>A surveiller</v>
      </c>
      <c r="P887" t="str">
        <f t="shared" si="55"/>
        <v>Data</v>
      </c>
      <c r="Q887" t="str" cm="1">
        <f t="array" ref="Q887">_xlfn.IFS(H887&gt;=16,"Excellent",H887&gt;=14,"Très bien",H887&gt;=12,"Bien",H887&gt;=10,"Passable",H887&lt;10,"Insuffisant")</f>
        <v>Passable</v>
      </c>
    </row>
    <row r="888" spans="1:17">
      <c r="A888" t="s">
        <v>1217</v>
      </c>
      <c r="B888" t="s">
        <v>561</v>
      </c>
      <c r="C888" t="s">
        <v>19</v>
      </c>
      <c r="D888" t="s">
        <v>33</v>
      </c>
      <c r="E888" s="8" t="s">
        <v>21</v>
      </c>
      <c r="F888" s="8">
        <v>19.73</v>
      </c>
      <c r="G888" s="8">
        <v>13.67</v>
      </c>
      <c r="H888" s="8">
        <v>17.98</v>
      </c>
      <c r="I888" s="8">
        <v>12.51</v>
      </c>
      <c r="J888" s="6">
        <v>0.90469999999999995</v>
      </c>
      <c r="K888" s="4">
        <v>100000</v>
      </c>
      <c r="L888" s="2">
        <v>46198</v>
      </c>
      <c r="M888" t="str">
        <f t="shared" si="52"/>
        <v>Admis</v>
      </c>
      <c r="N888" t="str">
        <f t="shared" si="53"/>
        <v>Eligible</v>
      </c>
      <c r="O888" t="str">
        <f t="shared" si="54"/>
        <v>RAS</v>
      </c>
      <c r="P888" t="str">
        <f t="shared" si="55"/>
        <v>Data</v>
      </c>
      <c r="Q888" t="str" cm="1">
        <f t="array" ref="Q888">_xlfn.IFS(H888&gt;=16,"Excellent",H888&gt;=14,"Très bien",H888&gt;=12,"Bien",H888&gt;=10,"Passable",H888&lt;10,"Insuffisant")</f>
        <v>Excellent</v>
      </c>
    </row>
    <row r="889" spans="1:17">
      <c r="A889" t="s">
        <v>1218</v>
      </c>
      <c r="B889" t="s">
        <v>717</v>
      </c>
      <c r="C889" t="s">
        <v>19</v>
      </c>
      <c r="D889" t="s">
        <v>25</v>
      </c>
      <c r="E889" s="8" t="s">
        <v>47</v>
      </c>
      <c r="F889" s="8">
        <v>13.5</v>
      </c>
      <c r="G889" s="8">
        <v>14.9</v>
      </c>
      <c r="H889" s="8">
        <v>13.36</v>
      </c>
      <c r="I889" s="8">
        <v>15.59</v>
      </c>
      <c r="J889" s="6">
        <v>0.84689999999999999</v>
      </c>
      <c r="K889" s="4">
        <v>120000</v>
      </c>
      <c r="L889" s="2">
        <v>45912</v>
      </c>
      <c r="M889" t="str">
        <f t="shared" si="52"/>
        <v>Admis</v>
      </c>
      <c r="N889" t="str">
        <f t="shared" si="53"/>
        <v>Eligible</v>
      </c>
      <c r="O889" t="str">
        <f t="shared" si="54"/>
        <v>RAS</v>
      </c>
      <c r="P889" t="str">
        <f t="shared" si="55"/>
        <v>Hors data</v>
      </c>
      <c r="Q889" t="str" cm="1">
        <f t="array" ref="Q889">_xlfn.IFS(H889&gt;=16,"Excellent",H889&gt;=14,"Très bien",H889&gt;=12,"Bien",H889&gt;=10,"Passable",H889&lt;10,"Insuffisant")</f>
        <v>Bien</v>
      </c>
    </row>
    <row r="890" spans="1:17">
      <c r="A890" t="s">
        <v>1219</v>
      </c>
      <c r="B890" t="s">
        <v>324</v>
      </c>
      <c r="C890" t="s">
        <v>19</v>
      </c>
      <c r="D890" t="s">
        <v>37</v>
      </c>
      <c r="E890" s="8" t="s">
        <v>21</v>
      </c>
      <c r="F890" s="8">
        <v>10.31</v>
      </c>
      <c r="G890" s="8">
        <v>10.73</v>
      </c>
      <c r="H890" s="8">
        <v>13.47</v>
      </c>
      <c r="I890" s="8">
        <v>11.71</v>
      </c>
      <c r="J890" s="6">
        <v>0.82040000000000002</v>
      </c>
      <c r="K890" s="4">
        <v>90000</v>
      </c>
      <c r="L890" s="2">
        <v>45553</v>
      </c>
      <c r="M890" t="str">
        <f t="shared" si="52"/>
        <v>Admis</v>
      </c>
      <c r="N890" t="str">
        <f t="shared" si="53"/>
        <v>Non eligible</v>
      </c>
      <c r="O890" t="str">
        <f t="shared" si="54"/>
        <v>RAS</v>
      </c>
      <c r="P890" t="str">
        <f t="shared" si="55"/>
        <v>Data</v>
      </c>
      <c r="Q890" t="str" cm="1">
        <f t="array" ref="Q890">_xlfn.IFS(H890&gt;=16,"Excellent",H890&gt;=14,"Très bien",H890&gt;=12,"Bien",H890&gt;=10,"Passable",H890&lt;10,"Insuffisant")</f>
        <v>Bien</v>
      </c>
    </row>
    <row r="891" spans="1:17">
      <c r="A891" t="s">
        <v>1220</v>
      </c>
      <c r="B891" t="s">
        <v>64</v>
      </c>
      <c r="C891" t="s">
        <v>19</v>
      </c>
      <c r="D891" t="s">
        <v>40</v>
      </c>
      <c r="E891" s="8" t="s">
        <v>26</v>
      </c>
      <c r="F891" s="8">
        <v>12.88</v>
      </c>
      <c r="G891" s="8">
        <v>11.2</v>
      </c>
      <c r="H891" s="8">
        <v>12.37</v>
      </c>
      <c r="I891" s="8">
        <v>13.76</v>
      </c>
      <c r="J891" s="6">
        <v>0.73619999999999997</v>
      </c>
      <c r="K891" s="4">
        <v>60000</v>
      </c>
      <c r="L891" s="2">
        <v>45960</v>
      </c>
      <c r="M891" t="str">
        <f t="shared" si="52"/>
        <v>Admis</v>
      </c>
      <c r="N891" t="str">
        <f t="shared" si="53"/>
        <v>Non eligible</v>
      </c>
      <c r="O891" t="str">
        <f t="shared" si="54"/>
        <v>RAS</v>
      </c>
      <c r="P891" t="str">
        <f t="shared" si="55"/>
        <v>Hors data</v>
      </c>
      <c r="Q891" t="str" cm="1">
        <f t="array" ref="Q891">_xlfn.IFS(H891&gt;=16,"Excellent",H891&gt;=14,"Très bien",H891&gt;=12,"Bien",H891&gt;=10,"Passable",H891&lt;10,"Insuffisant")</f>
        <v>Bien</v>
      </c>
    </row>
    <row r="892" spans="1:17">
      <c r="A892" t="s">
        <v>1221</v>
      </c>
      <c r="B892" t="s">
        <v>177</v>
      </c>
      <c r="C892" t="s">
        <v>19</v>
      </c>
      <c r="D892" t="s">
        <v>37</v>
      </c>
      <c r="E892" s="8" t="s">
        <v>21</v>
      </c>
      <c r="F892" s="8">
        <v>16.57</v>
      </c>
      <c r="G892" s="8">
        <v>20</v>
      </c>
      <c r="H892" s="8">
        <v>17.39</v>
      </c>
      <c r="I892" s="8">
        <v>17.36</v>
      </c>
      <c r="J892" s="6">
        <v>0.80800000000000005</v>
      </c>
      <c r="K892" s="4">
        <v>100000</v>
      </c>
      <c r="L892" s="2">
        <v>46080</v>
      </c>
      <c r="M892" t="str">
        <f t="shared" si="52"/>
        <v>Admis</v>
      </c>
      <c r="N892" t="str">
        <f t="shared" si="53"/>
        <v>Eligible</v>
      </c>
      <c r="O892" t="str">
        <f t="shared" si="54"/>
        <v>RAS</v>
      </c>
      <c r="P892" t="str">
        <f t="shared" si="55"/>
        <v>Data</v>
      </c>
      <c r="Q892" t="str" cm="1">
        <f t="array" ref="Q892">_xlfn.IFS(H892&gt;=16,"Excellent",H892&gt;=14,"Très bien",H892&gt;=12,"Bien",H892&gt;=10,"Passable",H892&lt;10,"Insuffisant")</f>
        <v>Excellent</v>
      </c>
    </row>
    <row r="893" spans="1:17">
      <c r="A893" t="s">
        <v>1222</v>
      </c>
      <c r="B893" t="s">
        <v>49</v>
      </c>
      <c r="C893" t="s">
        <v>24</v>
      </c>
      <c r="D893" t="s">
        <v>40</v>
      </c>
      <c r="E893" s="8" t="s">
        <v>26</v>
      </c>
      <c r="F893" s="8">
        <v>13.75</v>
      </c>
      <c r="G893" s="8">
        <v>16.03</v>
      </c>
      <c r="H893" s="8">
        <v>13.79</v>
      </c>
      <c r="I893" s="8">
        <v>12.45</v>
      </c>
      <c r="J893" s="6">
        <v>0.62170000000000003</v>
      </c>
      <c r="K893" s="4">
        <v>75000</v>
      </c>
      <c r="L893" s="2">
        <v>45606</v>
      </c>
      <c r="M893" t="str">
        <f t="shared" si="52"/>
        <v>Admis</v>
      </c>
      <c r="N893" t="str">
        <f t="shared" si="53"/>
        <v>Non eligible</v>
      </c>
      <c r="O893" t="str">
        <f t="shared" si="54"/>
        <v>RAS</v>
      </c>
      <c r="P893" t="str">
        <f t="shared" si="55"/>
        <v>Hors data</v>
      </c>
      <c r="Q893" t="str" cm="1">
        <f t="array" ref="Q893">_xlfn.IFS(H893&gt;=16,"Excellent",H893&gt;=14,"Très bien",H893&gt;=12,"Bien",H893&gt;=10,"Passable",H893&lt;10,"Insuffisant")</f>
        <v>Bien</v>
      </c>
    </row>
    <row r="894" spans="1:17">
      <c r="A894" t="s">
        <v>1223</v>
      </c>
      <c r="B894" t="s">
        <v>259</v>
      </c>
      <c r="C894" t="s">
        <v>24</v>
      </c>
      <c r="D894" t="s">
        <v>52</v>
      </c>
      <c r="E894" s="8" t="s">
        <v>47</v>
      </c>
      <c r="F894" s="8">
        <v>9.5500000000000007</v>
      </c>
      <c r="G894" s="8">
        <v>11.25</v>
      </c>
      <c r="H894" s="8">
        <v>9.9</v>
      </c>
      <c r="I894" s="8">
        <v>7.34</v>
      </c>
      <c r="J894" s="6">
        <v>0.85919999999999996</v>
      </c>
      <c r="K894" s="4">
        <v>50000</v>
      </c>
      <c r="L894" s="2">
        <v>45609</v>
      </c>
      <c r="M894" t="str">
        <f t="shared" si="52"/>
        <v>Non admis</v>
      </c>
      <c r="N894" t="str">
        <f t="shared" si="53"/>
        <v>Non eligible</v>
      </c>
      <c r="O894" t="str">
        <f t="shared" si="54"/>
        <v>A surveiller</v>
      </c>
      <c r="P894" t="str">
        <f t="shared" si="55"/>
        <v>Hors data</v>
      </c>
      <c r="Q894" t="str" cm="1">
        <f t="array" ref="Q894">_xlfn.IFS(H894&gt;=16,"Excellent",H894&gt;=14,"Très bien",H894&gt;=12,"Bien",H894&gt;=10,"Passable",H894&lt;10,"Insuffisant")</f>
        <v>Insuffisant</v>
      </c>
    </row>
    <row r="895" spans="1:17">
      <c r="A895" t="s">
        <v>1224</v>
      </c>
      <c r="B895" t="s">
        <v>51</v>
      </c>
      <c r="C895" t="s">
        <v>24</v>
      </c>
      <c r="D895" t="s">
        <v>52</v>
      </c>
      <c r="E895" s="8" t="s">
        <v>21</v>
      </c>
      <c r="F895" s="8">
        <v>15.25</v>
      </c>
      <c r="G895" s="8">
        <v>17.68</v>
      </c>
      <c r="H895" s="8">
        <v>13.17</v>
      </c>
      <c r="I895" s="8">
        <v>16.809999999999999</v>
      </c>
      <c r="J895" s="6">
        <v>0.87939999999999996</v>
      </c>
      <c r="K895" s="4">
        <v>70000</v>
      </c>
      <c r="L895" s="2">
        <v>45727</v>
      </c>
      <c r="M895" t="str">
        <f t="shared" si="52"/>
        <v>Admis</v>
      </c>
      <c r="N895" t="str">
        <f t="shared" si="53"/>
        <v>Eligible</v>
      </c>
      <c r="O895" t="str">
        <f t="shared" si="54"/>
        <v>RAS</v>
      </c>
      <c r="P895" t="str">
        <f t="shared" si="55"/>
        <v>Data</v>
      </c>
      <c r="Q895" t="str" cm="1">
        <f t="array" ref="Q895">_xlfn.IFS(H895&gt;=16,"Excellent",H895&gt;=14,"Très bien",H895&gt;=12,"Bien",H895&gt;=10,"Passable",H895&lt;10,"Insuffisant")</f>
        <v>Bien</v>
      </c>
    </row>
    <row r="896" spans="1:17">
      <c r="A896" t="s">
        <v>1225</v>
      </c>
      <c r="B896" t="s">
        <v>584</v>
      </c>
      <c r="C896" t="s">
        <v>24</v>
      </c>
      <c r="D896" t="s">
        <v>52</v>
      </c>
      <c r="E896" s="8" t="s">
        <v>21</v>
      </c>
      <c r="F896" s="8">
        <v>10.85</v>
      </c>
      <c r="G896" s="8">
        <v>12.56</v>
      </c>
      <c r="H896" s="8">
        <v>11.21</v>
      </c>
      <c r="I896" s="8">
        <v>8.98</v>
      </c>
      <c r="J896" s="6">
        <v>0.89259999999999995</v>
      </c>
      <c r="K896" s="4">
        <v>130000</v>
      </c>
      <c r="L896" s="2">
        <v>46126</v>
      </c>
      <c r="M896" t="str">
        <f t="shared" si="52"/>
        <v>Admis</v>
      </c>
      <c r="N896" t="str">
        <f t="shared" si="53"/>
        <v>Non eligible</v>
      </c>
      <c r="O896" t="str">
        <f t="shared" si="54"/>
        <v>RAS</v>
      </c>
      <c r="P896" t="str">
        <f t="shared" si="55"/>
        <v>Data</v>
      </c>
      <c r="Q896" t="str" cm="1">
        <f t="array" ref="Q896">_xlfn.IFS(H896&gt;=16,"Excellent",H896&gt;=14,"Très bien",H896&gt;=12,"Bien",H896&gt;=10,"Passable",H896&lt;10,"Insuffisant")</f>
        <v>Passable</v>
      </c>
    </row>
    <row r="897" spans="1:17">
      <c r="A897" t="s">
        <v>1226</v>
      </c>
      <c r="B897" t="s">
        <v>622</v>
      </c>
      <c r="C897" t="s">
        <v>24</v>
      </c>
      <c r="D897" t="s">
        <v>25</v>
      </c>
      <c r="E897" s="8" t="s">
        <v>34</v>
      </c>
      <c r="F897" s="8">
        <v>12.27</v>
      </c>
      <c r="G897" s="8">
        <v>16.95</v>
      </c>
      <c r="H897" s="8">
        <v>17.75</v>
      </c>
      <c r="I897" s="8">
        <v>11.3</v>
      </c>
      <c r="J897" s="6">
        <v>0.78939999999999999</v>
      </c>
      <c r="K897" s="4">
        <v>80000</v>
      </c>
      <c r="L897" s="2">
        <v>45905</v>
      </c>
      <c r="M897" t="str">
        <f t="shared" si="52"/>
        <v>Admis</v>
      </c>
      <c r="N897" t="str">
        <f t="shared" si="53"/>
        <v>Non eligible</v>
      </c>
      <c r="O897" t="str">
        <f t="shared" si="54"/>
        <v>RAS</v>
      </c>
      <c r="P897" t="str">
        <f t="shared" si="55"/>
        <v>Hors data</v>
      </c>
      <c r="Q897" t="str" cm="1">
        <f t="array" ref="Q897">_xlfn.IFS(H897&gt;=16,"Excellent",H897&gt;=14,"Très bien",H897&gt;=12,"Bien",H897&gt;=10,"Passable",H897&lt;10,"Insuffisant")</f>
        <v>Excellent</v>
      </c>
    </row>
    <row r="898" spans="1:17">
      <c r="A898" t="s">
        <v>1227</v>
      </c>
      <c r="B898" t="s">
        <v>128</v>
      </c>
      <c r="C898" t="s">
        <v>24</v>
      </c>
      <c r="D898" t="s">
        <v>37</v>
      </c>
      <c r="E898" s="8" t="s">
        <v>34</v>
      </c>
      <c r="F898" s="8">
        <v>20</v>
      </c>
      <c r="G898" s="8">
        <v>17.37</v>
      </c>
      <c r="H898" s="8">
        <v>15.38</v>
      </c>
      <c r="I898" s="8">
        <v>17.690000000000001</v>
      </c>
      <c r="J898" s="6">
        <v>0.94220000000000004</v>
      </c>
      <c r="K898" s="4">
        <v>70000</v>
      </c>
      <c r="L898" s="2">
        <v>46219</v>
      </c>
      <c r="M898" t="str">
        <f t="shared" si="52"/>
        <v>Admis</v>
      </c>
      <c r="N898" t="str">
        <f t="shared" si="53"/>
        <v>Eligible</v>
      </c>
      <c r="O898" t="str">
        <f t="shared" si="54"/>
        <v>RAS</v>
      </c>
      <c r="P898" t="str">
        <f t="shared" si="55"/>
        <v>Hors data</v>
      </c>
      <c r="Q898" t="str" cm="1">
        <f t="array" ref="Q898">_xlfn.IFS(H898&gt;=16,"Excellent",H898&gt;=14,"Très bien",H898&gt;=12,"Bien",H898&gt;=10,"Passable",H898&lt;10,"Insuffisant")</f>
        <v>Très bien</v>
      </c>
    </row>
    <row r="899" spans="1:17">
      <c r="A899" t="s">
        <v>1228</v>
      </c>
      <c r="B899" t="s">
        <v>74</v>
      </c>
      <c r="C899" t="s">
        <v>19</v>
      </c>
      <c r="D899" t="s">
        <v>20</v>
      </c>
      <c r="E899" s="8" t="s">
        <v>34</v>
      </c>
      <c r="F899" s="8">
        <v>13.99</v>
      </c>
      <c r="G899" s="8">
        <v>14.12</v>
      </c>
      <c r="H899" s="8">
        <v>14.39</v>
      </c>
      <c r="I899" s="8">
        <v>11.93</v>
      </c>
      <c r="J899" s="6">
        <v>0.90300000000000002</v>
      </c>
      <c r="K899" s="4">
        <v>60000</v>
      </c>
      <c r="L899" s="2">
        <v>46147</v>
      </c>
      <c r="M899" t="str">
        <f t="shared" ref="M899:M962" si="56">IF(H899&gt;=10,"Admis","Non admis")</f>
        <v>Admis</v>
      </c>
      <c r="N899" t="str">
        <f t="shared" ref="N899:N962" si="57">IF(AND(F899&gt;=12,H899&gt;=12,J899&gt;=80%),"Eligible","Non eligible")</f>
        <v>Eligible</v>
      </c>
      <c r="O899" t="str">
        <f t="shared" ref="O899:O962" si="58">IF(OR(F899&lt;10,H899&lt;10),"A surveiller","RAS")</f>
        <v>RAS</v>
      </c>
      <c r="P899" t="str">
        <f t="shared" ref="P899:P962" si="59">IF(NOT(E899="Data"),"Hors data","Data")</f>
        <v>Hors data</v>
      </c>
      <c r="Q899" t="str" cm="1">
        <f t="array" ref="Q899">_xlfn.IFS(H899&gt;=16,"Excellent",H899&gt;=14,"Très bien",H899&gt;=12,"Bien",H899&gt;=10,"Passable",H899&lt;10,"Insuffisant")</f>
        <v>Très bien</v>
      </c>
    </row>
    <row r="900" spans="1:17">
      <c r="A900" t="s">
        <v>1229</v>
      </c>
      <c r="B900" t="s">
        <v>99</v>
      </c>
      <c r="C900" t="s">
        <v>19</v>
      </c>
      <c r="D900" t="s">
        <v>20</v>
      </c>
      <c r="E900" s="8" t="s">
        <v>47</v>
      </c>
      <c r="F900" s="8">
        <v>15.22</v>
      </c>
      <c r="G900" s="8">
        <v>15.3</v>
      </c>
      <c r="H900" s="8">
        <v>14.44</v>
      </c>
      <c r="I900" s="8">
        <v>14.87</v>
      </c>
      <c r="J900" s="6">
        <v>0.92100000000000004</v>
      </c>
      <c r="K900" s="4">
        <v>100000</v>
      </c>
      <c r="L900" s="2">
        <v>45924</v>
      </c>
      <c r="M900" t="str">
        <f t="shared" si="56"/>
        <v>Admis</v>
      </c>
      <c r="N900" t="str">
        <f t="shared" si="57"/>
        <v>Eligible</v>
      </c>
      <c r="O900" t="str">
        <f t="shared" si="58"/>
        <v>RAS</v>
      </c>
      <c r="P900" t="str">
        <f t="shared" si="59"/>
        <v>Hors data</v>
      </c>
      <c r="Q900" t="str" cm="1">
        <f t="array" ref="Q900">_xlfn.IFS(H900&gt;=16,"Excellent",H900&gt;=14,"Très bien",H900&gt;=12,"Bien",H900&gt;=10,"Passable",H900&lt;10,"Insuffisant")</f>
        <v>Très bien</v>
      </c>
    </row>
    <row r="901" spans="1:17">
      <c r="A901" t="s">
        <v>1230</v>
      </c>
      <c r="B901" t="s">
        <v>1231</v>
      </c>
      <c r="C901" t="s">
        <v>24</v>
      </c>
      <c r="D901" t="s">
        <v>25</v>
      </c>
      <c r="E901" s="8" t="s">
        <v>21</v>
      </c>
      <c r="F901" s="8">
        <v>9.8800000000000008</v>
      </c>
      <c r="G901" s="8">
        <v>14.07</v>
      </c>
      <c r="H901" s="8">
        <v>11.76</v>
      </c>
      <c r="I901" s="8">
        <v>15.88</v>
      </c>
      <c r="J901" s="6">
        <v>0.85929999999999995</v>
      </c>
      <c r="K901" s="4">
        <v>110000</v>
      </c>
      <c r="L901" s="2">
        <v>46011</v>
      </c>
      <c r="M901" t="str">
        <f t="shared" si="56"/>
        <v>Admis</v>
      </c>
      <c r="N901" t="str">
        <f t="shared" si="57"/>
        <v>Non eligible</v>
      </c>
      <c r="O901" t="str">
        <f t="shared" si="58"/>
        <v>A surveiller</v>
      </c>
      <c r="P901" t="str">
        <f t="shared" si="59"/>
        <v>Data</v>
      </c>
      <c r="Q901" t="str" cm="1">
        <f t="array" ref="Q901">_xlfn.IFS(H901&gt;=16,"Excellent",H901&gt;=14,"Très bien",H901&gt;=12,"Bien",H901&gt;=10,"Passable",H901&lt;10,"Insuffisant")</f>
        <v>Passable</v>
      </c>
    </row>
    <row r="902" spans="1:17">
      <c r="A902" t="s">
        <v>1232</v>
      </c>
      <c r="B902" t="s">
        <v>938</v>
      </c>
      <c r="C902" t="s">
        <v>19</v>
      </c>
      <c r="D902" t="s">
        <v>20</v>
      </c>
      <c r="E902" s="8" t="s">
        <v>21</v>
      </c>
      <c r="F902" s="8">
        <v>14.36</v>
      </c>
      <c r="G902" s="8">
        <v>14.96</v>
      </c>
      <c r="H902" s="8">
        <v>15.32</v>
      </c>
      <c r="I902" s="8">
        <v>15.34</v>
      </c>
      <c r="J902" s="6">
        <v>0.7581</v>
      </c>
      <c r="K902" s="4">
        <v>75000</v>
      </c>
      <c r="L902" s="2">
        <v>45767</v>
      </c>
      <c r="M902" t="str">
        <f t="shared" si="56"/>
        <v>Admis</v>
      </c>
      <c r="N902" t="str">
        <f t="shared" si="57"/>
        <v>Non eligible</v>
      </c>
      <c r="O902" t="str">
        <f t="shared" si="58"/>
        <v>RAS</v>
      </c>
      <c r="P902" t="str">
        <f t="shared" si="59"/>
        <v>Data</v>
      </c>
      <c r="Q902" t="str" cm="1">
        <f t="array" ref="Q902">_xlfn.IFS(H902&gt;=16,"Excellent",H902&gt;=14,"Très bien",H902&gt;=12,"Bien",H902&gt;=10,"Passable",H902&lt;10,"Insuffisant")</f>
        <v>Très bien</v>
      </c>
    </row>
    <row r="903" spans="1:17">
      <c r="A903" t="s">
        <v>1233</v>
      </c>
      <c r="B903" t="s">
        <v>319</v>
      </c>
      <c r="C903" t="s">
        <v>19</v>
      </c>
      <c r="D903" t="s">
        <v>52</v>
      </c>
      <c r="E903" s="8" t="s">
        <v>47</v>
      </c>
      <c r="F903" s="8">
        <v>10.98</v>
      </c>
      <c r="G903" s="8">
        <v>9.94</v>
      </c>
      <c r="H903" s="8">
        <v>10.45</v>
      </c>
      <c r="I903" s="8">
        <v>14.55</v>
      </c>
      <c r="J903" s="6">
        <v>0.92469999999999997</v>
      </c>
      <c r="K903" s="4">
        <v>60000</v>
      </c>
      <c r="L903" s="2">
        <v>45599</v>
      </c>
      <c r="M903" t="str">
        <f t="shared" si="56"/>
        <v>Admis</v>
      </c>
      <c r="N903" t="str">
        <f t="shared" si="57"/>
        <v>Non eligible</v>
      </c>
      <c r="O903" t="str">
        <f t="shared" si="58"/>
        <v>RAS</v>
      </c>
      <c r="P903" t="str">
        <f t="shared" si="59"/>
        <v>Hors data</v>
      </c>
      <c r="Q903" t="str" cm="1">
        <f t="array" ref="Q903">_xlfn.IFS(H903&gt;=16,"Excellent",H903&gt;=14,"Très bien",H903&gt;=12,"Bien",H903&gt;=10,"Passable",H903&lt;10,"Insuffisant")</f>
        <v>Passable</v>
      </c>
    </row>
    <row r="904" spans="1:17">
      <c r="A904" t="s">
        <v>1234</v>
      </c>
      <c r="B904" t="s">
        <v>542</v>
      </c>
      <c r="C904" t="s">
        <v>19</v>
      </c>
      <c r="D904" t="s">
        <v>20</v>
      </c>
      <c r="E904" s="8" t="s">
        <v>26</v>
      </c>
      <c r="F904" s="8">
        <v>17.39</v>
      </c>
      <c r="G904" s="8">
        <v>14.88</v>
      </c>
      <c r="H904" s="8">
        <v>19.52</v>
      </c>
      <c r="I904" s="8">
        <v>14.4</v>
      </c>
      <c r="J904" s="6">
        <v>0.70069999999999999</v>
      </c>
      <c r="K904" s="4">
        <v>75000</v>
      </c>
      <c r="L904" s="2">
        <v>45815</v>
      </c>
      <c r="M904" t="str">
        <f t="shared" si="56"/>
        <v>Admis</v>
      </c>
      <c r="N904" t="str">
        <f t="shared" si="57"/>
        <v>Non eligible</v>
      </c>
      <c r="O904" t="str">
        <f t="shared" si="58"/>
        <v>RAS</v>
      </c>
      <c r="P904" t="str">
        <f t="shared" si="59"/>
        <v>Hors data</v>
      </c>
      <c r="Q904" t="str" cm="1">
        <f t="array" ref="Q904">_xlfn.IFS(H904&gt;=16,"Excellent",H904&gt;=14,"Très bien",H904&gt;=12,"Bien",H904&gt;=10,"Passable",H904&lt;10,"Insuffisant")</f>
        <v>Excellent</v>
      </c>
    </row>
    <row r="905" spans="1:17">
      <c r="A905" t="s">
        <v>1235</v>
      </c>
      <c r="B905" t="s">
        <v>792</v>
      </c>
      <c r="C905" t="s">
        <v>24</v>
      </c>
      <c r="D905" t="s">
        <v>37</v>
      </c>
      <c r="E905" s="8" t="s">
        <v>34</v>
      </c>
      <c r="F905" s="8">
        <v>14.65</v>
      </c>
      <c r="G905" s="8">
        <v>15.89</v>
      </c>
      <c r="H905" s="8">
        <v>18.47</v>
      </c>
      <c r="I905" s="8">
        <v>19.329999999999998</v>
      </c>
      <c r="J905" s="6">
        <v>0.77449999999999997</v>
      </c>
      <c r="K905" s="4">
        <v>100000</v>
      </c>
      <c r="L905" s="2">
        <v>45950</v>
      </c>
      <c r="M905" t="str">
        <f t="shared" si="56"/>
        <v>Admis</v>
      </c>
      <c r="N905" t="str">
        <f t="shared" si="57"/>
        <v>Non eligible</v>
      </c>
      <c r="O905" t="str">
        <f t="shared" si="58"/>
        <v>RAS</v>
      </c>
      <c r="P905" t="str">
        <f t="shared" si="59"/>
        <v>Hors data</v>
      </c>
      <c r="Q905" t="str" cm="1">
        <f t="array" ref="Q905">_xlfn.IFS(H905&gt;=16,"Excellent",H905&gt;=14,"Très bien",H905&gt;=12,"Bien",H905&gt;=10,"Passable",H905&lt;10,"Insuffisant")</f>
        <v>Excellent</v>
      </c>
    </row>
    <row r="906" spans="1:17">
      <c r="A906" t="s">
        <v>1236</v>
      </c>
      <c r="B906" t="s">
        <v>287</v>
      </c>
      <c r="C906" t="s">
        <v>19</v>
      </c>
      <c r="D906" t="s">
        <v>25</v>
      </c>
      <c r="E906" s="8" t="s">
        <v>26</v>
      </c>
      <c r="F906" s="8">
        <v>13.59</v>
      </c>
      <c r="G906" s="8">
        <v>8.17</v>
      </c>
      <c r="H906" s="8">
        <v>12.73</v>
      </c>
      <c r="I906" s="8">
        <v>9.49</v>
      </c>
      <c r="J906" s="6">
        <v>0.55000000000000004</v>
      </c>
      <c r="K906" s="4">
        <v>60000</v>
      </c>
      <c r="L906" s="2">
        <v>45663</v>
      </c>
      <c r="M906" t="str">
        <f t="shared" si="56"/>
        <v>Admis</v>
      </c>
      <c r="N906" t="str">
        <f t="shared" si="57"/>
        <v>Non eligible</v>
      </c>
      <c r="O906" t="str">
        <f t="shared" si="58"/>
        <v>RAS</v>
      </c>
      <c r="P906" t="str">
        <f t="shared" si="59"/>
        <v>Hors data</v>
      </c>
      <c r="Q906" t="str" cm="1">
        <f t="array" ref="Q906">_xlfn.IFS(H906&gt;=16,"Excellent",H906&gt;=14,"Très bien",H906&gt;=12,"Bien",H906&gt;=10,"Passable",H906&lt;10,"Insuffisant")</f>
        <v>Bien</v>
      </c>
    </row>
    <row r="907" spans="1:17">
      <c r="A907" t="s">
        <v>1237</v>
      </c>
      <c r="B907" t="s">
        <v>470</v>
      </c>
      <c r="C907" t="s">
        <v>24</v>
      </c>
      <c r="D907" t="s">
        <v>25</v>
      </c>
      <c r="E907" s="8" t="s">
        <v>34</v>
      </c>
      <c r="F907" s="8">
        <v>10.34</v>
      </c>
      <c r="G907" s="8">
        <v>13.29</v>
      </c>
      <c r="H907" s="8">
        <v>14.55</v>
      </c>
      <c r="I907" s="8">
        <v>11.66</v>
      </c>
      <c r="J907" s="6">
        <v>0.84130000000000005</v>
      </c>
      <c r="K907" s="4">
        <v>70000</v>
      </c>
      <c r="L907" s="2">
        <v>45691</v>
      </c>
      <c r="M907" t="str">
        <f t="shared" si="56"/>
        <v>Admis</v>
      </c>
      <c r="N907" t="str">
        <f t="shared" si="57"/>
        <v>Non eligible</v>
      </c>
      <c r="O907" t="str">
        <f t="shared" si="58"/>
        <v>RAS</v>
      </c>
      <c r="P907" t="str">
        <f t="shared" si="59"/>
        <v>Hors data</v>
      </c>
      <c r="Q907" t="str" cm="1">
        <f t="array" ref="Q907">_xlfn.IFS(H907&gt;=16,"Excellent",H907&gt;=14,"Très bien",H907&gt;=12,"Bien",H907&gt;=10,"Passable",H907&lt;10,"Insuffisant")</f>
        <v>Très bien</v>
      </c>
    </row>
    <row r="908" spans="1:17">
      <c r="A908" t="s">
        <v>1238</v>
      </c>
      <c r="B908" t="s">
        <v>120</v>
      </c>
      <c r="C908" t="s">
        <v>19</v>
      </c>
      <c r="D908" t="s">
        <v>52</v>
      </c>
      <c r="E908" s="8" t="s">
        <v>34</v>
      </c>
      <c r="F908" s="8">
        <v>9.16</v>
      </c>
      <c r="G908" s="8">
        <v>12.68</v>
      </c>
      <c r="H908" s="8">
        <v>6</v>
      </c>
      <c r="I908" s="8">
        <v>11.54</v>
      </c>
      <c r="J908" s="6">
        <v>0.92610000000000003</v>
      </c>
      <c r="K908" s="4">
        <v>50000</v>
      </c>
      <c r="L908" s="2">
        <v>45546</v>
      </c>
      <c r="M908" t="str">
        <f t="shared" si="56"/>
        <v>Non admis</v>
      </c>
      <c r="N908" t="str">
        <f t="shared" si="57"/>
        <v>Non eligible</v>
      </c>
      <c r="O908" t="str">
        <f t="shared" si="58"/>
        <v>A surveiller</v>
      </c>
      <c r="P908" t="str">
        <f t="shared" si="59"/>
        <v>Hors data</v>
      </c>
      <c r="Q908" t="str" cm="1">
        <f t="array" ref="Q908">_xlfn.IFS(H908&gt;=16,"Excellent",H908&gt;=14,"Très bien",H908&gt;=12,"Bien",H908&gt;=10,"Passable",H908&lt;10,"Insuffisant")</f>
        <v>Insuffisant</v>
      </c>
    </row>
    <row r="909" spans="1:17">
      <c r="A909" t="s">
        <v>1239</v>
      </c>
      <c r="B909" t="s">
        <v>177</v>
      </c>
      <c r="C909" t="s">
        <v>19</v>
      </c>
      <c r="D909" t="s">
        <v>25</v>
      </c>
      <c r="E909" s="8" t="s">
        <v>21</v>
      </c>
      <c r="F909" s="8">
        <v>9.98</v>
      </c>
      <c r="G909" s="8">
        <v>16.48</v>
      </c>
      <c r="H909" s="8">
        <v>5.09</v>
      </c>
      <c r="I909" s="8">
        <v>10</v>
      </c>
      <c r="J909" s="6">
        <v>0.91759999999999997</v>
      </c>
      <c r="K909" s="4">
        <v>85000</v>
      </c>
      <c r="L909" s="2">
        <v>46049</v>
      </c>
      <c r="M909" t="str">
        <f t="shared" si="56"/>
        <v>Non admis</v>
      </c>
      <c r="N909" t="str">
        <f t="shared" si="57"/>
        <v>Non eligible</v>
      </c>
      <c r="O909" t="str">
        <f t="shared" si="58"/>
        <v>A surveiller</v>
      </c>
      <c r="P909" t="str">
        <f t="shared" si="59"/>
        <v>Data</v>
      </c>
      <c r="Q909" t="str" cm="1">
        <f t="array" ref="Q909">_xlfn.IFS(H909&gt;=16,"Excellent",H909&gt;=14,"Très bien",H909&gt;=12,"Bien",H909&gt;=10,"Passable",H909&lt;10,"Insuffisant")</f>
        <v>Insuffisant</v>
      </c>
    </row>
    <row r="910" spans="1:17">
      <c r="A910" t="s">
        <v>1240</v>
      </c>
      <c r="B910" t="s">
        <v>72</v>
      </c>
      <c r="C910" t="s">
        <v>19</v>
      </c>
      <c r="D910" t="s">
        <v>52</v>
      </c>
      <c r="E910" s="8" t="s">
        <v>34</v>
      </c>
      <c r="F910" s="8">
        <v>11.2</v>
      </c>
      <c r="G910" s="8">
        <v>7.92</v>
      </c>
      <c r="H910" s="8">
        <v>7.7</v>
      </c>
      <c r="I910" s="8">
        <v>10.82</v>
      </c>
      <c r="J910" s="6">
        <v>0.64249999999999996</v>
      </c>
      <c r="K910" s="4">
        <v>60000</v>
      </c>
      <c r="L910" s="2">
        <v>46165</v>
      </c>
      <c r="M910" t="str">
        <f t="shared" si="56"/>
        <v>Non admis</v>
      </c>
      <c r="N910" t="str">
        <f t="shared" si="57"/>
        <v>Non eligible</v>
      </c>
      <c r="O910" t="str">
        <f t="shared" si="58"/>
        <v>A surveiller</v>
      </c>
      <c r="P910" t="str">
        <f t="shared" si="59"/>
        <v>Hors data</v>
      </c>
      <c r="Q910" t="str" cm="1">
        <f t="array" ref="Q910">_xlfn.IFS(H910&gt;=16,"Excellent",H910&gt;=14,"Très bien",H910&gt;=12,"Bien",H910&gt;=10,"Passable",H910&lt;10,"Insuffisant")</f>
        <v>Insuffisant</v>
      </c>
    </row>
    <row r="911" spans="1:17">
      <c r="A911" t="s">
        <v>1241</v>
      </c>
      <c r="B911" t="s">
        <v>648</v>
      </c>
      <c r="C911" t="s">
        <v>19</v>
      </c>
      <c r="D911" t="s">
        <v>33</v>
      </c>
      <c r="E911" s="8" t="s">
        <v>34</v>
      </c>
      <c r="F911" s="8">
        <v>11.39</v>
      </c>
      <c r="G911" s="8">
        <v>14.76</v>
      </c>
      <c r="H911" s="8">
        <v>12.71</v>
      </c>
      <c r="I911" s="8">
        <v>14.49</v>
      </c>
      <c r="J911" s="6">
        <v>0.88639999999999997</v>
      </c>
      <c r="K911" s="4">
        <v>70000</v>
      </c>
      <c r="L911" s="2">
        <v>46115</v>
      </c>
      <c r="M911" t="str">
        <f t="shared" si="56"/>
        <v>Admis</v>
      </c>
      <c r="N911" t="str">
        <f t="shared" si="57"/>
        <v>Non eligible</v>
      </c>
      <c r="O911" t="str">
        <f t="shared" si="58"/>
        <v>RAS</v>
      </c>
      <c r="P911" t="str">
        <f t="shared" si="59"/>
        <v>Hors data</v>
      </c>
      <c r="Q911" t="str" cm="1">
        <f t="array" ref="Q911">_xlfn.IFS(H911&gt;=16,"Excellent",H911&gt;=14,"Très bien",H911&gt;=12,"Bien",H911&gt;=10,"Passable",H911&lt;10,"Insuffisant")</f>
        <v>Bien</v>
      </c>
    </row>
    <row r="912" spans="1:17">
      <c r="A912" t="s">
        <v>1242</v>
      </c>
      <c r="B912" t="s">
        <v>610</v>
      </c>
      <c r="C912" t="s">
        <v>24</v>
      </c>
      <c r="D912" t="s">
        <v>20</v>
      </c>
      <c r="E912" s="8" t="s">
        <v>47</v>
      </c>
      <c r="F912" s="8">
        <v>15.67</v>
      </c>
      <c r="G912" s="8">
        <v>16.52</v>
      </c>
      <c r="H912" s="8">
        <v>18.239999999999998</v>
      </c>
      <c r="I912" s="8">
        <v>20</v>
      </c>
      <c r="J912" s="6">
        <v>0.95789999999999997</v>
      </c>
      <c r="K912" s="4">
        <v>60000</v>
      </c>
      <c r="L912" s="2">
        <v>45801</v>
      </c>
      <c r="M912" t="str">
        <f t="shared" si="56"/>
        <v>Admis</v>
      </c>
      <c r="N912" t="str">
        <f t="shared" si="57"/>
        <v>Eligible</v>
      </c>
      <c r="O912" t="str">
        <f t="shared" si="58"/>
        <v>RAS</v>
      </c>
      <c r="P912" t="str">
        <f t="shared" si="59"/>
        <v>Hors data</v>
      </c>
      <c r="Q912" t="str" cm="1">
        <f t="array" ref="Q912">_xlfn.IFS(H912&gt;=16,"Excellent",H912&gt;=14,"Très bien",H912&gt;=12,"Bien",H912&gt;=10,"Passable",H912&lt;10,"Insuffisant")</f>
        <v>Excellent</v>
      </c>
    </row>
    <row r="913" spans="1:17">
      <c r="A913" t="s">
        <v>1243</v>
      </c>
      <c r="B913" t="s">
        <v>1244</v>
      </c>
      <c r="C913" t="s">
        <v>19</v>
      </c>
      <c r="D913" t="s">
        <v>37</v>
      </c>
      <c r="E913" s="8" t="s">
        <v>21</v>
      </c>
      <c r="F913" s="8">
        <v>13.21</v>
      </c>
      <c r="G913" s="8">
        <v>18.350000000000001</v>
      </c>
      <c r="H913" s="8">
        <v>18.14</v>
      </c>
      <c r="I913" s="8">
        <v>20</v>
      </c>
      <c r="J913" s="6">
        <v>0.85370000000000001</v>
      </c>
      <c r="K913" s="4">
        <v>110000</v>
      </c>
      <c r="L913" s="2">
        <v>45951</v>
      </c>
      <c r="M913" t="str">
        <f t="shared" si="56"/>
        <v>Admis</v>
      </c>
      <c r="N913" t="str">
        <f t="shared" si="57"/>
        <v>Eligible</v>
      </c>
      <c r="O913" t="str">
        <f t="shared" si="58"/>
        <v>RAS</v>
      </c>
      <c r="P913" t="str">
        <f t="shared" si="59"/>
        <v>Data</v>
      </c>
      <c r="Q913" t="str" cm="1">
        <f t="array" ref="Q913">_xlfn.IFS(H913&gt;=16,"Excellent",H913&gt;=14,"Très bien",H913&gt;=12,"Bien",H913&gt;=10,"Passable",H913&lt;10,"Insuffisant")</f>
        <v>Excellent</v>
      </c>
    </row>
    <row r="914" spans="1:17">
      <c r="A914" t="s">
        <v>1245</v>
      </c>
      <c r="B914" t="s">
        <v>491</v>
      </c>
      <c r="C914" t="s">
        <v>19</v>
      </c>
      <c r="D914" t="s">
        <v>20</v>
      </c>
      <c r="E914" s="8" t="s">
        <v>21</v>
      </c>
      <c r="F914" s="8">
        <v>6.55</v>
      </c>
      <c r="G914" s="8">
        <v>9.7899999999999991</v>
      </c>
      <c r="H914" s="8">
        <v>11.17</v>
      </c>
      <c r="I914" s="8">
        <v>9.4700000000000006</v>
      </c>
      <c r="J914" s="6">
        <v>0.82720000000000005</v>
      </c>
      <c r="K914" s="4">
        <v>85000</v>
      </c>
      <c r="L914" s="2">
        <v>46208</v>
      </c>
      <c r="M914" t="str">
        <f t="shared" si="56"/>
        <v>Admis</v>
      </c>
      <c r="N914" t="str">
        <f t="shared" si="57"/>
        <v>Non eligible</v>
      </c>
      <c r="O914" t="str">
        <f t="shared" si="58"/>
        <v>A surveiller</v>
      </c>
      <c r="P914" t="str">
        <f t="shared" si="59"/>
        <v>Data</v>
      </c>
      <c r="Q914" t="str" cm="1">
        <f t="array" ref="Q914">_xlfn.IFS(H914&gt;=16,"Excellent",H914&gt;=14,"Très bien",H914&gt;=12,"Bien",H914&gt;=10,"Passable",H914&lt;10,"Insuffisant")</f>
        <v>Passable</v>
      </c>
    </row>
    <row r="915" spans="1:17">
      <c r="A915" t="s">
        <v>1246</v>
      </c>
      <c r="B915" t="s">
        <v>212</v>
      </c>
      <c r="C915" t="s">
        <v>24</v>
      </c>
      <c r="D915" t="s">
        <v>37</v>
      </c>
      <c r="E915" s="8" t="s">
        <v>34</v>
      </c>
      <c r="F915" s="8">
        <v>13.74</v>
      </c>
      <c r="G915" s="8">
        <v>14.14</v>
      </c>
      <c r="H915" s="8">
        <v>13.23</v>
      </c>
      <c r="I915" s="8">
        <v>16.649999999999999</v>
      </c>
      <c r="J915" s="6">
        <v>0.90839999999999999</v>
      </c>
      <c r="K915" s="4">
        <v>130000</v>
      </c>
      <c r="L915" s="2">
        <v>45949</v>
      </c>
      <c r="M915" t="str">
        <f t="shared" si="56"/>
        <v>Admis</v>
      </c>
      <c r="N915" t="str">
        <f t="shared" si="57"/>
        <v>Eligible</v>
      </c>
      <c r="O915" t="str">
        <f t="shared" si="58"/>
        <v>RAS</v>
      </c>
      <c r="P915" t="str">
        <f t="shared" si="59"/>
        <v>Hors data</v>
      </c>
      <c r="Q915" t="str" cm="1">
        <f t="array" ref="Q915">_xlfn.IFS(H915&gt;=16,"Excellent",H915&gt;=14,"Très bien",H915&gt;=12,"Bien",H915&gt;=10,"Passable",H915&lt;10,"Insuffisant")</f>
        <v>Bien</v>
      </c>
    </row>
    <row r="916" spans="1:17">
      <c r="A916" t="s">
        <v>1247</v>
      </c>
      <c r="B916" t="s">
        <v>1231</v>
      </c>
      <c r="C916" t="s">
        <v>24</v>
      </c>
      <c r="D916" t="s">
        <v>25</v>
      </c>
      <c r="E916" s="8" t="s">
        <v>21</v>
      </c>
      <c r="F916" s="8">
        <v>13.93</v>
      </c>
      <c r="G916" s="8">
        <v>17.5</v>
      </c>
      <c r="H916" s="8">
        <v>18.559999999999999</v>
      </c>
      <c r="I916" s="8">
        <v>20</v>
      </c>
      <c r="J916" s="6">
        <v>0.81840000000000002</v>
      </c>
      <c r="K916" s="4">
        <v>80000</v>
      </c>
      <c r="L916" s="2">
        <v>45743</v>
      </c>
      <c r="M916" t="str">
        <f t="shared" si="56"/>
        <v>Admis</v>
      </c>
      <c r="N916" t="str">
        <f t="shared" si="57"/>
        <v>Eligible</v>
      </c>
      <c r="O916" t="str">
        <f t="shared" si="58"/>
        <v>RAS</v>
      </c>
      <c r="P916" t="str">
        <f t="shared" si="59"/>
        <v>Data</v>
      </c>
      <c r="Q916" t="str" cm="1">
        <f t="array" ref="Q916">_xlfn.IFS(H916&gt;=16,"Excellent",H916&gt;=14,"Très bien",H916&gt;=12,"Bien",H916&gt;=10,"Passable",H916&lt;10,"Insuffisant")</f>
        <v>Excellent</v>
      </c>
    </row>
    <row r="917" spans="1:17">
      <c r="A917" t="s">
        <v>1248</v>
      </c>
      <c r="B917" t="s">
        <v>46</v>
      </c>
      <c r="C917" t="s">
        <v>19</v>
      </c>
      <c r="D917" t="s">
        <v>40</v>
      </c>
      <c r="E917" s="8" t="s">
        <v>21</v>
      </c>
      <c r="F917" s="8">
        <v>10.61</v>
      </c>
      <c r="G917" s="8">
        <v>8.27</v>
      </c>
      <c r="H917" s="8">
        <v>12.45</v>
      </c>
      <c r="I917" s="8">
        <v>9.51</v>
      </c>
      <c r="J917" s="6">
        <v>0.65190000000000003</v>
      </c>
      <c r="K917" s="4">
        <v>70000</v>
      </c>
      <c r="L917" s="2">
        <v>45773</v>
      </c>
      <c r="M917" t="str">
        <f t="shared" si="56"/>
        <v>Admis</v>
      </c>
      <c r="N917" t="str">
        <f t="shared" si="57"/>
        <v>Non eligible</v>
      </c>
      <c r="O917" t="str">
        <f t="shared" si="58"/>
        <v>RAS</v>
      </c>
      <c r="P917" t="str">
        <f t="shared" si="59"/>
        <v>Data</v>
      </c>
      <c r="Q917" t="str" cm="1">
        <f t="array" ref="Q917">_xlfn.IFS(H917&gt;=16,"Excellent",H917&gt;=14,"Très bien",H917&gt;=12,"Bien",H917&gt;=10,"Passable",H917&lt;10,"Insuffisant")</f>
        <v>Bien</v>
      </c>
    </row>
    <row r="918" spans="1:17">
      <c r="A918" t="s">
        <v>1249</v>
      </c>
      <c r="B918" t="s">
        <v>470</v>
      </c>
      <c r="C918" t="s">
        <v>24</v>
      </c>
      <c r="D918" t="s">
        <v>25</v>
      </c>
      <c r="E918" s="8" t="s">
        <v>47</v>
      </c>
      <c r="F918" s="8">
        <v>9.35</v>
      </c>
      <c r="G918" s="8">
        <v>16.22</v>
      </c>
      <c r="H918" s="8">
        <v>14.75</v>
      </c>
      <c r="I918" s="8">
        <v>10.8</v>
      </c>
      <c r="J918" s="6">
        <v>0.93179999999999996</v>
      </c>
      <c r="K918" s="4">
        <v>70000</v>
      </c>
      <c r="L918" s="2">
        <v>46044</v>
      </c>
      <c r="M918" t="str">
        <f t="shared" si="56"/>
        <v>Admis</v>
      </c>
      <c r="N918" t="str">
        <f t="shared" si="57"/>
        <v>Non eligible</v>
      </c>
      <c r="O918" t="str">
        <f t="shared" si="58"/>
        <v>A surveiller</v>
      </c>
      <c r="P918" t="str">
        <f t="shared" si="59"/>
        <v>Hors data</v>
      </c>
      <c r="Q918" t="str" cm="1">
        <f t="array" ref="Q918">_xlfn.IFS(H918&gt;=16,"Excellent",H918&gt;=14,"Très bien",H918&gt;=12,"Bien",H918&gt;=10,"Passable",H918&lt;10,"Insuffisant")</f>
        <v>Très bien</v>
      </c>
    </row>
    <row r="919" spans="1:17">
      <c r="A919" t="s">
        <v>1250</v>
      </c>
      <c r="B919" t="s">
        <v>375</v>
      </c>
      <c r="C919" t="s">
        <v>24</v>
      </c>
      <c r="D919" t="s">
        <v>20</v>
      </c>
      <c r="E919" s="8" t="s">
        <v>26</v>
      </c>
      <c r="F919" s="8">
        <v>5.64</v>
      </c>
      <c r="G919" s="8">
        <v>6.58</v>
      </c>
      <c r="H919" s="8">
        <v>6.93</v>
      </c>
      <c r="I919" s="8">
        <v>10.54</v>
      </c>
      <c r="J919" s="6">
        <v>0.89249999999999996</v>
      </c>
      <c r="K919" s="4">
        <v>130000</v>
      </c>
      <c r="L919" s="2">
        <v>45848</v>
      </c>
      <c r="M919" t="str">
        <f t="shared" si="56"/>
        <v>Non admis</v>
      </c>
      <c r="N919" t="str">
        <f t="shared" si="57"/>
        <v>Non eligible</v>
      </c>
      <c r="O919" t="str">
        <f t="shared" si="58"/>
        <v>A surveiller</v>
      </c>
      <c r="P919" t="str">
        <f t="shared" si="59"/>
        <v>Hors data</v>
      </c>
      <c r="Q919" t="str" cm="1">
        <f t="array" ref="Q919">_xlfn.IFS(H919&gt;=16,"Excellent",H919&gt;=14,"Très bien",H919&gt;=12,"Bien",H919&gt;=10,"Passable",H919&lt;10,"Insuffisant")</f>
        <v>Insuffisant</v>
      </c>
    </row>
    <row r="920" spans="1:17">
      <c r="A920" t="s">
        <v>1251</v>
      </c>
      <c r="B920" t="s">
        <v>448</v>
      </c>
      <c r="C920" t="s">
        <v>19</v>
      </c>
      <c r="D920" t="s">
        <v>33</v>
      </c>
      <c r="E920" s="8" t="s">
        <v>47</v>
      </c>
      <c r="F920" s="8">
        <v>16.89</v>
      </c>
      <c r="G920" s="8">
        <v>14.57</v>
      </c>
      <c r="H920" s="8">
        <v>17.489999999999998</v>
      </c>
      <c r="I920" s="8">
        <v>14.75</v>
      </c>
      <c r="J920" s="6">
        <v>0.91790000000000005</v>
      </c>
      <c r="K920" s="4">
        <v>90000</v>
      </c>
      <c r="L920" s="2">
        <v>46122</v>
      </c>
      <c r="M920" t="str">
        <f t="shared" si="56"/>
        <v>Admis</v>
      </c>
      <c r="N920" t="str">
        <f t="shared" si="57"/>
        <v>Eligible</v>
      </c>
      <c r="O920" t="str">
        <f t="shared" si="58"/>
        <v>RAS</v>
      </c>
      <c r="P920" t="str">
        <f t="shared" si="59"/>
        <v>Hors data</v>
      </c>
      <c r="Q920" t="str" cm="1">
        <f t="array" ref="Q920">_xlfn.IFS(H920&gt;=16,"Excellent",H920&gt;=14,"Très bien",H920&gt;=12,"Bien",H920&gt;=10,"Passable",H920&lt;10,"Insuffisant")</f>
        <v>Excellent</v>
      </c>
    </row>
    <row r="921" spans="1:17">
      <c r="A921" t="s">
        <v>1252</v>
      </c>
      <c r="B921" t="s">
        <v>654</v>
      </c>
      <c r="C921" t="s">
        <v>24</v>
      </c>
      <c r="D921" t="s">
        <v>20</v>
      </c>
      <c r="E921" s="8" t="s">
        <v>21</v>
      </c>
      <c r="F921" s="8">
        <v>11.41</v>
      </c>
      <c r="G921" s="8">
        <v>7.78</v>
      </c>
      <c r="H921" s="8">
        <v>10.49</v>
      </c>
      <c r="I921" s="8">
        <v>9.92</v>
      </c>
      <c r="J921" s="6">
        <v>0.76900000000000002</v>
      </c>
      <c r="K921" s="4">
        <v>75000</v>
      </c>
      <c r="L921" s="2">
        <v>46140</v>
      </c>
      <c r="M921" t="str">
        <f t="shared" si="56"/>
        <v>Admis</v>
      </c>
      <c r="N921" t="str">
        <f t="shared" si="57"/>
        <v>Non eligible</v>
      </c>
      <c r="O921" t="str">
        <f t="shared" si="58"/>
        <v>RAS</v>
      </c>
      <c r="P921" t="str">
        <f t="shared" si="59"/>
        <v>Data</v>
      </c>
      <c r="Q921" t="str" cm="1">
        <f t="array" ref="Q921">_xlfn.IFS(H921&gt;=16,"Excellent",H921&gt;=14,"Très bien",H921&gt;=12,"Bien",H921&gt;=10,"Passable",H921&lt;10,"Insuffisant")</f>
        <v>Passable</v>
      </c>
    </row>
    <row r="922" spans="1:17">
      <c r="A922" t="s">
        <v>1253</v>
      </c>
      <c r="B922" t="s">
        <v>645</v>
      </c>
      <c r="C922" t="s">
        <v>24</v>
      </c>
      <c r="D922" t="s">
        <v>25</v>
      </c>
      <c r="E922" s="8" t="s">
        <v>26</v>
      </c>
      <c r="F922" s="8">
        <v>14.47</v>
      </c>
      <c r="G922" s="8">
        <v>13.18</v>
      </c>
      <c r="H922" s="8">
        <v>18.16</v>
      </c>
      <c r="I922" s="8">
        <v>13.98</v>
      </c>
      <c r="J922" s="6">
        <v>0.90559999999999996</v>
      </c>
      <c r="K922" s="4">
        <v>100000</v>
      </c>
      <c r="L922" s="2">
        <v>45561</v>
      </c>
      <c r="M922" t="str">
        <f t="shared" si="56"/>
        <v>Admis</v>
      </c>
      <c r="N922" t="str">
        <f t="shared" si="57"/>
        <v>Eligible</v>
      </c>
      <c r="O922" t="str">
        <f t="shared" si="58"/>
        <v>RAS</v>
      </c>
      <c r="P922" t="str">
        <f t="shared" si="59"/>
        <v>Hors data</v>
      </c>
      <c r="Q922" t="str" cm="1">
        <f t="array" ref="Q922">_xlfn.IFS(H922&gt;=16,"Excellent",H922&gt;=14,"Très bien",H922&gt;=12,"Bien",H922&gt;=10,"Passable",H922&lt;10,"Insuffisant")</f>
        <v>Excellent</v>
      </c>
    </row>
    <row r="923" spans="1:17">
      <c r="A923" t="s">
        <v>1254</v>
      </c>
      <c r="B923" t="s">
        <v>128</v>
      </c>
      <c r="C923" t="s">
        <v>24</v>
      </c>
      <c r="D923" t="s">
        <v>33</v>
      </c>
      <c r="E923" s="8" t="s">
        <v>47</v>
      </c>
      <c r="F923" s="8">
        <v>6.92</v>
      </c>
      <c r="G923" s="8">
        <v>8.91</v>
      </c>
      <c r="H923" s="8">
        <v>7.59</v>
      </c>
      <c r="I923" s="8">
        <v>3.78</v>
      </c>
      <c r="J923" s="6">
        <v>0.89639999999999997</v>
      </c>
      <c r="K923" s="4">
        <v>90000</v>
      </c>
      <c r="L923" s="2">
        <v>46042</v>
      </c>
      <c r="M923" t="str">
        <f t="shared" si="56"/>
        <v>Non admis</v>
      </c>
      <c r="N923" t="str">
        <f t="shared" si="57"/>
        <v>Non eligible</v>
      </c>
      <c r="O923" t="str">
        <f t="shared" si="58"/>
        <v>A surveiller</v>
      </c>
      <c r="P923" t="str">
        <f t="shared" si="59"/>
        <v>Hors data</v>
      </c>
      <c r="Q923" t="str" cm="1">
        <f t="array" ref="Q923">_xlfn.IFS(H923&gt;=16,"Excellent",H923&gt;=14,"Très bien",H923&gt;=12,"Bien",H923&gt;=10,"Passable",H923&lt;10,"Insuffisant")</f>
        <v>Insuffisant</v>
      </c>
    </row>
    <row r="924" spans="1:17">
      <c r="A924" t="s">
        <v>1255</v>
      </c>
      <c r="B924" t="s">
        <v>1244</v>
      </c>
      <c r="C924" t="s">
        <v>19</v>
      </c>
      <c r="D924" t="s">
        <v>20</v>
      </c>
      <c r="E924" s="8" t="s">
        <v>47</v>
      </c>
      <c r="F924" s="8">
        <v>11.64</v>
      </c>
      <c r="G924" s="8">
        <v>15.4</v>
      </c>
      <c r="H924" s="8">
        <v>16.850000000000001</v>
      </c>
      <c r="I924" s="8">
        <v>14.5</v>
      </c>
      <c r="J924" s="6">
        <v>0.89459999999999995</v>
      </c>
      <c r="K924" s="4">
        <v>60000</v>
      </c>
      <c r="L924" s="2">
        <v>45794</v>
      </c>
      <c r="M924" t="str">
        <f t="shared" si="56"/>
        <v>Admis</v>
      </c>
      <c r="N924" t="str">
        <f t="shared" si="57"/>
        <v>Non eligible</v>
      </c>
      <c r="O924" t="str">
        <f t="shared" si="58"/>
        <v>RAS</v>
      </c>
      <c r="P924" t="str">
        <f t="shared" si="59"/>
        <v>Hors data</v>
      </c>
      <c r="Q924" t="str" cm="1">
        <f t="array" ref="Q924">_xlfn.IFS(H924&gt;=16,"Excellent",H924&gt;=14,"Très bien",H924&gt;=12,"Bien",H924&gt;=10,"Passable",H924&lt;10,"Insuffisant")</f>
        <v>Excellent</v>
      </c>
    </row>
    <row r="925" spans="1:17">
      <c r="A925" t="s">
        <v>1256</v>
      </c>
      <c r="B925" t="s">
        <v>1037</v>
      </c>
      <c r="C925" t="s">
        <v>19</v>
      </c>
      <c r="D925" t="s">
        <v>20</v>
      </c>
      <c r="E925" s="8" t="s">
        <v>21</v>
      </c>
      <c r="F925" s="8">
        <v>13.86</v>
      </c>
      <c r="G925" s="8">
        <v>17.82</v>
      </c>
      <c r="H925" s="8">
        <v>16.440000000000001</v>
      </c>
      <c r="I925" s="8">
        <v>14.61</v>
      </c>
      <c r="J925" s="6">
        <v>0.76690000000000003</v>
      </c>
      <c r="K925" s="4">
        <v>100000</v>
      </c>
      <c r="L925" s="2">
        <v>45899</v>
      </c>
      <c r="M925" t="str">
        <f t="shared" si="56"/>
        <v>Admis</v>
      </c>
      <c r="N925" t="str">
        <f t="shared" si="57"/>
        <v>Non eligible</v>
      </c>
      <c r="O925" t="str">
        <f t="shared" si="58"/>
        <v>RAS</v>
      </c>
      <c r="P925" t="str">
        <f t="shared" si="59"/>
        <v>Data</v>
      </c>
      <c r="Q925" t="str" cm="1">
        <f t="array" ref="Q925">_xlfn.IFS(H925&gt;=16,"Excellent",H925&gt;=14,"Très bien",H925&gt;=12,"Bien",H925&gt;=10,"Passable",H925&lt;10,"Insuffisant")</f>
        <v>Excellent</v>
      </c>
    </row>
    <row r="926" spans="1:17">
      <c r="A926" t="s">
        <v>1257</v>
      </c>
      <c r="B926" t="s">
        <v>87</v>
      </c>
      <c r="C926" t="s">
        <v>19</v>
      </c>
      <c r="D926" t="s">
        <v>20</v>
      </c>
      <c r="E926" s="8" t="s">
        <v>47</v>
      </c>
      <c r="F926" s="8">
        <v>11.21</v>
      </c>
      <c r="G926" s="8">
        <v>14.87</v>
      </c>
      <c r="H926" s="8">
        <v>10.79</v>
      </c>
      <c r="I926" s="8">
        <v>13.23</v>
      </c>
      <c r="J926" s="6">
        <v>0.80840000000000001</v>
      </c>
      <c r="K926" s="4">
        <v>60000</v>
      </c>
      <c r="L926" s="2">
        <v>45721</v>
      </c>
      <c r="M926" t="str">
        <f t="shared" si="56"/>
        <v>Admis</v>
      </c>
      <c r="N926" t="str">
        <f t="shared" si="57"/>
        <v>Non eligible</v>
      </c>
      <c r="O926" t="str">
        <f t="shared" si="58"/>
        <v>RAS</v>
      </c>
      <c r="P926" t="str">
        <f t="shared" si="59"/>
        <v>Hors data</v>
      </c>
      <c r="Q926" t="str" cm="1">
        <f t="array" ref="Q926">_xlfn.IFS(H926&gt;=16,"Excellent",H926&gt;=14,"Très bien",H926&gt;=12,"Bien",H926&gt;=10,"Passable",H926&lt;10,"Insuffisant")</f>
        <v>Passable</v>
      </c>
    </row>
    <row r="927" spans="1:17">
      <c r="A927" t="s">
        <v>1258</v>
      </c>
      <c r="B927" t="s">
        <v>719</v>
      </c>
      <c r="C927" t="s">
        <v>24</v>
      </c>
      <c r="D927" t="s">
        <v>33</v>
      </c>
      <c r="E927" s="8" t="s">
        <v>21</v>
      </c>
      <c r="F927" s="8">
        <v>12.23</v>
      </c>
      <c r="G927" s="8">
        <v>12.33</v>
      </c>
      <c r="H927" s="8">
        <v>11.91</v>
      </c>
      <c r="I927" s="8">
        <v>12.41</v>
      </c>
      <c r="J927" s="6">
        <v>0.85250000000000004</v>
      </c>
      <c r="K927" s="4">
        <v>70000</v>
      </c>
      <c r="L927" s="2">
        <v>45793</v>
      </c>
      <c r="M927" t="str">
        <f t="shared" si="56"/>
        <v>Admis</v>
      </c>
      <c r="N927" t="str">
        <f t="shared" si="57"/>
        <v>Non eligible</v>
      </c>
      <c r="O927" t="str">
        <f t="shared" si="58"/>
        <v>RAS</v>
      </c>
      <c r="P927" t="str">
        <f t="shared" si="59"/>
        <v>Data</v>
      </c>
      <c r="Q927" t="str" cm="1">
        <f t="array" ref="Q927">_xlfn.IFS(H927&gt;=16,"Excellent",H927&gt;=14,"Très bien",H927&gt;=12,"Bien",H927&gt;=10,"Passable",H927&lt;10,"Insuffisant")</f>
        <v>Passable</v>
      </c>
    </row>
    <row r="928" spans="1:17">
      <c r="A928" t="s">
        <v>1259</v>
      </c>
      <c r="B928" t="s">
        <v>145</v>
      </c>
      <c r="C928" t="s">
        <v>24</v>
      </c>
      <c r="D928" t="s">
        <v>25</v>
      </c>
      <c r="E928" s="8" t="s">
        <v>47</v>
      </c>
      <c r="F928" s="8">
        <v>9.4499999999999993</v>
      </c>
      <c r="G928" s="8">
        <v>9.98</v>
      </c>
      <c r="H928" s="8">
        <v>7</v>
      </c>
      <c r="I928" s="8">
        <v>8.6300000000000008</v>
      </c>
      <c r="J928" s="6">
        <v>0.95640000000000003</v>
      </c>
      <c r="K928" s="4">
        <v>100000</v>
      </c>
      <c r="L928" s="2">
        <v>45767</v>
      </c>
      <c r="M928" t="str">
        <f t="shared" si="56"/>
        <v>Non admis</v>
      </c>
      <c r="N928" t="str">
        <f t="shared" si="57"/>
        <v>Non eligible</v>
      </c>
      <c r="O928" t="str">
        <f t="shared" si="58"/>
        <v>A surveiller</v>
      </c>
      <c r="P928" t="str">
        <f t="shared" si="59"/>
        <v>Hors data</v>
      </c>
      <c r="Q928" t="str" cm="1">
        <f t="array" ref="Q928">_xlfn.IFS(H928&gt;=16,"Excellent",H928&gt;=14,"Très bien",H928&gt;=12,"Bien",H928&gt;=10,"Passable",H928&lt;10,"Insuffisant")</f>
        <v>Insuffisant</v>
      </c>
    </row>
    <row r="929" spans="1:17">
      <c r="A929" t="s">
        <v>1260</v>
      </c>
      <c r="B929" t="s">
        <v>151</v>
      </c>
      <c r="C929" t="s">
        <v>19</v>
      </c>
      <c r="D929" t="s">
        <v>20</v>
      </c>
      <c r="E929" s="8" t="s">
        <v>21</v>
      </c>
      <c r="F929" s="8">
        <v>14.14</v>
      </c>
      <c r="G929" s="8">
        <v>16.34</v>
      </c>
      <c r="H929" s="8">
        <v>7.1</v>
      </c>
      <c r="I929" s="8">
        <v>13.52</v>
      </c>
      <c r="J929" s="6">
        <v>0.97670000000000001</v>
      </c>
      <c r="K929" s="4">
        <v>80000</v>
      </c>
      <c r="L929" s="2">
        <v>45571</v>
      </c>
      <c r="M929" t="str">
        <f t="shared" si="56"/>
        <v>Non admis</v>
      </c>
      <c r="N929" t="str">
        <f t="shared" si="57"/>
        <v>Non eligible</v>
      </c>
      <c r="O929" t="str">
        <f t="shared" si="58"/>
        <v>A surveiller</v>
      </c>
      <c r="P929" t="str">
        <f t="shared" si="59"/>
        <v>Data</v>
      </c>
      <c r="Q929" t="str" cm="1">
        <f t="array" ref="Q929">_xlfn.IFS(H929&gt;=16,"Excellent",H929&gt;=14,"Très bien",H929&gt;=12,"Bien",H929&gt;=10,"Passable",H929&lt;10,"Insuffisant")</f>
        <v>Insuffisant</v>
      </c>
    </row>
    <row r="930" spans="1:17">
      <c r="A930" t="s">
        <v>1261</v>
      </c>
      <c r="B930" t="s">
        <v>1183</v>
      </c>
      <c r="C930" t="s">
        <v>19</v>
      </c>
      <c r="D930" t="s">
        <v>25</v>
      </c>
      <c r="E930" s="8" t="s">
        <v>26</v>
      </c>
      <c r="F930" s="8">
        <v>10.25</v>
      </c>
      <c r="G930" s="8">
        <v>13.52</v>
      </c>
      <c r="H930" s="8">
        <v>5.33</v>
      </c>
      <c r="I930" s="8">
        <v>8.48</v>
      </c>
      <c r="J930" s="6">
        <v>0.79890000000000005</v>
      </c>
      <c r="K930" s="4">
        <v>70000</v>
      </c>
      <c r="L930" s="2">
        <v>46083</v>
      </c>
      <c r="M930" t="str">
        <f t="shared" si="56"/>
        <v>Non admis</v>
      </c>
      <c r="N930" t="str">
        <f t="shared" si="57"/>
        <v>Non eligible</v>
      </c>
      <c r="O930" t="str">
        <f t="shared" si="58"/>
        <v>A surveiller</v>
      </c>
      <c r="P930" t="str">
        <f t="shared" si="59"/>
        <v>Hors data</v>
      </c>
      <c r="Q930" t="str" cm="1">
        <f t="array" ref="Q930">_xlfn.IFS(H930&gt;=16,"Excellent",H930&gt;=14,"Très bien",H930&gt;=12,"Bien",H930&gt;=10,"Passable",H930&lt;10,"Insuffisant")</f>
        <v>Insuffisant</v>
      </c>
    </row>
    <row r="931" spans="1:17">
      <c r="A931" t="s">
        <v>1262</v>
      </c>
      <c r="B931" t="s">
        <v>824</v>
      </c>
      <c r="C931" t="s">
        <v>24</v>
      </c>
      <c r="D931" t="s">
        <v>25</v>
      </c>
      <c r="E931" s="8" t="s">
        <v>21</v>
      </c>
      <c r="F931" s="8">
        <v>9.2100000000000009</v>
      </c>
      <c r="G931" s="8">
        <v>9.48</v>
      </c>
      <c r="H931" s="8">
        <v>12.16</v>
      </c>
      <c r="I931" s="8">
        <v>10.36</v>
      </c>
      <c r="J931" s="6">
        <v>0.98309999999999997</v>
      </c>
      <c r="K931" s="4">
        <v>50000</v>
      </c>
      <c r="L931" s="2">
        <v>45636</v>
      </c>
      <c r="M931" t="str">
        <f t="shared" si="56"/>
        <v>Admis</v>
      </c>
      <c r="N931" t="str">
        <f t="shared" si="57"/>
        <v>Non eligible</v>
      </c>
      <c r="O931" t="str">
        <f t="shared" si="58"/>
        <v>A surveiller</v>
      </c>
      <c r="P931" t="str">
        <f t="shared" si="59"/>
        <v>Data</v>
      </c>
      <c r="Q931" t="str" cm="1">
        <f t="array" ref="Q931">_xlfn.IFS(H931&gt;=16,"Excellent",H931&gt;=14,"Très bien",H931&gt;=12,"Bien",H931&gt;=10,"Passable",H931&lt;10,"Insuffisant")</f>
        <v>Bien</v>
      </c>
    </row>
    <row r="932" spans="1:17">
      <c r="A932" t="s">
        <v>1263</v>
      </c>
      <c r="B932" t="s">
        <v>343</v>
      </c>
      <c r="C932" t="s">
        <v>24</v>
      </c>
      <c r="D932" t="s">
        <v>20</v>
      </c>
      <c r="E932" s="8" t="s">
        <v>47</v>
      </c>
      <c r="F932" s="8">
        <v>14.06</v>
      </c>
      <c r="G932" s="8">
        <v>17.39</v>
      </c>
      <c r="H932" s="8">
        <v>17.68</v>
      </c>
      <c r="I932" s="8">
        <v>16.05</v>
      </c>
      <c r="J932" s="6">
        <v>0.60460000000000003</v>
      </c>
      <c r="K932" s="4">
        <v>90000</v>
      </c>
      <c r="L932" s="2">
        <v>45799</v>
      </c>
      <c r="M932" t="str">
        <f t="shared" si="56"/>
        <v>Admis</v>
      </c>
      <c r="N932" t="str">
        <f t="shared" si="57"/>
        <v>Non eligible</v>
      </c>
      <c r="O932" t="str">
        <f t="shared" si="58"/>
        <v>RAS</v>
      </c>
      <c r="P932" t="str">
        <f t="shared" si="59"/>
        <v>Hors data</v>
      </c>
      <c r="Q932" t="str" cm="1">
        <f t="array" ref="Q932">_xlfn.IFS(H932&gt;=16,"Excellent",H932&gt;=14,"Très bien",H932&gt;=12,"Bien",H932&gt;=10,"Passable",H932&lt;10,"Insuffisant")</f>
        <v>Excellent</v>
      </c>
    </row>
    <row r="933" spans="1:17">
      <c r="A933" t="s">
        <v>1264</v>
      </c>
      <c r="B933" t="s">
        <v>780</v>
      </c>
      <c r="C933" t="s">
        <v>24</v>
      </c>
      <c r="D933" t="s">
        <v>40</v>
      </c>
      <c r="E933" s="8" t="s">
        <v>21</v>
      </c>
      <c r="F933" s="8">
        <v>11.8</v>
      </c>
      <c r="G933" s="8">
        <v>15</v>
      </c>
      <c r="H933" s="8">
        <v>16.59</v>
      </c>
      <c r="I933" s="8">
        <v>14.88</v>
      </c>
      <c r="J933" s="6">
        <v>0.55000000000000004</v>
      </c>
      <c r="K933" s="4">
        <v>100000</v>
      </c>
      <c r="L933" s="2">
        <v>45671</v>
      </c>
      <c r="M933" t="str">
        <f t="shared" si="56"/>
        <v>Admis</v>
      </c>
      <c r="N933" t="str">
        <f t="shared" si="57"/>
        <v>Non eligible</v>
      </c>
      <c r="O933" t="str">
        <f t="shared" si="58"/>
        <v>RAS</v>
      </c>
      <c r="P933" t="str">
        <f t="shared" si="59"/>
        <v>Data</v>
      </c>
      <c r="Q933" t="str" cm="1">
        <f t="array" ref="Q933">_xlfn.IFS(H933&gt;=16,"Excellent",H933&gt;=14,"Très bien",H933&gt;=12,"Bien",H933&gt;=10,"Passable",H933&lt;10,"Insuffisant")</f>
        <v>Excellent</v>
      </c>
    </row>
    <row r="934" spans="1:17">
      <c r="A934" t="s">
        <v>1265</v>
      </c>
      <c r="B934" t="s">
        <v>290</v>
      </c>
      <c r="C934" t="s">
        <v>19</v>
      </c>
      <c r="D934" t="s">
        <v>37</v>
      </c>
      <c r="E934" s="8" t="s">
        <v>47</v>
      </c>
      <c r="F934" s="8">
        <v>14.97</v>
      </c>
      <c r="G934" s="8">
        <v>12.31</v>
      </c>
      <c r="H934" s="8">
        <v>10.65</v>
      </c>
      <c r="I934" s="8">
        <v>15.05</v>
      </c>
      <c r="J934" s="6">
        <v>0.81569999999999998</v>
      </c>
      <c r="K934" s="4">
        <v>70000</v>
      </c>
      <c r="L934" s="2">
        <v>45648</v>
      </c>
      <c r="M934" t="str">
        <f t="shared" si="56"/>
        <v>Admis</v>
      </c>
      <c r="N934" t="str">
        <f t="shared" si="57"/>
        <v>Non eligible</v>
      </c>
      <c r="O934" t="str">
        <f t="shared" si="58"/>
        <v>RAS</v>
      </c>
      <c r="P934" t="str">
        <f t="shared" si="59"/>
        <v>Hors data</v>
      </c>
      <c r="Q934" t="str" cm="1">
        <f t="array" ref="Q934">_xlfn.IFS(H934&gt;=16,"Excellent",H934&gt;=14,"Très bien",H934&gt;=12,"Bien",H934&gt;=10,"Passable",H934&lt;10,"Insuffisant")</f>
        <v>Passable</v>
      </c>
    </row>
    <row r="935" spans="1:17">
      <c r="A935" t="s">
        <v>1266</v>
      </c>
      <c r="B935" t="s">
        <v>698</v>
      </c>
      <c r="C935" t="s">
        <v>24</v>
      </c>
      <c r="D935" t="s">
        <v>40</v>
      </c>
      <c r="E935" s="8" t="s">
        <v>34</v>
      </c>
      <c r="F935" s="8">
        <v>8.07</v>
      </c>
      <c r="G935" s="8">
        <v>9.15</v>
      </c>
      <c r="H935" s="8">
        <v>9.3000000000000007</v>
      </c>
      <c r="I935" s="8">
        <v>8.1199999999999992</v>
      </c>
      <c r="J935" s="6">
        <v>0.91720000000000002</v>
      </c>
      <c r="K935" s="4">
        <v>80000</v>
      </c>
      <c r="L935" s="2">
        <v>45797</v>
      </c>
      <c r="M935" t="str">
        <f t="shared" si="56"/>
        <v>Non admis</v>
      </c>
      <c r="N935" t="str">
        <f t="shared" si="57"/>
        <v>Non eligible</v>
      </c>
      <c r="O935" t="str">
        <f t="shared" si="58"/>
        <v>A surveiller</v>
      </c>
      <c r="P935" t="str">
        <f t="shared" si="59"/>
        <v>Hors data</v>
      </c>
      <c r="Q935" t="str" cm="1">
        <f t="array" ref="Q935">_xlfn.IFS(H935&gt;=16,"Excellent",H935&gt;=14,"Très bien",H935&gt;=12,"Bien",H935&gt;=10,"Passable",H935&lt;10,"Insuffisant")</f>
        <v>Insuffisant</v>
      </c>
    </row>
    <row r="936" spans="1:17">
      <c r="A936" t="s">
        <v>1267</v>
      </c>
      <c r="B936" t="s">
        <v>68</v>
      </c>
      <c r="C936" t="s">
        <v>19</v>
      </c>
      <c r="D936" t="s">
        <v>37</v>
      </c>
      <c r="E936" s="8" t="s">
        <v>26</v>
      </c>
      <c r="F936" s="8">
        <v>15.98</v>
      </c>
      <c r="G936" s="8">
        <v>15.05</v>
      </c>
      <c r="H936" s="8">
        <v>15.78</v>
      </c>
      <c r="I936" s="8">
        <v>15.55</v>
      </c>
      <c r="J936" s="6">
        <v>0.82989999999999997</v>
      </c>
      <c r="K936" s="4">
        <v>75000</v>
      </c>
      <c r="L936" s="2">
        <v>46179</v>
      </c>
      <c r="M936" t="str">
        <f t="shared" si="56"/>
        <v>Admis</v>
      </c>
      <c r="N936" t="str">
        <f t="shared" si="57"/>
        <v>Eligible</v>
      </c>
      <c r="O936" t="str">
        <f t="shared" si="58"/>
        <v>RAS</v>
      </c>
      <c r="P936" t="str">
        <f t="shared" si="59"/>
        <v>Hors data</v>
      </c>
      <c r="Q936" t="str" cm="1">
        <f t="array" ref="Q936">_xlfn.IFS(H936&gt;=16,"Excellent",H936&gt;=14,"Très bien",H936&gt;=12,"Bien",H936&gt;=10,"Passable",H936&lt;10,"Insuffisant")</f>
        <v>Très bien</v>
      </c>
    </row>
    <row r="937" spans="1:17">
      <c r="A937" t="s">
        <v>1268</v>
      </c>
      <c r="B937" t="s">
        <v>776</v>
      </c>
      <c r="C937" t="s">
        <v>24</v>
      </c>
      <c r="D937" t="s">
        <v>33</v>
      </c>
      <c r="E937" s="8" t="s">
        <v>47</v>
      </c>
      <c r="F937" s="8">
        <v>17.850000000000001</v>
      </c>
      <c r="G937" s="8">
        <v>14.98</v>
      </c>
      <c r="H937" s="8">
        <v>15.41</v>
      </c>
      <c r="I937" s="8">
        <v>13.46</v>
      </c>
      <c r="J937" s="6">
        <v>0.95130000000000003</v>
      </c>
      <c r="K937" s="4">
        <v>120000</v>
      </c>
      <c r="L937" s="2">
        <v>46196</v>
      </c>
      <c r="M937" t="str">
        <f t="shared" si="56"/>
        <v>Admis</v>
      </c>
      <c r="N937" t="str">
        <f t="shared" si="57"/>
        <v>Eligible</v>
      </c>
      <c r="O937" t="str">
        <f t="shared" si="58"/>
        <v>RAS</v>
      </c>
      <c r="P937" t="str">
        <f t="shared" si="59"/>
        <v>Hors data</v>
      </c>
      <c r="Q937" t="str" cm="1">
        <f t="array" ref="Q937">_xlfn.IFS(H937&gt;=16,"Excellent",H937&gt;=14,"Très bien",H937&gt;=12,"Bien",H937&gt;=10,"Passable",H937&lt;10,"Insuffisant")</f>
        <v>Très bien</v>
      </c>
    </row>
    <row r="938" spans="1:17">
      <c r="A938" t="s">
        <v>1269</v>
      </c>
      <c r="B938" t="s">
        <v>599</v>
      </c>
      <c r="C938" t="s">
        <v>19</v>
      </c>
      <c r="D938" t="s">
        <v>37</v>
      </c>
      <c r="E938" s="8" t="s">
        <v>34</v>
      </c>
      <c r="F938" s="8">
        <v>9.91</v>
      </c>
      <c r="G938" s="8">
        <v>15.25</v>
      </c>
      <c r="H938" s="8">
        <v>11.12</v>
      </c>
      <c r="I938" s="8">
        <v>13.42</v>
      </c>
      <c r="J938" s="6">
        <v>0.55000000000000004</v>
      </c>
      <c r="K938" s="4">
        <v>110000</v>
      </c>
      <c r="L938" s="2">
        <v>45803</v>
      </c>
      <c r="M938" t="str">
        <f t="shared" si="56"/>
        <v>Admis</v>
      </c>
      <c r="N938" t="str">
        <f t="shared" si="57"/>
        <v>Non eligible</v>
      </c>
      <c r="O938" t="str">
        <f t="shared" si="58"/>
        <v>A surveiller</v>
      </c>
      <c r="P938" t="str">
        <f t="shared" si="59"/>
        <v>Hors data</v>
      </c>
      <c r="Q938" t="str" cm="1">
        <f t="array" ref="Q938">_xlfn.IFS(H938&gt;=16,"Excellent",H938&gt;=14,"Très bien",H938&gt;=12,"Bien",H938&gt;=10,"Passable",H938&lt;10,"Insuffisant")</f>
        <v>Passable</v>
      </c>
    </row>
    <row r="939" spans="1:17">
      <c r="A939" t="s">
        <v>1270</v>
      </c>
      <c r="B939" t="s">
        <v>294</v>
      </c>
      <c r="C939" t="s">
        <v>19</v>
      </c>
      <c r="D939" t="s">
        <v>20</v>
      </c>
      <c r="E939" s="8" t="s">
        <v>21</v>
      </c>
      <c r="F939" s="8">
        <v>13.82</v>
      </c>
      <c r="G939" s="8">
        <v>15.59</v>
      </c>
      <c r="H939" s="8">
        <v>19.059999999999999</v>
      </c>
      <c r="I939" s="8">
        <v>15.16</v>
      </c>
      <c r="J939" s="6">
        <v>0.85319999999999996</v>
      </c>
      <c r="K939" s="4">
        <v>75000</v>
      </c>
      <c r="L939" s="2">
        <v>45889</v>
      </c>
      <c r="M939" t="str">
        <f t="shared" si="56"/>
        <v>Admis</v>
      </c>
      <c r="N939" t="str">
        <f t="shared" si="57"/>
        <v>Eligible</v>
      </c>
      <c r="O939" t="str">
        <f t="shared" si="58"/>
        <v>RAS</v>
      </c>
      <c r="P939" t="str">
        <f t="shared" si="59"/>
        <v>Data</v>
      </c>
      <c r="Q939" t="str" cm="1">
        <f t="array" ref="Q939">_xlfn.IFS(H939&gt;=16,"Excellent",H939&gt;=14,"Très bien",H939&gt;=12,"Bien",H939&gt;=10,"Passable",H939&lt;10,"Insuffisant")</f>
        <v>Excellent</v>
      </c>
    </row>
    <row r="940" spans="1:17">
      <c r="A940" t="s">
        <v>1271</v>
      </c>
      <c r="B940" t="s">
        <v>624</v>
      </c>
      <c r="C940" t="s">
        <v>19</v>
      </c>
      <c r="D940" t="s">
        <v>20</v>
      </c>
      <c r="E940" s="8" t="s">
        <v>47</v>
      </c>
      <c r="F940" s="8">
        <v>9.09</v>
      </c>
      <c r="G940" s="8">
        <v>13.15</v>
      </c>
      <c r="H940" s="8">
        <v>15.38</v>
      </c>
      <c r="I940" s="8">
        <v>9.6300000000000008</v>
      </c>
      <c r="J940" s="6">
        <v>0.71779999999999999</v>
      </c>
      <c r="K940" s="4">
        <v>85000</v>
      </c>
      <c r="L940" s="2">
        <v>46225</v>
      </c>
      <c r="M940" t="str">
        <f t="shared" si="56"/>
        <v>Admis</v>
      </c>
      <c r="N940" t="str">
        <f t="shared" si="57"/>
        <v>Non eligible</v>
      </c>
      <c r="O940" t="str">
        <f t="shared" si="58"/>
        <v>A surveiller</v>
      </c>
      <c r="P940" t="str">
        <f t="shared" si="59"/>
        <v>Hors data</v>
      </c>
      <c r="Q940" t="str" cm="1">
        <f t="array" ref="Q940">_xlfn.IFS(H940&gt;=16,"Excellent",H940&gt;=14,"Très bien",H940&gt;=12,"Bien",H940&gt;=10,"Passable",H940&lt;10,"Insuffisant")</f>
        <v>Très bien</v>
      </c>
    </row>
    <row r="941" spans="1:17">
      <c r="A941" t="s">
        <v>1272</v>
      </c>
      <c r="B941" t="s">
        <v>470</v>
      </c>
      <c r="C941" t="s">
        <v>24</v>
      </c>
      <c r="D941" t="s">
        <v>25</v>
      </c>
      <c r="E941" s="8" t="s">
        <v>34</v>
      </c>
      <c r="F941" s="8">
        <v>13.1</v>
      </c>
      <c r="G941" s="8">
        <v>16.88</v>
      </c>
      <c r="H941" s="8">
        <v>14.84</v>
      </c>
      <c r="I941" s="8">
        <v>15.75</v>
      </c>
      <c r="J941" s="6">
        <v>0.9123</v>
      </c>
      <c r="K941" s="4">
        <v>130000</v>
      </c>
      <c r="L941" s="2">
        <v>45700</v>
      </c>
      <c r="M941" t="str">
        <f t="shared" si="56"/>
        <v>Admis</v>
      </c>
      <c r="N941" t="str">
        <f t="shared" si="57"/>
        <v>Eligible</v>
      </c>
      <c r="O941" t="str">
        <f t="shared" si="58"/>
        <v>RAS</v>
      </c>
      <c r="P941" t="str">
        <f t="shared" si="59"/>
        <v>Hors data</v>
      </c>
      <c r="Q941" t="str" cm="1">
        <f t="array" ref="Q941">_xlfn.IFS(H941&gt;=16,"Excellent",H941&gt;=14,"Très bien",H941&gt;=12,"Bien",H941&gt;=10,"Passable",H941&lt;10,"Insuffisant")</f>
        <v>Très bien</v>
      </c>
    </row>
    <row r="942" spans="1:17">
      <c r="A942" t="s">
        <v>1273</v>
      </c>
      <c r="B942" t="s">
        <v>414</v>
      </c>
      <c r="C942" t="s">
        <v>24</v>
      </c>
      <c r="D942" t="s">
        <v>52</v>
      </c>
      <c r="E942" s="8" t="s">
        <v>21</v>
      </c>
      <c r="F942" s="8">
        <v>10.4</v>
      </c>
      <c r="G942" s="8">
        <v>16.95</v>
      </c>
      <c r="H942" s="8">
        <v>14.09</v>
      </c>
      <c r="I942" s="8">
        <v>11.39</v>
      </c>
      <c r="J942" s="6">
        <v>0.82010000000000005</v>
      </c>
      <c r="K942" s="4">
        <v>75000</v>
      </c>
      <c r="L942" s="2">
        <v>46197</v>
      </c>
      <c r="M942" t="str">
        <f t="shared" si="56"/>
        <v>Admis</v>
      </c>
      <c r="N942" t="str">
        <f t="shared" si="57"/>
        <v>Non eligible</v>
      </c>
      <c r="O942" t="str">
        <f t="shared" si="58"/>
        <v>RAS</v>
      </c>
      <c r="P942" t="str">
        <f t="shared" si="59"/>
        <v>Data</v>
      </c>
      <c r="Q942" t="str" cm="1">
        <f t="array" ref="Q942">_xlfn.IFS(H942&gt;=16,"Excellent",H942&gt;=14,"Très bien",H942&gt;=12,"Bien",H942&gt;=10,"Passable",H942&lt;10,"Insuffisant")</f>
        <v>Très bien</v>
      </c>
    </row>
    <row r="943" spans="1:17">
      <c r="A943" t="s">
        <v>1274</v>
      </c>
      <c r="B943" t="s">
        <v>769</v>
      </c>
      <c r="C943" t="s">
        <v>19</v>
      </c>
      <c r="D943" t="s">
        <v>40</v>
      </c>
      <c r="E943" s="8" t="s">
        <v>47</v>
      </c>
      <c r="F943" s="8">
        <v>13.49</v>
      </c>
      <c r="G943" s="8">
        <v>15.24</v>
      </c>
      <c r="H943" s="8">
        <v>9.5399999999999991</v>
      </c>
      <c r="I943" s="8">
        <v>9.7899999999999991</v>
      </c>
      <c r="J943" s="6">
        <v>0.88200000000000001</v>
      </c>
      <c r="K943" s="4">
        <v>60000</v>
      </c>
      <c r="L943" s="2">
        <v>45610</v>
      </c>
      <c r="M943" t="str">
        <f t="shared" si="56"/>
        <v>Non admis</v>
      </c>
      <c r="N943" t="str">
        <f t="shared" si="57"/>
        <v>Non eligible</v>
      </c>
      <c r="O943" t="str">
        <f t="shared" si="58"/>
        <v>A surveiller</v>
      </c>
      <c r="P943" t="str">
        <f t="shared" si="59"/>
        <v>Hors data</v>
      </c>
      <c r="Q943" t="str" cm="1">
        <f t="array" ref="Q943">_xlfn.IFS(H943&gt;=16,"Excellent",H943&gt;=14,"Très bien",H943&gt;=12,"Bien",H943&gt;=10,"Passable",H943&lt;10,"Insuffisant")</f>
        <v>Insuffisant</v>
      </c>
    </row>
    <row r="944" spans="1:17">
      <c r="A944" t="s">
        <v>1275</v>
      </c>
      <c r="B944" t="s">
        <v>110</v>
      </c>
      <c r="C944" t="s">
        <v>24</v>
      </c>
      <c r="D944" t="s">
        <v>40</v>
      </c>
      <c r="E944" s="8" t="s">
        <v>21</v>
      </c>
      <c r="F944" s="8">
        <v>16.190000000000001</v>
      </c>
      <c r="G944" s="8">
        <v>12.84</v>
      </c>
      <c r="H944" s="8">
        <v>18.32</v>
      </c>
      <c r="I944" s="8">
        <v>12.37</v>
      </c>
      <c r="J944" s="6">
        <v>0.9002</v>
      </c>
      <c r="K944" s="4">
        <v>75000</v>
      </c>
      <c r="L944" s="2">
        <v>45694</v>
      </c>
      <c r="M944" t="str">
        <f t="shared" si="56"/>
        <v>Admis</v>
      </c>
      <c r="N944" t="str">
        <f t="shared" si="57"/>
        <v>Eligible</v>
      </c>
      <c r="O944" t="str">
        <f t="shared" si="58"/>
        <v>RAS</v>
      </c>
      <c r="P944" t="str">
        <f t="shared" si="59"/>
        <v>Data</v>
      </c>
      <c r="Q944" t="str" cm="1">
        <f t="array" ref="Q944">_xlfn.IFS(H944&gt;=16,"Excellent",H944&gt;=14,"Très bien",H944&gt;=12,"Bien",H944&gt;=10,"Passable",H944&lt;10,"Insuffisant")</f>
        <v>Excellent</v>
      </c>
    </row>
    <row r="945" spans="1:17">
      <c r="A945" t="s">
        <v>1276</v>
      </c>
      <c r="B945" t="s">
        <v>358</v>
      </c>
      <c r="C945" t="s">
        <v>19</v>
      </c>
      <c r="D945" t="s">
        <v>33</v>
      </c>
      <c r="E945" s="8" t="s">
        <v>21</v>
      </c>
      <c r="F945" s="8">
        <v>12.43</v>
      </c>
      <c r="G945" s="8">
        <v>12.78</v>
      </c>
      <c r="H945" s="8">
        <v>11.68</v>
      </c>
      <c r="I945" s="8">
        <v>10.42</v>
      </c>
      <c r="J945" s="6">
        <v>0.78869999999999996</v>
      </c>
      <c r="K945" s="4">
        <v>90000</v>
      </c>
      <c r="L945" s="2">
        <v>45772</v>
      </c>
      <c r="M945" t="str">
        <f t="shared" si="56"/>
        <v>Admis</v>
      </c>
      <c r="N945" t="str">
        <f t="shared" si="57"/>
        <v>Non eligible</v>
      </c>
      <c r="O945" t="str">
        <f t="shared" si="58"/>
        <v>RAS</v>
      </c>
      <c r="P945" t="str">
        <f t="shared" si="59"/>
        <v>Data</v>
      </c>
      <c r="Q945" t="str" cm="1">
        <f t="array" ref="Q945">_xlfn.IFS(H945&gt;=16,"Excellent",H945&gt;=14,"Très bien",H945&gt;=12,"Bien",H945&gt;=10,"Passable",H945&lt;10,"Insuffisant")</f>
        <v>Passable</v>
      </c>
    </row>
    <row r="946" spans="1:17">
      <c r="A946" t="s">
        <v>1277</v>
      </c>
      <c r="B946" t="s">
        <v>606</v>
      </c>
      <c r="C946" t="s">
        <v>19</v>
      </c>
      <c r="D946" t="s">
        <v>33</v>
      </c>
      <c r="E946" s="8" t="s">
        <v>21</v>
      </c>
      <c r="F946" s="8">
        <v>13.01</v>
      </c>
      <c r="G946" s="8">
        <v>13.99</v>
      </c>
      <c r="H946" s="8">
        <v>14.49</v>
      </c>
      <c r="I946" s="8">
        <v>12.12</v>
      </c>
      <c r="J946" s="6">
        <v>0.65469999999999995</v>
      </c>
      <c r="K946" s="4">
        <v>130000</v>
      </c>
      <c r="L946" s="2">
        <v>45561</v>
      </c>
      <c r="M946" t="str">
        <f t="shared" si="56"/>
        <v>Admis</v>
      </c>
      <c r="N946" t="str">
        <f t="shared" si="57"/>
        <v>Non eligible</v>
      </c>
      <c r="O946" t="str">
        <f t="shared" si="58"/>
        <v>RAS</v>
      </c>
      <c r="P946" t="str">
        <f t="shared" si="59"/>
        <v>Data</v>
      </c>
      <c r="Q946" t="str" cm="1">
        <f t="array" ref="Q946">_xlfn.IFS(H946&gt;=16,"Excellent",H946&gt;=14,"Très bien",H946&gt;=12,"Bien",H946&gt;=10,"Passable",H946&lt;10,"Insuffisant")</f>
        <v>Très bien</v>
      </c>
    </row>
    <row r="947" spans="1:17">
      <c r="A947" t="s">
        <v>1278</v>
      </c>
      <c r="B947" t="s">
        <v>353</v>
      </c>
      <c r="C947" t="s">
        <v>19</v>
      </c>
      <c r="D947" t="s">
        <v>25</v>
      </c>
      <c r="E947" s="8" t="s">
        <v>34</v>
      </c>
      <c r="F947" s="8">
        <v>15.24</v>
      </c>
      <c r="G947" s="8">
        <v>11.82</v>
      </c>
      <c r="H947" s="8">
        <v>16.3</v>
      </c>
      <c r="I947" s="8">
        <v>14.84</v>
      </c>
      <c r="J947" s="6">
        <v>0.79479999999999995</v>
      </c>
      <c r="K947" s="4">
        <v>75000</v>
      </c>
      <c r="L947" s="2">
        <v>46107</v>
      </c>
      <c r="M947" t="str">
        <f t="shared" si="56"/>
        <v>Admis</v>
      </c>
      <c r="N947" t="str">
        <f t="shared" si="57"/>
        <v>Non eligible</v>
      </c>
      <c r="O947" t="str">
        <f t="shared" si="58"/>
        <v>RAS</v>
      </c>
      <c r="P947" t="str">
        <f t="shared" si="59"/>
        <v>Hors data</v>
      </c>
      <c r="Q947" t="str" cm="1">
        <f t="array" ref="Q947">_xlfn.IFS(H947&gt;=16,"Excellent",H947&gt;=14,"Très bien",H947&gt;=12,"Bien",H947&gt;=10,"Passable",H947&lt;10,"Insuffisant")</f>
        <v>Excellent</v>
      </c>
    </row>
    <row r="948" spans="1:17">
      <c r="A948" t="s">
        <v>1279</v>
      </c>
      <c r="B948" t="s">
        <v>414</v>
      </c>
      <c r="C948" t="s">
        <v>24</v>
      </c>
      <c r="D948" t="s">
        <v>37</v>
      </c>
      <c r="E948" s="8" t="s">
        <v>21</v>
      </c>
      <c r="F948" s="8">
        <v>3.35</v>
      </c>
      <c r="G948" s="8">
        <v>5.0999999999999996</v>
      </c>
      <c r="H948" s="8">
        <v>4.24</v>
      </c>
      <c r="I948" s="8">
        <v>4.87</v>
      </c>
      <c r="J948" s="6">
        <v>0.61209999999999998</v>
      </c>
      <c r="K948" s="4">
        <v>50000</v>
      </c>
      <c r="L948" s="2">
        <v>46134</v>
      </c>
      <c r="M948" t="str">
        <f t="shared" si="56"/>
        <v>Non admis</v>
      </c>
      <c r="N948" t="str">
        <f t="shared" si="57"/>
        <v>Non eligible</v>
      </c>
      <c r="O948" t="str">
        <f t="shared" si="58"/>
        <v>A surveiller</v>
      </c>
      <c r="P948" t="str">
        <f t="shared" si="59"/>
        <v>Data</v>
      </c>
      <c r="Q948" t="str" cm="1">
        <f t="array" ref="Q948">_xlfn.IFS(H948&gt;=16,"Excellent",H948&gt;=14,"Très bien",H948&gt;=12,"Bien",H948&gt;=10,"Passable",H948&lt;10,"Insuffisant")</f>
        <v>Insuffisant</v>
      </c>
    </row>
    <row r="949" spans="1:17">
      <c r="A949" t="s">
        <v>1280</v>
      </c>
      <c r="B949" t="s">
        <v>1281</v>
      </c>
      <c r="C949" t="s">
        <v>19</v>
      </c>
      <c r="D949" t="s">
        <v>25</v>
      </c>
      <c r="E949" s="8" t="s">
        <v>21</v>
      </c>
      <c r="F949" s="8">
        <v>16.100000000000001</v>
      </c>
      <c r="G949" s="8">
        <v>20</v>
      </c>
      <c r="H949" s="8">
        <v>17.36</v>
      </c>
      <c r="I949" s="8">
        <v>15</v>
      </c>
      <c r="J949" s="6">
        <v>0.97350000000000003</v>
      </c>
      <c r="K949" s="4">
        <v>60000</v>
      </c>
      <c r="L949" s="2">
        <v>45804</v>
      </c>
      <c r="M949" t="str">
        <f t="shared" si="56"/>
        <v>Admis</v>
      </c>
      <c r="N949" t="str">
        <f t="shared" si="57"/>
        <v>Eligible</v>
      </c>
      <c r="O949" t="str">
        <f t="shared" si="58"/>
        <v>RAS</v>
      </c>
      <c r="P949" t="str">
        <f t="shared" si="59"/>
        <v>Data</v>
      </c>
      <c r="Q949" t="str" cm="1">
        <f t="array" ref="Q949">_xlfn.IFS(H949&gt;=16,"Excellent",H949&gt;=14,"Très bien",H949&gt;=12,"Bien",H949&gt;=10,"Passable",H949&lt;10,"Insuffisant")</f>
        <v>Excellent</v>
      </c>
    </row>
    <row r="950" spans="1:17">
      <c r="A950" t="s">
        <v>1282</v>
      </c>
      <c r="B950" t="s">
        <v>432</v>
      </c>
      <c r="C950" t="s">
        <v>24</v>
      </c>
      <c r="D950" t="s">
        <v>37</v>
      </c>
      <c r="E950" s="8" t="s">
        <v>34</v>
      </c>
      <c r="F950" s="8">
        <v>9.6999999999999993</v>
      </c>
      <c r="G950" s="8">
        <v>6.38</v>
      </c>
      <c r="H950" s="8">
        <v>1.99</v>
      </c>
      <c r="I950" s="8">
        <v>6.79</v>
      </c>
      <c r="J950" s="6">
        <v>0.84860000000000002</v>
      </c>
      <c r="K950" s="4">
        <v>80000</v>
      </c>
      <c r="L950" s="2">
        <v>46121</v>
      </c>
      <c r="M950" t="str">
        <f t="shared" si="56"/>
        <v>Non admis</v>
      </c>
      <c r="N950" t="str">
        <f t="shared" si="57"/>
        <v>Non eligible</v>
      </c>
      <c r="O950" t="str">
        <f t="shared" si="58"/>
        <v>A surveiller</v>
      </c>
      <c r="P950" t="str">
        <f t="shared" si="59"/>
        <v>Hors data</v>
      </c>
      <c r="Q950" t="str" cm="1">
        <f t="array" ref="Q950">_xlfn.IFS(H950&gt;=16,"Excellent",H950&gt;=14,"Très bien",H950&gt;=12,"Bien",H950&gt;=10,"Passable",H950&lt;10,"Insuffisant")</f>
        <v>Insuffisant</v>
      </c>
    </row>
    <row r="951" spans="1:17">
      <c r="A951" t="s">
        <v>1283</v>
      </c>
      <c r="B951" t="s">
        <v>114</v>
      </c>
      <c r="C951" t="s">
        <v>19</v>
      </c>
      <c r="D951" t="s">
        <v>25</v>
      </c>
      <c r="E951" s="8" t="s">
        <v>21</v>
      </c>
      <c r="F951" s="8">
        <v>11.99</v>
      </c>
      <c r="G951" s="8">
        <v>16.61</v>
      </c>
      <c r="H951" s="8">
        <v>14.37</v>
      </c>
      <c r="I951" s="8">
        <v>11.54</v>
      </c>
      <c r="J951" s="6">
        <v>0.73440000000000005</v>
      </c>
      <c r="K951" s="4">
        <v>60000</v>
      </c>
      <c r="L951" s="2">
        <v>46076</v>
      </c>
      <c r="M951" t="str">
        <f t="shared" si="56"/>
        <v>Admis</v>
      </c>
      <c r="N951" t="str">
        <f t="shared" si="57"/>
        <v>Non eligible</v>
      </c>
      <c r="O951" t="str">
        <f t="shared" si="58"/>
        <v>RAS</v>
      </c>
      <c r="P951" t="str">
        <f t="shared" si="59"/>
        <v>Data</v>
      </c>
      <c r="Q951" t="str" cm="1">
        <f t="array" ref="Q951">_xlfn.IFS(H951&gt;=16,"Excellent",H951&gt;=14,"Très bien",H951&gt;=12,"Bien",H951&gt;=10,"Passable",H951&lt;10,"Insuffisant")</f>
        <v>Très bien</v>
      </c>
    </row>
    <row r="952" spans="1:17">
      <c r="A952" t="s">
        <v>1284</v>
      </c>
      <c r="B952" t="s">
        <v>736</v>
      </c>
      <c r="C952" t="s">
        <v>19</v>
      </c>
      <c r="D952" t="s">
        <v>37</v>
      </c>
      <c r="E952" s="8" t="s">
        <v>21</v>
      </c>
      <c r="F952" s="8">
        <v>13.76</v>
      </c>
      <c r="G952" s="8">
        <v>17.16</v>
      </c>
      <c r="H952" s="8">
        <v>16.34</v>
      </c>
      <c r="I952" s="8">
        <v>18.61</v>
      </c>
      <c r="J952" s="6">
        <v>0.55000000000000004</v>
      </c>
      <c r="K952" s="4">
        <v>50000</v>
      </c>
      <c r="L952" s="2">
        <v>46096</v>
      </c>
      <c r="M952" t="str">
        <f t="shared" si="56"/>
        <v>Admis</v>
      </c>
      <c r="N952" t="str">
        <f t="shared" si="57"/>
        <v>Non eligible</v>
      </c>
      <c r="O952" t="str">
        <f t="shared" si="58"/>
        <v>RAS</v>
      </c>
      <c r="P952" t="str">
        <f t="shared" si="59"/>
        <v>Data</v>
      </c>
      <c r="Q952" t="str" cm="1">
        <f t="array" ref="Q952">_xlfn.IFS(H952&gt;=16,"Excellent",H952&gt;=14,"Très bien",H952&gt;=12,"Bien",H952&gt;=10,"Passable",H952&lt;10,"Insuffisant")</f>
        <v>Excellent</v>
      </c>
    </row>
    <row r="953" spans="1:17">
      <c r="A953" t="s">
        <v>1285</v>
      </c>
      <c r="B953" t="s">
        <v>974</v>
      </c>
      <c r="C953" t="s">
        <v>19</v>
      </c>
      <c r="D953" t="s">
        <v>25</v>
      </c>
      <c r="E953" s="8" t="s">
        <v>34</v>
      </c>
      <c r="F953" s="8">
        <v>13.01</v>
      </c>
      <c r="G953" s="8">
        <v>18.399999999999999</v>
      </c>
      <c r="H953" s="8">
        <v>15.36</v>
      </c>
      <c r="I953" s="8">
        <v>12.08</v>
      </c>
      <c r="J953" s="6">
        <v>0.89159999999999995</v>
      </c>
      <c r="K953" s="4">
        <v>100000</v>
      </c>
      <c r="L953" s="2">
        <v>46097</v>
      </c>
      <c r="M953" t="str">
        <f t="shared" si="56"/>
        <v>Admis</v>
      </c>
      <c r="N953" t="str">
        <f t="shared" si="57"/>
        <v>Eligible</v>
      </c>
      <c r="O953" t="str">
        <f t="shared" si="58"/>
        <v>RAS</v>
      </c>
      <c r="P953" t="str">
        <f t="shared" si="59"/>
        <v>Hors data</v>
      </c>
      <c r="Q953" t="str" cm="1">
        <f t="array" ref="Q953">_xlfn.IFS(H953&gt;=16,"Excellent",H953&gt;=14,"Très bien",H953&gt;=12,"Bien",H953&gt;=10,"Passable",H953&lt;10,"Insuffisant")</f>
        <v>Très bien</v>
      </c>
    </row>
    <row r="954" spans="1:17">
      <c r="A954" t="s">
        <v>1286</v>
      </c>
      <c r="B954" t="s">
        <v>80</v>
      </c>
      <c r="C954" t="s">
        <v>24</v>
      </c>
      <c r="D954" t="s">
        <v>25</v>
      </c>
      <c r="E954" s="8" t="s">
        <v>21</v>
      </c>
      <c r="F954" s="8">
        <v>6.42</v>
      </c>
      <c r="G954" s="8">
        <v>10.19</v>
      </c>
      <c r="H954" s="8">
        <v>9.15</v>
      </c>
      <c r="I954" s="8">
        <v>9.24</v>
      </c>
      <c r="J954" s="6">
        <v>0.79420000000000002</v>
      </c>
      <c r="K954" s="4">
        <v>120000</v>
      </c>
      <c r="L954" s="2">
        <v>45937</v>
      </c>
      <c r="M954" t="str">
        <f t="shared" si="56"/>
        <v>Non admis</v>
      </c>
      <c r="N954" t="str">
        <f t="shared" si="57"/>
        <v>Non eligible</v>
      </c>
      <c r="O954" t="str">
        <f t="shared" si="58"/>
        <v>A surveiller</v>
      </c>
      <c r="P954" t="str">
        <f t="shared" si="59"/>
        <v>Data</v>
      </c>
      <c r="Q954" t="str" cm="1">
        <f t="array" ref="Q954">_xlfn.IFS(H954&gt;=16,"Excellent",H954&gt;=14,"Très bien",H954&gt;=12,"Bien",H954&gt;=10,"Passable",H954&lt;10,"Insuffisant")</f>
        <v>Insuffisant</v>
      </c>
    </row>
    <row r="955" spans="1:17">
      <c r="A955" t="s">
        <v>1287</v>
      </c>
      <c r="B955" t="s">
        <v>64</v>
      </c>
      <c r="C955" t="s">
        <v>19</v>
      </c>
      <c r="D955" t="s">
        <v>37</v>
      </c>
      <c r="E955" s="8" t="s">
        <v>26</v>
      </c>
      <c r="F955" s="8">
        <v>7.8</v>
      </c>
      <c r="G955" s="8">
        <v>10.89</v>
      </c>
      <c r="H955" s="8">
        <v>10.34</v>
      </c>
      <c r="I955" s="8">
        <v>9.1</v>
      </c>
      <c r="J955" s="6">
        <v>0.91359999999999997</v>
      </c>
      <c r="K955" s="4">
        <v>70000</v>
      </c>
      <c r="L955" s="2">
        <v>45613</v>
      </c>
      <c r="M955" t="str">
        <f t="shared" si="56"/>
        <v>Admis</v>
      </c>
      <c r="N955" t="str">
        <f t="shared" si="57"/>
        <v>Non eligible</v>
      </c>
      <c r="O955" t="str">
        <f t="shared" si="58"/>
        <v>A surveiller</v>
      </c>
      <c r="P955" t="str">
        <f t="shared" si="59"/>
        <v>Hors data</v>
      </c>
      <c r="Q955" t="str" cm="1">
        <f t="array" ref="Q955">_xlfn.IFS(H955&gt;=16,"Excellent",H955&gt;=14,"Très bien",H955&gt;=12,"Bien",H955&gt;=10,"Passable",H955&lt;10,"Insuffisant")</f>
        <v>Passable</v>
      </c>
    </row>
    <row r="956" spans="1:17">
      <c r="A956" t="s">
        <v>1288</v>
      </c>
      <c r="B956" t="s">
        <v>36</v>
      </c>
      <c r="C956" t="s">
        <v>24</v>
      </c>
      <c r="D956" t="s">
        <v>33</v>
      </c>
      <c r="E956" s="8" t="s">
        <v>34</v>
      </c>
      <c r="F956" s="8">
        <v>14.08</v>
      </c>
      <c r="G956" s="8">
        <v>13.96</v>
      </c>
      <c r="H956" s="8">
        <v>13.91</v>
      </c>
      <c r="I956" s="8">
        <v>16.260000000000002</v>
      </c>
      <c r="J956" s="6">
        <v>0.69810000000000005</v>
      </c>
      <c r="K956" s="4">
        <v>85000</v>
      </c>
      <c r="L956" s="2">
        <v>46182</v>
      </c>
      <c r="M956" t="str">
        <f t="shared" si="56"/>
        <v>Admis</v>
      </c>
      <c r="N956" t="str">
        <f t="shared" si="57"/>
        <v>Non eligible</v>
      </c>
      <c r="O956" t="str">
        <f t="shared" si="58"/>
        <v>RAS</v>
      </c>
      <c r="P956" t="str">
        <f t="shared" si="59"/>
        <v>Hors data</v>
      </c>
      <c r="Q956" t="str" cm="1">
        <f t="array" ref="Q956">_xlfn.IFS(H956&gt;=16,"Excellent",H956&gt;=14,"Très bien",H956&gt;=12,"Bien",H956&gt;=10,"Passable",H956&lt;10,"Insuffisant")</f>
        <v>Bien</v>
      </c>
    </row>
    <row r="957" spans="1:17">
      <c r="A957" t="s">
        <v>1289</v>
      </c>
      <c r="B957" t="s">
        <v>549</v>
      </c>
      <c r="C957" t="s">
        <v>24</v>
      </c>
      <c r="D957" t="s">
        <v>20</v>
      </c>
      <c r="E957" s="8" t="s">
        <v>26</v>
      </c>
      <c r="F957" s="8">
        <v>7.14</v>
      </c>
      <c r="G957" s="8">
        <v>10.96</v>
      </c>
      <c r="H957" s="8">
        <v>9.99</v>
      </c>
      <c r="I957" s="8">
        <v>9.59</v>
      </c>
      <c r="J957" s="6">
        <v>0.75960000000000005</v>
      </c>
      <c r="K957" s="4">
        <v>90000</v>
      </c>
      <c r="L957" s="2">
        <v>45962</v>
      </c>
      <c r="M957" t="str">
        <f t="shared" si="56"/>
        <v>Non admis</v>
      </c>
      <c r="N957" t="str">
        <f t="shared" si="57"/>
        <v>Non eligible</v>
      </c>
      <c r="O957" t="str">
        <f t="shared" si="58"/>
        <v>A surveiller</v>
      </c>
      <c r="P957" t="str">
        <f t="shared" si="59"/>
        <v>Hors data</v>
      </c>
      <c r="Q957" t="str" cm="1">
        <f t="array" ref="Q957">_xlfn.IFS(H957&gt;=16,"Excellent",H957&gt;=14,"Très bien",H957&gt;=12,"Bien",H957&gt;=10,"Passable",H957&lt;10,"Insuffisant")</f>
        <v>Insuffisant</v>
      </c>
    </row>
    <row r="958" spans="1:17">
      <c r="A958" t="s">
        <v>1290</v>
      </c>
      <c r="B958" t="s">
        <v>294</v>
      </c>
      <c r="C958" t="s">
        <v>19</v>
      </c>
      <c r="D958" t="s">
        <v>37</v>
      </c>
      <c r="E958" s="8" t="s">
        <v>26</v>
      </c>
      <c r="F958" s="8">
        <v>18.72</v>
      </c>
      <c r="G958" s="8">
        <v>15.96</v>
      </c>
      <c r="H958" s="8">
        <v>14.93</v>
      </c>
      <c r="I958" s="8">
        <v>15.66</v>
      </c>
      <c r="J958" s="6">
        <v>0.82430000000000003</v>
      </c>
      <c r="K958" s="4">
        <v>100000</v>
      </c>
      <c r="L958" s="2">
        <v>46166</v>
      </c>
      <c r="M958" t="str">
        <f t="shared" si="56"/>
        <v>Admis</v>
      </c>
      <c r="N958" t="str">
        <f t="shared" si="57"/>
        <v>Eligible</v>
      </c>
      <c r="O958" t="str">
        <f t="shared" si="58"/>
        <v>RAS</v>
      </c>
      <c r="P958" t="str">
        <f t="shared" si="59"/>
        <v>Hors data</v>
      </c>
      <c r="Q958" t="str" cm="1">
        <f t="array" ref="Q958">_xlfn.IFS(H958&gt;=16,"Excellent",H958&gt;=14,"Très bien",H958&gt;=12,"Bien",H958&gt;=10,"Passable",H958&lt;10,"Insuffisant")</f>
        <v>Très bien</v>
      </c>
    </row>
    <row r="959" spans="1:17">
      <c r="A959" t="s">
        <v>1291</v>
      </c>
      <c r="B959" t="s">
        <v>314</v>
      </c>
      <c r="C959" t="s">
        <v>24</v>
      </c>
      <c r="D959" t="s">
        <v>33</v>
      </c>
      <c r="E959" s="8" t="s">
        <v>26</v>
      </c>
      <c r="F959" s="8">
        <v>14.62</v>
      </c>
      <c r="G959" s="8">
        <v>12.32</v>
      </c>
      <c r="H959" s="8">
        <v>12.48</v>
      </c>
      <c r="I959" s="8">
        <v>14.39</v>
      </c>
      <c r="J959" s="6">
        <v>0.89080000000000004</v>
      </c>
      <c r="K959" s="4">
        <v>130000</v>
      </c>
      <c r="L959" s="2">
        <v>46207</v>
      </c>
      <c r="M959" t="str">
        <f t="shared" si="56"/>
        <v>Admis</v>
      </c>
      <c r="N959" t="str">
        <f t="shared" si="57"/>
        <v>Eligible</v>
      </c>
      <c r="O959" t="str">
        <f t="shared" si="58"/>
        <v>RAS</v>
      </c>
      <c r="P959" t="str">
        <f t="shared" si="59"/>
        <v>Hors data</v>
      </c>
      <c r="Q959" t="str" cm="1">
        <f t="array" ref="Q959">_xlfn.IFS(H959&gt;=16,"Excellent",H959&gt;=14,"Très bien",H959&gt;=12,"Bien",H959&gt;=10,"Passable",H959&lt;10,"Insuffisant")</f>
        <v>Bien</v>
      </c>
    </row>
    <row r="960" spans="1:17">
      <c r="A960" t="s">
        <v>1292</v>
      </c>
      <c r="B960" t="s">
        <v>1105</v>
      </c>
      <c r="C960" t="s">
        <v>24</v>
      </c>
      <c r="D960" t="s">
        <v>40</v>
      </c>
      <c r="E960" s="8" t="s">
        <v>47</v>
      </c>
      <c r="F960" s="8">
        <v>11.31</v>
      </c>
      <c r="G960" s="8">
        <v>13.38</v>
      </c>
      <c r="H960" s="8">
        <v>10.36</v>
      </c>
      <c r="I960" s="8">
        <v>8.27</v>
      </c>
      <c r="J960" s="6">
        <v>0.9284</v>
      </c>
      <c r="K960" s="4">
        <v>120000</v>
      </c>
      <c r="L960" s="2">
        <v>45667</v>
      </c>
      <c r="M960" t="str">
        <f t="shared" si="56"/>
        <v>Admis</v>
      </c>
      <c r="N960" t="str">
        <f t="shared" si="57"/>
        <v>Non eligible</v>
      </c>
      <c r="O960" t="str">
        <f t="shared" si="58"/>
        <v>RAS</v>
      </c>
      <c r="P960" t="str">
        <f t="shared" si="59"/>
        <v>Hors data</v>
      </c>
      <c r="Q960" t="str" cm="1">
        <f t="array" ref="Q960">_xlfn.IFS(H960&gt;=16,"Excellent",H960&gt;=14,"Très bien",H960&gt;=12,"Bien",H960&gt;=10,"Passable",H960&lt;10,"Insuffisant")</f>
        <v>Passable</v>
      </c>
    </row>
    <row r="961" spans="1:17">
      <c r="A961" t="s">
        <v>1293</v>
      </c>
      <c r="B961" t="s">
        <v>151</v>
      </c>
      <c r="C961" t="s">
        <v>19</v>
      </c>
      <c r="D961" t="s">
        <v>52</v>
      </c>
      <c r="E961" s="8" t="s">
        <v>34</v>
      </c>
      <c r="F961" s="8">
        <v>9.4499999999999993</v>
      </c>
      <c r="G961" s="8">
        <v>14.82</v>
      </c>
      <c r="H961" s="8">
        <v>12.33</v>
      </c>
      <c r="I961" s="8">
        <v>13.44</v>
      </c>
      <c r="J961" s="6">
        <v>0.94369999999999998</v>
      </c>
      <c r="K961" s="4">
        <v>75000</v>
      </c>
      <c r="L961" s="2">
        <v>45817</v>
      </c>
      <c r="M961" t="str">
        <f t="shared" si="56"/>
        <v>Admis</v>
      </c>
      <c r="N961" t="str">
        <f t="shared" si="57"/>
        <v>Non eligible</v>
      </c>
      <c r="O961" t="str">
        <f t="shared" si="58"/>
        <v>A surveiller</v>
      </c>
      <c r="P961" t="str">
        <f t="shared" si="59"/>
        <v>Hors data</v>
      </c>
      <c r="Q961" t="str" cm="1">
        <f t="array" ref="Q961">_xlfn.IFS(H961&gt;=16,"Excellent",H961&gt;=14,"Très bien",H961&gt;=12,"Bien",H961&gt;=10,"Passable",H961&lt;10,"Insuffisant")</f>
        <v>Bien</v>
      </c>
    </row>
    <row r="962" spans="1:17">
      <c r="A962" t="s">
        <v>1294</v>
      </c>
      <c r="B962" t="s">
        <v>263</v>
      </c>
      <c r="C962" t="s">
        <v>19</v>
      </c>
      <c r="D962" t="s">
        <v>40</v>
      </c>
      <c r="E962" s="8" t="s">
        <v>47</v>
      </c>
      <c r="F962" s="8">
        <v>9.4600000000000009</v>
      </c>
      <c r="G962" s="8">
        <v>13.54</v>
      </c>
      <c r="H962" s="8">
        <v>7.1</v>
      </c>
      <c r="I962" s="8">
        <v>9.2799999999999994</v>
      </c>
      <c r="J962" s="6">
        <v>0.94099999999999995</v>
      </c>
      <c r="K962" s="4">
        <v>130000</v>
      </c>
      <c r="L962" s="2">
        <v>45670</v>
      </c>
      <c r="M962" t="str">
        <f t="shared" si="56"/>
        <v>Non admis</v>
      </c>
      <c r="N962" t="str">
        <f t="shared" si="57"/>
        <v>Non eligible</v>
      </c>
      <c r="O962" t="str">
        <f t="shared" si="58"/>
        <v>A surveiller</v>
      </c>
      <c r="P962" t="str">
        <f t="shared" si="59"/>
        <v>Hors data</v>
      </c>
      <c r="Q962" t="str" cm="1">
        <f t="array" ref="Q962">_xlfn.IFS(H962&gt;=16,"Excellent",H962&gt;=14,"Très bien",H962&gt;=12,"Bien",H962&gt;=10,"Passable",H962&lt;10,"Insuffisant")</f>
        <v>Insuffisant</v>
      </c>
    </row>
    <row r="963" spans="1:17">
      <c r="A963" t="s">
        <v>1295</v>
      </c>
      <c r="B963" t="s">
        <v>377</v>
      </c>
      <c r="C963" t="s">
        <v>19</v>
      </c>
      <c r="D963" t="s">
        <v>40</v>
      </c>
      <c r="E963" s="8" t="s">
        <v>21</v>
      </c>
      <c r="F963" s="8">
        <v>16.52</v>
      </c>
      <c r="G963" s="8">
        <v>15.53</v>
      </c>
      <c r="H963" s="8">
        <v>15.62</v>
      </c>
      <c r="I963" s="8">
        <v>17.7</v>
      </c>
      <c r="J963" s="6">
        <v>0.93889999999999996</v>
      </c>
      <c r="K963" s="4">
        <v>50000</v>
      </c>
      <c r="L963" s="2">
        <v>45571</v>
      </c>
      <c r="M963" t="str">
        <f t="shared" ref="M963:M1013" si="60">IF(H963&gt;=10,"Admis","Non admis")</f>
        <v>Admis</v>
      </c>
      <c r="N963" t="str">
        <f t="shared" ref="N963:N1012" si="61">IF(AND(F963&gt;=12,H963&gt;=12,J963&gt;=80%),"Eligible","Non eligible")</f>
        <v>Eligible</v>
      </c>
      <c r="O963" t="str">
        <f t="shared" ref="O963:O1003" si="62">IF(OR(F963&lt;10,H963&lt;10),"A surveiller","RAS")</f>
        <v>RAS</v>
      </c>
      <c r="P963" t="str">
        <f t="shared" ref="P963:P1011" si="63">IF(NOT(E963="Data"),"Hors data","Data")</f>
        <v>Data</v>
      </c>
      <c r="Q963" t="str" cm="1">
        <f t="array" ref="Q963">_xlfn.IFS(H963&gt;=16,"Excellent",H963&gt;=14,"Très bien",H963&gt;=12,"Bien",H963&gt;=10,"Passable",H963&lt;10,"Insuffisant")</f>
        <v>Très bien</v>
      </c>
    </row>
    <row r="964" spans="1:17">
      <c r="A964" t="s">
        <v>1296</v>
      </c>
      <c r="B964" t="s">
        <v>776</v>
      </c>
      <c r="C964" t="s">
        <v>24</v>
      </c>
      <c r="D964" t="s">
        <v>33</v>
      </c>
      <c r="E964" s="8" t="s">
        <v>26</v>
      </c>
      <c r="F964" s="8">
        <v>14.17</v>
      </c>
      <c r="G964" s="8">
        <v>15.84</v>
      </c>
      <c r="H964" s="8">
        <v>17.5</v>
      </c>
      <c r="I964" s="8">
        <v>15.58</v>
      </c>
      <c r="J964" s="6">
        <v>0.87539999999999996</v>
      </c>
      <c r="K964" s="4">
        <v>130000</v>
      </c>
      <c r="L964" s="2">
        <v>46212</v>
      </c>
      <c r="M964" t="str">
        <f t="shared" si="60"/>
        <v>Admis</v>
      </c>
      <c r="N964" t="str">
        <f t="shared" si="61"/>
        <v>Eligible</v>
      </c>
      <c r="O964" t="str">
        <f t="shared" si="62"/>
        <v>RAS</v>
      </c>
      <c r="P964" t="str">
        <f t="shared" si="63"/>
        <v>Hors data</v>
      </c>
      <c r="Q964" t="str" cm="1">
        <f t="array" ref="Q964">_xlfn.IFS(H964&gt;=16,"Excellent",H964&gt;=14,"Très bien",H964&gt;=12,"Bien",H964&gt;=10,"Passable",H964&lt;10,"Insuffisant")</f>
        <v>Excellent</v>
      </c>
    </row>
    <row r="965" spans="1:17">
      <c r="A965" t="s">
        <v>1297</v>
      </c>
      <c r="B965" t="s">
        <v>193</v>
      </c>
      <c r="C965" t="s">
        <v>19</v>
      </c>
      <c r="D965" t="s">
        <v>33</v>
      </c>
      <c r="E965" s="8" t="s">
        <v>34</v>
      </c>
      <c r="F965" s="8">
        <v>8.07</v>
      </c>
      <c r="G965" s="8">
        <v>8.9499999999999993</v>
      </c>
      <c r="H965" s="8">
        <v>8.0500000000000007</v>
      </c>
      <c r="I965" s="8">
        <v>11.93</v>
      </c>
      <c r="J965" s="6">
        <v>0.92620000000000002</v>
      </c>
      <c r="K965" s="4">
        <v>60000</v>
      </c>
      <c r="L965" s="2">
        <v>46182</v>
      </c>
      <c r="M965" t="str">
        <f t="shared" si="60"/>
        <v>Non admis</v>
      </c>
      <c r="N965" t="str">
        <f t="shared" si="61"/>
        <v>Non eligible</v>
      </c>
      <c r="O965" t="str">
        <f t="shared" si="62"/>
        <v>A surveiller</v>
      </c>
      <c r="P965" t="str">
        <f t="shared" si="63"/>
        <v>Hors data</v>
      </c>
      <c r="Q965" t="str" cm="1">
        <f t="array" ref="Q965">_xlfn.IFS(H965&gt;=16,"Excellent",H965&gt;=14,"Très bien",H965&gt;=12,"Bien",H965&gt;=10,"Passable",H965&lt;10,"Insuffisant")</f>
        <v>Insuffisant</v>
      </c>
    </row>
    <row r="966" spans="1:17">
      <c r="A966" t="s">
        <v>1298</v>
      </c>
      <c r="B966" t="s">
        <v>468</v>
      </c>
      <c r="C966" t="s">
        <v>24</v>
      </c>
      <c r="D966" t="s">
        <v>20</v>
      </c>
      <c r="E966" s="8" t="s">
        <v>21</v>
      </c>
      <c r="F966" s="8">
        <v>13.34</v>
      </c>
      <c r="G966" s="8">
        <v>14.49</v>
      </c>
      <c r="H966" s="8">
        <v>12.08</v>
      </c>
      <c r="I966" s="8">
        <v>9.73</v>
      </c>
      <c r="J966" s="6">
        <v>0.79010000000000002</v>
      </c>
      <c r="K966" s="4">
        <v>60000</v>
      </c>
      <c r="L966" s="2">
        <v>46188</v>
      </c>
      <c r="M966" t="str">
        <f t="shared" si="60"/>
        <v>Admis</v>
      </c>
      <c r="N966" t="str">
        <f t="shared" si="61"/>
        <v>Non eligible</v>
      </c>
      <c r="O966" t="str">
        <f t="shared" si="62"/>
        <v>RAS</v>
      </c>
      <c r="P966" t="str">
        <f t="shared" si="63"/>
        <v>Data</v>
      </c>
      <c r="Q966" t="str" cm="1">
        <f t="array" ref="Q966">_xlfn.IFS(H966&gt;=16,"Excellent",H966&gt;=14,"Très bien",H966&gt;=12,"Bien",H966&gt;=10,"Passable",H966&lt;10,"Insuffisant")</f>
        <v>Bien</v>
      </c>
    </row>
    <row r="967" spans="1:17">
      <c r="A967" t="s">
        <v>1299</v>
      </c>
      <c r="B967" t="s">
        <v>212</v>
      </c>
      <c r="C967" t="s">
        <v>24</v>
      </c>
      <c r="D967" t="s">
        <v>52</v>
      </c>
      <c r="E967" s="8" t="s">
        <v>21</v>
      </c>
      <c r="F967" s="8">
        <v>10.32</v>
      </c>
      <c r="G967" s="8">
        <v>14.9</v>
      </c>
      <c r="H967" s="8">
        <v>11.64</v>
      </c>
      <c r="I967" s="8">
        <v>7.74</v>
      </c>
      <c r="J967" s="6">
        <v>0.98</v>
      </c>
      <c r="K967" s="4">
        <v>60000</v>
      </c>
      <c r="L967" s="2">
        <v>46154</v>
      </c>
      <c r="M967" t="str">
        <f t="shared" si="60"/>
        <v>Admis</v>
      </c>
      <c r="N967" t="str">
        <f t="shared" si="61"/>
        <v>Non eligible</v>
      </c>
      <c r="O967" t="str">
        <f t="shared" si="62"/>
        <v>RAS</v>
      </c>
      <c r="P967" t="str">
        <f t="shared" si="63"/>
        <v>Data</v>
      </c>
      <c r="Q967" t="str" cm="1">
        <f t="array" ref="Q967">_xlfn.IFS(H967&gt;=16,"Excellent",H967&gt;=14,"Très bien",H967&gt;=12,"Bien",H967&gt;=10,"Passable",H967&lt;10,"Insuffisant")</f>
        <v>Passable</v>
      </c>
    </row>
    <row r="968" spans="1:17">
      <c r="A968" t="s">
        <v>1300</v>
      </c>
      <c r="B968" t="s">
        <v>617</v>
      </c>
      <c r="C968" t="s">
        <v>24</v>
      </c>
      <c r="D968" t="s">
        <v>33</v>
      </c>
      <c r="E968" s="8" t="s">
        <v>21</v>
      </c>
      <c r="F968" s="8">
        <v>17.62</v>
      </c>
      <c r="G968" s="8">
        <v>18.329999999999998</v>
      </c>
      <c r="H968" s="8">
        <v>17.04</v>
      </c>
      <c r="I968" s="8">
        <v>15.67</v>
      </c>
      <c r="J968" s="6">
        <v>0.81389999999999996</v>
      </c>
      <c r="K968" s="4">
        <v>60000</v>
      </c>
      <c r="L968" s="2">
        <v>45990</v>
      </c>
      <c r="M968" t="str">
        <f t="shared" si="60"/>
        <v>Admis</v>
      </c>
      <c r="N968" t="str">
        <f t="shared" si="61"/>
        <v>Eligible</v>
      </c>
      <c r="O968" t="str">
        <f t="shared" si="62"/>
        <v>RAS</v>
      </c>
      <c r="P968" t="str">
        <f t="shared" si="63"/>
        <v>Data</v>
      </c>
      <c r="Q968" t="str" cm="1">
        <f t="array" ref="Q968">_xlfn.IFS(H968&gt;=16,"Excellent",H968&gt;=14,"Très bien",H968&gt;=12,"Bien",H968&gt;=10,"Passable",H968&lt;10,"Insuffisant")</f>
        <v>Excellent</v>
      </c>
    </row>
    <row r="969" spans="1:17">
      <c r="A969" t="s">
        <v>1301</v>
      </c>
      <c r="B969" t="s">
        <v>350</v>
      </c>
      <c r="C969" t="s">
        <v>19</v>
      </c>
      <c r="D969" t="s">
        <v>25</v>
      </c>
      <c r="E969" s="8" t="s">
        <v>21</v>
      </c>
      <c r="F969" s="8">
        <v>13.22</v>
      </c>
      <c r="G969" s="8">
        <v>14.46</v>
      </c>
      <c r="H969" s="8">
        <v>7.65</v>
      </c>
      <c r="I969" s="8">
        <v>6.57</v>
      </c>
      <c r="J969" s="6">
        <v>0.9506</v>
      </c>
      <c r="K969" s="4">
        <v>85000</v>
      </c>
      <c r="L969" s="2">
        <v>45901</v>
      </c>
      <c r="M969" t="str">
        <f t="shared" si="60"/>
        <v>Non admis</v>
      </c>
      <c r="N969" t="str">
        <f t="shared" si="61"/>
        <v>Non eligible</v>
      </c>
      <c r="O969" t="str">
        <f t="shared" si="62"/>
        <v>A surveiller</v>
      </c>
      <c r="P969" t="str">
        <f t="shared" si="63"/>
        <v>Data</v>
      </c>
      <c r="Q969" t="str" cm="1">
        <f t="array" ref="Q969">_xlfn.IFS(H969&gt;=16,"Excellent",H969&gt;=14,"Très bien",H969&gt;=12,"Bien",H969&gt;=10,"Passable",H969&lt;10,"Insuffisant")</f>
        <v>Insuffisant</v>
      </c>
    </row>
    <row r="970" spans="1:17">
      <c r="A970" t="s">
        <v>1302</v>
      </c>
      <c r="B970" t="s">
        <v>468</v>
      </c>
      <c r="C970" t="s">
        <v>24</v>
      </c>
      <c r="D970" t="s">
        <v>37</v>
      </c>
      <c r="E970" s="8" t="s">
        <v>47</v>
      </c>
      <c r="F970" s="8">
        <v>17.61</v>
      </c>
      <c r="G970" s="8">
        <v>20</v>
      </c>
      <c r="H970" s="8">
        <v>18.11</v>
      </c>
      <c r="I970" s="8">
        <v>14.85</v>
      </c>
      <c r="J970" s="6">
        <v>0.80110000000000003</v>
      </c>
      <c r="K970" s="4">
        <v>100000</v>
      </c>
      <c r="L970" s="2">
        <v>46230</v>
      </c>
      <c r="M970" t="str">
        <f t="shared" si="60"/>
        <v>Admis</v>
      </c>
      <c r="N970" t="str">
        <f t="shared" si="61"/>
        <v>Eligible</v>
      </c>
      <c r="O970" t="str">
        <f t="shared" si="62"/>
        <v>RAS</v>
      </c>
      <c r="P970" t="str">
        <f t="shared" si="63"/>
        <v>Hors data</v>
      </c>
      <c r="Q970" t="str" cm="1">
        <f t="array" ref="Q970">_xlfn.IFS(H970&gt;=16,"Excellent",H970&gt;=14,"Très bien",H970&gt;=12,"Bien",H970&gt;=10,"Passable",H970&lt;10,"Insuffisant")</f>
        <v>Excellent</v>
      </c>
    </row>
    <row r="971" spans="1:17">
      <c r="A971" t="s">
        <v>1303</v>
      </c>
      <c r="B971" t="s">
        <v>929</v>
      </c>
      <c r="C971" t="s">
        <v>19</v>
      </c>
      <c r="D971" t="s">
        <v>25</v>
      </c>
      <c r="E971" s="8" t="s">
        <v>21</v>
      </c>
      <c r="F971" s="8">
        <v>16</v>
      </c>
      <c r="G971" s="8">
        <v>13.29</v>
      </c>
      <c r="H971" s="8">
        <v>15.79</v>
      </c>
      <c r="I971" s="8">
        <v>14.67</v>
      </c>
      <c r="J971" s="6">
        <v>0.87490000000000001</v>
      </c>
      <c r="K971" s="4">
        <v>110000</v>
      </c>
      <c r="L971" s="2">
        <v>45922</v>
      </c>
      <c r="M971" t="str">
        <f t="shared" si="60"/>
        <v>Admis</v>
      </c>
      <c r="N971" t="str">
        <f t="shared" si="61"/>
        <v>Eligible</v>
      </c>
      <c r="O971" t="str">
        <f t="shared" si="62"/>
        <v>RAS</v>
      </c>
      <c r="P971" t="str">
        <f t="shared" si="63"/>
        <v>Data</v>
      </c>
      <c r="Q971" t="str" cm="1">
        <f t="array" ref="Q971">_xlfn.IFS(H971&gt;=16,"Excellent",H971&gt;=14,"Très bien",H971&gt;=12,"Bien",H971&gt;=10,"Passable",H971&lt;10,"Insuffisant")</f>
        <v>Très bien</v>
      </c>
    </row>
    <row r="972" spans="1:17">
      <c r="A972" t="s">
        <v>1304</v>
      </c>
      <c r="B972" t="s">
        <v>263</v>
      </c>
      <c r="C972" t="s">
        <v>19</v>
      </c>
      <c r="D972" t="s">
        <v>25</v>
      </c>
      <c r="E972" s="8" t="s">
        <v>26</v>
      </c>
      <c r="F972" s="8">
        <v>11.48</v>
      </c>
      <c r="G972" s="8">
        <v>12.47</v>
      </c>
      <c r="H972" s="8">
        <v>8.1300000000000008</v>
      </c>
      <c r="I972" s="8">
        <v>10.14</v>
      </c>
      <c r="J972" s="6">
        <v>0.94620000000000004</v>
      </c>
      <c r="K972" s="4">
        <v>50000</v>
      </c>
      <c r="L972" s="2">
        <v>45985</v>
      </c>
      <c r="M972" t="str">
        <f t="shared" si="60"/>
        <v>Non admis</v>
      </c>
      <c r="N972" t="str">
        <f t="shared" si="61"/>
        <v>Non eligible</v>
      </c>
      <c r="O972" t="str">
        <f t="shared" si="62"/>
        <v>A surveiller</v>
      </c>
      <c r="P972" t="str">
        <f t="shared" si="63"/>
        <v>Hors data</v>
      </c>
      <c r="Q972" t="str" cm="1">
        <f t="array" ref="Q972">_xlfn.IFS(H972&gt;=16,"Excellent",H972&gt;=14,"Très bien",H972&gt;=12,"Bien",H972&gt;=10,"Passable",H972&lt;10,"Insuffisant")</f>
        <v>Insuffisant</v>
      </c>
    </row>
    <row r="973" spans="1:17">
      <c r="A973" t="s">
        <v>1305</v>
      </c>
      <c r="B973" t="s">
        <v>1281</v>
      </c>
      <c r="C973" t="s">
        <v>19</v>
      </c>
      <c r="D973" t="s">
        <v>25</v>
      </c>
      <c r="E973" s="8" t="s">
        <v>34</v>
      </c>
      <c r="F973" s="8">
        <v>8.3800000000000008</v>
      </c>
      <c r="G973" s="8">
        <v>15.76</v>
      </c>
      <c r="H973" s="8">
        <v>10.98</v>
      </c>
      <c r="I973" s="8">
        <v>10.45</v>
      </c>
      <c r="J973" s="6">
        <v>0.82310000000000005</v>
      </c>
      <c r="K973" s="4">
        <v>75000</v>
      </c>
      <c r="L973" s="2">
        <v>45684</v>
      </c>
      <c r="M973" t="str">
        <f t="shared" si="60"/>
        <v>Admis</v>
      </c>
      <c r="N973" t="str">
        <f t="shared" si="61"/>
        <v>Non eligible</v>
      </c>
      <c r="O973" t="str">
        <f t="shared" si="62"/>
        <v>A surveiller</v>
      </c>
      <c r="P973" t="str">
        <f t="shared" si="63"/>
        <v>Hors data</v>
      </c>
      <c r="Q973" t="str" cm="1">
        <f t="array" ref="Q973">_xlfn.IFS(H973&gt;=16,"Excellent",H973&gt;=14,"Très bien",H973&gt;=12,"Bien",H973&gt;=10,"Passable",H973&lt;10,"Insuffisant")</f>
        <v>Passable</v>
      </c>
    </row>
    <row r="974" spans="1:17">
      <c r="A974" t="s">
        <v>1306</v>
      </c>
      <c r="B974" t="s">
        <v>520</v>
      </c>
      <c r="C974" t="s">
        <v>19</v>
      </c>
      <c r="D974" t="s">
        <v>20</v>
      </c>
      <c r="E974" s="8" t="s">
        <v>47</v>
      </c>
      <c r="F974" s="8">
        <v>8.83</v>
      </c>
      <c r="G974" s="8">
        <v>16.05</v>
      </c>
      <c r="H974" s="8">
        <v>8.42</v>
      </c>
      <c r="I974" s="8">
        <v>10.3</v>
      </c>
      <c r="J974" s="6">
        <v>0.73939999999999995</v>
      </c>
      <c r="K974" s="4">
        <v>60000</v>
      </c>
      <c r="L974" s="2">
        <v>46058</v>
      </c>
      <c r="M974" t="str">
        <f t="shared" si="60"/>
        <v>Non admis</v>
      </c>
      <c r="N974" t="str">
        <f t="shared" si="61"/>
        <v>Non eligible</v>
      </c>
      <c r="O974" t="str">
        <f t="shared" si="62"/>
        <v>A surveiller</v>
      </c>
      <c r="P974" t="str">
        <f t="shared" si="63"/>
        <v>Hors data</v>
      </c>
      <c r="Q974" t="str" cm="1">
        <f t="array" ref="Q974">_xlfn.IFS(H974&gt;=16,"Excellent",H974&gt;=14,"Très bien",H974&gt;=12,"Bien",H974&gt;=10,"Passable",H974&lt;10,"Insuffisant")</f>
        <v>Insuffisant</v>
      </c>
    </row>
    <row r="975" spans="1:17">
      <c r="A975" t="s">
        <v>1307</v>
      </c>
      <c r="B975" t="s">
        <v>336</v>
      </c>
      <c r="C975" t="s">
        <v>19</v>
      </c>
      <c r="D975" t="s">
        <v>20</v>
      </c>
      <c r="E975" s="8" t="s">
        <v>34</v>
      </c>
      <c r="F975" s="8">
        <v>8.1</v>
      </c>
      <c r="G975" s="8">
        <v>12.94</v>
      </c>
      <c r="H975" s="8">
        <v>12.2</v>
      </c>
      <c r="I975" s="8">
        <v>8.52</v>
      </c>
      <c r="J975" s="6">
        <v>0.55000000000000004</v>
      </c>
      <c r="K975" s="4">
        <v>60000</v>
      </c>
      <c r="L975" s="2">
        <v>46109</v>
      </c>
      <c r="M975" t="str">
        <f t="shared" si="60"/>
        <v>Admis</v>
      </c>
      <c r="N975" t="str">
        <f t="shared" si="61"/>
        <v>Non eligible</v>
      </c>
      <c r="O975" t="str">
        <f t="shared" si="62"/>
        <v>A surveiller</v>
      </c>
      <c r="P975" t="str">
        <f t="shared" si="63"/>
        <v>Hors data</v>
      </c>
      <c r="Q975" t="str" cm="1">
        <f t="array" ref="Q975">_xlfn.IFS(H975&gt;=16,"Excellent",H975&gt;=14,"Très bien",H975&gt;=12,"Bien",H975&gt;=10,"Passable",H975&lt;10,"Insuffisant")</f>
        <v>Bien</v>
      </c>
    </row>
    <row r="976" spans="1:17">
      <c r="A976" t="s">
        <v>1308</v>
      </c>
      <c r="B976" t="s">
        <v>1309</v>
      </c>
      <c r="C976" t="s">
        <v>19</v>
      </c>
      <c r="D976" t="s">
        <v>20</v>
      </c>
      <c r="E976" s="8" t="s">
        <v>21</v>
      </c>
      <c r="F976" s="8">
        <v>11.88</v>
      </c>
      <c r="G976" s="8">
        <v>14.22</v>
      </c>
      <c r="H976" s="8">
        <v>13.76</v>
      </c>
      <c r="I976" s="8">
        <v>17.3</v>
      </c>
      <c r="J976" s="6">
        <v>0.64019999999999999</v>
      </c>
      <c r="K976" s="4">
        <v>110000</v>
      </c>
      <c r="L976" s="2">
        <v>46010</v>
      </c>
      <c r="M976" t="str">
        <f t="shared" si="60"/>
        <v>Admis</v>
      </c>
      <c r="N976" t="str">
        <f t="shared" si="61"/>
        <v>Non eligible</v>
      </c>
      <c r="O976" t="str">
        <f t="shared" si="62"/>
        <v>RAS</v>
      </c>
      <c r="P976" t="str">
        <f t="shared" si="63"/>
        <v>Data</v>
      </c>
      <c r="Q976" t="str" cm="1">
        <f t="array" ref="Q976">_xlfn.IFS(H976&gt;=16,"Excellent",H976&gt;=14,"Très bien",H976&gt;=12,"Bien",H976&gt;=10,"Passable",H976&lt;10,"Insuffisant")</f>
        <v>Bien</v>
      </c>
    </row>
    <row r="977" spans="1:17">
      <c r="A977" t="s">
        <v>1310</v>
      </c>
      <c r="B977" t="s">
        <v>513</v>
      </c>
      <c r="C977" t="s">
        <v>19</v>
      </c>
      <c r="D977" t="s">
        <v>40</v>
      </c>
      <c r="E977" s="8" t="s">
        <v>21</v>
      </c>
      <c r="F977" s="8">
        <v>9.86</v>
      </c>
      <c r="G977" s="8">
        <v>9.99</v>
      </c>
      <c r="H977" s="8">
        <v>8.39</v>
      </c>
      <c r="I977" s="8">
        <v>8.34</v>
      </c>
      <c r="J977" s="6">
        <v>0.87709999999999999</v>
      </c>
      <c r="K977" s="4">
        <v>100000</v>
      </c>
      <c r="L977" s="2">
        <v>45885</v>
      </c>
      <c r="M977" t="str">
        <f t="shared" si="60"/>
        <v>Non admis</v>
      </c>
      <c r="N977" t="str">
        <f t="shared" si="61"/>
        <v>Non eligible</v>
      </c>
      <c r="O977" t="str">
        <f t="shared" si="62"/>
        <v>A surveiller</v>
      </c>
      <c r="P977" t="str">
        <f t="shared" si="63"/>
        <v>Data</v>
      </c>
      <c r="Q977" t="str" cm="1">
        <f t="array" ref="Q977">_xlfn.IFS(H977&gt;=16,"Excellent",H977&gt;=14,"Très bien",H977&gt;=12,"Bien",H977&gt;=10,"Passable",H977&lt;10,"Insuffisant")</f>
        <v>Insuffisant</v>
      </c>
    </row>
    <row r="978" spans="1:17">
      <c r="A978" t="s">
        <v>1311</v>
      </c>
      <c r="B978" t="s">
        <v>409</v>
      </c>
      <c r="C978" t="s">
        <v>19</v>
      </c>
      <c r="D978" t="s">
        <v>40</v>
      </c>
      <c r="E978" s="8" t="s">
        <v>47</v>
      </c>
      <c r="F978" s="8">
        <v>8.75</v>
      </c>
      <c r="G978" s="8">
        <v>9.06</v>
      </c>
      <c r="H978" s="8">
        <v>7.8</v>
      </c>
      <c r="I978" s="8">
        <v>4.3899999999999997</v>
      </c>
      <c r="J978" s="6">
        <v>0.96530000000000005</v>
      </c>
      <c r="K978" s="4">
        <v>70000</v>
      </c>
      <c r="L978" s="2">
        <v>45674</v>
      </c>
      <c r="M978" t="str">
        <f t="shared" si="60"/>
        <v>Non admis</v>
      </c>
      <c r="N978" t="str">
        <f t="shared" si="61"/>
        <v>Non eligible</v>
      </c>
      <c r="O978" t="str">
        <f t="shared" si="62"/>
        <v>A surveiller</v>
      </c>
      <c r="P978" t="str">
        <f t="shared" si="63"/>
        <v>Hors data</v>
      </c>
      <c r="Q978" t="str" cm="1">
        <f t="array" ref="Q978">_xlfn.IFS(H978&gt;=16,"Excellent",H978&gt;=14,"Très bien",H978&gt;=12,"Bien",H978&gt;=10,"Passable",H978&lt;10,"Insuffisant")</f>
        <v>Insuffisant</v>
      </c>
    </row>
    <row r="979" spans="1:17">
      <c r="A979" t="s">
        <v>1312</v>
      </c>
      <c r="B979" t="s">
        <v>95</v>
      </c>
      <c r="C979" t="s">
        <v>24</v>
      </c>
      <c r="D979" t="s">
        <v>20</v>
      </c>
      <c r="E979" s="8" t="s">
        <v>47</v>
      </c>
      <c r="F979" s="8">
        <v>15.2</v>
      </c>
      <c r="G979" s="8">
        <v>16.52</v>
      </c>
      <c r="H979" s="8">
        <v>9.99</v>
      </c>
      <c r="I979" s="8">
        <v>14.09</v>
      </c>
      <c r="J979" s="6">
        <v>0.69869999999999999</v>
      </c>
      <c r="K979" s="4">
        <v>75000</v>
      </c>
      <c r="L979" s="2">
        <v>45559</v>
      </c>
      <c r="M979" t="str">
        <f t="shared" si="60"/>
        <v>Non admis</v>
      </c>
      <c r="N979" t="str">
        <f t="shared" si="61"/>
        <v>Non eligible</v>
      </c>
      <c r="O979" t="str">
        <f t="shared" si="62"/>
        <v>A surveiller</v>
      </c>
      <c r="P979" t="str">
        <f t="shared" si="63"/>
        <v>Hors data</v>
      </c>
      <c r="Q979" t="str" cm="1">
        <f t="array" ref="Q979">_xlfn.IFS(H979&gt;=16,"Excellent",H979&gt;=14,"Très bien",H979&gt;=12,"Bien",H979&gt;=10,"Passable",H979&lt;10,"Insuffisant")</f>
        <v>Insuffisant</v>
      </c>
    </row>
    <row r="980" spans="1:17">
      <c r="A980" t="s">
        <v>1313</v>
      </c>
      <c r="B980" t="s">
        <v>252</v>
      </c>
      <c r="C980" t="s">
        <v>19</v>
      </c>
      <c r="D980" t="s">
        <v>40</v>
      </c>
      <c r="E980" s="8" t="s">
        <v>34</v>
      </c>
      <c r="F980" s="8">
        <v>9.1300000000000008</v>
      </c>
      <c r="G980" s="8">
        <v>9.81</v>
      </c>
      <c r="H980" s="8">
        <v>6.38</v>
      </c>
      <c r="I980" s="8">
        <v>7.88</v>
      </c>
      <c r="J980" s="6">
        <v>0.69350000000000001</v>
      </c>
      <c r="K980" s="4">
        <v>130000</v>
      </c>
      <c r="L980" s="2">
        <v>45975</v>
      </c>
      <c r="M980" t="str">
        <f t="shared" si="60"/>
        <v>Non admis</v>
      </c>
      <c r="N980" t="str">
        <f t="shared" si="61"/>
        <v>Non eligible</v>
      </c>
      <c r="O980" t="str">
        <f t="shared" si="62"/>
        <v>A surveiller</v>
      </c>
      <c r="P980" t="str">
        <f t="shared" si="63"/>
        <v>Hors data</v>
      </c>
      <c r="Q980" t="str" cm="1">
        <f t="array" ref="Q980">_xlfn.IFS(H980&gt;=16,"Excellent",H980&gt;=14,"Très bien",H980&gt;=12,"Bien",H980&gt;=10,"Passable",H980&lt;10,"Insuffisant")</f>
        <v>Insuffisant</v>
      </c>
    </row>
    <row r="981" spans="1:17">
      <c r="A981" t="s">
        <v>1314</v>
      </c>
      <c r="B981" t="s">
        <v>212</v>
      </c>
      <c r="C981" t="s">
        <v>24</v>
      </c>
      <c r="D981" t="s">
        <v>33</v>
      </c>
      <c r="E981" s="8" t="s">
        <v>34</v>
      </c>
      <c r="F981" s="8">
        <v>10.41</v>
      </c>
      <c r="G981" s="8">
        <v>12.79</v>
      </c>
      <c r="H981" s="8">
        <v>8.3800000000000008</v>
      </c>
      <c r="I981" s="8">
        <v>15.78</v>
      </c>
      <c r="J981" s="6">
        <v>0.8115</v>
      </c>
      <c r="K981" s="4">
        <v>90000</v>
      </c>
      <c r="L981" s="2">
        <v>46014</v>
      </c>
      <c r="M981" t="str">
        <f t="shared" si="60"/>
        <v>Non admis</v>
      </c>
      <c r="N981" t="str">
        <f t="shared" si="61"/>
        <v>Non eligible</v>
      </c>
      <c r="O981" t="str">
        <f t="shared" si="62"/>
        <v>A surveiller</v>
      </c>
      <c r="P981" t="str">
        <f t="shared" si="63"/>
        <v>Hors data</v>
      </c>
      <c r="Q981" t="str" cm="1">
        <f t="array" ref="Q981">_xlfn.IFS(H981&gt;=16,"Excellent",H981&gt;=14,"Très bien",H981&gt;=12,"Bien",H981&gt;=10,"Passable",H981&lt;10,"Insuffisant")</f>
        <v>Insuffisant</v>
      </c>
    </row>
    <row r="982" spans="1:17">
      <c r="A982" t="s">
        <v>1315</v>
      </c>
      <c r="B982" t="s">
        <v>165</v>
      </c>
      <c r="C982" t="s">
        <v>24</v>
      </c>
      <c r="D982" t="s">
        <v>20</v>
      </c>
      <c r="E982" s="8" t="s">
        <v>26</v>
      </c>
      <c r="F982" s="8">
        <v>6.37</v>
      </c>
      <c r="G982" s="8">
        <v>11.47</v>
      </c>
      <c r="H982" s="8">
        <v>8.81</v>
      </c>
      <c r="I982" s="8">
        <v>9.6999999999999993</v>
      </c>
      <c r="J982" s="6">
        <v>0.72199999999999998</v>
      </c>
      <c r="K982" s="4">
        <v>70000</v>
      </c>
      <c r="L982" s="2">
        <v>46076</v>
      </c>
      <c r="M982" t="str">
        <f t="shared" si="60"/>
        <v>Non admis</v>
      </c>
      <c r="N982" t="str">
        <f t="shared" si="61"/>
        <v>Non eligible</v>
      </c>
      <c r="O982" t="str">
        <f t="shared" si="62"/>
        <v>A surveiller</v>
      </c>
      <c r="P982" t="str">
        <f t="shared" si="63"/>
        <v>Hors data</v>
      </c>
      <c r="Q982" t="str" cm="1">
        <f t="array" ref="Q982">_xlfn.IFS(H982&gt;=16,"Excellent",H982&gt;=14,"Très bien",H982&gt;=12,"Bien",H982&gt;=10,"Passable",H982&lt;10,"Insuffisant")</f>
        <v>Insuffisant</v>
      </c>
    </row>
    <row r="983" spans="1:17">
      <c r="A983" t="s">
        <v>1316</v>
      </c>
      <c r="B983" t="s">
        <v>1008</v>
      </c>
      <c r="C983" t="s">
        <v>24</v>
      </c>
      <c r="D983" t="s">
        <v>52</v>
      </c>
      <c r="E983" s="8" t="s">
        <v>26</v>
      </c>
      <c r="F983" s="8">
        <v>11.22</v>
      </c>
      <c r="G983" s="8">
        <v>10.74</v>
      </c>
      <c r="H983" s="8">
        <v>14.25</v>
      </c>
      <c r="I983" s="8">
        <v>12.82</v>
      </c>
      <c r="J983" s="6">
        <v>0.65639999999999998</v>
      </c>
      <c r="K983" s="4">
        <v>130000</v>
      </c>
      <c r="L983" s="2">
        <v>46201</v>
      </c>
      <c r="M983" t="str">
        <f t="shared" si="60"/>
        <v>Admis</v>
      </c>
      <c r="N983" t="str">
        <f t="shared" si="61"/>
        <v>Non eligible</v>
      </c>
      <c r="O983" t="str">
        <f t="shared" si="62"/>
        <v>RAS</v>
      </c>
      <c r="P983" t="str">
        <f t="shared" si="63"/>
        <v>Hors data</v>
      </c>
      <c r="Q983" t="str" cm="1">
        <f t="array" ref="Q983">_xlfn.IFS(H983&gt;=16,"Excellent",H983&gt;=14,"Très bien",H983&gt;=12,"Bien",H983&gt;=10,"Passable",H983&lt;10,"Insuffisant")</f>
        <v>Très bien</v>
      </c>
    </row>
    <row r="984" spans="1:17">
      <c r="A984" t="s">
        <v>1317</v>
      </c>
      <c r="B984" t="s">
        <v>97</v>
      </c>
      <c r="C984" t="s">
        <v>24</v>
      </c>
      <c r="D984" t="s">
        <v>33</v>
      </c>
      <c r="E984" s="8" t="s">
        <v>34</v>
      </c>
      <c r="F984" s="8">
        <v>19.16</v>
      </c>
      <c r="G984" s="8">
        <v>19.149999999999999</v>
      </c>
      <c r="H984" s="8">
        <v>17.690000000000001</v>
      </c>
      <c r="I984" s="8">
        <v>20</v>
      </c>
      <c r="J984" s="6">
        <v>0.73260000000000003</v>
      </c>
      <c r="K984" s="4">
        <v>70000</v>
      </c>
      <c r="L984" s="2">
        <v>45884</v>
      </c>
      <c r="M984" t="str">
        <f t="shared" si="60"/>
        <v>Admis</v>
      </c>
      <c r="N984" t="str">
        <f t="shared" si="61"/>
        <v>Non eligible</v>
      </c>
      <c r="O984" t="str">
        <f t="shared" si="62"/>
        <v>RAS</v>
      </c>
      <c r="P984" t="str">
        <f t="shared" si="63"/>
        <v>Hors data</v>
      </c>
      <c r="Q984" t="str" cm="1">
        <f t="array" ref="Q984">_xlfn.IFS(H984&gt;=16,"Excellent",H984&gt;=14,"Très bien",H984&gt;=12,"Bien",H984&gt;=10,"Passable",H984&lt;10,"Insuffisant")</f>
        <v>Excellent</v>
      </c>
    </row>
    <row r="985" spans="1:17">
      <c r="A985" t="s">
        <v>1318</v>
      </c>
      <c r="B985" t="s">
        <v>588</v>
      </c>
      <c r="C985" t="s">
        <v>24</v>
      </c>
      <c r="D985" t="s">
        <v>33</v>
      </c>
      <c r="E985" s="8" t="s">
        <v>21</v>
      </c>
      <c r="F985" s="8">
        <v>14.06</v>
      </c>
      <c r="G985" s="8">
        <v>14.36</v>
      </c>
      <c r="H985" s="8">
        <v>14.88</v>
      </c>
      <c r="I985" s="8">
        <v>12.41</v>
      </c>
      <c r="J985" s="6">
        <v>0.94850000000000001</v>
      </c>
      <c r="K985" s="4">
        <v>75000</v>
      </c>
      <c r="L985" s="2">
        <v>46116</v>
      </c>
      <c r="M985" t="str">
        <f t="shared" si="60"/>
        <v>Admis</v>
      </c>
      <c r="N985" t="str">
        <f t="shared" si="61"/>
        <v>Eligible</v>
      </c>
      <c r="O985" t="str">
        <f t="shared" si="62"/>
        <v>RAS</v>
      </c>
      <c r="P985" t="str">
        <f t="shared" si="63"/>
        <v>Data</v>
      </c>
      <c r="Q985" t="str" cm="1">
        <f t="array" ref="Q985">_xlfn.IFS(H985&gt;=16,"Excellent",H985&gt;=14,"Très bien",H985&gt;=12,"Bien",H985&gt;=10,"Passable",H985&lt;10,"Insuffisant")</f>
        <v>Très bien</v>
      </c>
    </row>
    <row r="986" spans="1:17">
      <c r="A986" t="s">
        <v>1319</v>
      </c>
      <c r="B986" t="s">
        <v>1320</v>
      </c>
      <c r="C986" t="s">
        <v>24</v>
      </c>
      <c r="D986" t="s">
        <v>40</v>
      </c>
      <c r="E986" s="8" t="s">
        <v>34</v>
      </c>
      <c r="F986" s="8">
        <v>18.82</v>
      </c>
      <c r="G986" s="8">
        <v>18.37</v>
      </c>
      <c r="H986" s="8">
        <v>12.55</v>
      </c>
      <c r="I986" s="8">
        <v>12.45</v>
      </c>
      <c r="J986" s="6">
        <v>0.66259999999999997</v>
      </c>
      <c r="K986" s="4">
        <v>100000</v>
      </c>
      <c r="L986" s="2">
        <v>46037</v>
      </c>
      <c r="M986" t="str">
        <f t="shared" si="60"/>
        <v>Admis</v>
      </c>
      <c r="N986" t="str">
        <f t="shared" si="61"/>
        <v>Non eligible</v>
      </c>
      <c r="O986" t="str">
        <f t="shared" si="62"/>
        <v>RAS</v>
      </c>
      <c r="P986" t="str">
        <f t="shared" si="63"/>
        <v>Hors data</v>
      </c>
      <c r="Q986" t="str" cm="1">
        <f t="array" ref="Q986">_xlfn.IFS(H986&gt;=16,"Excellent",H986&gt;=14,"Très bien",H986&gt;=12,"Bien",H986&gt;=10,"Passable",H986&lt;10,"Insuffisant")</f>
        <v>Bien</v>
      </c>
    </row>
    <row r="987" spans="1:17">
      <c r="A987" t="s">
        <v>1321</v>
      </c>
      <c r="B987" t="s">
        <v>23</v>
      </c>
      <c r="C987" t="s">
        <v>24</v>
      </c>
      <c r="D987" t="s">
        <v>25</v>
      </c>
      <c r="E987" s="8" t="s">
        <v>47</v>
      </c>
      <c r="F987" s="8">
        <v>11.26</v>
      </c>
      <c r="G987" s="8">
        <v>8.4</v>
      </c>
      <c r="H987" s="8">
        <v>10.4</v>
      </c>
      <c r="I987" s="8">
        <v>10.06</v>
      </c>
      <c r="J987" s="6">
        <v>0.97289999999999999</v>
      </c>
      <c r="K987" s="4">
        <v>85000</v>
      </c>
      <c r="L987" s="2">
        <v>45730</v>
      </c>
      <c r="M987" t="str">
        <f t="shared" si="60"/>
        <v>Admis</v>
      </c>
      <c r="N987" t="str">
        <f t="shared" si="61"/>
        <v>Non eligible</v>
      </c>
      <c r="O987" t="str">
        <f t="shared" si="62"/>
        <v>RAS</v>
      </c>
      <c r="P987" t="str">
        <f t="shared" si="63"/>
        <v>Hors data</v>
      </c>
      <c r="Q987" t="str" cm="1">
        <f t="array" ref="Q987">_xlfn.IFS(H987&gt;=16,"Excellent",H987&gt;=14,"Très bien",H987&gt;=12,"Bien",H987&gt;=10,"Passable",H987&lt;10,"Insuffisant")</f>
        <v>Passable</v>
      </c>
    </row>
    <row r="988" spans="1:17">
      <c r="A988" t="s">
        <v>1322</v>
      </c>
      <c r="B988" t="s">
        <v>907</v>
      </c>
      <c r="C988" t="s">
        <v>24</v>
      </c>
      <c r="D988" t="s">
        <v>52</v>
      </c>
      <c r="E988" s="8" t="s">
        <v>47</v>
      </c>
      <c r="F988" s="8">
        <v>13.4</v>
      </c>
      <c r="G988" s="8">
        <v>12.18</v>
      </c>
      <c r="H988" s="8">
        <v>9.61</v>
      </c>
      <c r="I988" s="8">
        <v>12.83</v>
      </c>
      <c r="J988" s="6">
        <v>0.77700000000000002</v>
      </c>
      <c r="K988" s="4">
        <v>50000</v>
      </c>
      <c r="L988" s="2">
        <v>46127</v>
      </c>
      <c r="M988" t="str">
        <f t="shared" si="60"/>
        <v>Non admis</v>
      </c>
      <c r="N988" t="str">
        <f t="shared" si="61"/>
        <v>Non eligible</v>
      </c>
      <c r="O988" t="str">
        <f t="shared" si="62"/>
        <v>A surveiller</v>
      </c>
      <c r="P988" t="str">
        <f t="shared" si="63"/>
        <v>Hors data</v>
      </c>
      <c r="Q988" t="str" cm="1">
        <f t="array" ref="Q988">_xlfn.IFS(H988&gt;=16,"Excellent",H988&gt;=14,"Très bien",H988&gt;=12,"Bien",H988&gt;=10,"Passable",H988&lt;10,"Insuffisant")</f>
        <v>Insuffisant</v>
      </c>
    </row>
    <row r="989" spans="1:17">
      <c r="A989" t="s">
        <v>1323</v>
      </c>
      <c r="B989" t="s">
        <v>574</v>
      </c>
      <c r="C989" t="s">
        <v>19</v>
      </c>
      <c r="D989" t="s">
        <v>33</v>
      </c>
      <c r="E989" s="8" t="s">
        <v>21</v>
      </c>
      <c r="F989" s="8">
        <v>11.99</v>
      </c>
      <c r="G989" s="8">
        <v>12.6</v>
      </c>
      <c r="H989" s="8">
        <v>14.39</v>
      </c>
      <c r="I989" s="8">
        <v>10.9</v>
      </c>
      <c r="J989" s="6">
        <v>0.85909999999999997</v>
      </c>
      <c r="K989" s="4">
        <v>110000</v>
      </c>
      <c r="L989" s="2">
        <v>45573</v>
      </c>
      <c r="M989" t="str">
        <f t="shared" si="60"/>
        <v>Admis</v>
      </c>
      <c r="N989" t="str">
        <f t="shared" si="61"/>
        <v>Non eligible</v>
      </c>
      <c r="O989" t="str">
        <f t="shared" si="62"/>
        <v>RAS</v>
      </c>
      <c r="P989" t="str">
        <f t="shared" si="63"/>
        <v>Data</v>
      </c>
      <c r="Q989" t="str" cm="1">
        <f t="array" ref="Q989">_xlfn.IFS(H989&gt;=16,"Excellent",H989&gt;=14,"Très bien",H989&gt;=12,"Bien",H989&gt;=10,"Passable",H989&lt;10,"Insuffisant")</f>
        <v>Très bien</v>
      </c>
    </row>
    <row r="990" spans="1:17">
      <c r="A990" t="s">
        <v>1324</v>
      </c>
      <c r="B990" t="s">
        <v>240</v>
      </c>
      <c r="C990" t="s">
        <v>19</v>
      </c>
      <c r="D990" t="s">
        <v>25</v>
      </c>
      <c r="E990" s="8" t="s">
        <v>21</v>
      </c>
      <c r="F990" s="8">
        <v>9.5</v>
      </c>
      <c r="G990" s="8">
        <v>12.61</v>
      </c>
      <c r="H990" s="8">
        <v>10.95</v>
      </c>
      <c r="I990" s="8">
        <v>8.0500000000000007</v>
      </c>
      <c r="J990" s="6">
        <v>0.66690000000000005</v>
      </c>
      <c r="K990" s="4">
        <v>70000</v>
      </c>
      <c r="L990" s="2">
        <v>45955</v>
      </c>
      <c r="M990" t="str">
        <f t="shared" si="60"/>
        <v>Admis</v>
      </c>
      <c r="N990" t="str">
        <f t="shared" si="61"/>
        <v>Non eligible</v>
      </c>
      <c r="O990" t="str">
        <f t="shared" si="62"/>
        <v>A surveiller</v>
      </c>
      <c r="P990" t="str">
        <f t="shared" si="63"/>
        <v>Data</v>
      </c>
      <c r="Q990" t="str" cm="1">
        <f t="array" ref="Q990">_xlfn.IFS(H990&gt;=16,"Excellent",H990&gt;=14,"Très bien",H990&gt;=12,"Bien",H990&gt;=10,"Passable",H990&lt;10,"Insuffisant")</f>
        <v>Passable</v>
      </c>
    </row>
    <row r="991" spans="1:17">
      <c r="A991" t="s">
        <v>1325</v>
      </c>
      <c r="B991" t="s">
        <v>403</v>
      </c>
      <c r="C991" t="s">
        <v>24</v>
      </c>
      <c r="D991" t="s">
        <v>20</v>
      </c>
      <c r="E991" s="8" t="s">
        <v>34</v>
      </c>
      <c r="F991" s="8">
        <v>15.83</v>
      </c>
      <c r="G991" s="8">
        <v>19.45</v>
      </c>
      <c r="H991" s="8">
        <v>20</v>
      </c>
      <c r="I991" s="8">
        <v>10.36</v>
      </c>
      <c r="J991" s="6">
        <v>0.90310000000000001</v>
      </c>
      <c r="K991" s="4">
        <v>100000</v>
      </c>
      <c r="L991" s="2">
        <v>46194</v>
      </c>
      <c r="M991" t="str">
        <f t="shared" si="60"/>
        <v>Admis</v>
      </c>
      <c r="N991" t="str">
        <f t="shared" si="61"/>
        <v>Eligible</v>
      </c>
      <c r="O991" t="str">
        <f t="shared" si="62"/>
        <v>RAS</v>
      </c>
      <c r="P991" t="str">
        <f t="shared" si="63"/>
        <v>Hors data</v>
      </c>
      <c r="Q991" t="str" cm="1">
        <f t="array" ref="Q991">_xlfn.IFS(H991&gt;=16,"Excellent",H991&gt;=14,"Très bien",H991&gt;=12,"Bien",H991&gt;=10,"Passable",H991&lt;10,"Insuffisant")</f>
        <v>Excellent</v>
      </c>
    </row>
    <row r="992" spans="1:17">
      <c r="A992" t="s">
        <v>1326</v>
      </c>
      <c r="B992" t="s">
        <v>631</v>
      </c>
      <c r="C992" t="s">
        <v>19</v>
      </c>
      <c r="D992" t="s">
        <v>20</v>
      </c>
      <c r="E992" s="8" t="s">
        <v>26</v>
      </c>
      <c r="F992" s="8">
        <v>8.43</v>
      </c>
      <c r="G992" s="8">
        <v>14.11</v>
      </c>
      <c r="H992" s="8">
        <v>11.72</v>
      </c>
      <c r="I992" s="8">
        <v>11.34</v>
      </c>
      <c r="J992" s="6">
        <v>0.6804</v>
      </c>
      <c r="K992" s="4">
        <v>75000</v>
      </c>
      <c r="L992" s="2">
        <v>45997</v>
      </c>
      <c r="M992" t="str">
        <f t="shared" si="60"/>
        <v>Admis</v>
      </c>
      <c r="N992" t="str">
        <f t="shared" si="61"/>
        <v>Non eligible</v>
      </c>
      <c r="O992" t="str">
        <f t="shared" si="62"/>
        <v>A surveiller</v>
      </c>
      <c r="P992" t="str">
        <f t="shared" si="63"/>
        <v>Hors data</v>
      </c>
      <c r="Q992" t="str" cm="1">
        <f t="array" ref="Q992">_xlfn.IFS(H992&gt;=16,"Excellent",H992&gt;=14,"Très bien",H992&gt;=12,"Bien",H992&gt;=10,"Passable",H992&lt;10,"Insuffisant")</f>
        <v>Passable</v>
      </c>
    </row>
    <row r="993" spans="1:17">
      <c r="A993" t="s">
        <v>1327</v>
      </c>
      <c r="B993" t="s">
        <v>217</v>
      </c>
      <c r="C993" t="s">
        <v>24</v>
      </c>
      <c r="D993" t="s">
        <v>25</v>
      </c>
      <c r="E993" s="8" t="s">
        <v>21</v>
      </c>
      <c r="F993" s="8">
        <v>13.8</v>
      </c>
      <c r="G993" s="8">
        <v>13.55</v>
      </c>
      <c r="H993" s="8">
        <v>11.59</v>
      </c>
      <c r="I993" s="8">
        <v>12.02</v>
      </c>
      <c r="J993" s="6">
        <v>0.87019999999999997</v>
      </c>
      <c r="K993" s="4">
        <v>110000</v>
      </c>
      <c r="L993" s="2">
        <v>46191</v>
      </c>
      <c r="M993" t="str">
        <f t="shared" si="60"/>
        <v>Admis</v>
      </c>
      <c r="N993" t="str">
        <f t="shared" si="61"/>
        <v>Non eligible</v>
      </c>
      <c r="O993" t="str">
        <f t="shared" si="62"/>
        <v>RAS</v>
      </c>
      <c r="P993" t="str">
        <f t="shared" si="63"/>
        <v>Data</v>
      </c>
      <c r="Q993" t="str" cm="1">
        <f t="array" ref="Q993">_xlfn.IFS(H993&gt;=16,"Excellent",H993&gt;=14,"Très bien",H993&gt;=12,"Bien",H993&gt;=10,"Passable",H993&lt;10,"Insuffisant")</f>
        <v>Passable</v>
      </c>
    </row>
    <row r="994" spans="1:17">
      <c r="A994" t="s">
        <v>1328</v>
      </c>
      <c r="B994" t="s">
        <v>1329</v>
      </c>
      <c r="C994" t="s">
        <v>19</v>
      </c>
      <c r="D994" t="s">
        <v>33</v>
      </c>
      <c r="E994" s="8" t="s">
        <v>34</v>
      </c>
      <c r="F994" s="8">
        <v>12.64</v>
      </c>
      <c r="G994" s="8">
        <v>13.52</v>
      </c>
      <c r="H994" s="8">
        <v>13.57</v>
      </c>
      <c r="I994" s="8">
        <v>11.4</v>
      </c>
      <c r="J994" s="6">
        <v>0.87929999999999997</v>
      </c>
      <c r="K994" s="4">
        <v>120000</v>
      </c>
      <c r="L994" s="2">
        <v>45575</v>
      </c>
      <c r="M994" t="str">
        <f t="shared" si="60"/>
        <v>Admis</v>
      </c>
      <c r="N994" t="str">
        <f t="shared" si="61"/>
        <v>Eligible</v>
      </c>
      <c r="O994" t="str">
        <f t="shared" si="62"/>
        <v>RAS</v>
      </c>
      <c r="P994" t="str">
        <f t="shared" si="63"/>
        <v>Hors data</v>
      </c>
      <c r="Q994" t="str" cm="1">
        <f t="array" ref="Q994">_xlfn.IFS(H994&gt;=16,"Excellent",H994&gt;=14,"Très bien",H994&gt;=12,"Bien",H994&gt;=10,"Passable",H994&lt;10,"Insuffisant")</f>
        <v>Bien</v>
      </c>
    </row>
    <row r="995" spans="1:17">
      <c r="A995" t="s">
        <v>1330</v>
      </c>
      <c r="B995" t="s">
        <v>381</v>
      </c>
      <c r="C995" t="s">
        <v>19</v>
      </c>
      <c r="D995" t="s">
        <v>25</v>
      </c>
      <c r="E995" s="8" t="s">
        <v>21</v>
      </c>
      <c r="F995" s="8">
        <v>11.57</v>
      </c>
      <c r="G995" s="8">
        <v>14.02</v>
      </c>
      <c r="H995" s="8">
        <v>18.86</v>
      </c>
      <c r="I995" s="8">
        <v>10.14</v>
      </c>
      <c r="J995" s="6">
        <v>0.94410000000000005</v>
      </c>
      <c r="K995" s="4">
        <v>110000</v>
      </c>
      <c r="L995" s="2">
        <v>45908</v>
      </c>
      <c r="M995" t="str">
        <f t="shared" si="60"/>
        <v>Admis</v>
      </c>
      <c r="N995" t="str">
        <f t="shared" si="61"/>
        <v>Non eligible</v>
      </c>
      <c r="O995" t="str">
        <f t="shared" si="62"/>
        <v>RAS</v>
      </c>
      <c r="P995" t="str">
        <f t="shared" si="63"/>
        <v>Data</v>
      </c>
      <c r="Q995" t="str" cm="1">
        <f t="array" ref="Q995">_xlfn.IFS(H995&gt;=16,"Excellent",H995&gt;=14,"Très bien",H995&gt;=12,"Bien",H995&gt;=10,"Passable",H995&lt;10,"Insuffisant")</f>
        <v>Excellent</v>
      </c>
    </row>
    <row r="996" spans="1:17">
      <c r="A996" t="s">
        <v>1331</v>
      </c>
      <c r="B996" t="s">
        <v>379</v>
      </c>
      <c r="C996" t="s">
        <v>24</v>
      </c>
      <c r="D996" t="s">
        <v>20</v>
      </c>
      <c r="E996" s="8" t="s">
        <v>21</v>
      </c>
      <c r="F996" s="8">
        <v>14.34</v>
      </c>
      <c r="G996" s="8">
        <v>13.27</v>
      </c>
      <c r="H996" s="8">
        <v>8.32</v>
      </c>
      <c r="I996" s="8">
        <v>9.19</v>
      </c>
      <c r="J996" s="6">
        <v>0.66180000000000005</v>
      </c>
      <c r="K996" s="4">
        <v>130000</v>
      </c>
      <c r="L996" s="2">
        <v>46082</v>
      </c>
      <c r="M996" t="str">
        <f t="shared" si="60"/>
        <v>Non admis</v>
      </c>
      <c r="N996" t="str">
        <f t="shared" si="61"/>
        <v>Non eligible</v>
      </c>
      <c r="O996" t="str">
        <f t="shared" si="62"/>
        <v>A surveiller</v>
      </c>
      <c r="P996" t="str">
        <f t="shared" si="63"/>
        <v>Data</v>
      </c>
      <c r="Q996" t="str" cm="1">
        <f t="array" ref="Q996">_xlfn.IFS(H996&gt;=16,"Excellent",H996&gt;=14,"Très bien",H996&gt;=12,"Bien",H996&gt;=10,"Passable",H996&lt;10,"Insuffisant")</f>
        <v>Insuffisant</v>
      </c>
    </row>
    <row r="997" spans="1:17">
      <c r="A997" t="s">
        <v>1332</v>
      </c>
      <c r="B997" t="s">
        <v>70</v>
      </c>
      <c r="C997" t="s">
        <v>24</v>
      </c>
      <c r="D997" t="s">
        <v>37</v>
      </c>
      <c r="E997" s="8" t="s">
        <v>47</v>
      </c>
      <c r="F997" s="8">
        <v>12.97</v>
      </c>
      <c r="G997" s="8">
        <v>13.83</v>
      </c>
      <c r="H997" s="8">
        <v>11.09</v>
      </c>
      <c r="I997" s="8">
        <v>11.59</v>
      </c>
      <c r="J997" s="6">
        <v>0.63160000000000005</v>
      </c>
      <c r="K997" s="4">
        <v>85000</v>
      </c>
      <c r="L997" s="2">
        <v>45985</v>
      </c>
      <c r="M997" t="str">
        <f t="shared" si="60"/>
        <v>Admis</v>
      </c>
      <c r="N997" t="str">
        <f t="shared" si="61"/>
        <v>Non eligible</v>
      </c>
      <c r="O997" t="str">
        <f t="shared" si="62"/>
        <v>RAS</v>
      </c>
      <c r="P997" t="str">
        <f t="shared" si="63"/>
        <v>Hors data</v>
      </c>
      <c r="Q997" t="str" cm="1">
        <f t="array" ref="Q997">_xlfn.IFS(H997&gt;=16,"Excellent",H997&gt;=14,"Très bien",H997&gt;=12,"Bien",H997&gt;=10,"Passable",H997&lt;10,"Insuffisant")</f>
        <v>Passable</v>
      </c>
    </row>
    <row r="998" spans="1:17">
      <c r="A998" t="s">
        <v>1333</v>
      </c>
      <c r="B998" t="s">
        <v>28</v>
      </c>
      <c r="C998" t="s">
        <v>24</v>
      </c>
      <c r="D998" t="s">
        <v>33</v>
      </c>
      <c r="E998" s="8" t="s">
        <v>34</v>
      </c>
      <c r="F998" s="8">
        <v>9.0299999999999994</v>
      </c>
      <c r="G998" s="8">
        <v>13.37</v>
      </c>
      <c r="H998" s="8">
        <v>12.52</v>
      </c>
      <c r="I998" s="8">
        <v>11.26</v>
      </c>
      <c r="J998" s="6">
        <v>0.87109999999999999</v>
      </c>
      <c r="K998" s="4">
        <v>50000</v>
      </c>
      <c r="L998" s="2">
        <v>46152</v>
      </c>
      <c r="M998" t="str">
        <f t="shared" si="60"/>
        <v>Admis</v>
      </c>
      <c r="N998" t="str">
        <f t="shared" si="61"/>
        <v>Non eligible</v>
      </c>
      <c r="O998" t="str">
        <f t="shared" si="62"/>
        <v>A surveiller</v>
      </c>
      <c r="P998" t="str">
        <f t="shared" si="63"/>
        <v>Hors data</v>
      </c>
      <c r="Q998" t="str" cm="1">
        <f t="array" ref="Q998">_xlfn.IFS(H998&gt;=16,"Excellent",H998&gt;=14,"Très bien",H998&gt;=12,"Bien",H998&gt;=10,"Passable",H998&lt;10,"Insuffisant")</f>
        <v>Bien</v>
      </c>
    </row>
    <row r="999" spans="1:17">
      <c r="A999" t="s">
        <v>1334</v>
      </c>
      <c r="B999" t="s">
        <v>377</v>
      </c>
      <c r="C999" t="s">
        <v>19</v>
      </c>
      <c r="D999" t="s">
        <v>40</v>
      </c>
      <c r="E999" s="8" t="s">
        <v>34</v>
      </c>
      <c r="F999" s="8">
        <v>11.33</v>
      </c>
      <c r="G999" s="8">
        <v>12.15</v>
      </c>
      <c r="H999" s="8">
        <v>10.73</v>
      </c>
      <c r="I999" s="8">
        <v>11.6</v>
      </c>
      <c r="J999" s="6">
        <v>0.96430000000000005</v>
      </c>
      <c r="K999" s="4">
        <v>85000</v>
      </c>
      <c r="L999" s="2">
        <v>45859</v>
      </c>
      <c r="M999" t="str">
        <f t="shared" si="60"/>
        <v>Admis</v>
      </c>
      <c r="N999" t="str">
        <f t="shared" si="61"/>
        <v>Non eligible</v>
      </c>
      <c r="O999" t="str">
        <f t="shared" si="62"/>
        <v>RAS</v>
      </c>
      <c r="P999" t="str">
        <f t="shared" si="63"/>
        <v>Hors data</v>
      </c>
      <c r="Q999" t="str" cm="1">
        <f t="array" ref="Q999">_xlfn.IFS(H999&gt;=16,"Excellent",H999&gt;=14,"Très bien",H999&gt;=12,"Bien",H999&gt;=10,"Passable",H999&lt;10,"Insuffisant")</f>
        <v>Passable</v>
      </c>
    </row>
    <row r="1000" spans="1:17">
      <c r="A1000" t="s">
        <v>1335</v>
      </c>
      <c r="B1000" t="s">
        <v>190</v>
      </c>
      <c r="C1000" t="s">
        <v>24</v>
      </c>
      <c r="D1000" t="s">
        <v>33</v>
      </c>
      <c r="E1000" s="8" t="s">
        <v>26</v>
      </c>
      <c r="F1000" s="8">
        <v>15.48</v>
      </c>
      <c r="G1000" s="8">
        <v>16.25</v>
      </c>
      <c r="H1000" s="8">
        <v>14.33</v>
      </c>
      <c r="I1000" s="8">
        <v>16.04</v>
      </c>
      <c r="J1000" s="6">
        <v>0.64580000000000004</v>
      </c>
      <c r="K1000" s="4">
        <v>85000</v>
      </c>
      <c r="L1000" s="2">
        <v>46013</v>
      </c>
      <c r="M1000" t="str">
        <f t="shared" si="60"/>
        <v>Admis</v>
      </c>
      <c r="N1000" t="str">
        <f t="shared" si="61"/>
        <v>Non eligible</v>
      </c>
      <c r="O1000" t="str">
        <f t="shared" si="62"/>
        <v>RAS</v>
      </c>
      <c r="P1000" t="str">
        <f t="shared" si="63"/>
        <v>Hors data</v>
      </c>
      <c r="Q1000" t="str" cm="1">
        <f t="array" ref="Q1000">_xlfn.IFS(H1000&gt;=16,"Excellent",H1000&gt;=14,"Très bien",H1000&gt;=12,"Bien",H1000&gt;=10,"Passable",H1000&lt;10,"Insuffisant")</f>
        <v>Très bien</v>
      </c>
    </row>
    <row r="1001" spans="1:17">
      <c r="A1001" t="s">
        <v>1336</v>
      </c>
      <c r="B1001" t="s">
        <v>54</v>
      </c>
      <c r="C1001" t="s">
        <v>24</v>
      </c>
      <c r="D1001" t="s">
        <v>25</v>
      </c>
      <c r="E1001" s="8" t="s">
        <v>21</v>
      </c>
      <c r="F1001" s="8">
        <v>16.309999999999999</v>
      </c>
      <c r="G1001" s="8">
        <v>13.92</v>
      </c>
      <c r="H1001" s="8">
        <v>11.5</v>
      </c>
      <c r="I1001" s="8">
        <v>19.059999999999999</v>
      </c>
      <c r="J1001" s="6">
        <v>0.90300000000000002</v>
      </c>
      <c r="K1001" s="4">
        <v>100000</v>
      </c>
      <c r="L1001" s="2">
        <v>45829</v>
      </c>
      <c r="M1001" t="str">
        <f t="shared" si="60"/>
        <v>Admis</v>
      </c>
      <c r="N1001" t="str">
        <f t="shared" si="61"/>
        <v>Non eligible</v>
      </c>
      <c r="O1001" t="str">
        <f t="shared" si="62"/>
        <v>RAS</v>
      </c>
      <c r="P1001" t="str">
        <f t="shared" si="63"/>
        <v>Data</v>
      </c>
      <c r="Q1001" t="str" cm="1">
        <f t="array" ref="Q1001">_xlfn.IFS(H1001&gt;=16,"Excellent",H1001&gt;=14,"Très bien",H1001&gt;=12,"Bien",H1001&gt;=10,"Passable",H1001&lt;10,"Insuffisant")</f>
        <v>Passable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F52B-2622-456A-AB41-FB7650700E4A}">
  <dimension ref="B2:D6"/>
  <sheetViews>
    <sheetView workbookViewId="0">
      <selection activeCell="E6" sqref="E6"/>
    </sheetView>
  </sheetViews>
  <sheetFormatPr defaultRowHeight="15"/>
  <cols>
    <col min="4" max="4" width="13.85546875" customWidth="1"/>
    <col min="5" max="5" width="14.7109375" customWidth="1"/>
  </cols>
  <sheetData>
    <row r="2" spans="2:4">
      <c r="B2" s="13" t="s">
        <v>1337</v>
      </c>
      <c r="C2" s="17" t="s">
        <v>1338</v>
      </c>
      <c r="D2" s="18" t="s">
        <v>1339</v>
      </c>
    </row>
    <row r="3" spans="2:4">
      <c r="B3" s="14">
        <v>100</v>
      </c>
      <c r="C3" s="16">
        <v>10</v>
      </c>
      <c r="D3" s="15">
        <f>IFERROR(B3/C3,"Non disponible")</f>
        <v>10</v>
      </c>
    </row>
    <row r="4" spans="2:4">
      <c r="B4" s="14">
        <v>200</v>
      </c>
      <c r="C4" s="16">
        <v>20</v>
      </c>
      <c r="D4" s="15">
        <f>IFERROR(B4/C4,"Non disponible")</f>
        <v>10</v>
      </c>
    </row>
    <row r="5" spans="2:4">
      <c r="B5" s="14">
        <v>150</v>
      </c>
      <c r="C5" s="16">
        <v>0</v>
      </c>
      <c r="D5" s="15" t="str">
        <f>IFERROR(B5/C5,"Non disponible")</f>
        <v>Non disponible</v>
      </c>
    </row>
    <row r="6" spans="2:4">
      <c r="B6" s="14">
        <v>300</v>
      </c>
      <c r="C6" s="16">
        <v>15</v>
      </c>
      <c r="D6" s="15">
        <f>IFERROR(B6/C6,"Non disponible")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7057-9A90-4616-9D33-41610E4C5A2A}">
  <dimension ref="A1:J1001"/>
  <sheetViews>
    <sheetView tabSelected="1" workbookViewId="0">
      <selection activeCell="J1011" sqref="J1011"/>
    </sheetView>
  </sheetViews>
  <sheetFormatPr defaultRowHeight="15"/>
  <cols>
    <col min="2" max="2" width="18.28515625" customWidth="1"/>
    <col min="3" max="3" width="16.28515625" customWidth="1"/>
    <col min="7" max="7" width="20.140625" customWidth="1"/>
    <col min="9" max="9" width="11" customWidth="1"/>
    <col min="10" max="10" width="15" customWidth="1"/>
  </cols>
  <sheetData>
    <row r="1" spans="1:10">
      <c r="A1" s="1" t="s">
        <v>0</v>
      </c>
      <c r="B1" s="1" t="s">
        <v>1</v>
      </c>
      <c r="C1" s="7" t="s">
        <v>4</v>
      </c>
      <c r="D1" s="7" t="s">
        <v>5</v>
      </c>
      <c r="E1" s="7" t="s">
        <v>7</v>
      </c>
      <c r="F1" s="21" t="s">
        <v>9</v>
      </c>
      <c r="G1" s="19" t="s">
        <v>1340</v>
      </c>
      <c r="H1" s="20" t="s">
        <v>1341</v>
      </c>
      <c r="I1" s="22" t="s">
        <v>14</v>
      </c>
      <c r="J1" s="20" t="s">
        <v>1342</v>
      </c>
    </row>
    <row r="2" spans="1:10">
      <c r="A2" t="s">
        <v>17</v>
      </c>
      <c r="B2" t="s">
        <v>18</v>
      </c>
      <c r="C2" s="8" t="s">
        <v>21</v>
      </c>
      <c r="D2" s="8">
        <v>12.13</v>
      </c>
      <c r="E2" s="8">
        <v>11.09</v>
      </c>
      <c r="F2" s="6">
        <v>0.91869999999999996</v>
      </c>
      <c r="G2" t="str">
        <f>IF(AND(D2&gt;=12,E2&gt;=12,F2&gt;=80%),"Admis",IF(AND(D2&gt;=10,E2&gt;=10),"Admis sous condition","Refuse"))</f>
        <v>Admis sous condition</v>
      </c>
      <c r="H2" t="str" cm="1">
        <f t="array" ref="H2">_xlfn.IFS(E2&gt;=16,"Excellent",E2&gt;=14,"Très bien",E2&gt;=12,"Bien",E2&gt;=10,"Passable",E2&lt;10,"Insuffisant")</f>
        <v>Passable</v>
      </c>
      <c r="I2" t="str">
        <f>IF(OR(D2&lt;10,E2&lt;10,F2&lt;70%),"A surveiller","RAS")</f>
        <v>RAS</v>
      </c>
      <c r="J2" t="str">
        <f>IF(NOT(C2="Data"),"Autre filière","Data")</f>
        <v>Data</v>
      </c>
    </row>
    <row r="3" spans="1:10">
      <c r="A3" t="s">
        <v>22</v>
      </c>
      <c r="B3" t="s">
        <v>23</v>
      </c>
      <c r="C3" s="8" t="s">
        <v>26</v>
      </c>
      <c r="D3" s="8">
        <v>15.39</v>
      </c>
      <c r="E3" s="8">
        <v>20</v>
      </c>
      <c r="F3" s="6">
        <v>0.81930000000000003</v>
      </c>
      <c r="G3" t="str">
        <f t="shared" ref="G3:G66" si="0">IF(AND(D3&gt;=12,E3&gt;=12,F3&gt;=80%),"Admis",IF(AND(D3&gt;=10,E3&gt;=10),"Admis sous condition","Refuse"))</f>
        <v>Admis</v>
      </c>
      <c r="H3" t="str" cm="1">
        <f t="array" ref="H3">_xlfn.IFS(E3&gt;=16,"Excellent",E3&gt;=14,"Très bien",E3&gt;=12,"Bien",E3&gt;=10,"Passable",E3&lt;10,"Insuffisant")</f>
        <v>Excellent</v>
      </c>
      <c r="I3" t="str">
        <f t="shared" ref="I3:I66" si="1">IF(OR(D3&lt;10,E3&lt;10,F3&lt;70%),"A surveiller","RAS")</f>
        <v>RAS</v>
      </c>
      <c r="J3" t="str">
        <f t="shared" ref="J3:J66" si="2">IF(NOT(C3="Data"),"Autre filière","Data")</f>
        <v>Autre filière</v>
      </c>
    </row>
    <row r="4" spans="1:10">
      <c r="A4" t="s">
        <v>27</v>
      </c>
      <c r="B4" t="s">
        <v>28</v>
      </c>
      <c r="C4" s="8" t="s">
        <v>21</v>
      </c>
      <c r="D4" s="8">
        <v>11.17</v>
      </c>
      <c r="E4" s="8">
        <v>19.760000000000002</v>
      </c>
      <c r="F4" s="6">
        <v>0.79079999999999995</v>
      </c>
      <c r="G4" t="str">
        <f t="shared" si="0"/>
        <v>Admis sous condition</v>
      </c>
      <c r="H4" t="str" cm="1">
        <f t="array" ref="H4">_xlfn.IFS(E4&gt;=16,"Excellent",E4&gt;=14,"Très bien",E4&gt;=12,"Bien",E4&gt;=10,"Passable",E4&lt;10,"Insuffisant")</f>
        <v>Excellent</v>
      </c>
      <c r="I4" t="str">
        <f t="shared" si="1"/>
        <v>RAS</v>
      </c>
      <c r="J4" t="str">
        <f t="shared" si="2"/>
        <v>Data</v>
      </c>
    </row>
    <row r="5" spans="1:10">
      <c r="A5" t="s">
        <v>29</v>
      </c>
      <c r="B5" t="s">
        <v>30</v>
      </c>
      <c r="C5" s="8" t="s">
        <v>26</v>
      </c>
      <c r="D5" s="8">
        <v>14.17</v>
      </c>
      <c r="E5" s="8">
        <v>10.26</v>
      </c>
      <c r="F5" s="6">
        <v>0.76400000000000001</v>
      </c>
      <c r="G5" t="str">
        <f t="shared" si="0"/>
        <v>Admis sous condition</v>
      </c>
      <c r="H5" t="str" cm="1">
        <f t="array" ref="H5">_xlfn.IFS(E5&gt;=16,"Excellent",E5&gt;=14,"Très bien",E5&gt;=12,"Bien",E5&gt;=10,"Passable",E5&lt;10,"Insuffisant")</f>
        <v>Passable</v>
      </c>
      <c r="I5" t="str">
        <f t="shared" si="1"/>
        <v>RAS</v>
      </c>
      <c r="J5" t="str">
        <f t="shared" si="2"/>
        <v>Autre filière</v>
      </c>
    </row>
    <row r="6" spans="1:10">
      <c r="A6" t="s">
        <v>31</v>
      </c>
      <c r="B6" t="s">
        <v>32</v>
      </c>
      <c r="C6" s="8" t="s">
        <v>34</v>
      </c>
      <c r="D6" s="8">
        <v>13.23</v>
      </c>
      <c r="E6" s="8">
        <v>10.63</v>
      </c>
      <c r="F6" s="6">
        <v>0.73070000000000002</v>
      </c>
      <c r="G6" t="str">
        <f t="shared" si="0"/>
        <v>Admis sous condition</v>
      </c>
      <c r="H6" t="str" cm="1">
        <f t="array" ref="H6">_xlfn.IFS(E6&gt;=16,"Excellent",E6&gt;=14,"Très bien",E6&gt;=12,"Bien",E6&gt;=10,"Passable",E6&lt;10,"Insuffisant")</f>
        <v>Passable</v>
      </c>
      <c r="I6" t="str">
        <f t="shared" si="1"/>
        <v>RAS</v>
      </c>
      <c r="J6" t="str">
        <f t="shared" si="2"/>
        <v>Autre filière</v>
      </c>
    </row>
    <row r="7" spans="1:10">
      <c r="A7" t="s">
        <v>35</v>
      </c>
      <c r="B7" t="s">
        <v>36</v>
      </c>
      <c r="C7" s="8" t="s">
        <v>26</v>
      </c>
      <c r="D7" s="8">
        <v>16.079999999999998</v>
      </c>
      <c r="E7" s="8">
        <v>12.22</v>
      </c>
      <c r="F7" s="6">
        <v>0.7429</v>
      </c>
      <c r="G7" t="str">
        <f t="shared" si="0"/>
        <v>Admis sous condition</v>
      </c>
      <c r="H7" t="str" cm="1">
        <f t="array" ref="H7">_xlfn.IFS(E7&gt;=16,"Excellent",E7&gt;=14,"Très bien",E7&gt;=12,"Bien",E7&gt;=10,"Passable",E7&lt;10,"Insuffisant")</f>
        <v>Bien</v>
      </c>
      <c r="I7" t="str">
        <f t="shared" si="1"/>
        <v>RAS</v>
      </c>
      <c r="J7" t="str">
        <f t="shared" si="2"/>
        <v>Autre filière</v>
      </c>
    </row>
    <row r="8" spans="1:10">
      <c r="A8" t="s">
        <v>38</v>
      </c>
      <c r="B8" t="s">
        <v>39</v>
      </c>
      <c r="C8" s="8" t="s">
        <v>26</v>
      </c>
      <c r="D8" s="8">
        <v>16.97</v>
      </c>
      <c r="E8" s="8">
        <v>15.2</v>
      </c>
      <c r="F8" s="6">
        <v>0.75839999999999996</v>
      </c>
      <c r="G8" t="str">
        <f t="shared" si="0"/>
        <v>Admis sous condition</v>
      </c>
      <c r="H8" t="str" cm="1">
        <f t="array" ref="H8">_xlfn.IFS(E8&gt;=16,"Excellent",E8&gt;=14,"Très bien",E8&gt;=12,"Bien",E8&gt;=10,"Passable",E8&lt;10,"Insuffisant")</f>
        <v>Très bien</v>
      </c>
      <c r="I8" t="str">
        <f t="shared" si="1"/>
        <v>RAS</v>
      </c>
      <c r="J8" t="str">
        <f t="shared" si="2"/>
        <v>Autre filière</v>
      </c>
    </row>
    <row r="9" spans="1:10">
      <c r="A9" t="s">
        <v>41</v>
      </c>
      <c r="B9" t="s">
        <v>42</v>
      </c>
      <c r="C9" s="8" t="s">
        <v>26</v>
      </c>
      <c r="D9" s="8">
        <v>7.57</v>
      </c>
      <c r="E9" s="8">
        <v>12.87</v>
      </c>
      <c r="F9" s="6">
        <v>0.95250000000000001</v>
      </c>
      <c r="G9" t="str">
        <f t="shared" si="0"/>
        <v>Refuse</v>
      </c>
      <c r="H9" t="str" cm="1">
        <f t="array" ref="H9">_xlfn.IFS(E9&gt;=16,"Excellent",E9&gt;=14,"Très bien",E9&gt;=12,"Bien",E9&gt;=10,"Passable",E9&lt;10,"Insuffisant")</f>
        <v>Bien</v>
      </c>
      <c r="I9" t="str">
        <f t="shared" si="1"/>
        <v>A surveiller</v>
      </c>
      <c r="J9" t="str">
        <f t="shared" si="2"/>
        <v>Autre filière</v>
      </c>
    </row>
    <row r="10" spans="1:10">
      <c r="A10" t="s">
        <v>43</v>
      </c>
      <c r="B10" t="s">
        <v>44</v>
      </c>
      <c r="C10" s="8" t="s">
        <v>26</v>
      </c>
      <c r="D10" s="8">
        <v>7.43</v>
      </c>
      <c r="E10" s="8">
        <v>12.08</v>
      </c>
      <c r="F10" s="6">
        <v>0.87990000000000002</v>
      </c>
      <c r="G10" t="str">
        <f t="shared" si="0"/>
        <v>Refuse</v>
      </c>
      <c r="H10" t="str" cm="1">
        <f t="array" ref="H10">_xlfn.IFS(E10&gt;=16,"Excellent",E10&gt;=14,"Très bien",E10&gt;=12,"Bien",E10&gt;=10,"Passable",E10&lt;10,"Insuffisant")</f>
        <v>Bien</v>
      </c>
      <c r="I10" t="str">
        <f t="shared" si="1"/>
        <v>A surveiller</v>
      </c>
      <c r="J10" t="str">
        <f t="shared" si="2"/>
        <v>Autre filière</v>
      </c>
    </row>
    <row r="11" spans="1:10">
      <c r="A11" t="s">
        <v>45</v>
      </c>
      <c r="B11" t="s">
        <v>46</v>
      </c>
      <c r="C11" s="8" t="s">
        <v>47</v>
      </c>
      <c r="D11" s="8">
        <v>14.93</v>
      </c>
      <c r="E11" s="8">
        <v>17.170000000000002</v>
      </c>
      <c r="F11" s="6">
        <v>0.74860000000000004</v>
      </c>
      <c r="G11" t="str">
        <f t="shared" si="0"/>
        <v>Admis sous condition</v>
      </c>
      <c r="H11" t="str" cm="1">
        <f t="array" ref="H11">_xlfn.IFS(E11&gt;=16,"Excellent",E11&gt;=14,"Très bien",E11&gt;=12,"Bien",E11&gt;=10,"Passable",E11&lt;10,"Insuffisant")</f>
        <v>Excellent</v>
      </c>
      <c r="I11" t="str">
        <f t="shared" si="1"/>
        <v>RAS</v>
      </c>
      <c r="J11" t="str">
        <f t="shared" si="2"/>
        <v>Autre filière</v>
      </c>
    </row>
    <row r="12" spans="1:10">
      <c r="A12" t="s">
        <v>48</v>
      </c>
      <c r="B12" t="s">
        <v>49</v>
      </c>
      <c r="C12" s="8" t="s">
        <v>26</v>
      </c>
      <c r="D12" s="8">
        <v>10.02</v>
      </c>
      <c r="E12" s="8">
        <v>13.71</v>
      </c>
      <c r="F12" s="6">
        <v>0.78959999999999997</v>
      </c>
      <c r="G12" t="str">
        <f t="shared" si="0"/>
        <v>Admis sous condition</v>
      </c>
      <c r="H12" t="str" cm="1">
        <f t="array" ref="H12">_xlfn.IFS(E12&gt;=16,"Excellent",E12&gt;=14,"Très bien",E12&gt;=12,"Bien",E12&gt;=10,"Passable",E12&lt;10,"Insuffisant")</f>
        <v>Bien</v>
      </c>
      <c r="I12" t="str">
        <f t="shared" si="1"/>
        <v>RAS</v>
      </c>
      <c r="J12" t="str">
        <f t="shared" si="2"/>
        <v>Autre filière</v>
      </c>
    </row>
    <row r="13" spans="1:10">
      <c r="A13" t="s">
        <v>50</v>
      </c>
      <c r="B13" t="s">
        <v>51</v>
      </c>
      <c r="C13" s="8" t="s">
        <v>21</v>
      </c>
      <c r="D13" s="8">
        <v>11.19</v>
      </c>
      <c r="E13" s="8">
        <v>8.2100000000000009</v>
      </c>
      <c r="F13" s="6">
        <v>0.9133</v>
      </c>
      <c r="G13" t="str">
        <f t="shared" si="0"/>
        <v>Refuse</v>
      </c>
      <c r="H13" t="str" cm="1">
        <f t="array" ref="H13">_xlfn.IFS(E13&gt;=16,"Excellent",E13&gt;=14,"Très bien",E13&gt;=12,"Bien",E13&gt;=10,"Passable",E13&lt;10,"Insuffisant")</f>
        <v>Insuffisant</v>
      </c>
      <c r="I13" t="str">
        <f t="shared" si="1"/>
        <v>A surveiller</v>
      </c>
      <c r="J13" t="str">
        <f t="shared" si="2"/>
        <v>Data</v>
      </c>
    </row>
    <row r="14" spans="1:10">
      <c r="A14" t="s">
        <v>53</v>
      </c>
      <c r="B14" t="s">
        <v>54</v>
      </c>
      <c r="C14" s="8" t="s">
        <v>21</v>
      </c>
      <c r="D14" s="8">
        <v>15.52</v>
      </c>
      <c r="E14" s="8">
        <v>14.41</v>
      </c>
      <c r="F14" s="6">
        <v>0.87109999999999999</v>
      </c>
      <c r="G14" t="str">
        <f t="shared" si="0"/>
        <v>Admis</v>
      </c>
      <c r="H14" t="str" cm="1">
        <f t="array" ref="H14">_xlfn.IFS(E14&gt;=16,"Excellent",E14&gt;=14,"Très bien",E14&gt;=12,"Bien",E14&gt;=10,"Passable",E14&lt;10,"Insuffisant")</f>
        <v>Très bien</v>
      </c>
      <c r="I14" t="str">
        <f t="shared" si="1"/>
        <v>RAS</v>
      </c>
      <c r="J14" t="str">
        <f t="shared" si="2"/>
        <v>Data</v>
      </c>
    </row>
    <row r="15" spans="1:10">
      <c r="A15" t="s">
        <v>55</v>
      </c>
      <c r="B15" t="s">
        <v>56</v>
      </c>
      <c r="C15" s="8" t="s">
        <v>47</v>
      </c>
      <c r="D15" s="8">
        <v>17.22</v>
      </c>
      <c r="E15" s="8">
        <v>14.95</v>
      </c>
      <c r="F15" s="6">
        <v>0.73260000000000003</v>
      </c>
      <c r="G15" t="str">
        <f t="shared" si="0"/>
        <v>Admis sous condition</v>
      </c>
      <c r="H15" t="str" cm="1">
        <f t="array" ref="H15">_xlfn.IFS(E15&gt;=16,"Excellent",E15&gt;=14,"Très bien",E15&gt;=12,"Bien",E15&gt;=10,"Passable",E15&lt;10,"Insuffisant")</f>
        <v>Très bien</v>
      </c>
      <c r="I15" t="str">
        <f t="shared" si="1"/>
        <v>RAS</v>
      </c>
      <c r="J15" t="str">
        <f t="shared" si="2"/>
        <v>Autre filière</v>
      </c>
    </row>
    <row r="16" spans="1:10">
      <c r="A16" t="s">
        <v>57</v>
      </c>
      <c r="B16" t="s">
        <v>58</v>
      </c>
      <c r="C16" s="8" t="s">
        <v>26</v>
      </c>
      <c r="D16" s="8">
        <v>10.09</v>
      </c>
      <c r="E16" s="8">
        <v>5.93</v>
      </c>
      <c r="F16" s="6">
        <v>0.95089999999999997</v>
      </c>
      <c r="G16" t="str">
        <f t="shared" si="0"/>
        <v>Refuse</v>
      </c>
      <c r="H16" t="str" cm="1">
        <f t="array" ref="H16">_xlfn.IFS(E16&gt;=16,"Excellent",E16&gt;=14,"Très bien",E16&gt;=12,"Bien",E16&gt;=10,"Passable",E16&lt;10,"Insuffisant")</f>
        <v>Insuffisant</v>
      </c>
      <c r="I16" t="str">
        <f t="shared" si="1"/>
        <v>A surveiller</v>
      </c>
      <c r="J16" t="str">
        <f t="shared" si="2"/>
        <v>Autre filière</v>
      </c>
    </row>
    <row r="17" spans="1:10">
      <c r="A17" t="s">
        <v>59</v>
      </c>
      <c r="B17" t="s">
        <v>60</v>
      </c>
      <c r="C17" s="8" t="s">
        <v>26</v>
      </c>
      <c r="D17" s="8">
        <v>14.6</v>
      </c>
      <c r="E17" s="8">
        <v>11.79</v>
      </c>
      <c r="F17" s="6">
        <v>0.79810000000000003</v>
      </c>
      <c r="G17" t="str">
        <f t="shared" si="0"/>
        <v>Admis sous condition</v>
      </c>
      <c r="H17" t="str" cm="1">
        <f t="array" ref="H17">_xlfn.IFS(E17&gt;=16,"Excellent",E17&gt;=14,"Très bien",E17&gt;=12,"Bien",E17&gt;=10,"Passable",E17&lt;10,"Insuffisant")</f>
        <v>Passable</v>
      </c>
      <c r="I17" t="str">
        <f t="shared" si="1"/>
        <v>RAS</v>
      </c>
      <c r="J17" t="str">
        <f t="shared" si="2"/>
        <v>Autre filière</v>
      </c>
    </row>
    <row r="18" spans="1:10">
      <c r="A18" t="s">
        <v>61</v>
      </c>
      <c r="B18" t="s">
        <v>62</v>
      </c>
      <c r="C18" s="8" t="s">
        <v>47</v>
      </c>
      <c r="D18" s="8">
        <v>18.2</v>
      </c>
      <c r="E18" s="8">
        <v>13.29</v>
      </c>
      <c r="F18" s="6">
        <v>0.84589999999999999</v>
      </c>
      <c r="G18" t="str">
        <f t="shared" si="0"/>
        <v>Admis</v>
      </c>
      <c r="H18" t="str" cm="1">
        <f t="array" ref="H18">_xlfn.IFS(E18&gt;=16,"Excellent",E18&gt;=14,"Très bien",E18&gt;=12,"Bien",E18&gt;=10,"Passable",E18&lt;10,"Insuffisant")</f>
        <v>Bien</v>
      </c>
      <c r="I18" t="str">
        <f t="shared" si="1"/>
        <v>RAS</v>
      </c>
      <c r="J18" t="str">
        <f t="shared" si="2"/>
        <v>Autre filière</v>
      </c>
    </row>
    <row r="19" spans="1:10">
      <c r="A19" t="s">
        <v>63</v>
      </c>
      <c r="B19" t="s">
        <v>64</v>
      </c>
      <c r="C19" s="8" t="s">
        <v>47</v>
      </c>
      <c r="D19" s="8">
        <v>15.58</v>
      </c>
      <c r="E19" s="8">
        <v>16.43</v>
      </c>
      <c r="F19" s="6">
        <v>0.55000000000000004</v>
      </c>
      <c r="G19" t="str">
        <f t="shared" si="0"/>
        <v>Admis sous condition</v>
      </c>
      <c r="H19" t="str" cm="1">
        <f t="array" ref="H19">_xlfn.IFS(E19&gt;=16,"Excellent",E19&gt;=14,"Très bien",E19&gt;=12,"Bien",E19&gt;=10,"Passable",E19&lt;10,"Insuffisant")</f>
        <v>Excellent</v>
      </c>
      <c r="I19" t="str">
        <f t="shared" si="1"/>
        <v>A surveiller</v>
      </c>
      <c r="J19" t="str">
        <f t="shared" si="2"/>
        <v>Autre filière</v>
      </c>
    </row>
    <row r="20" spans="1:10">
      <c r="A20" t="s">
        <v>65</v>
      </c>
      <c r="B20" t="s">
        <v>66</v>
      </c>
      <c r="C20" s="8" t="s">
        <v>47</v>
      </c>
      <c r="D20" s="8">
        <v>15.42</v>
      </c>
      <c r="E20" s="8">
        <v>16.010000000000002</v>
      </c>
      <c r="F20" s="6">
        <v>0.55000000000000004</v>
      </c>
      <c r="G20" t="str">
        <f t="shared" si="0"/>
        <v>Admis sous condition</v>
      </c>
      <c r="H20" t="str" cm="1">
        <f t="array" ref="H20">_xlfn.IFS(E20&gt;=16,"Excellent",E20&gt;=14,"Très bien",E20&gt;=12,"Bien",E20&gt;=10,"Passable",E20&lt;10,"Insuffisant")</f>
        <v>Excellent</v>
      </c>
      <c r="I20" t="str">
        <f t="shared" si="1"/>
        <v>A surveiller</v>
      </c>
      <c r="J20" t="str">
        <f t="shared" si="2"/>
        <v>Autre filière</v>
      </c>
    </row>
    <row r="21" spans="1:10">
      <c r="A21" t="s">
        <v>67</v>
      </c>
      <c r="B21" t="s">
        <v>68</v>
      </c>
      <c r="C21" s="8" t="s">
        <v>26</v>
      </c>
      <c r="D21" s="8">
        <v>12.83</v>
      </c>
      <c r="E21" s="8">
        <v>11.11</v>
      </c>
      <c r="F21" s="6">
        <v>0.82350000000000001</v>
      </c>
      <c r="G21" t="str">
        <f t="shared" si="0"/>
        <v>Admis sous condition</v>
      </c>
      <c r="H21" t="str" cm="1">
        <f t="array" ref="H21">_xlfn.IFS(E21&gt;=16,"Excellent",E21&gt;=14,"Très bien",E21&gt;=12,"Bien",E21&gt;=10,"Passable",E21&lt;10,"Insuffisant")</f>
        <v>Passable</v>
      </c>
      <c r="I21" t="str">
        <f t="shared" si="1"/>
        <v>RAS</v>
      </c>
      <c r="J21" t="str">
        <f t="shared" si="2"/>
        <v>Autre filière</v>
      </c>
    </row>
    <row r="22" spans="1:10">
      <c r="A22" t="s">
        <v>69</v>
      </c>
      <c r="B22" t="s">
        <v>70</v>
      </c>
      <c r="C22" s="8" t="s">
        <v>26</v>
      </c>
      <c r="D22" s="8">
        <v>14.68</v>
      </c>
      <c r="E22" s="8">
        <v>10.58</v>
      </c>
      <c r="F22" s="6">
        <v>0.87709999999999999</v>
      </c>
      <c r="G22" t="str">
        <f t="shared" si="0"/>
        <v>Admis sous condition</v>
      </c>
      <c r="H22" t="str" cm="1">
        <f t="array" ref="H22">_xlfn.IFS(E22&gt;=16,"Excellent",E22&gt;=14,"Très bien",E22&gt;=12,"Bien",E22&gt;=10,"Passable",E22&lt;10,"Insuffisant")</f>
        <v>Passable</v>
      </c>
      <c r="I22" t="str">
        <f t="shared" si="1"/>
        <v>RAS</v>
      </c>
      <c r="J22" t="str">
        <f t="shared" si="2"/>
        <v>Autre filière</v>
      </c>
    </row>
    <row r="23" spans="1:10">
      <c r="A23" t="s">
        <v>71</v>
      </c>
      <c r="B23" t="s">
        <v>72</v>
      </c>
      <c r="C23" s="8" t="s">
        <v>21</v>
      </c>
      <c r="D23" s="8">
        <v>11.98</v>
      </c>
      <c r="E23" s="8">
        <v>9.59</v>
      </c>
      <c r="F23" s="6">
        <v>0.83630000000000004</v>
      </c>
      <c r="G23" t="str">
        <f t="shared" si="0"/>
        <v>Refuse</v>
      </c>
      <c r="H23" t="str" cm="1">
        <f t="array" ref="H23">_xlfn.IFS(E23&gt;=16,"Excellent",E23&gt;=14,"Très bien",E23&gt;=12,"Bien",E23&gt;=10,"Passable",E23&lt;10,"Insuffisant")</f>
        <v>Insuffisant</v>
      </c>
      <c r="I23" t="str">
        <f t="shared" si="1"/>
        <v>A surveiller</v>
      </c>
      <c r="J23" t="str">
        <f t="shared" si="2"/>
        <v>Data</v>
      </c>
    </row>
    <row r="24" spans="1:10">
      <c r="A24" t="s">
        <v>73</v>
      </c>
      <c r="B24" t="s">
        <v>74</v>
      </c>
      <c r="C24" s="8" t="s">
        <v>47</v>
      </c>
      <c r="D24" s="8">
        <v>10.3</v>
      </c>
      <c r="E24" s="8">
        <v>13.81</v>
      </c>
      <c r="F24" s="6">
        <v>0.94589999999999996</v>
      </c>
      <c r="G24" t="str">
        <f t="shared" si="0"/>
        <v>Admis sous condition</v>
      </c>
      <c r="H24" t="str" cm="1">
        <f t="array" ref="H24">_xlfn.IFS(E24&gt;=16,"Excellent",E24&gt;=14,"Très bien",E24&gt;=12,"Bien",E24&gt;=10,"Passable",E24&lt;10,"Insuffisant")</f>
        <v>Bien</v>
      </c>
      <c r="I24" t="str">
        <f t="shared" si="1"/>
        <v>RAS</v>
      </c>
      <c r="J24" t="str">
        <f t="shared" si="2"/>
        <v>Autre filière</v>
      </c>
    </row>
    <row r="25" spans="1:10">
      <c r="A25" t="s">
        <v>75</v>
      </c>
      <c r="B25" t="s">
        <v>76</v>
      </c>
      <c r="C25" s="8" t="s">
        <v>34</v>
      </c>
      <c r="D25" s="8">
        <v>17.48</v>
      </c>
      <c r="E25" s="8">
        <v>10.02</v>
      </c>
      <c r="F25" s="6">
        <v>0.58579999999999999</v>
      </c>
      <c r="G25" t="str">
        <f t="shared" si="0"/>
        <v>Admis sous condition</v>
      </c>
      <c r="H25" t="str" cm="1">
        <f t="array" ref="H25">_xlfn.IFS(E25&gt;=16,"Excellent",E25&gt;=14,"Très bien",E25&gt;=12,"Bien",E25&gt;=10,"Passable",E25&lt;10,"Insuffisant")</f>
        <v>Passable</v>
      </c>
      <c r="I25" t="str">
        <f t="shared" si="1"/>
        <v>A surveiller</v>
      </c>
      <c r="J25" t="str">
        <f t="shared" si="2"/>
        <v>Autre filière</v>
      </c>
    </row>
    <row r="26" spans="1:10">
      <c r="A26" t="s">
        <v>77</v>
      </c>
      <c r="B26" t="s">
        <v>78</v>
      </c>
      <c r="C26" s="8" t="s">
        <v>26</v>
      </c>
      <c r="D26" s="8">
        <v>20</v>
      </c>
      <c r="E26" s="8">
        <v>20</v>
      </c>
      <c r="F26" s="6">
        <v>0.9405</v>
      </c>
      <c r="G26" t="str">
        <f t="shared" si="0"/>
        <v>Admis</v>
      </c>
      <c r="H26" t="str" cm="1">
        <f t="array" ref="H26">_xlfn.IFS(E26&gt;=16,"Excellent",E26&gt;=14,"Très bien",E26&gt;=12,"Bien",E26&gt;=10,"Passable",E26&lt;10,"Insuffisant")</f>
        <v>Excellent</v>
      </c>
      <c r="I26" t="str">
        <f t="shared" si="1"/>
        <v>RAS</v>
      </c>
      <c r="J26" t="str">
        <f t="shared" si="2"/>
        <v>Autre filière</v>
      </c>
    </row>
    <row r="27" spans="1:10">
      <c r="A27" t="s">
        <v>79</v>
      </c>
      <c r="B27" t="s">
        <v>80</v>
      </c>
      <c r="C27" s="8" t="s">
        <v>47</v>
      </c>
      <c r="D27" s="8">
        <v>18.41</v>
      </c>
      <c r="E27" s="8">
        <v>14.71</v>
      </c>
      <c r="F27" s="6">
        <v>0.81899999999999995</v>
      </c>
      <c r="G27" t="str">
        <f t="shared" si="0"/>
        <v>Admis</v>
      </c>
      <c r="H27" t="str" cm="1">
        <f t="array" ref="H27">_xlfn.IFS(E27&gt;=16,"Excellent",E27&gt;=14,"Très bien",E27&gt;=12,"Bien",E27&gt;=10,"Passable",E27&lt;10,"Insuffisant")</f>
        <v>Très bien</v>
      </c>
      <c r="I27" t="str">
        <f t="shared" si="1"/>
        <v>RAS</v>
      </c>
      <c r="J27" t="str">
        <f t="shared" si="2"/>
        <v>Autre filière</v>
      </c>
    </row>
    <row r="28" spans="1:10">
      <c r="A28" t="s">
        <v>81</v>
      </c>
      <c r="B28" t="s">
        <v>82</v>
      </c>
      <c r="C28" s="8" t="s">
        <v>26</v>
      </c>
      <c r="D28" s="8">
        <v>20</v>
      </c>
      <c r="E28" s="8">
        <v>19.239999999999998</v>
      </c>
      <c r="F28" s="6">
        <v>0.76739999999999997</v>
      </c>
      <c r="G28" t="str">
        <f t="shared" si="0"/>
        <v>Admis sous condition</v>
      </c>
      <c r="H28" t="str" cm="1">
        <f t="array" ref="H28">_xlfn.IFS(E28&gt;=16,"Excellent",E28&gt;=14,"Très bien",E28&gt;=12,"Bien",E28&gt;=10,"Passable",E28&lt;10,"Insuffisant")</f>
        <v>Excellent</v>
      </c>
      <c r="I28" t="str">
        <f t="shared" si="1"/>
        <v>RAS</v>
      </c>
      <c r="J28" t="str">
        <f t="shared" si="2"/>
        <v>Autre filière</v>
      </c>
    </row>
    <row r="29" spans="1:10">
      <c r="A29" t="s">
        <v>83</v>
      </c>
      <c r="B29" t="s">
        <v>84</v>
      </c>
      <c r="C29" s="8" t="s">
        <v>34</v>
      </c>
      <c r="D29" s="8">
        <v>8.86</v>
      </c>
      <c r="E29" s="8">
        <v>11.44</v>
      </c>
      <c r="F29" s="6">
        <v>0.81159999999999999</v>
      </c>
      <c r="G29" t="str">
        <f t="shared" si="0"/>
        <v>Refuse</v>
      </c>
      <c r="H29" t="str" cm="1">
        <f t="array" ref="H29">_xlfn.IFS(E29&gt;=16,"Excellent",E29&gt;=14,"Très bien",E29&gt;=12,"Bien",E29&gt;=10,"Passable",E29&lt;10,"Insuffisant")</f>
        <v>Passable</v>
      </c>
      <c r="I29" t="str">
        <f t="shared" si="1"/>
        <v>A surveiller</v>
      </c>
      <c r="J29" t="str">
        <f t="shared" si="2"/>
        <v>Autre filière</v>
      </c>
    </row>
    <row r="30" spans="1:10">
      <c r="A30" t="s">
        <v>85</v>
      </c>
      <c r="B30" t="s">
        <v>58</v>
      </c>
      <c r="C30" s="8" t="s">
        <v>47</v>
      </c>
      <c r="D30" s="8">
        <v>14.37</v>
      </c>
      <c r="E30" s="8">
        <v>17</v>
      </c>
      <c r="F30" s="6">
        <v>0.97089999999999999</v>
      </c>
      <c r="G30" t="str">
        <f t="shared" si="0"/>
        <v>Admis</v>
      </c>
      <c r="H30" t="str" cm="1">
        <f t="array" ref="H30">_xlfn.IFS(E30&gt;=16,"Excellent",E30&gt;=14,"Très bien",E30&gt;=12,"Bien",E30&gt;=10,"Passable",E30&lt;10,"Insuffisant")</f>
        <v>Excellent</v>
      </c>
      <c r="I30" t="str">
        <f t="shared" si="1"/>
        <v>RAS</v>
      </c>
      <c r="J30" t="str">
        <f t="shared" si="2"/>
        <v>Autre filière</v>
      </c>
    </row>
    <row r="31" spans="1:10">
      <c r="A31" t="s">
        <v>86</v>
      </c>
      <c r="B31" t="s">
        <v>87</v>
      </c>
      <c r="C31" s="8" t="s">
        <v>21</v>
      </c>
      <c r="D31" s="8">
        <v>15.56</v>
      </c>
      <c r="E31" s="8">
        <v>20</v>
      </c>
      <c r="F31" s="6">
        <v>0.55000000000000004</v>
      </c>
      <c r="G31" t="str">
        <f t="shared" si="0"/>
        <v>Admis sous condition</v>
      </c>
      <c r="H31" t="str" cm="1">
        <f t="array" ref="H31">_xlfn.IFS(E31&gt;=16,"Excellent",E31&gt;=14,"Très bien",E31&gt;=12,"Bien",E31&gt;=10,"Passable",E31&lt;10,"Insuffisant")</f>
        <v>Excellent</v>
      </c>
      <c r="I31" t="str">
        <f t="shared" si="1"/>
        <v>A surveiller</v>
      </c>
      <c r="J31" t="str">
        <f t="shared" si="2"/>
        <v>Data</v>
      </c>
    </row>
    <row r="32" spans="1:10">
      <c r="A32" t="s">
        <v>88</v>
      </c>
      <c r="B32" t="s">
        <v>89</v>
      </c>
      <c r="C32" s="8" t="s">
        <v>26</v>
      </c>
      <c r="D32" s="8">
        <v>12.24</v>
      </c>
      <c r="E32" s="8">
        <v>9.0399999999999991</v>
      </c>
      <c r="F32" s="6">
        <v>0.98560000000000003</v>
      </c>
      <c r="G32" t="str">
        <f t="shared" si="0"/>
        <v>Refuse</v>
      </c>
      <c r="H32" t="str" cm="1">
        <f t="array" ref="H32">_xlfn.IFS(E32&gt;=16,"Excellent",E32&gt;=14,"Très bien",E32&gt;=12,"Bien",E32&gt;=10,"Passable",E32&lt;10,"Insuffisant")</f>
        <v>Insuffisant</v>
      </c>
      <c r="I32" t="str">
        <f t="shared" si="1"/>
        <v>A surveiller</v>
      </c>
      <c r="J32" t="str">
        <f t="shared" si="2"/>
        <v>Autre filière</v>
      </c>
    </row>
    <row r="33" spans="1:10">
      <c r="A33" t="s">
        <v>90</v>
      </c>
      <c r="B33" t="s">
        <v>91</v>
      </c>
      <c r="C33" s="8" t="s">
        <v>21</v>
      </c>
      <c r="D33" s="8">
        <v>19.11</v>
      </c>
      <c r="E33" s="8">
        <v>15.6</v>
      </c>
      <c r="F33" s="6">
        <v>0.93830000000000002</v>
      </c>
      <c r="G33" t="str">
        <f t="shared" si="0"/>
        <v>Admis</v>
      </c>
      <c r="H33" t="str" cm="1">
        <f t="array" ref="H33">_xlfn.IFS(E33&gt;=16,"Excellent",E33&gt;=14,"Très bien",E33&gt;=12,"Bien",E33&gt;=10,"Passable",E33&lt;10,"Insuffisant")</f>
        <v>Très bien</v>
      </c>
      <c r="I33" t="str">
        <f t="shared" si="1"/>
        <v>RAS</v>
      </c>
      <c r="J33" t="str">
        <f t="shared" si="2"/>
        <v>Data</v>
      </c>
    </row>
    <row r="34" spans="1:10">
      <c r="A34" t="s">
        <v>92</v>
      </c>
      <c r="B34" t="s">
        <v>93</v>
      </c>
      <c r="C34" s="8" t="s">
        <v>34</v>
      </c>
      <c r="D34" s="8">
        <v>15.66</v>
      </c>
      <c r="E34" s="8">
        <v>12.03</v>
      </c>
      <c r="F34" s="6">
        <v>0.79310000000000003</v>
      </c>
      <c r="G34" t="str">
        <f t="shared" si="0"/>
        <v>Admis sous condition</v>
      </c>
      <c r="H34" t="str" cm="1">
        <f t="array" ref="H34">_xlfn.IFS(E34&gt;=16,"Excellent",E34&gt;=14,"Très bien",E34&gt;=12,"Bien",E34&gt;=10,"Passable",E34&lt;10,"Insuffisant")</f>
        <v>Bien</v>
      </c>
      <c r="I34" t="str">
        <f t="shared" si="1"/>
        <v>RAS</v>
      </c>
      <c r="J34" t="str">
        <f t="shared" si="2"/>
        <v>Autre filière</v>
      </c>
    </row>
    <row r="35" spans="1:10">
      <c r="A35" t="s">
        <v>94</v>
      </c>
      <c r="B35" t="s">
        <v>95</v>
      </c>
      <c r="C35" s="8" t="s">
        <v>26</v>
      </c>
      <c r="D35" s="8">
        <v>12.44</v>
      </c>
      <c r="E35" s="8">
        <v>14.47</v>
      </c>
      <c r="F35" s="6">
        <v>0.85240000000000005</v>
      </c>
      <c r="G35" t="str">
        <f t="shared" si="0"/>
        <v>Admis</v>
      </c>
      <c r="H35" t="str" cm="1">
        <f t="array" ref="H35">_xlfn.IFS(E35&gt;=16,"Excellent",E35&gt;=14,"Très bien",E35&gt;=12,"Bien",E35&gt;=10,"Passable",E35&lt;10,"Insuffisant")</f>
        <v>Très bien</v>
      </c>
      <c r="I35" t="str">
        <f t="shared" si="1"/>
        <v>RAS</v>
      </c>
      <c r="J35" t="str">
        <f t="shared" si="2"/>
        <v>Autre filière</v>
      </c>
    </row>
    <row r="36" spans="1:10">
      <c r="A36" t="s">
        <v>96</v>
      </c>
      <c r="B36" t="s">
        <v>97</v>
      </c>
      <c r="C36" s="8" t="s">
        <v>26</v>
      </c>
      <c r="D36" s="8">
        <v>11.52</v>
      </c>
      <c r="E36" s="8">
        <v>11.2</v>
      </c>
      <c r="F36" s="6">
        <v>0.75270000000000004</v>
      </c>
      <c r="G36" t="str">
        <f t="shared" si="0"/>
        <v>Admis sous condition</v>
      </c>
      <c r="H36" t="str" cm="1">
        <f t="array" ref="H36">_xlfn.IFS(E36&gt;=16,"Excellent",E36&gt;=14,"Très bien",E36&gt;=12,"Bien",E36&gt;=10,"Passable",E36&lt;10,"Insuffisant")</f>
        <v>Passable</v>
      </c>
      <c r="I36" t="str">
        <f t="shared" si="1"/>
        <v>RAS</v>
      </c>
      <c r="J36" t="str">
        <f t="shared" si="2"/>
        <v>Autre filière</v>
      </c>
    </row>
    <row r="37" spans="1:10">
      <c r="A37" t="s">
        <v>98</v>
      </c>
      <c r="B37" t="s">
        <v>99</v>
      </c>
      <c r="C37" s="8" t="s">
        <v>34</v>
      </c>
      <c r="D37" s="8">
        <v>7.93</v>
      </c>
      <c r="E37" s="8">
        <v>12.82</v>
      </c>
      <c r="F37" s="6">
        <v>0.7046</v>
      </c>
      <c r="G37" t="str">
        <f t="shared" si="0"/>
        <v>Refuse</v>
      </c>
      <c r="H37" t="str" cm="1">
        <f t="array" ref="H37">_xlfn.IFS(E37&gt;=16,"Excellent",E37&gt;=14,"Très bien",E37&gt;=12,"Bien",E37&gt;=10,"Passable",E37&lt;10,"Insuffisant")</f>
        <v>Bien</v>
      </c>
      <c r="I37" t="str">
        <f t="shared" si="1"/>
        <v>A surveiller</v>
      </c>
      <c r="J37" t="str">
        <f t="shared" si="2"/>
        <v>Autre filière</v>
      </c>
    </row>
    <row r="38" spans="1:10">
      <c r="A38" t="s">
        <v>100</v>
      </c>
      <c r="B38" t="s">
        <v>101</v>
      </c>
      <c r="C38" s="8" t="s">
        <v>34</v>
      </c>
      <c r="D38" s="8">
        <v>13.6</v>
      </c>
      <c r="E38" s="8">
        <v>13.47</v>
      </c>
      <c r="F38" s="6">
        <v>0.92279999999999995</v>
      </c>
      <c r="G38" t="str">
        <f t="shared" si="0"/>
        <v>Admis</v>
      </c>
      <c r="H38" t="str" cm="1">
        <f t="array" ref="H38">_xlfn.IFS(E38&gt;=16,"Excellent",E38&gt;=14,"Très bien",E38&gt;=12,"Bien",E38&gt;=10,"Passable",E38&lt;10,"Insuffisant")</f>
        <v>Bien</v>
      </c>
      <c r="I38" t="str">
        <f t="shared" si="1"/>
        <v>RAS</v>
      </c>
      <c r="J38" t="str">
        <f t="shared" si="2"/>
        <v>Autre filière</v>
      </c>
    </row>
    <row r="39" spans="1:10">
      <c r="A39" t="s">
        <v>102</v>
      </c>
      <c r="B39" t="s">
        <v>103</v>
      </c>
      <c r="C39" s="8" t="s">
        <v>21</v>
      </c>
      <c r="D39" s="8">
        <v>15.67</v>
      </c>
      <c r="E39" s="8">
        <v>15.43</v>
      </c>
      <c r="F39" s="6">
        <v>0.82920000000000005</v>
      </c>
      <c r="G39" t="str">
        <f t="shared" si="0"/>
        <v>Admis</v>
      </c>
      <c r="H39" t="str" cm="1">
        <f t="array" ref="H39">_xlfn.IFS(E39&gt;=16,"Excellent",E39&gt;=14,"Très bien",E39&gt;=12,"Bien",E39&gt;=10,"Passable",E39&lt;10,"Insuffisant")</f>
        <v>Très bien</v>
      </c>
      <c r="I39" t="str">
        <f t="shared" si="1"/>
        <v>RAS</v>
      </c>
      <c r="J39" t="str">
        <f t="shared" si="2"/>
        <v>Data</v>
      </c>
    </row>
    <row r="40" spans="1:10">
      <c r="A40" t="s">
        <v>104</v>
      </c>
      <c r="B40" t="s">
        <v>105</v>
      </c>
      <c r="C40" s="8" t="s">
        <v>26</v>
      </c>
      <c r="D40" s="8">
        <v>13.07</v>
      </c>
      <c r="E40" s="8">
        <v>11.47</v>
      </c>
      <c r="F40" s="6">
        <v>0.92720000000000002</v>
      </c>
      <c r="G40" t="str">
        <f t="shared" si="0"/>
        <v>Admis sous condition</v>
      </c>
      <c r="H40" t="str" cm="1">
        <f t="array" ref="H40">_xlfn.IFS(E40&gt;=16,"Excellent",E40&gt;=14,"Très bien",E40&gt;=12,"Bien",E40&gt;=10,"Passable",E40&lt;10,"Insuffisant")</f>
        <v>Passable</v>
      </c>
      <c r="I40" t="str">
        <f t="shared" si="1"/>
        <v>RAS</v>
      </c>
      <c r="J40" t="str">
        <f t="shared" si="2"/>
        <v>Autre filière</v>
      </c>
    </row>
    <row r="41" spans="1:10">
      <c r="A41" t="s">
        <v>106</v>
      </c>
      <c r="B41" t="s">
        <v>76</v>
      </c>
      <c r="C41" s="8" t="s">
        <v>21</v>
      </c>
      <c r="D41" s="8">
        <v>13.55</v>
      </c>
      <c r="E41" s="8">
        <v>18.309999999999999</v>
      </c>
      <c r="F41" s="6">
        <v>0.95599999999999996</v>
      </c>
      <c r="G41" t="str">
        <f t="shared" si="0"/>
        <v>Admis</v>
      </c>
      <c r="H41" t="str" cm="1">
        <f t="array" ref="H41">_xlfn.IFS(E41&gt;=16,"Excellent",E41&gt;=14,"Très bien",E41&gt;=12,"Bien",E41&gt;=10,"Passable",E41&lt;10,"Insuffisant")</f>
        <v>Excellent</v>
      </c>
      <c r="I41" t="str">
        <f t="shared" si="1"/>
        <v>RAS</v>
      </c>
      <c r="J41" t="str">
        <f t="shared" si="2"/>
        <v>Data</v>
      </c>
    </row>
    <row r="42" spans="1:10">
      <c r="A42" t="s">
        <v>107</v>
      </c>
      <c r="B42" t="s">
        <v>108</v>
      </c>
      <c r="C42" s="8" t="s">
        <v>21</v>
      </c>
      <c r="D42" s="8">
        <v>15.33</v>
      </c>
      <c r="E42" s="8">
        <v>11.75</v>
      </c>
      <c r="F42" s="6">
        <v>0.77600000000000002</v>
      </c>
      <c r="G42" t="str">
        <f t="shared" si="0"/>
        <v>Admis sous condition</v>
      </c>
      <c r="H42" t="str" cm="1">
        <f t="array" ref="H42">_xlfn.IFS(E42&gt;=16,"Excellent",E42&gt;=14,"Très bien",E42&gt;=12,"Bien",E42&gt;=10,"Passable",E42&lt;10,"Insuffisant")</f>
        <v>Passable</v>
      </c>
      <c r="I42" t="str">
        <f t="shared" si="1"/>
        <v>RAS</v>
      </c>
      <c r="J42" t="str">
        <f t="shared" si="2"/>
        <v>Data</v>
      </c>
    </row>
    <row r="43" spans="1:10">
      <c r="A43" t="s">
        <v>109</v>
      </c>
      <c r="B43" t="s">
        <v>110</v>
      </c>
      <c r="C43" s="8" t="s">
        <v>34</v>
      </c>
      <c r="D43" s="8">
        <v>18.57</v>
      </c>
      <c r="E43" s="8">
        <v>12.73</v>
      </c>
      <c r="F43" s="6">
        <v>0.90200000000000002</v>
      </c>
      <c r="G43" t="str">
        <f t="shared" si="0"/>
        <v>Admis</v>
      </c>
      <c r="H43" t="str" cm="1">
        <f t="array" ref="H43">_xlfn.IFS(E43&gt;=16,"Excellent",E43&gt;=14,"Très bien",E43&gt;=12,"Bien",E43&gt;=10,"Passable",E43&lt;10,"Insuffisant")</f>
        <v>Bien</v>
      </c>
      <c r="I43" t="str">
        <f t="shared" si="1"/>
        <v>RAS</v>
      </c>
      <c r="J43" t="str">
        <f t="shared" si="2"/>
        <v>Autre filière</v>
      </c>
    </row>
    <row r="44" spans="1:10">
      <c r="A44" t="s">
        <v>111</v>
      </c>
      <c r="B44" t="s">
        <v>112</v>
      </c>
      <c r="C44" s="8" t="s">
        <v>21</v>
      </c>
      <c r="D44" s="8">
        <v>15.7</v>
      </c>
      <c r="E44" s="8">
        <v>18.27</v>
      </c>
      <c r="F44" s="6">
        <v>0.94040000000000001</v>
      </c>
      <c r="G44" t="str">
        <f t="shared" si="0"/>
        <v>Admis</v>
      </c>
      <c r="H44" t="str" cm="1">
        <f t="array" ref="H44">_xlfn.IFS(E44&gt;=16,"Excellent",E44&gt;=14,"Très bien",E44&gt;=12,"Bien",E44&gt;=10,"Passable",E44&lt;10,"Insuffisant")</f>
        <v>Excellent</v>
      </c>
      <c r="I44" t="str">
        <f t="shared" si="1"/>
        <v>RAS</v>
      </c>
      <c r="J44" t="str">
        <f t="shared" si="2"/>
        <v>Data</v>
      </c>
    </row>
    <row r="45" spans="1:10">
      <c r="A45" t="s">
        <v>113</v>
      </c>
      <c r="B45" t="s">
        <v>114</v>
      </c>
      <c r="C45" s="8" t="s">
        <v>21</v>
      </c>
      <c r="D45" s="8">
        <v>9.0399999999999991</v>
      </c>
      <c r="E45" s="8">
        <v>10.09</v>
      </c>
      <c r="F45" s="6">
        <v>0.86899999999999999</v>
      </c>
      <c r="G45" t="str">
        <f t="shared" si="0"/>
        <v>Refuse</v>
      </c>
      <c r="H45" t="str" cm="1">
        <f t="array" ref="H45">_xlfn.IFS(E45&gt;=16,"Excellent",E45&gt;=14,"Très bien",E45&gt;=12,"Bien",E45&gt;=10,"Passable",E45&lt;10,"Insuffisant")</f>
        <v>Passable</v>
      </c>
      <c r="I45" t="str">
        <f t="shared" si="1"/>
        <v>A surveiller</v>
      </c>
      <c r="J45" t="str">
        <f t="shared" si="2"/>
        <v>Data</v>
      </c>
    </row>
    <row r="46" spans="1:10">
      <c r="A46" t="s">
        <v>115</v>
      </c>
      <c r="B46" t="s">
        <v>116</v>
      </c>
      <c r="C46" s="8" t="s">
        <v>47</v>
      </c>
      <c r="D46" s="8">
        <v>17.010000000000002</v>
      </c>
      <c r="E46" s="8">
        <v>20</v>
      </c>
      <c r="F46" s="6">
        <v>0.91449999999999998</v>
      </c>
      <c r="G46" t="str">
        <f t="shared" si="0"/>
        <v>Admis</v>
      </c>
      <c r="H46" t="str" cm="1">
        <f t="array" ref="H46">_xlfn.IFS(E46&gt;=16,"Excellent",E46&gt;=14,"Très bien",E46&gt;=12,"Bien",E46&gt;=10,"Passable",E46&lt;10,"Insuffisant")</f>
        <v>Excellent</v>
      </c>
      <c r="I46" t="str">
        <f t="shared" si="1"/>
        <v>RAS</v>
      </c>
      <c r="J46" t="str">
        <f t="shared" si="2"/>
        <v>Autre filière</v>
      </c>
    </row>
    <row r="47" spans="1:10">
      <c r="A47" t="s">
        <v>117</v>
      </c>
      <c r="B47" t="s">
        <v>118</v>
      </c>
      <c r="C47" s="8" t="s">
        <v>47</v>
      </c>
      <c r="D47" s="8">
        <v>10.33</v>
      </c>
      <c r="E47" s="8">
        <v>14.98</v>
      </c>
      <c r="F47" s="6">
        <v>0.98260000000000003</v>
      </c>
      <c r="G47" t="str">
        <f t="shared" si="0"/>
        <v>Admis sous condition</v>
      </c>
      <c r="H47" t="str" cm="1">
        <f t="array" ref="H47">_xlfn.IFS(E47&gt;=16,"Excellent",E47&gt;=14,"Très bien",E47&gt;=12,"Bien",E47&gt;=10,"Passable",E47&lt;10,"Insuffisant")</f>
        <v>Très bien</v>
      </c>
      <c r="I47" t="str">
        <f t="shared" si="1"/>
        <v>RAS</v>
      </c>
      <c r="J47" t="str">
        <f t="shared" si="2"/>
        <v>Autre filière</v>
      </c>
    </row>
    <row r="48" spans="1:10">
      <c r="A48" t="s">
        <v>119</v>
      </c>
      <c r="B48" t="s">
        <v>120</v>
      </c>
      <c r="C48" s="8" t="s">
        <v>34</v>
      </c>
      <c r="D48" s="8">
        <v>6.68</v>
      </c>
      <c r="E48" s="8">
        <v>7.31</v>
      </c>
      <c r="F48" s="6">
        <v>0.94130000000000003</v>
      </c>
      <c r="G48" t="str">
        <f t="shared" si="0"/>
        <v>Refuse</v>
      </c>
      <c r="H48" t="str" cm="1">
        <f t="array" ref="H48">_xlfn.IFS(E48&gt;=16,"Excellent",E48&gt;=14,"Très bien",E48&gt;=12,"Bien",E48&gt;=10,"Passable",E48&lt;10,"Insuffisant")</f>
        <v>Insuffisant</v>
      </c>
      <c r="I48" t="str">
        <f t="shared" si="1"/>
        <v>A surveiller</v>
      </c>
      <c r="J48" t="str">
        <f t="shared" si="2"/>
        <v>Autre filière</v>
      </c>
    </row>
    <row r="49" spans="1:10">
      <c r="A49" t="s">
        <v>121</v>
      </c>
      <c r="B49" t="s">
        <v>122</v>
      </c>
      <c r="C49" s="8" t="s">
        <v>26</v>
      </c>
      <c r="D49" s="8">
        <v>8.2799999999999994</v>
      </c>
      <c r="E49" s="8">
        <v>10.59</v>
      </c>
      <c r="F49" s="6">
        <v>0.93630000000000002</v>
      </c>
      <c r="G49" t="str">
        <f t="shared" si="0"/>
        <v>Refuse</v>
      </c>
      <c r="H49" t="str" cm="1">
        <f t="array" ref="H49">_xlfn.IFS(E49&gt;=16,"Excellent",E49&gt;=14,"Très bien",E49&gt;=12,"Bien",E49&gt;=10,"Passable",E49&lt;10,"Insuffisant")</f>
        <v>Passable</v>
      </c>
      <c r="I49" t="str">
        <f t="shared" si="1"/>
        <v>A surveiller</v>
      </c>
      <c r="J49" t="str">
        <f t="shared" si="2"/>
        <v>Autre filière</v>
      </c>
    </row>
    <row r="50" spans="1:10">
      <c r="A50" t="s">
        <v>123</v>
      </c>
      <c r="B50" t="s">
        <v>124</v>
      </c>
      <c r="C50" s="8" t="s">
        <v>47</v>
      </c>
      <c r="D50" s="8">
        <v>9.2799999999999994</v>
      </c>
      <c r="E50" s="8">
        <v>11.11</v>
      </c>
      <c r="F50" s="6">
        <v>0.92930000000000001</v>
      </c>
      <c r="G50" t="str">
        <f t="shared" si="0"/>
        <v>Refuse</v>
      </c>
      <c r="H50" t="str" cm="1">
        <f t="array" ref="H50">_xlfn.IFS(E50&gt;=16,"Excellent",E50&gt;=14,"Très bien",E50&gt;=12,"Bien",E50&gt;=10,"Passable",E50&lt;10,"Insuffisant")</f>
        <v>Passable</v>
      </c>
      <c r="I50" t="str">
        <f t="shared" si="1"/>
        <v>A surveiller</v>
      </c>
      <c r="J50" t="str">
        <f t="shared" si="2"/>
        <v>Autre filière</v>
      </c>
    </row>
    <row r="51" spans="1:10">
      <c r="A51" t="s">
        <v>125</v>
      </c>
      <c r="B51" t="s">
        <v>126</v>
      </c>
      <c r="C51" s="8" t="s">
        <v>21</v>
      </c>
      <c r="D51" s="8">
        <v>11.37</v>
      </c>
      <c r="E51" s="8">
        <v>17.2</v>
      </c>
      <c r="F51" s="6">
        <v>0.77490000000000003</v>
      </c>
      <c r="G51" t="str">
        <f t="shared" si="0"/>
        <v>Admis sous condition</v>
      </c>
      <c r="H51" t="str" cm="1">
        <f t="array" ref="H51">_xlfn.IFS(E51&gt;=16,"Excellent",E51&gt;=14,"Très bien",E51&gt;=12,"Bien",E51&gt;=10,"Passable",E51&lt;10,"Insuffisant")</f>
        <v>Excellent</v>
      </c>
      <c r="I51" t="str">
        <f t="shared" si="1"/>
        <v>RAS</v>
      </c>
      <c r="J51" t="str">
        <f t="shared" si="2"/>
        <v>Data</v>
      </c>
    </row>
    <row r="52" spans="1:10">
      <c r="A52" t="s">
        <v>127</v>
      </c>
      <c r="B52" t="s">
        <v>128</v>
      </c>
      <c r="C52" s="8" t="s">
        <v>47</v>
      </c>
      <c r="D52" s="8">
        <v>9.2899999999999991</v>
      </c>
      <c r="E52" s="8">
        <v>13.9</v>
      </c>
      <c r="F52" s="6">
        <v>0.95179999999999998</v>
      </c>
      <c r="G52" t="str">
        <f t="shared" si="0"/>
        <v>Refuse</v>
      </c>
      <c r="H52" t="str" cm="1">
        <f t="array" ref="H52">_xlfn.IFS(E52&gt;=16,"Excellent",E52&gt;=14,"Très bien",E52&gt;=12,"Bien",E52&gt;=10,"Passable",E52&lt;10,"Insuffisant")</f>
        <v>Bien</v>
      </c>
      <c r="I52" t="str">
        <f t="shared" si="1"/>
        <v>A surveiller</v>
      </c>
      <c r="J52" t="str">
        <f t="shared" si="2"/>
        <v>Autre filière</v>
      </c>
    </row>
    <row r="53" spans="1:10">
      <c r="A53" t="s">
        <v>129</v>
      </c>
      <c r="B53" t="s">
        <v>130</v>
      </c>
      <c r="C53" s="8" t="s">
        <v>47</v>
      </c>
      <c r="D53" s="8">
        <v>13.04</v>
      </c>
      <c r="E53" s="8">
        <v>13.14</v>
      </c>
      <c r="F53" s="6">
        <v>0.9385</v>
      </c>
      <c r="G53" t="str">
        <f t="shared" si="0"/>
        <v>Admis</v>
      </c>
      <c r="H53" t="str" cm="1">
        <f t="array" ref="H53">_xlfn.IFS(E53&gt;=16,"Excellent",E53&gt;=14,"Très bien",E53&gt;=12,"Bien",E53&gt;=10,"Passable",E53&lt;10,"Insuffisant")</f>
        <v>Bien</v>
      </c>
      <c r="I53" t="str">
        <f t="shared" si="1"/>
        <v>RAS</v>
      </c>
      <c r="J53" t="str">
        <f t="shared" si="2"/>
        <v>Autre filière</v>
      </c>
    </row>
    <row r="54" spans="1:10">
      <c r="A54" t="s">
        <v>131</v>
      </c>
      <c r="B54" t="s">
        <v>132</v>
      </c>
      <c r="C54" s="8" t="s">
        <v>26</v>
      </c>
      <c r="D54" s="8">
        <v>15.75</v>
      </c>
      <c r="E54" s="8">
        <v>15</v>
      </c>
      <c r="F54" s="6">
        <v>0.92410000000000003</v>
      </c>
      <c r="G54" t="str">
        <f t="shared" si="0"/>
        <v>Admis</v>
      </c>
      <c r="H54" t="str" cm="1">
        <f t="array" ref="H54">_xlfn.IFS(E54&gt;=16,"Excellent",E54&gt;=14,"Très bien",E54&gt;=12,"Bien",E54&gt;=10,"Passable",E54&lt;10,"Insuffisant")</f>
        <v>Très bien</v>
      </c>
      <c r="I54" t="str">
        <f t="shared" si="1"/>
        <v>RAS</v>
      </c>
      <c r="J54" t="str">
        <f t="shared" si="2"/>
        <v>Autre filière</v>
      </c>
    </row>
    <row r="55" spans="1:10">
      <c r="A55" t="s">
        <v>133</v>
      </c>
      <c r="B55" t="s">
        <v>134</v>
      </c>
      <c r="C55" s="8" t="s">
        <v>21</v>
      </c>
      <c r="D55" s="8">
        <v>18.190000000000001</v>
      </c>
      <c r="E55" s="8">
        <v>14.54</v>
      </c>
      <c r="F55" s="6">
        <v>0.79700000000000004</v>
      </c>
      <c r="G55" t="str">
        <f t="shared" si="0"/>
        <v>Admis sous condition</v>
      </c>
      <c r="H55" t="str" cm="1">
        <f t="array" ref="H55">_xlfn.IFS(E55&gt;=16,"Excellent",E55&gt;=14,"Très bien",E55&gt;=12,"Bien",E55&gt;=10,"Passable",E55&lt;10,"Insuffisant")</f>
        <v>Très bien</v>
      </c>
      <c r="I55" t="str">
        <f t="shared" si="1"/>
        <v>RAS</v>
      </c>
      <c r="J55" t="str">
        <f t="shared" si="2"/>
        <v>Data</v>
      </c>
    </row>
    <row r="56" spans="1:10">
      <c r="A56" t="s">
        <v>135</v>
      </c>
      <c r="B56" t="s">
        <v>136</v>
      </c>
      <c r="C56" s="8" t="s">
        <v>21</v>
      </c>
      <c r="D56" s="8">
        <v>12.91</v>
      </c>
      <c r="E56" s="8">
        <v>17.46</v>
      </c>
      <c r="F56" s="6">
        <v>0.80020000000000002</v>
      </c>
      <c r="G56" t="str">
        <f t="shared" si="0"/>
        <v>Admis</v>
      </c>
      <c r="H56" t="str" cm="1">
        <f t="array" ref="H56">_xlfn.IFS(E56&gt;=16,"Excellent",E56&gt;=14,"Très bien",E56&gt;=12,"Bien",E56&gt;=10,"Passable",E56&lt;10,"Insuffisant")</f>
        <v>Excellent</v>
      </c>
      <c r="I56" t="str">
        <f t="shared" si="1"/>
        <v>RAS</v>
      </c>
      <c r="J56" t="str">
        <f t="shared" si="2"/>
        <v>Data</v>
      </c>
    </row>
    <row r="57" spans="1:10">
      <c r="A57" t="s">
        <v>137</v>
      </c>
      <c r="B57" t="s">
        <v>138</v>
      </c>
      <c r="C57" s="8" t="s">
        <v>34</v>
      </c>
      <c r="D57" s="8">
        <v>15.3</v>
      </c>
      <c r="E57" s="8">
        <v>14.86</v>
      </c>
      <c r="F57" s="6">
        <v>0.89</v>
      </c>
      <c r="G57" t="str">
        <f t="shared" si="0"/>
        <v>Admis</v>
      </c>
      <c r="H57" t="str" cm="1">
        <f t="array" ref="H57">_xlfn.IFS(E57&gt;=16,"Excellent",E57&gt;=14,"Très bien",E57&gt;=12,"Bien",E57&gt;=10,"Passable",E57&lt;10,"Insuffisant")</f>
        <v>Très bien</v>
      </c>
      <c r="I57" t="str">
        <f t="shared" si="1"/>
        <v>RAS</v>
      </c>
      <c r="J57" t="str">
        <f t="shared" si="2"/>
        <v>Autre filière</v>
      </c>
    </row>
    <row r="58" spans="1:10">
      <c r="A58" t="s">
        <v>139</v>
      </c>
      <c r="B58" t="s">
        <v>140</v>
      </c>
      <c r="C58" s="8" t="s">
        <v>34</v>
      </c>
      <c r="D58" s="8">
        <v>15.91</v>
      </c>
      <c r="E58" s="8">
        <v>14.56</v>
      </c>
      <c r="F58" s="6">
        <v>0.74680000000000002</v>
      </c>
      <c r="G58" t="str">
        <f t="shared" si="0"/>
        <v>Admis sous condition</v>
      </c>
      <c r="H58" t="str" cm="1">
        <f t="array" ref="H58">_xlfn.IFS(E58&gt;=16,"Excellent",E58&gt;=14,"Très bien",E58&gt;=12,"Bien",E58&gt;=10,"Passable",E58&lt;10,"Insuffisant")</f>
        <v>Très bien</v>
      </c>
      <c r="I58" t="str">
        <f t="shared" si="1"/>
        <v>RAS</v>
      </c>
      <c r="J58" t="str">
        <f t="shared" si="2"/>
        <v>Autre filière</v>
      </c>
    </row>
    <row r="59" spans="1:10">
      <c r="A59" t="s">
        <v>141</v>
      </c>
      <c r="B59" t="s">
        <v>108</v>
      </c>
      <c r="C59" s="8" t="s">
        <v>26</v>
      </c>
      <c r="D59" s="8">
        <v>7.04</v>
      </c>
      <c r="E59" s="8">
        <v>6.56</v>
      </c>
      <c r="F59" s="6">
        <v>0.6895</v>
      </c>
      <c r="G59" t="str">
        <f t="shared" si="0"/>
        <v>Refuse</v>
      </c>
      <c r="H59" t="str" cm="1">
        <f t="array" ref="H59">_xlfn.IFS(E59&gt;=16,"Excellent",E59&gt;=14,"Très bien",E59&gt;=12,"Bien",E59&gt;=10,"Passable",E59&lt;10,"Insuffisant")</f>
        <v>Insuffisant</v>
      </c>
      <c r="I59" t="str">
        <f t="shared" si="1"/>
        <v>A surveiller</v>
      </c>
      <c r="J59" t="str">
        <f t="shared" si="2"/>
        <v>Autre filière</v>
      </c>
    </row>
    <row r="60" spans="1:10">
      <c r="A60" t="s">
        <v>142</v>
      </c>
      <c r="B60" t="s">
        <v>143</v>
      </c>
      <c r="C60" s="8" t="s">
        <v>47</v>
      </c>
      <c r="D60" s="8">
        <v>14.12</v>
      </c>
      <c r="E60" s="8">
        <v>11.46</v>
      </c>
      <c r="F60" s="6">
        <v>0.9617</v>
      </c>
      <c r="G60" t="str">
        <f t="shared" si="0"/>
        <v>Admis sous condition</v>
      </c>
      <c r="H60" t="str" cm="1">
        <f t="array" ref="H60">_xlfn.IFS(E60&gt;=16,"Excellent",E60&gt;=14,"Très bien",E60&gt;=12,"Bien",E60&gt;=10,"Passable",E60&lt;10,"Insuffisant")</f>
        <v>Passable</v>
      </c>
      <c r="I60" t="str">
        <f t="shared" si="1"/>
        <v>RAS</v>
      </c>
      <c r="J60" t="str">
        <f t="shared" si="2"/>
        <v>Autre filière</v>
      </c>
    </row>
    <row r="61" spans="1:10">
      <c r="A61" t="s">
        <v>144</v>
      </c>
      <c r="B61" t="s">
        <v>145</v>
      </c>
      <c r="C61" s="8" t="s">
        <v>47</v>
      </c>
      <c r="D61" s="8">
        <v>9.1</v>
      </c>
      <c r="E61" s="8">
        <v>4.51</v>
      </c>
      <c r="F61" s="6">
        <v>0.91279999999999994</v>
      </c>
      <c r="G61" t="str">
        <f t="shared" si="0"/>
        <v>Refuse</v>
      </c>
      <c r="H61" t="str" cm="1">
        <f t="array" ref="H61">_xlfn.IFS(E61&gt;=16,"Excellent",E61&gt;=14,"Très bien",E61&gt;=12,"Bien",E61&gt;=10,"Passable",E61&lt;10,"Insuffisant")</f>
        <v>Insuffisant</v>
      </c>
      <c r="I61" t="str">
        <f t="shared" si="1"/>
        <v>A surveiller</v>
      </c>
      <c r="J61" t="str">
        <f t="shared" si="2"/>
        <v>Autre filière</v>
      </c>
    </row>
    <row r="62" spans="1:10">
      <c r="A62" t="s">
        <v>146</v>
      </c>
      <c r="B62" t="s">
        <v>147</v>
      </c>
      <c r="C62" s="8" t="s">
        <v>47</v>
      </c>
      <c r="D62" s="8">
        <v>14.32</v>
      </c>
      <c r="E62" s="8">
        <v>12.15</v>
      </c>
      <c r="F62" s="6">
        <v>0.55000000000000004</v>
      </c>
      <c r="G62" t="str">
        <f t="shared" si="0"/>
        <v>Admis sous condition</v>
      </c>
      <c r="H62" t="str" cm="1">
        <f t="array" ref="H62">_xlfn.IFS(E62&gt;=16,"Excellent",E62&gt;=14,"Très bien",E62&gt;=12,"Bien",E62&gt;=10,"Passable",E62&lt;10,"Insuffisant")</f>
        <v>Bien</v>
      </c>
      <c r="I62" t="str">
        <f t="shared" si="1"/>
        <v>A surveiller</v>
      </c>
      <c r="J62" t="str">
        <f t="shared" si="2"/>
        <v>Autre filière</v>
      </c>
    </row>
    <row r="63" spans="1:10">
      <c r="A63" t="s">
        <v>148</v>
      </c>
      <c r="B63" t="s">
        <v>149</v>
      </c>
      <c r="C63" s="8" t="s">
        <v>26</v>
      </c>
      <c r="D63" s="8">
        <v>12.92</v>
      </c>
      <c r="E63" s="8">
        <v>16.98</v>
      </c>
      <c r="F63" s="6">
        <v>0.95489999999999997</v>
      </c>
      <c r="G63" t="str">
        <f t="shared" si="0"/>
        <v>Admis</v>
      </c>
      <c r="H63" t="str" cm="1">
        <f t="array" ref="H63">_xlfn.IFS(E63&gt;=16,"Excellent",E63&gt;=14,"Très bien",E63&gt;=12,"Bien",E63&gt;=10,"Passable",E63&lt;10,"Insuffisant")</f>
        <v>Excellent</v>
      </c>
      <c r="I63" t="str">
        <f t="shared" si="1"/>
        <v>RAS</v>
      </c>
      <c r="J63" t="str">
        <f t="shared" si="2"/>
        <v>Autre filière</v>
      </c>
    </row>
    <row r="64" spans="1:10">
      <c r="A64" t="s">
        <v>150</v>
      </c>
      <c r="B64" t="s">
        <v>151</v>
      </c>
      <c r="C64" s="8" t="s">
        <v>34</v>
      </c>
      <c r="D64" s="8">
        <v>15.64</v>
      </c>
      <c r="E64" s="8">
        <v>16.170000000000002</v>
      </c>
      <c r="F64" s="6">
        <v>0.84250000000000003</v>
      </c>
      <c r="G64" t="str">
        <f t="shared" si="0"/>
        <v>Admis</v>
      </c>
      <c r="H64" t="str" cm="1">
        <f t="array" ref="H64">_xlfn.IFS(E64&gt;=16,"Excellent",E64&gt;=14,"Très bien",E64&gt;=12,"Bien",E64&gt;=10,"Passable",E64&lt;10,"Insuffisant")</f>
        <v>Excellent</v>
      </c>
      <c r="I64" t="str">
        <f t="shared" si="1"/>
        <v>RAS</v>
      </c>
      <c r="J64" t="str">
        <f t="shared" si="2"/>
        <v>Autre filière</v>
      </c>
    </row>
    <row r="65" spans="1:10">
      <c r="A65" t="s">
        <v>152</v>
      </c>
      <c r="B65" t="s">
        <v>51</v>
      </c>
      <c r="C65" s="8" t="s">
        <v>21</v>
      </c>
      <c r="D65" s="8">
        <v>13.82</v>
      </c>
      <c r="E65" s="8">
        <v>18.579999999999998</v>
      </c>
      <c r="F65" s="6">
        <v>0.9204</v>
      </c>
      <c r="G65" t="str">
        <f t="shared" si="0"/>
        <v>Admis</v>
      </c>
      <c r="H65" t="str" cm="1">
        <f t="array" ref="H65">_xlfn.IFS(E65&gt;=16,"Excellent",E65&gt;=14,"Très bien",E65&gt;=12,"Bien",E65&gt;=10,"Passable",E65&lt;10,"Insuffisant")</f>
        <v>Excellent</v>
      </c>
      <c r="I65" t="str">
        <f t="shared" si="1"/>
        <v>RAS</v>
      </c>
      <c r="J65" t="str">
        <f t="shared" si="2"/>
        <v>Data</v>
      </c>
    </row>
    <row r="66" spans="1:10">
      <c r="A66" t="s">
        <v>153</v>
      </c>
      <c r="B66" t="s">
        <v>154</v>
      </c>
      <c r="C66" s="8" t="s">
        <v>21</v>
      </c>
      <c r="D66" s="8">
        <v>12.29</v>
      </c>
      <c r="E66" s="8">
        <v>8.81</v>
      </c>
      <c r="F66" s="6">
        <v>0.80159999999999998</v>
      </c>
      <c r="G66" t="str">
        <f t="shared" si="0"/>
        <v>Refuse</v>
      </c>
      <c r="H66" t="str" cm="1">
        <f t="array" ref="H66">_xlfn.IFS(E66&gt;=16,"Excellent",E66&gt;=14,"Très bien",E66&gt;=12,"Bien",E66&gt;=10,"Passable",E66&lt;10,"Insuffisant")</f>
        <v>Insuffisant</v>
      </c>
      <c r="I66" t="str">
        <f t="shared" si="1"/>
        <v>A surveiller</v>
      </c>
      <c r="J66" t="str">
        <f t="shared" si="2"/>
        <v>Data</v>
      </c>
    </row>
    <row r="67" spans="1:10">
      <c r="A67" t="s">
        <v>155</v>
      </c>
      <c r="B67" t="s">
        <v>156</v>
      </c>
      <c r="C67" s="8" t="s">
        <v>34</v>
      </c>
      <c r="D67" s="8">
        <v>10.73</v>
      </c>
      <c r="E67" s="8">
        <v>13.55</v>
      </c>
      <c r="F67" s="6">
        <v>0.87060000000000004</v>
      </c>
      <c r="G67" t="str">
        <f t="shared" ref="G67:G130" si="3">IF(AND(D67&gt;=12,E67&gt;=12,F67&gt;=80%),"Admis",IF(AND(D67&gt;=10,E67&gt;=10),"Admis sous condition","Refuse"))</f>
        <v>Admis sous condition</v>
      </c>
      <c r="H67" t="str" cm="1">
        <f t="array" ref="H67">_xlfn.IFS(E67&gt;=16,"Excellent",E67&gt;=14,"Très bien",E67&gt;=12,"Bien",E67&gt;=10,"Passable",E67&lt;10,"Insuffisant")</f>
        <v>Bien</v>
      </c>
      <c r="I67" t="str">
        <f t="shared" ref="I67:I130" si="4">IF(OR(D67&lt;10,E67&lt;10,F67&lt;70%),"A surveiller","RAS")</f>
        <v>RAS</v>
      </c>
      <c r="J67" t="str">
        <f t="shared" ref="J67:J130" si="5">IF(NOT(C67="Data"),"Autre filière","Data")</f>
        <v>Autre filière</v>
      </c>
    </row>
    <row r="68" spans="1:10">
      <c r="A68" t="s">
        <v>157</v>
      </c>
      <c r="B68" t="s">
        <v>158</v>
      </c>
      <c r="C68" s="8" t="s">
        <v>47</v>
      </c>
      <c r="D68" s="8">
        <v>12.39</v>
      </c>
      <c r="E68" s="8">
        <v>14.7</v>
      </c>
      <c r="F68" s="6">
        <v>0.84919999999999995</v>
      </c>
      <c r="G68" t="str">
        <f t="shared" si="3"/>
        <v>Admis</v>
      </c>
      <c r="H68" t="str" cm="1">
        <f t="array" ref="H68">_xlfn.IFS(E68&gt;=16,"Excellent",E68&gt;=14,"Très bien",E68&gt;=12,"Bien",E68&gt;=10,"Passable",E68&lt;10,"Insuffisant")</f>
        <v>Très bien</v>
      </c>
      <c r="I68" t="str">
        <f t="shared" si="4"/>
        <v>RAS</v>
      </c>
      <c r="J68" t="str">
        <f t="shared" si="5"/>
        <v>Autre filière</v>
      </c>
    </row>
    <row r="69" spans="1:10">
      <c r="A69" t="s">
        <v>159</v>
      </c>
      <c r="B69" t="s">
        <v>160</v>
      </c>
      <c r="C69" s="8" t="s">
        <v>34</v>
      </c>
      <c r="D69" s="8">
        <v>12.99</v>
      </c>
      <c r="E69" s="8">
        <v>11.16</v>
      </c>
      <c r="F69" s="6">
        <v>0.80720000000000003</v>
      </c>
      <c r="G69" t="str">
        <f t="shared" si="3"/>
        <v>Admis sous condition</v>
      </c>
      <c r="H69" t="str" cm="1">
        <f t="array" ref="H69">_xlfn.IFS(E69&gt;=16,"Excellent",E69&gt;=14,"Très bien",E69&gt;=12,"Bien",E69&gt;=10,"Passable",E69&lt;10,"Insuffisant")</f>
        <v>Passable</v>
      </c>
      <c r="I69" t="str">
        <f t="shared" si="4"/>
        <v>RAS</v>
      </c>
      <c r="J69" t="str">
        <f t="shared" si="5"/>
        <v>Autre filière</v>
      </c>
    </row>
    <row r="70" spans="1:10">
      <c r="A70" t="s">
        <v>161</v>
      </c>
      <c r="B70" t="s">
        <v>114</v>
      </c>
      <c r="C70" s="8" t="s">
        <v>34</v>
      </c>
      <c r="D70" s="8">
        <v>16.13</v>
      </c>
      <c r="E70" s="8">
        <v>14.09</v>
      </c>
      <c r="F70" s="6">
        <v>0.86950000000000005</v>
      </c>
      <c r="G70" t="str">
        <f t="shared" si="3"/>
        <v>Admis</v>
      </c>
      <c r="H70" t="str" cm="1">
        <f t="array" ref="H70">_xlfn.IFS(E70&gt;=16,"Excellent",E70&gt;=14,"Très bien",E70&gt;=12,"Bien",E70&gt;=10,"Passable",E70&lt;10,"Insuffisant")</f>
        <v>Très bien</v>
      </c>
      <c r="I70" t="str">
        <f t="shared" si="4"/>
        <v>RAS</v>
      </c>
      <c r="J70" t="str">
        <f t="shared" si="5"/>
        <v>Autre filière</v>
      </c>
    </row>
    <row r="71" spans="1:10">
      <c r="A71" t="s">
        <v>162</v>
      </c>
      <c r="B71" t="s">
        <v>163</v>
      </c>
      <c r="C71" s="8" t="s">
        <v>34</v>
      </c>
      <c r="D71" s="8">
        <v>14.26</v>
      </c>
      <c r="E71" s="8">
        <v>15.37</v>
      </c>
      <c r="F71" s="6">
        <v>0.72430000000000005</v>
      </c>
      <c r="G71" t="str">
        <f t="shared" si="3"/>
        <v>Admis sous condition</v>
      </c>
      <c r="H71" t="str" cm="1">
        <f t="array" ref="H71">_xlfn.IFS(E71&gt;=16,"Excellent",E71&gt;=14,"Très bien",E71&gt;=12,"Bien",E71&gt;=10,"Passable",E71&lt;10,"Insuffisant")</f>
        <v>Très bien</v>
      </c>
      <c r="I71" t="str">
        <f t="shared" si="4"/>
        <v>RAS</v>
      </c>
      <c r="J71" t="str">
        <f t="shared" si="5"/>
        <v>Autre filière</v>
      </c>
    </row>
    <row r="72" spans="1:10">
      <c r="A72" t="s">
        <v>164</v>
      </c>
      <c r="B72" t="s">
        <v>165</v>
      </c>
      <c r="C72" s="8" t="s">
        <v>26</v>
      </c>
      <c r="D72" s="8">
        <v>12.56</v>
      </c>
      <c r="E72" s="8">
        <v>7.47</v>
      </c>
      <c r="F72" s="6">
        <v>0.7157</v>
      </c>
      <c r="G72" t="str">
        <f t="shared" si="3"/>
        <v>Refuse</v>
      </c>
      <c r="H72" t="str" cm="1">
        <f t="array" ref="H72">_xlfn.IFS(E72&gt;=16,"Excellent",E72&gt;=14,"Très bien",E72&gt;=12,"Bien",E72&gt;=10,"Passable",E72&lt;10,"Insuffisant")</f>
        <v>Insuffisant</v>
      </c>
      <c r="I72" t="str">
        <f t="shared" si="4"/>
        <v>A surveiller</v>
      </c>
      <c r="J72" t="str">
        <f t="shared" si="5"/>
        <v>Autre filière</v>
      </c>
    </row>
    <row r="73" spans="1:10">
      <c r="A73" t="s">
        <v>166</v>
      </c>
      <c r="B73" t="s">
        <v>167</v>
      </c>
      <c r="C73" s="8" t="s">
        <v>26</v>
      </c>
      <c r="D73" s="8">
        <v>13.48</v>
      </c>
      <c r="E73" s="8">
        <v>17.98</v>
      </c>
      <c r="F73" s="6">
        <v>0.88990000000000002</v>
      </c>
      <c r="G73" t="str">
        <f t="shared" si="3"/>
        <v>Admis</v>
      </c>
      <c r="H73" t="str" cm="1">
        <f t="array" ref="H73">_xlfn.IFS(E73&gt;=16,"Excellent",E73&gt;=14,"Très bien",E73&gt;=12,"Bien",E73&gt;=10,"Passable",E73&lt;10,"Insuffisant")</f>
        <v>Excellent</v>
      </c>
      <c r="I73" t="str">
        <f t="shared" si="4"/>
        <v>RAS</v>
      </c>
      <c r="J73" t="str">
        <f t="shared" si="5"/>
        <v>Autre filière</v>
      </c>
    </row>
    <row r="74" spans="1:10">
      <c r="A74" t="s">
        <v>168</v>
      </c>
      <c r="B74" t="s">
        <v>169</v>
      </c>
      <c r="C74" s="8" t="s">
        <v>21</v>
      </c>
      <c r="D74" s="8">
        <v>14.73</v>
      </c>
      <c r="E74" s="8">
        <v>16.13</v>
      </c>
      <c r="F74" s="6">
        <v>0.76880000000000004</v>
      </c>
      <c r="G74" t="str">
        <f t="shared" si="3"/>
        <v>Admis sous condition</v>
      </c>
      <c r="H74" t="str" cm="1">
        <f t="array" ref="H74">_xlfn.IFS(E74&gt;=16,"Excellent",E74&gt;=14,"Très bien",E74&gt;=12,"Bien",E74&gt;=10,"Passable",E74&lt;10,"Insuffisant")</f>
        <v>Excellent</v>
      </c>
      <c r="I74" t="str">
        <f t="shared" si="4"/>
        <v>RAS</v>
      </c>
      <c r="J74" t="str">
        <f t="shared" si="5"/>
        <v>Data</v>
      </c>
    </row>
    <row r="75" spans="1:10">
      <c r="A75" t="s">
        <v>170</v>
      </c>
      <c r="B75" t="s">
        <v>132</v>
      </c>
      <c r="C75" s="8" t="s">
        <v>21</v>
      </c>
      <c r="D75" s="8">
        <v>9.31</v>
      </c>
      <c r="E75" s="8">
        <v>10.34</v>
      </c>
      <c r="F75" s="6">
        <v>0.90290000000000004</v>
      </c>
      <c r="G75" t="str">
        <f t="shared" si="3"/>
        <v>Refuse</v>
      </c>
      <c r="H75" t="str" cm="1">
        <f t="array" ref="H75">_xlfn.IFS(E75&gt;=16,"Excellent",E75&gt;=14,"Très bien",E75&gt;=12,"Bien",E75&gt;=10,"Passable",E75&lt;10,"Insuffisant")</f>
        <v>Passable</v>
      </c>
      <c r="I75" t="str">
        <f t="shared" si="4"/>
        <v>A surveiller</v>
      </c>
      <c r="J75" t="str">
        <f t="shared" si="5"/>
        <v>Data</v>
      </c>
    </row>
    <row r="76" spans="1:10">
      <c r="A76" t="s">
        <v>171</v>
      </c>
      <c r="B76" t="s">
        <v>172</v>
      </c>
      <c r="C76" s="8" t="s">
        <v>21</v>
      </c>
      <c r="D76" s="8">
        <v>17.55</v>
      </c>
      <c r="E76" s="8">
        <v>14.3</v>
      </c>
      <c r="F76" s="6">
        <v>0.96130000000000004</v>
      </c>
      <c r="G76" t="str">
        <f t="shared" si="3"/>
        <v>Admis</v>
      </c>
      <c r="H76" t="str" cm="1">
        <f t="array" ref="H76">_xlfn.IFS(E76&gt;=16,"Excellent",E76&gt;=14,"Très bien",E76&gt;=12,"Bien",E76&gt;=10,"Passable",E76&lt;10,"Insuffisant")</f>
        <v>Très bien</v>
      </c>
      <c r="I76" t="str">
        <f t="shared" si="4"/>
        <v>RAS</v>
      </c>
      <c r="J76" t="str">
        <f t="shared" si="5"/>
        <v>Data</v>
      </c>
    </row>
    <row r="77" spans="1:10">
      <c r="A77" t="s">
        <v>173</v>
      </c>
      <c r="B77" t="s">
        <v>174</v>
      </c>
      <c r="C77" s="8" t="s">
        <v>26</v>
      </c>
      <c r="D77" s="8">
        <v>13.96</v>
      </c>
      <c r="E77" s="8">
        <v>12.42</v>
      </c>
      <c r="F77" s="6">
        <v>0.65480000000000005</v>
      </c>
      <c r="G77" t="str">
        <f t="shared" si="3"/>
        <v>Admis sous condition</v>
      </c>
      <c r="H77" t="str" cm="1">
        <f t="array" ref="H77">_xlfn.IFS(E77&gt;=16,"Excellent",E77&gt;=14,"Très bien",E77&gt;=12,"Bien",E77&gt;=10,"Passable",E77&lt;10,"Insuffisant")</f>
        <v>Bien</v>
      </c>
      <c r="I77" t="str">
        <f t="shared" si="4"/>
        <v>A surveiller</v>
      </c>
      <c r="J77" t="str">
        <f t="shared" si="5"/>
        <v>Autre filière</v>
      </c>
    </row>
    <row r="78" spans="1:10">
      <c r="A78" t="s">
        <v>175</v>
      </c>
      <c r="B78" t="s">
        <v>108</v>
      </c>
      <c r="C78" s="8" t="s">
        <v>34</v>
      </c>
      <c r="D78" s="8">
        <v>16.010000000000002</v>
      </c>
      <c r="E78" s="8">
        <v>14.48</v>
      </c>
      <c r="F78" s="6">
        <v>0.92200000000000004</v>
      </c>
      <c r="G78" t="str">
        <f t="shared" si="3"/>
        <v>Admis</v>
      </c>
      <c r="H78" t="str" cm="1">
        <f t="array" ref="H78">_xlfn.IFS(E78&gt;=16,"Excellent",E78&gt;=14,"Très bien",E78&gt;=12,"Bien",E78&gt;=10,"Passable",E78&lt;10,"Insuffisant")</f>
        <v>Très bien</v>
      </c>
      <c r="I78" t="str">
        <f t="shared" si="4"/>
        <v>RAS</v>
      </c>
      <c r="J78" t="str">
        <f t="shared" si="5"/>
        <v>Autre filière</v>
      </c>
    </row>
    <row r="79" spans="1:10">
      <c r="A79" t="s">
        <v>176</v>
      </c>
      <c r="B79" t="s">
        <v>177</v>
      </c>
      <c r="C79" s="8" t="s">
        <v>26</v>
      </c>
      <c r="D79" s="8">
        <v>10.82</v>
      </c>
      <c r="E79" s="8">
        <v>15.12</v>
      </c>
      <c r="F79" s="6">
        <v>0.83409999999999995</v>
      </c>
      <c r="G79" t="str">
        <f t="shared" si="3"/>
        <v>Admis sous condition</v>
      </c>
      <c r="H79" t="str" cm="1">
        <f t="array" ref="H79">_xlfn.IFS(E79&gt;=16,"Excellent",E79&gt;=14,"Très bien",E79&gt;=12,"Bien",E79&gt;=10,"Passable",E79&lt;10,"Insuffisant")</f>
        <v>Très bien</v>
      </c>
      <c r="I79" t="str">
        <f t="shared" si="4"/>
        <v>RAS</v>
      </c>
      <c r="J79" t="str">
        <f t="shared" si="5"/>
        <v>Autre filière</v>
      </c>
    </row>
    <row r="80" spans="1:10">
      <c r="A80" t="s">
        <v>178</v>
      </c>
      <c r="B80" t="s">
        <v>179</v>
      </c>
      <c r="C80" s="8" t="s">
        <v>47</v>
      </c>
      <c r="D80" s="8">
        <v>9.67</v>
      </c>
      <c r="E80" s="8">
        <v>11.74</v>
      </c>
      <c r="F80" s="6">
        <v>0.87749999999999995</v>
      </c>
      <c r="G80" t="str">
        <f t="shared" si="3"/>
        <v>Refuse</v>
      </c>
      <c r="H80" t="str" cm="1">
        <f t="array" ref="H80">_xlfn.IFS(E80&gt;=16,"Excellent",E80&gt;=14,"Très bien",E80&gt;=12,"Bien",E80&gt;=10,"Passable",E80&lt;10,"Insuffisant")</f>
        <v>Passable</v>
      </c>
      <c r="I80" t="str">
        <f t="shared" si="4"/>
        <v>A surveiller</v>
      </c>
      <c r="J80" t="str">
        <f t="shared" si="5"/>
        <v>Autre filière</v>
      </c>
    </row>
    <row r="81" spans="1:10">
      <c r="A81" t="s">
        <v>180</v>
      </c>
      <c r="B81" t="s">
        <v>181</v>
      </c>
      <c r="C81" s="8" t="s">
        <v>47</v>
      </c>
      <c r="D81" s="8">
        <v>9.24</v>
      </c>
      <c r="E81" s="8">
        <v>9.15</v>
      </c>
      <c r="F81" s="6">
        <v>0.95140000000000002</v>
      </c>
      <c r="G81" t="str">
        <f t="shared" si="3"/>
        <v>Refuse</v>
      </c>
      <c r="H81" t="str" cm="1">
        <f t="array" ref="H81">_xlfn.IFS(E81&gt;=16,"Excellent",E81&gt;=14,"Très bien",E81&gt;=12,"Bien",E81&gt;=10,"Passable",E81&lt;10,"Insuffisant")</f>
        <v>Insuffisant</v>
      </c>
      <c r="I81" t="str">
        <f t="shared" si="4"/>
        <v>A surveiller</v>
      </c>
      <c r="J81" t="str">
        <f t="shared" si="5"/>
        <v>Autre filière</v>
      </c>
    </row>
    <row r="82" spans="1:10">
      <c r="A82" t="s">
        <v>182</v>
      </c>
      <c r="B82" t="s">
        <v>183</v>
      </c>
      <c r="C82" s="8" t="s">
        <v>34</v>
      </c>
      <c r="D82" s="8">
        <v>15.58</v>
      </c>
      <c r="E82" s="8">
        <v>15.71</v>
      </c>
      <c r="F82" s="6">
        <v>0.84179999999999999</v>
      </c>
      <c r="G82" t="str">
        <f t="shared" si="3"/>
        <v>Admis</v>
      </c>
      <c r="H82" t="str" cm="1">
        <f t="array" ref="H82">_xlfn.IFS(E82&gt;=16,"Excellent",E82&gt;=14,"Très bien",E82&gt;=12,"Bien",E82&gt;=10,"Passable",E82&lt;10,"Insuffisant")</f>
        <v>Très bien</v>
      </c>
      <c r="I82" t="str">
        <f t="shared" si="4"/>
        <v>RAS</v>
      </c>
      <c r="J82" t="str">
        <f t="shared" si="5"/>
        <v>Autre filière</v>
      </c>
    </row>
    <row r="83" spans="1:10">
      <c r="A83" t="s">
        <v>184</v>
      </c>
      <c r="B83" t="s">
        <v>185</v>
      </c>
      <c r="C83" s="8" t="s">
        <v>34</v>
      </c>
      <c r="D83" s="8">
        <v>12.79</v>
      </c>
      <c r="E83" s="8">
        <v>10.91</v>
      </c>
      <c r="F83" s="6">
        <v>0.93310000000000004</v>
      </c>
      <c r="G83" t="str">
        <f t="shared" si="3"/>
        <v>Admis sous condition</v>
      </c>
      <c r="H83" t="str" cm="1">
        <f t="array" ref="H83">_xlfn.IFS(E83&gt;=16,"Excellent",E83&gt;=14,"Très bien",E83&gt;=12,"Bien",E83&gt;=10,"Passable",E83&lt;10,"Insuffisant")</f>
        <v>Passable</v>
      </c>
      <c r="I83" t="str">
        <f t="shared" si="4"/>
        <v>RAS</v>
      </c>
      <c r="J83" t="str">
        <f t="shared" si="5"/>
        <v>Autre filière</v>
      </c>
    </row>
    <row r="84" spans="1:10">
      <c r="A84" t="s">
        <v>186</v>
      </c>
      <c r="B84" t="s">
        <v>187</v>
      </c>
      <c r="C84" s="8" t="s">
        <v>21</v>
      </c>
      <c r="D84" s="8">
        <v>15.33</v>
      </c>
      <c r="E84" s="8">
        <v>16.829999999999998</v>
      </c>
      <c r="F84" s="6">
        <v>0.93730000000000002</v>
      </c>
      <c r="G84" t="str">
        <f t="shared" si="3"/>
        <v>Admis</v>
      </c>
      <c r="H84" t="str" cm="1">
        <f t="array" ref="H84">_xlfn.IFS(E84&gt;=16,"Excellent",E84&gt;=14,"Très bien",E84&gt;=12,"Bien",E84&gt;=10,"Passable",E84&lt;10,"Insuffisant")</f>
        <v>Excellent</v>
      </c>
      <c r="I84" t="str">
        <f t="shared" si="4"/>
        <v>RAS</v>
      </c>
      <c r="J84" t="str">
        <f t="shared" si="5"/>
        <v>Data</v>
      </c>
    </row>
    <row r="85" spans="1:10">
      <c r="A85" t="s">
        <v>188</v>
      </c>
      <c r="B85" t="s">
        <v>58</v>
      </c>
      <c r="C85" s="8" t="s">
        <v>47</v>
      </c>
      <c r="D85" s="8">
        <v>14.95</v>
      </c>
      <c r="E85" s="8">
        <v>11.56</v>
      </c>
      <c r="F85" s="6">
        <v>0.83599999999999997</v>
      </c>
      <c r="G85" t="str">
        <f t="shared" si="3"/>
        <v>Admis sous condition</v>
      </c>
      <c r="H85" t="str" cm="1">
        <f t="array" ref="H85">_xlfn.IFS(E85&gt;=16,"Excellent",E85&gt;=14,"Très bien",E85&gt;=12,"Bien",E85&gt;=10,"Passable",E85&lt;10,"Insuffisant")</f>
        <v>Passable</v>
      </c>
      <c r="I85" t="str">
        <f t="shared" si="4"/>
        <v>RAS</v>
      </c>
      <c r="J85" t="str">
        <f t="shared" si="5"/>
        <v>Autre filière</v>
      </c>
    </row>
    <row r="86" spans="1:10">
      <c r="A86" t="s">
        <v>189</v>
      </c>
      <c r="B86" t="s">
        <v>190</v>
      </c>
      <c r="C86" s="8" t="s">
        <v>34</v>
      </c>
      <c r="D86" s="8">
        <v>16.07</v>
      </c>
      <c r="E86" s="8">
        <v>6.56</v>
      </c>
      <c r="F86" s="6">
        <v>0.84530000000000005</v>
      </c>
      <c r="G86" t="str">
        <f t="shared" si="3"/>
        <v>Refuse</v>
      </c>
      <c r="H86" t="str" cm="1">
        <f t="array" ref="H86">_xlfn.IFS(E86&gt;=16,"Excellent",E86&gt;=14,"Très bien",E86&gt;=12,"Bien",E86&gt;=10,"Passable",E86&lt;10,"Insuffisant")</f>
        <v>Insuffisant</v>
      </c>
      <c r="I86" t="str">
        <f t="shared" si="4"/>
        <v>A surveiller</v>
      </c>
      <c r="J86" t="str">
        <f t="shared" si="5"/>
        <v>Autre filière</v>
      </c>
    </row>
    <row r="87" spans="1:10">
      <c r="A87" t="s">
        <v>191</v>
      </c>
      <c r="B87" t="s">
        <v>78</v>
      </c>
      <c r="C87" s="8" t="s">
        <v>34</v>
      </c>
      <c r="D87" s="8">
        <v>13.13</v>
      </c>
      <c r="E87" s="8">
        <v>15.21</v>
      </c>
      <c r="F87" s="6">
        <v>0.74470000000000003</v>
      </c>
      <c r="G87" t="str">
        <f t="shared" si="3"/>
        <v>Admis sous condition</v>
      </c>
      <c r="H87" t="str" cm="1">
        <f t="array" ref="H87">_xlfn.IFS(E87&gt;=16,"Excellent",E87&gt;=14,"Très bien",E87&gt;=12,"Bien",E87&gt;=10,"Passable",E87&lt;10,"Insuffisant")</f>
        <v>Très bien</v>
      </c>
      <c r="I87" t="str">
        <f t="shared" si="4"/>
        <v>RAS</v>
      </c>
      <c r="J87" t="str">
        <f t="shared" si="5"/>
        <v>Autre filière</v>
      </c>
    </row>
    <row r="88" spans="1:10">
      <c r="A88" t="s">
        <v>192</v>
      </c>
      <c r="B88" t="s">
        <v>193</v>
      </c>
      <c r="C88" s="8" t="s">
        <v>21</v>
      </c>
      <c r="D88" s="8">
        <v>19.649999999999999</v>
      </c>
      <c r="E88" s="8">
        <v>18.34</v>
      </c>
      <c r="F88" s="6">
        <v>0.67400000000000004</v>
      </c>
      <c r="G88" t="str">
        <f t="shared" si="3"/>
        <v>Admis sous condition</v>
      </c>
      <c r="H88" t="str" cm="1">
        <f t="array" ref="H88">_xlfn.IFS(E88&gt;=16,"Excellent",E88&gt;=14,"Très bien",E88&gt;=12,"Bien",E88&gt;=10,"Passable",E88&lt;10,"Insuffisant")</f>
        <v>Excellent</v>
      </c>
      <c r="I88" t="str">
        <f t="shared" si="4"/>
        <v>A surveiller</v>
      </c>
      <c r="J88" t="str">
        <f t="shared" si="5"/>
        <v>Data</v>
      </c>
    </row>
    <row r="89" spans="1:10">
      <c r="A89" t="s">
        <v>194</v>
      </c>
      <c r="B89" t="s">
        <v>195</v>
      </c>
      <c r="C89" s="8" t="s">
        <v>26</v>
      </c>
      <c r="D89" s="8">
        <v>10.68</v>
      </c>
      <c r="E89" s="8">
        <v>6.72</v>
      </c>
      <c r="F89" s="6">
        <v>0.76039999999999996</v>
      </c>
      <c r="G89" t="str">
        <f t="shared" si="3"/>
        <v>Refuse</v>
      </c>
      <c r="H89" t="str" cm="1">
        <f t="array" ref="H89">_xlfn.IFS(E89&gt;=16,"Excellent",E89&gt;=14,"Très bien",E89&gt;=12,"Bien",E89&gt;=10,"Passable",E89&lt;10,"Insuffisant")</f>
        <v>Insuffisant</v>
      </c>
      <c r="I89" t="str">
        <f t="shared" si="4"/>
        <v>A surveiller</v>
      </c>
      <c r="J89" t="str">
        <f t="shared" si="5"/>
        <v>Autre filière</v>
      </c>
    </row>
    <row r="90" spans="1:10">
      <c r="A90" t="s">
        <v>196</v>
      </c>
      <c r="B90" t="s">
        <v>197</v>
      </c>
      <c r="C90" s="8" t="s">
        <v>26</v>
      </c>
      <c r="D90" s="8">
        <v>15.78</v>
      </c>
      <c r="E90" s="8">
        <v>17.41</v>
      </c>
      <c r="F90" s="6">
        <v>0.84550000000000003</v>
      </c>
      <c r="G90" t="str">
        <f t="shared" si="3"/>
        <v>Admis</v>
      </c>
      <c r="H90" t="str" cm="1">
        <f t="array" ref="H90">_xlfn.IFS(E90&gt;=16,"Excellent",E90&gt;=14,"Très bien",E90&gt;=12,"Bien",E90&gt;=10,"Passable",E90&lt;10,"Insuffisant")</f>
        <v>Excellent</v>
      </c>
      <c r="I90" t="str">
        <f t="shared" si="4"/>
        <v>RAS</v>
      </c>
      <c r="J90" t="str">
        <f t="shared" si="5"/>
        <v>Autre filière</v>
      </c>
    </row>
    <row r="91" spans="1:10">
      <c r="A91" t="s">
        <v>198</v>
      </c>
      <c r="B91" t="s">
        <v>199</v>
      </c>
      <c r="C91" s="8" t="s">
        <v>34</v>
      </c>
      <c r="D91" s="8">
        <v>16.489999999999998</v>
      </c>
      <c r="E91" s="8">
        <v>15.02</v>
      </c>
      <c r="F91" s="6">
        <v>0.67589999999999995</v>
      </c>
      <c r="G91" t="str">
        <f t="shared" si="3"/>
        <v>Admis sous condition</v>
      </c>
      <c r="H91" t="str" cm="1">
        <f t="array" ref="H91">_xlfn.IFS(E91&gt;=16,"Excellent",E91&gt;=14,"Très bien",E91&gt;=12,"Bien",E91&gt;=10,"Passable",E91&lt;10,"Insuffisant")</f>
        <v>Très bien</v>
      </c>
      <c r="I91" t="str">
        <f t="shared" si="4"/>
        <v>A surveiller</v>
      </c>
      <c r="J91" t="str">
        <f t="shared" si="5"/>
        <v>Autre filière</v>
      </c>
    </row>
    <row r="92" spans="1:10">
      <c r="A92" t="s">
        <v>200</v>
      </c>
      <c r="B92" t="s">
        <v>201</v>
      </c>
      <c r="C92" s="8" t="s">
        <v>47</v>
      </c>
      <c r="D92" s="8">
        <v>15.45</v>
      </c>
      <c r="E92" s="8">
        <v>11.24</v>
      </c>
      <c r="F92" s="6">
        <v>0.89300000000000002</v>
      </c>
      <c r="G92" t="str">
        <f t="shared" si="3"/>
        <v>Admis sous condition</v>
      </c>
      <c r="H92" t="str" cm="1">
        <f t="array" ref="H92">_xlfn.IFS(E92&gt;=16,"Excellent",E92&gt;=14,"Très bien",E92&gt;=12,"Bien",E92&gt;=10,"Passable",E92&lt;10,"Insuffisant")</f>
        <v>Passable</v>
      </c>
      <c r="I92" t="str">
        <f t="shared" si="4"/>
        <v>RAS</v>
      </c>
      <c r="J92" t="str">
        <f t="shared" si="5"/>
        <v>Autre filière</v>
      </c>
    </row>
    <row r="93" spans="1:10">
      <c r="A93" t="s">
        <v>202</v>
      </c>
      <c r="B93" t="s">
        <v>203</v>
      </c>
      <c r="C93" s="8" t="s">
        <v>26</v>
      </c>
      <c r="D93" s="8">
        <v>14.4</v>
      </c>
      <c r="E93" s="8">
        <v>15.58</v>
      </c>
      <c r="F93" s="6">
        <v>0.94669999999999999</v>
      </c>
      <c r="G93" t="str">
        <f t="shared" si="3"/>
        <v>Admis</v>
      </c>
      <c r="H93" t="str" cm="1">
        <f t="array" ref="H93">_xlfn.IFS(E93&gt;=16,"Excellent",E93&gt;=14,"Très bien",E93&gt;=12,"Bien",E93&gt;=10,"Passable",E93&lt;10,"Insuffisant")</f>
        <v>Très bien</v>
      </c>
      <c r="I93" t="str">
        <f t="shared" si="4"/>
        <v>RAS</v>
      </c>
      <c r="J93" t="str">
        <f t="shared" si="5"/>
        <v>Autre filière</v>
      </c>
    </row>
    <row r="94" spans="1:10">
      <c r="A94" t="s">
        <v>204</v>
      </c>
      <c r="B94" t="s">
        <v>78</v>
      </c>
      <c r="C94" s="8" t="s">
        <v>47</v>
      </c>
      <c r="D94" s="8">
        <v>16.260000000000002</v>
      </c>
      <c r="E94" s="8">
        <v>16.62</v>
      </c>
      <c r="F94" s="6">
        <v>0.82809999999999995</v>
      </c>
      <c r="G94" t="str">
        <f t="shared" si="3"/>
        <v>Admis</v>
      </c>
      <c r="H94" t="str" cm="1">
        <f t="array" ref="H94">_xlfn.IFS(E94&gt;=16,"Excellent",E94&gt;=14,"Très bien",E94&gt;=12,"Bien",E94&gt;=10,"Passable",E94&lt;10,"Insuffisant")</f>
        <v>Excellent</v>
      </c>
      <c r="I94" t="str">
        <f t="shared" si="4"/>
        <v>RAS</v>
      </c>
      <c r="J94" t="str">
        <f t="shared" si="5"/>
        <v>Autre filière</v>
      </c>
    </row>
    <row r="95" spans="1:10">
      <c r="A95" t="s">
        <v>205</v>
      </c>
      <c r="B95" t="s">
        <v>206</v>
      </c>
      <c r="C95" s="8" t="s">
        <v>47</v>
      </c>
      <c r="D95" s="8">
        <v>16.86</v>
      </c>
      <c r="E95" s="8">
        <v>13.37</v>
      </c>
      <c r="F95" s="6">
        <v>0.73799999999999999</v>
      </c>
      <c r="G95" t="str">
        <f t="shared" si="3"/>
        <v>Admis sous condition</v>
      </c>
      <c r="H95" t="str" cm="1">
        <f t="array" ref="H95">_xlfn.IFS(E95&gt;=16,"Excellent",E95&gt;=14,"Très bien",E95&gt;=12,"Bien",E95&gt;=10,"Passable",E95&lt;10,"Insuffisant")</f>
        <v>Bien</v>
      </c>
      <c r="I95" t="str">
        <f t="shared" si="4"/>
        <v>RAS</v>
      </c>
      <c r="J95" t="str">
        <f t="shared" si="5"/>
        <v>Autre filière</v>
      </c>
    </row>
    <row r="96" spans="1:10">
      <c r="A96" t="s">
        <v>207</v>
      </c>
      <c r="B96" t="s">
        <v>95</v>
      </c>
      <c r="C96" s="8" t="s">
        <v>34</v>
      </c>
      <c r="D96" s="8">
        <v>17.95</v>
      </c>
      <c r="E96" s="8">
        <v>15.86</v>
      </c>
      <c r="F96" s="6">
        <v>0.88939999999999997</v>
      </c>
      <c r="G96" t="str">
        <f t="shared" si="3"/>
        <v>Admis</v>
      </c>
      <c r="H96" t="str" cm="1">
        <f t="array" ref="H96">_xlfn.IFS(E96&gt;=16,"Excellent",E96&gt;=14,"Très bien",E96&gt;=12,"Bien",E96&gt;=10,"Passable",E96&lt;10,"Insuffisant")</f>
        <v>Très bien</v>
      </c>
      <c r="I96" t="str">
        <f t="shared" si="4"/>
        <v>RAS</v>
      </c>
      <c r="J96" t="str">
        <f t="shared" si="5"/>
        <v>Autre filière</v>
      </c>
    </row>
    <row r="97" spans="1:10">
      <c r="A97" t="s">
        <v>208</v>
      </c>
      <c r="B97" t="s">
        <v>209</v>
      </c>
      <c r="C97" s="8" t="s">
        <v>47</v>
      </c>
      <c r="D97" s="8">
        <v>11.97</v>
      </c>
      <c r="E97" s="8">
        <v>10.27</v>
      </c>
      <c r="F97" s="6">
        <v>0.83150000000000002</v>
      </c>
      <c r="G97" t="str">
        <f t="shared" si="3"/>
        <v>Admis sous condition</v>
      </c>
      <c r="H97" t="str" cm="1">
        <f t="array" ref="H97">_xlfn.IFS(E97&gt;=16,"Excellent",E97&gt;=14,"Très bien",E97&gt;=12,"Bien",E97&gt;=10,"Passable",E97&lt;10,"Insuffisant")</f>
        <v>Passable</v>
      </c>
      <c r="I97" t="str">
        <f t="shared" si="4"/>
        <v>RAS</v>
      </c>
      <c r="J97" t="str">
        <f t="shared" si="5"/>
        <v>Autre filière</v>
      </c>
    </row>
    <row r="98" spans="1:10">
      <c r="A98" t="s">
        <v>210</v>
      </c>
      <c r="B98" t="s">
        <v>18</v>
      </c>
      <c r="C98" s="8" t="s">
        <v>47</v>
      </c>
      <c r="D98" s="8">
        <v>19.989999999999998</v>
      </c>
      <c r="E98" s="8">
        <v>19.13</v>
      </c>
      <c r="F98" s="6">
        <v>0.92949999999999999</v>
      </c>
      <c r="G98" t="str">
        <f t="shared" si="3"/>
        <v>Admis</v>
      </c>
      <c r="H98" t="str" cm="1">
        <f t="array" ref="H98">_xlfn.IFS(E98&gt;=16,"Excellent",E98&gt;=14,"Très bien",E98&gt;=12,"Bien",E98&gt;=10,"Passable",E98&lt;10,"Insuffisant")</f>
        <v>Excellent</v>
      </c>
      <c r="I98" t="str">
        <f t="shared" si="4"/>
        <v>RAS</v>
      </c>
      <c r="J98" t="str">
        <f t="shared" si="5"/>
        <v>Autre filière</v>
      </c>
    </row>
    <row r="99" spans="1:10">
      <c r="A99" t="s">
        <v>211</v>
      </c>
      <c r="B99" t="s">
        <v>212</v>
      </c>
      <c r="C99" s="8" t="s">
        <v>47</v>
      </c>
      <c r="D99" s="8">
        <v>13.82</v>
      </c>
      <c r="E99" s="8">
        <v>8.57</v>
      </c>
      <c r="F99" s="6">
        <v>0.94189999999999996</v>
      </c>
      <c r="G99" t="str">
        <f t="shared" si="3"/>
        <v>Refuse</v>
      </c>
      <c r="H99" t="str" cm="1">
        <f t="array" ref="H99">_xlfn.IFS(E99&gt;=16,"Excellent",E99&gt;=14,"Très bien",E99&gt;=12,"Bien",E99&gt;=10,"Passable",E99&lt;10,"Insuffisant")</f>
        <v>Insuffisant</v>
      </c>
      <c r="I99" t="str">
        <f t="shared" si="4"/>
        <v>A surveiller</v>
      </c>
      <c r="J99" t="str">
        <f t="shared" si="5"/>
        <v>Autre filière</v>
      </c>
    </row>
    <row r="100" spans="1:10">
      <c r="A100" t="s">
        <v>213</v>
      </c>
      <c r="B100" t="s">
        <v>103</v>
      </c>
      <c r="C100" s="8" t="s">
        <v>47</v>
      </c>
      <c r="D100" s="8">
        <v>12.63</v>
      </c>
      <c r="E100" s="8">
        <v>15.87</v>
      </c>
      <c r="F100" s="6">
        <v>0.92549999999999999</v>
      </c>
      <c r="G100" t="str">
        <f t="shared" si="3"/>
        <v>Admis</v>
      </c>
      <c r="H100" t="str" cm="1">
        <f t="array" ref="H100">_xlfn.IFS(E100&gt;=16,"Excellent",E100&gt;=14,"Très bien",E100&gt;=12,"Bien",E100&gt;=10,"Passable",E100&lt;10,"Insuffisant")</f>
        <v>Très bien</v>
      </c>
      <c r="I100" t="str">
        <f t="shared" si="4"/>
        <v>RAS</v>
      </c>
      <c r="J100" t="str">
        <f t="shared" si="5"/>
        <v>Autre filière</v>
      </c>
    </row>
    <row r="101" spans="1:10">
      <c r="A101" t="s">
        <v>214</v>
      </c>
      <c r="B101" t="s">
        <v>215</v>
      </c>
      <c r="C101" s="8" t="s">
        <v>47</v>
      </c>
      <c r="D101" s="8">
        <v>10.51</v>
      </c>
      <c r="E101" s="8">
        <v>10.34</v>
      </c>
      <c r="F101" s="6">
        <v>0.78510000000000002</v>
      </c>
      <c r="G101" t="str">
        <f t="shared" si="3"/>
        <v>Admis sous condition</v>
      </c>
      <c r="H101" t="str" cm="1">
        <f t="array" ref="H101">_xlfn.IFS(E101&gt;=16,"Excellent",E101&gt;=14,"Très bien",E101&gt;=12,"Bien",E101&gt;=10,"Passable",E101&lt;10,"Insuffisant")</f>
        <v>Passable</v>
      </c>
      <c r="I101" t="str">
        <f t="shared" si="4"/>
        <v>RAS</v>
      </c>
      <c r="J101" t="str">
        <f t="shared" si="5"/>
        <v>Autre filière</v>
      </c>
    </row>
    <row r="102" spans="1:10">
      <c r="A102" t="s">
        <v>216</v>
      </c>
      <c r="B102" t="s">
        <v>217</v>
      </c>
      <c r="C102" s="8" t="s">
        <v>21</v>
      </c>
      <c r="D102" s="8">
        <v>15.2</v>
      </c>
      <c r="E102" s="8">
        <v>14.76</v>
      </c>
      <c r="F102" s="6">
        <v>0.80259999999999998</v>
      </c>
      <c r="G102" t="str">
        <f t="shared" si="3"/>
        <v>Admis</v>
      </c>
      <c r="H102" t="str" cm="1">
        <f t="array" ref="H102">_xlfn.IFS(E102&gt;=16,"Excellent",E102&gt;=14,"Très bien",E102&gt;=12,"Bien",E102&gt;=10,"Passable",E102&lt;10,"Insuffisant")</f>
        <v>Très bien</v>
      </c>
      <c r="I102" t="str">
        <f t="shared" si="4"/>
        <v>RAS</v>
      </c>
      <c r="J102" t="str">
        <f t="shared" si="5"/>
        <v>Data</v>
      </c>
    </row>
    <row r="103" spans="1:10">
      <c r="A103" t="s">
        <v>218</v>
      </c>
      <c r="B103" t="s">
        <v>219</v>
      </c>
      <c r="C103" s="8" t="s">
        <v>26</v>
      </c>
      <c r="D103" s="8">
        <v>18.34</v>
      </c>
      <c r="E103" s="8">
        <v>13.99</v>
      </c>
      <c r="F103" s="6">
        <v>0.79849999999999999</v>
      </c>
      <c r="G103" t="str">
        <f t="shared" si="3"/>
        <v>Admis sous condition</v>
      </c>
      <c r="H103" t="str" cm="1">
        <f t="array" ref="H103">_xlfn.IFS(E103&gt;=16,"Excellent",E103&gt;=14,"Très bien",E103&gt;=12,"Bien",E103&gt;=10,"Passable",E103&lt;10,"Insuffisant")</f>
        <v>Bien</v>
      </c>
      <c r="I103" t="str">
        <f t="shared" si="4"/>
        <v>RAS</v>
      </c>
      <c r="J103" t="str">
        <f t="shared" si="5"/>
        <v>Autre filière</v>
      </c>
    </row>
    <row r="104" spans="1:10">
      <c r="A104" t="s">
        <v>220</v>
      </c>
      <c r="B104" t="s">
        <v>36</v>
      </c>
      <c r="C104" s="8" t="s">
        <v>26</v>
      </c>
      <c r="D104" s="8">
        <v>10.3</v>
      </c>
      <c r="E104" s="8">
        <v>13.16</v>
      </c>
      <c r="F104" s="6">
        <v>0.62409999999999999</v>
      </c>
      <c r="G104" t="str">
        <f t="shared" si="3"/>
        <v>Admis sous condition</v>
      </c>
      <c r="H104" t="str" cm="1">
        <f t="array" ref="H104">_xlfn.IFS(E104&gt;=16,"Excellent",E104&gt;=14,"Très bien",E104&gt;=12,"Bien",E104&gt;=10,"Passable",E104&lt;10,"Insuffisant")</f>
        <v>Bien</v>
      </c>
      <c r="I104" t="str">
        <f t="shared" si="4"/>
        <v>A surveiller</v>
      </c>
      <c r="J104" t="str">
        <f t="shared" si="5"/>
        <v>Autre filière</v>
      </c>
    </row>
    <row r="105" spans="1:10">
      <c r="A105" t="s">
        <v>221</v>
      </c>
      <c r="B105" t="s">
        <v>177</v>
      </c>
      <c r="C105" s="8" t="s">
        <v>21</v>
      </c>
      <c r="D105" s="8">
        <v>9.56</v>
      </c>
      <c r="E105" s="8">
        <v>14.5</v>
      </c>
      <c r="F105" s="6">
        <v>0.90580000000000005</v>
      </c>
      <c r="G105" t="str">
        <f t="shared" si="3"/>
        <v>Refuse</v>
      </c>
      <c r="H105" t="str" cm="1">
        <f t="array" ref="H105">_xlfn.IFS(E105&gt;=16,"Excellent",E105&gt;=14,"Très bien",E105&gt;=12,"Bien",E105&gt;=10,"Passable",E105&lt;10,"Insuffisant")</f>
        <v>Très bien</v>
      </c>
      <c r="I105" t="str">
        <f t="shared" si="4"/>
        <v>A surveiller</v>
      </c>
      <c r="J105" t="str">
        <f t="shared" si="5"/>
        <v>Data</v>
      </c>
    </row>
    <row r="106" spans="1:10">
      <c r="A106" t="s">
        <v>222</v>
      </c>
      <c r="B106" t="s">
        <v>223</v>
      </c>
      <c r="C106" s="8" t="s">
        <v>34</v>
      </c>
      <c r="D106" s="8">
        <v>8.43</v>
      </c>
      <c r="E106" s="8">
        <v>7.64</v>
      </c>
      <c r="F106" s="6">
        <v>0.6411</v>
      </c>
      <c r="G106" t="str">
        <f t="shared" si="3"/>
        <v>Refuse</v>
      </c>
      <c r="H106" t="str" cm="1">
        <f t="array" ref="H106">_xlfn.IFS(E106&gt;=16,"Excellent",E106&gt;=14,"Très bien",E106&gt;=12,"Bien",E106&gt;=10,"Passable",E106&lt;10,"Insuffisant")</f>
        <v>Insuffisant</v>
      </c>
      <c r="I106" t="str">
        <f t="shared" si="4"/>
        <v>A surveiller</v>
      </c>
      <c r="J106" t="str">
        <f t="shared" si="5"/>
        <v>Autre filière</v>
      </c>
    </row>
    <row r="107" spans="1:10">
      <c r="A107" t="s">
        <v>224</v>
      </c>
      <c r="B107" t="s">
        <v>225</v>
      </c>
      <c r="C107" s="8" t="s">
        <v>26</v>
      </c>
      <c r="D107" s="8">
        <v>10.74</v>
      </c>
      <c r="E107" s="8">
        <v>14.15</v>
      </c>
      <c r="F107" s="6">
        <v>0.89759999999999995</v>
      </c>
      <c r="G107" t="str">
        <f t="shared" si="3"/>
        <v>Admis sous condition</v>
      </c>
      <c r="H107" t="str" cm="1">
        <f t="array" ref="H107">_xlfn.IFS(E107&gt;=16,"Excellent",E107&gt;=14,"Très bien",E107&gt;=12,"Bien",E107&gt;=10,"Passable",E107&lt;10,"Insuffisant")</f>
        <v>Très bien</v>
      </c>
      <c r="I107" t="str">
        <f t="shared" si="4"/>
        <v>RAS</v>
      </c>
      <c r="J107" t="str">
        <f t="shared" si="5"/>
        <v>Autre filière</v>
      </c>
    </row>
    <row r="108" spans="1:10">
      <c r="A108" t="s">
        <v>226</v>
      </c>
      <c r="B108" t="s">
        <v>190</v>
      </c>
      <c r="C108" s="8" t="s">
        <v>34</v>
      </c>
      <c r="D108" s="8">
        <v>7.62</v>
      </c>
      <c r="E108" s="8">
        <v>9.44</v>
      </c>
      <c r="F108" s="6">
        <v>0.85189999999999999</v>
      </c>
      <c r="G108" t="str">
        <f t="shared" si="3"/>
        <v>Refuse</v>
      </c>
      <c r="H108" t="str" cm="1">
        <f t="array" ref="H108">_xlfn.IFS(E108&gt;=16,"Excellent",E108&gt;=14,"Très bien",E108&gt;=12,"Bien",E108&gt;=10,"Passable",E108&lt;10,"Insuffisant")</f>
        <v>Insuffisant</v>
      </c>
      <c r="I108" t="str">
        <f t="shared" si="4"/>
        <v>A surveiller</v>
      </c>
      <c r="J108" t="str">
        <f t="shared" si="5"/>
        <v>Autre filière</v>
      </c>
    </row>
    <row r="109" spans="1:10">
      <c r="A109" t="s">
        <v>227</v>
      </c>
      <c r="B109" t="s">
        <v>228</v>
      </c>
      <c r="C109" s="8" t="s">
        <v>26</v>
      </c>
      <c r="D109" s="8">
        <v>12.34</v>
      </c>
      <c r="E109" s="8">
        <v>9.73</v>
      </c>
      <c r="F109" s="6">
        <v>0.79859999999999998</v>
      </c>
      <c r="G109" t="str">
        <f t="shared" si="3"/>
        <v>Refuse</v>
      </c>
      <c r="H109" t="str" cm="1">
        <f t="array" ref="H109">_xlfn.IFS(E109&gt;=16,"Excellent",E109&gt;=14,"Très bien",E109&gt;=12,"Bien",E109&gt;=10,"Passable",E109&lt;10,"Insuffisant")</f>
        <v>Insuffisant</v>
      </c>
      <c r="I109" t="str">
        <f t="shared" si="4"/>
        <v>A surveiller</v>
      </c>
      <c r="J109" t="str">
        <f t="shared" si="5"/>
        <v>Autre filière</v>
      </c>
    </row>
    <row r="110" spans="1:10">
      <c r="A110" t="s">
        <v>229</v>
      </c>
      <c r="B110" t="s">
        <v>230</v>
      </c>
      <c r="C110" s="8" t="s">
        <v>26</v>
      </c>
      <c r="D110" s="8">
        <v>13.76</v>
      </c>
      <c r="E110" s="8">
        <v>16.22</v>
      </c>
      <c r="F110" s="6">
        <v>0.98750000000000004</v>
      </c>
      <c r="G110" t="str">
        <f t="shared" si="3"/>
        <v>Admis</v>
      </c>
      <c r="H110" t="str" cm="1">
        <f t="array" ref="H110">_xlfn.IFS(E110&gt;=16,"Excellent",E110&gt;=14,"Très bien",E110&gt;=12,"Bien",E110&gt;=10,"Passable",E110&lt;10,"Insuffisant")</f>
        <v>Excellent</v>
      </c>
      <c r="I110" t="str">
        <f t="shared" si="4"/>
        <v>RAS</v>
      </c>
      <c r="J110" t="str">
        <f t="shared" si="5"/>
        <v>Autre filière</v>
      </c>
    </row>
    <row r="111" spans="1:10">
      <c r="A111" t="s">
        <v>231</v>
      </c>
      <c r="B111" t="s">
        <v>232</v>
      </c>
      <c r="C111" s="8" t="s">
        <v>26</v>
      </c>
      <c r="D111" s="8">
        <v>17.63</v>
      </c>
      <c r="E111" s="8">
        <v>12.55</v>
      </c>
      <c r="F111" s="6">
        <v>0.8972</v>
      </c>
      <c r="G111" t="str">
        <f t="shared" si="3"/>
        <v>Admis</v>
      </c>
      <c r="H111" t="str" cm="1">
        <f t="array" ref="H111">_xlfn.IFS(E111&gt;=16,"Excellent",E111&gt;=14,"Très bien",E111&gt;=12,"Bien",E111&gt;=10,"Passable",E111&lt;10,"Insuffisant")</f>
        <v>Bien</v>
      </c>
      <c r="I111" t="str">
        <f t="shared" si="4"/>
        <v>RAS</v>
      </c>
      <c r="J111" t="str">
        <f t="shared" si="5"/>
        <v>Autre filière</v>
      </c>
    </row>
    <row r="112" spans="1:10">
      <c r="A112" t="s">
        <v>233</v>
      </c>
      <c r="B112" t="s">
        <v>234</v>
      </c>
      <c r="C112" s="8" t="s">
        <v>21</v>
      </c>
      <c r="D112" s="8">
        <v>18.670000000000002</v>
      </c>
      <c r="E112" s="8">
        <v>20</v>
      </c>
      <c r="F112" s="6">
        <v>0.88100000000000001</v>
      </c>
      <c r="G112" t="str">
        <f t="shared" si="3"/>
        <v>Admis</v>
      </c>
      <c r="H112" t="str" cm="1">
        <f t="array" ref="H112">_xlfn.IFS(E112&gt;=16,"Excellent",E112&gt;=14,"Très bien",E112&gt;=12,"Bien",E112&gt;=10,"Passable",E112&lt;10,"Insuffisant")</f>
        <v>Excellent</v>
      </c>
      <c r="I112" t="str">
        <f t="shared" si="4"/>
        <v>RAS</v>
      </c>
      <c r="J112" t="str">
        <f t="shared" si="5"/>
        <v>Data</v>
      </c>
    </row>
    <row r="113" spans="1:10">
      <c r="A113" t="s">
        <v>235</v>
      </c>
      <c r="B113" t="s">
        <v>236</v>
      </c>
      <c r="C113" s="8" t="s">
        <v>34</v>
      </c>
      <c r="D113" s="8">
        <v>10.84</v>
      </c>
      <c r="E113" s="8">
        <v>15.62</v>
      </c>
      <c r="F113" s="6">
        <v>0.89270000000000005</v>
      </c>
      <c r="G113" t="str">
        <f t="shared" si="3"/>
        <v>Admis sous condition</v>
      </c>
      <c r="H113" t="str" cm="1">
        <f t="array" ref="H113">_xlfn.IFS(E113&gt;=16,"Excellent",E113&gt;=14,"Très bien",E113&gt;=12,"Bien",E113&gt;=10,"Passable",E113&lt;10,"Insuffisant")</f>
        <v>Très bien</v>
      </c>
      <c r="I113" t="str">
        <f t="shared" si="4"/>
        <v>RAS</v>
      </c>
      <c r="J113" t="str">
        <f t="shared" si="5"/>
        <v>Autre filière</v>
      </c>
    </row>
    <row r="114" spans="1:10">
      <c r="A114" t="s">
        <v>237</v>
      </c>
      <c r="B114" t="s">
        <v>238</v>
      </c>
      <c r="C114" s="8" t="s">
        <v>47</v>
      </c>
      <c r="D114" s="8">
        <v>18.809999999999999</v>
      </c>
      <c r="E114" s="8">
        <v>20</v>
      </c>
      <c r="F114" s="6">
        <v>0.84499999999999997</v>
      </c>
      <c r="G114" t="str">
        <f t="shared" si="3"/>
        <v>Admis</v>
      </c>
      <c r="H114" t="str" cm="1">
        <f t="array" ref="H114">_xlfn.IFS(E114&gt;=16,"Excellent",E114&gt;=14,"Très bien",E114&gt;=12,"Bien",E114&gt;=10,"Passable",E114&lt;10,"Insuffisant")</f>
        <v>Excellent</v>
      </c>
      <c r="I114" t="str">
        <f t="shared" si="4"/>
        <v>RAS</v>
      </c>
      <c r="J114" t="str">
        <f t="shared" si="5"/>
        <v>Autre filière</v>
      </c>
    </row>
    <row r="115" spans="1:10">
      <c r="A115" t="s">
        <v>239</v>
      </c>
      <c r="B115" t="s">
        <v>240</v>
      </c>
      <c r="C115" s="8" t="s">
        <v>26</v>
      </c>
      <c r="D115" s="8">
        <v>15.49</v>
      </c>
      <c r="E115" s="8">
        <v>15.24</v>
      </c>
      <c r="F115" s="6">
        <v>0.80830000000000002</v>
      </c>
      <c r="G115" t="str">
        <f t="shared" si="3"/>
        <v>Admis</v>
      </c>
      <c r="H115" t="str" cm="1">
        <f t="array" ref="H115">_xlfn.IFS(E115&gt;=16,"Excellent",E115&gt;=14,"Très bien",E115&gt;=12,"Bien",E115&gt;=10,"Passable",E115&lt;10,"Insuffisant")</f>
        <v>Très bien</v>
      </c>
      <c r="I115" t="str">
        <f t="shared" si="4"/>
        <v>RAS</v>
      </c>
      <c r="J115" t="str">
        <f t="shared" si="5"/>
        <v>Autre filière</v>
      </c>
    </row>
    <row r="116" spans="1:10">
      <c r="A116" t="s">
        <v>241</v>
      </c>
      <c r="B116" t="s">
        <v>242</v>
      </c>
      <c r="C116" s="8" t="s">
        <v>21</v>
      </c>
      <c r="D116" s="8">
        <v>11.48</v>
      </c>
      <c r="E116" s="8">
        <v>12.61</v>
      </c>
      <c r="F116" s="6">
        <v>0.55089999999999995</v>
      </c>
      <c r="G116" t="str">
        <f t="shared" si="3"/>
        <v>Admis sous condition</v>
      </c>
      <c r="H116" t="str" cm="1">
        <f t="array" ref="H116">_xlfn.IFS(E116&gt;=16,"Excellent",E116&gt;=14,"Très bien",E116&gt;=12,"Bien",E116&gt;=10,"Passable",E116&lt;10,"Insuffisant")</f>
        <v>Bien</v>
      </c>
      <c r="I116" t="str">
        <f t="shared" si="4"/>
        <v>A surveiller</v>
      </c>
      <c r="J116" t="str">
        <f t="shared" si="5"/>
        <v>Data</v>
      </c>
    </row>
    <row r="117" spans="1:10">
      <c r="A117" t="s">
        <v>243</v>
      </c>
      <c r="B117" t="s">
        <v>172</v>
      </c>
      <c r="C117" s="8" t="s">
        <v>34</v>
      </c>
      <c r="D117" s="8">
        <v>15.07</v>
      </c>
      <c r="E117" s="8">
        <v>13.51</v>
      </c>
      <c r="F117" s="6">
        <v>0.91290000000000004</v>
      </c>
      <c r="G117" t="str">
        <f t="shared" si="3"/>
        <v>Admis</v>
      </c>
      <c r="H117" t="str" cm="1">
        <f t="array" ref="H117">_xlfn.IFS(E117&gt;=16,"Excellent",E117&gt;=14,"Très bien",E117&gt;=12,"Bien",E117&gt;=10,"Passable",E117&lt;10,"Insuffisant")</f>
        <v>Bien</v>
      </c>
      <c r="I117" t="str">
        <f t="shared" si="4"/>
        <v>RAS</v>
      </c>
      <c r="J117" t="str">
        <f t="shared" si="5"/>
        <v>Autre filière</v>
      </c>
    </row>
    <row r="118" spans="1:10">
      <c r="A118" t="s">
        <v>244</v>
      </c>
      <c r="B118" t="s">
        <v>245</v>
      </c>
      <c r="C118" s="8" t="s">
        <v>21</v>
      </c>
      <c r="D118" s="8">
        <v>18.510000000000002</v>
      </c>
      <c r="E118" s="8">
        <v>13.21</v>
      </c>
      <c r="F118" s="6">
        <v>0.66739999999999999</v>
      </c>
      <c r="G118" t="str">
        <f t="shared" si="3"/>
        <v>Admis sous condition</v>
      </c>
      <c r="H118" t="str" cm="1">
        <f t="array" ref="H118">_xlfn.IFS(E118&gt;=16,"Excellent",E118&gt;=14,"Très bien",E118&gt;=12,"Bien",E118&gt;=10,"Passable",E118&lt;10,"Insuffisant")</f>
        <v>Bien</v>
      </c>
      <c r="I118" t="str">
        <f t="shared" si="4"/>
        <v>A surveiller</v>
      </c>
      <c r="J118" t="str">
        <f t="shared" si="5"/>
        <v>Data</v>
      </c>
    </row>
    <row r="119" spans="1:10">
      <c r="A119" t="s">
        <v>246</v>
      </c>
      <c r="B119" t="s">
        <v>247</v>
      </c>
      <c r="C119" s="8" t="s">
        <v>26</v>
      </c>
      <c r="D119" s="8">
        <v>13.77</v>
      </c>
      <c r="E119" s="8">
        <v>15.21</v>
      </c>
      <c r="F119" s="6">
        <v>0.94169999999999998</v>
      </c>
      <c r="G119" t="str">
        <f t="shared" si="3"/>
        <v>Admis</v>
      </c>
      <c r="H119" t="str" cm="1">
        <f t="array" ref="H119">_xlfn.IFS(E119&gt;=16,"Excellent",E119&gt;=14,"Très bien",E119&gt;=12,"Bien",E119&gt;=10,"Passable",E119&lt;10,"Insuffisant")</f>
        <v>Très bien</v>
      </c>
      <c r="I119" t="str">
        <f t="shared" si="4"/>
        <v>RAS</v>
      </c>
      <c r="J119" t="str">
        <f t="shared" si="5"/>
        <v>Autre filière</v>
      </c>
    </row>
    <row r="120" spans="1:10">
      <c r="A120" t="s">
        <v>248</v>
      </c>
      <c r="B120" t="s">
        <v>99</v>
      </c>
      <c r="C120" s="8" t="s">
        <v>26</v>
      </c>
      <c r="D120" s="8">
        <v>10.83</v>
      </c>
      <c r="E120" s="8">
        <v>10.78</v>
      </c>
      <c r="F120" s="6">
        <v>0.82340000000000002</v>
      </c>
      <c r="G120" t="str">
        <f t="shared" si="3"/>
        <v>Admis sous condition</v>
      </c>
      <c r="H120" t="str" cm="1">
        <f t="array" ref="H120">_xlfn.IFS(E120&gt;=16,"Excellent",E120&gt;=14,"Très bien",E120&gt;=12,"Bien",E120&gt;=10,"Passable",E120&lt;10,"Insuffisant")</f>
        <v>Passable</v>
      </c>
      <c r="I120" t="str">
        <f t="shared" si="4"/>
        <v>RAS</v>
      </c>
      <c r="J120" t="str">
        <f t="shared" si="5"/>
        <v>Autre filière</v>
      </c>
    </row>
    <row r="121" spans="1:10">
      <c r="A121" t="s">
        <v>249</v>
      </c>
      <c r="B121" t="s">
        <v>250</v>
      </c>
      <c r="C121" s="8" t="s">
        <v>21</v>
      </c>
      <c r="D121" s="8">
        <v>9.1999999999999993</v>
      </c>
      <c r="E121" s="8">
        <v>11.45</v>
      </c>
      <c r="F121" s="6">
        <v>0.77759999999999996</v>
      </c>
      <c r="G121" t="str">
        <f t="shared" si="3"/>
        <v>Refuse</v>
      </c>
      <c r="H121" t="str" cm="1">
        <f t="array" ref="H121">_xlfn.IFS(E121&gt;=16,"Excellent",E121&gt;=14,"Très bien",E121&gt;=12,"Bien",E121&gt;=10,"Passable",E121&lt;10,"Insuffisant")</f>
        <v>Passable</v>
      </c>
      <c r="I121" t="str">
        <f t="shared" si="4"/>
        <v>A surveiller</v>
      </c>
      <c r="J121" t="str">
        <f t="shared" si="5"/>
        <v>Data</v>
      </c>
    </row>
    <row r="122" spans="1:10">
      <c r="A122" t="s">
        <v>251</v>
      </c>
      <c r="B122" t="s">
        <v>252</v>
      </c>
      <c r="C122" s="8" t="s">
        <v>21</v>
      </c>
      <c r="D122" s="8">
        <v>9.3800000000000008</v>
      </c>
      <c r="E122" s="8">
        <v>14.07</v>
      </c>
      <c r="F122" s="6">
        <v>0.87290000000000001</v>
      </c>
      <c r="G122" t="str">
        <f t="shared" si="3"/>
        <v>Refuse</v>
      </c>
      <c r="H122" t="str" cm="1">
        <f t="array" ref="H122">_xlfn.IFS(E122&gt;=16,"Excellent",E122&gt;=14,"Très bien",E122&gt;=12,"Bien",E122&gt;=10,"Passable",E122&lt;10,"Insuffisant")</f>
        <v>Très bien</v>
      </c>
      <c r="I122" t="str">
        <f t="shared" si="4"/>
        <v>A surveiller</v>
      </c>
      <c r="J122" t="str">
        <f t="shared" si="5"/>
        <v>Data</v>
      </c>
    </row>
    <row r="123" spans="1:10">
      <c r="A123" t="s">
        <v>253</v>
      </c>
      <c r="B123" t="s">
        <v>70</v>
      </c>
      <c r="C123" s="8" t="s">
        <v>34</v>
      </c>
      <c r="D123" s="8">
        <v>15</v>
      </c>
      <c r="E123" s="8">
        <v>15.39</v>
      </c>
      <c r="F123" s="6">
        <v>0.83599999999999997</v>
      </c>
      <c r="G123" t="str">
        <f t="shared" si="3"/>
        <v>Admis</v>
      </c>
      <c r="H123" t="str" cm="1">
        <f t="array" ref="H123">_xlfn.IFS(E123&gt;=16,"Excellent",E123&gt;=14,"Très bien",E123&gt;=12,"Bien",E123&gt;=10,"Passable",E123&lt;10,"Insuffisant")</f>
        <v>Très bien</v>
      </c>
      <c r="I123" t="str">
        <f t="shared" si="4"/>
        <v>RAS</v>
      </c>
      <c r="J123" t="str">
        <f t="shared" si="5"/>
        <v>Autre filière</v>
      </c>
    </row>
    <row r="124" spans="1:10">
      <c r="A124" t="s">
        <v>254</v>
      </c>
      <c r="B124" t="s">
        <v>255</v>
      </c>
      <c r="C124" s="8" t="s">
        <v>26</v>
      </c>
      <c r="D124" s="8">
        <v>12.66</v>
      </c>
      <c r="E124" s="8">
        <v>9.9700000000000006</v>
      </c>
      <c r="F124" s="6">
        <v>0.8034</v>
      </c>
      <c r="G124" t="str">
        <f t="shared" si="3"/>
        <v>Refuse</v>
      </c>
      <c r="H124" t="str" cm="1">
        <f t="array" ref="H124">_xlfn.IFS(E124&gt;=16,"Excellent",E124&gt;=14,"Très bien",E124&gt;=12,"Bien",E124&gt;=10,"Passable",E124&lt;10,"Insuffisant")</f>
        <v>Insuffisant</v>
      </c>
      <c r="I124" t="str">
        <f t="shared" si="4"/>
        <v>A surveiller</v>
      </c>
      <c r="J124" t="str">
        <f t="shared" si="5"/>
        <v>Autre filière</v>
      </c>
    </row>
    <row r="125" spans="1:10">
      <c r="A125" t="s">
        <v>256</v>
      </c>
      <c r="B125" t="s">
        <v>257</v>
      </c>
      <c r="C125" s="8" t="s">
        <v>34</v>
      </c>
      <c r="D125" s="8">
        <v>8.66</v>
      </c>
      <c r="E125" s="8">
        <v>9.07</v>
      </c>
      <c r="F125" s="6">
        <v>0.70330000000000004</v>
      </c>
      <c r="G125" t="str">
        <f t="shared" si="3"/>
        <v>Refuse</v>
      </c>
      <c r="H125" t="str" cm="1">
        <f t="array" ref="H125">_xlfn.IFS(E125&gt;=16,"Excellent",E125&gt;=14,"Très bien",E125&gt;=12,"Bien",E125&gt;=10,"Passable",E125&lt;10,"Insuffisant")</f>
        <v>Insuffisant</v>
      </c>
      <c r="I125" t="str">
        <f t="shared" si="4"/>
        <v>A surveiller</v>
      </c>
      <c r="J125" t="str">
        <f t="shared" si="5"/>
        <v>Autre filière</v>
      </c>
    </row>
    <row r="126" spans="1:10">
      <c r="A126" t="s">
        <v>258</v>
      </c>
      <c r="B126" t="s">
        <v>259</v>
      </c>
      <c r="C126" s="8" t="s">
        <v>34</v>
      </c>
      <c r="D126" s="8">
        <v>11.41</v>
      </c>
      <c r="E126" s="8">
        <v>15.43</v>
      </c>
      <c r="F126" s="6">
        <v>0.77380000000000004</v>
      </c>
      <c r="G126" t="str">
        <f t="shared" si="3"/>
        <v>Admis sous condition</v>
      </c>
      <c r="H126" t="str" cm="1">
        <f t="array" ref="H126">_xlfn.IFS(E126&gt;=16,"Excellent",E126&gt;=14,"Très bien",E126&gt;=12,"Bien",E126&gt;=10,"Passable",E126&lt;10,"Insuffisant")</f>
        <v>Très bien</v>
      </c>
      <c r="I126" t="str">
        <f t="shared" si="4"/>
        <v>RAS</v>
      </c>
      <c r="J126" t="str">
        <f t="shared" si="5"/>
        <v>Autre filière</v>
      </c>
    </row>
    <row r="127" spans="1:10">
      <c r="A127" t="s">
        <v>260</v>
      </c>
      <c r="B127" t="s">
        <v>261</v>
      </c>
      <c r="C127" s="8" t="s">
        <v>34</v>
      </c>
      <c r="D127" s="8">
        <v>15.4</v>
      </c>
      <c r="E127" s="8">
        <v>15.79</v>
      </c>
      <c r="F127" s="6">
        <v>0.82779999999999998</v>
      </c>
      <c r="G127" t="str">
        <f t="shared" si="3"/>
        <v>Admis</v>
      </c>
      <c r="H127" t="str" cm="1">
        <f t="array" ref="H127">_xlfn.IFS(E127&gt;=16,"Excellent",E127&gt;=14,"Très bien",E127&gt;=12,"Bien",E127&gt;=10,"Passable",E127&lt;10,"Insuffisant")</f>
        <v>Très bien</v>
      </c>
      <c r="I127" t="str">
        <f t="shared" si="4"/>
        <v>RAS</v>
      </c>
      <c r="J127" t="str">
        <f t="shared" si="5"/>
        <v>Autre filière</v>
      </c>
    </row>
    <row r="128" spans="1:10">
      <c r="A128" t="s">
        <v>262</v>
      </c>
      <c r="B128" t="s">
        <v>263</v>
      </c>
      <c r="C128" s="8" t="s">
        <v>47</v>
      </c>
      <c r="D128" s="8">
        <v>13.64</v>
      </c>
      <c r="E128" s="8">
        <v>16.13</v>
      </c>
      <c r="F128" s="6">
        <v>0.83150000000000002</v>
      </c>
      <c r="G128" t="str">
        <f t="shared" si="3"/>
        <v>Admis</v>
      </c>
      <c r="H128" t="str" cm="1">
        <f t="array" ref="H128">_xlfn.IFS(E128&gt;=16,"Excellent",E128&gt;=14,"Très bien",E128&gt;=12,"Bien",E128&gt;=10,"Passable",E128&lt;10,"Insuffisant")</f>
        <v>Excellent</v>
      </c>
      <c r="I128" t="str">
        <f t="shared" si="4"/>
        <v>RAS</v>
      </c>
      <c r="J128" t="str">
        <f t="shared" si="5"/>
        <v>Autre filière</v>
      </c>
    </row>
    <row r="129" spans="1:10">
      <c r="A129" t="s">
        <v>264</v>
      </c>
      <c r="B129" t="s">
        <v>122</v>
      </c>
      <c r="C129" s="8" t="s">
        <v>34</v>
      </c>
      <c r="D129" s="8">
        <v>10.42</v>
      </c>
      <c r="E129" s="8">
        <v>10.69</v>
      </c>
      <c r="F129" s="6">
        <v>0.89610000000000001</v>
      </c>
      <c r="G129" t="str">
        <f t="shared" si="3"/>
        <v>Admis sous condition</v>
      </c>
      <c r="H129" t="str" cm="1">
        <f t="array" ref="H129">_xlfn.IFS(E129&gt;=16,"Excellent",E129&gt;=14,"Très bien",E129&gt;=12,"Bien",E129&gt;=10,"Passable",E129&lt;10,"Insuffisant")</f>
        <v>Passable</v>
      </c>
      <c r="I129" t="str">
        <f t="shared" si="4"/>
        <v>RAS</v>
      </c>
      <c r="J129" t="str">
        <f t="shared" si="5"/>
        <v>Autre filière</v>
      </c>
    </row>
    <row r="130" spans="1:10">
      <c r="A130" t="s">
        <v>265</v>
      </c>
      <c r="B130" t="s">
        <v>28</v>
      </c>
      <c r="C130" s="8" t="s">
        <v>21</v>
      </c>
      <c r="D130" s="8">
        <v>16.54</v>
      </c>
      <c r="E130" s="8">
        <v>18.96</v>
      </c>
      <c r="F130" s="6">
        <v>0.75839999999999996</v>
      </c>
      <c r="G130" t="str">
        <f t="shared" si="3"/>
        <v>Admis sous condition</v>
      </c>
      <c r="H130" t="str" cm="1">
        <f t="array" ref="H130">_xlfn.IFS(E130&gt;=16,"Excellent",E130&gt;=14,"Très bien",E130&gt;=12,"Bien",E130&gt;=10,"Passable",E130&lt;10,"Insuffisant")</f>
        <v>Excellent</v>
      </c>
      <c r="I130" t="str">
        <f t="shared" si="4"/>
        <v>RAS</v>
      </c>
      <c r="J130" t="str">
        <f t="shared" si="5"/>
        <v>Data</v>
      </c>
    </row>
    <row r="131" spans="1:10">
      <c r="A131" t="s">
        <v>266</v>
      </c>
      <c r="B131" t="s">
        <v>267</v>
      </c>
      <c r="C131" s="8" t="s">
        <v>26</v>
      </c>
      <c r="D131" s="8">
        <v>18.059999999999999</v>
      </c>
      <c r="E131" s="8">
        <v>17.77</v>
      </c>
      <c r="F131" s="6">
        <v>0.76829999999999998</v>
      </c>
      <c r="G131" t="str">
        <f t="shared" ref="G131:G194" si="6">IF(AND(D131&gt;=12,E131&gt;=12,F131&gt;=80%),"Admis",IF(AND(D131&gt;=10,E131&gt;=10),"Admis sous condition","Refuse"))</f>
        <v>Admis sous condition</v>
      </c>
      <c r="H131" t="str" cm="1">
        <f t="array" ref="H131">_xlfn.IFS(E131&gt;=16,"Excellent",E131&gt;=14,"Très bien",E131&gt;=12,"Bien",E131&gt;=10,"Passable",E131&lt;10,"Insuffisant")</f>
        <v>Excellent</v>
      </c>
      <c r="I131" t="str">
        <f t="shared" ref="I131:I194" si="7">IF(OR(D131&lt;10,E131&lt;10,F131&lt;70%),"A surveiller","RAS")</f>
        <v>RAS</v>
      </c>
      <c r="J131" t="str">
        <f t="shared" ref="J131:J194" si="8">IF(NOT(C131="Data"),"Autre filière","Data")</f>
        <v>Autre filière</v>
      </c>
    </row>
    <row r="132" spans="1:10">
      <c r="A132" t="s">
        <v>268</v>
      </c>
      <c r="B132" t="s">
        <v>269</v>
      </c>
      <c r="C132" s="8" t="s">
        <v>34</v>
      </c>
      <c r="D132" s="8">
        <v>16.84</v>
      </c>
      <c r="E132" s="8">
        <v>13.47</v>
      </c>
      <c r="F132" s="6">
        <v>0.56440000000000001</v>
      </c>
      <c r="G132" t="str">
        <f t="shared" si="6"/>
        <v>Admis sous condition</v>
      </c>
      <c r="H132" t="str" cm="1">
        <f t="array" ref="H132">_xlfn.IFS(E132&gt;=16,"Excellent",E132&gt;=14,"Très bien",E132&gt;=12,"Bien",E132&gt;=10,"Passable",E132&lt;10,"Insuffisant")</f>
        <v>Bien</v>
      </c>
      <c r="I132" t="str">
        <f t="shared" si="7"/>
        <v>A surveiller</v>
      </c>
      <c r="J132" t="str">
        <f t="shared" si="8"/>
        <v>Autre filière</v>
      </c>
    </row>
    <row r="133" spans="1:10">
      <c r="A133" t="s">
        <v>270</v>
      </c>
      <c r="B133" t="s">
        <v>271</v>
      </c>
      <c r="C133" s="8" t="s">
        <v>34</v>
      </c>
      <c r="D133" s="8">
        <v>16.010000000000002</v>
      </c>
      <c r="E133" s="8">
        <v>15.54</v>
      </c>
      <c r="F133" s="6">
        <v>0.71589999999999998</v>
      </c>
      <c r="G133" t="str">
        <f t="shared" si="6"/>
        <v>Admis sous condition</v>
      </c>
      <c r="H133" t="str" cm="1">
        <f t="array" ref="H133">_xlfn.IFS(E133&gt;=16,"Excellent",E133&gt;=14,"Très bien",E133&gt;=12,"Bien",E133&gt;=10,"Passable",E133&lt;10,"Insuffisant")</f>
        <v>Très bien</v>
      </c>
      <c r="I133" t="str">
        <f t="shared" si="7"/>
        <v>RAS</v>
      </c>
      <c r="J133" t="str">
        <f t="shared" si="8"/>
        <v>Autre filière</v>
      </c>
    </row>
    <row r="134" spans="1:10">
      <c r="A134" t="s">
        <v>272</v>
      </c>
      <c r="B134" t="s">
        <v>273</v>
      </c>
      <c r="C134" s="8" t="s">
        <v>47</v>
      </c>
      <c r="D134" s="8">
        <v>17.86</v>
      </c>
      <c r="E134" s="8">
        <v>14.54</v>
      </c>
      <c r="F134" s="6">
        <v>0.58899999999999997</v>
      </c>
      <c r="G134" t="str">
        <f t="shared" si="6"/>
        <v>Admis sous condition</v>
      </c>
      <c r="H134" t="str" cm="1">
        <f t="array" ref="H134">_xlfn.IFS(E134&gt;=16,"Excellent",E134&gt;=14,"Très bien",E134&gt;=12,"Bien",E134&gt;=10,"Passable",E134&lt;10,"Insuffisant")</f>
        <v>Très bien</v>
      </c>
      <c r="I134" t="str">
        <f t="shared" si="7"/>
        <v>A surveiller</v>
      </c>
      <c r="J134" t="str">
        <f t="shared" si="8"/>
        <v>Autre filière</v>
      </c>
    </row>
    <row r="135" spans="1:10">
      <c r="A135" t="s">
        <v>274</v>
      </c>
      <c r="B135" t="s">
        <v>23</v>
      </c>
      <c r="C135" s="8" t="s">
        <v>47</v>
      </c>
      <c r="D135" s="8">
        <v>15.47</v>
      </c>
      <c r="E135" s="8">
        <v>20</v>
      </c>
      <c r="F135" s="6">
        <v>0.81699999999999995</v>
      </c>
      <c r="G135" t="str">
        <f t="shared" si="6"/>
        <v>Admis</v>
      </c>
      <c r="H135" t="str" cm="1">
        <f t="array" ref="H135">_xlfn.IFS(E135&gt;=16,"Excellent",E135&gt;=14,"Très bien",E135&gt;=12,"Bien",E135&gt;=10,"Passable",E135&lt;10,"Insuffisant")</f>
        <v>Excellent</v>
      </c>
      <c r="I135" t="str">
        <f t="shared" si="7"/>
        <v>RAS</v>
      </c>
      <c r="J135" t="str">
        <f t="shared" si="8"/>
        <v>Autre filière</v>
      </c>
    </row>
    <row r="136" spans="1:10">
      <c r="A136" t="s">
        <v>275</v>
      </c>
      <c r="B136" t="s">
        <v>124</v>
      </c>
      <c r="C136" s="8" t="s">
        <v>21</v>
      </c>
      <c r="D136" s="8">
        <v>16.48</v>
      </c>
      <c r="E136" s="8">
        <v>15.21</v>
      </c>
      <c r="F136" s="6">
        <v>0.95309999999999995</v>
      </c>
      <c r="G136" t="str">
        <f t="shared" si="6"/>
        <v>Admis</v>
      </c>
      <c r="H136" t="str" cm="1">
        <f t="array" ref="H136">_xlfn.IFS(E136&gt;=16,"Excellent",E136&gt;=14,"Très bien",E136&gt;=12,"Bien",E136&gt;=10,"Passable",E136&lt;10,"Insuffisant")</f>
        <v>Très bien</v>
      </c>
      <c r="I136" t="str">
        <f t="shared" si="7"/>
        <v>RAS</v>
      </c>
      <c r="J136" t="str">
        <f t="shared" si="8"/>
        <v>Data</v>
      </c>
    </row>
    <row r="137" spans="1:10">
      <c r="A137" t="s">
        <v>276</v>
      </c>
      <c r="B137" t="s">
        <v>277</v>
      </c>
      <c r="C137" s="8" t="s">
        <v>21</v>
      </c>
      <c r="D137" s="8">
        <v>16</v>
      </c>
      <c r="E137" s="8">
        <v>16.79</v>
      </c>
      <c r="F137" s="6">
        <v>0.94479999999999997</v>
      </c>
      <c r="G137" t="str">
        <f t="shared" si="6"/>
        <v>Admis</v>
      </c>
      <c r="H137" t="str" cm="1">
        <f t="array" ref="H137">_xlfn.IFS(E137&gt;=16,"Excellent",E137&gt;=14,"Très bien",E137&gt;=12,"Bien",E137&gt;=10,"Passable",E137&lt;10,"Insuffisant")</f>
        <v>Excellent</v>
      </c>
      <c r="I137" t="str">
        <f t="shared" si="7"/>
        <v>RAS</v>
      </c>
      <c r="J137" t="str">
        <f t="shared" si="8"/>
        <v>Data</v>
      </c>
    </row>
    <row r="138" spans="1:10">
      <c r="A138" t="s">
        <v>278</v>
      </c>
      <c r="B138" t="s">
        <v>279</v>
      </c>
      <c r="C138" s="8" t="s">
        <v>21</v>
      </c>
      <c r="D138" s="8">
        <v>16.86</v>
      </c>
      <c r="E138" s="8">
        <v>13.97</v>
      </c>
      <c r="F138" s="6">
        <v>0.93310000000000004</v>
      </c>
      <c r="G138" t="str">
        <f t="shared" si="6"/>
        <v>Admis</v>
      </c>
      <c r="H138" t="str" cm="1">
        <f t="array" ref="H138">_xlfn.IFS(E138&gt;=16,"Excellent",E138&gt;=14,"Très bien",E138&gt;=12,"Bien",E138&gt;=10,"Passable",E138&lt;10,"Insuffisant")</f>
        <v>Bien</v>
      </c>
      <c r="I138" t="str">
        <f t="shared" si="7"/>
        <v>RAS</v>
      </c>
      <c r="J138" t="str">
        <f t="shared" si="8"/>
        <v>Data</v>
      </c>
    </row>
    <row r="139" spans="1:10">
      <c r="A139" t="s">
        <v>280</v>
      </c>
      <c r="B139" t="s">
        <v>114</v>
      </c>
      <c r="C139" s="8" t="s">
        <v>26</v>
      </c>
      <c r="D139" s="8">
        <v>12</v>
      </c>
      <c r="E139" s="8">
        <v>8.31</v>
      </c>
      <c r="F139" s="6">
        <v>0.79290000000000005</v>
      </c>
      <c r="G139" t="str">
        <f t="shared" si="6"/>
        <v>Refuse</v>
      </c>
      <c r="H139" t="str" cm="1">
        <f t="array" ref="H139">_xlfn.IFS(E139&gt;=16,"Excellent",E139&gt;=14,"Très bien",E139&gt;=12,"Bien",E139&gt;=10,"Passable",E139&lt;10,"Insuffisant")</f>
        <v>Insuffisant</v>
      </c>
      <c r="I139" t="str">
        <f t="shared" si="7"/>
        <v>A surveiller</v>
      </c>
      <c r="J139" t="str">
        <f t="shared" si="8"/>
        <v>Autre filière</v>
      </c>
    </row>
    <row r="140" spans="1:10">
      <c r="A140" t="s">
        <v>281</v>
      </c>
      <c r="B140" t="s">
        <v>282</v>
      </c>
      <c r="C140" s="8" t="s">
        <v>47</v>
      </c>
      <c r="D140" s="8">
        <v>16.760000000000002</v>
      </c>
      <c r="E140" s="8">
        <v>15.15</v>
      </c>
      <c r="F140" s="6">
        <v>0.83130000000000004</v>
      </c>
      <c r="G140" t="str">
        <f t="shared" si="6"/>
        <v>Admis</v>
      </c>
      <c r="H140" t="str" cm="1">
        <f t="array" ref="H140">_xlfn.IFS(E140&gt;=16,"Excellent",E140&gt;=14,"Très bien",E140&gt;=12,"Bien",E140&gt;=10,"Passable",E140&lt;10,"Insuffisant")</f>
        <v>Très bien</v>
      </c>
      <c r="I140" t="str">
        <f t="shared" si="7"/>
        <v>RAS</v>
      </c>
      <c r="J140" t="str">
        <f t="shared" si="8"/>
        <v>Autre filière</v>
      </c>
    </row>
    <row r="141" spans="1:10">
      <c r="A141" t="s">
        <v>283</v>
      </c>
      <c r="B141" t="s">
        <v>284</v>
      </c>
      <c r="C141" s="8" t="s">
        <v>26</v>
      </c>
      <c r="D141" s="8">
        <v>9.49</v>
      </c>
      <c r="E141" s="8">
        <v>12.33</v>
      </c>
      <c r="F141" s="6">
        <v>0.95430000000000004</v>
      </c>
      <c r="G141" t="str">
        <f t="shared" si="6"/>
        <v>Refuse</v>
      </c>
      <c r="H141" t="str" cm="1">
        <f t="array" ref="H141">_xlfn.IFS(E141&gt;=16,"Excellent",E141&gt;=14,"Très bien",E141&gt;=12,"Bien",E141&gt;=10,"Passable",E141&lt;10,"Insuffisant")</f>
        <v>Bien</v>
      </c>
      <c r="I141" t="str">
        <f t="shared" si="7"/>
        <v>A surveiller</v>
      </c>
      <c r="J141" t="str">
        <f t="shared" si="8"/>
        <v>Autre filière</v>
      </c>
    </row>
    <row r="142" spans="1:10">
      <c r="A142" t="s">
        <v>285</v>
      </c>
      <c r="B142" t="s">
        <v>259</v>
      </c>
      <c r="C142" s="8" t="s">
        <v>47</v>
      </c>
      <c r="D142" s="8">
        <v>11.81</v>
      </c>
      <c r="E142" s="8">
        <v>10.33</v>
      </c>
      <c r="F142" s="6">
        <v>0.80449999999999999</v>
      </c>
      <c r="G142" t="str">
        <f t="shared" si="6"/>
        <v>Admis sous condition</v>
      </c>
      <c r="H142" t="str" cm="1">
        <f t="array" ref="H142">_xlfn.IFS(E142&gt;=16,"Excellent",E142&gt;=14,"Très bien",E142&gt;=12,"Bien",E142&gt;=10,"Passable",E142&lt;10,"Insuffisant")</f>
        <v>Passable</v>
      </c>
      <c r="I142" t="str">
        <f t="shared" si="7"/>
        <v>RAS</v>
      </c>
      <c r="J142" t="str">
        <f t="shared" si="8"/>
        <v>Autre filière</v>
      </c>
    </row>
    <row r="143" spans="1:10">
      <c r="A143" t="s">
        <v>286</v>
      </c>
      <c r="B143" t="s">
        <v>287</v>
      </c>
      <c r="C143" s="8" t="s">
        <v>34</v>
      </c>
      <c r="D143" s="8">
        <v>19.489999999999998</v>
      </c>
      <c r="E143" s="8">
        <v>15.43</v>
      </c>
      <c r="F143" s="6">
        <v>0.85609999999999997</v>
      </c>
      <c r="G143" t="str">
        <f t="shared" si="6"/>
        <v>Admis</v>
      </c>
      <c r="H143" t="str" cm="1">
        <f t="array" ref="H143">_xlfn.IFS(E143&gt;=16,"Excellent",E143&gt;=14,"Très bien",E143&gt;=12,"Bien",E143&gt;=10,"Passable",E143&lt;10,"Insuffisant")</f>
        <v>Très bien</v>
      </c>
      <c r="I143" t="str">
        <f t="shared" si="7"/>
        <v>RAS</v>
      </c>
      <c r="J143" t="str">
        <f t="shared" si="8"/>
        <v>Autre filière</v>
      </c>
    </row>
    <row r="144" spans="1:10">
      <c r="A144" t="s">
        <v>288</v>
      </c>
      <c r="B144" t="s">
        <v>195</v>
      </c>
      <c r="C144" s="8" t="s">
        <v>47</v>
      </c>
      <c r="D144" s="8">
        <v>14.42</v>
      </c>
      <c r="E144" s="8">
        <v>16.39</v>
      </c>
      <c r="F144" s="6">
        <v>0.76539999999999997</v>
      </c>
      <c r="G144" t="str">
        <f t="shared" si="6"/>
        <v>Admis sous condition</v>
      </c>
      <c r="H144" t="str" cm="1">
        <f t="array" ref="H144">_xlfn.IFS(E144&gt;=16,"Excellent",E144&gt;=14,"Très bien",E144&gt;=12,"Bien",E144&gt;=10,"Passable",E144&lt;10,"Insuffisant")</f>
        <v>Excellent</v>
      </c>
      <c r="I144" t="str">
        <f t="shared" si="7"/>
        <v>RAS</v>
      </c>
      <c r="J144" t="str">
        <f t="shared" si="8"/>
        <v>Autre filière</v>
      </c>
    </row>
    <row r="145" spans="1:10">
      <c r="A145" t="s">
        <v>289</v>
      </c>
      <c r="B145" t="s">
        <v>290</v>
      </c>
      <c r="C145" s="8" t="s">
        <v>47</v>
      </c>
      <c r="D145" s="8">
        <v>16.28</v>
      </c>
      <c r="E145" s="8">
        <v>18.96</v>
      </c>
      <c r="F145" s="6">
        <v>0.8982</v>
      </c>
      <c r="G145" t="str">
        <f t="shared" si="6"/>
        <v>Admis</v>
      </c>
      <c r="H145" t="str" cm="1">
        <f t="array" ref="H145">_xlfn.IFS(E145&gt;=16,"Excellent",E145&gt;=14,"Très bien",E145&gt;=12,"Bien",E145&gt;=10,"Passable",E145&lt;10,"Insuffisant")</f>
        <v>Excellent</v>
      </c>
      <c r="I145" t="str">
        <f t="shared" si="7"/>
        <v>RAS</v>
      </c>
      <c r="J145" t="str">
        <f t="shared" si="8"/>
        <v>Autre filière</v>
      </c>
    </row>
    <row r="146" spans="1:10">
      <c r="A146" t="s">
        <v>291</v>
      </c>
      <c r="B146" t="s">
        <v>62</v>
      </c>
      <c r="C146" s="8" t="s">
        <v>34</v>
      </c>
      <c r="D146" s="8">
        <v>13.14</v>
      </c>
      <c r="E146" s="8">
        <v>16.55</v>
      </c>
      <c r="F146" s="6">
        <v>0.72319999999999995</v>
      </c>
      <c r="G146" t="str">
        <f t="shared" si="6"/>
        <v>Admis sous condition</v>
      </c>
      <c r="H146" t="str" cm="1">
        <f t="array" ref="H146">_xlfn.IFS(E146&gt;=16,"Excellent",E146&gt;=14,"Très bien",E146&gt;=12,"Bien",E146&gt;=10,"Passable",E146&lt;10,"Insuffisant")</f>
        <v>Excellent</v>
      </c>
      <c r="I146" t="str">
        <f t="shared" si="7"/>
        <v>RAS</v>
      </c>
      <c r="J146" t="str">
        <f t="shared" si="8"/>
        <v>Autre filière</v>
      </c>
    </row>
    <row r="147" spans="1:10">
      <c r="A147" t="s">
        <v>292</v>
      </c>
      <c r="B147" t="s">
        <v>143</v>
      </c>
      <c r="C147" s="8" t="s">
        <v>26</v>
      </c>
      <c r="D147" s="8">
        <v>11.19</v>
      </c>
      <c r="E147" s="8">
        <v>11.25</v>
      </c>
      <c r="F147" s="6">
        <v>0.91400000000000003</v>
      </c>
      <c r="G147" t="str">
        <f t="shared" si="6"/>
        <v>Admis sous condition</v>
      </c>
      <c r="H147" t="str" cm="1">
        <f t="array" ref="H147">_xlfn.IFS(E147&gt;=16,"Excellent",E147&gt;=14,"Très bien",E147&gt;=12,"Bien",E147&gt;=10,"Passable",E147&lt;10,"Insuffisant")</f>
        <v>Passable</v>
      </c>
      <c r="I147" t="str">
        <f t="shared" si="7"/>
        <v>RAS</v>
      </c>
      <c r="J147" t="str">
        <f t="shared" si="8"/>
        <v>Autre filière</v>
      </c>
    </row>
    <row r="148" spans="1:10">
      <c r="A148" t="s">
        <v>293</v>
      </c>
      <c r="B148" t="s">
        <v>294</v>
      </c>
      <c r="C148" s="8" t="s">
        <v>26</v>
      </c>
      <c r="D148" s="8">
        <v>11.01</v>
      </c>
      <c r="E148" s="8">
        <v>14.44</v>
      </c>
      <c r="F148" s="6">
        <v>0.81269999999999998</v>
      </c>
      <c r="G148" t="str">
        <f t="shared" si="6"/>
        <v>Admis sous condition</v>
      </c>
      <c r="H148" t="str" cm="1">
        <f t="array" ref="H148">_xlfn.IFS(E148&gt;=16,"Excellent",E148&gt;=14,"Très bien",E148&gt;=12,"Bien",E148&gt;=10,"Passable",E148&lt;10,"Insuffisant")</f>
        <v>Très bien</v>
      </c>
      <c r="I148" t="str">
        <f t="shared" si="7"/>
        <v>RAS</v>
      </c>
      <c r="J148" t="str">
        <f t="shared" si="8"/>
        <v>Autre filière</v>
      </c>
    </row>
    <row r="149" spans="1:10">
      <c r="A149" t="s">
        <v>295</v>
      </c>
      <c r="B149" t="s">
        <v>296</v>
      </c>
      <c r="C149" s="8" t="s">
        <v>26</v>
      </c>
      <c r="D149" s="8">
        <v>13.62</v>
      </c>
      <c r="E149" s="8">
        <v>15.57</v>
      </c>
      <c r="F149" s="6">
        <v>0.94320000000000004</v>
      </c>
      <c r="G149" t="str">
        <f t="shared" si="6"/>
        <v>Admis</v>
      </c>
      <c r="H149" t="str" cm="1">
        <f t="array" ref="H149">_xlfn.IFS(E149&gt;=16,"Excellent",E149&gt;=14,"Très bien",E149&gt;=12,"Bien",E149&gt;=10,"Passable",E149&lt;10,"Insuffisant")</f>
        <v>Très bien</v>
      </c>
      <c r="I149" t="str">
        <f t="shared" si="7"/>
        <v>RAS</v>
      </c>
      <c r="J149" t="str">
        <f t="shared" si="8"/>
        <v>Autre filière</v>
      </c>
    </row>
    <row r="150" spans="1:10">
      <c r="A150" t="s">
        <v>297</v>
      </c>
      <c r="B150" t="s">
        <v>271</v>
      </c>
      <c r="C150" s="8" t="s">
        <v>26</v>
      </c>
      <c r="D150" s="8">
        <v>13.51</v>
      </c>
      <c r="E150" s="8">
        <v>11.38</v>
      </c>
      <c r="F150" s="6">
        <v>0.70140000000000002</v>
      </c>
      <c r="G150" t="str">
        <f t="shared" si="6"/>
        <v>Admis sous condition</v>
      </c>
      <c r="H150" t="str" cm="1">
        <f t="array" ref="H150">_xlfn.IFS(E150&gt;=16,"Excellent",E150&gt;=14,"Très bien",E150&gt;=12,"Bien",E150&gt;=10,"Passable",E150&lt;10,"Insuffisant")</f>
        <v>Passable</v>
      </c>
      <c r="I150" t="str">
        <f t="shared" si="7"/>
        <v>RAS</v>
      </c>
      <c r="J150" t="str">
        <f t="shared" si="8"/>
        <v>Autre filière</v>
      </c>
    </row>
    <row r="151" spans="1:10">
      <c r="A151" t="s">
        <v>298</v>
      </c>
      <c r="B151" t="s">
        <v>39</v>
      </c>
      <c r="C151" s="8" t="s">
        <v>34</v>
      </c>
      <c r="D151" s="8">
        <v>11.8</v>
      </c>
      <c r="E151" s="8">
        <v>14.75</v>
      </c>
      <c r="F151" s="6">
        <v>0.68049999999999999</v>
      </c>
      <c r="G151" t="str">
        <f t="shared" si="6"/>
        <v>Admis sous condition</v>
      </c>
      <c r="H151" t="str" cm="1">
        <f t="array" ref="H151">_xlfn.IFS(E151&gt;=16,"Excellent",E151&gt;=14,"Très bien",E151&gt;=12,"Bien",E151&gt;=10,"Passable",E151&lt;10,"Insuffisant")</f>
        <v>Très bien</v>
      </c>
      <c r="I151" t="str">
        <f t="shared" si="7"/>
        <v>A surveiller</v>
      </c>
      <c r="J151" t="str">
        <f t="shared" si="8"/>
        <v>Autre filière</v>
      </c>
    </row>
    <row r="152" spans="1:10">
      <c r="A152" t="s">
        <v>299</v>
      </c>
      <c r="B152" t="s">
        <v>300</v>
      </c>
      <c r="C152" s="8" t="s">
        <v>21</v>
      </c>
      <c r="D152" s="8">
        <v>12.01</v>
      </c>
      <c r="E152" s="8">
        <v>10.3</v>
      </c>
      <c r="F152" s="6">
        <v>0.81130000000000002</v>
      </c>
      <c r="G152" t="str">
        <f t="shared" si="6"/>
        <v>Admis sous condition</v>
      </c>
      <c r="H152" t="str" cm="1">
        <f t="array" ref="H152">_xlfn.IFS(E152&gt;=16,"Excellent",E152&gt;=14,"Très bien",E152&gt;=12,"Bien",E152&gt;=10,"Passable",E152&lt;10,"Insuffisant")</f>
        <v>Passable</v>
      </c>
      <c r="I152" t="str">
        <f t="shared" si="7"/>
        <v>RAS</v>
      </c>
      <c r="J152" t="str">
        <f t="shared" si="8"/>
        <v>Data</v>
      </c>
    </row>
    <row r="153" spans="1:10">
      <c r="A153" t="s">
        <v>301</v>
      </c>
      <c r="B153" t="s">
        <v>46</v>
      </c>
      <c r="C153" s="8" t="s">
        <v>34</v>
      </c>
      <c r="D153" s="8">
        <v>14.14</v>
      </c>
      <c r="E153" s="8">
        <v>11.75</v>
      </c>
      <c r="F153" s="6">
        <v>0.90129999999999999</v>
      </c>
      <c r="G153" t="str">
        <f t="shared" si="6"/>
        <v>Admis sous condition</v>
      </c>
      <c r="H153" t="str" cm="1">
        <f t="array" ref="H153">_xlfn.IFS(E153&gt;=16,"Excellent",E153&gt;=14,"Très bien",E153&gt;=12,"Bien",E153&gt;=10,"Passable",E153&lt;10,"Insuffisant")</f>
        <v>Passable</v>
      </c>
      <c r="I153" t="str">
        <f t="shared" si="7"/>
        <v>RAS</v>
      </c>
      <c r="J153" t="str">
        <f t="shared" si="8"/>
        <v>Autre filière</v>
      </c>
    </row>
    <row r="154" spans="1:10">
      <c r="A154" t="s">
        <v>302</v>
      </c>
      <c r="B154" t="s">
        <v>179</v>
      </c>
      <c r="C154" s="8" t="s">
        <v>47</v>
      </c>
      <c r="D154" s="8">
        <v>10.38</v>
      </c>
      <c r="E154" s="8">
        <v>12.68</v>
      </c>
      <c r="F154" s="6">
        <v>0.74870000000000003</v>
      </c>
      <c r="G154" t="str">
        <f t="shared" si="6"/>
        <v>Admis sous condition</v>
      </c>
      <c r="H154" t="str" cm="1">
        <f t="array" ref="H154">_xlfn.IFS(E154&gt;=16,"Excellent",E154&gt;=14,"Très bien",E154&gt;=12,"Bien",E154&gt;=10,"Passable",E154&lt;10,"Insuffisant")</f>
        <v>Bien</v>
      </c>
      <c r="I154" t="str">
        <f t="shared" si="7"/>
        <v>RAS</v>
      </c>
      <c r="J154" t="str">
        <f t="shared" si="8"/>
        <v>Autre filière</v>
      </c>
    </row>
    <row r="155" spans="1:10">
      <c r="A155" t="s">
        <v>303</v>
      </c>
      <c r="B155" t="s">
        <v>230</v>
      </c>
      <c r="C155" s="8" t="s">
        <v>26</v>
      </c>
      <c r="D155" s="8">
        <v>17.88</v>
      </c>
      <c r="E155" s="8">
        <v>15.6</v>
      </c>
      <c r="F155" s="6">
        <v>0.84219999999999995</v>
      </c>
      <c r="G155" t="str">
        <f t="shared" si="6"/>
        <v>Admis</v>
      </c>
      <c r="H155" t="str" cm="1">
        <f t="array" ref="H155">_xlfn.IFS(E155&gt;=16,"Excellent",E155&gt;=14,"Très bien",E155&gt;=12,"Bien",E155&gt;=10,"Passable",E155&lt;10,"Insuffisant")</f>
        <v>Très bien</v>
      </c>
      <c r="I155" t="str">
        <f t="shared" si="7"/>
        <v>RAS</v>
      </c>
      <c r="J155" t="str">
        <f t="shared" si="8"/>
        <v>Autre filière</v>
      </c>
    </row>
    <row r="156" spans="1:10">
      <c r="A156" t="s">
        <v>304</v>
      </c>
      <c r="B156" t="s">
        <v>287</v>
      </c>
      <c r="C156" s="8" t="s">
        <v>34</v>
      </c>
      <c r="D156" s="8">
        <v>10.83</v>
      </c>
      <c r="E156" s="8">
        <v>13.88</v>
      </c>
      <c r="F156" s="6">
        <v>0.71230000000000004</v>
      </c>
      <c r="G156" t="str">
        <f t="shared" si="6"/>
        <v>Admis sous condition</v>
      </c>
      <c r="H156" t="str" cm="1">
        <f t="array" ref="H156">_xlfn.IFS(E156&gt;=16,"Excellent",E156&gt;=14,"Très bien",E156&gt;=12,"Bien",E156&gt;=10,"Passable",E156&lt;10,"Insuffisant")</f>
        <v>Bien</v>
      </c>
      <c r="I156" t="str">
        <f t="shared" si="7"/>
        <v>RAS</v>
      </c>
      <c r="J156" t="str">
        <f t="shared" si="8"/>
        <v>Autre filière</v>
      </c>
    </row>
    <row r="157" spans="1:10">
      <c r="A157" t="s">
        <v>305</v>
      </c>
      <c r="B157" t="s">
        <v>306</v>
      </c>
      <c r="C157" s="8" t="s">
        <v>34</v>
      </c>
      <c r="D157" s="8">
        <v>9.59</v>
      </c>
      <c r="E157" s="8">
        <v>5.9</v>
      </c>
      <c r="F157" s="6">
        <v>0.89759999999999995</v>
      </c>
      <c r="G157" t="str">
        <f t="shared" si="6"/>
        <v>Refuse</v>
      </c>
      <c r="H157" t="str" cm="1">
        <f t="array" ref="H157">_xlfn.IFS(E157&gt;=16,"Excellent",E157&gt;=14,"Très bien",E157&gt;=12,"Bien",E157&gt;=10,"Passable",E157&lt;10,"Insuffisant")</f>
        <v>Insuffisant</v>
      </c>
      <c r="I157" t="str">
        <f t="shared" si="7"/>
        <v>A surveiller</v>
      </c>
      <c r="J157" t="str">
        <f t="shared" si="8"/>
        <v>Autre filière</v>
      </c>
    </row>
    <row r="158" spans="1:10">
      <c r="A158" t="s">
        <v>307</v>
      </c>
      <c r="B158" t="s">
        <v>151</v>
      </c>
      <c r="C158" s="8" t="s">
        <v>34</v>
      </c>
      <c r="D158" s="8">
        <v>7.09</v>
      </c>
      <c r="E158" s="8">
        <v>17.559999999999999</v>
      </c>
      <c r="F158" s="6">
        <v>0.92930000000000001</v>
      </c>
      <c r="G158" t="str">
        <f t="shared" si="6"/>
        <v>Refuse</v>
      </c>
      <c r="H158" t="str" cm="1">
        <f t="array" ref="H158">_xlfn.IFS(E158&gt;=16,"Excellent",E158&gt;=14,"Très bien",E158&gt;=12,"Bien",E158&gt;=10,"Passable",E158&lt;10,"Insuffisant")</f>
        <v>Excellent</v>
      </c>
      <c r="I158" t="str">
        <f t="shared" si="7"/>
        <v>A surveiller</v>
      </c>
      <c r="J158" t="str">
        <f t="shared" si="8"/>
        <v>Autre filière</v>
      </c>
    </row>
    <row r="159" spans="1:10">
      <c r="A159" t="s">
        <v>308</v>
      </c>
      <c r="B159" t="s">
        <v>309</v>
      </c>
      <c r="C159" s="8" t="s">
        <v>26</v>
      </c>
      <c r="D159" s="8">
        <v>11.93</v>
      </c>
      <c r="E159" s="8">
        <v>11.22</v>
      </c>
      <c r="F159" s="6">
        <v>0.82089999999999996</v>
      </c>
      <c r="G159" t="str">
        <f t="shared" si="6"/>
        <v>Admis sous condition</v>
      </c>
      <c r="H159" t="str" cm="1">
        <f t="array" ref="H159">_xlfn.IFS(E159&gt;=16,"Excellent",E159&gt;=14,"Très bien",E159&gt;=12,"Bien",E159&gt;=10,"Passable",E159&lt;10,"Insuffisant")</f>
        <v>Passable</v>
      </c>
      <c r="I159" t="str">
        <f t="shared" si="7"/>
        <v>RAS</v>
      </c>
      <c r="J159" t="str">
        <f t="shared" si="8"/>
        <v>Autre filière</v>
      </c>
    </row>
    <row r="160" spans="1:10">
      <c r="A160" t="s">
        <v>310</v>
      </c>
      <c r="B160" t="s">
        <v>223</v>
      </c>
      <c r="C160" s="8" t="s">
        <v>21</v>
      </c>
      <c r="D160" s="8">
        <v>11.87</v>
      </c>
      <c r="E160" s="8">
        <v>17.46</v>
      </c>
      <c r="F160" s="6">
        <v>0.6431</v>
      </c>
      <c r="G160" t="str">
        <f t="shared" si="6"/>
        <v>Admis sous condition</v>
      </c>
      <c r="H160" t="str" cm="1">
        <f t="array" ref="H160">_xlfn.IFS(E160&gt;=16,"Excellent",E160&gt;=14,"Très bien",E160&gt;=12,"Bien",E160&gt;=10,"Passable",E160&lt;10,"Insuffisant")</f>
        <v>Excellent</v>
      </c>
      <c r="I160" t="str">
        <f t="shared" si="7"/>
        <v>A surveiller</v>
      </c>
      <c r="J160" t="str">
        <f t="shared" si="8"/>
        <v>Data</v>
      </c>
    </row>
    <row r="161" spans="1:10">
      <c r="A161" t="s">
        <v>311</v>
      </c>
      <c r="B161" t="s">
        <v>312</v>
      </c>
      <c r="C161" s="8" t="s">
        <v>34</v>
      </c>
      <c r="D161" s="8">
        <v>17.34</v>
      </c>
      <c r="E161" s="8">
        <v>15.47</v>
      </c>
      <c r="F161" s="6">
        <v>0.83650000000000002</v>
      </c>
      <c r="G161" t="str">
        <f t="shared" si="6"/>
        <v>Admis</v>
      </c>
      <c r="H161" t="str" cm="1">
        <f t="array" ref="H161">_xlfn.IFS(E161&gt;=16,"Excellent",E161&gt;=14,"Très bien",E161&gt;=12,"Bien",E161&gt;=10,"Passable",E161&lt;10,"Insuffisant")</f>
        <v>Très bien</v>
      </c>
      <c r="I161" t="str">
        <f t="shared" si="7"/>
        <v>RAS</v>
      </c>
      <c r="J161" t="str">
        <f t="shared" si="8"/>
        <v>Autre filière</v>
      </c>
    </row>
    <row r="162" spans="1:10">
      <c r="A162" t="s">
        <v>313</v>
      </c>
      <c r="B162" t="s">
        <v>314</v>
      </c>
      <c r="C162" s="8" t="s">
        <v>21</v>
      </c>
      <c r="D162" s="8">
        <v>15.66</v>
      </c>
      <c r="E162" s="8">
        <v>11.64</v>
      </c>
      <c r="F162" s="6">
        <v>0.91639999999999999</v>
      </c>
      <c r="G162" t="str">
        <f t="shared" si="6"/>
        <v>Admis sous condition</v>
      </c>
      <c r="H162" t="str" cm="1">
        <f t="array" ref="H162">_xlfn.IFS(E162&gt;=16,"Excellent",E162&gt;=14,"Très bien",E162&gt;=12,"Bien",E162&gt;=10,"Passable",E162&lt;10,"Insuffisant")</f>
        <v>Passable</v>
      </c>
      <c r="I162" t="str">
        <f t="shared" si="7"/>
        <v>RAS</v>
      </c>
      <c r="J162" t="str">
        <f t="shared" si="8"/>
        <v>Data</v>
      </c>
    </row>
    <row r="163" spans="1:10">
      <c r="A163" t="s">
        <v>315</v>
      </c>
      <c r="B163" t="s">
        <v>316</v>
      </c>
      <c r="C163" s="8" t="s">
        <v>26</v>
      </c>
      <c r="D163" s="8">
        <v>14.71</v>
      </c>
      <c r="E163" s="8">
        <v>8.17</v>
      </c>
      <c r="F163" s="6">
        <v>0.74680000000000002</v>
      </c>
      <c r="G163" t="str">
        <f t="shared" si="6"/>
        <v>Refuse</v>
      </c>
      <c r="H163" t="str" cm="1">
        <f t="array" ref="H163">_xlfn.IFS(E163&gt;=16,"Excellent",E163&gt;=14,"Très bien",E163&gt;=12,"Bien",E163&gt;=10,"Passable",E163&lt;10,"Insuffisant")</f>
        <v>Insuffisant</v>
      </c>
      <c r="I163" t="str">
        <f t="shared" si="7"/>
        <v>A surveiller</v>
      </c>
      <c r="J163" t="str">
        <f t="shared" si="8"/>
        <v>Autre filière</v>
      </c>
    </row>
    <row r="164" spans="1:10">
      <c r="A164" t="s">
        <v>317</v>
      </c>
      <c r="B164" t="s">
        <v>18</v>
      </c>
      <c r="C164" s="8" t="s">
        <v>34</v>
      </c>
      <c r="D164" s="8">
        <v>7.8</v>
      </c>
      <c r="E164" s="8">
        <v>8.6199999999999992</v>
      </c>
      <c r="F164" s="6">
        <v>0.91080000000000005</v>
      </c>
      <c r="G164" t="str">
        <f t="shared" si="6"/>
        <v>Refuse</v>
      </c>
      <c r="H164" t="str" cm="1">
        <f t="array" ref="H164">_xlfn.IFS(E164&gt;=16,"Excellent",E164&gt;=14,"Très bien",E164&gt;=12,"Bien",E164&gt;=10,"Passable",E164&lt;10,"Insuffisant")</f>
        <v>Insuffisant</v>
      </c>
      <c r="I164" t="str">
        <f t="shared" si="7"/>
        <v>A surveiller</v>
      </c>
      <c r="J164" t="str">
        <f t="shared" si="8"/>
        <v>Autre filière</v>
      </c>
    </row>
    <row r="165" spans="1:10">
      <c r="A165" t="s">
        <v>318</v>
      </c>
      <c r="B165" t="s">
        <v>319</v>
      </c>
      <c r="C165" s="8" t="s">
        <v>21</v>
      </c>
      <c r="D165" s="8">
        <v>10.18</v>
      </c>
      <c r="E165" s="8">
        <v>8.77</v>
      </c>
      <c r="F165" s="6">
        <v>0.9526</v>
      </c>
      <c r="G165" t="str">
        <f t="shared" si="6"/>
        <v>Refuse</v>
      </c>
      <c r="H165" t="str" cm="1">
        <f t="array" ref="H165">_xlfn.IFS(E165&gt;=16,"Excellent",E165&gt;=14,"Très bien",E165&gt;=12,"Bien",E165&gt;=10,"Passable",E165&lt;10,"Insuffisant")</f>
        <v>Insuffisant</v>
      </c>
      <c r="I165" t="str">
        <f t="shared" si="7"/>
        <v>A surveiller</v>
      </c>
      <c r="J165" t="str">
        <f t="shared" si="8"/>
        <v>Data</v>
      </c>
    </row>
    <row r="166" spans="1:10">
      <c r="A166" t="s">
        <v>320</v>
      </c>
      <c r="B166" t="s">
        <v>284</v>
      </c>
      <c r="C166" s="8" t="s">
        <v>34</v>
      </c>
      <c r="D166" s="8">
        <v>15.02</v>
      </c>
      <c r="E166" s="8">
        <v>10.6</v>
      </c>
      <c r="F166" s="6">
        <v>0.55000000000000004</v>
      </c>
      <c r="G166" t="str">
        <f t="shared" si="6"/>
        <v>Admis sous condition</v>
      </c>
      <c r="H166" t="str" cm="1">
        <f t="array" ref="H166">_xlfn.IFS(E166&gt;=16,"Excellent",E166&gt;=14,"Très bien",E166&gt;=12,"Bien",E166&gt;=10,"Passable",E166&lt;10,"Insuffisant")</f>
        <v>Passable</v>
      </c>
      <c r="I166" t="str">
        <f t="shared" si="7"/>
        <v>A surveiller</v>
      </c>
      <c r="J166" t="str">
        <f t="shared" si="8"/>
        <v>Autre filière</v>
      </c>
    </row>
    <row r="167" spans="1:10">
      <c r="A167" t="s">
        <v>321</v>
      </c>
      <c r="B167" t="s">
        <v>322</v>
      </c>
      <c r="C167" s="8" t="s">
        <v>21</v>
      </c>
      <c r="D167" s="8">
        <v>11.54</v>
      </c>
      <c r="E167" s="8">
        <v>8.76</v>
      </c>
      <c r="F167" s="6">
        <v>0.86670000000000003</v>
      </c>
      <c r="G167" t="str">
        <f t="shared" si="6"/>
        <v>Refuse</v>
      </c>
      <c r="H167" t="str" cm="1">
        <f t="array" ref="H167">_xlfn.IFS(E167&gt;=16,"Excellent",E167&gt;=14,"Très bien",E167&gt;=12,"Bien",E167&gt;=10,"Passable",E167&lt;10,"Insuffisant")</f>
        <v>Insuffisant</v>
      </c>
      <c r="I167" t="str">
        <f t="shared" si="7"/>
        <v>A surveiller</v>
      </c>
      <c r="J167" t="str">
        <f t="shared" si="8"/>
        <v>Data</v>
      </c>
    </row>
    <row r="168" spans="1:10">
      <c r="A168" t="s">
        <v>323</v>
      </c>
      <c r="B168" t="s">
        <v>324</v>
      </c>
      <c r="C168" s="8" t="s">
        <v>34</v>
      </c>
      <c r="D168" s="8">
        <v>15.57</v>
      </c>
      <c r="E168" s="8">
        <v>19.28</v>
      </c>
      <c r="F168" s="6">
        <v>0.76029999999999998</v>
      </c>
      <c r="G168" t="str">
        <f t="shared" si="6"/>
        <v>Admis sous condition</v>
      </c>
      <c r="H168" t="str" cm="1">
        <f t="array" ref="H168">_xlfn.IFS(E168&gt;=16,"Excellent",E168&gt;=14,"Très bien",E168&gt;=12,"Bien",E168&gt;=10,"Passable",E168&lt;10,"Insuffisant")</f>
        <v>Excellent</v>
      </c>
      <c r="I168" t="str">
        <f t="shared" si="7"/>
        <v>RAS</v>
      </c>
      <c r="J168" t="str">
        <f t="shared" si="8"/>
        <v>Autre filière</v>
      </c>
    </row>
    <row r="169" spans="1:10">
      <c r="A169" t="s">
        <v>325</v>
      </c>
      <c r="B169" t="s">
        <v>87</v>
      </c>
      <c r="C169" s="8" t="s">
        <v>26</v>
      </c>
      <c r="D169" s="8">
        <v>9.26</v>
      </c>
      <c r="E169" s="8">
        <v>14.8</v>
      </c>
      <c r="F169" s="6">
        <v>0.93049999999999999</v>
      </c>
      <c r="G169" t="str">
        <f t="shared" si="6"/>
        <v>Refuse</v>
      </c>
      <c r="H169" t="str" cm="1">
        <f t="array" ref="H169">_xlfn.IFS(E169&gt;=16,"Excellent",E169&gt;=14,"Très bien",E169&gt;=12,"Bien",E169&gt;=10,"Passable",E169&lt;10,"Insuffisant")</f>
        <v>Très bien</v>
      </c>
      <c r="I169" t="str">
        <f t="shared" si="7"/>
        <v>A surveiller</v>
      </c>
      <c r="J169" t="str">
        <f t="shared" si="8"/>
        <v>Autre filière</v>
      </c>
    </row>
    <row r="170" spans="1:10">
      <c r="A170" t="s">
        <v>326</v>
      </c>
      <c r="B170" t="s">
        <v>230</v>
      </c>
      <c r="C170" s="8" t="s">
        <v>47</v>
      </c>
      <c r="D170" s="8">
        <v>16.14</v>
      </c>
      <c r="E170" s="8">
        <v>20</v>
      </c>
      <c r="F170" s="6">
        <v>0.85829999999999995</v>
      </c>
      <c r="G170" t="str">
        <f t="shared" si="6"/>
        <v>Admis</v>
      </c>
      <c r="H170" t="str" cm="1">
        <f t="array" ref="H170">_xlfn.IFS(E170&gt;=16,"Excellent",E170&gt;=14,"Très bien",E170&gt;=12,"Bien",E170&gt;=10,"Passable",E170&lt;10,"Insuffisant")</f>
        <v>Excellent</v>
      </c>
      <c r="I170" t="str">
        <f t="shared" si="7"/>
        <v>RAS</v>
      </c>
      <c r="J170" t="str">
        <f t="shared" si="8"/>
        <v>Autre filière</v>
      </c>
    </row>
    <row r="171" spans="1:10">
      <c r="A171" t="s">
        <v>327</v>
      </c>
      <c r="B171" t="s">
        <v>328</v>
      </c>
      <c r="C171" s="8" t="s">
        <v>26</v>
      </c>
      <c r="D171" s="8">
        <v>15.33</v>
      </c>
      <c r="E171" s="8">
        <v>12.36</v>
      </c>
      <c r="F171" s="6">
        <v>0.8236</v>
      </c>
      <c r="G171" t="str">
        <f t="shared" si="6"/>
        <v>Admis</v>
      </c>
      <c r="H171" t="str" cm="1">
        <f t="array" ref="H171">_xlfn.IFS(E171&gt;=16,"Excellent",E171&gt;=14,"Très bien",E171&gt;=12,"Bien",E171&gt;=10,"Passable",E171&lt;10,"Insuffisant")</f>
        <v>Bien</v>
      </c>
      <c r="I171" t="str">
        <f t="shared" si="7"/>
        <v>RAS</v>
      </c>
      <c r="J171" t="str">
        <f t="shared" si="8"/>
        <v>Autre filière</v>
      </c>
    </row>
    <row r="172" spans="1:10">
      <c r="A172" t="s">
        <v>329</v>
      </c>
      <c r="B172" t="s">
        <v>330</v>
      </c>
      <c r="C172" s="8" t="s">
        <v>47</v>
      </c>
      <c r="D172" s="8">
        <v>18.61</v>
      </c>
      <c r="E172" s="8">
        <v>14.29</v>
      </c>
      <c r="F172" s="6">
        <v>0.90839999999999999</v>
      </c>
      <c r="G172" t="str">
        <f t="shared" si="6"/>
        <v>Admis</v>
      </c>
      <c r="H172" t="str" cm="1">
        <f t="array" ref="H172">_xlfn.IFS(E172&gt;=16,"Excellent",E172&gt;=14,"Très bien",E172&gt;=12,"Bien",E172&gt;=10,"Passable",E172&lt;10,"Insuffisant")</f>
        <v>Très bien</v>
      </c>
      <c r="I172" t="str">
        <f t="shared" si="7"/>
        <v>RAS</v>
      </c>
      <c r="J172" t="str">
        <f t="shared" si="8"/>
        <v>Autre filière</v>
      </c>
    </row>
    <row r="173" spans="1:10">
      <c r="A173" t="s">
        <v>331</v>
      </c>
      <c r="B173" t="s">
        <v>160</v>
      </c>
      <c r="C173" s="8" t="s">
        <v>26</v>
      </c>
      <c r="D173" s="8">
        <v>13.39</v>
      </c>
      <c r="E173" s="8">
        <v>10.61</v>
      </c>
      <c r="F173" s="6">
        <v>0.91259999999999997</v>
      </c>
      <c r="G173" t="str">
        <f t="shared" si="6"/>
        <v>Admis sous condition</v>
      </c>
      <c r="H173" t="str" cm="1">
        <f t="array" ref="H173">_xlfn.IFS(E173&gt;=16,"Excellent",E173&gt;=14,"Très bien",E173&gt;=12,"Bien",E173&gt;=10,"Passable",E173&lt;10,"Insuffisant")</f>
        <v>Passable</v>
      </c>
      <c r="I173" t="str">
        <f t="shared" si="7"/>
        <v>RAS</v>
      </c>
      <c r="J173" t="str">
        <f t="shared" si="8"/>
        <v>Autre filière</v>
      </c>
    </row>
    <row r="174" spans="1:10">
      <c r="A174" t="s">
        <v>332</v>
      </c>
      <c r="B174" t="s">
        <v>312</v>
      </c>
      <c r="C174" s="8" t="s">
        <v>34</v>
      </c>
      <c r="D174" s="8">
        <v>11.83</v>
      </c>
      <c r="E174" s="8">
        <v>12.97</v>
      </c>
      <c r="F174" s="6">
        <v>0.94269999999999998</v>
      </c>
      <c r="G174" t="str">
        <f t="shared" si="6"/>
        <v>Admis sous condition</v>
      </c>
      <c r="H174" t="str" cm="1">
        <f t="array" ref="H174">_xlfn.IFS(E174&gt;=16,"Excellent",E174&gt;=14,"Très bien",E174&gt;=12,"Bien",E174&gt;=10,"Passable",E174&lt;10,"Insuffisant")</f>
        <v>Bien</v>
      </c>
      <c r="I174" t="str">
        <f t="shared" si="7"/>
        <v>RAS</v>
      </c>
      <c r="J174" t="str">
        <f t="shared" si="8"/>
        <v>Autre filière</v>
      </c>
    </row>
    <row r="175" spans="1:10">
      <c r="A175" t="s">
        <v>333</v>
      </c>
      <c r="B175" t="s">
        <v>118</v>
      </c>
      <c r="C175" s="8" t="s">
        <v>26</v>
      </c>
      <c r="D175" s="8">
        <v>15.71</v>
      </c>
      <c r="E175" s="8">
        <v>17.37</v>
      </c>
      <c r="F175" s="6">
        <v>0.85809999999999997</v>
      </c>
      <c r="G175" t="str">
        <f t="shared" si="6"/>
        <v>Admis</v>
      </c>
      <c r="H175" t="str" cm="1">
        <f t="array" ref="H175">_xlfn.IFS(E175&gt;=16,"Excellent",E175&gt;=14,"Très bien",E175&gt;=12,"Bien",E175&gt;=10,"Passable",E175&lt;10,"Insuffisant")</f>
        <v>Excellent</v>
      </c>
      <c r="I175" t="str">
        <f t="shared" si="7"/>
        <v>RAS</v>
      </c>
      <c r="J175" t="str">
        <f t="shared" si="8"/>
        <v>Autre filière</v>
      </c>
    </row>
    <row r="176" spans="1:10">
      <c r="A176" t="s">
        <v>334</v>
      </c>
      <c r="B176" t="s">
        <v>103</v>
      </c>
      <c r="C176" s="8" t="s">
        <v>21</v>
      </c>
      <c r="D176" s="8">
        <v>8.2200000000000006</v>
      </c>
      <c r="E176" s="8">
        <v>8.23</v>
      </c>
      <c r="F176" s="6">
        <v>0.71509999999999996</v>
      </c>
      <c r="G176" t="str">
        <f t="shared" si="6"/>
        <v>Refuse</v>
      </c>
      <c r="H176" t="str" cm="1">
        <f t="array" ref="H176">_xlfn.IFS(E176&gt;=16,"Excellent",E176&gt;=14,"Très bien",E176&gt;=12,"Bien",E176&gt;=10,"Passable",E176&lt;10,"Insuffisant")</f>
        <v>Insuffisant</v>
      </c>
      <c r="I176" t="str">
        <f t="shared" si="7"/>
        <v>A surveiller</v>
      </c>
      <c r="J176" t="str">
        <f t="shared" si="8"/>
        <v>Data</v>
      </c>
    </row>
    <row r="177" spans="1:10">
      <c r="A177" t="s">
        <v>335</v>
      </c>
      <c r="B177" t="s">
        <v>336</v>
      </c>
      <c r="C177" s="8" t="s">
        <v>34</v>
      </c>
      <c r="D177" s="8">
        <v>4.01</v>
      </c>
      <c r="E177" s="8">
        <v>10.33</v>
      </c>
      <c r="F177" s="6">
        <v>0.93520000000000003</v>
      </c>
      <c r="G177" t="str">
        <f t="shared" si="6"/>
        <v>Refuse</v>
      </c>
      <c r="H177" t="str" cm="1">
        <f t="array" ref="H177">_xlfn.IFS(E177&gt;=16,"Excellent",E177&gt;=14,"Très bien",E177&gt;=12,"Bien",E177&gt;=10,"Passable",E177&lt;10,"Insuffisant")</f>
        <v>Passable</v>
      </c>
      <c r="I177" t="str">
        <f t="shared" si="7"/>
        <v>A surveiller</v>
      </c>
      <c r="J177" t="str">
        <f t="shared" si="8"/>
        <v>Autre filière</v>
      </c>
    </row>
    <row r="178" spans="1:10">
      <c r="A178" t="s">
        <v>337</v>
      </c>
      <c r="B178" t="s">
        <v>145</v>
      </c>
      <c r="C178" s="8" t="s">
        <v>47</v>
      </c>
      <c r="D178" s="8">
        <v>13.19</v>
      </c>
      <c r="E178" s="8">
        <v>14.36</v>
      </c>
      <c r="F178" s="6">
        <v>0.83160000000000001</v>
      </c>
      <c r="G178" t="str">
        <f t="shared" si="6"/>
        <v>Admis</v>
      </c>
      <c r="H178" t="str" cm="1">
        <f t="array" ref="H178">_xlfn.IFS(E178&gt;=16,"Excellent",E178&gt;=14,"Très bien",E178&gt;=12,"Bien",E178&gt;=10,"Passable",E178&lt;10,"Insuffisant")</f>
        <v>Très bien</v>
      </c>
      <c r="I178" t="str">
        <f t="shared" si="7"/>
        <v>RAS</v>
      </c>
      <c r="J178" t="str">
        <f t="shared" si="8"/>
        <v>Autre filière</v>
      </c>
    </row>
    <row r="179" spans="1:10">
      <c r="A179" t="s">
        <v>338</v>
      </c>
      <c r="B179" t="s">
        <v>339</v>
      </c>
      <c r="C179" s="8" t="s">
        <v>34</v>
      </c>
      <c r="D179" s="8">
        <v>15.34</v>
      </c>
      <c r="E179" s="8">
        <v>11.89</v>
      </c>
      <c r="F179" s="6">
        <v>0.91769999999999996</v>
      </c>
      <c r="G179" t="str">
        <f t="shared" si="6"/>
        <v>Admis sous condition</v>
      </c>
      <c r="H179" t="str" cm="1">
        <f t="array" ref="H179">_xlfn.IFS(E179&gt;=16,"Excellent",E179&gt;=14,"Très bien",E179&gt;=12,"Bien",E179&gt;=10,"Passable",E179&lt;10,"Insuffisant")</f>
        <v>Passable</v>
      </c>
      <c r="I179" t="str">
        <f t="shared" si="7"/>
        <v>RAS</v>
      </c>
      <c r="J179" t="str">
        <f t="shared" si="8"/>
        <v>Autre filière</v>
      </c>
    </row>
    <row r="180" spans="1:10">
      <c r="A180" t="s">
        <v>340</v>
      </c>
      <c r="B180" t="s">
        <v>341</v>
      </c>
      <c r="C180" s="8" t="s">
        <v>34</v>
      </c>
      <c r="D180" s="8">
        <v>16.39</v>
      </c>
      <c r="E180" s="8">
        <v>17.829999999999998</v>
      </c>
      <c r="F180" s="6">
        <v>0.77470000000000006</v>
      </c>
      <c r="G180" t="str">
        <f t="shared" si="6"/>
        <v>Admis sous condition</v>
      </c>
      <c r="H180" t="str" cm="1">
        <f t="array" ref="H180">_xlfn.IFS(E180&gt;=16,"Excellent",E180&gt;=14,"Très bien",E180&gt;=12,"Bien",E180&gt;=10,"Passable",E180&lt;10,"Insuffisant")</f>
        <v>Excellent</v>
      </c>
      <c r="I180" t="str">
        <f t="shared" si="7"/>
        <v>RAS</v>
      </c>
      <c r="J180" t="str">
        <f t="shared" si="8"/>
        <v>Autre filière</v>
      </c>
    </row>
    <row r="181" spans="1:10">
      <c r="A181" t="s">
        <v>342</v>
      </c>
      <c r="B181" t="s">
        <v>343</v>
      </c>
      <c r="C181" s="8" t="s">
        <v>21</v>
      </c>
      <c r="D181" s="8">
        <v>14.34</v>
      </c>
      <c r="E181" s="8">
        <v>14.93</v>
      </c>
      <c r="F181" s="6">
        <v>0.74880000000000002</v>
      </c>
      <c r="G181" t="str">
        <f t="shared" si="6"/>
        <v>Admis sous condition</v>
      </c>
      <c r="H181" t="str" cm="1">
        <f t="array" ref="H181">_xlfn.IFS(E181&gt;=16,"Excellent",E181&gt;=14,"Très bien",E181&gt;=12,"Bien",E181&gt;=10,"Passable",E181&lt;10,"Insuffisant")</f>
        <v>Très bien</v>
      </c>
      <c r="I181" t="str">
        <f t="shared" si="7"/>
        <v>RAS</v>
      </c>
      <c r="J181" t="str">
        <f t="shared" si="8"/>
        <v>Data</v>
      </c>
    </row>
    <row r="182" spans="1:10">
      <c r="A182" t="s">
        <v>344</v>
      </c>
      <c r="B182" t="s">
        <v>345</v>
      </c>
      <c r="C182" s="8" t="s">
        <v>21</v>
      </c>
      <c r="D182" s="8">
        <v>13.67</v>
      </c>
      <c r="E182" s="8">
        <v>11.91</v>
      </c>
      <c r="F182" s="6">
        <v>0.74060000000000004</v>
      </c>
      <c r="G182" t="str">
        <f t="shared" si="6"/>
        <v>Admis sous condition</v>
      </c>
      <c r="H182" t="str" cm="1">
        <f t="array" ref="H182">_xlfn.IFS(E182&gt;=16,"Excellent",E182&gt;=14,"Très bien",E182&gt;=12,"Bien",E182&gt;=10,"Passable",E182&lt;10,"Insuffisant")</f>
        <v>Passable</v>
      </c>
      <c r="I182" t="str">
        <f t="shared" si="7"/>
        <v>RAS</v>
      </c>
      <c r="J182" t="str">
        <f t="shared" si="8"/>
        <v>Data</v>
      </c>
    </row>
    <row r="183" spans="1:10">
      <c r="A183" t="s">
        <v>346</v>
      </c>
      <c r="B183" t="s">
        <v>230</v>
      </c>
      <c r="C183" s="8" t="s">
        <v>47</v>
      </c>
      <c r="D183" s="8">
        <v>16.73</v>
      </c>
      <c r="E183" s="8">
        <v>14.99</v>
      </c>
      <c r="F183" s="6">
        <v>0.88170000000000004</v>
      </c>
      <c r="G183" t="str">
        <f t="shared" si="6"/>
        <v>Admis</v>
      </c>
      <c r="H183" t="str" cm="1">
        <f t="array" ref="H183">_xlfn.IFS(E183&gt;=16,"Excellent",E183&gt;=14,"Très bien",E183&gt;=12,"Bien",E183&gt;=10,"Passable",E183&lt;10,"Insuffisant")</f>
        <v>Très bien</v>
      </c>
      <c r="I183" t="str">
        <f t="shared" si="7"/>
        <v>RAS</v>
      </c>
      <c r="J183" t="str">
        <f t="shared" si="8"/>
        <v>Autre filière</v>
      </c>
    </row>
    <row r="184" spans="1:10">
      <c r="A184" t="s">
        <v>347</v>
      </c>
      <c r="B184" t="s">
        <v>234</v>
      </c>
      <c r="C184" s="8" t="s">
        <v>26</v>
      </c>
      <c r="D184" s="8">
        <v>14.67</v>
      </c>
      <c r="E184" s="8">
        <v>15.35</v>
      </c>
      <c r="F184" s="6">
        <v>0.83099999999999996</v>
      </c>
      <c r="G184" t="str">
        <f t="shared" si="6"/>
        <v>Admis</v>
      </c>
      <c r="H184" t="str" cm="1">
        <f t="array" ref="H184">_xlfn.IFS(E184&gt;=16,"Excellent",E184&gt;=14,"Très bien",E184&gt;=12,"Bien",E184&gt;=10,"Passable",E184&lt;10,"Insuffisant")</f>
        <v>Très bien</v>
      </c>
      <c r="I184" t="str">
        <f t="shared" si="7"/>
        <v>RAS</v>
      </c>
      <c r="J184" t="str">
        <f t="shared" si="8"/>
        <v>Autre filière</v>
      </c>
    </row>
    <row r="185" spans="1:10">
      <c r="A185" t="s">
        <v>348</v>
      </c>
      <c r="B185" t="s">
        <v>269</v>
      </c>
      <c r="C185" s="8" t="s">
        <v>21</v>
      </c>
      <c r="D185" s="8">
        <v>18.09</v>
      </c>
      <c r="E185" s="8">
        <v>18.05</v>
      </c>
      <c r="F185" s="6">
        <v>0.90920000000000001</v>
      </c>
      <c r="G185" t="str">
        <f t="shared" si="6"/>
        <v>Admis</v>
      </c>
      <c r="H185" t="str" cm="1">
        <f t="array" ref="H185">_xlfn.IFS(E185&gt;=16,"Excellent",E185&gt;=14,"Très bien",E185&gt;=12,"Bien",E185&gt;=10,"Passable",E185&lt;10,"Insuffisant")</f>
        <v>Excellent</v>
      </c>
      <c r="I185" t="str">
        <f t="shared" si="7"/>
        <v>RAS</v>
      </c>
      <c r="J185" t="str">
        <f t="shared" si="8"/>
        <v>Data</v>
      </c>
    </row>
    <row r="186" spans="1:10">
      <c r="A186" t="s">
        <v>349</v>
      </c>
      <c r="B186" t="s">
        <v>350</v>
      </c>
      <c r="C186" s="8" t="s">
        <v>34</v>
      </c>
      <c r="D186" s="8">
        <v>15.42</v>
      </c>
      <c r="E186" s="8">
        <v>17.07</v>
      </c>
      <c r="F186" s="6">
        <v>0.89990000000000003</v>
      </c>
      <c r="G186" t="str">
        <f t="shared" si="6"/>
        <v>Admis</v>
      </c>
      <c r="H186" t="str" cm="1">
        <f t="array" ref="H186">_xlfn.IFS(E186&gt;=16,"Excellent",E186&gt;=14,"Très bien",E186&gt;=12,"Bien",E186&gt;=10,"Passable",E186&lt;10,"Insuffisant")</f>
        <v>Excellent</v>
      </c>
      <c r="I186" t="str">
        <f t="shared" si="7"/>
        <v>RAS</v>
      </c>
      <c r="J186" t="str">
        <f t="shared" si="8"/>
        <v>Autre filière</v>
      </c>
    </row>
    <row r="187" spans="1:10">
      <c r="A187" t="s">
        <v>351</v>
      </c>
      <c r="B187" t="s">
        <v>114</v>
      </c>
      <c r="C187" s="8" t="s">
        <v>26</v>
      </c>
      <c r="D187" s="8">
        <v>15.97</v>
      </c>
      <c r="E187" s="8">
        <v>14.85</v>
      </c>
      <c r="F187" s="6">
        <v>0.77890000000000004</v>
      </c>
      <c r="G187" t="str">
        <f t="shared" si="6"/>
        <v>Admis sous condition</v>
      </c>
      <c r="H187" t="str" cm="1">
        <f t="array" ref="H187">_xlfn.IFS(E187&gt;=16,"Excellent",E187&gt;=14,"Très bien",E187&gt;=12,"Bien",E187&gt;=10,"Passable",E187&lt;10,"Insuffisant")</f>
        <v>Très bien</v>
      </c>
      <c r="I187" t="str">
        <f t="shared" si="7"/>
        <v>RAS</v>
      </c>
      <c r="J187" t="str">
        <f t="shared" si="8"/>
        <v>Autre filière</v>
      </c>
    </row>
    <row r="188" spans="1:10">
      <c r="A188" t="s">
        <v>352</v>
      </c>
      <c r="B188" t="s">
        <v>353</v>
      </c>
      <c r="C188" s="8" t="s">
        <v>26</v>
      </c>
      <c r="D188" s="8">
        <v>6.61</v>
      </c>
      <c r="E188" s="8">
        <v>11.55</v>
      </c>
      <c r="F188" s="6">
        <v>0.77200000000000002</v>
      </c>
      <c r="G188" t="str">
        <f t="shared" si="6"/>
        <v>Refuse</v>
      </c>
      <c r="H188" t="str" cm="1">
        <f t="array" ref="H188">_xlfn.IFS(E188&gt;=16,"Excellent",E188&gt;=14,"Très bien",E188&gt;=12,"Bien",E188&gt;=10,"Passable",E188&lt;10,"Insuffisant")</f>
        <v>Passable</v>
      </c>
      <c r="I188" t="str">
        <f t="shared" si="7"/>
        <v>A surveiller</v>
      </c>
      <c r="J188" t="str">
        <f t="shared" si="8"/>
        <v>Autre filière</v>
      </c>
    </row>
    <row r="189" spans="1:10">
      <c r="A189" t="s">
        <v>354</v>
      </c>
      <c r="B189" t="s">
        <v>46</v>
      </c>
      <c r="C189" s="8" t="s">
        <v>21</v>
      </c>
      <c r="D189" s="8">
        <v>18.260000000000002</v>
      </c>
      <c r="E189" s="8">
        <v>20</v>
      </c>
      <c r="F189" s="6">
        <v>0.83209999999999995</v>
      </c>
      <c r="G189" t="str">
        <f t="shared" si="6"/>
        <v>Admis</v>
      </c>
      <c r="H189" t="str" cm="1">
        <f t="array" ref="H189">_xlfn.IFS(E189&gt;=16,"Excellent",E189&gt;=14,"Très bien",E189&gt;=12,"Bien",E189&gt;=10,"Passable",E189&lt;10,"Insuffisant")</f>
        <v>Excellent</v>
      </c>
      <c r="I189" t="str">
        <f t="shared" si="7"/>
        <v>RAS</v>
      </c>
      <c r="J189" t="str">
        <f t="shared" si="8"/>
        <v>Data</v>
      </c>
    </row>
    <row r="190" spans="1:10">
      <c r="A190" t="s">
        <v>355</v>
      </c>
      <c r="B190" t="s">
        <v>356</v>
      </c>
      <c r="C190" s="8" t="s">
        <v>47</v>
      </c>
      <c r="D190" s="8">
        <v>17.04</v>
      </c>
      <c r="E190" s="8">
        <v>16.88</v>
      </c>
      <c r="F190" s="6">
        <v>0.90059999999999996</v>
      </c>
      <c r="G190" t="str">
        <f t="shared" si="6"/>
        <v>Admis</v>
      </c>
      <c r="H190" t="str" cm="1">
        <f t="array" ref="H190">_xlfn.IFS(E190&gt;=16,"Excellent",E190&gt;=14,"Très bien",E190&gt;=12,"Bien",E190&gt;=10,"Passable",E190&lt;10,"Insuffisant")</f>
        <v>Excellent</v>
      </c>
      <c r="I190" t="str">
        <f t="shared" si="7"/>
        <v>RAS</v>
      </c>
      <c r="J190" t="str">
        <f t="shared" si="8"/>
        <v>Autre filière</v>
      </c>
    </row>
    <row r="191" spans="1:10">
      <c r="A191" t="s">
        <v>357</v>
      </c>
      <c r="B191" t="s">
        <v>358</v>
      </c>
      <c r="C191" s="8" t="s">
        <v>21</v>
      </c>
      <c r="D191" s="8">
        <v>13.57</v>
      </c>
      <c r="E191" s="8">
        <v>12.12</v>
      </c>
      <c r="F191" s="6">
        <v>0.96360000000000001</v>
      </c>
      <c r="G191" t="str">
        <f t="shared" si="6"/>
        <v>Admis</v>
      </c>
      <c r="H191" t="str" cm="1">
        <f t="array" ref="H191">_xlfn.IFS(E191&gt;=16,"Excellent",E191&gt;=14,"Très bien",E191&gt;=12,"Bien",E191&gt;=10,"Passable",E191&lt;10,"Insuffisant")</f>
        <v>Bien</v>
      </c>
      <c r="I191" t="str">
        <f t="shared" si="7"/>
        <v>RAS</v>
      </c>
      <c r="J191" t="str">
        <f t="shared" si="8"/>
        <v>Data</v>
      </c>
    </row>
    <row r="192" spans="1:10">
      <c r="A192" t="s">
        <v>359</v>
      </c>
      <c r="B192" t="s">
        <v>269</v>
      </c>
      <c r="C192" s="8" t="s">
        <v>21</v>
      </c>
      <c r="D192" s="8">
        <v>18.850000000000001</v>
      </c>
      <c r="E192" s="8">
        <v>17.22</v>
      </c>
      <c r="F192" s="6">
        <v>0.6754</v>
      </c>
      <c r="G192" t="str">
        <f t="shared" si="6"/>
        <v>Admis sous condition</v>
      </c>
      <c r="H192" t="str" cm="1">
        <f t="array" ref="H192">_xlfn.IFS(E192&gt;=16,"Excellent",E192&gt;=14,"Très bien",E192&gt;=12,"Bien",E192&gt;=10,"Passable",E192&lt;10,"Insuffisant")</f>
        <v>Excellent</v>
      </c>
      <c r="I192" t="str">
        <f t="shared" si="7"/>
        <v>A surveiller</v>
      </c>
      <c r="J192" t="str">
        <f t="shared" si="8"/>
        <v>Data</v>
      </c>
    </row>
    <row r="193" spans="1:10">
      <c r="A193" t="s">
        <v>360</v>
      </c>
      <c r="B193" t="s">
        <v>361</v>
      </c>
      <c r="C193" s="8" t="s">
        <v>21</v>
      </c>
      <c r="D193" s="8">
        <v>7.87</v>
      </c>
      <c r="E193" s="8">
        <v>6.37</v>
      </c>
      <c r="F193" s="6">
        <v>0.97640000000000005</v>
      </c>
      <c r="G193" t="str">
        <f t="shared" si="6"/>
        <v>Refuse</v>
      </c>
      <c r="H193" t="str" cm="1">
        <f t="array" ref="H193">_xlfn.IFS(E193&gt;=16,"Excellent",E193&gt;=14,"Très bien",E193&gt;=12,"Bien",E193&gt;=10,"Passable",E193&lt;10,"Insuffisant")</f>
        <v>Insuffisant</v>
      </c>
      <c r="I193" t="str">
        <f t="shared" si="7"/>
        <v>A surveiller</v>
      </c>
      <c r="J193" t="str">
        <f t="shared" si="8"/>
        <v>Data</v>
      </c>
    </row>
    <row r="194" spans="1:10">
      <c r="A194" t="s">
        <v>362</v>
      </c>
      <c r="B194" t="s">
        <v>126</v>
      </c>
      <c r="C194" s="8" t="s">
        <v>47</v>
      </c>
      <c r="D194" s="8">
        <v>8.1199999999999992</v>
      </c>
      <c r="E194" s="8">
        <v>10.050000000000001</v>
      </c>
      <c r="F194" s="6">
        <v>0.91849999999999998</v>
      </c>
      <c r="G194" t="str">
        <f t="shared" si="6"/>
        <v>Refuse</v>
      </c>
      <c r="H194" t="str" cm="1">
        <f t="array" ref="H194">_xlfn.IFS(E194&gt;=16,"Excellent",E194&gt;=14,"Très bien",E194&gt;=12,"Bien",E194&gt;=10,"Passable",E194&lt;10,"Insuffisant")</f>
        <v>Passable</v>
      </c>
      <c r="I194" t="str">
        <f t="shared" si="7"/>
        <v>A surveiller</v>
      </c>
      <c r="J194" t="str">
        <f t="shared" si="8"/>
        <v>Autre filière</v>
      </c>
    </row>
    <row r="195" spans="1:10">
      <c r="A195" t="s">
        <v>363</v>
      </c>
      <c r="B195" t="s">
        <v>99</v>
      </c>
      <c r="C195" s="8" t="s">
        <v>21</v>
      </c>
      <c r="D195" s="8">
        <v>11.38</v>
      </c>
      <c r="E195" s="8">
        <v>8.83</v>
      </c>
      <c r="F195" s="6">
        <v>0.72919999999999996</v>
      </c>
      <c r="G195" t="str">
        <f t="shared" ref="G195:G258" si="9">IF(AND(D195&gt;=12,E195&gt;=12,F195&gt;=80%),"Admis",IF(AND(D195&gt;=10,E195&gt;=10),"Admis sous condition","Refuse"))</f>
        <v>Refuse</v>
      </c>
      <c r="H195" t="str" cm="1">
        <f t="array" ref="H195">_xlfn.IFS(E195&gt;=16,"Excellent",E195&gt;=14,"Très bien",E195&gt;=12,"Bien",E195&gt;=10,"Passable",E195&lt;10,"Insuffisant")</f>
        <v>Insuffisant</v>
      </c>
      <c r="I195" t="str">
        <f t="shared" ref="I195:I258" si="10">IF(OR(D195&lt;10,E195&lt;10,F195&lt;70%),"A surveiller","RAS")</f>
        <v>A surveiller</v>
      </c>
      <c r="J195" t="str">
        <f t="shared" ref="J195:J258" si="11">IF(NOT(C195="Data"),"Autre filière","Data")</f>
        <v>Data</v>
      </c>
    </row>
    <row r="196" spans="1:10">
      <c r="A196" t="s">
        <v>364</v>
      </c>
      <c r="B196" t="s">
        <v>365</v>
      </c>
      <c r="C196" s="8" t="s">
        <v>34</v>
      </c>
      <c r="D196" s="8">
        <v>10.7</v>
      </c>
      <c r="E196" s="8">
        <v>13.65</v>
      </c>
      <c r="F196" s="6">
        <v>0.76680000000000004</v>
      </c>
      <c r="G196" t="str">
        <f t="shared" si="9"/>
        <v>Admis sous condition</v>
      </c>
      <c r="H196" t="str" cm="1">
        <f t="array" ref="H196">_xlfn.IFS(E196&gt;=16,"Excellent",E196&gt;=14,"Très bien",E196&gt;=12,"Bien",E196&gt;=10,"Passable",E196&lt;10,"Insuffisant")</f>
        <v>Bien</v>
      </c>
      <c r="I196" t="str">
        <f t="shared" si="10"/>
        <v>RAS</v>
      </c>
      <c r="J196" t="str">
        <f t="shared" si="11"/>
        <v>Autre filière</v>
      </c>
    </row>
    <row r="197" spans="1:10">
      <c r="A197" t="s">
        <v>366</v>
      </c>
      <c r="B197" t="s">
        <v>330</v>
      </c>
      <c r="C197" s="8" t="s">
        <v>21</v>
      </c>
      <c r="D197" s="8">
        <v>11.45</v>
      </c>
      <c r="E197" s="8">
        <v>16.18</v>
      </c>
      <c r="F197" s="6">
        <v>0.74980000000000002</v>
      </c>
      <c r="G197" t="str">
        <f t="shared" si="9"/>
        <v>Admis sous condition</v>
      </c>
      <c r="H197" t="str" cm="1">
        <f t="array" ref="H197">_xlfn.IFS(E197&gt;=16,"Excellent",E197&gt;=14,"Très bien",E197&gt;=12,"Bien",E197&gt;=10,"Passable",E197&lt;10,"Insuffisant")</f>
        <v>Excellent</v>
      </c>
      <c r="I197" t="str">
        <f t="shared" si="10"/>
        <v>RAS</v>
      </c>
      <c r="J197" t="str">
        <f t="shared" si="11"/>
        <v>Data</v>
      </c>
    </row>
    <row r="198" spans="1:10">
      <c r="A198" t="s">
        <v>367</v>
      </c>
      <c r="B198" t="s">
        <v>282</v>
      </c>
      <c r="C198" s="8" t="s">
        <v>34</v>
      </c>
      <c r="D198" s="8">
        <v>11.76</v>
      </c>
      <c r="E198" s="8">
        <v>6.59</v>
      </c>
      <c r="F198" s="6">
        <v>0.8337</v>
      </c>
      <c r="G198" t="str">
        <f t="shared" si="9"/>
        <v>Refuse</v>
      </c>
      <c r="H198" t="str" cm="1">
        <f t="array" ref="H198">_xlfn.IFS(E198&gt;=16,"Excellent",E198&gt;=14,"Très bien",E198&gt;=12,"Bien",E198&gt;=10,"Passable",E198&lt;10,"Insuffisant")</f>
        <v>Insuffisant</v>
      </c>
      <c r="I198" t="str">
        <f t="shared" si="10"/>
        <v>A surveiller</v>
      </c>
      <c r="J198" t="str">
        <f t="shared" si="11"/>
        <v>Autre filière</v>
      </c>
    </row>
    <row r="199" spans="1:10">
      <c r="A199" t="s">
        <v>368</v>
      </c>
      <c r="B199" t="s">
        <v>369</v>
      </c>
      <c r="C199" s="8" t="s">
        <v>47</v>
      </c>
      <c r="D199" s="8">
        <v>12.89</v>
      </c>
      <c r="E199" s="8">
        <v>8.4600000000000009</v>
      </c>
      <c r="F199" s="6">
        <v>0.94599999999999995</v>
      </c>
      <c r="G199" t="str">
        <f t="shared" si="9"/>
        <v>Refuse</v>
      </c>
      <c r="H199" t="str" cm="1">
        <f t="array" ref="H199">_xlfn.IFS(E199&gt;=16,"Excellent",E199&gt;=14,"Très bien",E199&gt;=12,"Bien",E199&gt;=10,"Passable",E199&lt;10,"Insuffisant")</f>
        <v>Insuffisant</v>
      </c>
      <c r="I199" t="str">
        <f t="shared" si="10"/>
        <v>A surveiller</v>
      </c>
      <c r="J199" t="str">
        <f t="shared" si="11"/>
        <v>Autre filière</v>
      </c>
    </row>
    <row r="200" spans="1:10">
      <c r="A200" t="s">
        <v>370</v>
      </c>
      <c r="B200" t="s">
        <v>371</v>
      </c>
      <c r="C200" s="8" t="s">
        <v>34</v>
      </c>
      <c r="D200" s="8">
        <v>9.5399999999999991</v>
      </c>
      <c r="E200" s="8">
        <v>10.23</v>
      </c>
      <c r="F200" s="6">
        <v>0.93899999999999995</v>
      </c>
      <c r="G200" t="str">
        <f t="shared" si="9"/>
        <v>Refuse</v>
      </c>
      <c r="H200" t="str" cm="1">
        <f t="array" ref="H200">_xlfn.IFS(E200&gt;=16,"Excellent",E200&gt;=14,"Très bien",E200&gt;=12,"Bien",E200&gt;=10,"Passable",E200&lt;10,"Insuffisant")</f>
        <v>Passable</v>
      </c>
      <c r="I200" t="str">
        <f t="shared" si="10"/>
        <v>A surveiller</v>
      </c>
      <c r="J200" t="str">
        <f t="shared" si="11"/>
        <v>Autre filière</v>
      </c>
    </row>
    <row r="201" spans="1:10">
      <c r="A201" t="s">
        <v>372</v>
      </c>
      <c r="B201" t="s">
        <v>271</v>
      </c>
      <c r="C201" s="8" t="s">
        <v>34</v>
      </c>
      <c r="D201" s="8">
        <v>18.77</v>
      </c>
      <c r="E201" s="8">
        <v>19.62</v>
      </c>
      <c r="F201" s="6">
        <v>0.61180000000000001</v>
      </c>
      <c r="G201" t="str">
        <f t="shared" si="9"/>
        <v>Admis sous condition</v>
      </c>
      <c r="H201" t="str" cm="1">
        <f t="array" ref="H201">_xlfn.IFS(E201&gt;=16,"Excellent",E201&gt;=14,"Très bien",E201&gt;=12,"Bien",E201&gt;=10,"Passable",E201&lt;10,"Insuffisant")</f>
        <v>Excellent</v>
      </c>
      <c r="I201" t="str">
        <f t="shared" si="10"/>
        <v>A surveiller</v>
      </c>
      <c r="J201" t="str">
        <f t="shared" si="11"/>
        <v>Autre filière</v>
      </c>
    </row>
    <row r="202" spans="1:10">
      <c r="A202" t="s">
        <v>373</v>
      </c>
      <c r="B202" t="s">
        <v>193</v>
      </c>
      <c r="C202" s="8" t="s">
        <v>47</v>
      </c>
      <c r="D202" s="8">
        <v>17.12</v>
      </c>
      <c r="E202" s="8">
        <v>20</v>
      </c>
      <c r="F202" s="6">
        <v>0.67989999999999995</v>
      </c>
      <c r="G202" t="str">
        <f t="shared" si="9"/>
        <v>Admis sous condition</v>
      </c>
      <c r="H202" t="str" cm="1">
        <f t="array" ref="H202">_xlfn.IFS(E202&gt;=16,"Excellent",E202&gt;=14,"Très bien",E202&gt;=12,"Bien",E202&gt;=10,"Passable",E202&lt;10,"Insuffisant")</f>
        <v>Excellent</v>
      </c>
      <c r="I202" t="str">
        <f t="shared" si="10"/>
        <v>A surveiller</v>
      </c>
      <c r="J202" t="str">
        <f t="shared" si="11"/>
        <v>Autre filière</v>
      </c>
    </row>
    <row r="203" spans="1:10">
      <c r="A203" t="s">
        <v>374</v>
      </c>
      <c r="B203" t="s">
        <v>375</v>
      </c>
      <c r="C203" s="8" t="s">
        <v>47</v>
      </c>
      <c r="D203" s="8">
        <v>13.96</v>
      </c>
      <c r="E203" s="8">
        <v>14.75</v>
      </c>
      <c r="F203" s="6">
        <v>0.74199999999999999</v>
      </c>
      <c r="G203" t="str">
        <f t="shared" si="9"/>
        <v>Admis sous condition</v>
      </c>
      <c r="H203" t="str" cm="1">
        <f t="array" ref="H203">_xlfn.IFS(E203&gt;=16,"Excellent",E203&gt;=14,"Très bien",E203&gt;=12,"Bien",E203&gt;=10,"Passable",E203&lt;10,"Insuffisant")</f>
        <v>Très bien</v>
      </c>
      <c r="I203" t="str">
        <f t="shared" si="10"/>
        <v>RAS</v>
      </c>
      <c r="J203" t="str">
        <f t="shared" si="11"/>
        <v>Autre filière</v>
      </c>
    </row>
    <row r="204" spans="1:10">
      <c r="A204" t="s">
        <v>376</v>
      </c>
      <c r="B204" t="s">
        <v>377</v>
      </c>
      <c r="C204" s="8" t="s">
        <v>21</v>
      </c>
      <c r="D204" s="8">
        <v>10.28</v>
      </c>
      <c r="E204" s="8">
        <v>14.76</v>
      </c>
      <c r="F204" s="6">
        <v>0.77929999999999999</v>
      </c>
      <c r="G204" t="str">
        <f t="shared" si="9"/>
        <v>Admis sous condition</v>
      </c>
      <c r="H204" t="str" cm="1">
        <f t="array" ref="H204">_xlfn.IFS(E204&gt;=16,"Excellent",E204&gt;=14,"Très bien",E204&gt;=12,"Bien",E204&gt;=10,"Passable",E204&lt;10,"Insuffisant")</f>
        <v>Très bien</v>
      </c>
      <c r="I204" t="str">
        <f t="shared" si="10"/>
        <v>RAS</v>
      </c>
      <c r="J204" t="str">
        <f t="shared" si="11"/>
        <v>Data</v>
      </c>
    </row>
    <row r="205" spans="1:10">
      <c r="A205" t="s">
        <v>378</v>
      </c>
      <c r="B205" t="s">
        <v>379</v>
      </c>
      <c r="C205" s="8" t="s">
        <v>26</v>
      </c>
      <c r="D205" s="8">
        <v>11.07</v>
      </c>
      <c r="E205" s="8">
        <v>9.9</v>
      </c>
      <c r="F205" s="6">
        <v>0.89129999999999998</v>
      </c>
      <c r="G205" t="str">
        <f t="shared" si="9"/>
        <v>Refuse</v>
      </c>
      <c r="H205" t="str" cm="1">
        <f t="array" ref="H205">_xlfn.IFS(E205&gt;=16,"Excellent",E205&gt;=14,"Très bien",E205&gt;=12,"Bien",E205&gt;=10,"Passable",E205&lt;10,"Insuffisant")</f>
        <v>Insuffisant</v>
      </c>
      <c r="I205" t="str">
        <f t="shared" si="10"/>
        <v>A surveiller</v>
      </c>
      <c r="J205" t="str">
        <f t="shared" si="11"/>
        <v>Autre filière</v>
      </c>
    </row>
    <row r="206" spans="1:10">
      <c r="A206" t="s">
        <v>380</v>
      </c>
      <c r="B206" t="s">
        <v>381</v>
      </c>
      <c r="C206" s="8" t="s">
        <v>26</v>
      </c>
      <c r="D206" s="8">
        <v>9.8000000000000007</v>
      </c>
      <c r="E206" s="8">
        <v>7.73</v>
      </c>
      <c r="F206" s="6">
        <v>0.57250000000000001</v>
      </c>
      <c r="G206" t="str">
        <f t="shared" si="9"/>
        <v>Refuse</v>
      </c>
      <c r="H206" t="str" cm="1">
        <f t="array" ref="H206">_xlfn.IFS(E206&gt;=16,"Excellent",E206&gt;=14,"Très bien",E206&gt;=12,"Bien",E206&gt;=10,"Passable",E206&lt;10,"Insuffisant")</f>
        <v>Insuffisant</v>
      </c>
      <c r="I206" t="str">
        <f t="shared" si="10"/>
        <v>A surveiller</v>
      </c>
      <c r="J206" t="str">
        <f t="shared" si="11"/>
        <v>Autre filière</v>
      </c>
    </row>
    <row r="207" spans="1:10">
      <c r="A207" t="s">
        <v>382</v>
      </c>
      <c r="B207" t="s">
        <v>377</v>
      </c>
      <c r="C207" s="8" t="s">
        <v>47</v>
      </c>
      <c r="D207" s="8">
        <v>12.98</v>
      </c>
      <c r="E207" s="8">
        <v>10.18</v>
      </c>
      <c r="F207" s="6">
        <v>0.86299999999999999</v>
      </c>
      <c r="G207" t="str">
        <f t="shared" si="9"/>
        <v>Admis sous condition</v>
      </c>
      <c r="H207" t="str" cm="1">
        <f t="array" ref="H207">_xlfn.IFS(E207&gt;=16,"Excellent",E207&gt;=14,"Très bien",E207&gt;=12,"Bien",E207&gt;=10,"Passable",E207&lt;10,"Insuffisant")</f>
        <v>Passable</v>
      </c>
      <c r="I207" t="str">
        <f t="shared" si="10"/>
        <v>RAS</v>
      </c>
      <c r="J207" t="str">
        <f t="shared" si="11"/>
        <v>Autre filière</v>
      </c>
    </row>
    <row r="208" spans="1:10">
      <c r="A208" t="s">
        <v>383</v>
      </c>
      <c r="B208" t="s">
        <v>128</v>
      </c>
      <c r="C208" s="8" t="s">
        <v>47</v>
      </c>
      <c r="D208" s="8">
        <v>12.93</v>
      </c>
      <c r="E208" s="8">
        <v>12.63</v>
      </c>
      <c r="F208" s="6">
        <v>0.97829999999999995</v>
      </c>
      <c r="G208" t="str">
        <f t="shared" si="9"/>
        <v>Admis</v>
      </c>
      <c r="H208" t="str" cm="1">
        <f t="array" ref="H208">_xlfn.IFS(E208&gt;=16,"Excellent",E208&gt;=14,"Très bien",E208&gt;=12,"Bien",E208&gt;=10,"Passable",E208&lt;10,"Insuffisant")</f>
        <v>Bien</v>
      </c>
      <c r="I208" t="str">
        <f t="shared" si="10"/>
        <v>RAS</v>
      </c>
      <c r="J208" t="str">
        <f t="shared" si="11"/>
        <v>Autre filière</v>
      </c>
    </row>
    <row r="209" spans="1:10">
      <c r="A209" t="s">
        <v>384</v>
      </c>
      <c r="B209" t="s">
        <v>385</v>
      </c>
      <c r="C209" s="8" t="s">
        <v>47</v>
      </c>
      <c r="D209" s="8">
        <v>12.59</v>
      </c>
      <c r="E209" s="8">
        <v>14.54</v>
      </c>
      <c r="F209" s="6">
        <v>0.98960000000000004</v>
      </c>
      <c r="G209" t="str">
        <f t="shared" si="9"/>
        <v>Admis</v>
      </c>
      <c r="H209" t="str" cm="1">
        <f t="array" ref="H209">_xlfn.IFS(E209&gt;=16,"Excellent",E209&gt;=14,"Très bien",E209&gt;=12,"Bien",E209&gt;=10,"Passable",E209&lt;10,"Insuffisant")</f>
        <v>Très bien</v>
      </c>
      <c r="I209" t="str">
        <f t="shared" si="10"/>
        <v>RAS</v>
      </c>
      <c r="J209" t="str">
        <f t="shared" si="11"/>
        <v>Autre filière</v>
      </c>
    </row>
    <row r="210" spans="1:10">
      <c r="A210" t="s">
        <v>386</v>
      </c>
      <c r="B210" t="s">
        <v>387</v>
      </c>
      <c r="C210" s="8" t="s">
        <v>34</v>
      </c>
      <c r="D210" s="8">
        <v>8.5500000000000007</v>
      </c>
      <c r="E210" s="8">
        <v>12.05</v>
      </c>
      <c r="F210" s="6">
        <v>0.90839999999999999</v>
      </c>
      <c r="G210" t="str">
        <f t="shared" si="9"/>
        <v>Refuse</v>
      </c>
      <c r="H210" t="str" cm="1">
        <f t="array" ref="H210">_xlfn.IFS(E210&gt;=16,"Excellent",E210&gt;=14,"Très bien",E210&gt;=12,"Bien",E210&gt;=10,"Passable",E210&lt;10,"Insuffisant")</f>
        <v>Bien</v>
      </c>
      <c r="I210" t="str">
        <f t="shared" si="10"/>
        <v>A surveiller</v>
      </c>
      <c r="J210" t="str">
        <f t="shared" si="11"/>
        <v>Autre filière</v>
      </c>
    </row>
    <row r="211" spans="1:10">
      <c r="A211" t="s">
        <v>388</v>
      </c>
      <c r="B211" t="s">
        <v>36</v>
      </c>
      <c r="C211" s="8" t="s">
        <v>34</v>
      </c>
      <c r="D211" s="8">
        <v>9.2200000000000006</v>
      </c>
      <c r="E211" s="8">
        <v>11.1</v>
      </c>
      <c r="F211" s="6">
        <v>0.64800000000000002</v>
      </c>
      <c r="G211" t="str">
        <f t="shared" si="9"/>
        <v>Refuse</v>
      </c>
      <c r="H211" t="str" cm="1">
        <f t="array" ref="H211">_xlfn.IFS(E211&gt;=16,"Excellent",E211&gt;=14,"Très bien",E211&gt;=12,"Bien",E211&gt;=10,"Passable",E211&lt;10,"Insuffisant")</f>
        <v>Passable</v>
      </c>
      <c r="I211" t="str">
        <f t="shared" si="10"/>
        <v>A surveiller</v>
      </c>
      <c r="J211" t="str">
        <f t="shared" si="11"/>
        <v>Autre filière</v>
      </c>
    </row>
    <row r="212" spans="1:10">
      <c r="A212" t="s">
        <v>389</v>
      </c>
      <c r="B212" t="s">
        <v>160</v>
      </c>
      <c r="C212" s="8" t="s">
        <v>34</v>
      </c>
      <c r="D212" s="8">
        <v>16.149999999999999</v>
      </c>
      <c r="E212" s="8">
        <v>13.8</v>
      </c>
      <c r="F212" s="6">
        <v>0.79520000000000002</v>
      </c>
      <c r="G212" t="str">
        <f t="shared" si="9"/>
        <v>Admis sous condition</v>
      </c>
      <c r="H212" t="str" cm="1">
        <f t="array" ref="H212">_xlfn.IFS(E212&gt;=16,"Excellent",E212&gt;=14,"Très bien",E212&gt;=12,"Bien",E212&gt;=10,"Passable",E212&lt;10,"Insuffisant")</f>
        <v>Bien</v>
      </c>
      <c r="I212" t="str">
        <f t="shared" si="10"/>
        <v>RAS</v>
      </c>
      <c r="J212" t="str">
        <f t="shared" si="11"/>
        <v>Autre filière</v>
      </c>
    </row>
    <row r="213" spans="1:10">
      <c r="A213" t="s">
        <v>390</v>
      </c>
      <c r="B213" t="s">
        <v>391</v>
      </c>
      <c r="C213" s="8" t="s">
        <v>21</v>
      </c>
      <c r="D213" s="8">
        <v>12.84</v>
      </c>
      <c r="E213" s="8">
        <v>15.1</v>
      </c>
      <c r="F213" s="6">
        <v>0.76449999999999996</v>
      </c>
      <c r="G213" t="str">
        <f t="shared" si="9"/>
        <v>Admis sous condition</v>
      </c>
      <c r="H213" t="str" cm="1">
        <f t="array" ref="H213">_xlfn.IFS(E213&gt;=16,"Excellent",E213&gt;=14,"Très bien",E213&gt;=12,"Bien",E213&gt;=10,"Passable",E213&lt;10,"Insuffisant")</f>
        <v>Très bien</v>
      </c>
      <c r="I213" t="str">
        <f t="shared" si="10"/>
        <v>RAS</v>
      </c>
      <c r="J213" t="str">
        <f t="shared" si="11"/>
        <v>Data</v>
      </c>
    </row>
    <row r="214" spans="1:10">
      <c r="A214" t="s">
        <v>392</v>
      </c>
      <c r="B214" t="s">
        <v>112</v>
      </c>
      <c r="C214" s="8" t="s">
        <v>26</v>
      </c>
      <c r="D214" s="8">
        <v>15.44</v>
      </c>
      <c r="E214" s="8">
        <v>16.829999999999998</v>
      </c>
      <c r="F214" s="6">
        <v>0.84589999999999999</v>
      </c>
      <c r="G214" t="str">
        <f t="shared" si="9"/>
        <v>Admis</v>
      </c>
      <c r="H214" t="str" cm="1">
        <f t="array" ref="H214">_xlfn.IFS(E214&gt;=16,"Excellent",E214&gt;=14,"Très bien",E214&gt;=12,"Bien",E214&gt;=10,"Passable",E214&lt;10,"Insuffisant")</f>
        <v>Excellent</v>
      </c>
      <c r="I214" t="str">
        <f t="shared" si="10"/>
        <v>RAS</v>
      </c>
      <c r="J214" t="str">
        <f t="shared" si="11"/>
        <v>Autre filière</v>
      </c>
    </row>
    <row r="215" spans="1:10">
      <c r="A215" t="s">
        <v>393</v>
      </c>
      <c r="B215" t="s">
        <v>18</v>
      </c>
      <c r="C215" s="8" t="s">
        <v>34</v>
      </c>
      <c r="D215" s="8">
        <v>9.65</v>
      </c>
      <c r="E215" s="8">
        <v>6.77</v>
      </c>
      <c r="F215" s="6">
        <v>0.97270000000000001</v>
      </c>
      <c r="G215" t="str">
        <f t="shared" si="9"/>
        <v>Refuse</v>
      </c>
      <c r="H215" t="str" cm="1">
        <f t="array" ref="H215">_xlfn.IFS(E215&gt;=16,"Excellent",E215&gt;=14,"Très bien",E215&gt;=12,"Bien",E215&gt;=10,"Passable",E215&lt;10,"Insuffisant")</f>
        <v>Insuffisant</v>
      </c>
      <c r="I215" t="str">
        <f t="shared" si="10"/>
        <v>A surveiller</v>
      </c>
      <c r="J215" t="str">
        <f t="shared" si="11"/>
        <v>Autre filière</v>
      </c>
    </row>
    <row r="216" spans="1:10">
      <c r="A216" t="s">
        <v>394</v>
      </c>
      <c r="B216" t="s">
        <v>80</v>
      </c>
      <c r="C216" s="8" t="s">
        <v>34</v>
      </c>
      <c r="D216" s="8">
        <v>13.58</v>
      </c>
      <c r="E216" s="8">
        <v>17.71</v>
      </c>
      <c r="F216" s="6">
        <v>0.89070000000000005</v>
      </c>
      <c r="G216" t="str">
        <f t="shared" si="9"/>
        <v>Admis</v>
      </c>
      <c r="H216" t="str" cm="1">
        <f t="array" ref="H216">_xlfn.IFS(E216&gt;=16,"Excellent",E216&gt;=14,"Très bien",E216&gt;=12,"Bien",E216&gt;=10,"Passable",E216&lt;10,"Insuffisant")</f>
        <v>Excellent</v>
      </c>
      <c r="I216" t="str">
        <f t="shared" si="10"/>
        <v>RAS</v>
      </c>
      <c r="J216" t="str">
        <f t="shared" si="11"/>
        <v>Autre filière</v>
      </c>
    </row>
    <row r="217" spans="1:10">
      <c r="A217" t="s">
        <v>395</v>
      </c>
      <c r="B217" t="s">
        <v>91</v>
      </c>
      <c r="C217" s="8" t="s">
        <v>26</v>
      </c>
      <c r="D217" s="8">
        <v>9.92</v>
      </c>
      <c r="E217" s="8">
        <v>11.41</v>
      </c>
      <c r="F217" s="6">
        <v>0.79590000000000005</v>
      </c>
      <c r="G217" t="str">
        <f t="shared" si="9"/>
        <v>Refuse</v>
      </c>
      <c r="H217" t="str" cm="1">
        <f t="array" ref="H217">_xlfn.IFS(E217&gt;=16,"Excellent",E217&gt;=14,"Très bien",E217&gt;=12,"Bien",E217&gt;=10,"Passable",E217&lt;10,"Insuffisant")</f>
        <v>Passable</v>
      </c>
      <c r="I217" t="str">
        <f t="shared" si="10"/>
        <v>A surveiller</v>
      </c>
      <c r="J217" t="str">
        <f t="shared" si="11"/>
        <v>Autre filière</v>
      </c>
    </row>
    <row r="218" spans="1:10">
      <c r="A218" t="s">
        <v>396</v>
      </c>
      <c r="B218" t="s">
        <v>132</v>
      </c>
      <c r="C218" s="8" t="s">
        <v>47</v>
      </c>
      <c r="D218" s="8">
        <v>18.309999999999999</v>
      </c>
      <c r="E218" s="8">
        <v>13.14</v>
      </c>
      <c r="F218" s="6">
        <v>0.55000000000000004</v>
      </c>
      <c r="G218" t="str">
        <f t="shared" si="9"/>
        <v>Admis sous condition</v>
      </c>
      <c r="H218" t="str" cm="1">
        <f t="array" ref="H218">_xlfn.IFS(E218&gt;=16,"Excellent",E218&gt;=14,"Très bien",E218&gt;=12,"Bien",E218&gt;=10,"Passable",E218&lt;10,"Insuffisant")</f>
        <v>Bien</v>
      </c>
      <c r="I218" t="str">
        <f t="shared" si="10"/>
        <v>A surveiller</v>
      </c>
      <c r="J218" t="str">
        <f t="shared" si="11"/>
        <v>Autre filière</v>
      </c>
    </row>
    <row r="219" spans="1:10">
      <c r="A219" t="s">
        <v>397</v>
      </c>
      <c r="B219" t="s">
        <v>273</v>
      </c>
      <c r="C219" s="8" t="s">
        <v>47</v>
      </c>
      <c r="D219" s="8">
        <v>13.91</v>
      </c>
      <c r="E219" s="8">
        <v>9.08</v>
      </c>
      <c r="F219" s="6">
        <v>0.92500000000000004</v>
      </c>
      <c r="G219" t="str">
        <f t="shared" si="9"/>
        <v>Refuse</v>
      </c>
      <c r="H219" t="str" cm="1">
        <f t="array" ref="H219">_xlfn.IFS(E219&gt;=16,"Excellent",E219&gt;=14,"Très bien",E219&gt;=12,"Bien",E219&gt;=10,"Passable",E219&lt;10,"Insuffisant")</f>
        <v>Insuffisant</v>
      </c>
      <c r="I219" t="str">
        <f t="shared" si="10"/>
        <v>A surveiller</v>
      </c>
      <c r="J219" t="str">
        <f t="shared" si="11"/>
        <v>Autre filière</v>
      </c>
    </row>
    <row r="220" spans="1:10">
      <c r="A220" t="s">
        <v>398</v>
      </c>
      <c r="B220" t="s">
        <v>371</v>
      </c>
      <c r="C220" s="8" t="s">
        <v>21</v>
      </c>
      <c r="D220" s="8">
        <v>7.43</v>
      </c>
      <c r="E220" s="8">
        <v>9.5500000000000007</v>
      </c>
      <c r="F220" s="6">
        <v>0.86780000000000002</v>
      </c>
      <c r="G220" t="str">
        <f t="shared" si="9"/>
        <v>Refuse</v>
      </c>
      <c r="H220" t="str" cm="1">
        <f t="array" ref="H220">_xlfn.IFS(E220&gt;=16,"Excellent",E220&gt;=14,"Très bien",E220&gt;=12,"Bien",E220&gt;=10,"Passable",E220&lt;10,"Insuffisant")</f>
        <v>Insuffisant</v>
      </c>
      <c r="I220" t="str">
        <f t="shared" si="10"/>
        <v>A surveiller</v>
      </c>
      <c r="J220" t="str">
        <f t="shared" si="11"/>
        <v>Data</v>
      </c>
    </row>
    <row r="221" spans="1:10">
      <c r="A221" t="s">
        <v>399</v>
      </c>
      <c r="B221" t="s">
        <v>172</v>
      </c>
      <c r="C221" s="8" t="s">
        <v>34</v>
      </c>
      <c r="D221" s="8">
        <v>13.29</v>
      </c>
      <c r="E221" s="8">
        <v>16</v>
      </c>
      <c r="F221" s="6">
        <v>0.7833</v>
      </c>
      <c r="G221" t="str">
        <f t="shared" si="9"/>
        <v>Admis sous condition</v>
      </c>
      <c r="H221" t="str" cm="1">
        <f t="array" ref="H221">_xlfn.IFS(E221&gt;=16,"Excellent",E221&gt;=14,"Très bien",E221&gt;=12,"Bien",E221&gt;=10,"Passable",E221&lt;10,"Insuffisant")</f>
        <v>Excellent</v>
      </c>
      <c r="I221" t="str">
        <f t="shared" si="10"/>
        <v>RAS</v>
      </c>
      <c r="J221" t="str">
        <f t="shared" si="11"/>
        <v>Autre filière</v>
      </c>
    </row>
    <row r="222" spans="1:10">
      <c r="A222" t="s">
        <v>400</v>
      </c>
      <c r="B222" t="s">
        <v>330</v>
      </c>
      <c r="C222" s="8" t="s">
        <v>47</v>
      </c>
      <c r="D222" s="8">
        <v>14.2</v>
      </c>
      <c r="E222" s="8">
        <v>18.41</v>
      </c>
      <c r="F222" s="6">
        <v>0.71450000000000002</v>
      </c>
      <c r="G222" t="str">
        <f t="shared" si="9"/>
        <v>Admis sous condition</v>
      </c>
      <c r="H222" t="str" cm="1">
        <f t="array" ref="H222">_xlfn.IFS(E222&gt;=16,"Excellent",E222&gt;=14,"Très bien",E222&gt;=12,"Bien",E222&gt;=10,"Passable",E222&lt;10,"Insuffisant")</f>
        <v>Excellent</v>
      </c>
      <c r="I222" t="str">
        <f t="shared" si="10"/>
        <v>RAS</v>
      </c>
      <c r="J222" t="str">
        <f t="shared" si="11"/>
        <v>Autre filière</v>
      </c>
    </row>
    <row r="223" spans="1:10">
      <c r="A223" t="s">
        <v>401</v>
      </c>
      <c r="B223" t="s">
        <v>201</v>
      </c>
      <c r="C223" s="8" t="s">
        <v>34</v>
      </c>
      <c r="D223" s="8">
        <v>20</v>
      </c>
      <c r="E223" s="8">
        <v>16.2</v>
      </c>
      <c r="F223" s="6">
        <v>0.59699999999999998</v>
      </c>
      <c r="G223" t="str">
        <f t="shared" si="9"/>
        <v>Admis sous condition</v>
      </c>
      <c r="H223" t="str" cm="1">
        <f t="array" ref="H223">_xlfn.IFS(E223&gt;=16,"Excellent",E223&gt;=14,"Très bien",E223&gt;=12,"Bien",E223&gt;=10,"Passable",E223&lt;10,"Insuffisant")</f>
        <v>Excellent</v>
      </c>
      <c r="I223" t="str">
        <f t="shared" si="10"/>
        <v>A surveiller</v>
      </c>
      <c r="J223" t="str">
        <f t="shared" si="11"/>
        <v>Autre filière</v>
      </c>
    </row>
    <row r="224" spans="1:10">
      <c r="A224" t="s">
        <v>402</v>
      </c>
      <c r="B224" t="s">
        <v>403</v>
      </c>
      <c r="C224" s="8" t="s">
        <v>21</v>
      </c>
      <c r="D224" s="8">
        <v>13.73</v>
      </c>
      <c r="E224" s="8">
        <v>17.62</v>
      </c>
      <c r="F224" s="6">
        <v>0.76500000000000001</v>
      </c>
      <c r="G224" t="str">
        <f t="shared" si="9"/>
        <v>Admis sous condition</v>
      </c>
      <c r="H224" t="str" cm="1">
        <f t="array" ref="H224">_xlfn.IFS(E224&gt;=16,"Excellent",E224&gt;=14,"Très bien",E224&gt;=12,"Bien",E224&gt;=10,"Passable",E224&lt;10,"Insuffisant")</f>
        <v>Excellent</v>
      </c>
      <c r="I224" t="str">
        <f t="shared" si="10"/>
        <v>RAS</v>
      </c>
      <c r="J224" t="str">
        <f t="shared" si="11"/>
        <v>Data</v>
      </c>
    </row>
    <row r="225" spans="1:10">
      <c r="A225" t="s">
        <v>404</v>
      </c>
      <c r="B225" t="s">
        <v>405</v>
      </c>
      <c r="C225" s="8" t="s">
        <v>26</v>
      </c>
      <c r="D225" s="8">
        <v>16.95</v>
      </c>
      <c r="E225" s="8">
        <v>17.89</v>
      </c>
      <c r="F225" s="6">
        <v>0.86499999999999999</v>
      </c>
      <c r="G225" t="str">
        <f t="shared" si="9"/>
        <v>Admis</v>
      </c>
      <c r="H225" t="str" cm="1">
        <f t="array" ref="H225">_xlfn.IFS(E225&gt;=16,"Excellent",E225&gt;=14,"Très bien",E225&gt;=12,"Bien",E225&gt;=10,"Passable",E225&lt;10,"Insuffisant")</f>
        <v>Excellent</v>
      </c>
      <c r="I225" t="str">
        <f t="shared" si="10"/>
        <v>RAS</v>
      </c>
      <c r="J225" t="str">
        <f t="shared" si="11"/>
        <v>Autre filière</v>
      </c>
    </row>
    <row r="226" spans="1:10">
      <c r="A226" t="s">
        <v>406</v>
      </c>
      <c r="B226" t="s">
        <v>407</v>
      </c>
      <c r="C226" s="8" t="s">
        <v>34</v>
      </c>
      <c r="D226" s="8">
        <v>19.45</v>
      </c>
      <c r="E226" s="8">
        <v>18.62</v>
      </c>
      <c r="F226" s="6">
        <v>0.94030000000000002</v>
      </c>
      <c r="G226" t="str">
        <f t="shared" si="9"/>
        <v>Admis</v>
      </c>
      <c r="H226" t="str" cm="1">
        <f t="array" ref="H226">_xlfn.IFS(E226&gt;=16,"Excellent",E226&gt;=14,"Très bien",E226&gt;=12,"Bien",E226&gt;=10,"Passable",E226&lt;10,"Insuffisant")</f>
        <v>Excellent</v>
      </c>
      <c r="I226" t="str">
        <f t="shared" si="10"/>
        <v>RAS</v>
      </c>
      <c r="J226" t="str">
        <f t="shared" si="11"/>
        <v>Autre filière</v>
      </c>
    </row>
    <row r="227" spans="1:10">
      <c r="A227" t="s">
        <v>408</v>
      </c>
      <c r="B227" t="s">
        <v>409</v>
      </c>
      <c r="C227" s="8" t="s">
        <v>47</v>
      </c>
      <c r="D227" s="8">
        <v>8.73</v>
      </c>
      <c r="E227" s="8">
        <v>11.99</v>
      </c>
      <c r="F227" s="6">
        <v>0.67549999999999999</v>
      </c>
      <c r="G227" t="str">
        <f t="shared" si="9"/>
        <v>Refuse</v>
      </c>
      <c r="H227" t="str" cm="1">
        <f t="array" ref="H227">_xlfn.IFS(E227&gt;=16,"Excellent",E227&gt;=14,"Très bien",E227&gt;=12,"Bien",E227&gt;=10,"Passable",E227&lt;10,"Insuffisant")</f>
        <v>Passable</v>
      </c>
      <c r="I227" t="str">
        <f t="shared" si="10"/>
        <v>A surveiller</v>
      </c>
      <c r="J227" t="str">
        <f t="shared" si="11"/>
        <v>Autre filière</v>
      </c>
    </row>
    <row r="228" spans="1:10">
      <c r="A228" t="s">
        <v>410</v>
      </c>
      <c r="B228" t="s">
        <v>411</v>
      </c>
      <c r="C228" s="8" t="s">
        <v>34</v>
      </c>
      <c r="D228" s="8">
        <v>15.81</v>
      </c>
      <c r="E228" s="8">
        <v>14.67</v>
      </c>
      <c r="F228" s="6">
        <v>0.9395</v>
      </c>
      <c r="G228" t="str">
        <f t="shared" si="9"/>
        <v>Admis</v>
      </c>
      <c r="H228" t="str" cm="1">
        <f t="array" ref="H228">_xlfn.IFS(E228&gt;=16,"Excellent",E228&gt;=14,"Très bien",E228&gt;=12,"Bien",E228&gt;=10,"Passable",E228&lt;10,"Insuffisant")</f>
        <v>Très bien</v>
      </c>
      <c r="I228" t="str">
        <f t="shared" si="10"/>
        <v>RAS</v>
      </c>
      <c r="J228" t="str">
        <f t="shared" si="11"/>
        <v>Autre filière</v>
      </c>
    </row>
    <row r="229" spans="1:10">
      <c r="A229" t="s">
        <v>412</v>
      </c>
      <c r="B229" t="s">
        <v>228</v>
      </c>
      <c r="C229" s="8" t="s">
        <v>47</v>
      </c>
      <c r="D229" s="8">
        <v>20</v>
      </c>
      <c r="E229" s="8">
        <v>17.62</v>
      </c>
      <c r="F229" s="6">
        <v>0.79869999999999997</v>
      </c>
      <c r="G229" t="str">
        <f t="shared" si="9"/>
        <v>Admis sous condition</v>
      </c>
      <c r="H229" t="str" cm="1">
        <f t="array" ref="H229">_xlfn.IFS(E229&gt;=16,"Excellent",E229&gt;=14,"Très bien",E229&gt;=12,"Bien",E229&gt;=10,"Passable",E229&lt;10,"Insuffisant")</f>
        <v>Excellent</v>
      </c>
      <c r="I229" t="str">
        <f t="shared" si="10"/>
        <v>RAS</v>
      </c>
      <c r="J229" t="str">
        <f t="shared" si="11"/>
        <v>Autre filière</v>
      </c>
    </row>
    <row r="230" spans="1:10">
      <c r="A230" t="s">
        <v>413</v>
      </c>
      <c r="B230" t="s">
        <v>414</v>
      </c>
      <c r="C230" s="8" t="s">
        <v>26</v>
      </c>
      <c r="D230" s="8">
        <v>18.73</v>
      </c>
      <c r="E230" s="8">
        <v>14.66</v>
      </c>
      <c r="F230" s="6">
        <v>0.64900000000000002</v>
      </c>
      <c r="G230" t="str">
        <f t="shared" si="9"/>
        <v>Admis sous condition</v>
      </c>
      <c r="H230" t="str" cm="1">
        <f t="array" ref="H230">_xlfn.IFS(E230&gt;=16,"Excellent",E230&gt;=14,"Très bien",E230&gt;=12,"Bien",E230&gt;=10,"Passable",E230&lt;10,"Insuffisant")</f>
        <v>Très bien</v>
      </c>
      <c r="I230" t="str">
        <f t="shared" si="10"/>
        <v>A surveiller</v>
      </c>
      <c r="J230" t="str">
        <f t="shared" si="11"/>
        <v>Autre filière</v>
      </c>
    </row>
    <row r="231" spans="1:10">
      <c r="A231" t="s">
        <v>415</v>
      </c>
      <c r="B231" t="s">
        <v>416</v>
      </c>
      <c r="C231" s="8" t="s">
        <v>26</v>
      </c>
      <c r="D231" s="8">
        <v>6.25</v>
      </c>
      <c r="E231" s="8">
        <v>13.09</v>
      </c>
      <c r="F231" s="6">
        <v>0.79449999999999998</v>
      </c>
      <c r="G231" t="str">
        <f t="shared" si="9"/>
        <v>Refuse</v>
      </c>
      <c r="H231" t="str" cm="1">
        <f t="array" ref="H231">_xlfn.IFS(E231&gt;=16,"Excellent",E231&gt;=14,"Très bien",E231&gt;=12,"Bien",E231&gt;=10,"Passable",E231&lt;10,"Insuffisant")</f>
        <v>Bien</v>
      </c>
      <c r="I231" t="str">
        <f t="shared" si="10"/>
        <v>A surveiller</v>
      </c>
      <c r="J231" t="str">
        <f t="shared" si="11"/>
        <v>Autre filière</v>
      </c>
    </row>
    <row r="232" spans="1:10">
      <c r="A232" t="s">
        <v>417</v>
      </c>
      <c r="B232" t="s">
        <v>39</v>
      </c>
      <c r="C232" s="8" t="s">
        <v>21</v>
      </c>
      <c r="D232" s="8">
        <v>10.029999999999999</v>
      </c>
      <c r="E232" s="8">
        <v>9.69</v>
      </c>
      <c r="F232" s="6">
        <v>0.94510000000000005</v>
      </c>
      <c r="G232" t="str">
        <f t="shared" si="9"/>
        <v>Refuse</v>
      </c>
      <c r="H232" t="str" cm="1">
        <f t="array" ref="H232">_xlfn.IFS(E232&gt;=16,"Excellent",E232&gt;=14,"Très bien",E232&gt;=12,"Bien",E232&gt;=10,"Passable",E232&lt;10,"Insuffisant")</f>
        <v>Insuffisant</v>
      </c>
      <c r="I232" t="str">
        <f t="shared" si="10"/>
        <v>A surveiller</v>
      </c>
      <c r="J232" t="str">
        <f t="shared" si="11"/>
        <v>Data</v>
      </c>
    </row>
    <row r="233" spans="1:10">
      <c r="A233" t="s">
        <v>418</v>
      </c>
      <c r="B233" t="s">
        <v>419</v>
      </c>
      <c r="C233" s="8" t="s">
        <v>47</v>
      </c>
      <c r="D233" s="8">
        <v>20</v>
      </c>
      <c r="E233" s="8">
        <v>16.09</v>
      </c>
      <c r="F233" s="6">
        <v>0.75680000000000003</v>
      </c>
      <c r="G233" t="str">
        <f t="shared" si="9"/>
        <v>Admis sous condition</v>
      </c>
      <c r="H233" t="str" cm="1">
        <f t="array" ref="H233">_xlfn.IFS(E233&gt;=16,"Excellent",E233&gt;=14,"Très bien",E233&gt;=12,"Bien",E233&gt;=10,"Passable",E233&lt;10,"Insuffisant")</f>
        <v>Excellent</v>
      </c>
      <c r="I233" t="str">
        <f t="shared" si="10"/>
        <v>RAS</v>
      </c>
      <c r="J233" t="str">
        <f t="shared" si="11"/>
        <v>Autre filière</v>
      </c>
    </row>
    <row r="234" spans="1:10">
      <c r="A234" t="s">
        <v>420</v>
      </c>
      <c r="B234" t="s">
        <v>134</v>
      </c>
      <c r="C234" s="8" t="s">
        <v>26</v>
      </c>
      <c r="D234" s="8">
        <v>11.36</v>
      </c>
      <c r="E234" s="8">
        <v>8.14</v>
      </c>
      <c r="F234" s="6">
        <v>0.55000000000000004</v>
      </c>
      <c r="G234" t="str">
        <f t="shared" si="9"/>
        <v>Refuse</v>
      </c>
      <c r="H234" t="str" cm="1">
        <f t="array" ref="H234">_xlfn.IFS(E234&gt;=16,"Excellent",E234&gt;=14,"Très bien",E234&gt;=12,"Bien",E234&gt;=10,"Passable",E234&lt;10,"Insuffisant")</f>
        <v>Insuffisant</v>
      </c>
      <c r="I234" t="str">
        <f t="shared" si="10"/>
        <v>A surveiller</v>
      </c>
      <c r="J234" t="str">
        <f t="shared" si="11"/>
        <v>Autre filière</v>
      </c>
    </row>
    <row r="235" spans="1:10">
      <c r="A235" t="s">
        <v>421</v>
      </c>
      <c r="B235" t="s">
        <v>422</v>
      </c>
      <c r="C235" s="8" t="s">
        <v>47</v>
      </c>
      <c r="D235" s="8">
        <v>7.95</v>
      </c>
      <c r="E235" s="8">
        <v>9.5500000000000007</v>
      </c>
      <c r="F235" s="6">
        <v>0.90759999999999996</v>
      </c>
      <c r="G235" t="str">
        <f t="shared" si="9"/>
        <v>Refuse</v>
      </c>
      <c r="H235" t="str" cm="1">
        <f t="array" ref="H235">_xlfn.IFS(E235&gt;=16,"Excellent",E235&gt;=14,"Très bien",E235&gt;=12,"Bien",E235&gt;=10,"Passable",E235&lt;10,"Insuffisant")</f>
        <v>Insuffisant</v>
      </c>
      <c r="I235" t="str">
        <f t="shared" si="10"/>
        <v>A surveiller</v>
      </c>
      <c r="J235" t="str">
        <f t="shared" si="11"/>
        <v>Autre filière</v>
      </c>
    </row>
    <row r="236" spans="1:10">
      <c r="A236" t="s">
        <v>423</v>
      </c>
      <c r="B236" t="s">
        <v>424</v>
      </c>
      <c r="C236" s="8" t="s">
        <v>21</v>
      </c>
      <c r="D236" s="8">
        <v>10.63</v>
      </c>
      <c r="E236" s="8">
        <v>16.22</v>
      </c>
      <c r="F236" s="6">
        <v>0.59889999999999999</v>
      </c>
      <c r="G236" t="str">
        <f t="shared" si="9"/>
        <v>Admis sous condition</v>
      </c>
      <c r="H236" t="str" cm="1">
        <f t="array" ref="H236">_xlfn.IFS(E236&gt;=16,"Excellent",E236&gt;=14,"Très bien",E236&gt;=12,"Bien",E236&gt;=10,"Passable",E236&lt;10,"Insuffisant")</f>
        <v>Excellent</v>
      </c>
      <c r="I236" t="str">
        <f t="shared" si="10"/>
        <v>A surveiller</v>
      </c>
      <c r="J236" t="str">
        <f t="shared" si="11"/>
        <v>Data</v>
      </c>
    </row>
    <row r="237" spans="1:10">
      <c r="A237" t="s">
        <v>425</v>
      </c>
      <c r="B237" t="s">
        <v>300</v>
      </c>
      <c r="C237" s="8" t="s">
        <v>21</v>
      </c>
      <c r="D237" s="8">
        <v>13.45</v>
      </c>
      <c r="E237" s="8">
        <v>19.48</v>
      </c>
      <c r="F237" s="6">
        <v>0.69740000000000002</v>
      </c>
      <c r="G237" t="str">
        <f t="shared" si="9"/>
        <v>Admis sous condition</v>
      </c>
      <c r="H237" t="str" cm="1">
        <f t="array" ref="H237">_xlfn.IFS(E237&gt;=16,"Excellent",E237&gt;=14,"Très bien",E237&gt;=12,"Bien",E237&gt;=10,"Passable",E237&lt;10,"Insuffisant")</f>
        <v>Excellent</v>
      </c>
      <c r="I237" t="str">
        <f t="shared" si="10"/>
        <v>A surveiller</v>
      </c>
      <c r="J237" t="str">
        <f t="shared" si="11"/>
        <v>Data</v>
      </c>
    </row>
    <row r="238" spans="1:10">
      <c r="A238" t="s">
        <v>426</v>
      </c>
      <c r="B238" t="s">
        <v>427</v>
      </c>
      <c r="C238" s="8" t="s">
        <v>21</v>
      </c>
      <c r="D238" s="8">
        <v>14.01</v>
      </c>
      <c r="E238" s="8">
        <v>9.76</v>
      </c>
      <c r="F238" s="6">
        <v>0.77359999999999995</v>
      </c>
      <c r="G238" t="str">
        <f t="shared" si="9"/>
        <v>Refuse</v>
      </c>
      <c r="H238" t="str" cm="1">
        <f t="array" ref="H238">_xlfn.IFS(E238&gt;=16,"Excellent",E238&gt;=14,"Très bien",E238&gt;=12,"Bien",E238&gt;=10,"Passable",E238&lt;10,"Insuffisant")</f>
        <v>Insuffisant</v>
      </c>
      <c r="I238" t="str">
        <f t="shared" si="10"/>
        <v>A surveiller</v>
      </c>
      <c r="J238" t="str">
        <f t="shared" si="11"/>
        <v>Data</v>
      </c>
    </row>
    <row r="239" spans="1:10">
      <c r="A239" t="s">
        <v>428</v>
      </c>
      <c r="B239" t="s">
        <v>353</v>
      </c>
      <c r="C239" s="8" t="s">
        <v>21</v>
      </c>
      <c r="D239" s="8">
        <v>14.62</v>
      </c>
      <c r="E239" s="8">
        <v>11.1</v>
      </c>
      <c r="F239" s="6">
        <v>0.91810000000000003</v>
      </c>
      <c r="G239" t="str">
        <f t="shared" si="9"/>
        <v>Admis sous condition</v>
      </c>
      <c r="H239" t="str" cm="1">
        <f t="array" ref="H239">_xlfn.IFS(E239&gt;=16,"Excellent",E239&gt;=14,"Très bien",E239&gt;=12,"Bien",E239&gt;=10,"Passable",E239&lt;10,"Insuffisant")</f>
        <v>Passable</v>
      </c>
      <c r="I239" t="str">
        <f t="shared" si="10"/>
        <v>RAS</v>
      </c>
      <c r="J239" t="str">
        <f t="shared" si="11"/>
        <v>Data</v>
      </c>
    </row>
    <row r="240" spans="1:10">
      <c r="A240" t="s">
        <v>429</v>
      </c>
      <c r="B240" t="s">
        <v>430</v>
      </c>
      <c r="C240" s="8" t="s">
        <v>26</v>
      </c>
      <c r="D240" s="8">
        <v>13.93</v>
      </c>
      <c r="E240" s="8">
        <v>9.5399999999999991</v>
      </c>
      <c r="F240" s="6">
        <v>0.8478</v>
      </c>
      <c r="G240" t="str">
        <f t="shared" si="9"/>
        <v>Refuse</v>
      </c>
      <c r="H240" t="str" cm="1">
        <f t="array" ref="H240">_xlfn.IFS(E240&gt;=16,"Excellent",E240&gt;=14,"Très bien",E240&gt;=12,"Bien",E240&gt;=10,"Passable",E240&lt;10,"Insuffisant")</f>
        <v>Insuffisant</v>
      </c>
      <c r="I240" t="str">
        <f t="shared" si="10"/>
        <v>A surveiller</v>
      </c>
      <c r="J240" t="str">
        <f t="shared" si="11"/>
        <v>Autre filière</v>
      </c>
    </row>
    <row r="241" spans="1:10">
      <c r="A241" t="s">
        <v>431</v>
      </c>
      <c r="B241" t="s">
        <v>432</v>
      </c>
      <c r="C241" s="8" t="s">
        <v>26</v>
      </c>
      <c r="D241" s="8">
        <v>12.51</v>
      </c>
      <c r="E241" s="8">
        <v>13.88</v>
      </c>
      <c r="F241" s="6">
        <v>0.93389999999999995</v>
      </c>
      <c r="G241" t="str">
        <f t="shared" si="9"/>
        <v>Admis</v>
      </c>
      <c r="H241" t="str" cm="1">
        <f t="array" ref="H241">_xlfn.IFS(E241&gt;=16,"Excellent",E241&gt;=14,"Très bien",E241&gt;=12,"Bien",E241&gt;=10,"Passable",E241&lt;10,"Insuffisant")</f>
        <v>Bien</v>
      </c>
      <c r="I241" t="str">
        <f t="shared" si="10"/>
        <v>RAS</v>
      </c>
      <c r="J241" t="str">
        <f t="shared" si="11"/>
        <v>Autre filière</v>
      </c>
    </row>
    <row r="242" spans="1:10">
      <c r="A242" t="s">
        <v>433</v>
      </c>
      <c r="B242" t="s">
        <v>284</v>
      </c>
      <c r="C242" s="8" t="s">
        <v>47</v>
      </c>
      <c r="D242" s="8">
        <v>8.11</v>
      </c>
      <c r="E242" s="8">
        <v>11.87</v>
      </c>
      <c r="F242" s="6">
        <v>0.80379999999999996</v>
      </c>
      <c r="G242" t="str">
        <f t="shared" si="9"/>
        <v>Refuse</v>
      </c>
      <c r="H242" t="str" cm="1">
        <f t="array" ref="H242">_xlfn.IFS(E242&gt;=16,"Excellent",E242&gt;=14,"Très bien",E242&gt;=12,"Bien",E242&gt;=10,"Passable",E242&lt;10,"Insuffisant")</f>
        <v>Passable</v>
      </c>
      <c r="I242" t="str">
        <f t="shared" si="10"/>
        <v>A surveiller</v>
      </c>
      <c r="J242" t="str">
        <f t="shared" si="11"/>
        <v>Autre filière</v>
      </c>
    </row>
    <row r="243" spans="1:10">
      <c r="A243" t="s">
        <v>434</v>
      </c>
      <c r="B243" t="s">
        <v>435</v>
      </c>
      <c r="C243" s="8" t="s">
        <v>47</v>
      </c>
      <c r="D243" s="8">
        <v>16.97</v>
      </c>
      <c r="E243" s="8">
        <v>18.690000000000001</v>
      </c>
      <c r="F243" s="6">
        <v>0.72509999999999997</v>
      </c>
      <c r="G243" t="str">
        <f t="shared" si="9"/>
        <v>Admis sous condition</v>
      </c>
      <c r="H243" t="str" cm="1">
        <f t="array" ref="H243">_xlfn.IFS(E243&gt;=16,"Excellent",E243&gt;=14,"Très bien",E243&gt;=12,"Bien",E243&gt;=10,"Passable",E243&lt;10,"Insuffisant")</f>
        <v>Excellent</v>
      </c>
      <c r="I243" t="str">
        <f t="shared" si="10"/>
        <v>RAS</v>
      </c>
      <c r="J243" t="str">
        <f t="shared" si="11"/>
        <v>Autre filière</v>
      </c>
    </row>
    <row r="244" spans="1:10">
      <c r="A244" t="s">
        <v>436</v>
      </c>
      <c r="B244" t="s">
        <v>138</v>
      </c>
      <c r="C244" s="8" t="s">
        <v>26</v>
      </c>
      <c r="D244" s="8">
        <v>15.51</v>
      </c>
      <c r="E244" s="8">
        <v>14.69</v>
      </c>
      <c r="F244" s="6">
        <v>0.87749999999999995</v>
      </c>
      <c r="G244" t="str">
        <f t="shared" si="9"/>
        <v>Admis</v>
      </c>
      <c r="H244" t="str" cm="1">
        <f t="array" ref="H244">_xlfn.IFS(E244&gt;=16,"Excellent",E244&gt;=14,"Très bien",E244&gt;=12,"Bien",E244&gt;=10,"Passable",E244&lt;10,"Insuffisant")</f>
        <v>Très bien</v>
      </c>
      <c r="I244" t="str">
        <f t="shared" si="10"/>
        <v>RAS</v>
      </c>
      <c r="J244" t="str">
        <f t="shared" si="11"/>
        <v>Autre filière</v>
      </c>
    </row>
    <row r="245" spans="1:10">
      <c r="A245" t="s">
        <v>437</v>
      </c>
      <c r="B245" t="s">
        <v>316</v>
      </c>
      <c r="C245" s="8" t="s">
        <v>34</v>
      </c>
      <c r="D245" s="8">
        <v>13.02</v>
      </c>
      <c r="E245" s="8">
        <v>15.13</v>
      </c>
      <c r="F245" s="6">
        <v>0.79690000000000005</v>
      </c>
      <c r="G245" t="str">
        <f t="shared" si="9"/>
        <v>Admis sous condition</v>
      </c>
      <c r="H245" t="str" cm="1">
        <f t="array" ref="H245">_xlfn.IFS(E245&gt;=16,"Excellent",E245&gt;=14,"Très bien",E245&gt;=12,"Bien",E245&gt;=10,"Passable",E245&lt;10,"Insuffisant")</f>
        <v>Très bien</v>
      </c>
      <c r="I245" t="str">
        <f t="shared" si="10"/>
        <v>RAS</v>
      </c>
      <c r="J245" t="str">
        <f t="shared" si="11"/>
        <v>Autre filière</v>
      </c>
    </row>
    <row r="246" spans="1:10">
      <c r="A246" t="s">
        <v>438</v>
      </c>
      <c r="B246" t="s">
        <v>110</v>
      </c>
      <c r="C246" s="8" t="s">
        <v>34</v>
      </c>
      <c r="D246" s="8">
        <v>11.63</v>
      </c>
      <c r="E246" s="8">
        <v>15.88</v>
      </c>
      <c r="F246" s="6">
        <v>0.76190000000000002</v>
      </c>
      <c r="G246" t="str">
        <f t="shared" si="9"/>
        <v>Admis sous condition</v>
      </c>
      <c r="H246" t="str" cm="1">
        <f t="array" ref="H246">_xlfn.IFS(E246&gt;=16,"Excellent",E246&gt;=14,"Très bien",E246&gt;=12,"Bien",E246&gt;=10,"Passable",E246&lt;10,"Insuffisant")</f>
        <v>Très bien</v>
      </c>
      <c r="I246" t="str">
        <f t="shared" si="10"/>
        <v>RAS</v>
      </c>
      <c r="J246" t="str">
        <f t="shared" si="11"/>
        <v>Autre filière</v>
      </c>
    </row>
    <row r="247" spans="1:10">
      <c r="A247" t="s">
        <v>439</v>
      </c>
      <c r="B247" t="s">
        <v>138</v>
      </c>
      <c r="C247" s="8" t="s">
        <v>47</v>
      </c>
      <c r="D247" s="8">
        <v>13.65</v>
      </c>
      <c r="E247" s="8">
        <v>14.38</v>
      </c>
      <c r="F247" s="6">
        <v>0.95069999999999999</v>
      </c>
      <c r="G247" t="str">
        <f t="shared" si="9"/>
        <v>Admis</v>
      </c>
      <c r="H247" t="str" cm="1">
        <f t="array" ref="H247">_xlfn.IFS(E247&gt;=16,"Excellent",E247&gt;=14,"Très bien",E247&gt;=12,"Bien",E247&gt;=10,"Passable",E247&lt;10,"Insuffisant")</f>
        <v>Très bien</v>
      </c>
      <c r="I247" t="str">
        <f t="shared" si="10"/>
        <v>RAS</v>
      </c>
      <c r="J247" t="str">
        <f t="shared" si="11"/>
        <v>Autre filière</v>
      </c>
    </row>
    <row r="248" spans="1:10">
      <c r="A248" t="s">
        <v>440</v>
      </c>
      <c r="B248" t="s">
        <v>441</v>
      </c>
      <c r="C248" s="8" t="s">
        <v>34</v>
      </c>
      <c r="D248" s="8">
        <v>9</v>
      </c>
      <c r="E248" s="8">
        <v>13.18</v>
      </c>
      <c r="F248" s="6">
        <v>0.84540000000000004</v>
      </c>
      <c r="G248" t="str">
        <f t="shared" si="9"/>
        <v>Refuse</v>
      </c>
      <c r="H248" t="str" cm="1">
        <f t="array" ref="H248">_xlfn.IFS(E248&gt;=16,"Excellent",E248&gt;=14,"Très bien",E248&gt;=12,"Bien",E248&gt;=10,"Passable",E248&lt;10,"Insuffisant")</f>
        <v>Bien</v>
      </c>
      <c r="I248" t="str">
        <f t="shared" si="10"/>
        <v>A surveiller</v>
      </c>
      <c r="J248" t="str">
        <f t="shared" si="11"/>
        <v>Autre filière</v>
      </c>
    </row>
    <row r="249" spans="1:10">
      <c r="A249" t="s">
        <v>442</v>
      </c>
      <c r="B249" t="s">
        <v>443</v>
      </c>
      <c r="C249" s="8" t="s">
        <v>21</v>
      </c>
      <c r="D249" s="8">
        <v>3.82</v>
      </c>
      <c r="E249" s="8">
        <v>0.41</v>
      </c>
      <c r="F249" s="6">
        <v>0.92369999999999997</v>
      </c>
      <c r="G249" t="str">
        <f t="shared" si="9"/>
        <v>Refuse</v>
      </c>
      <c r="H249" t="str" cm="1">
        <f t="array" ref="H249">_xlfn.IFS(E249&gt;=16,"Excellent",E249&gt;=14,"Très bien",E249&gt;=12,"Bien",E249&gt;=10,"Passable",E249&lt;10,"Insuffisant")</f>
        <v>Insuffisant</v>
      </c>
      <c r="I249" t="str">
        <f t="shared" si="10"/>
        <v>A surveiller</v>
      </c>
      <c r="J249" t="str">
        <f t="shared" si="11"/>
        <v>Data</v>
      </c>
    </row>
    <row r="250" spans="1:10">
      <c r="A250" t="s">
        <v>444</v>
      </c>
      <c r="B250" t="s">
        <v>300</v>
      </c>
      <c r="C250" s="8" t="s">
        <v>47</v>
      </c>
      <c r="D250" s="8">
        <v>9.43</v>
      </c>
      <c r="E250" s="8">
        <v>9.69</v>
      </c>
      <c r="F250" s="6">
        <v>0.87739999999999996</v>
      </c>
      <c r="G250" t="str">
        <f t="shared" si="9"/>
        <v>Refuse</v>
      </c>
      <c r="H250" t="str" cm="1">
        <f t="array" ref="H250">_xlfn.IFS(E250&gt;=16,"Excellent",E250&gt;=14,"Très bien",E250&gt;=12,"Bien",E250&gt;=10,"Passable",E250&lt;10,"Insuffisant")</f>
        <v>Insuffisant</v>
      </c>
      <c r="I250" t="str">
        <f t="shared" si="10"/>
        <v>A surveiller</v>
      </c>
      <c r="J250" t="str">
        <f t="shared" si="11"/>
        <v>Autre filière</v>
      </c>
    </row>
    <row r="251" spans="1:10">
      <c r="A251" t="s">
        <v>445</v>
      </c>
      <c r="B251" t="s">
        <v>230</v>
      </c>
      <c r="C251" s="8" t="s">
        <v>26</v>
      </c>
      <c r="D251" s="8">
        <v>9.5399999999999991</v>
      </c>
      <c r="E251" s="8">
        <v>13.21</v>
      </c>
      <c r="F251" s="6">
        <v>0.94869999999999999</v>
      </c>
      <c r="G251" t="str">
        <f t="shared" si="9"/>
        <v>Refuse</v>
      </c>
      <c r="H251" t="str" cm="1">
        <f t="array" ref="H251">_xlfn.IFS(E251&gt;=16,"Excellent",E251&gt;=14,"Très bien",E251&gt;=12,"Bien",E251&gt;=10,"Passable",E251&lt;10,"Insuffisant")</f>
        <v>Bien</v>
      </c>
      <c r="I251" t="str">
        <f t="shared" si="10"/>
        <v>A surveiller</v>
      </c>
      <c r="J251" t="str">
        <f t="shared" si="11"/>
        <v>Autre filière</v>
      </c>
    </row>
    <row r="252" spans="1:10">
      <c r="A252" t="s">
        <v>446</v>
      </c>
      <c r="B252" t="s">
        <v>430</v>
      </c>
      <c r="C252" s="8" t="s">
        <v>21</v>
      </c>
      <c r="D252" s="8">
        <v>9.5399999999999991</v>
      </c>
      <c r="E252" s="8">
        <v>10.32</v>
      </c>
      <c r="F252" s="6">
        <v>0.83479999999999999</v>
      </c>
      <c r="G252" t="str">
        <f t="shared" si="9"/>
        <v>Refuse</v>
      </c>
      <c r="H252" t="str" cm="1">
        <f t="array" ref="H252">_xlfn.IFS(E252&gt;=16,"Excellent",E252&gt;=14,"Très bien",E252&gt;=12,"Bien",E252&gt;=10,"Passable",E252&lt;10,"Insuffisant")</f>
        <v>Passable</v>
      </c>
      <c r="I252" t="str">
        <f t="shared" si="10"/>
        <v>A surveiller</v>
      </c>
      <c r="J252" t="str">
        <f t="shared" si="11"/>
        <v>Data</v>
      </c>
    </row>
    <row r="253" spans="1:10">
      <c r="A253" t="s">
        <v>447</v>
      </c>
      <c r="B253" t="s">
        <v>448</v>
      </c>
      <c r="C253" s="8" t="s">
        <v>21</v>
      </c>
      <c r="D253" s="8">
        <v>11.49</v>
      </c>
      <c r="E253" s="8">
        <v>6.29</v>
      </c>
      <c r="F253" s="6">
        <v>0.91059999999999997</v>
      </c>
      <c r="G253" t="str">
        <f t="shared" si="9"/>
        <v>Refuse</v>
      </c>
      <c r="H253" t="str" cm="1">
        <f t="array" ref="H253">_xlfn.IFS(E253&gt;=16,"Excellent",E253&gt;=14,"Très bien",E253&gt;=12,"Bien",E253&gt;=10,"Passable",E253&lt;10,"Insuffisant")</f>
        <v>Insuffisant</v>
      </c>
      <c r="I253" t="str">
        <f t="shared" si="10"/>
        <v>A surveiller</v>
      </c>
      <c r="J253" t="str">
        <f t="shared" si="11"/>
        <v>Data</v>
      </c>
    </row>
    <row r="254" spans="1:10">
      <c r="A254" t="s">
        <v>449</v>
      </c>
      <c r="B254" t="s">
        <v>450</v>
      </c>
      <c r="C254" s="8" t="s">
        <v>34</v>
      </c>
      <c r="D254" s="8">
        <v>17.37</v>
      </c>
      <c r="E254" s="8">
        <v>16.72</v>
      </c>
      <c r="F254" s="6">
        <v>0.94679999999999997</v>
      </c>
      <c r="G254" t="str">
        <f t="shared" si="9"/>
        <v>Admis</v>
      </c>
      <c r="H254" t="str" cm="1">
        <f t="array" ref="H254">_xlfn.IFS(E254&gt;=16,"Excellent",E254&gt;=14,"Très bien",E254&gt;=12,"Bien",E254&gt;=10,"Passable",E254&lt;10,"Insuffisant")</f>
        <v>Excellent</v>
      </c>
      <c r="I254" t="str">
        <f t="shared" si="10"/>
        <v>RAS</v>
      </c>
      <c r="J254" t="str">
        <f t="shared" si="11"/>
        <v>Autre filière</v>
      </c>
    </row>
    <row r="255" spans="1:10">
      <c r="A255" t="s">
        <v>451</v>
      </c>
      <c r="B255" t="s">
        <v>452</v>
      </c>
      <c r="C255" s="8" t="s">
        <v>26</v>
      </c>
      <c r="D255" s="8">
        <v>11.73</v>
      </c>
      <c r="E255" s="8">
        <v>10.93</v>
      </c>
      <c r="F255" s="6">
        <v>0.68320000000000003</v>
      </c>
      <c r="G255" t="str">
        <f t="shared" si="9"/>
        <v>Admis sous condition</v>
      </c>
      <c r="H255" t="str" cm="1">
        <f t="array" ref="H255">_xlfn.IFS(E255&gt;=16,"Excellent",E255&gt;=14,"Très bien",E255&gt;=12,"Bien",E255&gt;=10,"Passable",E255&lt;10,"Insuffisant")</f>
        <v>Passable</v>
      </c>
      <c r="I255" t="str">
        <f t="shared" si="10"/>
        <v>A surveiller</v>
      </c>
      <c r="J255" t="str">
        <f t="shared" si="11"/>
        <v>Autre filière</v>
      </c>
    </row>
    <row r="256" spans="1:10">
      <c r="A256" t="s">
        <v>453</v>
      </c>
      <c r="B256" t="s">
        <v>454</v>
      </c>
      <c r="C256" s="8" t="s">
        <v>47</v>
      </c>
      <c r="D256" s="8">
        <v>14.76</v>
      </c>
      <c r="E256" s="8">
        <v>20</v>
      </c>
      <c r="F256" s="6">
        <v>0.96360000000000001</v>
      </c>
      <c r="G256" t="str">
        <f t="shared" si="9"/>
        <v>Admis</v>
      </c>
      <c r="H256" t="str" cm="1">
        <f t="array" ref="H256">_xlfn.IFS(E256&gt;=16,"Excellent",E256&gt;=14,"Très bien",E256&gt;=12,"Bien",E256&gt;=10,"Passable",E256&lt;10,"Insuffisant")</f>
        <v>Excellent</v>
      </c>
      <c r="I256" t="str">
        <f t="shared" si="10"/>
        <v>RAS</v>
      </c>
      <c r="J256" t="str">
        <f t="shared" si="11"/>
        <v>Autre filière</v>
      </c>
    </row>
    <row r="257" spans="1:10">
      <c r="A257" t="s">
        <v>455</v>
      </c>
      <c r="B257" t="s">
        <v>450</v>
      </c>
      <c r="C257" s="8" t="s">
        <v>47</v>
      </c>
      <c r="D257" s="8">
        <v>13.53</v>
      </c>
      <c r="E257" s="8">
        <v>15.39</v>
      </c>
      <c r="F257" s="6">
        <v>0.63129999999999997</v>
      </c>
      <c r="G257" t="str">
        <f t="shared" si="9"/>
        <v>Admis sous condition</v>
      </c>
      <c r="H257" t="str" cm="1">
        <f t="array" ref="H257">_xlfn.IFS(E257&gt;=16,"Excellent",E257&gt;=14,"Très bien",E257&gt;=12,"Bien",E257&gt;=10,"Passable",E257&lt;10,"Insuffisant")</f>
        <v>Très bien</v>
      </c>
      <c r="I257" t="str">
        <f t="shared" si="10"/>
        <v>A surveiller</v>
      </c>
      <c r="J257" t="str">
        <f t="shared" si="11"/>
        <v>Autre filière</v>
      </c>
    </row>
    <row r="258" spans="1:10">
      <c r="A258" t="s">
        <v>456</v>
      </c>
      <c r="B258" t="s">
        <v>457</v>
      </c>
      <c r="C258" s="8" t="s">
        <v>47</v>
      </c>
      <c r="D258" s="8">
        <v>16.59</v>
      </c>
      <c r="E258" s="8">
        <v>14.2</v>
      </c>
      <c r="F258" s="6">
        <v>0.92749999999999999</v>
      </c>
      <c r="G258" t="str">
        <f t="shared" si="9"/>
        <v>Admis</v>
      </c>
      <c r="H258" t="str" cm="1">
        <f t="array" ref="H258">_xlfn.IFS(E258&gt;=16,"Excellent",E258&gt;=14,"Très bien",E258&gt;=12,"Bien",E258&gt;=10,"Passable",E258&lt;10,"Insuffisant")</f>
        <v>Très bien</v>
      </c>
      <c r="I258" t="str">
        <f t="shared" si="10"/>
        <v>RAS</v>
      </c>
      <c r="J258" t="str">
        <f t="shared" si="11"/>
        <v>Autre filière</v>
      </c>
    </row>
    <row r="259" spans="1:10">
      <c r="A259" t="s">
        <v>458</v>
      </c>
      <c r="B259" t="s">
        <v>459</v>
      </c>
      <c r="C259" s="8" t="s">
        <v>34</v>
      </c>
      <c r="D259" s="8">
        <v>11.72</v>
      </c>
      <c r="E259" s="8">
        <v>11.25</v>
      </c>
      <c r="F259" s="6">
        <v>0.79310000000000003</v>
      </c>
      <c r="G259" t="str">
        <f t="shared" ref="G259:G322" si="12">IF(AND(D259&gt;=12,E259&gt;=12,F259&gt;=80%),"Admis",IF(AND(D259&gt;=10,E259&gt;=10),"Admis sous condition","Refuse"))</f>
        <v>Admis sous condition</v>
      </c>
      <c r="H259" t="str" cm="1">
        <f t="array" ref="H259">_xlfn.IFS(E259&gt;=16,"Excellent",E259&gt;=14,"Très bien",E259&gt;=12,"Bien",E259&gt;=10,"Passable",E259&lt;10,"Insuffisant")</f>
        <v>Passable</v>
      </c>
      <c r="I259" t="str">
        <f t="shared" ref="I259:I322" si="13">IF(OR(D259&lt;10,E259&lt;10,F259&lt;70%),"A surveiller","RAS")</f>
        <v>RAS</v>
      </c>
      <c r="J259" t="str">
        <f t="shared" ref="J259:J322" si="14">IF(NOT(C259="Data"),"Autre filière","Data")</f>
        <v>Autre filière</v>
      </c>
    </row>
    <row r="260" spans="1:10">
      <c r="A260" t="s">
        <v>460</v>
      </c>
      <c r="B260" t="s">
        <v>284</v>
      </c>
      <c r="C260" s="8" t="s">
        <v>47</v>
      </c>
      <c r="D260" s="8">
        <v>10.35</v>
      </c>
      <c r="E260" s="8">
        <v>9.43</v>
      </c>
      <c r="F260" s="6">
        <v>0.97809999999999997</v>
      </c>
      <c r="G260" t="str">
        <f t="shared" si="12"/>
        <v>Refuse</v>
      </c>
      <c r="H260" t="str" cm="1">
        <f t="array" ref="H260">_xlfn.IFS(E260&gt;=16,"Excellent",E260&gt;=14,"Très bien",E260&gt;=12,"Bien",E260&gt;=10,"Passable",E260&lt;10,"Insuffisant")</f>
        <v>Insuffisant</v>
      </c>
      <c r="I260" t="str">
        <f t="shared" si="13"/>
        <v>A surveiller</v>
      </c>
      <c r="J260" t="str">
        <f t="shared" si="14"/>
        <v>Autre filière</v>
      </c>
    </row>
    <row r="261" spans="1:10">
      <c r="A261" t="s">
        <v>461</v>
      </c>
      <c r="B261" t="s">
        <v>309</v>
      </c>
      <c r="C261" s="8" t="s">
        <v>21</v>
      </c>
      <c r="D261" s="8">
        <v>13.81</v>
      </c>
      <c r="E261" s="8">
        <v>13.35</v>
      </c>
      <c r="F261" s="6">
        <v>0.82909999999999995</v>
      </c>
      <c r="G261" t="str">
        <f t="shared" si="12"/>
        <v>Admis</v>
      </c>
      <c r="H261" t="str" cm="1">
        <f t="array" ref="H261">_xlfn.IFS(E261&gt;=16,"Excellent",E261&gt;=14,"Très bien",E261&gt;=12,"Bien",E261&gt;=10,"Passable",E261&lt;10,"Insuffisant")</f>
        <v>Bien</v>
      </c>
      <c r="I261" t="str">
        <f t="shared" si="13"/>
        <v>RAS</v>
      </c>
      <c r="J261" t="str">
        <f t="shared" si="14"/>
        <v>Data</v>
      </c>
    </row>
    <row r="262" spans="1:10">
      <c r="A262" t="s">
        <v>462</v>
      </c>
      <c r="B262" t="s">
        <v>463</v>
      </c>
      <c r="C262" s="8" t="s">
        <v>21</v>
      </c>
      <c r="D262" s="8">
        <v>14.54</v>
      </c>
      <c r="E262" s="8">
        <v>12.17</v>
      </c>
      <c r="F262" s="6">
        <v>0.83850000000000002</v>
      </c>
      <c r="G262" t="str">
        <f t="shared" si="12"/>
        <v>Admis</v>
      </c>
      <c r="H262" t="str" cm="1">
        <f t="array" ref="H262">_xlfn.IFS(E262&gt;=16,"Excellent",E262&gt;=14,"Très bien",E262&gt;=12,"Bien",E262&gt;=10,"Passable",E262&lt;10,"Insuffisant")</f>
        <v>Bien</v>
      </c>
      <c r="I262" t="str">
        <f t="shared" si="13"/>
        <v>RAS</v>
      </c>
      <c r="J262" t="str">
        <f t="shared" si="14"/>
        <v>Data</v>
      </c>
    </row>
    <row r="263" spans="1:10">
      <c r="A263" t="s">
        <v>464</v>
      </c>
      <c r="B263" t="s">
        <v>409</v>
      </c>
      <c r="C263" s="8" t="s">
        <v>26</v>
      </c>
      <c r="D263" s="8">
        <v>15.24</v>
      </c>
      <c r="E263" s="8">
        <v>17.13</v>
      </c>
      <c r="F263" s="6">
        <v>0.92810000000000004</v>
      </c>
      <c r="G263" t="str">
        <f t="shared" si="12"/>
        <v>Admis</v>
      </c>
      <c r="H263" t="str" cm="1">
        <f t="array" ref="H263">_xlfn.IFS(E263&gt;=16,"Excellent",E263&gt;=14,"Très bien",E263&gt;=12,"Bien",E263&gt;=10,"Passable",E263&lt;10,"Insuffisant")</f>
        <v>Excellent</v>
      </c>
      <c r="I263" t="str">
        <f t="shared" si="13"/>
        <v>RAS</v>
      </c>
      <c r="J263" t="str">
        <f t="shared" si="14"/>
        <v>Autre filière</v>
      </c>
    </row>
    <row r="264" spans="1:10">
      <c r="A264" t="s">
        <v>465</v>
      </c>
      <c r="B264" t="s">
        <v>466</v>
      </c>
      <c r="C264" s="8" t="s">
        <v>47</v>
      </c>
      <c r="D264" s="8">
        <v>11.97</v>
      </c>
      <c r="E264" s="8">
        <v>11.01</v>
      </c>
      <c r="F264" s="6">
        <v>0.82140000000000002</v>
      </c>
      <c r="G264" t="str">
        <f t="shared" si="12"/>
        <v>Admis sous condition</v>
      </c>
      <c r="H264" t="str" cm="1">
        <f t="array" ref="H264">_xlfn.IFS(E264&gt;=16,"Excellent",E264&gt;=14,"Très bien",E264&gt;=12,"Bien",E264&gt;=10,"Passable",E264&lt;10,"Insuffisant")</f>
        <v>Passable</v>
      </c>
      <c r="I264" t="str">
        <f t="shared" si="13"/>
        <v>RAS</v>
      </c>
      <c r="J264" t="str">
        <f t="shared" si="14"/>
        <v>Autre filière</v>
      </c>
    </row>
    <row r="265" spans="1:10">
      <c r="A265" t="s">
        <v>467</v>
      </c>
      <c r="B265" t="s">
        <v>468</v>
      </c>
      <c r="C265" s="8" t="s">
        <v>21</v>
      </c>
      <c r="D265" s="8">
        <v>17.14</v>
      </c>
      <c r="E265" s="8">
        <v>11.32</v>
      </c>
      <c r="F265" s="6">
        <v>0.93889999999999996</v>
      </c>
      <c r="G265" t="str">
        <f t="shared" si="12"/>
        <v>Admis sous condition</v>
      </c>
      <c r="H265" t="str" cm="1">
        <f t="array" ref="H265">_xlfn.IFS(E265&gt;=16,"Excellent",E265&gt;=14,"Très bien",E265&gt;=12,"Bien",E265&gt;=10,"Passable",E265&lt;10,"Insuffisant")</f>
        <v>Passable</v>
      </c>
      <c r="I265" t="str">
        <f t="shared" si="13"/>
        <v>RAS</v>
      </c>
      <c r="J265" t="str">
        <f t="shared" si="14"/>
        <v>Data</v>
      </c>
    </row>
    <row r="266" spans="1:10">
      <c r="A266" t="s">
        <v>469</v>
      </c>
      <c r="B266" t="s">
        <v>470</v>
      </c>
      <c r="C266" s="8" t="s">
        <v>34</v>
      </c>
      <c r="D266" s="8">
        <v>10.29</v>
      </c>
      <c r="E266" s="8">
        <v>12.78</v>
      </c>
      <c r="F266" s="6">
        <v>0.98360000000000003</v>
      </c>
      <c r="G266" t="str">
        <f t="shared" si="12"/>
        <v>Admis sous condition</v>
      </c>
      <c r="H266" t="str" cm="1">
        <f t="array" ref="H266">_xlfn.IFS(E266&gt;=16,"Excellent",E266&gt;=14,"Très bien",E266&gt;=12,"Bien",E266&gt;=10,"Passable",E266&lt;10,"Insuffisant")</f>
        <v>Bien</v>
      </c>
      <c r="I266" t="str">
        <f t="shared" si="13"/>
        <v>RAS</v>
      </c>
      <c r="J266" t="str">
        <f t="shared" si="14"/>
        <v>Autre filière</v>
      </c>
    </row>
    <row r="267" spans="1:10">
      <c r="A267" t="s">
        <v>471</v>
      </c>
      <c r="B267" t="s">
        <v>97</v>
      </c>
      <c r="C267" s="8" t="s">
        <v>21</v>
      </c>
      <c r="D267" s="8">
        <v>11.03</v>
      </c>
      <c r="E267" s="8">
        <v>7.19</v>
      </c>
      <c r="F267" s="6">
        <v>0.98909999999999998</v>
      </c>
      <c r="G267" t="str">
        <f t="shared" si="12"/>
        <v>Refuse</v>
      </c>
      <c r="H267" t="str" cm="1">
        <f t="array" ref="H267">_xlfn.IFS(E267&gt;=16,"Excellent",E267&gt;=14,"Très bien",E267&gt;=12,"Bien",E267&gt;=10,"Passable",E267&lt;10,"Insuffisant")</f>
        <v>Insuffisant</v>
      </c>
      <c r="I267" t="str">
        <f t="shared" si="13"/>
        <v>A surveiller</v>
      </c>
      <c r="J267" t="str">
        <f t="shared" si="14"/>
        <v>Data</v>
      </c>
    </row>
    <row r="268" spans="1:10">
      <c r="A268" t="s">
        <v>472</v>
      </c>
      <c r="B268" t="s">
        <v>473</v>
      </c>
      <c r="C268" s="8" t="s">
        <v>47</v>
      </c>
      <c r="D268" s="8">
        <v>14.62</v>
      </c>
      <c r="E268" s="8">
        <v>14.45</v>
      </c>
      <c r="F268" s="6">
        <v>0.9153</v>
      </c>
      <c r="G268" t="str">
        <f t="shared" si="12"/>
        <v>Admis</v>
      </c>
      <c r="H268" t="str" cm="1">
        <f t="array" ref="H268">_xlfn.IFS(E268&gt;=16,"Excellent",E268&gt;=14,"Très bien",E268&gt;=12,"Bien",E268&gt;=10,"Passable",E268&lt;10,"Insuffisant")</f>
        <v>Très bien</v>
      </c>
      <c r="I268" t="str">
        <f t="shared" si="13"/>
        <v>RAS</v>
      </c>
      <c r="J268" t="str">
        <f t="shared" si="14"/>
        <v>Autre filière</v>
      </c>
    </row>
    <row r="269" spans="1:10">
      <c r="A269" t="s">
        <v>474</v>
      </c>
      <c r="B269" t="s">
        <v>87</v>
      </c>
      <c r="C269" s="8" t="s">
        <v>26</v>
      </c>
      <c r="D269" s="8">
        <v>13.61</v>
      </c>
      <c r="E269" s="8">
        <v>14.76</v>
      </c>
      <c r="F269" s="6">
        <v>0.67179999999999995</v>
      </c>
      <c r="G269" t="str">
        <f t="shared" si="12"/>
        <v>Admis sous condition</v>
      </c>
      <c r="H269" t="str" cm="1">
        <f t="array" ref="H269">_xlfn.IFS(E269&gt;=16,"Excellent",E269&gt;=14,"Très bien",E269&gt;=12,"Bien",E269&gt;=10,"Passable",E269&lt;10,"Insuffisant")</f>
        <v>Très bien</v>
      </c>
      <c r="I269" t="str">
        <f t="shared" si="13"/>
        <v>A surveiller</v>
      </c>
      <c r="J269" t="str">
        <f t="shared" si="14"/>
        <v>Autre filière</v>
      </c>
    </row>
    <row r="270" spans="1:10">
      <c r="A270" t="s">
        <v>475</v>
      </c>
      <c r="B270" t="s">
        <v>476</v>
      </c>
      <c r="C270" s="8" t="s">
        <v>34</v>
      </c>
      <c r="D270" s="8">
        <v>9.68</v>
      </c>
      <c r="E270" s="8">
        <v>15.25</v>
      </c>
      <c r="F270" s="6">
        <v>0.81479999999999997</v>
      </c>
      <c r="G270" t="str">
        <f t="shared" si="12"/>
        <v>Refuse</v>
      </c>
      <c r="H270" t="str" cm="1">
        <f t="array" ref="H270">_xlfn.IFS(E270&gt;=16,"Excellent",E270&gt;=14,"Très bien",E270&gt;=12,"Bien",E270&gt;=10,"Passable",E270&lt;10,"Insuffisant")</f>
        <v>Très bien</v>
      </c>
      <c r="I270" t="str">
        <f t="shared" si="13"/>
        <v>A surveiller</v>
      </c>
      <c r="J270" t="str">
        <f t="shared" si="14"/>
        <v>Autre filière</v>
      </c>
    </row>
    <row r="271" spans="1:10">
      <c r="A271" t="s">
        <v>477</v>
      </c>
      <c r="B271" t="s">
        <v>478</v>
      </c>
      <c r="C271" s="8" t="s">
        <v>34</v>
      </c>
      <c r="D271" s="8">
        <v>18.239999999999998</v>
      </c>
      <c r="E271" s="8">
        <v>13.27</v>
      </c>
      <c r="F271" s="6">
        <v>0.55000000000000004</v>
      </c>
      <c r="G271" t="str">
        <f t="shared" si="12"/>
        <v>Admis sous condition</v>
      </c>
      <c r="H271" t="str" cm="1">
        <f t="array" ref="H271">_xlfn.IFS(E271&gt;=16,"Excellent",E271&gt;=14,"Très bien",E271&gt;=12,"Bien",E271&gt;=10,"Passable",E271&lt;10,"Insuffisant")</f>
        <v>Bien</v>
      </c>
      <c r="I271" t="str">
        <f t="shared" si="13"/>
        <v>A surveiller</v>
      </c>
      <c r="J271" t="str">
        <f t="shared" si="14"/>
        <v>Autre filière</v>
      </c>
    </row>
    <row r="272" spans="1:10">
      <c r="A272" t="s">
        <v>479</v>
      </c>
      <c r="B272" t="s">
        <v>87</v>
      </c>
      <c r="C272" s="8" t="s">
        <v>21</v>
      </c>
      <c r="D272" s="8">
        <v>17.3</v>
      </c>
      <c r="E272" s="8">
        <v>14.92</v>
      </c>
      <c r="F272" s="6">
        <v>0.83330000000000004</v>
      </c>
      <c r="G272" t="str">
        <f t="shared" si="12"/>
        <v>Admis</v>
      </c>
      <c r="H272" t="str" cm="1">
        <f t="array" ref="H272">_xlfn.IFS(E272&gt;=16,"Excellent",E272&gt;=14,"Très bien",E272&gt;=12,"Bien",E272&gt;=10,"Passable",E272&lt;10,"Insuffisant")</f>
        <v>Très bien</v>
      </c>
      <c r="I272" t="str">
        <f t="shared" si="13"/>
        <v>RAS</v>
      </c>
      <c r="J272" t="str">
        <f t="shared" si="14"/>
        <v>Data</v>
      </c>
    </row>
    <row r="273" spans="1:10">
      <c r="A273" t="s">
        <v>480</v>
      </c>
      <c r="B273" t="s">
        <v>481</v>
      </c>
      <c r="C273" s="8" t="s">
        <v>34</v>
      </c>
      <c r="D273" s="8">
        <v>17.04</v>
      </c>
      <c r="E273" s="8">
        <v>17.309999999999999</v>
      </c>
      <c r="F273" s="6">
        <v>0.84279999999999999</v>
      </c>
      <c r="G273" t="str">
        <f t="shared" si="12"/>
        <v>Admis</v>
      </c>
      <c r="H273" t="str" cm="1">
        <f t="array" ref="H273">_xlfn.IFS(E273&gt;=16,"Excellent",E273&gt;=14,"Très bien",E273&gt;=12,"Bien",E273&gt;=10,"Passable",E273&lt;10,"Insuffisant")</f>
        <v>Excellent</v>
      </c>
      <c r="I273" t="str">
        <f t="shared" si="13"/>
        <v>RAS</v>
      </c>
      <c r="J273" t="str">
        <f t="shared" si="14"/>
        <v>Autre filière</v>
      </c>
    </row>
    <row r="274" spans="1:10">
      <c r="A274" t="s">
        <v>482</v>
      </c>
      <c r="B274" t="s">
        <v>134</v>
      </c>
      <c r="C274" s="8" t="s">
        <v>34</v>
      </c>
      <c r="D274" s="8">
        <v>19.11</v>
      </c>
      <c r="E274" s="8">
        <v>15.13</v>
      </c>
      <c r="F274" s="6">
        <v>0.55000000000000004</v>
      </c>
      <c r="G274" t="str">
        <f t="shared" si="12"/>
        <v>Admis sous condition</v>
      </c>
      <c r="H274" t="str" cm="1">
        <f t="array" ref="H274">_xlfn.IFS(E274&gt;=16,"Excellent",E274&gt;=14,"Très bien",E274&gt;=12,"Bien",E274&gt;=10,"Passable",E274&lt;10,"Insuffisant")</f>
        <v>Très bien</v>
      </c>
      <c r="I274" t="str">
        <f t="shared" si="13"/>
        <v>A surveiller</v>
      </c>
      <c r="J274" t="str">
        <f t="shared" si="14"/>
        <v>Autre filière</v>
      </c>
    </row>
    <row r="275" spans="1:10">
      <c r="A275" t="s">
        <v>483</v>
      </c>
      <c r="B275" t="s">
        <v>484</v>
      </c>
      <c r="C275" s="8" t="s">
        <v>21</v>
      </c>
      <c r="D275" s="8">
        <v>14.87</v>
      </c>
      <c r="E275" s="8">
        <v>16.79</v>
      </c>
      <c r="F275" s="6">
        <v>0.62019999999999997</v>
      </c>
      <c r="G275" t="str">
        <f t="shared" si="12"/>
        <v>Admis sous condition</v>
      </c>
      <c r="H275" t="str" cm="1">
        <f t="array" ref="H275">_xlfn.IFS(E275&gt;=16,"Excellent",E275&gt;=14,"Très bien",E275&gt;=12,"Bien",E275&gt;=10,"Passable",E275&lt;10,"Insuffisant")</f>
        <v>Excellent</v>
      </c>
      <c r="I275" t="str">
        <f t="shared" si="13"/>
        <v>A surveiller</v>
      </c>
      <c r="J275" t="str">
        <f t="shared" si="14"/>
        <v>Data</v>
      </c>
    </row>
    <row r="276" spans="1:10">
      <c r="A276" t="s">
        <v>485</v>
      </c>
      <c r="B276" t="s">
        <v>154</v>
      </c>
      <c r="C276" s="8" t="s">
        <v>34</v>
      </c>
      <c r="D276" s="8">
        <v>13.51</v>
      </c>
      <c r="E276" s="8">
        <v>9.89</v>
      </c>
      <c r="F276" s="6">
        <v>0.88829999999999998</v>
      </c>
      <c r="G276" t="str">
        <f t="shared" si="12"/>
        <v>Refuse</v>
      </c>
      <c r="H276" t="str" cm="1">
        <f t="array" ref="H276">_xlfn.IFS(E276&gt;=16,"Excellent",E276&gt;=14,"Très bien",E276&gt;=12,"Bien",E276&gt;=10,"Passable",E276&lt;10,"Insuffisant")</f>
        <v>Insuffisant</v>
      </c>
      <c r="I276" t="str">
        <f t="shared" si="13"/>
        <v>A surveiller</v>
      </c>
      <c r="J276" t="str">
        <f t="shared" si="14"/>
        <v>Autre filière</v>
      </c>
    </row>
    <row r="277" spans="1:10">
      <c r="A277" t="s">
        <v>486</v>
      </c>
      <c r="B277" t="s">
        <v>452</v>
      </c>
      <c r="C277" s="8" t="s">
        <v>26</v>
      </c>
      <c r="D277" s="8">
        <v>16.36</v>
      </c>
      <c r="E277" s="8">
        <v>18.11</v>
      </c>
      <c r="F277" s="6">
        <v>0.60209999999999997</v>
      </c>
      <c r="G277" t="str">
        <f t="shared" si="12"/>
        <v>Admis sous condition</v>
      </c>
      <c r="H277" t="str" cm="1">
        <f t="array" ref="H277">_xlfn.IFS(E277&gt;=16,"Excellent",E277&gt;=14,"Très bien",E277&gt;=12,"Bien",E277&gt;=10,"Passable",E277&lt;10,"Insuffisant")</f>
        <v>Excellent</v>
      </c>
      <c r="I277" t="str">
        <f t="shared" si="13"/>
        <v>A surveiller</v>
      </c>
      <c r="J277" t="str">
        <f t="shared" si="14"/>
        <v>Autre filière</v>
      </c>
    </row>
    <row r="278" spans="1:10">
      <c r="A278" t="s">
        <v>487</v>
      </c>
      <c r="B278" t="s">
        <v>381</v>
      </c>
      <c r="C278" s="8" t="s">
        <v>26</v>
      </c>
      <c r="D278" s="8">
        <v>12.64</v>
      </c>
      <c r="E278" s="8">
        <v>14.08</v>
      </c>
      <c r="F278" s="6">
        <v>0.83730000000000004</v>
      </c>
      <c r="G278" t="str">
        <f t="shared" si="12"/>
        <v>Admis</v>
      </c>
      <c r="H278" t="str" cm="1">
        <f t="array" ref="H278">_xlfn.IFS(E278&gt;=16,"Excellent",E278&gt;=14,"Très bien",E278&gt;=12,"Bien",E278&gt;=10,"Passable",E278&lt;10,"Insuffisant")</f>
        <v>Très bien</v>
      </c>
      <c r="I278" t="str">
        <f t="shared" si="13"/>
        <v>RAS</v>
      </c>
      <c r="J278" t="str">
        <f t="shared" si="14"/>
        <v>Autre filière</v>
      </c>
    </row>
    <row r="279" spans="1:10">
      <c r="A279" t="s">
        <v>488</v>
      </c>
      <c r="B279" t="s">
        <v>489</v>
      </c>
      <c r="C279" s="8" t="s">
        <v>34</v>
      </c>
      <c r="D279" s="8">
        <v>12.82</v>
      </c>
      <c r="E279" s="8">
        <v>17.84</v>
      </c>
      <c r="F279" s="6">
        <v>0.85229999999999995</v>
      </c>
      <c r="G279" t="str">
        <f t="shared" si="12"/>
        <v>Admis</v>
      </c>
      <c r="H279" t="str" cm="1">
        <f t="array" ref="H279">_xlfn.IFS(E279&gt;=16,"Excellent",E279&gt;=14,"Très bien",E279&gt;=12,"Bien",E279&gt;=10,"Passable",E279&lt;10,"Insuffisant")</f>
        <v>Excellent</v>
      </c>
      <c r="I279" t="str">
        <f t="shared" si="13"/>
        <v>RAS</v>
      </c>
      <c r="J279" t="str">
        <f t="shared" si="14"/>
        <v>Autre filière</v>
      </c>
    </row>
    <row r="280" spans="1:10">
      <c r="A280" t="s">
        <v>490</v>
      </c>
      <c r="B280" t="s">
        <v>491</v>
      </c>
      <c r="C280" s="8" t="s">
        <v>26</v>
      </c>
      <c r="D280" s="8">
        <v>9.1999999999999993</v>
      </c>
      <c r="E280" s="8">
        <v>12.24</v>
      </c>
      <c r="F280" s="6">
        <v>0.82589999999999997</v>
      </c>
      <c r="G280" t="str">
        <f t="shared" si="12"/>
        <v>Refuse</v>
      </c>
      <c r="H280" t="str" cm="1">
        <f t="array" ref="H280">_xlfn.IFS(E280&gt;=16,"Excellent",E280&gt;=14,"Très bien",E280&gt;=12,"Bien",E280&gt;=10,"Passable",E280&lt;10,"Insuffisant")</f>
        <v>Bien</v>
      </c>
      <c r="I280" t="str">
        <f t="shared" si="13"/>
        <v>A surveiller</v>
      </c>
      <c r="J280" t="str">
        <f t="shared" si="14"/>
        <v>Autre filière</v>
      </c>
    </row>
    <row r="281" spans="1:10">
      <c r="A281" t="s">
        <v>492</v>
      </c>
      <c r="B281" t="s">
        <v>493</v>
      </c>
      <c r="C281" s="8" t="s">
        <v>21</v>
      </c>
      <c r="D281" s="8">
        <v>13.05</v>
      </c>
      <c r="E281" s="8">
        <v>12.85</v>
      </c>
      <c r="F281" s="6">
        <v>0.88490000000000002</v>
      </c>
      <c r="G281" t="str">
        <f t="shared" si="12"/>
        <v>Admis</v>
      </c>
      <c r="H281" t="str" cm="1">
        <f t="array" ref="H281">_xlfn.IFS(E281&gt;=16,"Excellent",E281&gt;=14,"Très bien",E281&gt;=12,"Bien",E281&gt;=10,"Passable",E281&lt;10,"Insuffisant")</f>
        <v>Bien</v>
      </c>
      <c r="I281" t="str">
        <f t="shared" si="13"/>
        <v>RAS</v>
      </c>
      <c r="J281" t="str">
        <f t="shared" si="14"/>
        <v>Data</v>
      </c>
    </row>
    <row r="282" spans="1:10">
      <c r="A282" t="s">
        <v>494</v>
      </c>
      <c r="B282" t="s">
        <v>495</v>
      </c>
      <c r="C282" s="8" t="s">
        <v>26</v>
      </c>
      <c r="D282" s="8">
        <v>6.66</v>
      </c>
      <c r="E282" s="8">
        <v>11.92</v>
      </c>
      <c r="F282" s="6">
        <v>0.95240000000000002</v>
      </c>
      <c r="G282" t="str">
        <f t="shared" si="12"/>
        <v>Refuse</v>
      </c>
      <c r="H282" t="str" cm="1">
        <f t="array" ref="H282">_xlfn.IFS(E282&gt;=16,"Excellent",E282&gt;=14,"Très bien",E282&gt;=12,"Bien",E282&gt;=10,"Passable",E282&lt;10,"Insuffisant")</f>
        <v>Passable</v>
      </c>
      <c r="I282" t="str">
        <f t="shared" si="13"/>
        <v>A surveiller</v>
      </c>
      <c r="J282" t="str">
        <f t="shared" si="14"/>
        <v>Autre filière</v>
      </c>
    </row>
    <row r="283" spans="1:10">
      <c r="A283" t="s">
        <v>496</v>
      </c>
      <c r="B283" t="s">
        <v>452</v>
      </c>
      <c r="C283" s="8" t="s">
        <v>34</v>
      </c>
      <c r="D283" s="8">
        <v>8.64</v>
      </c>
      <c r="E283" s="8">
        <v>11.39</v>
      </c>
      <c r="F283" s="6">
        <v>0.74180000000000001</v>
      </c>
      <c r="G283" t="str">
        <f t="shared" si="12"/>
        <v>Refuse</v>
      </c>
      <c r="H283" t="str" cm="1">
        <f t="array" ref="H283">_xlfn.IFS(E283&gt;=16,"Excellent",E283&gt;=14,"Très bien",E283&gt;=12,"Bien",E283&gt;=10,"Passable",E283&lt;10,"Insuffisant")</f>
        <v>Passable</v>
      </c>
      <c r="I283" t="str">
        <f t="shared" si="13"/>
        <v>A surveiller</v>
      </c>
      <c r="J283" t="str">
        <f t="shared" si="14"/>
        <v>Autre filière</v>
      </c>
    </row>
    <row r="284" spans="1:10">
      <c r="A284" t="s">
        <v>497</v>
      </c>
      <c r="B284" t="s">
        <v>145</v>
      </c>
      <c r="C284" s="8" t="s">
        <v>47</v>
      </c>
      <c r="D284" s="8">
        <v>10.32</v>
      </c>
      <c r="E284" s="8">
        <v>9.65</v>
      </c>
      <c r="F284" s="6">
        <v>0.95789999999999997</v>
      </c>
      <c r="G284" t="str">
        <f t="shared" si="12"/>
        <v>Refuse</v>
      </c>
      <c r="H284" t="str" cm="1">
        <f t="array" ref="H284">_xlfn.IFS(E284&gt;=16,"Excellent",E284&gt;=14,"Très bien",E284&gt;=12,"Bien",E284&gt;=10,"Passable",E284&lt;10,"Insuffisant")</f>
        <v>Insuffisant</v>
      </c>
      <c r="I284" t="str">
        <f t="shared" si="13"/>
        <v>A surveiller</v>
      </c>
      <c r="J284" t="str">
        <f t="shared" si="14"/>
        <v>Autre filière</v>
      </c>
    </row>
    <row r="285" spans="1:10">
      <c r="A285" t="s">
        <v>498</v>
      </c>
      <c r="B285" t="s">
        <v>499</v>
      </c>
      <c r="C285" s="8" t="s">
        <v>21</v>
      </c>
      <c r="D285" s="8">
        <v>20</v>
      </c>
      <c r="E285" s="8">
        <v>15.98</v>
      </c>
      <c r="F285" s="6">
        <v>0.71940000000000004</v>
      </c>
      <c r="G285" t="str">
        <f t="shared" si="12"/>
        <v>Admis sous condition</v>
      </c>
      <c r="H285" t="str" cm="1">
        <f t="array" ref="H285">_xlfn.IFS(E285&gt;=16,"Excellent",E285&gt;=14,"Très bien",E285&gt;=12,"Bien",E285&gt;=10,"Passable",E285&lt;10,"Insuffisant")</f>
        <v>Très bien</v>
      </c>
      <c r="I285" t="str">
        <f t="shared" si="13"/>
        <v>RAS</v>
      </c>
      <c r="J285" t="str">
        <f t="shared" si="14"/>
        <v>Data</v>
      </c>
    </row>
    <row r="286" spans="1:10">
      <c r="A286" t="s">
        <v>500</v>
      </c>
      <c r="B286" t="s">
        <v>287</v>
      </c>
      <c r="C286" s="8" t="s">
        <v>26</v>
      </c>
      <c r="D286" s="8">
        <v>20</v>
      </c>
      <c r="E286" s="8">
        <v>17.809999999999999</v>
      </c>
      <c r="F286" s="6">
        <v>0.91659999999999997</v>
      </c>
      <c r="G286" t="str">
        <f t="shared" si="12"/>
        <v>Admis</v>
      </c>
      <c r="H286" t="str" cm="1">
        <f t="array" ref="H286">_xlfn.IFS(E286&gt;=16,"Excellent",E286&gt;=14,"Très bien",E286&gt;=12,"Bien",E286&gt;=10,"Passable",E286&lt;10,"Insuffisant")</f>
        <v>Excellent</v>
      </c>
      <c r="I286" t="str">
        <f t="shared" si="13"/>
        <v>RAS</v>
      </c>
      <c r="J286" t="str">
        <f t="shared" si="14"/>
        <v>Autre filière</v>
      </c>
    </row>
    <row r="287" spans="1:10">
      <c r="A287" t="s">
        <v>501</v>
      </c>
      <c r="B287" t="s">
        <v>432</v>
      </c>
      <c r="C287" s="8" t="s">
        <v>34</v>
      </c>
      <c r="D287" s="8">
        <v>10.7</v>
      </c>
      <c r="E287" s="8">
        <v>7.88</v>
      </c>
      <c r="F287" s="6">
        <v>0.83550000000000002</v>
      </c>
      <c r="G287" t="str">
        <f t="shared" si="12"/>
        <v>Refuse</v>
      </c>
      <c r="H287" t="str" cm="1">
        <f t="array" ref="H287">_xlfn.IFS(E287&gt;=16,"Excellent",E287&gt;=14,"Très bien",E287&gt;=12,"Bien",E287&gt;=10,"Passable",E287&lt;10,"Insuffisant")</f>
        <v>Insuffisant</v>
      </c>
      <c r="I287" t="str">
        <f t="shared" si="13"/>
        <v>A surveiller</v>
      </c>
      <c r="J287" t="str">
        <f t="shared" si="14"/>
        <v>Autre filière</v>
      </c>
    </row>
    <row r="288" spans="1:10">
      <c r="A288" t="s">
        <v>502</v>
      </c>
      <c r="B288" t="s">
        <v>369</v>
      </c>
      <c r="C288" s="8" t="s">
        <v>26</v>
      </c>
      <c r="D288" s="8">
        <v>14.36</v>
      </c>
      <c r="E288" s="8">
        <v>17.649999999999999</v>
      </c>
      <c r="F288" s="6">
        <v>0.67620000000000002</v>
      </c>
      <c r="G288" t="str">
        <f t="shared" si="12"/>
        <v>Admis sous condition</v>
      </c>
      <c r="H288" t="str" cm="1">
        <f t="array" ref="H288">_xlfn.IFS(E288&gt;=16,"Excellent",E288&gt;=14,"Très bien",E288&gt;=12,"Bien",E288&gt;=10,"Passable",E288&lt;10,"Insuffisant")</f>
        <v>Excellent</v>
      </c>
      <c r="I288" t="str">
        <f t="shared" si="13"/>
        <v>A surveiller</v>
      </c>
      <c r="J288" t="str">
        <f t="shared" si="14"/>
        <v>Autre filière</v>
      </c>
    </row>
    <row r="289" spans="1:10">
      <c r="A289" t="s">
        <v>503</v>
      </c>
      <c r="B289" t="s">
        <v>54</v>
      </c>
      <c r="C289" s="8" t="s">
        <v>21</v>
      </c>
      <c r="D289" s="8">
        <v>13.42</v>
      </c>
      <c r="E289" s="8">
        <v>9.9700000000000006</v>
      </c>
      <c r="F289" s="6">
        <v>0.59109999999999996</v>
      </c>
      <c r="G289" t="str">
        <f t="shared" si="12"/>
        <v>Refuse</v>
      </c>
      <c r="H289" t="str" cm="1">
        <f t="array" ref="H289">_xlfn.IFS(E289&gt;=16,"Excellent",E289&gt;=14,"Très bien",E289&gt;=12,"Bien",E289&gt;=10,"Passable",E289&lt;10,"Insuffisant")</f>
        <v>Insuffisant</v>
      </c>
      <c r="I289" t="str">
        <f t="shared" si="13"/>
        <v>A surveiller</v>
      </c>
      <c r="J289" t="str">
        <f t="shared" si="14"/>
        <v>Data</v>
      </c>
    </row>
    <row r="290" spans="1:10">
      <c r="A290" t="s">
        <v>504</v>
      </c>
      <c r="B290" t="s">
        <v>505</v>
      </c>
      <c r="C290" s="8" t="s">
        <v>47</v>
      </c>
      <c r="D290" s="8">
        <v>14.21</v>
      </c>
      <c r="E290" s="8">
        <v>14.2</v>
      </c>
      <c r="F290" s="6">
        <v>0.91249999999999998</v>
      </c>
      <c r="G290" t="str">
        <f t="shared" si="12"/>
        <v>Admis</v>
      </c>
      <c r="H290" t="str" cm="1">
        <f t="array" ref="H290">_xlfn.IFS(E290&gt;=16,"Excellent",E290&gt;=14,"Très bien",E290&gt;=12,"Bien",E290&gt;=10,"Passable",E290&lt;10,"Insuffisant")</f>
        <v>Très bien</v>
      </c>
      <c r="I290" t="str">
        <f t="shared" si="13"/>
        <v>RAS</v>
      </c>
      <c r="J290" t="str">
        <f t="shared" si="14"/>
        <v>Autre filière</v>
      </c>
    </row>
    <row r="291" spans="1:10">
      <c r="A291" t="s">
        <v>506</v>
      </c>
      <c r="B291" t="s">
        <v>160</v>
      </c>
      <c r="C291" s="8" t="s">
        <v>21</v>
      </c>
      <c r="D291" s="8">
        <v>14.91</v>
      </c>
      <c r="E291" s="8">
        <v>14.5</v>
      </c>
      <c r="F291" s="6">
        <v>0.84230000000000005</v>
      </c>
      <c r="G291" t="str">
        <f t="shared" si="12"/>
        <v>Admis</v>
      </c>
      <c r="H291" t="str" cm="1">
        <f t="array" ref="H291">_xlfn.IFS(E291&gt;=16,"Excellent",E291&gt;=14,"Très bien",E291&gt;=12,"Bien",E291&gt;=10,"Passable",E291&lt;10,"Insuffisant")</f>
        <v>Très bien</v>
      </c>
      <c r="I291" t="str">
        <f t="shared" si="13"/>
        <v>RAS</v>
      </c>
      <c r="J291" t="str">
        <f t="shared" si="14"/>
        <v>Data</v>
      </c>
    </row>
    <row r="292" spans="1:10">
      <c r="A292" t="s">
        <v>507</v>
      </c>
      <c r="B292" t="s">
        <v>508</v>
      </c>
      <c r="C292" s="8" t="s">
        <v>26</v>
      </c>
      <c r="D292" s="8">
        <v>13.47</v>
      </c>
      <c r="E292" s="8">
        <v>12.22</v>
      </c>
      <c r="F292" s="6">
        <v>0.83460000000000001</v>
      </c>
      <c r="G292" t="str">
        <f t="shared" si="12"/>
        <v>Admis</v>
      </c>
      <c r="H292" t="str" cm="1">
        <f t="array" ref="H292">_xlfn.IFS(E292&gt;=16,"Excellent",E292&gt;=14,"Très bien",E292&gt;=12,"Bien",E292&gt;=10,"Passable",E292&lt;10,"Insuffisant")</f>
        <v>Bien</v>
      </c>
      <c r="I292" t="str">
        <f t="shared" si="13"/>
        <v>RAS</v>
      </c>
      <c r="J292" t="str">
        <f t="shared" si="14"/>
        <v>Autre filière</v>
      </c>
    </row>
    <row r="293" spans="1:10">
      <c r="A293" t="s">
        <v>509</v>
      </c>
      <c r="B293" t="s">
        <v>510</v>
      </c>
      <c r="C293" s="8" t="s">
        <v>34</v>
      </c>
      <c r="D293" s="8">
        <v>19.03</v>
      </c>
      <c r="E293" s="8">
        <v>20</v>
      </c>
      <c r="F293" s="6">
        <v>0.88360000000000005</v>
      </c>
      <c r="G293" t="str">
        <f t="shared" si="12"/>
        <v>Admis</v>
      </c>
      <c r="H293" t="str" cm="1">
        <f t="array" ref="H293">_xlfn.IFS(E293&gt;=16,"Excellent",E293&gt;=14,"Très bien",E293&gt;=12,"Bien",E293&gt;=10,"Passable",E293&lt;10,"Insuffisant")</f>
        <v>Excellent</v>
      </c>
      <c r="I293" t="str">
        <f t="shared" si="13"/>
        <v>RAS</v>
      </c>
      <c r="J293" t="str">
        <f t="shared" si="14"/>
        <v>Autre filière</v>
      </c>
    </row>
    <row r="294" spans="1:10">
      <c r="A294" t="s">
        <v>511</v>
      </c>
      <c r="B294" t="s">
        <v>112</v>
      </c>
      <c r="C294" s="8" t="s">
        <v>47</v>
      </c>
      <c r="D294" s="8">
        <v>13.37</v>
      </c>
      <c r="E294" s="8">
        <v>14.54</v>
      </c>
      <c r="F294" s="6">
        <v>0.89810000000000001</v>
      </c>
      <c r="G294" t="str">
        <f t="shared" si="12"/>
        <v>Admis</v>
      </c>
      <c r="H294" t="str" cm="1">
        <f t="array" ref="H294">_xlfn.IFS(E294&gt;=16,"Excellent",E294&gt;=14,"Très bien",E294&gt;=12,"Bien",E294&gt;=10,"Passable",E294&lt;10,"Insuffisant")</f>
        <v>Très bien</v>
      </c>
      <c r="I294" t="str">
        <f t="shared" si="13"/>
        <v>RAS</v>
      </c>
      <c r="J294" t="str">
        <f t="shared" si="14"/>
        <v>Autre filière</v>
      </c>
    </row>
    <row r="295" spans="1:10">
      <c r="A295" t="s">
        <v>512</v>
      </c>
      <c r="B295" t="s">
        <v>513</v>
      </c>
      <c r="C295" s="8" t="s">
        <v>26</v>
      </c>
      <c r="D295" s="8">
        <v>16.010000000000002</v>
      </c>
      <c r="E295" s="8">
        <v>16.96</v>
      </c>
      <c r="F295" s="6">
        <v>0.92490000000000006</v>
      </c>
      <c r="G295" t="str">
        <f t="shared" si="12"/>
        <v>Admis</v>
      </c>
      <c r="H295" t="str" cm="1">
        <f t="array" ref="H295">_xlfn.IFS(E295&gt;=16,"Excellent",E295&gt;=14,"Très bien",E295&gt;=12,"Bien",E295&gt;=10,"Passable",E295&lt;10,"Insuffisant")</f>
        <v>Excellent</v>
      </c>
      <c r="I295" t="str">
        <f t="shared" si="13"/>
        <v>RAS</v>
      </c>
      <c r="J295" t="str">
        <f t="shared" si="14"/>
        <v>Autre filière</v>
      </c>
    </row>
    <row r="296" spans="1:10">
      <c r="A296" t="s">
        <v>514</v>
      </c>
      <c r="B296" t="s">
        <v>515</v>
      </c>
      <c r="C296" s="8" t="s">
        <v>47</v>
      </c>
      <c r="D296" s="8">
        <v>13.51</v>
      </c>
      <c r="E296" s="8">
        <v>15.65</v>
      </c>
      <c r="F296" s="6">
        <v>0.87549999999999994</v>
      </c>
      <c r="G296" t="str">
        <f t="shared" si="12"/>
        <v>Admis</v>
      </c>
      <c r="H296" t="str" cm="1">
        <f t="array" ref="H296">_xlfn.IFS(E296&gt;=16,"Excellent",E296&gt;=14,"Très bien",E296&gt;=12,"Bien",E296&gt;=10,"Passable",E296&lt;10,"Insuffisant")</f>
        <v>Très bien</v>
      </c>
      <c r="I296" t="str">
        <f t="shared" si="13"/>
        <v>RAS</v>
      </c>
      <c r="J296" t="str">
        <f t="shared" si="14"/>
        <v>Autre filière</v>
      </c>
    </row>
    <row r="297" spans="1:10">
      <c r="A297" t="s">
        <v>516</v>
      </c>
      <c r="B297" t="s">
        <v>517</v>
      </c>
      <c r="C297" s="8" t="s">
        <v>21</v>
      </c>
      <c r="D297" s="8">
        <v>18.760000000000002</v>
      </c>
      <c r="E297" s="8">
        <v>15.29</v>
      </c>
      <c r="F297" s="6">
        <v>0.94489999999999996</v>
      </c>
      <c r="G297" t="str">
        <f t="shared" si="12"/>
        <v>Admis</v>
      </c>
      <c r="H297" t="str" cm="1">
        <f t="array" ref="H297">_xlfn.IFS(E297&gt;=16,"Excellent",E297&gt;=14,"Très bien",E297&gt;=12,"Bien",E297&gt;=10,"Passable",E297&lt;10,"Insuffisant")</f>
        <v>Très bien</v>
      </c>
      <c r="I297" t="str">
        <f t="shared" si="13"/>
        <v>RAS</v>
      </c>
      <c r="J297" t="str">
        <f t="shared" si="14"/>
        <v>Data</v>
      </c>
    </row>
    <row r="298" spans="1:10">
      <c r="A298" t="s">
        <v>518</v>
      </c>
      <c r="B298" t="s">
        <v>190</v>
      </c>
      <c r="C298" s="8" t="s">
        <v>21</v>
      </c>
      <c r="D298" s="8">
        <v>14.91</v>
      </c>
      <c r="E298" s="8">
        <v>12.43</v>
      </c>
      <c r="F298" s="6">
        <v>0.71930000000000005</v>
      </c>
      <c r="G298" t="str">
        <f t="shared" si="12"/>
        <v>Admis sous condition</v>
      </c>
      <c r="H298" t="str" cm="1">
        <f t="array" ref="H298">_xlfn.IFS(E298&gt;=16,"Excellent",E298&gt;=14,"Très bien",E298&gt;=12,"Bien",E298&gt;=10,"Passable",E298&lt;10,"Insuffisant")</f>
        <v>Bien</v>
      </c>
      <c r="I298" t="str">
        <f t="shared" si="13"/>
        <v>RAS</v>
      </c>
      <c r="J298" t="str">
        <f t="shared" si="14"/>
        <v>Data</v>
      </c>
    </row>
    <row r="299" spans="1:10">
      <c r="A299" t="s">
        <v>519</v>
      </c>
      <c r="B299" t="s">
        <v>520</v>
      </c>
      <c r="C299" s="8" t="s">
        <v>21</v>
      </c>
      <c r="D299" s="8">
        <v>14.41</v>
      </c>
      <c r="E299" s="8">
        <v>12.11</v>
      </c>
      <c r="F299" s="6">
        <v>0.78539999999999999</v>
      </c>
      <c r="G299" t="str">
        <f t="shared" si="12"/>
        <v>Admis sous condition</v>
      </c>
      <c r="H299" t="str" cm="1">
        <f t="array" ref="H299">_xlfn.IFS(E299&gt;=16,"Excellent",E299&gt;=14,"Très bien",E299&gt;=12,"Bien",E299&gt;=10,"Passable",E299&lt;10,"Insuffisant")</f>
        <v>Bien</v>
      </c>
      <c r="I299" t="str">
        <f t="shared" si="13"/>
        <v>RAS</v>
      </c>
      <c r="J299" t="str">
        <f t="shared" si="14"/>
        <v>Data</v>
      </c>
    </row>
    <row r="300" spans="1:10">
      <c r="A300" t="s">
        <v>521</v>
      </c>
      <c r="B300" t="s">
        <v>459</v>
      </c>
      <c r="C300" s="8" t="s">
        <v>26</v>
      </c>
      <c r="D300" s="8">
        <v>16.96</v>
      </c>
      <c r="E300" s="8">
        <v>15.37</v>
      </c>
      <c r="F300" s="6">
        <v>0.75690000000000002</v>
      </c>
      <c r="G300" t="str">
        <f t="shared" si="12"/>
        <v>Admis sous condition</v>
      </c>
      <c r="H300" t="str" cm="1">
        <f t="array" ref="H300">_xlfn.IFS(E300&gt;=16,"Excellent",E300&gt;=14,"Très bien",E300&gt;=12,"Bien",E300&gt;=10,"Passable",E300&lt;10,"Insuffisant")</f>
        <v>Très bien</v>
      </c>
      <c r="I300" t="str">
        <f t="shared" si="13"/>
        <v>RAS</v>
      </c>
      <c r="J300" t="str">
        <f t="shared" si="14"/>
        <v>Autre filière</v>
      </c>
    </row>
    <row r="301" spans="1:10">
      <c r="A301" t="s">
        <v>522</v>
      </c>
      <c r="B301" t="s">
        <v>82</v>
      </c>
      <c r="C301" s="8" t="s">
        <v>26</v>
      </c>
      <c r="D301" s="8">
        <v>10.31</v>
      </c>
      <c r="E301" s="8">
        <v>9.83</v>
      </c>
      <c r="F301" s="6">
        <v>0.69230000000000003</v>
      </c>
      <c r="G301" t="str">
        <f t="shared" si="12"/>
        <v>Refuse</v>
      </c>
      <c r="H301" t="str" cm="1">
        <f t="array" ref="H301">_xlfn.IFS(E301&gt;=16,"Excellent",E301&gt;=14,"Très bien",E301&gt;=12,"Bien",E301&gt;=10,"Passable",E301&lt;10,"Insuffisant")</f>
        <v>Insuffisant</v>
      </c>
      <c r="I301" t="str">
        <f t="shared" si="13"/>
        <v>A surveiller</v>
      </c>
      <c r="J301" t="str">
        <f t="shared" si="14"/>
        <v>Autre filière</v>
      </c>
    </row>
    <row r="302" spans="1:10">
      <c r="A302" t="s">
        <v>523</v>
      </c>
      <c r="B302" t="s">
        <v>273</v>
      </c>
      <c r="C302" s="8" t="s">
        <v>34</v>
      </c>
      <c r="D302" s="8">
        <v>18.920000000000002</v>
      </c>
      <c r="E302" s="8">
        <v>18.82</v>
      </c>
      <c r="F302" s="6">
        <v>0.97560000000000002</v>
      </c>
      <c r="G302" t="str">
        <f t="shared" si="12"/>
        <v>Admis</v>
      </c>
      <c r="H302" t="str" cm="1">
        <f t="array" ref="H302">_xlfn.IFS(E302&gt;=16,"Excellent",E302&gt;=14,"Très bien",E302&gt;=12,"Bien",E302&gt;=10,"Passable",E302&lt;10,"Insuffisant")</f>
        <v>Excellent</v>
      </c>
      <c r="I302" t="str">
        <f t="shared" si="13"/>
        <v>RAS</v>
      </c>
      <c r="J302" t="str">
        <f t="shared" si="14"/>
        <v>Autre filière</v>
      </c>
    </row>
    <row r="303" spans="1:10">
      <c r="A303" t="s">
        <v>524</v>
      </c>
      <c r="B303" t="s">
        <v>525</v>
      </c>
      <c r="C303" s="8" t="s">
        <v>26</v>
      </c>
      <c r="D303" s="8">
        <v>16.510000000000002</v>
      </c>
      <c r="E303" s="8">
        <v>14.83</v>
      </c>
      <c r="F303" s="6">
        <v>0.81740000000000002</v>
      </c>
      <c r="G303" t="str">
        <f t="shared" si="12"/>
        <v>Admis</v>
      </c>
      <c r="H303" t="str" cm="1">
        <f t="array" ref="H303">_xlfn.IFS(E303&gt;=16,"Excellent",E303&gt;=14,"Très bien",E303&gt;=12,"Bien",E303&gt;=10,"Passable",E303&lt;10,"Insuffisant")</f>
        <v>Très bien</v>
      </c>
      <c r="I303" t="str">
        <f t="shared" si="13"/>
        <v>RAS</v>
      </c>
      <c r="J303" t="str">
        <f t="shared" si="14"/>
        <v>Autre filière</v>
      </c>
    </row>
    <row r="304" spans="1:10">
      <c r="A304" t="s">
        <v>526</v>
      </c>
      <c r="B304" t="s">
        <v>527</v>
      </c>
      <c r="C304" s="8" t="s">
        <v>21</v>
      </c>
      <c r="D304" s="8">
        <v>20</v>
      </c>
      <c r="E304" s="8">
        <v>15.41</v>
      </c>
      <c r="F304" s="6">
        <v>0.7198</v>
      </c>
      <c r="G304" t="str">
        <f t="shared" si="12"/>
        <v>Admis sous condition</v>
      </c>
      <c r="H304" t="str" cm="1">
        <f t="array" ref="H304">_xlfn.IFS(E304&gt;=16,"Excellent",E304&gt;=14,"Très bien",E304&gt;=12,"Bien",E304&gt;=10,"Passable",E304&lt;10,"Insuffisant")</f>
        <v>Très bien</v>
      </c>
      <c r="I304" t="str">
        <f t="shared" si="13"/>
        <v>RAS</v>
      </c>
      <c r="J304" t="str">
        <f t="shared" si="14"/>
        <v>Data</v>
      </c>
    </row>
    <row r="305" spans="1:10">
      <c r="A305" t="s">
        <v>528</v>
      </c>
      <c r="B305" t="s">
        <v>60</v>
      </c>
      <c r="C305" s="8" t="s">
        <v>47</v>
      </c>
      <c r="D305" s="8">
        <v>15.18</v>
      </c>
      <c r="E305" s="8">
        <v>19.670000000000002</v>
      </c>
      <c r="F305" s="6">
        <v>0.7026</v>
      </c>
      <c r="G305" t="str">
        <f t="shared" si="12"/>
        <v>Admis sous condition</v>
      </c>
      <c r="H305" t="str" cm="1">
        <f t="array" ref="H305">_xlfn.IFS(E305&gt;=16,"Excellent",E305&gt;=14,"Très bien",E305&gt;=12,"Bien",E305&gt;=10,"Passable",E305&lt;10,"Insuffisant")</f>
        <v>Excellent</v>
      </c>
      <c r="I305" t="str">
        <f t="shared" si="13"/>
        <v>RAS</v>
      </c>
      <c r="J305" t="str">
        <f t="shared" si="14"/>
        <v>Autre filière</v>
      </c>
    </row>
    <row r="306" spans="1:10">
      <c r="A306" t="s">
        <v>529</v>
      </c>
      <c r="B306" t="s">
        <v>124</v>
      </c>
      <c r="C306" s="8" t="s">
        <v>34</v>
      </c>
      <c r="D306" s="8">
        <v>16.04</v>
      </c>
      <c r="E306" s="8">
        <v>17.809999999999999</v>
      </c>
      <c r="F306" s="6">
        <v>0.84230000000000005</v>
      </c>
      <c r="G306" t="str">
        <f t="shared" si="12"/>
        <v>Admis</v>
      </c>
      <c r="H306" t="str" cm="1">
        <f t="array" ref="H306">_xlfn.IFS(E306&gt;=16,"Excellent",E306&gt;=14,"Très bien",E306&gt;=12,"Bien",E306&gt;=10,"Passable",E306&lt;10,"Insuffisant")</f>
        <v>Excellent</v>
      </c>
      <c r="I306" t="str">
        <f t="shared" si="13"/>
        <v>RAS</v>
      </c>
      <c r="J306" t="str">
        <f t="shared" si="14"/>
        <v>Autre filière</v>
      </c>
    </row>
    <row r="307" spans="1:10">
      <c r="A307" t="s">
        <v>530</v>
      </c>
      <c r="B307" t="s">
        <v>531</v>
      </c>
      <c r="C307" s="8" t="s">
        <v>21</v>
      </c>
      <c r="D307" s="8">
        <v>13.37</v>
      </c>
      <c r="E307" s="8">
        <v>11.99</v>
      </c>
      <c r="F307" s="6">
        <v>0.55000000000000004</v>
      </c>
      <c r="G307" t="str">
        <f t="shared" si="12"/>
        <v>Admis sous condition</v>
      </c>
      <c r="H307" t="str" cm="1">
        <f t="array" ref="H307">_xlfn.IFS(E307&gt;=16,"Excellent",E307&gt;=14,"Très bien",E307&gt;=12,"Bien",E307&gt;=10,"Passable",E307&lt;10,"Insuffisant")</f>
        <v>Passable</v>
      </c>
      <c r="I307" t="str">
        <f t="shared" si="13"/>
        <v>A surveiller</v>
      </c>
      <c r="J307" t="str">
        <f t="shared" si="14"/>
        <v>Data</v>
      </c>
    </row>
    <row r="308" spans="1:10">
      <c r="A308" t="s">
        <v>532</v>
      </c>
      <c r="B308" t="s">
        <v>430</v>
      </c>
      <c r="C308" s="8" t="s">
        <v>34</v>
      </c>
      <c r="D308" s="8">
        <v>15.42</v>
      </c>
      <c r="E308" s="8">
        <v>14.68</v>
      </c>
      <c r="F308" s="6">
        <v>0.79059999999999997</v>
      </c>
      <c r="G308" t="str">
        <f t="shared" si="12"/>
        <v>Admis sous condition</v>
      </c>
      <c r="H308" t="str" cm="1">
        <f t="array" ref="H308">_xlfn.IFS(E308&gt;=16,"Excellent",E308&gt;=14,"Très bien",E308&gt;=12,"Bien",E308&gt;=10,"Passable",E308&lt;10,"Insuffisant")</f>
        <v>Très bien</v>
      </c>
      <c r="I308" t="str">
        <f t="shared" si="13"/>
        <v>RAS</v>
      </c>
      <c r="J308" t="str">
        <f t="shared" si="14"/>
        <v>Autre filière</v>
      </c>
    </row>
    <row r="309" spans="1:10">
      <c r="A309" t="s">
        <v>533</v>
      </c>
      <c r="B309" t="s">
        <v>534</v>
      </c>
      <c r="C309" s="8" t="s">
        <v>34</v>
      </c>
      <c r="D309" s="8">
        <v>16.04</v>
      </c>
      <c r="E309" s="8">
        <v>13.92</v>
      </c>
      <c r="F309" s="6">
        <v>0.74919999999999998</v>
      </c>
      <c r="G309" t="str">
        <f t="shared" si="12"/>
        <v>Admis sous condition</v>
      </c>
      <c r="H309" t="str" cm="1">
        <f t="array" ref="H309">_xlfn.IFS(E309&gt;=16,"Excellent",E309&gt;=14,"Très bien",E309&gt;=12,"Bien",E309&gt;=10,"Passable",E309&lt;10,"Insuffisant")</f>
        <v>Bien</v>
      </c>
      <c r="I309" t="str">
        <f t="shared" si="13"/>
        <v>RAS</v>
      </c>
      <c r="J309" t="str">
        <f t="shared" si="14"/>
        <v>Autre filière</v>
      </c>
    </row>
    <row r="310" spans="1:10">
      <c r="A310" t="s">
        <v>535</v>
      </c>
      <c r="B310" t="s">
        <v>443</v>
      </c>
      <c r="C310" s="8" t="s">
        <v>34</v>
      </c>
      <c r="D310" s="8">
        <v>12.09</v>
      </c>
      <c r="E310" s="8">
        <v>12.31</v>
      </c>
      <c r="F310" s="6">
        <v>0.77869999999999995</v>
      </c>
      <c r="G310" t="str">
        <f t="shared" si="12"/>
        <v>Admis sous condition</v>
      </c>
      <c r="H310" t="str" cm="1">
        <f t="array" ref="H310">_xlfn.IFS(E310&gt;=16,"Excellent",E310&gt;=14,"Très bien",E310&gt;=12,"Bien",E310&gt;=10,"Passable",E310&lt;10,"Insuffisant")</f>
        <v>Bien</v>
      </c>
      <c r="I310" t="str">
        <f t="shared" si="13"/>
        <v>RAS</v>
      </c>
      <c r="J310" t="str">
        <f t="shared" si="14"/>
        <v>Autre filière</v>
      </c>
    </row>
    <row r="311" spans="1:10">
      <c r="A311" t="s">
        <v>536</v>
      </c>
      <c r="B311" t="s">
        <v>371</v>
      </c>
      <c r="C311" s="8" t="s">
        <v>21</v>
      </c>
      <c r="D311" s="8">
        <v>13.81</v>
      </c>
      <c r="E311" s="8">
        <v>11.74</v>
      </c>
      <c r="F311" s="6">
        <v>0.64239999999999997</v>
      </c>
      <c r="G311" t="str">
        <f t="shared" si="12"/>
        <v>Admis sous condition</v>
      </c>
      <c r="H311" t="str" cm="1">
        <f t="array" ref="H311">_xlfn.IFS(E311&gt;=16,"Excellent",E311&gt;=14,"Très bien",E311&gt;=12,"Bien",E311&gt;=10,"Passable",E311&lt;10,"Insuffisant")</f>
        <v>Passable</v>
      </c>
      <c r="I311" t="str">
        <f t="shared" si="13"/>
        <v>A surveiller</v>
      </c>
      <c r="J311" t="str">
        <f t="shared" si="14"/>
        <v>Data</v>
      </c>
    </row>
    <row r="312" spans="1:10">
      <c r="A312" t="s">
        <v>537</v>
      </c>
      <c r="B312" t="s">
        <v>538</v>
      </c>
      <c r="C312" s="8" t="s">
        <v>34</v>
      </c>
      <c r="D312" s="8">
        <v>20</v>
      </c>
      <c r="E312" s="8">
        <v>18.260000000000002</v>
      </c>
      <c r="F312" s="6">
        <v>0.91190000000000004</v>
      </c>
      <c r="G312" t="str">
        <f t="shared" si="12"/>
        <v>Admis</v>
      </c>
      <c r="H312" t="str" cm="1">
        <f t="array" ref="H312">_xlfn.IFS(E312&gt;=16,"Excellent",E312&gt;=14,"Très bien",E312&gt;=12,"Bien",E312&gt;=10,"Passable",E312&lt;10,"Insuffisant")</f>
        <v>Excellent</v>
      </c>
      <c r="I312" t="str">
        <f t="shared" si="13"/>
        <v>RAS</v>
      </c>
      <c r="J312" t="str">
        <f t="shared" si="14"/>
        <v>Autre filière</v>
      </c>
    </row>
    <row r="313" spans="1:10">
      <c r="A313" t="s">
        <v>539</v>
      </c>
      <c r="B313" t="s">
        <v>540</v>
      </c>
      <c r="C313" s="8" t="s">
        <v>21</v>
      </c>
      <c r="D313" s="8">
        <v>16.07</v>
      </c>
      <c r="E313" s="8">
        <v>16.62</v>
      </c>
      <c r="F313" s="6">
        <v>0.8952</v>
      </c>
      <c r="G313" t="str">
        <f t="shared" si="12"/>
        <v>Admis</v>
      </c>
      <c r="H313" t="str" cm="1">
        <f t="array" ref="H313">_xlfn.IFS(E313&gt;=16,"Excellent",E313&gt;=14,"Très bien",E313&gt;=12,"Bien",E313&gt;=10,"Passable",E313&lt;10,"Insuffisant")</f>
        <v>Excellent</v>
      </c>
      <c r="I313" t="str">
        <f t="shared" si="13"/>
        <v>RAS</v>
      </c>
      <c r="J313" t="str">
        <f t="shared" si="14"/>
        <v>Data</v>
      </c>
    </row>
    <row r="314" spans="1:10">
      <c r="A314" t="s">
        <v>541</v>
      </c>
      <c r="B314" t="s">
        <v>542</v>
      </c>
      <c r="C314" s="8" t="s">
        <v>26</v>
      </c>
      <c r="D314" s="8">
        <v>10.78</v>
      </c>
      <c r="E314" s="8">
        <v>12.87</v>
      </c>
      <c r="F314" s="6">
        <v>0.88970000000000005</v>
      </c>
      <c r="G314" t="str">
        <f t="shared" si="12"/>
        <v>Admis sous condition</v>
      </c>
      <c r="H314" t="str" cm="1">
        <f t="array" ref="H314">_xlfn.IFS(E314&gt;=16,"Excellent",E314&gt;=14,"Très bien",E314&gt;=12,"Bien",E314&gt;=10,"Passable",E314&lt;10,"Insuffisant")</f>
        <v>Bien</v>
      </c>
      <c r="I314" t="str">
        <f t="shared" si="13"/>
        <v>RAS</v>
      </c>
      <c r="J314" t="str">
        <f t="shared" si="14"/>
        <v>Autre filière</v>
      </c>
    </row>
    <row r="315" spans="1:10">
      <c r="A315" t="s">
        <v>543</v>
      </c>
      <c r="B315" t="s">
        <v>510</v>
      </c>
      <c r="C315" s="8" t="s">
        <v>34</v>
      </c>
      <c r="D315" s="8">
        <v>19.940000000000001</v>
      </c>
      <c r="E315" s="8">
        <v>20</v>
      </c>
      <c r="F315" s="6">
        <v>0.78210000000000002</v>
      </c>
      <c r="G315" t="str">
        <f t="shared" si="12"/>
        <v>Admis sous condition</v>
      </c>
      <c r="H315" t="str" cm="1">
        <f t="array" ref="H315">_xlfn.IFS(E315&gt;=16,"Excellent",E315&gt;=14,"Très bien",E315&gt;=12,"Bien",E315&gt;=10,"Passable",E315&lt;10,"Insuffisant")</f>
        <v>Excellent</v>
      </c>
      <c r="I315" t="str">
        <f t="shared" si="13"/>
        <v>RAS</v>
      </c>
      <c r="J315" t="str">
        <f t="shared" si="14"/>
        <v>Autre filière</v>
      </c>
    </row>
    <row r="316" spans="1:10">
      <c r="A316" t="s">
        <v>544</v>
      </c>
      <c r="B316" t="s">
        <v>245</v>
      </c>
      <c r="C316" s="8" t="s">
        <v>21</v>
      </c>
      <c r="D316" s="8">
        <v>10.130000000000001</v>
      </c>
      <c r="E316" s="8">
        <v>7.28</v>
      </c>
      <c r="F316" s="6">
        <v>0.78939999999999999</v>
      </c>
      <c r="G316" t="str">
        <f t="shared" si="12"/>
        <v>Refuse</v>
      </c>
      <c r="H316" t="str" cm="1">
        <f t="array" ref="H316">_xlfn.IFS(E316&gt;=16,"Excellent",E316&gt;=14,"Très bien",E316&gt;=12,"Bien",E316&gt;=10,"Passable",E316&lt;10,"Insuffisant")</f>
        <v>Insuffisant</v>
      </c>
      <c r="I316" t="str">
        <f t="shared" si="13"/>
        <v>A surveiller</v>
      </c>
      <c r="J316" t="str">
        <f t="shared" si="14"/>
        <v>Data</v>
      </c>
    </row>
    <row r="317" spans="1:10">
      <c r="A317" t="s">
        <v>545</v>
      </c>
      <c r="B317" t="s">
        <v>255</v>
      </c>
      <c r="C317" s="8" t="s">
        <v>47</v>
      </c>
      <c r="D317" s="8">
        <v>9.18</v>
      </c>
      <c r="E317" s="8">
        <v>7.54</v>
      </c>
      <c r="F317" s="6">
        <v>0.60060000000000002</v>
      </c>
      <c r="G317" t="str">
        <f t="shared" si="12"/>
        <v>Refuse</v>
      </c>
      <c r="H317" t="str" cm="1">
        <f t="array" ref="H317">_xlfn.IFS(E317&gt;=16,"Excellent",E317&gt;=14,"Très bien",E317&gt;=12,"Bien",E317&gt;=10,"Passable",E317&lt;10,"Insuffisant")</f>
        <v>Insuffisant</v>
      </c>
      <c r="I317" t="str">
        <f t="shared" si="13"/>
        <v>A surveiller</v>
      </c>
      <c r="J317" t="str">
        <f t="shared" si="14"/>
        <v>Autre filière</v>
      </c>
    </row>
    <row r="318" spans="1:10">
      <c r="A318" t="s">
        <v>546</v>
      </c>
      <c r="B318" t="s">
        <v>422</v>
      </c>
      <c r="C318" s="8" t="s">
        <v>26</v>
      </c>
      <c r="D318" s="8">
        <v>16.18</v>
      </c>
      <c r="E318" s="8">
        <v>15.55</v>
      </c>
      <c r="F318" s="6">
        <v>0.86739999999999995</v>
      </c>
      <c r="G318" t="str">
        <f t="shared" si="12"/>
        <v>Admis</v>
      </c>
      <c r="H318" t="str" cm="1">
        <f t="array" ref="H318">_xlfn.IFS(E318&gt;=16,"Excellent",E318&gt;=14,"Très bien",E318&gt;=12,"Bien",E318&gt;=10,"Passable",E318&lt;10,"Insuffisant")</f>
        <v>Très bien</v>
      </c>
      <c r="I318" t="str">
        <f t="shared" si="13"/>
        <v>RAS</v>
      </c>
      <c r="J318" t="str">
        <f t="shared" si="14"/>
        <v>Autre filière</v>
      </c>
    </row>
    <row r="319" spans="1:10">
      <c r="A319" t="s">
        <v>547</v>
      </c>
      <c r="B319" t="s">
        <v>538</v>
      </c>
      <c r="C319" s="8" t="s">
        <v>34</v>
      </c>
      <c r="D319" s="8">
        <v>14.17</v>
      </c>
      <c r="E319" s="8">
        <v>10.97</v>
      </c>
      <c r="F319" s="6">
        <v>0.98650000000000004</v>
      </c>
      <c r="G319" t="str">
        <f t="shared" si="12"/>
        <v>Admis sous condition</v>
      </c>
      <c r="H319" t="str" cm="1">
        <f t="array" ref="H319">_xlfn.IFS(E319&gt;=16,"Excellent",E319&gt;=14,"Très bien",E319&gt;=12,"Bien",E319&gt;=10,"Passable",E319&lt;10,"Insuffisant")</f>
        <v>Passable</v>
      </c>
      <c r="I319" t="str">
        <f t="shared" si="13"/>
        <v>RAS</v>
      </c>
      <c r="J319" t="str">
        <f t="shared" si="14"/>
        <v>Autre filière</v>
      </c>
    </row>
    <row r="320" spans="1:10">
      <c r="A320" t="s">
        <v>548</v>
      </c>
      <c r="B320" t="s">
        <v>549</v>
      </c>
      <c r="C320" s="8" t="s">
        <v>26</v>
      </c>
      <c r="D320" s="8">
        <v>14.03</v>
      </c>
      <c r="E320" s="8">
        <v>12.12</v>
      </c>
      <c r="F320" s="6">
        <v>0.87139999999999995</v>
      </c>
      <c r="G320" t="str">
        <f t="shared" si="12"/>
        <v>Admis</v>
      </c>
      <c r="H320" t="str" cm="1">
        <f t="array" ref="H320">_xlfn.IFS(E320&gt;=16,"Excellent",E320&gt;=14,"Très bien",E320&gt;=12,"Bien",E320&gt;=10,"Passable",E320&lt;10,"Insuffisant")</f>
        <v>Bien</v>
      </c>
      <c r="I320" t="str">
        <f t="shared" si="13"/>
        <v>RAS</v>
      </c>
      <c r="J320" t="str">
        <f t="shared" si="14"/>
        <v>Autre filière</v>
      </c>
    </row>
    <row r="321" spans="1:10">
      <c r="A321" t="s">
        <v>550</v>
      </c>
      <c r="B321" t="s">
        <v>551</v>
      </c>
      <c r="C321" s="8" t="s">
        <v>47</v>
      </c>
      <c r="D321" s="8">
        <v>11.2</v>
      </c>
      <c r="E321" s="8">
        <v>8.82</v>
      </c>
      <c r="F321" s="6">
        <v>0.96179999999999999</v>
      </c>
      <c r="G321" t="str">
        <f t="shared" si="12"/>
        <v>Refuse</v>
      </c>
      <c r="H321" t="str" cm="1">
        <f t="array" ref="H321">_xlfn.IFS(E321&gt;=16,"Excellent",E321&gt;=14,"Très bien",E321&gt;=12,"Bien",E321&gt;=10,"Passable",E321&lt;10,"Insuffisant")</f>
        <v>Insuffisant</v>
      </c>
      <c r="I321" t="str">
        <f t="shared" si="13"/>
        <v>A surveiller</v>
      </c>
      <c r="J321" t="str">
        <f t="shared" si="14"/>
        <v>Autre filière</v>
      </c>
    </row>
    <row r="322" spans="1:10">
      <c r="A322" t="s">
        <v>552</v>
      </c>
      <c r="B322" t="s">
        <v>174</v>
      </c>
      <c r="C322" s="8" t="s">
        <v>47</v>
      </c>
      <c r="D322" s="8">
        <v>13.5</v>
      </c>
      <c r="E322" s="8">
        <v>16.13</v>
      </c>
      <c r="F322" s="6">
        <v>0.55000000000000004</v>
      </c>
      <c r="G322" t="str">
        <f t="shared" si="12"/>
        <v>Admis sous condition</v>
      </c>
      <c r="H322" t="str" cm="1">
        <f t="array" ref="H322">_xlfn.IFS(E322&gt;=16,"Excellent",E322&gt;=14,"Très bien",E322&gt;=12,"Bien",E322&gt;=10,"Passable",E322&lt;10,"Insuffisant")</f>
        <v>Excellent</v>
      </c>
      <c r="I322" t="str">
        <f t="shared" si="13"/>
        <v>A surveiller</v>
      </c>
      <c r="J322" t="str">
        <f t="shared" si="14"/>
        <v>Autre filière</v>
      </c>
    </row>
    <row r="323" spans="1:10">
      <c r="A323" t="s">
        <v>553</v>
      </c>
      <c r="B323" t="s">
        <v>554</v>
      </c>
      <c r="C323" s="8" t="s">
        <v>34</v>
      </c>
      <c r="D323" s="8">
        <v>17.239999999999998</v>
      </c>
      <c r="E323" s="8">
        <v>19.239999999999998</v>
      </c>
      <c r="F323" s="6">
        <v>0.67400000000000004</v>
      </c>
      <c r="G323" t="str">
        <f t="shared" ref="G323:G386" si="15">IF(AND(D323&gt;=12,E323&gt;=12,F323&gt;=80%),"Admis",IF(AND(D323&gt;=10,E323&gt;=10),"Admis sous condition","Refuse"))</f>
        <v>Admis sous condition</v>
      </c>
      <c r="H323" t="str" cm="1">
        <f t="array" ref="H323">_xlfn.IFS(E323&gt;=16,"Excellent",E323&gt;=14,"Très bien",E323&gt;=12,"Bien",E323&gt;=10,"Passable",E323&lt;10,"Insuffisant")</f>
        <v>Excellent</v>
      </c>
      <c r="I323" t="str">
        <f t="shared" ref="I323:I386" si="16">IF(OR(D323&lt;10,E323&lt;10,F323&lt;70%),"A surveiller","RAS")</f>
        <v>A surveiller</v>
      </c>
      <c r="J323" t="str">
        <f t="shared" ref="J323:J386" si="17">IF(NOT(C323="Data"),"Autre filière","Data")</f>
        <v>Autre filière</v>
      </c>
    </row>
    <row r="324" spans="1:10">
      <c r="A324" t="s">
        <v>555</v>
      </c>
      <c r="B324" t="s">
        <v>556</v>
      </c>
      <c r="C324" s="8" t="s">
        <v>21</v>
      </c>
      <c r="D324" s="8">
        <v>13.5</v>
      </c>
      <c r="E324" s="8">
        <v>14.94</v>
      </c>
      <c r="F324" s="6">
        <v>0.8901</v>
      </c>
      <c r="G324" t="str">
        <f t="shared" si="15"/>
        <v>Admis</v>
      </c>
      <c r="H324" t="str" cm="1">
        <f t="array" ref="H324">_xlfn.IFS(E324&gt;=16,"Excellent",E324&gt;=14,"Très bien",E324&gt;=12,"Bien",E324&gt;=10,"Passable",E324&lt;10,"Insuffisant")</f>
        <v>Très bien</v>
      </c>
      <c r="I324" t="str">
        <f t="shared" si="16"/>
        <v>RAS</v>
      </c>
      <c r="J324" t="str">
        <f t="shared" si="17"/>
        <v>Data</v>
      </c>
    </row>
    <row r="325" spans="1:10">
      <c r="A325" t="s">
        <v>557</v>
      </c>
      <c r="B325" t="s">
        <v>181</v>
      </c>
      <c r="C325" s="8" t="s">
        <v>34</v>
      </c>
      <c r="D325" s="8">
        <v>12.32</v>
      </c>
      <c r="E325" s="8">
        <v>16.87</v>
      </c>
      <c r="F325" s="6">
        <v>0.66690000000000005</v>
      </c>
      <c r="G325" t="str">
        <f t="shared" si="15"/>
        <v>Admis sous condition</v>
      </c>
      <c r="H325" t="str" cm="1">
        <f t="array" ref="H325">_xlfn.IFS(E325&gt;=16,"Excellent",E325&gt;=14,"Très bien",E325&gt;=12,"Bien",E325&gt;=10,"Passable",E325&lt;10,"Insuffisant")</f>
        <v>Excellent</v>
      </c>
      <c r="I325" t="str">
        <f t="shared" si="16"/>
        <v>A surveiller</v>
      </c>
      <c r="J325" t="str">
        <f t="shared" si="17"/>
        <v>Autre filière</v>
      </c>
    </row>
    <row r="326" spans="1:10">
      <c r="A326" t="s">
        <v>558</v>
      </c>
      <c r="B326" t="s">
        <v>78</v>
      </c>
      <c r="C326" s="8" t="s">
        <v>26</v>
      </c>
      <c r="D326" s="8">
        <v>12.76</v>
      </c>
      <c r="E326" s="8">
        <v>15.88</v>
      </c>
      <c r="F326" s="6">
        <v>0.92649999999999999</v>
      </c>
      <c r="G326" t="str">
        <f t="shared" si="15"/>
        <v>Admis</v>
      </c>
      <c r="H326" t="str" cm="1">
        <f t="array" ref="H326">_xlfn.IFS(E326&gt;=16,"Excellent",E326&gt;=14,"Très bien",E326&gt;=12,"Bien",E326&gt;=10,"Passable",E326&lt;10,"Insuffisant")</f>
        <v>Très bien</v>
      </c>
      <c r="I326" t="str">
        <f t="shared" si="16"/>
        <v>RAS</v>
      </c>
      <c r="J326" t="str">
        <f t="shared" si="17"/>
        <v>Autre filière</v>
      </c>
    </row>
    <row r="327" spans="1:10">
      <c r="A327" t="s">
        <v>559</v>
      </c>
      <c r="B327" t="s">
        <v>68</v>
      </c>
      <c r="C327" s="8" t="s">
        <v>26</v>
      </c>
      <c r="D327" s="8">
        <v>12.34</v>
      </c>
      <c r="E327" s="8">
        <v>15.36</v>
      </c>
      <c r="F327" s="6">
        <v>0.9254</v>
      </c>
      <c r="G327" t="str">
        <f t="shared" si="15"/>
        <v>Admis</v>
      </c>
      <c r="H327" t="str" cm="1">
        <f t="array" ref="H327">_xlfn.IFS(E327&gt;=16,"Excellent",E327&gt;=14,"Très bien",E327&gt;=12,"Bien",E327&gt;=10,"Passable",E327&lt;10,"Insuffisant")</f>
        <v>Très bien</v>
      </c>
      <c r="I327" t="str">
        <f t="shared" si="16"/>
        <v>RAS</v>
      </c>
      <c r="J327" t="str">
        <f t="shared" si="17"/>
        <v>Autre filière</v>
      </c>
    </row>
    <row r="328" spans="1:10">
      <c r="A328" t="s">
        <v>560</v>
      </c>
      <c r="B328" t="s">
        <v>561</v>
      </c>
      <c r="C328" s="8" t="s">
        <v>26</v>
      </c>
      <c r="D328" s="8">
        <v>8.01</v>
      </c>
      <c r="E328" s="8">
        <v>5.86</v>
      </c>
      <c r="F328" s="6">
        <v>0.89339999999999997</v>
      </c>
      <c r="G328" t="str">
        <f t="shared" si="15"/>
        <v>Refuse</v>
      </c>
      <c r="H328" t="str" cm="1">
        <f t="array" ref="H328">_xlfn.IFS(E328&gt;=16,"Excellent",E328&gt;=14,"Très bien",E328&gt;=12,"Bien",E328&gt;=10,"Passable",E328&lt;10,"Insuffisant")</f>
        <v>Insuffisant</v>
      </c>
      <c r="I328" t="str">
        <f t="shared" si="16"/>
        <v>A surveiller</v>
      </c>
      <c r="J328" t="str">
        <f t="shared" si="17"/>
        <v>Autre filière</v>
      </c>
    </row>
    <row r="329" spans="1:10">
      <c r="A329" t="s">
        <v>562</v>
      </c>
      <c r="B329" t="s">
        <v>563</v>
      </c>
      <c r="C329" s="8" t="s">
        <v>26</v>
      </c>
      <c r="D329" s="8">
        <v>15.32</v>
      </c>
      <c r="E329" s="8">
        <v>13.33</v>
      </c>
      <c r="F329" s="6">
        <v>0.80220000000000002</v>
      </c>
      <c r="G329" t="str">
        <f t="shared" si="15"/>
        <v>Admis</v>
      </c>
      <c r="H329" t="str" cm="1">
        <f t="array" ref="H329">_xlfn.IFS(E329&gt;=16,"Excellent",E329&gt;=14,"Très bien",E329&gt;=12,"Bien",E329&gt;=10,"Passable",E329&lt;10,"Insuffisant")</f>
        <v>Bien</v>
      </c>
      <c r="I329" t="str">
        <f t="shared" si="16"/>
        <v>RAS</v>
      </c>
      <c r="J329" t="str">
        <f t="shared" si="17"/>
        <v>Autre filière</v>
      </c>
    </row>
    <row r="330" spans="1:10">
      <c r="A330" t="s">
        <v>564</v>
      </c>
      <c r="B330" t="s">
        <v>381</v>
      </c>
      <c r="C330" s="8" t="s">
        <v>34</v>
      </c>
      <c r="D330" s="8">
        <v>14.49</v>
      </c>
      <c r="E330" s="8">
        <v>20</v>
      </c>
      <c r="F330" s="6">
        <v>0.67269999999999996</v>
      </c>
      <c r="G330" t="str">
        <f t="shared" si="15"/>
        <v>Admis sous condition</v>
      </c>
      <c r="H330" t="str" cm="1">
        <f t="array" ref="H330">_xlfn.IFS(E330&gt;=16,"Excellent",E330&gt;=14,"Très bien",E330&gt;=12,"Bien",E330&gt;=10,"Passable",E330&lt;10,"Insuffisant")</f>
        <v>Excellent</v>
      </c>
      <c r="I330" t="str">
        <f t="shared" si="16"/>
        <v>A surveiller</v>
      </c>
      <c r="J330" t="str">
        <f t="shared" si="17"/>
        <v>Autre filière</v>
      </c>
    </row>
    <row r="331" spans="1:10">
      <c r="A331" t="s">
        <v>565</v>
      </c>
      <c r="B331" t="s">
        <v>551</v>
      </c>
      <c r="C331" s="8" t="s">
        <v>34</v>
      </c>
      <c r="D331" s="8">
        <v>12.31</v>
      </c>
      <c r="E331" s="8">
        <v>9.82</v>
      </c>
      <c r="F331" s="6">
        <v>0.85360000000000003</v>
      </c>
      <c r="G331" t="str">
        <f t="shared" si="15"/>
        <v>Refuse</v>
      </c>
      <c r="H331" t="str" cm="1">
        <f t="array" ref="H331">_xlfn.IFS(E331&gt;=16,"Excellent",E331&gt;=14,"Très bien",E331&gt;=12,"Bien",E331&gt;=10,"Passable",E331&lt;10,"Insuffisant")</f>
        <v>Insuffisant</v>
      </c>
      <c r="I331" t="str">
        <f t="shared" si="16"/>
        <v>A surveiller</v>
      </c>
      <c r="J331" t="str">
        <f t="shared" si="17"/>
        <v>Autre filière</v>
      </c>
    </row>
    <row r="332" spans="1:10">
      <c r="A332" t="s">
        <v>566</v>
      </c>
      <c r="B332" t="s">
        <v>269</v>
      </c>
      <c r="C332" s="8" t="s">
        <v>26</v>
      </c>
      <c r="D332" s="8">
        <v>11.06</v>
      </c>
      <c r="E332" s="8">
        <v>11.26</v>
      </c>
      <c r="F332" s="6">
        <v>0.78349999999999997</v>
      </c>
      <c r="G332" t="str">
        <f t="shared" si="15"/>
        <v>Admis sous condition</v>
      </c>
      <c r="H332" t="str" cm="1">
        <f t="array" ref="H332">_xlfn.IFS(E332&gt;=16,"Excellent",E332&gt;=14,"Très bien",E332&gt;=12,"Bien",E332&gt;=10,"Passable",E332&lt;10,"Insuffisant")</f>
        <v>Passable</v>
      </c>
      <c r="I332" t="str">
        <f t="shared" si="16"/>
        <v>RAS</v>
      </c>
      <c r="J332" t="str">
        <f t="shared" si="17"/>
        <v>Autre filière</v>
      </c>
    </row>
    <row r="333" spans="1:10">
      <c r="A333" t="s">
        <v>567</v>
      </c>
      <c r="B333" t="s">
        <v>452</v>
      </c>
      <c r="C333" s="8" t="s">
        <v>47</v>
      </c>
      <c r="D333" s="8">
        <v>9.31</v>
      </c>
      <c r="E333" s="8">
        <v>12.04</v>
      </c>
      <c r="F333" s="6">
        <v>0.83299999999999996</v>
      </c>
      <c r="G333" t="str">
        <f t="shared" si="15"/>
        <v>Refuse</v>
      </c>
      <c r="H333" t="str" cm="1">
        <f t="array" ref="H333">_xlfn.IFS(E333&gt;=16,"Excellent",E333&gt;=14,"Très bien",E333&gt;=12,"Bien",E333&gt;=10,"Passable",E333&lt;10,"Insuffisant")</f>
        <v>Bien</v>
      </c>
      <c r="I333" t="str">
        <f t="shared" si="16"/>
        <v>A surveiller</v>
      </c>
      <c r="J333" t="str">
        <f t="shared" si="17"/>
        <v>Autre filière</v>
      </c>
    </row>
    <row r="334" spans="1:10">
      <c r="A334" t="s">
        <v>568</v>
      </c>
      <c r="B334" t="s">
        <v>219</v>
      </c>
      <c r="C334" s="8" t="s">
        <v>34</v>
      </c>
      <c r="D334" s="8">
        <v>11.86</v>
      </c>
      <c r="E334" s="8">
        <v>13.21</v>
      </c>
      <c r="F334" s="6">
        <v>0.95879999999999999</v>
      </c>
      <c r="G334" t="str">
        <f t="shared" si="15"/>
        <v>Admis sous condition</v>
      </c>
      <c r="H334" t="str" cm="1">
        <f t="array" ref="H334">_xlfn.IFS(E334&gt;=16,"Excellent",E334&gt;=14,"Très bien",E334&gt;=12,"Bien",E334&gt;=10,"Passable",E334&lt;10,"Insuffisant")</f>
        <v>Bien</v>
      </c>
      <c r="I334" t="str">
        <f t="shared" si="16"/>
        <v>RAS</v>
      </c>
      <c r="J334" t="str">
        <f t="shared" si="17"/>
        <v>Autre filière</v>
      </c>
    </row>
    <row r="335" spans="1:10">
      <c r="A335" t="s">
        <v>569</v>
      </c>
      <c r="B335" t="s">
        <v>110</v>
      </c>
      <c r="C335" s="8" t="s">
        <v>34</v>
      </c>
      <c r="D335" s="8">
        <v>9.61</v>
      </c>
      <c r="E335" s="8">
        <v>12.59</v>
      </c>
      <c r="F335" s="6">
        <v>0.95950000000000002</v>
      </c>
      <c r="G335" t="str">
        <f t="shared" si="15"/>
        <v>Refuse</v>
      </c>
      <c r="H335" t="str" cm="1">
        <f t="array" ref="H335">_xlfn.IFS(E335&gt;=16,"Excellent",E335&gt;=14,"Très bien",E335&gt;=12,"Bien",E335&gt;=10,"Passable",E335&lt;10,"Insuffisant")</f>
        <v>Bien</v>
      </c>
      <c r="I335" t="str">
        <f t="shared" si="16"/>
        <v>A surveiller</v>
      </c>
      <c r="J335" t="str">
        <f t="shared" si="17"/>
        <v>Autre filière</v>
      </c>
    </row>
    <row r="336" spans="1:10">
      <c r="A336" t="s">
        <v>570</v>
      </c>
      <c r="B336" t="s">
        <v>319</v>
      </c>
      <c r="C336" s="8" t="s">
        <v>26</v>
      </c>
      <c r="D336" s="8">
        <v>5.92</v>
      </c>
      <c r="E336" s="8">
        <v>8.35</v>
      </c>
      <c r="F336" s="6">
        <v>0.93059999999999998</v>
      </c>
      <c r="G336" t="str">
        <f t="shared" si="15"/>
        <v>Refuse</v>
      </c>
      <c r="H336" t="str" cm="1">
        <f t="array" ref="H336">_xlfn.IFS(E336&gt;=16,"Excellent",E336&gt;=14,"Très bien",E336&gt;=12,"Bien",E336&gt;=10,"Passable",E336&lt;10,"Insuffisant")</f>
        <v>Insuffisant</v>
      </c>
      <c r="I336" t="str">
        <f t="shared" si="16"/>
        <v>A surveiller</v>
      </c>
      <c r="J336" t="str">
        <f t="shared" si="17"/>
        <v>Autre filière</v>
      </c>
    </row>
    <row r="337" spans="1:10">
      <c r="A337" t="s">
        <v>571</v>
      </c>
      <c r="B337" t="s">
        <v>476</v>
      </c>
      <c r="C337" s="8" t="s">
        <v>21</v>
      </c>
      <c r="D337" s="8">
        <v>17.38</v>
      </c>
      <c r="E337" s="8">
        <v>17.46</v>
      </c>
      <c r="F337" s="6">
        <v>0.84789999999999999</v>
      </c>
      <c r="G337" t="str">
        <f t="shared" si="15"/>
        <v>Admis</v>
      </c>
      <c r="H337" t="str" cm="1">
        <f t="array" ref="H337">_xlfn.IFS(E337&gt;=16,"Excellent",E337&gt;=14,"Très bien",E337&gt;=12,"Bien",E337&gt;=10,"Passable",E337&lt;10,"Insuffisant")</f>
        <v>Excellent</v>
      </c>
      <c r="I337" t="str">
        <f t="shared" si="16"/>
        <v>RAS</v>
      </c>
      <c r="J337" t="str">
        <f t="shared" si="17"/>
        <v>Data</v>
      </c>
    </row>
    <row r="338" spans="1:10">
      <c r="A338" t="s">
        <v>572</v>
      </c>
      <c r="B338" t="s">
        <v>484</v>
      </c>
      <c r="C338" s="8" t="s">
        <v>21</v>
      </c>
      <c r="D338" s="8">
        <v>11.79</v>
      </c>
      <c r="E338" s="8">
        <v>13.26</v>
      </c>
      <c r="F338" s="6">
        <v>0.8589</v>
      </c>
      <c r="G338" t="str">
        <f t="shared" si="15"/>
        <v>Admis sous condition</v>
      </c>
      <c r="H338" t="str" cm="1">
        <f t="array" ref="H338">_xlfn.IFS(E338&gt;=16,"Excellent",E338&gt;=14,"Très bien",E338&gt;=12,"Bien",E338&gt;=10,"Passable",E338&lt;10,"Insuffisant")</f>
        <v>Bien</v>
      </c>
      <c r="I338" t="str">
        <f t="shared" si="16"/>
        <v>RAS</v>
      </c>
      <c r="J338" t="str">
        <f t="shared" si="17"/>
        <v>Data</v>
      </c>
    </row>
    <row r="339" spans="1:10">
      <c r="A339" t="s">
        <v>573</v>
      </c>
      <c r="B339" t="s">
        <v>574</v>
      </c>
      <c r="C339" s="8" t="s">
        <v>47</v>
      </c>
      <c r="D339" s="8">
        <v>15.26</v>
      </c>
      <c r="E339" s="8">
        <v>13.02</v>
      </c>
      <c r="F339" s="6">
        <v>0.73309999999999997</v>
      </c>
      <c r="G339" t="str">
        <f t="shared" si="15"/>
        <v>Admis sous condition</v>
      </c>
      <c r="H339" t="str" cm="1">
        <f t="array" ref="H339">_xlfn.IFS(E339&gt;=16,"Excellent",E339&gt;=14,"Très bien",E339&gt;=12,"Bien",E339&gt;=10,"Passable",E339&lt;10,"Insuffisant")</f>
        <v>Bien</v>
      </c>
      <c r="I339" t="str">
        <f t="shared" si="16"/>
        <v>RAS</v>
      </c>
      <c r="J339" t="str">
        <f t="shared" si="17"/>
        <v>Autre filière</v>
      </c>
    </row>
    <row r="340" spans="1:10">
      <c r="A340" t="s">
        <v>575</v>
      </c>
      <c r="B340" t="s">
        <v>169</v>
      </c>
      <c r="C340" s="8" t="s">
        <v>21</v>
      </c>
      <c r="D340" s="8">
        <v>9.8800000000000008</v>
      </c>
      <c r="E340" s="8">
        <v>4.3</v>
      </c>
      <c r="F340" s="6">
        <v>0.80679999999999996</v>
      </c>
      <c r="G340" t="str">
        <f t="shared" si="15"/>
        <v>Refuse</v>
      </c>
      <c r="H340" t="str" cm="1">
        <f t="array" ref="H340">_xlfn.IFS(E340&gt;=16,"Excellent",E340&gt;=14,"Très bien",E340&gt;=12,"Bien",E340&gt;=10,"Passable",E340&lt;10,"Insuffisant")</f>
        <v>Insuffisant</v>
      </c>
      <c r="I340" t="str">
        <f t="shared" si="16"/>
        <v>A surveiller</v>
      </c>
      <c r="J340" t="str">
        <f t="shared" si="17"/>
        <v>Data</v>
      </c>
    </row>
    <row r="341" spans="1:10">
      <c r="A341" t="s">
        <v>576</v>
      </c>
      <c r="B341" t="s">
        <v>577</v>
      </c>
      <c r="C341" s="8" t="s">
        <v>21</v>
      </c>
      <c r="D341" s="8">
        <v>9.9</v>
      </c>
      <c r="E341" s="8">
        <v>8.75</v>
      </c>
      <c r="F341" s="6">
        <v>0.95840000000000003</v>
      </c>
      <c r="G341" t="str">
        <f t="shared" si="15"/>
        <v>Refuse</v>
      </c>
      <c r="H341" t="str" cm="1">
        <f t="array" ref="H341">_xlfn.IFS(E341&gt;=16,"Excellent",E341&gt;=14,"Très bien",E341&gt;=12,"Bien",E341&gt;=10,"Passable",E341&lt;10,"Insuffisant")</f>
        <v>Insuffisant</v>
      </c>
      <c r="I341" t="str">
        <f t="shared" si="16"/>
        <v>A surveiller</v>
      </c>
      <c r="J341" t="str">
        <f t="shared" si="17"/>
        <v>Data</v>
      </c>
    </row>
    <row r="342" spans="1:10">
      <c r="A342" t="s">
        <v>578</v>
      </c>
      <c r="B342" t="s">
        <v>28</v>
      </c>
      <c r="C342" s="8" t="s">
        <v>26</v>
      </c>
      <c r="D342" s="8">
        <v>17.59</v>
      </c>
      <c r="E342" s="8">
        <v>15.91</v>
      </c>
      <c r="F342" s="6">
        <v>0.93799999999999994</v>
      </c>
      <c r="G342" t="str">
        <f t="shared" si="15"/>
        <v>Admis</v>
      </c>
      <c r="H342" t="str" cm="1">
        <f t="array" ref="H342">_xlfn.IFS(E342&gt;=16,"Excellent",E342&gt;=14,"Très bien",E342&gt;=12,"Bien",E342&gt;=10,"Passable",E342&lt;10,"Insuffisant")</f>
        <v>Très bien</v>
      </c>
      <c r="I342" t="str">
        <f t="shared" si="16"/>
        <v>RAS</v>
      </c>
      <c r="J342" t="str">
        <f t="shared" si="17"/>
        <v>Autre filière</v>
      </c>
    </row>
    <row r="343" spans="1:10">
      <c r="A343" t="s">
        <v>579</v>
      </c>
      <c r="B343" t="s">
        <v>580</v>
      </c>
      <c r="C343" s="8" t="s">
        <v>34</v>
      </c>
      <c r="D343" s="8">
        <v>8.18</v>
      </c>
      <c r="E343" s="8">
        <v>6.97</v>
      </c>
      <c r="F343" s="6">
        <v>0.81640000000000001</v>
      </c>
      <c r="G343" t="str">
        <f t="shared" si="15"/>
        <v>Refuse</v>
      </c>
      <c r="H343" t="str" cm="1">
        <f t="array" ref="H343">_xlfn.IFS(E343&gt;=16,"Excellent",E343&gt;=14,"Très bien",E343&gt;=12,"Bien",E343&gt;=10,"Passable",E343&lt;10,"Insuffisant")</f>
        <v>Insuffisant</v>
      </c>
      <c r="I343" t="str">
        <f t="shared" si="16"/>
        <v>A surveiller</v>
      </c>
      <c r="J343" t="str">
        <f t="shared" si="17"/>
        <v>Autre filière</v>
      </c>
    </row>
    <row r="344" spans="1:10">
      <c r="A344" t="s">
        <v>581</v>
      </c>
      <c r="B344" t="s">
        <v>242</v>
      </c>
      <c r="C344" s="8" t="s">
        <v>47</v>
      </c>
      <c r="D344" s="8">
        <v>11.5</v>
      </c>
      <c r="E344" s="8">
        <v>12.02</v>
      </c>
      <c r="F344" s="6">
        <v>0.67269999999999996</v>
      </c>
      <c r="G344" t="str">
        <f t="shared" si="15"/>
        <v>Admis sous condition</v>
      </c>
      <c r="H344" t="str" cm="1">
        <f t="array" ref="H344">_xlfn.IFS(E344&gt;=16,"Excellent",E344&gt;=14,"Très bien",E344&gt;=12,"Bien",E344&gt;=10,"Passable",E344&lt;10,"Insuffisant")</f>
        <v>Bien</v>
      </c>
      <c r="I344" t="str">
        <f t="shared" si="16"/>
        <v>A surveiller</v>
      </c>
      <c r="J344" t="str">
        <f t="shared" si="17"/>
        <v>Autre filière</v>
      </c>
    </row>
    <row r="345" spans="1:10">
      <c r="A345" t="s">
        <v>582</v>
      </c>
      <c r="B345" t="s">
        <v>538</v>
      </c>
      <c r="C345" s="8" t="s">
        <v>34</v>
      </c>
      <c r="D345" s="8">
        <v>12.11</v>
      </c>
      <c r="E345" s="8">
        <v>8.9700000000000006</v>
      </c>
      <c r="F345" s="6">
        <v>0.82779999999999998</v>
      </c>
      <c r="G345" t="str">
        <f t="shared" si="15"/>
        <v>Refuse</v>
      </c>
      <c r="H345" t="str" cm="1">
        <f t="array" ref="H345">_xlfn.IFS(E345&gt;=16,"Excellent",E345&gt;=14,"Très bien",E345&gt;=12,"Bien",E345&gt;=10,"Passable",E345&lt;10,"Insuffisant")</f>
        <v>Insuffisant</v>
      </c>
      <c r="I345" t="str">
        <f t="shared" si="16"/>
        <v>A surveiller</v>
      </c>
      <c r="J345" t="str">
        <f t="shared" si="17"/>
        <v>Autre filière</v>
      </c>
    </row>
    <row r="346" spans="1:10">
      <c r="A346" t="s">
        <v>583</v>
      </c>
      <c r="B346" t="s">
        <v>584</v>
      </c>
      <c r="C346" s="8" t="s">
        <v>21</v>
      </c>
      <c r="D346" s="8">
        <v>14.28</v>
      </c>
      <c r="E346" s="8">
        <v>16.07</v>
      </c>
      <c r="F346" s="6">
        <v>0.79369999999999996</v>
      </c>
      <c r="G346" t="str">
        <f t="shared" si="15"/>
        <v>Admis sous condition</v>
      </c>
      <c r="H346" t="str" cm="1">
        <f t="array" ref="H346">_xlfn.IFS(E346&gt;=16,"Excellent",E346&gt;=14,"Très bien",E346&gt;=12,"Bien",E346&gt;=10,"Passable",E346&lt;10,"Insuffisant")</f>
        <v>Excellent</v>
      </c>
      <c r="I346" t="str">
        <f t="shared" si="16"/>
        <v>RAS</v>
      </c>
      <c r="J346" t="str">
        <f t="shared" si="17"/>
        <v>Data</v>
      </c>
    </row>
    <row r="347" spans="1:10">
      <c r="A347" t="s">
        <v>585</v>
      </c>
      <c r="B347" t="s">
        <v>377</v>
      </c>
      <c r="C347" s="8" t="s">
        <v>21</v>
      </c>
      <c r="D347" s="8">
        <v>10.56</v>
      </c>
      <c r="E347" s="8">
        <v>9.2899999999999991</v>
      </c>
      <c r="F347" s="6">
        <v>0.85799999999999998</v>
      </c>
      <c r="G347" t="str">
        <f t="shared" si="15"/>
        <v>Refuse</v>
      </c>
      <c r="H347" t="str" cm="1">
        <f t="array" ref="H347">_xlfn.IFS(E347&gt;=16,"Excellent",E347&gt;=14,"Très bien",E347&gt;=12,"Bien",E347&gt;=10,"Passable",E347&lt;10,"Insuffisant")</f>
        <v>Insuffisant</v>
      </c>
      <c r="I347" t="str">
        <f t="shared" si="16"/>
        <v>A surveiller</v>
      </c>
      <c r="J347" t="str">
        <f t="shared" si="17"/>
        <v>Data</v>
      </c>
    </row>
    <row r="348" spans="1:10">
      <c r="A348" t="s">
        <v>586</v>
      </c>
      <c r="B348" t="s">
        <v>309</v>
      </c>
      <c r="C348" s="8" t="s">
        <v>26</v>
      </c>
      <c r="D348" s="8">
        <v>12.87</v>
      </c>
      <c r="E348" s="8">
        <v>15.77</v>
      </c>
      <c r="F348" s="6">
        <v>0.86880000000000002</v>
      </c>
      <c r="G348" t="str">
        <f t="shared" si="15"/>
        <v>Admis</v>
      </c>
      <c r="H348" t="str" cm="1">
        <f t="array" ref="H348">_xlfn.IFS(E348&gt;=16,"Excellent",E348&gt;=14,"Très bien",E348&gt;=12,"Bien",E348&gt;=10,"Passable",E348&lt;10,"Insuffisant")</f>
        <v>Très bien</v>
      </c>
      <c r="I348" t="str">
        <f t="shared" si="16"/>
        <v>RAS</v>
      </c>
      <c r="J348" t="str">
        <f t="shared" si="17"/>
        <v>Autre filière</v>
      </c>
    </row>
    <row r="349" spans="1:10">
      <c r="A349" t="s">
        <v>587</v>
      </c>
      <c r="B349" t="s">
        <v>588</v>
      </c>
      <c r="C349" s="8" t="s">
        <v>21</v>
      </c>
      <c r="D349" s="8">
        <v>15.84</v>
      </c>
      <c r="E349" s="8">
        <v>17.77</v>
      </c>
      <c r="F349" s="6">
        <v>0.80469999999999997</v>
      </c>
      <c r="G349" t="str">
        <f t="shared" si="15"/>
        <v>Admis</v>
      </c>
      <c r="H349" t="str" cm="1">
        <f t="array" ref="H349">_xlfn.IFS(E349&gt;=16,"Excellent",E349&gt;=14,"Très bien",E349&gt;=12,"Bien",E349&gt;=10,"Passable",E349&lt;10,"Insuffisant")</f>
        <v>Excellent</v>
      </c>
      <c r="I349" t="str">
        <f t="shared" si="16"/>
        <v>RAS</v>
      </c>
      <c r="J349" t="str">
        <f t="shared" si="17"/>
        <v>Data</v>
      </c>
    </row>
    <row r="350" spans="1:10">
      <c r="A350" t="s">
        <v>589</v>
      </c>
      <c r="B350" t="s">
        <v>44</v>
      </c>
      <c r="C350" s="8" t="s">
        <v>47</v>
      </c>
      <c r="D350" s="8">
        <v>20</v>
      </c>
      <c r="E350" s="8">
        <v>18.670000000000002</v>
      </c>
      <c r="F350" s="6">
        <v>0.9738</v>
      </c>
      <c r="G350" t="str">
        <f t="shared" si="15"/>
        <v>Admis</v>
      </c>
      <c r="H350" t="str" cm="1">
        <f t="array" ref="H350">_xlfn.IFS(E350&gt;=16,"Excellent",E350&gt;=14,"Très bien",E350&gt;=12,"Bien",E350&gt;=10,"Passable",E350&lt;10,"Insuffisant")</f>
        <v>Excellent</v>
      </c>
      <c r="I350" t="str">
        <f t="shared" si="16"/>
        <v>RAS</v>
      </c>
      <c r="J350" t="str">
        <f t="shared" si="17"/>
        <v>Autre filière</v>
      </c>
    </row>
    <row r="351" spans="1:10">
      <c r="A351" t="s">
        <v>590</v>
      </c>
      <c r="B351" t="s">
        <v>201</v>
      </c>
      <c r="C351" s="8" t="s">
        <v>34</v>
      </c>
      <c r="D351" s="8">
        <v>12.53</v>
      </c>
      <c r="E351" s="8">
        <v>12.69</v>
      </c>
      <c r="F351" s="6">
        <v>0.58009999999999995</v>
      </c>
      <c r="G351" t="str">
        <f t="shared" si="15"/>
        <v>Admis sous condition</v>
      </c>
      <c r="H351" t="str" cm="1">
        <f t="array" ref="H351">_xlfn.IFS(E351&gt;=16,"Excellent",E351&gt;=14,"Très bien",E351&gt;=12,"Bien",E351&gt;=10,"Passable",E351&lt;10,"Insuffisant")</f>
        <v>Bien</v>
      </c>
      <c r="I351" t="str">
        <f t="shared" si="16"/>
        <v>A surveiller</v>
      </c>
      <c r="J351" t="str">
        <f t="shared" si="17"/>
        <v>Autre filière</v>
      </c>
    </row>
    <row r="352" spans="1:10">
      <c r="A352" t="s">
        <v>591</v>
      </c>
      <c r="B352" t="s">
        <v>478</v>
      </c>
      <c r="C352" s="8" t="s">
        <v>34</v>
      </c>
      <c r="D352" s="8">
        <v>11.76</v>
      </c>
      <c r="E352" s="8">
        <v>15.57</v>
      </c>
      <c r="F352" s="6">
        <v>0.83930000000000005</v>
      </c>
      <c r="G352" t="str">
        <f t="shared" si="15"/>
        <v>Admis sous condition</v>
      </c>
      <c r="H352" t="str" cm="1">
        <f t="array" ref="H352">_xlfn.IFS(E352&gt;=16,"Excellent",E352&gt;=14,"Très bien",E352&gt;=12,"Bien",E352&gt;=10,"Passable",E352&lt;10,"Insuffisant")</f>
        <v>Très bien</v>
      </c>
      <c r="I352" t="str">
        <f t="shared" si="16"/>
        <v>RAS</v>
      </c>
      <c r="J352" t="str">
        <f t="shared" si="17"/>
        <v>Autre filière</v>
      </c>
    </row>
    <row r="353" spans="1:10">
      <c r="A353" t="s">
        <v>592</v>
      </c>
      <c r="B353" t="s">
        <v>593</v>
      </c>
      <c r="C353" s="8" t="s">
        <v>26</v>
      </c>
      <c r="D353" s="8">
        <v>6.96</v>
      </c>
      <c r="E353" s="8">
        <v>5.08</v>
      </c>
      <c r="F353" s="6">
        <v>0.85319999999999996</v>
      </c>
      <c r="G353" t="str">
        <f t="shared" si="15"/>
        <v>Refuse</v>
      </c>
      <c r="H353" t="str" cm="1">
        <f t="array" ref="H353">_xlfn.IFS(E353&gt;=16,"Excellent",E353&gt;=14,"Très bien",E353&gt;=12,"Bien",E353&gt;=10,"Passable",E353&lt;10,"Insuffisant")</f>
        <v>Insuffisant</v>
      </c>
      <c r="I353" t="str">
        <f t="shared" si="16"/>
        <v>A surveiller</v>
      </c>
      <c r="J353" t="str">
        <f t="shared" si="17"/>
        <v>Autre filière</v>
      </c>
    </row>
    <row r="354" spans="1:10">
      <c r="A354" t="s">
        <v>594</v>
      </c>
      <c r="B354" t="s">
        <v>64</v>
      </c>
      <c r="C354" s="8" t="s">
        <v>47</v>
      </c>
      <c r="D354" s="8">
        <v>17.7</v>
      </c>
      <c r="E354" s="8">
        <v>18.21</v>
      </c>
      <c r="F354" s="6">
        <v>0.84409999999999996</v>
      </c>
      <c r="G354" t="str">
        <f t="shared" si="15"/>
        <v>Admis</v>
      </c>
      <c r="H354" t="str" cm="1">
        <f t="array" ref="H354">_xlfn.IFS(E354&gt;=16,"Excellent",E354&gt;=14,"Très bien",E354&gt;=12,"Bien",E354&gt;=10,"Passable",E354&lt;10,"Insuffisant")</f>
        <v>Excellent</v>
      </c>
      <c r="I354" t="str">
        <f t="shared" si="16"/>
        <v>RAS</v>
      </c>
      <c r="J354" t="str">
        <f t="shared" si="17"/>
        <v>Autre filière</v>
      </c>
    </row>
    <row r="355" spans="1:10">
      <c r="A355" t="s">
        <v>595</v>
      </c>
      <c r="B355" t="s">
        <v>377</v>
      </c>
      <c r="C355" s="8" t="s">
        <v>47</v>
      </c>
      <c r="D355" s="8">
        <v>15.43</v>
      </c>
      <c r="E355" s="8">
        <v>18.39</v>
      </c>
      <c r="F355" s="6">
        <v>0.83609999999999995</v>
      </c>
      <c r="G355" t="str">
        <f t="shared" si="15"/>
        <v>Admis</v>
      </c>
      <c r="H355" t="str" cm="1">
        <f t="array" ref="H355">_xlfn.IFS(E355&gt;=16,"Excellent",E355&gt;=14,"Très bien",E355&gt;=12,"Bien",E355&gt;=10,"Passable",E355&lt;10,"Insuffisant")</f>
        <v>Excellent</v>
      </c>
      <c r="I355" t="str">
        <f t="shared" si="16"/>
        <v>RAS</v>
      </c>
      <c r="J355" t="str">
        <f t="shared" si="17"/>
        <v>Autre filière</v>
      </c>
    </row>
    <row r="356" spans="1:10">
      <c r="A356" t="s">
        <v>596</v>
      </c>
      <c r="B356" t="s">
        <v>255</v>
      </c>
      <c r="C356" s="8" t="s">
        <v>34</v>
      </c>
      <c r="D356" s="8">
        <v>12.8</v>
      </c>
      <c r="E356" s="8">
        <v>11.86</v>
      </c>
      <c r="F356" s="6">
        <v>0.82279999999999998</v>
      </c>
      <c r="G356" t="str">
        <f t="shared" si="15"/>
        <v>Admis sous condition</v>
      </c>
      <c r="H356" t="str" cm="1">
        <f t="array" ref="H356">_xlfn.IFS(E356&gt;=16,"Excellent",E356&gt;=14,"Très bien",E356&gt;=12,"Bien",E356&gt;=10,"Passable",E356&lt;10,"Insuffisant")</f>
        <v>Passable</v>
      </c>
      <c r="I356" t="str">
        <f t="shared" si="16"/>
        <v>RAS</v>
      </c>
      <c r="J356" t="str">
        <f t="shared" si="17"/>
        <v>Autre filière</v>
      </c>
    </row>
    <row r="357" spans="1:10">
      <c r="A357" t="s">
        <v>597</v>
      </c>
      <c r="B357" t="s">
        <v>112</v>
      </c>
      <c r="C357" s="8" t="s">
        <v>34</v>
      </c>
      <c r="D357" s="8">
        <v>12.59</v>
      </c>
      <c r="E357" s="8">
        <v>13.38</v>
      </c>
      <c r="F357" s="6">
        <v>0.90110000000000001</v>
      </c>
      <c r="G357" t="str">
        <f t="shared" si="15"/>
        <v>Admis</v>
      </c>
      <c r="H357" t="str" cm="1">
        <f t="array" ref="H357">_xlfn.IFS(E357&gt;=16,"Excellent",E357&gt;=14,"Très bien",E357&gt;=12,"Bien",E357&gt;=10,"Passable",E357&lt;10,"Insuffisant")</f>
        <v>Bien</v>
      </c>
      <c r="I357" t="str">
        <f t="shared" si="16"/>
        <v>RAS</v>
      </c>
      <c r="J357" t="str">
        <f t="shared" si="17"/>
        <v>Autre filière</v>
      </c>
    </row>
    <row r="358" spans="1:10">
      <c r="A358" t="s">
        <v>598</v>
      </c>
      <c r="B358" t="s">
        <v>599</v>
      </c>
      <c r="C358" s="8" t="s">
        <v>47</v>
      </c>
      <c r="D358" s="8">
        <v>10.81</v>
      </c>
      <c r="E358" s="8">
        <v>10.96</v>
      </c>
      <c r="F358" s="6">
        <v>0.84319999999999995</v>
      </c>
      <c r="G358" t="str">
        <f t="shared" si="15"/>
        <v>Admis sous condition</v>
      </c>
      <c r="H358" t="str" cm="1">
        <f t="array" ref="H358">_xlfn.IFS(E358&gt;=16,"Excellent",E358&gt;=14,"Très bien",E358&gt;=12,"Bien",E358&gt;=10,"Passable",E358&lt;10,"Insuffisant")</f>
        <v>Passable</v>
      </c>
      <c r="I358" t="str">
        <f t="shared" si="16"/>
        <v>RAS</v>
      </c>
      <c r="J358" t="str">
        <f t="shared" si="17"/>
        <v>Autre filière</v>
      </c>
    </row>
    <row r="359" spans="1:10">
      <c r="A359" t="s">
        <v>600</v>
      </c>
      <c r="B359" t="s">
        <v>118</v>
      </c>
      <c r="C359" s="8" t="s">
        <v>21</v>
      </c>
      <c r="D359" s="8">
        <v>13.61</v>
      </c>
      <c r="E359" s="8">
        <v>17.96</v>
      </c>
      <c r="F359" s="6">
        <v>0.94010000000000005</v>
      </c>
      <c r="G359" t="str">
        <f t="shared" si="15"/>
        <v>Admis</v>
      </c>
      <c r="H359" t="str" cm="1">
        <f t="array" ref="H359">_xlfn.IFS(E359&gt;=16,"Excellent",E359&gt;=14,"Très bien",E359&gt;=12,"Bien",E359&gt;=10,"Passable",E359&lt;10,"Insuffisant")</f>
        <v>Excellent</v>
      </c>
      <c r="I359" t="str">
        <f t="shared" si="16"/>
        <v>RAS</v>
      </c>
      <c r="J359" t="str">
        <f t="shared" si="17"/>
        <v>Data</v>
      </c>
    </row>
    <row r="360" spans="1:10">
      <c r="A360" t="s">
        <v>601</v>
      </c>
      <c r="B360" t="s">
        <v>339</v>
      </c>
      <c r="C360" s="8" t="s">
        <v>21</v>
      </c>
      <c r="D360" s="8">
        <v>15.38</v>
      </c>
      <c r="E360" s="8">
        <v>18.55</v>
      </c>
      <c r="F360" s="6">
        <v>0.87829999999999997</v>
      </c>
      <c r="G360" t="str">
        <f t="shared" si="15"/>
        <v>Admis</v>
      </c>
      <c r="H360" t="str" cm="1">
        <f t="array" ref="H360">_xlfn.IFS(E360&gt;=16,"Excellent",E360&gt;=14,"Très bien",E360&gt;=12,"Bien",E360&gt;=10,"Passable",E360&lt;10,"Insuffisant")</f>
        <v>Excellent</v>
      </c>
      <c r="I360" t="str">
        <f t="shared" si="16"/>
        <v>RAS</v>
      </c>
      <c r="J360" t="str">
        <f t="shared" si="17"/>
        <v>Data</v>
      </c>
    </row>
    <row r="361" spans="1:10">
      <c r="A361" t="s">
        <v>602</v>
      </c>
      <c r="B361" t="s">
        <v>145</v>
      </c>
      <c r="C361" s="8" t="s">
        <v>47</v>
      </c>
      <c r="D361" s="8">
        <v>12.21</v>
      </c>
      <c r="E361" s="8">
        <v>9.7799999999999994</v>
      </c>
      <c r="F361" s="6">
        <v>0.9587</v>
      </c>
      <c r="G361" t="str">
        <f t="shared" si="15"/>
        <v>Refuse</v>
      </c>
      <c r="H361" t="str" cm="1">
        <f t="array" ref="H361">_xlfn.IFS(E361&gt;=16,"Excellent",E361&gt;=14,"Très bien",E361&gt;=12,"Bien",E361&gt;=10,"Passable",E361&lt;10,"Insuffisant")</f>
        <v>Insuffisant</v>
      </c>
      <c r="I361" t="str">
        <f t="shared" si="16"/>
        <v>A surveiller</v>
      </c>
      <c r="J361" t="str">
        <f t="shared" si="17"/>
        <v>Autre filière</v>
      </c>
    </row>
    <row r="362" spans="1:10">
      <c r="A362" t="s">
        <v>603</v>
      </c>
      <c r="B362" t="s">
        <v>232</v>
      </c>
      <c r="C362" s="8" t="s">
        <v>47</v>
      </c>
      <c r="D362" s="8">
        <v>12.15</v>
      </c>
      <c r="E362" s="8">
        <v>10.49</v>
      </c>
      <c r="F362" s="6">
        <v>0.76790000000000003</v>
      </c>
      <c r="G362" t="str">
        <f t="shared" si="15"/>
        <v>Admis sous condition</v>
      </c>
      <c r="H362" t="str" cm="1">
        <f t="array" ref="H362">_xlfn.IFS(E362&gt;=16,"Excellent",E362&gt;=14,"Très bien",E362&gt;=12,"Bien",E362&gt;=10,"Passable",E362&lt;10,"Insuffisant")</f>
        <v>Passable</v>
      </c>
      <c r="I362" t="str">
        <f t="shared" si="16"/>
        <v>RAS</v>
      </c>
      <c r="J362" t="str">
        <f t="shared" si="17"/>
        <v>Autre filière</v>
      </c>
    </row>
    <row r="363" spans="1:10">
      <c r="A363" t="s">
        <v>604</v>
      </c>
      <c r="B363" t="s">
        <v>80</v>
      </c>
      <c r="C363" s="8" t="s">
        <v>21</v>
      </c>
      <c r="D363" s="8">
        <v>7.57</v>
      </c>
      <c r="E363" s="8">
        <v>19.010000000000002</v>
      </c>
      <c r="F363" s="6">
        <v>0.80830000000000002</v>
      </c>
      <c r="G363" t="str">
        <f t="shared" si="15"/>
        <v>Refuse</v>
      </c>
      <c r="H363" t="str" cm="1">
        <f t="array" ref="H363">_xlfn.IFS(E363&gt;=16,"Excellent",E363&gt;=14,"Très bien",E363&gt;=12,"Bien",E363&gt;=10,"Passable",E363&lt;10,"Insuffisant")</f>
        <v>Excellent</v>
      </c>
      <c r="I363" t="str">
        <f t="shared" si="16"/>
        <v>A surveiller</v>
      </c>
      <c r="J363" t="str">
        <f t="shared" si="17"/>
        <v>Data</v>
      </c>
    </row>
    <row r="364" spans="1:10">
      <c r="A364" t="s">
        <v>605</v>
      </c>
      <c r="B364" t="s">
        <v>606</v>
      </c>
      <c r="C364" s="8" t="s">
        <v>26</v>
      </c>
      <c r="D364" s="8">
        <v>17.329999999999998</v>
      </c>
      <c r="E364" s="8">
        <v>17.149999999999999</v>
      </c>
      <c r="F364" s="6">
        <v>0.87450000000000006</v>
      </c>
      <c r="G364" t="str">
        <f t="shared" si="15"/>
        <v>Admis</v>
      </c>
      <c r="H364" t="str" cm="1">
        <f t="array" ref="H364">_xlfn.IFS(E364&gt;=16,"Excellent",E364&gt;=14,"Très bien",E364&gt;=12,"Bien",E364&gt;=10,"Passable",E364&lt;10,"Insuffisant")</f>
        <v>Excellent</v>
      </c>
      <c r="I364" t="str">
        <f t="shared" si="16"/>
        <v>RAS</v>
      </c>
      <c r="J364" t="str">
        <f t="shared" si="17"/>
        <v>Autre filière</v>
      </c>
    </row>
    <row r="365" spans="1:10">
      <c r="A365" t="s">
        <v>607</v>
      </c>
      <c r="B365" t="s">
        <v>463</v>
      </c>
      <c r="C365" s="8" t="s">
        <v>47</v>
      </c>
      <c r="D365" s="8">
        <v>7.22</v>
      </c>
      <c r="E365" s="8">
        <v>5.9</v>
      </c>
      <c r="F365" s="6">
        <v>0.79049999999999998</v>
      </c>
      <c r="G365" t="str">
        <f t="shared" si="15"/>
        <v>Refuse</v>
      </c>
      <c r="H365" t="str" cm="1">
        <f t="array" ref="H365">_xlfn.IFS(E365&gt;=16,"Excellent",E365&gt;=14,"Très bien",E365&gt;=12,"Bien",E365&gt;=10,"Passable",E365&lt;10,"Insuffisant")</f>
        <v>Insuffisant</v>
      </c>
      <c r="I365" t="str">
        <f t="shared" si="16"/>
        <v>A surveiller</v>
      </c>
      <c r="J365" t="str">
        <f t="shared" si="17"/>
        <v>Autre filière</v>
      </c>
    </row>
    <row r="366" spans="1:10">
      <c r="A366" t="s">
        <v>608</v>
      </c>
      <c r="B366" t="s">
        <v>356</v>
      </c>
      <c r="C366" s="8" t="s">
        <v>21</v>
      </c>
      <c r="D366" s="8">
        <v>9.59</v>
      </c>
      <c r="E366" s="8">
        <v>11.31</v>
      </c>
      <c r="F366" s="6">
        <v>0.75980000000000003</v>
      </c>
      <c r="G366" t="str">
        <f t="shared" si="15"/>
        <v>Refuse</v>
      </c>
      <c r="H366" t="str" cm="1">
        <f t="array" ref="H366">_xlfn.IFS(E366&gt;=16,"Excellent",E366&gt;=14,"Très bien",E366&gt;=12,"Bien",E366&gt;=10,"Passable",E366&lt;10,"Insuffisant")</f>
        <v>Passable</v>
      </c>
      <c r="I366" t="str">
        <f t="shared" si="16"/>
        <v>A surveiller</v>
      </c>
      <c r="J366" t="str">
        <f t="shared" si="17"/>
        <v>Data</v>
      </c>
    </row>
    <row r="367" spans="1:10">
      <c r="A367" t="s">
        <v>609</v>
      </c>
      <c r="B367" t="s">
        <v>610</v>
      </c>
      <c r="C367" s="8" t="s">
        <v>26</v>
      </c>
      <c r="D367" s="8">
        <v>19.68</v>
      </c>
      <c r="E367" s="8">
        <v>13.34</v>
      </c>
      <c r="F367" s="6">
        <v>0.80969999999999998</v>
      </c>
      <c r="G367" t="str">
        <f t="shared" si="15"/>
        <v>Admis</v>
      </c>
      <c r="H367" t="str" cm="1">
        <f t="array" ref="H367">_xlfn.IFS(E367&gt;=16,"Excellent",E367&gt;=14,"Très bien",E367&gt;=12,"Bien",E367&gt;=10,"Passable",E367&lt;10,"Insuffisant")</f>
        <v>Bien</v>
      </c>
      <c r="I367" t="str">
        <f t="shared" si="16"/>
        <v>RAS</v>
      </c>
      <c r="J367" t="str">
        <f t="shared" si="17"/>
        <v>Autre filière</v>
      </c>
    </row>
    <row r="368" spans="1:10">
      <c r="A368" t="s">
        <v>611</v>
      </c>
      <c r="B368" t="s">
        <v>599</v>
      </c>
      <c r="C368" s="8" t="s">
        <v>26</v>
      </c>
      <c r="D368" s="8">
        <v>12.69</v>
      </c>
      <c r="E368" s="8">
        <v>17.170000000000002</v>
      </c>
      <c r="F368" s="6">
        <v>0.8569</v>
      </c>
      <c r="G368" t="str">
        <f t="shared" si="15"/>
        <v>Admis</v>
      </c>
      <c r="H368" t="str" cm="1">
        <f t="array" ref="H368">_xlfn.IFS(E368&gt;=16,"Excellent",E368&gt;=14,"Très bien",E368&gt;=12,"Bien",E368&gt;=10,"Passable",E368&lt;10,"Insuffisant")</f>
        <v>Excellent</v>
      </c>
      <c r="I368" t="str">
        <f t="shared" si="16"/>
        <v>RAS</v>
      </c>
      <c r="J368" t="str">
        <f t="shared" si="17"/>
        <v>Autre filière</v>
      </c>
    </row>
    <row r="369" spans="1:10">
      <c r="A369" t="s">
        <v>612</v>
      </c>
      <c r="B369" t="s">
        <v>64</v>
      </c>
      <c r="C369" s="8" t="s">
        <v>34</v>
      </c>
      <c r="D369" s="8">
        <v>13.16</v>
      </c>
      <c r="E369" s="8">
        <v>12.75</v>
      </c>
      <c r="F369" s="6">
        <v>0.93240000000000001</v>
      </c>
      <c r="G369" t="str">
        <f t="shared" si="15"/>
        <v>Admis</v>
      </c>
      <c r="H369" t="str" cm="1">
        <f t="array" ref="H369">_xlfn.IFS(E369&gt;=16,"Excellent",E369&gt;=14,"Très bien",E369&gt;=12,"Bien",E369&gt;=10,"Passable",E369&lt;10,"Insuffisant")</f>
        <v>Bien</v>
      </c>
      <c r="I369" t="str">
        <f t="shared" si="16"/>
        <v>RAS</v>
      </c>
      <c r="J369" t="str">
        <f t="shared" si="17"/>
        <v>Autre filière</v>
      </c>
    </row>
    <row r="370" spans="1:10">
      <c r="A370" t="s">
        <v>613</v>
      </c>
      <c r="B370" t="s">
        <v>187</v>
      </c>
      <c r="C370" s="8" t="s">
        <v>34</v>
      </c>
      <c r="D370" s="8">
        <v>18.420000000000002</v>
      </c>
      <c r="E370" s="8">
        <v>19.07</v>
      </c>
      <c r="F370" s="6">
        <v>0.72989999999999999</v>
      </c>
      <c r="G370" t="str">
        <f t="shared" si="15"/>
        <v>Admis sous condition</v>
      </c>
      <c r="H370" t="str" cm="1">
        <f t="array" ref="H370">_xlfn.IFS(E370&gt;=16,"Excellent",E370&gt;=14,"Très bien",E370&gt;=12,"Bien",E370&gt;=10,"Passable",E370&lt;10,"Insuffisant")</f>
        <v>Excellent</v>
      </c>
      <c r="I370" t="str">
        <f t="shared" si="16"/>
        <v>RAS</v>
      </c>
      <c r="J370" t="str">
        <f t="shared" si="17"/>
        <v>Autre filière</v>
      </c>
    </row>
    <row r="371" spans="1:10">
      <c r="A371" t="s">
        <v>614</v>
      </c>
      <c r="B371" t="s">
        <v>271</v>
      </c>
      <c r="C371" s="8" t="s">
        <v>34</v>
      </c>
      <c r="D371" s="8">
        <v>15.72</v>
      </c>
      <c r="E371" s="8">
        <v>13.12</v>
      </c>
      <c r="F371" s="6">
        <v>0.98099999999999998</v>
      </c>
      <c r="G371" t="str">
        <f t="shared" si="15"/>
        <v>Admis</v>
      </c>
      <c r="H371" t="str" cm="1">
        <f t="array" ref="H371">_xlfn.IFS(E371&gt;=16,"Excellent",E371&gt;=14,"Très bien",E371&gt;=12,"Bien",E371&gt;=10,"Passable",E371&lt;10,"Insuffisant")</f>
        <v>Bien</v>
      </c>
      <c r="I371" t="str">
        <f t="shared" si="16"/>
        <v>RAS</v>
      </c>
      <c r="J371" t="str">
        <f t="shared" si="17"/>
        <v>Autre filière</v>
      </c>
    </row>
    <row r="372" spans="1:10">
      <c r="A372" t="s">
        <v>615</v>
      </c>
      <c r="B372" t="s">
        <v>193</v>
      </c>
      <c r="C372" s="8" t="s">
        <v>47</v>
      </c>
      <c r="D372" s="8">
        <v>14.37</v>
      </c>
      <c r="E372" s="8">
        <v>14.34</v>
      </c>
      <c r="F372" s="6">
        <v>0.66879999999999995</v>
      </c>
      <c r="G372" t="str">
        <f t="shared" si="15"/>
        <v>Admis sous condition</v>
      </c>
      <c r="H372" t="str" cm="1">
        <f t="array" ref="H372">_xlfn.IFS(E372&gt;=16,"Excellent",E372&gt;=14,"Très bien",E372&gt;=12,"Bien",E372&gt;=10,"Passable",E372&lt;10,"Insuffisant")</f>
        <v>Très bien</v>
      </c>
      <c r="I372" t="str">
        <f t="shared" si="16"/>
        <v>A surveiller</v>
      </c>
      <c r="J372" t="str">
        <f t="shared" si="17"/>
        <v>Autre filière</v>
      </c>
    </row>
    <row r="373" spans="1:10">
      <c r="A373" t="s">
        <v>616</v>
      </c>
      <c r="B373" t="s">
        <v>617</v>
      </c>
      <c r="C373" s="8" t="s">
        <v>21</v>
      </c>
      <c r="D373" s="8">
        <v>17.63</v>
      </c>
      <c r="E373" s="8">
        <v>20</v>
      </c>
      <c r="F373" s="6">
        <v>0.88249999999999995</v>
      </c>
      <c r="G373" t="str">
        <f t="shared" si="15"/>
        <v>Admis</v>
      </c>
      <c r="H373" t="str" cm="1">
        <f t="array" ref="H373">_xlfn.IFS(E373&gt;=16,"Excellent",E373&gt;=14,"Très bien",E373&gt;=12,"Bien",E373&gt;=10,"Passable",E373&lt;10,"Insuffisant")</f>
        <v>Excellent</v>
      </c>
      <c r="I373" t="str">
        <f t="shared" si="16"/>
        <v>RAS</v>
      </c>
      <c r="J373" t="str">
        <f t="shared" si="17"/>
        <v>Data</v>
      </c>
    </row>
    <row r="374" spans="1:10">
      <c r="A374" t="s">
        <v>618</v>
      </c>
      <c r="B374" t="s">
        <v>619</v>
      </c>
      <c r="C374" s="8" t="s">
        <v>34</v>
      </c>
      <c r="D374" s="8">
        <v>11</v>
      </c>
      <c r="E374" s="8">
        <v>13.33</v>
      </c>
      <c r="F374" s="6">
        <v>0.69179999999999997</v>
      </c>
      <c r="G374" t="str">
        <f t="shared" si="15"/>
        <v>Admis sous condition</v>
      </c>
      <c r="H374" t="str" cm="1">
        <f t="array" ref="H374">_xlfn.IFS(E374&gt;=16,"Excellent",E374&gt;=14,"Très bien",E374&gt;=12,"Bien",E374&gt;=10,"Passable",E374&lt;10,"Insuffisant")</f>
        <v>Bien</v>
      </c>
      <c r="I374" t="str">
        <f t="shared" si="16"/>
        <v>A surveiller</v>
      </c>
      <c r="J374" t="str">
        <f t="shared" si="17"/>
        <v>Autre filière</v>
      </c>
    </row>
    <row r="375" spans="1:10">
      <c r="A375" t="s">
        <v>620</v>
      </c>
      <c r="B375" t="s">
        <v>443</v>
      </c>
      <c r="C375" s="8" t="s">
        <v>21</v>
      </c>
      <c r="D375" s="8">
        <v>14.08</v>
      </c>
      <c r="E375" s="8">
        <v>10.24</v>
      </c>
      <c r="F375" s="6">
        <v>0.89070000000000005</v>
      </c>
      <c r="G375" t="str">
        <f t="shared" si="15"/>
        <v>Admis sous condition</v>
      </c>
      <c r="H375" t="str" cm="1">
        <f t="array" ref="H375">_xlfn.IFS(E375&gt;=16,"Excellent",E375&gt;=14,"Très bien",E375&gt;=12,"Bien",E375&gt;=10,"Passable",E375&lt;10,"Insuffisant")</f>
        <v>Passable</v>
      </c>
      <c r="I375" t="str">
        <f t="shared" si="16"/>
        <v>RAS</v>
      </c>
      <c r="J375" t="str">
        <f t="shared" si="17"/>
        <v>Data</v>
      </c>
    </row>
    <row r="376" spans="1:10">
      <c r="A376" t="s">
        <v>621</v>
      </c>
      <c r="B376" t="s">
        <v>622</v>
      </c>
      <c r="C376" s="8" t="s">
        <v>21</v>
      </c>
      <c r="D376" s="8">
        <v>14.86</v>
      </c>
      <c r="E376" s="8">
        <v>12.38</v>
      </c>
      <c r="F376" s="6">
        <v>0.64280000000000004</v>
      </c>
      <c r="G376" t="str">
        <f t="shared" si="15"/>
        <v>Admis sous condition</v>
      </c>
      <c r="H376" t="str" cm="1">
        <f t="array" ref="H376">_xlfn.IFS(E376&gt;=16,"Excellent",E376&gt;=14,"Très bien",E376&gt;=12,"Bien",E376&gt;=10,"Passable",E376&lt;10,"Insuffisant")</f>
        <v>Bien</v>
      </c>
      <c r="I376" t="str">
        <f t="shared" si="16"/>
        <v>A surveiller</v>
      </c>
      <c r="J376" t="str">
        <f t="shared" si="17"/>
        <v>Data</v>
      </c>
    </row>
    <row r="377" spans="1:10">
      <c r="A377" t="s">
        <v>623</v>
      </c>
      <c r="B377" t="s">
        <v>624</v>
      </c>
      <c r="C377" s="8" t="s">
        <v>34</v>
      </c>
      <c r="D377" s="8">
        <v>15.72</v>
      </c>
      <c r="E377" s="8">
        <v>10.81</v>
      </c>
      <c r="F377" s="6">
        <v>0.95150000000000001</v>
      </c>
      <c r="G377" t="str">
        <f t="shared" si="15"/>
        <v>Admis sous condition</v>
      </c>
      <c r="H377" t="str" cm="1">
        <f t="array" ref="H377">_xlfn.IFS(E377&gt;=16,"Excellent",E377&gt;=14,"Très bien",E377&gt;=12,"Bien",E377&gt;=10,"Passable",E377&lt;10,"Insuffisant")</f>
        <v>Passable</v>
      </c>
      <c r="I377" t="str">
        <f t="shared" si="16"/>
        <v>RAS</v>
      </c>
      <c r="J377" t="str">
        <f t="shared" si="17"/>
        <v>Autre filière</v>
      </c>
    </row>
    <row r="378" spans="1:10">
      <c r="A378" t="s">
        <v>625</v>
      </c>
      <c r="B378" t="s">
        <v>626</v>
      </c>
      <c r="C378" s="8" t="s">
        <v>47</v>
      </c>
      <c r="D378" s="8">
        <v>11.45</v>
      </c>
      <c r="E378" s="8">
        <v>9.4700000000000006</v>
      </c>
      <c r="F378" s="6">
        <v>0.90229999999999999</v>
      </c>
      <c r="G378" t="str">
        <f t="shared" si="15"/>
        <v>Refuse</v>
      </c>
      <c r="H378" t="str" cm="1">
        <f t="array" ref="H378">_xlfn.IFS(E378&gt;=16,"Excellent",E378&gt;=14,"Très bien",E378&gt;=12,"Bien",E378&gt;=10,"Passable",E378&lt;10,"Insuffisant")</f>
        <v>Insuffisant</v>
      </c>
      <c r="I378" t="str">
        <f t="shared" si="16"/>
        <v>A surveiller</v>
      </c>
      <c r="J378" t="str">
        <f t="shared" si="17"/>
        <v>Autre filière</v>
      </c>
    </row>
    <row r="379" spans="1:10">
      <c r="A379" t="s">
        <v>627</v>
      </c>
      <c r="B379" t="s">
        <v>588</v>
      </c>
      <c r="C379" s="8" t="s">
        <v>26</v>
      </c>
      <c r="D379" s="8">
        <v>9.16</v>
      </c>
      <c r="E379" s="8">
        <v>11.06</v>
      </c>
      <c r="F379" s="6">
        <v>0.84560000000000002</v>
      </c>
      <c r="G379" t="str">
        <f t="shared" si="15"/>
        <v>Refuse</v>
      </c>
      <c r="H379" t="str" cm="1">
        <f t="array" ref="H379">_xlfn.IFS(E379&gt;=16,"Excellent",E379&gt;=14,"Très bien",E379&gt;=12,"Bien",E379&gt;=10,"Passable",E379&lt;10,"Insuffisant")</f>
        <v>Passable</v>
      </c>
      <c r="I379" t="str">
        <f t="shared" si="16"/>
        <v>A surveiller</v>
      </c>
      <c r="J379" t="str">
        <f t="shared" si="17"/>
        <v>Autre filière</v>
      </c>
    </row>
    <row r="380" spans="1:10">
      <c r="A380" t="s">
        <v>628</v>
      </c>
      <c r="B380" t="s">
        <v>629</v>
      </c>
      <c r="C380" s="8" t="s">
        <v>21</v>
      </c>
      <c r="D380" s="8">
        <v>20</v>
      </c>
      <c r="E380" s="8">
        <v>20</v>
      </c>
      <c r="F380" s="6">
        <v>0.96209999999999996</v>
      </c>
      <c r="G380" t="str">
        <f t="shared" si="15"/>
        <v>Admis</v>
      </c>
      <c r="H380" t="str" cm="1">
        <f t="array" ref="H380">_xlfn.IFS(E380&gt;=16,"Excellent",E380&gt;=14,"Très bien",E380&gt;=12,"Bien",E380&gt;=10,"Passable",E380&lt;10,"Insuffisant")</f>
        <v>Excellent</v>
      </c>
      <c r="I380" t="str">
        <f t="shared" si="16"/>
        <v>RAS</v>
      </c>
      <c r="J380" t="str">
        <f t="shared" si="17"/>
        <v>Data</v>
      </c>
    </row>
    <row r="381" spans="1:10">
      <c r="A381" t="s">
        <v>630</v>
      </c>
      <c r="B381" t="s">
        <v>631</v>
      </c>
      <c r="C381" s="8" t="s">
        <v>21</v>
      </c>
      <c r="D381" s="8">
        <v>14</v>
      </c>
      <c r="E381" s="8">
        <v>13.38</v>
      </c>
      <c r="F381" s="6">
        <v>0.67779999999999996</v>
      </c>
      <c r="G381" t="str">
        <f t="shared" si="15"/>
        <v>Admis sous condition</v>
      </c>
      <c r="H381" t="str" cm="1">
        <f t="array" ref="H381">_xlfn.IFS(E381&gt;=16,"Excellent",E381&gt;=14,"Très bien",E381&gt;=12,"Bien",E381&gt;=10,"Passable",E381&lt;10,"Insuffisant")</f>
        <v>Bien</v>
      </c>
      <c r="I381" t="str">
        <f t="shared" si="16"/>
        <v>A surveiller</v>
      </c>
      <c r="J381" t="str">
        <f t="shared" si="17"/>
        <v>Data</v>
      </c>
    </row>
    <row r="382" spans="1:10">
      <c r="A382" t="s">
        <v>632</v>
      </c>
      <c r="B382" t="s">
        <v>134</v>
      </c>
      <c r="C382" s="8" t="s">
        <v>34</v>
      </c>
      <c r="D382" s="8">
        <v>10.47</v>
      </c>
      <c r="E382" s="8">
        <v>15.1</v>
      </c>
      <c r="F382" s="6">
        <v>0.9073</v>
      </c>
      <c r="G382" t="str">
        <f t="shared" si="15"/>
        <v>Admis sous condition</v>
      </c>
      <c r="H382" t="str" cm="1">
        <f t="array" ref="H382">_xlfn.IFS(E382&gt;=16,"Excellent",E382&gt;=14,"Très bien",E382&gt;=12,"Bien",E382&gt;=10,"Passable",E382&lt;10,"Insuffisant")</f>
        <v>Très bien</v>
      </c>
      <c r="I382" t="str">
        <f t="shared" si="16"/>
        <v>RAS</v>
      </c>
      <c r="J382" t="str">
        <f t="shared" si="17"/>
        <v>Autre filière</v>
      </c>
    </row>
    <row r="383" spans="1:10">
      <c r="A383" t="s">
        <v>633</v>
      </c>
      <c r="B383" t="s">
        <v>508</v>
      </c>
      <c r="C383" s="8" t="s">
        <v>47</v>
      </c>
      <c r="D383" s="8">
        <v>18.48</v>
      </c>
      <c r="E383" s="8">
        <v>14.69</v>
      </c>
      <c r="F383" s="6">
        <v>0.65949999999999998</v>
      </c>
      <c r="G383" t="str">
        <f t="shared" si="15"/>
        <v>Admis sous condition</v>
      </c>
      <c r="H383" t="str" cm="1">
        <f t="array" ref="H383">_xlfn.IFS(E383&gt;=16,"Excellent",E383&gt;=14,"Très bien",E383&gt;=12,"Bien",E383&gt;=10,"Passable",E383&lt;10,"Insuffisant")</f>
        <v>Très bien</v>
      </c>
      <c r="I383" t="str">
        <f t="shared" si="16"/>
        <v>A surveiller</v>
      </c>
      <c r="J383" t="str">
        <f t="shared" si="17"/>
        <v>Autre filière</v>
      </c>
    </row>
    <row r="384" spans="1:10">
      <c r="A384" t="s">
        <v>634</v>
      </c>
      <c r="B384" t="s">
        <v>635</v>
      </c>
      <c r="C384" s="8" t="s">
        <v>26</v>
      </c>
      <c r="D384" s="8">
        <v>11.61</v>
      </c>
      <c r="E384" s="8">
        <v>12.87</v>
      </c>
      <c r="F384" s="6">
        <v>0.80689999999999995</v>
      </c>
      <c r="G384" t="str">
        <f t="shared" si="15"/>
        <v>Admis sous condition</v>
      </c>
      <c r="H384" t="str" cm="1">
        <f t="array" ref="H384">_xlfn.IFS(E384&gt;=16,"Excellent",E384&gt;=14,"Très bien",E384&gt;=12,"Bien",E384&gt;=10,"Passable",E384&lt;10,"Insuffisant")</f>
        <v>Bien</v>
      </c>
      <c r="I384" t="str">
        <f t="shared" si="16"/>
        <v>RAS</v>
      </c>
      <c r="J384" t="str">
        <f t="shared" si="17"/>
        <v>Autre filière</v>
      </c>
    </row>
    <row r="385" spans="1:10">
      <c r="A385" t="s">
        <v>636</v>
      </c>
      <c r="B385" t="s">
        <v>74</v>
      </c>
      <c r="C385" s="8" t="s">
        <v>47</v>
      </c>
      <c r="D385" s="8">
        <v>11.48</v>
      </c>
      <c r="E385" s="8">
        <v>10.62</v>
      </c>
      <c r="F385" s="6">
        <v>0.87890000000000001</v>
      </c>
      <c r="G385" t="str">
        <f t="shared" si="15"/>
        <v>Admis sous condition</v>
      </c>
      <c r="H385" t="str" cm="1">
        <f t="array" ref="H385">_xlfn.IFS(E385&gt;=16,"Excellent",E385&gt;=14,"Très bien",E385&gt;=12,"Bien",E385&gt;=10,"Passable",E385&lt;10,"Insuffisant")</f>
        <v>Passable</v>
      </c>
      <c r="I385" t="str">
        <f t="shared" si="16"/>
        <v>RAS</v>
      </c>
      <c r="J385" t="str">
        <f t="shared" si="17"/>
        <v>Autre filière</v>
      </c>
    </row>
    <row r="386" spans="1:10">
      <c r="A386" t="s">
        <v>637</v>
      </c>
      <c r="B386" t="s">
        <v>156</v>
      </c>
      <c r="C386" s="8" t="s">
        <v>47</v>
      </c>
      <c r="D386" s="8">
        <v>15.1</v>
      </c>
      <c r="E386" s="8">
        <v>17.45</v>
      </c>
      <c r="F386" s="6">
        <v>0.73029999999999995</v>
      </c>
      <c r="G386" t="str">
        <f t="shared" si="15"/>
        <v>Admis sous condition</v>
      </c>
      <c r="H386" t="str" cm="1">
        <f t="array" ref="H386">_xlfn.IFS(E386&gt;=16,"Excellent",E386&gt;=14,"Très bien",E386&gt;=12,"Bien",E386&gt;=10,"Passable",E386&lt;10,"Insuffisant")</f>
        <v>Excellent</v>
      </c>
      <c r="I386" t="str">
        <f t="shared" si="16"/>
        <v>RAS</v>
      </c>
      <c r="J386" t="str">
        <f t="shared" si="17"/>
        <v>Autre filière</v>
      </c>
    </row>
    <row r="387" spans="1:10">
      <c r="A387" t="s">
        <v>638</v>
      </c>
      <c r="B387" t="s">
        <v>639</v>
      </c>
      <c r="C387" s="8" t="s">
        <v>21</v>
      </c>
      <c r="D387" s="8">
        <v>9.8800000000000008</v>
      </c>
      <c r="E387" s="8">
        <v>14.7</v>
      </c>
      <c r="F387" s="6">
        <v>0.9486</v>
      </c>
      <c r="G387" t="str">
        <f t="shared" ref="G387:G450" si="18">IF(AND(D387&gt;=12,E387&gt;=12,F387&gt;=80%),"Admis",IF(AND(D387&gt;=10,E387&gt;=10),"Admis sous condition","Refuse"))</f>
        <v>Refuse</v>
      </c>
      <c r="H387" t="str" cm="1">
        <f t="array" ref="H387">_xlfn.IFS(E387&gt;=16,"Excellent",E387&gt;=14,"Très bien",E387&gt;=12,"Bien",E387&gt;=10,"Passable",E387&lt;10,"Insuffisant")</f>
        <v>Très bien</v>
      </c>
      <c r="I387" t="str">
        <f t="shared" ref="I387:I450" si="19">IF(OR(D387&lt;10,E387&lt;10,F387&lt;70%),"A surveiller","RAS")</f>
        <v>A surveiller</v>
      </c>
      <c r="J387" t="str">
        <f t="shared" ref="J387:J450" si="20">IF(NOT(C387="Data"),"Autre filière","Data")</f>
        <v>Data</v>
      </c>
    </row>
    <row r="388" spans="1:10">
      <c r="A388" t="s">
        <v>640</v>
      </c>
      <c r="B388" t="s">
        <v>247</v>
      </c>
      <c r="C388" s="8" t="s">
        <v>21</v>
      </c>
      <c r="D388" s="8">
        <v>15.06</v>
      </c>
      <c r="E388" s="8">
        <v>10.81</v>
      </c>
      <c r="F388" s="6">
        <v>0.60780000000000001</v>
      </c>
      <c r="G388" t="str">
        <f t="shared" si="18"/>
        <v>Admis sous condition</v>
      </c>
      <c r="H388" t="str" cm="1">
        <f t="array" ref="H388">_xlfn.IFS(E388&gt;=16,"Excellent",E388&gt;=14,"Très bien",E388&gt;=12,"Bien",E388&gt;=10,"Passable",E388&lt;10,"Insuffisant")</f>
        <v>Passable</v>
      </c>
      <c r="I388" t="str">
        <f t="shared" si="19"/>
        <v>A surveiller</v>
      </c>
      <c r="J388" t="str">
        <f t="shared" si="20"/>
        <v>Data</v>
      </c>
    </row>
    <row r="389" spans="1:10">
      <c r="A389" t="s">
        <v>641</v>
      </c>
      <c r="B389" t="s">
        <v>551</v>
      </c>
      <c r="C389" s="8" t="s">
        <v>21</v>
      </c>
      <c r="D389" s="8">
        <v>20</v>
      </c>
      <c r="E389" s="8">
        <v>18.29</v>
      </c>
      <c r="F389" s="6">
        <v>0.86929999999999996</v>
      </c>
      <c r="G389" t="str">
        <f t="shared" si="18"/>
        <v>Admis</v>
      </c>
      <c r="H389" t="str" cm="1">
        <f t="array" ref="H389">_xlfn.IFS(E389&gt;=16,"Excellent",E389&gt;=14,"Très bien",E389&gt;=12,"Bien",E389&gt;=10,"Passable",E389&lt;10,"Insuffisant")</f>
        <v>Excellent</v>
      </c>
      <c r="I389" t="str">
        <f t="shared" si="19"/>
        <v>RAS</v>
      </c>
      <c r="J389" t="str">
        <f t="shared" si="20"/>
        <v>Data</v>
      </c>
    </row>
    <row r="390" spans="1:10">
      <c r="A390" t="s">
        <v>642</v>
      </c>
      <c r="B390" t="s">
        <v>261</v>
      </c>
      <c r="C390" s="8" t="s">
        <v>47</v>
      </c>
      <c r="D390" s="8">
        <v>15.55</v>
      </c>
      <c r="E390" s="8">
        <v>17.79</v>
      </c>
      <c r="F390" s="6">
        <v>0.9224</v>
      </c>
      <c r="G390" t="str">
        <f t="shared" si="18"/>
        <v>Admis</v>
      </c>
      <c r="H390" t="str" cm="1">
        <f t="array" ref="H390">_xlfn.IFS(E390&gt;=16,"Excellent",E390&gt;=14,"Très bien",E390&gt;=12,"Bien",E390&gt;=10,"Passable",E390&lt;10,"Insuffisant")</f>
        <v>Excellent</v>
      </c>
      <c r="I390" t="str">
        <f t="shared" si="19"/>
        <v>RAS</v>
      </c>
      <c r="J390" t="str">
        <f t="shared" si="20"/>
        <v>Autre filière</v>
      </c>
    </row>
    <row r="391" spans="1:10">
      <c r="A391" t="s">
        <v>643</v>
      </c>
      <c r="B391" t="s">
        <v>369</v>
      </c>
      <c r="C391" s="8" t="s">
        <v>34</v>
      </c>
      <c r="D391" s="8">
        <v>7.21</v>
      </c>
      <c r="E391" s="8">
        <v>9.4600000000000009</v>
      </c>
      <c r="F391" s="6">
        <v>0.78449999999999998</v>
      </c>
      <c r="G391" t="str">
        <f t="shared" si="18"/>
        <v>Refuse</v>
      </c>
      <c r="H391" t="str" cm="1">
        <f t="array" ref="H391">_xlfn.IFS(E391&gt;=16,"Excellent",E391&gt;=14,"Très bien",E391&gt;=12,"Bien",E391&gt;=10,"Passable",E391&lt;10,"Insuffisant")</f>
        <v>Insuffisant</v>
      </c>
      <c r="I391" t="str">
        <f t="shared" si="19"/>
        <v>A surveiller</v>
      </c>
      <c r="J391" t="str">
        <f t="shared" si="20"/>
        <v>Autre filière</v>
      </c>
    </row>
    <row r="392" spans="1:10">
      <c r="A392" t="s">
        <v>644</v>
      </c>
      <c r="B392" t="s">
        <v>645</v>
      </c>
      <c r="C392" s="8" t="s">
        <v>21</v>
      </c>
      <c r="D392" s="8">
        <v>12.8</v>
      </c>
      <c r="E392" s="8">
        <v>13.53</v>
      </c>
      <c r="F392" s="6">
        <v>0.92059999999999997</v>
      </c>
      <c r="G392" t="str">
        <f t="shared" si="18"/>
        <v>Admis</v>
      </c>
      <c r="H392" t="str" cm="1">
        <f t="array" ref="H392">_xlfn.IFS(E392&gt;=16,"Excellent",E392&gt;=14,"Très bien",E392&gt;=12,"Bien",E392&gt;=10,"Passable",E392&lt;10,"Insuffisant")</f>
        <v>Bien</v>
      </c>
      <c r="I392" t="str">
        <f t="shared" si="19"/>
        <v>RAS</v>
      </c>
      <c r="J392" t="str">
        <f t="shared" si="20"/>
        <v>Data</v>
      </c>
    </row>
    <row r="393" spans="1:10">
      <c r="A393" t="s">
        <v>646</v>
      </c>
      <c r="B393" t="s">
        <v>201</v>
      </c>
      <c r="C393" s="8" t="s">
        <v>47</v>
      </c>
      <c r="D393" s="8">
        <v>12.43</v>
      </c>
      <c r="E393" s="8">
        <v>15.24</v>
      </c>
      <c r="F393" s="6">
        <v>0.82630000000000003</v>
      </c>
      <c r="G393" t="str">
        <f t="shared" si="18"/>
        <v>Admis</v>
      </c>
      <c r="H393" t="str" cm="1">
        <f t="array" ref="H393">_xlfn.IFS(E393&gt;=16,"Excellent",E393&gt;=14,"Très bien",E393&gt;=12,"Bien",E393&gt;=10,"Passable",E393&lt;10,"Insuffisant")</f>
        <v>Très bien</v>
      </c>
      <c r="I393" t="str">
        <f t="shared" si="19"/>
        <v>RAS</v>
      </c>
      <c r="J393" t="str">
        <f t="shared" si="20"/>
        <v>Autre filière</v>
      </c>
    </row>
    <row r="394" spans="1:10">
      <c r="A394" t="s">
        <v>647</v>
      </c>
      <c r="B394" t="s">
        <v>648</v>
      </c>
      <c r="C394" s="8" t="s">
        <v>26</v>
      </c>
      <c r="D394" s="8">
        <v>12.88</v>
      </c>
      <c r="E394" s="8">
        <v>13.16</v>
      </c>
      <c r="F394" s="6">
        <v>0.94930000000000003</v>
      </c>
      <c r="G394" t="str">
        <f t="shared" si="18"/>
        <v>Admis</v>
      </c>
      <c r="H394" t="str" cm="1">
        <f t="array" ref="H394">_xlfn.IFS(E394&gt;=16,"Excellent",E394&gt;=14,"Très bien",E394&gt;=12,"Bien",E394&gt;=10,"Passable",E394&lt;10,"Insuffisant")</f>
        <v>Bien</v>
      </c>
      <c r="I394" t="str">
        <f t="shared" si="19"/>
        <v>RAS</v>
      </c>
      <c r="J394" t="str">
        <f t="shared" si="20"/>
        <v>Autre filière</v>
      </c>
    </row>
    <row r="395" spans="1:10">
      <c r="A395" t="s">
        <v>649</v>
      </c>
      <c r="B395" t="s">
        <v>650</v>
      </c>
      <c r="C395" s="8" t="s">
        <v>34</v>
      </c>
      <c r="D395" s="8">
        <v>12.98</v>
      </c>
      <c r="E395" s="8">
        <v>13.85</v>
      </c>
      <c r="F395" s="6">
        <v>0.55000000000000004</v>
      </c>
      <c r="G395" t="str">
        <f t="shared" si="18"/>
        <v>Admis sous condition</v>
      </c>
      <c r="H395" t="str" cm="1">
        <f t="array" ref="H395">_xlfn.IFS(E395&gt;=16,"Excellent",E395&gt;=14,"Très bien",E395&gt;=12,"Bien",E395&gt;=10,"Passable",E395&lt;10,"Insuffisant")</f>
        <v>Bien</v>
      </c>
      <c r="I395" t="str">
        <f t="shared" si="19"/>
        <v>A surveiller</v>
      </c>
      <c r="J395" t="str">
        <f t="shared" si="20"/>
        <v>Autre filière</v>
      </c>
    </row>
    <row r="396" spans="1:10">
      <c r="A396" t="s">
        <v>651</v>
      </c>
      <c r="B396" t="s">
        <v>652</v>
      </c>
      <c r="C396" s="8" t="s">
        <v>26</v>
      </c>
      <c r="D396" s="8">
        <v>16</v>
      </c>
      <c r="E396" s="8">
        <v>20</v>
      </c>
      <c r="F396" s="6">
        <v>0.89339999999999997</v>
      </c>
      <c r="G396" t="str">
        <f t="shared" si="18"/>
        <v>Admis</v>
      </c>
      <c r="H396" t="str" cm="1">
        <f t="array" ref="H396">_xlfn.IFS(E396&gt;=16,"Excellent",E396&gt;=14,"Très bien",E396&gt;=12,"Bien",E396&gt;=10,"Passable",E396&lt;10,"Insuffisant")</f>
        <v>Excellent</v>
      </c>
      <c r="I396" t="str">
        <f t="shared" si="19"/>
        <v>RAS</v>
      </c>
      <c r="J396" t="str">
        <f t="shared" si="20"/>
        <v>Autre filière</v>
      </c>
    </row>
    <row r="397" spans="1:10">
      <c r="A397" t="s">
        <v>653</v>
      </c>
      <c r="B397" t="s">
        <v>654</v>
      </c>
      <c r="C397" s="8" t="s">
        <v>47</v>
      </c>
      <c r="D397" s="8">
        <v>8.5299999999999994</v>
      </c>
      <c r="E397" s="8">
        <v>13.13</v>
      </c>
      <c r="F397" s="6">
        <v>0.95520000000000005</v>
      </c>
      <c r="G397" t="str">
        <f t="shared" si="18"/>
        <v>Refuse</v>
      </c>
      <c r="H397" t="str" cm="1">
        <f t="array" ref="H397">_xlfn.IFS(E397&gt;=16,"Excellent",E397&gt;=14,"Très bien",E397&gt;=12,"Bien",E397&gt;=10,"Passable",E397&lt;10,"Insuffisant")</f>
        <v>Bien</v>
      </c>
      <c r="I397" t="str">
        <f t="shared" si="19"/>
        <v>A surveiller</v>
      </c>
      <c r="J397" t="str">
        <f t="shared" si="20"/>
        <v>Autre filière</v>
      </c>
    </row>
    <row r="398" spans="1:10">
      <c r="A398" t="s">
        <v>655</v>
      </c>
      <c r="B398" t="s">
        <v>656</v>
      </c>
      <c r="C398" s="8" t="s">
        <v>47</v>
      </c>
      <c r="D398" s="8">
        <v>17.260000000000002</v>
      </c>
      <c r="E398" s="8">
        <v>15.98</v>
      </c>
      <c r="F398" s="6">
        <v>0.81210000000000004</v>
      </c>
      <c r="G398" t="str">
        <f t="shared" si="18"/>
        <v>Admis</v>
      </c>
      <c r="H398" t="str" cm="1">
        <f t="array" ref="H398">_xlfn.IFS(E398&gt;=16,"Excellent",E398&gt;=14,"Très bien",E398&gt;=12,"Bien",E398&gt;=10,"Passable",E398&lt;10,"Insuffisant")</f>
        <v>Très bien</v>
      </c>
      <c r="I398" t="str">
        <f t="shared" si="19"/>
        <v>RAS</v>
      </c>
      <c r="J398" t="str">
        <f t="shared" si="20"/>
        <v>Autre filière</v>
      </c>
    </row>
    <row r="399" spans="1:10">
      <c r="A399" t="s">
        <v>657</v>
      </c>
      <c r="B399" t="s">
        <v>658</v>
      </c>
      <c r="C399" s="8" t="s">
        <v>26</v>
      </c>
      <c r="D399" s="8">
        <v>11.24</v>
      </c>
      <c r="E399" s="8">
        <v>11.47</v>
      </c>
      <c r="F399" s="6">
        <v>0.86140000000000005</v>
      </c>
      <c r="G399" t="str">
        <f t="shared" si="18"/>
        <v>Admis sous condition</v>
      </c>
      <c r="H399" t="str" cm="1">
        <f t="array" ref="H399">_xlfn.IFS(E399&gt;=16,"Excellent",E399&gt;=14,"Très bien",E399&gt;=12,"Bien",E399&gt;=10,"Passable",E399&lt;10,"Insuffisant")</f>
        <v>Passable</v>
      </c>
      <c r="I399" t="str">
        <f t="shared" si="19"/>
        <v>RAS</v>
      </c>
      <c r="J399" t="str">
        <f t="shared" si="20"/>
        <v>Autre filière</v>
      </c>
    </row>
    <row r="400" spans="1:10">
      <c r="A400" t="s">
        <v>659</v>
      </c>
      <c r="B400" t="s">
        <v>513</v>
      </c>
      <c r="C400" s="8" t="s">
        <v>21</v>
      </c>
      <c r="D400" s="8">
        <v>12.47</v>
      </c>
      <c r="E400" s="8">
        <v>12.73</v>
      </c>
      <c r="F400" s="6">
        <v>0.76500000000000001</v>
      </c>
      <c r="G400" t="str">
        <f t="shared" si="18"/>
        <v>Admis sous condition</v>
      </c>
      <c r="H400" t="str" cm="1">
        <f t="array" ref="H400">_xlfn.IFS(E400&gt;=16,"Excellent",E400&gt;=14,"Très bien",E400&gt;=12,"Bien",E400&gt;=10,"Passable",E400&lt;10,"Insuffisant")</f>
        <v>Bien</v>
      </c>
      <c r="I400" t="str">
        <f t="shared" si="19"/>
        <v>RAS</v>
      </c>
      <c r="J400" t="str">
        <f t="shared" si="20"/>
        <v>Data</v>
      </c>
    </row>
    <row r="401" spans="1:10">
      <c r="A401" t="s">
        <v>660</v>
      </c>
      <c r="B401" t="s">
        <v>661</v>
      </c>
      <c r="C401" s="8" t="s">
        <v>26</v>
      </c>
      <c r="D401" s="8">
        <v>17</v>
      </c>
      <c r="E401" s="8">
        <v>12.69</v>
      </c>
      <c r="F401" s="6">
        <v>0.94640000000000002</v>
      </c>
      <c r="G401" t="str">
        <f t="shared" si="18"/>
        <v>Admis</v>
      </c>
      <c r="H401" t="str" cm="1">
        <f t="array" ref="H401">_xlfn.IFS(E401&gt;=16,"Excellent",E401&gt;=14,"Très bien",E401&gt;=12,"Bien",E401&gt;=10,"Passable",E401&lt;10,"Insuffisant")</f>
        <v>Bien</v>
      </c>
      <c r="I401" t="str">
        <f t="shared" si="19"/>
        <v>RAS</v>
      </c>
      <c r="J401" t="str">
        <f t="shared" si="20"/>
        <v>Autre filière</v>
      </c>
    </row>
    <row r="402" spans="1:10">
      <c r="A402" t="s">
        <v>662</v>
      </c>
      <c r="B402" t="s">
        <v>78</v>
      </c>
      <c r="C402" s="8" t="s">
        <v>26</v>
      </c>
      <c r="D402" s="8">
        <v>15.65</v>
      </c>
      <c r="E402" s="8">
        <v>14.4</v>
      </c>
      <c r="F402" s="6">
        <v>0.96989999999999998</v>
      </c>
      <c r="G402" t="str">
        <f t="shared" si="18"/>
        <v>Admis</v>
      </c>
      <c r="H402" t="str" cm="1">
        <f t="array" ref="H402">_xlfn.IFS(E402&gt;=16,"Excellent",E402&gt;=14,"Très bien",E402&gt;=12,"Bien",E402&gt;=10,"Passable",E402&lt;10,"Insuffisant")</f>
        <v>Très bien</v>
      </c>
      <c r="I402" t="str">
        <f t="shared" si="19"/>
        <v>RAS</v>
      </c>
      <c r="J402" t="str">
        <f t="shared" si="20"/>
        <v>Autre filière</v>
      </c>
    </row>
    <row r="403" spans="1:10">
      <c r="A403" t="s">
        <v>663</v>
      </c>
      <c r="B403" t="s">
        <v>361</v>
      </c>
      <c r="C403" s="8" t="s">
        <v>26</v>
      </c>
      <c r="D403" s="8">
        <v>17.21</v>
      </c>
      <c r="E403" s="8">
        <v>16.63</v>
      </c>
      <c r="F403" s="6">
        <v>0.84499999999999997</v>
      </c>
      <c r="G403" t="str">
        <f t="shared" si="18"/>
        <v>Admis</v>
      </c>
      <c r="H403" t="str" cm="1">
        <f t="array" ref="H403">_xlfn.IFS(E403&gt;=16,"Excellent",E403&gt;=14,"Très bien",E403&gt;=12,"Bien",E403&gt;=10,"Passable",E403&lt;10,"Insuffisant")</f>
        <v>Excellent</v>
      </c>
      <c r="I403" t="str">
        <f t="shared" si="19"/>
        <v>RAS</v>
      </c>
      <c r="J403" t="str">
        <f t="shared" si="20"/>
        <v>Autre filière</v>
      </c>
    </row>
    <row r="404" spans="1:10">
      <c r="A404" t="s">
        <v>664</v>
      </c>
      <c r="B404" t="s">
        <v>257</v>
      </c>
      <c r="C404" s="8" t="s">
        <v>47</v>
      </c>
      <c r="D404" s="8">
        <v>12.9</v>
      </c>
      <c r="E404" s="8">
        <v>16.61</v>
      </c>
      <c r="F404" s="6">
        <v>0.91410000000000002</v>
      </c>
      <c r="G404" t="str">
        <f t="shared" si="18"/>
        <v>Admis</v>
      </c>
      <c r="H404" t="str" cm="1">
        <f t="array" ref="H404">_xlfn.IFS(E404&gt;=16,"Excellent",E404&gt;=14,"Très bien",E404&gt;=12,"Bien",E404&gt;=10,"Passable",E404&lt;10,"Insuffisant")</f>
        <v>Excellent</v>
      </c>
      <c r="I404" t="str">
        <f t="shared" si="19"/>
        <v>RAS</v>
      </c>
      <c r="J404" t="str">
        <f t="shared" si="20"/>
        <v>Autre filière</v>
      </c>
    </row>
    <row r="405" spans="1:10">
      <c r="A405" t="s">
        <v>665</v>
      </c>
      <c r="B405" t="s">
        <v>666</v>
      </c>
      <c r="C405" s="8" t="s">
        <v>26</v>
      </c>
      <c r="D405" s="8">
        <v>9.51</v>
      </c>
      <c r="E405" s="8">
        <v>8.35</v>
      </c>
      <c r="F405" s="6">
        <v>0.66739999999999999</v>
      </c>
      <c r="G405" t="str">
        <f t="shared" si="18"/>
        <v>Refuse</v>
      </c>
      <c r="H405" t="str" cm="1">
        <f t="array" ref="H405">_xlfn.IFS(E405&gt;=16,"Excellent",E405&gt;=14,"Très bien",E405&gt;=12,"Bien",E405&gt;=10,"Passable",E405&lt;10,"Insuffisant")</f>
        <v>Insuffisant</v>
      </c>
      <c r="I405" t="str">
        <f t="shared" si="19"/>
        <v>A surveiller</v>
      </c>
      <c r="J405" t="str">
        <f t="shared" si="20"/>
        <v>Autre filière</v>
      </c>
    </row>
    <row r="406" spans="1:10">
      <c r="A406" t="s">
        <v>667</v>
      </c>
      <c r="B406" t="s">
        <v>668</v>
      </c>
      <c r="C406" s="8" t="s">
        <v>26</v>
      </c>
      <c r="D406" s="8">
        <v>13.77</v>
      </c>
      <c r="E406" s="8">
        <v>16.64</v>
      </c>
      <c r="F406" s="6">
        <v>0.80230000000000001</v>
      </c>
      <c r="G406" t="str">
        <f t="shared" si="18"/>
        <v>Admis</v>
      </c>
      <c r="H406" t="str" cm="1">
        <f t="array" ref="H406">_xlfn.IFS(E406&gt;=16,"Excellent",E406&gt;=14,"Très bien",E406&gt;=12,"Bien",E406&gt;=10,"Passable",E406&lt;10,"Insuffisant")</f>
        <v>Excellent</v>
      </c>
      <c r="I406" t="str">
        <f t="shared" si="19"/>
        <v>RAS</v>
      </c>
      <c r="J406" t="str">
        <f t="shared" si="20"/>
        <v>Autre filière</v>
      </c>
    </row>
    <row r="407" spans="1:10">
      <c r="A407" t="s">
        <v>669</v>
      </c>
      <c r="B407" t="s">
        <v>670</v>
      </c>
      <c r="C407" s="8" t="s">
        <v>26</v>
      </c>
      <c r="D407" s="8">
        <v>13.66</v>
      </c>
      <c r="E407" s="8">
        <v>20</v>
      </c>
      <c r="F407" s="6">
        <v>0.92069999999999996</v>
      </c>
      <c r="G407" t="str">
        <f t="shared" si="18"/>
        <v>Admis</v>
      </c>
      <c r="H407" t="str" cm="1">
        <f t="array" ref="H407">_xlfn.IFS(E407&gt;=16,"Excellent",E407&gt;=14,"Très bien",E407&gt;=12,"Bien",E407&gt;=10,"Passable",E407&lt;10,"Insuffisant")</f>
        <v>Excellent</v>
      </c>
      <c r="I407" t="str">
        <f t="shared" si="19"/>
        <v>RAS</v>
      </c>
      <c r="J407" t="str">
        <f t="shared" si="20"/>
        <v>Autre filière</v>
      </c>
    </row>
    <row r="408" spans="1:10">
      <c r="A408" t="s">
        <v>671</v>
      </c>
      <c r="B408" t="s">
        <v>336</v>
      </c>
      <c r="C408" s="8" t="s">
        <v>26</v>
      </c>
      <c r="D408" s="8">
        <v>11.3</v>
      </c>
      <c r="E408" s="8">
        <v>8.94</v>
      </c>
      <c r="F408" s="6">
        <v>0.87849999999999995</v>
      </c>
      <c r="G408" t="str">
        <f t="shared" si="18"/>
        <v>Refuse</v>
      </c>
      <c r="H408" t="str" cm="1">
        <f t="array" ref="H408">_xlfn.IFS(E408&gt;=16,"Excellent",E408&gt;=14,"Très bien",E408&gt;=12,"Bien",E408&gt;=10,"Passable",E408&lt;10,"Insuffisant")</f>
        <v>Insuffisant</v>
      </c>
      <c r="I408" t="str">
        <f t="shared" si="19"/>
        <v>A surveiller</v>
      </c>
      <c r="J408" t="str">
        <f t="shared" si="20"/>
        <v>Autre filière</v>
      </c>
    </row>
    <row r="409" spans="1:10">
      <c r="A409" t="s">
        <v>672</v>
      </c>
      <c r="B409" t="s">
        <v>290</v>
      </c>
      <c r="C409" s="8" t="s">
        <v>26</v>
      </c>
      <c r="D409" s="8">
        <v>14.47</v>
      </c>
      <c r="E409" s="8">
        <v>12.67</v>
      </c>
      <c r="F409" s="6">
        <v>0.66169999999999995</v>
      </c>
      <c r="G409" t="str">
        <f t="shared" si="18"/>
        <v>Admis sous condition</v>
      </c>
      <c r="H409" t="str" cm="1">
        <f t="array" ref="H409">_xlfn.IFS(E409&gt;=16,"Excellent",E409&gt;=14,"Très bien",E409&gt;=12,"Bien",E409&gt;=10,"Passable",E409&lt;10,"Insuffisant")</f>
        <v>Bien</v>
      </c>
      <c r="I409" t="str">
        <f t="shared" si="19"/>
        <v>A surveiller</v>
      </c>
      <c r="J409" t="str">
        <f t="shared" si="20"/>
        <v>Autre filière</v>
      </c>
    </row>
    <row r="410" spans="1:10">
      <c r="A410" t="s">
        <v>673</v>
      </c>
      <c r="B410" t="s">
        <v>674</v>
      </c>
      <c r="C410" s="8" t="s">
        <v>34</v>
      </c>
      <c r="D410" s="8">
        <v>15.77</v>
      </c>
      <c r="E410" s="8">
        <v>16.95</v>
      </c>
      <c r="F410" s="6">
        <v>0.86729999999999996</v>
      </c>
      <c r="G410" t="str">
        <f t="shared" si="18"/>
        <v>Admis</v>
      </c>
      <c r="H410" t="str" cm="1">
        <f t="array" ref="H410">_xlfn.IFS(E410&gt;=16,"Excellent",E410&gt;=14,"Très bien",E410&gt;=12,"Bien",E410&gt;=10,"Passable",E410&lt;10,"Insuffisant")</f>
        <v>Excellent</v>
      </c>
      <c r="I410" t="str">
        <f t="shared" si="19"/>
        <v>RAS</v>
      </c>
      <c r="J410" t="str">
        <f t="shared" si="20"/>
        <v>Autre filière</v>
      </c>
    </row>
    <row r="411" spans="1:10">
      <c r="A411" t="s">
        <v>675</v>
      </c>
      <c r="B411" t="s">
        <v>416</v>
      </c>
      <c r="C411" s="8" t="s">
        <v>47</v>
      </c>
      <c r="D411" s="8">
        <v>11.16</v>
      </c>
      <c r="E411" s="8">
        <v>15.78</v>
      </c>
      <c r="F411" s="6">
        <v>0.80100000000000005</v>
      </c>
      <c r="G411" t="str">
        <f t="shared" si="18"/>
        <v>Admis sous condition</v>
      </c>
      <c r="H411" t="str" cm="1">
        <f t="array" ref="H411">_xlfn.IFS(E411&gt;=16,"Excellent",E411&gt;=14,"Très bien",E411&gt;=12,"Bien",E411&gt;=10,"Passable",E411&lt;10,"Insuffisant")</f>
        <v>Très bien</v>
      </c>
      <c r="I411" t="str">
        <f t="shared" si="19"/>
        <v>RAS</v>
      </c>
      <c r="J411" t="str">
        <f t="shared" si="20"/>
        <v>Autre filière</v>
      </c>
    </row>
    <row r="412" spans="1:10">
      <c r="A412" t="s">
        <v>676</v>
      </c>
      <c r="B412" t="s">
        <v>563</v>
      </c>
      <c r="C412" s="8" t="s">
        <v>34</v>
      </c>
      <c r="D412" s="8">
        <v>18.04</v>
      </c>
      <c r="E412" s="8">
        <v>17.36</v>
      </c>
      <c r="F412" s="6">
        <v>0.77969999999999995</v>
      </c>
      <c r="G412" t="str">
        <f t="shared" si="18"/>
        <v>Admis sous condition</v>
      </c>
      <c r="H412" t="str" cm="1">
        <f t="array" ref="H412">_xlfn.IFS(E412&gt;=16,"Excellent",E412&gt;=14,"Très bien",E412&gt;=12,"Bien",E412&gt;=10,"Passable",E412&lt;10,"Insuffisant")</f>
        <v>Excellent</v>
      </c>
      <c r="I412" t="str">
        <f t="shared" si="19"/>
        <v>RAS</v>
      </c>
      <c r="J412" t="str">
        <f t="shared" si="20"/>
        <v>Autre filière</v>
      </c>
    </row>
    <row r="413" spans="1:10">
      <c r="A413" t="s">
        <v>677</v>
      </c>
      <c r="B413" t="s">
        <v>678</v>
      </c>
      <c r="C413" s="8" t="s">
        <v>26</v>
      </c>
      <c r="D413" s="8">
        <v>11.69</v>
      </c>
      <c r="E413" s="8">
        <v>14.88</v>
      </c>
      <c r="F413" s="6">
        <v>0.6956</v>
      </c>
      <c r="G413" t="str">
        <f t="shared" si="18"/>
        <v>Admis sous condition</v>
      </c>
      <c r="H413" t="str" cm="1">
        <f t="array" ref="H413">_xlfn.IFS(E413&gt;=16,"Excellent",E413&gt;=14,"Très bien",E413&gt;=12,"Bien",E413&gt;=10,"Passable",E413&lt;10,"Insuffisant")</f>
        <v>Très bien</v>
      </c>
      <c r="I413" t="str">
        <f t="shared" si="19"/>
        <v>A surveiller</v>
      </c>
      <c r="J413" t="str">
        <f t="shared" si="20"/>
        <v>Autre filière</v>
      </c>
    </row>
    <row r="414" spans="1:10">
      <c r="A414" t="s">
        <v>679</v>
      </c>
      <c r="B414" t="s">
        <v>554</v>
      </c>
      <c r="C414" s="8" t="s">
        <v>26</v>
      </c>
      <c r="D414" s="8">
        <v>20</v>
      </c>
      <c r="E414" s="8">
        <v>17.28</v>
      </c>
      <c r="F414" s="6">
        <v>0.95930000000000004</v>
      </c>
      <c r="G414" t="str">
        <f t="shared" si="18"/>
        <v>Admis</v>
      </c>
      <c r="H414" t="str" cm="1">
        <f t="array" ref="H414">_xlfn.IFS(E414&gt;=16,"Excellent",E414&gt;=14,"Très bien",E414&gt;=12,"Bien",E414&gt;=10,"Passable",E414&lt;10,"Insuffisant")</f>
        <v>Excellent</v>
      </c>
      <c r="I414" t="str">
        <f t="shared" si="19"/>
        <v>RAS</v>
      </c>
      <c r="J414" t="str">
        <f t="shared" si="20"/>
        <v>Autre filière</v>
      </c>
    </row>
    <row r="415" spans="1:10">
      <c r="A415" t="s">
        <v>680</v>
      </c>
      <c r="B415" t="s">
        <v>116</v>
      </c>
      <c r="C415" s="8" t="s">
        <v>26</v>
      </c>
      <c r="D415" s="8">
        <v>19.18</v>
      </c>
      <c r="E415" s="8">
        <v>13.21</v>
      </c>
      <c r="F415" s="6">
        <v>0.72550000000000003</v>
      </c>
      <c r="G415" t="str">
        <f t="shared" si="18"/>
        <v>Admis sous condition</v>
      </c>
      <c r="H415" t="str" cm="1">
        <f t="array" ref="H415">_xlfn.IFS(E415&gt;=16,"Excellent",E415&gt;=14,"Très bien",E415&gt;=12,"Bien",E415&gt;=10,"Passable",E415&lt;10,"Insuffisant")</f>
        <v>Bien</v>
      </c>
      <c r="I415" t="str">
        <f t="shared" si="19"/>
        <v>RAS</v>
      </c>
      <c r="J415" t="str">
        <f t="shared" si="20"/>
        <v>Autre filière</v>
      </c>
    </row>
    <row r="416" spans="1:10">
      <c r="A416" t="s">
        <v>681</v>
      </c>
      <c r="B416" t="s">
        <v>682</v>
      </c>
      <c r="C416" s="8" t="s">
        <v>47</v>
      </c>
      <c r="D416" s="8">
        <v>6.74</v>
      </c>
      <c r="E416" s="8">
        <v>2.11</v>
      </c>
      <c r="F416" s="6">
        <v>0.77539999999999998</v>
      </c>
      <c r="G416" t="str">
        <f t="shared" si="18"/>
        <v>Refuse</v>
      </c>
      <c r="H416" t="str" cm="1">
        <f t="array" ref="H416">_xlfn.IFS(E416&gt;=16,"Excellent",E416&gt;=14,"Très bien",E416&gt;=12,"Bien",E416&gt;=10,"Passable",E416&lt;10,"Insuffisant")</f>
        <v>Insuffisant</v>
      </c>
      <c r="I416" t="str">
        <f t="shared" si="19"/>
        <v>A surveiller</v>
      </c>
      <c r="J416" t="str">
        <f t="shared" si="20"/>
        <v>Autre filière</v>
      </c>
    </row>
    <row r="417" spans="1:10">
      <c r="A417" t="s">
        <v>683</v>
      </c>
      <c r="B417" t="s">
        <v>147</v>
      </c>
      <c r="C417" s="8" t="s">
        <v>34</v>
      </c>
      <c r="D417" s="8">
        <v>10.73</v>
      </c>
      <c r="E417" s="8">
        <v>8.77</v>
      </c>
      <c r="F417" s="6">
        <v>0.80400000000000005</v>
      </c>
      <c r="G417" t="str">
        <f t="shared" si="18"/>
        <v>Refuse</v>
      </c>
      <c r="H417" t="str" cm="1">
        <f t="array" ref="H417">_xlfn.IFS(E417&gt;=16,"Excellent",E417&gt;=14,"Très bien",E417&gt;=12,"Bien",E417&gt;=10,"Passable",E417&lt;10,"Insuffisant")</f>
        <v>Insuffisant</v>
      </c>
      <c r="I417" t="str">
        <f t="shared" si="19"/>
        <v>A surveiller</v>
      </c>
      <c r="J417" t="str">
        <f t="shared" si="20"/>
        <v>Autre filière</v>
      </c>
    </row>
    <row r="418" spans="1:10">
      <c r="A418" t="s">
        <v>684</v>
      </c>
      <c r="B418" t="s">
        <v>345</v>
      </c>
      <c r="C418" s="8" t="s">
        <v>21</v>
      </c>
      <c r="D418" s="8">
        <v>13.37</v>
      </c>
      <c r="E418" s="8">
        <v>14.07</v>
      </c>
      <c r="F418" s="6">
        <v>0.88229999999999997</v>
      </c>
      <c r="G418" t="str">
        <f t="shared" si="18"/>
        <v>Admis</v>
      </c>
      <c r="H418" t="str" cm="1">
        <f t="array" ref="H418">_xlfn.IFS(E418&gt;=16,"Excellent",E418&gt;=14,"Très bien",E418&gt;=12,"Bien",E418&gt;=10,"Passable",E418&lt;10,"Insuffisant")</f>
        <v>Très bien</v>
      </c>
      <c r="I418" t="str">
        <f t="shared" si="19"/>
        <v>RAS</v>
      </c>
      <c r="J418" t="str">
        <f t="shared" si="20"/>
        <v>Data</v>
      </c>
    </row>
    <row r="419" spans="1:10">
      <c r="A419" t="s">
        <v>685</v>
      </c>
      <c r="B419" t="s">
        <v>250</v>
      </c>
      <c r="C419" s="8" t="s">
        <v>47</v>
      </c>
      <c r="D419" s="8">
        <v>7.56</v>
      </c>
      <c r="E419" s="8">
        <v>5.8</v>
      </c>
      <c r="F419" s="6">
        <v>0.61419999999999997</v>
      </c>
      <c r="G419" t="str">
        <f t="shared" si="18"/>
        <v>Refuse</v>
      </c>
      <c r="H419" t="str" cm="1">
        <f t="array" ref="H419">_xlfn.IFS(E419&gt;=16,"Excellent",E419&gt;=14,"Très bien",E419&gt;=12,"Bien",E419&gt;=10,"Passable",E419&lt;10,"Insuffisant")</f>
        <v>Insuffisant</v>
      </c>
      <c r="I419" t="str">
        <f t="shared" si="19"/>
        <v>A surveiller</v>
      </c>
      <c r="J419" t="str">
        <f t="shared" si="20"/>
        <v>Autre filière</v>
      </c>
    </row>
    <row r="420" spans="1:10">
      <c r="A420" t="s">
        <v>686</v>
      </c>
      <c r="B420" t="s">
        <v>371</v>
      </c>
      <c r="C420" s="8" t="s">
        <v>47</v>
      </c>
      <c r="D420" s="8">
        <v>13.83</v>
      </c>
      <c r="E420" s="8">
        <v>16.73</v>
      </c>
      <c r="F420" s="6">
        <v>0.75819999999999999</v>
      </c>
      <c r="G420" t="str">
        <f t="shared" si="18"/>
        <v>Admis sous condition</v>
      </c>
      <c r="H420" t="str" cm="1">
        <f t="array" ref="H420">_xlfn.IFS(E420&gt;=16,"Excellent",E420&gt;=14,"Très bien",E420&gt;=12,"Bien",E420&gt;=10,"Passable",E420&lt;10,"Insuffisant")</f>
        <v>Excellent</v>
      </c>
      <c r="I420" t="str">
        <f t="shared" si="19"/>
        <v>RAS</v>
      </c>
      <c r="J420" t="str">
        <f t="shared" si="20"/>
        <v>Autre filière</v>
      </c>
    </row>
    <row r="421" spans="1:10">
      <c r="A421" t="s">
        <v>687</v>
      </c>
      <c r="B421" t="s">
        <v>269</v>
      </c>
      <c r="C421" s="8" t="s">
        <v>47</v>
      </c>
      <c r="D421" s="8">
        <v>16.45</v>
      </c>
      <c r="E421" s="8">
        <v>17.260000000000002</v>
      </c>
      <c r="F421" s="6">
        <v>0.89410000000000001</v>
      </c>
      <c r="G421" t="str">
        <f t="shared" si="18"/>
        <v>Admis</v>
      </c>
      <c r="H421" t="str" cm="1">
        <f t="array" ref="H421">_xlfn.IFS(E421&gt;=16,"Excellent",E421&gt;=14,"Très bien",E421&gt;=12,"Bien",E421&gt;=10,"Passable",E421&lt;10,"Insuffisant")</f>
        <v>Excellent</v>
      </c>
      <c r="I421" t="str">
        <f t="shared" si="19"/>
        <v>RAS</v>
      </c>
      <c r="J421" t="str">
        <f t="shared" si="20"/>
        <v>Autre filière</v>
      </c>
    </row>
    <row r="422" spans="1:10">
      <c r="A422" t="s">
        <v>688</v>
      </c>
      <c r="B422" t="s">
        <v>689</v>
      </c>
      <c r="C422" s="8" t="s">
        <v>47</v>
      </c>
      <c r="D422" s="8">
        <v>5.97</v>
      </c>
      <c r="E422" s="8">
        <v>10.119999999999999</v>
      </c>
      <c r="F422" s="6">
        <v>0.6915</v>
      </c>
      <c r="G422" t="str">
        <f t="shared" si="18"/>
        <v>Refuse</v>
      </c>
      <c r="H422" t="str" cm="1">
        <f t="array" ref="H422">_xlfn.IFS(E422&gt;=16,"Excellent",E422&gt;=14,"Très bien",E422&gt;=12,"Bien",E422&gt;=10,"Passable",E422&lt;10,"Insuffisant")</f>
        <v>Passable</v>
      </c>
      <c r="I422" t="str">
        <f t="shared" si="19"/>
        <v>A surveiller</v>
      </c>
      <c r="J422" t="str">
        <f t="shared" si="20"/>
        <v>Autre filière</v>
      </c>
    </row>
    <row r="423" spans="1:10">
      <c r="A423" t="s">
        <v>690</v>
      </c>
      <c r="B423" t="s">
        <v>476</v>
      </c>
      <c r="C423" s="8" t="s">
        <v>26</v>
      </c>
      <c r="D423" s="8">
        <v>16.91</v>
      </c>
      <c r="E423" s="8">
        <v>12.79</v>
      </c>
      <c r="F423" s="6">
        <v>0.8911</v>
      </c>
      <c r="G423" t="str">
        <f t="shared" si="18"/>
        <v>Admis</v>
      </c>
      <c r="H423" t="str" cm="1">
        <f t="array" ref="H423">_xlfn.IFS(E423&gt;=16,"Excellent",E423&gt;=14,"Très bien",E423&gt;=12,"Bien",E423&gt;=10,"Passable",E423&lt;10,"Insuffisant")</f>
        <v>Bien</v>
      </c>
      <c r="I423" t="str">
        <f t="shared" si="19"/>
        <v>RAS</v>
      </c>
      <c r="J423" t="str">
        <f t="shared" si="20"/>
        <v>Autre filière</v>
      </c>
    </row>
    <row r="424" spans="1:10">
      <c r="A424" t="s">
        <v>691</v>
      </c>
      <c r="B424" t="s">
        <v>654</v>
      </c>
      <c r="C424" s="8" t="s">
        <v>21</v>
      </c>
      <c r="D424" s="8">
        <v>10.76</v>
      </c>
      <c r="E424" s="8">
        <v>12.5</v>
      </c>
      <c r="F424" s="6">
        <v>0.83109999999999995</v>
      </c>
      <c r="G424" t="str">
        <f t="shared" si="18"/>
        <v>Admis sous condition</v>
      </c>
      <c r="H424" t="str" cm="1">
        <f t="array" ref="H424">_xlfn.IFS(E424&gt;=16,"Excellent",E424&gt;=14,"Très bien",E424&gt;=12,"Bien",E424&gt;=10,"Passable",E424&lt;10,"Insuffisant")</f>
        <v>Bien</v>
      </c>
      <c r="I424" t="str">
        <f t="shared" si="19"/>
        <v>RAS</v>
      </c>
      <c r="J424" t="str">
        <f t="shared" si="20"/>
        <v>Data</v>
      </c>
    </row>
    <row r="425" spans="1:10">
      <c r="A425" t="s">
        <v>692</v>
      </c>
      <c r="B425" t="s">
        <v>454</v>
      </c>
      <c r="C425" s="8" t="s">
        <v>34</v>
      </c>
      <c r="D425" s="8">
        <v>10.55</v>
      </c>
      <c r="E425" s="8">
        <v>10.050000000000001</v>
      </c>
      <c r="F425" s="6">
        <v>0.75629999999999997</v>
      </c>
      <c r="G425" t="str">
        <f t="shared" si="18"/>
        <v>Admis sous condition</v>
      </c>
      <c r="H425" t="str" cm="1">
        <f t="array" ref="H425">_xlfn.IFS(E425&gt;=16,"Excellent",E425&gt;=14,"Très bien",E425&gt;=12,"Bien",E425&gt;=10,"Passable",E425&lt;10,"Insuffisant")</f>
        <v>Passable</v>
      </c>
      <c r="I425" t="str">
        <f t="shared" si="19"/>
        <v>RAS</v>
      </c>
      <c r="J425" t="str">
        <f t="shared" si="20"/>
        <v>Autre filière</v>
      </c>
    </row>
    <row r="426" spans="1:10">
      <c r="A426" t="s">
        <v>693</v>
      </c>
      <c r="B426" t="s">
        <v>554</v>
      </c>
      <c r="C426" s="8" t="s">
        <v>47</v>
      </c>
      <c r="D426" s="8">
        <v>16.399999999999999</v>
      </c>
      <c r="E426" s="8">
        <v>15.67</v>
      </c>
      <c r="F426" s="6">
        <v>0.61680000000000001</v>
      </c>
      <c r="G426" t="str">
        <f t="shared" si="18"/>
        <v>Admis sous condition</v>
      </c>
      <c r="H426" t="str" cm="1">
        <f t="array" ref="H426">_xlfn.IFS(E426&gt;=16,"Excellent",E426&gt;=14,"Très bien",E426&gt;=12,"Bien",E426&gt;=10,"Passable",E426&lt;10,"Insuffisant")</f>
        <v>Très bien</v>
      </c>
      <c r="I426" t="str">
        <f t="shared" si="19"/>
        <v>A surveiller</v>
      </c>
      <c r="J426" t="str">
        <f t="shared" si="20"/>
        <v>Autre filière</v>
      </c>
    </row>
    <row r="427" spans="1:10">
      <c r="A427" t="s">
        <v>694</v>
      </c>
      <c r="B427" t="s">
        <v>263</v>
      </c>
      <c r="C427" s="8" t="s">
        <v>26</v>
      </c>
      <c r="D427" s="8">
        <v>12.77</v>
      </c>
      <c r="E427" s="8">
        <v>14.8</v>
      </c>
      <c r="F427" s="6">
        <v>0.90069999999999995</v>
      </c>
      <c r="G427" t="str">
        <f t="shared" si="18"/>
        <v>Admis</v>
      </c>
      <c r="H427" t="str" cm="1">
        <f t="array" ref="H427">_xlfn.IFS(E427&gt;=16,"Excellent",E427&gt;=14,"Très bien",E427&gt;=12,"Bien",E427&gt;=10,"Passable",E427&lt;10,"Insuffisant")</f>
        <v>Très bien</v>
      </c>
      <c r="I427" t="str">
        <f t="shared" si="19"/>
        <v>RAS</v>
      </c>
      <c r="J427" t="str">
        <f t="shared" si="20"/>
        <v>Autre filière</v>
      </c>
    </row>
    <row r="428" spans="1:10">
      <c r="A428" t="s">
        <v>695</v>
      </c>
      <c r="B428" t="s">
        <v>696</v>
      </c>
      <c r="C428" s="8" t="s">
        <v>26</v>
      </c>
      <c r="D428" s="8">
        <v>12.83</v>
      </c>
      <c r="E428" s="8">
        <v>15.77</v>
      </c>
      <c r="F428" s="6">
        <v>0.89200000000000002</v>
      </c>
      <c r="G428" t="str">
        <f t="shared" si="18"/>
        <v>Admis</v>
      </c>
      <c r="H428" t="str" cm="1">
        <f t="array" ref="H428">_xlfn.IFS(E428&gt;=16,"Excellent",E428&gt;=14,"Très bien",E428&gt;=12,"Bien",E428&gt;=10,"Passable",E428&lt;10,"Insuffisant")</f>
        <v>Très bien</v>
      </c>
      <c r="I428" t="str">
        <f t="shared" si="19"/>
        <v>RAS</v>
      </c>
      <c r="J428" t="str">
        <f t="shared" si="20"/>
        <v>Autre filière</v>
      </c>
    </row>
    <row r="429" spans="1:10">
      <c r="A429" t="s">
        <v>697</v>
      </c>
      <c r="B429" t="s">
        <v>698</v>
      </c>
      <c r="C429" s="8" t="s">
        <v>26</v>
      </c>
      <c r="D429" s="8">
        <v>3.3</v>
      </c>
      <c r="E429" s="8">
        <v>7.94</v>
      </c>
      <c r="F429" s="6">
        <v>0.89590000000000003</v>
      </c>
      <c r="G429" t="str">
        <f t="shared" si="18"/>
        <v>Refuse</v>
      </c>
      <c r="H429" t="str" cm="1">
        <f t="array" ref="H429">_xlfn.IFS(E429&gt;=16,"Excellent",E429&gt;=14,"Très bien",E429&gt;=12,"Bien",E429&gt;=10,"Passable",E429&lt;10,"Insuffisant")</f>
        <v>Insuffisant</v>
      </c>
      <c r="I429" t="str">
        <f t="shared" si="19"/>
        <v>A surveiller</v>
      </c>
      <c r="J429" t="str">
        <f t="shared" si="20"/>
        <v>Autre filière</v>
      </c>
    </row>
    <row r="430" spans="1:10">
      <c r="A430" t="s">
        <v>699</v>
      </c>
      <c r="B430" t="s">
        <v>257</v>
      </c>
      <c r="C430" s="8" t="s">
        <v>26</v>
      </c>
      <c r="D430" s="8">
        <v>19.61</v>
      </c>
      <c r="E430" s="8">
        <v>20</v>
      </c>
      <c r="F430" s="6">
        <v>0.74160000000000004</v>
      </c>
      <c r="G430" t="str">
        <f t="shared" si="18"/>
        <v>Admis sous condition</v>
      </c>
      <c r="H430" t="str" cm="1">
        <f t="array" ref="H430">_xlfn.IFS(E430&gt;=16,"Excellent",E430&gt;=14,"Très bien",E430&gt;=12,"Bien",E430&gt;=10,"Passable",E430&lt;10,"Insuffisant")</f>
        <v>Excellent</v>
      </c>
      <c r="I430" t="str">
        <f t="shared" si="19"/>
        <v>RAS</v>
      </c>
      <c r="J430" t="str">
        <f t="shared" si="20"/>
        <v>Autre filière</v>
      </c>
    </row>
    <row r="431" spans="1:10">
      <c r="A431" t="s">
        <v>700</v>
      </c>
      <c r="B431" t="s">
        <v>379</v>
      </c>
      <c r="C431" s="8" t="s">
        <v>26</v>
      </c>
      <c r="D431" s="8">
        <v>16.329999999999998</v>
      </c>
      <c r="E431" s="8">
        <v>15.41</v>
      </c>
      <c r="F431" s="6">
        <v>0.626</v>
      </c>
      <c r="G431" t="str">
        <f t="shared" si="18"/>
        <v>Admis sous condition</v>
      </c>
      <c r="H431" t="str" cm="1">
        <f t="array" ref="H431">_xlfn.IFS(E431&gt;=16,"Excellent",E431&gt;=14,"Très bien",E431&gt;=12,"Bien",E431&gt;=10,"Passable",E431&lt;10,"Insuffisant")</f>
        <v>Très bien</v>
      </c>
      <c r="I431" t="str">
        <f t="shared" si="19"/>
        <v>A surveiller</v>
      </c>
      <c r="J431" t="str">
        <f t="shared" si="20"/>
        <v>Autre filière</v>
      </c>
    </row>
    <row r="432" spans="1:10">
      <c r="A432" t="s">
        <v>701</v>
      </c>
      <c r="B432" t="s">
        <v>466</v>
      </c>
      <c r="C432" s="8" t="s">
        <v>47</v>
      </c>
      <c r="D432" s="8">
        <v>12.55</v>
      </c>
      <c r="E432" s="8">
        <v>14.03</v>
      </c>
      <c r="F432" s="6">
        <v>0.67689999999999995</v>
      </c>
      <c r="G432" t="str">
        <f t="shared" si="18"/>
        <v>Admis sous condition</v>
      </c>
      <c r="H432" t="str" cm="1">
        <f t="array" ref="H432">_xlfn.IFS(E432&gt;=16,"Excellent",E432&gt;=14,"Très bien",E432&gt;=12,"Bien",E432&gt;=10,"Passable",E432&lt;10,"Insuffisant")</f>
        <v>Très bien</v>
      </c>
      <c r="I432" t="str">
        <f t="shared" si="19"/>
        <v>A surveiller</v>
      </c>
      <c r="J432" t="str">
        <f t="shared" si="20"/>
        <v>Autre filière</v>
      </c>
    </row>
    <row r="433" spans="1:10">
      <c r="A433" t="s">
        <v>702</v>
      </c>
      <c r="B433" t="s">
        <v>411</v>
      </c>
      <c r="C433" s="8" t="s">
        <v>21</v>
      </c>
      <c r="D433" s="8">
        <v>12.59</v>
      </c>
      <c r="E433" s="8">
        <v>13.51</v>
      </c>
      <c r="F433" s="6">
        <v>0.76980000000000004</v>
      </c>
      <c r="G433" t="str">
        <f t="shared" si="18"/>
        <v>Admis sous condition</v>
      </c>
      <c r="H433" t="str" cm="1">
        <f t="array" ref="H433">_xlfn.IFS(E433&gt;=16,"Excellent",E433&gt;=14,"Très bien",E433&gt;=12,"Bien",E433&gt;=10,"Passable",E433&lt;10,"Insuffisant")</f>
        <v>Bien</v>
      </c>
      <c r="I433" t="str">
        <f t="shared" si="19"/>
        <v>RAS</v>
      </c>
      <c r="J433" t="str">
        <f t="shared" si="20"/>
        <v>Data</v>
      </c>
    </row>
    <row r="434" spans="1:10">
      <c r="A434" t="s">
        <v>703</v>
      </c>
      <c r="B434" t="s">
        <v>411</v>
      </c>
      <c r="C434" s="8" t="s">
        <v>47</v>
      </c>
      <c r="D434" s="8">
        <v>9.75</v>
      </c>
      <c r="E434" s="8">
        <v>14.31</v>
      </c>
      <c r="F434" s="6">
        <v>0.55000000000000004</v>
      </c>
      <c r="G434" t="str">
        <f t="shared" si="18"/>
        <v>Refuse</v>
      </c>
      <c r="H434" t="str" cm="1">
        <f t="array" ref="H434">_xlfn.IFS(E434&gt;=16,"Excellent",E434&gt;=14,"Très bien",E434&gt;=12,"Bien",E434&gt;=10,"Passable",E434&lt;10,"Insuffisant")</f>
        <v>Très bien</v>
      </c>
      <c r="I434" t="str">
        <f t="shared" si="19"/>
        <v>A surveiller</v>
      </c>
      <c r="J434" t="str">
        <f t="shared" si="20"/>
        <v>Autre filière</v>
      </c>
    </row>
    <row r="435" spans="1:10">
      <c r="A435" t="s">
        <v>704</v>
      </c>
      <c r="B435" t="s">
        <v>682</v>
      </c>
      <c r="C435" s="8" t="s">
        <v>47</v>
      </c>
      <c r="D435" s="8">
        <v>13.59</v>
      </c>
      <c r="E435" s="8">
        <v>15.74</v>
      </c>
      <c r="F435" s="6">
        <v>0.877</v>
      </c>
      <c r="G435" t="str">
        <f t="shared" si="18"/>
        <v>Admis</v>
      </c>
      <c r="H435" t="str" cm="1">
        <f t="array" ref="H435">_xlfn.IFS(E435&gt;=16,"Excellent",E435&gt;=14,"Très bien",E435&gt;=12,"Bien",E435&gt;=10,"Passable",E435&lt;10,"Insuffisant")</f>
        <v>Très bien</v>
      </c>
      <c r="I435" t="str">
        <f t="shared" si="19"/>
        <v>RAS</v>
      </c>
      <c r="J435" t="str">
        <f t="shared" si="20"/>
        <v>Autre filière</v>
      </c>
    </row>
    <row r="436" spans="1:10">
      <c r="A436" t="s">
        <v>705</v>
      </c>
      <c r="B436" t="s">
        <v>156</v>
      </c>
      <c r="C436" s="8" t="s">
        <v>21</v>
      </c>
      <c r="D436" s="8">
        <v>10.33</v>
      </c>
      <c r="E436" s="8">
        <v>16.22</v>
      </c>
      <c r="F436" s="6">
        <v>0.77610000000000001</v>
      </c>
      <c r="G436" t="str">
        <f t="shared" si="18"/>
        <v>Admis sous condition</v>
      </c>
      <c r="H436" t="str" cm="1">
        <f t="array" ref="H436">_xlfn.IFS(E436&gt;=16,"Excellent",E436&gt;=14,"Très bien",E436&gt;=12,"Bien",E436&gt;=10,"Passable",E436&lt;10,"Insuffisant")</f>
        <v>Excellent</v>
      </c>
      <c r="I436" t="str">
        <f t="shared" si="19"/>
        <v>RAS</v>
      </c>
      <c r="J436" t="str">
        <f t="shared" si="20"/>
        <v>Data</v>
      </c>
    </row>
    <row r="437" spans="1:10">
      <c r="A437" t="s">
        <v>706</v>
      </c>
      <c r="B437" t="s">
        <v>91</v>
      </c>
      <c r="C437" s="8" t="s">
        <v>26</v>
      </c>
      <c r="D437" s="8">
        <v>11.28</v>
      </c>
      <c r="E437" s="8">
        <v>12.71</v>
      </c>
      <c r="F437" s="6">
        <v>0.7661</v>
      </c>
      <c r="G437" t="str">
        <f t="shared" si="18"/>
        <v>Admis sous condition</v>
      </c>
      <c r="H437" t="str" cm="1">
        <f t="array" ref="H437">_xlfn.IFS(E437&gt;=16,"Excellent",E437&gt;=14,"Très bien",E437&gt;=12,"Bien",E437&gt;=10,"Passable",E437&lt;10,"Insuffisant")</f>
        <v>Bien</v>
      </c>
      <c r="I437" t="str">
        <f t="shared" si="19"/>
        <v>RAS</v>
      </c>
      <c r="J437" t="str">
        <f t="shared" si="20"/>
        <v>Autre filière</v>
      </c>
    </row>
    <row r="438" spans="1:10">
      <c r="A438" t="s">
        <v>707</v>
      </c>
      <c r="B438" t="s">
        <v>407</v>
      </c>
      <c r="C438" s="8" t="s">
        <v>47</v>
      </c>
      <c r="D438" s="8">
        <v>13.98</v>
      </c>
      <c r="E438" s="8">
        <v>14.1</v>
      </c>
      <c r="F438" s="6">
        <v>0.55000000000000004</v>
      </c>
      <c r="G438" t="str">
        <f t="shared" si="18"/>
        <v>Admis sous condition</v>
      </c>
      <c r="H438" t="str" cm="1">
        <f t="array" ref="H438">_xlfn.IFS(E438&gt;=16,"Excellent",E438&gt;=14,"Très bien",E438&gt;=12,"Bien",E438&gt;=10,"Passable",E438&lt;10,"Insuffisant")</f>
        <v>Très bien</v>
      </c>
      <c r="I438" t="str">
        <f t="shared" si="19"/>
        <v>A surveiller</v>
      </c>
      <c r="J438" t="str">
        <f t="shared" si="20"/>
        <v>Autre filière</v>
      </c>
    </row>
    <row r="439" spans="1:10">
      <c r="A439" t="s">
        <v>708</v>
      </c>
      <c r="B439" t="s">
        <v>709</v>
      </c>
      <c r="C439" s="8" t="s">
        <v>26</v>
      </c>
      <c r="D439" s="8">
        <v>11.08</v>
      </c>
      <c r="E439" s="8">
        <v>13.69</v>
      </c>
      <c r="F439" s="6">
        <v>0.71079999999999999</v>
      </c>
      <c r="G439" t="str">
        <f t="shared" si="18"/>
        <v>Admis sous condition</v>
      </c>
      <c r="H439" t="str" cm="1">
        <f t="array" ref="H439">_xlfn.IFS(E439&gt;=16,"Excellent",E439&gt;=14,"Très bien",E439&gt;=12,"Bien",E439&gt;=10,"Passable",E439&lt;10,"Insuffisant")</f>
        <v>Bien</v>
      </c>
      <c r="I439" t="str">
        <f t="shared" si="19"/>
        <v>RAS</v>
      </c>
      <c r="J439" t="str">
        <f t="shared" si="20"/>
        <v>Autre filière</v>
      </c>
    </row>
    <row r="440" spans="1:10">
      <c r="A440" t="s">
        <v>710</v>
      </c>
      <c r="B440" t="s">
        <v>711</v>
      </c>
      <c r="C440" s="8" t="s">
        <v>21</v>
      </c>
      <c r="D440" s="8">
        <v>14.46</v>
      </c>
      <c r="E440" s="8">
        <v>18.170000000000002</v>
      </c>
      <c r="F440" s="6">
        <v>0.89910000000000001</v>
      </c>
      <c r="G440" t="str">
        <f t="shared" si="18"/>
        <v>Admis</v>
      </c>
      <c r="H440" t="str" cm="1">
        <f t="array" ref="H440">_xlfn.IFS(E440&gt;=16,"Excellent",E440&gt;=14,"Très bien",E440&gt;=12,"Bien",E440&gt;=10,"Passable",E440&lt;10,"Insuffisant")</f>
        <v>Excellent</v>
      </c>
      <c r="I440" t="str">
        <f t="shared" si="19"/>
        <v>RAS</v>
      </c>
      <c r="J440" t="str">
        <f t="shared" si="20"/>
        <v>Data</v>
      </c>
    </row>
    <row r="441" spans="1:10">
      <c r="A441" t="s">
        <v>712</v>
      </c>
      <c r="B441" t="s">
        <v>377</v>
      </c>
      <c r="C441" s="8" t="s">
        <v>26</v>
      </c>
      <c r="D441" s="8">
        <v>18.52</v>
      </c>
      <c r="E441" s="8">
        <v>12.57</v>
      </c>
      <c r="F441" s="6">
        <v>0.98099999999999998</v>
      </c>
      <c r="G441" t="str">
        <f t="shared" si="18"/>
        <v>Admis</v>
      </c>
      <c r="H441" t="str" cm="1">
        <f t="array" ref="H441">_xlfn.IFS(E441&gt;=16,"Excellent",E441&gt;=14,"Très bien",E441&gt;=12,"Bien",E441&gt;=10,"Passable",E441&lt;10,"Insuffisant")</f>
        <v>Bien</v>
      </c>
      <c r="I441" t="str">
        <f t="shared" si="19"/>
        <v>RAS</v>
      </c>
      <c r="J441" t="str">
        <f t="shared" si="20"/>
        <v>Autre filière</v>
      </c>
    </row>
    <row r="442" spans="1:10">
      <c r="A442" t="s">
        <v>713</v>
      </c>
      <c r="B442" t="s">
        <v>51</v>
      </c>
      <c r="C442" s="8" t="s">
        <v>34</v>
      </c>
      <c r="D442" s="8">
        <v>16.100000000000001</v>
      </c>
      <c r="E442" s="8">
        <v>17.89</v>
      </c>
      <c r="F442" s="6">
        <v>0.55000000000000004</v>
      </c>
      <c r="G442" t="str">
        <f t="shared" si="18"/>
        <v>Admis sous condition</v>
      </c>
      <c r="H442" t="str" cm="1">
        <f t="array" ref="H442">_xlfn.IFS(E442&gt;=16,"Excellent",E442&gt;=14,"Très bien",E442&gt;=12,"Bien",E442&gt;=10,"Passable",E442&lt;10,"Insuffisant")</f>
        <v>Excellent</v>
      </c>
      <c r="I442" t="str">
        <f t="shared" si="19"/>
        <v>A surveiller</v>
      </c>
      <c r="J442" t="str">
        <f t="shared" si="20"/>
        <v>Autre filière</v>
      </c>
    </row>
    <row r="443" spans="1:10">
      <c r="A443" t="s">
        <v>714</v>
      </c>
      <c r="B443" t="s">
        <v>631</v>
      </c>
      <c r="C443" s="8" t="s">
        <v>47</v>
      </c>
      <c r="D443" s="8">
        <v>14.22</v>
      </c>
      <c r="E443" s="8">
        <v>17.739999999999998</v>
      </c>
      <c r="F443" s="6">
        <v>0.84509999999999996</v>
      </c>
      <c r="G443" t="str">
        <f t="shared" si="18"/>
        <v>Admis</v>
      </c>
      <c r="H443" t="str" cm="1">
        <f t="array" ref="H443">_xlfn.IFS(E443&gt;=16,"Excellent",E443&gt;=14,"Très bien",E443&gt;=12,"Bien",E443&gt;=10,"Passable",E443&lt;10,"Insuffisant")</f>
        <v>Excellent</v>
      </c>
      <c r="I443" t="str">
        <f t="shared" si="19"/>
        <v>RAS</v>
      </c>
      <c r="J443" t="str">
        <f t="shared" si="20"/>
        <v>Autre filière</v>
      </c>
    </row>
    <row r="444" spans="1:10">
      <c r="A444" t="s">
        <v>715</v>
      </c>
      <c r="B444" t="s">
        <v>134</v>
      </c>
      <c r="C444" s="8" t="s">
        <v>47</v>
      </c>
      <c r="D444" s="8">
        <v>14.12</v>
      </c>
      <c r="E444" s="8">
        <v>14.57</v>
      </c>
      <c r="F444" s="6">
        <v>0.69399999999999995</v>
      </c>
      <c r="G444" t="str">
        <f t="shared" si="18"/>
        <v>Admis sous condition</v>
      </c>
      <c r="H444" t="str" cm="1">
        <f t="array" ref="H444">_xlfn.IFS(E444&gt;=16,"Excellent",E444&gt;=14,"Très bien",E444&gt;=12,"Bien",E444&gt;=10,"Passable",E444&lt;10,"Insuffisant")</f>
        <v>Très bien</v>
      </c>
      <c r="I444" t="str">
        <f t="shared" si="19"/>
        <v>A surveiller</v>
      </c>
      <c r="J444" t="str">
        <f t="shared" si="20"/>
        <v>Autre filière</v>
      </c>
    </row>
    <row r="445" spans="1:10">
      <c r="A445" t="s">
        <v>716</v>
      </c>
      <c r="B445" t="s">
        <v>717</v>
      </c>
      <c r="C445" s="8" t="s">
        <v>47</v>
      </c>
      <c r="D445" s="8">
        <v>11.02</v>
      </c>
      <c r="E445" s="8">
        <v>12.6</v>
      </c>
      <c r="F445" s="6">
        <v>0.89570000000000005</v>
      </c>
      <c r="G445" t="str">
        <f t="shared" si="18"/>
        <v>Admis sous condition</v>
      </c>
      <c r="H445" t="str" cm="1">
        <f t="array" ref="H445">_xlfn.IFS(E445&gt;=16,"Excellent",E445&gt;=14,"Très bien",E445&gt;=12,"Bien",E445&gt;=10,"Passable",E445&lt;10,"Insuffisant")</f>
        <v>Bien</v>
      </c>
      <c r="I445" t="str">
        <f t="shared" si="19"/>
        <v>RAS</v>
      </c>
      <c r="J445" t="str">
        <f t="shared" si="20"/>
        <v>Autre filière</v>
      </c>
    </row>
    <row r="446" spans="1:10">
      <c r="A446" t="s">
        <v>718</v>
      </c>
      <c r="B446" t="s">
        <v>719</v>
      </c>
      <c r="C446" s="8" t="s">
        <v>26</v>
      </c>
      <c r="D446" s="8">
        <v>14.93</v>
      </c>
      <c r="E446" s="8">
        <v>18.79</v>
      </c>
      <c r="F446" s="6">
        <v>0.87239999999999995</v>
      </c>
      <c r="G446" t="str">
        <f t="shared" si="18"/>
        <v>Admis</v>
      </c>
      <c r="H446" t="str" cm="1">
        <f t="array" ref="H446">_xlfn.IFS(E446&gt;=16,"Excellent",E446&gt;=14,"Très bien",E446&gt;=12,"Bien",E446&gt;=10,"Passable",E446&lt;10,"Insuffisant")</f>
        <v>Excellent</v>
      </c>
      <c r="I446" t="str">
        <f t="shared" si="19"/>
        <v>RAS</v>
      </c>
      <c r="J446" t="str">
        <f t="shared" si="20"/>
        <v>Autre filière</v>
      </c>
    </row>
    <row r="447" spans="1:10">
      <c r="A447" t="s">
        <v>720</v>
      </c>
      <c r="B447" t="s">
        <v>97</v>
      </c>
      <c r="C447" s="8" t="s">
        <v>21</v>
      </c>
      <c r="D447" s="8">
        <v>11.24</v>
      </c>
      <c r="E447" s="8">
        <v>8.5500000000000007</v>
      </c>
      <c r="F447" s="6">
        <v>0.71199999999999997</v>
      </c>
      <c r="G447" t="str">
        <f t="shared" si="18"/>
        <v>Refuse</v>
      </c>
      <c r="H447" t="str" cm="1">
        <f t="array" ref="H447">_xlfn.IFS(E447&gt;=16,"Excellent",E447&gt;=14,"Très bien",E447&gt;=12,"Bien",E447&gt;=10,"Passable",E447&lt;10,"Insuffisant")</f>
        <v>Insuffisant</v>
      </c>
      <c r="I447" t="str">
        <f t="shared" si="19"/>
        <v>A surveiller</v>
      </c>
      <c r="J447" t="str">
        <f t="shared" si="20"/>
        <v>Data</v>
      </c>
    </row>
    <row r="448" spans="1:10">
      <c r="A448" t="s">
        <v>721</v>
      </c>
      <c r="B448" t="s">
        <v>409</v>
      </c>
      <c r="C448" s="8" t="s">
        <v>47</v>
      </c>
      <c r="D448" s="8">
        <v>18.02</v>
      </c>
      <c r="E448" s="8">
        <v>20</v>
      </c>
      <c r="F448" s="6">
        <v>0.72119999999999995</v>
      </c>
      <c r="G448" t="str">
        <f t="shared" si="18"/>
        <v>Admis sous condition</v>
      </c>
      <c r="H448" t="str" cm="1">
        <f t="array" ref="H448">_xlfn.IFS(E448&gt;=16,"Excellent",E448&gt;=14,"Très bien",E448&gt;=12,"Bien",E448&gt;=10,"Passable",E448&lt;10,"Insuffisant")</f>
        <v>Excellent</v>
      </c>
      <c r="I448" t="str">
        <f t="shared" si="19"/>
        <v>RAS</v>
      </c>
      <c r="J448" t="str">
        <f t="shared" si="20"/>
        <v>Autre filière</v>
      </c>
    </row>
    <row r="449" spans="1:10">
      <c r="A449" t="s">
        <v>722</v>
      </c>
      <c r="B449" t="s">
        <v>723</v>
      </c>
      <c r="C449" s="8" t="s">
        <v>26</v>
      </c>
      <c r="D449" s="8">
        <v>16.940000000000001</v>
      </c>
      <c r="E449" s="8">
        <v>15.32</v>
      </c>
      <c r="F449" s="6">
        <v>0.82889999999999997</v>
      </c>
      <c r="G449" t="str">
        <f t="shared" si="18"/>
        <v>Admis</v>
      </c>
      <c r="H449" t="str" cm="1">
        <f t="array" ref="H449">_xlfn.IFS(E449&gt;=16,"Excellent",E449&gt;=14,"Très bien",E449&gt;=12,"Bien",E449&gt;=10,"Passable",E449&lt;10,"Insuffisant")</f>
        <v>Très bien</v>
      </c>
      <c r="I449" t="str">
        <f t="shared" si="19"/>
        <v>RAS</v>
      </c>
      <c r="J449" t="str">
        <f t="shared" si="20"/>
        <v>Autre filière</v>
      </c>
    </row>
    <row r="450" spans="1:10">
      <c r="A450" t="s">
        <v>724</v>
      </c>
      <c r="B450" t="s">
        <v>379</v>
      </c>
      <c r="C450" s="8" t="s">
        <v>21</v>
      </c>
      <c r="D450" s="8">
        <v>10.81</v>
      </c>
      <c r="E450" s="8">
        <v>9.24</v>
      </c>
      <c r="F450" s="6">
        <v>0.6764</v>
      </c>
      <c r="G450" t="str">
        <f t="shared" si="18"/>
        <v>Refuse</v>
      </c>
      <c r="H450" t="str" cm="1">
        <f t="array" ref="H450">_xlfn.IFS(E450&gt;=16,"Excellent",E450&gt;=14,"Très bien",E450&gt;=12,"Bien",E450&gt;=10,"Passable",E450&lt;10,"Insuffisant")</f>
        <v>Insuffisant</v>
      </c>
      <c r="I450" t="str">
        <f t="shared" si="19"/>
        <v>A surveiller</v>
      </c>
      <c r="J450" t="str">
        <f t="shared" si="20"/>
        <v>Data</v>
      </c>
    </row>
    <row r="451" spans="1:10">
      <c r="A451" t="s">
        <v>725</v>
      </c>
      <c r="B451" t="s">
        <v>580</v>
      </c>
      <c r="C451" s="8" t="s">
        <v>34</v>
      </c>
      <c r="D451" s="8">
        <v>20</v>
      </c>
      <c r="E451" s="8">
        <v>20</v>
      </c>
      <c r="F451" s="6">
        <v>0.55000000000000004</v>
      </c>
      <c r="G451" t="str">
        <f t="shared" ref="G451:G514" si="21">IF(AND(D451&gt;=12,E451&gt;=12,F451&gt;=80%),"Admis",IF(AND(D451&gt;=10,E451&gt;=10),"Admis sous condition","Refuse"))</f>
        <v>Admis sous condition</v>
      </c>
      <c r="H451" t="str" cm="1">
        <f t="array" ref="H451">_xlfn.IFS(E451&gt;=16,"Excellent",E451&gt;=14,"Très bien",E451&gt;=12,"Bien",E451&gt;=10,"Passable",E451&lt;10,"Insuffisant")</f>
        <v>Excellent</v>
      </c>
      <c r="I451" t="str">
        <f t="shared" ref="I451:I514" si="22">IF(OR(D451&lt;10,E451&lt;10,F451&lt;70%),"A surveiller","RAS")</f>
        <v>A surveiller</v>
      </c>
      <c r="J451" t="str">
        <f t="shared" ref="J451:J514" si="23">IF(NOT(C451="Data"),"Autre filière","Data")</f>
        <v>Autre filière</v>
      </c>
    </row>
    <row r="452" spans="1:10">
      <c r="A452" t="s">
        <v>726</v>
      </c>
      <c r="B452" t="s">
        <v>49</v>
      </c>
      <c r="C452" s="8" t="s">
        <v>34</v>
      </c>
      <c r="D452" s="8">
        <v>12.87</v>
      </c>
      <c r="E452" s="8">
        <v>17.86</v>
      </c>
      <c r="F452" s="6">
        <v>0.91100000000000003</v>
      </c>
      <c r="G452" t="str">
        <f t="shared" si="21"/>
        <v>Admis</v>
      </c>
      <c r="H452" t="str" cm="1">
        <f t="array" ref="H452">_xlfn.IFS(E452&gt;=16,"Excellent",E452&gt;=14,"Très bien",E452&gt;=12,"Bien",E452&gt;=10,"Passable",E452&lt;10,"Insuffisant")</f>
        <v>Excellent</v>
      </c>
      <c r="I452" t="str">
        <f t="shared" si="22"/>
        <v>RAS</v>
      </c>
      <c r="J452" t="str">
        <f t="shared" si="23"/>
        <v>Autre filière</v>
      </c>
    </row>
    <row r="453" spans="1:10">
      <c r="A453" t="s">
        <v>727</v>
      </c>
      <c r="B453" t="s">
        <v>728</v>
      </c>
      <c r="C453" s="8" t="s">
        <v>47</v>
      </c>
      <c r="D453" s="8">
        <v>14.92</v>
      </c>
      <c r="E453" s="8">
        <v>20</v>
      </c>
      <c r="F453" s="6">
        <v>0.9627</v>
      </c>
      <c r="G453" t="str">
        <f t="shared" si="21"/>
        <v>Admis</v>
      </c>
      <c r="H453" t="str" cm="1">
        <f t="array" ref="H453">_xlfn.IFS(E453&gt;=16,"Excellent",E453&gt;=14,"Très bien",E453&gt;=12,"Bien",E453&gt;=10,"Passable",E453&lt;10,"Insuffisant")</f>
        <v>Excellent</v>
      </c>
      <c r="I453" t="str">
        <f t="shared" si="22"/>
        <v>RAS</v>
      </c>
      <c r="J453" t="str">
        <f t="shared" si="23"/>
        <v>Autre filière</v>
      </c>
    </row>
    <row r="454" spans="1:10">
      <c r="A454" t="s">
        <v>729</v>
      </c>
      <c r="B454" t="s">
        <v>730</v>
      </c>
      <c r="C454" s="8" t="s">
        <v>26</v>
      </c>
      <c r="D454" s="8">
        <v>11.08</v>
      </c>
      <c r="E454" s="8">
        <v>12.79</v>
      </c>
      <c r="F454" s="6">
        <v>0.68140000000000001</v>
      </c>
      <c r="G454" t="str">
        <f t="shared" si="21"/>
        <v>Admis sous condition</v>
      </c>
      <c r="H454" t="str" cm="1">
        <f t="array" ref="H454">_xlfn.IFS(E454&gt;=16,"Excellent",E454&gt;=14,"Très bien",E454&gt;=12,"Bien",E454&gt;=10,"Passable",E454&lt;10,"Insuffisant")</f>
        <v>Bien</v>
      </c>
      <c r="I454" t="str">
        <f t="shared" si="22"/>
        <v>A surveiller</v>
      </c>
      <c r="J454" t="str">
        <f t="shared" si="23"/>
        <v>Autre filière</v>
      </c>
    </row>
    <row r="455" spans="1:10">
      <c r="A455" t="s">
        <v>731</v>
      </c>
      <c r="B455" t="s">
        <v>639</v>
      </c>
      <c r="C455" s="8" t="s">
        <v>26</v>
      </c>
      <c r="D455" s="8">
        <v>16.79</v>
      </c>
      <c r="E455" s="8">
        <v>13.37</v>
      </c>
      <c r="F455" s="6">
        <v>0.86570000000000003</v>
      </c>
      <c r="G455" t="str">
        <f t="shared" si="21"/>
        <v>Admis</v>
      </c>
      <c r="H455" t="str" cm="1">
        <f t="array" ref="H455">_xlfn.IFS(E455&gt;=16,"Excellent",E455&gt;=14,"Très bien",E455&gt;=12,"Bien",E455&gt;=10,"Passable",E455&lt;10,"Insuffisant")</f>
        <v>Bien</v>
      </c>
      <c r="I455" t="str">
        <f t="shared" si="22"/>
        <v>RAS</v>
      </c>
      <c r="J455" t="str">
        <f t="shared" si="23"/>
        <v>Autre filière</v>
      </c>
    </row>
    <row r="456" spans="1:10">
      <c r="A456" t="s">
        <v>732</v>
      </c>
      <c r="B456" t="s">
        <v>733</v>
      </c>
      <c r="C456" s="8" t="s">
        <v>26</v>
      </c>
      <c r="D456" s="8">
        <v>14.84</v>
      </c>
      <c r="E456" s="8">
        <v>11.66</v>
      </c>
      <c r="F456" s="6">
        <v>0.93779999999999997</v>
      </c>
      <c r="G456" t="str">
        <f t="shared" si="21"/>
        <v>Admis sous condition</v>
      </c>
      <c r="H456" t="str" cm="1">
        <f t="array" ref="H456">_xlfn.IFS(E456&gt;=16,"Excellent",E456&gt;=14,"Très bien",E456&gt;=12,"Bien",E456&gt;=10,"Passable",E456&lt;10,"Insuffisant")</f>
        <v>Passable</v>
      </c>
      <c r="I456" t="str">
        <f t="shared" si="22"/>
        <v>RAS</v>
      </c>
      <c r="J456" t="str">
        <f t="shared" si="23"/>
        <v>Autre filière</v>
      </c>
    </row>
    <row r="457" spans="1:10">
      <c r="A457" t="s">
        <v>734</v>
      </c>
      <c r="B457" t="s">
        <v>103</v>
      </c>
      <c r="C457" s="8" t="s">
        <v>34</v>
      </c>
      <c r="D457" s="8">
        <v>9.75</v>
      </c>
      <c r="E457" s="8">
        <v>15.11</v>
      </c>
      <c r="F457" s="6">
        <v>0.68189999999999995</v>
      </c>
      <c r="G457" t="str">
        <f t="shared" si="21"/>
        <v>Refuse</v>
      </c>
      <c r="H457" t="str" cm="1">
        <f t="array" ref="H457">_xlfn.IFS(E457&gt;=16,"Excellent",E457&gt;=14,"Très bien",E457&gt;=12,"Bien",E457&gt;=10,"Passable",E457&lt;10,"Insuffisant")</f>
        <v>Très bien</v>
      </c>
      <c r="I457" t="str">
        <f t="shared" si="22"/>
        <v>A surveiller</v>
      </c>
      <c r="J457" t="str">
        <f t="shared" si="23"/>
        <v>Autre filière</v>
      </c>
    </row>
    <row r="458" spans="1:10">
      <c r="A458" t="s">
        <v>735</v>
      </c>
      <c r="B458" t="s">
        <v>736</v>
      </c>
      <c r="C458" s="8" t="s">
        <v>47</v>
      </c>
      <c r="D458" s="8">
        <v>14.09</v>
      </c>
      <c r="E458" s="8">
        <v>13.72</v>
      </c>
      <c r="F458" s="6">
        <v>0.67410000000000003</v>
      </c>
      <c r="G458" t="str">
        <f t="shared" si="21"/>
        <v>Admis sous condition</v>
      </c>
      <c r="H458" t="str" cm="1">
        <f t="array" ref="H458">_xlfn.IFS(E458&gt;=16,"Excellent",E458&gt;=14,"Très bien",E458&gt;=12,"Bien",E458&gt;=10,"Passable",E458&lt;10,"Insuffisant")</f>
        <v>Bien</v>
      </c>
      <c r="I458" t="str">
        <f t="shared" si="22"/>
        <v>A surveiller</v>
      </c>
      <c r="J458" t="str">
        <f t="shared" si="23"/>
        <v>Autre filière</v>
      </c>
    </row>
    <row r="459" spans="1:10">
      <c r="A459" t="s">
        <v>737</v>
      </c>
      <c r="B459" t="s">
        <v>217</v>
      </c>
      <c r="C459" s="8" t="s">
        <v>21</v>
      </c>
      <c r="D459" s="8">
        <v>13.72</v>
      </c>
      <c r="E459" s="8">
        <v>15.71</v>
      </c>
      <c r="F459" s="6">
        <v>0.86150000000000004</v>
      </c>
      <c r="G459" t="str">
        <f t="shared" si="21"/>
        <v>Admis</v>
      </c>
      <c r="H459" t="str" cm="1">
        <f t="array" ref="H459">_xlfn.IFS(E459&gt;=16,"Excellent",E459&gt;=14,"Très bien",E459&gt;=12,"Bien",E459&gt;=10,"Passable",E459&lt;10,"Insuffisant")</f>
        <v>Très bien</v>
      </c>
      <c r="I459" t="str">
        <f t="shared" si="22"/>
        <v>RAS</v>
      </c>
      <c r="J459" t="str">
        <f t="shared" si="23"/>
        <v>Data</v>
      </c>
    </row>
    <row r="460" spans="1:10">
      <c r="A460" t="s">
        <v>738</v>
      </c>
      <c r="B460" t="s">
        <v>470</v>
      </c>
      <c r="C460" s="8" t="s">
        <v>34</v>
      </c>
      <c r="D460" s="8">
        <v>9.91</v>
      </c>
      <c r="E460" s="8">
        <v>11.86</v>
      </c>
      <c r="F460" s="6">
        <v>0.55000000000000004</v>
      </c>
      <c r="G460" t="str">
        <f t="shared" si="21"/>
        <v>Refuse</v>
      </c>
      <c r="H460" t="str" cm="1">
        <f t="array" ref="H460">_xlfn.IFS(E460&gt;=16,"Excellent",E460&gt;=14,"Très bien",E460&gt;=12,"Bien",E460&gt;=10,"Passable",E460&lt;10,"Insuffisant")</f>
        <v>Passable</v>
      </c>
      <c r="I460" t="str">
        <f t="shared" si="22"/>
        <v>A surveiller</v>
      </c>
      <c r="J460" t="str">
        <f t="shared" si="23"/>
        <v>Autre filière</v>
      </c>
    </row>
    <row r="461" spans="1:10">
      <c r="A461" t="s">
        <v>739</v>
      </c>
      <c r="B461" t="s">
        <v>284</v>
      </c>
      <c r="C461" s="8" t="s">
        <v>21</v>
      </c>
      <c r="D461" s="8">
        <v>12.89</v>
      </c>
      <c r="E461" s="8">
        <v>15.88</v>
      </c>
      <c r="F461" s="6">
        <v>0.99160000000000004</v>
      </c>
      <c r="G461" t="str">
        <f t="shared" si="21"/>
        <v>Admis</v>
      </c>
      <c r="H461" t="str" cm="1">
        <f t="array" ref="H461">_xlfn.IFS(E461&gt;=16,"Excellent",E461&gt;=14,"Très bien",E461&gt;=12,"Bien",E461&gt;=10,"Passable",E461&lt;10,"Insuffisant")</f>
        <v>Très bien</v>
      </c>
      <c r="I461" t="str">
        <f t="shared" si="22"/>
        <v>RAS</v>
      </c>
      <c r="J461" t="str">
        <f t="shared" si="23"/>
        <v>Data</v>
      </c>
    </row>
    <row r="462" spans="1:10">
      <c r="A462" t="s">
        <v>740</v>
      </c>
      <c r="B462" t="s">
        <v>147</v>
      </c>
      <c r="C462" s="8" t="s">
        <v>21</v>
      </c>
      <c r="D462" s="8">
        <v>20</v>
      </c>
      <c r="E462" s="8">
        <v>15.42</v>
      </c>
      <c r="F462" s="6">
        <v>0.55000000000000004</v>
      </c>
      <c r="G462" t="str">
        <f t="shared" si="21"/>
        <v>Admis sous condition</v>
      </c>
      <c r="H462" t="str" cm="1">
        <f t="array" ref="H462">_xlfn.IFS(E462&gt;=16,"Excellent",E462&gt;=14,"Très bien",E462&gt;=12,"Bien",E462&gt;=10,"Passable",E462&lt;10,"Insuffisant")</f>
        <v>Très bien</v>
      </c>
      <c r="I462" t="str">
        <f t="shared" si="22"/>
        <v>A surveiller</v>
      </c>
      <c r="J462" t="str">
        <f t="shared" si="23"/>
        <v>Data</v>
      </c>
    </row>
    <row r="463" spans="1:10">
      <c r="A463" t="s">
        <v>741</v>
      </c>
      <c r="B463" t="s">
        <v>599</v>
      </c>
      <c r="C463" s="8" t="s">
        <v>26</v>
      </c>
      <c r="D463" s="8">
        <v>16.02</v>
      </c>
      <c r="E463" s="8">
        <v>13.56</v>
      </c>
      <c r="F463" s="6">
        <v>0.83799999999999997</v>
      </c>
      <c r="G463" t="str">
        <f t="shared" si="21"/>
        <v>Admis</v>
      </c>
      <c r="H463" t="str" cm="1">
        <f t="array" ref="H463">_xlfn.IFS(E463&gt;=16,"Excellent",E463&gt;=14,"Très bien",E463&gt;=12,"Bien",E463&gt;=10,"Passable",E463&lt;10,"Insuffisant")</f>
        <v>Bien</v>
      </c>
      <c r="I463" t="str">
        <f t="shared" si="22"/>
        <v>RAS</v>
      </c>
      <c r="J463" t="str">
        <f t="shared" si="23"/>
        <v>Autre filière</v>
      </c>
    </row>
    <row r="464" spans="1:10">
      <c r="A464" t="s">
        <v>742</v>
      </c>
      <c r="B464" t="s">
        <v>743</v>
      </c>
      <c r="C464" s="8" t="s">
        <v>26</v>
      </c>
      <c r="D464" s="8">
        <v>16.63</v>
      </c>
      <c r="E464" s="8">
        <v>17.39</v>
      </c>
      <c r="F464" s="6">
        <v>0.98150000000000004</v>
      </c>
      <c r="G464" t="str">
        <f t="shared" si="21"/>
        <v>Admis</v>
      </c>
      <c r="H464" t="str" cm="1">
        <f t="array" ref="H464">_xlfn.IFS(E464&gt;=16,"Excellent",E464&gt;=14,"Très bien",E464&gt;=12,"Bien",E464&gt;=10,"Passable",E464&lt;10,"Insuffisant")</f>
        <v>Excellent</v>
      </c>
      <c r="I464" t="str">
        <f t="shared" si="22"/>
        <v>RAS</v>
      </c>
      <c r="J464" t="str">
        <f t="shared" si="23"/>
        <v>Autre filière</v>
      </c>
    </row>
    <row r="465" spans="1:10">
      <c r="A465" t="s">
        <v>744</v>
      </c>
      <c r="B465" t="s">
        <v>136</v>
      </c>
      <c r="C465" s="8" t="s">
        <v>47</v>
      </c>
      <c r="D465" s="8">
        <v>11.22</v>
      </c>
      <c r="E465" s="8">
        <v>10.37</v>
      </c>
      <c r="F465" s="6">
        <v>0.89729999999999999</v>
      </c>
      <c r="G465" t="str">
        <f t="shared" si="21"/>
        <v>Admis sous condition</v>
      </c>
      <c r="H465" t="str" cm="1">
        <f t="array" ref="H465">_xlfn.IFS(E465&gt;=16,"Excellent",E465&gt;=14,"Très bien",E465&gt;=12,"Bien",E465&gt;=10,"Passable",E465&lt;10,"Insuffisant")</f>
        <v>Passable</v>
      </c>
      <c r="I465" t="str">
        <f t="shared" si="22"/>
        <v>RAS</v>
      </c>
      <c r="J465" t="str">
        <f t="shared" si="23"/>
        <v>Autre filière</v>
      </c>
    </row>
    <row r="466" spans="1:10">
      <c r="A466" t="s">
        <v>745</v>
      </c>
      <c r="B466" t="s">
        <v>18</v>
      </c>
      <c r="C466" s="8" t="s">
        <v>21</v>
      </c>
      <c r="D466" s="8">
        <v>12.49</v>
      </c>
      <c r="E466" s="8">
        <v>12.23</v>
      </c>
      <c r="F466" s="6">
        <v>0.82530000000000003</v>
      </c>
      <c r="G466" t="str">
        <f t="shared" si="21"/>
        <v>Admis</v>
      </c>
      <c r="H466" t="str" cm="1">
        <f t="array" ref="H466">_xlfn.IFS(E466&gt;=16,"Excellent",E466&gt;=14,"Très bien",E466&gt;=12,"Bien",E466&gt;=10,"Passable",E466&lt;10,"Insuffisant")</f>
        <v>Bien</v>
      </c>
      <c r="I466" t="str">
        <f t="shared" si="22"/>
        <v>RAS</v>
      </c>
      <c r="J466" t="str">
        <f t="shared" si="23"/>
        <v>Data</v>
      </c>
    </row>
    <row r="467" spans="1:10">
      <c r="A467" t="s">
        <v>746</v>
      </c>
      <c r="B467" t="s">
        <v>747</v>
      </c>
      <c r="C467" s="8" t="s">
        <v>21</v>
      </c>
      <c r="D467" s="8">
        <v>10.23</v>
      </c>
      <c r="E467" s="8">
        <v>15.83</v>
      </c>
      <c r="F467" s="6">
        <v>0.78610000000000002</v>
      </c>
      <c r="G467" t="str">
        <f t="shared" si="21"/>
        <v>Admis sous condition</v>
      </c>
      <c r="H467" t="str" cm="1">
        <f t="array" ref="H467">_xlfn.IFS(E467&gt;=16,"Excellent",E467&gt;=14,"Très bien",E467&gt;=12,"Bien",E467&gt;=10,"Passable",E467&lt;10,"Insuffisant")</f>
        <v>Très bien</v>
      </c>
      <c r="I467" t="str">
        <f t="shared" si="22"/>
        <v>RAS</v>
      </c>
      <c r="J467" t="str">
        <f t="shared" si="23"/>
        <v>Data</v>
      </c>
    </row>
    <row r="468" spans="1:10">
      <c r="A468" t="s">
        <v>748</v>
      </c>
      <c r="B468" t="s">
        <v>531</v>
      </c>
      <c r="C468" s="8" t="s">
        <v>21</v>
      </c>
      <c r="D468" s="8">
        <v>8.3000000000000007</v>
      </c>
      <c r="E468" s="8">
        <v>12.39</v>
      </c>
      <c r="F468" s="6">
        <v>0.74929999999999997</v>
      </c>
      <c r="G468" t="str">
        <f t="shared" si="21"/>
        <v>Refuse</v>
      </c>
      <c r="H468" t="str" cm="1">
        <f t="array" ref="H468">_xlfn.IFS(E468&gt;=16,"Excellent",E468&gt;=14,"Très bien",E468&gt;=12,"Bien",E468&gt;=10,"Passable",E468&lt;10,"Insuffisant")</f>
        <v>Bien</v>
      </c>
      <c r="I468" t="str">
        <f t="shared" si="22"/>
        <v>A surveiller</v>
      </c>
      <c r="J468" t="str">
        <f t="shared" si="23"/>
        <v>Data</v>
      </c>
    </row>
    <row r="469" spans="1:10">
      <c r="A469" t="s">
        <v>749</v>
      </c>
      <c r="B469" t="s">
        <v>750</v>
      </c>
      <c r="C469" s="8" t="s">
        <v>47</v>
      </c>
      <c r="D469" s="8">
        <v>15.51</v>
      </c>
      <c r="E469" s="8">
        <v>11.05</v>
      </c>
      <c r="F469" s="6">
        <v>0.94889999999999997</v>
      </c>
      <c r="G469" t="str">
        <f t="shared" si="21"/>
        <v>Admis sous condition</v>
      </c>
      <c r="H469" t="str" cm="1">
        <f t="array" ref="H469">_xlfn.IFS(E469&gt;=16,"Excellent",E469&gt;=14,"Très bien",E469&gt;=12,"Bien",E469&gt;=10,"Passable",E469&lt;10,"Insuffisant")</f>
        <v>Passable</v>
      </c>
      <c r="I469" t="str">
        <f t="shared" si="22"/>
        <v>RAS</v>
      </c>
      <c r="J469" t="str">
        <f t="shared" si="23"/>
        <v>Autre filière</v>
      </c>
    </row>
    <row r="470" spans="1:10">
      <c r="A470" t="s">
        <v>751</v>
      </c>
      <c r="B470" t="s">
        <v>154</v>
      </c>
      <c r="C470" s="8" t="s">
        <v>21</v>
      </c>
      <c r="D470" s="8">
        <v>9.68</v>
      </c>
      <c r="E470" s="8">
        <v>12.29</v>
      </c>
      <c r="F470" s="6">
        <v>0.93579999999999997</v>
      </c>
      <c r="G470" t="str">
        <f t="shared" si="21"/>
        <v>Refuse</v>
      </c>
      <c r="H470" t="str" cm="1">
        <f t="array" ref="H470">_xlfn.IFS(E470&gt;=16,"Excellent",E470&gt;=14,"Très bien",E470&gt;=12,"Bien",E470&gt;=10,"Passable",E470&lt;10,"Insuffisant")</f>
        <v>Bien</v>
      </c>
      <c r="I470" t="str">
        <f t="shared" si="22"/>
        <v>A surveiller</v>
      </c>
      <c r="J470" t="str">
        <f t="shared" si="23"/>
        <v>Data</v>
      </c>
    </row>
    <row r="471" spans="1:10">
      <c r="A471" t="s">
        <v>752</v>
      </c>
      <c r="B471" t="s">
        <v>743</v>
      </c>
      <c r="C471" s="8" t="s">
        <v>34</v>
      </c>
      <c r="D471" s="8">
        <v>15.78</v>
      </c>
      <c r="E471" s="8">
        <v>13.4</v>
      </c>
      <c r="F471" s="6">
        <v>0.97750000000000004</v>
      </c>
      <c r="G471" t="str">
        <f t="shared" si="21"/>
        <v>Admis</v>
      </c>
      <c r="H471" t="str" cm="1">
        <f t="array" ref="H471">_xlfn.IFS(E471&gt;=16,"Excellent",E471&gt;=14,"Très bien",E471&gt;=12,"Bien",E471&gt;=10,"Passable",E471&lt;10,"Insuffisant")</f>
        <v>Bien</v>
      </c>
      <c r="I471" t="str">
        <f t="shared" si="22"/>
        <v>RAS</v>
      </c>
      <c r="J471" t="str">
        <f t="shared" si="23"/>
        <v>Autre filière</v>
      </c>
    </row>
    <row r="472" spans="1:10">
      <c r="A472" t="s">
        <v>753</v>
      </c>
      <c r="B472" t="s">
        <v>309</v>
      </c>
      <c r="C472" s="8" t="s">
        <v>26</v>
      </c>
      <c r="D472" s="8">
        <v>5.63</v>
      </c>
      <c r="E472" s="8">
        <v>5.27</v>
      </c>
      <c r="F472" s="6">
        <v>0.72319999999999995</v>
      </c>
      <c r="G472" t="str">
        <f t="shared" si="21"/>
        <v>Refuse</v>
      </c>
      <c r="H472" t="str" cm="1">
        <f t="array" ref="H472">_xlfn.IFS(E472&gt;=16,"Excellent",E472&gt;=14,"Très bien",E472&gt;=12,"Bien",E472&gt;=10,"Passable",E472&lt;10,"Insuffisant")</f>
        <v>Insuffisant</v>
      </c>
      <c r="I472" t="str">
        <f t="shared" si="22"/>
        <v>A surveiller</v>
      </c>
      <c r="J472" t="str">
        <f t="shared" si="23"/>
        <v>Autre filière</v>
      </c>
    </row>
    <row r="473" spans="1:10">
      <c r="A473" t="s">
        <v>754</v>
      </c>
      <c r="B473" t="s">
        <v>124</v>
      </c>
      <c r="C473" s="8" t="s">
        <v>26</v>
      </c>
      <c r="D473" s="8">
        <v>12.83</v>
      </c>
      <c r="E473" s="8">
        <v>7.13</v>
      </c>
      <c r="F473" s="6">
        <v>0.86040000000000005</v>
      </c>
      <c r="G473" t="str">
        <f t="shared" si="21"/>
        <v>Refuse</v>
      </c>
      <c r="H473" t="str" cm="1">
        <f t="array" ref="H473">_xlfn.IFS(E473&gt;=16,"Excellent",E473&gt;=14,"Très bien",E473&gt;=12,"Bien",E473&gt;=10,"Passable",E473&lt;10,"Insuffisant")</f>
        <v>Insuffisant</v>
      </c>
      <c r="I473" t="str">
        <f t="shared" si="22"/>
        <v>A surveiller</v>
      </c>
      <c r="J473" t="str">
        <f t="shared" si="23"/>
        <v>Autre filière</v>
      </c>
    </row>
    <row r="474" spans="1:10">
      <c r="A474" t="s">
        <v>755</v>
      </c>
      <c r="B474" t="s">
        <v>756</v>
      </c>
      <c r="C474" s="8" t="s">
        <v>26</v>
      </c>
      <c r="D474" s="8">
        <v>14.27</v>
      </c>
      <c r="E474" s="8">
        <v>17.690000000000001</v>
      </c>
      <c r="F474" s="6">
        <v>0.93049999999999999</v>
      </c>
      <c r="G474" t="str">
        <f t="shared" si="21"/>
        <v>Admis</v>
      </c>
      <c r="H474" t="str" cm="1">
        <f t="array" ref="H474">_xlfn.IFS(E474&gt;=16,"Excellent",E474&gt;=14,"Très bien",E474&gt;=12,"Bien",E474&gt;=10,"Passable",E474&lt;10,"Insuffisant")</f>
        <v>Excellent</v>
      </c>
      <c r="I474" t="str">
        <f t="shared" si="22"/>
        <v>RAS</v>
      </c>
      <c r="J474" t="str">
        <f t="shared" si="23"/>
        <v>Autre filière</v>
      </c>
    </row>
    <row r="475" spans="1:10">
      <c r="A475" t="s">
        <v>757</v>
      </c>
      <c r="B475" t="s">
        <v>758</v>
      </c>
      <c r="C475" s="8" t="s">
        <v>34</v>
      </c>
      <c r="D475" s="8">
        <v>9.61</v>
      </c>
      <c r="E475" s="8">
        <v>11.82</v>
      </c>
      <c r="F475" s="6">
        <v>0.85699999999999998</v>
      </c>
      <c r="G475" t="str">
        <f t="shared" si="21"/>
        <v>Refuse</v>
      </c>
      <c r="H475" t="str" cm="1">
        <f t="array" ref="H475">_xlfn.IFS(E475&gt;=16,"Excellent",E475&gt;=14,"Très bien",E475&gt;=12,"Bien",E475&gt;=10,"Passable",E475&lt;10,"Insuffisant")</f>
        <v>Passable</v>
      </c>
      <c r="I475" t="str">
        <f t="shared" si="22"/>
        <v>A surveiller</v>
      </c>
      <c r="J475" t="str">
        <f t="shared" si="23"/>
        <v>Autre filière</v>
      </c>
    </row>
    <row r="476" spans="1:10">
      <c r="A476" t="s">
        <v>759</v>
      </c>
      <c r="B476" t="s">
        <v>760</v>
      </c>
      <c r="C476" s="8" t="s">
        <v>47</v>
      </c>
      <c r="D476" s="8">
        <v>11.95</v>
      </c>
      <c r="E476" s="8">
        <v>18.920000000000002</v>
      </c>
      <c r="F476" s="6">
        <v>0.70750000000000002</v>
      </c>
      <c r="G476" t="str">
        <f t="shared" si="21"/>
        <v>Admis sous condition</v>
      </c>
      <c r="H476" t="str" cm="1">
        <f t="array" ref="H476">_xlfn.IFS(E476&gt;=16,"Excellent",E476&gt;=14,"Très bien",E476&gt;=12,"Bien",E476&gt;=10,"Passable",E476&lt;10,"Insuffisant")</f>
        <v>Excellent</v>
      </c>
      <c r="I476" t="str">
        <f t="shared" si="22"/>
        <v>RAS</v>
      </c>
      <c r="J476" t="str">
        <f t="shared" si="23"/>
        <v>Autre filière</v>
      </c>
    </row>
    <row r="477" spans="1:10">
      <c r="A477" t="s">
        <v>761</v>
      </c>
      <c r="B477" t="s">
        <v>617</v>
      </c>
      <c r="C477" s="8" t="s">
        <v>21</v>
      </c>
      <c r="D477" s="8">
        <v>10.16</v>
      </c>
      <c r="E477" s="8">
        <v>9.25</v>
      </c>
      <c r="F477" s="6">
        <v>0.9546</v>
      </c>
      <c r="G477" t="str">
        <f t="shared" si="21"/>
        <v>Refuse</v>
      </c>
      <c r="H477" t="str" cm="1">
        <f t="array" ref="H477">_xlfn.IFS(E477&gt;=16,"Excellent",E477&gt;=14,"Très bien",E477&gt;=12,"Bien",E477&gt;=10,"Passable",E477&lt;10,"Insuffisant")</f>
        <v>Insuffisant</v>
      </c>
      <c r="I477" t="str">
        <f t="shared" si="22"/>
        <v>A surveiller</v>
      </c>
      <c r="J477" t="str">
        <f t="shared" si="23"/>
        <v>Data</v>
      </c>
    </row>
    <row r="478" spans="1:10">
      <c r="A478" t="s">
        <v>762</v>
      </c>
      <c r="B478" t="s">
        <v>172</v>
      </c>
      <c r="C478" s="8" t="s">
        <v>26</v>
      </c>
      <c r="D478" s="8">
        <v>17.670000000000002</v>
      </c>
      <c r="E478" s="8">
        <v>20</v>
      </c>
      <c r="F478" s="6">
        <v>0.74709999999999999</v>
      </c>
      <c r="G478" t="str">
        <f t="shared" si="21"/>
        <v>Admis sous condition</v>
      </c>
      <c r="H478" t="str" cm="1">
        <f t="array" ref="H478">_xlfn.IFS(E478&gt;=16,"Excellent",E478&gt;=14,"Très bien",E478&gt;=12,"Bien",E478&gt;=10,"Passable",E478&lt;10,"Insuffisant")</f>
        <v>Excellent</v>
      </c>
      <c r="I478" t="str">
        <f t="shared" si="22"/>
        <v>RAS</v>
      </c>
      <c r="J478" t="str">
        <f t="shared" si="23"/>
        <v>Autre filière</v>
      </c>
    </row>
    <row r="479" spans="1:10">
      <c r="A479" t="s">
        <v>763</v>
      </c>
      <c r="B479" t="s">
        <v>606</v>
      </c>
      <c r="C479" s="8" t="s">
        <v>21</v>
      </c>
      <c r="D479" s="8">
        <v>12.08</v>
      </c>
      <c r="E479" s="8">
        <v>10.51</v>
      </c>
      <c r="F479" s="6">
        <v>0.75880000000000003</v>
      </c>
      <c r="G479" t="str">
        <f t="shared" si="21"/>
        <v>Admis sous condition</v>
      </c>
      <c r="H479" t="str" cm="1">
        <f t="array" ref="H479">_xlfn.IFS(E479&gt;=16,"Excellent",E479&gt;=14,"Très bien",E479&gt;=12,"Bien",E479&gt;=10,"Passable",E479&lt;10,"Insuffisant")</f>
        <v>Passable</v>
      </c>
      <c r="I479" t="str">
        <f t="shared" si="22"/>
        <v>RAS</v>
      </c>
      <c r="J479" t="str">
        <f t="shared" si="23"/>
        <v>Data</v>
      </c>
    </row>
    <row r="480" spans="1:10">
      <c r="A480" t="s">
        <v>764</v>
      </c>
      <c r="B480" t="s">
        <v>49</v>
      </c>
      <c r="C480" s="8" t="s">
        <v>47</v>
      </c>
      <c r="D480" s="8">
        <v>12.08</v>
      </c>
      <c r="E480" s="8">
        <v>12.25</v>
      </c>
      <c r="F480" s="6">
        <v>0.8881</v>
      </c>
      <c r="G480" t="str">
        <f t="shared" si="21"/>
        <v>Admis</v>
      </c>
      <c r="H480" t="str" cm="1">
        <f t="array" ref="H480">_xlfn.IFS(E480&gt;=16,"Excellent",E480&gt;=14,"Très bien",E480&gt;=12,"Bien",E480&gt;=10,"Passable",E480&lt;10,"Insuffisant")</f>
        <v>Bien</v>
      </c>
      <c r="I480" t="str">
        <f t="shared" si="22"/>
        <v>RAS</v>
      </c>
      <c r="J480" t="str">
        <f t="shared" si="23"/>
        <v>Autre filière</v>
      </c>
    </row>
    <row r="481" spans="1:10">
      <c r="A481" t="s">
        <v>765</v>
      </c>
      <c r="B481" t="s">
        <v>219</v>
      </c>
      <c r="C481" s="8" t="s">
        <v>47</v>
      </c>
      <c r="D481" s="8">
        <v>17.23</v>
      </c>
      <c r="E481" s="8">
        <v>20</v>
      </c>
      <c r="F481" s="6">
        <v>0.87219999999999998</v>
      </c>
      <c r="G481" t="str">
        <f t="shared" si="21"/>
        <v>Admis</v>
      </c>
      <c r="H481" t="str" cm="1">
        <f t="array" ref="H481">_xlfn.IFS(E481&gt;=16,"Excellent",E481&gt;=14,"Très bien",E481&gt;=12,"Bien",E481&gt;=10,"Passable",E481&lt;10,"Insuffisant")</f>
        <v>Excellent</v>
      </c>
      <c r="I481" t="str">
        <f t="shared" si="22"/>
        <v>RAS</v>
      </c>
      <c r="J481" t="str">
        <f t="shared" si="23"/>
        <v>Autre filière</v>
      </c>
    </row>
    <row r="482" spans="1:10">
      <c r="A482" t="s">
        <v>766</v>
      </c>
      <c r="B482" t="s">
        <v>177</v>
      </c>
      <c r="C482" s="8" t="s">
        <v>26</v>
      </c>
      <c r="D482" s="8">
        <v>17.64</v>
      </c>
      <c r="E482" s="8">
        <v>20</v>
      </c>
      <c r="F482" s="6">
        <v>0.89580000000000004</v>
      </c>
      <c r="G482" t="str">
        <f t="shared" si="21"/>
        <v>Admis</v>
      </c>
      <c r="H482" t="str" cm="1">
        <f t="array" ref="H482">_xlfn.IFS(E482&gt;=16,"Excellent",E482&gt;=14,"Très bien",E482&gt;=12,"Bien",E482&gt;=10,"Passable",E482&lt;10,"Insuffisant")</f>
        <v>Excellent</v>
      </c>
      <c r="I482" t="str">
        <f t="shared" si="22"/>
        <v>RAS</v>
      </c>
      <c r="J482" t="str">
        <f t="shared" si="23"/>
        <v>Autre filière</v>
      </c>
    </row>
    <row r="483" spans="1:10">
      <c r="A483" t="s">
        <v>767</v>
      </c>
      <c r="B483" t="s">
        <v>610</v>
      </c>
      <c r="C483" s="8" t="s">
        <v>34</v>
      </c>
      <c r="D483" s="8">
        <v>11.62</v>
      </c>
      <c r="E483" s="8">
        <v>10.74</v>
      </c>
      <c r="F483" s="6">
        <v>0.83789999999999998</v>
      </c>
      <c r="G483" t="str">
        <f t="shared" si="21"/>
        <v>Admis sous condition</v>
      </c>
      <c r="H483" t="str" cm="1">
        <f t="array" ref="H483">_xlfn.IFS(E483&gt;=16,"Excellent",E483&gt;=14,"Très bien",E483&gt;=12,"Bien",E483&gt;=10,"Passable",E483&lt;10,"Insuffisant")</f>
        <v>Passable</v>
      </c>
      <c r="I483" t="str">
        <f t="shared" si="22"/>
        <v>RAS</v>
      </c>
      <c r="J483" t="str">
        <f t="shared" si="23"/>
        <v>Autre filière</v>
      </c>
    </row>
    <row r="484" spans="1:10">
      <c r="A484" t="s">
        <v>768</v>
      </c>
      <c r="B484" t="s">
        <v>769</v>
      </c>
      <c r="C484" s="8" t="s">
        <v>21</v>
      </c>
      <c r="D484" s="8">
        <v>10.33</v>
      </c>
      <c r="E484" s="8">
        <v>12.09</v>
      </c>
      <c r="F484" s="6">
        <v>0.61839999999999995</v>
      </c>
      <c r="G484" t="str">
        <f t="shared" si="21"/>
        <v>Admis sous condition</v>
      </c>
      <c r="H484" t="str" cm="1">
        <f t="array" ref="H484">_xlfn.IFS(E484&gt;=16,"Excellent",E484&gt;=14,"Très bien",E484&gt;=12,"Bien",E484&gt;=10,"Passable",E484&lt;10,"Insuffisant")</f>
        <v>Bien</v>
      </c>
      <c r="I484" t="str">
        <f t="shared" si="22"/>
        <v>A surveiller</v>
      </c>
      <c r="J484" t="str">
        <f t="shared" si="23"/>
        <v>Data</v>
      </c>
    </row>
    <row r="485" spans="1:10">
      <c r="A485" t="s">
        <v>770</v>
      </c>
      <c r="B485" t="s">
        <v>242</v>
      </c>
      <c r="C485" s="8" t="s">
        <v>26</v>
      </c>
      <c r="D485" s="8">
        <v>15.99</v>
      </c>
      <c r="E485" s="8">
        <v>9.75</v>
      </c>
      <c r="F485" s="6">
        <v>0.68830000000000002</v>
      </c>
      <c r="G485" t="str">
        <f t="shared" si="21"/>
        <v>Refuse</v>
      </c>
      <c r="H485" t="str" cm="1">
        <f t="array" ref="H485">_xlfn.IFS(E485&gt;=16,"Excellent",E485&gt;=14,"Très bien",E485&gt;=12,"Bien",E485&gt;=10,"Passable",E485&lt;10,"Insuffisant")</f>
        <v>Insuffisant</v>
      </c>
      <c r="I485" t="str">
        <f t="shared" si="22"/>
        <v>A surveiller</v>
      </c>
      <c r="J485" t="str">
        <f t="shared" si="23"/>
        <v>Autre filière</v>
      </c>
    </row>
    <row r="486" spans="1:10">
      <c r="A486" t="s">
        <v>771</v>
      </c>
      <c r="B486" t="s">
        <v>105</v>
      </c>
      <c r="C486" s="8" t="s">
        <v>47</v>
      </c>
      <c r="D486" s="8">
        <v>14.75</v>
      </c>
      <c r="E486" s="8">
        <v>14.73</v>
      </c>
      <c r="F486" s="6">
        <v>0.73089999999999999</v>
      </c>
      <c r="G486" t="str">
        <f t="shared" si="21"/>
        <v>Admis sous condition</v>
      </c>
      <c r="H486" t="str" cm="1">
        <f t="array" ref="H486">_xlfn.IFS(E486&gt;=16,"Excellent",E486&gt;=14,"Très bien",E486&gt;=12,"Bien",E486&gt;=10,"Passable",E486&lt;10,"Insuffisant")</f>
        <v>Très bien</v>
      </c>
      <c r="I486" t="str">
        <f t="shared" si="22"/>
        <v>RAS</v>
      </c>
      <c r="J486" t="str">
        <f t="shared" si="23"/>
        <v>Autre filière</v>
      </c>
    </row>
    <row r="487" spans="1:10">
      <c r="A487" t="s">
        <v>772</v>
      </c>
      <c r="B487" t="s">
        <v>371</v>
      </c>
      <c r="C487" s="8" t="s">
        <v>34</v>
      </c>
      <c r="D487" s="8">
        <v>16</v>
      </c>
      <c r="E487" s="8">
        <v>15.25</v>
      </c>
      <c r="F487" s="6">
        <v>0.97099999999999997</v>
      </c>
      <c r="G487" t="str">
        <f t="shared" si="21"/>
        <v>Admis</v>
      </c>
      <c r="H487" t="str" cm="1">
        <f t="array" ref="H487">_xlfn.IFS(E487&gt;=16,"Excellent",E487&gt;=14,"Très bien",E487&gt;=12,"Bien",E487&gt;=10,"Passable",E487&lt;10,"Insuffisant")</f>
        <v>Très bien</v>
      </c>
      <c r="I487" t="str">
        <f t="shared" si="22"/>
        <v>RAS</v>
      </c>
      <c r="J487" t="str">
        <f t="shared" si="23"/>
        <v>Autre filière</v>
      </c>
    </row>
    <row r="488" spans="1:10">
      <c r="A488" t="s">
        <v>773</v>
      </c>
      <c r="B488" t="s">
        <v>339</v>
      </c>
      <c r="C488" s="8" t="s">
        <v>34</v>
      </c>
      <c r="D488" s="8">
        <v>11.22</v>
      </c>
      <c r="E488" s="8">
        <v>11.64</v>
      </c>
      <c r="F488" s="6">
        <v>0.55000000000000004</v>
      </c>
      <c r="G488" t="str">
        <f t="shared" si="21"/>
        <v>Admis sous condition</v>
      </c>
      <c r="H488" t="str" cm="1">
        <f t="array" ref="H488">_xlfn.IFS(E488&gt;=16,"Excellent",E488&gt;=14,"Très bien",E488&gt;=12,"Bien",E488&gt;=10,"Passable",E488&lt;10,"Insuffisant")</f>
        <v>Passable</v>
      </c>
      <c r="I488" t="str">
        <f t="shared" si="22"/>
        <v>A surveiller</v>
      </c>
      <c r="J488" t="str">
        <f t="shared" si="23"/>
        <v>Autre filière</v>
      </c>
    </row>
    <row r="489" spans="1:10">
      <c r="A489" t="s">
        <v>774</v>
      </c>
      <c r="B489" t="s">
        <v>70</v>
      </c>
      <c r="C489" s="8" t="s">
        <v>34</v>
      </c>
      <c r="D489" s="8">
        <v>18.149999999999999</v>
      </c>
      <c r="E489" s="8">
        <v>17.260000000000002</v>
      </c>
      <c r="F489" s="6">
        <v>0.87280000000000002</v>
      </c>
      <c r="G489" t="str">
        <f t="shared" si="21"/>
        <v>Admis</v>
      </c>
      <c r="H489" t="str" cm="1">
        <f t="array" ref="H489">_xlfn.IFS(E489&gt;=16,"Excellent",E489&gt;=14,"Très bien",E489&gt;=12,"Bien",E489&gt;=10,"Passable",E489&lt;10,"Insuffisant")</f>
        <v>Excellent</v>
      </c>
      <c r="I489" t="str">
        <f t="shared" si="22"/>
        <v>RAS</v>
      </c>
      <c r="J489" t="str">
        <f t="shared" si="23"/>
        <v>Autre filière</v>
      </c>
    </row>
    <row r="490" spans="1:10">
      <c r="A490" t="s">
        <v>775</v>
      </c>
      <c r="B490" t="s">
        <v>776</v>
      </c>
      <c r="C490" s="8" t="s">
        <v>34</v>
      </c>
      <c r="D490" s="8">
        <v>13.06</v>
      </c>
      <c r="E490" s="8">
        <v>10.89</v>
      </c>
      <c r="F490" s="6">
        <v>0.55000000000000004</v>
      </c>
      <c r="G490" t="str">
        <f t="shared" si="21"/>
        <v>Admis sous condition</v>
      </c>
      <c r="H490" t="str" cm="1">
        <f t="array" ref="H490">_xlfn.IFS(E490&gt;=16,"Excellent",E490&gt;=14,"Très bien",E490&gt;=12,"Bien",E490&gt;=10,"Passable",E490&lt;10,"Insuffisant")</f>
        <v>Passable</v>
      </c>
      <c r="I490" t="str">
        <f t="shared" si="22"/>
        <v>A surveiller</v>
      </c>
      <c r="J490" t="str">
        <f t="shared" si="23"/>
        <v>Autre filière</v>
      </c>
    </row>
    <row r="491" spans="1:10">
      <c r="A491" t="s">
        <v>777</v>
      </c>
      <c r="B491" t="s">
        <v>42</v>
      </c>
      <c r="C491" s="8" t="s">
        <v>34</v>
      </c>
      <c r="D491" s="8">
        <v>16.2</v>
      </c>
      <c r="E491" s="8">
        <v>18.71</v>
      </c>
      <c r="F491" s="6">
        <v>0.75860000000000005</v>
      </c>
      <c r="G491" t="str">
        <f t="shared" si="21"/>
        <v>Admis sous condition</v>
      </c>
      <c r="H491" t="str" cm="1">
        <f t="array" ref="H491">_xlfn.IFS(E491&gt;=16,"Excellent",E491&gt;=14,"Très bien",E491&gt;=12,"Bien",E491&gt;=10,"Passable",E491&lt;10,"Insuffisant")</f>
        <v>Excellent</v>
      </c>
      <c r="I491" t="str">
        <f t="shared" si="22"/>
        <v>RAS</v>
      </c>
      <c r="J491" t="str">
        <f t="shared" si="23"/>
        <v>Autre filière</v>
      </c>
    </row>
    <row r="492" spans="1:10">
      <c r="A492" t="s">
        <v>778</v>
      </c>
      <c r="B492" t="s">
        <v>652</v>
      </c>
      <c r="C492" s="8" t="s">
        <v>34</v>
      </c>
      <c r="D492" s="8">
        <v>16.899999999999999</v>
      </c>
      <c r="E492" s="8">
        <v>17.82</v>
      </c>
      <c r="F492" s="6">
        <v>0.59540000000000004</v>
      </c>
      <c r="G492" t="str">
        <f t="shared" si="21"/>
        <v>Admis sous condition</v>
      </c>
      <c r="H492" t="str" cm="1">
        <f t="array" ref="H492">_xlfn.IFS(E492&gt;=16,"Excellent",E492&gt;=14,"Très bien",E492&gt;=12,"Bien",E492&gt;=10,"Passable",E492&lt;10,"Insuffisant")</f>
        <v>Excellent</v>
      </c>
      <c r="I492" t="str">
        <f t="shared" si="22"/>
        <v>A surveiller</v>
      </c>
      <c r="J492" t="str">
        <f t="shared" si="23"/>
        <v>Autre filière</v>
      </c>
    </row>
    <row r="493" spans="1:10">
      <c r="A493" t="s">
        <v>779</v>
      </c>
      <c r="B493" t="s">
        <v>780</v>
      </c>
      <c r="C493" s="8" t="s">
        <v>34</v>
      </c>
      <c r="D493" s="8">
        <v>18.2</v>
      </c>
      <c r="E493" s="8">
        <v>18.86</v>
      </c>
      <c r="F493" s="6">
        <v>0.89380000000000004</v>
      </c>
      <c r="G493" t="str">
        <f t="shared" si="21"/>
        <v>Admis</v>
      </c>
      <c r="H493" t="str" cm="1">
        <f t="array" ref="H493">_xlfn.IFS(E493&gt;=16,"Excellent",E493&gt;=14,"Très bien",E493&gt;=12,"Bien",E493&gt;=10,"Passable",E493&lt;10,"Insuffisant")</f>
        <v>Excellent</v>
      </c>
      <c r="I493" t="str">
        <f t="shared" si="22"/>
        <v>RAS</v>
      </c>
      <c r="J493" t="str">
        <f t="shared" si="23"/>
        <v>Autre filière</v>
      </c>
    </row>
    <row r="494" spans="1:10">
      <c r="A494" t="s">
        <v>781</v>
      </c>
      <c r="B494" t="s">
        <v>728</v>
      </c>
      <c r="C494" s="8" t="s">
        <v>21</v>
      </c>
      <c r="D494" s="8">
        <v>16.14</v>
      </c>
      <c r="E494" s="8">
        <v>12.5</v>
      </c>
      <c r="F494" s="6">
        <v>0.81130000000000002</v>
      </c>
      <c r="G494" t="str">
        <f t="shared" si="21"/>
        <v>Admis</v>
      </c>
      <c r="H494" t="str" cm="1">
        <f t="array" ref="H494">_xlfn.IFS(E494&gt;=16,"Excellent",E494&gt;=14,"Très bien",E494&gt;=12,"Bien",E494&gt;=10,"Passable",E494&lt;10,"Insuffisant")</f>
        <v>Bien</v>
      </c>
      <c r="I494" t="str">
        <f t="shared" si="22"/>
        <v>RAS</v>
      </c>
      <c r="J494" t="str">
        <f t="shared" si="23"/>
        <v>Data</v>
      </c>
    </row>
    <row r="495" spans="1:10">
      <c r="A495" t="s">
        <v>782</v>
      </c>
      <c r="B495" t="s">
        <v>223</v>
      </c>
      <c r="C495" s="8" t="s">
        <v>26</v>
      </c>
      <c r="D495" s="8">
        <v>14.54</v>
      </c>
      <c r="E495" s="8">
        <v>15.7</v>
      </c>
      <c r="F495" s="6">
        <v>0.92859999999999998</v>
      </c>
      <c r="G495" t="str">
        <f t="shared" si="21"/>
        <v>Admis</v>
      </c>
      <c r="H495" t="str" cm="1">
        <f t="array" ref="H495">_xlfn.IFS(E495&gt;=16,"Excellent",E495&gt;=14,"Très bien",E495&gt;=12,"Bien",E495&gt;=10,"Passable",E495&lt;10,"Insuffisant")</f>
        <v>Très bien</v>
      </c>
      <c r="I495" t="str">
        <f t="shared" si="22"/>
        <v>RAS</v>
      </c>
      <c r="J495" t="str">
        <f t="shared" si="23"/>
        <v>Autre filière</v>
      </c>
    </row>
    <row r="496" spans="1:10">
      <c r="A496" t="s">
        <v>783</v>
      </c>
      <c r="B496" t="s">
        <v>105</v>
      </c>
      <c r="C496" s="8" t="s">
        <v>21</v>
      </c>
      <c r="D496" s="8">
        <v>11.11</v>
      </c>
      <c r="E496" s="8">
        <v>8.16</v>
      </c>
      <c r="F496" s="6">
        <v>0.81899999999999995</v>
      </c>
      <c r="G496" t="str">
        <f t="shared" si="21"/>
        <v>Refuse</v>
      </c>
      <c r="H496" t="str" cm="1">
        <f t="array" ref="H496">_xlfn.IFS(E496&gt;=16,"Excellent",E496&gt;=14,"Très bien",E496&gt;=12,"Bien",E496&gt;=10,"Passable",E496&lt;10,"Insuffisant")</f>
        <v>Insuffisant</v>
      </c>
      <c r="I496" t="str">
        <f t="shared" si="22"/>
        <v>A surveiller</v>
      </c>
      <c r="J496" t="str">
        <f t="shared" si="23"/>
        <v>Data</v>
      </c>
    </row>
    <row r="497" spans="1:10">
      <c r="A497" t="s">
        <v>784</v>
      </c>
      <c r="B497" t="s">
        <v>250</v>
      </c>
      <c r="C497" s="8" t="s">
        <v>21</v>
      </c>
      <c r="D497" s="8">
        <v>9.1999999999999993</v>
      </c>
      <c r="E497" s="8">
        <v>9.08</v>
      </c>
      <c r="F497" s="6">
        <v>0.80289999999999995</v>
      </c>
      <c r="G497" t="str">
        <f t="shared" si="21"/>
        <v>Refuse</v>
      </c>
      <c r="H497" t="str" cm="1">
        <f t="array" ref="H497">_xlfn.IFS(E497&gt;=16,"Excellent",E497&gt;=14,"Très bien",E497&gt;=12,"Bien",E497&gt;=10,"Passable",E497&lt;10,"Insuffisant")</f>
        <v>Insuffisant</v>
      </c>
      <c r="I497" t="str">
        <f t="shared" si="22"/>
        <v>A surveiller</v>
      </c>
      <c r="J497" t="str">
        <f t="shared" si="23"/>
        <v>Data</v>
      </c>
    </row>
    <row r="498" spans="1:10">
      <c r="A498" t="s">
        <v>785</v>
      </c>
      <c r="B498" t="s">
        <v>682</v>
      </c>
      <c r="C498" s="8" t="s">
        <v>21</v>
      </c>
      <c r="D498" s="8">
        <v>17.510000000000002</v>
      </c>
      <c r="E498" s="8">
        <v>17.98</v>
      </c>
      <c r="F498" s="6">
        <v>0.80859999999999999</v>
      </c>
      <c r="G498" t="str">
        <f t="shared" si="21"/>
        <v>Admis</v>
      </c>
      <c r="H498" t="str" cm="1">
        <f t="array" ref="H498">_xlfn.IFS(E498&gt;=16,"Excellent",E498&gt;=14,"Très bien",E498&gt;=12,"Bien",E498&gt;=10,"Passable",E498&lt;10,"Insuffisant")</f>
        <v>Excellent</v>
      </c>
      <c r="I498" t="str">
        <f t="shared" si="22"/>
        <v>RAS</v>
      </c>
      <c r="J498" t="str">
        <f t="shared" si="23"/>
        <v>Data</v>
      </c>
    </row>
    <row r="499" spans="1:10">
      <c r="A499" t="s">
        <v>786</v>
      </c>
      <c r="B499" t="s">
        <v>99</v>
      </c>
      <c r="C499" s="8" t="s">
        <v>26</v>
      </c>
      <c r="D499" s="8">
        <v>16.95</v>
      </c>
      <c r="E499" s="8">
        <v>16.149999999999999</v>
      </c>
      <c r="F499" s="6">
        <v>0.95950000000000002</v>
      </c>
      <c r="G499" t="str">
        <f t="shared" si="21"/>
        <v>Admis</v>
      </c>
      <c r="H499" t="str" cm="1">
        <f t="array" ref="H499">_xlfn.IFS(E499&gt;=16,"Excellent",E499&gt;=14,"Très bien",E499&gt;=12,"Bien",E499&gt;=10,"Passable",E499&lt;10,"Insuffisant")</f>
        <v>Excellent</v>
      </c>
      <c r="I499" t="str">
        <f t="shared" si="22"/>
        <v>RAS</v>
      </c>
      <c r="J499" t="str">
        <f t="shared" si="23"/>
        <v>Autre filière</v>
      </c>
    </row>
    <row r="500" spans="1:10">
      <c r="A500" t="s">
        <v>787</v>
      </c>
      <c r="B500" t="s">
        <v>269</v>
      </c>
      <c r="C500" s="8" t="s">
        <v>34</v>
      </c>
      <c r="D500" s="8">
        <v>14.42</v>
      </c>
      <c r="E500" s="8">
        <v>17.97</v>
      </c>
      <c r="F500" s="6">
        <v>0.90559999999999996</v>
      </c>
      <c r="G500" t="str">
        <f t="shared" si="21"/>
        <v>Admis</v>
      </c>
      <c r="H500" t="str" cm="1">
        <f t="array" ref="H500">_xlfn.IFS(E500&gt;=16,"Excellent",E500&gt;=14,"Très bien",E500&gt;=12,"Bien",E500&gt;=10,"Passable",E500&lt;10,"Insuffisant")</f>
        <v>Excellent</v>
      </c>
      <c r="I500" t="str">
        <f t="shared" si="22"/>
        <v>RAS</v>
      </c>
      <c r="J500" t="str">
        <f t="shared" si="23"/>
        <v>Autre filière</v>
      </c>
    </row>
    <row r="501" spans="1:10">
      <c r="A501" t="s">
        <v>788</v>
      </c>
      <c r="B501" t="s">
        <v>371</v>
      </c>
      <c r="C501" s="8" t="s">
        <v>34</v>
      </c>
      <c r="D501" s="8">
        <v>12.89</v>
      </c>
      <c r="E501" s="8">
        <v>9.89</v>
      </c>
      <c r="F501" s="6">
        <v>0.86729999999999996</v>
      </c>
      <c r="G501" t="str">
        <f t="shared" si="21"/>
        <v>Refuse</v>
      </c>
      <c r="H501" t="str" cm="1">
        <f t="array" ref="H501">_xlfn.IFS(E501&gt;=16,"Excellent",E501&gt;=14,"Très bien",E501&gt;=12,"Bien",E501&gt;=10,"Passable",E501&lt;10,"Insuffisant")</f>
        <v>Insuffisant</v>
      </c>
      <c r="I501" t="str">
        <f t="shared" si="22"/>
        <v>A surveiller</v>
      </c>
      <c r="J501" t="str">
        <f t="shared" si="23"/>
        <v>Autre filière</v>
      </c>
    </row>
    <row r="502" spans="1:10">
      <c r="A502" t="s">
        <v>789</v>
      </c>
      <c r="B502" t="s">
        <v>294</v>
      </c>
      <c r="C502" s="8" t="s">
        <v>34</v>
      </c>
      <c r="D502" s="8">
        <v>12.24</v>
      </c>
      <c r="E502" s="8">
        <v>9.81</v>
      </c>
      <c r="F502" s="6">
        <v>0.85519999999999996</v>
      </c>
      <c r="G502" t="str">
        <f t="shared" si="21"/>
        <v>Refuse</v>
      </c>
      <c r="H502" t="str" cm="1">
        <f t="array" ref="H502">_xlfn.IFS(E502&gt;=16,"Excellent",E502&gt;=14,"Très bien",E502&gt;=12,"Bien",E502&gt;=10,"Passable",E502&lt;10,"Insuffisant")</f>
        <v>Insuffisant</v>
      </c>
      <c r="I502" t="str">
        <f t="shared" si="22"/>
        <v>A surveiller</v>
      </c>
      <c r="J502" t="str">
        <f t="shared" si="23"/>
        <v>Autre filière</v>
      </c>
    </row>
    <row r="503" spans="1:10">
      <c r="A503" t="s">
        <v>790</v>
      </c>
      <c r="B503" t="s">
        <v>236</v>
      </c>
      <c r="C503" s="8" t="s">
        <v>21</v>
      </c>
      <c r="D503" s="8">
        <v>11.19</v>
      </c>
      <c r="E503" s="8">
        <v>11.11</v>
      </c>
      <c r="F503" s="6">
        <v>0.75849999999999995</v>
      </c>
      <c r="G503" t="str">
        <f t="shared" si="21"/>
        <v>Admis sous condition</v>
      </c>
      <c r="H503" t="str" cm="1">
        <f t="array" ref="H503">_xlfn.IFS(E503&gt;=16,"Excellent",E503&gt;=14,"Très bien",E503&gt;=12,"Bien",E503&gt;=10,"Passable",E503&lt;10,"Insuffisant")</f>
        <v>Passable</v>
      </c>
      <c r="I503" t="str">
        <f t="shared" si="22"/>
        <v>RAS</v>
      </c>
      <c r="J503" t="str">
        <f t="shared" si="23"/>
        <v>Data</v>
      </c>
    </row>
    <row r="504" spans="1:10">
      <c r="A504" t="s">
        <v>791</v>
      </c>
      <c r="B504" t="s">
        <v>792</v>
      </c>
      <c r="C504" s="8" t="s">
        <v>34</v>
      </c>
      <c r="D504" s="8">
        <v>5.42</v>
      </c>
      <c r="E504" s="8">
        <v>2.87</v>
      </c>
      <c r="F504" s="6">
        <v>0.71250000000000002</v>
      </c>
      <c r="G504" t="str">
        <f t="shared" si="21"/>
        <v>Refuse</v>
      </c>
      <c r="H504" t="str" cm="1">
        <f t="array" ref="H504">_xlfn.IFS(E504&gt;=16,"Excellent",E504&gt;=14,"Très bien",E504&gt;=12,"Bien",E504&gt;=10,"Passable",E504&lt;10,"Insuffisant")</f>
        <v>Insuffisant</v>
      </c>
      <c r="I504" t="str">
        <f t="shared" si="22"/>
        <v>A surveiller</v>
      </c>
      <c r="J504" t="str">
        <f t="shared" si="23"/>
        <v>Autre filière</v>
      </c>
    </row>
    <row r="505" spans="1:10">
      <c r="A505" t="s">
        <v>793</v>
      </c>
      <c r="B505" t="s">
        <v>62</v>
      </c>
      <c r="C505" s="8" t="s">
        <v>21</v>
      </c>
      <c r="D505" s="8">
        <v>12.28</v>
      </c>
      <c r="E505" s="8">
        <v>14.46</v>
      </c>
      <c r="F505" s="6">
        <v>0.55000000000000004</v>
      </c>
      <c r="G505" t="str">
        <f t="shared" si="21"/>
        <v>Admis sous condition</v>
      </c>
      <c r="H505" t="str" cm="1">
        <f t="array" ref="H505">_xlfn.IFS(E505&gt;=16,"Excellent",E505&gt;=14,"Très bien",E505&gt;=12,"Bien",E505&gt;=10,"Passable",E505&lt;10,"Insuffisant")</f>
        <v>Très bien</v>
      </c>
      <c r="I505" t="str">
        <f t="shared" si="22"/>
        <v>A surveiller</v>
      </c>
      <c r="J505" t="str">
        <f t="shared" si="23"/>
        <v>Data</v>
      </c>
    </row>
    <row r="506" spans="1:10">
      <c r="A506" t="s">
        <v>794</v>
      </c>
      <c r="B506" t="s">
        <v>247</v>
      </c>
      <c r="C506" s="8" t="s">
        <v>26</v>
      </c>
      <c r="D506" s="8">
        <v>14.44</v>
      </c>
      <c r="E506" s="8">
        <v>16.739999999999998</v>
      </c>
      <c r="F506" s="6">
        <v>0.73099999999999998</v>
      </c>
      <c r="G506" t="str">
        <f t="shared" si="21"/>
        <v>Admis sous condition</v>
      </c>
      <c r="H506" t="str" cm="1">
        <f t="array" ref="H506">_xlfn.IFS(E506&gt;=16,"Excellent",E506&gt;=14,"Très bien",E506&gt;=12,"Bien",E506&gt;=10,"Passable",E506&lt;10,"Insuffisant")</f>
        <v>Excellent</v>
      </c>
      <c r="I506" t="str">
        <f t="shared" si="22"/>
        <v>RAS</v>
      </c>
      <c r="J506" t="str">
        <f t="shared" si="23"/>
        <v>Autre filière</v>
      </c>
    </row>
    <row r="507" spans="1:10">
      <c r="A507" t="s">
        <v>795</v>
      </c>
      <c r="B507" t="s">
        <v>769</v>
      </c>
      <c r="C507" s="8" t="s">
        <v>21</v>
      </c>
      <c r="D507" s="8">
        <v>15.06</v>
      </c>
      <c r="E507" s="8">
        <v>16.93</v>
      </c>
      <c r="F507" s="6">
        <v>0.55000000000000004</v>
      </c>
      <c r="G507" t="str">
        <f t="shared" si="21"/>
        <v>Admis sous condition</v>
      </c>
      <c r="H507" t="str" cm="1">
        <f t="array" ref="H507">_xlfn.IFS(E507&gt;=16,"Excellent",E507&gt;=14,"Très bien",E507&gt;=12,"Bien",E507&gt;=10,"Passable",E507&lt;10,"Insuffisant")</f>
        <v>Excellent</v>
      </c>
      <c r="I507" t="str">
        <f t="shared" si="22"/>
        <v>A surveiller</v>
      </c>
      <c r="J507" t="str">
        <f t="shared" si="23"/>
        <v>Data</v>
      </c>
    </row>
    <row r="508" spans="1:10">
      <c r="A508" t="s">
        <v>796</v>
      </c>
      <c r="B508" t="s">
        <v>403</v>
      </c>
      <c r="C508" s="8" t="s">
        <v>34</v>
      </c>
      <c r="D508" s="8">
        <v>7.55</v>
      </c>
      <c r="E508" s="8">
        <v>9.49</v>
      </c>
      <c r="F508" s="6">
        <v>0.79430000000000001</v>
      </c>
      <c r="G508" t="str">
        <f t="shared" si="21"/>
        <v>Refuse</v>
      </c>
      <c r="H508" t="str" cm="1">
        <f t="array" ref="H508">_xlfn.IFS(E508&gt;=16,"Excellent",E508&gt;=14,"Très bien",E508&gt;=12,"Bien",E508&gt;=10,"Passable",E508&lt;10,"Insuffisant")</f>
        <v>Insuffisant</v>
      </c>
      <c r="I508" t="str">
        <f t="shared" si="22"/>
        <v>A surveiller</v>
      </c>
      <c r="J508" t="str">
        <f t="shared" si="23"/>
        <v>Autre filière</v>
      </c>
    </row>
    <row r="509" spans="1:10">
      <c r="A509" t="s">
        <v>797</v>
      </c>
      <c r="B509" t="s">
        <v>619</v>
      </c>
      <c r="C509" s="8" t="s">
        <v>26</v>
      </c>
      <c r="D509" s="8">
        <v>9.91</v>
      </c>
      <c r="E509" s="8">
        <v>10.67</v>
      </c>
      <c r="F509" s="6">
        <v>0.87590000000000001</v>
      </c>
      <c r="G509" t="str">
        <f t="shared" si="21"/>
        <v>Refuse</v>
      </c>
      <c r="H509" t="str" cm="1">
        <f t="array" ref="H509">_xlfn.IFS(E509&gt;=16,"Excellent",E509&gt;=14,"Très bien",E509&gt;=12,"Bien",E509&gt;=10,"Passable",E509&lt;10,"Insuffisant")</f>
        <v>Passable</v>
      </c>
      <c r="I509" t="str">
        <f t="shared" si="22"/>
        <v>A surveiller</v>
      </c>
      <c r="J509" t="str">
        <f t="shared" si="23"/>
        <v>Autre filière</v>
      </c>
    </row>
    <row r="510" spans="1:10">
      <c r="A510" t="s">
        <v>798</v>
      </c>
      <c r="B510" t="s">
        <v>193</v>
      </c>
      <c r="C510" s="8" t="s">
        <v>26</v>
      </c>
      <c r="D510" s="8">
        <v>12.63</v>
      </c>
      <c r="E510" s="8">
        <v>15.98</v>
      </c>
      <c r="F510" s="6">
        <v>0.89390000000000003</v>
      </c>
      <c r="G510" t="str">
        <f t="shared" si="21"/>
        <v>Admis</v>
      </c>
      <c r="H510" t="str" cm="1">
        <f t="array" ref="H510">_xlfn.IFS(E510&gt;=16,"Excellent",E510&gt;=14,"Très bien",E510&gt;=12,"Bien",E510&gt;=10,"Passable",E510&lt;10,"Insuffisant")</f>
        <v>Très bien</v>
      </c>
      <c r="I510" t="str">
        <f t="shared" si="22"/>
        <v>RAS</v>
      </c>
      <c r="J510" t="str">
        <f t="shared" si="23"/>
        <v>Autre filière</v>
      </c>
    </row>
    <row r="511" spans="1:10">
      <c r="A511" t="s">
        <v>799</v>
      </c>
      <c r="B511" t="s">
        <v>531</v>
      </c>
      <c r="C511" s="8" t="s">
        <v>47</v>
      </c>
      <c r="D511" s="8">
        <v>16.079999999999998</v>
      </c>
      <c r="E511" s="8">
        <v>18.989999999999998</v>
      </c>
      <c r="F511" s="6">
        <v>0.90200000000000002</v>
      </c>
      <c r="G511" t="str">
        <f t="shared" si="21"/>
        <v>Admis</v>
      </c>
      <c r="H511" t="str" cm="1">
        <f t="array" ref="H511">_xlfn.IFS(E511&gt;=16,"Excellent",E511&gt;=14,"Très bien",E511&gt;=12,"Bien",E511&gt;=10,"Passable",E511&lt;10,"Insuffisant")</f>
        <v>Excellent</v>
      </c>
      <c r="I511" t="str">
        <f t="shared" si="22"/>
        <v>RAS</v>
      </c>
      <c r="J511" t="str">
        <f t="shared" si="23"/>
        <v>Autre filière</v>
      </c>
    </row>
    <row r="512" spans="1:10">
      <c r="A512" t="s">
        <v>800</v>
      </c>
      <c r="B512" t="s">
        <v>540</v>
      </c>
      <c r="C512" s="8" t="s">
        <v>21</v>
      </c>
      <c r="D512" s="8">
        <v>9.3000000000000007</v>
      </c>
      <c r="E512" s="8">
        <v>7.63</v>
      </c>
      <c r="F512" s="6">
        <v>0.84670000000000001</v>
      </c>
      <c r="G512" t="str">
        <f t="shared" si="21"/>
        <v>Refuse</v>
      </c>
      <c r="H512" t="str" cm="1">
        <f t="array" ref="H512">_xlfn.IFS(E512&gt;=16,"Excellent",E512&gt;=14,"Très bien",E512&gt;=12,"Bien",E512&gt;=10,"Passable",E512&lt;10,"Insuffisant")</f>
        <v>Insuffisant</v>
      </c>
      <c r="I512" t="str">
        <f t="shared" si="22"/>
        <v>A surveiller</v>
      </c>
      <c r="J512" t="str">
        <f t="shared" si="23"/>
        <v>Data</v>
      </c>
    </row>
    <row r="513" spans="1:10">
      <c r="A513" t="s">
        <v>801</v>
      </c>
      <c r="B513" t="s">
        <v>802</v>
      </c>
      <c r="C513" s="8" t="s">
        <v>34</v>
      </c>
      <c r="D513" s="8">
        <v>8.76</v>
      </c>
      <c r="E513" s="8">
        <v>13.04</v>
      </c>
      <c r="F513" s="6">
        <v>0.95030000000000003</v>
      </c>
      <c r="G513" t="str">
        <f t="shared" si="21"/>
        <v>Refuse</v>
      </c>
      <c r="H513" t="str" cm="1">
        <f t="array" ref="H513">_xlfn.IFS(E513&gt;=16,"Excellent",E513&gt;=14,"Très bien",E513&gt;=12,"Bien",E513&gt;=10,"Passable",E513&lt;10,"Insuffisant")</f>
        <v>Bien</v>
      </c>
      <c r="I513" t="str">
        <f t="shared" si="22"/>
        <v>A surveiller</v>
      </c>
      <c r="J513" t="str">
        <f t="shared" si="23"/>
        <v>Autre filière</v>
      </c>
    </row>
    <row r="514" spans="1:10">
      <c r="A514" t="s">
        <v>803</v>
      </c>
      <c r="B514" t="s">
        <v>804</v>
      </c>
      <c r="C514" s="8" t="s">
        <v>21</v>
      </c>
      <c r="D514" s="8">
        <v>19.440000000000001</v>
      </c>
      <c r="E514" s="8">
        <v>18.03</v>
      </c>
      <c r="F514" s="6">
        <v>0.64149999999999996</v>
      </c>
      <c r="G514" t="str">
        <f t="shared" si="21"/>
        <v>Admis sous condition</v>
      </c>
      <c r="H514" t="str" cm="1">
        <f t="array" ref="H514">_xlfn.IFS(E514&gt;=16,"Excellent",E514&gt;=14,"Très bien",E514&gt;=12,"Bien",E514&gt;=10,"Passable",E514&lt;10,"Insuffisant")</f>
        <v>Excellent</v>
      </c>
      <c r="I514" t="str">
        <f t="shared" si="22"/>
        <v>A surveiller</v>
      </c>
      <c r="J514" t="str">
        <f t="shared" si="23"/>
        <v>Data</v>
      </c>
    </row>
    <row r="515" spans="1:10">
      <c r="A515" t="s">
        <v>805</v>
      </c>
      <c r="B515" t="s">
        <v>95</v>
      </c>
      <c r="C515" s="8" t="s">
        <v>47</v>
      </c>
      <c r="D515" s="8">
        <v>15.59</v>
      </c>
      <c r="E515" s="8">
        <v>18.34</v>
      </c>
      <c r="F515" s="6">
        <v>0.79949999999999999</v>
      </c>
      <c r="G515" t="str">
        <f t="shared" ref="G515:G578" si="24">IF(AND(D515&gt;=12,E515&gt;=12,F515&gt;=80%),"Admis",IF(AND(D515&gt;=10,E515&gt;=10),"Admis sous condition","Refuse"))</f>
        <v>Admis sous condition</v>
      </c>
      <c r="H515" t="str" cm="1">
        <f t="array" ref="H515">_xlfn.IFS(E515&gt;=16,"Excellent",E515&gt;=14,"Très bien",E515&gt;=12,"Bien",E515&gt;=10,"Passable",E515&lt;10,"Insuffisant")</f>
        <v>Excellent</v>
      </c>
      <c r="I515" t="str">
        <f t="shared" ref="I515:I578" si="25">IF(OR(D515&lt;10,E515&lt;10,F515&lt;70%),"A surveiller","RAS")</f>
        <v>RAS</v>
      </c>
      <c r="J515" t="str">
        <f t="shared" ref="J515:J578" si="26">IF(NOT(C515="Data"),"Autre filière","Data")</f>
        <v>Autre filière</v>
      </c>
    </row>
    <row r="516" spans="1:10">
      <c r="A516" t="s">
        <v>806</v>
      </c>
      <c r="B516" t="s">
        <v>341</v>
      </c>
      <c r="C516" s="8" t="s">
        <v>34</v>
      </c>
      <c r="D516" s="8">
        <v>19.27</v>
      </c>
      <c r="E516" s="8">
        <v>16.03</v>
      </c>
      <c r="F516" s="6">
        <v>0.90680000000000005</v>
      </c>
      <c r="G516" t="str">
        <f t="shared" si="24"/>
        <v>Admis</v>
      </c>
      <c r="H516" t="str" cm="1">
        <f t="array" ref="H516">_xlfn.IFS(E516&gt;=16,"Excellent",E516&gt;=14,"Très bien",E516&gt;=12,"Bien",E516&gt;=10,"Passable",E516&lt;10,"Insuffisant")</f>
        <v>Excellent</v>
      </c>
      <c r="I516" t="str">
        <f t="shared" si="25"/>
        <v>RAS</v>
      </c>
      <c r="J516" t="str">
        <f t="shared" si="26"/>
        <v>Autre filière</v>
      </c>
    </row>
    <row r="517" spans="1:10">
      <c r="A517" t="s">
        <v>807</v>
      </c>
      <c r="B517" t="s">
        <v>736</v>
      </c>
      <c r="C517" s="8" t="s">
        <v>47</v>
      </c>
      <c r="D517" s="8">
        <v>15.69</v>
      </c>
      <c r="E517" s="8">
        <v>14.47</v>
      </c>
      <c r="F517" s="6">
        <v>0.81320000000000003</v>
      </c>
      <c r="G517" t="str">
        <f t="shared" si="24"/>
        <v>Admis</v>
      </c>
      <c r="H517" t="str" cm="1">
        <f t="array" ref="H517">_xlfn.IFS(E517&gt;=16,"Excellent",E517&gt;=14,"Très bien",E517&gt;=12,"Bien",E517&gt;=10,"Passable",E517&lt;10,"Insuffisant")</f>
        <v>Très bien</v>
      </c>
      <c r="I517" t="str">
        <f t="shared" si="25"/>
        <v>RAS</v>
      </c>
      <c r="J517" t="str">
        <f t="shared" si="26"/>
        <v>Autre filière</v>
      </c>
    </row>
    <row r="518" spans="1:10">
      <c r="A518" t="s">
        <v>808</v>
      </c>
      <c r="B518" t="s">
        <v>203</v>
      </c>
      <c r="C518" s="8" t="s">
        <v>47</v>
      </c>
      <c r="D518" s="8">
        <v>13.49</v>
      </c>
      <c r="E518" s="8">
        <v>16.61</v>
      </c>
      <c r="F518" s="6">
        <v>0.86909999999999998</v>
      </c>
      <c r="G518" t="str">
        <f t="shared" si="24"/>
        <v>Admis</v>
      </c>
      <c r="H518" t="str" cm="1">
        <f t="array" ref="H518">_xlfn.IFS(E518&gt;=16,"Excellent",E518&gt;=14,"Très bien",E518&gt;=12,"Bien",E518&gt;=10,"Passable",E518&lt;10,"Insuffisant")</f>
        <v>Excellent</v>
      </c>
      <c r="I518" t="str">
        <f t="shared" si="25"/>
        <v>RAS</v>
      </c>
      <c r="J518" t="str">
        <f t="shared" si="26"/>
        <v>Autre filière</v>
      </c>
    </row>
    <row r="519" spans="1:10">
      <c r="A519" t="s">
        <v>809</v>
      </c>
      <c r="B519" t="s">
        <v>491</v>
      </c>
      <c r="C519" s="8" t="s">
        <v>26</v>
      </c>
      <c r="D519" s="8">
        <v>17.48</v>
      </c>
      <c r="E519" s="8">
        <v>18.28</v>
      </c>
      <c r="F519" s="6">
        <v>0.94379999999999997</v>
      </c>
      <c r="G519" t="str">
        <f t="shared" si="24"/>
        <v>Admis</v>
      </c>
      <c r="H519" t="str" cm="1">
        <f t="array" ref="H519">_xlfn.IFS(E519&gt;=16,"Excellent",E519&gt;=14,"Très bien",E519&gt;=12,"Bien",E519&gt;=10,"Passable",E519&lt;10,"Insuffisant")</f>
        <v>Excellent</v>
      </c>
      <c r="I519" t="str">
        <f t="shared" si="25"/>
        <v>RAS</v>
      </c>
      <c r="J519" t="str">
        <f t="shared" si="26"/>
        <v>Autre filière</v>
      </c>
    </row>
    <row r="520" spans="1:10">
      <c r="A520" t="s">
        <v>810</v>
      </c>
      <c r="B520" t="s">
        <v>466</v>
      </c>
      <c r="C520" s="8" t="s">
        <v>34</v>
      </c>
      <c r="D520" s="8">
        <v>8.16</v>
      </c>
      <c r="E520" s="8">
        <v>13.16</v>
      </c>
      <c r="F520" s="6">
        <v>0.71540000000000004</v>
      </c>
      <c r="G520" t="str">
        <f t="shared" si="24"/>
        <v>Refuse</v>
      </c>
      <c r="H520" t="str" cm="1">
        <f t="array" ref="H520">_xlfn.IFS(E520&gt;=16,"Excellent",E520&gt;=14,"Très bien",E520&gt;=12,"Bien",E520&gt;=10,"Passable",E520&lt;10,"Insuffisant")</f>
        <v>Bien</v>
      </c>
      <c r="I520" t="str">
        <f t="shared" si="25"/>
        <v>A surveiller</v>
      </c>
      <c r="J520" t="str">
        <f t="shared" si="26"/>
        <v>Autre filière</v>
      </c>
    </row>
    <row r="521" spans="1:10">
      <c r="A521" t="s">
        <v>811</v>
      </c>
      <c r="B521" t="s">
        <v>269</v>
      </c>
      <c r="C521" s="8" t="s">
        <v>26</v>
      </c>
      <c r="D521" s="8">
        <v>13.84</v>
      </c>
      <c r="E521" s="8">
        <v>19.28</v>
      </c>
      <c r="F521" s="6">
        <v>0.58179999999999998</v>
      </c>
      <c r="G521" t="str">
        <f t="shared" si="24"/>
        <v>Admis sous condition</v>
      </c>
      <c r="H521" t="str" cm="1">
        <f t="array" ref="H521">_xlfn.IFS(E521&gt;=16,"Excellent",E521&gt;=14,"Très bien",E521&gt;=12,"Bien",E521&gt;=10,"Passable",E521&lt;10,"Insuffisant")</f>
        <v>Excellent</v>
      </c>
      <c r="I521" t="str">
        <f t="shared" si="25"/>
        <v>A surveiller</v>
      </c>
      <c r="J521" t="str">
        <f t="shared" si="26"/>
        <v>Autre filière</v>
      </c>
    </row>
    <row r="522" spans="1:10">
      <c r="A522" t="s">
        <v>812</v>
      </c>
      <c r="B522" t="s">
        <v>290</v>
      </c>
      <c r="C522" s="8" t="s">
        <v>34</v>
      </c>
      <c r="D522" s="8">
        <v>10.39</v>
      </c>
      <c r="E522" s="8">
        <v>11.19</v>
      </c>
      <c r="F522" s="6">
        <v>0.92800000000000005</v>
      </c>
      <c r="G522" t="str">
        <f t="shared" si="24"/>
        <v>Admis sous condition</v>
      </c>
      <c r="H522" t="str" cm="1">
        <f t="array" ref="H522">_xlfn.IFS(E522&gt;=16,"Excellent",E522&gt;=14,"Très bien",E522&gt;=12,"Bien",E522&gt;=10,"Passable",E522&lt;10,"Insuffisant")</f>
        <v>Passable</v>
      </c>
      <c r="I522" t="str">
        <f t="shared" si="25"/>
        <v>RAS</v>
      </c>
      <c r="J522" t="str">
        <f t="shared" si="26"/>
        <v>Autre filière</v>
      </c>
    </row>
    <row r="523" spans="1:10">
      <c r="A523" t="s">
        <v>813</v>
      </c>
      <c r="B523" t="s">
        <v>273</v>
      </c>
      <c r="C523" s="8" t="s">
        <v>47</v>
      </c>
      <c r="D523" s="8">
        <v>9.67</v>
      </c>
      <c r="E523" s="8">
        <v>14.99</v>
      </c>
      <c r="F523" s="6">
        <v>0.94699999999999995</v>
      </c>
      <c r="G523" t="str">
        <f t="shared" si="24"/>
        <v>Refuse</v>
      </c>
      <c r="H523" t="str" cm="1">
        <f t="array" ref="H523">_xlfn.IFS(E523&gt;=16,"Excellent",E523&gt;=14,"Très bien",E523&gt;=12,"Bien",E523&gt;=10,"Passable",E523&lt;10,"Insuffisant")</f>
        <v>Très bien</v>
      </c>
      <c r="I523" t="str">
        <f t="shared" si="25"/>
        <v>A surveiller</v>
      </c>
      <c r="J523" t="str">
        <f t="shared" si="26"/>
        <v>Autre filière</v>
      </c>
    </row>
    <row r="524" spans="1:10">
      <c r="A524" t="s">
        <v>814</v>
      </c>
      <c r="B524" t="s">
        <v>580</v>
      </c>
      <c r="C524" s="8" t="s">
        <v>47</v>
      </c>
      <c r="D524" s="8">
        <v>13.92</v>
      </c>
      <c r="E524" s="8">
        <v>16.93</v>
      </c>
      <c r="F524" s="6">
        <v>0.82799999999999996</v>
      </c>
      <c r="G524" t="str">
        <f t="shared" si="24"/>
        <v>Admis</v>
      </c>
      <c r="H524" t="str" cm="1">
        <f t="array" ref="H524">_xlfn.IFS(E524&gt;=16,"Excellent",E524&gt;=14,"Très bien",E524&gt;=12,"Bien",E524&gt;=10,"Passable",E524&lt;10,"Insuffisant")</f>
        <v>Excellent</v>
      </c>
      <c r="I524" t="str">
        <f t="shared" si="25"/>
        <v>RAS</v>
      </c>
      <c r="J524" t="str">
        <f t="shared" si="26"/>
        <v>Autre filière</v>
      </c>
    </row>
    <row r="525" spans="1:10">
      <c r="A525" t="s">
        <v>815</v>
      </c>
      <c r="B525" t="s">
        <v>199</v>
      </c>
      <c r="C525" s="8" t="s">
        <v>26</v>
      </c>
      <c r="D525" s="8">
        <v>9.5299999999999994</v>
      </c>
      <c r="E525" s="8">
        <v>11.77</v>
      </c>
      <c r="F525" s="6">
        <v>0.91100000000000003</v>
      </c>
      <c r="G525" t="str">
        <f t="shared" si="24"/>
        <v>Refuse</v>
      </c>
      <c r="H525" t="str" cm="1">
        <f t="array" ref="H525">_xlfn.IFS(E525&gt;=16,"Excellent",E525&gt;=14,"Très bien",E525&gt;=12,"Bien",E525&gt;=10,"Passable",E525&lt;10,"Insuffisant")</f>
        <v>Passable</v>
      </c>
      <c r="I525" t="str">
        <f t="shared" si="25"/>
        <v>A surveiller</v>
      </c>
      <c r="J525" t="str">
        <f t="shared" si="26"/>
        <v>Autre filière</v>
      </c>
    </row>
    <row r="526" spans="1:10">
      <c r="A526" t="s">
        <v>816</v>
      </c>
      <c r="B526" t="s">
        <v>561</v>
      </c>
      <c r="C526" s="8" t="s">
        <v>34</v>
      </c>
      <c r="D526" s="8">
        <v>13.66</v>
      </c>
      <c r="E526" s="8">
        <v>13.71</v>
      </c>
      <c r="F526" s="6">
        <v>0.75600000000000001</v>
      </c>
      <c r="G526" t="str">
        <f t="shared" si="24"/>
        <v>Admis sous condition</v>
      </c>
      <c r="H526" t="str" cm="1">
        <f t="array" ref="H526">_xlfn.IFS(E526&gt;=16,"Excellent",E526&gt;=14,"Très bien",E526&gt;=12,"Bien",E526&gt;=10,"Passable",E526&lt;10,"Insuffisant")</f>
        <v>Bien</v>
      </c>
      <c r="I526" t="str">
        <f t="shared" si="25"/>
        <v>RAS</v>
      </c>
      <c r="J526" t="str">
        <f t="shared" si="26"/>
        <v>Autre filière</v>
      </c>
    </row>
    <row r="527" spans="1:10">
      <c r="A527" t="s">
        <v>817</v>
      </c>
      <c r="B527" t="s">
        <v>136</v>
      </c>
      <c r="C527" s="8" t="s">
        <v>26</v>
      </c>
      <c r="D527" s="8">
        <v>9.39</v>
      </c>
      <c r="E527" s="8">
        <v>15.74</v>
      </c>
      <c r="F527" s="6">
        <v>0.92679999999999996</v>
      </c>
      <c r="G527" t="str">
        <f t="shared" si="24"/>
        <v>Refuse</v>
      </c>
      <c r="H527" t="str" cm="1">
        <f t="array" ref="H527">_xlfn.IFS(E527&gt;=16,"Excellent",E527&gt;=14,"Très bien",E527&gt;=12,"Bien",E527&gt;=10,"Passable",E527&lt;10,"Insuffisant")</f>
        <v>Très bien</v>
      </c>
      <c r="I527" t="str">
        <f t="shared" si="25"/>
        <v>A surveiller</v>
      </c>
      <c r="J527" t="str">
        <f t="shared" si="26"/>
        <v>Autre filière</v>
      </c>
    </row>
    <row r="528" spans="1:10">
      <c r="A528" t="s">
        <v>818</v>
      </c>
      <c r="B528" t="s">
        <v>819</v>
      </c>
      <c r="C528" s="8" t="s">
        <v>34</v>
      </c>
      <c r="D528" s="8">
        <v>11.43</v>
      </c>
      <c r="E528" s="8">
        <v>14.27</v>
      </c>
      <c r="F528" s="6">
        <v>0.89890000000000003</v>
      </c>
      <c r="G528" t="str">
        <f t="shared" si="24"/>
        <v>Admis sous condition</v>
      </c>
      <c r="H528" t="str" cm="1">
        <f t="array" ref="H528">_xlfn.IFS(E528&gt;=16,"Excellent",E528&gt;=14,"Très bien",E528&gt;=12,"Bien",E528&gt;=10,"Passable",E528&lt;10,"Insuffisant")</f>
        <v>Très bien</v>
      </c>
      <c r="I528" t="str">
        <f t="shared" si="25"/>
        <v>RAS</v>
      </c>
      <c r="J528" t="str">
        <f t="shared" si="26"/>
        <v>Autre filière</v>
      </c>
    </row>
    <row r="529" spans="1:10">
      <c r="A529" t="s">
        <v>820</v>
      </c>
      <c r="B529" t="s">
        <v>821</v>
      </c>
      <c r="C529" s="8" t="s">
        <v>34</v>
      </c>
      <c r="D529" s="8">
        <v>12.55</v>
      </c>
      <c r="E529" s="8">
        <v>12.69</v>
      </c>
      <c r="F529" s="6">
        <v>0.84360000000000002</v>
      </c>
      <c r="G529" t="str">
        <f t="shared" si="24"/>
        <v>Admis</v>
      </c>
      <c r="H529" t="str" cm="1">
        <f t="array" ref="H529">_xlfn.IFS(E529&gt;=16,"Excellent",E529&gt;=14,"Très bien",E529&gt;=12,"Bien",E529&gt;=10,"Passable",E529&lt;10,"Insuffisant")</f>
        <v>Bien</v>
      </c>
      <c r="I529" t="str">
        <f t="shared" si="25"/>
        <v>RAS</v>
      </c>
      <c r="J529" t="str">
        <f t="shared" si="26"/>
        <v>Autre filière</v>
      </c>
    </row>
    <row r="530" spans="1:10">
      <c r="A530" t="s">
        <v>822</v>
      </c>
      <c r="B530" t="s">
        <v>343</v>
      </c>
      <c r="C530" s="8" t="s">
        <v>34</v>
      </c>
      <c r="D530" s="8">
        <v>13.49</v>
      </c>
      <c r="E530" s="8">
        <v>9.61</v>
      </c>
      <c r="F530" s="6">
        <v>0.68110000000000004</v>
      </c>
      <c r="G530" t="str">
        <f t="shared" si="24"/>
        <v>Refuse</v>
      </c>
      <c r="H530" t="str" cm="1">
        <f t="array" ref="H530">_xlfn.IFS(E530&gt;=16,"Excellent",E530&gt;=14,"Très bien",E530&gt;=12,"Bien",E530&gt;=10,"Passable",E530&lt;10,"Insuffisant")</f>
        <v>Insuffisant</v>
      </c>
      <c r="I530" t="str">
        <f t="shared" si="25"/>
        <v>A surveiller</v>
      </c>
      <c r="J530" t="str">
        <f t="shared" si="26"/>
        <v>Autre filière</v>
      </c>
    </row>
    <row r="531" spans="1:10">
      <c r="A531" t="s">
        <v>823</v>
      </c>
      <c r="B531" t="s">
        <v>824</v>
      </c>
      <c r="C531" s="8" t="s">
        <v>47</v>
      </c>
      <c r="D531" s="8">
        <v>14.42</v>
      </c>
      <c r="E531" s="8">
        <v>17.82</v>
      </c>
      <c r="F531" s="6">
        <v>0.81059999999999999</v>
      </c>
      <c r="G531" t="str">
        <f t="shared" si="24"/>
        <v>Admis</v>
      </c>
      <c r="H531" t="str" cm="1">
        <f t="array" ref="H531">_xlfn.IFS(E531&gt;=16,"Excellent",E531&gt;=14,"Très bien",E531&gt;=12,"Bien",E531&gt;=10,"Passable",E531&lt;10,"Insuffisant")</f>
        <v>Excellent</v>
      </c>
      <c r="I531" t="str">
        <f t="shared" si="25"/>
        <v>RAS</v>
      </c>
      <c r="J531" t="str">
        <f t="shared" si="26"/>
        <v>Autre filière</v>
      </c>
    </row>
    <row r="532" spans="1:10">
      <c r="A532" t="s">
        <v>825</v>
      </c>
      <c r="B532" t="s">
        <v>728</v>
      </c>
      <c r="C532" s="8" t="s">
        <v>47</v>
      </c>
      <c r="D532" s="8">
        <v>8.59</v>
      </c>
      <c r="E532" s="8">
        <v>12.24</v>
      </c>
      <c r="F532" s="6">
        <v>0.61350000000000005</v>
      </c>
      <c r="G532" t="str">
        <f t="shared" si="24"/>
        <v>Refuse</v>
      </c>
      <c r="H532" t="str" cm="1">
        <f t="array" ref="H532">_xlfn.IFS(E532&gt;=16,"Excellent",E532&gt;=14,"Très bien",E532&gt;=12,"Bien",E532&gt;=10,"Passable",E532&lt;10,"Insuffisant")</f>
        <v>Bien</v>
      </c>
      <c r="I532" t="str">
        <f t="shared" si="25"/>
        <v>A surveiller</v>
      </c>
      <c r="J532" t="str">
        <f t="shared" si="26"/>
        <v>Autre filière</v>
      </c>
    </row>
    <row r="533" spans="1:10">
      <c r="A533" t="s">
        <v>826</v>
      </c>
      <c r="B533" t="s">
        <v>563</v>
      </c>
      <c r="C533" s="8" t="s">
        <v>21</v>
      </c>
      <c r="D533" s="8">
        <v>14.95</v>
      </c>
      <c r="E533" s="8">
        <v>16.39</v>
      </c>
      <c r="F533" s="6">
        <v>0.89029999999999998</v>
      </c>
      <c r="G533" t="str">
        <f t="shared" si="24"/>
        <v>Admis</v>
      </c>
      <c r="H533" t="str" cm="1">
        <f t="array" ref="H533">_xlfn.IFS(E533&gt;=16,"Excellent",E533&gt;=14,"Très bien",E533&gt;=12,"Bien",E533&gt;=10,"Passable",E533&lt;10,"Insuffisant")</f>
        <v>Excellent</v>
      </c>
      <c r="I533" t="str">
        <f t="shared" si="25"/>
        <v>RAS</v>
      </c>
      <c r="J533" t="str">
        <f t="shared" si="26"/>
        <v>Data</v>
      </c>
    </row>
    <row r="534" spans="1:10">
      <c r="A534" t="s">
        <v>827</v>
      </c>
      <c r="B534" t="s">
        <v>328</v>
      </c>
      <c r="C534" s="8" t="s">
        <v>26</v>
      </c>
      <c r="D534" s="8">
        <v>7.23</v>
      </c>
      <c r="E534" s="8">
        <v>9.68</v>
      </c>
      <c r="F534" s="6">
        <v>0.9899</v>
      </c>
      <c r="G534" t="str">
        <f t="shared" si="24"/>
        <v>Refuse</v>
      </c>
      <c r="H534" t="str" cm="1">
        <f t="array" ref="H534">_xlfn.IFS(E534&gt;=16,"Excellent",E534&gt;=14,"Très bien",E534&gt;=12,"Bien",E534&gt;=10,"Passable",E534&lt;10,"Insuffisant")</f>
        <v>Insuffisant</v>
      </c>
      <c r="I534" t="str">
        <f t="shared" si="25"/>
        <v>A surveiller</v>
      </c>
      <c r="J534" t="str">
        <f t="shared" si="26"/>
        <v>Autre filière</v>
      </c>
    </row>
    <row r="535" spans="1:10">
      <c r="A535" t="s">
        <v>828</v>
      </c>
      <c r="B535" t="s">
        <v>174</v>
      </c>
      <c r="C535" s="8" t="s">
        <v>26</v>
      </c>
      <c r="D535" s="8">
        <v>12.81</v>
      </c>
      <c r="E535" s="8">
        <v>12.84</v>
      </c>
      <c r="F535" s="6">
        <v>0.64270000000000005</v>
      </c>
      <c r="G535" t="str">
        <f t="shared" si="24"/>
        <v>Admis sous condition</v>
      </c>
      <c r="H535" t="str" cm="1">
        <f t="array" ref="H535">_xlfn.IFS(E535&gt;=16,"Excellent",E535&gt;=14,"Très bien",E535&gt;=12,"Bien",E535&gt;=10,"Passable",E535&lt;10,"Insuffisant")</f>
        <v>Bien</v>
      </c>
      <c r="I535" t="str">
        <f t="shared" si="25"/>
        <v>A surveiller</v>
      </c>
      <c r="J535" t="str">
        <f t="shared" si="26"/>
        <v>Autre filière</v>
      </c>
    </row>
    <row r="536" spans="1:10">
      <c r="A536" t="s">
        <v>829</v>
      </c>
      <c r="B536" t="s">
        <v>261</v>
      </c>
      <c r="C536" s="8" t="s">
        <v>21</v>
      </c>
      <c r="D536" s="8">
        <v>13.05</v>
      </c>
      <c r="E536" s="8">
        <v>11.9</v>
      </c>
      <c r="F536" s="6">
        <v>0.55000000000000004</v>
      </c>
      <c r="G536" t="str">
        <f t="shared" si="24"/>
        <v>Admis sous condition</v>
      </c>
      <c r="H536" t="str" cm="1">
        <f t="array" ref="H536">_xlfn.IFS(E536&gt;=16,"Excellent",E536&gt;=14,"Très bien",E536&gt;=12,"Bien",E536&gt;=10,"Passable",E536&lt;10,"Insuffisant")</f>
        <v>Passable</v>
      </c>
      <c r="I536" t="str">
        <f t="shared" si="25"/>
        <v>A surveiller</v>
      </c>
      <c r="J536" t="str">
        <f t="shared" si="26"/>
        <v>Data</v>
      </c>
    </row>
    <row r="537" spans="1:10">
      <c r="A537" t="s">
        <v>830</v>
      </c>
      <c r="B537" t="s">
        <v>491</v>
      </c>
      <c r="C537" s="8" t="s">
        <v>26</v>
      </c>
      <c r="D537" s="8">
        <v>20</v>
      </c>
      <c r="E537" s="8">
        <v>15.95</v>
      </c>
      <c r="F537" s="6">
        <v>0.97529999999999994</v>
      </c>
      <c r="G537" t="str">
        <f t="shared" si="24"/>
        <v>Admis</v>
      </c>
      <c r="H537" t="str" cm="1">
        <f t="array" ref="H537">_xlfn.IFS(E537&gt;=16,"Excellent",E537&gt;=14,"Très bien",E537&gt;=12,"Bien",E537&gt;=10,"Passable",E537&lt;10,"Insuffisant")</f>
        <v>Très bien</v>
      </c>
      <c r="I537" t="str">
        <f t="shared" si="25"/>
        <v>RAS</v>
      </c>
      <c r="J537" t="str">
        <f t="shared" si="26"/>
        <v>Autre filière</v>
      </c>
    </row>
    <row r="538" spans="1:10">
      <c r="A538" t="s">
        <v>831</v>
      </c>
      <c r="B538" t="s">
        <v>832</v>
      </c>
      <c r="C538" s="8" t="s">
        <v>47</v>
      </c>
      <c r="D538" s="8">
        <v>13.06</v>
      </c>
      <c r="E538" s="8">
        <v>14.91</v>
      </c>
      <c r="F538" s="6">
        <v>0.55000000000000004</v>
      </c>
      <c r="G538" t="str">
        <f t="shared" si="24"/>
        <v>Admis sous condition</v>
      </c>
      <c r="H538" t="str" cm="1">
        <f t="array" ref="H538">_xlfn.IFS(E538&gt;=16,"Excellent",E538&gt;=14,"Très bien",E538&gt;=12,"Bien",E538&gt;=10,"Passable",E538&lt;10,"Insuffisant")</f>
        <v>Très bien</v>
      </c>
      <c r="I538" t="str">
        <f t="shared" si="25"/>
        <v>A surveiller</v>
      </c>
      <c r="J538" t="str">
        <f t="shared" si="26"/>
        <v>Autre filière</v>
      </c>
    </row>
    <row r="539" spans="1:10">
      <c r="A539" t="s">
        <v>833</v>
      </c>
      <c r="B539" t="s">
        <v>353</v>
      </c>
      <c r="C539" s="8" t="s">
        <v>21</v>
      </c>
      <c r="D539" s="8">
        <v>12.32</v>
      </c>
      <c r="E539" s="8">
        <v>13.69</v>
      </c>
      <c r="F539" s="6">
        <v>0.86860000000000004</v>
      </c>
      <c r="G539" t="str">
        <f t="shared" si="24"/>
        <v>Admis</v>
      </c>
      <c r="H539" t="str" cm="1">
        <f t="array" ref="H539">_xlfn.IFS(E539&gt;=16,"Excellent",E539&gt;=14,"Très bien",E539&gt;=12,"Bien",E539&gt;=10,"Passable",E539&lt;10,"Insuffisant")</f>
        <v>Bien</v>
      </c>
      <c r="I539" t="str">
        <f t="shared" si="25"/>
        <v>RAS</v>
      </c>
      <c r="J539" t="str">
        <f t="shared" si="26"/>
        <v>Data</v>
      </c>
    </row>
    <row r="540" spans="1:10">
      <c r="A540" t="s">
        <v>834</v>
      </c>
      <c r="B540" t="s">
        <v>379</v>
      </c>
      <c r="C540" s="8" t="s">
        <v>34</v>
      </c>
      <c r="D540" s="8">
        <v>13.63</v>
      </c>
      <c r="E540" s="8">
        <v>14.27</v>
      </c>
      <c r="F540" s="6">
        <v>0.97550000000000003</v>
      </c>
      <c r="G540" t="str">
        <f t="shared" si="24"/>
        <v>Admis</v>
      </c>
      <c r="H540" t="str" cm="1">
        <f t="array" ref="H540">_xlfn.IFS(E540&gt;=16,"Excellent",E540&gt;=14,"Très bien",E540&gt;=12,"Bien",E540&gt;=10,"Passable",E540&lt;10,"Insuffisant")</f>
        <v>Très bien</v>
      </c>
      <c r="I540" t="str">
        <f t="shared" si="25"/>
        <v>RAS</v>
      </c>
      <c r="J540" t="str">
        <f t="shared" si="26"/>
        <v>Autre filière</v>
      </c>
    </row>
    <row r="541" spans="1:10">
      <c r="A541" t="s">
        <v>835</v>
      </c>
      <c r="B541" t="s">
        <v>381</v>
      </c>
      <c r="C541" s="8" t="s">
        <v>26</v>
      </c>
      <c r="D541" s="8">
        <v>8.07</v>
      </c>
      <c r="E541" s="8">
        <v>9.7899999999999991</v>
      </c>
      <c r="F541" s="6">
        <v>0.92479999999999996</v>
      </c>
      <c r="G541" t="str">
        <f t="shared" si="24"/>
        <v>Refuse</v>
      </c>
      <c r="H541" t="str" cm="1">
        <f t="array" ref="H541">_xlfn.IFS(E541&gt;=16,"Excellent",E541&gt;=14,"Très bien",E541&gt;=12,"Bien",E541&gt;=10,"Passable",E541&lt;10,"Insuffisant")</f>
        <v>Insuffisant</v>
      </c>
      <c r="I541" t="str">
        <f t="shared" si="25"/>
        <v>A surveiller</v>
      </c>
      <c r="J541" t="str">
        <f t="shared" si="26"/>
        <v>Autre filière</v>
      </c>
    </row>
    <row r="542" spans="1:10">
      <c r="A542" t="s">
        <v>836</v>
      </c>
      <c r="B542" t="s">
        <v>217</v>
      </c>
      <c r="C542" s="8" t="s">
        <v>34</v>
      </c>
      <c r="D542" s="8">
        <v>14.22</v>
      </c>
      <c r="E542" s="8">
        <v>16.41</v>
      </c>
      <c r="F542" s="6">
        <v>0.88629999999999998</v>
      </c>
      <c r="G542" t="str">
        <f t="shared" si="24"/>
        <v>Admis</v>
      </c>
      <c r="H542" t="str" cm="1">
        <f t="array" ref="H542">_xlfn.IFS(E542&gt;=16,"Excellent",E542&gt;=14,"Très bien",E542&gt;=12,"Bien",E542&gt;=10,"Passable",E542&lt;10,"Insuffisant")</f>
        <v>Excellent</v>
      </c>
      <c r="I542" t="str">
        <f t="shared" si="25"/>
        <v>RAS</v>
      </c>
      <c r="J542" t="str">
        <f t="shared" si="26"/>
        <v>Autre filière</v>
      </c>
    </row>
    <row r="543" spans="1:10">
      <c r="A543" t="s">
        <v>837</v>
      </c>
      <c r="B543" t="s">
        <v>240</v>
      </c>
      <c r="C543" s="8" t="s">
        <v>26</v>
      </c>
      <c r="D543" s="8">
        <v>18.98</v>
      </c>
      <c r="E543" s="8">
        <v>20</v>
      </c>
      <c r="F543" s="6">
        <v>0.88</v>
      </c>
      <c r="G543" t="str">
        <f t="shared" si="24"/>
        <v>Admis</v>
      </c>
      <c r="H543" t="str" cm="1">
        <f t="array" ref="H543">_xlfn.IFS(E543&gt;=16,"Excellent",E543&gt;=14,"Très bien",E543&gt;=12,"Bien",E543&gt;=10,"Passable",E543&lt;10,"Insuffisant")</f>
        <v>Excellent</v>
      </c>
      <c r="I543" t="str">
        <f t="shared" si="25"/>
        <v>RAS</v>
      </c>
      <c r="J543" t="str">
        <f t="shared" si="26"/>
        <v>Autre filière</v>
      </c>
    </row>
    <row r="544" spans="1:10">
      <c r="A544" t="s">
        <v>838</v>
      </c>
      <c r="B544" t="s">
        <v>450</v>
      </c>
      <c r="C544" s="8" t="s">
        <v>34</v>
      </c>
      <c r="D544" s="8">
        <v>16.260000000000002</v>
      </c>
      <c r="E544" s="8">
        <v>13.46</v>
      </c>
      <c r="F544" s="6">
        <v>0.91969999999999996</v>
      </c>
      <c r="G544" t="str">
        <f t="shared" si="24"/>
        <v>Admis</v>
      </c>
      <c r="H544" t="str" cm="1">
        <f t="array" ref="H544">_xlfn.IFS(E544&gt;=16,"Excellent",E544&gt;=14,"Très bien",E544&gt;=12,"Bien",E544&gt;=10,"Passable",E544&lt;10,"Insuffisant")</f>
        <v>Bien</v>
      </c>
      <c r="I544" t="str">
        <f t="shared" si="25"/>
        <v>RAS</v>
      </c>
      <c r="J544" t="str">
        <f t="shared" si="26"/>
        <v>Autre filière</v>
      </c>
    </row>
    <row r="545" spans="1:10">
      <c r="A545" t="s">
        <v>839</v>
      </c>
      <c r="B545" t="s">
        <v>132</v>
      </c>
      <c r="C545" s="8" t="s">
        <v>21</v>
      </c>
      <c r="D545" s="8">
        <v>12.33</v>
      </c>
      <c r="E545" s="8">
        <v>15.55</v>
      </c>
      <c r="F545" s="6">
        <v>0.96040000000000003</v>
      </c>
      <c r="G545" t="str">
        <f t="shared" si="24"/>
        <v>Admis</v>
      </c>
      <c r="H545" t="str" cm="1">
        <f t="array" ref="H545">_xlfn.IFS(E545&gt;=16,"Excellent",E545&gt;=14,"Très bien",E545&gt;=12,"Bien",E545&gt;=10,"Passable",E545&lt;10,"Insuffisant")</f>
        <v>Très bien</v>
      </c>
      <c r="I545" t="str">
        <f t="shared" si="25"/>
        <v>RAS</v>
      </c>
      <c r="J545" t="str">
        <f t="shared" si="26"/>
        <v>Data</v>
      </c>
    </row>
    <row r="546" spans="1:10">
      <c r="A546" t="s">
        <v>840</v>
      </c>
      <c r="B546" t="s">
        <v>190</v>
      </c>
      <c r="C546" s="8" t="s">
        <v>34</v>
      </c>
      <c r="D546" s="8">
        <v>17.2</v>
      </c>
      <c r="E546" s="8">
        <v>15.41</v>
      </c>
      <c r="F546" s="6">
        <v>0.65920000000000001</v>
      </c>
      <c r="G546" t="str">
        <f t="shared" si="24"/>
        <v>Admis sous condition</v>
      </c>
      <c r="H546" t="str" cm="1">
        <f t="array" ref="H546">_xlfn.IFS(E546&gt;=16,"Excellent",E546&gt;=14,"Très bien",E546&gt;=12,"Bien",E546&gt;=10,"Passable",E546&lt;10,"Insuffisant")</f>
        <v>Très bien</v>
      </c>
      <c r="I546" t="str">
        <f t="shared" si="25"/>
        <v>A surveiller</v>
      </c>
      <c r="J546" t="str">
        <f t="shared" si="26"/>
        <v>Autre filière</v>
      </c>
    </row>
    <row r="547" spans="1:10">
      <c r="A547" t="s">
        <v>841</v>
      </c>
      <c r="B547" t="s">
        <v>201</v>
      </c>
      <c r="C547" s="8" t="s">
        <v>47</v>
      </c>
      <c r="D547" s="8">
        <v>17.190000000000001</v>
      </c>
      <c r="E547" s="8">
        <v>13.49</v>
      </c>
      <c r="F547" s="6">
        <v>0.87029999999999996</v>
      </c>
      <c r="G547" t="str">
        <f t="shared" si="24"/>
        <v>Admis</v>
      </c>
      <c r="H547" t="str" cm="1">
        <f t="array" ref="H547">_xlfn.IFS(E547&gt;=16,"Excellent",E547&gt;=14,"Très bien",E547&gt;=12,"Bien",E547&gt;=10,"Passable",E547&lt;10,"Insuffisant")</f>
        <v>Bien</v>
      </c>
      <c r="I547" t="str">
        <f t="shared" si="25"/>
        <v>RAS</v>
      </c>
      <c r="J547" t="str">
        <f t="shared" si="26"/>
        <v>Autre filière</v>
      </c>
    </row>
    <row r="548" spans="1:10">
      <c r="A548" t="s">
        <v>842</v>
      </c>
      <c r="B548" t="s">
        <v>656</v>
      </c>
      <c r="C548" s="8" t="s">
        <v>47</v>
      </c>
      <c r="D548" s="8">
        <v>7.88</v>
      </c>
      <c r="E548" s="8">
        <v>9.59</v>
      </c>
      <c r="F548" s="6">
        <v>0.86019999999999996</v>
      </c>
      <c r="G548" t="str">
        <f t="shared" si="24"/>
        <v>Refuse</v>
      </c>
      <c r="H548" t="str" cm="1">
        <f t="array" ref="H548">_xlfn.IFS(E548&gt;=16,"Excellent",E548&gt;=14,"Très bien",E548&gt;=12,"Bien",E548&gt;=10,"Passable",E548&lt;10,"Insuffisant")</f>
        <v>Insuffisant</v>
      </c>
      <c r="I548" t="str">
        <f t="shared" si="25"/>
        <v>A surveiller</v>
      </c>
      <c r="J548" t="str">
        <f t="shared" si="26"/>
        <v>Autre filière</v>
      </c>
    </row>
    <row r="549" spans="1:10">
      <c r="A549" t="s">
        <v>843</v>
      </c>
      <c r="B549" t="s">
        <v>110</v>
      </c>
      <c r="C549" s="8" t="s">
        <v>26</v>
      </c>
      <c r="D549" s="8">
        <v>8.1</v>
      </c>
      <c r="E549" s="8">
        <v>9.31</v>
      </c>
      <c r="F549" s="6">
        <v>0.89280000000000004</v>
      </c>
      <c r="G549" t="str">
        <f t="shared" si="24"/>
        <v>Refuse</v>
      </c>
      <c r="H549" t="str" cm="1">
        <f t="array" ref="H549">_xlfn.IFS(E549&gt;=16,"Excellent",E549&gt;=14,"Très bien",E549&gt;=12,"Bien",E549&gt;=10,"Passable",E549&lt;10,"Insuffisant")</f>
        <v>Insuffisant</v>
      </c>
      <c r="I549" t="str">
        <f t="shared" si="25"/>
        <v>A surveiller</v>
      </c>
      <c r="J549" t="str">
        <f t="shared" si="26"/>
        <v>Autre filière</v>
      </c>
    </row>
    <row r="550" spans="1:10">
      <c r="A550" t="s">
        <v>844</v>
      </c>
      <c r="B550" t="s">
        <v>179</v>
      </c>
      <c r="C550" s="8" t="s">
        <v>21</v>
      </c>
      <c r="D550" s="8">
        <v>19.43</v>
      </c>
      <c r="E550" s="8">
        <v>19.989999999999998</v>
      </c>
      <c r="F550" s="6">
        <v>0.96479999999999999</v>
      </c>
      <c r="G550" t="str">
        <f t="shared" si="24"/>
        <v>Admis</v>
      </c>
      <c r="H550" t="str" cm="1">
        <f t="array" ref="H550">_xlfn.IFS(E550&gt;=16,"Excellent",E550&gt;=14,"Très bien",E550&gt;=12,"Bien",E550&gt;=10,"Passable",E550&lt;10,"Insuffisant")</f>
        <v>Excellent</v>
      </c>
      <c r="I550" t="str">
        <f t="shared" si="25"/>
        <v>RAS</v>
      </c>
      <c r="J550" t="str">
        <f t="shared" si="26"/>
        <v>Data</v>
      </c>
    </row>
    <row r="551" spans="1:10">
      <c r="A551" t="s">
        <v>845</v>
      </c>
      <c r="B551" t="s">
        <v>343</v>
      </c>
      <c r="C551" s="8" t="s">
        <v>26</v>
      </c>
      <c r="D551" s="8">
        <v>9.6999999999999993</v>
      </c>
      <c r="E551" s="8">
        <v>14.9</v>
      </c>
      <c r="F551" s="6">
        <v>0.71599999999999997</v>
      </c>
      <c r="G551" t="str">
        <f t="shared" si="24"/>
        <v>Refuse</v>
      </c>
      <c r="H551" t="str" cm="1">
        <f t="array" ref="H551">_xlfn.IFS(E551&gt;=16,"Excellent",E551&gt;=14,"Très bien",E551&gt;=12,"Bien",E551&gt;=10,"Passable",E551&lt;10,"Insuffisant")</f>
        <v>Très bien</v>
      </c>
      <c r="I551" t="str">
        <f t="shared" si="25"/>
        <v>A surveiller</v>
      </c>
      <c r="J551" t="str">
        <f t="shared" si="26"/>
        <v>Autre filière</v>
      </c>
    </row>
    <row r="552" spans="1:10">
      <c r="A552" t="s">
        <v>846</v>
      </c>
      <c r="B552" t="s">
        <v>457</v>
      </c>
      <c r="C552" s="8" t="s">
        <v>47</v>
      </c>
      <c r="D552" s="8">
        <v>17.829999999999998</v>
      </c>
      <c r="E552" s="8">
        <v>18.940000000000001</v>
      </c>
      <c r="F552" s="6">
        <v>0.94040000000000001</v>
      </c>
      <c r="G552" t="str">
        <f t="shared" si="24"/>
        <v>Admis</v>
      </c>
      <c r="H552" t="str" cm="1">
        <f t="array" ref="H552">_xlfn.IFS(E552&gt;=16,"Excellent",E552&gt;=14,"Très bien",E552&gt;=12,"Bien",E552&gt;=10,"Passable",E552&lt;10,"Insuffisant")</f>
        <v>Excellent</v>
      </c>
      <c r="I552" t="str">
        <f t="shared" si="25"/>
        <v>RAS</v>
      </c>
      <c r="J552" t="str">
        <f t="shared" si="26"/>
        <v>Autre filière</v>
      </c>
    </row>
    <row r="553" spans="1:10">
      <c r="A553" t="s">
        <v>847</v>
      </c>
      <c r="B553" t="s">
        <v>193</v>
      </c>
      <c r="C553" s="8" t="s">
        <v>21</v>
      </c>
      <c r="D553" s="8">
        <v>10.97</v>
      </c>
      <c r="E553" s="8">
        <v>13.37</v>
      </c>
      <c r="F553" s="6">
        <v>0.86550000000000005</v>
      </c>
      <c r="G553" t="str">
        <f t="shared" si="24"/>
        <v>Admis sous condition</v>
      </c>
      <c r="H553" t="str" cm="1">
        <f t="array" ref="H553">_xlfn.IFS(E553&gt;=16,"Excellent",E553&gt;=14,"Très bien",E553&gt;=12,"Bien",E553&gt;=10,"Passable",E553&lt;10,"Insuffisant")</f>
        <v>Bien</v>
      </c>
      <c r="I553" t="str">
        <f t="shared" si="25"/>
        <v>RAS</v>
      </c>
      <c r="J553" t="str">
        <f t="shared" si="26"/>
        <v>Data</v>
      </c>
    </row>
    <row r="554" spans="1:10">
      <c r="A554" t="s">
        <v>848</v>
      </c>
      <c r="B554" t="s">
        <v>538</v>
      </c>
      <c r="C554" s="8" t="s">
        <v>26</v>
      </c>
      <c r="D554" s="8">
        <v>12.01</v>
      </c>
      <c r="E554" s="8">
        <v>8.64</v>
      </c>
      <c r="F554" s="6">
        <v>0.75460000000000005</v>
      </c>
      <c r="G554" t="str">
        <f t="shared" si="24"/>
        <v>Refuse</v>
      </c>
      <c r="H554" t="str" cm="1">
        <f t="array" ref="H554">_xlfn.IFS(E554&gt;=16,"Excellent",E554&gt;=14,"Très bien",E554&gt;=12,"Bien",E554&gt;=10,"Passable",E554&lt;10,"Insuffisant")</f>
        <v>Insuffisant</v>
      </c>
      <c r="I554" t="str">
        <f t="shared" si="25"/>
        <v>A surveiller</v>
      </c>
      <c r="J554" t="str">
        <f t="shared" si="26"/>
        <v>Autre filière</v>
      </c>
    </row>
    <row r="555" spans="1:10">
      <c r="A555" t="s">
        <v>849</v>
      </c>
      <c r="B555" t="s">
        <v>405</v>
      </c>
      <c r="C555" s="8" t="s">
        <v>34</v>
      </c>
      <c r="D555" s="8">
        <v>11.9</v>
      </c>
      <c r="E555" s="8">
        <v>7.94</v>
      </c>
      <c r="F555" s="6">
        <v>0.88370000000000004</v>
      </c>
      <c r="G555" t="str">
        <f t="shared" si="24"/>
        <v>Refuse</v>
      </c>
      <c r="H555" t="str" cm="1">
        <f t="array" ref="H555">_xlfn.IFS(E555&gt;=16,"Excellent",E555&gt;=14,"Très bien",E555&gt;=12,"Bien",E555&gt;=10,"Passable",E555&lt;10,"Insuffisant")</f>
        <v>Insuffisant</v>
      </c>
      <c r="I555" t="str">
        <f t="shared" si="25"/>
        <v>A surveiller</v>
      </c>
      <c r="J555" t="str">
        <f t="shared" si="26"/>
        <v>Autre filière</v>
      </c>
    </row>
    <row r="556" spans="1:10">
      <c r="A556" t="s">
        <v>850</v>
      </c>
      <c r="B556" t="s">
        <v>375</v>
      </c>
      <c r="C556" s="8" t="s">
        <v>47</v>
      </c>
      <c r="D556" s="8">
        <v>4.3099999999999996</v>
      </c>
      <c r="E556" s="8">
        <v>2.1800000000000002</v>
      </c>
      <c r="F556" s="6">
        <v>0.89329999999999998</v>
      </c>
      <c r="G556" t="str">
        <f t="shared" si="24"/>
        <v>Refuse</v>
      </c>
      <c r="H556" t="str" cm="1">
        <f t="array" ref="H556">_xlfn.IFS(E556&gt;=16,"Excellent",E556&gt;=14,"Très bien",E556&gt;=12,"Bien",E556&gt;=10,"Passable",E556&lt;10,"Insuffisant")</f>
        <v>Insuffisant</v>
      </c>
      <c r="I556" t="str">
        <f t="shared" si="25"/>
        <v>A surveiller</v>
      </c>
      <c r="J556" t="str">
        <f t="shared" si="26"/>
        <v>Autre filière</v>
      </c>
    </row>
    <row r="557" spans="1:10">
      <c r="A557" t="s">
        <v>851</v>
      </c>
      <c r="B557" t="s">
        <v>852</v>
      </c>
      <c r="C557" s="8" t="s">
        <v>47</v>
      </c>
      <c r="D557" s="8">
        <v>13.97</v>
      </c>
      <c r="E557" s="8">
        <v>11.12</v>
      </c>
      <c r="F557" s="6">
        <v>0.80640000000000001</v>
      </c>
      <c r="G557" t="str">
        <f t="shared" si="24"/>
        <v>Admis sous condition</v>
      </c>
      <c r="H557" t="str" cm="1">
        <f t="array" ref="H557">_xlfn.IFS(E557&gt;=16,"Excellent",E557&gt;=14,"Très bien",E557&gt;=12,"Bien",E557&gt;=10,"Passable",E557&lt;10,"Insuffisant")</f>
        <v>Passable</v>
      </c>
      <c r="I557" t="str">
        <f t="shared" si="25"/>
        <v>RAS</v>
      </c>
      <c r="J557" t="str">
        <f t="shared" si="26"/>
        <v>Autre filière</v>
      </c>
    </row>
    <row r="558" spans="1:10">
      <c r="A558" t="s">
        <v>853</v>
      </c>
      <c r="B558" t="s">
        <v>261</v>
      </c>
      <c r="C558" s="8" t="s">
        <v>21</v>
      </c>
      <c r="D558" s="8">
        <v>13.54</v>
      </c>
      <c r="E558" s="8">
        <v>13.07</v>
      </c>
      <c r="F558" s="6">
        <v>0.85580000000000001</v>
      </c>
      <c r="G558" t="str">
        <f t="shared" si="24"/>
        <v>Admis</v>
      </c>
      <c r="H558" t="str" cm="1">
        <f t="array" ref="H558">_xlfn.IFS(E558&gt;=16,"Excellent",E558&gt;=14,"Très bien",E558&gt;=12,"Bien",E558&gt;=10,"Passable",E558&lt;10,"Insuffisant")</f>
        <v>Bien</v>
      </c>
      <c r="I558" t="str">
        <f t="shared" si="25"/>
        <v>RAS</v>
      </c>
      <c r="J558" t="str">
        <f t="shared" si="26"/>
        <v>Data</v>
      </c>
    </row>
    <row r="559" spans="1:10">
      <c r="A559" t="s">
        <v>854</v>
      </c>
      <c r="B559" t="s">
        <v>391</v>
      </c>
      <c r="C559" s="8" t="s">
        <v>21</v>
      </c>
      <c r="D559" s="8">
        <v>11.17</v>
      </c>
      <c r="E559" s="8">
        <v>7.88</v>
      </c>
      <c r="F559" s="6">
        <v>0.93220000000000003</v>
      </c>
      <c r="G559" t="str">
        <f t="shared" si="24"/>
        <v>Refuse</v>
      </c>
      <c r="H559" t="str" cm="1">
        <f t="array" ref="H559">_xlfn.IFS(E559&gt;=16,"Excellent",E559&gt;=14,"Très bien",E559&gt;=12,"Bien",E559&gt;=10,"Passable",E559&lt;10,"Insuffisant")</f>
        <v>Insuffisant</v>
      </c>
      <c r="I559" t="str">
        <f t="shared" si="25"/>
        <v>A surveiller</v>
      </c>
      <c r="J559" t="str">
        <f t="shared" si="26"/>
        <v>Data</v>
      </c>
    </row>
    <row r="560" spans="1:10">
      <c r="A560" t="s">
        <v>855</v>
      </c>
      <c r="B560" t="s">
        <v>698</v>
      </c>
      <c r="C560" s="8" t="s">
        <v>47</v>
      </c>
      <c r="D560" s="8">
        <v>18.190000000000001</v>
      </c>
      <c r="E560" s="8">
        <v>15.52</v>
      </c>
      <c r="F560" s="6">
        <v>0.86670000000000003</v>
      </c>
      <c r="G560" t="str">
        <f t="shared" si="24"/>
        <v>Admis</v>
      </c>
      <c r="H560" t="str" cm="1">
        <f t="array" ref="H560">_xlfn.IFS(E560&gt;=16,"Excellent",E560&gt;=14,"Très bien",E560&gt;=12,"Bien",E560&gt;=10,"Passable",E560&lt;10,"Insuffisant")</f>
        <v>Très bien</v>
      </c>
      <c r="I560" t="str">
        <f t="shared" si="25"/>
        <v>RAS</v>
      </c>
      <c r="J560" t="str">
        <f t="shared" si="26"/>
        <v>Autre filière</v>
      </c>
    </row>
    <row r="561" spans="1:10">
      <c r="A561" t="s">
        <v>856</v>
      </c>
      <c r="B561" t="s">
        <v>857</v>
      </c>
      <c r="C561" s="8" t="s">
        <v>34</v>
      </c>
      <c r="D561" s="8">
        <v>17.71</v>
      </c>
      <c r="E561" s="8">
        <v>16.510000000000002</v>
      </c>
      <c r="F561" s="6">
        <v>0.8669</v>
      </c>
      <c r="G561" t="str">
        <f t="shared" si="24"/>
        <v>Admis</v>
      </c>
      <c r="H561" t="str" cm="1">
        <f t="array" ref="H561">_xlfn.IFS(E561&gt;=16,"Excellent",E561&gt;=14,"Très bien",E561&gt;=12,"Bien",E561&gt;=10,"Passable",E561&lt;10,"Insuffisant")</f>
        <v>Excellent</v>
      </c>
      <c r="I561" t="str">
        <f t="shared" si="25"/>
        <v>RAS</v>
      </c>
      <c r="J561" t="str">
        <f t="shared" si="26"/>
        <v>Autre filière</v>
      </c>
    </row>
    <row r="562" spans="1:10">
      <c r="A562" t="s">
        <v>858</v>
      </c>
      <c r="B562" t="s">
        <v>255</v>
      </c>
      <c r="C562" s="8" t="s">
        <v>21</v>
      </c>
      <c r="D562" s="8">
        <v>13.5</v>
      </c>
      <c r="E562" s="8">
        <v>12.75</v>
      </c>
      <c r="F562" s="6">
        <v>0.91290000000000004</v>
      </c>
      <c r="G562" t="str">
        <f t="shared" si="24"/>
        <v>Admis</v>
      </c>
      <c r="H562" t="str" cm="1">
        <f t="array" ref="H562">_xlfn.IFS(E562&gt;=16,"Excellent",E562&gt;=14,"Très bien",E562&gt;=12,"Bien",E562&gt;=10,"Passable",E562&lt;10,"Insuffisant")</f>
        <v>Bien</v>
      </c>
      <c r="I562" t="str">
        <f t="shared" si="25"/>
        <v>RAS</v>
      </c>
      <c r="J562" t="str">
        <f t="shared" si="26"/>
        <v>Data</v>
      </c>
    </row>
    <row r="563" spans="1:10">
      <c r="A563" t="s">
        <v>859</v>
      </c>
      <c r="B563" t="s">
        <v>639</v>
      </c>
      <c r="C563" s="8" t="s">
        <v>21</v>
      </c>
      <c r="D563" s="8">
        <v>7.43</v>
      </c>
      <c r="E563" s="8">
        <v>6.27</v>
      </c>
      <c r="F563" s="6">
        <v>0.7671</v>
      </c>
      <c r="G563" t="str">
        <f t="shared" si="24"/>
        <v>Refuse</v>
      </c>
      <c r="H563" t="str" cm="1">
        <f t="array" ref="H563">_xlfn.IFS(E563&gt;=16,"Excellent",E563&gt;=14,"Très bien",E563&gt;=12,"Bien",E563&gt;=10,"Passable",E563&lt;10,"Insuffisant")</f>
        <v>Insuffisant</v>
      </c>
      <c r="I563" t="str">
        <f t="shared" si="25"/>
        <v>A surveiller</v>
      </c>
      <c r="J563" t="str">
        <f t="shared" si="26"/>
        <v>Data</v>
      </c>
    </row>
    <row r="564" spans="1:10">
      <c r="A564" t="s">
        <v>860</v>
      </c>
      <c r="B564" t="s">
        <v>661</v>
      </c>
      <c r="C564" s="8" t="s">
        <v>26</v>
      </c>
      <c r="D564" s="8">
        <v>16.18</v>
      </c>
      <c r="E564" s="8">
        <v>14.68</v>
      </c>
      <c r="F564" s="6">
        <v>0.76170000000000004</v>
      </c>
      <c r="G564" t="str">
        <f t="shared" si="24"/>
        <v>Admis sous condition</v>
      </c>
      <c r="H564" t="str" cm="1">
        <f t="array" ref="H564">_xlfn.IFS(E564&gt;=16,"Excellent",E564&gt;=14,"Très bien",E564&gt;=12,"Bien",E564&gt;=10,"Passable",E564&lt;10,"Insuffisant")</f>
        <v>Très bien</v>
      </c>
      <c r="I564" t="str">
        <f t="shared" si="25"/>
        <v>RAS</v>
      </c>
      <c r="J564" t="str">
        <f t="shared" si="26"/>
        <v>Autre filière</v>
      </c>
    </row>
    <row r="565" spans="1:10">
      <c r="A565" t="s">
        <v>861</v>
      </c>
      <c r="B565" t="s">
        <v>736</v>
      </c>
      <c r="C565" s="8" t="s">
        <v>21</v>
      </c>
      <c r="D565" s="8">
        <v>15.56</v>
      </c>
      <c r="E565" s="8">
        <v>19.05</v>
      </c>
      <c r="F565" s="6">
        <v>0.90059999999999996</v>
      </c>
      <c r="G565" t="str">
        <f t="shared" si="24"/>
        <v>Admis</v>
      </c>
      <c r="H565" t="str" cm="1">
        <f t="array" ref="H565">_xlfn.IFS(E565&gt;=16,"Excellent",E565&gt;=14,"Très bien",E565&gt;=12,"Bien",E565&gt;=10,"Passable",E565&lt;10,"Insuffisant")</f>
        <v>Excellent</v>
      </c>
      <c r="I565" t="str">
        <f t="shared" si="25"/>
        <v>RAS</v>
      </c>
      <c r="J565" t="str">
        <f t="shared" si="26"/>
        <v>Data</v>
      </c>
    </row>
    <row r="566" spans="1:10">
      <c r="A566" t="s">
        <v>862</v>
      </c>
      <c r="B566" t="s">
        <v>314</v>
      </c>
      <c r="C566" s="8" t="s">
        <v>21</v>
      </c>
      <c r="D566" s="8">
        <v>14.5</v>
      </c>
      <c r="E566" s="8">
        <v>16.02</v>
      </c>
      <c r="F566" s="6">
        <v>0.76729999999999998</v>
      </c>
      <c r="G566" t="str">
        <f t="shared" si="24"/>
        <v>Admis sous condition</v>
      </c>
      <c r="H566" t="str" cm="1">
        <f t="array" ref="H566">_xlfn.IFS(E566&gt;=16,"Excellent",E566&gt;=14,"Très bien",E566&gt;=12,"Bien",E566&gt;=10,"Passable",E566&lt;10,"Insuffisant")</f>
        <v>Excellent</v>
      </c>
      <c r="I566" t="str">
        <f t="shared" si="25"/>
        <v>RAS</v>
      </c>
      <c r="J566" t="str">
        <f t="shared" si="26"/>
        <v>Data</v>
      </c>
    </row>
    <row r="567" spans="1:10">
      <c r="A567" t="s">
        <v>863</v>
      </c>
      <c r="B567" t="s">
        <v>864</v>
      </c>
      <c r="C567" s="8" t="s">
        <v>47</v>
      </c>
      <c r="D567" s="8">
        <v>14.84</v>
      </c>
      <c r="E567" s="8">
        <v>15.22</v>
      </c>
      <c r="F567" s="6">
        <v>0.89539999999999997</v>
      </c>
      <c r="G567" t="str">
        <f t="shared" si="24"/>
        <v>Admis</v>
      </c>
      <c r="H567" t="str" cm="1">
        <f t="array" ref="H567">_xlfn.IFS(E567&gt;=16,"Excellent",E567&gt;=14,"Très bien",E567&gt;=12,"Bien",E567&gt;=10,"Passable",E567&lt;10,"Insuffisant")</f>
        <v>Très bien</v>
      </c>
      <c r="I567" t="str">
        <f t="shared" si="25"/>
        <v>RAS</v>
      </c>
      <c r="J567" t="str">
        <f t="shared" si="26"/>
        <v>Autre filière</v>
      </c>
    </row>
    <row r="568" spans="1:10">
      <c r="A568" t="s">
        <v>865</v>
      </c>
      <c r="B568" t="s">
        <v>328</v>
      </c>
      <c r="C568" s="8" t="s">
        <v>21</v>
      </c>
      <c r="D568" s="8">
        <v>13.96</v>
      </c>
      <c r="E568" s="8">
        <v>10.29</v>
      </c>
      <c r="F568" s="6">
        <v>0.91439999999999999</v>
      </c>
      <c r="G568" t="str">
        <f t="shared" si="24"/>
        <v>Admis sous condition</v>
      </c>
      <c r="H568" t="str" cm="1">
        <f t="array" ref="H568">_xlfn.IFS(E568&gt;=16,"Excellent",E568&gt;=14,"Très bien",E568&gt;=12,"Bien",E568&gt;=10,"Passable",E568&lt;10,"Insuffisant")</f>
        <v>Passable</v>
      </c>
      <c r="I568" t="str">
        <f t="shared" si="25"/>
        <v>RAS</v>
      </c>
      <c r="J568" t="str">
        <f t="shared" si="26"/>
        <v>Data</v>
      </c>
    </row>
    <row r="569" spans="1:10">
      <c r="A569" t="s">
        <v>866</v>
      </c>
      <c r="B569" t="s">
        <v>527</v>
      </c>
      <c r="C569" s="8" t="s">
        <v>47</v>
      </c>
      <c r="D569" s="8">
        <v>16.809999999999999</v>
      </c>
      <c r="E569" s="8">
        <v>19.260000000000002</v>
      </c>
      <c r="F569" s="6">
        <v>0.6361</v>
      </c>
      <c r="G569" t="str">
        <f t="shared" si="24"/>
        <v>Admis sous condition</v>
      </c>
      <c r="H569" t="str" cm="1">
        <f t="array" ref="H569">_xlfn.IFS(E569&gt;=16,"Excellent",E569&gt;=14,"Très bien",E569&gt;=12,"Bien",E569&gt;=10,"Passable",E569&lt;10,"Insuffisant")</f>
        <v>Excellent</v>
      </c>
      <c r="I569" t="str">
        <f t="shared" si="25"/>
        <v>A surveiller</v>
      </c>
      <c r="J569" t="str">
        <f t="shared" si="26"/>
        <v>Autre filière</v>
      </c>
    </row>
    <row r="570" spans="1:10">
      <c r="A570" t="s">
        <v>867</v>
      </c>
      <c r="B570" t="s">
        <v>101</v>
      </c>
      <c r="C570" s="8" t="s">
        <v>47</v>
      </c>
      <c r="D570" s="8">
        <v>11.75</v>
      </c>
      <c r="E570" s="8">
        <v>9.32</v>
      </c>
      <c r="F570" s="6">
        <v>0.79779999999999995</v>
      </c>
      <c r="G570" t="str">
        <f t="shared" si="24"/>
        <v>Refuse</v>
      </c>
      <c r="H570" t="str" cm="1">
        <f t="array" ref="H570">_xlfn.IFS(E570&gt;=16,"Excellent",E570&gt;=14,"Très bien",E570&gt;=12,"Bien",E570&gt;=10,"Passable",E570&lt;10,"Insuffisant")</f>
        <v>Insuffisant</v>
      </c>
      <c r="I570" t="str">
        <f t="shared" si="25"/>
        <v>A surveiller</v>
      </c>
      <c r="J570" t="str">
        <f t="shared" si="26"/>
        <v>Autre filière</v>
      </c>
    </row>
    <row r="571" spans="1:10">
      <c r="A571" t="s">
        <v>868</v>
      </c>
      <c r="B571" t="s">
        <v>824</v>
      </c>
      <c r="C571" s="8" t="s">
        <v>47</v>
      </c>
      <c r="D571" s="8">
        <v>14.89</v>
      </c>
      <c r="E571" s="8">
        <v>14.11</v>
      </c>
      <c r="F571" s="6">
        <v>0.91149999999999998</v>
      </c>
      <c r="G571" t="str">
        <f t="shared" si="24"/>
        <v>Admis</v>
      </c>
      <c r="H571" t="str" cm="1">
        <f t="array" ref="H571">_xlfn.IFS(E571&gt;=16,"Excellent",E571&gt;=14,"Très bien",E571&gt;=12,"Bien",E571&gt;=10,"Passable",E571&lt;10,"Insuffisant")</f>
        <v>Très bien</v>
      </c>
      <c r="I571" t="str">
        <f t="shared" si="25"/>
        <v>RAS</v>
      </c>
      <c r="J571" t="str">
        <f t="shared" si="26"/>
        <v>Autre filière</v>
      </c>
    </row>
    <row r="572" spans="1:10">
      <c r="A572" t="s">
        <v>869</v>
      </c>
      <c r="B572" t="s">
        <v>610</v>
      </c>
      <c r="C572" s="8" t="s">
        <v>34</v>
      </c>
      <c r="D572" s="8">
        <v>12.65</v>
      </c>
      <c r="E572" s="8">
        <v>11.2</v>
      </c>
      <c r="F572" s="6">
        <v>0.67059999999999997</v>
      </c>
      <c r="G572" t="str">
        <f t="shared" si="24"/>
        <v>Admis sous condition</v>
      </c>
      <c r="H572" t="str" cm="1">
        <f t="array" ref="H572">_xlfn.IFS(E572&gt;=16,"Excellent",E572&gt;=14,"Très bien",E572&gt;=12,"Bien",E572&gt;=10,"Passable",E572&lt;10,"Insuffisant")</f>
        <v>Passable</v>
      </c>
      <c r="I572" t="str">
        <f t="shared" si="25"/>
        <v>A surveiller</v>
      </c>
      <c r="J572" t="str">
        <f t="shared" si="26"/>
        <v>Autre filière</v>
      </c>
    </row>
    <row r="573" spans="1:10">
      <c r="A573" t="s">
        <v>870</v>
      </c>
      <c r="B573" t="s">
        <v>871</v>
      </c>
      <c r="C573" s="8" t="s">
        <v>26</v>
      </c>
      <c r="D573" s="8">
        <v>8.91</v>
      </c>
      <c r="E573" s="8">
        <v>10.17</v>
      </c>
      <c r="F573" s="6">
        <v>0.97309999999999997</v>
      </c>
      <c r="G573" t="str">
        <f t="shared" si="24"/>
        <v>Refuse</v>
      </c>
      <c r="H573" t="str" cm="1">
        <f t="array" ref="H573">_xlfn.IFS(E573&gt;=16,"Excellent",E573&gt;=14,"Très bien",E573&gt;=12,"Bien",E573&gt;=10,"Passable",E573&lt;10,"Insuffisant")</f>
        <v>Passable</v>
      </c>
      <c r="I573" t="str">
        <f t="shared" si="25"/>
        <v>A surveiller</v>
      </c>
      <c r="J573" t="str">
        <f t="shared" si="26"/>
        <v>Autre filière</v>
      </c>
    </row>
    <row r="574" spans="1:10">
      <c r="A574" t="s">
        <v>872</v>
      </c>
      <c r="B574" t="s">
        <v>108</v>
      </c>
      <c r="C574" s="8" t="s">
        <v>47</v>
      </c>
      <c r="D574" s="8">
        <v>16.13</v>
      </c>
      <c r="E574" s="8">
        <v>15.54</v>
      </c>
      <c r="F574" s="6">
        <v>0.84619999999999995</v>
      </c>
      <c r="G574" t="str">
        <f t="shared" si="24"/>
        <v>Admis</v>
      </c>
      <c r="H574" t="str" cm="1">
        <f t="array" ref="H574">_xlfn.IFS(E574&gt;=16,"Excellent",E574&gt;=14,"Très bien",E574&gt;=12,"Bien",E574&gt;=10,"Passable",E574&lt;10,"Insuffisant")</f>
        <v>Très bien</v>
      </c>
      <c r="I574" t="str">
        <f t="shared" si="25"/>
        <v>RAS</v>
      </c>
      <c r="J574" t="str">
        <f t="shared" si="26"/>
        <v>Autre filière</v>
      </c>
    </row>
    <row r="575" spans="1:10">
      <c r="A575" t="s">
        <v>873</v>
      </c>
      <c r="B575" t="s">
        <v>874</v>
      </c>
      <c r="C575" s="8" t="s">
        <v>34</v>
      </c>
      <c r="D575" s="8">
        <v>10.64</v>
      </c>
      <c r="E575" s="8">
        <v>12.87</v>
      </c>
      <c r="F575" s="6">
        <v>0.78520000000000001</v>
      </c>
      <c r="G575" t="str">
        <f t="shared" si="24"/>
        <v>Admis sous condition</v>
      </c>
      <c r="H575" t="str" cm="1">
        <f t="array" ref="H575">_xlfn.IFS(E575&gt;=16,"Excellent",E575&gt;=14,"Très bien",E575&gt;=12,"Bien",E575&gt;=10,"Passable",E575&lt;10,"Insuffisant")</f>
        <v>Bien</v>
      </c>
      <c r="I575" t="str">
        <f t="shared" si="25"/>
        <v>RAS</v>
      </c>
      <c r="J575" t="str">
        <f t="shared" si="26"/>
        <v>Autre filière</v>
      </c>
    </row>
    <row r="576" spans="1:10">
      <c r="A576" t="s">
        <v>875</v>
      </c>
      <c r="B576" t="s">
        <v>481</v>
      </c>
      <c r="C576" s="8" t="s">
        <v>21</v>
      </c>
      <c r="D576" s="8">
        <v>16.559999999999999</v>
      </c>
      <c r="E576" s="8">
        <v>16.309999999999999</v>
      </c>
      <c r="F576" s="6">
        <v>0.72130000000000005</v>
      </c>
      <c r="G576" t="str">
        <f t="shared" si="24"/>
        <v>Admis sous condition</v>
      </c>
      <c r="H576" t="str" cm="1">
        <f t="array" ref="H576">_xlfn.IFS(E576&gt;=16,"Excellent",E576&gt;=14,"Très bien",E576&gt;=12,"Bien",E576&gt;=10,"Passable",E576&lt;10,"Insuffisant")</f>
        <v>Excellent</v>
      </c>
      <c r="I576" t="str">
        <f t="shared" si="25"/>
        <v>RAS</v>
      </c>
      <c r="J576" t="str">
        <f t="shared" si="26"/>
        <v>Data</v>
      </c>
    </row>
    <row r="577" spans="1:10">
      <c r="A577" t="s">
        <v>876</v>
      </c>
      <c r="B577" t="s">
        <v>877</v>
      </c>
      <c r="C577" s="8" t="s">
        <v>34</v>
      </c>
      <c r="D577" s="8">
        <v>11.14</v>
      </c>
      <c r="E577" s="8">
        <v>10.02</v>
      </c>
      <c r="F577" s="6">
        <v>0.72009999999999996</v>
      </c>
      <c r="G577" t="str">
        <f t="shared" si="24"/>
        <v>Admis sous condition</v>
      </c>
      <c r="H577" t="str" cm="1">
        <f t="array" ref="H577">_xlfn.IFS(E577&gt;=16,"Excellent",E577&gt;=14,"Très bien",E577&gt;=12,"Bien",E577&gt;=10,"Passable",E577&lt;10,"Insuffisant")</f>
        <v>Passable</v>
      </c>
      <c r="I577" t="str">
        <f t="shared" si="25"/>
        <v>RAS</v>
      </c>
      <c r="J577" t="str">
        <f t="shared" si="26"/>
        <v>Autre filière</v>
      </c>
    </row>
    <row r="578" spans="1:10">
      <c r="A578" t="s">
        <v>878</v>
      </c>
      <c r="B578" t="s">
        <v>879</v>
      </c>
      <c r="C578" s="8" t="s">
        <v>21</v>
      </c>
      <c r="D578" s="8">
        <v>12.15</v>
      </c>
      <c r="E578" s="8">
        <v>13.32</v>
      </c>
      <c r="F578" s="6">
        <v>0.61860000000000004</v>
      </c>
      <c r="G578" t="str">
        <f t="shared" si="24"/>
        <v>Admis sous condition</v>
      </c>
      <c r="H578" t="str" cm="1">
        <f t="array" ref="H578">_xlfn.IFS(E578&gt;=16,"Excellent",E578&gt;=14,"Très bien",E578&gt;=12,"Bien",E578&gt;=10,"Passable",E578&lt;10,"Insuffisant")</f>
        <v>Bien</v>
      </c>
      <c r="I578" t="str">
        <f t="shared" si="25"/>
        <v>A surveiller</v>
      </c>
      <c r="J578" t="str">
        <f t="shared" si="26"/>
        <v>Data</v>
      </c>
    </row>
    <row r="579" spans="1:10">
      <c r="A579" t="s">
        <v>880</v>
      </c>
      <c r="B579" t="s">
        <v>489</v>
      </c>
      <c r="C579" s="8" t="s">
        <v>21</v>
      </c>
      <c r="D579" s="8">
        <v>12.58</v>
      </c>
      <c r="E579" s="8">
        <v>19.43</v>
      </c>
      <c r="F579" s="6">
        <v>0.88939999999999997</v>
      </c>
      <c r="G579" t="str">
        <f t="shared" ref="G579:G642" si="27">IF(AND(D579&gt;=12,E579&gt;=12,F579&gt;=80%),"Admis",IF(AND(D579&gt;=10,E579&gt;=10),"Admis sous condition","Refuse"))</f>
        <v>Admis</v>
      </c>
      <c r="H579" t="str" cm="1">
        <f t="array" ref="H579">_xlfn.IFS(E579&gt;=16,"Excellent",E579&gt;=14,"Très bien",E579&gt;=12,"Bien",E579&gt;=10,"Passable",E579&lt;10,"Insuffisant")</f>
        <v>Excellent</v>
      </c>
      <c r="I579" t="str">
        <f t="shared" ref="I579:I642" si="28">IF(OR(D579&lt;10,E579&lt;10,F579&lt;70%),"A surveiller","RAS")</f>
        <v>RAS</v>
      </c>
      <c r="J579" t="str">
        <f t="shared" ref="J579:J642" si="29">IF(NOT(C579="Data"),"Autre filière","Data")</f>
        <v>Data</v>
      </c>
    </row>
    <row r="580" spans="1:10">
      <c r="A580" t="s">
        <v>881</v>
      </c>
      <c r="B580" t="s">
        <v>199</v>
      </c>
      <c r="C580" s="8" t="s">
        <v>34</v>
      </c>
      <c r="D580" s="8">
        <v>13.37</v>
      </c>
      <c r="E580" s="8">
        <v>14.03</v>
      </c>
      <c r="F580" s="6">
        <v>0.99139999999999995</v>
      </c>
      <c r="G580" t="str">
        <f t="shared" si="27"/>
        <v>Admis</v>
      </c>
      <c r="H580" t="str" cm="1">
        <f t="array" ref="H580">_xlfn.IFS(E580&gt;=16,"Excellent",E580&gt;=14,"Très bien",E580&gt;=12,"Bien",E580&gt;=10,"Passable",E580&lt;10,"Insuffisant")</f>
        <v>Très bien</v>
      </c>
      <c r="I580" t="str">
        <f t="shared" si="28"/>
        <v>RAS</v>
      </c>
      <c r="J580" t="str">
        <f t="shared" si="29"/>
        <v>Autre filière</v>
      </c>
    </row>
    <row r="581" spans="1:10">
      <c r="A581" t="s">
        <v>882</v>
      </c>
      <c r="B581" t="s">
        <v>531</v>
      </c>
      <c r="C581" s="8" t="s">
        <v>21</v>
      </c>
      <c r="D581" s="8">
        <v>7.41</v>
      </c>
      <c r="E581" s="8">
        <v>13.62</v>
      </c>
      <c r="F581" s="6">
        <v>0.75329999999999997</v>
      </c>
      <c r="G581" t="str">
        <f t="shared" si="27"/>
        <v>Refuse</v>
      </c>
      <c r="H581" t="str" cm="1">
        <f t="array" ref="H581">_xlfn.IFS(E581&gt;=16,"Excellent",E581&gt;=14,"Très bien",E581&gt;=12,"Bien",E581&gt;=10,"Passable",E581&lt;10,"Insuffisant")</f>
        <v>Bien</v>
      </c>
      <c r="I581" t="str">
        <f t="shared" si="28"/>
        <v>A surveiller</v>
      </c>
      <c r="J581" t="str">
        <f t="shared" si="29"/>
        <v>Data</v>
      </c>
    </row>
    <row r="582" spans="1:10">
      <c r="A582" t="s">
        <v>883</v>
      </c>
      <c r="B582" t="s">
        <v>430</v>
      </c>
      <c r="C582" s="8" t="s">
        <v>21</v>
      </c>
      <c r="D582" s="8">
        <v>7.98</v>
      </c>
      <c r="E582" s="8">
        <v>14.2</v>
      </c>
      <c r="F582" s="6">
        <v>0.68700000000000006</v>
      </c>
      <c r="G582" t="str">
        <f t="shared" si="27"/>
        <v>Refuse</v>
      </c>
      <c r="H582" t="str" cm="1">
        <f t="array" ref="H582">_xlfn.IFS(E582&gt;=16,"Excellent",E582&gt;=14,"Très bien",E582&gt;=12,"Bien",E582&gt;=10,"Passable",E582&lt;10,"Insuffisant")</f>
        <v>Très bien</v>
      </c>
      <c r="I582" t="str">
        <f t="shared" si="28"/>
        <v>A surveiller</v>
      </c>
      <c r="J582" t="str">
        <f t="shared" si="29"/>
        <v>Data</v>
      </c>
    </row>
    <row r="583" spans="1:10">
      <c r="A583" t="s">
        <v>884</v>
      </c>
      <c r="B583" t="s">
        <v>49</v>
      </c>
      <c r="C583" s="8" t="s">
        <v>34</v>
      </c>
      <c r="D583" s="8">
        <v>17.43</v>
      </c>
      <c r="E583" s="8">
        <v>18.43</v>
      </c>
      <c r="F583" s="6">
        <v>0.61609999999999998</v>
      </c>
      <c r="G583" t="str">
        <f t="shared" si="27"/>
        <v>Admis sous condition</v>
      </c>
      <c r="H583" t="str" cm="1">
        <f t="array" ref="H583">_xlfn.IFS(E583&gt;=16,"Excellent",E583&gt;=14,"Très bien",E583&gt;=12,"Bien",E583&gt;=10,"Passable",E583&lt;10,"Insuffisant")</f>
        <v>Excellent</v>
      </c>
      <c r="I583" t="str">
        <f t="shared" si="28"/>
        <v>A surveiller</v>
      </c>
      <c r="J583" t="str">
        <f t="shared" si="29"/>
        <v>Autre filière</v>
      </c>
    </row>
    <row r="584" spans="1:10">
      <c r="A584" t="s">
        <v>885</v>
      </c>
      <c r="B584" t="s">
        <v>356</v>
      </c>
      <c r="C584" s="8" t="s">
        <v>47</v>
      </c>
      <c r="D584" s="8">
        <v>11.73</v>
      </c>
      <c r="E584" s="8">
        <v>20</v>
      </c>
      <c r="F584" s="6">
        <v>0.71809999999999996</v>
      </c>
      <c r="G584" t="str">
        <f t="shared" si="27"/>
        <v>Admis sous condition</v>
      </c>
      <c r="H584" t="str" cm="1">
        <f t="array" ref="H584">_xlfn.IFS(E584&gt;=16,"Excellent",E584&gt;=14,"Très bien",E584&gt;=12,"Bien",E584&gt;=10,"Passable",E584&lt;10,"Insuffisant")</f>
        <v>Excellent</v>
      </c>
      <c r="I584" t="str">
        <f t="shared" si="28"/>
        <v>RAS</v>
      </c>
      <c r="J584" t="str">
        <f t="shared" si="29"/>
        <v>Autre filière</v>
      </c>
    </row>
    <row r="585" spans="1:10">
      <c r="A585" t="s">
        <v>886</v>
      </c>
      <c r="B585" t="s">
        <v>105</v>
      </c>
      <c r="C585" s="8" t="s">
        <v>21</v>
      </c>
      <c r="D585" s="8">
        <v>10.87</v>
      </c>
      <c r="E585" s="8">
        <v>10.98</v>
      </c>
      <c r="F585" s="6">
        <v>0.78890000000000005</v>
      </c>
      <c r="G585" t="str">
        <f t="shared" si="27"/>
        <v>Admis sous condition</v>
      </c>
      <c r="H585" t="str" cm="1">
        <f t="array" ref="H585">_xlfn.IFS(E585&gt;=16,"Excellent",E585&gt;=14,"Très bien",E585&gt;=12,"Bien",E585&gt;=10,"Passable",E585&lt;10,"Insuffisant")</f>
        <v>Passable</v>
      </c>
      <c r="I585" t="str">
        <f t="shared" si="28"/>
        <v>RAS</v>
      </c>
      <c r="J585" t="str">
        <f t="shared" si="29"/>
        <v>Data</v>
      </c>
    </row>
    <row r="586" spans="1:10">
      <c r="A586" t="s">
        <v>887</v>
      </c>
      <c r="B586" t="s">
        <v>527</v>
      </c>
      <c r="C586" s="8" t="s">
        <v>34</v>
      </c>
      <c r="D586" s="8">
        <v>9.93</v>
      </c>
      <c r="E586" s="8">
        <v>12.03</v>
      </c>
      <c r="F586" s="6">
        <v>0.79039999999999999</v>
      </c>
      <c r="G586" t="str">
        <f t="shared" si="27"/>
        <v>Refuse</v>
      </c>
      <c r="H586" t="str" cm="1">
        <f t="array" ref="H586">_xlfn.IFS(E586&gt;=16,"Excellent",E586&gt;=14,"Très bien",E586&gt;=12,"Bien",E586&gt;=10,"Passable",E586&lt;10,"Insuffisant")</f>
        <v>Bien</v>
      </c>
      <c r="I586" t="str">
        <f t="shared" si="28"/>
        <v>A surveiller</v>
      </c>
      <c r="J586" t="str">
        <f t="shared" si="29"/>
        <v>Autre filière</v>
      </c>
    </row>
    <row r="587" spans="1:10">
      <c r="A587" t="s">
        <v>888</v>
      </c>
      <c r="B587" t="s">
        <v>540</v>
      </c>
      <c r="C587" s="8" t="s">
        <v>21</v>
      </c>
      <c r="D587" s="8">
        <v>15.39</v>
      </c>
      <c r="E587" s="8">
        <v>14.21</v>
      </c>
      <c r="F587" s="6">
        <v>0.66379999999999995</v>
      </c>
      <c r="G587" t="str">
        <f t="shared" si="27"/>
        <v>Admis sous condition</v>
      </c>
      <c r="H587" t="str" cm="1">
        <f t="array" ref="H587">_xlfn.IFS(E587&gt;=16,"Excellent",E587&gt;=14,"Très bien",E587&gt;=12,"Bien",E587&gt;=10,"Passable",E587&lt;10,"Insuffisant")</f>
        <v>Très bien</v>
      </c>
      <c r="I587" t="str">
        <f t="shared" si="28"/>
        <v>A surveiller</v>
      </c>
      <c r="J587" t="str">
        <f t="shared" si="29"/>
        <v>Data</v>
      </c>
    </row>
    <row r="588" spans="1:10">
      <c r="A588" t="s">
        <v>889</v>
      </c>
      <c r="B588" t="s">
        <v>78</v>
      </c>
      <c r="C588" s="8" t="s">
        <v>21</v>
      </c>
      <c r="D588" s="8">
        <v>14.13</v>
      </c>
      <c r="E588" s="8">
        <v>11.45</v>
      </c>
      <c r="F588" s="6">
        <v>0.94240000000000002</v>
      </c>
      <c r="G588" t="str">
        <f t="shared" si="27"/>
        <v>Admis sous condition</v>
      </c>
      <c r="H588" t="str" cm="1">
        <f t="array" ref="H588">_xlfn.IFS(E588&gt;=16,"Excellent",E588&gt;=14,"Très bien",E588&gt;=12,"Bien",E588&gt;=10,"Passable",E588&lt;10,"Insuffisant")</f>
        <v>Passable</v>
      </c>
      <c r="I588" t="str">
        <f t="shared" si="28"/>
        <v>RAS</v>
      </c>
      <c r="J588" t="str">
        <f t="shared" si="29"/>
        <v>Data</v>
      </c>
    </row>
    <row r="589" spans="1:10">
      <c r="A589" t="s">
        <v>890</v>
      </c>
      <c r="B589" t="s">
        <v>450</v>
      </c>
      <c r="C589" s="8" t="s">
        <v>21</v>
      </c>
      <c r="D589" s="8">
        <v>7.43</v>
      </c>
      <c r="E589" s="8">
        <v>10.08</v>
      </c>
      <c r="F589" s="6">
        <v>0.86570000000000003</v>
      </c>
      <c r="G589" t="str">
        <f t="shared" si="27"/>
        <v>Refuse</v>
      </c>
      <c r="H589" t="str" cm="1">
        <f t="array" ref="H589">_xlfn.IFS(E589&gt;=16,"Excellent",E589&gt;=14,"Très bien",E589&gt;=12,"Bien",E589&gt;=10,"Passable",E589&lt;10,"Insuffisant")</f>
        <v>Passable</v>
      </c>
      <c r="I589" t="str">
        <f t="shared" si="28"/>
        <v>A surveiller</v>
      </c>
      <c r="J589" t="str">
        <f t="shared" si="29"/>
        <v>Data</v>
      </c>
    </row>
    <row r="590" spans="1:10">
      <c r="A590" t="s">
        <v>891</v>
      </c>
      <c r="B590" t="s">
        <v>76</v>
      </c>
      <c r="C590" s="8" t="s">
        <v>34</v>
      </c>
      <c r="D590" s="8">
        <v>9.7200000000000006</v>
      </c>
      <c r="E590" s="8">
        <v>10.52</v>
      </c>
      <c r="F590" s="6">
        <v>0.62649999999999995</v>
      </c>
      <c r="G590" t="str">
        <f t="shared" si="27"/>
        <v>Refuse</v>
      </c>
      <c r="H590" t="str" cm="1">
        <f t="array" ref="H590">_xlfn.IFS(E590&gt;=16,"Excellent",E590&gt;=14,"Très bien",E590&gt;=12,"Bien",E590&gt;=10,"Passable",E590&lt;10,"Insuffisant")</f>
        <v>Passable</v>
      </c>
      <c r="I590" t="str">
        <f t="shared" si="28"/>
        <v>A surveiller</v>
      </c>
      <c r="J590" t="str">
        <f t="shared" si="29"/>
        <v>Autre filière</v>
      </c>
    </row>
    <row r="591" spans="1:10">
      <c r="A591" t="s">
        <v>892</v>
      </c>
      <c r="B591" t="s">
        <v>674</v>
      </c>
      <c r="C591" s="8" t="s">
        <v>47</v>
      </c>
      <c r="D591" s="8">
        <v>12.79</v>
      </c>
      <c r="E591" s="8">
        <v>12.54</v>
      </c>
      <c r="F591" s="6">
        <v>0.91310000000000002</v>
      </c>
      <c r="G591" t="str">
        <f t="shared" si="27"/>
        <v>Admis</v>
      </c>
      <c r="H591" t="str" cm="1">
        <f t="array" ref="H591">_xlfn.IFS(E591&gt;=16,"Excellent",E591&gt;=14,"Très bien",E591&gt;=12,"Bien",E591&gt;=10,"Passable",E591&lt;10,"Insuffisant")</f>
        <v>Bien</v>
      </c>
      <c r="I591" t="str">
        <f t="shared" si="28"/>
        <v>RAS</v>
      </c>
      <c r="J591" t="str">
        <f t="shared" si="29"/>
        <v>Autre filière</v>
      </c>
    </row>
    <row r="592" spans="1:10">
      <c r="A592" t="s">
        <v>893</v>
      </c>
      <c r="B592" t="s">
        <v>212</v>
      </c>
      <c r="C592" s="8" t="s">
        <v>26</v>
      </c>
      <c r="D592" s="8">
        <v>15.08</v>
      </c>
      <c r="E592" s="8">
        <v>14.43</v>
      </c>
      <c r="F592" s="6">
        <v>0.75449999999999995</v>
      </c>
      <c r="G592" t="str">
        <f t="shared" si="27"/>
        <v>Admis sous condition</v>
      </c>
      <c r="H592" t="str" cm="1">
        <f t="array" ref="H592">_xlfn.IFS(E592&gt;=16,"Excellent",E592&gt;=14,"Très bien",E592&gt;=12,"Bien",E592&gt;=10,"Passable",E592&lt;10,"Insuffisant")</f>
        <v>Très bien</v>
      </c>
      <c r="I592" t="str">
        <f t="shared" si="28"/>
        <v>RAS</v>
      </c>
      <c r="J592" t="str">
        <f t="shared" si="29"/>
        <v>Autre filière</v>
      </c>
    </row>
    <row r="593" spans="1:10">
      <c r="A593" t="s">
        <v>894</v>
      </c>
      <c r="B593" t="s">
        <v>635</v>
      </c>
      <c r="C593" s="8" t="s">
        <v>47</v>
      </c>
      <c r="D593" s="8">
        <v>15.39</v>
      </c>
      <c r="E593" s="8">
        <v>14.45</v>
      </c>
      <c r="F593" s="6">
        <v>0.8861</v>
      </c>
      <c r="G593" t="str">
        <f t="shared" si="27"/>
        <v>Admis</v>
      </c>
      <c r="H593" t="str" cm="1">
        <f t="array" ref="H593">_xlfn.IFS(E593&gt;=16,"Excellent",E593&gt;=14,"Très bien",E593&gt;=12,"Bien",E593&gt;=10,"Passable",E593&lt;10,"Insuffisant")</f>
        <v>Très bien</v>
      </c>
      <c r="I593" t="str">
        <f t="shared" si="28"/>
        <v>RAS</v>
      </c>
      <c r="J593" t="str">
        <f t="shared" si="29"/>
        <v>Autre filière</v>
      </c>
    </row>
    <row r="594" spans="1:10">
      <c r="A594" t="s">
        <v>895</v>
      </c>
      <c r="B594" t="s">
        <v>877</v>
      </c>
      <c r="C594" s="8" t="s">
        <v>47</v>
      </c>
      <c r="D594" s="8">
        <v>15.89</v>
      </c>
      <c r="E594" s="8">
        <v>14.2</v>
      </c>
      <c r="F594" s="6">
        <v>0.6996</v>
      </c>
      <c r="G594" t="str">
        <f t="shared" si="27"/>
        <v>Admis sous condition</v>
      </c>
      <c r="H594" t="str" cm="1">
        <f t="array" ref="H594">_xlfn.IFS(E594&gt;=16,"Excellent",E594&gt;=14,"Très bien",E594&gt;=12,"Bien",E594&gt;=10,"Passable",E594&lt;10,"Insuffisant")</f>
        <v>Très bien</v>
      </c>
      <c r="I594" t="str">
        <f t="shared" si="28"/>
        <v>A surveiller</v>
      </c>
      <c r="J594" t="str">
        <f t="shared" si="29"/>
        <v>Autre filière</v>
      </c>
    </row>
    <row r="595" spans="1:10">
      <c r="A595" t="s">
        <v>896</v>
      </c>
      <c r="B595" t="s">
        <v>897</v>
      </c>
      <c r="C595" s="8" t="s">
        <v>26</v>
      </c>
      <c r="D595" s="8">
        <v>10.76</v>
      </c>
      <c r="E595" s="8">
        <v>12.3</v>
      </c>
      <c r="F595" s="6">
        <v>0.80689999999999995</v>
      </c>
      <c r="G595" t="str">
        <f t="shared" si="27"/>
        <v>Admis sous condition</v>
      </c>
      <c r="H595" t="str" cm="1">
        <f t="array" ref="H595">_xlfn.IFS(E595&gt;=16,"Excellent",E595&gt;=14,"Très bien",E595&gt;=12,"Bien",E595&gt;=10,"Passable",E595&lt;10,"Insuffisant")</f>
        <v>Bien</v>
      </c>
      <c r="I595" t="str">
        <f t="shared" si="28"/>
        <v>RAS</v>
      </c>
      <c r="J595" t="str">
        <f t="shared" si="29"/>
        <v>Autre filière</v>
      </c>
    </row>
    <row r="596" spans="1:10">
      <c r="A596" t="s">
        <v>898</v>
      </c>
      <c r="B596" t="s">
        <v>273</v>
      </c>
      <c r="C596" s="8" t="s">
        <v>34</v>
      </c>
      <c r="D596" s="8">
        <v>14.09</v>
      </c>
      <c r="E596" s="8">
        <v>9.85</v>
      </c>
      <c r="F596" s="6">
        <v>0.94950000000000001</v>
      </c>
      <c r="G596" t="str">
        <f t="shared" si="27"/>
        <v>Refuse</v>
      </c>
      <c r="H596" t="str" cm="1">
        <f t="array" ref="H596">_xlfn.IFS(E596&gt;=16,"Excellent",E596&gt;=14,"Très bien",E596&gt;=12,"Bien",E596&gt;=10,"Passable",E596&lt;10,"Insuffisant")</f>
        <v>Insuffisant</v>
      </c>
      <c r="I596" t="str">
        <f t="shared" si="28"/>
        <v>A surveiller</v>
      </c>
      <c r="J596" t="str">
        <f t="shared" si="29"/>
        <v>Autre filière</v>
      </c>
    </row>
    <row r="597" spans="1:10">
      <c r="A597" t="s">
        <v>899</v>
      </c>
      <c r="B597" t="s">
        <v>411</v>
      </c>
      <c r="C597" s="8" t="s">
        <v>26</v>
      </c>
      <c r="D597" s="8">
        <v>13.31</v>
      </c>
      <c r="E597" s="8">
        <v>8.2100000000000009</v>
      </c>
      <c r="F597" s="6">
        <v>0.86019999999999996</v>
      </c>
      <c r="G597" t="str">
        <f t="shared" si="27"/>
        <v>Refuse</v>
      </c>
      <c r="H597" t="str" cm="1">
        <f t="array" ref="H597">_xlfn.IFS(E597&gt;=16,"Excellent",E597&gt;=14,"Très bien",E597&gt;=12,"Bien",E597&gt;=10,"Passable",E597&lt;10,"Insuffisant")</f>
        <v>Insuffisant</v>
      </c>
      <c r="I597" t="str">
        <f t="shared" si="28"/>
        <v>A surveiller</v>
      </c>
      <c r="J597" t="str">
        <f t="shared" si="29"/>
        <v>Autre filière</v>
      </c>
    </row>
    <row r="598" spans="1:10">
      <c r="A598" t="s">
        <v>900</v>
      </c>
      <c r="B598" t="s">
        <v>709</v>
      </c>
      <c r="C598" s="8" t="s">
        <v>26</v>
      </c>
      <c r="D598" s="8">
        <v>12.07</v>
      </c>
      <c r="E598" s="8">
        <v>7.96</v>
      </c>
      <c r="F598" s="6">
        <v>0.59350000000000003</v>
      </c>
      <c r="G598" t="str">
        <f t="shared" si="27"/>
        <v>Refuse</v>
      </c>
      <c r="H598" t="str" cm="1">
        <f t="array" ref="H598">_xlfn.IFS(E598&gt;=16,"Excellent",E598&gt;=14,"Très bien",E598&gt;=12,"Bien",E598&gt;=10,"Passable",E598&lt;10,"Insuffisant")</f>
        <v>Insuffisant</v>
      </c>
      <c r="I598" t="str">
        <f t="shared" si="28"/>
        <v>A surveiller</v>
      </c>
      <c r="J598" t="str">
        <f t="shared" si="29"/>
        <v>Autre filière</v>
      </c>
    </row>
    <row r="599" spans="1:10">
      <c r="A599" t="s">
        <v>901</v>
      </c>
      <c r="B599" t="s">
        <v>804</v>
      </c>
      <c r="C599" s="8" t="s">
        <v>47</v>
      </c>
      <c r="D599" s="8">
        <v>10.52</v>
      </c>
      <c r="E599" s="8">
        <v>9.1199999999999992</v>
      </c>
      <c r="F599" s="6">
        <v>0.87170000000000003</v>
      </c>
      <c r="G599" t="str">
        <f t="shared" si="27"/>
        <v>Refuse</v>
      </c>
      <c r="H599" t="str" cm="1">
        <f t="array" ref="H599">_xlfn.IFS(E599&gt;=16,"Excellent",E599&gt;=14,"Très bien",E599&gt;=12,"Bien",E599&gt;=10,"Passable",E599&lt;10,"Insuffisant")</f>
        <v>Insuffisant</v>
      </c>
      <c r="I599" t="str">
        <f t="shared" si="28"/>
        <v>A surveiller</v>
      </c>
      <c r="J599" t="str">
        <f t="shared" si="29"/>
        <v>Autre filière</v>
      </c>
    </row>
    <row r="600" spans="1:10">
      <c r="A600" t="s">
        <v>902</v>
      </c>
      <c r="B600" t="s">
        <v>60</v>
      </c>
      <c r="C600" s="8" t="s">
        <v>26</v>
      </c>
      <c r="D600" s="8">
        <v>11.09</v>
      </c>
      <c r="E600" s="8">
        <v>12.83</v>
      </c>
      <c r="F600" s="6">
        <v>0.76070000000000004</v>
      </c>
      <c r="G600" t="str">
        <f t="shared" si="27"/>
        <v>Admis sous condition</v>
      </c>
      <c r="H600" t="str" cm="1">
        <f t="array" ref="H600">_xlfn.IFS(E600&gt;=16,"Excellent",E600&gt;=14,"Très bien",E600&gt;=12,"Bien",E600&gt;=10,"Passable",E600&lt;10,"Insuffisant")</f>
        <v>Bien</v>
      </c>
      <c r="I600" t="str">
        <f t="shared" si="28"/>
        <v>RAS</v>
      </c>
      <c r="J600" t="str">
        <f t="shared" si="29"/>
        <v>Autre filière</v>
      </c>
    </row>
    <row r="601" spans="1:10">
      <c r="A601" t="s">
        <v>903</v>
      </c>
      <c r="B601" t="s">
        <v>391</v>
      </c>
      <c r="C601" s="8" t="s">
        <v>21</v>
      </c>
      <c r="D601" s="8">
        <v>6.42</v>
      </c>
      <c r="E601" s="8">
        <v>10.92</v>
      </c>
      <c r="F601" s="6">
        <v>0.94220000000000004</v>
      </c>
      <c r="G601" t="str">
        <f t="shared" si="27"/>
        <v>Refuse</v>
      </c>
      <c r="H601" t="str" cm="1">
        <f t="array" ref="H601">_xlfn.IFS(E601&gt;=16,"Excellent",E601&gt;=14,"Très bien",E601&gt;=12,"Bien",E601&gt;=10,"Passable",E601&lt;10,"Insuffisant")</f>
        <v>Passable</v>
      </c>
      <c r="I601" t="str">
        <f t="shared" si="28"/>
        <v>A surveiller</v>
      </c>
      <c r="J601" t="str">
        <f t="shared" si="29"/>
        <v>Data</v>
      </c>
    </row>
    <row r="602" spans="1:10">
      <c r="A602" t="s">
        <v>904</v>
      </c>
      <c r="B602" t="s">
        <v>300</v>
      </c>
      <c r="C602" s="8" t="s">
        <v>26</v>
      </c>
      <c r="D602" s="8">
        <v>11.63</v>
      </c>
      <c r="E602" s="8">
        <v>16.5</v>
      </c>
      <c r="F602" s="6">
        <v>0.89649999999999996</v>
      </c>
      <c r="G602" t="str">
        <f t="shared" si="27"/>
        <v>Admis sous condition</v>
      </c>
      <c r="H602" t="str" cm="1">
        <f t="array" ref="H602">_xlfn.IFS(E602&gt;=16,"Excellent",E602&gt;=14,"Très bien",E602&gt;=12,"Bien",E602&gt;=10,"Passable",E602&lt;10,"Insuffisant")</f>
        <v>Excellent</v>
      </c>
      <c r="I602" t="str">
        <f t="shared" si="28"/>
        <v>RAS</v>
      </c>
      <c r="J602" t="str">
        <f t="shared" si="29"/>
        <v>Autre filière</v>
      </c>
    </row>
    <row r="603" spans="1:10">
      <c r="A603" t="s">
        <v>905</v>
      </c>
      <c r="B603" t="s">
        <v>588</v>
      </c>
      <c r="C603" s="8" t="s">
        <v>47</v>
      </c>
      <c r="D603" s="8">
        <v>16.239999999999998</v>
      </c>
      <c r="E603" s="8">
        <v>17.399999999999999</v>
      </c>
      <c r="F603" s="6">
        <v>0.9133</v>
      </c>
      <c r="G603" t="str">
        <f t="shared" si="27"/>
        <v>Admis</v>
      </c>
      <c r="H603" t="str" cm="1">
        <f t="array" ref="H603">_xlfn.IFS(E603&gt;=16,"Excellent",E603&gt;=14,"Très bien",E603&gt;=12,"Bien",E603&gt;=10,"Passable",E603&lt;10,"Insuffisant")</f>
        <v>Excellent</v>
      </c>
      <c r="I603" t="str">
        <f t="shared" si="28"/>
        <v>RAS</v>
      </c>
      <c r="J603" t="str">
        <f t="shared" si="29"/>
        <v>Autre filière</v>
      </c>
    </row>
    <row r="604" spans="1:10">
      <c r="A604" t="s">
        <v>906</v>
      </c>
      <c r="B604" t="s">
        <v>907</v>
      </c>
      <c r="C604" s="8" t="s">
        <v>21</v>
      </c>
      <c r="D604" s="8">
        <v>8.75</v>
      </c>
      <c r="E604" s="8">
        <v>11.61</v>
      </c>
      <c r="F604" s="6">
        <v>0.73009999999999997</v>
      </c>
      <c r="G604" t="str">
        <f t="shared" si="27"/>
        <v>Refuse</v>
      </c>
      <c r="H604" t="str" cm="1">
        <f t="array" ref="H604">_xlfn.IFS(E604&gt;=16,"Excellent",E604&gt;=14,"Très bien",E604&gt;=12,"Bien",E604&gt;=10,"Passable",E604&lt;10,"Insuffisant")</f>
        <v>Passable</v>
      </c>
      <c r="I604" t="str">
        <f t="shared" si="28"/>
        <v>A surveiller</v>
      </c>
      <c r="J604" t="str">
        <f t="shared" si="29"/>
        <v>Data</v>
      </c>
    </row>
    <row r="605" spans="1:10">
      <c r="A605" t="s">
        <v>908</v>
      </c>
      <c r="B605" t="s">
        <v>114</v>
      </c>
      <c r="C605" s="8" t="s">
        <v>21</v>
      </c>
      <c r="D605" s="8">
        <v>13.74</v>
      </c>
      <c r="E605" s="8">
        <v>15.11</v>
      </c>
      <c r="F605" s="6">
        <v>0.91159999999999997</v>
      </c>
      <c r="G605" t="str">
        <f t="shared" si="27"/>
        <v>Admis</v>
      </c>
      <c r="H605" t="str" cm="1">
        <f t="array" ref="H605">_xlfn.IFS(E605&gt;=16,"Excellent",E605&gt;=14,"Très bien",E605&gt;=12,"Bien",E605&gt;=10,"Passable",E605&lt;10,"Insuffisant")</f>
        <v>Très bien</v>
      </c>
      <c r="I605" t="str">
        <f t="shared" si="28"/>
        <v>RAS</v>
      </c>
      <c r="J605" t="str">
        <f t="shared" si="29"/>
        <v>Data</v>
      </c>
    </row>
    <row r="606" spans="1:10">
      <c r="A606" t="s">
        <v>909</v>
      </c>
      <c r="B606" t="s">
        <v>238</v>
      </c>
      <c r="C606" s="8" t="s">
        <v>47</v>
      </c>
      <c r="D606" s="8">
        <v>15.17</v>
      </c>
      <c r="E606" s="8">
        <v>13.55</v>
      </c>
      <c r="F606" s="6">
        <v>0.55000000000000004</v>
      </c>
      <c r="G606" t="str">
        <f t="shared" si="27"/>
        <v>Admis sous condition</v>
      </c>
      <c r="H606" t="str" cm="1">
        <f t="array" ref="H606">_xlfn.IFS(E606&gt;=16,"Excellent",E606&gt;=14,"Très bien",E606&gt;=12,"Bien",E606&gt;=10,"Passable",E606&lt;10,"Insuffisant")</f>
        <v>Bien</v>
      </c>
      <c r="I606" t="str">
        <f t="shared" si="28"/>
        <v>A surveiller</v>
      </c>
      <c r="J606" t="str">
        <f t="shared" si="29"/>
        <v>Autre filière</v>
      </c>
    </row>
    <row r="607" spans="1:10">
      <c r="A607" t="s">
        <v>910</v>
      </c>
      <c r="B607" t="s">
        <v>911</v>
      </c>
      <c r="C607" s="8" t="s">
        <v>34</v>
      </c>
      <c r="D607" s="8">
        <v>11.84</v>
      </c>
      <c r="E607" s="8">
        <v>17.07</v>
      </c>
      <c r="F607" s="6">
        <v>0.9637</v>
      </c>
      <c r="G607" t="str">
        <f t="shared" si="27"/>
        <v>Admis sous condition</v>
      </c>
      <c r="H607" t="str" cm="1">
        <f t="array" ref="H607">_xlfn.IFS(E607&gt;=16,"Excellent",E607&gt;=14,"Très bien",E607&gt;=12,"Bien",E607&gt;=10,"Passable",E607&lt;10,"Insuffisant")</f>
        <v>Excellent</v>
      </c>
      <c r="I607" t="str">
        <f t="shared" si="28"/>
        <v>RAS</v>
      </c>
      <c r="J607" t="str">
        <f t="shared" si="29"/>
        <v>Autre filière</v>
      </c>
    </row>
    <row r="608" spans="1:10">
      <c r="A608" t="s">
        <v>912</v>
      </c>
      <c r="B608" t="s">
        <v>832</v>
      </c>
      <c r="C608" s="8" t="s">
        <v>34</v>
      </c>
      <c r="D608" s="8">
        <v>12.94</v>
      </c>
      <c r="E608" s="8">
        <v>15.69</v>
      </c>
      <c r="F608" s="6">
        <v>0.66120000000000001</v>
      </c>
      <c r="G608" t="str">
        <f t="shared" si="27"/>
        <v>Admis sous condition</v>
      </c>
      <c r="H608" t="str" cm="1">
        <f t="array" ref="H608">_xlfn.IFS(E608&gt;=16,"Excellent",E608&gt;=14,"Très bien",E608&gt;=12,"Bien",E608&gt;=10,"Passable",E608&lt;10,"Insuffisant")</f>
        <v>Très bien</v>
      </c>
      <c r="I608" t="str">
        <f t="shared" si="28"/>
        <v>A surveiller</v>
      </c>
      <c r="J608" t="str">
        <f t="shared" si="29"/>
        <v>Autre filière</v>
      </c>
    </row>
    <row r="609" spans="1:10">
      <c r="A609" t="s">
        <v>913</v>
      </c>
      <c r="B609" t="s">
        <v>914</v>
      </c>
      <c r="C609" s="8" t="s">
        <v>34</v>
      </c>
      <c r="D609" s="8">
        <v>9.85</v>
      </c>
      <c r="E609" s="8">
        <v>10.46</v>
      </c>
      <c r="F609" s="6">
        <v>0.84309999999999996</v>
      </c>
      <c r="G609" t="str">
        <f t="shared" si="27"/>
        <v>Refuse</v>
      </c>
      <c r="H609" t="str" cm="1">
        <f t="array" ref="H609">_xlfn.IFS(E609&gt;=16,"Excellent",E609&gt;=14,"Très bien",E609&gt;=12,"Bien",E609&gt;=10,"Passable",E609&lt;10,"Insuffisant")</f>
        <v>Passable</v>
      </c>
      <c r="I609" t="str">
        <f t="shared" si="28"/>
        <v>A surveiller</v>
      </c>
      <c r="J609" t="str">
        <f t="shared" si="29"/>
        <v>Autre filière</v>
      </c>
    </row>
    <row r="610" spans="1:10">
      <c r="A610" t="s">
        <v>915</v>
      </c>
      <c r="B610" t="s">
        <v>652</v>
      </c>
      <c r="C610" s="8" t="s">
        <v>26</v>
      </c>
      <c r="D610" s="8">
        <v>8.42</v>
      </c>
      <c r="E610" s="8">
        <v>12.96</v>
      </c>
      <c r="F610" s="6">
        <v>0.75800000000000001</v>
      </c>
      <c r="G610" t="str">
        <f t="shared" si="27"/>
        <v>Refuse</v>
      </c>
      <c r="H610" t="str" cm="1">
        <f t="array" ref="H610">_xlfn.IFS(E610&gt;=16,"Excellent",E610&gt;=14,"Très bien",E610&gt;=12,"Bien",E610&gt;=10,"Passable",E610&lt;10,"Insuffisant")</f>
        <v>Bien</v>
      </c>
      <c r="I610" t="str">
        <f t="shared" si="28"/>
        <v>A surveiller</v>
      </c>
      <c r="J610" t="str">
        <f t="shared" si="29"/>
        <v>Autre filière</v>
      </c>
    </row>
    <row r="611" spans="1:10">
      <c r="A611" t="s">
        <v>916</v>
      </c>
      <c r="B611" t="s">
        <v>322</v>
      </c>
      <c r="C611" s="8" t="s">
        <v>34</v>
      </c>
      <c r="D611" s="8">
        <v>16.73</v>
      </c>
      <c r="E611" s="8">
        <v>8.6199999999999992</v>
      </c>
      <c r="F611" s="6">
        <v>0.86609999999999998</v>
      </c>
      <c r="G611" t="str">
        <f t="shared" si="27"/>
        <v>Refuse</v>
      </c>
      <c r="H611" t="str" cm="1">
        <f t="array" ref="H611">_xlfn.IFS(E611&gt;=16,"Excellent",E611&gt;=14,"Très bien",E611&gt;=12,"Bien",E611&gt;=10,"Passable",E611&lt;10,"Insuffisant")</f>
        <v>Insuffisant</v>
      </c>
      <c r="I611" t="str">
        <f t="shared" si="28"/>
        <v>A surveiller</v>
      </c>
      <c r="J611" t="str">
        <f t="shared" si="29"/>
        <v>Autre filière</v>
      </c>
    </row>
    <row r="612" spans="1:10">
      <c r="A612" t="s">
        <v>917</v>
      </c>
      <c r="B612" t="s">
        <v>379</v>
      </c>
      <c r="C612" s="8" t="s">
        <v>21</v>
      </c>
      <c r="D612" s="8">
        <v>18.38</v>
      </c>
      <c r="E612" s="8">
        <v>15.94</v>
      </c>
      <c r="F612" s="6">
        <v>0.55000000000000004</v>
      </c>
      <c r="G612" t="str">
        <f t="shared" si="27"/>
        <v>Admis sous condition</v>
      </c>
      <c r="H612" t="str" cm="1">
        <f t="array" ref="H612">_xlfn.IFS(E612&gt;=16,"Excellent",E612&gt;=14,"Très bien",E612&gt;=12,"Bien",E612&gt;=10,"Passable",E612&lt;10,"Insuffisant")</f>
        <v>Très bien</v>
      </c>
      <c r="I612" t="str">
        <f t="shared" si="28"/>
        <v>A surveiller</v>
      </c>
      <c r="J612" t="str">
        <f t="shared" si="29"/>
        <v>Data</v>
      </c>
    </row>
    <row r="613" spans="1:10">
      <c r="A613" t="s">
        <v>918</v>
      </c>
      <c r="B613" t="s">
        <v>68</v>
      </c>
      <c r="C613" s="8" t="s">
        <v>34</v>
      </c>
      <c r="D613" s="8">
        <v>7.94</v>
      </c>
      <c r="E613" s="8">
        <v>6.83</v>
      </c>
      <c r="F613" s="6">
        <v>0.74650000000000005</v>
      </c>
      <c r="G613" t="str">
        <f t="shared" si="27"/>
        <v>Refuse</v>
      </c>
      <c r="H613" t="str" cm="1">
        <f t="array" ref="H613">_xlfn.IFS(E613&gt;=16,"Excellent",E613&gt;=14,"Très bien",E613&gt;=12,"Bien",E613&gt;=10,"Passable",E613&lt;10,"Insuffisant")</f>
        <v>Insuffisant</v>
      </c>
      <c r="I613" t="str">
        <f t="shared" si="28"/>
        <v>A surveiller</v>
      </c>
      <c r="J613" t="str">
        <f t="shared" si="29"/>
        <v>Autre filière</v>
      </c>
    </row>
    <row r="614" spans="1:10">
      <c r="A614" t="s">
        <v>919</v>
      </c>
      <c r="B614" t="s">
        <v>696</v>
      </c>
      <c r="C614" s="8" t="s">
        <v>21</v>
      </c>
      <c r="D614" s="8">
        <v>18.420000000000002</v>
      </c>
      <c r="E614" s="8">
        <v>17.2</v>
      </c>
      <c r="F614" s="6">
        <v>0.55000000000000004</v>
      </c>
      <c r="G614" t="str">
        <f t="shared" si="27"/>
        <v>Admis sous condition</v>
      </c>
      <c r="H614" t="str" cm="1">
        <f t="array" ref="H614">_xlfn.IFS(E614&gt;=16,"Excellent",E614&gt;=14,"Très bien",E614&gt;=12,"Bien",E614&gt;=10,"Passable",E614&lt;10,"Insuffisant")</f>
        <v>Excellent</v>
      </c>
      <c r="I614" t="str">
        <f t="shared" si="28"/>
        <v>A surveiller</v>
      </c>
      <c r="J614" t="str">
        <f t="shared" si="29"/>
        <v>Data</v>
      </c>
    </row>
    <row r="615" spans="1:10">
      <c r="A615" t="s">
        <v>920</v>
      </c>
      <c r="B615" t="s">
        <v>160</v>
      </c>
      <c r="C615" s="8" t="s">
        <v>47</v>
      </c>
      <c r="D615" s="8">
        <v>13.53</v>
      </c>
      <c r="E615" s="8">
        <v>20</v>
      </c>
      <c r="F615" s="6">
        <v>0.96399999999999997</v>
      </c>
      <c r="G615" t="str">
        <f t="shared" si="27"/>
        <v>Admis</v>
      </c>
      <c r="H615" t="str" cm="1">
        <f t="array" ref="H615">_xlfn.IFS(E615&gt;=16,"Excellent",E615&gt;=14,"Très bien",E615&gt;=12,"Bien",E615&gt;=10,"Passable",E615&lt;10,"Insuffisant")</f>
        <v>Excellent</v>
      </c>
      <c r="I615" t="str">
        <f t="shared" si="28"/>
        <v>RAS</v>
      </c>
      <c r="J615" t="str">
        <f t="shared" si="29"/>
        <v>Autre filière</v>
      </c>
    </row>
    <row r="616" spans="1:10">
      <c r="A616" t="s">
        <v>921</v>
      </c>
      <c r="B616" t="s">
        <v>922</v>
      </c>
      <c r="C616" s="8" t="s">
        <v>26</v>
      </c>
      <c r="D616" s="8">
        <v>13.05</v>
      </c>
      <c r="E616" s="8">
        <v>10.08</v>
      </c>
      <c r="F616" s="6">
        <v>0.73899999999999999</v>
      </c>
      <c r="G616" t="str">
        <f t="shared" si="27"/>
        <v>Admis sous condition</v>
      </c>
      <c r="H616" t="str" cm="1">
        <f t="array" ref="H616">_xlfn.IFS(E616&gt;=16,"Excellent",E616&gt;=14,"Très bien",E616&gt;=12,"Bien",E616&gt;=10,"Passable",E616&lt;10,"Insuffisant")</f>
        <v>Passable</v>
      </c>
      <c r="I616" t="str">
        <f t="shared" si="28"/>
        <v>RAS</v>
      </c>
      <c r="J616" t="str">
        <f t="shared" si="29"/>
        <v>Autre filière</v>
      </c>
    </row>
    <row r="617" spans="1:10">
      <c r="A617" t="s">
        <v>923</v>
      </c>
      <c r="B617" t="s">
        <v>776</v>
      </c>
      <c r="C617" s="8" t="s">
        <v>26</v>
      </c>
      <c r="D617" s="8">
        <v>15.85</v>
      </c>
      <c r="E617" s="8">
        <v>18.350000000000001</v>
      </c>
      <c r="F617" s="6">
        <v>0.80759999999999998</v>
      </c>
      <c r="G617" t="str">
        <f t="shared" si="27"/>
        <v>Admis</v>
      </c>
      <c r="H617" t="str" cm="1">
        <f t="array" ref="H617">_xlfn.IFS(E617&gt;=16,"Excellent",E617&gt;=14,"Très bien",E617&gt;=12,"Bien",E617&gt;=10,"Passable",E617&lt;10,"Insuffisant")</f>
        <v>Excellent</v>
      </c>
      <c r="I617" t="str">
        <f t="shared" si="28"/>
        <v>RAS</v>
      </c>
      <c r="J617" t="str">
        <f t="shared" si="29"/>
        <v>Autre filière</v>
      </c>
    </row>
    <row r="618" spans="1:10">
      <c r="A618" t="s">
        <v>924</v>
      </c>
      <c r="B618" t="s">
        <v>925</v>
      </c>
      <c r="C618" s="8" t="s">
        <v>47</v>
      </c>
      <c r="D618" s="8">
        <v>9.52</v>
      </c>
      <c r="E618" s="8">
        <v>9.15</v>
      </c>
      <c r="F618" s="6">
        <v>0.85309999999999997</v>
      </c>
      <c r="G618" t="str">
        <f t="shared" si="27"/>
        <v>Refuse</v>
      </c>
      <c r="H618" t="str" cm="1">
        <f t="array" ref="H618">_xlfn.IFS(E618&gt;=16,"Excellent",E618&gt;=14,"Très bien",E618&gt;=12,"Bien",E618&gt;=10,"Passable",E618&lt;10,"Insuffisant")</f>
        <v>Insuffisant</v>
      </c>
      <c r="I618" t="str">
        <f t="shared" si="28"/>
        <v>A surveiller</v>
      </c>
      <c r="J618" t="str">
        <f t="shared" si="29"/>
        <v>Autre filière</v>
      </c>
    </row>
    <row r="619" spans="1:10">
      <c r="A619" t="s">
        <v>926</v>
      </c>
      <c r="B619" t="s">
        <v>927</v>
      </c>
      <c r="C619" s="8" t="s">
        <v>26</v>
      </c>
      <c r="D619" s="8">
        <v>13.83</v>
      </c>
      <c r="E619" s="8">
        <v>10.86</v>
      </c>
      <c r="F619" s="6">
        <v>0.77849999999999997</v>
      </c>
      <c r="G619" t="str">
        <f t="shared" si="27"/>
        <v>Admis sous condition</v>
      </c>
      <c r="H619" t="str" cm="1">
        <f t="array" ref="H619">_xlfn.IFS(E619&gt;=16,"Excellent",E619&gt;=14,"Très bien",E619&gt;=12,"Bien",E619&gt;=10,"Passable",E619&lt;10,"Insuffisant")</f>
        <v>Passable</v>
      </c>
      <c r="I619" t="str">
        <f t="shared" si="28"/>
        <v>RAS</v>
      </c>
      <c r="J619" t="str">
        <f t="shared" si="29"/>
        <v>Autre filière</v>
      </c>
    </row>
    <row r="620" spans="1:10">
      <c r="A620" t="s">
        <v>928</v>
      </c>
      <c r="B620" t="s">
        <v>929</v>
      </c>
      <c r="C620" s="8" t="s">
        <v>34</v>
      </c>
      <c r="D620" s="8">
        <v>6.53</v>
      </c>
      <c r="E620" s="8">
        <v>8.65</v>
      </c>
      <c r="F620" s="6">
        <v>0.64100000000000001</v>
      </c>
      <c r="G620" t="str">
        <f t="shared" si="27"/>
        <v>Refuse</v>
      </c>
      <c r="H620" t="str" cm="1">
        <f t="array" ref="H620">_xlfn.IFS(E620&gt;=16,"Excellent",E620&gt;=14,"Très bien",E620&gt;=12,"Bien",E620&gt;=10,"Passable",E620&lt;10,"Insuffisant")</f>
        <v>Insuffisant</v>
      </c>
      <c r="I620" t="str">
        <f t="shared" si="28"/>
        <v>A surveiller</v>
      </c>
      <c r="J620" t="str">
        <f t="shared" si="29"/>
        <v>Autre filière</v>
      </c>
    </row>
    <row r="621" spans="1:10">
      <c r="A621" t="s">
        <v>930</v>
      </c>
      <c r="B621" t="s">
        <v>185</v>
      </c>
      <c r="C621" s="8" t="s">
        <v>47</v>
      </c>
      <c r="D621" s="8">
        <v>8.4600000000000009</v>
      </c>
      <c r="E621" s="8">
        <v>6.44</v>
      </c>
      <c r="F621" s="6">
        <v>0.92290000000000005</v>
      </c>
      <c r="G621" t="str">
        <f t="shared" si="27"/>
        <v>Refuse</v>
      </c>
      <c r="H621" t="str" cm="1">
        <f t="array" ref="H621">_xlfn.IFS(E621&gt;=16,"Excellent",E621&gt;=14,"Très bien",E621&gt;=12,"Bien",E621&gt;=10,"Passable",E621&lt;10,"Insuffisant")</f>
        <v>Insuffisant</v>
      </c>
      <c r="I621" t="str">
        <f t="shared" si="28"/>
        <v>A surveiller</v>
      </c>
      <c r="J621" t="str">
        <f t="shared" si="29"/>
        <v>Autre filière</v>
      </c>
    </row>
    <row r="622" spans="1:10">
      <c r="A622" t="s">
        <v>931</v>
      </c>
      <c r="B622" t="s">
        <v>430</v>
      </c>
      <c r="C622" s="8" t="s">
        <v>21</v>
      </c>
      <c r="D622" s="8">
        <v>18.47</v>
      </c>
      <c r="E622" s="8">
        <v>12.91</v>
      </c>
      <c r="F622" s="6">
        <v>0.88260000000000005</v>
      </c>
      <c r="G622" t="str">
        <f t="shared" si="27"/>
        <v>Admis</v>
      </c>
      <c r="H622" t="str" cm="1">
        <f t="array" ref="H622">_xlfn.IFS(E622&gt;=16,"Excellent",E622&gt;=14,"Très bien",E622&gt;=12,"Bien",E622&gt;=10,"Passable",E622&lt;10,"Insuffisant")</f>
        <v>Bien</v>
      </c>
      <c r="I622" t="str">
        <f t="shared" si="28"/>
        <v>RAS</v>
      </c>
      <c r="J622" t="str">
        <f t="shared" si="29"/>
        <v>Data</v>
      </c>
    </row>
    <row r="623" spans="1:10">
      <c r="A623" t="s">
        <v>932</v>
      </c>
      <c r="B623" t="s">
        <v>209</v>
      </c>
      <c r="C623" s="8" t="s">
        <v>47</v>
      </c>
      <c r="D623" s="8">
        <v>11.34</v>
      </c>
      <c r="E623" s="8">
        <v>12.37</v>
      </c>
      <c r="F623" s="6">
        <v>0.9829</v>
      </c>
      <c r="G623" t="str">
        <f t="shared" si="27"/>
        <v>Admis sous condition</v>
      </c>
      <c r="H623" t="str" cm="1">
        <f t="array" ref="H623">_xlfn.IFS(E623&gt;=16,"Excellent",E623&gt;=14,"Très bien",E623&gt;=12,"Bien",E623&gt;=10,"Passable",E623&lt;10,"Insuffisant")</f>
        <v>Bien</v>
      </c>
      <c r="I623" t="str">
        <f t="shared" si="28"/>
        <v>RAS</v>
      </c>
      <c r="J623" t="str">
        <f t="shared" si="29"/>
        <v>Autre filière</v>
      </c>
    </row>
    <row r="624" spans="1:10">
      <c r="A624" t="s">
        <v>933</v>
      </c>
      <c r="B624" t="s">
        <v>369</v>
      </c>
      <c r="C624" s="8" t="s">
        <v>47</v>
      </c>
      <c r="D624" s="8">
        <v>8.15</v>
      </c>
      <c r="E624" s="8">
        <v>13.92</v>
      </c>
      <c r="F624" s="6">
        <v>0.95050000000000001</v>
      </c>
      <c r="G624" t="str">
        <f t="shared" si="27"/>
        <v>Refuse</v>
      </c>
      <c r="H624" t="str" cm="1">
        <f t="array" ref="H624">_xlfn.IFS(E624&gt;=16,"Excellent",E624&gt;=14,"Très bien",E624&gt;=12,"Bien",E624&gt;=10,"Passable",E624&lt;10,"Insuffisant")</f>
        <v>Bien</v>
      </c>
      <c r="I624" t="str">
        <f t="shared" si="28"/>
        <v>A surveiller</v>
      </c>
      <c r="J624" t="str">
        <f t="shared" si="29"/>
        <v>Autre filière</v>
      </c>
    </row>
    <row r="625" spans="1:10">
      <c r="A625" t="s">
        <v>934</v>
      </c>
      <c r="B625" t="s">
        <v>163</v>
      </c>
      <c r="C625" s="8" t="s">
        <v>21</v>
      </c>
      <c r="D625" s="8">
        <v>7.49</v>
      </c>
      <c r="E625" s="8">
        <v>12.14</v>
      </c>
      <c r="F625" s="6">
        <v>0.87350000000000005</v>
      </c>
      <c r="G625" t="str">
        <f t="shared" si="27"/>
        <v>Refuse</v>
      </c>
      <c r="H625" t="str" cm="1">
        <f t="array" ref="H625">_xlfn.IFS(E625&gt;=16,"Excellent",E625&gt;=14,"Très bien",E625&gt;=12,"Bien",E625&gt;=10,"Passable",E625&lt;10,"Insuffisant")</f>
        <v>Bien</v>
      </c>
      <c r="I625" t="str">
        <f t="shared" si="28"/>
        <v>A surveiller</v>
      </c>
      <c r="J625" t="str">
        <f t="shared" si="29"/>
        <v>Data</v>
      </c>
    </row>
    <row r="626" spans="1:10">
      <c r="A626" t="s">
        <v>935</v>
      </c>
      <c r="B626" t="s">
        <v>58</v>
      </c>
      <c r="C626" s="8" t="s">
        <v>47</v>
      </c>
      <c r="D626" s="8">
        <v>10.79</v>
      </c>
      <c r="E626" s="8">
        <v>8.8000000000000007</v>
      </c>
      <c r="F626" s="6">
        <v>0.75249999999999995</v>
      </c>
      <c r="G626" t="str">
        <f t="shared" si="27"/>
        <v>Refuse</v>
      </c>
      <c r="H626" t="str" cm="1">
        <f t="array" ref="H626">_xlfn.IFS(E626&gt;=16,"Excellent",E626&gt;=14,"Très bien",E626&gt;=12,"Bien",E626&gt;=10,"Passable",E626&lt;10,"Insuffisant")</f>
        <v>Insuffisant</v>
      </c>
      <c r="I626" t="str">
        <f t="shared" si="28"/>
        <v>A surveiller</v>
      </c>
      <c r="J626" t="str">
        <f t="shared" si="29"/>
        <v>Autre filière</v>
      </c>
    </row>
    <row r="627" spans="1:10">
      <c r="A627" t="s">
        <v>936</v>
      </c>
      <c r="B627" t="s">
        <v>736</v>
      </c>
      <c r="C627" s="8" t="s">
        <v>47</v>
      </c>
      <c r="D627" s="8">
        <v>13.06</v>
      </c>
      <c r="E627" s="8">
        <v>13.13</v>
      </c>
      <c r="F627" s="6">
        <v>0.98350000000000004</v>
      </c>
      <c r="G627" t="str">
        <f t="shared" si="27"/>
        <v>Admis</v>
      </c>
      <c r="H627" t="str" cm="1">
        <f t="array" ref="H627">_xlfn.IFS(E627&gt;=16,"Excellent",E627&gt;=14,"Très bien",E627&gt;=12,"Bien",E627&gt;=10,"Passable",E627&lt;10,"Insuffisant")</f>
        <v>Bien</v>
      </c>
      <c r="I627" t="str">
        <f t="shared" si="28"/>
        <v>RAS</v>
      </c>
      <c r="J627" t="str">
        <f t="shared" si="29"/>
        <v>Autre filière</v>
      </c>
    </row>
    <row r="628" spans="1:10">
      <c r="A628" t="s">
        <v>937</v>
      </c>
      <c r="B628" t="s">
        <v>938</v>
      </c>
      <c r="C628" s="8" t="s">
        <v>34</v>
      </c>
      <c r="D628" s="8">
        <v>5.53</v>
      </c>
      <c r="E628" s="8">
        <v>11.59</v>
      </c>
      <c r="F628" s="6">
        <v>0.90610000000000002</v>
      </c>
      <c r="G628" t="str">
        <f t="shared" si="27"/>
        <v>Refuse</v>
      </c>
      <c r="H628" t="str" cm="1">
        <f t="array" ref="H628">_xlfn.IFS(E628&gt;=16,"Excellent",E628&gt;=14,"Très bien",E628&gt;=12,"Bien",E628&gt;=10,"Passable",E628&lt;10,"Insuffisant")</f>
        <v>Passable</v>
      </c>
      <c r="I628" t="str">
        <f t="shared" si="28"/>
        <v>A surveiller</v>
      </c>
      <c r="J628" t="str">
        <f t="shared" si="29"/>
        <v>Autre filière</v>
      </c>
    </row>
    <row r="629" spans="1:10">
      <c r="A629" t="s">
        <v>939</v>
      </c>
      <c r="B629" t="s">
        <v>459</v>
      </c>
      <c r="C629" s="8" t="s">
        <v>47</v>
      </c>
      <c r="D629" s="8">
        <v>17.29</v>
      </c>
      <c r="E629" s="8">
        <v>18.47</v>
      </c>
      <c r="F629" s="6">
        <v>0.93130000000000002</v>
      </c>
      <c r="G629" t="str">
        <f t="shared" si="27"/>
        <v>Admis</v>
      </c>
      <c r="H629" t="str" cm="1">
        <f t="array" ref="H629">_xlfn.IFS(E629&gt;=16,"Excellent",E629&gt;=14,"Très bien",E629&gt;=12,"Bien",E629&gt;=10,"Passable",E629&lt;10,"Insuffisant")</f>
        <v>Excellent</v>
      </c>
      <c r="I629" t="str">
        <f t="shared" si="28"/>
        <v>RAS</v>
      </c>
      <c r="J629" t="str">
        <f t="shared" si="29"/>
        <v>Autre filière</v>
      </c>
    </row>
    <row r="630" spans="1:10">
      <c r="A630" t="s">
        <v>940</v>
      </c>
      <c r="B630" t="s">
        <v>617</v>
      </c>
      <c r="C630" s="8" t="s">
        <v>34</v>
      </c>
      <c r="D630" s="8">
        <v>15.07</v>
      </c>
      <c r="E630" s="8">
        <v>8.73</v>
      </c>
      <c r="F630" s="6">
        <v>0.73860000000000003</v>
      </c>
      <c r="G630" t="str">
        <f t="shared" si="27"/>
        <v>Refuse</v>
      </c>
      <c r="H630" t="str" cm="1">
        <f t="array" ref="H630">_xlfn.IFS(E630&gt;=16,"Excellent",E630&gt;=14,"Très bien",E630&gt;=12,"Bien",E630&gt;=10,"Passable",E630&lt;10,"Insuffisant")</f>
        <v>Insuffisant</v>
      </c>
      <c r="I630" t="str">
        <f t="shared" si="28"/>
        <v>A surveiller</v>
      </c>
      <c r="J630" t="str">
        <f t="shared" si="29"/>
        <v>Autre filière</v>
      </c>
    </row>
    <row r="631" spans="1:10">
      <c r="A631" t="s">
        <v>941</v>
      </c>
      <c r="B631" t="s">
        <v>832</v>
      </c>
      <c r="C631" s="8" t="s">
        <v>34</v>
      </c>
      <c r="D631" s="8">
        <v>12.6</v>
      </c>
      <c r="E631" s="8">
        <v>12.49</v>
      </c>
      <c r="F631" s="6">
        <v>0.80720000000000003</v>
      </c>
      <c r="G631" t="str">
        <f t="shared" si="27"/>
        <v>Admis</v>
      </c>
      <c r="H631" t="str" cm="1">
        <f t="array" ref="H631">_xlfn.IFS(E631&gt;=16,"Excellent",E631&gt;=14,"Très bien",E631&gt;=12,"Bien",E631&gt;=10,"Passable",E631&lt;10,"Insuffisant")</f>
        <v>Bien</v>
      </c>
      <c r="I631" t="str">
        <f t="shared" si="28"/>
        <v>RAS</v>
      </c>
      <c r="J631" t="str">
        <f t="shared" si="29"/>
        <v>Autre filière</v>
      </c>
    </row>
    <row r="632" spans="1:10">
      <c r="A632" t="s">
        <v>942</v>
      </c>
      <c r="B632" t="s">
        <v>517</v>
      </c>
      <c r="C632" s="8" t="s">
        <v>21</v>
      </c>
      <c r="D632" s="8">
        <v>16.36</v>
      </c>
      <c r="E632" s="8">
        <v>14.38</v>
      </c>
      <c r="F632" s="6">
        <v>0.70789999999999997</v>
      </c>
      <c r="G632" t="str">
        <f t="shared" si="27"/>
        <v>Admis sous condition</v>
      </c>
      <c r="H632" t="str" cm="1">
        <f t="array" ref="H632">_xlfn.IFS(E632&gt;=16,"Excellent",E632&gt;=14,"Très bien",E632&gt;=12,"Bien",E632&gt;=10,"Passable",E632&lt;10,"Insuffisant")</f>
        <v>Très bien</v>
      </c>
      <c r="I632" t="str">
        <f t="shared" si="28"/>
        <v>RAS</v>
      </c>
      <c r="J632" t="str">
        <f t="shared" si="29"/>
        <v>Data</v>
      </c>
    </row>
    <row r="633" spans="1:10">
      <c r="A633" t="s">
        <v>943</v>
      </c>
      <c r="B633" t="s">
        <v>290</v>
      </c>
      <c r="C633" s="8" t="s">
        <v>34</v>
      </c>
      <c r="D633" s="8">
        <v>16.43</v>
      </c>
      <c r="E633" s="8">
        <v>15.73</v>
      </c>
      <c r="F633" s="6">
        <v>0.83879999999999999</v>
      </c>
      <c r="G633" t="str">
        <f t="shared" si="27"/>
        <v>Admis</v>
      </c>
      <c r="H633" t="str" cm="1">
        <f t="array" ref="H633">_xlfn.IFS(E633&gt;=16,"Excellent",E633&gt;=14,"Très bien",E633&gt;=12,"Bien",E633&gt;=10,"Passable",E633&lt;10,"Insuffisant")</f>
        <v>Très bien</v>
      </c>
      <c r="I633" t="str">
        <f t="shared" si="28"/>
        <v>RAS</v>
      </c>
      <c r="J633" t="str">
        <f t="shared" si="29"/>
        <v>Autre filière</v>
      </c>
    </row>
    <row r="634" spans="1:10">
      <c r="A634" t="s">
        <v>944</v>
      </c>
      <c r="B634" t="s">
        <v>473</v>
      </c>
      <c r="C634" s="8" t="s">
        <v>26</v>
      </c>
      <c r="D634" s="8">
        <v>9</v>
      </c>
      <c r="E634" s="8">
        <v>10.14</v>
      </c>
      <c r="F634" s="6">
        <v>0.59550000000000003</v>
      </c>
      <c r="G634" t="str">
        <f t="shared" si="27"/>
        <v>Refuse</v>
      </c>
      <c r="H634" t="str" cm="1">
        <f t="array" ref="H634">_xlfn.IFS(E634&gt;=16,"Excellent",E634&gt;=14,"Très bien",E634&gt;=12,"Bien",E634&gt;=10,"Passable",E634&lt;10,"Insuffisant")</f>
        <v>Passable</v>
      </c>
      <c r="I634" t="str">
        <f t="shared" si="28"/>
        <v>A surveiller</v>
      </c>
      <c r="J634" t="str">
        <f t="shared" si="29"/>
        <v>Autre filière</v>
      </c>
    </row>
    <row r="635" spans="1:10">
      <c r="A635" t="s">
        <v>945</v>
      </c>
      <c r="B635" t="s">
        <v>18</v>
      </c>
      <c r="C635" s="8" t="s">
        <v>26</v>
      </c>
      <c r="D635" s="8">
        <v>14.13</v>
      </c>
      <c r="E635" s="8">
        <v>13.27</v>
      </c>
      <c r="F635" s="6">
        <v>0.87860000000000005</v>
      </c>
      <c r="G635" t="str">
        <f t="shared" si="27"/>
        <v>Admis</v>
      </c>
      <c r="H635" t="str" cm="1">
        <f t="array" ref="H635">_xlfn.IFS(E635&gt;=16,"Excellent",E635&gt;=14,"Très bien",E635&gt;=12,"Bien",E635&gt;=10,"Passable",E635&lt;10,"Insuffisant")</f>
        <v>Bien</v>
      </c>
      <c r="I635" t="str">
        <f t="shared" si="28"/>
        <v>RAS</v>
      </c>
      <c r="J635" t="str">
        <f t="shared" si="29"/>
        <v>Autre filière</v>
      </c>
    </row>
    <row r="636" spans="1:10">
      <c r="A636" t="s">
        <v>946</v>
      </c>
      <c r="B636" t="s">
        <v>250</v>
      </c>
      <c r="C636" s="8" t="s">
        <v>47</v>
      </c>
      <c r="D636" s="8">
        <v>20</v>
      </c>
      <c r="E636" s="8">
        <v>15.42</v>
      </c>
      <c r="F636" s="6">
        <v>0.71719999999999995</v>
      </c>
      <c r="G636" t="str">
        <f t="shared" si="27"/>
        <v>Admis sous condition</v>
      </c>
      <c r="H636" t="str" cm="1">
        <f t="array" ref="H636">_xlfn.IFS(E636&gt;=16,"Excellent",E636&gt;=14,"Très bien",E636&gt;=12,"Bien",E636&gt;=10,"Passable",E636&lt;10,"Insuffisant")</f>
        <v>Très bien</v>
      </c>
      <c r="I636" t="str">
        <f t="shared" si="28"/>
        <v>RAS</v>
      </c>
      <c r="J636" t="str">
        <f t="shared" si="29"/>
        <v>Autre filière</v>
      </c>
    </row>
    <row r="637" spans="1:10">
      <c r="A637" t="s">
        <v>947</v>
      </c>
      <c r="B637" t="s">
        <v>948</v>
      </c>
      <c r="C637" s="8" t="s">
        <v>47</v>
      </c>
      <c r="D637" s="8">
        <v>20</v>
      </c>
      <c r="E637" s="8">
        <v>17.38</v>
      </c>
      <c r="F637" s="6">
        <v>0.87719999999999998</v>
      </c>
      <c r="G637" t="str">
        <f t="shared" si="27"/>
        <v>Admis</v>
      </c>
      <c r="H637" t="str" cm="1">
        <f t="array" ref="H637">_xlfn.IFS(E637&gt;=16,"Excellent",E637&gt;=14,"Très bien",E637&gt;=12,"Bien",E637&gt;=10,"Passable",E637&lt;10,"Insuffisant")</f>
        <v>Excellent</v>
      </c>
      <c r="I637" t="str">
        <f t="shared" si="28"/>
        <v>RAS</v>
      </c>
      <c r="J637" t="str">
        <f t="shared" si="29"/>
        <v>Autre filière</v>
      </c>
    </row>
    <row r="638" spans="1:10">
      <c r="A638" t="s">
        <v>949</v>
      </c>
      <c r="B638" t="s">
        <v>580</v>
      </c>
      <c r="C638" s="8" t="s">
        <v>47</v>
      </c>
      <c r="D638" s="8">
        <v>10.31</v>
      </c>
      <c r="E638" s="8">
        <v>11.1</v>
      </c>
      <c r="F638" s="6">
        <v>0.86419999999999997</v>
      </c>
      <c r="G638" t="str">
        <f t="shared" si="27"/>
        <v>Admis sous condition</v>
      </c>
      <c r="H638" t="str" cm="1">
        <f t="array" ref="H638">_xlfn.IFS(E638&gt;=16,"Excellent",E638&gt;=14,"Très bien",E638&gt;=12,"Bien",E638&gt;=10,"Passable",E638&lt;10,"Insuffisant")</f>
        <v>Passable</v>
      </c>
      <c r="I638" t="str">
        <f t="shared" si="28"/>
        <v>RAS</v>
      </c>
      <c r="J638" t="str">
        <f t="shared" si="29"/>
        <v>Autre filière</v>
      </c>
    </row>
    <row r="639" spans="1:10">
      <c r="A639" t="s">
        <v>950</v>
      </c>
      <c r="B639" t="s">
        <v>561</v>
      </c>
      <c r="C639" s="8" t="s">
        <v>34</v>
      </c>
      <c r="D639" s="8">
        <v>13.64</v>
      </c>
      <c r="E639" s="8">
        <v>12.31</v>
      </c>
      <c r="F639" s="6">
        <v>0.76659999999999995</v>
      </c>
      <c r="G639" t="str">
        <f t="shared" si="27"/>
        <v>Admis sous condition</v>
      </c>
      <c r="H639" t="str" cm="1">
        <f t="array" ref="H639">_xlfn.IFS(E639&gt;=16,"Excellent",E639&gt;=14,"Très bien",E639&gt;=12,"Bien",E639&gt;=10,"Passable",E639&lt;10,"Insuffisant")</f>
        <v>Bien</v>
      </c>
      <c r="I639" t="str">
        <f t="shared" si="28"/>
        <v>RAS</v>
      </c>
      <c r="J639" t="str">
        <f t="shared" si="29"/>
        <v>Autre filière</v>
      </c>
    </row>
    <row r="640" spans="1:10">
      <c r="A640" t="s">
        <v>951</v>
      </c>
      <c r="B640" t="s">
        <v>670</v>
      </c>
      <c r="C640" s="8" t="s">
        <v>34</v>
      </c>
      <c r="D640" s="8">
        <v>19.04</v>
      </c>
      <c r="E640" s="8">
        <v>16.510000000000002</v>
      </c>
      <c r="F640" s="6">
        <v>0.85640000000000005</v>
      </c>
      <c r="G640" t="str">
        <f t="shared" si="27"/>
        <v>Admis</v>
      </c>
      <c r="H640" t="str" cm="1">
        <f t="array" ref="H640">_xlfn.IFS(E640&gt;=16,"Excellent",E640&gt;=14,"Très bien",E640&gt;=12,"Bien",E640&gt;=10,"Passable",E640&lt;10,"Insuffisant")</f>
        <v>Excellent</v>
      </c>
      <c r="I640" t="str">
        <f t="shared" si="28"/>
        <v>RAS</v>
      </c>
      <c r="J640" t="str">
        <f t="shared" si="29"/>
        <v>Autre filière</v>
      </c>
    </row>
    <row r="641" spans="1:10">
      <c r="A641" t="s">
        <v>952</v>
      </c>
      <c r="B641" t="s">
        <v>255</v>
      </c>
      <c r="C641" s="8" t="s">
        <v>47</v>
      </c>
      <c r="D641" s="8">
        <v>12.16</v>
      </c>
      <c r="E641" s="8">
        <v>14.76</v>
      </c>
      <c r="F641" s="6">
        <v>0.68010000000000004</v>
      </c>
      <c r="G641" t="str">
        <f t="shared" si="27"/>
        <v>Admis sous condition</v>
      </c>
      <c r="H641" t="str" cm="1">
        <f t="array" ref="H641">_xlfn.IFS(E641&gt;=16,"Excellent",E641&gt;=14,"Très bien",E641&gt;=12,"Bien",E641&gt;=10,"Passable",E641&lt;10,"Insuffisant")</f>
        <v>Très bien</v>
      </c>
      <c r="I641" t="str">
        <f t="shared" si="28"/>
        <v>A surveiller</v>
      </c>
      <c r="J641" t="str">
        <f t="shared" si="29"/>
        <v>Autre filière</v>
      </c>
    </row>
    <row r="642" spans="1:10">
      <c r="A642" t="s">
        <v>953</v>
      </c>
      <c r="B642" t="s">
        <v>147</v>
      </c>
      <c r="C642" s="8" t="s">
        <v>26</v>
      </c>
      <c r="D642" s="8">
        <v>15.46</v>
      </c>
      <c r="E642" s="8">
        <v>14.23</v>
      </c>
      <c r="F642" s="6">
        <v>0.55000000000000004</v>
      </c>
      <c r="G642" t="str">
        <f t="shared" si="27"/>
        <v>Admis sous condition</v>
      </c>
      <c r="H642" t="str" cm="1">
        <f t="array" ref="H642">_xlfn.IFS(E642&gt;=16,"Excellent",E642&gt;=14,"Très bien",E642&gt;=12,"Bien",E642&gt;=10,"Passable",E642&lt;10,"Insuffisant")</f>
        <v>Très bien</v>
      </c>
      <c r="I642" t="str">
        <f t="shared" si="28"/>
        <v>A surveiller</v>
      </c>
      <c r="J642" t="str">
        <f t="shared" si="29"/>
        <v>Autre filière</v>
      </c>
    </row>
    <row r="643" spans="1:10">
      <c r="A643" t="s">
        <v>954</v>
      </c>
      <c r="B643" t="s">
        <v>432</v>
      </c>
      <c r="C643" s="8" t="s">
        <v>34</v>
      </c>
      <c r="D643" s="8">
        <v>11.28</v>
      </c>
      <c r="E643" s="8">
        <v>9.26</v>
      </c>
      <c r="F643" s="6">
        <v>0.91769999999999996</v>
      </c>
      <c r="G643" t="str">
        <f t="shared" ref="G643:G706" si="30">IF(AND(D643&gt;=12,E643&gt;=12,F643&gt;=80%),"Admis",IF(AND(D643&gt;=10,E643&gt;=10),"Admis sous condition","Refuse"))</f>
        <v>Refuse</v>
      </c>
      <c r="H643" t="str" cm="1">
        <f t="array" ref="H643">_xlfn.IFS(E643&gt;=16,"Excellent",E643&gt;=14,"Très bien",E643&gt;=12,"Bien",E643&gt;=10,"Passable",E643&lt;10,"Insuffisant")</f>
        <v>Insuffisant</v>
      </c>
      <c r="I643" t="str">
        <f t="shared" ref="I643:I706" si="31">IF(OR(D643&lt;10,E643&lt;10,F643&lt;70%),"A surveiller","RAS")</f>
        <v>A surveiller</v>
      </c>
      <c r="J643" t="str">
        <f t="shared" ref="J643:J706" si="32">IF(NOT(C643="Data"),"Autre filière","Data")</f>
        <v>Autre filière</v>
      </c>
    </row>
    <row r="644" spans="1:10">
      <c r="A644" t="s">
        <v>955</v>
      </c>
      <c r="B644" t="s">
        <v>179</v>
      </c>
      <c r="C644" s="8" t="s">
        <v>47</v>
      </c>
      <c r="D644" s="8">
        <v>13.13</v>
      </c>
      <c r="E644" s="8">
        <v>13.64</v>
      </c>
      <c r="F644" s="6">
        <v>0.85019999999999996</v>
      </c>
      <c r="G644" t="str">
        <f t="shared" si="30"/>
        <v>Admis</v>
      </c>
      <c r="H644" t="str" cm="1">
        <f t="array" ref="H644">_xlfn.IFS(E644&gt;=16,"Excellent",E644&gt;=14,"Très bien",E644&gt;=12,"Bien",E644&gt;=10,"Passable",E644&lt;10,"Insuffisant")</f>
        <v>Bien</v>
      </c>
      <c r="I644" t="str">
        <f t="shared" si="31"/>
        <v>RAS</v>
      </c>
      <c r="J644" t="str">
        <f t="shared" si="32"/>
        <v>Autre filière</v>
      </c>
    </row>
    <row r="645" spans="1:10">
      <c r="A645" t="s">
        <v>956</v>
      </c>
      <c r="B645" t="s">
        <v>284</v>
      </c>
      <c r="C645" s="8" t="s">
        <v>34</v>
      </c>
      <c r="D645" s="8">
        <v>13.81</v>
      </c>
      <c r="E645" s="8">
        <v>13.51</v>
      </c>
      <c r="F645" s="6">
        <v>0.92879999999999996</v>
      </c>
      <c r="G645" t="str">
        <f t="shared" si="30"/>
        <v>Admis</v>
      </c>
      <c r="H645" t="str" cm="1">
        <f t="array" ref="H645">_xlfn.IFS(E645&gt;=16,"Excellent",E645&gt;=14,"Très bien",E645&gt;=12,"Bien",E645&gt;=10,"Passable",E645&lt;10,"Insuffisant")</f>
        <v>Bien</v>
      </c>
      <c r="I645" t="str">
        <f t="shared" si="31"/>
        <v>RAS</v>
      </c>
      <c r="J645" t="str">
        <f t="shared" si="32"/>
        <v>Autre filière</v>
      </c>
    </row>
    <row r="646" spans="1:10">
      <c r="A646" t="s">
        <v>957</v>
      </c>
      <c r="B646" t="s">
        <v>126</v>
      </c>
      <c r="C646" s="8" t="s">
        <v>34</v>
      </c>
      <c r="D646" s="8">
        <v>13.9</v>
      </c>
      <c r="E646" s="8">
        <v>15.77</v>
      </c>
      <c r="F646" s="6">
        <v>0.97140000000000004</v>
      </c>
      <c r="G646" t="str">
        <f t="shared" si="30"/>
        <v>Admis</v>
      </c>
      <c r="H646" t="str" cm="1">
        <f t="array" ref="H646">_xlfn.IFS(E646&gt;=16,"Excellent",E646&gt;=14,"Très bien",E646&gt;=12,"Bien",E646&gt;=10,"Passable",E646&lt;10,"Insuffisant")</f>
        <v>Très bien</v>
      </c>
      <c r="I646" t="str">
        <f t="shared" si="31"/>
        <v>RAS</v>
      </c>
      <c r="J646" t="str">
        <f t="shared" si="32"/>
        <v>Autre filière</v>
      </c>
    </row>
    <row r="647" spans="1:10">
      <c r="A647" t="s">
        <v>958</v>
      </c>
      <c r="B647" t="s">
        <v>240</v>
      </c>
      <c r="C647" s="8" t="s">
        <v>34</v>
      </c>
      <c r="D647" s="8">
        <v>13.64</v>
      </c>
      <c r="E647" s="8">
        <v>14.88</v>
      </c>
      <c r="F647" s="6">
        <v>0.94579999999999997</v>
      </c>
      <c r="G647" t="str">
        <f t="shared" si="30"/>
        <v>Admis</v>
      </c>
      <c r="H647" t="str" cm="1">
        <f t="array" ref="H647">_xlfn.IFS(E647&gt;=16,"Excellent",E647&gt;=14,"Très bien",E647&gt;=12,"Bien",E647&gt;=10,"Passable",E647&lt;10,"Insuffisant")</f>
        <v>Très bien</v>
      </c>
      <c r="I647" t="str">
        <f t="shared" si="31"/>
        <v>RAS</v>
      </c>
      <c r="J647" t="str">
        <f t="shared" si="32"/>
        <v>Autre filière</v>
      </c>
    </row>
    <row r="648" spans="1:10">
      <c r="A648" t="s">
        <v>959</v>
      </c>
      <c r="B648" t="s">
        <v>871</v>
      </c>
      <c r="C648" s="8" t="s">
        <v>21</v>
      </c>
      <c r="D648" s="8">
        <v>6.96</v>
      </c>
      <c r="E648" s="8">
        <v>16.489999999999998</v>
      </c>
      <c r="F648" s="6">
        <v>0.80489999999999995</v>
      </c>
      <c r="G648" t="str">
        <f t="shared" si="30"/>
        <v>Refuse</v>
      </c>
      <c r="H648" t="str" cm="1">
        <f t="array" ref="H648">_xlfn.IFS(E648&gt;=16,"Excellent",E648&gt;=14,"Très bien",E648&gt;=12,"Bien",E648&gt;=10,"Passable",E648&lt;10,"Insuffisant")</f>
        <v>Excellent</v>
      </c>
      <c r="I648" t="str">
        <f t="shared" si="31"/>
        <v>A surveiller</v>
      </c>
      <c r="J648" t="str">
        <f t="shared" si="32"/>
        <v>Data</v>
      </c>
    </row>
    <row r="649" spans="1:10">
      <c r="A649" t="s">
        <v>960</v>
      </c>
      <c r="B649" t="s">
        <v>484</v>
      </c>
      <c r="C649" s="8" t="s">
        <v>34</v>
      </c>
      <c r="D649" s="8">
        <v>11.99</v>
      </c>
      <c r="E649" s="8">
        <v>9.58</v>
      </c>
      <c r="F649" s="6">
        <v>0.9093</v>
      </c>
      <c r="G649" t="str">
        <f t="shared" si="30"/>
        <v>Refuse</v>
      </c>
      <c r="H649" t="str" cm="1">
        <f t="array" ref="H649">_xlfn.IFS(E649&gt;=16,"Excellent",E649&gt;=14,"Très bien",E649&gt;=12,"Bien",E649&gt;=10,"Passable",E649&lt;10,"Insuffisant")</f>
        <v>Insuffisant</v>
      </c>
      <c r="I649" t="str">
        <f t="shared" si="31"/>
        <v>A surveiller</v>
      </c>
      <c r="J649" t="str">
        <f t="shared" si="32"/>
        <v>Autre filière</v>
      </c>
    </row>
    <row r="650" spans="1:10">
      <c r="A650" t="s">
        <v>961</v>
      </c>
      <c r="B650" t="s">
        <v>760</v>
      </c>
      <c r="C650" s="8" t="s">
        <v>47</v>
      </c>
      <c r="D650" s="8">
        <v>16.399999999999999</v>
      </c>
      <c r="E650" s="8">
        <v>14.37</v>
      </c>
      <c r="F650" s="6">
        <v>0.70750000000000002</v>
      </c>
      <c r="G650" t="str">
        <f t="shared" si="30"/>
        <v>Admis sous condition</v>
      </c>
      <c r="H650" t="str" cm="1">
        <f t="array" ref="H650">_xlfn.IFS(E650&gt;=16,"Excellent",E650&gt;=14,"Très bien",E650&gt;=12,"Bien",E650&gt;=10,"Passable",E650&lt;10,"Insuffisant")</f>
        <v>Très bien</v>
      </c>
      <c r="I650" t="str">
        <f t="shared" si="31"/>
        <v>RAS</v>
      </c>
      <c r="J650" t="str">
        <f t="shared" si="32"/>
        <v>Autre filière</v>
      </c>
    </row>
    <row r="651" spans="1:10">
      <c r="A651" t="s">
        <v>962</v>
      </c>
      <c r="B651" t="s">
        <v>76</v>
      </c>
      <c r="C651" s="8" t="s">
        <v>47</v>
      </c>
      <c r="D651" s="8">
        <v>20</v>
      </c>
      <c r="E651" s="8">
        <v>19.13</v>
      </c>
      <c r="F651" s="6">
        <v>0.89190000000000003</v>
      </c>
      <c r="G651" t="str">
        <f t="shared" si="30"/>
        <v>Admis</v>
      </c>
      <c r="H651" t="str" cm="1">
        <f t="array" ref="H651">_xlfn.IFS(E651&gt;=16,"Excellent",E651&gt;=14,"Très bien",E651&gt;=12,"Bien",E651&gt;=10,"Passable",E651&lt;10,"Insuffisant")</f>
        <v>Excellent</v>
      </c>
      <c r="I651" t="str">
        <f t="shared" si="31"/>
        <v>RAS</v>
      </c>
      <c r="J651" t="str">
        <f t="shared" si="32"/>
        <v>Autre filière</v>
      </c>
    </row>
    <row r="652" spans="1:10">
      <c r="A652" t="s">
        <v>963</v>
      </c>
      <c r="B652" t="s">
        <v>832</v>
      </c>
      <c r="C652" s="8" t="s">
        <v>26</v>
      </c>
      <c r="D652" s="8">
        <v>8.3000000000000007</v>
      </c>
      <c r="E652" s="8">
        <v>7.17</v>
      </c>
      <c r="F652" s="6">
        <v>0.94720000000000004</v>
      </c>
      <c r="G652" t="str">
        <f t="shared" si="30"/>
        <v>Refuse</v>
      </c>
      <c r="H652" t="str" cm="1">
        <f t="array" ref="H652">_xlfn.IFS(E652&gt;=16,"Excellent",E652&gt;=14,"Très bien",E652&gt;=12,"Bien",E652&gt;=10,"Passable",E652&lt;10,"Insuffisant")</f>
        <v>Insuffisant</v>
      </c>
      <c r="I652" t="str">
        <f t="shared" si="31"/>
        <v>A surveiller</v>
      </c>
      <c r="J652" t="str">
        <f t="shared" si="32"/>
        <v>Autre filière</v>
      </c>
    </row>
    <row r="653" spans="1:10">
      <c r="A653" t="s">
        <v>964</v>
      </c>
      <c r="B653" t="s">
        <v>97</v>
      </c>
      <c r="C653" s="8" t="s">
        <v>21</v>
      </c>
      <c r="D653" s="8">
        <v>18.02</v>
      </c>
      <c r="E653" s="8">
        <v>17.36</v>
      </c>
      <c r="F653" s="6">
        <v>0.78739999999999999</v>
      </c>
      <c r="G653" t="str">
        <f t="shared" si="30"/>
        <v>Admis sous condition</v>
      </c>
      <c r="H653" t="str" cm="1">
        <f t="array" ref="H653">_xlfn.IFS(E653&gt;=16,"Excellent",E653&gt;=14,"Très bien",E653&gt;=12,"Bien",E653&gt;=10,"Passable",E653&lt;10,"Insuffisant")</f>
        <v>Excellent</v>
      </c>
      <c r="I653" t="str">
        <f t="shared" si="31"/>
        <v>RAS</v>
      </c>
      <c r="J653" t="str">
        <f t="shared" si="32"/>
        <v>Data</v>
      </c>
    </row>
    <row r="654" spans="1:10">
      <c r="A654" t="s">
        <v>965</v>
      </c>
      <c r="B654" t="s">
        <v>563</v>
      </c>
      <c r="C654" s="8" t="s">
        <v>26</v>
      </c>
      <c r="D654" s="8">
        <v>12.06</v>
      </c>
      <c r="E654" s="8">
        <v>14.84</v>
      </c>
      <c r="F654" s="6">
        <v>0.85770000000000002</v>
      </c>
      <c r="G654" t="str">
        <f t="shared" si="30"/>
        <v>Admis</v>
      </c>
      <c r="H654" t="str" cm="1">
        <f t="array" ref="H654">_xlfn.IFS(E654&gt;=16,"Excellent",E654&gt;=14,"Très bien",E654&gt;=12,"Bien",E654&gt;=10,"Passable",E654&lt;10,"Insuffisant")</f>
        <v>Très bien</v>
      </c>
      <c r="I654" t="str">
        <f t="shared" si="31"/>
        <v>RAS</v>
      </c>
      <c r="J654" t="str">
        <f t="shared" si="32"/>
        <v>Autre filière</v>
      </c>
    </row>
    <row r="655" spans="1:10">
      <c r="A655" t="s">
        <v>966</v>
      </c>
      <c r="B655" t="s">
        <v>879</v>
      </c>
      <c r="C655" s="8" t="s">
        <v>26</v>
      </c>
      <c r="D655" s="8">
        <v>16.079999999999998</v>
      </c>
      <c r="E655" s="8">
        <v>12.79</v>
      </c>
      <c r="F655" s="6">
        <v>0.95340000000000003</v>
      </c>
      <c r="G655" t="str">
        <f t="shared" si="30"/>
        <v>Admis</v>
      </c>
      <c r="H655" t="str" cm="1">
        <f t="array" ref="H655">_xlfn.IFS(E655&gt;=16,"Excellent",E655&gt;=14,"Très bien",E655&gt;=12,"Bien",E655&gt;=10,"Passable",E655&lt;10,"Insuffisant")</f>
        <v>Bien</v>
      </c>
      <c r="I655" t="str">
        <f t="shared" si="31"/>
        <v>RAS</v>
      </c>
      <c r="J655" t="str">
        <f t="shared" si="32"/>
        <v>Autre filière</v>
      </c>
    </row>
    <row r="656" spans="1:10">
      <c r="A656" t="s">
        <v>967</v>
      </c>
      <c r="B656" t="s">
        <v>225</v>
      </c>
      <c r="C656" s="8" t="s">
        <v>34</v>
      </c>
      <c r="D656" s="8">
        <v>15.93</v>
      </c>
      <c r="E656" s="8">
        <v>12.82</v>
      </c>
      <c r="F656" s="6">
        <v>0.93410000000000004</v>
      </c>
      <c r="G656" t="str">
        <f t="shared" si="30"/>
        <v>Admis</v>
      </c>
      <c r="H656" t="str" cm="1">
        <f t="array" ref="H656">_xlfn.IFS(E656&gt;=16,"Excellent",E656&gt;=14,"Très bien",E656&gt;=12,"Bien",E656&gt;=10,"Passable",E656&lt;10,"Insuffisant")</f>
        <v>Bien</v>
      </c>
      <c r="I656" t="str">
        <f t="shared" si="31"/>
        <v>RAS</v>
      </c>
      <c r="J656" t="str">
        <f t="shared" si="32"/>
        <v>Autre filière</v>
      </c>
    </row>
    <row r="657" spans="1:10">
      <c r="A657" t="s">
        <v>968</v>
      </c>
      <c r="B657" t="s">
        <v>49</v>
      </c>
      <c r="C657" s="8" t="s">
        <v>34</v>
      </c>
      <c r="D657" s="8">
        <v>16.43</v>
      </c>
      <c r="E657" s="8">
        <v>15.67</v>
      </c>
      <c r="F657" s="6">
        <v>0.88429999999999997</v>
      </c>
      <c r="G657" t="str">
        <f t="shared" si="30"/>
        <v>Admis</v>
      </c>
      <c r="H657" t="str" cm="1">
        <f t="array" ref="H657">_xlfn.IFS(E657&gt;=16,"Excellent",E657&gt;=14,"Très bien",E657&gt;=12,"Bien",E657&gt;=10,"Passable",E657&lt;10,"Insuffisant")</f>
        <v>Très bien</v>
      </c>
      <c r="I657" t="str">
        <f t="shared" si="31"/>
        <v>RAS</v>
      </c>
      <c r="J657" t="str">
        <f t="shared" si="32"/>
        <v>Autre filière</v>
      </c>
    </row>
    <row r="658" spans="1:10">
      <c r="A658" t="s">
        <v>969</v>
      </c>
      <c r="B658" t="s">
        <v>60</v>
      </c>
      <c r="C658" s="8" t="s">
        <v>34</v>
      </c>
      <c r="D658" s="8">
        <v>14.82</v>
      </c>
      <c r="E658" s="8">
        <v>18.28</v>
      </c>
      <c r="F658" s="6">
        <v>0.86040000000000005</v>
      </c>
      <c r="G658" t="str">
        <f t="shared" si="30"/>
        <v>Admis</v>
      </c>
      <c r="H658" t="str" cm="1">
        <f t="array" ref="H658">_xlfn.IFS(E658&gt;=16,"Excellent",E658&gt;=14,"Très bien",E658&gt;=12,"Bien",E658&gt;=10,"Passable",E658&lt;10,"Insuffisant")</f>
        <v>Excellent</v>
      </c>
      <c r="I658" t="str">
        <f t="shared" si="31"/>
        <v>RAS</v>
      </c>
      <c r="J658" t="str">
        <f t="shared" si="32"/>
        <v>Autre filière</v>
      </c>
    </row>
    <row r="659" spans="1:10">
      <c r="A659" t="s">
        <v>970</v>
      </c>
      <c r="B659" t="s">
        <v>309</v>
      </c>
      <c r="C659" s="8" t="s">
        <v>47</v>
      </c>
      <c r="D659" s="8">
        <v>8.67</v>
      </c>
      <c r="E659" s="8">
        <v>10.37</v>
      </c>
      <c r="F659" s="6">
        <v>0.89090000000000003</v>
      </c>
      <c r="G659" t="str">
        <f t="shared" si="30"/>
        <v>Refuse</v>
      </c>
      <c r="H659" t="str" cm="1">
        <f t="array" ref="H659">_xlfn.IFS(E659&gt;=16,"Excellent",E659&gt;=14,"Très bien",E659&gt;=12,"Bien",E659&gt;=10,"Passable",E659&lt;10,"Insuffisant")</f>
        <v>Passable</v>
      </c>
      <c r="I659" t="str">
        <f t="shared" si="31"/>
        <v>A surveiller</v>
      </c>
      <c r="J659" t="str">
        <f t="shared" si="32"/>
        <v>Autre filière</v>
      </c>
    </row>
    <row r="660" spans="1:10">
      <c r="A660" t="s">
        <v>971</v>
      </c>
      <c r="B660" t="s">
        <v>493</v>
      </c>
      <c r="C660" s="8" t="s">
        <v>26</v>
      </c>
      <c r="D660" s="8">
        <v>15.62</v>
      </c>
      <c r="E660" s="8">
        <v>13.34</v>
      </c>
      <c r="F660" s="6">
        <v>0.69230000000000003</v>
      </c>
      <c r="G660" t="str">
        <f t="shared" si="30"/>
        <v>Admis sous condition</v>
      </c>
      <c r="H660" t="str" cm="1">
        <f t="array" ref="H660">_xlfn.IFS(E660&gt;=16,"Excellent",E660&gt;=14,"Très bien",E660&gt;=12,"Bien",E660&gt;=10,"Passable",E660&lt;10,"Insuffisant")</f>
        <v>Bien</v>
      </c>
      <c r="I660" t="str">
        <f t="shared" si="31"/>
        <v>A surveiller</v>
      </c>
      <c r="J660" t="str">
        <f t="shared" si="32"/>
        <v>Autre filière</v>
      </c>
    </row>
    <row r="661" spans="1:10">
      <c r="A661" t="s">
        <v>972</v>
      </c>
      <c r="B661" t="s">
        <v>554</v>
      </c>
      <c r="C661" s="8" t="s">
        <v>47</v>
      </c>
      <c r="D661" s="8">
        <v>8.61</v>
      </c>
      <c r="E661" s="8">
        <v>8.2100000000000009</v>
      </c>
      <c r="F661" s="6">
        <v>0.60650000000000004</v>
      </c>
      <c r="G661" t="str">
        <f t="shared" si="30"/>
        <v>Refuse</v>
      </c>
      <c r="H661" t="str" cm="1">
        <f t="array" ref="H661">_xlfn.IFS(E661&gt;=16,"Excellent",E661&gt;=14,"Très bien",E661&gt;=12,"Bien",E661&gt;=10,"Passable",E661&lt;10,"Insuffisant")</f>
        <v>Insuffisant</v>
      </c>
      <c r="I661" t="str">
        <f t="shared" si="31"/>
        <v>A surveiller</v>
      </c>
      <c r="J661" t="str">
        <f t="shared" si="32"/>
        <v>Autre filière</v>
      </c>
    </row>
    <row r="662" spans="1:10">
      <c r="A662" t="s">
        <v>973</v>
      </c>
      <c r="B662" t="s">
        <v>974</v>
      </c>
      <c r="C662" s="8" t="s">
        <v>47</v>
      </c>
      <c r="D662" s="8">
        <v>17.18</v>
      </c>
      <c r="E662" s="8">
        <v>13.87</v>
      </c>
      <c r="F662" s="6">
        <v>0.95640000000000003</v>
      </c>
      <c r="G662" t="str">
        <f t="shared" si="30"/>
        <v>Admis</v>
      </c>
      <c r="H662" t="str" cm="1">
        <f t="array" ref="H662">_xlfn.IFS(E662&gt;=16,"Excellent",E662&gt;=14,"Très bien",E662&gt;=12,"Bien",E662&gt;=10,"Passable",E662&lt;10,"Insuffisant")</f>
        <v>Bien</v>
      </c>
      <c r="I662" t="str">
        <f t="shared" si="31"/>
        <v>RAS</v>
      </c>
      <c r="J662" t="str">
        <f t="shared" si="32"/>
        <v>Autre filière</v>
      </c>
    </row>
    <row r="663" spans="1:10">
      <c r="A663" t="s">
        <v>975</v>
      </c>
      <c r="B663" t="s">
        <v>165</v>
      </c>
      <c r="C663" s="8" t="s">
        <v>47</v>
      </c>
      <c r="D663" s="8">
        <v>16.309999999999999</v>
      </c>
      <c r="E663" s="8">
        <v>13.77</v>
      </c>
      <c r="F663" s="6">
        <v>0.90159999999999996</v>
      </c>
      <c r="G663" t="str">
        <f t="shared" si="30"/>
        <v>Admis</v>
      </c>
      <c r="H663" t="str" cm="1">
        <f t="array" ref="H663">_xlfn.IFS(E663&gt;=16,"Excellent",E663&gt;=14,"Très bien",E663&gt;=12,"Bien",E663&gt;=10,"Passable",E663&lt;10,"Insuffisant")</f>
        <v>Bien</v>
      </c>
      <c r="I663" t="str">
        <f t="shared" si="31"/>
        <v>RAS</v>
      </c>
      <c r="J663" t="str">
        <f t="shared" si="32"/>
        <v>Autre filière</v>
      </c>
    </row>
    <row r="664" spans="1:10">
      <c r="A664" t="s">
        <v>976</v>
      </c>
      <c r="B664" t="s">
        <v>481</v>
      </c>
      <c r="C664" s="8" t="s">
        <v>21</v>
      </c>
      <c r="D664" s="8">
        <v>16.850000000000001</v>
      </c>
      <c r="E664" s="8">
        <v>17.07</v>
      </c>
      <c r="F664" s="6">
        <v>0.91339999999999999</v>
      </c>
      <c r="G664" t="str">
        <f t="shared" si="30"/>
        <v>Admis</v>
      </c>
      <c r="H664" t="str" cm="1">
        <f t="array" ref="H664">_xlfn.IFS(E664&gt;=16,"Excellent",E664&gt;=14,"Très bien",E664&gt;=12,"Bien",E664&gt;=10,"Passable",E664&lt;10,"Insuffisant")</f>
        <v>Excellent</v>
      </c>
      <c r="I664" t="str">
        <f t="shared" si="31"/>
        <v>RAS</v>
      </c>
      <c r="J664" t="str">
        <f t="shared" si="32"/>
        <v>Data</v>
      </c>
    </row>
    <row r="665" spans="1:10">
      <c r="A665" t="s">
        <v>977</v>
      </c>
      <c r="B665" t="s">
        <v>201</v>
      </c>
      <c r="C665" s="8" t="s">
        <v>47</v>
      </c>
      <c r="D665" s="8">
        <v>12.92</v>
      </c>
      <c r="E665" s="8">
        <v>11.2</v>
      </c>
      <c r="F665" s="6">
        <v>0.94720000000000004</v>
      </c>
      <c r="G665" t="str">
        <f t="shared" si="30"/>
        <v>Admis sous condition</v>
      </c>
      <c r="H665" t="str" cm="1">
        <f t="array" ref="H665">_xlfn.IFS(E665&gt;=16,"Excellent",E665&gt;=14,"Très bien",E665&gt;=12,"Bien",E665&gt;=10,"Passable",E665&lt;10,"Insuffisant")</f>
        <v>Passable</v>
      </c>
      <c r="I665" t="str">
        <f t="shared" si="31"/>
        <v>RAS</v>
      </c>
      <c r="J665" t="str">
        <f t="shared" si="32"/>
        <v>Autre filière</v>
      </c>
    </row>
    <row r="666" spans="1:10">
      <c r="A666" t="s">
        <v>978</v>
      </c>
      <c r="B666" t="s">
        <v>314</v>
      </c>
      <c r="C666" s="8" t="s">
        <v>21</v>
      </c>
      <c r="D666" s="8">
        <v>10.52</v>
      </c>
      <c r="E666" s="8">
        <v>11.06</v>
      </c>
      <c r="F666" s="6">
        <v>0.97170000000000001</v>
      </c>
      <c r="G666" t="str">
        <f t="shared" si="30"/>
        <v>Admis sous condition</v>
      </c>
      <c r="H666" t="str" cm="1">
        <f t="array" ref="H666">_xlfn.IFS(E666&gt;=16,"Excellent",E666&gt;=14,"Très bien",E666&gt;=12,"Bien",E666&gt;=10,"Passable",E666&lt;10,"Insuffisant")</f>
        <v>Passable</v>
      </c>
      <c r="I666" t="str">
        <f t="shared" si="31"/>
        <v>RAS</v>
      </c>
      <c r="J666" t="str">
        <f t="shared" si="32"/>
        <v>Data</v>
      </c>
    </row>
    <row r="667" spans="1:10">
      <c r="A667" t="s">
        <v>979</v>
      </c>
      <c r="B667" t="s">
        <v>300</v>
      </c>
      <c r="C667" s="8" t="s">
        <v>26</v>
      </c>
      <c r="D667" s="8">
        <v>14.94</v>
      </c>
      <c r="E667" s="8">
        <v>13.3</v>
      </c>
      <c r="F667" s="6">
        <v>0.93730000000000002</v>
      </c>
      <c r="G667" t="str">
        <f t="shared" si="30"/>
        <v>Admis</v>
      </c>
      <c r="H667" t="str" cm="1">
        <f t="array" ref="H667">_xlfn.IFS(E667&gt;=16,"Excellent",E667&gt;=14,"Très bien",E667&gt;=12,"Bien",E667&gt;=10,"Passable",E667&lt;10,"Insuffisant")</f>
        <v>Bien</v>
      </c>
      <c r="I667" t="str">
        <f t="shared" si="31"/>
        <v>RAS</v>
      </c>
      <c r="J667" t="str">
        <f t="shared" si="32"/>
        <v>Autre filière</v>
      </c>
    </row>
    <row r="668" spans="1:10">
      <c r="A668" t="s">
        <v>980</v>
      </c>
      <c r="B668" t="s">
        <v>419</v>
      </c>
      <c r="C668" s="8" t="s">
        <v>26</v>
      </c>
      <c r="D668" s="8">
        <v>14.57</v>
      </c>
      <c r="E668" s="8">
        <v>15.51</v>
      </c>
      <c r="F668" s="6">
        <v>0.80459999999999998</v>
      </c>
      <c r="G668" t="str">
        <f t="shared" si="30"/>
        <v>Admis</v>
      </c>
      <c r="H668" t="str" cm="1">
        <f t="array" ref="H668">_xlfn.IFS(E668&gt;=16,"Excellent",E668&gt;=14,"Très bien",E668&gt;=12,"Bien",E668&gt;=10,"Passable",E668&lt;10,"Insuffisant")</f>
        <v>Très bien</v>
      </c>
      <c r="I668" t="str">
        <f t="shared" si="31"/>
        <v>RAS</v>
      </c>
      <c r="J668" t="str">
        <f t="shared" si="32"/>
        <v>Autre filière</v>
      </c>
    </row>
    <row r="669" spans="1:10">
      <c r="A669" t="s">
        <v>981</v>
      </c>
      <c r="B669" t="s">
        <v>122</v>
      </c>
      <c r="C669" s="8" t="s">
        <v>47</v>
      </c>
      <c r="D669" s="8">
        <v>17.600000000000001</v>
      </c>
      <c r="E669" s="8">
        <v>15.12</v>
      </c>
      <c r="F669" s="6">
        <v>0.86370000000000002</v>
      </c>
      <c r="G669" t="str">
        <f t="shared" si="30"/>
        <v>Admis</v>
      </c>
      <c r="H669" t="str" cm="1">
        <f t="array" ref="H669">_xlfn.IFS(E669&gt;=16,"Excellent",E669&gt;=14,"Très bien",E669&gt;=12,"Bien",E669&gt;=10,"Passable",E669&lt;10,"Insuffisant")</f>
        <v>Très bien</v>
      </c>
      <c r="I669" t="str">
        <f t="shared" si="31"/>
        <v>RAS</v>
      </c>
      <c r="J669" t="str">
        <f t="shared" si="32"/>
        <v>Autre filière</v>
      </c>
    </row>
    <row r="670" spans="1:10">
      <c r="A670" t="s">
        <v>982</v>
      </c>
      <c r="B670" t="s">
        <v>983</v>
      </c>
      <c r="C670" s="8" t="s">
        <v>34</v>
      </c>
      <c r="D670" s="8">
        <v>12.78</v>
      </c>
      <c r="E670" s="8">
        <v>15.31</v>
      </c>
      <c r="F670" s="6">
        <v>0.71220000000000006</v>
      </c>
      <c r="G670" t="str">
        <f t="shared" si="30"/>
        <v>Admis sous condition</v>
      </c>
      <c r="H670" t="str" cm="1">
        <f t="array" ref="H670">_xlfn.IFS(E670&gt;=16,"Excellent",E670&gt;=14,"Très bien",E670&gt;=12,"Bien",E670&gt;=10,"Passable",E670&lt;10,"Insuffisant")</f>
        <v>Très bien</v>
      </c>
      <c r="I670" t="str">
        <f t="shared" si="31"/>
        <v>RAS</v>
      </c>
      <c r="J670" t="str">
        <f t="shared" si="32"/>
        <v>Autre filière</v>
      </c>
    </row>
    <row r="671" spans="1:10">
      <c r="A671" t="s">
        <v>984</v>
      </c>
      <c r="B671" t="s">
        <v>495</v>
      </c>
      <c r="C671" s="8" t="s">
        <v>47</v>
      </c>
      <c r="D671" s="8">
        <v>7.55</v>
      </c>
      <c r="E671" s="8">
        <v>8.84</v>
      </c>
      <c r="F671" s="6">
        <v>0.88290000000000002</v>
      </c>
      <c r="G671" t="str">
        <f t="shared" si="30"/>
        <v>Refuse</v>
      </c>
      <c r="H671" t="str" cm="1">
        <f t="array" ref="H671">_xlfn.IFS(E671&gt;=16,"Excellent",E671&gt;=14,"Très bien",E671&gt;=12,"Bien",E671&gt;=10,"Passable",E671&lt;10,"Insuffisant")</f>
        <v>Insuffisant</v>
      </c>
      <c r="I671" t="str">
        <f t="shared" si="31"/>
        <v>A surveiller</v>
      </c>
      <c r="J671" t="str">
        <f t="shared" si="32"/>
        <v>Autre filière</v>
      </c>
    </row>
    <row r="672" spans="1:10">
      <c r="A672" t="s">
        <v>985</v>
      </c>
      <c r="B672" t="s">
        <v>212</v>
      </c>
      <c r="C672" s="8" t="s">
        <v>47</v>
      </c>
      <c r="D672" s="8">
        <v>18.09</v>
      </c>
      <c r="E672" s="8">
        <v>17.27</v>
      </c>
      <c r="F672" s="6">
        <v>0.84699999999999998</v>
      </c>
      <c r="G672" t="str">
        <f t="shared" si="30"/>
        <v>Admis</v>
      </c>
      <c r="H672" t="str" cm="1">
        <f t="array" ref="H672">_xlfn.IFS(E672&gt;=16,"Excellent",E672&gt;=14,"Très bien",E672&gt;=12,"Bien",E672&gt;=10,"Passable",E672&lt;10,"Insuffisant")</f>
        <v>Excellent</v>
      </c>
      <c r="I672" t="str">
        <f t="shared" si="31"/>
        <v>RAS</v>
      </c>
      <c r="J672" t="str">
        <f t="shared" si="32"/>
        <v>Autre filière</v>
      </c>
    </row>
    <row r="673" spans="1:10">
      <c r="A673" t="s">
        <v>986</v>
      </c>
      <c r="B673" t="s">
        <v>733</v>
      </c>
      <c r="C673" s="8" t="s">
        <v>47</v>
      </c>
      <c r="D673" s="8">
        <v>16.920000000000002</v>
      </c>
      <c r="E673" s="8">
        <v>17.5</v>
      </c>
      <c r="F673" s="6">
        <v>0.55000000000000004</v>
      </c>
      <c r="G673" t="str">
        <f t="shared" si="30"/>
        <v>Admis sous condition</v>
      </c>
      <c r="H673" t="str" cm="1">
        <f t="array" ref="H673">_xlfn.IFS(E673&gt;=16,"Excellent",E673&gt;=14,"Très bien",E673&gt;=12,"Bien",E673&gt;=10,"Passable",E673&lt;10,"Insuffisant")</f>
        <v>Excellent</v>
      </c>
      <c r="I673" t="str">
        <f t="shared" si="31"/>
        <v>A surveiller</v>
      </c>
      <c r="J673" t="str">
        <f t="shared" si="32"/>
        <v>Autre filière</v>
      </c>
    </row>
    <row r="674" spans="1:10">
      <c r="A674" t="s">
        <v>987</v>
      </c>
      <c r="B674" t="s">
        <v>236</v>
      </c>
      <c r="C674" s="8" t="s">
        <v>47</v>
      </c>
      <c r="D674" s="8">
        <v>13.46</v>
      </c>
      <c r="E674" s="8">
        <v>14.86</v>
      </c>
      <c r="F674" s="6">
        <v>0.65739999999999998</v>
      </c>
      <c r="G674" t="str">
        <f t="shared" si="30"/>
        <v>Admis sous condition</v>
      </c>
      <c r="H674" t="str" cm="1">
        <f t="array" ref="H674">_xlfn.IFS(E674&gt;=16,"Excellent",E674&gt;=14,"Très bien",E674&gt;=12,"Bien",E674&gt;=10,"Passable",E674&lt;10,"Insuffisant")</f>
        <v>Très bien</v>
      </c>
      <c r="I674" t="str">
        <f t="shared" si="31"/>
        <v>A surveiller</v>
      </c>
      <c r="J674" t="str">
        <f t="shared" si="32"/>
        <v>Autre filière</v>
      </c>
    </row>
    <row r="675" spans="1:10">
      <c r="A675" t="s">
        <v>988</v>
      </c>
      <c r="B675" t="s">
        <v>925</v>
      </c>
      <c r="C675" s="8" t="s">
        <v>21</v>
      </c>
      <c r="D675" s="8">
        <v>8.74</v>
      </c>
      <c r="E675" s="8">
        <v>12.25</v>
      </c>
      <c r="F675" s="6">
        <v>0.59</v>
      </c>
      <c r="G675" t="str">
        <f t="shared" si="30"/>
        <v>Refuse</v>
      </c>
      <c r="H675" t="str" cm="1">
        <f t="array" ref="H675">_xlfn.IFS(E675&gt;=16,"Excellent",E675&gt;=14,"Très bien",E675&gt;=12,"Bien",E675&gt;=10,"Passable",E675&lt;10,"Insuffisant")</f>
        <v>Bien</v>
      </c>
      <c r="I675" t="str">
        <f t="shared" si="31"/>
        <v>A surveiller</v>
      </c>
      <c r="J675" t="str">
        <f t="shared" si="32"/>
        <v>Data</v>
      </c>
    </row>
    <row r="676" spans="1:10">
      <c r="A676" t="s">
        <v>989</v>
      </c>
      <c r="B676" t="s">
        <v>588</v>
      </c>
      <c r="C676" s="8" t="s">
        <v>21</v>
      </c>
      <c r="D676" s="8">
        <v>16.57</v>
      </c>
      <c r="E676" s="8">
        <v>13.77</v>
      </c>
      <c r="F676" s="6">
        <v>0.73750000000000004</v>
      </c>
      <c r="G676" t="str">
        <f t="shared" si="30"/>
        <v>Admis sous condition</v>
      </c>
      <c r="H676" t="str" cm="1">
        <f t="array" ref="H676">_xlfn.IFS(E676&gt;=16,"Excellent",E676&gt;=14,"Très bien",E676&gt;=12,"Bien",E676&gt;=10,"Passable",E676&lt;10,"Insuffisant")</f>
        <v>Bien</v>
      </c>
      <c r="I676" t="str">
        <f t="shared" si="31"/>
        <v>RAS</v>
      </c>
      <c r="J676" t="str">
        <f t="shared" si="32"/>
        <v>Data</v>
      </c>
    </row>
    <row r="677" spans="1:10">
      <c r="A677" t="s">
        <v>990</v>
      </c>
      <c r="B677" t="s">
        <v>228</v>
      </c>
      <c r="C677" s="8" t="s">
        <v>34</v>
      </c>
      <c r="D677" s="8">
        <v>8.65</v>
      </c>
      <c r="E677" s="8">
        <v>5.79</v>
      </c>
      <c r="F677" s="6">
        <v>0.88280000000000003</v>
      </c>
      <c r="G677" t="str">
        <f t="shared" si="30"/>
        <v>Refuse</v>
      </c>
      <c r="H677" t="str" cm="1">
        <f t="array" ref="H677">_xlfn.IFS(E677&gt;=16,"Excellent",E677&gt;=14,"Très bien",E677&gt;=12,"Bien",E677&gt;=10,"Passable",E677&lt;10,"Insuffisant")</f>
        <v>Insuffisant</v>
      </c>
      <c r="I677" t="str">
        <f t="shared" si="31"/>
        <v>A surveiller</v>
      </c>
      <c r="J677" t="str">
        <f t="shared" si="32"/>
        <v>Autre filière</v>
      </c>
    </row>
    <row r="678" spans="1:10">
      <c r="A678" t="s">
        <v>991</v>
      </c>
      <c r="B678" t="s">
        <v>225</v>
      </c>
      <c r="C678" s="8" t="s">
        <v>47</v>
      </c>
      <c r="D678" s="8">
        <v>14.52</v>
      </c>
      <c r="E678" s="8">
        <v>15</v>
      </c>
      <c r="F678" s="6">
        <v>0.93310000000000004</v>
      </c>
      <c r="G678" t="str">
        <f t="shared" si="30"/>
        <v>Admis</v>
      </c>
      <c r="H678" t="str" cm="1">
        <f t="array" ref="H678">_xlfn.IFS(E678&gt;=16,"Excellent",E678&gt;=14,"Très bien",E678&gt;=12,"Bien",E678&gt;=10,"Passable",E678&lt;10,"Insuffisant")</f>
        <v>Très bien</v>
      </c>
      <c r="I678" t="str">
        <f t="shared" si="31"/>
        <v>RAS</v>
      </c>
      <c r="J678" t="str">
        <f t="shared" si="32"/>
        <v>Autre filière</v>
      </c>
    </row>
    <row r="679" spans="1:10">
      <c r="A679" t="s">
        <v>992</v>
      </c>
      <c r="B679" t="s">
        <v>443</v>
      </c>
      <c r="C679" s="8" t="s">
        <v>34</v>
      </c>
      <c r="D679" s="8">
        <v>10.050000000000001</v>
      </c>
      <c r="E679" s="8">
        <v>9.2100000000000009</v>
      </c>
      <c r="F679" s="6">
        <v>0.85160000000000002</v>
      </c>
      <c r="G679" t="str">
        <f t="shared" si="30"/>
        <v>Refuse</v>
      </c>
      <c r="H679" t="str" cm="1">
        <f t="array" ref="H679">_xlfn.IFS(E679&gt;=16,"Excellent",E679&gt;=14,"Très bien",E679&gt;=12,"Bien",E679&gt;=10,"Passable",E679&lt;10,"Insuffisant")</f>
        <v>Insuffisant</v>
      </c>
      <c r="I679" t="str">
        <f t="shared" si="31"/>
        <v>A surveiller</v>
      </c>
      <c r="J679" t="str">
        <f t="shared" si="32"/>
        <v>Autre filière</v>
      </c>
    </row>
    <row r="680" spans="1:10">
      <c r="A680" t="s">
        <v>993</v>
      </c>
      <c r="B680" t="s">
        <v>689</v>
      </c>
      <c r="C680" s="8" t="s">
        <v>47</v>
      </c>
      <c r="D680" s="8">
        <v>16.25</v>
      </c>
      <c r="E680" s="8">
        <v>11.63</v>
      </c>
      <c r="F680" s="6">
        <v>0.75070000000000003</v>
      </c>
      <c r="G680" t="str">
        <f t="shared" si="30"/>
        <v>Admis sous condition</v>
      </c>
      <c r="H680" t="str" cm="1">
        <f t="array" ref="H680">_xlfn.IFS(E680&gt;=16,"Excellent",E680&gt;=14,"Très bien",E680&gt;=12,"Bien",E680&gt;=10,"Passable",E680&lt;10,"Insuffisant")</f>
        <v>Passable</v>
      </c>
      <c r="I680" t="str">
        <f t="shared" si="31"/>
        <v>RAS</v>
      </c>
      <c r="J680" t="str">
        <f t="shared" si="32"/>
        <v>Autre filière</v>
      </c>
    </row>
    <row r="681" spans="1:10">
      <c r="A681" t="s">
        <v>994</v>
      </c>
      <c r="B681" t="s">
        <v>306</v>
      </c>
      <c r="C681" s="8" t="s">
        <v>34</v>
      </c>
      <c r="D681" s="8">
        <v>17.329999999999998</v>
      </c>
      <c r="E681" s="8">
        <v>16.149999999999999</v>
      </c>
      <c r="F681" s="6">
        <v>0.84740000000000004</v>
      </c>
      <c r="G681" t="str">
        <f t="shared" si="30"/>
        <v>Admis</v>
      </c>
      <c r="H681" t="str" cm="1">
        <f t="array" ref="H681">_xlfn.IFS(E681&gt;=16,"Excellent",E681&gt;=14,"Très bien",E681&gt;=12,"Bien",E681&gt;=10,"Passable",E681&lt;10,"Insuffisant")</f>
        <v>Excellent</v>
      </c>
      <c r="I681" t="str">
        <f t="shared" si="31"/>
        <v>RAS</v>
      </c>
      <c r="J681" t="str">
        <f t="shared" si="32"/>
        <v>Autre filière</v>
      </c>
    </row>
    <row r="682" spans="1:10">
      <c r="A682" t="s">
        <v>995</v>
      </c>
      <c r="B682" t="s">
        <v>689</v>
      </c>
      <c r="C682" s="8" t="s">
        <v>26</v>
      </c>
      <c r="D682" s="8">
        <v>18.41</v>
      </c>
      <c r="E682" s="8">
        <v>18.920000000000002</v>
      </c>
      <c r="F682" s="6">
        <v>0.73050000000000004</v>
      </c>
      <c r="G682" t="str">
        <f t="shared" si="30"/>
        <v>Admis sous condition</v>
      </c>
      <c r="H682" t="str" cm="1">
        <f t="array" ref="H682">_xlfn.IFS(E682&gt;=16,"Excellent",E682&gt;=14,"Très bien",E682&gt;=12,"Bien",E682&gt;=10,"Passable",E682&lt;10,"Insuffisant")</f>
        <v>Excellent</v>
      </c>
      <c r="I682" t="str">
        <f t="shared" si="31"/>
        <v>RAS</v>
      </c>
      <c r="J682" t="str">
        <f t="shared" si="32"/>
        <v>Autre filière</v>
      </c>
    </row>
    <row r="683" spans="1:10">
      <c r="A683" t="s">
        <v>996</v>
      </c>
      <c r="B683" t="s">
        <v>473</v>
      </c>
      <c r="C683" s="8" t="s">
        <v>34</v>
      </c>
      <c r="D683" s="8">
        <v>13.1</v>
      </c>
      <c r="E683" s="8">
        <v>12.53</v>
      </c>
      <c r="F683" s="6">
        <v>0.82169999999999999</v>
      </c>
      <c r="G683" t="str">
        <f t="shared" si="30"/>
        <v>Admis</v>
      </c>
      <c r="H683" t="str" cm="1">
        <f t="array" ref="H683">_xlfn.IFS(E683&gt;=16,"Excellent",E683&gt;=14,"Très bien",E683&gt;=12,"Bien",E683&gt;=10,"Passable",E683&lt;10,"Insuffisant")</f>
        <v>Bien</v>
      </c>
      <c r="I683" t="str">
        <f t="shared" si="31"/>
        <v>RAS</v>
      </c>
      <c r="J683" t="str">
        <f t="shared" si="32"/>
        <v>Autre filière</v>
      </c>
    </row>
    <row r="684" spans="1:10">
      <c r="A684" t="s">
        <v>997</v>
      </c>
      <c r="B684" t="s">
        <v>66</v>
      </c>
      <c r="C684" s="8" t="s">
        <v>26</v>
      </c>
      <c r="D684" s="8">
        <v>11.44</v>
      </c>
      <c r="E684" s="8">
        <v>13.17</v>
      </c>
      <c r="F684" s="6">
        <v>0.83730000000000004</v>
      </c>
      <c r="G684" t="str">
        <f t="shared" si="30"/>
        <v>Admis sous condition</v>
      </c>
      <c r="H684" t="str" cm="1">
        <f t="array" ref="H684">_xlfn.IFS(E684&gt;=16,"Excellent",E684&gt;=14,"Très bien",E684&gt;=12,"Bien",E684&gt;=10,"Passable",E684&lt;10,"Insuffisant")</f>
        <v>Bien</v>
      </c>
      <c r="I684" t="str">
        <f t="shared" si="31"/>
        <v>RAS</v>
      </c>
      <c r="J684" t="str">
        <f t="shared" si="32"/>
        <v>Autre filière</v>
      </c>
    </row>
    <row r="685" spans="1:10">
      <c r="A685" t="s">
        <v>998</v>
      </c>
      <c r="B685" t="s">
        <v>419</v>
      </c>
      <c r="C685" s="8" t="s">
        <v>34</v>
      </c>
      <c r="D685" s="8">
        <v>13.31</v>
      </c>
      <c r="E685" s="8">
        <v>12.77</v>
      </c>
      <c r="F685" s="6">
        <v>0.92469999999999997</v>
      </c>
      <c r="G685" t="str">
        <f t="shared" si="30"/>
        <v>Admis</v>
      </c>
      <c r="H685" t="str" cm="1">
        <f t="array" ref="H685">_xlfn.IFS(E685&gt;=16,"Excellent",E685&gt;=14,"Très bien",E685&gt;=12,"Bien",E685&gt;=10,"Passable",E685&lt;10,"Insuffisant")</f>
        <v>Bien</v>
      </c>
      <c r="I685" t="str">
        <f t="shared" si="31"/>
        <v>RAS</v>
      </c>
      <c r="J685" t="str">
        <f t="shared" si="32"/>
        <v>Autre filière</v>
      </c>
    </row>
    <row r="686" spans="1:10">
      <c r="A686" t="s">
        <v>999</v>
      </c>
      <c r="B686" t="s">
        <v>156</v>
      </c>
      <c r="C686" s="8" t="s">
        <v>34</v>
      </c>
      <c r="D686" s="8">
        <v>16.809999999999999</v>
      </c>
      <c r="E686" s="8">
        <v>18.850000000000001</v>
      </c>
      <c r="F686" s="6">
        <v>0.55000000000000004</v>
      </c>
      <c r="G686" t="str">
        <f t="shared" si="30"/>
        <v>Admis sous condition</v>
      </c>
      <c r="H686" t="str" cm="1">
        <f t="array" ref="H686">_xlfn.IFS(E686&gt;=16,"Excellent",E686&gt;=14,"Très bien",E686&gt;=12,"Bien",E686&gt;=10,"Passable",E686&lt;10,"Insuffisant")</f>
        <v>Excellent</v>
      </c>
      <c r="I686" t="str">
        <f t="shared" si="31"/>
        <v>A surveiller</v>
      </c>
      <c r="J686" t="str">
        <f t="shared" si="32"/>
        <v>Autre filière</v>
      </c>
    </row>
    <row r="687" spans="1:10">
      <c r="A687" t="s">
        <v>1000</v>
      </c>
      <c r="B687" t="s">
        <v>314</v>
      </c>
      <c r="C687" s="8" t="s">
        <v>47</v>
      </c>
      <c r="D687" s="8">
        <v>15.42</v>
      </c>
      <c r="E687" s="8">
        <v>12.24</v>
      </c>
      <c r="F687" s="6">
        <v>0.93669999999999998</v>
      </c>
      <c r="G687" t="str">
        <f t="shared" si="30"/>
        <v>Admis</v>
      </c>
      <c r="H687" t="str" cm="1">
        <f t="array" ref="H687">_xlfn.IFS(E687&gt;=16,"Excellent",E687&gt;=14,"Très bien",E687&gt;=12,"Bien",E687&gt;=10,"Passable",E687&lt;10,"Insuffisant")</f>
        <v>Bien</v>
      </c>
      <c r="I687" t="str">
        <f t="shared" si="31"/>
        <v>RAS</v>
      </c>
      <c r="J687" t="str">
        <f t="shared" si="32"/>
        <v>Autre filière</v>
      </c>
    </row>
    <row r="688" spans="1:10">
      <c r="A688" t="s">
        <v>1001</v>
      </c>
      <c r="B688" t="s">
        <v>466</v>
      </c>
      <c r="C688" s="8" t="s">
        <v>34</v>
      </c>
      <c r="D688" s="8">
        <v>10.09</v>
      </c>
      <c r="E688" s="8">
        <v>12.3</v>
      </c>
      <c r="F688" s="6">
        <v>0.81459999999999999</v>
      </c>
      <c r="G688" t="str">
        <f t="shared" si="30"/>
        <v>Admis sous condition</v>
      </c>
      <c r="H688" t="str" cm="1">
        <f t="array" ref="H688">_xlfn.IFS(E688&gt;=16,"Excellent",E688&gt;=14,"Très bien",E688&gt;=12,"Bien",E688&gt;=10,"Passable",E688&lt;10,"Insuffisant")</f>
        <v>Bien</v>
      </c>
      <c r="I688" t="str">
        <f t="shared" si="31"/>
        <v>RAS</v>
      </c>
      <c r="J688" t="str">
        <f t="shared" si="32"/>
        <v>Autre filière</v>
      </c>
    </row>
    <row r="689" spans="1:10">
      <c r="A689" t="s">
        <v>1002</v>
      </c>
      <c r="B689" t="s">
        <v>172</v>
      </c>
      <c r="C689" s="8" t="s">
        <v>21</v>
      </c>
      <c r="D689" s="8">
        <v>15.69</v>
      </c>
      <c r="E689" s="8">
        <v>12.91</v>
      </c>
      <c r="F689" s="6">
        <v>0.90949999999999998</v>
      </c>
      <c r="G689" t="str">
        <f t="shared" si="30"/>
        <v>Admis</v>
      </c>
      <c r="H689" t="str" cm="1">
        <f t="array" ref="H689">_xlfn.IFS(E689&gt;=16,"Excellent",E689&gt;=14,"Très bien",E689&gt;=12,"Bien",E689&gt;=10,"Passable",E689&lt;10,"Insuffisant")</f>
        <v>Bien</v>
      </c>
      <c r="I689" t="str">
        <f t="shared" si="31"/>
        <v>RAS</v>
      </c>
      <c r="J689" t="str">
        <f t="shared" si="32"/>
        <v>Data</v>
      </c>
    </row>
    <row r="690" spans="1:10">
      <c r="A690" t="s">
        <v>1003</v>
      </c>
      <c r="B690" t="s">
        <v>230</v>
      </c>
      <c r="C690" s="8" t="s">
        <v>34</v>
      </c>
      <c r="D690" s="8">
        <v>6.6</v>
      </c>
      <c r="E690" s="8">
        <v>10.68</v>
      </c>
      <c r="F690" s="6">
        <v>0.81869999999999998</v>
      </c>
      <c r="G690" t="str">
        <f t="shared" si="30"/>
        <v>Refuse</v>
      </c>
      <c r="H690" t="str" cm="1">
        <f t="array" ref="H690">_xlfn.IFS(E690&gt;=16,"Excellent",E690&gt;=14,"Très bien",E690&gt;=12,"Bien",E690&gt;=10,"Passable",E690&lt;10,"Insuffisant")</f>
        <v>Passable</v>
      </c>
      <c r="I690" t="str">
        <f t="shared" si="31"/>
        <v>A surveiller</v>
      </c>
      <c r="J690" t="str">
        <f t="shared" si="32"/>
        <v>Autre filière</v>
      </c>
    </row>
    <row r="691" spans="1:10">
      <c r="A691" t="s">
        <v>1004</v>
      </c>
      <c r="B691" t="s">
        <v>343</v>
      </c>
      <c r="C691" s="8" t="s">
        <v>26</v>
      </c>
      <c r="D691" s="8">
        <v>13.64</v>
      </c>
      <c r="E691" s="8">
        <v>13.41</v>
      </c>
      <c r="F691" s="6">
        <v>0.95199999999999996</v>
      </c>
      <c r="G691" t="str">
        <f t="shared" si="30"/>
        <v>Admis</v>
      </c>
      <c r="H691" t="str" cm="1">
        <f t="array" ref="H691">_xlfn.IFS(E691&gt;=16,"Excellent",E691&gt;=14,"Très bien",E691&gt;=12,"Bien",E691&gt;=10,"Passable",E691&lt;10,"Insuffisant")</f>
        <v>Bien</v>
      </c>
      <c r="I691" t="str">
        <f t="shared" si="31"/>
        <v>RAS</v>
      </c>
      <c r="J691" t="str">
        <f t="shared" si="32"/>
        <v>Autre filière</v>
      </c>
    </row>
    <row r="692" spans="1:10">
      <c r="A692" t="s">
        <v>1005</v>
      </c>
      <c r="B692" t="s">
        <v>489</v>
      </c>
      <c r="C692" s="8" t="s">
        <v>21</v>
      </c>
      <c r="D692" s="8">
        <v>8.7899999999999991</v>
      </c>
      <c r="E692" s="8">
        <v>3.27</v>
      </c>
      <c r="F692" s="6">
        <v>0.57320000000000004</v>
      </c>
      <c r="G692" t="str">
        <f t="shared" si="30"/>
        <v>Refuse</v>
      </c>
      <c r="H692" t="str" cm="1">
        <f t="array" ref="H692">_xlfn.IFS(E692&gt;=16,"Excellent",E692&gt;=14,"Très bien",E692&gt;=12,"Bien",E692&gt;=10,"Passable",E692&lt;10,"Insuffisant")</f>
        <v>Insuffisant</v>
      </c>
      <c r="I692" t="str">
        <f t="shared" si="31"/>
        <v>A surveiller</v>
      </c>
      <c r="J692" t="str">
        <f t="shared" si="32"/>
        <v>Data</v>
      </c>
    </row>
    <row r="693" spans="1:10">
      <c r="A693" t="s">
        <v>1006</v>
      </c>
      <c r="B693" t="s">
        <v>907</v>
      </c>
      <c r="C693" s="8" t="s">
        <v>34</v>
      </c>
      <c r="D693" s="8">
        <v>19.989999999999998</v>
      </c>
      <c r="E693" s="8">
        <v>13.43</v>
      </c>
      <c r="F693" s="6">
        <v>0.87280000000000002</v>
      </c>
      <c r="G693" t="str">
        <f t="shared" si="30"/>
        <v>Admis</v>
      </c>
      <c r="H693" t="str" cm="1">
        <f t="array" ref="H693">_xlfn.IFS(E693&gt;=16,"Excellent",E693&gt;=14,"Très bien",E693&gt;=12,"Bien",E693&gt;=10,"Passable",E693&lt;10,"Insuffisant")</f>
        <v>Bien</v>
      </c>
      <c r="I693" t="str">
        <f t="shared" si="31"/>
        <v>RAS</v>
      </c>
      <c r="J693" t="str">
        <f t="shared" si="32"/>
        <v>Autre filière</v>
      </c>
    </row>
    <row r="694" spans="1:10">
      <c r="A694" t="s">
        <v>1007</v>
      </c>
      <c r="B694" t="s">
        <v>1008</v>
      </c>
      <c r="C694" s="8" t="s">
        <v>47</v>
      </c>
      <c r="D694" s="8">
        <v>12.93</v>
      </c>
      <c r="E694" s="8">
        <v>13.93</v>
      </c>
      <c r="F694" s="6">
        <v>0.78190000000000004</v>
      </c>
      <c r="G694" t="str">
        <f t="shared" si="30"/>
        <v>Admis sous condition</v>
      </c>
      <c r="H694" t="str" cm="1">
        <f t="array" ref="H694">_xlfn.IFS(E694&gt;=16,"Excellent",E694&gt;=14,"Très bien",E694&gt;=12,"Bien",E694&gt;=10,"Passable",E694&lt;10,"Insuffisant")</f>
        <v>Bien</v>
      </c>
      <c r="I694" t="str">
        <f t="shared" si="31"/>
        <v>RAS</v>
      </c>
      <c r="J694" t="str">
        <f t="shared" si="32"/>
        <v>Autre filière</v>
      </c>
    </row>
    <row r="695" spans="1:10">
      <c r="A695" t="s">
        <v>1009</v>
      </c>
      <c r="B695" t="s">
        <v>635</v>
      </c>
      <c r="C695" s="8" t="s">
        <v>47</v>
      </c>
      <c r="D695" s="8">
        <v>18.72</v>
      </c>
      <c r="E695" s="8">
        <v>20</v>
      </c>
      <c r="F695" s="6">
        <v>0.91690000000000005</v>
      </c>
      <c r="G695" t="str">
        <f t="shared" si="30"/>
        <v>Admis</v>
      </c>
      <c r="H695" t="str" cm="1">
        <f t="array" ref="H695">_xlfn.IFS(E695&gt;=16,"Excellent",E695&gt;=14,"Très bien",E695&gt;=12,"Bien",E695&gt;=10,"Passable",E695&lt;10,"Insuffisant")</f>
        <v>Excellent</v>
      </c>
      <c r="I695" t="str">
        <f t="shared" si="31"/>
        <v>RAS</v>
      </c>
      <c r="J695" t="str">
        <f t="shared" si="32"/>
        <v>Autre filière</v>
      </c>
    </row>
    <row r="696" spans="1:10">
      <c r="A696" t="s">
        <v>1010</v>
      </c>
      <c r="B696" t="s">
        <v>668</v>
      </c>
      <c r="C696" s="8" t="s">
        <v>34</v>
      </c>
      <c r="D696" s="8">
        <v>9.2100000000000009</v>
      </c>
      <c r="E696" s="8">
        <v>14.32</v>
      </c>
      <c r="F696" s="6">
        <v>0.99099999999999999</v>
      </c>
      <c r="G696" t="str">
        <f t="shared" si="30"/>
        <v>Refuse</v>
      </c>
      <c r="H696" t="str" cm="1">
        <f t="array" ref="H696">_xlfn.IFS(E696&gt;=16,"Excellent",E696&gt;=14,"Très bien",E696&gt;=12,"Bien",E696&gt;=10,"Passable",E696&lt;10,"Insuffisant")</f>
        <v>Très bien</v>
      </c>
      <c r="I696" t="str">
        <f t="shared" si="31"/>
        <v>A surveiller</v>
      </c>
      <c r="J696" t="str">
        <f t="shared" si="32"/>
        <v>Autre filière</v>
      </c>
    </row>
    <row r="697" spans="1:10">
      <c r="A697" t="s">
        <v>1011</v>
      </c>
      <c r="B697" t="s">
        <v>531</v>
      </c>
      <c r="C697" s="8" t="s">
        <v>21</v>
      </c>
      <c r="D697" s="8">
        <v>16.86</v>
      </c>
      <c r="E697" s="8">
        <v>14.69</v>
      </c>
      <c r="F697" s="6">
        <v>0.84560000000000002</v>
      </c>
      <c r="G697" t="str">
        <f t="shared" si="30"/>
        <v>Admis</v>
      </c>
      <c r="H697" t="str" cm="1">
        <f t="array" ref="H697">_xlfn.IFS(E697&gt;=16,"Excellent",E697&gt;=14,"Très bien",E697&gt;=12,"Bien",E697&gt;=10,"Passable",E697&lt;10,"Insuffisant")</f>
        <v>Très bien</v>
      </c>
      <c r="I697" t="str">
        <f t="shared" si="31"/>
        <v>RAS</v>
      </c>
      <c r="J697" t="str">
        <f t="shared" si="32"/>
        <v>Data</v>
      </c>
    </row>
    <row r="698" spans="1:10">
      <c r="A698" t="s">
        <v>1012</v>
      </c>
      <c r="B698" t="s">
        <v>172</v>
      </c>
      <c r="C698" s="8" t="s">
        <v>21</v>
      </c>
      <c r="D698" s="8">
        <v>12.35</v>
      </c>
      <c r="E698" s="8">
        <v>18.91</v>
      </c>
      <c r="F698" s="6">
        <v>0.82499999999999996</v>
      </c>
      <c r="G698" t="str">
        <f t="shared" si="30"/>
        <v>Admis</v>
      </c>
      <c r="H698" t="str" cm="1">
        <f t="array" ref="H698">_xlfn.IFS(E698&gt;=16,"Excellent",E698&gt;=14,"Très bien",E698&gt;=12,"Bien",E698&gt;=10,"Passable",E698&lt;10,"Insuffisant")</f>
        <v>Excellent</v>
      </c>
      <c r="I698" t="str">
        <f t="shared" si="31"/>
        <v>RAS</v>
      </c>
      <c r="J698" t="str">
        <f t="shared" si="32"/>
        <v>Data</v>
      </c>
    </row>
    <row r="699" spans="1:10">
      <c r="A699" t="s">
        <v>1013</v>
      </c>
      <c r="B699" t="s">
        <v>852</v>
      </c>
      <c r="C699" s="8" t="s">
        <v>34</v>
      </c>
      <c r="D699" s="8">
        <v>14.63</v>
      </c>
      <c r="E699" s="8">
        <v>16.96</v>
      </c>
      <c r="F699" s="6">
        <v>0.93830000000000002</v>
      </c>
      <c r="G699" t="str">
        <f t="shared" si="30"/>
        <v>Admis</v>
      </c>
      <c r="H699" t="str" cm="1">
        <f t="array" ref="H699">_xlfn.IFS(E699&gt;=16,"Excellent",E699&gt;=14,"Très bien",E699&gt;=12,"Bien",E699&gt;=10,"Passable",E699&lt;10,"Insuffisant")</f>
        <v>Excellent</v>
      </c>
      <c r="I699" t="str">
        <f t="shared" si="31"/>
        <v>RAS</v>
      </c>
      <c r="J699" t="str">
        <f t="shared" si="32"/>
        <v>Autre filière</v>
      </c>
    </row>
    <row r="700" spans="1:10">
      <c r="A700" t="s">
        <v>1014</v>
      </c>
      <c r="B700" t="s">
        <v>593</v>
      </c>
      <c r="C700" s="8" t="s">
        <v>26</v>
      </c>
      <c r="D700" s="8">
        <v>17.559999999999999</v>
      </c>
      <c r="E700" s="8">
        <v>14.18</v>
      </c>
      <c r="F700" s="6">
        <v>0.83220000000000005</v>
      </c>
      <c r="G700" t="str">
        <f t="shared" si="30"/>
        <v>Admis</v>
      </c>
      <c r="H700" t="str" cm="1">
        <f t="array" ref="H700">_xlfn.IFS(E700&gt;=16,"Excellent",E700&gt;=14,"Très bien",E700&gt;=12,"Bien",E700&gt;=10,"Passable",E700&lt;10,"Insuffisant")</f>
        <v>Très bien</v>
      </c>
      <c r="I700" t="str">
        <f t="shared" si="31"/>
        <v>RAS</v>
      </c>
      <c r="J700" t="str">
        <f t="shared" si="32"/>
        <v>Autre filière</v>
      </c>
    </row>
    <row r="701" spans="1:10">
      <c r="A701" t="s">
        <v>1015</v>
      </c>
      <c r="B701" t="s">
        <v>138</v>
      </c>
      <c r="C701" s="8" t="s">
        <v>21</v>
      </c>
      <c r="D701" s="8">
        <v>15.43</v>
      </c>
      <c r="E701" s="8">
        <v>13.03</v>
      </c>
      <c r="F701" s="6">
        <v>0.76729999999999998</v>
      </c>
      <c r="G701" t="str">
        <f t="shared" si="30"/>
        <v>Admis sous condition</v>
      </c>
      <c r="H701" t="str" cm="1">
        <f t="array" ref="H701">_xlfn.IFS(E701&gt;=16,"Excellent",E701&gt;=14,"Très bien",E701&gt;=12,"Bien",E701&gt;=10,"Passable",E701&lt;10,"Insuffisant")</f>
        <v>Bien</v>
      </c>
      <c r="I701" t="str">
        <f t="shared" si="31"/>
        <v>RAS</v>
      </c>
      <c r="J701" t="str">
        <f t="shared" si="32"/>
        <v>Data</v>
      </c>
    </row>
    <row r="702" spans="1:10">
      <c r="A702" t="s">
        <v>1016</v>
      </c>
      <c r="B702" t="s">
        <v>361</v>
      </c>
      <c r="C702" s="8" t="s">
        <v>26</v>
      </c>
      <c r="D702" s="8">
        <v>11.07</v>
      </c>
      <c r="E702" s="8">
        <v>13.4</v>
      </c>
      <c r="F702" s="6">
        <v>0.79579999999999995</v>
      </c>
      <c r="G702" t="str">
        <f t="shared" si="30"/>
        <v>Admis sous condition</v>
      </c>
      <c r="H702" t="str" cm="1">
        <f t="array" ref="H702">_xlfn.IFS(E702&gt;=16,"Excellent",E702&gt;=14,"Très bien",E702&gt;=12,"Bien",E702&gt;=10,"Passable",E702&lt;10,"Insuffisant")</f>
        <v>Bien</v>
      </c>
      <c r="I702" t="str">
        <f t="shared" si="31"/>
        <v>RAS</v>
      </c>
      <c r="J702" t="str">
        <f t="shared" si="32"/>
        <v>Autre filière</v>
      </c>
    </row>
    <row r="703" spans="1:10">
      <c r="A703" t="s">
        <v>1017</v>
      </c>
      <c r="B703" t="s">
        <v>747</v>
      </c>
      <c r="C703" s="8" t="s">
        <v>47</v>
      </c>
      <c r="D703" s="8">
        <v>14.2</v>
      </c>
      <c r="E703" s="8">
        <v>12.09</v>
      </c>
      <c r="F703" s="6">
        <v>0.96560000000000001</v>
      </c>
      <c r="G703" t="str">
        <f t="shared" si="30"/>
        <v>Admis</v>
      </c>
      <c r="H703" t="str" cm="1">
        <f t="array" ref="H703">_xlfn.IFS(E703&gt;=16,"Excellent",E703&gt;=14,"Très bien",E703&gt;=12,"Bien",E703&gt;=10,"Passable",E703&lt;10,"Insuffisant")</f>
        <v>Bien</v>
      </c>
      <c r="I703" t="str">
        <f t="shared" si="31"/>
        <v>RAS</v>
      </c>
      <c r="J703" t="str">
        <f t="shared" si="32"/>
        <v>Autre filière</v>
      </c>
    </row>
    <row r="704" spans="1:10">
      <c r="A704" t="s">
        <v>1018</v>
      </c>
      <c r="B704" t="s">
        <v>974</v>
      </c>
      <c r="C704" s="8" t="s">
        <v>21</v>
      </c>
      <c r="D704" s="8">
        <v>11.69</v>
      </c>
      <c r="E704" s="8">
        <v>14.87</v>
      </c>
      <c r="F704" s="6">
        <v>0.90649999999999997</v>
      </c>
      <c r="G704" t="str">
        <f t="shared" si="30"/>
        <v>Admis sous condition</v>
      </c>
      <c r="H704" t="str" cm="1">
        <f t="array" ref="H704">_xlfn.IFS(E704&gt;=16,"Excellent",E704&gt;=14,"Très bien",E704&gt;=12,"Bien",E704&gt;=10,"Passable",E704&lt;10,"Insuffisant")</f>
        <v>Très bien</v>
      </c>
      <c r="I704" t="str">
        <f t="shared" si="31"/>
        <v>RAS</v>
      </c>
      <c r="J704" t="str">
        <f t="shared" si="32"/>
        <v>Data</v>
      </c>
    </row>
    <row r="705" spans="1:10">
      <c r="A705" t="s">
        <v>1019</v>
      </c>
      <c r="B705" t="s">
        <v>353</v>
      </c>
      <c r="C705" s="8" t="s">
        <v>34</v>
      </c>
      <c r="D705" s="8">
        <v>15.11</v>
      </c>
      <c r="E705" s="8">
        <v>14.31</v>
      </c>
      <c r="F705" s="6">
        <v>0.74729999999999996</v>
      </c>
      <c r="G705" t="str">
        <f t="shared" si="30"/>
        <v>Admis sous condition</v>
      </c>
      <c r="H705" t="str" cm="1">
        <f t="array" ref="H705">_xlfn.IFS(E705&gt;=16,"Excellent",E705&gt;=14,"Très bien",E705&gt;=12,"Bien",E705&gt;=10,"Passable",E705&lt;10,"Insuffisant")</f>
        <v>Très bien</v>
      </c>
      <c r="I705" t="str">
        <f t="shared" si="31"/>
        <v>RAS</v>
      </c>
      <c r="J705" t="str">
        <f t="shared" si="32"/>
        <v>Autre filière</v>
      </c>
    </row>
    <row r="706" spans="1:10">
      <c r="A706" t="s">
        <v>1020</v>
      </c>
      <c r="B706" t="s">
        <v>245</v>
      </c>
      <c r="C706" s="8" t="s">
        <v>21</v>
      </c>
      <c r="D706" s="8">
        <v>13.07</v>
      </c>
      <c r="E706" s="8">
        <v>7.67</v>
      </c>
      <c r="F706" s="6">
        <v>0.95489999999999997</v>
      </c>
      <c r="G706" t="str">
        <f t="shared" si="30"/>
        <v>Refuse</v>
      </c>
      <c r="H706" t="str" cm="1">
        <f t="array" ref="H706">_xlfn.IFS(E706&gt;=16,"Excellent",E706&gt;=14,"Très bien",E706&gt;=12,"Bien",E706&gt;=10,"Passable",E706&lt;10,"Insuffisant")</f>
        <v>Insuffisant</v>
      </c>
      <c r="I706" t="str">
        <f t="shared" si="31"/>
        <v>A surveiller</v>
      </c>
      <c r="J706" t="str">
        <f t="shared" si="32"/>
        <v>Data</v>
      </c>
    </row>
    <row r="707" spans="1:10">
      <c r="A707" t="s">
        <v>1021</v>
      </c>
      <c r="B707" t="s">
        <v>907</v>
      </c>
      <c r="C707" s="8" t="s">
        <v>26</v>
      </c>
      <c r="D707" s="8">
        <v>14.73</v>
      </c>
      <c r="E707" s="8">
        <v>13.83</v>
      </c>
      <c r="F707" s="6">
        <v>0.95860000000000001</v>
      </c>
      <c r="G707" t="str">
        <f t="shared" ref="G707:G770" si="33">IF(AND(D707&gt;=12,E707&gt;=12,F707&gt;=80%),"Admis",IF(AND(D707&gt;=10,E707&gt;=10),"Admis sous condition","Refuse"))</f>
        <v>Admis</v>
      </c>
      <c r="H707" t="str" cm="1">
        <f t="array" ref="H707">_xlfn.IFS(E707&gt;=16,"Excellent",E707&gt;=14,"Très bien",E707&gt;=12,"Bien",E707&gt;=10,"Passable",E707&lt;10,"Insuffisant")</f>
        <v>Bien</v>
      </c>
      <c r="I707" t="str">
        <f t="shared" ref="I707:I770" si="34">IF(OR(D707&lt;10,E707&lt;10,F707&lt;70%),"A surveiller","RAS")</f>
        <v>RAS</v>
      </c>
      <c r="J707" t="str">
        <f t="shared" ref="J707:J770" si="35">IF(NOT(C707="Data"),"Autre filière","Data")</f>
        <v>Autre filière</v>
      </c>
    </row>
    <row r="708" spans="1:10">
      <c r="A708" t="s">
        <v>1022</v>
      </c>
      <c r="B708" t="s">
        <v>624</v>
      </c>
      <c r="C708" s="8" t="s">
        <v>47</v>
      </c>
      <c r="D708" s="8">
        <v>13.57</v>
      </c>
      <c r="E708" s="8">
        <v>16.079999999999998</v>
      </c>
      <c r="F708" s="6">
        <v>0.65720000000000001</v>
      </c>
      <c r="G708" t="str">
        <f t="shared" si="33"/>
        <v>Admis sous condition</v>
      </c>
      <c r="H708" t="str" cm="1">
        <f t="array" ref="H708">_xlfn.IFS(E708&gt;=16,"Excellent",E708&gt;=14,"Très bien",E708&gt;=12,"Bien",E708&gt;=10,"Passable",E708&lt;10,"Insuffisant")</f>
        <v>Excellent</v>
      </c>
      <c r="I708" t="str">
        <f t="shared" si="34"/>
        <v>A surveiller</v>
      </c>
      <c r="J708" t="str">
        <f t="shared" si="35"/>
        <v>Autre filière</v>
      </c>
    </row>
    <row r="709" spans="1:10">
      <c r="A709" t="s">
        <v>1023</v>
      </c>
      <c r="B709" t="s">
        <v>183</v>
      </c>
      <c r="C709" s="8" t="s">
        <v>34</v>
      </c>
      <c r="D709" s="8">
        <v>14.59</v>
      </c>
      <c r="E709" s="8">
        <v>12.51</v>
      </c>
      <c r="F709" s="6">
        <v>0.83020000000000005</v>
      </c>
      <c r="G709" t="str">
        <f t="shared" si="33"/>
        <v>Admis</v>
      </c>
      <c r="H709" t="str" cm="1">
        <f t="array" ref="H709">_xlfn.IFS(E709&gt;=16,"Excellent",E709&gt;=14,"Très bien",E709&gt;=12,"Bien",E709&gt;=10,"Passable",E709&lt;10,"Insuffisant")</f>
        <v>Bien</v>
      </c>
      <c r="I709" t="str">
        <f t="shared" si="34"/>
        <v>RAS</v>
      </c>
      <c r="J709" t="str">
        <f t="shared" si="35"/>
        <v>Autre filière</v>
      </c>
    </row>
    <row r="710" spans="1:10">
      <c r="A710" t="s">
        <v>1024</v>
      </c>
      <c r="B710" t="s">
        <v>257</v>
      </c>
      <c r="C710" s="8" t="s">
        <v>34</v>
      </c>
      <c r="D710" s="8">
        <v>7.44</v>
      </c>
      <c r="E710" s="8">
        <v>8</v>
      </c>
      <c r="F710" s="6">
        <v>0.8266</v>
      </c>
      <c r="G710" t="str">
        <f t="shared" si="33"/>
        <v>Refuse</v>
      </c>
      <c r="H710" t="str" cm="1">
        <f t="array" ref="H710">_xlfn.IFS(E710&gt;=16,"Excellent",E710&gt;=14,"Très bien",E710&gt;=12,"Bien",E710&gt;=10,"Passable",E710&lt;10,"Insuffisant")</f>
        <v>Insuffisant</v>
      </c>
      <c r="I710" t="str">
        <f t="shared" si="34"/>
        <v>A surveiller</v>
      </c>
      <c r="J710" t="str">
        <f t="shared" si="35"/>
        <v>Autre filière</v>
      </c>
    </row>
    <row r="711" spans="1:10">
      <c r="A711" t="s">
        <v>1025</v>
      </c>
      <c r="B711" t="s">
        <v>554</v>
      </c>
      <c r="C711" s="8" t="s">
        <v>47</v>
      </c>
      <c r="D711" s="8">
        <v>13.99</v>
      </c>
      <c r="E711" s="8">
        <v>15.03</v>
      </c>
      <c r="F711" s="6">
        <v>0.8448</v>
      </c>
      <c r="G711" t="str">
        <f t="shared" si="33"/>
        <v>Admis</v>
      </c>
      <c r="H711" t="str" cm="1">
        <f t="array" ref="H711">_xlfn.IFS(E711&gt;=16,"Excellent",E711&gt;=14,"Très bien",E711&gt;=12,"Bien",E711&gt;=10,"Passable",E711&lt;10,"Insuffisant")</f>
        <v>Très bien</v>
      </c>
      <c r="I711" t="str">
        <f t="shared" si="34"/>
        <v>RAS</v>
      </c>
      <c r="J711" t="str">
        <f t="shared" si="35"/>
        <v>Autre filière</v>
      </c>
    </row>
    <row r="712" spans="1:10">
      <c r="A712" t="s">
        <v>1026</v>
      </c>
      <c r="B712" t="s">
        <v>223</v>
      </c>
      <c r="C712" s="8" t="s">
        <v>21</v>
      </c>
      <c r="D712" s="8">
        <v>10.65</v>
      </c>
      <c r="E712" s="8">
        <v>15.47</v>
      </c>
      <c r="F712" s="6">
        <v>0.87219999999999998</v>
      </c>
      <c r="G712" t="str">
        <f t="shared" si="33"/>
        <v>Admis sous condition</v>
      </c>
      <c r="H712" t="str" cm="1">
        <f t="array" ref="H712">_xlfn.IFS(E712&gt;=16,"Excellent",E712&gt;=14,"Très bien",E712&gt;=12,"Bien",E712&gt;=10,"Passable",E712&lt;10,"Insuffisant")</f>
        <v>Très bien</v>
      </c>
      <c r="I712" t="str">
        <f t="shared" si="34"/>
        <v>RAS</v>
      </c>
      <c r="J712" t="str">
        <f t="shared" si="35"/>
        <v>Data</v>
      </c>
    </row>
    <row r="713" spans="1:10">
      <c r="A713" t="s">
        <v>1027</v>
      </c>
      <c r="B713" t="s">
        <v>112</v>
      </c>
      <c r="C713" s="8" t="s">
        <v>34</v>
      </c>
      <c r="D713" s="8">
        <v>8.02</v>
      </c>
      <c r="E713" s="8">
        <v>10.88</v>
      </c>
      <c r="F713" s="6">
        <v>0.96599999999999997</v>
      </c>
      <c r="G713" t="str">
        <f t="shared" si="33"/>
        <v>Refuse</v>
      </c>
      <c r="H713" t="str" cm="1">
        <f t="array" ref="H713">_xlfn.IFS(E713&gt;=16,"Excellent",E713&gt;=14,"Très bien",E713&gt;=12,"Bien",E713&gt;=10,"Passable",E713&lt;10,"Insuffisant")</f>
        <v>Passable</v>
      </c>
      <c r="I713" t="str">
        <f t="shared" si="34"/>
        <v>A surveiller</v>
      </c>
      <c r="J713" t="str">
        <f t="shared" si="35"/>
        <v>Autre filière</v>
      </c>
    </row>
    <row r="714" spans="1:10">
      <c r="A714" t="s">
        <v>1028</v>
      </c>
      <c r="B714" t="s">
        <v>78</v>
      </c>
      <c r="C714" s="8" t="s">
        <v>21</v>
      </c>
      <c r="D714" s="8">
        <v>10.74</v>
      </c>
      <c r="E714" s="8">
        <v>11.92</v>
      </c>
      <c r="F714" s="6">
        <v>0.76700000000000002</v>
      </c>
      <c r="G714" t="str">
        <f t="shared" si="33"/>
        <v>Admis sous condition</v>
      </c>
      <c r="H714" t="str" cm="1">
        <f t="array" ref="H714">_xlfn.IFS(E714&gt;=16,"Excellent",E714&gt;=14,"Très bien",E714&gt;=12,"Bien",E714&gt;=10,"Passable",E714&lt;10,"Insuffisant")</f>
        <v>Passable</v>
      </c>
      <c r="I714" t="str">
        <f t="shared" si="34"/>
        <v>RAS</v>
      </c>
      <c r="J714" t="str">
        <f t="shared" si="35"/>
        <v>Data</v>
      </c>
    </row>
    <row r="715" spans="1:10">
      <c r="A715" t="s">
        <v>1029</v>
      </c>
      <c r="B715" t="s">
        <v>435</v>
      </c>
      <c r="C715" s="8" t="s">
        <v>47</v>
      </c>
      <c r="D715" s="8">
        <v>6.71</v>
      </c>
      <c r="E715" s="8">
        <v>6.56</v>
      </c>
      <c r="F715" s="6">
        <v>0.99</v>
      </c>
      <c r="G715" t="str">
        <f t="shared" si="33"/>
        <v>Refuse</v>
      </c>
      <c r="H715" t="str" cm="1">
        <f t="array" ref="H715">_xlfn.IFS(E715&gt;=16,"Excellent",E715&gt;=14,"Très bien",E715&gt;=12,"Bien",E715&gt;=10,"Passable",E715&lt;10,"Insuffisant")</f>
        <v>Insuffisant</v>
      </c>
      <c r="I715" t="str">
        <f t="shared" si="34"/>
        <v>A surveiller</v>
      </c>
      <c r="J715" t="str">
        <f t="shared" si="35"/>
        <v>Autre filière</v>
      </c>
    </row>
    <row r="716" spans="1:10">
      <c r="A716" t="s">
        <v>1030</v>
      </c>
      <c r="B716" t="s">
        <v>1008</v>
      </c>
      <c r="C716" s="8" t="s">
        <v>47</v>
      </c>
      <c r="D716" s="8">
        <v>11.32</v>
      </c>
      <c r="E716" s="8">
        <v>11</v>
      </c>
      <c r="F716" s="6">
        <v>0.89849999999999997</v>
      </c>
      <c r="G716" t="str">
        <f t="shared" si="33"/>
        <v>Admis sous condition</v>
      </c>
      <c r="H716" t="str" cm="1">
        <f t="array" ref="H716">_xlfn.IFS(E716&gt;=16,"Excellent",E716&gt;=14,"Très bien",E716&gt;=12,"Bien",E716&gt;=10,"Passable",E716&lt;10,"Insuffisant")</f>
        <v>Passable</v>
      </c>
      <c r="I716" t="str">
        <f t="shared" si="34"/>
        <v>RAS</v>
      </c>
      <c r="J716" t="str">
        <f t="shared" si="35"/>
        <v>Autre filière</v>
      </c>
    </row>
    <row r="717" spans="1:10">
      <c r="A717" t="s">
        <v>1031</v>
      </c>
      <c r="B717" t="s">
        <v>911</v>
      </c>
      <c r="C717" s="8" t="s">
        <v>34</v>
      </c>
      <c r="D717" s="8">
        <v>9.36</v>
      </c>
      <c r="E717" s="8">
        <v>11.8</v>
      </c>
      <c r="F717" s="6">
        <v>0.71240000000000003</v>
      </c>
      <c r="G717" t="str">
        <f t="shared" si="33"/>
        <v>Refuse</v>
      </c>
      <c r="H717" t="str" cm="1">
        <f t="array" ref="H717">_xlfn.IFS(E717&gt;=16,"Excellent",E717&gt;=14,"Très bien",E717&gt;=12,"Bien",E717&gt;=10,"Passable",E717&lt;10,"Insuffisant")</f>
        <v>Passable</v>
      </c>
      <c r="I717" t="str">
        <f t="shared" si="34"/>
        <v>A surveiller</v>
      </c>
      <c r="J717" t="str">
        <f t="shared" si="35"/>
        <v>Autre filière</v>
      </c>
    </row>
    <row r="718" spans="1:10">
      <c r="A718" t="s">
        <v>1032</v>
      </c>
      <c r="B718" t="s">
        <v>1033</v>
      </c>
      <c r="C718" s="8" t="s">
        <v>21</v>
      </c>
      <c r="D718" s="8">
        <v>10.02</v>
      </c>
      <c r="E718" s="8">
        <v>16.43</v>
      </c>
      <c r="F718" s="6">
        <v>0.88649999999999995</v>
      </c>
      <c r="G718" t="str">
        <f t="shared" si="33"/>
        <v>Admis sous condition</v>
      </c>
      <c r="H718" t="str" cm="1">
        <f t="array" ref="H718">_xlfn.IFS(E718&gt;=16,"Excellent",E718&gt;=14,"Très bien",E718&gt;=12,"Bien",E718&gt;=10,"Passable",E718&lt;10,"Insuffisant")</f>
        <v>Excellent</v>
      </c>
      <c r="I718" t="str">
        <f t="shared" si="34"/>
        <v>RAS</v>
      </c>
      <c r="J718" t="str">
        <f t="shared" si="35"/>
        <v>Data</v>
      </c>
    </row>
    <row r="719" spans="1:10">
      <c r="A719" t="s">
        <v>1034</v>
      </c>
      <c r="B719" t="s">
        <v>1035</v>
      </c>
      <c r="C719" s="8" t="s">
        <v>34</v>
      </c>
      <c r="D719" s="8">
        <v>9.41</v>
      </c>
      <c r="E719" s="8">
        <v>12.35</v>
      </c>
      <c r="F719" s="6">
        <v>0.92649999999999999</v>
      </c>
      <c r="G719" t="str">
        <f t="shared" si="33"/>
        <v>Refuse</v>
      </c>
      <c r="H719" t="str" cm="1">
        <f t="array" ref="H719">_xlfn.IFS(E719&gt;=16,"Excellent",E719&gt;=14,"Très bien",E719&gt;=12,"Bien",E719&gt;=10,"Passable",E719&lt;10,"Insuffisant")</f>
        <v>Bien</v>
      </c>
      <c r="I719" t="str">
        <f t="shared" si="34"/>
        <v>A surveiller</v>
      </c>
      <c r="J719" t="str">
        <f t="shared" si="35"/>
        <v>Autre filière</v>
      </c>
    </row>
    <row r="720" spans="1:10">
      <c r="A720" t="s">
        <v>1036</v>
      </c>
      <c r="B720" t="s">
        <v>1037</v>
      </c>
      <c r="C720" s="8" t="s">
        <v>26</v>
      </c>
      <c r="D720" s="8">
        <v>14.25</v>
      </c>
      <c r="E720" s="8">
        <v>17.14</v>
      </c>
      <c r="F720" s="6">
        <v>0.93859999999999999</v>
      </c>
      <c r="G720" t="str">
        <f t="shared" si="33"/>
        <v>Admis</v>
      </c>
      <c r="H720" t="str" cm="1">
        <f t="array" ref="H720">_xlfn.IFS(E720&gt;=16,"Excellent",E720&gt;=14,"Très bien",E720&gt;=12,"Bien",E720&gt;=10,"Passable",E720&lt;10,"Insuffisant")</f>
        <v>Excellent</v>
      </c>
      <c r="I720" t="str">
        <f t="shared" si="34"/>
        <v>RAS</v>
      </c>
      <c r="J720" t="str">
        <f t="shared" si="35"/>
        <v>Autre filière</v>
      </c>
    </row>
    <row r="721" spans="1:10">
      <c r="A721" t="s">
        <v>1038</v>
      </c>
      <c r="B721" t="s">
        <v>556</v>
      </c>
      <c r="C721" s="8" t="s">
        <v>21</v>
      </c>
      <c r="D721" s="8">
        <v>10.66</v>
      </c>
      <c r="E721" s="8">
        <v>13.74</v>
      </c>
      <c r="F721" s="6">
        <v>0.80149999999999999</v>
      </c>
      <c r="G721" t="str">
        <f t="shared" si="33"/>
        <v>Admis sous condition</v>
      </c>
      <c r="H721" t="str" cm="1">
        <f t="array" ref="H721">_xlfn.IFS(E721&gt;=16,"Excellent",E721&gt;=14,"Très bien",E721&gt;=12,"Bien",E721&gt;=10,"Passable",E721&lt;10,"Insuffisant")</f>
        <v>Bien</v>
      </c>
      <c r="I721" t="str">
        <f t="shared" si="34"/>
        <v>RAS</v>
      </c>
      <c r="J721" t="str">
        <f t="shared" si="35"/>
        <v>Data</v>
      </c>
    </row>
    <row r="722" spans="1:10">
      <c r="A722" t="s">
        <v>1039</v>
      </c>
      <c r="B722" t="s">
        <v>209</v>
      </c>
      <c r="C722" s="8" t="s">
        <v>21</v>
      </c>
      <c r="D722" s="8">
        <v>17.54</v>
      </c>
      <c r="E722" s="8">
        <v>15.61</v>
      </c>
      <c r="F722" s="6">
        <v>0.55000000000000004</v>
      </c>
      <c r="G722" t="str">
        <f t="shared" si="33"/>
        <v>Admis sous condition</v>
      </c>
      <c r="H722" t="str" cm="1">
        <f t="array" ref="H722">_xlfn.IFS(E722&gt;=16,"Excellent",E722&gt;=14,"Très bien",E722&gt;=12,"Bien",E722&gt;=10,"Passable",E722&lt;10,"Insuffisant")</f>
        <v>Très bien</v>
      </c>
      <c r="I722" t="str">
        <f t="shared" si="34"/>
        <v>A surveiller</v>
      </c>
      <c r="J722" t="str">
        <f t="shared" si="35"/>
        <v>Data</v>
      </c>
    </row>
    <row r="723" spans="1:10">
      <c r="A723" t="s">
        <v>1040</v>
      </c>
      <c r="B723" t="s">
        <v>804</v>
      </c>
      <c r="C723" s="8" t="s">
        <v>21</v>
      </c>
      <c r="D723" s="8">
        <v>11.75</v>
      </c>
      <c r="E723" s="8">
        <v>12.77</v>
      </c>
      <c r="F723" s="6">
        <v>0.9073</v>
      </c>
      <c r="G723" t="str">
        <f t="shared" si="33"/>
        <v>Admis sous condition</v>
      </c>
      <c r="H723" t="str" cm="1">
        <f t="array" ref="H723">_xlfn.IFS(E723&gt;=16,"Excellent",E723&gt;=14,"Très bien",E723&gt;=12,"Bien",E723&gt;=10,"Passable",E723&lt;10,"Insuffisant")</f>
        <v>Bien</v>
      </c>
      <c r="I723" t="str">
        <f t="shared" si="34"/>
        <v>RAS</v>
      </c>
      <c r="J723" t="str">
        <f t="shared" si="35"/>
        <v>Data</v>
      </c>
    </row>
    <row r="724" spans="1:10">
      <c r="A724" t="s">
        <v>1041</v>
      </c>
      <c r="B724" t="s">
        <v>454</v>
      </c>
      <c r="C724" s="8" t="s">
        <v>26</v>
      </c>
      <c r="D724" s="8">
        <v>17.88</v>
      </c>
      <c r="E724" s="8">
        <v>14.9</v>
      </c>
      <c r="F724" s="6">
        <v>0.55000000000000004</v>
      </c>
      <c r="G724" t="str">
        <f t="shared" si="33"/>
        <v>Admis sous condition</v>
      </c>
      <c r="H724" t="str" cm="1">
        <f t="array" ref="H724">_xlfn.IFS(E724&gt;=16,"Excellent",E724&gt;=14,"Très bien",E724&gt;=12,"Bien",E724&gt;=10,"Passable",E724&lt;10,"Insuffisant")</f>
        <v>Très bien</v>
      </c>
      <c r="I724" t="str">
        <f t="shared" si="34"/>
        <v>A surveiller</v>
      </c>
      <c r="J724" t="str">
        <f t="shared" si="35"/>
        <v>Autre filière</v>
      </c>
    </row>
    <row r="725" spans="1:10">
      <c r="A725" t="s">
        <v>1042</v>
      </c>
      <c r="B725" t="s">
        <v>495</v>
      </c>
      <c r="C725" s="8" t="s">
        <v>21</v>
      </c>
      <c r="D725" s="8">
        <v>11.96</v>
      </c>
      <c r="E725" s="8">
        <v>9.91</v>
      </c>
      <c r="F725" s="6">
        <v>0.91900000000000004</v>
      </c>
      <c r="G725" t="str">
        <f t="shared" si="33"/>
        <v>Refuse</v>
      </c>
      <c r="H725" t="str" cm="1">
        <f t="array" ref="H725">_xlfn.IFS(E725&gt;=16,"Excellent",E725&gt;=14,"Très bien",E725&gt;=12,"Bien",E725&gt;=10,"Passable",E725&lt;10,"Insuffisant")</f>
        <v>Insuffisant</v>
      </c>
      <c r="I725" t="str">
        <f t="shared" si="34"/>
        <v>A surveiller</v>
      </c>
      <c r="J725" t="str">
        <f t="shared" si="35"/>
        <v>Data</v>
      </c>
    </row>
    <row r="726" spans="1:10">
      <c r="A726" t="s">
        <v>1043</v>
      </c>
      <c r="B726" t="s">
        <v>983</v>
      </c>
      <c r="C726" s="8" t="s">
        <v>47</v>
      </c>
      <c r="D726" s="8">
        <v>9</v>
      </c>
      <c r="E726" s="8">
        <v>7.99</v>
      </c>
      <c r="F726" s="6">
        <v>0.86519999999999997</v>
      </c>
      <c r="G726" t="str">
        <f t="shared" si="33"/>
        <v>Refuse</v>
      </c>
      <c r="H726" t="str" cm="1">
        <f t="array" ref="H726">_xlfn.IFS(E726&gt;=16,"Excellent",E726&gt;=14,"Très bien",E726&gt;=12,"Bien",E726&gt;=10,"Passable",E726&lt;10,"Insuffisant")</f>
        <v>Insuffisant</v>
      </c>
      <c r="I726" t="str">
        <f t="shared" si="34"/>
        <v>A surveiller</v>
      </c>
      <c r="J726" t="str">
        <f t="shared" si="35"/>
        <v>Autre filière</v>
      </c>
    </row>
    <row r="727" spans="1:10">
      <c r="A727" t="s">
        <v>1044</v>
      </c>
      <c r="B727" t="s">
        <v>1045</v>
      </c>
      <c r="C727" s="8" t="s">
        <v>26</v>
      </c>
      <c r="D727" s="8">
        <v>7.79</v>
      </c>
      <c r="E727" s="8">
        <v>9.8699999999999992</v>
      </c>
      <c r="F727" s="6">
        <v>0.83299999999999996</v>
      </c>
      <c r="G727" t="str">
        <f t="shared" si="33"/>
        <v>Refuse</v>
      </c>
      <c r="H727" t="str" cm="1">
        <f t="array" ref="H727">_xlfn.IFS(E727&gt;=16,"Excellent",E727&gt;=14,"Très bien",E727&gt;=12,"Bien",E727&gt;=10,"Passable",E727&lt;10,"Insuffisant")</f>
        <v>Insuffisant</v>
      </c>
      <c r="I727" t="str">
        <f t="shared" si="34"/>
        <v>A surveiller</v>
      </c>
      <c r="J727" t="str">
        <f t="shared" si="35"/>
        <v>Autre filière</v>
      </c>
    </row>
    <row r="728" spans="1:10">
      <c r="A728" t="s">
        <v>1046</v>
      </c>
      <c r="B728" t="s">
        <v>158</v>
      </c>
      <c r="C728" s="8" t="s">
        <v>47</v>
      </c>
      <c r="D728" s="8">
        <v>11.88</v>
      </c>
      <c r="E728" s="8">
        <v>10.48</v>
      </c>
      <c r="F728" s="6">
        <v>0.74470000000000003</v>
      </c>
      <c r="G728" t="str">
        <f t="shared" si="33"/>
        <v>Admis sous condition</v>
      </c>
      <c r="H728" t="str" cm="1">
        <f t="array" ref="H728">_xlfn.IFS(E728&gt;=16,"Excellent",E728&gt;=14,"Très bien",E728&gt;=12,"Bien",E728&gt;=10,"Passable",E728&lt;10,"Insuffisant")</f>
        <v>Passable</v>
      </c>
      <c r="I728" t="str">
        <f t="shared" si="34"/>
        <v>RAS</v>
      </c>
      <c r="J728" t="str">
        <f t="shared" si="35"/>
        <v>Autre filière</v>
      </c>
    </row>
    <row r="729" spans="1:10">
      <c r="A729" t="s">
        <v>1047</v>
      </c>
      <c r="B729" t="s">
        <v>201</v>
      </c>
      <c r="C729" s="8" t="s">
        <v>34</v>
      </c>
      <c r="D729" s="8">
        <v>8.32</v>
      </c>
      <c r="E729" s="8">
        <v>10.41</v>
      </c>
      <c r="F729" s="6">
        <v>0.90090000000000003</v>
      </c>
      <c r="G729" t="str">
        <f t="shared" si="33"/>
        <v>Refuse</v>
      </c>
      <c r="H729" t="str" cm="1">
        <f t="array" ref="H729">_xlfn.IFS(E729&gt;=16,"Excellent",E729&gt;=14,"Très bien",E729&gt;=12,"Bien",E729&gt;=10,"Passable",E729&lt;10,"Insuffisant")</f>
        <v>Passable</v>
      </c>
      <c r="I729" t="str">
        <f t="shared" si="34"/>
        <v>A surveiller</v>
      </c>
      <c r="J729" t="str">
        <f t="shared" si="35"/>
        <v>Autre filière</v>
      </c>
    </row>
    <row r="730" spans="1:10">
      <c r="A730" t="s">
        <v>1048</v>
      </c>
      <c r="B730" t="s">
        <v>1049</v>
      </c>
      <c r="C730" s="8" t="s">
        <v>21</v>
      </c>
      <c r="D730" s="8">
        <v>15.02</v>
      </c>
      <c r="E730" s="8">
        <v>12.72</v>
      </c>
      <c r="F730" s="6">
        <v>0.94320000000000004</v>
      </c>
      <c r="G730" t="str">
        <f t="shared" si="33"/>
        <v>Admis</v>
      </c>
      <c r="H730" t="str" cm="1">
        <f t="array" ref="H730">_xlfn.IFS(E730&gt;=16,"Excellent",E730&gt;=14,"Très bien",E730&gt;=12,"Bien",E730&gt;=10,"Passable",E730&lt;10,"Insuffisant")</f>
        <v>Bien</v>
      </c>
      <c r="I730" t="str">
        <f t="shared" si="34"/>
        <v>RAS</v>
      </c>
      <c r="J730" t="str">
        <f t="shared" si="35"/>
        <v>Data</v>
      </c>
    </row>
    <row r="731" spans="1:10">
      <c r="A731" t="s">
        <v>1050</v>
      </c>
      <c r="B731" t="s">
        <v>322</v>
      </c>
      <c r="C731" s="8" t="s">
        <v>21</v>
      </c>
      <c r="D731" s="8">
        <v>11.68</v>
      </c>
      <c r="E731" s="8">
        <v>8.74</v>
      </c>
      <c r="F731" s="6">
        <v>0.71120000000000005</v>
      </c>
      <c r="G731" t="str">
        <f t="shared" si="33"/>
        <v>Refuse</v>
      </c>
      <c r="H731" t="str" cm="1">
        <f t="array" ref="H731">_xlfn.IFS(E731&gt;=16,"Excellent",E731&gt;=14,"Très bien",E731&gt;=12,"Bien",E731&gt;=10,"Passable",E731&lt;10,"Insuffisant")</f>
        <v>Insuffisant</v>
      </c>
      <c r="I731" t="str">
        <f t="shared" si="34"/>
        <v>A surveiller</v>
      </c>
      <c r="J731" t="str">
        <f t="shared" si="35"/>
        <v>Data</v>
      </c>
    </row>
    <row r="732" spans="1:10">
      <c r="A732" t="s">
        <v>1051</v>
      </c>
      <c r="B732" t="s">
        <v>650</v>
      </c>
      <c r="C732" s="8" t="s">
        <v>21</v>
      </c>
      <c r="D732" s="8">
        <v>18.07</v>
      </c>
      <c r="E732" s="8">
        <v>20</v>
      </c>
      <c r="F732" s="6">
        <v>0.88790000000000002</v>
      </c>
      <c r="G732" t="str">
        <f t="shared" si="33"/>
        <v>Admis</v>
      </c>
      <c r="H732" t="str" cm="1">
        <f t="array" ref="H732">_xlfn.IFS(E732&gt;=16,"Excellent",E732&gt;=14,"Très bien",E732&gt;=12,"Bien",E732&gt;=10,"Passable",E732&lt;10,"Insuffisant")</f>
        <v>Excellent</v>
      </c>
      <c r="I732" t="str">
        <f t="shared" si="34"/>
        <v>RAS</v>
      </c>
      <c r="J732" t="str">
        <f t="shared" si="35"/>
        <v>Data</v>
      </c>
    </row>
    <row r="733" spans="1:10">
      <c r="A733" t="s">
        <v>1052</v>
      </c>
      <c r="B733" t="s">
        <v>245</v>
      </c>
      <c r="C733" s="8" t="s">
        <v>26</v>
      </c>
      <c r="D733" s="8">
        <v>10.82</v>
      </c>
      <c r="E733" s="8">
        <v>7.79</v>
      </c>
      <c r="F733" s="6">
        <v>0.74019999999999997</v>
      </c>
      <c r="G733" t="str">
        <f t="shared" si="33"/>
        <v>Refuse</v>
      </c>
      <c r="H733" t="str" cm="1">
        <f t="array" ref="H733">_xlfn.IFS(E733&gt;=16,"Excellent",E733&gt;=14,"Très bien",E733&gt;=12,"Bien",E733&gt;=10,"Passable",E733&lt;10,"Insuffisant")</f>
        <v>Insuffisant</v>
      </c>
      <c r="I733" t="str">
        <f t="shared" si="34"/>
        <v>A surveiller</v>
      </c>
      <c r="J733" t="str">
        <f t="shared" si="35"/>
        <v>Autre filière</v>
      </c>
    </row>
    <row r="734" spans="1:10">
      <c r="A734" t="s">
        <v>1053</v>
      </c>
      <c r="B734" t="s">
        <v>149</v>
      </c>
      <c r="C734" s="8" t="s">
        <v>21</v>
      </c>
      <c r="D734" s="8">
        <v>15.01</v>
      </c>
      <c r="E734" s="8">
        <v>12.43</v>
      </c>
      <c r="F734" s="6">
        <v>0.81210000000000004</v>
      </c>
      <c r="G734" t="str">
        <f t="shared" si="33"/>
        <v>Admis</v>
      </c>
      <c r="H734" t="str" cm="1">
        <f t="array" ref="H734">_xlfn.IFS(E734&gt;=16,"Excellent",E734&gt;=14,"Très bien",E734&gt;=12,"Bien",E734&gt;=10,"Passable",E734&lt;10,"Insuffisant")</f>
        <v>Bien</v>
      </c>
      <c r="I734" t="str">
        <f t="shared" si="34"/>
        <v>RAS</v>
      </c>
      <c r="J734" t="str">
        <f t="shared" si="35"/>
        <v>Data</v>
      </c>
    </row>
    <row r="735" spans="1:10">
      <c r="A735" t="s">
        <v>1054</v>
      </c>
      <c r="B735" t="s">
        <v>261</v>
      </c>
      <c r="C735" s="8" t="s">
        <v>21</v>
      </c>
      <c r="D735" s="8">
        <v>9.36</v>
      </c>
      <c r="E735" s="8">
        <v>8.14</v>
      </c>
      <c r="F735" s="6">
        <v>0.70140000000000002</v>
      </c>
      <c r="G735" t="str">
        <f t="shared" si="33"/>
        <v>Refuse</v>
      </c>
      <c r="H735" t="str" cm="1">
        <f t="array" ref="H735">_xlfn.IFS(E735&gt;=16,"Excellent",E735&gt;=14,"Très bien",E735&gt;=12,"Bien",E735&gt;=10,"Passable",E735&lt;10,"Insuffisant")</f>
        <v>Insuffisant</v>
      </c>
      <c r="I735" t="str">
        <f t="shared" si="34"/>
        <v>A surveiller</v>
      </c>
      <c r="J735" t="str">
        <f t="shared" si="35"/>
        <v>Data</v>
      </c>
    </row>
    <row r="736" spans="1:10">
      <c r="A736" t="s">
        <v>1055</v>
      </c>
      <c r="B736" t="s">
        <v>193</v>
      </c>
      <c r="C736" s="8" t="s">
        <v>26</v>
      </c>
      <c r="D736" s="8">
        <v>12.44</v>
      </c>
      <c r="E736" s="8">
        <v>13.25</v>
      </c>
      <c r="F736" s="6">
        <v>0.99739999999999995</v>
      </c>
      <c r="G736" t="str">
        <f t="shared" si="33"/>
        <v>Admis</v>
      </c>
      <c r="H736" t="str" cm="1">
        <f t="array" ref="H736">_xlfn.IFS(E736&gt;=16,"Excellent",E736&gt;=14,"Très bien",E736&gt;=12,"Bien",E736&gt;=10,"Passable",E736&lt;10,"Insuffisant")</f>
        <v>Bien</v>
      </c>
      <c r="I736" t="str">
        <f t="shared" si="34"/>
        <v>RAS</v>
      </c>
      <c r="J736" t="str">
        <f t="shared" si="35"/>
        <v>Autre filière</v>
      </c>
    </row>
    <row r="737" spans="1:10">
      <c r="A737" t="s">
        <v>1056</v>
      </c>
      <c r="B737" t="s">
        <v>804</v>
      </c>
      <c r="C737" s="8" t="s">
        <v>34</v>
      </c>
      <c r="D737" s="8">
        <v>13.71</v>
      </c>
      <c r="E737" s="8">
        <v>17.12</v>
      </c>
      <c r="F737" s="6">
        <v>0.90329999999999999</v>
      </c>
      <c r="G737" t="str">
        <f t="shared" si="33"/>
        <v>Admis</v>
      </c>
      <c r="H737" t="str" cm="1">
        <f t="array" ref="H737">_xlfn.IFS(E737&gt;=16,"Excellent",E737&gt;=14,"Très bien",E737&gt;=12,"Bien",E737&gt;=10,"Passable",E737&lt;10,"Insuffisant")</f>
        <v>Excellent</v>
      </c>
      <c r="I737" t="str">
        <f t="shared" si="34"/>
        <v>RAS</v>
      </c>
      <c r="J737" t="str">
        <f t="shared" si="35"/>
        <v>Autre filière</v>
      </c>
    </row>
    <row r="738" spans="1:10">
      <c r="A738" t="s">
        <v>1057</v>
      </c>
      <c r="B738" t="s">
        <v>733</v>
      </c>
      <c r="C738" s="8" t="s">
        <v>34</v>
      </c>
      <c r="D738" s="8">
        <v>5.08</v>
      </c>
      <c r="E738" s="8">
        <v>6.3</v>
      </c>
      <c r="F738" s="6">
        <v>0.90510000000000002</v>
      </c>
      <c r="G738" t="str">
        <f t="shared" si="33"/>
        <v>Refuse</v>
      </c>
      <c r="H738" t="str" cm="1">
        <f t="array" ref="H738">_xlfn.IFS(E738&gt;=16,"Excellent",E738&gt;=14,"Très bien",E738&gt;=12,"Bien",E738&gt;=10,"Passable",E738&lt;10,"Insuffisant")</f>
        <v>Insuffisant</v>
      </c>
      <c r="I738" t="str">
        <f t="shared" si="34"/>
        <v>A surveiller</v>
      </c>
      <c r="J738" t="str">
        <f t="shared" si="35"/>
        <v>Autre filière</v>
      </c>
    </row>
    <row r="739" spans="1:10">
      <c r="A739" t="s">
        <v>1058</v>
      </c>
      <c r="B739" t="s">
        <v>491</v>
      </c>
      <c r="C739" s="8" t="s">
        <v>47</v>
      </c>
      <c r="D739" s="8">
        <v>14.32</v>
      </c>
      <c r="E739" s="8">
        <v>13.89</v>
      </c>
      <c r="F739" s="6">
        <v>0.96609999999999996</v>
      </c>
      <c r="G739" t="str">
        <f t="shared" si="33"/>
        <v>Admis</v>
      </c>
      <c r="H739" t="str" cm="1">
        <f t="array" ref="H739">_xlfn.IFS(E739&gt;=16,"Excellent",E739&gt;=14,"Très bien",E739&gt;=12,"Bien",E739&gt;=10,"Passable",E739&lt;10,"Insuffisant")</f>
        <v>Bien</v>
      </c>
      <c r="I739" t="str">
        <f t="shared" si="34"/>
        <v>RAS</v>
      </c>
      <c r="J739" t="str">
        <f t="shared" si="35"/>
        <v>Autre filière</v>
      </c>
    </row>
    <row r="740" spans="1:10">
      <c r="A740" t="s">
        <v>1059</v>
      </c>
      <c r="B740" t="s">
        <v>743</v>
      </c>
      <c r="C740" s="8" t="s">
        <v>47</v>
      </c>
      <c r="D740" s="8">
        <v>17.46</v>
      </c>
      <c r="E740" s="8">
        <v>20</v>
      </c>
      <c r="F740" s="6">
        <v>0.95450000000000002</v>
      </c>
      <c r="G740" t="str">
        <f t="shared" si="33"/>
        <v>Admis</v>
      </c>
      <c r="H740" t="str" cm="1">
        <f t="array" ref="H740">_xlfn.IFS(E740&gt;=16,"Excellent",E740&gt;=14,"Très bien",E740&gt;=12,"Bien",E740&gt;=10,"Passable",E740&lt;10,"Insuffisant")</f>
        <v>Excellent</v>
      </c>
      <c r="I740" t="str">
        <f t="shared" si="34"/>
        <v>RAS</v>
      </c>
      <c r="J740" t="str">
        <f t="shared" si="35"/>
        <v>Autre filière</v>
      </c>
    </row>
    <row r="741" spans="1:10">
      <c r="A741" t="s">
        <v>1060</v>
      </c>
      <c r="B741" t="s">
        <v>236</v>
      </c>
      <c r="C741" s="8" t="s">
        <v>26</v>
      </c>
      <c r="D741" s="8">
        <v>10.15</v>
      </c>
      <c r="E741" s="8">
        <v>8.4499999999999993</v>
      </c>
      <c r="F741" s="6">
        <v>0.97</v>
      </c>
      <c r="G741" t="str">
        <f t="shared" si="33"/>
        <v>Refuse</v>
      </c>
      <c r="H741" t="str" cm="1">
        <f t="array" ref="H741">_xlfn.IFS(E741&gt;=16,"Excellent",E741&gt;=14,"Très bien",E741&gt;=12,"Bien",E741&gt;=10,"Passable",E741&lt;10,"Insuffisant")</f>
        <v>Insuffisant</v>
      </c>
      <c r="I741" t="str">
        <f t="shared" si="34"/>
        <v>A surveiller</v>
      </c>
      <c r="J741" t="str">
        <f t="shared" si="35"/>
        <v>Autre filière</v>
      </c>
    </row>
    <row r="742" spans="1:10">
      <c r="A742" t="s">
        <v>1061</v>
      </c>
      <c r="B742" t="s">
        <v>140</v>
      </c>
      <c r="C742" s="8" t="s">
        <v>34</v>
      </c>
      <c r="D742" s="8">
        <v>10.66</v>
      </c>
      <c r="E742" s="8">
        <v>18.75</v>
      </c>
      <c r="F742" s="6">
        <v>0.90059999999999996</v>
      </c>
      <c r="G742" t="str">
        <f t="shared" si="33"/>
        <v>Admis sous condition</v>
      </c>
      <c r="H742" t="str" cm="1">
        <f t="array" ref="H742">_xlfn.IFS(E742&gt;=16,"Excellent",E742&gt;=14,"Très bien",E742&gt;=12,"Bien",E742&gt;=10,"Passable",E742&lt;10,"Insuffisant")</f>
        <v>Excellent</v>
      </c>
      <c r="I742" t="str">
        <f t="shared" si="34"/>
        <v>RAS</v>
      </c>
      <c r="J742" t="str">
        <f t="shared" si="35"/>
        <v>Autre filière</v>
      </c>
    </row>
    <row r="743" spans="1:10">
      <c r="A743" t="s">
        <v>1062</v>
      </c>
      <c r="B743" t="s">
        <v>147</v>
      </c>
      <c r="C743" s="8" t="s">
        <v>47</v>
      </c>
      <c r="D743" s="8">
        <v>15.58</v>
      </c>
      <c r="E743" s="8">
        <v>20</v>
      </c>
      <c r="F743" s="6">
        <v>0.82840000000000003</v>
      </c>
      <c r="G743" t="str">
        <f t="shared" si="33"/>
        <v>Admis</v>
      </c>
      <c r="H743" t="str" cm="1">
        <f t="array" ref="H743">_xlfn.IFS(E743&gt;=16,"Excellent",E743&gt;=14,"Très bien",E743&gt;=12,"Bien",E743&gt;=10,"Passable",E743&lt;10,"Insuffisant")</f>
        <v>Excellent</v>
      </c>
      <c r="I743" t="str">
        <f t="shared" si="34"/>
        <v>RAS</v>
      </c>
      <c r="J743" t="str">
        <f t="shared" si="35"/>
        <v>Autre filière</v>
      </c>
    </row>
    <row r="744" spans="1:10">
      <c r="A744" t="s">
        <v>1063</v>
      </c>
      <c r="B744" t="s">
        <v>203</v>
      </c>
      <c r="C744" s="8" t="s">
        <v>26</v>
      </c>
      <c r="D744" s="8">
        <v>14.29</v>
      </c>
      <c r="E744" s="8">
        <v>7.29</v>
      </c>
      <c r="F744" s="6">
        <v>0.90700000000000003</v>
      </c>
      <c r="G744" t="str">
        <f t="shared" si="33"/>
        <v>Refuse</v>
      </c>
      <c r="H744" t="str" cm="1">
        <f t="array" ref="H744">_xlfn.IFS(E744&gt;=16,"Excellent",E744&gt;=14,"Très bien",E744&gt;=12,"Bien",E744&gt;=10,"Passable",E744&lt;10,"Insuffisant")</f>
        <v>Insuffisant</v>
      </c>
      <c r="I744" t="str">
        <f t="shared" si="34"/>
        <v>A surveiller</v>
      </c>
      <c r="J744" t="str">
        <f t="shared" si="35"/>
        <v>Autre filière</v>
      </c>
    </row>
    <row r="745" spans="1:10">
      <c r="A745" t="s">
        <v>1064</v>
      </c>
      <c r="B745" t="s">
        <v>72</v>
      </c>
      <c r="C745" s="8" t="s">
        <v>34</v>
      </c>
      <c r="D745" s="8">
        <v>10.35</v>
      </c>
      <c r="E745" s="8">
        <v>11.86</v>
      </c>
      <c r="F745" s="6">
        <v>0.87639999999999996</v>
      </c>
      <c r="G745" t="str">
        <f t="shared" si="33"/>
        <v>Admis sous condition</v>
      </c>
      <c r="H745" t="str" cm="1">
        <f t="array" ref="H745">_xlfn.IFS(E745&gt;=16,"Excellent",E745&gt;=14,"Très bien",E745&gt;=12,"Bien",E745&gt;=10,"Passable",E745&lt;10,"Insuffisant")</f>
        <v>Passable</v>
      </c>
      <c r="I745" t="str">
        <f t="shared" si="34"/>
        <v>RAS</v>
      </c>
      <c r="J745" t="str">
        <f t="shared" si="35"/>
        <v>Autre filière</v>
      </c>
    </row>
    <row r="746" spans="1:10">
      <c r="A746" t="s">
        <v>1065</v>
      </c>
      <c r="B746" t="s">
        <v>255</v>
      </c>
      <c r="C746" s="8" t="s">
        <v>34</v>
      </c>
      <c r="D746" s="8">
        <v>12.67</v>
      </c>
      <c r="E746" s="8">
        <v>5.75</v>
      </c>
      <c r="F746" s="6">
        <v>0.78259999999999996</v>
      </c>
      <c r="G746" t="str">
        <f t="shared" si="33"/>
        <v>Refuse</v>
      </c>
      <c r="H746" t="str" cm="1">
        <f t="array" ref="H746">_xlfn.IFS(E746&gt;=16,"Excellent",E746&gt;=14,"Très bien",E746&gt;=12,"Bien",E746&gt;=10,"Passable",E746&lt;10,"Insuffisant")</f>
        <v>Insuffisant</v>
      </c>
      <c r="I746" t="str">
        <f t="shared" si="34"/>
        <v>A surveiller</v>
      </c>
      <c r="J746" t="str">
        <f t="shared" si="35"/>
        <v>Autre filière</v>
      </c>
    </row>
    <row r="747" spans="1:10">
      <c r="A747" t="s">
        <v>1066</v>
      </c>
      <c r="B747" t="s">
        <v>138</v>
      </c>
      <c r="C747" s="8" t="s">
        <v>26</v>
      </c>
      <c r="D747" s="8">
        <v>17.239999999999998</v>
      </c>
      <c r="E747" s="8">
        <v>14.91</v>
      </c>
      <c r="F747" s="6">
        <v>0.62980000000000003</v>
      </c>
      <c r="G747" t="str">
        <f t="shared" si="33"/>
        <v>Admis sous condition</v>
      </c>
      <c r="H747" t="str" cm="1">
        <f t="array" ref="H747">_xlfn.IFS(E747&gt;=16,"Excellent",E747&gt;=14,"Très bien",E747&gt;=12,"Bien",E747&gt;=10,"Passable",E747&lt;10,"Insuffisant")</f>
        <v>Très bien</v>
      </c>
      <c r="I747" t="str">
        <f t="shared" si="34"/>
        <v>A surveiller</v>
      </c>
      <c r="J747" t="str">
        <f t="shared" si="35"/>
        <v>Autre filière</v>
      </c>
    </row>
    <row r="748" spans="1:10">
      <c r="A748" t="s">
        <v>1067</v>
      </c>
      <c r="B748" t="s">
        <v>476</v>
      </c>
      <c r="C748" s="8" t="s">
        <v>21</v>
      </c>
      <c r="D748" s="8">
        <v>16.05</v>
      </c>
      <c r="E748" s="8">
        <v>12.46</v>
      </c>
      <c r="F748" s="6">
        <v>0.95550000000000002</v>
      </c>
      <c r="G748" t="str">
        <f t="shared" si="33"/>
        <v>Admis</v>
      </c>
      <c r="H748" t="str" cm="1">
        <f t="array" ref="H748">_xlfn.IFS(E748&gt;=16,"Excellent",E748&gt;=14,"Très bien",E748&gt;=12,"Bien",E748&gt;=10,"Passable",E748&lt;10,"Insuffisant")</f>
        <v>Bien</v>
      </c>
      <c r="I748" t="str">
        <f t="shared" si="34"/>
        <v>RAS</v>
      </c>
      <c r="J748" t="str">
        <f t="shared" si="35"/>
        <v>Data</v>
      </c>
    </row>
    <row r="749" spans="1:10">
      <c r="A749" t="s">
        <v>1068</v>
      </c>
      <c r="B749" t="s">
        <v>606</v>
      </c>
      <c r="C749" s="8" t="s">
        <v>21</v>
      </c>
      <c r="D749" s="8">
        <v>12.41</v>
      </c>
      <c r="E749" s="8">
        <v>12.65</v>
      </c>
      <c r="F749" s="6">
        <v>0.79549999999999998</v>
      </c>
      <c r="G749" t="str">
        <f t="shared" si="33"/>
        <v>Admis sous condition</v>
      </c>
      <c r="H749" t="str" cm="1">
        <f t="array" ref="H749">_xlfn.IFS(E749&gt;=16,"Excellent",E749&gt;=14,"Très bien",E749&gt;=12,"Bien",E749&gt;=10,"Passable",E749&lt;10,"Insuffisant")</f>
        <v>Bien</v>
      </c>
      <c r="I749" t="str">
        <f t="shared" si="34"/>
        <v>RAS</v>
      </c>
      <c r="J749" t="str">
        <f t="shared" si="35"/>
        <v>Data</v>
      </c>
    </row>
    <row r="750" spans="1:10">
      <c r="A750" t="s">
        <v>1069</v>
      </c>
      <c r="B750" t="s">
        <v>493</v>
      </c>
      <c r="C750" s="8" t="s">
        <v>47</v>
      </c>
      <c r="D750" s="8">
        <v>17.93</v>
      </c>
      <c r="E750" s="8">
        <v>13.81</v>
      </c>
      <c r="F750" s="6">
        <v>0.93710000000000004</v>
      </c>
      <c r="G750" t="str">
        <f t="shared" si="33"/>
        <v>Admis</v>
      </c>
      <c r="H750" t="str" cm="1">
        <f t="array" ref="H750">_xlfn.IFS(E750&gt;=16,"Excellent",E750&gt;=14,"Très bien",E750&gt;=12,"Bien",E750&gt;=10,"Passable",E750&lt;10,"Insuffisant")</f>
        <v>Bien</v>
      </c>
      <c r="I750" t="str">
        <f t="shared" si="34"/>
        <v>RAS</v>
      </c>
      <c r="J750" t="str">
        <f t="shared" si="35"/>
        <v>Autre filière</v>
      </c>
    </row>
    <row r="751" spans="1:10">
      <c r="A751" t="s">
        <v>1070</v>
      </c>
      <c r="B751" t="s">
        <v>116</v>
      </c>
      <c r="C751" s="8" t="s">
        <v>26</v>
      </c>
      <c r="D751" s="8">
        <v>10.130000000000001</v>
      </c>
      <c r="E751" s="8">
        <v>10.06</v>
      </c>
      <c r="F751" s="6">
        <v>0.90339999999999998</v>
      </c>
      <c r="G751" t="str">
        <f t="shared" si="33"/>
        <v>Admis sous condition</v>
      </c>
      <c r="H751" t="str" cm="1">
        <f t="array" ref="H751">_xlfn.IFS(E751&gt;=16,"Excellent",E751&gt;=14,"Très bien",E751&gt;=12,"Bien",E751&gt;=10,"Passable",E751&lt;10,"Insuffisant")</f>
        <v>Passable</v>
      </c>
      <c r="I751" t="str">
        <f t="shared" si="34"/>
        <v>RAS</v>
      </c>
      <c r="J751" t="str">
        <f t="shared" si="35"/>
        <v>Autre filière</v>
      </c>
    </row>
    <row r="752" spans="1:10">
      <c r="A752" t="s">
        <v>1071</v>
      </c>
      <c r="B752" t="s">
        <v>723</v>
      </c>
      <c r="C752" s="8" t="s">
        <v>21</v>
      </c>
      <c r="D752" s="8">
        <v>6.39</v>
      </c>
      <c r="E752" s="8">
        <v>11.84</v>
      </c>
      <c r="F752" s="6">
        <v>0.76139999999999997</v>
      </c>
      <c r="G752" t="str">
        <f t="shared" si="33"/>
        <v>Refuse</v>
      </c>
      <c r="H752" t="str" cm="1">
        <f t="array" ref="H752">_xlfn.IFS(E752&gt;=16,"Excellent",E752&gt;=14,"Très bien",E752&gt;=12,"Bien",E752&gt;=10,"Passable",E752&lt;10,"Insuffisant")</f>
        <v>Passable</v>
      </c>
      <c r="I752" t="str">
        <f t="shared" si="34"/>
        <v>A surveiller</v>
      </c>
      <c r="J752" t="str">
        <f t="shared" si="35"/>
        <v>Data</v>
      </c>
    </row>
    <row r="753" spans="1:10">
      <c r="A753" t="s">
        <v>1072</v>
      </c>
      <c r="B753" t="s">
        <v>1073</v>
      </c>
      <c r="C753" s="8" t="s">
        <v>26</v>
      </c>
      <c r="D753" s="8">
        <v>14.22</v>
      </c>
      <c r="E753" s="8">
        <v>16.53</v>
      </c>
      <c r="F753" s="6">
        <v>0.95430000000000004</v>
      </c>
      <c r="G753" t="str">
        <f t="shared" si="33"/>
        <v>Admis</v>
      </c>
      <c r="H753" t="str" cm="1">
        <f t="array" ref="H753">_xlfn.IFS(E753&gt;=16,"Excellent",E753&gt;=14,"Très bien",E753&gt;=12,"Bien",E753&gt;=10,"Passable",E753&lt;10,"Insuffisant")</f>
        <v>Excellent</v>
      </c>
      <c r="I753" t="str">
        <f t="shared" si="34"/>
        <v>RAS</v>
      </c>
      <c r="J753" t="str">
        <f t="shared" si="35"/>
        <v>Autre filière</v>
      </c>
    </row>
    <row r="754" spans="1:10">
      <c r="A754" t="s">
        <v>1074</v>
      </c>
      <c r="B754" t="s">
        <v>160</v>
      </c>
      <c r="C754" s="8" t="s">
        <v>26</v>
      </c>
      <c r="D754" s="8">
        <v>10.98</v>
      </c>
      <c r="E754" s="8">
        <v>7.35</v>
      </c>
      <c r="F754" s="6">
        <v>0.55000000000000004</v>
      </c>
      <c r="G754" t="str">
        <f t="shared" si="33"/>
        <v>Refuse</v>
      </c>
      <c r="H754" t="str" cm="1">
        <f t="array" ref="H754">_xlfn.IFS(E754&gt;=16,"Excellent",E754&gt;=14,"Très bien",E754&gt;=12,"Bien",E754&gt;=10,"Passable",E754&lt;10,"Insuffisant")</f>
        <v>Insuffisant</v>
      </c>
      <c r="I754" t="str">
        <f t="shared" si="34"/>
        <v>A surveiller</v>
      </c>
      <c r="J754" t="str">
        <f t="shared" si="35"/>
        <v>Autre filière</v>
      </c>
    </row>
    <row r="755" spans="1:10">
      <c r="A755" t="s">
        <v>1075</v>
      </c>
      <c r="B755" t="s">
        <v>540</v>
      </c>
      <c r="C755" s="8" t="s">
        <v>26</v>
      </c>
      <c r="D755" s="8">
        <v>16.77</v>
      </c>
      <c r="E755" s="8">
        <v>13.01</v>
      </c>
      <c r="F755" s="6">
        <v>0.89139999999999997</v>
      </c>
      <c r="G755" t="str">
        <f t="shared" si="33"/>
        <v>Admis</v>
      </c>
      <c r="H755" t="str" cm="1">
        <f t="array" ref="H755">_xlfn.IFS(E755&gt;=16,"Excellent",E755&gt;=14,"Très bien",E755&gt;=12,"Bien",E755&gt;=10,"Passable",E755&lt;10,"Insuffisant")</f>
        <v>Bien</v>
      </c>
      <c r="I755" t="str">
        <f t="shared" si="34"/>
        <v>RAS</v>
      </c>
      <c r="J755" t="str">
        <f t="shared" si="35"/>
        <v>Autre filière</v>
      </c>
    </row>
    <row r="756" spans="1:10">
      <c r="A756" t="s">
        <v>1076</v>
      </c>
      <c r="B756" t="s">
        <v>267</v>
      </c>
      <c r="C756" s="8" t="s">
        <v>34</v>
      </c>
      <c r="D756" s="8">
        <v>10.19</v>
      </c>
      <c r="E756" s="8">
        <v>14.17</v>
      </c>
      <c r="F756" s="6">
        <v>0.88549999999999995</v>
      </c>
      <c r="G756" t="str">
        <f t="shared" si="33"/>
        <v>Admis sous condition</v>
      </c>
      <c r="H756" t="str" cm="1">
        <f t="array" ref="H756">_xlfn.IFS(E756&gt;=16,"Excellent",E756&gt;=14,"Très bien",E756&gt;=12,"Bien",E756&gt;=10,"Passable",E756&lt;10,"Insuffisant")</f>
        <v>Très bien</v>
      </c>
      <c r="I756" t="str">
        <f t="shared" si="34"/>
        <v>RAS</v>
      </c>
      <c r="J756" t="str">
        <f t="shared" si="35"/>
        <v>Autre filière</v>
      </c>
    </row>
    <row r="757" spans="1:10">
      <c r="A757" t="s">
        <v>1077</v>
      </c>
      <c r="B757" t="s">
        <v>599</v>
      </c>
      <c r="C757" s="8" t="s">
        <v>34</v>
      </c>
      <c r="D757" s="8">
        <v>14.55</v>
      </c>
      <c r="E757" s="8">
        <v>10.43</v>
      </c>
      <c r="F757" s="6">
        <v>0.8679</v>
      </c>
      <c r="G757" t="str">
        <f t="shared" si="33"/>
        <v>Admis sous condition</v>
      </c>
      <c r="H757" t="str" cm="1">
        <f t="array" ref="H757">_xlfn.IFS(E757&gt;=16,"Excellent",E757&gt;=14,"Très bien",E757&gt;=12,"Bien",E757&gt;=10,"Passable",E757&lt;10,"Insuffisant")</f>
        <v>Passable</v>
      </c>
      <c r="I757" t="str">
        <f t="shared" si="34"/>
        <v>RAS</v>
      </c>
      <c r="J757" t="str">
        <f t="shared" si="35"/>
        <v>Autre filière</v>
      </c>
    </row>
    <row r="758" spans="1:10">
      <c r="A758" t="s">
        <v>1078</v>
      </c>
      <c r="B758" t="s">
        <v>300</v>
      </c>
      <c r="C758" s="8" t="s">
        <v>47</v>
      </c>
      <c r="D758" s="8">
        <v>19.72</v>
      </c>
      <c r="E758" s="8">
        <v>18.78</v>
      </c>
      <c r="F758" s="6">
        <v>0.72019999999999995</v>
      </c>
      <c r="G758" t="str">
        <f t="shared" si="33"/>
        <v>Admis sous condition</v>
      </c>
      <c r="H758" t="str" cm="1">
        <f t="array" ref="H758">_xlfn.IFS(E758&gt;=16,"Excellent",E758&gt;=14,"Très bien",E758&gt;=12,"Bien",E758&gt;=10,"Passable",E758&lt;10,"Insuffisant")</f>
        <v>Excellent</v>
      </c>
      <c r="I758" t="str">
        <f t="shared" si="34"/>
        <v>RAS</v>
      </c>
      <c r="J758" t="str">
        <f t="shared" si="35"/>
        <v>Autre filière</v>
      </c>
    </row>
    <row r="759" spans="1:10">
      <c r="A759" t="s">
        <v>1079</v>
      </c>
      <c r="B759" t="s">
        <v>1080</v>
      </c>
      <c r="C759" s="8" t="s">
        <v>21</v>
      </c>
      <c r="D759" s="8">
        <v>18.41</v>
      </c>
      <c r="E759" s="8">
        <v>15.98</v>
      </c>
      <c r="F759" s="6">
        <v>0.83409999999999995</v>
      </c>
      <c r="G759" t="str">
        <f t="shared" si="33"/>
        <v>Admis</v>
      </c>
      <c r="H759" t="str" cm="1">
        <f t="array" ref="H759">_xlfn.IFS(E759&gt;=16,"Excellent",E759&gt;=14,"Très bien",E759&gt;=12,"Bien",E759&gt;=10,"Passable",E759&lt;10,"Insuffisant")</f>
        <v>Très bien</v>
      </c>
      <c r="I759" t="str">
        <f t="shared" si="34"/>
        <v>RAS</v>
      </c>
      <c r="J759" t="str">
        <f t="shared" si="35"/>
        <v>Data</v>
      </c>
    </row>
    <row r="760" spans="1:10">
      <c r="A760" t="s">
        <v>1081</v>
      </c>
      <c r="B760" t="s">
        <v>938</v>
      </c>
      <c r="C760" s="8" t="s">
        <v>26</v>
      </c>
      <c r="D760" s="8">
        <v>11.71</v>
      </c>
      <c r="E760" s="8">
        <v>15.18</v>
      </c>
      <c r="F760" s="6">
        <v>0.6169</v>
      </c>
      <c r="G760" t="str">
        <f t="shared" si="33"/>
        <v>Admis sous condition</v>
      </c>
      <c r="H760" t="str" cm="1">
        <f t="array" ref="H760">_xlfn.IFS(E760&gt;=16,"Excellent",E760&gt;=14,"Très bien",E760&gt;=12,"Bien",E760&gt;=10,"Passable",E760&lt;10,"Insuffisant")</f>
        <v>Très bien</v>
      </c>
      <c r="I760" t="str">
        <f t="shared" si="34"/>
        <v>A surveiller</v>
      </c>
      <c r="J760" t="str">
        <f t="shared" si="35"/>
        <v>Autre filière</v>
      </c>
    </row>
    <row r="761" spans="1:10">
      <c r="A761" t="s">
        <v>1082</v>
      </c>
      <c r="B761" t="s">
        <v>58</v>
      </c>
      <c r="C761" s="8" t="s">
        <v>47</v>
      </c>
      <c r="D761" s="8">
        <v>8.4600000000000009</v>
      </c>
      <c r="E761" s="8">
        <v>14.97</v>
      </c>
      <c r="F761" s="6">
        <v>0.94889999999999997</v>
      </c>
      <c r="G761" t="str">
        <f t="shared" si="33"/>
        <v>Refuse</v>
      </c>
      <c r="H761" t="str" cm="1">
        <f t="array" ref="H761">_xlfn.IFS(E761&gt;=16,"Excellent",E761&gt;=14,"Très bien",E761&gt;=12,"Bien",E761&gt;=10,"Passable",E761&lt;10,"Insuffisant")</f>
        <v>Très bien</v>
      </c>
      <c r="I761" t="str">
        <f t="shared" si="34"/>
        <v>A surveiller</v>
      </c>
      <c r="J761" t="str">
        <f t="shared" si="35"/>
        <v>Autre filière</v>
      </c>
    </row>
    <row r="762" spans="1:10">
      <c r="A762" t="s">
        <v>1083</v>
      </c>
      <c r="B762" t="s">
        <v>1035</v>
      </c>
      <c r="C762" s="8" t="s">
        <v>34</v>
      </c>
      <c r="D762" s="8">
        <v>15.57</v>
      </c>
      <c r="E762" s="8">
        <v>13.49</v>
      </c>
      <c r="F762" s="6">
        <v>0.99560000000000004</v>
      </c>
      <c r="G762" t="str">
        <f t="shared" si="33"/>
        <v>Admis</v>
      </c>
      <c r="H762" t="str" cm="1">
        <f t="array" ref="H762">_xlfn.IFS(E762&gt;=16,"Excellent",E762&gt;=14,"Très bien",E762&gt;=12,"Bien",E762&gt;=10,"Passable",E762&lt;10,"Insuffisant")</f>
        <v>Bien</v>
      </c>
      <c r="I762" t="str">
        <f t="shared" si="34"/>
        <v>RAS</v>
      </c>
      <c r="J762" t="str">
        <f t="shared" si="35"/>
        <v>Autre filière</v>
      </c>
    </row>
    <row r="763" spans="1:10">
      <c r="A763" t="s">
        <v>1084</v>
      </c>
      <c r="B763" t="s">
        <v>549</v>
      </c>
      <c r="C763" s="8" t="s">
        <v>47</v>
      </c>
      <c r="D763" s="8">
        <v>13.93</v>
      </c>
      <c r="E763" s="8">
        <v>10.56</v>
      </c>
      <c r="F763" s="6">
        <v>0.80189999999999995</v>
      </c>
      <c r="G763" t="str">
        <f t="shared" si="33"/>
        <v>Admis sous condition</v>
      </c>
      <c r="H763" t="str" cm="1">
        <f t="array" ref="H763">_xlfn.IFS(E763&gt;=16,"Excellent",E763&gt;=14,"Très bien",E763&gt;=12,"Bien",E763&gt;=10,"Passable",E763&lt;10,"Insuffisant")</f>
        <v>Passable</v>
      </c>
      <c r="I763" t="str">
        <f t="shared" si="34"/>
        <v>RAS</v>
      </c>
      <c r="J763" t="str">
        <f t="shared" si="35"/>
        <v>Autre filière</v>
      </c>
    </row>
    <row r="764" spans="1:10">
      <c r="A764" t="s">
        <v>1085</v>
      </c>
      <c r="B764" t="s">
        <v>343</v>
      </c>
      <c r="C764" s="8" t="s">
        <v>47</v>
      </c>
      <c r="D764" s="8">
        <v>12.23</v>
      </c>
      <c r="E764" s="8">
        <v>10.76</v>
      </c>
      <c r="F764" s="6">
        <v>0.83889999999999998</v>
      </c>
      <c r="G764" t="str">
        <f t="shared" si="33"/>
        <v>Admis sous condition</v>
      </c>
      <c r="H764" t="str" cm="1">
        <f t="array" ref="H764">_xlfn.IFS(E764&gt;=16,"Excellent",E764&gt;=14,"Très bien",E764&gt;=12,"Bien",E764&gt;=10,"Passable",E764&lt;10,"Insuffisant")</f>
        <v>Passable</v>
      </c>
      <c r="I764" t="str">
        <f t="shared" si="34"/>
        <v>RAS</v>
      </c>
      <c r="J764" t="str">
        <f t="shared" si="35"/>
        <v>Autre filière</v>
      </c>
    </row>
    <row r="765" spans="1:10">
      <c r="A765" t="s">
        <v>1086</v>
      </c>
      <c r="B765" t="s">
        <v>122</v>
      </c>
      <c r="C765" s="8" t="s">
        <v>47</v>
      </c>
      <c r="D765" s="8">
        <v>11.88</v>
      </c>
      <c r="E765" s="8">
        <v>12.57</v>
      </c>
      <c r="F765" s="6">
        <v>0.92620000000000002</v>
      </c>
      <c r="G765" t="str">
        <f t="shared" si="33"/>
        <v>Admis sous condition</v>
      </c>
      <c r="H765" t="str" cm="1">
        <f t="array" ref="H765">_xlfn.IFS(E765&gt;=16,"Excellent",E765&gt;=14,"Très bien",E765&gt;=12,"Bien",E765&gt;=10,"Passable",E765&lt;10,"Insuffisant")</f>
        <v>Bien</v>
      </c>
      <c r="I765" t="str">
        <f t="shared" si="34"/>
        <v>RAS</v>
      </c>
      <c r="J765" t="str">
        <f t="shared" si="35"/>
        <v>Autre filière</v>
      </c>
    </row>
    <row r="766" spans="1:10">
      <c r="A766" t="s">
        <v>1087</v>
      </c>
      <c r="B766" t="s">
        <v>631</v>
      </c>
      <c r="C766" s="8" t="s">
        <v>26</v>
      </c>
      <c r="D766" s="8">
        <v>11.99</v>
      </c>
      <c r="E766" s="8">
        <v>13.02</v>
      </c>
      <c r="F766" s="6">
        <v>0.90510000000000002</v>
      </c>
      <c r="G766" t="str">
        <f t="shared" si="33"/>
        <v>Admis sous condition</v>
      </c>
      <c r="H766" t="str" cm="1">
        <f t="array" ref="H766">_xlfn.IFS(E766&gt;=16,"Excellent",E766&gt;=14,"Très bien",E766&gt;=12,"Bien",E766&gt;=10,"Passable",E766&lt;10,"Insuffisant")</f>
        <v>Bien</v>
      </c>
      <c r="I766" t="str">
        <f t="shared" si="34"/>
        <v>RAS</v>
      </c>
      <c r="J766" t="str">
        <f t="shared" si="35"/>
        <v>Autre filière</v>
      </c>
    </row>
    <row r="767" spans="1:10">
      <c r="A767" t="s">
        <v>1088</v>
      </c>
      <c r="B767" t="s">
        <v>760</v>
      </c>
      <c r="C767" s="8" t="s">
        <v>26</v>
      </c>
      <c r="D767" s="8">
        <v>11.34</v>
      </c>
      <c r="E767" s="8">
        <v>9.31</v>
      </c>
      <c r="F767" s="6">
        <v>0.55000000000000004</v>
      </c>
      <c r="G767" t="str">
        <f t="shared" si="33"/>
        <v>Refuse</v>
      </c>
      <c r="H767" t="str" cm="1">
        <f t="array" ref="H767">_xlfn.IFS(E767&gt;=16,"Excellent",E767&gt;=14,"Très bien",E767&gt;=12,"Bien",E767&gt;=10,"Passable",E767&lt;10,"Insuffisant")</f>
        <v>Insuffisant</v>
      </c>
      <c r="I767" t="str">
        <f t="shared" si="34"/>
        <v>A surveiller</v>
      </c>
      <c r="J767" t="str">
        <f t="shared" si="35"/>
        <v>Autre filière</v>
      </c>
    </row>
    <row r="768" spans="1:10">
      <c r="A768" t="s">
        <v>1089</v>
      </c>
      <c r="B768" t="s">
        <v>948</v>
      </c>
      <c r="C768" s="8" t="s">
        <v>26</v>
      </c>
      <c r="D768" s="8">
        <v>6.64</v>
      </c>
      <c r="E768" s="8">
        <v>11.47</v>
      </c>
      <c r="F768" s="6">
        <v>0.80379999999999996</v>
      </c>
      <c r="G768" t="str">
        <f t="shared" si="33"/>
        <v>Refuse</v>
      </c>
      <c r="H768" t="str" cm="1">
        <f t="array" ref="H768">_xlfn.IFS(E768&gt;=16,"Excellent",E768&gt;=14,"Très bien",E768&gt;=12,"Bien",E768&gt;=10,"Passable",E768&lt;10,"Insuffisant")</f>
        <v>Passable</v>
      </c>
      <c r="I768" t="str">
        <f t="shared" si="34"/>
        <v>A surveiller</v>
      </c>
      <c r="J768" t="str">
        <f t="shared" si="35"/>
        <v>Autre filière</v>
      </c>
    </row>
    <row r="769" spans="1:10">
      <c r="A769" t="s">
        <v>1090</v>
      </c>
      <c r="B769" t="s">
        <v>1049</v>
      </c>
      <c r="C769" s="8" t="s">
        <v>47</v>
      </c>
      <c r="D769" s="8">
        <v>8.75</v>
      </c>
      <c r="E769" s="8">
        <v>9.86</v>
      </c>
      <c r="F769" s="6">
        <v>0.85829999999999995</v>
      </c>
      <c r="G769" t="str">
        <f t="shared" si="33"/>
        <v>Refuse</v>
      </c>
      <c r="H769" t="str" cm="1">
        <f t="array" ref="H769">_xlfn.IFS(E769&gt;=16,"Excellent",E769&gt;=14,"Très bien",E769&gt;=12,"Bien",E769&gt;=10,"Passable",E769&lt;10,"Insuffisant")</f>
        <v>Insuffisant</v>
      </c>
      <c r="I769" t="str">
        <f t="shared" si="34"/>
        <v>A surveiller</v>
      </c>
      <c r="J769" t="str">
        <f t="shared" si="35"/>
        <v>Autre filière</v>
      </c>
    </row>
    <row r="770" spans="1:10">
      <c r="A770" t="s">
        <v>1091</v>
      </c>
      <c r="B770" t="s">
        <v>82</v>
      </c>
      <c r="C770" s="8" t="s">
        <v>47</v>
      </c>
      <c r="D770" s="8">
        <v>15.63</v>
      </c>
      <c r="E770" s="8">
        <v>19.55</v>
      </c>
      <c r="F770" s="6">
        <v>0.71250000000000002</v>
      </c>
      <c r="G770" t="str">
        <f t="shared" si="33"/>
        <v>Admis sous condition</v>
      </c>
      <c r="H770" t="str" cm="1">
        <f t="array" ref="H770">_xlfn.IFS(E770&gt;=16,"Excellent",E770&gt;=14,"Très bien",E770&gt;=12,"Bien",E770&gt;=10,"Passable",E770&lt;10,"Insuffisant")</f>
        <v>Excellent</v>
      </c>
      <c r="I770" t="str">
        <f t="shared" si="34"/>
        <v>RAS</v>
      </c>
      <c r="J770" t="str">
        <f t="shared" si="35"/>
        <v>Autre filière</v>
      </c>
    </row>
    <row r="771" spans="1:10">
      <c r="A771" t="s">
        <v>1092</v>
      </c>
      <c r="B771" t="s">
        <v>1093</v>
      </c>
      <c r="C771" s="8" t="s">
        <v>34</v>
      </c>
      <c r="D771" s="8">
        <v>8.36</v>
      </c>
      <c r="E771" s="8">
        <v>13.87</v>
      </c>
      <c r="F771" s="6">
        <v>0.84809999999999997</v>
      </c>
      <c r="G771" t="str">
        <f t="shared" ref="G771:G834" si="36">IF(AND(D771&gt;=12,E771&gt;=12,F771&gt;=80%),"Admis",IF(AND(D771&gt;=10,E771&gt;=10),"Admis sous condition","Refuse"))</f>
        <v>Refuse</v>
      </c>
      <c r="H771" t="str" cm="1">
        <f t="array" ref="H771">_xlfn.IFS(E771&gt;=16,"Excellent",E771&gt;=14,"Très bien",E771&gt;=12,"Bien",E771&gt;=10,"Passable",E771&lt;10,"Insuffisant")</f>
        <v>Bien</v>
      </c>
      <c r="I771" t="str">
        <f t="shared" ref="I771:I834" si="37">IF(OR(D771&lt;10,E771&lt;10,F771&lt;70%),"A surveiller","RAS")</f>
        <v>A surveiller</v>
      </c>
      <c r="J771" t="str">
        <f t="shared" ref="J771:J834" si="38">IF(NOT(C771="Data"),"Autre filière","Data")</f>
        <v>Autre filière</v>
      </c>
    </row>
    <row r="772" spans="1:10">
      <c r="A772" t="s">
        <v>1094</v>
      </c>
      <c r="B772" t="s">
        <v>145</v>
      </c>
      <c r="C772" s="8" t="s">
        <v>21</v>
      </c>
      <c r="D772" s="8">
        <v>15.4</v>
      </c>
      <c r="E772" s="8">
        <v>12.62</v>
      </c>
      <c r="F772" s="6">
        <v>0.74060000000000004</v>
      </c>
      <c r="G772" t="str">
        <f t="shared" si="36"/>
        <v>Admis sous condition</v>
      </c>
      <c r="H772" t="str" cm="1">
        <f t="array" ref="H772">_xlfn.IFS(E772&gt;=16,"Excellent",E772&gt;=14,"Très bien",E772&gt;=12,"Bien",E772&gt;=10,"Passable",E772&lt;10,"Insuffisant")</f>
        <v>Bien</v>
      </c>
      <c r="I772" t="str">
        <f t="shared" si="37"/>
        <v>RAS</v>
      </c>
      <c r="J772" t="str">
        <f t="shared" si="38"/>
        <v>Data</v>
      </c>
    </row>
    <row r="773" spans="1:10">
      <c r="A773" t="s">
        <v>1095</v>
      </c>
      <c r="B773" t="s">
        <v>300</v>
      </c>
      <c r="C773" s="8" t="s">
        <v>34</v>
      </c>
      <c r="D773" s="8">
        <v>11.85</v>
      </c>
      <c r="E773" s="8">
        <v>12.37</v>
      </c>
      <c r="F773" s="6">
        <v>0.82869999999999999</v>
      </c>
      <c r="G773" t="str">
        <f t="shared" si="36"/>
        <v>Admis sous condition</v>
      </c>
      <c r="H773" t="str" cm="1">
        <f t="array" ref="H773">_xlfn.IFS(E773&gt;=16,"Excellent",E773&gt;=14,"Très bien",E773&gt;=12,"Bien",E773&gt;=10,"Passable",E773&lt;10,"Insuffisant")</f>
        <v>Bien</v>
      </c>
      <c r="I773" t="str">
        <f t="shared" si="37"/>
        <v>RAS</v>
      </c>
      <c r="J773" t="str">
        <f t="shared" si="38"/>
        <v>Autre filière</v>
      </c>
    </row>
    <row r="774" spans="1:10">
      <c r="A774" t="s">
        <v>1096</v>
      </c>
      <c r="B774" t="s">
        <v>1097</v>
      </c>
      <c r="C774" s="8" t="s">
        <v>26</v>
      </c>
      <c r="D774" s="8">
        <v>14.4</v>
      </c>
      <c r="E774" s="8">
        <v>11.3</v>
      </c>
      <c r="F774" s="6">
        <v>0.67949999999999999</v>
      </c>
      <c r="G774" t="str">
        <f t="shared" si="36"/>
        <v>Admis sous condition</v>
      </c>
      <c r="H774" t="str" cm="1">
        <f t="array" ref="H774">_xlfn.IFS(E774&gt;=16,"Excellent",E774&gt;=14,"Très bien",E774&gt;=12,"Bien",E774&gt;=10,"Passable",E774&lt;10,"Insuffisant")</f>
        <v>Passable</v>
      </c>
      <c r="I774" t="str">
        <f t="shared" si="37"/>
        <v>A surveiller</v>
      </c>
      <c r="J774" t="str">
        <f t="shared" si="38"/>
        <v>Autre filière</v>
      </c>
    </row>
    <row r="775" spans="1:10">
      <c r="A775" t="s">
        <v>1098</v>
      </c>
      <c r="B775" t="s">
        <v>819</v>
      </c>
      <c r="C775" s="8" t="s">
        <v>21</v>
      </c>
      <c r="D775" s="8">
        <v>10.78</v>
      </c>
      <c r="E775" s="8">
        <v>13.98</v>
      </c>
      <c r="F775" s="6">
        <v>0.5958</v>
      </c>
      <c r="G775" t="str">
        <f t="shared" si="36"/>
        <v>Admis sous condition</v>
      </c>
      <c r="H775" t="str" cm="1">
        <f t="array" ref="H775">_xlfn.IFS(E775&gt;=16,"Excellent",E775&gt;=14,"Très bien",E775&gt;=12,"Bien",E775&gt;=10,"Passable",E775&lt;10,"Insuffisant")</f>
        <v>Bien</v>
      </c>
      <c r="I775" t="str">
        <f t="shared" si="37"/>
        <v>A surveiller</v>
      </c>
      <c r="J775" t="str">
        <f t="shared" si="38"/>
        <v>Data</v>
      </c>
    </row>
    <row r="776" spans="1:10">
      <c r="A776" t="s">
        <v>1099</v>
      </c>
      <c r="B776" t="s">
        <v>212</v>
      </c>
      <c r="C776" s="8" t="s">
        <v>47</v>
      </c>
      <c r="D776" s="8">
        <v>17.37</v>
      </c>
      <c r="E776" s="8">
        <v>16.739999999999998</v>
      </c>
      <c r="F776" s="6">
        <v>0.87680000000000002</v>
      </c>
      <c r="G776" t="str">
        <f t="shared" si="36"/>
        <v>Admis</v>
      </c>
      <c r="H776" t="str" cm="1">
        <f t="array" ref="H776">_xlfn.IFS(E776&gt;=16,"Excellent",E776&gt;=14,"Très bien",E776&gt;=12,"Bien",E776&gt;=10,"Passable",E776&lt;10,"Insuffisant")</f>
        <v>Excellent</v>
      </c>
      <c r="I776" t="str">
        <f t="shared" si="37"/>
        <v>RAS</v>
      </c>
      <c r="J776" t="str">
        <f t="shared" si="38"/>
        <v>Autre filière</v>
      </c>
    </row>
    <row r="777" spans="1:10">
      <c r="A777" t="s">
        <v>1100</v>
      </c>
      <c r="B777" t="s">
        <v>852</v>
      </c>
      <c r="C777" s="8" t="s">
        <v>21</v>
      </c>
      <c r="D777" s="8">
        <v>15.71</v>
      </c>
      <c r="E777" s="8">
        <v>12.73</v>
      </c>
      <c r="F777" s="6">
        <v>0.84550000000000003</v>
      </c>
      <c r="G777" t="str">
        <f t="shared" si="36"/>
        <v>Admis</v>
      </c>
      <c r="H777" t="str" cm="1">
        <f t="array" ref="H777">_xlfn.IFS(E777&gt;=16,"Excellent",E777&gt;=14,"Très bien",E777&gt;=12,"Bien",E777&gt;=10,"Passable",E777&lt;10,"Insuffisant")</f>
        <v>Bien</v>
      </c>
      <c r="I777" t="str">
        <f t="shared" si="37"/>
        <v>RAS</v>
      </c>
      <c r="J777" t="str">
        <f t="shared" si="38"/>
        <v>Data</v>
      </c>
    </row>
    <row r="778" spans="1:10">
      <c r="A778" t="s">
        <v>1101</v>
      </c>
      <c r="B778" t="s">
        <v>287</v>
      </c>
      <c r="C778" s="8" t="s">
        <v>34</v>
      </c>
      <c r="D778" s="8">
        <v>11.4</v>
      </c>
      <c r="E778" s="8">
        <v>9.39</v>
      </c>
      <c r="F778" s="6">
        <v>0.81420000000000003</v>
      </c>
      <c r="G778" t="str">
        <f t="shared" si="36"/>
        <v>Refuse</v>
      </c>
      <c r="H778" t="str" cm="1">
        <f t="array" ref="H778">_xlfn.IFS(E778&gt;=16,"Excellent",E778&gt;=14,"Très bien",E778&gt;=12,"Bien",E778&gt;=10,"Passable",E778&lt;10,"Insuffisant")</f>
        <v>Insuffisant</v>
      </c>
      <c r="I778" t="str">
        <f t="shared" si="37"/>
        <v>A surveiller</v>
      </c>
      <c r="J778" t="str">
        <f t="shared" si="38"/>
        <v>Autre filière</v>
      </c>
    </row>
    <row r="779" spans="1:10">
      <c r="A779" t="s">
        <v>1102</v>
      </c>
      <c r="B779" t="s">
        <v>339</v>
      </c>
      <c r="C779" s="8" t="s">
        <v>21</v>
      </c>
      <c r="D779" s="8">
        <v>15.17</v>
      </c>
      <c r="E779" s="8">
        <v>14.55</v>
      </c>
      <c r="F779" s="6">
        <v>0.76249999999999996</v>
      </c>
      <c r="G779" t="str">
        <f t="shared" si="36"/>
        <v>Admis sous condition</v>
      </c>
      <c r="H779" t="str" cm="1">
        <f t="array" ref="H779">_xlfn.IFS(E779&gt;=16,"Excellent",E779&gt;=14,"Très bien",E779&gt;=12,"Bien",E779&gt;=10,"Passable",E779&lt;10,"Insuffisant")</f>
        <v>Très bien</v>
      </c>
      <c r="I779" t="str">
        <f t="shared" si="37"/>
        <v>RAS</v>
      </c>
      <c r="J779" t="str">
        <f t="shared" si="38"/>
        <v>Data</v>
      </c>
    </row>
    <row r="780" spans="1:10">
      <c r="A780" t="s">
        <v>1103</v>
      </c>
      <c r="B780" t="s">
        <v>130</v>
      </c>
      <c r="C780" s="8" t="s">
        <v>47</v>
      </c>
      <c r="D780" s="8">
        <v>13.71</v>
      </c>
      <c r="E780" s="8">
        <v>10.82</v>
      </c>
      <c r="F780" s="6">
        <v>0.82840000000000003</v>
      </c>
      <c r="G780" t="str">
        <f t="shared" si="36"/>
        <v>Admis sous condition</v>
      </c>
      <c r="H780" t="str" cm="1">
        <f t="array" ref="H780">_xlfn.IFS(E780&gt;=16,"Excellent",E780&gt;=14,"Très bien",E780&gt;=12,"Bien",E780&gt;=10,"Passable",E780&lt;10,"Insuffisant")</f>
        <v>Passable</v>
      </c>
      <c r="I780" t="str">
        <f t="shared" si="37"/>
        <v>RAS</v>
      </c>
      <c r="J780" t="str">
        <f t="shared" si="38"/>
        <v>Autre filière</v>
      </c>
    </row>
    <row r="781" spans="1:10">
      <c r="A781" t="s">
        <v>1104</v>
      </c>
      <c r="B781" t="s">
        <v>1105</v>
      </c>
      <c r="C781" s="8" t="s">
        <v>26</v>
      </c>
      <c r="D781" s="8">
        <v>11.9</v>
      </c>
      <c r="E781" s="8">
        <v>14.17</v>
      </c>
      <c r="F781" s="6">
        <v>0.80620000000000003</v>
      </c>
      <c r="G781" t="str">
        <f t="shared" si="36"/>
        <v>Admis sous condition</v>
      </c>
      <c r="H781" t="str" cm="1">
        <f t="array" ref="H781">_xlfn.IFS(E781&gt;=16,"Excellent",E781&gt;=14,"Très bien",E781&gt;=12,"Bien",E781&gt;=10,"Passable",E781&lt;10,"Insuffisant")</f>
        <v>Très bien</v>
      </c>
      <c r="I781" t="str">
        <f t="shared" si="37"/>
        <v>RAS</v>
      </c>
      <c r="J781" t="str">
        <f t="shared" si="38"/>
        <v>Autre filière</v>
      </c>
    </row>
    <row r="782" spans="1:10">
      <c r="A782" t="s">
        <v>1106</v>
      </c>
      <c r="B782" t="s">
        <v>97</v>
      </c>
      <c r="C782" s="8" t="s">
        <v>26</v>
      </c>
      <c r="D782" s="8">
        <v>16.12</v>
      </c>
      <c r="E782" s="8">
        <v>12.85</v>
      </c>
      <c r="F782" s="6">
        <v>0.90510000000000002</v>
      </c>
      <c r="G782" t="str">
        <f t="shared" si="36"/>
        <v>Admis</v>
      </c>
      <c r="H782" t="str" cm="1">
        <f t="array" ref="H782">_xlfn.IFS(E782&gt;=16,"Excellent",E782&gt;=14,"Très bien",E782&gt;=12,"Bien",E782&gt;=10,"Passable",E782&lt;10,"Insuffisant")</f>
        <v>Bien</v>
      </c>
      <c r="I782" t="str">
        <f t="shared" si="37"/>
        <v>RAS</v>
      </c>
      <c r="J782" t="str">
        <f t="shared" si="38"/>
        <v>Autre filière</v>
      </c>
    </row>
    <row r="783" spans="1:10">
      <c r="A783" t="s">
        <v>1107</v>
      </c>
      <c r="B783" t="s">
        <v>666</v>
      </c>
      <c r="C783" s="8" t="s">
        <v>47</v>
      </c>
      <c r="D783" s="8">
        <v>11.05</v>
      </c>
      <c r="E783" s="8">
        <v>16.14</v>
      </c>
      <c r="F783" s="6">
        <v>0.69879999999999998</v>
      </c>
      <c r="G783" t="str">
        <f t="shared" si="36"/>
        <v>Admis sous condition</v>
      </c>
      <c r="H783" t="str" cm="1">
        <f t="array" ref="H783">_xlfn.IFS(E783&gt;=16,"Excellent",E783&gt;=14,"Très bien",E783&gt;=12,"Bien",E783&gt;=10,"Passable",E783&lt;10,"Insuffisant")</f>
        <v>Excellent</v>
      </c>
      <c r="I783" t="str">
        <f t="shared" si="37"/>
        <v>A surveiller</v>
      </c>
      <c r="J783" t="str">
        <f t="shared" si="38"/>
        <v>Autre filière</v>
      </c>
    </row>
    <row r="784" spans="1:10">
      <c r="A784" t="s">
        <v>1108</v>
      </c>
      <c r="B784" t="s">
        <v>82</v>
      </c>
      <c r="C784" s="8" t="s">
        <v>21</v>
      </c>
      <c r="D784" s="8">
        <v>12.01</v>
      </c>
      <c r="E784" s="8">
        <v>13.28</v>
      </c>
      <c r="F784" s="6">
        <v>0.82950000000000002</v>
      </c>
      <c r="G784" t="str">
        <f t="shared" si="36"/>
        <v>Admis</v>
      </c>
      <c r="H784" t="str" cm="1">
        <f t="array" ref="H784">_xlfn.IFS(E784&gt;=16,"Excellent",E784&gt;=14,"Très bien",E784&gt;=12,"Bien",E784&gt;=10,"Passable",E784&lt;10,"Insuffisant")</f>
        <v>Bien</v>
      </c>
      <c r="I784" t="str">
        <f t="shared" si="37"/>
        <v>RAS</v>
      </c>
      <c r="J784" t="str">
        <f t="shared" si="38"/>
        <v>Data</v>
      </c>
    </row>
    <row r="785" spans="1:10">
      <c r="A785" t="s">
        <v>1109</v>
      </c>
      <c r="B785" t="s">
        <v>736</v>
      </c>
      <c r="C785" s="8" t="s">
        <v>47</v>
      </c>
      <c r="D785" s="8">
        <v>11.92</v>
      </c>
      <c r="E785" s="8">
        <v>15.09</v>
      </c>
      <c r="F785" s="6">
        <v>0.80069999999999997</v>
      </c>
      <c r="G785" t="str">
        <f t="shared" si="36"/>
        <v>Admis sous condition</v>
      </c>
      <c r="H785" t="str" cm="1">
        <f t="array" ref="H785">_xlfn.IFS(E785&gt;=16,"Excellent",E785&gt;=14,"Très bien",E785&gt;=12,"Bien",E785&gt;=10,"Passable",E785&lt;10,"Insuffisant")</f>
        <v>Très bien</v>
      </c>
      <c r="I785" t="str">
        <f t="shared" si="37"/>
        <v>RAS</v>
      </c>
      <c r="J785" t="str">
        <f t="shared" si="38"/>
        <v>Autre filière</v>
      </c>
    </row>
    <row r="786" spans="1:10">
      <c r="A786" t="s">
        <v>1110</v>
      </c>
      <c r="B786" t="s">
        <v>296</v>
      </c>
      <c r="C786" s="8" t="s">
        <v>21</v>
      </c>
      <c r="D786" s="8">
        <v>13.36</v>
      </c>
      <c r="E786" s="8">
        <v>9.73</v>
      </c>
      <c r="F786" s="6">
        <v>0.93810000000000004</v>
      </c>
      <c r="G786" t="str">
        <f t="shared" si="36"/>
        <v>Refuse</v>
      </c>
      <c r="H786" t="str" cm="1">
        <f t="array" ref="H786">_xlfn.IFS(E786&gt;=16,"Excellent",E786&gt;=14,"Très bien",E786&gt;=12,"Bien",E786&gt;=10,"Passable",E786&lt;10,"Insuffisant")</f>
        <v>Insuffisant</v>
      </c>
      <c r="I786" t="str">
        <f t="shared" si="37"/>
        <v>A surveiller</v>
      </c>
      <c r="J786" t="str">
        <f t="shared" si="38"/>
        <v>Data</v>
      </c>
    </row>
    <row r="787" spans="1:10">
      <c r="A787" t="s">
        <v>1111</v>
      </c>
      <c r="B787" t="s">
        <v>508</v>
      </c>
      <c r="C787" s="8" t="s">
        <v>34</v>
      </c>
      <c r="D787" s="8">
        <v>12.93</v>
      </c>
      <c r="E787" s="8">
        <v>11.86</v>
      </c>
      <c r="F787" s="6">
        <v>0.91359999999999997</v>
      </c>
      <c r="G787" t="str">
        <f t="shared" si="36"/>
        <v>Admis sous condition</v>
      </c>
      <c r="H787" t="str" cm="1">
        <f t="array" ref="H787">_xlfn.IFS(E787&gt;=16,"Excellent",E787&gt;=14,"Très bien",E787&gt;=12,"Bien",E787&gt;=10,"Passable",E787&lt;10,"Insuffisant")</f>
        <v>Passable</v>
      </c>
      <c r="I787" t="str">
        <f t="shared" si="37"/>
        <v>RAS</v>
      </c>
      <c r="J787" t="str">
        <f t="shared" si="38"/>
        <v>Autre filière</v>
      </c>
    </row>
    <row r="788" spans="1:10">
      <c r="A788" t="s">
        <v>1112</v>
      </c>
      <c r="B788" t="s">
        <v>929</v>
      </c>
      <c r="C788" s="8" t="s">
        <v>47</v>
      </c>
      <c r="D788" s="8">
        <v>12.85</v>
      </c>
      <c r="E788" s="8">
        <v>11.04</v>
      </c>
      <c r="F788" s="6">
        <v>0.88260000000000005</v>
      </c>
      <c r="G788" t="str">
        <f t="shared" si="36"/>
        <v>Admis sous condition</v>
      </c>
      <c r="H788" t="str" cm="1">
        <f t="array" ref="H788">_xlfn.IFS(E788&gt;=16,"Excellent",E788&gt;=14,"Très bien",E788&gt;=12,"Bien",E788&gt;=10,"Passable",E788&lt;10,"Insuffisant")</f>
        <v>Passable</v>
      </c>
      <c r="I788" t="str">
        <f t="shared" si="37"/>
        <v>RAS</v>
      </c>
      <c r="J788" t="str">
        <f t="shared" si="38"/>
        <v>Autre filière</v>
      </c>
    </row>
    <row r="789" spans="1:10">
      <c r="A789" t="s">
        <v>1113</v>
      </c>
      <c r="B789" t="s">
        <v>343</v>
      </c>
      <c r="C789" s="8" t="s">
        <v>47</v>
      </c>
      <c r="D789" s="8">
        <v>15.81</v>
      </c>
      <c r="E789" s="8">
        <v>16.02</v>
      </c>
      <c r="F789" s="6">
        <v>0.81179999999999997</v>
      </c>
      <c r="G789" t="str">
        <f t="shared" si="36"/>
        <v>Admis</v>
      </c>
      <c r="H789" t="str" cm="1">
        <f t="array" ref="H789">_xlfn.IFS(E789&gt;=16,"Excellent",E789&gt;=14,"Très bien",E789&gt;=12,"Bien",E789&gt;=10,"Passable",E789&lt;10,"Insuffisant")</f>
        <v>Excellent</v>
      </c>
      <c r="I789" t="str">
        <f t="shared" si="37"/>
        <v>RAS</v>
      </c>
      <c r="J789" t="str">
        <f t="shared" si="38"/>
        <v>Autre filière</v>
      </c>
    </row>
    <row r="790" spans="1:10">
      <c r="A790" t="s">
        <v>1114</v>
      </c>
      <c r="B790" t="s">
        <v>203</v>
      </c>
      <c r="C790" s="8" t="s">
        <v>21</v>
      </c>
      <c r="D790" s="8">
        <v>13.49</v>
      </c>
      <c r="E790" s="8">
        <v>17.22</v>
      </c>
      <c r="F790" s="6">
        <v>0.55000000000000004</v>
      </c>
      <c r="G790" t="str">
        <f t="shared" si="36"/>
        <v>Admis sous condition</v>
      </c>
      <c r="H790" t="str" cm="1">
        <f t="array" ref="H790">_xlfn.IFS(E790&gt;=16,"Excellent",E790&gt;=14,"Très bien",E790&gt;=12,"Bien",E790&gt;=10,"Passable",E790&lt;10,"Insuffisant")</f>
        <v>Excellent</v>
      </c>
      <c r="I790" t="str">
        <f t="shared" si="37"/>
        <v>A surveiller</v>
      </c>
      <c r="J790" t="str">
        <f t="shared" si="38"/>
        <v>Data</v>
      </c>
    </row>
    <row r="791" spans="1:10">
      <c r="A791" t="s">
        <v>1115</v>
      </c>
      <c r="B791" t="s">
        <v>93</v>
      </c>
      <c r="C791" s="8" t="s">
        <v>26</v>
      </c>
      <c r="D791" s="8">
        <v>19.5</v>
      </c>
      <c r="E791" s="8">
        <v>20</v>
      </c>
      <c r="F791" s="6">
        <v>0.85599999999999998</v>
      </c>
      <c r="G791" t="str">
        <f t="shared" si="36"/>
        <v>Admis</v>
      </c>
      <c r="H791" t="str" cm="1">
        <f t="array" ref="H791">_xlfn.IFS(E791&gt;=16,"Excellent",E791&gt;=14,"Très bien",E791&gt;=12,"Bien",E791&gt;=10,"Passable",E791&lt;10,"Insuffisant")</f>
        <v>Excellent</v>
      </c>
      <c r="I791" t="str">
        <f t="shared" si="37"/>
        <v>RAS</v>
      </c>
      <c r="J791" t="str">
        <f t="shared" si="38"/>
        <v>Autre filière</v>
      </c>
    </row>
    <row r="792" spans="1:10">
      <c r="A792" t="s">
        <v>1116</v>
      </c>
      <c r="B792" t="s">
        <v>294</v>
      </c>
      <c r="C792" s="8" t="s">
        <v>34</v>
      </c>
      <c r="D792" s="8">
        <v>20</v>
      </c>
      <c r="E792" s="8">
        <v>20</v>
      </c>
      <c r="F792" s="6">
        <v>0.96150000000000002</v>
      </c>
      <c r="G792" t="str">
        <f t="shared" si="36"/>
        <v>Admis</v>
      </c>
      <c r="H792" t="str" cm="1">
        <f t="array" ref="H792">_xlfn.IFS(E792&gt;=16,"Excellent",E792&gt;=14,"Très bien",E792&gt;=12,"Bien",E792&gt;=10,"Passable",E792&lt;10,"Insuffisant")</f>
        <v>Excellent</v>
      </c>
      <c r="I792" t="str">
        <f t="shared" si="37"/>
        <v>RAS</v>
      </c>
      <c r="J792" t="str">
        <f t="shared" si="38"/>
        <v>Autre filière</v>
      </c>
    </row>
    <row r="793" spans="1:10">
      <c r="A793" t="s">
        <v>1117</v>
      </c>
      <c r="B793" t="s">
        <v>1118</v>
      </c>
      <c r="C793" s="8" t="s">
        <v>26</v>
      </c>
      <c r="D793" s="8">
        <v>9.3800000000000008</v>
      </c>
      <c r="E793" s="8">
        <v>9.92</v>
      </c>
      <c r="F793" s="6">
        <v>0.71220000000000006</v>
      </c>
      <c r="G793" t="str">
        <f t="shared" si="36"/>
        <v>Refuse</v>
      </c>
      <c r="H793" t="str" cm="1">
        <f t="array" ref="H793">_xlfn.IFS(E793&gt;=16,"Excellent",E793&gt;=14,"Très bien",E793&gt;=12,"Bien",E793&gt;=10,"Passable",E793&lt;10,"Insuffisant")</f>
        <v>Insuffisant</v>
      </c>
      <c r="I793" t="str">
        <f t="shared" si="37"/>
        <v>A surveiller</v>
      </c>
      <c r="J793" t="str">
        <f t="shared" si="38"/>
        <v>Autre filière</v>
      </c>
    </row>
    <row r="794" spans="1:10">
      <c r="A794" t="s">
        <v>1119</v>
      </c>
      <c r="B794" t="s">
        <v>145</v>
      </c>
      <c r="C794" s="8" t="s">
        <v>47</v>
      </c>
      <c r="D794" s="8">
        <v>16.14</v>
      </c>
      <c r="E794" s="8">
        <v>14.3</v>
      </c>
      <c r="F794" s="6">
        <v>0.9073</v>
      </c>
      <c r="G794" t="str">
        <f t="shared" si="36"/>
        <v>Admis</v>
      </c>
      <c r="H794" t="str" cm="1">
        <f t="array" ref="H794">_xlfn.IFS(E794&gt;=16,"Excellent",E794&gt;=14,"Très bien",E794&gt;=12,"Bien",E794&gt;=10,"Passable",E794&lt;10,"Insuffisant")</f>
        <v>Très bien</v>
      </c>
      <c r="I794" t="str">
        <f t="shared" si="37"/>
        <v>RAS</v>
      </c>
      <c r="J794" t="str">
        <f t="shared" si="38"/>
        <v>Autre filière</v>
      </c>
    </row>
    <row r="795" spans="1:10">
      <c r="A795" t="s">
        <v>1120</v>
      </c>
      <c r="B795" t="s">
        <v>54</v>
      </c>
      <c r="C795" s="8" t="s">
        <v>47</v>
      </c>
      <c r="D795" s="8">
        <v>8.26</v>
      </c>
      <c r="E795" s="8">
        <v>8.69</v>
      </c>
      <c r="F795" s="6">
        <v>0.74050000000000005</v>
      </c>
      <c r="G795" t="str">
        <f t="shared" si="36"/>
        <v>Refuse</v>
      </c>
      <c r="H795" t="str" cm="1">
        <f t="array" ref="H795">_xlfn.IFS(E795&gt;=16,"Excellent",E795&gt;=14,"Très bien",E795&gt;=12,"Bien",E795&gt;=10,"Passable",E795&lt;10,"Insuffisant")</f>
        <v>Insuffisant</v>
      </c>
      <c r="I795" t="str">
        <f t="shared" si="37"/>
        <v>A surveiller</v>
      </c>
      <c r="J795" t="str">
        <f t="shared" si="38"/>
        <v>Autre filière</v>
      </c>
    </row>
    <row r="796" spans="1:10">
      <c r="A796" t="s">
        <v>1121</v>
      </c>
      <c r="B796" t="s">
        <v>443</v>
      </c>
      <c r="C796" s="8" t="s">
        <v>47</v>
      </c>
      <c r="D796" s="8">
        <v>10.039999999999999</v>
      </c>
      <c r="E796" s="8">
        <v>9.34</v>
      </c>
      <c r="F796" s="6">
        <v>0.67169999999999996</v>
      </c>
      <c r="G796" t="str">
        <f t="shared" si="36"/>
        <v>Refuse</v>
      </c>
      <c r="H796" t="str" cm="1">
        <f t="array" ref="H796">_xlfn.IFS(E796&gt;=16,"Excellent",E796&gt;=14,"Très bien",E796&gt;=12,"Bien",E796&gt;=10,"Passable",E796&lt;10,"Insuffisant")</f>
        <v>Insuffisant</v>
      </c>
      <c r="I796" t="str">
        <f t="shared" si="37"/>
        <v>A surveiller</v>
      </c>
      <c r="J796" t="str">
        <f t="shared" si="38"/>
        <v>Autre filière</v>
      </c>
    </row>
    <row r="797" spans="1:10">
      <c r="A797" t="s">
        <v>1122</v>
      </c>
      <c r="B797" t="s">
        <v>430</v>
      </c>
      <c r="C797" s="8" t="s">
        <v>26</v>
      </c>
      <c r="D797" s="8">
        <v>15.34</v>
      </c>
      <c r="E797" s="8">
        <v>9.41</v>
      </c>
      <c r="F797" s="6">
        <v>0.92059999999999997</v>
      </c>
      <c r="G797" t="str">
        <f t="shared" si="36"/>
        <v>Refuse</v>
      </c>
      <c r="H797" t="str" cm="1">
        <f t="array" ref="H797">_xlfn.IFS(E797&gt;=16,"Excellent",E797&gt;=14,"Très bien",E797&gt;=12,"Bien",E797&gt;=10,"Passable",E797&lt;10,"Insuffisant")</f>
        <v>Insuffisant</v>
      </c>
      <c r="I797" t="str">
        <f t="shared" si="37"/>
        <v>A surveiller</v>
      </c>
      <c r="J797" t="str">
        <f t="shared" si="38"/>
        <v>Autre filière</v>
      </c>
    </row>
    <row r="798" spans="1:10">
      <c r="A798" t="s">
        <v>1123</v>
      </c>
      <c r="B798" t="s">
        <v>403</v>
      </c>
      <c r="C798" s="8" t="s">
        <v>21</v>
      </c>
      <c r="D798" s="8">
        <v>12.45</v>
      </c>
      <c r="E798" s="8">
        <v>9.7799999999999994</v>
      </c>
      <c r="F798" s="6">
        <v>0.96179999999999999</v>
      </c>
      <c r="G798" t="str">
        <f t="shared" si="36"/>
        <v>Refuse</v>
      </c>
      <c r="H798" t="str" cm="1">
        <f t="array" ref="H798">_xlfn.IFS(E798&gt;=16,"Excellent",E798&gt;=14,"Très bien",E798&gt;=12,"Bien",E798&gt;=10,"Passable",E798&lt;10,"Insuffisant")</f>
        <v>Insuffisant</v>
      </c>
      <c r="I798" t="str">
        <f t="shared" si="37"/>
        <v>A surveiller</v>
      </c>
      <c r="J798" t="str">
        <f t="shared" si="38"/>
        <v>Data</v>
      </c>
    </row>
    <row r="799" spans="1:10">
      <c r="A799" t="s">
        <v>1124</v>
      </c>
      <c r="B799" t="s">
        <v>32</v>
      </c>
      <c r="C799" s="8" t="s">
        <v>47</v>
      </c>
      <c r="D799" s="8">
        <v>9.77</v>
      </c>
      <c r="E799" s="8">
        <v>11.3</v>
      </c>
      <c r="F799" s="6">
        <v>0.80249999999999999</v>
      </c>
      <c r="G799" t="str">
        <f t="shared" si="36"/>
        <v>Refuse</v>
      </c>
      <c r="H799" t="str" cm="1">
        <f t="array" ref="H799">_xlfn.IFS(E799&gt;=16,"Excellent",E799&gt;=14,"Très bien",E799&gt;=12,"Bien",E799&gt;=10,"Passable",E799&lt;10,"Insuffisant")</f>
        <v>Passable</v>
      </c>
      <c r="I799" t="str">
        <f t="shared" si="37"/>
        <v>A surveiller</v>
      </c>
      <c r="J799" t="str">
        <f t="shared" si="38"/>
        <v>Autre filière</v>
      </c>
    </row>
    <row r="800" spans="1:10">
      <c r="A800" t="s">
        <v>1125</v>
      </c>
      <c r="B800" t="s">
        <v>864</v>
      </c>
      <c r="C800" s="8" t="s">
        <v>21</v>
      </c>
      <c r="D800" s="8">
        <v>13.73</v>
      </c>
      <c r="E800" s="8">
        <v>9.09</v>
      </c>
      <c r="F800" s="6">
        <v>0.74519999999999997</v>
      </c>
      <c r="G800" t="str">
        <f t="shared" si="36"/>
        <v>Refuse</v>
      </c>
      <c r="H800" t="str" cm="1">
        <f t="array" ref="H800">_xlfn.IFS(E800&gt;=16,"Excellent",E800&gt;=14,"Très bien",E800&gt;=12,"Bien",E800&gt;=10,"Passable",E800&lt;10,"Insuffisant")</f>
        <v>Insuffisant</v>
      </c>
      <c r="I800" t="str">
        <f t="shared" si="37"/>
        <v>A surveiller</v>
      </c>
      <c r="J800" t="str">
        <f t="shared" si="38"/>
        <v>Data</v>
      </c>
    </row>
    <row r="801" spans="1:10">
      <c r="A801" t="s">
        <v>1126</v>
      </c>
      <c r="B801" t="s">
        <v>46</v>
      </c>
      <c r="C801" s="8" t="s">
        <v>34</v>
      </c>
      <c r="D801" s="8">
        <v>10.43</v>
      </c>
      <c r="E801" s="8">
        <v>10.19</v>
      </c>
      <c r="F801" s="6">
        <v>0.90649999999999997</v>
      </c>
      <c r="G801" t="str">
        <f t="shared" si="36"/>
        <v>Admis sous condition</v>
      </c>
      <c r="H801" t="str" cm="1">
        <f t="array" ref="H801">_xlfn.IFS(E801&gt;=16,"Excellent",E801&gt;=14,"Très bien",E801&gt;=12,"Bien",E801&gt;=10,"Passable",E801&lt;10,"Insuffisant")</f>
        <v>Passable</v>
      </c>
      <c r="I801" t="str">
        <f t="shared" si="37"/>
        <v>RAS</v>
      </c>
      <c r="J801" t="str">
        <f t="shared" si="38"/>
        <v>Autre filière</v>
      </c>
    </row>
    <row r="802" spans="1:10">
      <c r="A802" t="s">
        <v>1127</v>
      </c>
      <c r="B802" t="s">
        <v>563</v>
      </c>
      <c r="C802" s="8" t="s">
        <v>26</v>
      </c>
      <c r="D802" s="8">
        <v>9.82</v>
      </c>
      <c r="E802" s="8">
        <v>19.39</v>
      </c>
      <c r="F802" s="6">
        <v>0.9163</v>
      </c>
      <c r="G802" t="str">
        <f t="shared" si="36"/>
        <v>Refuse</v>
      </c>
      <c r="H802" t="str" cm="1">
        <f t="array" ref="H802">_xlfn.IFS(E802&gt;=16,"Excellent",E802&gt;=14,"Très bien",E802&gt;=12,"Bien",E802&gt;=10,"Passable",E802&lt;10,"Insuffisant")</f>
        <v>Excellent</v>
      </c>
      <c r="I802" t="str">
        <f t="shared" si="37"/>
        <v>A surveiller</v>
      </c>
      <c r="J802" t="str">
        <f t="shared" si="38"/>
        <v>Autre filière</v>
      </c>
    </row>
    <row r="803" spans="1:10">
      <c r="A803" t="s">
        <v>1128</v>
      </c>
      <c r="B803" t="s">
        <v>250</v>
      </c>
      <c r="C803" s="8" t="s">
        <v>26</v>
      </c>
      <c r="D803" s="8">
        <v>8.94</v>
      </c>
      <c r="E803" s="8">
        <v>13.6</v>
      </c>
      <c r="F803" s="6">
        <v>0.92020000000000002</v>
      </c>
      <c r="G803" t="str">
        <f t="shared" si="36"/>
        <v>Refuse</v>
      </c>
      <c r="H803" t="str" cm="1">
        <f t="array" ref="H803">_xlfn.IFS(E803&gt;=16,"Excellent",E803&gt;=14,"Très bien",E803&gt;=12,"Bien",E803&gt;=10,"Passable",E803&lt;10,"Insuffisant")</f>
        <v>Bien</v>
      </c>
      <c r="I803" t="str">
        <f t="shared" si="37"/>
        <v>A surveiller</v>
      </c>
      <c r="J803" t="str">
        <f t="shared" si="38"/>
        <v>Autre filière</v>
      </c>
    </row>
    <row r="804" spans="1:10">
      <c r="A804" t="s">
        <v>1129</v>
      </c>
      <c r="B804" t="s">
        <v>1130</v>
      </c>
      <c r="C804" s="8" t="s">
        <v>34</v>
      </c>
      <c r="D804" s="8">
        <v>20</v>
      </c>
      <c r="E804" s="8">
        <v>20</v>
      </c>
      <c r="F804" s="6">
        <v>0.87329999999999997</v>
      </c>
      <c r="G804" t="str">
        <f t="shared" si="36"/>
        <v>Admis</v>
      </c>
      <c r="H804" t="str" cm="1">
        <f t="array" ref="H804">_xlfn.IFS(E804&gt;=16,"Excellent",E804&gt;=14,"Très bien",E804&gt;=12,"Bien",E804&gt;=10,"Passable",E804&lt;10,"Insuffisant")</f>
        <v>Excellent</v>
      </c>
      <c r="I804" t="str">
        <f t="shared" si="37"/>
        <v>RAS</v>
      </c>
      <c r="J804" t="str">
        <f t="shared" si="38"/>
        <v>Autre filière</v>
      </c>
    </row>
    <row r="805" spans="1:10">
      <c r="A805" t="s">
        <v>1131</v>
      </c>
      <c r="B805" t="s">
        <v>802</v>
      </c>
      <c r="C805" s="8" t="s">
        <v>34</v>
      </c>
      <c r="D805" s="8">
        <v>11.45</v>
      </c>
      <c r="E805" s="8">
        <v>9.36</v>
      </c>
      <c r="F805" s="6">
        <v>0.94850000000000001</v>
      </c>
      <c r="G805" t="str">
        <f t="shared" si="36"/>
        <v>Refuse</v>
      </c>
      <c r="H805" t="str" cm="1">
        <f t="array" ref="H805">_xlfn.IFS(E805&gt;=16,"Excellent",E805&gt;=14,"Très bien",E805&gt;=12,"Bien",E805&gt;=10,"Passable",E805&lt;10,"Insuffisant")</f>
        <v>Insuffisant</v>
      </c>
      <c r="I805" t="str">
        <f t="shared" si="37"/>
        <v>A surveiller</v>
      </c>
      <c r="J805" t="str">
        <f t="shared" si="38"/>
        <v>Autre filière</v>
      </c>
    </row>
    <row r="806" spans="1:10">
      <c r="A806" t="s">
        <v>1132</v>
      </c>
      <c r="B806" t="s">
        <v>242</v>
      </c>
      <c r="C806" s="8" t="s">
        <v>47</v>
      </c>
      <c r="D806" s="8">
        <v>14.25</v>
      </c>
      <c r="E806" s="8">
        <v>14.91</v>
      </c>
      <c r="F806" s="6">
        <v>0.89100000000000001</v>
      </c>
      <c r="G806" t="str">
        <f t="shared" si="36"/>
        <v>Admis</v>
      </c>
      <c r="H806" t="str" cm="1">
        <f t="array" ref="H806">_xlfn.IFS(E806&gt;=16,"Excellent",E806&gt;=14,"Très bien",E806&gt;=12,"Bien",E806&gt;=10,"Passable",E806&lt;10,"Insuffisant")</f>
        <v>Très bien</v>
      </c>
      <c r="I806" t="str">
        <f t="shared" si="37"/>
        <v>RAS</v>
      </c>
      <c r="J806" t="str">
        <f t="shared" si="38"/>
        <v>Autre filière</v>
      </c>
    </row>
    <row r="807" spans="1:10">
      <c r="A807" t="s">
        <v>1133</v>
      </c>
      <c r="B807" t="s">
        <v>432</v>
      </c>
      <c r="C807" s="8" t="s">
        <v>34</v>
      </c>
      <c r="D807" s="8">
        <v>12.36</v>
      </c>
      <c r="E807" s="8">
        <v>4.97</v>
      </c>
      <c r="F807" s="6">
        <v>0.84650000000000003</v>
      </c>
      <c r="G807" t="str">
        <f t="shared" si="36"/>
        <v>Refuse</v>
      </c>
      <c r="H807" t="str" cm="1">
        <f t="array" ref="H807">_xlfn.IFS(E807&gt;=16,"Excellent",E807&gt;=14,"Très bien",E807&gt;=12,"Bien",E807&gt;=10,"Passable",E807&lt;10,"Insuffisant")</f>
        <v>Insuffisant</v>
      </c>
      <c r="I807" t="str">
        <f t="shared" si="37"/>
        <v>A surveiller</v>
      </c>
      <c r="J807" t="str">
        <f t="shared" si="38"/>
        <v>Autre filière</v>
      </c>
    </row>
    <row r="808" spans="1:10">
      <c r="A808" t="s">
        <v>1134</v>
      </c>
      <c r="B808" t="s">
        <v>674</v>
      </c>
      <c r="C808" s="8" t="s">
        <v>21</v>
      </c>
      <c r="D808" s="8">
        <v>17.57</v>
      </c>
      <c r="E808" s="8">
        <v>20</v>
      </c>
      <c r="F808" s="6">
        <v>0.94710000000000005</v>
      </c>
      <c r="G808" t="str">
        <f t="shared" si="36"/>
        <v>Admis</v>
      </c>
      <c r="H808" t="str" cm="1">
        <f t="array" ref="H808">_xlfn.IFS(E808&gt;=16,"Excellent",E808&gt;=14,"Très bien",E808&gt;=12,"Bien",E808&gt;=10,"Passable",E808&lt;10,"Insuffisant")</f>
        <v>Excellent</v>
      </c>
      <c r="I808" t="str">
        <f t="shared" si="37"/>
        <v>RAS</v>
      </c>
      <c r="J808" t="str">
        <f t="shared" si="38"/>
        <v>Data</v>
      </c>
    </row>
    <row r="809" spans="1:10">
      <c r="A809" t="s">
        <v>1135</v>
      </c>
      <c r="B809" t="s">
        <v>64</v>
      </c>
      <c r="C809" s="8" t="s">
        <v>34</v>
      </c>
      <c r="D809" s="8">
        <v>14.31</v>
      </c>
      <c r="E809" s="8">
        <v>16.36</v>
      </c>
      <c r="F809" s="6">
        <v>0.92200000000000004</v>
      </c>
      <c r="G809" t="str">
        <f t="shared" si="36"/>
        <v>Admis</v>
      </c>
      <c r="H809" t="str" cm="1">
        <f t="array" ref="H809">_xlfn.IFS(E809&gt;=16,"Excellent",E809&gt;=14,"Très bien",E809&gt;=12,"Bien",E809&gt;=10,"Passable",E809&lt;10,"Insuffisant")</f>
        <v>Excellent</v>
      </c>
      <c r="I809" t="str">
        <f t="shared" si="37"/>
        <v>RAS</v>
      </c>
      <c r="J809" t="str">
        <f t="shared" si="38"/>
        <v>Autre filière</v>
      </c>
    </row>
    <row r="810" spans="1:10">
      <c r="A810" t="s">
        <v>1136</v>
      </c>
      <c r="B810" t="s">
        <v>473</v>
      </c>
      <c r="C810" s="8" t="s">
        <v>34</v>
      </c>
      <c r="D810" s="8">
        <v>15.05</v>
      </c>
      <c r="E810" s="8">
        <v>18.559999999999999</v>
      </c>
      <c r="F810" s="6">
        <v>0.95009999999999994</v>
      </c>
      <c r="G810" t="str">
        <f t="shared" si="36"/>
        <v>Admis</v>
      </c>
      <c r="H810" t="str" cm="1">
        <f t="array" ref="H810">_xlfn.IFS(E810&gt;=16,"Excellent",E810&gt;=14,"Très bien",E810&gt;=12,"Bien",E810&gt;=10,"Passable",E810&lt;10,"Insuffisant")</f>
        <v>Excellent</v>
      </c>
      <c r="I810" t="str">
        <f t="shared" si="37"/>
        <v>RAS</v>
      </c>
      <c r="J810" t="str">
        <f t="shared" si="38"/>
        <v>Autre filière</v>
      </c>
    </row>
    <row r="811" spans="1:10">
      <c r="A811" t="s">
        <v>1137</v>
      </c>
      <c r="B811" t="s">
        <v>36</v>
      </c>
      <c r="C811" s="8" t="s">
        <v>47</v>
      </c>
      <c r="D811" s="8">
        <v>9.01</v>
      </c>
      <c r="E811" s="8">
        <v>6.13</v>
      </c>
      <c r="F811" s="6">
        <v>0.74590000000000001</v>
      </c>
      <c r="G811" t="str">
        <f t="shared" si="36"/>
        <v>Refuse</v>
      </c>
      <c r="H811" t="str" cm="1">
        <f t="array" ref="H811">_xlfn.IFS(E811&gt;=16,"Excellent",E811&gt;=14,"Très bien",E811&gt;=12,"Bien",E811&gt;=10,"Passable",E811&lt;10,"Insuffisant")</f>
        <v>Insuffisant</v>
      </c>
      <c r="I811" t="str">
        <f t="shared" si="37"/>
        <v>A surveiller</v>
      </c>
      <c r="J811" t="str">
        <f t="shared" si="38"/>
        <v>Autre filière</v>
      </c>
    </row>
    <row r="812" spans="1:10">
      <c r="A812" t="s">
        <v>1138</v>
      </c>
      <c r="B812" t="s">
        <v>387</v>
      </c>
      <c r="C812" s="8" t="s">
        <v>26</v>
      </c>
      <c r="D812" s="8">
        <v>13.75</v>
      </c>
      <c r="E812" s="8">
        <v>16.309999999999999</v>
      </c>
      <c r="F812" s="6">
        <v>0.85399999999999998</v>
      </c>
      <c r="G812" t="str">
        <f t="shared" si="36"/>
        <v>Admis</v>
      </c>
      <c r="H812" t="str" cm="1">
        <f t="array" ref="H812">_xlfn.IFS(E812&gt;=16,"Excellent",E812&gt;=14,"Très bien",E812&gt;=12,"Bien",E812&gt;=10,"Passable",E812&lt;10,"Insuffisant")</f>
        <v>Excellent</v>
      </c>
      <c r="I812" t="str">
        <f t="shared" si="37"/>
        <v>RAS</v>
      </c>
      <c r="J812" t="str">
        <f t="shared" si="38"/>
        <v>Autre filière</v>
      </c>
    </row>
    <row r="813" spans="1:10">
      <c r="A813" t="s">
        <v>1139</v>
      </c>
      <c r="B813" t="s">
        <v>271</v>
      </c>
      <c r="C813" s="8" t="s">
        <v>47</v>
      </c>
      <c r="D813" s="8">
        <v>9.7200000000000006</v>
      </c>
      <c r="E813" s="8">
        <v>10.34</v>
      </c>
      <c r="F813" s="6">
        <v>0.7349</v>
      </c>
      <c r="G813" t="str">
        <f t="shared" si="36"/>
        <v>Refuse</v>
      </c>
      <c r="H813" t="str" cm="1">
        <f t="array" ref="H813">_xlfn.IFS(E813&gt;=16,"Excellent",E813&gt;=14,"Très bien",E813&gt;=12,"Bien",E813&gt;=10,"Passable",E813&lt;10,"Insuffisant")</f>
        <v>Passable</v>
      </c>
      <c r="I813" t="str">
        <f t="shared" si="37"/>
        <v>A surveiller</v>
      </c>
      <c r="J813" t="str">
        <f t="shared" si="38"/>
        <v>Autre filière</v>
      </c>
    </row>
    <row r="814" spans="1:10">
      <c r="A814" t="s">
        <v>1140</v>
      </c>
      <c r="B814" t="s">
        <v>1105</v>
      </c>
      <c r="C814" s="8" t="s">
        <v>34</v>
      </c>
      <c r="D814" s="8">
        <v>20</v>
      </c>
      <c r="E814" s="8">
        <v>17.07</v>
      </c>
      <c r="F814" s="6">
        <v>0.91690000000000005</v>
      </c>
      <c r="G814" t="str">
        <f t="shared" si="36"/>
        <v>Admis</v>
      </c>
      <c r="H814" t="str" cm="1">
        <f t="array" ref="H814">_xlfn.IFS(E814&gt;=16,"Excellent",E814&gt;=14,"Très bien",E814&gt;=12,"Bien",E814&gt;=10,"Passable",E814&lt;10,"Insuffisant")</f>
        <v>Excellent</v>
      </c>
      <c r="I814" t="str">
        <f t="shared" si="37"/>
        <v>RAS</v>
      </c>
      <c r="J814" t="str">
        <f t="shared" si="38"/>
        <v>Autre filière</v>
      </c>
    </row>
    <row r="815" spans="1:10">
      <c r="A815" t="s">
        <v>1141</v>
      </c>
      <c r="B815" t="s">
        <v>89</v>
      </c>
      <c r="C815" s="8" t="s">
        <v>47</v>
      </c>
      <c r="D815" s="8">
        <v>10.84</v>
      </c>
      <c r="E815" s="8">
        <v>12.95</v>
      </c>
      <c r="F815" s="6">
        <v>0.88139999999999996</v>
      </c>
      <c r="G815" t="str">
        <f t="shared" si="36"/>
        <v>Admis sous condition</v>
      </c>
      <c r="H815" t="str" cm="1">
        <f t="array" ref="H815">_xlfn.IFS(E815&gt;=16,"Excellent",E815&gt;=14,"Très bien",E815&gt;=12,"Bien",E815&gt;=10,"Passable",E815&lt;10,"Insuffisant")</f>
        <v>Bien</v>
      </c>
      <c r="I815" t="str">
        <f t="shared" si="37"/>
        <v>RAS</v>
      </c>
      <c r="J815" t="str">
        <f t="shared" si="38"/>
        <v>Autre filière</v>
      </c>
    </row>
    <row r="816" spans="1:10">
      <c r="A816" t="s">
        <v>1142</v>
      </c>
      <c r="B816" t="s">
        <v>78</v>
      </c>
      <c r="C816" s="8" t="s">
        <v>26</v>
      </c>
      <c r="D816" s="8">
        <v>12.91</v>
      </c>
      <c r="E816" s="8">
        <v>15.28</v>
      </c>
      <c r="F816" s="6">
        <v>0.92849999999999999</v>
      </c>
      <c r="G816" t="str">
        <f t="shared" si="36"/>
        <v>Admis</v>
      </c>
      <c r="H816" t="str" cm="1">
        <f t="array" ref="H816">_xlfn.IFS(E816&gt;=16,"Excellent",E816&gt;=14,"Très bien",E816&gt;=12,"Bien",E816&gt;=10,"Passable",E816&lt;10,"Insuffisant")</f>
        <v>Très bien</v>
      </c>
      <c r="I816" t="str">
        <f t="shared" si="37"/>
        <v>RAS</v>
      </c>
      <c r="J816" t="str">
        <f t="shared" si="38"/>
        <v>Autre filière</v>
      </c>
    </row>
    <row r="817" spans="1:10">
      <c r="A817" t="s">
        <v>1143</v>
      </c>
      <c r="B817" t="s">
        <v>414</v>
      </c>
      <c r="C817" s="8" t="s">
        <v>34</v>
      </c>
      <c r="D817" s="8">
        <v>6.67</v>
      </c>
      <c r="E817" s="8">
        <v>8.3699999999999992</v>
      </c>
      <c r="F817" s="6">
        <v>0.80820000000000003</v>
      </c>
      <c r="G817" t="str">
        <f t="shared" si="36"/>
        <v>Refuse</v>
      </c>
      <c r="H817" t="str" cm="1">
        <f t="array" ref="H817">_xlfn.IFS(E817&gt;=16,"Excellent",E817&gt;=14,"Très bien",E817&gt;=12,"Bien",E817&gt;=10,"Passable",E817&lt;10,"Insuffisant")</f>
        <v>Insuffisant</v>
      </c>
      <c r="I817" t="str">
        <f t="shared" si="37"/>
        <v>A surveiller</v>
      </c>
      <c r="J817" t="str">
        <f t="shared" si="38"/>
        <v>Autre filière</v>
      </c>
    </row>
    <row r="818" spans="1:10">
      <c r="A818" t="s">
        <v>1144</v>
      </c>
      <c r="B818" t="s">
        <v>574</v>
      </c>
      <c r="C818" s="8" t="s">
        <v>34</v>
      </c>
      <c r="D818" s="8">
        <v>9.0299999999999994</v>
      </c>
      <c r="E818" s="8">
        <v>14.87</v>
      </c>
      <c r="F818" s="6">
        <v>0.82210000000000005</v>
      </c>
      <c r="G818" t="str">
        <f t="shared" si="36"/>
        <v>Refuse</v>
      </c>
      <c r="H818" t="str" cm="1">
        <f t="array" ref="H818">_xlfn.IFS(E818&gt;=16,"Excellent",E818&gt;=14,"Très bien",E818&gt;=12,"Bien",E818&gt;=10,"Passable",E818&lt;10,"Insuffisant")</f>
        <v>Très bien</v>
      </c>
      <c r="I818" t="str">
        <f t="shared" si="37"/>
        <v>A surveiller</v>
      </c>
      <c r="J818" t="str">
        <f t="shared" si="38"/>
        <v>Autre filière</v>
      </c>
    </row>
    <row r="819" spans="1:10">
      <c r="A819" t="s">
        <v>1145</v>
      </c>
      <c r="B819" t="s">
        <v>1146</v>
      </c>
      <c r="C819" s="8" t="s">
        <v>21</v>
      </c>
      <c r="D819" s="8">
        <v>17.41</v>
      </c>
      <c r="E819" s="8">
        <v>17.84</v>
      </c>
      <c r="F819" s="6">
        <v>0.86709999999999998</v>
      </c>
      <c r="G819" t="str">
        <f t="shared" si="36"/>
        <v>Admis</v>
      </c>
      <c r="H819" t="str" cm="1">
        <f t="array" ref="H819">_xlfn.IFS(E819&gt;=16,"Excellent",E819&gt;=14,"Très bien",E819&gt;=12,"Bien",E819&gt;=10,"Passable",E819&lt;10,"Insuffisant")</f>
        <v>Excellent</v>
      </c>
      <c r="I819" t="str">
        <f t="shared" si="37"/>
        <v>RAS</v>
      </c>
      <c r="J819" t="str">
        <f t="shared" si="38"/>
        <v>Data</v>
      </c>
    </row>
    <row r="820" spans="1:10">
      <c r="A820" t="s">
        <v>1147</v>
      </c>
      <c r="B820" t="s">
        <v>719</v>
      </c>
      <c r="C820" s="8" t="s">
        <v>26</v>
      </c>
      <c r="D820" s="8">
        <v>18.690000000000001</v>
      </c>
      <c r="E820" s="8">
        <v>15.79</v>
      </c>
      <c r="F820" s="6">
        <v>0.95279999999999998</v>
      </c>
      <c r="G820" t="str">
        <f t="shared" si="36"/>
        <v>Admis</v>
      </c>
      <c r="H820" t="str" cm="1">
        <f t="array" ref="H820">_xlfn.IFS(E820&gt;=16,"Excellent",E820&gt;=14,"Très bien",E820&gt;=12,"Bien",E820&gt;=10,"Passable",E820&lt;10,"Insuffisant")</f>
        <v>Très bien</v>
      </c>
      <c r="I820" t="str">
        <f t="shared" si="37"/>
        <v>RAS</v>
      </c>
      <c r="J820" t="str">
        <f t="shared" si="38"/>
        <v>Autre filière</v>
      </c>
    </row>
    <row r="821" spans="1:10">
      <c r="A821" t="s">
        <v>1148</v>
      </c>
      <c r="B821" t="s">
        <v>49</v>
      </c>
      <c r="C821" s="8" t="s">
        <v>26</v>
      </c>
      <c r="D821" s="8">
        <v>16.5</v>
      </c>
      <c r="E821" s="8">
        <v>14.6</v>
      </c>
      <c r="F821" s="6">
        <v>0.95979999999999999</v>
      </c>
      <c r="G821" t="str">
        <f t="shared" si="36"/>
        <v>Admis</v>
      </c>
      <c r="H821" t="str" cm="1">
        <f t="array" ref="H821">_xlfn.IFS(E821&gt;=16,"Excellent",E821&gt;=14,"Très bien",E821&gt;=12,"Bien",E821&gt;=10,"Passable",E821&lt;10,"Insuffisant")</f>
        <v>Très bien</v>
      </c>
      <c r="I821" t="str">
        <f t="shared" si="37"/>
        <v>RAS</v>
      </c>
      <c r="J821" t="str">
        <f t="shared" si="38"/>
        <v>Autre filière</v>
      </c>
    </row>
    <row r="822" spans="1:10">
      <c r="A822" t="s">
        <v>1149</v>
      </c>
      <c r="B822" t="s">
        <v>1097</v>
      </c>
      <c r="C822" s="8" t="s">
        <v>21</v>
      </c>
      <c r="D822" s="8">
        <v>8.4499999999999993</v>
      </c>
      <c r="E822" s="8">
        <v>6.23</v>
      </c>
      <c r="F822" s="6">
        <v>0.84289999999999998</v>
      </c>
      <c r="G822" t="str">
        <f t="shared" si="36"/>
        <v>Refuse</v>
      </c>
      <c r="H822" t="str" cm="1">
        <f t="array" ref="H822">_xlfn.IFS(E822&gt;=16,"Excellent",E822&gt;=14,"Très bien",E822&gt;=12,"Bien",E822&gt;=10,"Passable",E822&lt;10,"Insuffisant")</f>
        <v>Insuffisant</v>
      </c>
      <c r="I822" t="str">
        <f t="shared" si="37"/>
        <v>A surveiller</v>
      </c>
      <c r="J822" t="str">
        <f t="shared" si="38"/>
        <v>Data</v>
      </c>
    </row>
    <row r="823" spans="1:10">
      <c r="A823" t="s">
        <v>1150</v>
      </c>
      <c r="B823" t="s">
        <v>650</v>
      </c>
      <c r="C823" s="8" t="s">
        <v>34</v>
      </c>
      <c r="D823" s="8">
        <v>14.1</v>
      </c>
      <c r="E823" s="8">
        <v>17.79</v>
      </c>
      <c r="F823" s="6">
        <v>0.96679999999999999</v>
      </c>
      <c r="G823" t="str">
        <f t="shared" si="36"/>
        <v>Admis</v>
      </c>
      <c r="H823" t="str" cm="1">
        <f t="array" ref="H823">_xlfn.IFS(E823&gt;=16,"Excellent",E823&gt;=14,"Très bien",E823&gt;=12,"Bien",E823&gt;=10,"Passable",E823&lt;10,"Insuffisant")</f>
        <v>Excellent</v>
      </c>
      <c r="I823" t="str">
        <f t="shared" si="37"/>
        <v>RAS</v>
      </c>
      <c r="J823" t="str">
        <f t="shared" si="38"/>
        <v>Autre filière</v>
      </c>
    </row>
    <row r="824" spans="1:10">
      <c r="A824" t="s">
        <v>1151</v>
      </c>
      <c r="B824" t="s">
        <v>287</v>
      </c>
      <c r="C824" s="8" t="s">
        <v>34</v>
      </c>
      <c r="D824" s="8">
        <v>16.11</v>
      </c>
      <c r="E824" s="8">
        <v>14.83</v>
      </c>
      <c r="F824" s="6">
        <v>0.95730000000000004</v>
      </c>
      <c r="G824" t="str">
        <f t="shared" si="36"/>
        <v>Admis</v>
      </c>
      <c r="H824" t="str" cm="1">
        <f t="array" ref="H824">_xlfn.IFS(E824&gt;=16,"Excellent",E824&gt;=14,"Très bien",E824&gt;=12,"Bien",E824&gt;=10,"Passable",E824&lt;10,"Insuffisant")</f>
        <v>Très bien</v>
      </c>
      <c r="I824" t="str">
        <f t="shared" si="37"/>
        <v>RAS</v>
      </c>
      <c r="J824" t="str">
        <f t="shared" si="38"/>
        <v>Autre filière</v>
      </c>
    </row>
    <row r="825" spans="1:10">
      <c r="A825" t="s">
        <v>1152</v>
      </c>
      <c r="B825" t="s">
        <v>76</v>
      </c>
      <c r="C825" s="8" t="s">
        <v>26</v>
      </c>
      <c r="D825" s="8">
        <v>8.68</v>
      </c>
      <c r="E825" s="8">
        <v>12.31</v>
      </c>
      <c r="F825" s="6">
        <v>0.94520000000000004</v>
      </c>
      <c r="G825" t="str">
        <f t="shared" si="36"/>
        <v>Refuse</v>
      </c>
      <c r="H825" t="str" cm="1">
        <f t="array" ref="H825">_xlfn.IFS(E825&gt;=16,"Excellent",E825&gt;=14,"Très bien",E825&gt;=12,"Bien",E825&gt;=10,"Passable",E825&lt;10,"Insuffisant")</f>
        <v>Bien</v>
      </c>
      <c r="I825" t="str">
        <f t="shared" si="37"/>
        <v>A surveiller</v>
      </c>
      <c r="J825" t="str">
        <f t="shared" si="38"/>
        <v>Autre filière</v>
      </c>
    </row>
    <row r="826" spans="1:10">
      <c r="A826" t="s">
        <v>1153</v>
      </c>
      <c r="B826" t="s">
        <v>212</v>
      </c>
      <c r="C826" s="8" t="s">
        <v>21</v>
      </c>
      <c r="D826" s="8">
        <v>13.06</v>
      </c>
      <c r="E826" s="8">
        <v>14.83</v>
      </c>
      <c r="F826" s="6">
        <v>0.88039999999999996</v>
      </c>
      <c r="G826" t="str">
        <f t="shared" si="36"/>
        <v>Admis</v>
      </c>
      <c r="H826" t="str" cm="1">
        <f t="array" ref="H826">_xlfn.IFS(E826&gt;=16,"Excellent",E826&gt;=14,"Très bien",E826&gt;=12,"Bien",E826&gt;=10,"Passable",E826&lt;10,"Insuffisant")</f>
        <v>Très bien</v>
      </c>
      <c r="I826" t="str">
        <f t="shared" si="37"/>
        <v>RAS</v>
      </c>
      <c r="J826" t="str">
        <f t="shared" si="38"/>
        <v>Data</v>
      </c>
    </row>
    <row r="827" spans="1:10">
      <c r="A827" t="s">
        <v>1154</v>
      </c>
      <c r="B827" t="s">
        <v>134</v>
      </c>
      <c r="C827" s="8" t="s">
        <v>21</v>
      </c>
      <c r="D827" s="8">
        <v>14.82</v>
      </c>
      <c r="E827" s="8">
        <v>15.19</v>
      </c>
      <c r="F827" s="6">
        <v>0.93130000000000002</v>
      </c>
      <c r="G827" t="str">
        <f t="shared" si="36"/>
        <v>Admis</v>
      </c>
      <c r="H827" t="str" cm="1">
        <f t="array" ref="H827">_xlfn.IFS(E827&gt;=16,"Excellent",E827&gt;=14,"Très bien",E827&gt;=12,"Bien",E827&gt;=10,"Passable",E827&lt;10,"Insuffisant")</f>
        <v>Très bien</v>
      </c>
      <c r="I827" t="str">
        <f t="shared" si="37"/>
        <v>RAS</v>
      </c>
      <c r="J827" t="str">
        <f t="shared" si="38"/>
        <v>Data</v>
      </c>
    </row>
    <row r="828" spans="1:10">
      <c r="A828" t="s">
        <v>1155</v>
      </c>
      <c r="B828" t="s">
        <v>411</v>
      </c>
      <c r="C828" s="8" t="s">
        <v>34</v>
      </c>
      <c r="D828" s="8">
        <v>14.31</v>
      </c>
      <c r="E828" s="8">
        <v>12.18</v>
      </c>
      <c r="F828" s="6">
        <v>0.73350000000000004</v>
      </c>
      <c r="G828" t="str">
        <f t="shared" si="36"/>
        <v>Admis sous condition</v>
      </c>
      <c r="H828" t="str" cm="1">
        <f t="array" ref="H828">_xlfn.IFS(E828&gt;=16,"Excellent",E828&gt;=14,"Très bien",E828&gt;=12,"Bien",E828&gt;=10,"Passable",E828&lt;10,"Insuffisant")</f>
        <v>Bien</v>
      </c>
      <c r="I828" t="str">
        <f t="shared" si="37"/>
        <v>RAS</v>
      </c>
      <c r="J828" t="str">
        <f t="shared" si="38"/>
        <v>Autre filière</v>
      </c>
    </row>
    <row r="829" spans="1:10">
      <c r="A829" t="s">
        <v>1156</v>
      </c>
      <c r="B829" t="s">
        <v>403</v>
      </c>
      <c r="C829" s="8" t="s">
        <v>47</v>
      </c>
      <c r="D829" s="8">
        <v>5.61</v>
      </c>
      <c r="E829" s="8">
        <v>9.9700000000000006</v>
      </c>
      <c r="F829" s="6">
        <v>0.97170000000000001</v>
      </c>
      <c r="G829" t="str">
        <f t="shared" si="36"/>
        <v>Refuse</v>
      </c>
      <c r="H829" t="str" cm="1">
        <f t="array" ref="H829">_xlfn.IFS(E829&gt;=16,"Excellent",E829&gt;=14,"Très bien",E829&gt;=12,"Bien",E829&gt;=10,"Passable",E829&lt;10,"Insuffisant")</f>
        <v>Insuffisant</v>
      </c>
      <c r="I829" t="str">
        <f t="shared" si="37"/>
        <v>A surveiller</v>
      </c>
      <c r="J829" t="str">
        <f t="shared" si="38"/>
        <v>Autre filière</v>
      </c>
    </row>
    <row r="830" spans="1:10">
      <c r="A830" t="s">
        <v>1157</v>
      </c>
      <c r="B830" t="s">
        <v>696</v>
      </c>
      <c r="C830" s="8" t="s">
        <v>21</v>
      </c>
      <c r="D830" s="8">
        <v>10.28</v>
      </c>
      <c r="E830" s="8">
        <v>12.75</v>
      </c>
      <c r="F830" s="6">
        <v>0.81640000000000001</v>
      </c>
      <c r="G830" t="str">
        <f t="shared" si="36"/>
        <v>Admis sous condition</v>
      </c>
      <c r="H830" t="str" cm="1">
        <f t="array" ref="H830">_xlfn.IFS(E830&gt;=16,"Excellent",E830&gt;=14,"Très bien",E830&gt;=12,"Bien",E830&gt;=10,"Passable",E830&lt;10,"Insuffisant")</f>
        <v>Bien</v>
      </c>
      <c r="I830" t="str">
        <f t="shared" si="37"/>
        <v>RAS</v>
      </c>
      <c r="J830" t="str">
        <f t="shared" si="38"/>
        <v>Data</v>
      </c>
    </row>
    <row r="831" spans="1:10">
      <c r="A831" t="s">
        <v>1158</v>
      </c>
      <c r="B831" t="s">
        <v>185</v>
      </c>
      <c r="C831" s="8" t="s">
        <v>47</v>
      </c>
      <c r="D831" s="8">
        <v>8.74</v>
      </c>
      <c r="E831" s="8">
        <v>11.97</v>
      </c>
      <c r="F831" s="6">
        <v>0.98939999999999995</v>
      </c>
      <c r="G831" t="str">
        <f t="shared" si="36"/>
        <v>Refuse</v>
      </c>
      <c r="H831" t="str" cm="1">
        <f t="array" ref="H831">_xlfn.IFS(E831&gt;=16,"Excellent",E831&gt;=14,"Très bien",E831&gt;=12,"Bien",E831&gt;=10,"Passable",E831&lt;10,"Insuffisant")</f>
        <v>Passable</v>
      </c>
      <c r="I831" t="str">
        <f t="shared" si="37"/>
        <v>A surveiller</v>
      </c>
      <c r="J831" t="str">
        <f t="shared" si="38"/>
        <v>Autre filière</v>
      </c>
    </row>
    <row r="832" spans="1:10">
      <c r="A832" t="s">
        <v>1159</v>
      </c>
      <c r="B832" t="s">
        <v>130</v>
      </c>
      <c r="C832" s="8" t="s">
        <v>47</v>
      </c>
      <c r="D832" s="8">
        <v>14.99</v>
      </c>
      <c r="E832" s="8">
        <v>14.82</v>
      </c>
      <c r="F832" s="6">
        <v>0.87290000000000001</v>
      </c>
      <c r="G832" t="str">
        <f t="shared" si="36"/>
        <v>Admis</v>
      </c>
      <c r="H832" t="str" cm="1">
        <f t="array" ref="H832">_xlfn.IFS(E832&gt;=16,"Excellent",E832&gt;=14,"Très bien",E832&gt;=12,"Bien",E832&gt;=10,"Passable",E832&lt;10,"Insuffisant")</f>
        <v>Très bien</v>
      </c>
      <c r="I832" t="str">
        <f t="shared" si="37"/>
        <v>RAS</v>
      </c>
      <c r="J832" t="str">
        <f t="shared" si="38"/>
        <v>Autre filière</v>
      </c>
    </row>
    <row r="833" spans="1:10">
      <c r="A833" t="s">
        <v>1160</v>
      </c>
      <c r="B833" t="s">
        <v>409</v>
      </c>
      <c r="C833" s="8" t="s">
        <v>26</v>
      </c>
      <c r="D833" s="8">
        <v>12.47</v>
      </c>
      <c r="E833" s="8">
        <v>11.81</v>
      </c>
      <c r="F833" s="6">
        <v>0.77400000000000002</v>
      </c>
      <c r="G833" t="str">
        <f t="shared" si="36"/>
        <v>Admis sous condition</v>
      </c>
      <c r="H833" t="str" cm="1">
        <f t="array" ref="H833">_xlfn.IFS(E833&gt;=16,"Excellent",E833&gt;=14,"Très bien",E833&gt;=12,"Bien",E833&gt;=10,"Passable",E833&lt;10,"Insuffisant")</f>
        <v>Passable</v>
      </c>
      <c r="I833" t="str">
        <f t="shared" si="37"/>
        <v>RAS</v>
      </c>
      <c r="J833" t="str">
        <f t="shared" si="38"/>
        <v>Autre filière</v>
      </c>
    </row>
    <row r="834" spans="1:10">
      <c r="A834" t="s">
        <v>1161</v>
      </c>
      <c r="B834" t="s">
        <v>356</v>
      </c>
      <c r="C834" s="8" t="s">
        <v>21</v>
      </c>
      <c r="D834" s="8">
        <v>13.37</v>
      </c>
      <c r="E834" s="8">
        <v>10.7</v>
      </c>
      <c r="F834" s="6">
        <v>0.88780000000000003</v>
      </c>
      <c r="G834" t="str">
        <f t="shared" si="36"/>
        <v>Admis sous condition</v>
      </c>
      <c r="H834" t="str" cm="1">
        <f t="array" ref="H834">_xlfn.IFS(E834&gt;=16,"Excellent",E834&gt;=14,"Très bien",E834&gt;=12,"Bien",E834&gt;=10,"Passable",E834&lt;10,"Insuffisant")</f>
        <v>Passable</v>
      </c>
      <c r="I834" t="str">
        <f t="shared" si="37"/>
        <v>RAS</v>
      </c>
      <c r="J834" t="str">
        <f t="shared" si="38"/>
        <v>Data</v>
      </c>
    </row>
    <row r="835" spans="1:10">
      <c r="A835" t="s">
        <v>1162</v>
      </c>
      <c r="B835" t="s">
        <v>72</v>
      </c>
      <c r="C835" s="8" t="s">
        <v>21</v>
      </c>
      <c r="D835" s="8">
        <v>10.24</v>
      </c>
      <c r="E835" s="8">
        <v>14.91</v>
      </c>
      <c r="F835" s="6">
        <v>0.86470000000000002</v>
      </c>
      <c r="G835" t="str">
        <f t="shared" ref="G835:G898" si="39">IF(AND(D835&gt;=12,E835&gt;=12,F835&gt;=80%),"Admis",IF(AND(D835&gt;=10,E835&gt;=10),"Admis sous condition","Refuse"))</f>
        <v>Admis sous condition</v>
      </c>
      <c r="H835" t="str" cm="1">
        <f t="array" ref="H835">_xlfn.IFS(E835&gt;=16,"Excellent",E835&gt;=14,"Très bien",E835&gt;=12,"Bien",E835&gt;=10,"Passable",E835&lt;10,"Insuffisant")</f>
        <v>Très bien</v>
      </c>
      <c r="I835" t="str">
        <f t="shared" ref="I835:I898" si="40">IF(OR(D835&lt;10,E835&lt;10,F835&lt;70%),"A surveiller","RAS")</f>
        <v>RAS</v>
      </c>
      <c r="J835" t="str">
        <f t="shared" ref="J835:J898" si="41">IF(NOT(C835="Data"),"Autre filière","Data")</f>
        <v>Data</v>
      </c>
    </row>
    <row r="836" spans="1:10">
      <c r="A836" t="s">
        <v>1163</v>
      </c>
      <c r="B836" t="s">
        <v>140</v>
      </c>
      <c r="C836" s="8" t="s">
        <v>21</v>
      </c>
      <c r="D836" s="8">
        <v>18.670000000000002</v>
      </c>
      <c r="E836" s="8">
        <v>14.8</v>
      </c>
      <c r="F836" s="6">
        <v>0.84540000000000004</v>
      </c>
      <c r="G836" t="str">
        <f t="shared" si="39"/>
        <v>Admis</v>
      </c>
      <c r="H836" t="str" cm="1">
        <f t="array" ref="H836">_xlfn.IFS(E836&gt;=16,"Excellent",E836&gt;=14,"Très bien",E836&gt;=12,"Bien",E836&gt;=10,"Passable",E836&lt;10,"Insuffisant")</f>
        <v>Très bien</v>
      </c>
      <c r="I836" t="str">
        <f t="shared" si="40"/>
        <v>RAS</v>
      </c>
      <c r="J836" t="str">
        <f t="shared" si="41"/>
        <v>Data</v>
      </c>
    </row>
    <row r="837" spans="1:10">
      <c r="A837" t="s">
        <v>1164</v>
      </c>
      <c r="B837" t="s">
        <v>414</v>
      </c>
      <c r="C837" s="8" t="s">
        <v>26</v>
      </c>
      <c r="D837" s="8">
        <v>11.31</v>
      </c>
      <c r="E837" s="8">
        <v>13.92</v>
      </c>
      <c r="F837" s="6">
        <v>0.98080000000000001</v>
      </c>
      <c r="G837" t="str">
        <f t="shared" si="39"/>
        <v>Admis sous condition</v>
      </c>
      <c r="H837" t="str" cm="1">
        <f t="array" ref="H837">_xlfn.IFS(E837&gt;=16,"Excellent",E837&gt;=14,"Très bien",E837&gt;=12,"Bien",E837&gt;=10,"Passable",E837&lt;10,"Insuffisant")</f>
        <v>Bien</v>
      </c>
      <c r="I837" t="str">
        <f t="shared" si="40"/>
        <v>RAS</v>
      </c>
      <c r="J837" t="str">
        <f t="shared" si="41"/>
        <v>Autre filière</v>
      </c>
    </row>
    <row r="838" spans="1:10">
      <c r="A838" t="s">
        <v>1165</v>
      </c>
      <c r="B838" t="s">
        <v>101</v>
      </c>
      <c r="C838" s="8" t="s">
        <v>47</v>
      </c>
      <c r="D838" s="8">
        <v>12.72</v>
      </c>
      <c r="E838" s="8">
        <v>11.55</v>
      </c>
      <c r="F838" s="6">
        <v>0.69789999999999996</v>
      </c>
      <c r="G838" t="str">
        <f t="shared" si="39"/>
        <v>Admis sous condition</v>
      </c>
      <c r="H838" t="str" cm="1">
        <f t="array" ref="H838">_xlfn.IFS(E838&gt;=16,"Excellent",E838&gt;=14,"Très bien",E838&gt;=12,"Bien",E838&gt;=10,"Passable",E838&lt;10,"Insuffisant")</f>
        <v>Passable</v>
      </c>
      <c r="I838" t="str">
        <f t="shared" si="40"/>
        <v>A surveiller</v>
      </c>
      <c r="J838" t="str">
        <f t="shared" si="41"/>
        <v>Autre filière</v>
      </c>
    </row>
    <row r="839" spans="1:10">
      <c r="A839" t="s">
        <v>1166</v>
      </c>
      <c r="B839" t="s">
        <v>1035</v>
      </c>
      <c r="C839" s="8" t="s">
        <v>47</v>
      </c>
      <c r="D839" s="8">
        <v>15.64</v>
      </c>
      <c r="E839" s="8">
        <v>11.3</v>
      </c>
      <c r="F839" s="6">
        <v>0.60809999999999997</v>
      </c>
      <c r="G839" t="str">
        <f t="shared" si="39"/>
        <v>Admis sous condition</v>
      </c>
      <c r="H839" t="str" cm="1">
        <f t="array" ref="H839">_xlfn.IFS(E839&gt;=16,"Excellent",E839&gt;=14,"Très bien",E839&gt;=12,"Bien",E839&gt;=10,"Passable",E839&lt;10,"Insuffisant")</f>
        <v>Passable</v>
      </c>
      <c r="I839" t="str">
        <f t="shared" si="40"/>
        <v>A surveiller</v>
      </c>
      <c r="J839" t="str">
        <f t="shared" si="41"/>
        <v>Autre filière</v>
      </c>
    </row>
    <row r="840" spans="1:10">
      <c r="A840" t="s">
        <v>1167</v>
      </c>
      <c r="B840" t="s">
        <v>430</v>
      </c>
      <c r="C840" s="8" t="s">
        <v>26</v>
      </c>
      <c r="D840" s="8">
        <v>5.95</v>
      </c>
      <c r="E840" s="8">
        <v>12.14</v>
      </c>
      <c r="F840" s="6">
        <v>0.7288</v>
      </c>
      <c r="G840" t="str">
        <f t="shared" si="39"/>
        <v>Refuse</v>
      </c>
      <c r="H840" t="str" cm="1">
        <f t="array" ref="H840">_xlfn.IFS(E840&gt;=16,"Excellent",E840&gt;=14,"Très bien",E840&gt;=12,"Bien",E840&gt;=10,"Passable",E840&lt;10,"Insuffisant")</f>
        <v>Bien</v>
      </c>
      <c r="I840" t="str">
        <f t="shared" si="40"/>
        <v>A surveiller</v>
      </c>
      <c r="J840" t="str">
        <f t="shared" si="41"/>
        <v>Autre filière</v>
      </c>
    </row>
    <row r="841" spans="1:10">
      <c r="A841" t="s">
        <v>1168</v>
      </c>
      <c r="B841" t="s">
        <v>517</v>
      </c>
      <c r="C841" s="8" t="s">
        <v>47</v>
      </c>
      <c r="D841" s="8">
        <v>13.63</v>
      </c>
      <c r="E841" s="8">
        <v>18.440000000000001</v>
      </c>
      <c r="F841" s="6">
        <v>0.92059999999999997</v>
      </c>
      <c r="G841" t="str">
        <f t="shared" si="39"/>
        <v>Admis</v>
      </c>
      <c r="H841" t="str" cm="1">
        <f t="array" ref="H841">_xlfn.IFS(E841&gt;=16,"Excellent",E841&gt;=14,"Très bien",E841&gt;=12,"Bien",E841&gt;=10,"Passable",E841&lt;10,"Insuffisant")</f>
        <v>Excellent</v>
      </c>
      <c r="I841" t="str">
        <f t="shared" si="40"/>
        <v>RAS</v>
      </c>
      <c r="J841" t="str">
        <f t="shared" si="41"/>
        <v>Autre filière</v>
      </c>
    </row>
    <row r="842" spans="1:10">
      <c r="A842" t="s">
        <v>1169</v>
      </c>
      <c r="B842" t="s">
        <v>1037</v>
      </c>
      <c r="C842" s="8" t="s">
        <v>21</v>
      </c>
      <c r="D842" s="8">
        <v>13.89</v>
      </c>
      <c r="E842" s="8">
        <v>15.64</v>
      </c>
      <c r="F842" s="6">
        <v>0.69040000000000001</v>
      </c>
      <c r="G842" t="str">
        <f t="shared" si="39"/>
        <v>Admis sous condition</v>
      </c>
      <c r="H842" t="str" cm="1">
        <f t="array" ref="H842">_xlfn.IFS(E842&gt;=16,"Excellent",E842&gt;=14,"Très bien",E842&gt;=12,"Bien",E842&gt;=10,"Passable",E842&lt;10,"Insuffisant")</f>
        <v>Très bien</v>
      </c>
      <c r="I842" t="str">
        <f t="shared" si="40"/>
        <v>A surveiller</v>
      </c>
      <c r="J842" t="str">
        <f t="shared" si="41"/>
        <v>Data</v>
      </c>
    </row>
    <row r="843" spans="1:10">
      <c r="A843" t="s">
        <v>1170</v>
      </c>
      <c r="B843" t="s">
        <v>103</v>
      </c>
      <c r="C843" s="8" t="s">
        <v>47</v>
      </c>
      <c r="D843" s="8">
        <v>19.899999999999999</v>
      </c>
      <c r="E843" s="8">
        <v>12.96</v>
      </c>
      <c r="F843" s="6">
        <v>0.93700000000000006</v>
      </c>
      <c r="G843" t="str">
        <f t="shared" si="39"/>
        <v>Admis</v>
      </c>
      <c r="H843" t="str" cm="1">
        <f t="array" ref="H843">_xlfn.IFS(E843&gt;=16,"Excellent",E843&gt;=14,"Très bien",E843&gt;=12,"Bien",E843&gt;=10,"Passable",E843&lt;10,"Insuffisant")</f>
        <v>Bien</v>
      </c>
      <c r="I843" t="str">
        <f t="shared" si="40"/>
        <v>RAS</v>
      </c>
      <c r="J843" t="str">
        <f t="shared" si="41"/>
        <v>Autre filière</v>
      </c>
    </row>
    <row r="844" spans="1:10">
      <c r="A844" t="s">
        <v>1171</v>
      </c>
      <c r="B844" t="s">
        <v>110</v>
      </c>
      <c r="C844" s="8" t="s">
        <v>47</v>
      </c>
      <c r="D844" s="8">
        <v>16.850000000000001</v>
      </c>
      <c r="E844" s="8">
        <v>15.73</v>
      </c>
      <c r="F844" s="6">
        <v>0.77559999999999996</v>
      </c>
      <c r="G844" t="str">
        <f t="shared" si="39"/>
        <v>Admis sous condition</v>
      </c>
      <c r="H844" t="str" cm="1">
        <f t="array" ref="H844">_xlfn.IFS(E844&gt;=16,"Excellent",E844&gt;=14,"Très bien",E844&gt;=12,"Bien",E844&gt;=10,"Passable",E844&lt;10,"Insuffisant")</f>
        <v>Très bien</v>
      </c>
      <c r="I844" t="str">
        <f t="shared" si="40"/>
        <v>RAS</v>
      </c>
      <c r="J844" t="str">
        <f t="shared" si="41"/>
        <v>Autre filière</v>
      </c>
    </row>
    <row r="845" spans="1:10">
      <c r="A845" t="s">
        <v>1172</v>
      </c>
      <c r="B845" t="s">
        <v>371</v>
      </c>
      <c r="C845" s="8" t="s">
        <v>21</v>
      </c>
      <c r="D845" s="8">
        <v>11.57</v>
      </c>
      <c r="E845" s="8">
        <v>11.27</v>
      </c>
      <c r="F845" s="6">
        <v>0.63160000000000005</v>
      </c>
      <c r="G845" t="str">
        <f t="shared" si="39"/>
        <v>Admis sous condition</v>
      </c>
      <c r="H845" t="str" cm="1">
        <f t="array" ref="H845">_xlfn.IFS(E845&gt;=16,"Excellent",E845&gt;=14,"Très bien",E845&gt;=12,"Bien",E845&gt;=10,"Passable",E845&lt;10,"Insuffisant")</f>
        <v>Passable</v>
      </c>
      <c r="I845" t="str">
        <f t="shared" si="40"/>
        <v>A surveiller</v>
      </c>
      <c r="J845" t="str">
        <f t="shared" si="41"/>
        <v>Data</v>
      </c>
    </row>
    <row r="846" spans="1:10">
      <c r="A846" t="s">
        <v>1173</v>
      </c>
      <c r="B846" t="s">
        <v>273</v>
      </c>
      <c r="C846" s="8" t="s">
        <v>47</v>
      </c>
      <c r="D846" s="8">
        <v>10.63</v>
      </c>
      <c r="E846" s="8">
        <v>7.39</v>
      </c>
      <c r="F846" s="6">
        <v>0.99750000000000005</v>
      </c>
      <c r="G846" t="str">
        <f t="shared" si="39"/>
        <v>Refuse</v>
      </c>
      <c r="H846" t="str" cm="1">
        <f t="array" ref="H846">_xlfn.IFS(E846&gt;=16,"Excellent",E846&gt;=14,"Très bien",E846&gt;=12,"Bien",E846&gt;=10,"Passable",E846&lt;10,"Insuffisant")</f>
        <v>Insuffisant</v>
      </c>
      <c r="I846" t="str">
        <f t="shared" si="40"/>
        <v>A surveiller</v>
      </c>
      <c r="J846" t="str">
        <f t="shared" si="41"/>
        <v>Autre filière</v>
      </c>
    </row>
    <row r="847" spans="1:10">
      <c r="A847" t="s">
        <v>1174</v>
      </c>
      <c r="B847" t="s">
        <v>424</v>
      </c>
      <c r="C847" s="8" t="s">
        <v>34</v>
      </c>
      <c r="D847" s="8">
        <v>15.08</v>
      </c>
      <c r="E847" s="8">
        <v>13.08</v>
      </c>
      <c r="F847" s="6">
        <v>0.91039999999999999</v>
      </c>
      <c r="G847" t="str">
        <f t="shared" si="39"/>
        <v>Admis</v>
      </c>
      <c r="H847" t="str" cm="1">
        <f t="array" ref="H847">_xlfn.IFS(E847&gt;=16,"Excellent",E847&gt;=14,"Très bien",E847&gt;=12,"Bien",E847&gt;=10,"Passable",E847&lt;10,"Insuffisant")</f>
        <v>Bien</v>
      </c>
      <c r="I847" t="str">
        <f t="shared" si="40"/>
        <v>RAS</v>
      </c>
      <c r="J847" t="str">
        <f t="shared" si="41"/>
        <v>Autre filière</v>
      </c>
    </row>
    <row r="848" spans="1:10">
      <c r="A848" t="s">
        <v>1175</v>
      </c>
      <c r="B848" t="s">
        <v>756</v>
      </c>
      <c r="C848" s="8" t="s">
        <v>21</v>
      </c>
      <c r="D848" s="8">
        <v>11.3</v>
      </c>
      <c r="E848" s="8">
        <v>17.8</v>
      </c>
      <c r="F848" s="6">
        <v>0.83069999999999999</v>
      </c>
      <c r="G848" t="str">
        <f t="shared" si="39"/>
        <v>Admis sous condition</v>
      </c>
      <c r="H848" t="str" cm="1">
        <f t="array" ref="H848">_xlfn.IFS(E848&gt;=16,"Excellent",E848&gt;=14,"Très bien",E848&gt;=12,"Bien",E848&gt;=10,"Passable",E848&lt;10,"Insuffisant")</f>
        <v>Excellent</v>
      </c>
      <c r="I848" t="str">
        <f t="shared" si="40"/>
        <v>RAS</v>
      </c>
      <c r="J848" t="str">
        <f t="shared" si="41"/>
        <v>Data</v>
      </c>
    </row>
    <row r="849" spans="1:10">
      <c r="A849" t="s">
        <v>1176</v>
      </c>
      <c r="B849" t="s">
        <v>356</v>
      </c>
      <c r="C849" s="8" t="s">
        <v>34</v>
      </c>
      <c r="D849" s="8">
        <v>16.309999999999999</v>
      </c>
      <c r="E849" s="8">
        <v>14.07</v>
      </c>
      <c r="F849" s="6">
        <v>0.86129999999999995</v>
      </c>
      <c r="G849" t="str">
        <f t="shared" si="39"/>
        <v>Admis</v>
      </c>
      <c r="H849" t="str" cm="1">
        <f t="array" ref="H849">_xlfn.IFS(E849&gt;=16,"Excellent",E849&gt;=14,"Très bien",E849&gt;=12,"Bien",E849&gt;=10,"Passable",E849&lt;10,"Insuffisant")</f>
        <v>Très bien</v>
      </c>
      <c r="I849" t="str">
        <f t="shared" si="40"/>
        <v>RAS</v>
      </c>
      <c r="J849" t="str">
        <f t="shared" si="41"/>
        <v>Autre filière</v>
      </c>
    </row>
    <row r="850" spans="1:10">
      <c r="A850" t="s">
        <v>1177</v>
      </c>
      <c r="B850" t="s">
        <v>948</v>
      </c>
      <c r="C850" s="8" t="s">
        <v>34</v>
      </c>
      <c r="D850" s="8">
        <v>8.91</v>
      </c>
      <c r="E850" s="8">
        <v>16.3</v>
      </c>
      <c r="F850" s="6">
        <v>0.55000000000000004</v>
      </c>
      <c r="G850" t="str">
        <f t="shared" si="39"/>
        <v>Refuse</v>
      </c>
      <c r="H850" t="str" cm="1">
        <f t="array" ref="H850">_xlfn.IFS(E850&gt;=16,"Excellent",E850&gt;=14,"Très bien",E850&gt;=12,"Bien",E850&gt;=10,"Passable",E850&lt;10,"Insuffisant")</f>
        <v>Excellent</v>
      </c>
      <c r="I850" t="str">
        <f t="shared" si="40"/>
        <v>A surveiller</v>
      </c>
      <c r="J850" t="str">
        <f t="shared" si="41"/>
        <v>Autre filière</v>
      </c>
    </row>
    <row r="851" spans="1:10">
      <c r="A851" t="s">
        <v>1178</v>
      </c>
      <c r="B851" t="s">
        <v>747</v>
      </c>
      <c r="C851" s="8" t="s">
        <v>34</v>
      </c>
      <c r="D851" s="8">
        <v>18.88</v>
      </c>
      <c r="E851" s="8">
        <v>12.48</v>
      </c>
      <c r="F851" s="6">
        <v>0.55000000000000004</v>
      </c>
      <c r="G851" t="str">
        <f t="shared" si="39"/>
        <v>Admis sous condition</v>
      </c>
      <c r="H851" t="str" cm="1">
        <f t="array" ref="H851">_xlfn.IFS(E851&gt;=16,"Excellent",E851&gt;=14,"Très bien",E851&gt;=12,"Bien",E851&gt;=10,"Passable",E851&lt;10,"Insuffisant")</f>
        <v>Bien</v>
      </c>
      <c r="I851" t="str">
        <f t="shared" si="40"/>
        <v>A surveiller</v>
      </c>
      <c r="J851" t="str">
        <f t="shared" si="41"/>
        <v>Autre filière</v>
      </c>
    </row>
    <row r="852" spans="1:10">
      <c r="A852" t="s">
        <v>1179</v>
      </c>
      <c r="B852" t="s">
        <v>478</v>
      </c>
      <c r="C852" s="8" t="s">
        <v>34</v>
      </c>
      <c r="D852" s="8">
        <v>16.55</v>
      </c>
      <c r="E852" s="8">
        <v>17.45</v>
      </c>
      <c r="F852" s="6">
        <v>0.91310000000000002</v>
      </c>
      <c r="G852" t="str">
        <f t="shared" si="39"/>
        <v>Admis</v>
      </c>
      <c r="H852" t="str" cm="1">
        <f t="array" ref="H852">_xlfn.IFS(E852&gt;=16,"Excellent",E852&gt;=14,"Très bien",E852&gt;=12,"Bien",E852&gt;=10,"Passable",E852&lt;10,"Insuffisant")</f>
        <v>Excellent</v>
      </c>
      <c r="I852" t="str">
        <f t="shared" si="40"/>
        <v>RAS</v>
      </c>
      <c r="J852" t="str">
        <f t="shared" si="41"/>
        <v>Autre filière</v>
      </c>
    </row>
    <row r="853" spans="1:10">
      <c r="A853" t="s">
        <v>1180</v>
      </c>
      <c r="B853" t="s">
        <v>236</v>
      </c>
      <c r="C853" s="8" t="s">
        <v>47</v>
      </c>
      <c r="D853" s="8">
        <v>9.02</v>
      </c>
      <c r="E853" s="8">
        <v>19.61</v>
      </c>
      <c r="F853" s="6">
        <v>0.95920000000000005</v>
      </c>
      <c r="G853" t="str">
        <f t="shared" si="39"/>
        <v>Refuse</v>
      </c>
      <c r="H853" t="str" cm="1">
        <f t="array" ref="H853">_xlfn.IFS(E853&gt;=16,"Excellent",E853&gt;=14,"Très bien",E853&gt;=12,"Bien",E853&gt;=10,"Passable",E853&lt;10,"Insuffisant")</f>
        <v>Excellent</v>
      </c>
      <c r="I853" t="str">
        <f t="shared" si="40"/>
        <v>A surveiller</v>
      </c>
      <c r="J853" t="str">
        <f t="shared" si="41"/>
        <v>Autre filière</v>
      </c>
    </row>
    <row r="854" spans="1:10">
      <c r="A854" t="s">
        <v>1181</v>
      </c>
      <c r="B854" t="s">
        <v>407</v>
      </c>
      <c r="C854" s="8" t="s">
        <v>34</v>
      </c>
      <c r="D854" s="8">
        <v>12.02</v>
      </c>
      <c r="E854" s="8">
        <v>13.04</v>
      </c>
      <c r="F854" s="6">
        <v>0.96989999999999998</v>
      </c>
      <c r="G854" t="str">
        <f t="shared" si="39"/>
        <v>Admis</v>
      </c>
      <c r="H854" t="str" cm="1">
        <f t="array" ref="H854">_xlfn.IFS(E854&gt;=16,"Excellent",E854&gt;=14,"Très bien",E854&gt;=12,"Bien",E854&gt;=10,"Passable",E854&lt;10,"Insuffisant")</f>
        <v>Bien</v>
      </c>
      <c r="I854" t="str">
        <f t="shared" si="40"/>
        <v>RAS</v>
      </c>
      <c r="J854" t="str">
        <f t="shared" si="41"/>
        <v>Autre filière</v>
      </c>
    </row>
    <row r="855" spans="1:10">
      <c r="A855" t="s">
        <v>1182</v>
      </c>
      <c r="B855" t="s">
        <v>1183</v>
      </c>
      <c r="C855" s="8" t="s">
        <v>34</v>
      </c>
      <c r="D855" s="8">
        <v>9.0399999999999991</v>
      </c>
      <c r="E855" s="8">
        <v>7.22</v>
      </c>
      <c r="F855" s="6">
        <v>0.86260000000000003</v>
      </c>
      <c r="G855" t="str">
        <f t="shared" si="39"/>
        <v>Refuse</v>
      </c>
      <c r="H855" t="str" cm="1">
        <f t="array" ref="H855">_xlfn.IFS(E855&gt;=16,"Excellent",E855&gt;=14,"Très bien",E855&gt;=12,"Bien",E855&gt;=10,"Passable",E855&lt;10,"Insuffisant")</f>
        <v>Insuffisant</v>
      </c>
      <c r="I855" t="str">
        <f t="shared" si="40"/>
        <v>A surveiller</v>
      </c>
      <c r="J855" t="str">
        <f t="shared" si="41"/>
        <v>Autre filière</v>
      </c>
    </row>
    <row r="856" spans="1:10">
      <c r="A856" t="s">
        <v>1184</v>
      </c>
      <c r="B856" t="s">
        <v>929</v>
      </c>
      <c r="C856" s="8" t="s">
        <v>26</v>
      </c>
      <c r="D856" s="8">
        <v>15.13</v>
      </c>
      <c r="E856" s="8">
        <v>13.28</v>
      </c>
      <c r="F856" s="6">
        <v>0.8266</v>
      </c>
      <c r="G856" t="str">
        <f t="shared" si="39"/>
        <v>Admis</v>
      </c>
      <c r="H856" t="str" cm="1">
        <f t="array" ref="H856">_xlfn.IFS(E856&gt;=16,"Excellent",E856&gt;=14,"Très bien",E856&gt;=12,"Bien",E856&gt;=10,"Passable",E856&lt;10,"Insuffisant")</f>
        <v>Bien</v>
      </c>
      <c r="I856" t="str">
        <f t="shared" si="40"/>
        <v>RAS</v>
      </c>
      <c r="J856" t="str">
        <f t="shared" si="41"/>
        <v>Autre filière</v>
      </c>
    </row>
    <row r="857" spans="1:10">
      <c r="A857" t="s">
        <v>1185</v>
      </c>
      <c r="B857" t="s">
        <v>911</v>
      </c>
      <c r="C857" s="8" t="s">
        <v>21</v>
      </c>
      <c r="D857" s="8">
        <v>18.489999999999998</v>
      </c>
      <c r="E857" s="8">
        <v>19.5</v>
      </c>
      <c r="F857" s="6">
        <v>0.88739999999999997</v>
      </c>
      <c r="G857" t="str">
        <f t="shared" si="39"/>
        <v>Admis</v>
      </c>
      <c r="H857" t="str" cm="1">
        <f t="array" ref="H857">_xlfn.IFS(E857&gt;=16,"Excellent",E857&gt;=14,"Très bien",E857&gt;=12,"Bien",E857&gt;=10,"Passable",E857&lt;10,"Insuffisant")</f>
        <v>Excellent</v>
      </c>
      <c r="I857" t="str">
        <f t="shared" si="40"/>
        <v>RAS</v>
      </c>
      <c r="J857" t="str">
        <f t="shared" si="41"/>
        <v>Data</v>
      </c>
    </row>
    <row r="858" spans="1:10">
      <c r="A858" t="s">
        <v>1186</v>
      </c>
      <c r="B858" t="s">
        <v>599</v>
      </c>
      <c r="C858" s="8" t="s">
        <v>34</v>
      </c>
      <c r="D858" s="8">
        <v>13.43</v>
      </c>
      <c r="E858" s="8">
        <v>13.81</v>
      </c>
      <c r="F858" s="6">
        <v>0.57750000000000001</v>
      </c>
      <c r="G858" t="str">
        <f t="shared" si="39"/>
        <v>Admis sous condition</v>
      </c>
      <c r="H858" t="str" cm="1">
        <f t="array" ref="H858">_xlfn.IFS(E858&gt;=16,"Excellent",E858&gt;=14,"Très bien",E858&gt;=12,"Bien",E858&gt;=10,"Passable",E858&lt;10,"Insuffisant")</f>
        <v>Bien</v>
      </c>
      <c r="I858" t="str">
        <f t="shared" si="40"/>
        <v>A surveiller</v>
      </c>
      <c r="J858" t="str">
        <f t="shared" si="41"/>
        <v>Autre filière</v>
      </c>
    </row>
    <row r="859" spans="1:10">
      <c r="A859" t="s">
        <v>1187</v>
      </c>
      <c r="B859" t="s">
        <v>678</v>
      </c>
      <c r="C859" s="8" t="s">
        <v>21</v>
      </c>
      <c r="D859" s="8">
        <v>8.16</v>
      </c>
      <c r="E859" s="8">
        <v>11.03</v>
      </c>
      <c r="F859" s="6">
        <v>0.82110000000000005</v>
      </c>
      <c r="G859" t="str">
        <f t="shared" si="39"/>
        <v>Refuse</v>
      </c>
      <c r="H859" t="str" cm="1">
        <f t="array" ref="H859">_xlfn.IFS(E859&gt;=16,"Excellent",E859&gt;=14,"Très bien",E859&gt;=12,"Bien",E859&gt;=10,"Passable",E859&lt;10,"Insuffisant")</f>
        <v>Passable</v>
      </c>
      <c r="I859" t="str">
        <f t="shared" si="40"/>
        <v>A surveiller</v>
      </c>
      <c r="J859" t="str">
        <f t="shared" si="41"/>
        <v>Data</v>
      </c>
    </row>
    <row r="860" spans="1:10">
      <c r="A860" t="s">
        <v>1188</v>
      </c>
      <c r="B860" t="s">
        <v>42</v>
      </c>
      <c r="C860" s="8" t="s">
        <v>26</v>
      </c>
      <c r="D860" s="8">
        <v>15.23</v>
      </c>
      <c r="E860" s="8">
        <v>12.87</v>
      </c>
      <c r="F860" s="6">
        <v>0.97829999999999995</v>
      </c>
      <c r="G860" t="str">
        <f t="shared" si="39"/>
        <v>Admis</v>
      </c>
      <c r="H860" t="str" cm="1">
        <f t="array" ref="H860">_xlfn.IFS(E860&gt;=16,"Excellent",E860&gt;=14,"Très bien",E860&gt;=12,"Bien",E860&gt;=10,"Passable",E860&lt;10,"Insuffisant")</f>
        <v>Bien</v>
      </c>
      <c r="I860" t="str">
        <f t="shared" si="40"/>
        <v>RAS</v>
      </c>
      <c r="J860" t="str">
        <f t="shared" si="41"/>
        <v>Autre filière</v>
      </c>
    </row>
    <row r="861" spans="1:10">
      <c r="A861" t="s">
        <v>1189</v>
      </c>
      <c r="B861" t="s">
        <v>51</v>
      </c>
      <c r="C861" s="8" t="s">
        <v>21</v>
      </c>
      <c r="D861" s="8">
        <v>15.98</v>
      </c>
      <c r="E861" s="8">
        <v>19.53</v>
      </c>
      <c r="F861" s="6">
        <v>0.85309999999999997</v>
      </c>
      <c r="G861" t="str">
        <f t="shared" si="39"/>
        <v>Admis</v>
      </c>
      <c r="H861" t="str" cm="1">
        <f t="array" ref="H861">_xlfn.IFS(E861&gt;=16,"Excellent",E861&gt;=14,"Très bien",E861&gt;=12,"Bien",E861&gt;=10,"Passable",E861&lt;10,"Insuffisant")</f>
        <v>Excellent</v>
      </c>
      <c r="I861" t="str">
        <f t="shared" si="40"/>
        <v>RAS</v>
      </c>
      <c r="J861" t="str">
        <f t="shared" si="41"/>
        <v>Data</v>
      </c>
    </row>
    <row r="862" spans="1:10">
      <c r="A862" t="s">
        <v>1190</v>
      </c>
      <c r="B862" t="s">
        <v>650</v>
      </c>
      <c r="C862" s="8" t="s">
        <v>26</v>
      </c>
      <c r="D862" s="8">
        <v>17.100000000000001</v>
      </c>
      <c r="E862" s="8">
        <v>20</v>
      </c>
      <c r="F862" s="6">
        <v>0.83660000000000001</v>
      </c>
      <c r="G862" t="str">
        <f t="shared" si="39"/>
        <v>Admis</v>
      </c>
      <c r="H862" t="str" cm="1">
        <f t="array" ref="H862">_xlfn.IFS(E862&gt;=16,"Excellent",E862&gt;=14,"Très bien",E862&gt;=12,"Bien",E862&gt;=10,"Passable",E862&lt;10,"Insuffisant")</f>
        <v>Excellent</v>
      </c>
      <c r="I862" t="str">
        <f t="shared" si="40"/>
        <v>RAS</v>
      </c>
      <c r="J862" t="str">
        <f t="shared" si="41"/>
        <v>Autre filière</v>
      </c>
    </row>
    <row r="863" spans="1:10">
      <c r="A863" t="s">
        <v>1191</v>
      </c>
      <c r="B863" t="s">
        <v>341</v>
      </c>
      <c r="C863" s="8" t="s">
        <v>21</v>
      </c>
      <c r="D863" s="8">
        <v>13.75</v>
      </c>
      <c r="E863" s="8">
        <v>11.18</v>
      </c>
      <c r="F863" s="6">
        <v>0.8891</v>
      </c>
      <c r="G863" t="str">
        <f t="shared" si="39"/>
        <v>Admis sous condition</v>
      </c>
      <c r="H863" t="str" cm="1">
        <f t="array" ref="H863">_xlfn.IFS(E863&gt;=16,"Excellent",E863&gt;=14,"Très bien",E863&gt;=12,"Bien",E863&gt;=10,"Passable",E863&lt;10,"Insuffisant")</f>
        <v>Passable</v>
      </c>
      <c r="I863" t="str">
        <f t="shared" si="40"/>
        <v>RAS</v>
      </c>
      <c r="J863" t="str">
        <f t="shared" si="41"/>
        <v>Data</v>
      </c>
    </row>
    <row r="864" spans="1:10">
      <c r="A864" t="s">
        <v>1192</v>
      </c>
      <c r="B864" t="s">
        <v>1073</v>
      </c>
      <c r="C864" s="8" t="s">
        <v>34</v>
      </c>
      <c r="D864" s="8">
        <v>11</v>
      </c>
      <c r="E864" s="8">
        <v>10.53</v>
      </c>
      <c r="F864" s="6">
        <v>0.99199999999999999</v>
      </c>
      <c r="G864" t="str">
        <f t="shared" si="39"/>
        <v>Admis sous condition</v>
      </c>
      <c r="H864" t="str" cm="1">
        <f t="array" ref="H864">_xlfn.IFS(E864&gt;=16,"Excellent",E864&gt;=14,"Très bien",E864&gt;=12,"Bien",E864&gt;=10,"Passable",E864&lt;10,"Insuffisant")</f>
        <v>Passable</v>
      </c>
      <c r="I864" t="str">
        <f t="shared" si="40"/>
        <v>RAS</v>
      </c>
      <c r="J864" t="str">
        <f t="shared" si="41"/>
        <v>Autre filière</v>
      </c>
    </row>
    <row r="865" spans="1:10">
      <c r="A865" t="s">
        <v>1193</v>
      </c>
      <c r="B865" t="s">
        <v>666</v>
      </c>
      <c r="C865" s="8" t="s">
        <v>47</v>
      </c>
      <c r="D865" s="8">
        <v>16.28</v>
      </c>
      <c r="E865" s="8">
        <v>19.170000000000002</v>
      </c>
      <c r="F865" s="6">
        <v>0.71740000000000004</v>
      </c>
      <c r="G865" t="str">
        <f t="shared" si="39"/>
        <v>Admis sous condition</v>
      </c>
      <c r="H865" t="str" cm="1">
        <f t="array" ref="H865">_xlfn.IFS(E865&gt;=16,"Excellent",E865&gt;=14,"Très bien",E865&gt;=12,"Bien",E865&gt;=10,"Passable",E865&lt;10,"Insuffisant")</f>
        <v>Excellent</v>
      </c>
      <c r="I865" t="str">
        <f t="shared" si="40"/>
        <v>RAS</v>
      </c>
      <c r="J865" t="str">
        <f t="shared" si="41"/>
        <v>Autre filière</v>
      </c>
    </row>
    <row r="866" spans="1:10">
      <c r="A866" t="s">
        <v>1194</v>
      </c>
      <c r="B866" t="s">
        <v>76</v>
      </c>
      <c r="C866" s="8" t="s">
        <v>26</v>
      </c>
      <c r="D866" s="8">
        <v>13.81</v>
      </c>
      <c r="E866" s="8">
        <v>13.06</v>
      </c>
      <c r="F866" s="6">
        <v>0.81459999999999999</v>
      </c>
      <c r="G866" t="str">
        <f t="shared" si="39"/>
        <v>Admis</v>
      </c>
      <c r="H866" t="str" cm="1">
        <f t="array" ref="H866">_xlfn.IFS(E866&gt;=16,"Excellent",E866&gt;=14,"Très bien",E866&gt;=12,"Bien",E866&gt;=10,"Passable",E866&lt;10,"Insuffisant")</f>
        <v>Bien</v>
      </c>
      <c r="I866" t="str">
        <f t="shared" si="40"/>
        <v>RAS</v>
      </c>
      <c r="J866" t="str">
        <f t="shared" si="41"/>
        <v>Autre filière</v>
      </c>
    </row>
    <row r="867" spans="1:10">
      <c r="A867" t="s">
        <v>1195</v>
      </c>
      <c r="B867" t="s">
        <v>203</v>
      </c>
      <c r="C867" s="8" t="s">
        <v>21</v>
      </c>
      <c r="D867" s="8">
        <v>6.95</v>
      </c>
      <c r="E867" s="8">
        <v>8.14</v>
      </c>
      <c r="F867" s="6">
        <v>0.88529999999999998</v>
      </c>
      <c r="G867" t="str">
        <f t="shared" si="39"/>
        <v>Refuse</v>
      </c>
      <c r="H867" t="str" cm="1">
        <f t="array" ref="H867">_xlfn.IFS(E867&gt;=16,"Excellent",E867&gt;=14,"Très bien",E867&gt;=12,"Bien",E867&gt;=10,"Passable",E867&lt;10,"Insuffisant")</f>
        <v>Insuffisant</v>
      </c>
      <c r="I867" t="str">
        <f t="shared" si="40"/>
        <v>A surveiller</v>
      </c>
      <c r="J867" t="str">
        <f t="shared" si="41"/>
        <v>Data</v>
      </c>
    </row>
    <row r="868" spans="1:10">
      <c r="A868" t="s">
        <v>1196</v>
      </c>
      <c r="B868" t="s">
        <v>414</v>
      </c>
      <c r="C868" s="8" t="s">
        <v>21</v>
      </c>
      <c r="D868" s="8">
        <v>11.76</v>
      </c>
      <c r="E868" s="8">
        <v>10.98</v>
      </c>
      <c r="F868" s="6">
        <v>0.9496</v>
      </c>
      <c r="G868" t="str">
        <f t="shared" si="39"/>
        <v>Admis sous condition</v>
      </c>
      <c r="H868" t="str" cm="1">
        <f t="array" ref="H868">_xlfn.IFS(E868&gt;=16,"Excellent",E868&gt;=14,"Très bien",E868&gt;=12,"Bien",E868&gt;=10,"Passable",E868&lt;10,"Insuffisant")</f>
        <v>Passable</v>
      </c>
      <c r="I868" t="str">
        <f t="shared" si="40"/>
        <v>RAS</v>
      </c>
      <c r="J868" t="str">
        <f t="shared" si="41"/>
        <v>Data</v>
      </c>
    </row>
    <row r="869" spans="1:10">
      <c r="A869" t="s">
        <v>1197</v>
      </c>
      <c r="B869" t="s">
        <v>279</v>
      </c>
      <c r="C869" s="8" t="s">
        <v>26</v>
      </c>
      <c r="D869" s="8">
        <v>15.15</v>
      </c>
      <c r="E869" s="8">
        <v>13.9</v>
      </c>
      <c r="F869" s="6">
        <v>0.7762</v>
      </c>
      <c r="G869" t="str">
        <f t="shared" si="39"/>
        <v>Admis sous condition</v>
      </c>
      <c r="H869" t="str" cm="1">
        <f t="array" ref="H869">_xlfn.IFS(E869&gt;=16,"Excellent",E869&gt;=14,"Très bien",E869&gt;=12,"Bien",E869&gt;=10,"Passable",E869&lt;10,"Insuffisant")</f>
        <v>Bien</v>
      </c>
      <c r="I869" t="str">
        <f t="shared" si="40"/>
        <v>RAS</v>
      </c>
      <c r="J869" t="str">
        <f t="shared" si="41"/>
        <v>Autre filière</v>
      </c>
    </row>
    <row r="870" spans="1:10">
      <c r="A870" t="s">
        <v>1198</v>
      </c>
      <c r="B870" t="s">
        <v>491</v>
      </c>
      <c r="C870" s="8" t="s">
        <v>34</v>
      </c>
      <c r="D870" s="8">
        <v>18.100000000000001</v>
      </c>
      <c r="E870" s="8">
        <v>10.75</v>
      </c>
      <c r="F870" s="6">
        <v>0.78990000000000005</v>
      </c>
      <c r="G870" t="str">
        <f t="shared" si="39"/>
        <v>Admis sous condition</v>
      </c>
      <c r="H870" t="str" cm="1">
        <f t="array" ref="H870">_xlfn.IFS(E870&gt;=16,"Excellent",E870&gt;=14,"Très bien",E870&gt;=12,"Bien",E870&gt;=10,"Passable",E870&lt;10,"Insuffisant")</f>
        <v>Passable</v>
      </c>
      <c r="I870" t="str">
        <f t="shared" si="40"/>
        <v>RAS</v>
      </c>
      <c r="J870" t="str">
        <f t="shared" si="41"/>
        <v>Autre filière</v>
      </c>
    </row>
    <row r="871" spans="1:10">
      <c r="A871" t="s">
        <v>1199</v>
      </c>
      <c r="B871" t="s">
        <v>44</v>
      </c>
      <c r="C871" s="8" t="s">
        <v>21</v>
      </c>
      <c r="D871" s="8">
        <v>15.39</v>
      </c>
      <c r="E871" s="8">
        <v>12.94</v>
      </c>
      <c r="F871" s="6">
        <v>0.86750000000000005</v>
      </c>
      <c r="G871" t="str">
        <f t="shared" si="39"/>
        <v>Admis</v>
      </c>
      <c r="H871" t="str" cm="1">
        <f t="array" ref="H871">_xlfn.IFS(E871&gt;=16,"Excellent",E871&gt;=14,"Très bien",E871&gt;=12,"Bien",E871&gt;=10,"Passable",E871&lt;10,"Insuffisant")</f>
        <v>Bien</v>
      </c>
      <c r="I871" t="str">
        <f t="shared" si="40"/>
        <v>RAS</v>
      </c>
      <c r="J871" t="str">
        <f t="shared" si="41"/>
        <v>Data</v>
      </c>
    </row>
    <row r="872" spans="1:10">
      <c r="A872" t="s">
        <v>1200</v>
      </c>
      <c r="B872" t="s">
        <v>563</v>
      </c>
      <c r="C872" s="8" t="s">
        <v>47</v>
      </c>
      <c r="D872" s="8">
        <v>8.98</v>
      </c>
      <c r="E872" s="8">
        <v>14.61</v>
      </c>
      <c r="F872" s="6">
        <v>0.97450000000000003</v>
      </c>
      <c r="G872" t="str">
        <f t="shared" si="39"/>
        <v>Refuse</v>
      </c>
      <c r="H872" t="str" cm="1">
        <f t="array" ref="H872">_xlfn.IFS(E872&gt;=16,"Excellent",E872&gt;=14,"Très bien",E872&gt;=12,"Bien",E872&gt;=10,"Passable",E872&lt;10,"Insuffisant")</f>
        <v>Très bien</v>
      </c>
      <c r="I872" t="str">
        <f t="shared" si="40"/>
        <v>A surveiller</v>
      </c>
      <c r="J872" t="str">
        <f t="shared" si="41"/>
        <v>Autre filière</v>
      </c>
    </row>
    <row r="873" spans="1:10">
      <c r="A873" t="s">
        <v>1201</v>
      </c>
      <c r="B873" t="s">
        <v>574</v>
      </c>
      <c r="C873" s="8" t="s">
        <v>21</v>
      </c>
      <c r="D873" s="8">
        <v>10.8</v>
      </c>
      <c r="E873" s="8">
        <v>17.010000000000002</v>
      </c>
      <c r="F873" s="6">
        <v>0.97970000000000002</v>
      </c>
      <c r="G873" t="str">
        <f t="shared" si="39"/>
        <v>Admis sous condition</v>
      </c>
      <c r="H873" t="str" cm="1">
        <f t="array" ref="H873">_xlfn.IFS(E873&gt;=16,"Excellent",E873&gt;=14,"Très bien",E873&gt;=12,"Bien",E873&gt;=10,"Passable",E873&lt;10,"Insuffisant")</f>
        <v>Excellent</v>
      </c>
      <c r="I873" t="str">
        <f t="shared" si="40"/>
        <v>RAS</v>
      </c>
      <c r="J873" t="str">
        <f t="shared" si="41"/>
        <v>Data</v>
      </c>
    </row>
    <row r="874" spans="1:10">
      <c r="A874" t="s">
        <v>1202</v>
      </c>
      <c r="B874" t="s">
        <v>1203</v>
      </c>
      <c r="C874" s="8" t="s">
        <v>26</v>
      </c>
      <c r="D874" s="8">
        <v>12.59</v>
      </c>
      <c r="E874" s="8">
        <v>11.96</v>
      </c>
      <c r="F874" s="6">
        <v>0.92959999999999998</v>
      </c>
      <c r="G874" t="str">
        <f t="shared" si="39"/>
        <v>Admis sous condition</v>
      </c>
      <c r="H874" t="str" cm="1">
        <f t="array" ref="H874">_xlfn.IFS(E874&gt;=16,"Excellent",E874&gt;=14,"Très bien",E874&gt;=12,"Bien",E874&gt;=10,"Passable",E874&lt;10,"Insuffisant")</f>
        <v>Passable</v>
      </c>
      <c r="I874" t="str">
        <f t="shared" si="40"/>
        <v>RAS</v>
      </c>
      <c r="J874" t="str">
        <f t="shared" si="41"/>
        <v>Autre filière</v>
      </c>
    </row>
    <row r="875" spans="1:10">
      <c r="A875" t="s">
        <v>1204</v>
      </c>
      <c r="B875" t="s">
        <v>736</v>
      </c>
      <c r="C875" s="8" t="s">
        <v>26</v>
      </c>
      <c r="D875" s="8">
        <v>11.64</v>
      </c>
      <c r="E875" s="8">
        <v>10.46</v>
      </c>
      <c r="F875" s="6">
        <v>0.6784</v>
      </c>
      <c r="G875" t="str">
        <f t="shared" si="39"/>
        <v>Admis sous condition</v>
      </c>
      <c r="H875" t="str" cm="1">
        <f t="array" ref="H875">_xlfn.IFS(E875&gt;=16,"Excellent",E875&gt;=14,"Très bien",E875&gt;=12,"Bien",E875&gt;=10,"Passable",E875&lt;10,"Insuffisant")</f>
        <v>Passable</v>
      </c>
      <c r="I875" t="str">
        <f t="shared" si="40"/>
        <v>A surveiller</v>
      </c>
      <c r="J875" t="str">
        <f t="shared" si="41"/>
        <v>Autre filière</v>
      </c>
    </row>
    <row r="876" spans="1:10">
      <c r="A876" t="s">
        <v>1205</v>
      </c>
      <c r="B876" t="s">
        <v>316</v>
      </c>
      <c r="C876" s="8" t="s">
        <v>26</v>
      </c>
      <c r="D876" s="8">
        <v>16.04</v>
      </c>
      <c r="E876" s="8">
        <v>13.87</v>
      </c>
      <c r="F876" s="6">
        <v>0.68859999999999999</v>
      </c>
      <c r="G876" t="str">
        <f t="shared" si="39"/>
        <v>Admis sous condition</v>
      </c>
      <c r="H876" t="str" cm="1">
        <f t="array" ref="H876">_xlfn.IFS(E876&gt;=16,"Excellent",E876&gt;=14,"Très bien",E876&gt;=12,"Bien",E876&gt;=10,"Passable",E876&lt;10,"Insuffisant")</f>
        <v>Bien</v>
      </c>
      <c r="I876" t="str">
        <f t="shared" si="40"/>
        <v>A surveiller</v>
      </c>
      <c r="J876" t="str">
        <f t="shared" si="41"/>
        <v>Autre filière</v>
      </c>
    </row>
    <row r="877" spans="1:10">
      <c r="A877" t="s">
        <v>1206</v>
      </c>
      <c r="B877" t="s">
        <v>776</v>
      </c>
      <c r="C877" s="8" t="s">
        <v>34</v>
      </c>
      <c r="D877" s="8">
        <v>14.02</v>
      </c>
      <c r="E877" s="8">
        <v>20</v>
      </c>
      <c r="F877" s="6">
        <v>0.92969999999999997</v>
      </c>
      <c r="G877" t="str">
        <f t="shared" si="39"/>
        <v>Admis</v>
      </c>
      <c r="H877" t="str" cm="1">
        <f t="array" ref="H877">_xlfn.IFS(E877&gt;=16,"Excellent",E877&gt;=14,"Très bien",E877&gt;=12,"Bien",E877&gt;=10,"Passable",E877&lt;10,"Insuffisant")</f>
        <v>Excellent</v>
      </c>
      <c r="I877" t="str">
        <f t="shared" si="40"/>
        <v>RAS</v>
      </c>
      <c r="J877" t="str">
        <f t="shared" si="41"/>
        <v>Autre filière</v>
      </c>
    </row>
    <row r="878" spans="1:10">
      <c r="A878" t="s">
        <v>1207</v>
      </c>
      <c r="B878" t="s">
        <v>54</v>
      </c>
      <c r="C878" s="8" t="s">
        <v>21</v>
      </c>
      <c r="D878" s="8">
        <v>10.08</v>
      </c>
      <c r="E878" s="8">
        <v>8.74</v>
      </c>
      <c r="F878" s="6">
        <v>0.97289999999999999</v>
      </c>
      <c r="G878" t="str">
        <f t="shared" si="39"/>
        <v>Refuse</v>
      </c>
      <c r="H878" t="str" cm="1">
        <f t="array" ref="H878">_xlfn.IFS(E878&gt;=16,"Excellent",E878&gt;=14,"Très bien",E878&gt;=12,"Bien",E878&gt;=10,"Passable",E878&lt;10,"Insuffisant")</f>
        <v>Insuffisant</v>
      </c>
      <c r="I878" t="str">
        <f t="shared" si="40"/>
        <v>A surveiller</v>
      </c>
      <c r="J878" t="str">
        <f t="shared" si="41"/>
        <v>Data</v>
      </c>
    </row>
    <row r="879" spans="1:10">
      <c r="A879" t="s">
        <v>1208</v>
      </c>
      <c r="B879" t="s">
        <v>441</v>
      </c>
      <c r="C879" s="8" t="s">
        <v>34</v>
      </c>
      <c r="D879" s="8">
        <v>11.69</v>
      </c>
      <c r="E879" s="8">
        <v>10.88</v>
      </c>
      <c r="F879" s="6">
        <v>0.82310000000000005</v>
      </c>
      <c r="G879" t="str">
        <f t="shared" si="39"/>
        <v>Admis sous condition</v>
      </c>
      <c r="H879" t="str" cm="1">
        <f t="array" ref="H879">_xlfn.IFS(E879&gt;=16,"Excellent",E879&gt;=14,"Très bien",E879&gt;=12,"Bien",E879&gt;=10,"Passable",E879&lt;10,"Insuffisant")</f>
        <v>Passable</v>
      </c>
      <c r="I879" t="str">
        <f t="shared" si="40"/>
        <v>RAS</v>
      </c>
      <c r="J879" t="str">
        <f t="shared" si="41"/>
        <v>Autre filière</v>
      </c>
    </row>
    <row r="880" spans="1:10">
      <c r="A880" t="s">
        <v>1209</v>
      </c>
      <c r="B880" t="s">
        <v>23</v>
      </c>
      <c r="C880" s="8" t="s">
        <v>34</v>
      </c>
      <c r="D880" s="8">
        <v>6.81</v>
      </c>
      <c r="E880" s="8">
        <v>4.55</v>
      </c>
      <c r="F880" s="6">
        <v>0.77610000000000001</v>
      </c>
      <c r="G880" t="str">
        <f t="shared" si="39"/>
        <v>Refuse</v>
      </c>
      <c r="H880" t="str" cm="1">
        <f t="array" ref="H880">_xlfn.IFS(E880&gt;=16,"Excellent",E880&gt;=14,"Très bien",E880&gt;=12,"Bien",E880&gt;=10,"Passable",E880&lt;10,"Insuffisant")</f>
        <v>Insuffisant</v>
      </c>
      <c r="I880" t="str">
        <f t="shared" si="40"/>
        <v>A surveiller</v>
      </c>
      <c r="J880" t="str">
        <f t="shared" si="41"/>
        <v>Autre filière</v>
      </c>
    </row>
    <row r="881" spans="1:10">
      <c r="A881" t="s">
        <v>1210</v>
      </c>
      <c r="B881" t="s">
        <v>126</v>
      </c>
      <c r="C881" s="8" t="s">
        <v>26</v>
      </c>
      <c r="D881" s="8">
        <v>12.65</v>
      </c>
      <c r="E881" s="8">
        <v>17.14</v>
      </c>
      <c r="F881" s="6">
        <v>0.94079999999999997</v>
      </c>
      <c r="G881" t="str">
        <f t="shared" si="39"/>
        <v>Admis</v>
      </c>
      <c r="H881" t="str" cm="1">
        <f t="array" ref="H881">_xlfn.IFS(E881&gt;=16,"Excellent",E881&gt;=14,"Très bien",E881&gt;=12,"Bien",E881&gt;=10,"Passable",E881&lt;10,"Insuffisant")</f>
        <v>Excellent</v>
      </c>
      <c r="I881" t="str">
        <f t="shared" si="40"/>
        <v>RAS</v>
      </c>
      <c r="J881" t="str">
        <f t="shared" si="41"/>
        <v>Autre filière</v>
      </c>
    </row>
    <row r="882" spans="1:10">
      <c r="A882" t="s">
        <v>1211</v>
      </c>
      <c r="B882" t="s">
        <v>606</v>
      </c>
      <c r="C882" s="8" t="s">
        <v>47</v>
      </c>
      <c r="D882" s="8">
        <v>10.42</v>
      </c>
      <c r="E882" s="8">
        <v>9.52</v>
      </c>
      <c r="F882" s="6">
        <v>0.65229999999999999</v>
      </c>
      <c r="G882" t="str">
        <f t="shared" si="39"/>
        <v>Refuse</v>
      </c>
      <c r="H882" t="str" cm="1">
        <f t="array" ref="H882">_xlfn.IFS(E882&gt;=16,"Excellent",E882&gt;=14,"Très bien",E882&gt;=12,"Bien",E882&gt;=10,"Passable",E882&lt;10,"Insuffisant")</f>
        <v>Insuffisant</v>
      </c>
      <c r="I882" t="str">
        <f t="shared" si="40"/>
        <v>A surveiller</v>
      </c>
      <c r="J882" t="str">
        <f t="shared" si="41"/>
        <v>Autre filière</v>
      </c>
    </row>
    <row r="883" spans="1:10">
      <c r="A883" t="s">
        <v>1212</v>
      </c>
      <c r="B883" t="s">
        <v>84</v>
      </c>
      <c r="C883" s="8" t="s">
        <v>26</v>
      </c>
      <c r="D883" s="8">
        <v>13.62</v>
      </c>
      <c r="E883" s="8">
        <v>14.93</v>
      </c>
      <c r="F883" s="6">
        <v>0.55000000000000004</v>
      </c>
      <c r="G883" t="str">
        <f t="shared" si="39"/>
        <v>Admis sous condition</v>
      </c>
      <c r="H883" t="str" cm="1">
        <f t="array" ref="H883">_xlfn.IFS(E883&gt;=16,"Excellent",E883&gt;=14,"Très bien",E883&gt;=12,"Bien",E883&gt;=10,"Passable",E883&lt;10,"Insuffisant")</f>
        <v>Très bien</v>
      </c>
      <c r="I883" t="str">
        <f t="shared" si="40"/>
        <v>A surveiller</v>
      </c>
      <c r="J883" t="str">
        <f t="shared" si="41"/>
        <v>Autre filière</v>
      </c>
    </row>
    <row r="884" spans="1:10">
      <c r="A884" t="s">
        <v>1213</v>
      </c>
      <c r="B884" t="s">
        <v>832</v>
      </c>
      <c r="C884" s="8" t="s">
        <v>26</v>
      </c>
      <c r="D884" s="8">
        <v>15.32</v>
      </c>
      <c r="E884" s="8">
        <v>15.28</v>
      </c>
      <c r="F884" s="6">
        <v>0.61939999999999995</v>
      </c>
      <c r="G884" t="str">
        <f t="shared" si="39"/>
        <v>Admis sous condition</v>
      </c>
      <c r="H884" t="str" cm="1">
        <f t="array" ref="H884">_xlfn.IFS(E884&gt;=16,"Excellent",E884&gt;=14,"Très bien",E884&gt;=12,"Bien",E884&gt;=10,"Passable",E884&lt;10,"Insuffisant")</f>
        <v>Très bien</v>
      </c>
      <c r="I884" t="str">
        <f t="shared" si="40"/>
        <v>A surveiller</v>
      </c>
      <c r="J884" t="str">
        <f t="shared" si="41"/>
        <v>Autre filière</v>
      </c>
    </row>
    <row r="885" spans="1:10">
      <c r="A885" t="s">
        <v>1214</v>
      </c>
      <c r="B885" t="s">
        <v>371</v>
      </c>
      <c r="C885" s="8" t="s">
        <v>47</v>
      </c>
      <c r="D885" s="8">
        <v>13.85</v>
      </c>
      <c r="E885" s="8">
        <v>13.25</v>
      </c>
      <c r="F885" s="6">
        <v>0.72609999999999997</v>
      </c>
      <c r="G885" t="str">
        <f t="shared" si="39"/>
        <v>Admis sous condition</v>
      </c>
      <c r="H885" t="str" cm="1">
        <f t="array" ref="H885">_xlfn.IFS(E885&gt;=16,"Excellent",E885&gt;=14,"Très bien",E885&gt;=12,"Bien",E885&gt;=10,"Passable",E885&lt;10,"Insuffisant")</f>
        <v>Bien</v>
      </c>
      <c r="I885" t="str">
        <f t="shared" si="40"/>
        <v>RAS</v>
      </c>
      <c r="J885" t="str">
        <f t="shared" si="41"/>
        <v>Autre filière</v>
      </c>
    </row>
    <row r="886" spans="1:10">
      <c r="A886" t="s">
        <v>1215</v>
      </c>
      <c r="B886" t="s">
        <v>1033</v>
      </c>
      <c r="C886" s="8" t="s">
        <v>21</v>
      </c>
      <c r="D886" s="8">
        <v>13.13</v>
      </c>
      <c r="E886" s="8">
        <v>15.82</v>
      </c>
      <c r="F886" s="6">
        <v>0.76170000000000004</v>
      </c>
      <c r="G886" t="str">
        <f t="shared" si="39"/>
        <v>Admis sous condition</v>
      </c>
      <c r="H886" t="str" cm="1">
        <f t="array" ref="H886">_xlfn.IFS(E886&gt;=16,"Excellent",E886&gt;=14,"Très bien",E886&gt;=12,"Bien",E886&gt;=10,"Passable",E886&lt;10,"Insuffisant")</f>
        <v>Très bien</v>
      </c>
      <c r="I886" t="str">
        <f t="shared" si="40"/>
        <v>RAS</v>
      </c>
      <c r="J886" t="str">
        <f t="shared" si="41"/>
        <v>Data</v>
      </c>
    </row>
    <row r="887" spans="1:10">
      <c r="A887" t="s">
        <v>1216</v>
      </c>
      <c r="B887" t="s">
        <v>719</v>
      </c>
      <c r="C887" s="8" t="s">
        <v>21</v>
      </c>
      <c r="D887" s="8">
        <v>9.74</v>
      </c>
      <c r="E887" s="8">
        <v>11.87</v>
      </c>
      <c r="F887" s="6">
        <v>0.66259999999999997</v>
      </c>
      <c r="G887" t="str">
        <f t="shared" si="39"/>
        <v>Refuse</v>
      </c>
      <c r="H887" t="str" cm="1">
        <f t="array" ref="H887">_xlfn.IFS(E887&gt;=16,"Excellent",E887&gt;=14,"Très bien",E887&gt;=12,"Bien",E887&gt;=10,"Passable",E887&lt;10,"Insuffisant")</f>
        <v>Passable</v>
      </c>
      <c r="I887" t="str">
        <f t="shared" si="40"/>
        <v>A surveiller</v>
      </c>
      <c r="J887" t="str">
        <f t="shared" si="41"/>
        <v>Data</v>
      </c>
    </row>
    <row r="888" spans="1:10">
      <c r="A888" t="s">
        <v>1217</v>
      </c>
      <c r="B888" t="s">
        <v>561</v>
      </c>
      <c r="C888" s="8" t="s">
        <v>21</v>
      </c>
      <c r="D888" s="8">
        <v>19.73</v>
      </c>
      <c r="E888" s="8">
        <v>17.98</v>
      </c>
      <c r="F888" s="6">
        <v>0.90469999999999995</v>
      </c>
      <c r="G888" t="str">
        <f t="shared" si="39"/>
        <v>Admis</v>
      </c>
      <c r="H888" t="str" cm="1">
        <f t="array" ref="H888">_xlfn.IFS(E888&gt;=16,"Excellent",E888&gt;=14,"Très bien",E888&gt;=12,"Bien",E888&gt;=10,"Passable",E888&lt;10,"Insuffisant")</f>
        <v>Excellent</v>
      </c>
      <c r="I888" t="str">
        <f t="shared" si="40"/>
        <v>RAS</v>
      </c>
      <c r="J888" t="str">
        <f t="shared" si="41"/>
        <v>Data</v>
      </c>
    </row>
    <row r="889" spans="1:10">
      <c r="A889" t="s">
        <v>1218</v>
      </c>
      <c r="B889" t="s">
        <v>717</v>
      </c>
      <c r="C889" s="8" t="s">
        <v>47</v>
      </c>
      <c r="D889" s="8">
        <v>13.5</v>
      </c>
      <c r="E889" s="8">
        <v>13.36</v>
      </c>
      <c r="F889" s="6">
        <v>0.84689999999999999</v>
      </c>
      <c r="G889" t="str">
        <f t="shared" si="39"/>
        <v>Admis</v>
      </c>
      <c r="H889" t="str" cm="1">
        <f t="array" ref="H889">_xlfn.IFS(E889&gt;=16,"Excellent",E889&gt;=14,"Très bien",E889&gt;=12,"Bien",E889&gt;=10,"Passable",E889&lt;10,"Insuffisant")</f>
        <v>Bien</v>
      </c>
      <c r="I889" t="str">
        <f t="shared" si="40"/>
        <v>RAS</v>
      </c>
      <c r="J889" t="str">
        <f t="shared" si="41"/>
        <v>Autre filière</v>
      </c>
    </row>
    <row r="890" spans="1:10">
      <c r="A890" t="s">
        <v>1219</v>
      </c>
      <c r="B890" t="s">
        <v>324</v>
      </c>
      <c r="C890" s="8" t="s">
        <v>21</v>
      </c>
      <c r="D890" s="8">
        <v>10.31</v>
      </c>
      <c r="E890" s="8">
        <v>13.47</v>
      </c>
      <c r="F890" s="6">
        <v>0.82040000000000002</v>
      </c>
      <c r="G890" t="str">
        <f t="shared" si="39"/>
        <v>Admis sous condition</v>
      </c>
      <c r="H890" t="str" cm="1">
        <f t="array" ref="H890">_xlfn.IFS(E890&gt;=16,"Excellent",E890&gt;=14,"Très bien",E890&gt;=12,"Bien",E890&gt;=10,"Passable",E890&lt;10,"Insuffisant")</f>
        <v>Bien</v>
      </c>
      <c r="I890" t="str">
        <f t="shared" si="40"/>
        <v>RAS</v>
      </c>
      <c r="J890" t="str">
        <f t="shared" si="41"/>
        <v>Data</v>
      </c>
    </row>
    <row r="891" spans="1:10">
      <c r="A891" t="s">
        <v>1220</v>
      </c>
      <c r="B891" t="s">
        <v>64</v>
      </c>
      <c r="C891" s="8" t="s">
        <v>26</v>
      </c>
      <c r="D891" s="8">
        <v>12.88</v>
      </c>
      <c r="E891" s="8">
        <v>12.37</v>
      </c>
      <c r="F891" s="6">
        <v>0.73619999999999997</v>
      </c>
      <c r="G891" t="str">
        <f t="shared" si="39"/>
        <v>Admis sous condition</v>
      </c>
      <c r="H891" t="str" cm="1">
        <f t="array" ref="H891">_xlfn.IFS(E891&gt;=16,"Excellent",E891&gt;=14,"Très bien",E891&gt;=12,"Bien",E891&gt;=10,"Passable",E891&lt;10,"Insuffisant")</f>
        <v>Bien</v>
      </c>
      <c r="I891" t="str">
        <f t="shared" si="40"/>
        <v>RAS</v>
      </c>
      <c r="J891" t="str">
        <f t="shared" si="41"/>
        <v>Autre filière</v>
      </c>
    </row>
    <row r="892" spans="1:10">
      <c r="A892" t="s">
        <v>1221</v>
      </c>
      <c r="B892" t="s">
        <v>177</v>
      </c>
      <c r="C892" s="8" t="s">
        <v>21</v>
      </c>
      <c r="D892" s="8">
        <v>16.57</v>
      </c>
      <c r="E892" s="8">
        <v>17.39</v>
      </c>
      <c r="F892" s="6">
        <v>0.80800000000000005</v>
      </c>
      <c r="G892" t="str">
        <f t="shared" si="39"/>
        <v>Admis</v>
      </c>
      <c r="H892" t="str" cm="1">
        <f t="array" ref="H892">_xlfn.IFS(E892&gt;=16,"Excellent",E892&gt;=14,"Très bien",E892&gt;=12,"Bien",E892&gt;=10,"Passable",E892&lt;10,"Insuffisant")</f>
        <v>Excellent</v>
      </c>
      <c r="I892" t="str">
        <f t="shared" si="40"/>
        <v>RAS</v>
      </c>
      <c r="J892" t="str">
        <f t="shared" si="41"/>
        <v>Data</v>
      </c>
    </row>
    <row r="893" spans="1:10">
      <c r="A893" t="s">
        <v>1222</v>
      </c>
      <c r="B893" t="s">
        <v>49</v>
      </c>
      <c r="C893" s="8" t="s">
        <v>26</v>
      </c>
      <c r="D893" s="8">
        <v>13.75</v>
      </c>
      <c r="E893" s="8">
        <v>13.79</v>
      </c>
      <c r="F893" s="6">
        <v>0.62170000000000003</v>
      </c>
      <c r="G893" t="str">
        <f t="shared" si="39"/>
        <v>Admis sous condition</v>
      </c>
      <c r="H893" t="str" cm="1">
        <f t="array" ref="H893">_xlfn.IFS(E893&gt;=16,"Excellent",E893&gt;=14,"Très bien",E893&gt;=12,"Bien",E893&gt;=10,"Passable",E893&lt;10,"Insuffisant")</f>
        <v>Bien</v>
      </c>
      <c r="I893" t="str">
        <f t="shared" si="40"/>
        <v>A surveiller</v>
      </c>
      <c r="J893" t="str">
        <f t="shared" si="41"/>
        <v>Autre filière</v>
      </c>
    </row>
    <row r="894" spans="1:10">
      <c r="A894" t="s">
        <v>1223</v>
      </c>
      <c r="B894" t="s">
        <v>259</v>
      </c>
      <c r="C894" s="8" t="s">
        <v>47</v>
      </c>
      <c r="D894" s="8">
        <v>9.5500000000000007</v>
      </c>
      <c r="E894" s="8">
        <v>9.9</v>
      </c>
      <c r="F894" s="6">
        <v>0.85919999999999996</v>
      </c>
      <c r="G894" t="str">
        <f t="shared" si="39"/>
        <v>Refuse</v>
      </c>
      <c r="H894" t="str" cm="1">
        <f t="array" ref="H894">_xlfn.IFS(E894&gt;=16,"Excellent",E894&gt;=14,"Très bien",E894&gt;=12,"Bien",E894&gt;=10,"Passable",E894&lt;10,"Insuffisant")</f>
        <v>Insuffisant</v>
      </c>
      <c r="I894" t="str">
        <f t="shared" si="40"/>
        <v>A surveiller</v>
      </c>
      <c r="J894" t="str">
        <f t="shared" si="41"/>
        <v>Autre filière</v>
      </c>
    </row>
    <row r="895" spans="1:10">
      <c r="A895" t="s">
        <v>1224</v>
      </c>
      <c r="B895" t="s">
        <v>51</v>
      </c>
      <c r="C895" s="8" t="s">
        <v>21</v>
      </c>
      <c r="D895" s="8">
        <v>15.25</v>
      </c>
      <c r="E895" s="8">
        <v>13.17</v>
      </c>
      <c r="F895" s="6">
        <v>0.87939999999999996</v>
      </c>
      <c r="G895" t="str">
        <f t="shared" si="39"/>
        <v>Admis</v>
      </c>
      <c r="H895" t="str" cm="1">
        <f t="array" ref="H895">_xlfn.IFS(E895&gt;=16,"Excellent",E895&gt;=14,"Très bien",E895&gt;=12,"Bien",E895&gt;=10,"Passable",E895&lt;10,"Insuffisant")</f>
        <v>Bien</v>
      </c>
      <c r="I895" t="str">
        <f t="shared" si="40"/>
        <v>RAS</v>
      </c>
      <c r="J895" t="str">
        <f t="shared" si="41"/>
        <v>Data</v>
      </c>
    </row>
    <row r="896" spans="1:10">
      <c r="A896" t="s">
        <v>1225</v>
      </c>
      <c r="B896" t="s">
        <v>584</v>
      </c>
      <c r="C896" s="8" t="s">
        <v>21</v>
      </c>
      <c r="D896" s="8">
        <v>10.85</v>
      </c>
      <c r="E896" s="8">
        <v>11.21</v>
      </c>
      <c r="F896" s="6">
        <v>0.89259999999999995</v>
      </c>
      <c r="G896" t="str">
        <f t="shared" si="39"/>
        <v>Admis sous condition</v>
      </c>
      <c r="H896" t="str" cm="1">
        <f t="array" ref="H896">_xlfn.IFS(E896&gt;=16,"Excellent",E896&gt;=14,"Très bien",E896&gt;=12,"Bien",E896&gt;=10,"Passable",E896&lt;10,"Insuffisant")</f>
        <v>Passable</v>
      </c>
      <c r="I896" t="str">
        <f t="shared" si="40"/>
        <v>RAS</v>
      </c>
      <c r="J896" t="str">
        <f t="shared" si="41"/>
        <v>Data</v>
      </c>
    </row>
    <row r="897" spans="1:10">
      <c r="A897" t="s">
        <v>1226</v>
      </c>
      <c r="B897" t="s">
        <v>622</v>
      </c>
      <c r="C897" s="8" t="s">
        <v>34</v>
      </c>
      <c r="D897" s="8">
        <v>12.27</v>
      </c>
      <c r="E897" s="8">
        <v>17.75</v>
      </c>
      <c r="F897" s="6">
        <v>0.78939999999999999</v>
      </c>
      <c r="G897" t="str">
        <f t="shared" si="39"/>
        <v>Admis sous condition</v>
      </c>
      <c r="H897" t="str" cm="1">
        <f t="array" ref="H897">_xlfn.IFS(E897&gt;=16,"Excellent",E897&gt;=14,"Très bien",E897&gt;=12,"Bien",E897&gt;=10,"Passable",E897&lt;10,"Insuffisant")</f>
        <v>Excellent</v>
      </c>
      <c r="I897" t="str">
        <f t="shared" si="40"/>
        <v>RAS</v>
      </c>
      <c r="J897" t="str">
        <f t="shared" si="41"/>
        <v>Autre filière</v>
      </c>
    </row>
    <row r="898" spans="1:10">
      <c r="A898" t="s">
        <v>1227</v>
      </c>
      <c r="B898" t="s">
        <v>128</v>
      </c>
      <c r="C898" s="8" t="s">
        <v>34</v>
      </c>
      <c r="D898" s="8">
        <v>20</v>
      </c>
      <c r="E898" s="8">
        <v>15.38</v>
      </c>
      <c r="F898" s="6">
        <v>0.94220000000000004</v>
      </c>
      <c r="G898" t="str">
        <f t="shared" si="39"/>
        <v>Admis</v>
      </c>
      <c r="H898" t="str" cm="1">
        <f t="array" ref="H898">_xlfn.IFS(E898&gt;=16,"Excellent",E898&gt;=14,"Très bien",E898&gt;=12,"Bien",E898&gt;=10,"Passable",E898&lt;10,"Insuffisant")</f>
        <v>Très bien</v>
      </c>
      <c r="I898" t="str">
        <f t="shared" si="40"/>
        <v>RAS</v>
      </c>
      <c r="J898" t="str">
        <f t="shared" si="41"/>
        <v>Autre filière</v>
      </c>
    </row>
    <row r="899" spans="1:10">
      <c r="A899" t="s">
        <v>1228</v>
      </c>
      <c r="B899" t="s">
        <v>74</v>
      </c>
      <c r="C899" s="8" t="s">
        <v>34</v>
      </c>
      <c r="D899" s="8">
        <v>13.99</v>
      </c>
      <c r="E899" s="8">
        <v>14.39</v>
      </c>
      <c r="F899" s="6">
        <v>0.90300000000000002</v>
      </c>
      <c r="G899" t="str">
        <f t="shared" ref="G899:G962" si="42">IF(AND(D899&gt;=12,E899&gt;=12,F899&gt;=80%),"Admis",IF(AND(D899&gt;=10,E899&gt;=10),"Admis sous condition","Refuse"))</f>
        <v>Admis</v>
      </c>
      <c r="H899" t="str" cm="1">
        <f t="array" ref="H899">_xlfn.IFS(E899&gt;=16,"Excellent",E899&gt;=14,"Très bien",E899&gt;=12,"Bien",E899&gt;=10,"Passable",E899&lt;10,"Insuffisant")</f>
        <v>Très bien</v>
      </c>
      <c r="I899" t="str">
        <f t="shared" ref="I899:I962" si="43">IF(OR(D899&lt;10,E899&lt;10,F899&lt;70%),"A surveiller","RAS")</f>
        <v>RAS</v>
      </c>
      <c r="J899" t="str">
        <f t="shared" ref="J899:J962" si="44">IF(NOT(C899="Data"),"Autre filière","Data")</f>
        <v>Autre filière</v>
      </c>
    </row>
    <row r="900" spans="1:10">
      <c r="A900" t="s">
        <v>1229</v>
      </c>
      <c r="B900" t="s">
        <v>99</v>
      </c>
      <c r="C900" s="8" t="s">
        <v>47</v>
      </c>
      <c r="D900" s="8">
        <v>15.22</v>
      </c>
      <c r="E900" s="8">
        <v>14.44</v>
      </c>
      <c r="F900" s="6">
        <v>0.92100000000000004</v>
      </c>
      <c r="G900" t="str">
        <f t="shared" si="42"/>
        <v>Admis</v>
      </c>
      <c r="H900" t="str" cm="1">
        <f t="array" ref="H900">_xlfn.IFS(E900&gt;=16,"Excellent",E900&gt;=14,"Très bien",E900&gt;=12,"Bien",E900&gt;=10,"Passable",E900&lt;10,"Insuffisant")</f>
        <v>Très bien</v>
      </c>
      <c r="I900" t="str">
        <f t="shared" si="43"/>
        <v>RAS</v>
      </c>
      <c r="J900" t="str">
        <f t="shared" si="44"/>
        <v>Autre filière</v>
      </c>
    </row>
    <row r="901" spans="1:10">
      <c r="A901" t="s">
        <v>1230</v>
      </c>
      <c r="B901" t="s">
        <v>1231</v>
      </c>
      <c r="C901" s="8" t="s">
        <v>21</v>
      </c>
      <c r="D901" s="8">
        <v>9.8800000000000008</v>
      </c>
      <c r="E901" s="8">
        <v>11.76</v>
      </c>
      <c r="F901" s="6">
        <v>0.85929999999999995</v>
      </c>
      <c r="G901" t="str">
        <f t="shared" si="42"/>
        <v>Refuse</v>
      </c>
      <c r="H901" t="str" cm="1">
        <f t="array" ref="H901">_xlfn.IFS(E901&gt;=16,"Excellent",E901&gt;=14,"Très bien",E901&gt;=12,"Bien",E901&gt;=10,"Passable",E901&lt;10,"Insuffisant")</f>
        <v>Passable</v>
      </c>
      <c r="I901" t="str">
        <f t="shared" si="43"/>
        <v>A surveiller</v>
      </c>
      <c r="J901" t="str">
        <f t="shared" si="44"/>
        <v>Data</v>
      </c>
    </row>
    <row r="902" spans="1:10">
      <c r="A902" t="s">
        <v>1232</v>
      </c>
      <c r="B902" t="s">
        <v>938</v>
      </c>
      <c r="C902" s="8" t="s">
        <v>21</v>
      </c>
      <c r="D902" s="8">
        <v>14.36</v>
      </c>
      <c r="E902" s="8">
        <v>15.32</v>
      </c>
      <c r="F902" s="6">
        <v>0.7581</v>
      </c>
      <c r="G902" t="str">
        <f t="shared" si="42"/>
        <v>Admis sous condition</v>
      </c>
      <c r="H902" t="str" cm="1">
        <f t="array" ref="H902">_xlfn.IFS(E902&gt;=16,"Excellent",E902&gt;=14,"Très bien",E902&gt;=12,"Bien",E902&gt;=10,"Passable",E902&lt;10,"Insuffisant")</f>
        <v>Très bien</v>
      </c>
      <c r="I902" t="str">
        <f t="shared" si="43"/>
        <v>RAS</v>
      </c>
      <c r="J902" t="str">
        <f t="shared" si="44"/>
        <v>Data</v>
      </c>
    </row>
    <row r="903" spans="1:10">
      <c r="A903" t="s">
        <v>1233</v>
      </c>
      <c r="B903" t="s">
        <v>319</v>
      </c>
      <c r="C903" s="8" t="s">
        <v>47</v>
      </c>
      <c r="D903" s="8">
        <v>10.98</v>
      </c>
      <c r="E903" s="8">
        <v>10.45</v>
      </c>
      <c r="F903" s="6">
        <v>0.92469999999999997</v>
      </c>
      <c r="G903" t="str">
        <f t="shared" si="42"/>
        <v>Admis sous condition</v>
      </c>
      <c r="H903" t="str" cm="1">
        <f t="array" ref="H903">_xlfn.IFS(E903&gt;=16,"Excellent",E903&gt;=14,"Très bien",E903&gt;=12,"Bien",E903&gt;=10,"Passable",E903&lt;10,"Insuffisant")</f>
        <v>Passable</v>
      </c>
      <c r="I903" t="str">
        <f t="shared" si="43"/>
        <v>RAS</v>
      </c>
      <c r="J903" t="str">
        <f t="shared" si="44"/>
        <v>Autre filière</v>
      </c>
    </row>
    <row r="904" spans="1:10">
      <c r="A904" t="s">
        <v>1234</v>
      </c>
      <c r="B904" t="s">
        <v>542</v>
      </c>
      <c r="C904" s="8" t="s">
        <v>26</v>
      </c>
      <c r="D904" s="8">
        <v>17.39</v>
      </c>
      <c r="E904" s="8">
        <v>19.52</v>
      </c>
      <c r="F904" s="6">
        <v>0.70069999999999999</v>
      </c>
      <c r="G904" t="str">
        <f t="shared" si="42"/>
        <v>Admis sous condition</v>
      </c>
      <c r="H904" t="str" cm="1">
        <f t="array" ref="H904">_xlfn.IFS(E904&gt;=16,"Excellent",E904&gt;=14,"Très bien",E904&gt;=12,"Bien",E904&gt;=10,"Passable",E904&lt;10,"Insuffisant")</f>
        <v>Excellent</v>
      </c>
      <c r="I904" t="str">
        <f t="shared" si="43"/>
        <v>RAS</v>
      </c>
      <c r="J904" t="str">
        <f t="shared" si="44"/>
        <v>Autre filière</v>
      </c>
    </row>
    <row r="905" spans="1:10">
      <c r="A905" t="s">
        <v>1235</v>
      </c>
      <c r="B905" t="s">
        <v>792</v>
      </c>
      <c r="C905" s="8" t="s">
        <v>34</v>
      </c>
      <c r="D905" s="8">
        <v>14.65</v>
      </c>
      <c r="E905" s="8">
        <v>18.47</v>
      </c>
      <c r="F905" s="6">
        <v>0.77449999999999997</v>
      </c>
      <c r="G905" t="str">
        <f t="shared" si="42"/>
        <v>Admis sous condition</v>
      </c>
      <c r="H905" t="str" cm="1">
        <f t="array" ref="H905">_xlfn.IFS(E905&gt;=16,"Excellent",E905&gt;=14,"Très bien",E905&gt;=12,"Bien",E905&gt;=10,"Passable",E905&lt;10,"Insuffisant")</f>
        <v>Excellent</v>
      </c>
      <c r="I905" t="str">
        <f t="shared" si="43"/>
        <v>RAS</v>
      </c>
      <c r="J905" t="str">
        <f t="shared" si="44"/>
        <v>Autre filière</v>
      </c>
    </row>
    <row r="906" spans="1:10">
      <c r="A906" t="s">
        <v>1236</v>
      </c>
      <c r="B906" t="s">
        <v>287</v>
      </c>
      <c r="C906" s="8" t="s">
        <v>26</v>
      </c>
      <c r="D906" s="8">
        <v>13.59</v>
      </c>
      <c r="E906" s="8">
        <v>12.73</v>
      </c>
      <c r="F906" s="6">
        <v>0.55000000000000004</v>
      </c>
      <c r="G906" t="str">
        <f t="shared" si="42"/>
        <v>Admis sous condition</v>
      </c>
      <c r="H906" t="str" cm="1">
        <f t="array" ref="H906">_xlfn.IFS(E906&gt;=16,"Excellent",E906&gt;=14,"Très bien",E906&gt;=12,"Bien",E906&gt;=10,"Passable",E906&lt;10,"Insuffisant")</f>
        <v>Bien</v>
      </c>
      <c r="I906" t="str">
        <f t="shared" si="43"/>
        <v>A surveiller</v>
      </c>
      <c r="J906" t="str">
        <f t="shared" si="44"/>
        <v>Autre filière</v>
      </c>
    </row>
    <row r="907" spans="1:10">
      <c r="A907" t="s">
        <v>1237</v>
      </c>
      <c r="B907" t="s">
        <v>470</v>
      </c>
      <c r="C907" s="8" t="s">
        <v>34</v>
      </c>
      <c r="D907" s="8">
        <v>10.34</v>
      </c>
      <c r="E907" s="8">
        <v>14.55</v>
      </c>
      <c r="F907" s="6">
        <v>0.84130000000000005</v>
      </c>
      <c r="G907" t="str">
        <f t="shared" si="42"/>
        <v>Admis sous condition</v>
      </c>
      <c r="H907" t="str" cm="1">
        <f t="array" ref="H907">_xlfn.IFS(E907&gt;=16,"Excellent",E907&gt;=14,"Très bien",E907&gt;=12,"Bien",E907&gt;=10,"Passable",E907&lt;10,"Insuffisant")</f>
        <v>Très bien</v>
      </c>
      <c r="I907" t="str">
        <f t="shared" si="43"/>
        <v>RAS</v>
      </c>
      <c r="J907" t="str">
        <f t="shared" si="44"/>
        <v>Autre filière</v>
      </c>
    </row>
    <row r="908" spans="1:10">
      <c r="A908" t="s">
        <v>1238</v>
      </c>
      <c r="B908" t="s">
        <v>120</v>
      </c>
      <c r="C908" s="8" t="s">
        <v>34</v>
      </c>
      <c r="D908" s="8">
        <v>9.16</v>
      </c>
      <c r="E908" s="8">
        <v>6</v>
      </c>
      <c r="F908" s="6">
        <v>0.92610000000000003</v>
      </c>
      <c r="G908" t="str">
        <f t="shared" si="42"/>
        <v>Refuse</v>
      </c>
      <c r="H908" t="str" cm="1">
        <f t="array" ref="H908">_xlfn.IFS(E908&gt;=16,"Excellent",E908&gt;=14,"Très bien",E908&gt;=12,"Bien",E908&gt;=10,"Passable",E908&lt;10,"Insuffisant")</f>
        <v>Insuffisant</v>
      </c>
      <c r="I908" t="str">
        <f t="shared" si="43"/>
        <v>A surveiller</v>
      </c>
      <c r="J908" t="str">
        <f t="shared" si="44"/>
        <v>Autre filière</v>
      </c>
    </row>
    <row r="909" spans="1:10">
      <c r="A909" t="s">
        <v>1239</v>
      </c>
      <c r="B909" t="s">
        <v>177</v>
      </c>
      <c r="C909" s="8" t="s">
        <v>21</v>
      </c>
      <c r="D909" s="8">
        <v>9.98</v>
      </c>
      <c r="E909" s="8">
        <v>5.09</v>
      </c>
      <c r="F909" s="6">
        <v>0.91759999999999997</v>
      </c>
      <c r="G909" t="str">
        <f t="shared" si="42"/>
        <v>Refuse</v>
      </c>
      <c r="H909" t="str" cm="1">
        <f t="array" ref="H909">_xlfn.IFS(E909&gt;=16,"Excellent",E909&gt;=14,"Très bien",E909&gt;=12,"Bien",E909&gt;=10,"Passable",E909&lt;10,"Insuffisant")</f>
        <v>Insuffisant</v>
      </c>
      <c r="I909" t="str">
        <f t="shared" si="43"/>
        <v>A surveiller</v>
      </c>
      <c r="J909" t="str">
        <f t="shared" si="44"/>
        <v>Data</v>
      </c>
    </row>
    <row r="910" spans="1:10">
      <c r="A910" t="s">
        <v>1240</v>
      </c>
      <c r="B910" t="s">
        <v>72</v>
      </c>
      <c r="C910" s="8" t="s">
        <v>34</v>
      </c>
      <c r="D910" s="8">
        <v>11.2</v>
      </c>
      <c r="E910" s="8">
        <v>7.7</v>
      </c>
      <c r="F910" s="6">
        <v>0.64249999999999996</v>
      </c>
      <c r="G910" t="str">
        <f t="shared" si="42"/>
        <v>Refuse</v>
      </c>
      <c r="H910" t="str" cm="1">
        <f t="array" ref="H910">_xlfn.IFS(E910&gt;=16,"Excellent",E910&gt;=14,"Très bien",E910&gt;=12,"Bien",E910&gt;=10,"Passable",E910&lt;10,"Insuffisant")</f>
        <v>Insuffisant</v>
      </c>
      <c r="I910" t="str">
        <f t="shared" si="43"/>
        <v>A surveiller</v>
      </c>
      <c r="J910" t="str">
        <f t="shared" si="44"/>
        <v>Autre filière</v>
      </c>
    </row>
    <row r="911" spans="1:10">
      <c r="A911" t="s">
        <v>1241</v>
      </c>
      <c r="B911" t="s">
        <v>648</v>
      </c>
      <c r="C911" s="8" t="s">
        <v>34</v>
      </c>
      <c r="D911" s="8">
        <v>11.39</v>
      </c>
      <c r="E911" s="8">
        <v>12.71</v>
      </c>
      <c r="F911" s="6">
        <v>0.88639999999999997</v>
      </c>
      <c r="G911" t="str">
        <f t="shared" si="42"/>
        <v>Admis sous condition</v>
      </c>
      <c r="H911" t="str" cm="1">
        <f t="array" ref="H911">_xlfn.IFS(E911&gt;=16,"Excellent",E911&gt;=14,"Très bien",E911&gt;=12,"Bien",E911&gt;=10,"Passable",E911&lt;10,"Insuffisant")</f>
        <v>Bien</v>
      </c>
      <c r="I911" t="str">
        <f t="shared" si="43"/>
        <v>RAS</v>
      </c>
      <c r="J911" t="str">
        <f t="shared" si="44"/>
        <v>Autre filière</v>
      </c>
    </row>
    <row r="912" spans="1:10">
      <c r="A912" t="s">
        <v>1242</v>
      </c>
      <c r="B912" t="s">
        <v>610</v>
      </c>
      <c r="C912" s="8" t="s">
        <v>47</v>
      </c>
      <c r="D912" s="8">
        <v>15.67</v>
      </c>
      <c r="E912" s="8">
        <v>18.239999999999998</v>
      </c>
      <c r="F912" s="6">
        <v>0.95789999999999997</v>
      </c>
      <c r="G912" t="str">
        <f t="shared" si="42"/>
        <v>Admis</v>
      </c>
      <c r="H912" t="str" cm="1">
        <f t="array" ref="H912">_xlfn.IFS(E912&gt;=16,"Excellent",E912&gt;=14,"Très bien",E912&gt;=12,"Bien",E912&gt;=10,"Passable",E912&lt;10,"Insuffisant")</f>
        <v>Excellent</v>
      </c>
      <c r="I912" t="str">
        <f t="shared" si="43"/>
        <v>RAS</v>
      </c>
      <c r="J912" t="str">
        <f t="shared" si="44"/>
        <v>Autre filière</v>
      </c>
    </row>
    <row r="913" spans="1:10">
      <c r="A913" t="s">
        <v>1243</v>
      </c>
      <c r="B913" t="s">
        <v>1244</v>
      </c>
      <c r="C913" s="8" t="s">
        <v>21</v>
      </c>
      <c r="D913" s="8">
        <v>13.21</v>
      </c>
      <c r="E913" s="8">
        <v>18.14</v>
      </c>
      <c r="F913" s="6">
        <v>0.85370000000000001</v>
      </c>
      <c r="G913" t="str">
        <f t="shared" si="42"/>
        <v>Admis</v>
      </c>
      <c r="H913" t="str" cm="1">
        <f t="array" ref="H913">_xlfn.IFS(E913&gt;=16,"Excellent",E913&gt;=14,"Très bien",E913&gt;=12,"Bien",E913&gt;=10,"Passable",E913&lt;10,"Insuffisant")</f>
        <v>Excellent</v>
      </c>
      <c r="I913" t="str">
        <f t="shared" si="43"/>
        <v>RAS</v>
      </c>
      <c r="J913" t="str">
        <f t="shared" si="44"/>
        <v>Data</v>
      </c>
    </row>
    <row r="914" spans="1:10">
      <c r="A914" t="s">
        <v>1245</v>
      </c>
      <c r="B914" t="s">
        <v>491</v>
      </c>
      <c r="C914" s="8" t="s">
        <v>21</v>
      </c>
      <c r="D914" s="8">
        <v>6.55</v>
      </c>
      <c r="E914" s="8">
        <v>11.17</v>
      </c>
      <c r="F914" s="6">
        <v>0.82720000000000005</v>
      </c>
      <c r="G914" t="str">
        <f t="shared" si="42"/>
        <v>Refuse</v>
      </c>
      <c r="H914" t="str" cm="1">
        <f t="array" ref="H914">_xlfn.IFS(E914&gt;=16,"Excellent",E914&gt;=14,"Très bien",E914&gt;=12,"Bien",E914&gt;=10,"Passable",E914&lt;10,"Insuffisant")</f>
        <v>Passable</v>
      </c>
      <c r="I914" t="str">
        <f t="shared" si="43"/>
        <v>A surveiller</v>
      </c>
      <c r="J914" t="str">
        <f t="shared" si="44"/>
        <v>Data</v>
      </c>
    </row>
    <row r="915" spans="1:10">
      <c r="A915" t="s">
        <v>1246</v>
      </c>
      <c r="B915" t="s">
        <v>212</v>
      </c>
      <c r="C915" s="8" t="s">
        <v>34</v>
      </c>
      <c r="D915" s="8">
        <v>13.74</v>
      </c>
      <c r="E915" s="8">
        <v>13.23</v>
      </c>
      <c r="F915" s="6">
        <v>0.90839999999999999</v>
      </c>
      <c r="G915" t="str">
        <f t="shared" si="42"/>
        <v>Admis</v>
      </c>
      <c r="H915" t="str" cm="1">
        <f t="array" ref="H915">_xlfn.IFS(E915&gt;=16,"Excellent",E915&gt;=14,"Très bien",E915&gt;=12,"Bien",E915&gt;=10,"Passable",E915&lt;10,"Insuffisant")</f>
        <v>Bien</v>
      </c>
      <c r="I915" t="str">
        <f t="shared" si="43"/>
        <v>RAS</v>
      </c>
      <c r="J915" t="str">
        <f t="shared" si="44"/>
        <v>Autre filière</v>
      </c>
    </row>
    <row r="916" spans="1:10">
      <c r="A916" t="s">
        <v>1247</v>
      </c>
      <c r="B916" t="s">
        <v>1231</v>
      </c>
      <c r="C916" s="8" t="s">
        <v>21</v>
      </c>
      <c r="D916" s="8">
        <v>13.93</v>
      </c>
      <c r="E916" s="8">
        <v>18.559999999999999</v>
      </c>
      <c r="F916" s="6">
        <v>0.81840000000000002</v>
      </c>
      <c r="G916" t="str">
        <f t="shared" si="42"/>
        <v>Admis</v>
      </c>
      <c r="H916" t="str" cm="1">
        <f t="array" ref="H916">_xlfn.IFS(E916&gt;=16,"Excellent",E916&gt;=14,"Très bien",E916&gt;=12,"Bien",E916&gt;=10,"Passable",E916&lt;10,"Insuffisant")</f>
        <v>Excellent</v>
      </c>
      <c r="I916" t="str">
        <f t="shared" si="43"/>
        <v>RAS</v>
      </c>
      <c r="J916" t="str">
        <f t="shared" si="44"/>
        <v>Data</v>
      </c>
    </row>
    <row r="917" spans="1:10">
      <c r="A917" t="s">
        <v>1248</v>
      </c>
      <c r="B917" t="s">
        <v>46</v>
      </c>
      <c r="C917" s="8" t="s">
        <v>21</v>
      </c>
      <c r="D917" s="8">
        <v>10.61</v>
      </c>
      <c r="E917" s="8">
        <v>12.45</v>
      </c>
      <c r="F917" s="6">
        <v>0.65190000000000003</v>
      </c>
      <c r="G917" t="str">
        <f t="shared" si="42"/>
        <v>Admis sous condition</v>
      </c>
      <c r="H917" t="str" cm="1">
        <f t="array" ref="H917">_xlfn.IFS(E917&gt;=16,"Excellent",E917&gt;=14,"Très bien",E917&gt;=12,"Bien",E917&gt;=10,"Passable",E917&lt;10,"Insuffisant")</f>
        <v>Bien</v>
      </c>
      <c r="I917" t="str">
        <f t="shared" si="43"/>
        <v>A surveiller</v>
      </c>
      <c r="J917" t="str">
        <f t="shared" si="44"/>
        <v>Data</v>
      </c>
    </row>
    <row r="918" spans="1:10">
      <c r="A918" t="s">
        <v>1249</v>
      </c>
      <c r="B918" t="s">
        <v>470</v>
      </c>
      <c r="C918" s="8" t="s">
        <v>47</v>
      </c>
      <c r="D918" s="8">
        <v>9.35</v>
      </c>
      <c r="E918" s="8">
        <v>14.75</v>
      </c>
      <c r="F918" s="6">
        <v>0.93179999999999996</v>
      </c>
      <c r="G918" t="str">
        <f t="shared" si="42"/>
        <v>Refuse</v>
      </c>
      <c r="H918" t="str" cm="1">
        <f t="array" ref="H918">_xlfn.IFS(E918&gt;=16,"Excellent",E918&gt;=14,"Très bien",E918&gt;=12,"Bien",E918&gt;=10,"Passable",E918&lt;10,"Insuffisant")</f>
        <v>Très bien</v>
      </c>
      <c r="I918" t="str">
        <f t="shared" si="43"/>
        <v>A surveiller</v>
      </c>
      <c r="J918" t="str">
        <f t="shared" si="44"/>
        <v>Autre filière</v>
      </c>
    </row>
    <row r="919" spans="1:10">
      <c r="A919" t="s">
        <v>1250</v>
      </c>
      <c r="B919" t="s">
        <v>375</v>
      </c>
      <c r="C919" s="8" t="s">
        <v>26</v>
      </c>
      <c r="D919" s="8">
        <v>5.64</v>
      </c>
      <c r="E919" s="8">
        <v>6.93</v>
      </c>
      <c r="F919" s="6">
        <v>0.89249999999999996</v>
      </c>
      <c r="G919" t="str">
        <f t="shared" si="42"/>
        <v>Refuse</v>
      </c>
      <c r="H919" t="str" cm="1">
        <f t="array" ref="H919">_xlfn.IFS(E919&gt;=16,"Excellent",E919&gt;=14,"Très bien",E919&gt;=12,"Bien",E919&gt;=10,"Passable",E919&lt;10,"Insuffisant")</f>
        <v>Insuffisant</v>
      </c>
      <c r="I919" t="str">
        <f t="shared" si="43"/>
        <v>A surveiller</v>
      </c>
      <c r="J919" t="str">
        <f t="shared" si="44"/>
        <v>Autre filière</v>
      </c>
    </row>
    <row r="920" spans="1:10">
      <c r="A920" t="s">
        <v>1251</v>
      </c>
      <c r="B920" t="s">
        <v>448</v>
      </c>
      <c r="C920" s="8" t="s">
        <v>47</v>
      </c>
      <c r="D920" s="8">
        <v>16.89</v>
      </c>
      <c r="E920" s="8">
        <v>17.489999999999998</v>
      </c>
      <c r="F920" s="6">
        <v>0.91790000000000005</v>
      </c>
      <c r="G920" t="str">
        <f t="shared" si="42"/>
        <v>Admis</v>
      </c>
      <c r="H920" t="str" cm="1">
        <f t="array" ref="H920">_xlfn.IFS(E920&gt;=16,"Excellent",E920&gt;=14,"Très bien",E920&gt;=12,"Bien",E920&gt;=10,"Passable",E920&lt;10,"Insuffisant")</f>
        <v>Excellent</v>
      </c>
      <c r="I920" t="str">
        <f t="shared" si="43"/>
        <v>RAS</v>
      </c>
      <c r="J920" t="str">
        <f t="shared" si="44"/>
        <v>Autre filière</v>
      </c>
    </row>
    <row r="921" spans="1:10">
      <c r="A921" t="s">
        <v>1252</v>
      </c>
      <c r="B921" t="s">
        <v>654</v>
      </c>
      <c r="C921" s="8" t="s">
        <v>21</v>
      </c>
      <c r="D921" s="8">
        <v>11.41</v>
      </c>
      <c r="E921" s="8">
        <v>10.49</v>
      </c>
      <c r="F921" s="6">
        <v>0.76900000000000002</v>
      </c>
      <c r="G921" t="str">
        <f t="shared" si="42"/>
        <v>Admis sous condition</v>
      </c>
      <c r="H921" t="str" cm="1">
        <f t="array" ref="H921">_xlfn.IFS(E921&gt;=16,"Excellent",E921&gt;=14,"Très bien",E921&gt;=12,"Bien",E921&gt;=10,"Passable",E921&lt;10,"Insuffisant")</f>
        <v>Passable</v>
      </c>
      <c r="I921" t="str">
        <f t="shared" si="43"/>
        <v>RAS</v>
      </c>
      <c r="J921" t="str">
        <f t="shared" si="44"/>
        <v>Data</v>
      </c>
    </row>
    <row r="922" spans="1:10">
      <c r="A922" t="s">
        <v>1253</v>
      </c>
      <c r="B922" t="s">
        <v>645</v>
      </c>
      <c r="C922" s="8" t="s">
        <v>26</v>
      </c>
      <c r="D922" s="8">
        <v>14.47</v>
      </c>
      <c r="E922" s="8">
        <v>18.16</v>
      </c>
      <c r="F922" s="6">
        <v>0.90559999999999996</v>
      </c>
      <c r="G922" t="str">
        <f t="shared" si="42"/>
        <v>Admis</v>
      </c>
      <c r="H922" t="str" cm="1">
        <f t="array" ref="H922">_xlfn.IFS(E922&gt;=16,"Excellent",E922&gt;=14,"Très bien",E922&gt;=12,"Bien",E922&gt;=10,"Passable",E922&lt;10,"Insuffisant")</f>
        <v>Excellent</v>
      </c>
      <c r="I922" t="str">
        <f t="shared" si="43"/>
        <v>RAS</v>
      </c>
      <c r="J922" t="str">
        <f t="shared" si="44"/>
        <v>Autre filière</v>
      </c>
    </row>
    <row r="923" spans="1:10">
      <c r="A923" t="s">
        <v>1254</v>
      </c>
      <c r="B923" t="s">
        <v>128</v>
      </c>
      <c r="C923" s="8" t="s">
        <v>47</v>
      </c>
      <c r="D923" s="8">
        <v>6.92</v>
      </c>
      <c r="E923" s="8">
        <v>7.59</v>
      </c>
      <c r="F923" s="6">
        <v>0.89639999999999997</v>
      </c>
      <c r="G923" t="str">
        <f t="shared" si="42"/>
        <v>Refuse</v>
      </c>
      <c r="H923" t="str" cm="1">
        <f t="array" ref="H923">_xlfn.IFS(E923&gt;=16,"Excellent",E923&gt;=14,"Très bien",E923&gt;=12,"Bien",E923&gt;=10,"Passable",E923&lt;10,"Insuffisant")</f>
        <v>Insuffisant</v>
      </c>
      <c r="I923" t="str">
        <f t="shared" si="43"/>
        <v>A surveiller</v>
      </c>
      <c r="J923" t="str">
        <f t="shared" si="44"/>
        <v>Autre filière</v>
      </c>
    </row>
    <row r="924" spans="1:10">
      <c r="A924" t="s">
        <v>1255</v>
      </c>
      <c r="B924" t="s">
        <v>1244</v>
      </c>
      <c r="C924" s="8" t="s">
        <v>47</v>
      </c>
      <c r="D924" s="8">
        <v>11.64</v>
      </c>
      <c r="E924" s="8">
        <v>16.850000000000001</v>
      </c>
      <c r="F924" s="6">
        <v>0.89459999999999995</v>
      </c>
      <c r="G924" t="str">
        <f t="shared" si="42"/>
        <v>Admis sous condition</v>
      </c>
      <c r="H924" t="str" cm="1">
        <f t="array" ref="H924">_xlfn.IFS(E924&gt;=16,"Excellent",E924&gt;=14,"Très bien",E924&gt;=12,"Bien",E924&gt;=10,"Passable",E924&lt;10,"Insuffisant")</f>
        <v>Excellent</v>
      </c>
      <c r="I924" t="str">
        <f t="shared" si="43"/>
        <v>RAS</v>
      </c>
      <c r="J924" t="str">
        <f t="shared" si="44"/>
        <v>Autre filière</v>
      </c>
    </row>
    <row r="925" spans="1:10">
      <c r="A925" t="s">
        <v>1256</v>
      </c>
      <c r="B925" t="s">
        <v>1037</v>
      </c>
      <c r="C925" s="8" t="s">
        <v>21</v>
      </c>
      <c r="D925" s="8">
        <v>13.86</v>
      </c>
      <c r="E925" s="8">
        <v>16.440000000000001</v>
      </c>
      <c r="F925" s="6">
        <v>0.76690000000000003</v>
      </c>
      <c r="G925" t="str">
        <f t="shared" si="42"/>
        <v>Admis sous condition</v>
      </c>
      <c r="H925" t="str" cm="1">
        <f t="array" ref="H925">_xlfn.IFS(E925&gt;=16,"Excellent",E925&gt;=14,"Très bien",E925&gt;=12,"Bien",E925&gt;=10,"Passable",E925&lt;10,"Insuffisant")</f>
        <v>Excellent</v>
      </c>
      <c r="I925" t="str">
        <f t="shared" si="43"/>
        <v>RAS</v>
      </c>
      <c r="J925" t="str">
        <f t="shared" si="44"/>
        <v>Data</v>
      </c>
    </row>
    <row r="926" spans="1:10">
      <c r="A926" t="s">
        <v>1257</v>
      </c>
      <c r="B926" t="s">
        <v>87</v>
      </c>
      <c r="C926" s="8" t="s">
        <v>47</v>
      </c>
      <c r="D926" s="8">
        <v>11.21</v>
      </c>
      <c r="E926" s="8">
        <v>10.79</v>
      </c>
      <c r="F926" s="6">
        <v>0.80840000000000001</v>
      </c>
      <c r="G926" t="str">
        <f t="shared" si="42"/>
        <v>Admis sous condition</v>
      </c>
      <c r="H926" t="str" cm="1">
        <f t="array" ref="H926">_xlfn.IFS(E926&gt;=16,"Excellent",E926&gt;=14,"Très bien",E926&gt;=12,"Bien",E926&gt;=10,"Passable",E926&lt;10,"Insuffisant")</f>
        <v>Passable</v>
      </c>
      <c r="I926" t="str">
        <f t="shared" si="43"/>
        <v>RAS</v>
      </c>
      <c r="J926" t="str">
        <f t="shared" si="44"/>
        <v>Autre filière</v>
      </c>
    </row>
    <row r="927" spans="1:10">
      <c r="A927" t="s">
        <v>1258</v>
      </c>
      <c r="B927" t="s">
        <v>719</v>
      </c>
      <c r="C927" s="8" t="s">
        <v>21</v>
      </c>
      <c r="D927" s="8">
        <v>12.23</v>
      </c>
      <c r="E927" s="8">
        <v>11.91</v>
      </c>
      <c r="F927" s="6">
        <v>0.85250000000000004</v>
      </c>
      <c r="G927" t="str">
        <f t="shared" si="42"/>
        <v>Admis sous condition</v>
      </c>
      <c r="H927" t="str" cm="1">
        <f t="array" ref="H927">_xlfn.IFS(E927&gt;=16,"Excellent",E927&gt;=14,"Très bien",E927&gt;=12,"Bien",E927&gt;=10,"Passable",E927&lt;10,"Insuffisant")</f>
        <v>Passable</v>
      </c>
      <c r="I927" t="str">
        <f t="shared" si="43"/>
        <v>RAS</v>
      </c>
      <c r="J927" t="str">
        <f t="shared" si="44"/>
        <v>Data</v>
      </c>
    </row>
    <row r="928" spans="1:10">
      <c r="A928" t="s">
        <v>1259</v>
      </c>
      <c r="B928" t="s">
        <v>145</v>
      </c>
      <c r="C928" s="8" t="s">
        <v>47</v>
      </c>
      <c r="D928" s="8">
        <v>9.4499999999999993</v>
      </c>
      <c r="E928" s="8">
        <v>7</v>
      </c>
      <c r="F928" s="6">
        <v>0.95640000000000003</v>
      </c>
      <c r="G928" t="str">
        <f t="shared" si="42"/>
        <v>Refuse</v>
      </c>
      <c r="H928" t="str" cm="1">
        <f t="array" ref="H928">_xlfn.IFS(E928&gt;=16,"Excellent",E928&gt;=14,"Très bien",E928&gt;=12,"Bien",E928&gt;=10,"Passable",E928&lt;10,"Insuffisant")</f>
        <v>Insuffisant</v>
      </c>
      <c r="I928" t="str">
        <f t="shared" si="43"/>
        <v>A surveiller</v>
      </c>
      <c r="J928" t="str">
        <f t="shared" si="44"/>
        <v>Autre filière</v>
      </c>
    </row>
    <row r="929" spans="1:10">
      <c r="A929" t="s">
        <v>1260</v>
      </c>
      <c r="B929" t="s">
        <v>151</v>
      </c>
      <c r="C929" s="8" t="s">
        <v>21</v>
      </c>
      <c r="D929" s="8">
        <v>14.14</v>
      </c>
      <c r="E929" s="8">
        <v>7.1</v>
      </c>
      <c r="F929" s="6">
        <v>0.97670000000000001</v>
      </c>
      <c r="G929" t="str">
        <f t="shared" si="42"/>
        <v>Refuse</v>
      </c>
      <c r="H929" t="str" cm="1">
        <f t="array" ref="H929">_xlfn.IFS(E929&gt;=16,"Excellent",E929&gt;=14,"Très bien",E929&gt;=12,"Bien",E929&gt;=10,"Passable",E929&lt;10,"Insuffisant")</f>
        <v>Insuffisant</v>
      </c>
      <c r="I929" t="str">
        <f t="shared" si="43"/>
        <v>A surveiller</v>
      </c>
      <c r="J929" t="str">
        <f t="shared" si="44"/>
        <v>Data</v>
      </c>
    </row>
    <row r="930" spans="1:10">
      <c r="A930" t="s">
        <v>1261</v>
      </c>
      <c r="B930" t="s">
        <v>1183</v>
      </c>
      <c r="C930" s="8" t="s">
        <v>26</v>
      </c>
      <c r="D930" s="8">
        <v>10.25</v>
      </c>
      <c r="E930" s="8">
        <v>5.33</v>
      </c>
      <c r="F930" s="6">
        <v>0.79890000000000005</v>
      </c>
      <c r="G930" t="str">
        <f t="shared" si="42"/>
        <v>Refuse</v>
      </c>
      <c r="H930" t="str" cm="1">
        <f t="array" ref="H930">_xlfn.IFS(E930&gt;=16,"Excellent",E930&gt;=14,"Très bien",E930&gt;=12,"Bien",E930&gt;=10,"Passable",E930&lt;10,"Insuffisant")</f>
        <v>Insuffisant</v>
      </c>
      <c r="I930" t="str">
        <f t="shared" si="43"/>
        <v>A surveiller</v>
      </c>
      <c r="J930" t="str">
        <f t="shared" si="44"/>
        <v>Autre filière</v>
      </c>
    </row>
    <row r="931" spans="1:10">
      <c r="A931" t="s">
        <v>1262</v>
      </c>
      <c r="B931" t="s">
        <v>824</v>
      </c>
      <c r="C931" s="8" t="s">
        <v>21</v>
      </c>
      <c r="D931" s="8">
        <v>9.2100000000000009</v>
      </c>
      <c r="E931" s="8">
        <v>12.16</v>
      </c>
      <c r="F931" s="6">
        <v>0.98309999999999997</v>
      </c>
      <c r="G931" t="str">
        <f t="shared" si="42"/>
        <v>Refuse</v>
      </c>
      <c r="H931" t="str" cm="1">
        <f t="array" ref="H931">_xlfn.IFS(E931&gt;=16,"Excellent",E931&gt;=14,"Très bien",E931&gt;=12,"Bien",E931&gt;=10,"Passable",E931&lt;10,"Insuffisant")</f>
        <v>Bien</v>
      </c>
      <c r="I931" t="str">
        <f t="shared" si="43"/>
        <v>A surveiller</v>
      </c>
      <c r="J931" t="str">
        <f t="shared" si="44"/>
        <v>Data</v>
      </c>
    </row>
    <row r="932" spans="1:10">
      <c r="A932" t="s">
        <v>1263</v>
      </c>
      <c r="B932" t="s">
        <v>343</v>
      </c>
      <c r="C932" s="8" t="s">
        <v>47</v>
      </c>
      <c r="D932" s="8">
        <v>14.06</v>
      </c>
      <c r="E932" s="8">
        <v>17.68</v>
      </c>
      <c r="F932" s="6">
        <v>0.60460000000000003</v>
      </c>
      <c r="G932" t="str">
        <f t="shared" si="42"/>
        <v>Admis sous condition</v>
      </c>
      <c r="H932" t="str" cm="1">
        <f t="array" ref="H932">_xlfn.IFS(E932&gt;=16,"Excellent",E932&gt;=14,"Très bien",E932&gt;=12,"Bien",E932&gt;=10,"Passable",E932&lt;10,"Insuffisant")</f>
        <v>Excellent</v>
      </c>
      <c r="I932" t="str">
        <f t="shared" si="43"/>
        <v>A surveiller</v>
      </c>
      <c r="J932" t="str">
        <f t="shared" si="44"/>
        <v>Autre filière</v>
      </c>
    </row>
    <row r="933" spans="1:10">
      <c r="A933" t="s">
        <v>1264</v>
      </c>
      <c r="B933" t="s">
        <v>780</v>
      </c>
      <c r="C933" s="8" t="s">
        <v>21</v>
      </c>
      <c r="D933" s="8">
        <v>11.8</v>
      </c>
      <c r="E933" s="8">
        <v>16.59</v>
      </c>
      <c r="F933" s="6">
        <v>0.55000000000000004</v>
      </c>
      <c r="G933" t="str">
        <f t="shared" si="42"/>
        <v>Admis sous condition</v>
      </c>
      <c r="H933" t="str" cm="1">
        <f t="array" ref="H933">_xlfn.IFS(E933&gt;=16,"Excellent",E933&gt;=14,"Très bien",E933&gt;=12,"Bien",E933&gt;=10,"Passable",E933&lt;10,"Insuffisant")</f>
        <v>Excellent</v>
      </c>
      <c r="I933" t="str">
        <f t="shared" si="43"/>
        <v>A surveiller</v>
      </c>
      <c r="J933" t="str">
        <f t="shared" si="44"/>
        <v>Data</v>
      </c>
    </row>
    <row r="934" spans="1:10">
      <c r="A934" t="s">
        <v>1265</v>
      </c>
      <c r="B934" t="s">
        <v>290</v>
      </c>
      <c r="C934" s="8" t="s">
        <v>47</v>
      </c>
      <c r="D934" s="8">
        <v>14.97</v>
      </c>
      <c r="E934" s="8">
        <v>10.65</v>
      </c>
      <c r="F934" s="6">
        <v>0.81569999999999998</v>
      </c>
      <c r="G934" t="str">
        <f t="shared" si="42"/>
        <v>Admis sous condition</v>
      </c>
      <c r="H934" t="str" cm="1">
        <f t="array" ref="H934">_xlfn.IFS(E934&gt;=16,"Excellent",E934&gt;=14,"Très bien",E934&gt;=12,"Bien",E934&gt;=10,"Passable",E934&lt;10,"Insuffisant")</f>
        <v>Passable</v>
      </c>
      <c r="I934" t="str">
        <f t="shared" si="43"/>
        <v>RAS</v>
      </c>
      <c r="J934" t="str">
        <f t="shared" si="44"/>
        <v>Autre filière</v>
      </c>
    </row>
    <row r="935" spans="1:10">
      <c r="A935" t="s">
        <v>1266</v>
      </c>
      <c r="B935" t="s">
        <v>698</v>
      </c>
      <c r="C935" s="8" t="s">
        <v>34</v>
      </c>
      <c r="D935" s="8">
        <v>8.07</v>
      </c>
      <c r="E935" s="8">
        <v>9.3000000000000007</v>
      </c>
      <c r="F935" s="6">
        <v>0.91720000000000002</v>
      </c>
      <c r="G935" t="str">
        <f t="shared" si="42"/>
        <v>Refuse</v>
      </c>
      <c r="H935" t="str" cm="1">
        <f t="array" ref="H935">_xlfn.IFS(E935&gt;=16,"Excellent",E935&gt;=14,"Très bien",E935&gt;=12,"Bien",E935&gt;=10,"Passable",E935&lt;10,"Insuffisant")</f>
        <v>Insuffisant</v>
      </c>
      <c r="I935" t="str">
        <f t="shared" si="43"/>
        <v>A surveiller</v>
      </c>
      <c r="J935" t="str">
        <f t="shared" si="44"/>
        <v>Autre filière</v>
      </c>
    </row>
    <row r="936" spans="1:10">
      <c r="A936" t="s">
        <v>1267</v>
      </c>
      <c r="B936" t="s">
        <v>68</v>
      </c>
      <c r="C936" s="8" t="s">
        <v>26</v>
      </c>
      <c r="D936" s="8">
        <v>15.98</v>
      </c>
      <c r="E936" s="8">
        <v>15.78</v>
      </c>
      <c r="F936" s="6">
        <v>0.82989999999999997</v>
      </c>
      <c r="G936" t="str">
        <f t="shared" si="42"/>
        <v>Admis</v>
      </c>
      <c r="H936" t="str" cm="1">
        <f t="array" ref="H936">_xlfn.IFS(E936&gt;=16,"Excellent",E936&gt;=14,"Très bien",E936&gt;=12,"Bien",E936&gt;=10,"Passable",E936&lt;10,"Insuffisant")</f>
        <v>Très bien</v>
      </c>
      <c r="I936" t="str">
        <f t="shared" si="43"/>
        <v>RAS</v>
      </c>
      <c r="J936" t="str">
        <f t="shared" si="44"/>
        <v>Autre filière</v>
      </c>
    </row>
    <row r="937" spans="1:10">
      <c r="A937" t="s">
        <v>1268</v>
      </c>
      <c r="B937" t="s">
        <v>776</v>
      </c>
      <c r="C937" s="8" t="s">
        <v>47</v>
      </c>
      <c r="D937" s="8">
        <v>17.850000000000001</v>
      </c>
      <c r="E937" s="8">
        <v>15.41</v>
      </c>
      <c r="F937" s="6">
        <v>0.95130000000000003</v>
      </c>
      <c r="G937" t="str">
        <f t="shared" si="42"/>
        <v>Admis</v>
      </c>
      <c r="H937" t="str" cm="1">
        <f t="array" ref="H937">_xlfn.IFS(E937&gt;=16,"Excellent",E937&gt;=14,"Très bien",E937&gt;=12,"Bien",E937&gt;=10,"Passable",E937&lt;10,"Insuffisant")</f>
        <v>Très bien</v>
      </c>
      <c r="I937" t="str">
        <f t="shared" si="43"/>
        <v>RAS</v>
      </c>
      <c r="J937" t="str">
        <f t="shared" si="44"/>
        <v>Autre filière</v>
      </c>
    </row>
    <row r="938" spans="1:10">
      <c r="A938" t="s">
        <v>1269</v>
      </c>
      <c r="B938" t="s">
        <v>599</v>
      </c>
      <c r="C938" s="8" t="s">
        <v>34</v>
      </c>
      <c r="D938" s="8">
        <v>9.91</v>
      </c>
      <c r="E938" s="8">
        <v>11.12</v>
      </c>
      <c r="F938" s="6">
        <v>0.55000000000000004</v>
      </c>
      <c r="G938" t="str">
        <f t="shared" si="42"/>
        <v>Refuse</v>
      </c>
      <c r="H938" t="str" cm="1">
        <f t="array" ref="H938">_xlfn.IFS(E938&gt;=16,"Excellent",E938&gt;=14,"Très bien",E938&gt;=12,"Bien",E938&gt;=10,"Passable",E938&lt;10,"Insuffisant")</f>
        <v>Passable</v>
      </c>
      <c r="I938" t="str">
        <f t="shared" si="43"/>
        <v>A surveiller</v>
      </c>
      <c r="J938" t="str">
        <f t="shared" si="44"/>
        <v>Autre filière</v>
      </c>
    </row>
    <row r="939" spans="1:10">
      <c r="A939" t="s">
        <v>1270</v>
      </c>
      <c r="B939" t="s">
        <v>294</v>
      </c>
      <c r="C939" s="8" t="s">
        <v>21</v>
      </c>
      <c r="D939" s="8">
        <v>13.82</v>
      </c>
      <c r="E939" s="8">
        <v>19.059999999999999</v>
      </c>
      <c r="F939" s="6">
        <v>0.85319999999999996</v>
      </c>
      <c r="G939" t="str">
        <f t="shared" si="42"/>
        <v>Admis</v>
      </c>
      <c r="H939" t="str" cm="1">
        <f t="array" ref="H939">_xlfn.IFS(E939&gt;=16,"Excellent",E939&gt;=14,"Très bien",E939&gt;=12,"Bien",E939&gt;=10,"Passable",E939&lt;10,"Insuffisant")</f>
        <v>Excellent</v>
      </c>
      <c r="I939" t="str">
        <f t="shared" si="43"/>
        <v>RAS</v>
      </c>
      <c r="J939" t="str">
        <f t="shared" si="44"/>
        <v>Data</v>
      </c>
    </row>
    <row r="940" spans="1:10">
      <c r="A940" t="s">
        <v>1271</v>
      </c>
      <c r="B940" t="s">
        <v>624</v>
      </c>
      <c r="C940" s="8" t="s">
        <v>47</v>
      </c>
      <c r="D940" s="8">
        <v>9.09</v>
      </c>
      <c r="E940" s="8">
        <v>15.38</v>
      </c>
      <c r="F940" s="6">
        <v>0.71779999999999999</v>
      </c>
      <c r="G940" t="str">
        <f t="shared" si="42"/>
        <v>Refuse</v>
      </c>
      <c r="H940" t="str" cm="1">
        <f t="array" ref="H940">_xlfn.IFS(E940&gt;=16,"Excellent",E940&gt;=14,"Très bien",E940&gt;=12,"Bien",E940&gt;=10,"Passable",E940&lt;10,"Insuffisant")</f>
        <v>Très bien</v>
      </c>
      <c r="I940" t="str">
        <f t="shared" si="43"/>
        <v>A surveiller</v>
      </c>
      <c r="J940" t="str">
        <f t="shared" si="44"/>
        <v>Autre filière</v>
      </c>
    </row>
    <row r="941" spans="1:10">
      <c r="A941" t="s">
        <v>1272</v>
      </c>
      <c r="B941" t="s">
        <v>470</v>
      </c>
      <c r="C941" s="8" t="s">
        <v>34</v>
      </c>
      <c r="D941" s="8">
        <v>13.1</v>
      </c>
      <c r="E941" s="8">
        <v>14.84</v>
      </c>
      <c r="F941" s="6">
        <v>0.9123</v>
      </c>
      <c r="G941" t="str">
        <f t="shared" si="42"/>
        <v>Admis</v>
      </c>
      <c r="H941" t="str" cm="1">
        <f t="array" ref="H941">_xlfn.IFS(E941&gt;=16,"Excellent",E941&gt;=14,"Très bien",E941&gt;=12,"Bien",E941&gt;=10,"Passable",E941&lt;10,"Insuffisant")</f>
        <v>Très bien</v>
      </c>
      <c r="I941" t="str">
        <f t="shared" si="43"/>
        <v>RAS</v>
      </c>
      <c r="J941" t="str">
        <f t="shared" si="44"/>
        <v>Autre filière</v>
      </c>
    </row>
    <row r="942" spans="1:10">
      <c r="A942" t="s">
        <v>1273</v>
      </c>
      <c r="B942" t="s">
        <v>414</v>
      </c>
      <c r="C942" s="8" t="s">
        <v>21</v>
      </c>
      <c r="D942" s="8">
        <v>10.4</v>
      </c>
      <c r="E942" s="8">
        <v>14.09</v>
      </c>
      <c r="F942" s="6">
        <v>0.82010000000000005</v>
      </c>
      <c r="G942" t="str">
        <f t="shared" si="42"/>
        <v>Admis sous condition</v>
      </c>
      <c r="H942" t="str" cm="1">
        <f t="array" ref="H942">_xlfn.IFS(E942&gt;=16,"Excellent",E942&gt;=14,"Très bien",E942&gt;=12,"Bien",E942&gt;=10,"Passable",E942&lt;10,"Insuffisant")</f>
        <v>Très bien</v>
      </c>
      <c r="I942" t="str">
        <f t="shared" si="43"/>
        <v>RAS</v>
      </c>
      <c r="J942" t="str">
        <f t="shared" si="44"/>
        <v>Data</v>
      </c>
    </row>
    <row r="943" spans="1:10">
      <c r="A943" t="s">
        <v>1274</v>
      </c>
      <c r="B943" t="s">
        <v>769</v>
      </c>
      <c r="C943" s="8" t="s">
        <v>47</v>
      </c>
      <c r="D943" s="8">
        <v>13.49</v>
      </c>
      <c r="E943" s="8">
        <v>9.5399999999999991</v>
      </c>
      <c r="F943" s="6">
        <v>0.88200000000000001</v>
      </c>
      <c r="G943" t="str">
        <f t="shared" si="42"/>
        <v>Refuse</v>
      </c>
      <c r="H943" t="str" cm="1">
        <f t="array" ref="H943">_xlfn.IFS(E943&gt;=16,"Excellent",E943&gt;=14,"Très bien",E943&gt;=12,"Bien",E943&gt;=10,"Passable",E943&lt;10,"Insuffisant")</f>
        <v>Insuffisant</v>
      </c>
      <c r="I943" t="str">
        <f t="shared" si="43"/>
        <v>A surveiller</v>
      </c>
      <c r="J943" t="str">
        <f t="shared" si="44"/>
        <v>Autre filière</v>
      </c>
    </row>
    <row r="944" spans="1:10">
      <c r="A944" t="s">
        <v>1275</v>
      </c>
      <c r="B944" t="s">
        <v>110</v>
      </c>
      <c r="C944" s="8" t="s">
        <v>21</v>
      </c>
      <c r="D944" s="8">
        <v>16.190000000000001</v>
      </c>
      <c r="E944" s="8">
        <v>18.32</v>
      </c>
      <c r="F944" s="6">
        <v>0.9002</v>
      </c>
      <c r="G944" t="str">
        <f t="shared" si="42"/>
        <v>Admis</v>
      </c>
      <c r="H944" t="str" cm="1">
        <f t="array" ref="H944">_xlfn.IFS(E944&gt;=16,"Excellent",E944&gt;=14,"Très bien",E944&gt;=12,"Bien",E944&gt;=10,"Passable",E944&lt;10,"Insuffisant")</f>
        <v>Excellent</v>
      </c>
      <c r="I944" t="str">
        <f t="shared" si="43"/>
        <v>RAS</v>
      </c>
      <c r="J944" t="str">
        <f t="shared" si="44"/>
        <v>Data</v>
      </c>
    </row>
    <row r="945" spans="1:10">
      <c r="A945" t="s">
        <v>1276</v>
      </c>
      <c r="B945" t="s">
        <v>358</v>
      </c>
      <c r="C945" s="8" t="s">
        <v>21</v>
      </c>
      <c r="D945" s="8">
        <v>12.43</v>
      </c>
      <c r="E945" s="8">
        <v>11.68</v>
      </c>
      <c r="F945" s="6">
        <v>0.78869999999999996</v>
      </c>
      <c r="G945" t="str">
        <f t="shared" si="42"/>
        <v>Admis sous condition</v>
      </c>
      <c r="H945" t="str" cm="1">
        <f t="array" ref="H945">_xlfn.IFS(E945&gt;=16,"Excellent",E945&gt;=14,"Très bien",E945&gt;=12,"Bien",E945&gt;=10,"Passable",E945&lt;10,"Insuffisant")</f>
        <v>Passable</v>
      </c>
      <c r="I945" t="str">
        <f t="shared" si="43"/>
        <v>RAS</v>
      </c>
      <c r="J945" t="str">
        <f t="shared" si="44"/>
        <v>Data</v>
      </c>
    </row>
    <row r="946" spans="1:10">
      <c r="A946" t="s">
        <v>1277</v>
      </c>
      <c r="B946" t="s">
        <v>606</v>
      </c>
      <c r="C946" s="8" t="s">
        <v>21</v>
      </c>
      <c r="D946" s="8">
        <v>13.01</v>
      </c>
      <c r="E946" s="8">
        <v>14.49</v>
      </c>
      <c r="F946" s="6">
        <v>0.65469999999999995</v>
      </c>
      <c r="G946" t="str">
        <f t="shared" si="42"/>
        <v>Admis sous condition</v>
      </c>
      <c r="H946" t="str" cm="1">
        <f t="array" ref="H946">_xlfn.IFS(E946&gt;=16,"Excellent",E946&gt;=14,"Très bien",E946&gt;=12,"Bien",E946&gt;=10,"Passable",E946&lt;10,"Insuffisant")</f>
        <v>Très bien</v>
      </c>
      <c r="I946" t="str">
        <f t="shared" si="43"/>
        <v>A surveiller</v>
      </c>
      <c r="J946" t="str">
        <f t="shared" si="44"/>
        <v>Data</v>
      </c>
    </row>
    <row r="947" spans="1:10">
      <c r="A947" t="s">
        <v>1278</v>
      </c>
      <c r="B947" t="s">
        <v>353</v>
      </c>
      <c r="C947" s="8" t="s">
        <v>34</v>
      </c>
      <c r="D947" s="8">
        <v>15.24</v>
      </c>
      <c r="E947" s="8">
        <v>16.3</v>
      </c>
      <c r="F947" s="6">
        <v>0.79479999999999995</v>
      </c>
      <c r="G947" t="str">
        <f t="shared" si="42"/>
        <v>Admis sous condition</v>
      </c>
      <c r="H947" t="str" cm="1">
        <f t="array" ref="H947">_xlfn.IFS(E947&gt;=16,"Excellent",E947&gt;=14,"Très bien",E947&gt;=12,"Bien",E947&gt;=10,"Passable",E947&lt;10,"Insuffisant")</f>
        <v>Excellent</v>
      </c>
      <c r="I947" t="str">
        <f t="shared" si="43"/>
        <v>RAS</v>
      </c>
      <c r="J947" t="str">
        <f t="shared" si="44"/>
        <v>Autre filière</v>
      </c>
    </row>
    <row r="948" spans="1:10">
      <c r="A948" t="s">
        <v>1279</v>
      </c>
      <c r="B948" t="s">
        <v>414</v>
      </c>
      <c r="C948" s="8" t="s">
        <v>21</v>
      </c>
      <c r="D948" s="8">
        <v>3.35</v>
      </c>
      <c r="E948" s="8">
        <v>4.24</v>
      </c>
      <c r="F948" s="6">
        <v>0.61209999999999998</v>
      </c>
      <c r="G948" t="str">
        <f t="shared" si="42"/>
        <v>Refuse</v>
      </c>
      <c r="H948" t="str" cm="1">
        <f t="array" ref="H948">_xlfn.IFS(E948&gt;=16,"Excellent",E948&gt;=14,"Très bien",E948&gt;=12,"Bien",E948&gt;=10,"Passable",E948&lt;10,"Insuffisant")</f>
        <v>Insuffisant</v>
      </c>
      <c r="I948" t="str">
        <f t="shared" si="43"/>
        <v>A surveiller</v>
      </c>
      <c r="J948" t="str">
        <f t="shared" si="44"/>
        <v>Data</v>
      </c>
    </row>
    <row r="949" spans="1:10">
      <c r="A949" t="s">
        <v>1280</v>
      </c>
      <c r="B949" t="s">
        <v>1281</v>
      </c>
      <c r="C949" s="8" t="s">
        <v>21</v>
      </c>
      <c r="D949" s="8">
        <v>16.100000000000001</v>
      </c>
      <c r="E949" s="8">
        <v>17.36</v>
      </c>
      <c r="F949" s="6">
        <v>0.97350000000000003</v>
      </c>
      <c r="G949" t="str">
        <f t="shared" si="42"/>
        <v>Admis</v>
      </c>
      <c r="H949" t="str" cm="1">
        <f t="array" ref="H949">_xlfn.IFS(E949&gt;=16,"Excellent",E949&gt;=14,"Très bien",E949&gt;=12,"Bien",E949&gt;=10,"Passable",E949&lt;10,"Insuffisant")</f>
        <v>Excellent</v>
      </c>
      <c r="I949" t="str">
        <f t="shared" si="43"/>
        <v>RAS</v>
      </c>
      <c r="J949" t="str">
        <f t="shared" si="44"/>
        <v>Data</v>
      </c>
    </row>
    <row r="950" spans="1:10">
      <c r="A950" t="s">
        <v>1282</v>
      </c>
      <c r="B950" t="s">
        <v>432</v>
      </c>
      <c r="C950" s="8" t="s">
        <v>34</v>
      </c>
      <c r="D950" s="8">
        <v>9.6999999999999993</v>
      </c>
      <c r="E950" s="8">
        <v>1.99</v>
      </c>
      <c r="F950" s="6">
        <v>0.84860000000000002</v>
      </c>
      <c r="G950" t="str">
        <f t="shared" si="42"/>
        <v>Refuse</v>
      </c>
      <c r="H950" t="str" cm="1">
        <f t="array" ref="H950">_xlfn.IFS(E950&gt;=16,"Excellent",E950&gt;=14,"Très bien",E950&gt;=12,"Bien",E950&gt;=10,"Passable",E950&lt;10,"Insuffisant")</f>
        <v>Insuffisant</v>
      </c>
      <c r="I950" t="str">
        <f t="shared" si="43"/>
        <v>A surveiller</v>
      </c>
      <c r="J950" t="str">
        <f t="shared" si="44"/>
        <v>Autre filière</v>
      </c>
    </row>
    <row r="951" spans="1:10">
      <c r="A951" t="s">
        <v>1283</v>
      </c>
      <c r="B951" t="s">
        <v>114</v>
      </c>
      <c r="C951" s="8" t="s">
        <v>21</v>
      </c>
      <c r="D951" s="8">
        <v>11.99</v>
      </c>
      <c r="E951" s="8">
        <v>14.37</v>
      </c>
      <c r="F951" s="6">
        <v>0.73440000000000005</v>
      </c>
      <c r="G951" t="str">
        <f t="shared" si="42"/>
        <v>Admis sous condition</v>
      </c>
      <c r="H951" t="str" cm="1">
        <f t="array" ref="H951">_xlfn.IFS(E951&gt;=16,"Excellent",E951&gt;=14,"Très bien",E951&gt;=12,"Bien",E951&gt;=10,"Passable",E951&lt;10,"Insuffisant")</f>
        <v>Très bien</v>
      </c>
      <c r="I951" t="str">
        <f t="shared" si="43"/>
        <v>RAS</v>
      </c>
      <c r="J951" t="str">
        <f t="shared" si="44"/>
        <v>Data</v>
      </c>
    </row>
    <row r="952" spans="1:10">
      <c r="A952" t="s">
        <v>1284</v>
      </c>
      <c r="B952" t="s">
        <v>736</v>
      </c>
      <c r="C952" s="8" t="s">
        <v>21</v>
      </c>
      <c r="D952" s="8">
        <v>13.76</v>
      </c>
      <c r="E952" s="8">
        <v>16.34</v>
      </c>
      <c r="F952" s="6">
        <v>0.55000000000000004</v>
      </c>
      <c r="G952" t="str">
        <f t="shared" si="42"/>
        <v>Admis sous condition</v>
      </c>
      <c r="H952" t="str" cm="1">
        <f t="array" ref="H952">_xlfn.IFS(E952&gt;=16,"Excellent",E952&gt;=14,"Très bien",E952&gt;=12,"Bien",E952&gt;=10,"Passable",E952&lt;10,"Insuffisant")</f>
        <v>Excellent</v>
      </c>
      <c r="I952" t="str">
        <f t="shared" si="43"/>
        <v>A surveiller</v>
      </c>
      <c r="J952" t="str">
        <f t="shared" si="44"/>
        <v>Data</v>
      </c>
    </row>
    <row r="953" spans="1:10">
      <c r="A953" t="s">
        <v>1285</v>
      </c>
      <c r="B953" t="s">
        <v>974</v>
      </c>
      <c r="C953" s="8" t="s">
        <v>34</v>
      </c>
      <c r="D953" s="8">
        <v>13.01</v>
      </c>
      <c r="E953" s="8">
        <v>15.36</v>
      </c>
      <c r="F953" s="6">
        <v>0.89159999999999995</v>
      </c>
      <c r="G953" t="str">
        <f t="shared" si="42"/>
        <v>Admis</v>
      </c>
      <c r="H953" t="str" cm="1">
        <f t="array" ref="H953">_xlfn.IFS(E953&gt;=16,"Excellent",E953&gt;=14,"Très bien",E953&gt;=12,"Bien",E953&gt;=10,"Passable",E953&lt;10,"Insuffisant")</f>
        <v>Très bien</v>
      </c>
      <c r="I953" t="str">
        <f t="shared" si="43"/>
        <v>RAS</v>
      </c>
      <c r="J953" t="str">
        <f t="shared" si="44"/>
        <v>Autre filière</v>
      </c>
    </row>
    <row r="954" spans="1:10">
      <c r="A954" t="s">
        <v>1286</v>
      </c>
      <c r="B954" t="s">
        <v>80</v>
      </c>
      <c r="C954" s="8" t="s">
        <v>21</v>
      </c>
      <c r="D954" s="8">
        <v>6.42</v>
      </c>
      <c r="E954" s="8">
        <v>9.15</v>
      </c>
      <c r="F954" s="6">
        <v>0.79420000000000002</v>
      </c>
      <c r="G954" t="str">
        <f t="shared" si="42"/>
        <v>Refuse</v>
      </c>
      <c r="H954" t="str" cm="1">
        <f t="array" ref="H954">_xlfn.IFS(E954&gt;=16,"Excellent",E954&gt;=14,"Très bien",E954&gt;=12,"Bien",E954&gt;=10,"Passable",E954&lt;10,"Insuffisant")</f>
        <v>Insuffisant</v>
      </c>
      <c r="I954" t="str">
        <f t="shared" si="43"/>
        <v>A surveiller</v>
      </c>
      <c r="J954" t="str">
        <f t="shared" si="44"/>
        <v>Data</v>
      </c>
    </row>
    <row r="955" spans="1:10">
      <c r="A955" t="s">
        <v>1287</v>
      </c>
      <c r="B955" t="s">
        <v>64</v>
      </c>
      <c r="C955" s="8" t="s">
        <v>26</v>
      </c>
      <c r="D955" s="8">
        <v>7.8</v>
      </c>
      <c r="E955" s="8">
        <v>10.34</v>
      </c>
      <c r="F955" s="6">
        <v>0.91359999999999997</v>
      </c>
      <c r="G955" t="str">
        <f t="shared" si="42"/>
        <v>Refuse</v>
      </c>
      <c r="H955" t="str" cm="1">
        <f t="array" ref="H955">_xlfn.IFS(E955&gt;=16,"Excellent",E955&gt;=14,"Très bien",E955&gt;=12,"Bien",E955&gt;=10,"Passable",E955&lt;10,"Insuffisant")</f>
        <v>Passable</v>
      </c>
      <c r="I955" t="str">
        <f t="shared" si="43"/>
        <v>A surveiller</v>
      </c>
      <c r="J955" t="str">
        <f t="shared" si="44"/>
        <v>Autre filière</v>
      </c>
    </row>
    <row r="956" spans="1:10">
      <c r="A956" t="s">
        <v>1288</v>
      </c>
      <c r="B956" t="s">
        <v>36</v>
      </c>
      <c r="C956" s="8" t="s">
        <v>34</v>
      </c>
      <c r="D956" s="8">
        <v>14.08</v>
      </c>
      <c r="E956" s="8">
        <v>13.91</v>
      </c>
      <c r="F956" s="6">
        <v>0.69810000000000005</v>
      </c>
      <c r="G956" t="str">
        <f t="shared" si="42"/>
        <v>Admis sous condition</v>
      </c>
      <c r="H956" t="str" cm="1">
        <f t="array" ref="H956">_xlfn.IFS(E956&gt;=16,"Excellent",E956&gt;=14,"Très bien",E956&gt;=12,"Bien",E956&gt;=10,"Passable",E956&lt;10,"Insuffisant")</f>
        <v>Bien</v>
      </c>
      <c r="I956" t="str">
        <f t="shared" si="43"/>
        <v>A surveiller</v>
      </c>
      <c r="J956" t="str">
        <f t="shared" si="44"/>
        <v>Autre filière</v>
      </c>
    </row>
    <row r="957" spans="1:10">
      <c r="A957" t="s">
        <v>1289</v>
      </c>
      <c r="B957" t="s">
        <v>549</v>
      </c>
      <c r="C957" s="8" t="s">
        <v>26</v>
      </c>
      <c r="D957" s="8">
        <v>7.14</v>
      </c>
      <c r="E957" s="8">
        <v>9.99</v>
      </c>
      <c r="F957" s="6">
        <v>0.75960000000000005</v>
      </c>
      <c r="G957" t="str">
        <f t="shared" si="42"/>
        <v>Refuse</v>
      </c>
      <c r="H957" t="str" cm="1">
        <f t="array" ref="H957">_xlfn.IFS(E957&gt;=16,"Excellent",E957&gt;=14,"Très bien",E957&gt;=12,"Bien",E957&gt;=10,"Passable",E957&lt;10,"Insuffisant")</f>
        <v>Insuffisant</v>
      </c>
      <c r="I957" t="str">
        <f t="shared" si="43"/>
        <v>A surveiller</v>
      </c>
      <c r="J957" t="str">
        <f t="shared" si="44"/>
        <v>Autre filière</v>
      </c>
    </row>
    <row r="958" spans="1:10">
      <c r="A958" t="s">
        <v>1290</v>
      </c>
      <c r="B958" t="s">
        <v>294</v>
      </c>
      <c r="C958" s="8" t="s">
        <v>26</v>
      </c>
      <c r="D958" s="8">
        <v>18.72</v>
      </c>
      <c r="E958" s="8">
        <v>14.93</v>
      </c>
      <c r="F958" s="6">
        <v>0.82430000000000003</v>
      </c>
      <c r="G958" t="str">
        <f t="shared" si="42"/>
        <v>Admis</v>
      </c>
      <c r="H958" t="str" cm="1">
        <f t="array" ref="H958">_xlfn.IFS(E958&gt;=16,"Excellent",E958&gt;=14,"Très bien",E958&gt;=12,"Bien",E958&gt;=10,"Passable",E958&lt;10,"Insuffisant")</f>
        <v>Très bien</v>
      </c>
      <c r="I958" t="str">
        <f t="shared" si="43"/>
        <v>RAS</v>
      </c>
      <c r="J958" t="str">
        <f t="shared" si="44"/>
        <v>Autre filière</v>
      </c>
    </row>
    <row r="959" spans="1:10">
      <c r="A959" t="s">
        <v>1291</v>
      </c>
      <c r="B959" t="s">
        <v>314</v>
      </c>
      <c r="C959" s="8" t="s">
        <v>26</v>
      </c>
      <c r="D959" s="8">
        <v>14.62</v>
      </c>
      <c r="E959" s="8">
        <v>12.48</v>
      </c>
      <c r="F959" s="6">
        <v>0.89080000000000004</v>
      </c>
      <c r="G959" t="str">
        <f t="shared" si="42"/>
        <v>Admis</v>
      </c>
      <c r="H959" t="str" cm="1">
        <f t="array" ref="H959">_xlfn.IFS(E959&gt;=16,"Excellent",E959&gt;=14,"Très bien",E959&gt;=12,"Bien",E959&gt;=10,"Passable",E959&lt;10,"Insuffisant")</f>
        <v>Bien</v>
      </c>
      <c r="I959" t="str">
        <f t="shared" si="43"/>
        <v>RAS</v>
      </c>
      <c r="J959" t="str">
        <f t="shared" si="44"/>
        <v>Autre filière</v>
      </c>
    </row>
    <row r="960" spans="1:10">
      <c r="A960" t="s">
        <v>1292</v>
      </c>
      <c r="B960" t="s">
        <v>1105</v>
      </c>
      <c r="C960" s="8" t="s">
        <v>47</v>
      </c>
      <c r="D960" s="8">
        <v>11.31</v>
      </c>
      <c r="E960" s="8">
        <v>10.36</v>
      </c>
      <c r="F960" s="6">
        <v>0.9284</v>
      </c>
      <c r="G960" t="str">
        <f t="shared" si="42"/>
        <v>Admis sous condition</v>
      </c>
      <c r="H960" t="str" cm="1">
        <f t="array" ref="H960">_xlfn.IFS(E960&gt;=16,"Excellent",E960&gt;=14,"Très bien",E960&gt;=12,"Bien",E960&gt;=10,"Passable",E960&lt;10,"Insuffisant")</f>
        <v>Passable</v>
      </c>
      <c r="I960" t="str">
        <f t="shared" si="43"/>
        <v>RAS</v>
      </c>
      <c r="J960" t="str">
        <f t="shared" si="44"/>
        <v>Autre filière</v>
      </c>
    </row>
    <row r="961" spans="1:10">
      <c r="A961" t="s">
        <v>1293</v>
      </c>
      <c r="B961" t="s">
        <v>151</v>
      </c>
      <c r="C961" s="8" t="s">
        <v>34</v>
      </c>
      <c r="D961" s="8">
        <v>9.4499999999999993</v>
      </c>
      <c r="E961" s="8">
        <v>12.33</v>
      </c>
      <c r="F961" s="6">
        <v>0.94369999999999998</v>
      </c>
      <c r="G961" t="str">
        <f t="shared" si="42"/>
        <v>Refuse</v>
      </c>
      <c r="H961" t="str" cm="1">
        <f t="array" ref="H961">_xlfn.IFS(E961&gt;=16,"Excellent",E961&gt;=14,"Très bien",E961&gt;=12,"Bien",E961&gt;=10,"Passable",E961&lt;10,"Insuffisant")</f>
        <v>Bien</v>
      </c>
      <c r="I961" t="str">
        <f t="shared" si="43"/>
        <v>A surveiller</v>
      </c>
      <c r="J961" t="str">
        <f t="shared" si="44"/>
        <v>Autre filière</v>
      </c>
    </row>
    <row r="962" spans="1:10">
      <c r="A962" t="s">
        <v>1294</v>
      </c>
      <c r="B962" t="s">
        <v>263</v>
      </c>
      <c r="C962" s="8" t="s">
        <v>47</v>
      </c>
      <c r="D962" s="8">
        <v>9.4600000000000009</v>
      </c>
      <c r="E962" s="8">
        <v>7.1</v>
      </c>
      <c r="F962" s="6">
        <v>0.94099999999999995</v>
      </c>
      <c r="G962" t="str">
        <f t="shared" si="42"/>
        <v>Refuse</v>
      </c>
      <c r="H962" t="str" cm="1">
        <f t="array" ref="H962">_xlfn.IFS(E962&gt;=16,"Excellent",E962&gt;=14,"Très bien",E962&gt;=12,"Bien",E962&gt;=10,"Passable",E962&lt;10,"Insuffisant")</f>
        <v>Insuffisant</v>
      </c>
      <c r="I962" t="str">
        <f t="shared" si="43"/>
        <v>A surveiller</v>
      </c>
      <c r="J962" t="str">
        <f t="shared" si="44"/>
        <v>Autre filière</v>
      </c>
    </row>
    <row r="963" spans="1:10">
      <c r="A963" t="s">
        <v>1295</v>
      </c>
      <c r="B963" t="s">
        <v>377</v>
      </c>
      <c r="C963" s="8" t="s">
        <v>21</v>
      </c>
      <c r="D963" s="8">
        <v>16.52</v>
      </c>
      <c r="E963" s="8">
        <v>15.62</v>
      </c>
      <c r="F963" s="6">
        <v>0.93889999999999996</v>
      </c>
      <c r="G963" t="str">
        <f t="shared" ref="G963:G996" si="45">IF(AND(D963&gt;=12,E963&gt;=12,F963&gt;=80%),"Admis",IF(AND(D963&gt;=10,E963&gt;=10),"Admis sous condition","Refuse"))</f>
        <v>Admis</v>
      </c>
      <c r="H963" t="str" cm="1">
        <f t="array" ref="H963">_xlfn.IFS(E963&gt;=16,"Excellent",E963&gt;=14,"Très bien",E963&gt;=12,"Bien",E963&gt;=10,"Passable",E963&lt;10,"Insuffisant")</f>
        <v>Très bien</v>
      </c>
      <c r="I963" t="str">
        <f t="shared" ref="I963:I997" si="46">IF(OR(D963&lt;10,E963&lt;10,F963&lt;70%),"A surveiller","RAS")</f>
        <v>RAS</v>
      </c>
      <c r="J963" t="str">
        <f t="shared" ref="J963:J1011" si="47">IF(NOT(C963="Data"),"Autre filière","Data")</f>
        <v>Data</v>
      </c>
    </row>
    <row r="964" spans="1:10">
      <c r="A964" t="s">
        <v>1296</v>
      </c>
      <c r="B964" t="s">
        <v>776</v>
      </c>
      <c r="C964" s="8" t="s">
        <v>26</v>
      </c>
      <c r="D964" s="8">
        <v>14.17</v>
      </c>
      <c r="E964" s="8">
        <v>17.5</v>
      </c>
      <c r="F964" s="6">
        <v>0.87539999999999996</v>
      </c>
      <c r="G964" t="str">
        <f t="shared" si="45"/>
        <v>Admis</v>
      </c>
      <c r="H964" t="str" cm="1">
        <f t="array" ref="H964">_xlfn.IFS(E964&gt;=16,"Excellent",E964&gt;=14,"Très bien",E964&gt;=12,"Bien",E964&gt;=10,"Passable",E964&lt;10,"Insuffisant")</f>
        <v>Excellent</v>
      </c>
      <c r="I964" t="str">
        <f t="shared" si="46"/>
        <v>RAS</v>
      </c>
      <c r="J964" t="str">
        <f t="shared" si="47"/>
        <v>Autre filière</v>
      </c>
    </row>
    <row r="965" spans="1:10">
      <c r="A965" t="s">
        <v>1297</v>
      </c>
      <c r="B965" t="s">
        <v>193</v>
      </c>
      <c r="C965" s="8" t="s">
        <v>34</v>
      </c>
      <c r="D965" s="8">
        <v>8.07</v>
      </c>
      <c r="E965" s="8">
        <v>8.0500000000000007</v>
      </c>
      <c r="F965" s="6">
        <v>0.92620000000000002</v>
      </c>
      <c r="G965" t="str">
        <f t="shared" si="45"/>
        <v>Refuse</v>
      </c>
      <c r="H965" t="str" cm="1">
        <f t="array" ref="H965">_xlfn.IFS(E965&gt;=16,"Excellent",E965&gt;=14,"Très bien",E965&gt;=12,"Bien",E965&gt;=10,"Passable",E965&lt;10,"Insuffisant")</f>
        <v>Insuffisant</v>
      </c>
      <c r="I965" t="str">
        <f t="shared" si="46"/>
        <v>A surveiller</v>
      </c>
      <c r="J965" t="str">
        <f t="shared" si="47"/>
        <v>Autre filière</v>
      </c>
    </row>
    <row r="966" spans="1:10">
      <c r="A966" t="s">
        <v>1298</v>
      </c>
      <c r="B966" t="s">
        <v>468</v>
      </c>
      <c r="C966" s="8" t="s">
        <v>21</v>
      </c>
      <c r="D966" s="8">
        <v>13.34</v>
      </c>
      <c r="E966" s="8">
        <v>12.08</v>
      </c>
      <c r="F966" s="6">
        <v>0.79010000000000002</v>
      </c>
      <c r="G966" t="str">
        <f t="shared" si="45"/>
        <v>Admis sous condition</v>
      </c>
      <c r="H966" t="str" cm="1">
        <f t="array" ref="H966">_xlfn.IFS(E966&gt;=16,"Excellent",E966&gt;=14,"Très bien",E966&gt;=12,"Bien",E966&gt;=10,"Passable",E966&lt;10,"Insuffisant")</f>
        <v>Bien</v>
      </c>
      <c r="I966" t="str">
        <f t="shared" si="46"/>
        <v>RAS</v>
      </c>
      <c r="J966" t="str">
        <f t="shared" si="47"/>
        <v>Data</v>
      </c>
    </row>
    <row r="967" spans="1:10">
      <c r="A967" t="s">
        <v>1299</v>
      </c>
      <c r="B967" t="s">
        <v>212</v>
      </c>
      <c r="C967" s="8" t="s">
        <v>21</v>
      </c>
      <c r="D967" s="8">
        <v>10.32</v>
      </c>
      <c r="E967" s="8">
        <v>11.64</v>
      </c>
      <c r="F967" s="6">
        <v>0.98</v>
      </c>
      <c r="G967" t="str">
        <f t="shared" si="45"/>
        <v>Admis sous condition</v>
      </c>
      <c r="H967" t="str" cm="1">
        <f t="array" ref="H967">_xlfn.IFS(E967&gt;=16,"Excellent",E967&gt;=14,"Très bien",E967&gt;=12,"Bien",E967&gt;=10,"Passable",E967&lt;10,"Insuffisant")</f>
        <v>Passable</v>
      </c>
      <c r="I967" t="str">
        <f t="shared" si="46"/>
        <v>RAS</v>
      </c>
      <c r="J967" t="str">
        <f t="shared" si="47"/>
        <v>Data</v>
      </c>
    </row>
    <row r="968" spans="1:10">
      <c r="A968" t="s">
        <v>1300</v>
      </c>
      <c r="B968" t="s">
        <v>617</v>
      </c>
      <c r="C968" s="8" t="s">
        <v>21</v>
      </c>
      <c r="D968" s="8">
        <v>17.62</v>
      </c>
      <c r="E968" s="8">
        <v>17.04</v>
      </c>
      <c r="F968" s="6">
        <v>0.81389999999999996</v>
      </c>
      <c r="G968" t="str">
        <f t="shared" si="45"/>
        <v>Admis</v>
      </c>
      <c r="H968" t="str" cm="1">
        <f t="array" ref="H968">_xlfn.IFS(E968&gt;=16,"Excellent",E968&gt;=14,"Très bien",E968&gt;=12,"Bien",E968&gt;=10,"Passable",E968&lt;10,"Insuffisant")</f>
        <v>Excellent</v>
      </c>
      <c r="I968" t="str">
        <f t="shared" si="46"/>
        <v>RAS</v>
      </c>
      <c r="J968" t="str">
        <f t="shared" si="47"/>
        <v>Data</v>
      </c>
    </row>
    <row r="969" spans="1:10">
      <c r="A969" t="s">
        <v>1301</v>
      </c>
      <c r="B969" t="s">
        <v>350</v>
      </c>
      <c r="C969" s="8" t="s">
        <v>21</v>
      </c>
      <c r="D969" s="8">
        <v>13.22</v>
      </c>
      <c r="E969" s="8">
        <v>7.65</v>
      </c>
      <c r="F969" s="6">
        <v>0.9506</v>
      </c>
      <c r="G969" t="str">
        <f t="shared" si="45"/>
        <v>Refuse</v>
      </c>
      <c r="H969" t="str" cm="1">
        <f t="array" ref="H969">_xlfn.IFS(E969&gt;=16,"Excellent",E969&gt;=14,"Très bien",E969&gt;=12,"Bien",E969&gt;=10,"Passable",E969&lt;10,"Insuffisant")</f>
        <v>Insuffisant</v>
      </c>
      <c r="I969" t="str">
        <f t="shared" si="46"/>
        <v>A surveiller</v>
      </c>
      <c r="J969" t="str">
        <f t="shared" si="47"/>
        <v>Data</v>
      </c>
    </row>
    <row r="970" spans="1:10">
      <c r="A970" t="s">
        <v>1302</v>
      </c>
      <c r="B970" t="s">
        <v>468</v>
      </c>
      <c r="C970" s="8" t="s">
        <v>47</v>
      </c>
      <c r="D970" s="8">
        <v>17.61</v>
      </c>
      <c r="E970" s="8">
        <v>18.11</v>
      </c>
      <c r="F970" s="6">
        <v>0.80110000000000003</v>
      </c>
      <c r="G970" t="str">
        <f t="shared" si="45"/>
        <v>Admis</v>
      </c>
      <c r="H970" t="str" cm="1">
        <f t="array" ref="H970">_xlfn.IFS(E970&gt;=16,"Excellent",E970&gt;=14,"Très bien",E970&gt;=12,"Bien",E970&gt;=10,"Passable",E970&lt;10,"Insuffisant")</f>
        <v>Excellent</v>
      </c>
      <c r="I970" t="str">
        <f t="shared" si="46"/>
        <v>RAS</v>
      </c>
      <c r="J970" t="str">
        <f t="shared" si="47"/>
        <v>Autre filière</v>
      </c>
    </row>
    <row r="971" spans="1:10">
      <c r="A971" t="s">
        <v>1303</v>
      </c>
      <c r="B971" t="s">
        <v>929</v>
      </c>
      <c r="C971" s="8" t="s">
        <v>21</v>
      </c>
      <c r="D971" s="8">
        <v>16</v>
      </c>
      <c r="E971" s="8">
        <v>15.79</v>
      </c>
      <c r="F971" s="6">
        <v>0.87490000000000001</v>
      </c>
      <c r="G971" t="str">
        <f t="shared" si="45"/>
        <v>Admis</v>
      </c>
      <c r="H971" t="str" cm="1">
        <f t="array" ref="H971">_xlfn.IFS(E971&gt;=16,"Excellent",E971&gt;=14,"Très bien",E971&gt;=12,"Bien",E971&gt;=10,"Passable",E971&lt;10,"Insuffisant")</f>
        <v>Très bien</v>
      </c>
      <c r="I971" t="str">
        <f t="shared" si="46"/>
        <v>RAS</v>
      </c>
      <c r="J971" t="str">
        <f t="shared" si="47"/>
        <v>Data</v>
      </c>
    </row>
    <row r="972" spans="1:10">
      <c r="A972" t="s">
        <v>1304</v>
      </c>
      <c r="B972" t="s">
        <v>263</v>
      </c>
      <c r="C972" s="8" t="s">
        <v>26</v>
      </c>
      <c r="D972" s="8">
        <v>11.48</v>
      </c>
      <c r="E972" s="8">
        <v>8.1300000000000008</v>
      </c>
      <c r="F972" s="6">
        <v>0.94620000000000004</v>
      </c>
      <c r="G972" t="str">
        <f t="shared" si="45"/>
        <v>Refuse</v>
      </c>
      <c r="H972" t="str" cm="1">
        <f t="array" ref="H972">_xlfn.IFS(E972&gt;=16,"Excellent",E972&gt;=14,"Très bien",E972&gt;=12,"Bien",E972&gt;=10,"Passable",E972&lt;10,"Insuffisant")</f>
        <v>Insuffisant</v>
      </c>
      <c r="I972" t="str">
        <f t="shared" si="46"/>
        <v>A surveiller</v>
      </c>
      <c r="J972" t="str">
        <f t="shared" si="47"/>
        <v>Autre filière</v>
      </c>
    </row>
    <row r="973" spans="1:10">
      <c r="A973" t="s">
        <v>1305</v>
      </c>
      <c r="B973" t="s">
        <v>1281</v>
      </c>
      <c r="C973" s="8" t="s">
        <v>34</v>
      </c>
      <c r="D973" s="8">
        <v>8.3800000000000008</v>
      </c>
      <c r="E973" s="8">
        <v>10.98</v>
      </c>
      <c r="F973" s="6">
        <v>0.82310000000000005</v>
      </c>
      <c r="G973" t="str">
        <f t="shared" si="45"/>
        <v>Refuse</v>
      </c>
      <c r="H973" t="str" cm="1">
        <f t="array" ref="H973">_xlfn.IFS(E973&gt;=16,"Excellent",E973&gt;=14,"Très bien",E973&gt;=12,"Bien",E973&gt;=10,"Passable",E973&lt;10,"Insuffisant")</f>
        <v>Passable</v>
      </c>
      <c r="I973" t="str">
        <f t="shared" si="46"/>
        <v>A surveiller</v>
      </c>
      <c r="J973" t="str">
        <f t="shared" si="47"/>
        <v>Autre filière</v>
      </c>
    </row>
    <row r="974" spans="1:10">
      <c r="A974" t="s">
        <v>1306</v>
      </c>
      <c r="B974" t="s">
        <v>520</v>
      </c>
      <c r="C974" s="8" t="s">
        <v>47</v>
      </c>
      <c r="D974" s="8">
        <v>8.83</v>
      </c>
      <c r="E974" s="8">
        <v>8.42</v>
      </c>
      <c r="F974" s="6">
        <v>0.73939999999999995</v>
      </c>
      <c r="G974" t="str">
        <f t="shared" si="45"/>
        <v>Refuse</v>
      </c>
      <c r="H974" t="str" cm="1">
        <f t="array" ref="H974">_xlfn.IFS(E974&gt;=16,"Excellent",E974&gt;=14,"Très bien",E974&gt;=12,"Bien",E974&gt;=10,"Passable",E974&lt;10,"Insuffisant")</f>
        <v>Insuffisant</v>
      </c>
      <c r="I974" t="str">
        <f t="shared" si="46"/>
        <v>A surveiller</v>
      </c>
      <c r="J974" t="str">
        <f t="shared" si="47"/>
        <v>Autre filière</v>
      </c>
    </row>
    <row r="975" spans="1:10">
      <c r="A975" t="s">
        <v>1307</v>
      </c>
      <c r="B975" t="s">
        <v>336</v>
      </c>
      <c r="C975" s="8" t="s">
        <v>34</v>
      </c>
      <c r="D975" s="8">
        <v>8.1</v>
      </c>
      <c r="E975" s="8">
        <v>12.2</v>
      </c>
      <c r="F975" s="6">
        <v>0.55000000000000004</v>
      </c>
      <c r="G975" t="str">
        <f t="shared" si="45"/>
        <v>Refuse</v>
      </c>
      <c r="H975" t="str" cm="1">
        <f t="array" ref="H975">_xlfn.IFS(E975&gt;=16,"Excellent",E975&gt;=14,"Très bien",E975&gt;=12,"Bien",E975&gt;=10,"Passable",E975&lt;10,"Insuffisant")</f>
        <v>Bien</v>
      </c>
      <c r="I975" t="str">
        <f t="shared" si="46"/>
        <v>A surveiller</v>
      </c>
      <c r="J975" t="str">
        <f t="shared" si="47"/>
        <v>Autre filière</v>
      </c>
    </row>
    <row r="976" spans="1:10">
      <c r="A976" t="s">
        <v>1308</v>
      </c>
      <c r="B976" t="s">
        <v>1309</v>
      </c>
      <c r="C976" s="8" t="s">
        <v>21</v>
      </c>
      <c r="D976" s="8">
        <v>11.88</v>
      </c>
      <c r="E976" s="8">
        <v>13.76</v>
      </c>
      <c r="F976" s="6">
        <v>0.64019999999999999</v>
      </c>
      <c r="G976" t="str">
        <f t="shared" si="45"/>
        <v>Admis sous condition</v>
      </c>
      <c r="H976" t="str" cm="1">
        <f t="array" ref="H976">_xlfn.IFS(E976&gt;=16,"Excellent",E976&gt;=14,"Très bien",E976&gt;=12,"Bien",E976&gt;=10,"Passable",E976&lt;10,"Insuffisant")</f>
        <v>Bien</v>
      </c>
      <c r="I976" t="str">
        <f t="shared" si="46"/>
        <v>A surveiller</v>
      </c>
      <c r="J976" t="str">
        <f t="shared" si="47"/>
        <v>Data</v>
      </c>
    </row>
    <row r="977" spans="1:10">
      <c r="A977" t="s">
        <v>1310</v>
      </c>
      <c r="B977" t="s">
        <v>513</v>
      </c>
      <c r="C977" s="8" t="s">
        <v>21</v>
      </c>
      <c r="D977" s="8">
        <v>9.86</v>
      </c>
      <c r="E977" s="8">
        <v>8.39</v>
      </c>
      <c r="F977" s="6">
        <v>0.87709999999999999</v>
      </c>
      <c r="G977" t="str">
        <f t="shared" si="45"/>
        <v>Refuse</v>
      </c>
      <c r="H977" t="str" cm="1">
        <f t="array" ref="H977">_xlfn.IFS(E977&gt;=16,"Excellent",E977&gt;=14,"Très bien",E977&gt;=12,"Bien",E977&gt;=10,"Passable",E977&lt;10,"Insuffisant")</f>
        <v>Insuffisant</v>
      </c>
      <c r="I977" t="str">
        <f t="shared" si="46"/>
        <v>A surveiller</v>
      </c>
      <c r="J977" t="str">
        <f t="shared" si="47"/>
        <v>Data</v>
      </c>
    </row>
    <row r="978" spans="1:10">
      <c r="A978" t="s">
        <v>1311</v>
      </c>
      <c r="B978" t="s">
        <v>409</v>
      </c>
      <c r="C978" s="8" t="s">
        <v>47</v>
      </c>
      <c r="D978" s="8">
        <v>8.75</v>
      </c>
      <c r="E978" s="8">
        <v>7.8</v>
      </c>
      <c r="F978" s="6">
        <v>0.96530000000000005</v>
      </c>
      <c r="G978" t="str">
        <f t="shared" si="45"/>
        <v>Refuse</v>
      </c>
      <c r="H978" t="str" cm="1">
        <f t="array" ref="H978">_xlfn.IFS(E978&gt;=16,"Excellent",E978&gt;=14,"Très bien",E978&gt;=12,"Bien",E978&gt;=10,"Passable",E978&lt;10,"Insuffisant")</f>
        <v>Insuffisant</v>
      </c>
      <c r="I978" t="str">
        <f t="shared" si="46"/>
        <v>A surveiller</v>
      </c>
      <c r="J978" t="str">
        <f t="shared" si="47"/>
        <v>Autre filière</v>
      </c>
    </row>
    <row r="979" spans="1:10">
      <c r="A979" t="s">
        <v>1312</v>
      </c>
      <c r="B979" t="s">
        <v>95</v>
      </c>
      <c r="C979" s="8" t="s">
        <v>47</v>
      </c>
      <c r="D979" s="8">
        <v>15.2</v>
      </c>
      <c r="E979" s="8">
        <v>9.99</v>
      </c>
      <c r="F979" s="6">
        <v>0.69869999999999999</v>
      </c>
      <c r="G979" t="str">
        <f t="shared" si="45"/>
        <v>Refuse</v>
      </c>
      <c r="H979" t="str" cm="1">
        <f t="array" ref="H979">_xlfn.IFS(E979&gt;=16,"Excellent",E979&gt;=14,"Très bien",E979&gt;=12,"Bien",E979&gt;=10,"Passable",E979&lt;10,"Insuffisant")</f>
        <v>Insuffisant</v>
      </c>
      <c r="I979" t="str">
        <f t="shared" si="46"/>
        <v>A surveiller</v>
      </c>
      <c r="J979" t="str">
        <f t="shared" si="47"/>
        <v>Autre filière</v>
      </c>
    </row>
    <row r="980" spans="1:10">
      <c r="A980" t="s">
        <v>1313</v>
      </c>
      <c r="B980" t="s">
        <v>252</v>
      </c>
      <c r="C980" s="8" t="s">
        <v>34</v>
      </c>
      <c r="D980" s="8">
        <v>9.1300000000000008</v>
      </c>
      <c r="E980" s="8">
        <v>6.38</v>
      </c>
      <c r="F980" s="6">
        <v>0.69350000000000001</v>
      </c>
      <c r="G980" t="str">
        <f t="shared" si="45"/>
        <v>Refuse</v>
      </c>
      <c r="H980" t="str" cm="1">
        <f t="array" ref="H980">_xlfn.IFS(E980&gt;=16,"Excellent",E980&gt;=14,"Très bien",E980&gt;=12,"Bien",E980&gt;=10,"Passable",E980&lt;10,"Insuffisant")</f>
        <v>Insuffisant</v>
      </c>
      <c r="I980" t="str">
        <f t="shared" si="46"/>
        <v>A surveiller</v>
      </c>
      <c r="J980" t="str">
        <f t="shared" si="47"/>
        <v>Autre filière</v>
      </c>
    </row>
    <row r="981" spans="1:10">
      <c r="A981" t="s">
        <v>1314</v>
      </c>
      <c r="B981" t="s">
        <v>212</v>
      </c>
      <c r="C981" s="8" t="s">
        <v>34</v>
      </c>
      <c r="D981" s="8">
        <v>10.41</v>
      </c>
      <c r="E981" s="8">
        <v>8.3800000000000008</v>
      </c>
      <c r="F981" s="6">
        <v>0.8115</v>
      </c>
      <c r="G981" t="str">
        <f t="shared" si="45"/>
        <v>Refuse</v>
      </c>
      <c r="H981" t="str" cm="1">
        <f t="array" ref="H981">_xlfn.IFS(E981&gt;=16,"Excellent",E981&gt;=14,"Très bien",E981&gt;=12,"Bien",E981&gt;=10,"Passable",E981&lt;10,"Insuffisant")</f>
        <v>Insuffisant</v>
      </c>
      <c r="I981" t="str">
        <f t="shared" si="46"/>
        <v>A surveiller</v>
      </c>
      <c r="J981" t="str">
        <f t="shared" si="47"/>
        <v>Autre filière</v>
      </c>
    </row>
    <row r="982" spans="1:10">
      <c r="A982" t="s">
        <v>1315</v>
      </c>
      <c r="B982" t="s">
        <v>165</v>
      </c>
      <c r="C982" s="8" t="s">
        <v>26</v>
      </c>
      <c r="D982" s="8">
        <v>6.37</v>
      </c>
      <c r="E982" s="8">
        <v>8.81</v>
      </c>
      <c r="F982" s="6">
        <v>0.72199999999999998</v>
      </c>
      <c r="G982" t="str">
        <f t="shared" si="45"/>
        <v>Refuse</v>
      </c>
      <c r="H982" t="str" cm="1">
        <f t="array" ref="H982">_xlfn.IFS(E982&gt;=16,"Excellent",E982&gt;=14,"Très bien",E982&gt;=12,"Bien",E982&gt;=10,"Passable",E982&lt;10,"Insuffisant")</f>
        <v>Insuffisant</v>
      </c>
      <c r="I982" t="str">
        <f t="shared" si="46"/>
        <v>A surveiller</v>
      </c>
      <c r="J982" t="str">
        <f t="shared" si="47"/>
        <v>Autre filière</v>
      </c>
    </row>
    <row r="983" spans="1:10">
      <c r="A983" t="s">
        <v>1316</v>
      </c>
      <c r="B983" t="s">
        <v>1008</v>
      </c>
      <c r="C983" s="8" t="s">
        <v>26</v>
      </c>
      <c r="D983" s="8">
        <v>11.22</v>
      </c>
      <c r="E983" s="8">
        <v>14.25</v>
      </c>
      <c r="F983" s="6">
        <v>0.65639999999999998</v>
      </c>
      <c r="G983" t="str">
        <f t="shared" si="45"/>
        <v>Admis sous condition</v>
      </c>
      <c r="H983" t="str" cm="1">
        <f t="array" ref="H983">_xlfn.IFS(E983&gt;=16,"Excellent",E983&gt;=14,"Très bien",E983&gt;=12,"Bien",E983&gt;=10,"Passable",E983&lt;10,"Insuffisant")</f>
        <v>Très bien</v>
      </c>
      <c r="I983" t="str">
        <f t="shared" si="46"/>
        <v>A surveiller</v>
      </c>
      <c r="J983" t="str">
        <f t="shared" si="47"/>
        <v>Autre filière</v>
      </c>
    </row>
    <row r="984" spans="1:10">
      <c r="A984" t="s">
        <v>1317</v>
      </c>
      <c r="B984" t="s">
        <v>97</v>
      </c>
      <c r="C984" s="8" t="s">
        <v>34</v>
      </c>
      <c r="D984" s="8">
        <v>19.16</v>
      </c>
      <c r="E984" s="8">
        <v>17.690000000000001</v>
      </c>
      <c r="F984" s="6">
        <v>0.73260000000000003</v>
      </c>
      <c r="G984" t="str">
        <f t="shared" si="45"/>
        <v>Admis sous condition</v>
      </c>
      <c r="H984" t="str" cm="1">
        <f t="array" ref="H984">_xlfn.IFS(E984&gt;=16,"Excellent",E984&gt;=14,"Très bien",E984&gt;=12,"Bien",E984&gt;=10,"Passable",E984&lt;10,"Insuffisant")</f>
        <v>Excellent</v>
      </c>
      <c r="I984" t="str">
        <f t="shared" si="46"/>
        <v>RAS</v>
      </c>
      <c r="J984" t="str">
        <f t="shared" si="47"/>
        <v>Autre filière</v>
      </c>
    </row>
    <row r="985" spans="1:10">
      <c r="A985" t="s">
        <v>1318</v>
      </c>
      <c r="B985" t="s">
        <v>588</v>
      </c>
      <c r="C985" s="8" t="s">
        <v>21</v>
      </c>
      <c r="D985" s="8">
        <v>14.06</v>
      </c>
      <c r="E985" s="8">
        <v>14.88</v>
      </c>
      <c r="F985" s="6">
        <v>0.94850000000000001</v>
      </c>
      <c r="G985" t="str">
        <f t="shared" si="45"/>
        <v>Admis</v>
      </c>
      <c r="H985" t="str" cm="1">
        <f t="array" ref="H985">_xlfn.IFS(E985&gt;=16,"Excellent",E985&gt;=14,"Très bien",E985&gt;=12,"Bien",E985&gt;=10,"Passable",E985&lt;10,"Insuffisant")</f>
        <v>Très bien</v>
      </c>
      <c r="I985" t="str">
        <f t="shared" si="46"/>
        <v>RAS</v>
      </c>
      <c r="J985" t="str">
        <f t="shared" si="47"/>
        <v>Data</v>
      </c>
    </row>
    <row r="986" spans="1:10">
      <c r="A986" t="s">
        <v>1319</v>
      </c>
      <c r="B986" t="s">
        <v>1320</v>
      </c>
      <c r="C986" s="8" t="s">
        <v>34</v>
      </c>
      <c r="D986" s="8">
        <v>18.82</v>
      </c>
      <c r="E986" s="8">
        <v>12.55</v>
      </c>
      <c r="F986" s="6">
        <v>0.66259999999999997</v>
      </c>
      <c r="G986" t="str">
        <f t="shared" si="45"/>
        <v>Admis sous condition</v>
      </c>
      <c r="H986" t="str" cm="1">
        <f t="array" ref="H986">_xlfn.IFS(E986&gt;=16,"Excellent",E986&gt;=14,"Très bien",E986&gt;=12,"Bien",E986&gt;=10,"Passable",E986&lt;10,"Insuffisant")</f>
        <v>Bien</v>
      </c>
      <c r="I986" t="str">
        <f t="shared" si="46"/>
        <v>A surveiller</v>
      </c>
      <c r="J986" t="str">
        <f t="shared" si="47"/>
        <v>Autre filière</v>
      </c>
    </row>
    <row r="987" spans="1:10">
      <c r="A987" t="s">
        <v>1321</v>
      </c>
      <c r="B987" t="s">
        <v>23</v>
      </c>
      <c r="C987" s="8" t="s">
        <v>47</v>
      </c>
      <c r="D987" s="8">
        <v>11.26</v>
      </c>
      <c r="E987" s="8">
        <v>10.4</v>
      </c>
      <c r="F987" s="6">
        <v>0.97289999999999999</v>
      </c>
      <c r="G987" t="str">
        <f t="shared" si="45"/>
        <v>Admis sous condition</v>
      </c>
      <c r="H987" t="str" cm="1">
        <f t="array" ref="H987">_xlfn.IFS(E987&gt;=16,"Excellent",E987&gt;=14,"Très bien",E987&gt;=12,"Bien",E987&gt;=10,"Passable",E987&lt;10,"Insuffisant")</f>
        <v>Passable</v>
      </c>
      <c r="I987" t="str">
        <f t="shared" si="46"/>
        <v>RAS</v>
      </c>
      <c r="J987" t="str">
        <f t="shared" si="47"/>
        <v>Autre filière</v>
      </c>
    </row>
    <row r="988" spans="1:10">
      <c r="A988" t="s">
        <v>1322</v>
      </c>
      <c r="B988" t="s">
        <v>907</v>
      </c>
      <c r="C988" s="8" t="s">
        <v>47</v>
      </c>
      <c r="D988" s="8">
        <v>13.4</v>
      </c>
      <c r="E988" s="8">
        <v>9.61</v>
      </c>
      <c r="F988" s="6">
        <v>0.77700000000000002</v>
      </c>
      <c r="G988" t="str">
        <f t="shared" si="45"/>
        <v>Refuse</v>
      </c>
      <c r="H988" t="str" cm="1">
        <f t="array" ref="H988">_xlfn.IFS(E988&gt;=16,"Excellent",E988&gt;=14,"Très bien",E988&gt;=12,"Bien",E988&gt;=10,"Passable",E988&lt;10,"Insuffisant")</f>
        <v>Insuffisant</v>
      </c>
      <c r="I988" t="str">
        <f t="shared" si="46"/>
        <v>A surveiller</v>
      </c>
      <c r="J988" t="str">
        <f t="shared" si="47"/>
        <v>Autre filière</v>
      </c>
    </row>
    <row r="989" spans="1:10">
      <c r="A989" t="s">
        <v>1323</v>
      </c>
      <c r="B989" t="s">
        <v>574</v>
      </c>
      <c r="C989" s="8" t="s">
        <v>21</v>
      </c>
      <c r="D989" s="8">
        <v>11.99</v>
      </c>
      <c r="E989" s="8">
        <v>14.39</v>
      </c>
      <c r="F989" s="6">
        <v>0.85909999999999997</v>
      </c>
      <c r="G989" t="str">
        <f t="shared" si="45"/>
        <v>Admis sous condition</v>
      </c>
      <c r="H989" t="str" cm="1">
        <f t="array" ref="H989">_xlfn.IFS(E989&gt;=16,"Excellent",E989&gt;=14,"Très bien",E989&gt;=12,"Bien",E989&gt;=10,"Passable",E989&lt;10,"Insuffisant")</f>
        <v>Très bien</v>
      </c>
      <c r="I989" t="str">
        <f t="shared" si="46"/>
        <v>RAS</v>
      </c>
      <c r="J989" t="str">
        <f t="shared" si="47"/>
        <v>Data</v>
      </c>
    </row>
    <row r="990" spans="1:10">
      <c r="A990" t="s">
        <v>1324</v>
      </c>
      <c r="B990" t="s">
        <v>240</v>
      </c>
      <c r="C990" s="8" t="s">
        <v>21</v>
      </c>
      <c r="D990" s="8">
        <v>9.5</v>
      </c>
      <c r="E990" s="8">
        <v>10.95</v>
      </c>
      <c r="F990" s="6">
        <v>0.66690000000000005</v>
      </c>
      <c r="G990" t="str">
        <f t="shared" si="45"/>
        <v>Refuse</v>
      </c>
      <c r="H990" t="str" cm="1">
        <f t="array" ref="H990">_xlfn.IFS(E990&gt;=16,"Excellent",E990&gt;=14,"Très bien",E990&gt;=12,"Bien",E990&gt;=10,"Passable",E990&lt;10,"Insuffisant")</f>
        <v>Passable</v>
      </c>
      <c r="I990" t="str">
        <f t="shared" si="46"/>
        <v>A surveiller</v>
      </c>
      <c r="J990" t="str">
        <f t="shared" si="47"/>
        <v>Data</v>
      </c>
    </row>
    <row r="991" spans="1:10">
      <c r="A991" t="s">
        <v>1325</v>
      </c>
      <c r="B991" t="s">
        <v>403</v>
      </c>
      <c r="C991" s="8" t="s">
        <v>34</v>
      </c>
      <c r="D991" s="8">
        <v>15.83</v>
      </c>
      <c r="E991" s="8">
        <v>20</v>
      </c>
      <c r="F991" s="6">
        <v>0.90310000000000001</v>
      </c>
      <c r="G991" t="str">
        <f t="shared" si="45"/>
        <v>Admis</v>
      </c>
      <c r="H991" t="str" cm="1">
        <f t="array" ref="H991">_xlfn.IFS(E991&gt;=16,"Excellent",E991&gt;=14,"Très bien",E991&gt;=12,"Bien",E991&gt;=10,"Passable",E991&lt;10,"Insuffisant")</f>
        <v>Excellent</v>
      </c>
      <c r="I991" t="str">
        <f t="shared" si="46"/>
        <v>RAS</v>
      </c>
      <c r="J991" t="str">
        <f t="shared" si="47"/>
        <v>Autre filière</v>
      </c>
    </row>
    <row r="992" spans="1:10">
      <c r="A992" t="s">
        <v>1326</v>
      </c>
      <c r="B992" t="s">
        <v>631</v>
      </c>
      <c r="C992" s="8" t="s">
        <v>26</v>
      </c>
      <c r="D992" s="8">
        <v>8.43</v>
      </c>
      <c r="E992" s="8">
        <v>11.72</v>
      </c>
      <c r="F992" s="6">
        <v>0.6804</v>
      </c>
      <c r="G992" t="str">
        <f t="shared" si="45"/>
        <v>Refuse</v>
      </c>
      <c r="H992" t="str" cm="1">
        <f t="array" ref="H992">_xlfn.IFS(E992&gt;=16,"Excellent",E992&gt;=14,"Très bien",E992&gt;=12,"Bien",E992&gt;=10,"Passable",E992&lt;10,"Insuffisant")</f>
        <v>Passable</v>
      </c>
      <c r="I992" t="str">
        <f t="shared" si="46"/>
        <v>A surveiller</v>
      </c>
      <c r="J992" t="str">
        <f t="shared" si="47"/>
        <v>Autre filière</v>
      </c>
    </row>
    <row r="993" spans="1:10">
      <c r="A993" t="s">
        <v>1327</v>
      </c>
      <c r="B993" t="s">
        <v>217</v>
      </c>
      <c r="C993" s="8" t="s">
        <v>21</v>
      </c>
      <c r="D993" s="8">
        <v>13.8</v>
      </c>
      <c r="E993" s="8">
        <v>11.59</v>
      </c>
      <c r="F993" s="6">
        <v>0.87019999999999997</v>
      </c>
      <c r="G993" t="str">
        <f t="shared" si="45"/>
        <v>Admis sous condition</v>
      </c>
      <c r="H993" t="str" cm="1">
        <f t="array" ref="H993">_xlfn.IFS(E993&gt;=16,"Excellent",E993&gt;=14,"Très bien",E993&gt;=12,"Bien",E993&gt;=10,"Passable",E993&lt;10,"Insuffisant")</f>
        <v>Passable</v>
      </c>
      <c r="I993" t="str">
        <f t="shared" si="46"/>
        <v>RAS</v>
      </c>
      <c r="J993" t="str">
        <f t="shared" si="47"/>
        <v>Data</v>
      </c>
    </row>
    <row r="994" spans="1:10">
      <c r="A994" t="s">
        <v>1328</v>
      </c>
      <c r="B994" t="s">
        <v>1329</v>
      </c>
      <c r="C994" s="8" t="s">
        <v>34</v>
      </c>
      <c r="D994" s="8">
        <v>12.64</v>
      </c>
      <c r="E994" s="8">
        <v>13.57</v>
      </c>
      <c r="F994" s="6">
        <v>0.87929999999999997</v>
      </c>
      <c r="G994" t="str">
        <f t="shared" si="45"/>
        <v>Admis</v>
      </c>
      <c r="H994" t="str" cm="1">
        <f t="array" ref="H994">_xlfn.IFS(E994&gt;=16,"Excellent",E994&gt;=14,"Très bien",E994&gt;=12,"Bien",E994&gt;=10,"Passable",E994&lt;10,"Insuffisant")</f>
        <v>Bien</v>
      </c>
      <c r="I994" t="str">
        <f t="shared" si="46"/>
        <v>RAS</v>
      </c>
      <c r="J994" t="str">
        <f t="shared" si="47"/>
        <v>Autre filière</v>
      </c>
    </row>
    <row r="995" spans="1:10">
      <c r="A995" t="s">
        <v>1330</v>
      </c>
      <c r="B995" t="s">
        <v>381</v>
      </c>
      <c r="C995" s="8" t="s">
        <v>21</v>
      </c>
      <c r="D995" s="8">
        <v>11.57</v>
      </c>
      <c r="E995" s="8">
        <v>18.86</v>
      </c>
      <c r="F995" s="6">
        <v>0.94410000000000005</v>
      </c>
      <c r="G995" t="str">
        <f t="shared" si="45"/>
        <v>Admis sous condition</v>
      </c>
      <c r="H995" t="str" cm="1">
        <f t="array" ref="H995">_xlfn.IFS(E995&gt;=16,"Excellent",E995&gt;=14,"Très bien",E995&gt;=12,"Bien",E995&gt;=10,"Passable",E995&lt;10,"Insuffisant")</f>
        <v>Excellent</v>
      </c>
      <c r="I995" t="str">
        <f t="shared" si="46"/>
        <v>RAS</v>
      </c>
      <c r="J995" t="str">
        <f t="shared" si="47"/>
        <v>Data</v>
      </c>
    </row>
    <row r="996" spans="1:10">
      <c r="A996" t="s">
        <v>1331</v>
      </c>
      <c r="B996" t="s">
        <v>379</v>
      </c>
      <c r="C996" s="8" t="s">
        <v>21</v>
      </c>
      <c r="D996" s="8">
        <v>14.34</v>
      </c>
      <c r="E996" s="8">
        <v>8.32</v>
      </c>
      <c r="F996" s="6">
        <v>0.66180000000000005</v>
      </c>
      <c r="G996" t="str">
        <f t="shared" si="45"/>
        <v>Refuse</v>
      </c>
      <c r="H996" t="str" cm="1">
        <f t="array" ref="H996">_xlfn.IFS(E996&gt;=16,"Excellent",E996&gt;=14,"Très bien",E996&gt;=12,"Bien",E996&gt;=10,"Passable",E996&lt;10,"Insuffisant")</f>
        <v>Insuffisant</v>
      </c>
      <c r="I996" t="str">
        <f t="shared" si="46"/>
        <v>A surveiller</v>
      </c>
      <c r="J996" t="str">
        <f t="shared" si="47"/>
        <v>Data</v>
      </c>
    </row>
    <row r="997" spans="1:10">
      <c r="A997" t="s">
        <v>1332</v>
      </c>
      <c r="B997" t="s">
        <v>70</v>
      </c>
      <c r="C997" s="8" t="s">
        <v>47</v>
      </c>
      <c r="D997" s="8">
        <v>12.97</v>
      </c>
      <c r="E997" s="8">
        <v>11.09</v>
      </c>
      <c r="F997" s="6">
        <v>0.63160000000000005</v>
      </c>
      <c r="G997" t="str">
        <f>IF(AND(D997&gt;=12,E997&gt;=12,F997&gt;=80%),"Admis",IF(AND(D997&gt;=10,E997&gt;=10),"Admis sous condition","Refuse"))</f>
        <v>Admis sous condition</v>
      </c>
      <c r="H997" t="str" cm="1">
        <f t="array" ref="H997">_xlfn.IFS(E997&gt;=16,"Excellent",E997&gt;=14,"Très bien",E997&gt;=12,"Bien",E997&gt;=10,"Passable",E997&lt;10,"Insuffisant")</f>
        <v>Passable</v>
      </c>
      <c r="I997" t="str">
        <f t="shared" si="46"/>
        <v>A surveiller</v>
      </c>
      <c r="J997" t="str">
        <f t="shared" si="47"/>
        <v>Autre filière</v>
      </c>
    </row>
    <row r="998" spans="1:10">
      <c r="A998" t="s">
        <v>1333</v>
      </c>
      <c r="B998" t="s">
        <v>28</v>
      </c>
      <c r="C998" s="8" t="s">
        <v>34</v>
      </c>
      <c r="D998" s="8">
        <v>9.0299999999999994</v>
      </c>
      <c r="E998" s="8">
        <v>12.52</v>
      </c>
      <c r="F998" s="6">
        <v>0.87109999999999999</v>
      </c>
      <c r="G998" t="str">
        <f t="shared" ref="G998:G1001" si="48">IF(AND(D998&gt;=12,E998&gt;=12,F998&gt;=80%),"Admis",IF(AND(D998&gt;=10,E998&gt;=10),"Admis sous condition","Refuse"))</f>
        <v>Refuse</v>
      </c>
      <c r="H998" t="str" cm="1">
        <f t="array" ref="H998">_xlfn.IFS(E998&gt;=16,"Excellent",E998&gt;=14,"Très bien",E998&gt;=12,"Bien",E998&gt;=10,"Passable",E998&lt;10,"Insuffisant")</f>
        <v>Bien</v>
      </c>
      <c r="I998" t="str">
        <f>IF(OR(D998&lt;10,E998&lt;10,F998&lt;70%),"A surveiller","RAS")</f>
        <v>A surveiller</v>
      </c>
      <c r="J998" t="str">
        <f t="shared" si="47"/>
        <v>Autre filière</v>
      </c>
    </row>
    <row r="999" spans="1:10">
      <c r="A999" t="s">
        <v>1334</v>
      </c>
      <c r="B999" t="s">
        <v>377</v>
      </c>
      <c r="C999" s="8" t="s">
        <v>34</v>
      </c>
      <c r="D999" s="8">
        <v>11.33</v>
      </c>
      <c r="E999" s="8">
        <v>10.73</v>
      </c>
      <c r="F999" s="6">
        <v>0.96430000000000005</v>
      </c>
      <c r="G999" t="str">
        <f t="shared" si="48"/>
        <v>Admis sous condition</v>
      </c>
      <c r="H999" t="str" cm="1">
        <f t="array" ref="H999">_xlfn.IFS(E999&gt;=16,"Excellent",E999&gt;=14,"Très bien",E999&gt;=12,"Bien",E999&gt;=10,"Passable",E999&lt;10,"Insuffisant")</f>
        <v>Passable</v>
      </c>
      <c r="I999" t="str">
        <f t="shared" ref="I999:I1001" si="49">IF(OR(D999&lt;10,E999&lt;10,F999&lt;70%),"A surveiller","RAS")</f>
        <v>RAS</v>
      </c>
      <c r="J999" t="str">
        <f t="shared" si="47"/>
        <v>Autre filière</v>
      </c>
    </row>
    <row r="1000" spans="1:10">
      <c r="A1000" t="s">
        <v>1335</v>
      </c>
      <c r="B1000" t="s">
        <v>190</v>
      </c>
      <c r="C1000" s="8" t="s">
        <v>26</v>
      </c>
      <c r="D1000" s="8">
        <v>15.48</v>
      </c>
      <c r="E1000" s="8">
        <v>14.33</v>
      </c>
      <c r="F1000" s="6">
        <v>0.64580000000000004</v>
      </c>
      <c r="G1000" t="str">
        <f t="shared" si="48"/>
        <v>Admis sous condition</v>
      </c>
      <c r="H1000" t="str" cm="1">
        <f t="array" ref="H1000">_xlfn.IFS(E1000&gt;=16,"Excellent",E1000&gt;=14,"Très bien",E1000&gt;=12,"Bien",E1000&gt;=10,"Passable",E1000&lt;10,"Insuffisant")</f>
        <v>Très bien</v>
      </c>
      <c r="I1000" t="str">
        <f t="shared" si="49"/>
        <v>A surveiller</v>
      </c>
      <c r="J1000" t="str">
        <f t="shared" si="47"/>
        <v>Autre filière</v>
      </c>
    </row>
    <row r="1001" spans="1:10">
      <c r="A1001" t="s">
        <v>1336</v>
      </c>
      <c r="B1001" t="s">
        <v>54</v>
      </c>
      <c r="C1001" s="8" t="s">
        <v>21</v>
      </c>
      <c r="D1001" s="8">
        <v>16.309999999999999</v>
      </c>
      <c r="E1001" s="8">
        <v>11.5</v>
      </c>
      <c r="F1001" s="6">
        <v>0.90300000000000002</v>
      </c>
      <c r="G1001" t="str">
        <f t="shared" si="48"/>
        <v>Admis sous condition</v>
      </c>
      <c r="H1001" t="str" cm="1">
        <f t="array" ref="H1001">_xlfn.IFS(E1001&gt;=16,"Excellent",E1001&gt;=14,"Très bien",E1001&gt;=12,"Bien",E1001&gt;=10,"Passable",E1001&lt;10,"Insuffisant")</f>
        <v>Passable</v>
      </c>
      <c r="I1001" t="str">
        <f t="shared" si="49"/>
        <v>RAS</v>
      </c>
      <c r="J1001" t="str">
        <f t="shared" si="47"/>
        <v>Data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2026-09-01T00:29:25Z</dcterms:modified>
  <cp:category/>
  <cp:contentStatus/>
</cp:coreProperties>
</file>