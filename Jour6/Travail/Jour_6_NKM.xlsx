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4FD27CB9-117F-4B90-852F-979A980B7437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Pratique" sheetId="1" r:id="rId1"/>
    <sheet name="Calculateur_Salair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" i="2" l="1"/>
  <c r="B10" i="2"/>
  <c r="B8" i="2"/>
  <c r="B9" i="2" s="1"/>
  <c r="B11" i="2" s="1"/>
  <c r="B9" i="1"/>
  <c r="B8" i="1"/>
  <c r="B7" i="1"/>
  <c r="B6" i="1"/>
  <c r="F3" i="1"/>
  <c r="F4" i="1"/>
  <c r="C4" i="1"/>
  <c r="C3" i="1"/>
  <c r="C2" i="1"/>
  <c r="C1" i="1"/>
</calcChain>
</file>

<file path=xl/sharedStrings.xml><?xml version="1.0" encoding="utf-8"?>
<sst xmlns="http://schemas.openxmlformats.org/spreadsheetml/2006/main" count="17" uniqueCount="16">
  <si>
    <t>Salaire_brut</t>
  </si>
  <si>
    <t>Retenue</t>
  </si>
  <si>
    <t>Pourcentage=</t>
  </si>
  <si>
    <t>indice:</t>
  </si>
  <si>
    <t>A</t>
  </si>
  <si>
    <t>B</t>
  </si>
  <si>
    <t>Salaire de base</t>
  </si>
  <si>
    <t>Prime de transport</t>
  </si>
  <si>
    <t>Prime de performance</t>
  </si>
  <si>
    <t>Heures supplémentaires</t>
  </si>
  <si>
    <t>Taux horaire</t>
  </si>
  <si>
    <t>Taux de retenue</t>
  </si>
  <si>
    <t>Montant des heures supplémentaires</t>
  </si>
  <si>
    <t>Salaire brut</t>
  </si>
  <si>
    <t> Retenue</t>
  </si>
  <si>
    <t>Salaire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</si>
</sst>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7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  <charset val="1"/>
    </font>
    <font>
      <sz val="11"/>
      <color rgb="FF000000"/>
      <name val="Times New Roman"/>
      <family val="1"/>
      <charset val="1"/>
    </font>
    <font>
      <sz val="11"/>
      <color theme="9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9" fontId="0" fillId="0" borderId="0" xfId="0" applyNumberFormat="1"/>
    <xf numFmtId="0" fontId="0" fillId="2" borderId="0" xfId="0" applyFill="1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2" fillId="0" borderId="1" xfId="0" applyFont="1" applyBorder="1" applyAlignment="1">
      <alignment readingOrder="1"/>
    </xf>
    <xf numFmtId="0" fontId="2" fillId="0" borderId="2" xfId="0" applyFont="1" applyBorder="1" applyAlignment="1">
      <alignment readingOrder="1"/>
    </xf>
    <xf numFmtId="9" fontId="2" fillId="0" borderId="2" xfId="0" applyNumberFormat="1" applyFont="1" applyBorder="1" applyAlignment="1">
      <alignment readingOrder="1"/>
    </xf>
    <xf numFmtId="1" fontId="2" fillId="0" borderId="2" xfId="0" applyNumberFormat="1" applyFont="1" applyBorder="1" applyAlignment="1">
      <alignment readingOrder="1"/>
    </xf>
    <xf numFmtId="41" fontId="0" fillId="0" borderId="0" xfId="0" applyNumberFormat="1"/>
    <xf numFmtId="10" fontId="2" fillId="0" borderId="2" xfId="0" applyNumberFormat="1" applyFont="1" applyBorder="1" applyAlignment="1">
      <alignment readingOrder="1"/>
    </xf>
    <xf numFmtId="0" fontId="0" fillId="3" borderId="0" xfId="0" applyFill="1"/>
    <xf numFmtId="0" fontId="1" fillId="4" borderId="0" xfId="0" applyFont="1" applyFill="1" applyAlignment="1">
      <alignment readingOrder="1"/>
    </xf>
    <xf numFmtId="0" fontId="1" fillId="5" borderId="0" xfId="0" applyFont="1" applyFill="1" applyAlignment="1">
      <alignment readingOrder="1"/>
    </xf>
    <xf numFmtId="0" fontId="0" fillId="6" borderId="0" xfId="0" applyFill="1" applyAlignment="1">
      <alignment wrapText="1"/>
    </xf>
    <xf numFmtId="1" fontId="3" fillId="0" borderId="0" xfId="0" applyNumberFormat="1" applyFont="1"/>
    <xf numFmtId="0" fontId="4" fillId="0" borderId="0" xfId="0" applyFont="1"/>
    <xf numFmtId="1" fontId="5" fillId="0" borderId="0" xfId="0" applyNumberFormat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workbookViewId="0">
      <selection activeCell="B9" sqref="B9"/>
    </sheetView>
  </sheetViews>
  <sheetFormatPr defaultRowHeight="15"/>
  <cols>
    <col min="5" max="5" width="13.42578125" customWidth="1"/>
  </cols>
  <sheetData>
    <row r="1" spans="1:6">
      <c r="A1">
        <v>100</v>
      </c>
      <c r="B1">
        <v>20</v>
      </c>
      <c r="C1">
        <f>A1+B1</f>
        <v>120</v>
      </c>
      <c r="E1" t="s">
        <v>0</v>
      </c>
      <c r="F1">
        <v>250000</v>
      </c>
    </row>
    <row r="2" spans="1:6">
      <c r="C2">
        <f>A1-B1</f>
        <v>80</v>
      </c>
      <c r="E2" t="s">
        <v>1</v>
      </c>
      <c r="F2">
        <v>25000</v>
      </c>
    </row>
    <row r="3" spans="1:6">
      <c r="C3">
        <f>A1/B1</f>
        <v>5</v>
      </c>
      <c r="E3" s="2" t="s">
        <v>2</v>
      </c>
      <c r="F3" s="1">
        <f>(F2/F1)*100</f>
        <v>10</v>
      </c>
    </row>
    <row r="4" spans="1:6">
      <c r="C4">
        <f>A1*B1</f>
        <v>2000</v>
      </c>
      <c r="E4" s="2" t="s">
        <v>3</v>
      </c>
      <c r="F4" s="1">
        <f>F2/F1</f>
        <v>0.1</v>
      </c>
    </row>
    <row r="6" spans="1:6">
      <c r="B6">
        <f>10+5*2</f>
        <v>20</v>
      </c>
    </row>
    <row r="7" spans="1:6">
      <c r="B7">
        <f>(10+5)*2</f>
        <v>30</v>
      </c>
    </row>
    <row r="8" spans="1:6">
      <c r="B8">
        <f>100-20/2</f>
        <v>90</v>
      </c>
    </row>
    <row r="9" spans="1:6">
      <c r="B9">
        <f>(100-20)/2</f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7EC3A-AA6C-43B9-ADF3-CB444DCF5FAE}">
  <dimension ref="A1:E11"/>
  <sheetViews>
    <sheetView tabSelected="1" workbookViewId="0">
      <selection activeCell="B3" sqref="B3"/>
    </sheetView>
  </sheetViews>
  <sheetFormatPr defaultRowHeight="15"/>
  <cols>
    <col min="1" max="1" width="35" customWidth="1"/>
    <col min="2" max="2" width="11.85546875" bestFit="1" customWidth="1"/>
    <col min="4" max="4" width="20.140625" customWidth="1"/>
    <col min="5" max="5" width="14.140625" customWidth="1"/>
  </cols>
  <sheetData>
    <row r="1" spans="1:5">
      <c r="A1" s="3" t="s">
        <v>4</v>
      </c>
      <c r="B1" s="4" t="s">
        <v>5</v>
      </c>
    </row>
    <row r="2" spans="1:5">
      <c r="A2" s="5" t="s">
        <v>6</v>
      </c>
      <c r="B2" s="8">
        <v>400000</v>
      </c>
    </row>
    <row r="3" spans="1:5">
      <c r="A3" s="5" t="s">
        <v>7</v>
      </c>
      <c r="B3" s="8">
        <v>30000</v>
      </c>
      <c r="E3" s="9"/>
    </row>
    <row r="4" spans="1:5">
      <c r="A4" s="5" t="s">
        <v>8</v>
      </c>
      <c r="B4" s="10">
        <v>0.1</v>
      </c>
      <c r="D4" s="5" t="s">
        <v>8</v>
      </c>
      <c r="E4">
        <f>B2*B4</f>
        <v>40000</v>
      </c>
    </row>
    <row r="5" spans="1:5">
      <c r="A5" s="5" t="s">
        <v>9</v>
      </c>
      <c r="B5" s="6">
        <v>30</v>
      </c>
      <c r="E5" s="9"/>
    </row>
    <row r="6" spans="1:5">
      <c r="A6" s="5" t="s">
        <v>10</v>
      </c>
      <c r="B6" s="8">
        <v>2500</v>
      </c>
    </row>
    <row r="7" spans="1:5">
      <c r="A7" s="5" t="s">
        <v>11</v>
      </c>
      <c r="B7" s="7">
        <v>0.1</v>
      </c>
    </row>
    <row r="8" spans="1:5">
      <c r="A8" s="14" t="s">
        <v>12</v>
      </c>
      <c r="B8" s="18">
        <f>B5*B6</f>
        <v>75000</v>
      </c>
    </row>
    <row r="9" spans="1:5">
      <c r="A9" s="11" t="s">
        <v>13</v>
      </c>
      <c r="B9" s="17">
        <f>B2+B3+E4+B8</f>
        <v>545000</v>
      </c>
    </row>
    <row r="10" spans="1:5">
      <c r="A10" s="13" t="s">
        <v>14</v>
      </c>
      <c r="B10" s="16">
        <f>B2*B7</f>
        <v>40000</v>
      </c>
    </row>
    <row r="11" spans="1:5">
      <c r="A11" s="12" t="s">
        <v>15</v>
      </c>
      <c r="B11" s="15">
        <f>B9-B10</f>
        <v>505000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2026-08-29T14:36:32Z</dcterms:created>
  <dcterms:modified xsi:type="dcterms:W3CDTF">2026-08-29T16:55:52Z</dcterms:modified>
  <cp:category/>
  <cp:contentStatus/>
</cp:coreProperties>
</file>