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25"/>
  <workbookPr defaultThemeVersion="166925"/>
  <xr:revisionPtr revIDLastSave="0" documentId="8_{A97D555A-FB19-41B0-81DC-4CC6B63A4E4F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atique_VLOOKUP" sheetId="1" r:id="rId1"/>
    <sheet name="Catalogue" sheetId="2" r:id="rId2"/>
    <sheet name="Recherche_Produi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4" i="3" l="1"/>
  <c r="H5" i="3"/>
  <c r="H6" i="3"/>
  <c r="H7" i="3"/>
  <c r="H3" i="3"/>
  <c r="G4" i="3"/>
  <c r="G5" i="3"/>
  <c r="G6" i="3"/>
  <c r="G7" i="3"/>
  <c r="G3" i="3"/>
  <c r="F4" i="3"/>
  <c r="F5" i="3"/>
  <c r="F6" i="3"/>
  <c r="F7" i="3"/>
  <c r="F3" i="3"/>
  <c r="E4" i="3"/>
  <c r="E5" i="3"/>
  <c r="E6" i="3"/>
  <c r="E7" i="3"/>
  <c r="E3" i="3"/>
  <c r="B17" i="3"/>
  <c r="B8" i="3"/>
  <c r="B16" i="3"/>
  <c r="B7" i="3"/>
  <c r="B15" i="3"/>
  <c r="B6" i="3"/>
  <c r="B14" i="3"/>
  <c r="B5" i="3"/>
  <c r="B23" i="1" a="1"/>
  <c r="B23" i="1"/>
  <c r="B19" i="1"/>
  <c r="A23" i="1" a="1"/>
  <c r="A23" i="1"/>
  <c r="A19" i="1"/>
  <c r="A15" i="1"/>
  <c r="A14" i="1"/>
  <c r="C10" i="1"/>
  <c r="B10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<sst xmlns="http://schemas.openxmlformats.org/spreadsheetml/2006/main" count="210" uniqueCount="132">
  <si>
    <t>Product_ID</t>
  </si>
  <si>
    <t>Produit</t>
  </si>
  <si>
    <t>Prix</t>
  </si>
  <si>
    <t>P001</t>
  </si>
  <si>
    <t>Ordinateur</t>
  </si>
  <si>
    <t>P002</t>
  </si>
  <si>
    <t>Souris</t>
  </si>
  <si>
    <t>P003</t>
  </si>
  <si>
    <t>Clavier</t>
  </si>
  <si>
    <t>P004</t>
  </si>
  <si>
    <t>Écran</t>
  </si>
  <si>
    <t>P005</t>
  </si>
  <si>
    <t>Casque</t>
  </si>
  <si>
    <t>EXERCICE 1</t>
  </si>
  <si>
    <t>Product_ID recherché</t>
  </si>
  <si>
    <t>Résultat</t>
  </si>
  <si>
    <t>Son_prix</t>
  </si>
  <si>
    <t>EXERCICE 2</t>
  </si>
  <si>
    <t>Recherche_exact</t>
  </si>
  <si>
    <t>EXERCICE 3</t>
  </si>
  <si>
    <t>Recherche_PRODUIT</t>
  </si>
  <si>
    <t>Recherche_prix</t>
  </si>
  <si>
    <t xml:space="preserve">Exercice 4 </t>
  </si>
  <si>
    <t>Catégorie</t>
  </si>
  <si>
    <t>Stock</t>
  </si>
  <si>
    <t>Laptop HP</t>
  </si>
  <si>
    <t>Informatique</t>
  </si>
  <si>
    <t>Souris Logitech</t>
  </si>
  <si>
    <t>Clavier mécanique</t>
  </si>
  <si>
    <t>Écran 24 pouces</t>
  </si>
  <si>
    <t>Casque audio</t>
  </si>
  <si>
    <t>P006</t>
  </si>
  <si>
    <t>Webcam HD</t>
  </si>
  <si>
    <t>P007</t>
  </si>
  <si>
    <t>Disque dur externe 1To</t>
  </si>
  <si>
    <t>P008</t>
  </si>
  <si>
    <t>Clé USB 64Go</t>
  </si>
  <si>
    <t>P009</t>
  </si>
  <si>
    <t>Imprimante laser</t>
  </si>
  <si>
    <t>P010</t>
  </si>
  <si>
    <t>Tapis de souris</t>
  </si>
  <si>
    <t>P011</t>
  </si>
  <si>
    <t>Chargeur laptop</t>
  </si>
  <si>
    <t>P012</t>
  </si>
  <si>
    <t>Onduleur</t>
  </si>
  <si>
    <t>P013</t>
  </si>
  <si>
    <t>Câble HDMI</t>
  </si>
  <si>
    <t>P014</t>
  </si>
  <si>
    <t>Hub USB</t>
  </si>
  <si>
    <t>P015</t>
  </si>
  <si>
    <t>Routeur Wifi</t>
  </si>
  <si>
    <t>P016</t>
  </si>
  <si>
    <t>Chaise de bureau</t>
  </si>
  <si>
    <t>Mobilier</t>
  </si>
  <si>
    <t>P017</t>
  </si>
  <si>
    <t>Table de bureau</t>
  </si>
  <si>
    <t>P018</t>
  </si>
  <si>
    <t>Armoire de rangement</t>
  </si>
  <si>
    <t>P019</t>
  </si>
  <si>
    <t>Lampe de bureau</t>
  </si>
  <si>
    <t>P020</t>
  </si>
  <si>
    <t>Étagère murale</t>
  </si>
  <si>
    <t>P021</t>
  </si>
  <si>
    <t>Fauteuil visiteur</t>
  </si>
  <si>
    <t>P022</t>
  </si>
  <si>
    <t>Bureau assis-debout</t>
  </si>
  <si>
    <t>P023</t>
  </si>
  <si>
    <t>Portemanteau</t>
  </si>
  <si>
    <t>P024</t>
  </si>
  <si>
    <t>Tableau blanc</t>
  </si>
  <si>
    <t>P025</t>
  </si>
  <si>
    <t>Corbeille à papier</t>
  </si>
  <si>
    <t>P026</t>
  </si>
  <si>
    <t>Stylo bille (boîte 50)</t>
  </si>
  <si>
    <t>Fournitures</t>
  </si>
  <si>
    <t>P027</t>
  </si>
  <si>
    <t>Cahier 200 pages</t>
  </si>
  <si>
    <t>P028</t>
  </si>
  <si>
    <t>Classeur A4</t>
  </si>
  <si>
    <t>P029</t>
  </si>
  <si>
    <t>Agrafeuse</t>
  </si>
  <si>
    <t>P030</t>
  </si>
  <si>
    <t>Ramette papier A4</t>
  </si>
  <si>
    <t>P031</t>
  </si>
  <si>
    <t>Trombones (boîte)</t>
  </si>
  <si>
    <t>P032</t>
  </si>
  <si>
    <t>Ciseaux</t>
  </si>
  <si>
    <t>P033</t>
  </si>
  <si>
    <t>Marqueurs (lot 12)</t>
  </si>
  <si>
    <t>P034</t>
  </si>
  <si>
    <t>Post-it (lot)</t>
  </si>
  <si>
    <t>P035</t>
  </si>
  <si>
    <t>Perforatrice</t>
  </si>
  <si>
    <t>P036</t>
  </si>
  <si>
    <t>Téléphone portable</t>
  </si>
  <si>
    <t>Électronique</t>
  </si>
  <si>
    <t>P037</t>
  </si>
  <si>
    <t>Tablette 10 pouces</t>
  </si>
  <si>
    <t>P038</t>
  </si>
  <si>
    <t>Enceinte Bluetooth</t>
  </si>
  <si>
    <t>P039</t>
  </si>
  <si>
    <t>Powerbank 20000mAh</t>
  </si>
  <si>
    <t>P040</t>
  </si>
  <si>
    <t>Montre connectée</t>
  </si>
  <si>
    <t>P041</t>
  </si>
  <si>
    <t>Climatiseur split</t>
  </si>
  <si>
    <t>Électroménager</t>
  </si>
  <si>
    <t>P042</t>
  </si>
  <si>
    <t>Ventilateur</t>
  </si>
  <si>
    <t>P043</t>
  </si>
  <si>
    <t>Réfrigérateur</t>
  </si>
  <si>
    <t>P044</t>
  </si>
  <si>
    <t>Micro-ondes</t>
  </si>
  <si>
    <t>P045</t>
  </si>
  <si>
    <t>Bouilloire électrique</t>
  </si>
  <si>
    <t>P046</t>
  </si>
  <si>
    <t>Aspirateur</t>
  </si>
  <si>
    <t>P047</t>
  </si>
  <si>
    <t>Fer à repasser</t>
  </si>
  <si>
    <t>P048</t>
  </si>
  <si>
    <t>Cafetière</t>
  </si>
  <si>
    <t>P049</t>
  </si>
  <si>
    <t>Grille-pain</t>
  </si>
  <si>
    <t>P050</t>
  </si>
  <si>
    <t>Mixeur</t>
  </si>
  <si>
    <t>RECHERCHE APPROXIMATIVE</t>
  </si>
  <si>
    <t>Challenge</t>
  </si>
  <si>
    <t>Product_ID :</t>
  </si>
  <si>
    <t>Information</t>
  </si>
  <si>
    <t>P999</t>
  </si>
  <si>
    <t>Stock disponible</t>
  </si>
  <si>
    <t>RECHERCHE EXACT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</si>
</sst>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b/>
      <sz val="11"/>
      <color rgb="FF000000"/>
      <name val="Times New Roman"/>
      <family val="1"/>
      <charset val="1"/>
    </font>
    <font>
      <sz val="11"/>
      <color rgb="FF000000"/>
      <name val="Times New Roman"/>
      <family val="1"/>
      <charset val="1"/>
    </font>
    <font>
      <b/>
      <sz val="11"/>
      <color theme="1"/>
      <name val="Times New Roman"/>
    </font>
    <font>
      <b/>
      <sz val="11"/>
      <color theme="1"/>
      <name val="Calibri"/>
      <family val="2"/>
      <scheme val="minor"/>
    </font>
    <font>
      <b/>
      <sz val="11"/>
      <color rgb="FF00B050"/>
      <name val="Times New Roman"/>
    </font>
    <font>
      <b/>
      <sz val="11"/>
      <color rgb="FF00B050"/>
      <name val="Calibri"/>
      <family val="2"/>
      <scheme val="minor"/>
    </font>
    <font>
      <b/>
      <sz val="11"/>
      <color rgb="FF000000"/>
      <name val="Times New Roman"/>
      <charset val="1"/>
    </font>
    <font>
      <b/>
      <sz val="11"/>
      <color rgb="FF000000"/>
      <name val="Times New Roman"/>
    </font>
    <font>
      <i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b/>
      <sz val="11"/>
      <color rgb="FF000000"/>
      <name val="Calibri"/>
      <charset val="1"/>
    </font>
    <font>
      <b/>
      <sz val="11"/>
      <color rgb="FF305496"/>
      <name val="Times New Roman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readingOrder="1"/>
    </xf>
    <xf numFmtId="0" fontId="2" fillId="0" borderId="1" xfId="0" applyFont="1" applyBorder="1" applyAlignment="1">
      <alignment readingOrder="1"/>
    </xf>
    <xf numFmtId="0" fontId="0" fillId="0" borderId="1" xfId="0" applyBorder="1"/>
    <xf numFmtId="0" fontId="3" fillId="0" borderId="1" xfId="0" applyFont="1" applyBorder="1"/>
    <xf numFmtId="0" fontId="0" fillId="0" borderId="2" xfId="0" applyBorder="1"/>
    <xf numFmtId="0" fontId="1" fillId="0" borderId="2" xfId="0" applyFont="1" applyBorder="1" applyAlignment="1">
      <alignment horizontal="center" readingOrder="1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readingOrder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1" fillId="0" borderId="1" xfId="0" applyFont="1" applyBorder="1" applyAlignment="1">
      <alignment horizontal="center" readingOrder="1"/>
    </xf>
    <xf numFmtId="0" fontId="9" fillId="0" borderId="0" xfId="0" applyFont="1"/>
    <xf numFmtId="0" fontId="11" fillId="0" borderId="0" xfId="0" applyFont="1"/>
    <xf numFmtId="0" fontId="10" fillId="0" borderId="0" xfId="0" applyFont="1" applyAlignment="1">
      <alignment horizontal="center"/>
    </xf>
    <xf numFmtId="0" fontId="3" fillId="0" borderId="0" xfId="0" applyFont="1"/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topLeftCell="A13" workbookViewId="0">
      <selection activeCell="A22" sqref="A22"/>
    </sheetView>
  </sheetViews>
  <sheetFormatPr defaultRowHeight="15"/>
  <cols>
    <col min="1" max="1" width="22.7109375" customWidth="1"/>
    <col min="2" max="2" width="15.140625" customWidth="1"/>
    <col min="3" max="3" width="12.5703125" customWidth="1"/>
    <col min="5" max="5" width="16.5703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>
        <v>450000</v>
      </c>
    </row>
    <row r="3" spans="1:3">
      <c r="A3" s="2" t="s">
        <v>5</v>
      </c>
      <c r="B3" s="2" t="s">
        <v>6</v>
      </c>
      <c r="C3" s="2">
        <v>15000</v>
      </c>
    </row>
    <row r="4" spans="1:3">
      <c r="A4" s="2" t="s">
        <v>7</v>
      </c>
      <c r="B4" s="2" t="s">
        <v>8</v>
      </c>
      <c r="C4" s="2">
        <v>25000</v>
      </c>
    </row>
    <row r="5" spans="1:3">
      <c r="A5" s="2" t="s">
        <v>9</v>
      </c>
      <c r="B5" s="2" t="s">
        <v>10</v>
      </c>
      <c r="C5" s="2">
        <v>120000</v>
      </c>
    </row>
    <row r="6" spans="1:3">
      <c r="A6" s="2" t="s">
        <v>11</v>
      </c>
      <c r="B6" s="2" t="s">
        <v>12</v>
      </c>
      <c r="C6" s="2">
        <v>30000</v>
      </c>
    </row>
    <row r="7" spans="1:3">
      <c r="A7" s="8"/>
      <c r="B7" s="8"/>
      <c r="C7" s="8"/>
    </row>
    <row r="8" spans="1:3">
      <c r="A8" s="11" t="s">
        <v>13</v>
      </c>
    </row>
    <row r="9" spans="1:3">
      <c r="A9" s="1" t="s">
        <v>14</v>
      </c>
      <c r="B9" s="6" t="s">
        <v>15</v>
      </c>
      <c r="C9" s="7" t="s">
        <v>16</v>
      </c>
    </row>
    <row r="10" spans="1:3">
      <c r="A10" s="2" t="s">
        <v>7</v>
      </c>
      <c r="B10" s="5" t="str">
        <f>VLOOKUP(A4,A2:C6,2,TRUE)</f>
        <v>Clavier</v>
      </c>
      <c r="C10" s="3">
        <f>VLOOKUP(A4,A2:C6,3,TRUE)</f>
        <v>25000</v>
      </c>
    </row>
    <row r="11" spans="1:3">
      <c r="A11" s="8"/>
    </row>
    <row r="12" spans="1:3">
      <c r="A12" s="11" t="s">
        <v>17</v>
      </c>
    </row>
    <row r="13" spans="1:3">
      <c r="A13" s="4" t="s">
        <v>18</v>
      </c>
    </row>
    <row r="14" spans="1:3">
      <c r="A14" s="3" t="str">
        <f>VLOOKUP(A5,A2:C6,1,FALSE)</f>
        <v>P004</v>
      </c>
    </row>
    <row r="15" spans="1:3">
      <c r="A15" s="3" t="e">
        <f>VLOOKUP(P1002,A2:C6,2,FALSE)</f>
        <v>#N/A</v>
      </c>
    </row>
    <row r="17" spans="1:2">
      <c r="A17" s="11" t="s">
        <v>19</v>
      </c>
    </row>
    <row r="18" spans="1:2">
      <c r="A18" s="4" t="s">
        <v>20</v>
      </c>
      <c r="B18" s="4" t="s">
        <v>21</v>
      </c>
    </row>
    <row r="19" spans="1:2">
      <c r="A19" s="3" t="str">
        <f>VLOOKUP(A4,A2:C6,2,TRUE)</f>
        <v>Clavier</v>
      </c>
      <c r="B19" s="3">
        <f>VLOOKUP(A4,A2:C6,3,TRUE)</f>
        <v>25000</v>
      </c>
    </row>
    <row r="21" spans="1:2">
      <c r="A21" s="10" t="s">
        <v>22</v>
      </c>
    </row>
    <row r="22" spans="1:2">
      <c r="A22" s="13" t="s">
        <v>20</v>
      </c>
      <c r="B22" s="12" t="s">
        <v>21</v>
      </c>
    </row>
    <row r="23" spans="1:2">
      <c r="A23" t="str" cm="1">
        <f t="array" ref="A23:A27">VLOOKUP(A2:A6,A2:C6,2,FALSE)</f>
        <v>Ordinateur</v>
      </c>
      <c r="B23" cm="1">
        <f t="array" ref="B23:B27">VLOOKUP(A2:A6,A2:C6,3,TRUE)</f>
        <v>450000</v>
      </c>
    </row>
    <row r="24" spans="1:2">
      <c r="A24" t="str">
        <v>Souris</v>
      </c>
      <c r="B24">
        <v>15000</v>
      </c>
    </row>
    <row r="25" spans="1:2">
      <c r="A25" t="str">
        <v>Clavier</v>
      </c>
      <c r="B25">
        <v>25000</v>
      </c>
    </row>
    <row r="26" spans="1:2">
      <c r="A26" t="str">
        <v>Écran</v>
      </c>
      <c r="B26">
        <v>120000</v>
      </c>
    </row>
    <row r="27" spans="1:2">
      <c r="A27" t="str">
        <v>Casque</v>
      </c>
      <c r="B27">
        <v>30000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47ECFA-6164-47F0-A069-8730F04B0620}">
  <dimension ref="A1:E51"/>
  <sheetViews>
    <sheetView topLeftCell="A13" workbookViewId="0">
      <selection activeCell="G7" sqref="G7"/>
    </sheetView>
  </sheetViews>
  <sheetFormatPr defaultRowHeight="15"/>
  <cols>
    <col min="1" max="1" width="11.140625" customWidth="1"/>
    <col min="2" max="2" width="22.140625" customWidth="1"/>
    <col min="3" max="3" width="14.7109375" customWidth="1"/>
  </cols>
  <sheetData>
    <row r="1" spans="1:5">
      <c r="A1" s="14" t="s">
        <v>0</v>
      </c>
      <c r="B1" s="14" t="s">
        <v>1</v>
      </c>
      <c r="C1" s="14" t="s">
        <v>23</v>
      </c>
      <c r="D1" s="14" t="s">
        <v>2</v>
      </c>
      <c r="E1" s="14" t="s">
        <v>24</v>
      </c>
    </row>
    <row r="2" spans="1:5">
      <c r="A2" t="s">
        <v>3</v>
      </c>
      <c r="B2" t="s">
        <v>25</v>
      </c>
      <c r="C2" t="s">
        <v>26</v>
      </c>
      <c r="D2">
        <v>450000</v>
      </c>
      <c r="E2">
        <v>15</v>
      </c>
    </row>
    <row r="3" spans="1:5">
      <c r="A3" t="s">
        <v>5</v>
      </c>
      <c r="B3" t="s">
        <v>27</v>
      </c>
      <c r="C3" t="s">
        <v>26</v>
      </c>
      <c r="D3">
        <v>15000</v>
      </c>
      <c r="E3">
        <v>50</v>
      </c>
    </row>
    <row r="4" spans="1:5">
      <c r="A4" t="s">
        <v>7</v>
      </c>
      <c r="B4" t="s">
        <v>28</v>
      </c>
      <c r="C4" t="s">
        <v>26</v>
      </c>
      <c r="D4">
        <v>35000</v>
      </c>
      <c r="E4">
        <v>30</v>
      </c>
    </row>
    <row r="5" spans="1:5">
      <c r="A5" t="s">
        <v>9</v>
      </c>
      <c r="B5" t="s">
        <v>29</v>
      </c>
      <c r="C5" t="s">
        <v>26</v>
      </c>
      <c r="D5">
        <v>120000</v>
      </c>
      <c r="E5">
        <v>20</v>
      </c>
    </row>
    <row r="6" spans="1:5">
      <c r="A6" t="s">
        <v>11</v>
      </c>
      <c r="B6" t="s">
        <v>30</v>
      </c>
      <c r="C6" t="s">
        <v>26</v>
      </c>
      <c r="D6">
        <v>30000</v>
      </c>
      <c r="E6">
        <v>25</v>
      </c>
    </row>
    <row r="7" spans="1:5">
      <c r="A7" t="s">
        <v>31</v>
      </c>
      <c r="B7" t="s">
        <v>32</v>
      </c>
      <c r="C7" t="s">
        <v>26</v>
      </c>
      <c r="D7">
        <v>22000</v>
      </c>
      <c r="E7">
        <v>18</v>
      </c>
    </row>
    <row r="8" spans="1:5">
      <c r="A8" t="s">
        <v>33</v>
      </c>
      <c r="B8" t="s">
        <v>34</v>
      </c>
      <c r="C8" t="s">
        <v>26</v>
      </c>
      <c r="D8">
        <v>45000</v>
      </c>
      <c r="E8">
        <v>22</v>
      </c>
    </row>
    <row r="9" spans="1:5">
      <c r="A9" t="s">
        <v>35</v>
      </c>
      <c r="B9" t="s">
        <v>36</v>
      </c>
      <c r="C9" t="s">
        <v>26</v>
      </c>
      <c r="D9">
        <v>8000</v>
      </c>
      <c r="E9">
        <v>100</v>
      </c>
    </row>
    <row r="10" spans="1:5">
      <c r="A10" t="s">
        <v>37</v>
      </c>
      <c r="B10" t="s">
        <v>38</v>
      </c>
      <c r="C10" t="s">
        <v>26</v>
      </c>
      <c r="D10">
        <v>180000</v>
      </c>
      <c r="E10">
        <v>8</v>
      </c>
    </row>
    <row r="11" spans="1:5">
      <c r="A11" t="s">
        <v>39</v>
      </c>
      <c r="B11" t="s">
        <v>40</v>
      </c>
      <c r="C11" t="s">
        <v>26</v>
      </c>
      <c r="D11">
        <v>3000</v>
      </c>
      <c r="E11">
        <v>60</v>
      </c>
    </row>
    <row r="12" spans="1:5">
      <c r="A12" t="s">
        <v>41</v>
      </c>
      <c r="B12" t="s">
        <v>42</v>
      </c>
      <c r="C12" t="s">
        <v>26</v>
      </c>
      <c r="D12">
        <v>18000</v>
      </c>
      <c r="E12">
        <v>40</v>
      </c>
    </row>
    <row r="13" spans="1:5">
      <c r="A13" t="s">
        <v>43</v>
      </c>
      <c r="B13" t="s">
        <v>44</v>
      </c>
      <c r="C13" t="s">
        <v>26</v>
      </c>
      <c r="D13">
        <v>65000</v>
      </c>
      <c r="E13">
        <v>12</v>
      </c>
    </row>
    <row r="14" spans="1:5">
      <c r="A14" t="s">
        <v>45</v>
      </c>
      <c r="B14" t="s">
        <v>46</v>
      </c>
      <c r="C14" t="s">
        <v>26</v>
      </c>
      <c r="D14">
        <v>5000</v>
      </c>
      <c r="E14">
        <v>80</v>
      </c>
    </row>
    <row r="15" spans="1:5">
      <c r="A15" t="s">
        <v>47</v>
      </c>
      <c r="B15" t="s">
        <v>48</v>
      </c>
      <c r="C15" t="s">
        <v>26</v>
      </c>
      <c r="D15">
        <v>12000</v>
      </c>
      <c r="E15">
        <v>35</v>
      </c>
    </row>
    <row r="16" spans="1:5">
      <c r="A16" t="s">
        <v>49</v>
      </c>
      <c r="B16" t="s">
        <v>50</v>
      </c>
      <c r="C16" t="s">
        <v>26</v>
      </c>
      <c r="D16">
        <v>40000</v>
      </c>
      <c r="E16">
        <v>15</v>
      </c>
    </row>
    <row r="17" spans="1:5">
      <c r="A17" t="s">
        <v>51</v>
      </c>
      <c r="B17" t="s">
        <v>52</v>
      </c>
      <c r="C17" t="s">
        <v>53</v>
      </c>
      <c r="D17">
        <v>85000</v>
      </c>
      <c r="E17">
        <v>10</v>
      </c>
    </row>
    <row r="18" spans="1:5">
      <c r="A18" t="s">
        <v>54</v>
      </c>
      <c r="B18" t="s">
        <v>55</v>
      </c>
      <c r="C18" t="s">
        <v>53</v>
      </c>
      <c r="D18">
        <v>120000</v>
      </c>
      <c r="E18">
        <v>8</v>
      </c>
    </row>
    <row r="19" spans="1:5">
      <c r="A19" t="s">
        <v>56</v>
      </c>
      <c r="B19" t="s">
        <v>57</v>
      </c>
      <c r="C19" t="s">
        <v>53</v>
      </c>
      <c r="D19">
        <v>150000</v>
      </c>
      <c r="E19">
        <v>5</v>
      </c>
    </row>
    <row r="20" spans="1:5">
      <c r="A20" t="s">
        <v>58</v>
      </c>
      <c r="B20" t="s">
        <v>59</v>
      </c>
      <c r="C20" t="s">
        <v>53</v>
      </c>
      <c r="D20">
        <v>15000</v>
      </c>
      <c r="E20">
        <v>30</v>
      </c>
    </row>
    <row r="21" spans="1:5">
      <c r="A21" t="s">
        <v>60</v>
      </c>
      <c r="B21" t="s">
        <v>61</v>
      </c>
      <c r="C21" t="s">
        <v>53</v>
      </c>
      <c r="D21">
        <v>25000</v>
      </c>
      <c r="E21">
        <v>20</v>
      </c>
    </row>
    <row r="22" spans="1:5">
      <c r="A22" t="s">
        <v>62</v>
      </c>
      <c r="B22" t="s">
        <v>63</v>
      </c>
      <c r="C22" t="s">
        <v>53</v>
      </c>
      <c r="D22">
        <v>60000</v>
      </c>
      <c r="E22">
        <v>12</v>
      </c>
    </row>
    <row r="23" spans="1:5">
      <c r="A23" t="s">
        <v>64</v>
      </c>
      <c r="B23" t="s">
        <v>65</v>
      </c>
      <c r="C23" t="s">
        <v>53</v>
      </c>
      <c r="D23">
        <v>250000</v>
      </c>
      <c r="E23">
        <v>4</v>
      </c>
    </row>
    <row r="24" spans="1:5">
      <c r="A24" t="s">
        <v>66</v>
      </c>
      <c r="B24" t="s">
        <v>67</v>
      </c>
      <c r="C24" t="s">
        <v>53</v>
      </c>
      <c r="D24">
        <v>10000</v>
      </c>
      <c r="E24">
        <v>25</v>
      </c>
    </row>
    <row r="25" spans="1:5">
      <c r="A25" t="s">
        <v>68</v>
      </c>
      <c r="B25" t="s">
        <v>69</v>
      </c>
      <c r="C25" t="s">
        <v>53</v>
      </c>
      <c r="D25">
        <v>35000</v>
      </c>
      <c r="E25">
        <v>10</v>
      </c>
    </row>
    <row r="26" spans="1:5">
      <c r="A26" t="s">
        <v>70</v>
      </c>
      <c r="B26" t="s">
        <v>71</v>
      </c>
      <c r="C26" t="s">
        <v>53</v>
      </c>
      <c r="D26">
        <v>4000</v>
      </c>
      <c r="E26">
        <v>50</v>
      </c>
    </row>
    <row r="27" spans="1:5">
      <c r="A27" t="s">
        <v>72</v>
      </c>
      <c r="B27" t="s">
        <v>73</v>
      </c>
      <c r="C27" t="s">
        <v>74</v>
      </c>
      <c r="D27">
        <v>5000</v>
      </c>
      <c r="E27">
        <v>100</v>
      </c>
    </row>
    <row r="28" spans="1:5">
      <c r="A28" t="s">
        <v>75</v>
      </c>
      <c r="B28" t="s">
        <v>76</v>
      </c>
      <c r="C28" t="s">
        <v>74</v>
      </c>
      <c r="D28">
        <v>1500</v>
      </c>
      <c r="E28">
        <v>200</v>
      </c>
    </row>
    <row r="29" spans="1:5">
      <c r="A29" t="s">
        <v>77</v>
      </c>
      <c r="B29" t="s">
        <v>78</v>
      </c>
      <c r="C29" t="s">
        <v>74</v>
      </c>
      <c r="D29">
        <v>2500</v>
      </c>
      <c r="E29">
        <v>150</v>
      </c>
    </row>
    <row r="30" spans="1:5">
      <c r="A30" t="s">
        <v>79</v>
      </c>
      <c r="B30" t="s">
        <v>80</v>
      </c>
      <c r="C30" t="s">
        <v>74</v>
      </c>
      <c r="D30">
        <v>4000</v>
      </c>
      <c r="E30">
        <v>60</v>
      </c>
    </row>
    <row r="31" spans="1:5">
      <c r="A31" t="s">
        <v>81</v>
      </c>
      <c r="B31" t="s">
        <v>82</v>
      </c>
      <c r="C31" t="s">
        <v>74</v>
      </c>
      <c r="D31">
        <v>3500</v>
      </c>
      <c r="E31">
        <v>120</v>
      </c>
    </row>
    <row r="32" spans="1:5">
      <c r="A32" t="s">
        <v>83</v>
      </c>
      <c r="B32" t="s">
        <v>84</v>
      </c>
      <c r="C32" t="s">
        <v>74</v>
      </c>
      <c r="D32">
        <v>1000</v>
      </c>
      <c r="E32">
        <v>200</v>
      </c>
    </row>
    <row r="33" spans="1:5">
      <c r="A33" t="s">
        <v>85</v>
      </c>
      <c r="B33" t="s">
        <v>86</v>
      </c>
      <c r="C33" t="s">
        <v>74</v>
      </c>
      <c r="D33">
        <v>2000</v>
      </c>
      <c r="E33">
        <v>70</v>
      </c>
    </row>
    <row r="34" spans="1:5">
      <c r="A34" t="s">
        <v>87</v>
      </c>
      <c r="B34" t="s">
        <v>88</v>
      </c>
      <c r="C34" t="s">
        <v>74</v>
      </c>
      <c r="D34">
        <v>6000</v>
      </c>
      <c r="E34">
        <v>80</v>
      </c>
    </row>
    <row r="35" spans="1:5">
      <c r="A35" t="s">
        <v>89</v>
      </c>
      <c r="B35" t="s">
        <v>90</v>
      </c>
      <c r="C35" t="s">
        <v>74</v>
      </c>
      <c r="D35">
        <v>3000</v>
      </c>
      <c r="E35">
        <v>90</v>
      </c>
    </row>
    <row r="36" spans="1:5">
      <c r="A36" t="s">
        <v>91</v>
      </c>
      <c r="B36" t="s">
        <v>92</v>
      </c>
      <c r="C36" t="s">
        <v>74</v>
      </c>
      <c r="D36">
        <v>8000</v>
      </c>
      <c r="E36">
        <v>40</v>
      </c>
    </row>
    <row r="37" spans="1:5">
      <c r="A37" t="s">
        <v>93</v>
      </c>
      <c r="B37" t="s">
        <v>94</v>
      </c>
      <c r="C37" t="s">
        <v>95</v>
      </c>
      <c r="D37">
        <v>350000</v>
      </c>
      <c r="E37">
        <v>10</v>
      </c>
    </row>
    <row r="38" spans="1:5">
      <c r="A38" t="s">
        <v>96</v>
      </c>
      <c r="B38" t="s">
        <v>97</v>
      </c>
      <c r="C38" t="s">
        <v>95</v>
      </c>
      <c r="D38">
        <v>220000</v>
      </c>
      <c r="E38">
        <v>8</v>
      </c>
    </row>
    <row r="39" spans="1:5">
      <c r="A39" t="s">
        <v>98</v>
      </c>
      <c r="B39" t="s">
        <v>99</v>
      </c>
      <c r="C39" t="s">
        <v>95</v>
      </c>
      <c r="D39">
        <v>45000</v>
      </c>
      <c r="E39">
        <v>25</v>
      </c>
    </row>
    <row r="40" spans="1:5">
      <c r="A40" t="s">
        <v>100</v>
      </c>
      <c r="B40" t="s">
        <v>101</v>
      </c>
      <c r="C40" t="s">
        <v>95</v>
      </c>
      <c r="D40">
        <v>25000</v>
      </c>
      <c r="E40">
        <v>40</v>
      </c>
    </row>
    <row r="41" spans="1:5">
      <c r="A41" t="s">
        <v>102</v>
      </c>
      <c r="B41" t="s">
        <v>103</v>
      </c>
      <c r="C41" t="s">
        <v>95</v>
      </c>
      <c r="D41">
        <v>90000</v>
      </c>
      <c r="E41">
        <v>15</v>
      </c>
    </row>
    <row r="42" spans="1:5">
      <c r="A42" t="s">
        <v>104</v>
      </c>
      <c r="B42" t="s">
        <v>105</v>
      </c>
      <c r="C42" t="s">
        <v>106</v>
      </c>
      <c r="D42">
        <v>380000</v>
      </c>
      <c r="E42">
        <v>6</v>
      </c>
    </row>
    <row r="43" spans="1:5">
      <c r="A43" t="s">
        <v>107</v>
      </c>
      <c r="B43" t="s">
        <v>108</v>
      </c>
      <c r="C43" t="s">
        <v>106</v>
      </c>
      <c r="D43">
        <v>35000</v>
      </c>
      <c r="E43">
        <v>20</v>
      </c>
    </row>
    <row r="44" spans="1:5">
      <c r="A44" t="s">
        <v>109</v>
      </c>
      <c r="B44" t="s">
        <v>110</v>
      </c>
      <c r="C44" t="s">
        <v>106</v>
      </c>
      <c r="D44">
        <v>420000</v>
      </c>
      <c r="E44">
        <v>5</v>
      </c>
    </row>
    <row r="45" spans="1:5">
      <c r="A45" t="s">
        <v>111</v>
      </c>
      <c r="B45" t="s">
        <v>112</v>
      </c>
      <c r="C45" t="s">
        <v>106</v>
      </c>
      <c r="D45">
        <v>95000</v>
      </c>
      <c r="E45">
        <v>12</v>
      </c>
    </row>
    <row r="46" spans="1:5">
      <c r="A46" t="s">
        <v>113</v>
      </c>
      <c r="B46" t="s">
        <v>114</v>
      </c>
      <c r="C46" t="s">
        <v>106</v>
      </c>
      <c r="D46">
        <v>22000</v>
      </c>
      <c r="E46">
        <v>30</v>
      </c>
    </row>
    <row r="47" spans="1:5">
      <c r="A47" t="s">
        <v>115</v>
      </c>
      <c r="B47" t="s">
        <v>116</v>
      </c>
      <c r="C47" t="s">
        <v>106</v>
      </c>
      <c r="D47">
        <v>110000</v>
      </c>
      <c r="E47">
        <v>10</v>
      </c>
    </row>
    <row r="48" spans="1:5">
      <c r="A48" t="s">
        <v>117</v>
      </c>
      <c r="B48" t="s">
        <v>118</v>
      </c>
      <c r="C48" t="s">
        <v>106</v>
      </c>
      <c r="D48">
        <v>18000</v>
      </c>
      <c r="E48">
        <v>25</v>
      </c>
    </row>
    <row r="49" spans="1:5">
      <c r="A49" t="s">
        <v>119</v>
      </c>
      <c r="B49" t="s">
        <v>120</v>
      </c>
      <c r="C49" t="s">
        <v>106</v>
      </c>
      <c r="D49">
        <v>30000</v>
      </c>
      <c r="E49">
        <v>18</v>
      </c>
    </row>
    <row r="50" spans="1:5">
      <c r="A50" t="s">
        <v>121</v>
      </c>
      <c r="B50" t="s">
        <v>122</v>
      </c>
      <c r="C50" t="s">
        <v>106</v>
      </c>
      <c r="D50">
        <v>20000</v>
      </c>
      <c r="E50">
        <v>22</v>
      </c>
    </row>
    <row r="51" spans="1:5">
      <c r="A51" t="s">
        <v>123</v>
      </c>
      <c r="B51" t="s">
        <v>124</v>
      </c>
      <c r="C51" t="s">
        <v>106</v>
      </c>
      <c r="D51">
        <v>28000</v>
      </c>
      <c r="E51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D8B74-7C81-4ED4-8B41-C654122AC997}">
  <dimension ref="A1:H17"/>
  <sheetViews>
    <sheetView tabSelected="1" workbookViewId="0">
      <selection activeCell="D1" sqref="D1:H1"/>
    </sheetView>
  </sheetViews>
  <sheetFormatPr defaultRowHeight="15"/>
  <cols>
    <col min="1" max="1" width="18" customWidth="1"/>
    <col min="2" max="2" width="18.140625" customWidth="1"/>
    <col min="4" max="4" width="13.42578125" customWidth="1"/>
    <col min="5" max="5" width="17.5703125" customWidth="1"/>
    <col min="6" max="6" width="17.140625" customWidth="1"/>
  </cols>
  <sheetData>
    <row r="1" spans="1:8">
      <c r="A1" s="17" t="s">
        <v>125</v>
      </c>
      <c r="B1" s="17"/>
      <c r="D1" s="19" t="s">
        <v>126</v>
      </c>
      <c r="E1" s="19"/>
      <c r="F1" s="19"/>
      <c r="G1" s="19"/>
      <c r="H1" s="19"/>
    </row>
    <row r="2" spans="1:8">
      <c r="A2" s="9" t="s">
        <v>127</v>
      </c>
      <c r="B2" t="s">
        <v>123</v>
      </c>
      <c r="D2" s="18" t="s">
        <v>0</v>
      </c>
      <c r="E2" s="18" t="s">
        <v>1</v>
      </c>
      <c r="F2" s="18" t="s">
        <v>23</v>
      </c>
      <c r="G2" s="18" t="s">
        <v>2</v>
      </c>
      <c r="H2" s="18" t="s">
        <v>24</v>
      </c>
    </row>
    <row r="3" spans="1:8">
      <c r="D3" s="8" t="s">
        <v>7</v>
      </c>
      <c r="E3" t="str">
        <f>VLOOKUP(D3,Catalogue!$A$2:$E$51,2,FALSE)</f>
        <v>Clavier mécanique</v>
      </c>
      <c r="F3" t="str">
        <f>VLOOKUP(D3,Catalogue!$A$2:$E$51,3,FALSE)</f>
        <v>Informatique</v>
      </c>
      <c r="G3">
        <f>VLOOKUP(D3,Catalogue!$A$2:$E$51,4,FALSE)</f>
        <v>35000</v>
      </c>
      <c r="H3">
        <f>VLOOKUP(D3,Catalogue!$A$2:$E$51,5,FALSE)</f>
        <v>30</v>
      </c>
    </row>
    <row r="4" spans="1:8">
      <c r="A4" s="9" t="s">
        <v>128</v>
      </c>
      <c r="B4" s="9" t="s">
        <v>15</v>
      </c>
      <c r="D4" s="8" t="s">
        <v>49</v>
      </c>
      <c r="E4" t="str">
        <f>VLOOKUP(D4,Catalogue!$A$2:$E$51,2,FALSE)</f>
        <v>Routeur Wifi</v>
      </c>
      <c r="F4" t="str">
        <f>VLOOKUP(D4,Catalogue!$A$2:$E$51,3,FALSE)</f>
        <v>Informatique</v>
      </c>
      <c r="G4">
        <f>VLOOKUP(D4,Catalogue!$A$2:$E$51,4,FALSE)</f>
        <v>40000</v>
      </c>
      <c r="H4">
        <f>VLOOKUP(D4,Catalogue!$A$2:$E$51,5,FALSE)</f>
        <v>15</v>
      </c>
    </row>
    <row r="5" spans="1:8">
      <c r="A5" t="s">
        <v>1</v>
      </c>
      <c r="B5" s="15" t="str">
        <f>VLOOKUP($B$2,Catalogue!$A$2:$E$51,2,TRUE)</f>
        <v>Mixeur</v>
      </c>
      <c r="D5" s="8" t="s">
        <v>75</v>
      </c>
      <c r="E5" t="str">
        <f>VLOOKUP(D5,Catalogue!$A$2:$E$51,2,FALSE)</f>
        <v>Cahier 200 pages</v>
      </c>
      <c r="F5" t="str">
        <f>VLOOKUP(D5,Catalogue!$A$2:$E$51,3,FALSE)</f>
        <v>Fournitures</v>
      </c>
      <c r="G5">
        <f>VLOOKUP(D5,Catalogue!$A$2:$E$51,4,FALSE)</f>
        <v>1500</v>
      </c>
      <c r="H5">
        <f>VLOOKUP(D5,Catalogue!$A$2:$E$51,5,FALSE)</f>
        <v>200</v>
      </c>
    </row>
    <row r="6" spans="1:8">
      <c r="A6" t="s">
        <v>23</v>
      </c>
      <c r="B6" s="15" t="str">
        <f>VLOOKUP($B$2,Catalogue!$A$2:$E$51,3,TRUE)</f>
        <v>Électroménager</v>
      </c>
      <c r="D6" s="8" t="s">
        <v>107</v>
      </c>
      <c r="E6" t="str">
        <f>VLOOKUP(D6,Catalogue!$A$2:$E$51,2,FALSE)</f>
        <v>Ventilateur</v>
      </c>
      <c r="F6" t="str">
        <f>VLOOKUP(D6,Catalogue!$A$2:$E$51,3,FALSE)</f>
        <v>Électroménager</v>
      </c>
      <c r="G6">
        <f>VLOOKUP(D6,Catalogue!$A$2:$E$51,4,FALSE)</f>
        <v>35000</v>
      </c>
      <c r="H6">
        <f>VLOOKUP(D6,Catalogue!$A$2:$E$51,5,FALSE)</f>
        <v>20</v>
      </c>
    </row>
    <row r="7" spans="1:8">
      <c r="A7" t="s">
        <v>2</v>
      </c>
      <c r="B7" s="15">
        <f>VLOOKUP($B$2,Catalogue!$A$2:$E$51,4,TRUE)</f>
        <v>28000</v>
      </c>
      <c r="D7" s="8" t="s">
        <v>129</v>
      </c>
      <c r="E7" t="e">
        <f>VLOOKUP(D7,Catalogue!$A$2:$E$51,2,FALSE)</f>
        <v>#N/A</v>
      </c>
      <c r="F7" t="e">
        <f>VLOOKUP(D7,Catalogue!$A$2:$E$51,3,FALSE)</f>
        <v>#N/A</v>
      </c>
      <c r="G7" t="e">
        <f>VLOOKUP(D7,Catalogue!$A$2:$E$51,4,FALSE)</f>
        <v>#N/A</v>
      </c>
      <c r="H7" t="e">
        <f>VLOOKUP(D7,Catalogue!$A$2:$E$51,5,FALSE)</f>
        <v>#N/A</v>
      </c>
    </row>
    <row r="8" spans="1:8">
      <c r="A8" t="s">
        <v>130</v>
      </c>
      <c r="B8" s="15">
        <f>VLOOKUP($B$2,Catalogue!$A$2:$E$51,5,TRUE)</f>
        <v>20</v>
      </c>
    </row>
    <row r="10" spans="1:8">
      <c r="A10" s="17" t="s">
        <v>131</v>
      </c>
      <c r="B10" s="17"/>
    </row>
    <row r="11" spans="1:8">
      <c r="A11" s="9" t="s">
        <v>127</v>
      </c>
      <c r="B11" t="s">
        <v>7</v>
      </c>
    </row>
    <row r="13" spans="1:8">
      <c r="A13" s="9" t="s">
        <v>128</v>
      </c>
      <c r="B13" s="16" t="s">
        <v>15</v>
      </c>
    </row>
    <row r="14" spans="1:8">
      <c r="A14" t="s">
        <v>1</v>
      </c>
      <c r="B14" t="str">
        <f>VLOOKUP($B$2,Catalogue!$A$2:$E$51,2,FALSE)</f>
        <v>Mixeur</v>
      </c>
    </row>
    <row r="15" spans="1:8">
      <c r="A15" t="s">
        <v>23</v>
      </c>
      <c r="B15" t="str">
        <f>VLOOKUP($B$2,Catalogue!$A$2:$E$51,3,FALSE)</f>
        <v>Électroménager</v>
      </c>
    </row>
    <row r="16" spans="1:8">
      <c r="A16" t="s">
        <v>2</v>
      </c>
      <c r="B16">
        <f>VLOOKUP($B$2,Catalogue!$A$2:$E$51,4,FALSE)</f>
        <v>28000</v>
      </c>
    </row>
    <row r="17" spans="1:2">
      <c r="A17" t="s">
        <v>130</v>
      </c>
      <c r="B17">
        <f>VLOOKUP($B$2,Catalogue!$A$2:$E$51,5,FALSE)</f>
        <v>20</v>
      </c>
    </row>
  </sheetData>
  <mergeCells count="3">
    <mergeCell ref="A1:B1"/>
    <mergeCell ref="A10:B10"/>
    <mergeCell ref="D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2026-09-02T12:34:06Z</dcterms:created>
  <dcterms:modified xsi:type="dcterms:W3CDTF">2026-09-02T18:00:51Z</dcterms:modified>
  <cp:category/>
  <cp:contentStatus/>
</cp:coreProperties>
</file>