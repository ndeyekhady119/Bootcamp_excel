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25"/>
  <workbookPr defaultThemeVersion="166925"/>
  <xr:revisionPtr revIDLastSave="0" documentId="8_{A9B6CFF0-96D7-4D03-BDD9-571F6F2FFA11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Pratique_Texte" sheetId="1" r:id="rId1"/>
    <sheet name="Nettoyage_Clients" sheetId="2" r:id="rId2"/>
    <sheet name="Challeng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E3" i="3" l="1"/>
  <c r="E4" i="3"/>
  <c r="E2" i="3"/>
  <c r="N3" i="2"/>
  <c r="N4" i="2"/>
  <c r="N2" i="2"/>
  <c r="D18" i="1"/>
  <c r="K3" i="2"/>
  <c r="K4" i="2"/>
  <c r="K2" i="2"/>
  <c r="E2" i="1"/>
  <c r="J3" i="2"/>
  <c r="J4" i="2"/>
  <c r="J2" i="2"/>
  <c r="I3" i="2"/>
  <c r="I4" i="2"/>
  <c r="I2" i="2"/>
  <c r="H3" i="2"/>
  <c r="H4" i="2"/>
  <c r="H2" i="2"/>
  <c r="F3" i="2"/>
  <c r="F4" i="2"/>
  <c r="F2" i="2"/>
  <c r="E3" i="2"/>
  <c r="G3" i="2" s="1"/>
  <c r="E4" i="2"/>
  <c r="G4" i="2" s="1"/>
  <c r="E2" i="2"/>
  <c r="G2" i="2" s="1"/>
  <c r="D19" i="1"/>
  <c r="D20" i="1"/>
  <c r="C14" i="1"/>
  <c r="C15" i="1"/>
  <c r="C13" i="1"/>
  <c r="B9" i="1"/>
  <c r="B8" i="1"/>
  <c r="B7" i="1"/>
  <c r="E5" i="1"/>
  <c r="E3" i="1"/>
  <c r="E4" i="1"/>
  <c r="D3" i="1"/>
  <c r="D4" i="1"/>
  <c r="D2" i="1"/>
  <c r="C3" i="1"/>
  <c r="C4" i="1"/>
  <c r="C2" i="1"/>
  <c r="B3" i="1"/>
  <c r="B4" i="1"/>
  <c r="B2" i="1"/>
</calcChain>
</file>

<file path=xl/sharedStrings.xml><?xml version="1.0" encoding="utf-8"?>
<sst xmlns="http://schemas.openxmlformats.org/spreadsheetml/2006/main" count="79" uniqueCount="46">
  <si>
    <t>Texte</t>
  </si>
  <si>
    <t>Résultat LEFT</t>
  </si>
  <si>
    <t>Resultat RIGHT</t>
  </si>
  <si>
    <t>Resultat MID</t>
  </si>
  <si>
    <r>
      <rPr>
        <sz val="11"/>
        <color rgb="FF000000"/>
        <rFont val="Calibri"/>
        <scheme val="minor"/>
      </rPr>
      <t xml:space="preserve"> </t>
    </r>
    <r>
      <rPr>
        <sz val="11"/>
        <color rgb="FF000000"/>
        <rFont val="Times New Roman"/>
      </rPr>
      <t>Resultat LEN</t>
    </r>
  </si>
  <si>
    <t>CLI-2026-0001</t>
  </si>
  <si>
    <t>CLI-2026-0002</t>
  </si>
  <si>
    <t>CLI-2026-0003</t>
  </si>
  <si>
    <t>CLIENT-2026-0001</t>
  </si>
  <si>
    <t>"  Awa    Ndiaye"</t>
  </si>
  <si>
    <t>"Mamadou   Diop   "</t>
  </si>
  <si>
    <t>"   Fatou   Fall   "</t>
  </si>
  <si>
    <t>Prénom</t>
  </si>
  <si>
    <t>Nom</t>
  </si>
  <si>
    <t>Nom_Complet</t>
  </si>
  <si>
    <t>Awa</t>
  </si>
  <si>
    <t>Ndiaye</t>
  </si>
  <si>
    <t>Mamadou</t>
  </si>
  <si>
    <t>Diop</t>
  </si>
  <si>
    <t>Fatou</t>
  </si>
  <si>
    <t>Fall</t>
  </si>
  <si>
    <t>Ville</t>
  </si>
  <si>
    <t>Pays</t>
  </si>
  <si>
    <t>Région</t>
  </si>
  <si>
    <t>Dakar</t>
  </si>
  <si>
    <t>Sénégal</t>
  </si>
  <si>
    <t>Afrique</t>
  </si>
  <si>
    <t>Paris</t>
  </si>
  <si>
    <t>France</t>
  </si>
  <si>
    <t>Europe</t>
  </si>
  <si>
    <t>Client_ID</t>
  </si>
  <si>
    <t>Prenom</t>
  </si>
  <si>
    <t>Email</t>
  </si>
  <si>
    <t>Prenom_Propre</t>
  </si>
  <si>
    <t>Nom_Propre</t>
  </si>
  <si>
    <t>Préfixe</t>
  </si>
  <si>
    <t>Année</t>
  </si>
  <si>
    <t>Numéro</t>
  </si>
  <si>
    <t>Longueur_ID</t>
  </si>
  <si>
    <t>Localisation</t>
  </si>
  <si>
    <t>awa.ndiaye@email.com</t>
  </si>
  <si>
    <t>m.diop@email.com</t>
  </si>
  <si>
    <t>Kaffrine</t>
  </si>
  <si>
    <t>fatou.fall@email.com</t>
  </si>
  <si>
    <t>Kaolack</t>
  </si>
  <si>
    <t>CLI-26-0001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</si>
</sst>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rgb="FF000000"/>
      <name val="Times New Roman"/>
      <family val="1"/>
      <charset val="1"/>
    </font>
    <font>
      <sz val="11"/>
      <color rgb="FF188038"/>
      <name val="Times New Roman"/>
      <family val="1"/>
      <charset val="1"/>
    </font>
    <font>
      <sz val="11"/>
      <color rgb="FF000000"/>
      <name val="Times New Roman"/>
    </font>
    <font>
      <sz val="11"/>
      <color rgb="FF000000"/>
      <name val="Calibri"/>
      <scheme val="minor"/>
    </font>
    <font>
      <sz val="11"/>
      <color rgb="FF000000"/>
      <name val="Calibri"/>
      <family val="2"/>
      <scheme val="minor"/>
    </font>
    <font>
      <sz val="11"/>
      <color rgb="FF000000"/>
      <name val="Times New Roman"/>
      <family val="1"/>
      <charset val="1"/>
    </font>
    <font>
      <b/>
      <sz val="11"/>
      <color rgb="FF000000"/>
      <name val="Times New Roman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readingOrder="1"/>
    </xf>
    <xf numFmtId="0" fontId="2" fillId="0" borderId="2" xfId="0" applyFont="1" applyBorder="1" applyAlignment="1">
      <alignment readingOrder="1"/>
    </xf>
    <xf numFmtId="0" fontId="0" fillId="0" borderId="2" xfId="0" applyBorder="1"/>
    <xf numFmtId="0" fontId="0" fillId="0" borderId="3" xfId="0" applyBorder="1"/>
    <xf numFmtId="0" fontId="3" fillId="0" borderId="2" xfId="0" applyFont="1" applyBorder="1"/>
    <xf numFmtId="0" fontId="0" fillId="0" borderId="4" xfId="0" applyBorder="1"/>
    <xf numFmtId="0" fontId="5" fillId="0" borderId="1" xfId="0" applyFont="1" applyBorder="1"/>
    <xf numFmtId="0" fontId="1" fillId="0" borderId="0" xfId="0" applyFont="1"/>
    <xf numFmtId="0" fontId="1" fillId="0" borderId="5" xfId="0" applyFont="1" applyBorder="1" applyAlignment="1">
      <alignment readingOrder="1"/>
    </xf>
    <xf numFmtId="0" fontId="1" fillId="0" borderId="1" xfId="0" applyFont="1" applyBorder="1" applyAlignment="1">
      <alignment readingOrder="1"/>
    </xf>
    <xf numFmtId="0" fontId="6" fillId="0" borderId="1" xfId="0" applyFont="1" applyBorder="1" applyAlignment="1">
      <alignment readingOrder="1"/>
    </xf>
    <xf numFmtId="0" fontId="7" fillId="0" borderId="1" xfId="0" applyFont="1" applyBorder="1"/>
    <xf numFmtId="0" fontId="6" fillId="0" borderId="2" xfId="0" applyFont="1" applyBorder="1" applyAlignment="1">
      <alignment readingOrder="1"/>
    </xf>
    <xf numFmtId="0" fontId="8" fillId="0" borderId="1" xfId="0" applyFont="1" applyBorder="1"/>
    <xf numFmtId="0" fontId="2" fillId="0" borderId="1" xfId="0" applyFont="1" applyBorder="1" applyAlignment="1">
      <alignment readingOrder="1"/>
    </xf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9" fillId="0" borderId="1" xfId="0" applyFont="1" applyBorder="1"/>
    <xf numFmtId="0" fontId="9" fillId="0" borderId="6" xfId="0" applyFont="1" applyBorder="1"/>
    <xf numFmtId="0" fontId="9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workbookViewId="0">
      <selection activeCell="D18" sqref="D18"/>
    </sheetView>
  </sheetViews>
  <sheetFormatPr defaultRowHeight="15"/>
  <cols>
    <col min="1" max="1" width="18.7109375" customWidth="1"/>
    <col min="2" max="2" width="17" customWidth="1"/>
    <col min="3" max="3" width="15" customWidth="1"/>
    <col min="4" max="4" width="25.28515625" customWidth="1"/>
    <col min="5" max="5" width="12.85546875" customWidth="1"/>
  </cols>
  <sheetData>
    <row r="1" spans="1:5">
      <c r="A1" s="2" t="s">
        <v>0</v>
      </c>
      <c r="B1" s="5" t="s">
        <v>1</v>
      </c>
      <c r="C1" s="6" t="s">
        <v>2</v>
      </c>
      <c r="D1" s="4" t="s">
        <v>3</v>
      </c>
      <c r="E1" s="8" t="s">
        <v>4</v>
      </c>
    </row>
    <row r="2" spans="1:5">
      <c r="A2" s="3" t="s">
        <v>5</v>
      </c>
      <c r="B2" s="4" t="str">
        <f>LEFT(A2,3)</f>
        <v>CLI</v>
      </c>
      <c r="C2" s="7" t="str">
        <f>RIGHT(A2,4)</f>
        <v>0001</v>
      </c>
      <c r="D2" s="4" t="str">
        <f>MID(A2,5,4)</f>
        <v>2026</v>
      </c>
      <c r="E2" s="1">
        <f>LEN(A2)</f>
        <v>13</v>
      </c>
    </row>
    <row r="3" spans="1:5">
      <c r="A3" s="3" t="s">
        <v>6</v>
      </c>
      <c r="B3" s="4" t="str">
        <f t="shared" ref="B3:B4" si="0">LEFT(A3,3)</f>
        <v>CLI</v>
      </c>
      <c r="C3" s="4" t="str">
        <f t="shared" ref="C3:C4" si="1">RIGHT(A3,4)</f>
        <v>0002</v>
      </c>
      <c r="D3" s="4" t="str">
        <f t="shared" ref="D3:D4" si="2">MID(A3,5,4)</f>
        <v>2026</v>
      </c>
      <c r="E3" s="1">
        <f t="shared" ref="E3:E5" si="3">LEN(A3)</f>
        <v>13</v>
      </c>
    </row>
    <row r="4" spans="1:5">
      <c r="A4" s="3" t="s">
        <v>7</v>
      </c>
      <c r="B4" s="4" t="str">
        <f t="shared" si="0"/>
        <v>CLI</v>
      </c>
      <c r="C4" s="4" t="str">
        <f t="shared" si="1"/>
        <v>0003</v>
      </c>
      <c r="D4" s="4" t="str">
        <f t="shared" si="2"/>
        <v>2026</v>
      </c>
      <c r="E4" s="1">
        <f t="shared" si="3"/>
        <v>13</v>
      </c>
    </row>
    <row r="5" spans="1:5">
      <c r="A5" s="9" t="s">
        <v>8</v>
      </c>
      <c r="E5" s="1">
        <f t="shared" si="3"/>
        <v>16</v>
      </c>
    </row>
    <row r="7" spans="1:5">
      <c r="A7" s="10" t="s">
        <v>9</v>
      </c>
      <c r="B7" t="str">
        <f>TRIM(A7)</f>
        <v>"  Awa Ndiaye"</v>
      </c>
    </row>
    <row r="8" spans="1:5">
      <c r="A8" s="10" t="s">
        <v>10</v>
      </c>
      <c r="B8" t="str">
        <f t="shared" ref="B8:B9" si="4">TRIM(A8)</f>
        <v>"Mamadou Diop   "</v>
      </c>
    </row>
    <row r="9" spans="1:5">
      <c r="A9" s="10" t="s">
        <v>11</v>
      </c>
      <c r="B9" t="str">
        <f>TRIM(A9)</f>
        <v>"   Fatou   Fall   "</v>
      </c>
    </row>
    <row r="12" spans="1:5">
      <c r="A12" s="11" t="s">
        <v>12</v>
      </c>
      <c r="B12" s="2" t="s">
        <v>13</v>
      </c>
      <c r="C12" s="13" t="s">
        <v>14</v>
      </c>
    </row>
    <row r="13" spans="1:5">
      <c r="A13" s="12" t="s">
        <v>15</v>
      </c>
      <c r="B13" s="14" t="s">
        <v>16</v>
      </c>
      <c r="C13" s="1" t="str">
        <f>_xlfn.CONCAT(A13," ",B13)</f>
        <v>Awa Ndiaye</v>
      </c>
    </row>
    <row r="14" spans="1:5">
      <c r="A14" s="12" t="s">
        <v>17</v>
      </c>
      <c r="B14" s="14" t="s">
        <v>18</v>
      </c>
      <c r="C14" s="1" t="str">
        <f t="shared" ref="C14:C15" si="5">_xlfn.CONCAT(A14," ",B14)</f>
        <v>Mamadou Diop</v>
      </c>
    </row>
    <row r="15" spans="1:5">
      <c r="A15" s="12" t="s">
        <v>19</v>
      </c>
      <c r="B15" s="14" t="s">
        <v>20</v>
      </c>
      <c r="C15" s="1" t="str">
        <f t="shared" si="5"/>
        <v>Fatou Fall</v>
      </c>
    </row>
    <row r="18" spans="1:4">
      <c r="A18" s="11" t="s">
        <v>21</v>
      </c>
      <c r="B18" s="11" t="s">
        <v>22</v>
      </c>
      <c r="C18" s="2" t="s">
        <v>23</v>
      </c>
      <c r="D18" s="15" t="str">
        <f>_xlfn.TEXTJOIN(" - ",TRUE,A18:C18)</f>
        <v>Ville - Pays - Région</v>
      </c>
    </row>
    <row r="19" spans="1:4">
      <c r="A19" s="12" t="s">
        <v>24</v>
      </c>
      <c r="B19" s="12" t="s">
        <v>25</v>
      </c>
      <c r="C19" s="14" t="s">
        <v>26</v>
      </c>
      <c r="D19" s="15" t="str">
        <f t="shared" ref="D19:D20" si="6">_xlfn.TEXTJOIN(" - ",TRUE,A19:C19)</f>
        <v>Dakar - Sénégal - Afrique</v>
      </c>
    </row>
    <row r="20" spans="1:4">
      <c r="A20" s="12" t="s">
        <v>27</v>
      </c>
      <c r="B20" s="12" t="s">
        <v>28</v>
      </c>
      <c r="C20" s="14" t="s">
        <v>29</v>
      </c>
      <c r="D20" s="15" t="str">
        <f t="shared" si="6"/>
        <v>Paris - France - Europe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91E79-2571-42B7-8F68-0EB31EC898DB}">
  <dimension ref="A1:N4"/>
  <sheetViews>
    <sheetView workbookViewId="0">
      <selection activeCell="K1" sqref="K1"/>
    </sheetView>
  </sheetViews>
  <sheetFormatPr defaultRowHeight="15"/>
  <cols>
    <col min="1" max="1" width="16.28515625" customWidth="1"/>
    <col min="2" max="2" width="10.7109375" customWidth="1"/>
    <col min="4" max="4" width="21.85546875" customWidth="1"/>
    <col min="5" max="5" width="15" customWidth="1"/>
    <col min="6" max="6" width="12.28515625" customWidth="1"/>
    <col min="7" max="7" width="14.5703125" customWidth="1"/>
    <col min="11" max="13" width="12.28515625" customWidth="1"/>
    <col min="14" max="14" width="17.28515625" customWidth="1"/>
  </cols>
  <sheetData>
    <row r="1" spans="1:14">
      <c r="A1" s="11" t="s">
        <v>30</v>
      </c>
      <c r="B1" s="11" t="s">
        <v>31</v>
      </c>
      <c r="C1" s="11" t="s">
        <v>13</v>
      </c>
      <c r="D1" s="2" t="s">
        <v>32</v>
      </c>
      <c r="E1" s="18" t="s">
        <v>33</v>
      </c>
      <c r="F1" s="19" t="s">
        <v>34</v>
      </c>
      <c r="G1" s="20" t="s">
        <v>14</v>
      </c>
      <c r="H1" s="22" t="s">
        <v>35</v>
      </c>
      <c r="I1" s="22" t="s">
        <v>36</v>
      </c>
      <c r="J1" s="23" t="s">
        <v>37</v>
      </c>
      <c r="K1" s="21" t="s">
        <v>38</v>
      </c>
      <c r="L1" s="17" t="s">
        <v>21</v>
      </c>
      <c r="M1" s="17" t="s">
        <v>22</v>
      </c>
      <c r="N1" s="17" t="s">
        <v>39</v>
      </c>
    </row>
    <row r="2" spans="1:14">
      <c r="A2" s="16" t="s">
        <v>5</v>
      </c>
      <c r="B2" s="16" t="s">
        <v>15</v>
      </c>
      <c r="C2" s="16" t="s">
        <v>16</v>
      </c>
      <c r="D2" s="3" t="s">
        <v>40</v>
      </c>
      <c r="E2" s="1" t="str">
        <f>TRIM(B2)</f>
        <v>Awa</v>
      </c>
      <c r="F2" s="7" t="str">
        <f>TRIM(C2)</f>
        <v>Ndiaye</v>
      </c>
      <c r="G2" s="4" t="str">
        <f>_xlfn.CONCAT(E2," ",F2)</f>
        <v>Awa Ndiaye</v>
      </c>
      <c r="H2" s="1" t="str">
        <f>LEFT(A2,3)</f>
        <v>CLI</v>
      </c>
      <c r="I2" s="1" t="str">
        <f>MID(A2,5,4)</f>
        <v>2026</v>
      </c>
      <c r="J2" s="4" t="str">
        <f>RIGHT(A2,4)</f>
        <v>0001</v>
      </c>
      <c r="K2" s="1">
        <f>LEN(A2)</f>
        <v>13</v>
      </c>
      <c r="L2" s="1" t="s">
        <v>24</v>
      </c>
      <c r="M2" s="1" t="s">
        <v>25</v>
      </c>
      <c r="N2" s="1" t="str">
        <f>_xlfn.TEXTJOIN(" - ",TRUE,L2:M2)</f>
        <v>Dakar - Sénégal</v>
      </c>
    </row>
    <row r="3" spans="1:14">
      <c r="A3" s="16" t="s">
        <v>6</v>
      </c>
      <c r="B3" s="16" t="s">
        <v>17</v>
      </c>
      <c r="C3" s="16" t="s">
        <v>18</v>
      </c>
      <c r="D3" s="3" t="s">
        <v>41</v>
      </c>
      <c r="E3" s="1" t="str">
        <f t="shared" ref="E3:E4" si="0">TRIM(B3)</f>
        <v>Mamadou</v>
      </c>
      <c r="F3" s="4" t="str">
        <f t="shared" ref="F3:F4" si="1">TRIM(C3)</f>
        <v>Diop</v>
      </c>
      <c r="G3" s="4" t="str">
        <f t="shared" ref="G3:G4" si="2">_xlfn.CONCAT(E3," ",F3)</f>
        <v>Mamadou Diop</v>
      </c>
      <c r="H3" s="1" t="str">
        <f t="shared" ref="H3:H4" si="3">LEFT(A3,3)</f>
        <v>CLI</v>
      </c>
      <c r="I3" s="1" t="str">
        <f t="shared" ref="I3:I4" si="4">MID(A3,5,4)</f>
        <v>2026</v>
      </c>
      <c r="J3" s="4" t="str">
        <f t="shared" ref="J3:J4" si="5">RIGHT(A3,4)</f>
        <v>0002</v>
      </c>
      <c r="K3" s="1">
        <f t="shared" ref="K3:K4" si="6">LEN(A3)</f>
        <v>13</v>
      </c>
      <c r="L3" s="1" t="s">
        <v>42</v>
      </c>
      <c r="M3" s="1" t="s">
        <v>25</v>
      </c>
      <c r="N3" s="1" t="str">
        <f t="shared" ref="N3:N4" si="7">_xlfn.TEXTJOIN(" - ",TRUE,L3:M3)</f>
        <v>Kaffrine - Sénégal</v>
      </c>
    </row>
    <row r="4" spans="1:14">
      <c r="A4" s="16" t="s">
        <v>7</v>
      </c>
      <c r="B4" s="16" t="s">
        <v>19</v>
      </c>
      <c r="C4" s="16" t="s">
        <v>20</v>
      </c>
      <c r="D4" s="3" t="s">
        <v>43</v>
      </c>
      <c r="E4" s="1" t="str">
        <f t="shared" si="0"/>
        <v>Fatou</v>
      </c>
      <c r="F4" s="4" t="str">
        <f t="shared" si="1"/>
        <v>Fall</v>
      </c>
      <c r="G4" s="4" t="str">
        <f t="shared" si="2"/>
        <v>Fatou Fall</v>
      </c>
      <c r="H4" s="1" t="str">
        <f t="shared" si="3"/>
        <v>CLI</v>
      </c>
      <c r="I4" s="1" t="str">
        <f t="shared" si="4"/>
        <v>2026</v>
      </c>
      <c r="J4" s="4" t="str">
        <f t="shared" si="5"/>
        <v>0003</v>
      </c>
      <c r="K4" s="1">
        <f t="shared" si="6"/>
        <v>13</v>
      </c>
      <c r="L4" s="1" t="s">
        <v>44</v>
      </c>
      <c r="M4" s="1" t="s">
        <v>25</v>
      </c>
      <c r="N4" s="1" t="str">
        <f t="shared" si="7"/>
        <v>Kaolack - Sénégal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051A3-A4A3-4BBE-8E6C-01EF48D710A3}">
  <dimension ref="A1:E4"/>
  <sheetViews>
    <sheetView tabSelected="1" workbookViewId="0">
      <selection activeCell="E1" sqref="E1:E4"/>
    </sheetView>
  </sheetViews>
  <sheetFormatPr defaultRowHeight="15"/>
  <cols>
    <col min="1" max="1" width="14.85546875" customWidth="1"/>
    <col min="2" max="2" width="12" customWidth="1"/>
    <col min="4" max="4" width="21.42578125" customWidth="1"/>
    <col min="5" max="5" width="13.5703125" customWidth="1"/>
  </cols>
  <sheetData>
    <row r="1" spans="1:5">
      <c r="A1" s="11" t="s">
        <v>30</v>
      </c>
      <c r="B1" s="11" t="s">
        <v>31</v>
      </c>
      <c r="C1" s="11" t="s">
        <v>13</v>
      </c>
      <c r="D1" s="2" t="s">
        <v>32</v>
      </c>
      <c r="E1" s="21" t="s">
        <v>38</v>
      </c>
    </row>
    <row r="2" spans="1:5">
      <c r="A2" s="16" t="s">
        <v>45</v>
      </c>
      <c r="B2" s="16" t="s">
        <v>15</v>
      </c>
      <c r="C2" s="16" t="s">
        <v>16</v>
      </c>
      <c r="D2" s="3" t="s">
        <v>40</v>
      </c>
      <c r="E2" s="1">
        <f>LEN(A2)</f>
        <v>11</v>
      </c>
    </row>
    <row r="3" spans="1:5">
      <c r="A3" s="16" t="s">
        <v>6</v>
      </c>
      <c r="B3" s="16" t="s">
        <v>17</v>
      </c>
      <c r="C3" s="16" t="s">
        <v>18</v>
      </c>
      <c r="D3" s="3" t="s">
        <v>41</v>
      </c>
      <c r="E3" s="1">
        <f t="shared" ref="E3:E4" si="0">LEN(A3)</f>
        <v>13</v>
      </c>
    </row>
    <row r="4" spans="1:5">
      <c r="A4" s="16" t="s">
        <v>7</v>
      </c>
      <c r="B4" s="16" t="s">
        <v>19</v>
      </c>
      <c r="C4" s="16" t="s">
        <v>20</v>
      </c>
      <c r="D4" s="3" t="s">
        <v>43</v>
      </c>
      <c r="E4" s="1">
        <f t="shared" si="0"/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2026-09-01T15:38:34Z</dcterms:created>
  <dcterms:modified xsi:type="dcterms:W3CDTF">2026-09-02T08:33:55Z</dcterms:modified>
  <cp:category/>
  <cp:contentStatus/>
</cp:coreProperties>
</file>