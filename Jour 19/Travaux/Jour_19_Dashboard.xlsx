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/>
  <mc:AlternateContent xmlns:mc="http://schemas.openxmlformats.org/markup-compatibility/2006">
    <mc:Choice Requires="x15">
      <x15ac:absPath xmlns:x15ac="http://schemas.microsoft.com/office/spreadsheetml/2010/11/ac" url="https://ucadedu-my.sharepoint.com/personal/ndeyekhady8_mbaye_ucad_edu_sn/Documents/"/>
    </mc:Choice>
  </mc:AlternateContent>
  <xr:revisionPtr revIDLastSave="0" documentId="8_{3FC7F5BD-AEA1-42A4-BE95-1AE3E89A5C1B}" xr6:coauthVersionLast="47" xr6:coauthVersionMax="47" xr10:uidLastSave="{00000000-0000-0000-0000-000000000000}"/>
  <bookViews>
    <workbookView xWindow="-110" yWindow="-110" windowWidth="19420" windowHeight="10300" firstSheet="2" activeTab="2" xr2:uid="{2C470ADF-D42C-4167-9F98-2EF156C8A049}"/>
  </bookViews>
  <sheets>
    <sheet name="Base RH" sheetId="2" r:id="rId1"/>
    <sheet name="Dashboard_Test" sheetId="1" r:id="rId2"/>
    <sheet name="Dashboard RH" sheetId="3" r:id="rId3"/>
  </sheets>
  <definedNames>
    <definedName name="DonnéesExternes_1" localSheetId="0" hidden="1">'Base RH'!$A$1:$F$101</definedName>
    <definedName name="Segment_Departement">#N/A</definedName>
    <definedName name="Segment_Departement1">#N/A</definedName>
    <definedName name="Segment_Poste">#N/A</definedName>
    <definedName name="Segment_Sexe">#N/A</definedName>
    <definedName name="Segment_Sexe1">#N/A</definedName>
    <definedName name="Segment_Ville">#N/A</definedName>
  </definedNames>
  <calcPr calcId="191028"/>
  <pivotCaches>
    <pivotCache cacheId="174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  <x14:slicerCache r:id="rId1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6" i="3" l="1" a="1"/>
  <c r="E6" i="3"/>
  <c r="C6" i="3"/>
  <c r="A6" i="3"/>
  <c r="C14" i="1"/>
  <c r="C13" i="1"/>
  <c r="C12" i="1"/>
  <c r="G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89050E-F6CB-4EC4-A1F1-4CAFB1187A5D}" keepAlive="1" name="Requête - Base RH" description="Connexion à la requête « Base RH » dans le classeur." type="5" refreshedVersion="8" background="1" saveData="1">
    <dbPr connection="Provider=Microsoft.Mashup.OleDb.1;Data Source=$Workbook$;Location=&quot;Base RH&quot;;Extended Properties=&quot;&quot;" command="SELECT * FROM [Base RH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<sst xmlns="http://schemas.openxmlformats.org/spreadsheetml/2006/main" count="655" uniqueCount="251">
  <si>
    <t>ID</t>
  </si>
  <si>
    <t>Nom</t>
  </si>
  <si>
    <t>Departement</t>
  </si>
  <si>
    <t>Poste</t>
  </si>
  <si>
    <t>Salaire</t>
  </si>
  <si>
    <t>Date_embauche</t>
  </si>
  <si>
    <t>Sexe</t>
  </si>
  <si>
    <t>Ville</t>
  </si>
  <si>
    <t>E001</t>
  </si>
  <si>
    <t>Abdoulaye Ndoye</t>
  </si>
  <si>
    <t>IT</t>
  </si>
  <si>
    <t>Développeur</t>
  </si>
  <si>
    <t>Masculin</t>
  </si>
  <si>
    <t>Dakar</t>
  </si>
  <si>
    <t>E002</t>
  </si>
  <si>
    <t>Demba Diop</t>
  </si>
  <si>
    <t>Ventes</t>
  </si>
  <si>
    <t>Responsable commercial</t>
  </si>
  <si>
    <t>E003</t>
  </si>
  <si>
    <t>Pape Fall</t>
  </si>
  <si>
    <t>Finance</t>
  </si>
  <si>
    <t>Comptable</t>
  </si>
  <si>
    <t>Saint-Louis</t>
  </si>
  <si>
    <t>E004</t>
  </si>
  <si>
    <t>Seynabou Sow</t>
  </si>
  <si>
    <t>Féminin</t>
  </si>
  <si>
    <t>E005</t>
  </si>
  <si>
    <t>Coumba Diop</t>
  </si>
  <si>
    <t>Kaolack</t>
  </si>
  <si>
    <t>E006</t>
  </si>
  <si>
    <t>Yacine Sow</t>
  </si>
  <si>
    <t>Account manager</t>
  </si>
  <si>
    <t>E007</t>
  </si>
  <si>
    <t>Seynabou Wade</t>
  </si>
  <si>
    <t>Analyste financier</t>
  </si>
  <si>
    <t>E008</t>
  </si>
  <si>
    <t>Oumou Diallo</t>
  </si>
  <si>
    <t>Marketing</t>
  </si>
  <si>
    <t>Growth marketer</t>
  </si>
  <si>
    <t>E009</t>
  </si>
  <si>
    <t>Souleymane Sarr</t>
  </si>
  <si>
    <t>Controleur de gestion</t>
  </si>
  <si>
    <t>Ziguinchor</t>
  </si>
  <si>
    <t>E010</t>
  </si>
  <si>
    <t>Youssou Mbaye</t>
  </si>
  <si>
    <t>RH</t>
  </si>
  <si>
    <t>Assistant RH</t>
  </si>
  <si>
    <t>E011</t>
  </si>
  <si>
    <t>Absa Kane</t>
  </si>
  <si>
    <t>E012</t>
  </si>
  <si>
    <t>Ibrahima Niang</t>
  </si>
  <si>
    <t>Chef de projet IT</t>
  </si>
  <si>
    <t>E013</t>
  </si>
  <si>
    <t>Demba Sy</t>
  </si>
  <si>
    <t>E014</t>
  </si>
  <si>
    <t>Fatou Diouf</t>
  </si>
  <si>
    <t>E015</t>
  </si>
  <si>
    <t>Mamadou Sy</t>
  </si>
  <si>
    <t>Gestionnaire de paie</t>
  </si>
  <si>
    <t>E016</t>
  </si>
  <si>
    <t>Ibrahima Diallo</t>
  </si>
  <si>
    <t>E017</t>
  </si>
  <si>
    <t>Lamine Fall</t>
  </si>
  <si>
    <t>Auditeur</t>
  </si>
  <si>
    <t>E018</t>
  </si>
  <si>
    <t>Dieynaba Diatta</t>
  </si>
  <si>
    <t>E019</t>
  </si>
  <si>
    <t>Khady Fall</t>
  </si>
  <si>
    <t>E020</t>
  </si>
  <si>
    <t>Adama Wade</t>
  </si>
  <si>
    <t>Thies</t>
  </si>
  <si>
    <t>E021</t>
  </si>
  <si>
    <t>Responsable RH</t>
  </si>
  <si>
    <t>E022</t>
  </si>
  <si>
    <t>Fatima Niang</t>
  </si>
  <si>
    <t>Chargé clientele</t>
  </si>
  <si>
    <t>E023</t>
  </si>
  <si>
    <t>Ousmane Mbaye</t>
  </si>
  <si>
    <t>Chargé de communication</t>
  </si>
  <si>
    <t>E024</t>
  </si>
  <si>
    <t>Fatima Gueye</t>
  </si>
  <si>
    <t>E025</t>
  </si>
  <si>
    <t>Awa Wade</t>
  </si>
  <si>
    <t>E026</t>
  </si>
  <si>
    <t>Aminata Sagna</t>
  </si>
  <si>
    <t>Community manager</t>
  </si>
  <si>
    <t>E027</t>
  </si>
  <si>
    <t>Assane Thiam</t>
  </si>
  <si>
    <t>E028</t>
  </si>
  <si>
    <t>Lamine Mbaye</t>
  </si>
  <si>
    <t>Chargé de recrutement</t>
  </si>
  <si>
    <t>E029</t>
  </si>
  <si>
    <t>Babacar Mbaye</t>
  </si>
  <si>
    <t>E030</t>
  </si>
  <si>
    <t>Abdoulaye Camara</t>
  </si>
  <si>
    <t>Commercial</t>
  </si>
  <si>
    <t>E031</t>
  </si>
  <si>
    <t>Astou Toure</t>
  </si>
  <si>
    <t>E032</t>
  </si>
  <si>
    <t>Alioune Sagna</t>
  </si>
  <si>
    <t>E033</t>
  </si>
  <si>
    <t>Absa Mbaye</t>
  </si>
  <si>
    <t>E034</t>
  </si>
  <si>
    <t>Babacar Diallo</t>
  </si>
  <si>
    <t>E035</t>
  </si>
  <si>
    <t>Moussa Cisse</t>
  </si>
  <si>
    <t>Administrateur systeme</t>
  </si>
  <si>
    <t>E036</t>
  </si>
  <si>
    <t>Modou Mbaye</t>
  </si>
  <si>
    <t>E037</t>
  </si>
  <si>
    <t>Mariama Ndoye</t>
  </si>
  <si>
    <t>E038</t>
  </si>
  <si>
    <t>Moussa Diouf</t>
  </si>
  <si>
    <t>E039</t>
  </si>
  <si>
    <t>Ndeye Ba</t>
  </si>
  <si>
    <t>E040</t>
  </si>
  <si>
    <t>Oumou Sagna</t>
  </si>
  <si>
    <t>Chef de produit</t>
  </si>
  <si>
    <t>E041</t>
  </si>
  <si>
    <t>Awa Diouf</t>
  </si>
  <si>
    <t>E042</t>
  </si>
  <si>
    <t>Awa Faye</t>
  </si>
  <si>
    <t>E043</t>
  </si>
  <si>
    <t>Babacar Diatta</t>
  </si>
  <si>
    <t>E044</t>
  </si>
  <si>
    <t>Demba Toure</t>
  </si>
  <si>
    <t>E045</t>
  </si>
  <si>
    <t>E046</t>
  </si>
  <si>
    <t>Adama Sagna</t>
  </si>
  <si>
    <t>E047</t>
  </si>
  <si>
    <t>Ousmane Diatta</t>
  </si>
  <si>
    <t>E048</t>
  </si>
  <si>
    <t>Mariama Toure</t>
  </si>
  <si>
    <t>E049</t>
  </si>
  <si>
    <t>Assane Toure</t>
  </si>
  <si>
    <t>E050</t>
  </si>
  <si>
    <t>Youssou Cisse</t>
  </si>
  <si>
    <t>E051</t>
  </si>
  <si>
    <t>Abdoulaye Kane</t>
  </si>
  <si>
    <t>Data Analyst</t>
  </si>
  <si>
    <t>E052</t>
  </si>
  <si>
    <t>Coumba Kane</t>
  </si>
  <si>
    <t>E053</t>
  </si>
  <si>
    <t>Khady Camara</t>
  </si>
  <si>
    <t>E054</t>
  </si>
  <si>
    <t>Alioune Diouf</t>
  </si>
  <si>
    <t>E055</t>
  </si>
  <si>
    <t>Ndeye Camara</t>
  </si>
  <si>
    <t>E056</t>
  </si>
  <si>
    <t>Sokhna Diagne</t>
  </si>
  <si>
    <t>E057</t>
  </si>
  <si>
    <t>Amadou Camara</t>
  </si>
  <si>
    <t>E058</t>
  </si>
  <si>
    <t>Youssou Fall</t>
  </si>
  <si>
    <t>E059</t>
  </si>
  <si>
    <t>Babacar Diop</t>
  </si>
  <si>
    <t>E060</t>
  </si>
  <si>
    <t>El Hadji Ba</t>
  </si>
  <si>
    <t>E061</t>
  </si>
  <si>
    <t>Ibrahima Camara</t>
  </si>
  <si>
    <t>E062</t>
  </si>
  <si>
    <t>Aissatou Faye</t>
  </si>
  <si>
    <t>E063</t>
  </si>
  <si>
    <t>Fatima Ndiaye</t>
  </si>
  <si>
    <t>E064</t>
  </si>
  <si>
    <t>Absa Camara</t>
  </si>
  <si>
    <t>E065</t>
  </si>
  <si>
    <t>Ndeye Diallo</t>
  </si>
  <si>
    <t>E066</t>
  </si>
  <si>
    <t>Amadou Toure</t>
  </si>
  <si>
    <t>E067</t>
  </si>
  <si>
    <t>Ibrahima Ndiaye</t>
  </si>
  <si>
    <t>E068</t>
  </si>
  <si>
    <t>Fatima Sow</t>
  </si>
  <si>
    <t>E069</t>
  </si>
  <si>
    <t>Modou Cisse</t>
  </si>
  <si>
    <t>E070</t>
  </si>
  <si>
    <t>Souleymane Diop</t>
  </si>
  <si>
    <t>E071</t>
  </si>
  <si>
    <t>Cheikh Diop</t>
  </si>
  <si>
    <t>E072</t>
  </si>
  <si>
    <t>Bineta Diop</t>
  </si>
  <si>
    <t>E073</t>
  </si>
  <si>
    <t>Mamadou Faye</t>
  </si>
  <si>
    <t>E074</t>
  </si>
  <si>
    <t>Fatou Sarr</t>
  </si>
  <si>
    <t>E075</t>
  </si>
  <si>
    <t>El Hadji Fall</t>
  </si>
  <si>
    <t>E076</t>
  </si>
  <si>
    <t>Absa Ndiaye</t>
  </si>
  <si>
    <t>E077</t>
  </si>
  <si>
    <t>E078</t>
  </si>
  <si>
    <t>Aissatou Wade</t>
  </si>
  <si>
    <t>E079</t>
  </si>
  <si>
    <t>Lamine Ba</t>
  </si>
  <si>
    <t>E080</t>
  </si>
  <si>
    <t>Youssou Ba</t>
  </si>
  <si>
    <t>E081</t>
  </si>
  <si>
    <t>Awa Diop</t>
  </si>
  <si>
    <t>E082</t>
  </si>
  <si>
    <t>Malick Diop</t>
  </si>
  <si>
    <t>E083</t>
  </si>
  <si>
    <t>Fatima Fall</t>
  </si>
  <si>
    <t>E084</t>
  </si>
  <si>
    <t>Adama Faye</t>
  </si>
  <si>
    <t>E085</t>
  </si>
  <si>
    <t>Fatima Mbaye</t>
  </si>
  <si>
    <t>E086</t>
  </si>
  <si>
    <t>Oumou Sene</t>
  </si>
  <si>
    <t>E087</t>
  </si>
  <si>
    <t>Babacar Sene</t>
  </si>
  <si>
    <t>E088</t>
  </si>
  <si>
    <t>E089</t>
  </si>
  <si>
    <t>Youssou Sarr</t>
  </si>
  <si>
    <t>E090</t>
  </si>
  <si>
    <t>Bineta Fall</t>
  </si>
  <si>
    <t>E091</t>
  </si>
  <si>
    <t>Absa Sy</t>
  </si>
  <si>
    <t>E092</t>
  </si>
  <si>
    <t>Seynabou Fall</t>
  </si>
  <si>
    <t>E093</t>
  </si>
  <si>
    <t>Ousmane Camara</t>
  </si>
  <si>
    <t>E094</t>
  </si>
  <si>
    <t>Mamadou Gueye</t>
  </si>
  <si>
    <t>E095</t>
  </si>
  <si>
    <t>Serigne Diouf</t>
  </si>
  <si>
    <t>E096</t>
  </si>
  <si>
    <t>Ousmane Diagne</t>
  </si>
  <si>
    <t>E097</t>
  </si>
  <si>
    <t>Aminata Camara</t>
  </si>
  <si>
    <t>E098</t>
  </si>
  <si>
    <t>Marieme Ndoye</t>
  </si>
  <si>
    <t>E099</t>
  </si>
  <si>
    <t>Ibrahima Faye</t>
  </si>
  <si>
    <t>E100</t>
  </si>
  <si>
    <t>Coumba Faye</t>
  </si>
  <si>
    <t>Étiquettes de lignes</t>
  </si>
  <si>
    <t>Nombre de ID</t>
  </si>
  <si>
    <t>Max. de Salaire2</t>
  </si>
  <si>
    <t>Moyenne de Salaire</t>
  </si>
  <si>
    <t>Somme de Salaire</t>
  </si>
  <si>
    <t>Total général</t>
  </si>
  <si>
    <t>DASHBOARD</t>
  </si>
  <si>
    <t>Nombre total d'employés</t>
  </si>
  <si>
    <t>Salaire moyenne</t>
  </si>
  <si>
    <t>Salaire maximum</t>
  </si>
  <si>
    <t xml:space="preserve"> DASHBOARD RH </t>
  </si>
  <si>
    <t>Effectif total</t>
  </si>
  <si>
    <t>Salaire moyen</t>
  </si>
  <si>
    <t>Nombre de départements</t>
  </si>
  <si>
    <t>Max. de Salaire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</si>
</sst>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5" borderId="1" xfId="0" applyFill="1" applyBorder="1"/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theme" Target="theme/theme1.xml"/><Relationship Id="rId5" Type="http://schemas.microsoft.com/office/2007/relationships/slicerCache" Target="slicerCaches/slicerCache1.xml"/><Relationship Id="rId15" Type="http://schemas.openxmlformats.org/officeDocument/2006/relationships/sheetMetadata" Target="metadata.xml"/><Relationship Id="rId10" Type="http://schemas.microsoft.com/office/2007/relationships/slicerCache" Target="slicerCaches/slicerCache6.xml"/><Relationship Id="rId19" Type="http://schemas.openxmlformats.org/officeDocument/2006/relationships/customXml" Target="../customXml/item3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[Jour_19_Dashboard.xlsx]Dashboard_Test!Tableau croisé dynamique1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Dashboard_Test!$B$2</c:f>
              <c:strCache>
                <c:ptCount val="1"/>
                <c:pt idx="0">
                  <c:v>Nombre de 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Dashboard_Test!$A$3:$A$4</c:f>
              <c:strCache>
                <c:ptCount val="1"/>
                <c:pt idx="0">
                  <c:v>Finance</c:v>
                </c:pt>
              </c:strCache>
            </c:strRef>
          </c:cat>
          <c:val>
            <c:numRef>
              <c:f>Dashboard_Test!$B$3:$B$4</c:f>
              <c:numCache>
                <c:formatCode>General</c:formatCode>
                <c:ptCount val="1"/>
                <c:pt idx="0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8E-4FC3-810C-3FDA9630C366}"/>
            </c:ext>
          </c:extLst>
        </c:ser>
        <c:ser>
          <c:idx val="1"/>
          <c:order val="1"/>
          <c:tx>
            <c:strRef>
              <c:f>Dashboard_Test!$C$2</c:f>
              <c:strCache>
                <c:ptCount val="1"/>
                <c:pt idx="0">
                  <c:v>Max. de Salaire2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Dashboard_Test!$A$3:$A$4</c:f>
              <c:strCache>
                <c:ptCount val="1"/>
                <c:pt idx="0">
                  <c:v>Finance</c:v>
                </c:pt>
              </c:strCache>
            </c:strRef>
          </c:cat>
          <c:val>
            <c:numRef>
              <c:f>Dashboard_Test!$C$3:$C$4</c:f>
              <c:numCache>
                <c:formatCode>General</c:formatCode>
                <c:ptCount val="1"/>
                <c:pt idx="0">
                  <c:v>814000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8E-4FC3-810C-3FDA9630C366}"/>
            </c:ext>
          </c:extLst>
        </c:ser>
        <c:ser>
          <c:idx val="2"/>
          <c:order val="2"/>
          <c:tx>
            <c:strRef>
              <c:f>Dashboard_Test!$D$2</c:f>
              <c:strCache>
                <c:ptCount val="1"/>
                <c:pt idx="0">
                  <c:v>Moyenne de Salaire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Dashboard_Test!$A$3:$A$4</c:f>
              <c:strCache>
                <c:ptCount val="1"/>
                <c:pt idx="0">
                  <c:v>Finance</c:v>
                </c:pt>
              </c:strCache>
            </c:strRef>
          </c:cat>
          <c:val>
            <c:numRef>
              <c:f>Dashboard_Test!$D$3:$D$4</c:f>
              <c:numCache>
                <c:formatCode>General</c:formatCode>
                <c:ptCount val="1"/>
                <c:pt idx="0">
                  <c:v>491565.21739130432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8E-4FC3-810C-3FDA9630C366}"/>
            </c:ext>
          </c:extLst>
        </c:ser>
        <c:ser>
          <c:idx val="3"/>
          <c:order val="3"/>
          <c:tx>
            <c:strRef>
              <c:f>Dashboard_Test!$E$2</c:f>
              <c:strCache>
                <c:ptCount val="1"/>
                <c:pt idx="0">
                  <c:v>Somme de Salaire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Dashboard_Test!$A$3:$A$4</c:f>
              <c:strCache>
                <c:ptCount val="1"/>
                <c:pt idx="0">
                  <c:v>Finance</c:v>
                </c:pt>
              </c:strCache>
            </c:strRef>
          </c:cat>
          <c:val>
            <c:numRef>
              <c:f>Dashboard_Test!$E$3:$E$4</c:f>
              <c:numCache>
                <c:formatCode>General</c:formatCode>
                <c:ptCount val="1"/>
                <c:pt idx="0">
                  <c:v>11306000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58E-4FC3-810C-3FDA9630C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94096096"/>
        <c:axId val="2123160848"/>
      </c:barChart>
      <c:catAx>
        <c:axId val="39409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123160848"/>
        <c:crosses val="autoZero"/>
        <c:auto val="1"/>
        <c:lblAlgn val="ctr"/>
        <c:lblOffset val="100"/>
        <c:noMultiLvlLbl val="0"/>
      </c:catAx>
      <c:valAx>
        <c:axId val="2123160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9409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[Jour_19_Dashboard.xlsx]Dashboard RH!Tableau croisé dynamique2</c:name>
    <c:fmtId val="1"/>
  </c:pivotSource>
  <c:chart>
    <c:autoTitleDeleted val="0"/>
    <c:pivotFmts>
      <c:pivotFmt>
        <c:idx val="0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RH'!$G$25</c:f>
              <c:strCache>
                <c:ptCount val="1"/>
                <c:pt idx="0">
                  <c:v>Nombre de ID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RH'!$F$26:$F$31</c:f>
              <c:strCache>
                <c:ptCount val="5"/>
                <c:pt idx="0">
                  <c:v>Finance</c:v>
                </c:pt>
                <c:pt idx="1">
                  <c:v>IT</c:v>
                </c:pt>
                <c:pt idx="2">
                  <c:v>Marketing</c:v>
                </c:pt>
                <c:pt idx="3">
                  <c:v>RH</c:v>
                </c:pt>
                <c:pt idx="4">
                  <c:v>Ventes</c:v>
                </c:pt>
              </c:strCache>
            </c:strRef>
          </c:cat>
          <c:val>
            <c:numRef>
              <c:f>'Dashboard RH'!$G$26:$G$31</c:f>
              <c:numCache>
                <c:formatCode>General</c:formatCode>
                <c:ptCount val="5"/>
                <c:pt idx="0">
                  <c:v>23</c:v>
                </c:pt>
                <c:pt idx="1">
                  <c:v>26</c:v>
                </c:pt>
                <c:pt idx="2">
                  <c:v>18</c:v>
                </c:pt>
                <c:pt idx="3">
                  <c:v>18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64-4785-ACC8-6D2F6749BC7F}"/>
            </c:ext>
          </c:extLst>
        </c:ser>
        <c:ser>
          <c:idx val="1"/>
          <c:order val="1"/>
          <c:tx>
            <c:strRef>
              <c:f>'Dashboard RH'!$H$25</c:f>
              <c:strCache>
                <c:ptCount val="1"/>
                <c:pt idx="0">
                  <c:v>Moyenne de Salaire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'Dashboard RH'!$F$26:$F$31</c:f>
              <c:strCache>
                <c:ptCount val="5"/>
                <c:pt idx="0">
                  <c:v>Finance</c:v>
                </c:pt>
                <c:pt idx="1">
                  <c:v>IT</c:v>
                </c:pt>
                <c:pt idx="2">
                  <c:v>Marketing</c:v>
                </c:pt>
                <c:pt idx="3">
                  <c:v>RH</c:v>
                </c:pt>
                <c:pt idx="4">
                  <c:v>Ventes</c:v>
                </c:pt>
              </c:strCache>
            </c:strRef>
          </c:cat>
          <c:val>
            <c:numRef>
              <c:f>'Dashboard RH'!$H$26:$H$31</c:f>
              <c:numCache>
                <c:formatCode>General</c:formatCode>
                <c:ptCount val="5"/>
                <c:pt idx="0">
                  <c:v>491565.21739130432</c:v>
                </c:pt>
                <c:pt idx="1">
                  <c:v>606076.92307692312</c:v>
                </c:pt>
                <c:pt idx="2">
                  <c:v>525944.4444444445</c:v>
                </c:pt>
                <c:pt idx="3">
                  <c:v>509055.55555555556</c:v>
                </c:pt>
                <c:pt idx="4">
                  <c:v>630533.33333333337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B1-410F-8249-0123CFAA4135}"/>
            </c:ext>
          </c:extLst>
        </c:ser>
        <c:ser>
          <c:idx val="2"/>
          <c:order val="2"/>
          <c:tx>
            <c:strRef>
              <c:f>'Dashboard RH'!$I$25</c:f>
              <c:strCache>
                <c:ptCount val="1"/>
                <c:pt idx="0">
                  <c:v>Max. de Salaire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'Dashboard RH'!$F$26:$F$31</c:f>
              <c:strCache>
                <c:ptCount val="5"/>
                <c:pt idx="0">
                  <c:v>Finance</c:v>
                </c:pt>
                <c:pt idx="1">
                  <c:v>IT</c:v>
                </c:pt>
                <c:pt idx="2">
                  <c:v>Marketing</c:v>
                </c:pt>
                <c:pt idx="3">
                  <c:v>RH</c:v>
                </c:pt>
                <c:pt idx="4">
                  <c:v>Ventes</c:v>
                </c:pt>
              </c:strCache>
            </c:strRef>
          </c:cat>
          <c:val>
            <c:numRef>
              <c:f>'Dashboard RH'!$I$26:$I$31</c:f>
              <c:numCache>
                <c:formatCode>General</c:formatCode>
                <c:ptCount val="5"/>
                <c:pt idx="0">
                  <c:v>814000</c:v>
                </c:pt>
                <c:pt idx="1">
                  <c:v>897000</c:v>
                </c:pt>
                <c:pt idx="2">
                  <c:v>849000</c:v>
                </c:pt>
                <c:pt idx="3">
                  <c:v>851000</c:v>
                </c:pt>
                <c:pt idx="4">
                  <c:v>875000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B1-410F-8249-0123CFAA41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71644031"/>
        <c:axId val="1868470767"/>
      </c:barChart>
      <c:catAx>
        <c:axId val="187164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68470767"/>
        <c:crosses val="autoZero"/>
        <c:auto val="1"/>
        <c:lblAlgn val="ctr"/>
        <c:lblOffset val="100"/>
        <c:noMultiLvlLbl val="0"/>
      </c:catAx>
      <c:valAx>
        <c:axId val="1868470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164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[Jour_19_Dashboard.xlsx]Dashboard RH!Tableau croisé dynamique3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  <c:pivotFmt>
        <c:idx val="2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8793120448494922E-2"/>
          <c:y val="0.36684328088149037"/>
          <c:w val="0.66413046429541134"/>
          <c:h val="0.56976527696320056"/>
        </c:manualLayout>
      </c:layout>
      <c:pie3DChart>
        <c:varyColors val="1"/>
        <c:ser>
          <c:idx val="0"/>
          <c:order val="0"/>
          <c:tx>
            <c:strRef>
              <c:f>'Dashboard RH'!$B$26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447-4E30-9CD0-87E33FF0DD8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447-4E30-9CD0-87E33FF0DD87}"/>
              </c:ext>
            </c:extLst>
          </c:dPt>
          <c:cat>
            <c:strRef>
              <c:f>'Dashboard RH'!$A$27:$A$29</c:f>
              <c:strCache>
                <c:ptCount val="2"/>
                <c:pt idx="0">
                  <c:v>Féminin</c:v>
                </c:pt>
                <c:pt idx="1">
                  <c:v>Masculin</c:v>
                </c:pt>
              </c:strCache>
            </c:strRef>
          </c:cat>
          <c:val>
            <c:numRef>
              <c:f>'Dashboard RH'!$B$27:$B$29</c:f>
              <c:numCache>
                <c:formatCode>General</c:formatCode>
                <c:ptCount val="2"/>
                <c:pt idx="0">
                  <c:v>44</c:v>
                </c:pt>
                <c:pt idx="1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8-45C4-AE9C-9EAE8755D6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[Jour_19_Dashboard.xlsx]Dashboard RH!Tableau croisé dynamique4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3">
              <a:lumMod val="40000"/>
              <a:lumOff val="6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'Dashboard RH'!$H$49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RH'!$G$50:$G$55</c:f>
              <c:strCache>
                <c:ptCount val="5"/>
                <c:pt idx="0">
                  <c:v>Finance</c:v>
                </c:pt>
                <c:pt idx="1">
                  <c:v>IT</c:v>
                </c:pt>
                <c:pt idx="2">
                  <c:v>Marketing</c:v>
                </c:pt>
                <c:pt idx="3">
                  <c:v>RH</c:v>
                </c:pt>
                <c:pt idx="4">
                  <c:v>Ventes</c:v>
                </c:pt>
              </c:strCache>
            </c:strRef>
          </c:cat>
          <c:val>
            <c:numRef>
              <c:f>'Dashboard RH'!$H$50:$H$55</c:f>
              <c:numCache>
                <c:formatCode>General</c:formatCode>
                <c:ptCount val="5"/>
                <c:pt idx="0">
                  <c:v>491565.21739130432</c:v>
                </c:pt>
                <c:pt idx="1">
                  <c:v>606076.92307692312</c:v>
                </c:pt>
                <c:pt idx="2">
                  <c:v>525944.4444444445</c:v>
                </c:pt>
                <c:pt idx="3">
                  <c:v>509055.55555555556</c:v>
                </c:pt>
                <c:pt idx="4">
                  <c:v>630533.33333333337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79-4873-9DB1-832D7A536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12736"/>
        <c:axId val="1713168975"/>
      </c:barChart>
      <c:catAx>
        <c:axId val="2212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3168975"/>
        <c:crosses val="autoZero"/>
        <c:auto val="1"/>
        <c:lblAlgn val="ctr"/>
        <c:lblOffset val="100"/>
        <c:noMultiLvlLbl val="0"/>
      </c:catAx>
      <c:valAx>
        <c:axId val="1713168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212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[Jour_19_Dashboard.xlsx]Dashboard RH!Tableau croisé dynamique5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2562438903868256E-2"/>
          <c:y val="0.27553545420855335"/>
          <c:w val="0.79257608146867042"/>
          <c:h val="0.4700272798683606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'Dashboard RH'!$B$49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'Dashboard RH'!$A$50:$A$55</c:f>
              <c:strCache>
                <c:ptCount val="5"/>
                <c:pt idx="0">
                  <c:v>Dakar</c:v>
                </c:pt>
                <c:pt idx="1">
                  <c:v>Kaolack</c:v>
                </c:pt>
                <c:pt idx="2">
                  <c:v>Saint-Louis</c:v>
                </c:pt>
                <c:pt idx="3">
                  <c:v>Thies</c:v>
                </c:pt>
                <c:pt idx="4">
                  <c:v>Ziguinchor</c:v>
                </c:pt>
              </c:strCache>
            </c:strRef>
          </c:cat>
          <c:val>
            <c:numRef>
              <c:f>'Dashboard RH'!$B$50:$B$55</c:f>
              <c:numCache>
                <c:formatCode>General</c:formatCode>
                <c:ptCount val="5"/>
                <c:pt idx="0">
                  <c:v>20</c:v>
                </c:pt>
                <c:pt idx="1">
                  <c:v>22</c:v>
                </c:pt>
                <c:pt idx="2">
                  <c:v>16</c:v>
                </c:pt>
                <c:pt idx="3">
                  <c:v>21</c:v>
                </c:pt>
                <c:pt idx="4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5-468C-AD8C-1910C7CF4E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71605983"/>
        <c:axId val="1713188175"/>
      </c:barChart>
      <c:catAx>
        <c:axId val="1871605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13188175"/>
        <c:crosses val="autoZero"/>
        <c:auto val="1"/>
        <c:lblAlgn val="ctr"/>
        <c:lblOffset val="100"/>
        <c:noMultiLvlLbl val="0"/>
      </c:catAx>
      <c:valAx>
        <c:axId val="1713188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1605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304800</xdr:colOff>
      <xdr:row>1</xdr:row>
      <xdr:rowOff>133350</xdr:rowOff>
    </xdr:from>
    <xdr:to>
      <xdr:col>7</xdr:col>
      <xdr:colOff>609600</xdr:colOff>
      <xdr:row>15</xdr:row>
      <xdr:rowOff>174622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Departement">
              <a:extLst>
                <a:ext uri="{FF2B5EF4-FFF2-40B4-BE49-F238E27FC236}">
                  <a16:creationId xmlns:a16="http://schemas.microsoft.com/office/drawing/2014/main" id="{5EB4F88B-E4AF-1F99-3716-720C814615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e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22950" y="3175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571500</xdr:colOff>
      <xdr:row>1</xdr:row>
      <xdr:rowOff>133350</xdr:rowOff>
    </xdr:from>
    <xdr:to>
      <xdr:col>11</xdr:col>
      <xdr:colOff>114300</xdr:colOff>
      <xdr:row>15</xdr:row>
      <xdr:rowOff>174622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xe">
              <a:extLst>
                <a:ext uri="{FF2B5EF4-FFF2-40B4-BE49-F238E27FC236}">
                  <a16:creationId xmlns:a16="http://schemas.microsoft.com/office/drawing/2014/main" id="{5E48D5BE-C161-8018-BB0E-AD47D37D462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75650" y="3175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2</xdr:col>
      <xdr:colOff>174625</xdr:colOff>
      <xdr:row>15</xdr:row>
      <xdr:rowOff>19051</xdr:rowOff>
    </xdr:from>
    <xdr:to>
      <xdr:col>5</xdr:col>
      <xdr:colOff>273050</xdr:colOff>
      <xdr:row>26</xdr:row>
      <xdr:rowOff>111125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2F7B512-D1FD-9B32-4BB1-2D23ECB03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215900</xdr:colOff>
      <xdr:row>32</xdr:row>
      <xdr:rowOff>69850</xdr:rowOff>
    </xdr:from>
    <xdr:to>
      <xdr:col>9</xdr:col>
      <xdr:colOff>838200</xdr:colOff>
      <xdr:row>45</xdr:row>
      <xdr:rowOff>88899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705100D-FDC0-C420-FD92-3BE1B96DE5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165100</xdr:colOff>
      <xdr:row>31</xdr:row>
      <xdr:rowOff>107950</xdr:rowOff>
    </xdr:from>
    <xdr:to>
      <xdr:col>3</xdr:col>
      <xdr:colOff>260350</xdr:colOff>
      <xdr:row>43</xdr:row>
      <xdr:rowOff>114299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A2D1347F-43E9-A26C-82C6-9D5CF8E90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647700</xdr:colOff>
      <xdr:row>56</xdr:row>
      <xdr:rowOff>171449</xdr:rowOff>
    </xdr:from>
    <xdr:to>
      <xdr:col>10</xdr:col>
      <xdr:colOff>539750</xdr:colOff>
      <xdr:row>67</xdr:row>
      <xdr:rowOff>168274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ADCA1730-242F-F45D-15D8-9BC78DD320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56</xdr:row>
      <xdr:rowOff>69851</xdr:rowOff>
    </xdr:from>
    <xdr:to>
      <xdr:col>5</xdr:col>
      <xdr:colOff>158750</xdr:colOff>
      <xdr:row>68</xdr:row>
      <xdr:rowOff>63500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B6D1514B-186A-73CC-190C-6AE61EEB24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311150</xdr:colOff>
      <xdr:row>7</xdr:row>
      <xdr:rowOff>158750</xdr:rowOff>
    </xdr:from>
    <xdr:to>
      <xdr:col>1</xdr:col>
      <xdr:colOff>774700</xdr:colOff>
      <xdr:row>22</xdr:row>
      <xdr:rowOff>15872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Departement 1">
              <a:extLst>
                <a:ext uri="{FF2B5EF4-FFF2-40B4-BE49-F238E27FC236}">
                  <a16:creationId xmlns:a16="http://schemas.microsoft.com/office/drawing/2014/main" id="{4C8E57EC-73EB-EB6A-C64F-574000C0994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ement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1150" y="14478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1085850</xdr:colOff>
      <xdr:row>8</xdr:row>
      <xdr:rowOff>25400</xdr:rowOff>
    </xdr:from>
    <xdr:to>
      <xdr:col>4</xdr:col>
      <xdr:colOff>50800</xdr:colOff>
      <xdr:row>22</xdr:row>
      <xdr:rowOff>66672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exe 1">
              <a:extLst>
                <a:ext uri="{FF2B5EF4-FFF2-40B4-BE49-F238E27FC236}">
                  <a16:creationId xmlns:a16="http://schemas.microsoft.com/office/drawing/2014/main" id="{2A9E61E2-FB2D-8B51-DCA2-2D272676A5A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x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9800" y="149860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82550</xdr:colOff>
      <xdr:row>8</xdr:row>
      <xdr:rowOff>6350</xdr:rowOff>
    </xdr:from>
    <xdr:to>
      <xdr:col>5</xdr:col>
      <xdr:colOff>1149350</xdr:colOff>
      <xdr:row>22</xdr:row>
      <xdr:rowOff>47622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Ville">
              <a:extLst>
                <a:ext uri="{FF2B5EF4-FFF2-40B4-BE49-F238E27FC236}">
                  <a16:creationId xmlns:a16="http://schemas.microsoft.com/office/drawing/2014/main" id="{21D72B37-66B7-8852-031A-D8DA7DFE68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ill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70350" y="147955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1289050</xdr:colOff>
      <xdr:row>8</xdr:row>
      <xdr:rowOff>6350</xdr:rowOff>
    </xdr:from>
    <xdr:to>
      <xdr:col>7</xdr:col>
      <xdr:colOff>387350</xdr:colOff>
      <xdr:row>22</xdr:row>
      <xdr:rowOff>47622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Poste">
              <a:extLst>
                <a:ext uri="{FF2B5EF4-FFF2-40B4-BE49-F238E27FC236}">
                  <a16:creationId xmlns:a16="http://schemas.microsoft.com/office/drawing/2014/main" id="{CED6409E-90F6-771F-5DFF-33E398E7A0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os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38850" y="1479550"/>
              <a:ext cx="1828800" cy="26193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deye Khady MBAYE" refreshedDate="46284.023444675928" createdVersion="8" refreshedVersion="8" minRefreshableVersion="3" recordCount="100" xr:uid="{E47818F2-7970-467C-BE41-21BBEE6AB158}">
  <cacheSource type="worksheet">
    <worksheetSource name="Base_RH"/>
  </cacheSource>
  <cacheFields count="8">
    <cacheField name="ID" numFmtId="0">
      <sharedItems count="100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  <s v="E051"/>
        <s v="E052"/>
        <s v="E053"/>
        <s v="E054"/>
        <s v="E055"/>
        <s v="E056"/>
        <s v="E057"/>
        <s v="E058"/>
        <s v="E059"/>
        <s v="E060"/>
        <s v="E061"/>
        <s v="E062"/>
        <s v="E063"/>
        <s v="E064"/>
        <s v="E065"/>
        <s v="E066"/>
        <s v="E067"/>
        <s v="E068"/>
        <s v="E069"/>
        <s v="E070"/>
        <s v="E071"/>
        <s v="E072"/>
        <s v="E073"/>
        <s v="E074"/>
        <s v="E075"/>
        <s v="E076"/>
        <s v="E077"/>
        <s v="E078"/>
        <s v="E079"/>
        <s v="E080"/>
        <s v="E081"/>
        <s v="E082"/>
        <s v="E083"/>
        <s v="E084"/>
        <s v="E085"/>
        <s v="E086"/>
        <s v="E087"/>
        <s v="E088"/>
        <s v="E089"/>
        <s v="E090"/>
        <s v="E091"/>
        <s v="E092"/>
        <s v="E093"/>
        <s v="E094"/>
        <s v="E095"/>
        <s v="E096"/>
        <s v="E097"/>
        <s v="E098"/>
        <s v="E099"/>
        <s v="E100"/>
      </sharedItems>
    </cacheField>
    <cacheField name="Nom" numFmtId="0">
      <sharedItems/>
    </cacheField>
    <cacheField name="Departement" numFmtId="0">
      <sharedItems count="5">
        <s v="IT"/>
        <s v="Ventes"/>
        <s v="Finance"/>
        <s v="Marketing"/>
        <s v="RH"/>
      </sharedItems>
    </cacheField>
    <cacheField name="Poste" numFmtId="0">
      <sharedItems count="20">
        <s v="Développeur"/>
        <s v="Responsable commercial"/>
        <s v="Comptable"/>
        <s v="Account manager"/>
        <s v="Analyste financier"/>
        <s v="Growth marketer"/>
        <s v="Controleur de gestion"/>
        <s v="Assistant RH"/>
        <s v="Chef de projet IT"/>
        <s v="Gestionnaire de paie"/>
        <s v="Auditeur"/>
        <s v="Responsable RH"/>
        <s v="Chargé clientele"/>
        <s v="Chargé de communication"/>
        <s v="Community manager"/>
        <s v="Chargé de recrutement"/>
        <s v="Commercial"/>
        <s v="Administrateur systeme"/>
        <s v="Chef de produit"/>
        <s v="Data Analyst"/>
      </sharedItems>
    </cacheField>
    <cacheField name="Salaire" numFmtId="0">
      <sharedItems containsSemiMixedTypes="0" containsString="0" containsNumber="1" containsInteger="1" minValue="212000" maxValue="897000"/>
    </cacheField>
    <cacheField name="Date_embauche" numFmtId="14">
      <sharedItems containsSemiMixedTypes="0" containsNonDate="0" containsDate="1" containsString="0" minDate="2015-03-02T00:00:00" maxDate="2026-10-19T00:00:00"/>
    </cacheField>
    <cacheField name="Sexe" numFmtId="0">
      <sharedItems count="2">
        <s v="Masculin"/>
        <s v="Féminin"/>
      </sharedItems>
    </cacheField>
    <cacheField name="Ville" numFmtId="0">
      <sharedItems count="5">
        <s v="Dakar"/>
        <s v="Saint-Louis"/>
        <s v="Kaolack"/>
        <s v="Ziguinchor"/>
        <s v="Thies"/>
      </sharedItems>
    </cacheField>
  </cacheFields>
  <extLst>
    <ext xmlns:x14="http://schemas.microsoft.com/office/spreadsheetml/2009/9/main" uri="{725AE2AE-9491-48be-B2B4-4EB974FC3084}">
      <x14:pivotCacheDefinition pivotCacheId="150521987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s v="Abdoulaye Ndoye"/>
    <x v="0"/>
    <x v="0"/>
    <n v="748000"/>
    <d v="2017-10-02T00:00:00"/>
    <x v="0"/>
    <x v="0"/>
  </r>
  <r>
    <x v="1"/>
    <s v="Demba Diop"/>
    <x v="1"/>
    <x v="1"/>
    <n v="238000"/>
    <d v="2016-05-12T00:00:00"/>
    <x v="0"/>
    <x v="0"/>
  </r>
  <r>
    <x v="2"/>
    <s v="Pape Fall"/>
    <x v="2"/>
    <x v="2"/>
    <n v="764000"/>
    <d v="2024-09-07T00:00:00"/>
    <x v="0"/>
    <x v="1"/>
  </r>
  <r>
    <x v="3"/>
    <s v="Seynabou Sow"/>
    <x v="2"/>
    <x v="2"/>
    <n v="790000"/>
    <d v="2023-11-24T00:00:00"/>
    <x v="1"/>
    <x v="0"/>
  </r>
  <r>
    <x v="4"/>
    <s v="Coumba Diop"/>
    <x v="1"/>
    <x v="1"/>
    <n v="496000"/>
    <d v="2024-05-26T00:00:00"/>
    <x v="0"/>
    <x v="2"/>
  </r>
  <r>
    <x v="5"/>
    <s v="Yacine Sow"/>
    <x v="1"/>
    <x v="3"/>
    <n v="773000"/>
    <d v="2019-01-20T00:00:00"/>
    <x v="1"/>
    <x v="1"/>
  </r>
  <r>
    <x v="6"/>
    <s v="Seynabou Wade"/>
    <x v="2"/>
    <x v="4"/>
    <n v="299000"/>
    <d v="2016-05-29T00:00:00"/>
    <x v="1"/>
    <x v="0"/>
  </r>
  <r>
    <x v="7"/>
    <s v="Oumou Diallo"/>
    <x v="3"/>
    <x v="5"/>
    <n v="521000"/>
    <d v="2025-11-06T00:00:00"/>
    <x v="0"/>
    <x v="2"/>
  </r>
  <r>
    <x v="8"/>
    <s v="Souleymane Sarr"/>
    <x v="2"/>
    <x v="6"/>
    <n v="449000"/>
    <d v="2016-01-11T00:00:00"/>
    <x v="1"/>
    <x v="3"/>
  </r>
  <r>
    <x v="9"/>
    <s v="Youssou Mbaye"/>
    <x v="4"/>
    <x v="7"/>
    <n v="494000"/>
    <d v="2016-08-22T00:00:00"/>
    <x v="0"/>
    <x v="0"/>
  </r>
  <r>
    <x v="10"/>
    <s v="Absa Kane"/>
    <x v="2"/>
    <x v="4"/>
    <n v="355000"/>
    <d v="2025-12-19T00:00:00"/>
    <x v="0"/>
    <x v="1"/>
  </r>
  <r>
    <x v="11"/>
    <s v="Ibrahima Niang"/>
    <x v="0"/>
    <x v="8"/>
    <n v="548000"/>
    <d v="2022-08-11T00:00:00"/>
    <x v="0"/>
    <x v="0"/>
  </r>
  <r>
    <x v="12"/>
    <s v="Demba Sy"/>
    <x v="0"/>
    <x v="0"/>
    <n v="476000"/>
    <d v="2025-08-19T00:00:00"/>
    <x v="1"/>
    <x v="2"/>
  </r>
  <r>
    <x v="13"/>
    <s v="Fatou Diouf"/>
    <x v="4"/>
    <x v="7"/>
    <n v="491000"/>
    <d v="2023-08-27T00:00:00"/>
    <x v="1"/>
    <x v="0"/>
  </r>
  <r>
    <x v="14"/>
    <s v="Mamadou Sy"/>
    <x v="4"/>
    <x v="9"/>
    <n v="825000"/>
    <d v="2017-08-17T00:00:00"/>
    <x v="0"/>
    <x v="1"/>
  </r>
  <r>
    <x v="15"/>
    <s v="Ibrahima Diallo"/>
    <x v="4"/>
    <x v="9"/>
    <n v="453000"/>
    <d v="2023-04-12T00:00:00"/>
    <x v="1"/>
    <x v="3"/>
  </r>
  <r>
    <x v="16"/>
    <s v="Lamine Fall"/>
    <x v="2"/>
    <x v="10"/>
    <n v="611000"/>
    <d v="2021-03-26T00:00:00"/>
    <x v="1"/>
    <x v="3"/>
  </r>
  <r>
    <x v="17"/>
    <s v="Dieynaba Diatta"/>
    <x v="4"/>
    <x v="7"/>
    <n v="567000"/>
    <d v="2023-07-14T00:00:00"/>
    <x v="0"/>
    <x v="1"/>
  </r>
  <r>
    <x v="18"/>
    <s v="Khady Fall"/>
    <x v="2"/>
    <x v="6"/>
    <n v="437000"/>
    <d v="2020-03-26T00:00:00"/>
    <x v="0"/>
    <x v="0"/>
  </r>
  <r>
    <x v="19"/>
    <s v="Adama Wade"/>
    <x v="2"/>
    <x v="4"/>
    <n v="488000"/>
    <d v="2015-03-02T00:00:00"/>
    <x v="1"/>
    <x v="4"/>
  </r>
  <r>
    <x v="20"/>
    <s v="Dieynaba Diatta"/>
    <x v="4"/>
    <x v="11"/>
    <n v="328000"/>
    <d v="2026-07-24T00:00:00"/>
    <x v="1"/>
    <x v="1"/>
  </r>
  <r>
    <x v="21"/>
    <s v="Fatima Niang"/>
    <x v="1"/>
    <x v="12"/>
    <n v="607000"/>
    <d v="2023-12-13T00:00:00"/>
    <x v="0"/>
    <x v="4"/>
  </r>
  <r>
    <x v="22"/>
    <s v="Ousmane Mbaye"/>
    <x v="3"/>
    <x v="13"/>
    <n v="395000"/>
    <d v="2016-05-07T00:00:00"/>
    <x v="0"/>
    <x v="4"/>
  </r>
  <r>
    <x v="23"/>
    <s v="Fatima Gueye"/>
    <x v="0"/>
    <x v="8"/>
    <n v="815000"/>
    <d v="2016-06-03T00:00:00"/>
    <x v="0"/>
    <x v="3"/>
  </r>
  <r>
    <x v="24"/>
    <s v="Awa Wade"/>
    <x v="2"/>
    <x v="2"/>
    <n v="572000"/>
    <d v="2015-07-28T00:00:00"/>
    <x v="1"/>
    <x v="1"/>
  </r>
  <r>
    <x v="25"/>
    <s v="Aminata Sagna"/>
    <x v="3"/>
    <x v="14"/>
    <n v="849000"/>
    <d v="2020-08-28T00:00:00"/>
    <x v="0"/>
    <x v="3"/>
  </r>
  <r>
    <x v="26"/>
    <s v="Assane Thiam"/>
    <x v="3"/>
    <x v="13"/>
    <n v="318000"/>
    <d v="2025-12-12T00:00:00"/>
    <x v="1"/>
    <x v="2"/>
  </r>
  <r>
    <x v="27"/>
    <s v="Lamine Mbaye"/>
    <x v="4"/>
    <x v="15"/>
    <n v="347000"/>
    <d v="2017-04-17T00:00:00"/>
    <x v="0"/>
    <x v="3"/>
  </r>
  <r>
    <x v="28"/>
    <s v="Babacar Mbaye"/>
    <x v="2"/>
    <x v="2"/>
    <n v="410000"/>
    <d v="2026-06-11T00:00:00"/>
    <x v="1"/>
    <x v="0"/>
  </r>
  <r>
    <x v="29"/>
    <s v="Abdoulaye Camara"/>
    <x v="1"/>
    <x v="16"/>
    <n v="740000"/>
    <d v="2021-07-09T00:00:00"/>
    <x v="0"/>
    <x v="3"/>
  </r>
  <r>
    <x v="30"/>
    <s v="Astou Toure"/>
    <x v="4"/>
    <x v="9"/>
    <n v="564000"/>
    <d v="2019-12-31T00:00:00"/>
    <x v="0"/>
    <x v="2"/>
  </r>
  <r>
    <x v="31"/>
    <s v="Alioune Sagna"/>
    <x v="2"/>
    <x v="6"/>
    <n v="610000"/>
    <d v="2020-01-02T00:00:00"/>
    <x v="0"/>
    <x v="2"/>
  </r>
  <r>
    <x v="32"/>
    <s v="Absa Mbaye"/>
    <x v="4"/>
    <x v="15"/>
    <n v="228000"/>
    <d v="2021-07-04T00:00:00"/>
    <x v="0"/>
    <x v="2"/>
  </r>
  <r>
    <x v="33"/>
    <s v="Babacar Diallo"/>
    <x v="1"/>
    <x v="3"/>
    <n v="657000"/>
    <d v="2022-03-11T00:00:00"/>
    <x v="0"/>
    <x v="4"/>
  </r>
  <r>
    <x v="34"/>
    <s v="Moussa Cisse"/>
    <x v="0"/>
    <x v="17"/>
    <n v="681000"/>
    <d v="2019-05-31T00:00:00"/>
    <x v="0"/>
    <x v="2"/>
  </r>
  <r>
    <x v="35"/>
    <s v="Modou Mbaye"/>
    <x v="1"/>
    <x v="16"/>
    <n v="690000"/>
    <d v="2022-09-19T00:00:00"/>
    <x v="0"/>
    <x v="4"/>
  </r>
  <r>
    <x v="36"/>
    <s v="Mariama Ndoye"/>
    <x v="2"/>
    <x v="10"/>
    <n v="382000"/>
    <d v="2024-09-24T00:00:00"/>
    <x v="1"/>
    <x v="2"/>
  </r>
  <r>
    <x v="37"/>
    <s v="Moussa Diouf"/>
    <x v="3"/>
    <x v="5"/>
    <n v="611000"/>
    <d v="2016-11-26T00:00:00"/>
    <x v="1"/>
    <x v="0"/>
  </r>
  <r>
    <x v="38"/>
    <s v="Ndeye Ba"/>
    <x v="0"/>
    <x v="17"/>
    <n v="804000"/>
    <d v="2025-09-06T00:00:00"/>
    <x v="0"/>
    <x v="3"/>
  </r>
  <r>
    <x v="39"/>
    <s v="Oumou Sagna"/>
    <x v="3"/>
    <x v="18"/>
    <n v="359000"/>
    <d v="2017-09-12T00:00:00"/>
    <x v="0"/>
    <x v="0"/>
  </r>
  <r>
    <x v="40"/>
    <s v="Awa Diouf"/>
    <x v="0"/>
    <x v="17"/>
    <n v="644000"/>
    <d v="2019-05-15T00:00:00"/>
    <x v="0"/>
    <x v="4"/>
  </r>
  <r>
    <x v="41"/>
    <s v="Awa Faye"/>
    <x v="2"/>
    <x v="4"/>
    <n v="713000"/>
    <d v="2020-05-24T00:00:00"/>
    <x v="0"/>
    <x v="4"/>
  </r>
  <r>
    <x v="42"/>
    <s v="Babacar Diatta"/>
    <x v="3"/>
    <x v="14"/>
    <n v="262000"/>
    <d v="2022-08-12T00:00:00"/>
    <x v="0"/>
    <x v="4"/>
  </r>
  <r>
    <x v="43"/>
    <s v="Demba Toure"/>
    <x v="3"/>
    <x v="14"/>
    <n v="744000"/>
    <d v="2018-05-28T00:00:00"/>
    <x v="0"/>
    <x v="0"/>
  </r>
  <r>
    <x v="44"/>
    <s v="Fatima Gueye"/>
    <x v="1"/>
    <x v="16"/>
    <n v="353000"/>
    <d v="2018-12-11T00:00:00"/>
    <x v="1"/>
    <x v="0"/>
  </r>
  <r>
    <x v="45"/>
    <s v="Adama Sagna"/>
    <x v="0"/>
    <x v="0"/>
    <n v="533000"/>
    <d v="2026-08-17T00:00:00"/>
    <x v="0"/>
    <x v="3"/>
  </r>
  <r>
    <x v="46"/>
    <s v="Ousmane Diatta"/>
    <x v="0"/>
    <x v="17"/>
    <n v="395000"/>
    <d v="2021-03-18T00:00:00"/>
    <x v="1"/>
    <x v="3"/>
  </r>
  <r>
    <x v="47"/>
    <s v="Mariama Toure"/>
    <x v="3"/>
    <x v="13"/>
    <n v="264000"/>
    <d v="2024-10-12T00:00:00"/>
    <x v="0"/>
    <x v="0"/>
  </r>
  <r>
    <x v="48"/>
    <s v="Assane Toure"/>
    <x v="1"/>
    <x v="1"/>
    <n v="483000"/>
    <d v="2025-02-22T00:00:00"/>
    <x v="0"/>
    <x v="3"/>
  </r>
  <r>
    <x v="49"/>
    <s v="Youssou Cisse"/>
    <x v="1"/>
    <x v="3"/>
    <n v="772000"/>
    <d v="2019-07-18T00:00:00"/>
    <x v="1"/>
    <x v="4"/>
  </r>
  <r>
    <x v="50"/>
    <s v="Abdoulaye Kane"/>
    <x v="0"/>
    <x v="19"/>
    <n v="652000"/>
    <d v="2022-01-02T00:00:00"/>
    <x v="1"/>
    <x v="3"/>
  </r>
  <r>
    <x v="51"/>
    <s v="Coumba Kane"/>
    <x v="0"/>
    <x v="17"/>
    <n v="885000"/>
    <d v="2021-10-16T00:00:00"/>
    <x v="1"/>
    <x v="3"/>
  </r>
  <r>
    <x v="52"/>
    <s v="Khady Camara"/>
    <x v="4"/>
    <x v="9"/>
    <n v="459000"/>
    <d v="2018-01-29T00:00:00"/>
    <x v="0"/>
    <x v="0"/>
  </r>
  <r>
    <x v="53"/>
    <s v="Alioune Diouf"/>
    <x v="0"/>
    <x v="19"/>
    <n v="698000"/>
    <d v="2018-08-26T00:00:00"/>
    <x v="1"/>
    <x v="3"/>
  </r>
  <r>
    <x v="54"/>
    <s v="Ndeye Camara"/>
    <x v="3"/>
    <x v="5"/>
    <n v="547000"/>
    <d v="2024-06-13T00:00:00"/>
    <x v="0"/>
    <x v="4"/>
  </r>
  <r>
    <x v="55"/>
    <s v="Sokhna Diagne"/>
    <x v="0"/>
    <x v="8"/>
    <n v="219000"/>
    <d v="2022-07-31T00:00:00"/>
    <x v="1"/>
    <x v="2"/>
  </r>
  <r>
    <x v="56"/>
    <s v="Amadou Camara"/>
    <x v="0"/>
    <x v="19"/>
    <n v="539000"/>
    <d v="2026-09-08T00:00:00"/>
    <x v="0"/>
    <x v="1"/>
  </r>
  <r>
    <x v="57"/>
    <s v="Youssou Fall"/>
    <x v="0"/>
    <x v="17"/>
    <n v="307000"/>
    <d v="2016-11-19T00:00:00"/>
    <x v="0"/>
    <x v="2"/>
  </r>
  <r>
    <x v="58"/>
    <s v="Babacar Diop"/>
    <x v="2"/>
    <x v="4"/>
    <n v="332000"/>
    <d v="2024-06-21T00:00:00"/>
    <x v="1"/>
    <x v="4"/>
  </r>
  <r>
    <x v="59"/>
    <s v="El Hadji Ba"/>
    <x v="1"/>
    <x v="12"/>
    <n v="534000"/>
    <d v="2017-02-01T00:00:00"/>
    <x v="1"/>
    <x v="3"/>
  </r>
  <r>
    <x v="60"/>
    <s v="Ibrahima Camara"/>
    <x v="2"/>
    <x v="10"/>
    <n v="274000"/>
    <d v="2021-12-01T00:00:00"/>
    <x v="1"/>
    <x v="1"/>
  </r>
  <r>
    <x v="61"/>
    <s v="Aissatou Faye"/>
    <x v="0"/>
    <x v="17"/>
    <n v="268000"/>
    <d v="2020-06-12T00:00:00"/>
    <x v="1"/>
    <x v="4"/>
  </r>
  <r>
    <x v="62"/>
    <s v="Fatima Ndiaye"/>
    <x v="4"/>
    <x v="7"/>
    <n v="474000"/>
    <d v="2017-11-24T00:00:00"/>
    <x v="0"/>
    <x v="2"/>
  </r>
  <r>
    <x v="63"/>
    <s v="Absa Camara"/>
    <x v="2"/>
    <x v="2"/>
    <n v="365000"/>
    <d v="2020-11-15T00:00:00"/>
    <x v="0"/>
    <x v="1"/>
  </r>
  <r>
    <x v="64"/>
    <s v="Ndeye Diallo"/>
    <x v="4"/>
    <x v="11"/>
    <n v="743000"/>
    <d v="2019-08-14T00:00:00"/>
    <x v="1"/>
    <x v="1"/>
  </r>
  <r>
    <x v="65"/>
    <s v="Amadou Toure"/>
    <x v="2"/>
    <x v="4"/>
    <n v="555000"/>
    <d v="2015-05-29T00:00:00"/>
    <x v="1"/>
    <x v="0"/>
  </r>
  <r>
    <x v="66"/>
    <s v="Ibrahima Ndiaye"/>
    <x v="0"/>
    <x v="17"/>
    <n v="726000"/>
    <d v="2025-08-25T00:00:00"/>
    <x v="1"/>
    <x v="4"/>
  </r>
  <r>
    <x v="67"/>
    <s v="Fatima Sow"/>
    <x v="3"/>
    <x v="5"/>
    <n v="759000"/>
    <d v="2023-10-26T00:00:00"/>
    <x v="1"/>
    <x v="2"/>
  </r>
  <r>
    <x v="68"/>
    <s v="Modou Cisse"/>
    <x v="4"/>
    <x v="9"/>
    <n v="851000"/>
    <d v="2018-02-18T00:00:00"/>
    <x v="1"/>
    <x v="2"/>
  </r>
  <r>
    <x v="69"/>
    <s v="Souleymane Diop"/>
    <x v="2"/>
    <x v="2"/>
    <n v="272000"/>
    <d v="2020-09-24T00:00:00"/>
    <x v="0"/>
    <x v="3"/>
  </r>
  <r>
    <x v="70"/>
    <s v="Cheikh Diop"/>
    <x v="0"/>
    <x v="19"/>
    <n v="718000"/>
    <d v="2021-04-28T00:00:00"/>
    <x v="0"/>
    <x v="0"/>
  </r>
  <r>
    <x v="71"/>
    <s v="Bineta Diop"/>
    <x v="3"/>
    <x v="14"/>
    <n v="361000"/>
    <d v="2021-12-01T00:00:00"/>
    <x v="0"/>
    <x v="1"/>
  </r>
  <r>
    <x v="72"/>
    <s v="Mamadou Faye"/>
    <x v="4"/>
    <x v="11"/>
    <n v="760000"/>
    <d v="2022-04-04T00:00:00"/>
    <x v="0"/>
    <x v="0"/>
  </r>
  <r>
    <x v="73"/>
    <s v="Fatou Sarr"/>
    <x v="2"/>
    <x v="4"/>
    <n v="387000"/>
    <d v="2015-09-01T00:00:00"/>
    <x v="1"/>
    <x v="0"/>
  </r>
  <r>
    <x v="74"/>
    <s v="El Hadji Fall"/>
    <x v="3"/>
    <x v="18"/>
    <n v="714000"/>
    <d v="2019-05-07T00:00:00"/>
    <x v="0"/>
    <x v="2"/>
  </r>
  <r>
    <x v="75"/>
    <s v="Absa Ndiaye"/>
    <x v="0"/>
    <x v="8"/>
    <n v="291000"/>
    <d v="2018-03-24T00:00:00"/>
    <x v="1"/>
    <x v="2"/>
  </r>
  <r>
    <x v="76"/>
    <s v="Demba Diop"/>
    <x v="3"/>
    <x v="13"/>
    <n v="506000"/>
    <d v="2021-10-28T00:00:00"/>
    <x v="0"/>
    <x v="1"/>
  </r>
  <r>
    <x v="77"/>
    <s v="Aissatou Wade"/>
    <x v="1"/>
    <x v="1"/>
    <n v="873000"/>
    <d v="2023-09-26T00:00:00"/>
    <x v="1"/>
    <x v="1"/>
  </r>
  <r>
    <x v="78"/>
    <s v="Lamine Ba"/>
    <x v="4"/>
    <x v="9"/>
    <n v="244000"/>
    <d v="2026-04-07T00:00:00"/>
    <x v="1"/>
    <x v="3"/>
  </r>
  <r>
    <x v="79"/>
    <s v="Youssou Ba"/>
    <x v="1"/>
    <x v="16"/>
    <n v="798000"/>
    <d v="2020-02-27T00:00:00"/>
    <x v="1"/>
    <x v="3"/>
  </r>
  <r>
    <x v="80"/>
    <s v="Awa Diop"/>
    <x v="2"/>
    <x v="4"/>
    <n v="307000"/>
    <d v="2023-06-13T00:00:00"/>
    <x v="1"/>
    <x v="4"/>
  </r>
  <r>
    <x v="81"/>
    <s v="Malick Diop"/>
    <x v="0"/>
    <x v="17"/>
    <n v="701000"/>
    <d v="2020-11-30T00:00:00"/>
    <x v="0"/>
    <x v="2"/>
  </r>
  <r>
    <x v="82"/>
    <s v="Fatima Fall"/>
    <x v="1"/>
    <x v="16"/>
    <n v="875000"/>
    <d v="2026-10-18T00:00:00"/>
    <x v="1"/>
    <x v="2"/>
  </r>
  <r>
    <x v="83"/>
    <s v="Adama Faye"/>
    <x v="0"/>
    <x v="8"/>
    <n v="440000"/>
    <d v="2019-09-08T00:00:00"/>
    <x v="0"/>
    <x v="1"/>
  </r>
  <r>
    <x v="84"/>
    <s v="Fatima Mbaye"/>
    <x v="3"/>
    <x v="13"/>
    <n v="690000"/>
    <d v="2021-11-06T00:00:00"/>
    <x v="1"/>
    <x v="2"/>
  </r>
  <r>
    <x v="85"/>
    <s v="Oumou Sene"/>
    <x v="2"/>
    <x v="2"/>
    <n v="814000"/>
    <d v="2018-04-22T00:00:00"/>
    <x v="0"/>
    <x v="2"/>
  </r>
  <r>
    <x v="86"/>
    <s v="Babacar Sene"/>
    <x v="4"/>
    <x v="9"/>
    <n v="212000"/>
    <d v="2025-10-26T00:00:00"/>
    <x v="0"/>
    <x v="3"/>
  </r>
  <r>
    <x v="87"/>
    <s v="Adama Faye"/>
    <x v="0"/>
    <x v="17"/>
    <n v="891000"/>
    <d v="2025-12-24T00:00:00"/>
    <x v="0"/>
    <x v="1"/>
  </r>
  <r>
    <x v="88"/>
    <s v="Youssou Sarr"/>
    <x v="3"/>
    <x v="5"/>
    <n v="677000"/>
    <d v="2017-08-28T00:00:00"/>
    <x v="1"/>
    <x v="4"/>
  </r>
  <r>
    <x v="89"/>
    <s v="Bineta Fall"/>
    <x v="3"/>
    <x v="13"/>
    <n v="496000"/>
    <d v="2025-04-17T00:00:00"/>
    <x v="0"/>
    <x v="3"/>
  </r>
  <r>
    <x v="90"/>
    <s v="Absa Sy"/>
    <x v="4"/>
    <x v="7"/>
    <n v="414000"/>
    <d v="2019-09-23T00:00:00"/>
    <x v="1"/>
    <x v="4"/>
  </r>
  <r>
    <x v="91"/>
    <s v="Seynabou Fall"/>
    <x v="2"/>
    <x v="4"/>
    <n v="568000"/>
    <d v="2017-12-22T00:00:00"/>
    <x v="0"/>
    <x v="4"/>
  </r>
  <r>
    <x v="92"/>
    <s v="Ousmane Camara"/>
    <x v="4"/>
    <x v="9"/>
    <n v="709000"/>
    <d v="2025-11-26T00:00:00"/>
    <x v="1"/>
    <x v="3"/>
  </r>
  <r>
    <x v="93"/>
    <s v="Mamadou Gueye"/>
    <x v="0"/>
    <x v="19"/>
    <n v="897000"/>
    <d v="2025-09-02T00:00:00"/>
    <x v="0"/>
    <x v="4"/>
  </r>
  <r>
    <x v="94"/>
    <s v="Serigne Diouf"/>
    <x v="2"/>
    <x v="10"/>
    <n v="552000"/>
    <d v="2023-09-06T00:00:00"/>
    <x v="0"/>
    <x v="4"/>
  </r>
  <r>
    <x v="95"/>
    <s v="Ousmane Diagne"/>
    <x v="0"/>
    <x v="8"/>
    <n v="546000"/>
    <d v="2023-07-12T00:00:00"/>
    <x v="0"/>
    <x v="4"/>
  </r>
  <r>
    <x v="96"/>
    <s v="Aminata Camara"/>
    <x v="0"/>
    <x v="8"/>
    <n v="459000"/>
    <d v="2023-08-05T00:00:00"/>
    <x v="0"/>
    <x v="4"/>
  </r>
  <r>
    <x v="97"/>
    <s v="Marieme Ndoye"/>
    <x v="1"/>
    <x v="16"/>
    <n v="569000"/>
    <d v="2024-07-08T00:00:00"/>
    <x v="1"/>
    <x v="2"/>
  </r>
  <r>
    <x v="98"/>
    <s v="Ibrahima Faye"/>
    <x v="0"/>
    <x v="0"/>
    <n v="877000"/>
    <d v="2021-05-28T00:00:00"/>
    <x v="0"/>
    <x v="0"/>
  </r>
  <r>
    <x v="99"/>
    <s v="Coumba Faye"/>
    <x v="3"/>
    <x v="18"/>
    <n v="394000"/>
    <d v="2023-05-17T00:00:00"/>
    <x v="1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08A65F-5DC5-4B87-BD3B-505A86A0C9FF}" name="Tableau croisé dynamique1" cacheId="17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4">
  <location ref="A2:E4" firstHeaderRow="0" firstDataRow="1" firstDataCol="1"/>
  <pivotFields count="8">
    <pivotField dataField="1" showAll="0"/>
    <pivotField showAll="0"/>
    <pivotField axis="axisRow" showAll="0">
      <items count="6">
        <item x="2"/>
        <item h="1" x="0"/>
        <item h="1" x="3"/>
        <item h="1" x="4"/>
        <item h="1" x="1"/>
        <item t="default"/>
      </items>
    </pivotField>
    <pivotField showAll="0"/>
    <pivotField dataField="1" showAll="0"/>
    <pivotField numFmtId="14" showAll="0"/>
    <pivotField showAll="0">
      <items count="3">
        <item x="1"/>
        <item x="0"/>
        <item t="default"/>
      </items>
    </pivotField>
    <pivotField showAll="0"/>
  </pivotFields>
  <rowFields count="1">
    <field x="2"/>
  </rowFields>
  <rowItems count="2">
    <i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Nombre de ID" fld="0" subtotal="count" baseField="0" baseItem="0"/>
    <dataField name="Max. de Salaire2" fld="4" subtotal="max" baseField="2" baseItem="0"/>
    <dataField name="Moyenne de Salaire" fld="4" subtotal="average" baseField="2" baseItem="1"/>
    <dataField name="Somme de Salaire" fld="4" baseField="0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F4EBC1-6113-4124-911D-E20342BCAA18}" name="Tableau croisé dynamique5" cacheId="17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49:B55" firstHeaderRow="1" firstDataRow="1" firstDataCol="1"/>
  <pivotFields count="8">
    <pivotField dataField="1" showAll="0"/>
    <pivotField showAll="0"/>
    <pivotField showAll="0">
      <items count="6">
        <item x="2"/>
        <item x="0"/>
        <item x="3"/>
        <item x="4"/>
        <item x="1"/>
        <item t="default"/>
      </items>
    </pivotField>
    <pivotField showAll="0">
      <items count="21">
        <item x="3"/>
        <item x="17"/>
        <item x="4"/>
        <item x="7"/>
        <item x="10"/>
        <item x="12"/>
        <item x="13"/>
        <item x="15"/>
        <item x="18"/>
        <item x="8"/>
        <item x="16"/>
        <item x="14"/>
        <item x="2"/>
        <item x="6"/>
        <item x="19"/>
        <item x="0"/>
        <item x="9"/>
        <item x="5"/>
        <item x="1"/>
        <item x="11"/>
        <item t="default"/>
      </items>
    </pivotField>
    <pivotField showAll="0"/>
    <pivotField numFmtId="14" showAll="0"/>
    <pivotField showAll="0">
      <items count="3">
        <item x="1"/>
        <item x="0"/>
        <item t="default"/>
      </items>
    </pivotField>
    <pivotField axis="axisRow" showAll="0">
      <items count="6">
        <item x="0"/>
        <item x="2"/>
        <item x="1"/>
        <item x="4"/>
        <item x="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Nombre de ID" fld="0" subtotal="count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08D49B-76E6-4724-8024-406517ABC0A7}" name="Tableau croisé dynamique4" cacheId="17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G49:H55" firstHeaderRow="1" firstDataRow="1" firstDataCol="1"/>
  <pivotFields count="8">
    <pivotField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>
      <items count="21">
        <item x="3"/>
        <item x="17"/>
        <item x="4"/>
        <item x="7"/>
        <item x="10"/>
        <item x="12"/>
        <item x="13"/>
        <item x="15"/>
        <item x="18"/>
        <item x="8"/>
        <item x="16"/>
        <item x="14"/>
        <item x="2"/>
        <item x="6"/>
        <item x="19"/>
        <item x="0"/>
        <item x="9"/>
        <item x="5"/>
        <item x="1"/>
        <item x="11"/>
        <item t="default"/>
      </items>
    </pivotField>
    <pivotField dataField="1" showAll="0"/>
    <pivotField numFmtId="14" showAll="0"/>
    <pivotField showAll="0">
      <items count="3">
        <item x="1"/>
        <item x="0"/>
        <item t="default"/>
      </items>
    </pivotField>
    <pivotField showAll="0">
      <items count="6">
        <item x="0"/>
        <item x="2"/>
        <item x="1"/>
        <item x="4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oyenne de Salaire" fld="4" subtotal="average" baseField="2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6887E1-4DB3-4BB2-8B87-91B348406B4E}" name="Tableau croisé dynamique3" cacheId="17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5">
  <location ref="A26:B29" firstHeaderRow="1" firstDataRow="1" firstDataCol="1"/>
  <pivotFields count="8">
    <pivotField dataField="1" showAll="0"/>
    <pivotField showAll="0"/>
    <pivotField showAll="0">
      <items count="6">
        <item x="2"/>
        <item x="0"/>
        <item x="3"/>
        <item x="4"/>
        <item x="1"/>
        <item t="default"/>
      </items>
    </pivotField>
    <pivotField showAll="0">
      <items count="21">
        <item x="3"/>
        <item x="17"/>
        <item x="4"/>
        <item x="7"/>
        <item x="10"/>
        <item x="12"/>
        <item x="13"/>
        <item x="15"/>
        <item x="18"/>
        <item x="8"/>
        <item x="16"/>
        <item x="14"/>
        <item x="2"/>
        <item x="6"/>
        <item x="19"/>
        <item x="0"/>
        <item x="9"/>
        <item x="5"/>
        <item x="1"/>
        <item x="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showAll="0">
      <items count="6">
        <item x="0"/>
        <item x="2"/>
        <item x="1"/>
        <item x="4"/>
        <item x="3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Nombre de ID" fld="0" subtotal="count" baseField="0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4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48ED23-D9CF-4CFB-A545-54CCFAEDBAE9}" name="Tableau croisé dynamique2" cacheId="17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2">
  <location ref="F25:I31" firstHeaderRow="0" firstDataRow="1" firstDataCol="1"/>
  <pivotFields count="8">
    <pivotField dataField="1" showAll="0"/>
    <pivotField showAll="0"/>
    <pivotField axis="axisRow" showAll="0">
      <items count="6">
        <item x="2"/>
        <item x="0"/>
        <item x="3"/>
        <item x="4"/>
        <item x="1"/>
        <item t="default"/>
      </items>
    </pivotField>
    <pivotField showAll="0">
      <items count="21">
        <item x="3"/>
        <item x="17"/>
        <item x="4"/>
        <item x="7"/>
        <item x="10"/>
        <item x="12"/>
        <item x="13"/>
        <item x="15"/>
        <item x="18"/>
        <item x="8"/>
        <item x="16"/>
        <item x="14"/>
        <item x="2"/>
        <item x="6"/>
        <item x="19"/>
        <item x="0"/>
        <item x="9"/>
        <item x="5"/>
        <item x="1"/>
        <item x="11"/>
        <item t="default"/>
      </items>
    </pivotField>
    <pivotField dataField="1" showAll="0"/>
    <pivotField numFmtId="14" showAll="0"/>
    <pivotField showAll="0">
      <items count="3">
        <item x="1"/>
        <item x="0"/>
        <item t="default"/>
      </items>
    </pivotField>
    <pivotField showAll="0">
      <items count="6">
        <item x="0"/>
        <item x="2"/>
        <item x="1"/>
        <item x="4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Nombre de ID" fld="0" subtotal="count" baseField="0" baseItem="0"/>
    <dataField name="Moyenne de Salaire" fld="4" subtotal="average" baseField="2" baseItem="0"/>
    <dataField name="Max. de Salaire" fld="4" subtotal="max" baseField="2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1626CFAF-7E2A-4816-9499-A7631CF86F45}" autoFormatId="16" applyNumberFormats="0" applyBorderFormats="0" applyFontFormats="0" applyPatternFormats="0" applyAlignmentFormats="0" applyWidthHeightFormats="0">
  <queryTableRefresh nextId="11" unboundColumnsRight="2">
    <queryTableFields count="8">
      <queryTableField id="1" name="ID" tableColumnId="1"/>
      <queryTableField id="2" name="Nom" tableColumnId="2"/>
      <queryTableField id="3" name="Departement" tableColumnId="3"/>
      <queryTableField id="4" name="Poste" tableColumnId="4"/>
      <queryTableField id="5" name="Salaire" tableColumnId="5"/>
      <queryTableField id="6" name="Date_embauche" tableColumnId="6"/>
      <queryTableField id="9" dataBound="0" tableColumnId="9"/>
      <queryTableField id="10" dataBound="0" tableColumnId="10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epartement" xr10:uid="{A986AD20-268C-4940-8A07-52274FF0F7B8}" sourceName="Departement">
  <pivotTables>
    <pivotTable tabId="1" name="Tableau croisé dynamique1"/>
  </pivotTables>
  <data>
    <tabular pivotCacheId="1505219870">
      <items count="5">
        <i x="2" s="1"/>
        <i x="0"/>
        <i x="3"/>
        <i x="4"/>
        <i x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xe" xr10:uid="{058512D6-1DBC-4E32-83FF-6CD729F25009}" sourceName="Sexe">
  <pivotTables>
    <pivotTable tabId="1" name="Tableau croisé dynamique1"/>
  </pivotTables>
  <data>
    <tabular pivotCacheId="1505219870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epartement1" xr10:uid="{0F5FCEAA-6C92-49E2-AAE1-33CAF19DEF4D}" sourceName="Departement">
  <pivotTables>
    <pivotTable tabId="3" name="Tableau croisé dynamique2"/>
    <pivotTable tabId="3" name="Tableau croisé dynamique3"/>
    <pivotTable tabId="3" name="Tableau croisé dynamique4"/>
    <pivotTable tabId="3" name="Tableau croisé dynamique5"/>
  </pivotTables>
  <data>
    <tabular pivotCacheId="1505219870">
      <items count="5">
        <i x="2" s="1"/>
        <i x="0" s="1"/>
        <i x="3" s="1"/>
        <i x="4" s="1"/>
        <i x="1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Sexe1" xr10:uid="{52F3A8CD-F303-450C-9C96-BFC5FB6D13C9}" sourceName="Sexe">
  <pivotTables>
    <pivotTable tabId="3" name="Tableau croisé dynamique2"/>
    <pivotTable tabId="3" name="Tableau croisé dynamique3"/>
    <pivotTable tabId="3" name="Tableau croisé dynamique4"/>
    <pivotTable tabId="3" name="Tableau croisé dynamique5"/>
  </pivotTables>
  <data>
    <tabular pivotCacheId="1505219870">
      <items count="2">
        <i x="1" s="1"/>
        <i x="0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Ville" xr10:uid="{18D81D79-0B96-40DF-B2DA-3D012F4C58EC}" sourceName="Ville">
  <pivotTables>
    <pivotTable tabId="3" name="Tableau croisé dynamique2"/>
    <pivotTable tabId="3" name="Tableau croisé dynamique3"/>
    <pivotTable tabId="3" name="Tableau croisé dynamique4"/>
    <pivotTable tabId="3" name="Tableau croisé dynamique5"/>
  </pivotTables>
  <data>
    <tabular pivotCacheId="1505219870">
      <items count="5">
        <i x="0" s="1"/>
        <i x="2" s="1"/>
        <i x="1" s="1"/>
        <i x="4" s="1"/>
        <i x="3" s="1"/>
      </items>
    </tabular>
  </data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Poste" xr10:uid="{AEE56415-DF99-4667-A539-46A3FE1EC894}" sourceName="Poste">
  <pivotTables>
    <pivotTable tabId="3" name="Tableau croisé dynamique2"/>
    <pivotTable tabId="3" name="Tableau croisé dynamique3"/>
    <pivotTable tabId="3" name="Tableau croisé dynamique4"/>
    <pivotTable tabId="3" name="Tableau croisé dynamique5"/>
  </pivotTables>
  <data>
    <tabular pivotCacheId="1505219870">
      <items count="20">
        <i x="3" s="1"/>
        <i x="17" s="1"/>
        <i x="4" s="1"/>
        <i x="7" s="1"/>
        <i x="10" s="1"/>
        <i x="12" s="1"/>
        <i x="13" s="1"/>
        <i x="15" s="1"/>
        <i x="18" s="1"/>
        <i x="8" s="1"/>
        <i x="16" s="1"/>
        <i x="14" s="1"/>
        <i x="2" s="1"/>
        <i x="6" s="1"/>
        <i x="19" s="1"/>
        <i x="0" s="1"/>
        <i x="9" s="1"/>
        <i x="5" s="1"/>
        <i x="1" s="1"/>
        <i x="1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ement" xr10:uid="{79ABB777-E8B1-47E1-AB4C-CF2621F6F757}" cache="Segment_Departement" caption="Departement" rowHeight="251883"/>
  <slicer name="Sexe" xr10:uid="{B0BE9FBD-87F7-45EA-8A43-6628841B3EC6}" cache="Segment_Sexe" caption="Sexe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partement 1" xr10:uid="{255D4C8C-DC16-4FE7-A67D-685412CC5DDB}" cache="Segment_Departement1" caption="Departement" rowHeight="251883"/>
  <slicer name="Sexe 1" xr10:uid="{AEAE4D10-4A3B-440F-A19F-CDA803D1A3D9}" cache="Segment_Sexe1" caption="Sexe" rowHeight="251883"/>
  <slicer name="Ville" xr10:uid="{E9557568-D02A-41FB-B9B4-9A284BE316F2}" cache="Segment_Ville" caption="Ville" rowHeight="251883"/>
  <slicer name="Poste" xr10:uid="{C20560EA-65A9-430E-9A69-72E55D283B41}" cache="Segment_Poste" caption="Poste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411E75B-4407-49F0-8BA7-2E20F9BFCDC1}" name="Base_RH" displayName="Base_RH" ref="A1:H101" tableType="queryTable" totalsRowShown="0">
  <autoFilter ref="A1:H101" xr:uid="{7411E75B-4407-49F0-8BA7-2E20F9BFCDC1}"/>
  <tableColumns count="8">
    <tableColumn id="1" xr3:uid="{42F817A0-B570-408B-90D4-CD8291E625AC}" uniqueName="1" name="ID" queryTableFieldId="1" dataDxfId="6"/>
    <tableColumn id="2" xr3:uid="{047B211B-0358-4507-9806-718B3A1E0078}" uniqueName="2" name="Nom" queryTableFieldId="2" dataDxfId="5"/>
    <tableColumn id="3" xr3:uid="{D04E9061-781F-427C-BFF7-6C0675B75B44}" uniqueName="3" name="Departement" queryTableFieldId="3" dataDxfId="4"/>
    <tableColumn id="4" xr3:uid="{81457479-78BB-4AA3-AF87-310D15E24ECE}" uniqueName="4" name="Poste" queryTableFieldId="4" dataDxfId="3"/>
    <tableColumn id="5" xr3:uid="{8C6B752B-31AC-4B1E-8AE7-0517707E72AC}" uniqueName="5" name="Salaire" queryTableFieldId="5"/>
    <tableColumn id="6" xr3:uid="{21797748-D4EB-4616-9C19-2C86D1294412}" uniqueName="6" name="Date_embauche" queryTableFieldId="6" dataDxfId="2"/>
    <tableColumn id="9" xr3:uid="{7527F061-67E2-4A76-9701-3717A2D3D4C3}" uniqueName="9" name="Sexe" queryTableFieldId="9" dataDxfId="1"/>
    <tableColumn id="10" xr3:uid="{F03093C7-2C40-45E7-AA0C-C2486590DDE0}" uniqueName="10" name="Ville" queryTableFieldId="1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microsoft.com/office/2007/relationships/slicer" Target="../slicers/slicer2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3A504-E676-49A6-8973-FFC54AA390CA}">
  <dimension ref="A1:H101"/>
  <sheetViews>
    <sheetView topLeftCell="A2" workbookViewId="0">
      <selection activeCell="B4" sqref="B4"/>
    </sheetView>
  </sheetViews>
  <sheetFormatPr defaultColWidth="11.42578125" defaultRowHeight="14.45"/>
  <cols>
    <col min="1" max="1" width="4.85546875" bestFit="1" customWidth="1"/>
    <col min="2" max="2" width="16.140625" bestFit="1" customWidth="1"/>
    <col min="3" max="3" width="14.140625" bestFit="1" customWidth="1"/>
    <col min="4" max="4" width="22.140625" bestFit="1" customWidth="1"/>
    <col min="5" max="5" width="8.85546875" bestFit="1" customWidth="1"/>
    <col min="6" max="6" width="16.7109375" bestFit="1" customWidth="1"/>
    <col min="7" max="7" width="8.140625" bestFit="1" customWidth="1"/>
    <col min="8" max="8" width="9.8554687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>
        <v>748000</v>
      </c>
      <c r="F2" s="1">
        <v>43010</v>
      </c>
      <c r="G2" t="s">
        <v>12</v>
      </c>
      <c r="H2" t="s">
        <v>13</v>
      </c>
    </row>
    <row r="3" spans="1:8">
      <c r="A3" t="s">
        <v>14</v>
      </c>
      <c r="B3" t="s">
        <v>15</v>
      </c>
      <c r="C3" t="s">
        <v>16</v>
      </c>
      <c r="D3" t="s">
        <v>17</v>
      </c>
      <c r="E3">
        <v>238000</v>
      </c>
      <c r="F3" s="1">
        <v>42502</v>
      </c>
      <c r="G3" t="s">
        <v>12</v>
      </c>
      <c r="H3" t="s">
        <v>13</v>
      </c>
    </row>
    <row r="4" spans="1:8">
      <c r="A4" t="s">
        <v>18</v>
      </c>
      <c r="B4" t="s">
        <v>19</v>
      </c>
      <c r="C4" t="s">
        <v>20</v>
      </c>
      <c r="D4" t="s">
        <v>21</v>
      </c>
      <c r="E4">
        <v>764000</v>
      </c>
      <c r="F4" s="1">
        <v>45542</v>
      </c>
      <c r="G4" t="s">
        <v>12</v>
      </c>
      <c r="H4" t="s">
        <v>22</v>
      </c>
    </row>
    <row r="5" spans="1:8">
      <c r="A5" t="s">
        <v>23</v>
      </c>
      <c r="B5" t="s">
        <v>24</v>
      </c>
      <c r="C5" t="s">
        <v>20</v>
      </c>
      <c r="D5" t="s">
        <v>21</v>
      </c>
      <c r="E5">
        <v>790000</v>
      </c>
      <c r="F5" s="1">
        <v>45254</v>
      </c>
      <c r="G5" t="s">
        <v>25</v>
      </c>
      <c r="H5" t="s">
        <v>13</v>
      </c>
    </row>
    <row r="6" spans="1:8">
      <c r="A6" t="s">
        <v>26</v>
      </c>
      <c r="B6" t="s">
        <v>27</v>
      </c>
      <c r="C6" t="s">
        <v>16</v>
      </c>
      <c r="D6" t="s">
        <v>17</v>
      </c>
      <c r="E6">
        <v>496000</v>
      </c>
      <c r="F6" s="1">
        <v>45438</v>
      </c>
      <c r="G6" t="s">
        <v>12</v>
      </c>
      <c r="H6" t="s">
        <v>28</v>
      </c>
    </row>
    <row r="7" spans="1:8">
      <c r="A7" t="s">
        <v>29</v>
      </c>
      <c r="B7" t="s">
        <v>30</v>
      </c>
      <c r="C7" t="s">
        <v>16</v>
      </c>
      <c r="D7" t="s">
        <v>31</v>
      </c>
      <c r="E7">
        <v>773000</v>
      </c>
      <c r="F7" s="1">
        <v>43485</v>
      </c>
      <c r="G7" t="s">
        <v>25</v>
      </c>
      <c r="H7" t="s">
        <v>22</v>
      </c>
    </row>
    <row r="8" spans="1:8">
      <c r="A8" t="s">
        <v>32</v>
      </c>
      <c r="B8" t="s">
        <v>33</v>
      </c>
      <c r="C8" t="s">
        <v>20</v>
      </c>
      <c r="D8" t="s">
        <v>34</v>
      </c>
      <c r="E8">
        <v>299000</v>
      </c>
      <c r="F8" s="1">
        <v>42519</v>
      </c>
      <c r="G8" t="s">
        <v>25</v>
      </c>
      <c r="H8" t="s">
        <v>13</v>
      </c>
    </row>
    <row r="9" spans="1:8">
      <c r="A9" t="s">
        <v>35</v>
      </c>
      <c r="B9" t="s">
        <v>36</v>
      </c>
      <c r="C9" t="s">
        <v>37</v>
      </c>
      <c r="D9" t="s">
        <v>38</v>
      </c>
      <c r="E9">
        <v>521000</v>
      </c>
      <c r="F9" s="1">
        <v>45967</v>
      </c>
      <c r="G9" t="s">
        <v>12</v>
      </c>
      <c r="H9" t="s">
        <v>28</v>
      </c>
    </row>
    <row r="10" spans="1:8">
      <c r="A10" t="s">
        <v>39</v>
      </c>
      <c r="B10" t="s">
        <v>40</v>
      </c>
      <c r="C10" t="s">
        <v>20</v>
      </c>
      <c r="D10" t="s">
        <v>41</v>
      </c>
      <c r="E10">
        <v>449000</v>
      </c>
      <c r="F10" s="1">
        <v>42380</v>
      </c>
      <c r="G10" t="s">
        <v>25</v>
      </c>
      <c r="H10" t="s">
        <v>42</v>
      </c>
    </row>
    <row r="11" spans="1:8">
      <c r="A11" t="s">
        <v>43</v>
      </c>
      <c r="B11" t="s">
        <v>44</v>
      </c>
      <c r="C11" t="s">
        <v>45</v>
      </c>
      <c r="D11" t="s">
        <v>46</v>
      </c>
      <c r="E11">
        <v>494000</v>
      </c>
      <c r="F11" s="1">
        <v>42604</v>
      </c>
      <c r="G11" t="s">
        <v>12</v>
      </c>
      <c r="H11" t="s">
        <v>13</v>
      </c>
    </row>
    <row r="12" spans="1:8">
      <c r="A12" t="s">
        <v>47</v>
      </c>
      <c r="B12" t="s">
        <v>48</v>
      </c>
      <c r="C12" t="s">
        <v>20</v>
      </c>
      <c r="D12" t="s">
        <v>34</v>
      </c>
      <c r="E12">
        <v>355000</v>
      </c>
      <c r="F12" s="1">
        <v>46010</v>
      </c>
      <c r="G12" t="s">
        <v>12</v>
      </c>
      <c r="H12" t="s">
        <v>22</v>
      </c>
    </row>
    <row r="13" spans="1:8">
      <c r="A13" t="s">
        <v>49</v>
      </c>
      <c r="B13" t="s">
        <v>50</v>
      </c>
      <c r="C13" t="s">
        <v>10</v>
      </c>
      <c r="D13" t="s">
        <v>51</v>
      </c>
      <c r="E13">
        <v>548000</v>
      </c>
      <c r="F13" s="1">
        <v>44784</v>
      </c>
      <c r="G13" t="s">
        <v>12</v>
      </c>
      <c r="H13" t="s">
        <v>13</v>
      </c>
    </row>
    <row r="14" spans="1:8">
      <c r="A14" t="s">
        <v>52</v>
      </c>
      <c r="B14" t="s">
        <v>53</v>
      </c>
      <c r="C14" t="s">
        <v>10</v>
      </c>
      <c r="D14" t="s">
        <v>11</v>
      </c>
      <c r="E14">
        <v>476000</v>
      </c>
      <c r="F14" s="1">
        <v>45888</v>
      </c>
      <c r="G14" t="s">
        <v>25</v>
      </c>
      <c r="H14" t="s">
        <v>28</v>
      </c>
    </row>
    <row r="15" spans="1:8">
      <c r="A15" t="s">
        <v>54</v>
      </c>
      <c r="B15" t="s">
        <v>55</v>
      </c>
      <c r="C15" t="s">
        <v>45</v>
      </c>
      <c r="D15" t="s">
        <v>46</v>
      </c>
      <c r="E15">
        <v>491000</v>
      </c>
      <c r="F15" s="1">
        <v>45165</v>
      </c>
      <c r="G15" t="s">
        <v>25</v>
      </c>
      <c r="H15" t="s">
        <v>13</v>
      </c>
    </row>
    <row r="16" spans="1:8">
      <c r="A16" t="s">
        <v>56</v>
      </c>
      <c r="B16" t="s">
        <v>57</v>
      </c>
      <c r="C16" t="s">
        <v>45</v>
      </c>
      <c r="D16" t="s">
        <v>58</v>
      </c>
      <c r="E16">
        <v>825000</v>
      </c>
      <c r="F16" s="1">
        <v>42964</v>
      </c>
      <c r="G16" t="s">
        <v>12</v>
      </c>
      <c r="H16" t="s">
        <v>22</v>
      </c>
    </row>
    <row r="17" spans="1:8">
      <c r="A17" t="s">
        <v>59</v>
      </c>
      <c r="B17" t="s">
        <v>60</v>
      </c>
      <c r="C17" t="s">
        <v>45</v>
      </c>
      <c r="D17" t="s">
        <v>58</v>
      </c>
      <c r="E17">
        <v>453000</v>
      </c>
      <c r="F17" s="1">
        <v>45028</v>
      </c>
      <c r="G17" t="s">
        <v>25</v>
      </c>
      <c r="H17" t="s">
        <v>42</v>
      </c>
    </row>
    <row r="18" spans="1:8">
      <c r="A18" t="s">
        <v>61</v>
      </c>
      <c r="B18" t="s">
        <v>62</v>
      </c>
      <c r="C18" t="s">
        <v>20</v>
      </c>
      <c r="D18" t="s">
        <v>63</v>
      </c>
      <c r="E18">
        <v>611000</v>
      </c>
      <c r="F18" s="1">
        <v>44281</v>
      </c>
      <c r="G18" t="s">
        <v>25</v>
      </c>
      <c r="H18" t="s">
        <v>42</v>
      </c>
    </row>
    <row r="19" spans="1:8">
      <c r="A19" t="s">
        <v>64</v>
      </c>
      <c r="B19" t="s">
        <v>65</v>
      </c>
      <c r="C19" t="s">
        <v>45</v>
      </c>
      <c r="D19" t="s">
        <v>46</v>
      </c>
      <c r="E19">
        <v>567000</v>
      </c>
      <c r="F19" s="1">
        <v>45121</v>
      </c>
      <c r="G19" t="s">
        <v>12</v>
      </c>
      <c r="H19" t="s">
        <v>22</v>
      </c>
    </row>
    <row r="20" spans="1:8">
      <c r="A20" t="s">
        <v>66</v>
      </c>
      <c r="B20" t="s">
        <v>67</v>
      </c>
      <c r="C20" t="s">
        <v>20</v>
      </c>
      <c r="D20" t="s">
        <v>41</v>
      </c>
      <c r="E20">
        <v>437000</v>
      </c>
      <c r="F20" s="1">
        <v>43916</v>
      </c>
      <c r="G20" t="s">
        <v>12</v>
      </c>
      <c r="H20" t="s">
        <v>13</v>
      </c>
    </row>
    <row r="21" spans="1:8">
      <c r="A21" t="s">
        <v>68</v>
      </c>
      <c r="B21" t="s">
        <v>69</v>
      </c>
      <c r="C21" t="s">
        <v>20</v>
      </c>
      <c r="D21" t="s">
        <v>34</v>
      </c>
      <c r="E21">
        <v>488000</v>
      </c>
      <c r="F21" s="1">
        <v>42065</v>
      </c>
      <c r="G21" t="s">
        <v>25</v>
      </c>
      <c r="H21" t="s">
        <v>70</v>
      </c>
    </row>
    <row r="22" spans="1:8">
      <c r="A22" t="s">
        <v>71</v>
      </c>
      <c r="B22" t="s">
        <v>65</v>
      </c>
      <c r="C22" t="s">
        <v>45</v>
      </c>
      <c r="D22" t="s">
        <v>72</v>
      </c>
      <c r="E22">
        <v>328000</v>
      </c>
      <c r="F22" s="1">
        <v>46227</v>
      </c>
      <c r="G22" t="s">
        <v>25</v>
      </c>
      <c r="H22" t="s">
        <v>22</v>
      </c>
    </row>
    <row r="23" spans="1:8">
      <c r="A23" t="s">
        <v>73</v>
      </c>
      <c r="B23" t="s">
        <v>74</v>
      </c>
      <c r="C23" t="s">
        <v>16</v>
      </c>
      <c r="D23" t="s">
        <v>75</v>
      </c>
      <c r="E23">
        <v>607000</v>
      </c>
      <c r="F23" s="1">
        <v>45273</v>
      </c>
      <c r="G23" t="s">
        <v>12</v>
      </c>
      <c r="H23" t="s">
        <v>70</v>
      </c>
    </row>
    <row r="24" spans="1:8">
      <c r="A24" t="s">
        <v>76</v>
      </c>
      <c r="B24" t="s">
        <v>77</v>
      </c>
      <c r="C24" t="s">
        <v>37</v>
      </c>
      <c r="D24" t="s">
        <v>78</v>
      </c>
      <c r="E24">
        <v>395000</v>
      </c>
      <c r="F24" s="1">
        <v>42497</v>
      </c>
      <c r="G24" t="s">
        <v>12</v>
      </c>
      <c r="H24" t="s">
        <v>70</v>
      </c>
    </row>
    <row r="25" spans="1:8">
      <c r="A25" t="s">
        <v>79</v>
      </c>
      <c r="B25" t="s">
        <v>80</v>
      </c>
      <c r="C25" t="s">
        <v>10</v>
      </c>
      <c r="D25" t="s">
        <v>51</v>
      </c>
      <c r="E25">
        <v>815000</v>
      </c>
      <c r="F25" s="1">
        <v>42524</v>
      </c>
      <c r="G25" t="s">
        <v>12</v>
      </c>
      <c r="H25" t="s">
        <v>42</v>
      </c>
    </row>
    <row r="26" spans="1:8">
      <c r="A26" t="s">
        <v>81</v>
      </c>
      <c r="B26" t="s">
        <v>82</v>
      </c>
      <c r="C26" t="s">
        <v>20</v>
      </c>
      <c r="D26" t="s">
        <v>21</v>
      </c>
      <c r="E26">
        <v>572000</v>
      </c>
      <c r="F26" s="1">
        <v>42213</v>
      </c>
      <c r="G26" t="s">
        <v>25</v>
      </c>
      <c r="H26" t="s">
        <v>22</v>
      </c>
    </row>
    <row r="27" spans="1:8">
      <c r="A27" t="s">
        <v>83</v>
      </c>
      <c r="B27" t="s">
        <v>84</v>
      </c>
      <c r="C27" t="s">
        <v>37</v>
      </c>
      <c r="D27" t="s">
        <v>85</v>
      </c>
      <c r="E27">
        <v>849000</v>
      </c>
      <c r="F27" s="1">
        <v>44071</v>
      </c>
      <c r="G27" t="s">
        <v>12</v>
      </c>
      <c r="H27" t="s">
        <v>42</v>
      </c>
    </row>
    <row r="28" spans="1:8">
      <c r="A28" t="s">
        <v>86</v>
      </c>
      <c r="B28" t="s">
        <v>87</v>
      </c>
      <c r="C28" t="s">
        <v>37</v>
      </c>
      <c r="D28" t="s">
        <v>78</v>
      </c>
      <c r="E28">
        <v>318000</v>
      </c>
      <c r="F28" s="1">
        <v>46003</v>
      </c>
      <c r="G28" t="s">
        <v>25</v>
      </c>
      <c r="H28" t="s">
        <v>28</v>
      </c>
    </row>
    <row r="29" spans="1:8">
      <c r="A29" t="s">
        <v>88</v>
      </c>
      <c r="B29" t="s">
        <v>89</v>
      </c>
      <c r="C29" t="s">
        <v>45</v>
      </c>
      <c r="D29" t="s">
        <v>90</v>
      </c>
      <c r="E29">
        <v>347000</v>
      </c>
      <c r="F29" s="1">
        <v>42842</v>
      </c>
      <c r="G29" t="s">
        <v>12</v>
      </c>
      <c r="H29" t="s">
        <v>42</v>
      </c>
    </row>
    <row r="30" spans="1:8">
      <c r="A30" t="s">
        <v>91</v>
      </c>
      <c r="B30" t="s">
        <v>92</v>
      </c>
      <c r="C30" t="s">
        <v>20</v>
      </c>
      <c r="D30" t="s">
        <v>21</v>
      </c>
      <c r="E30">
        <v>410000</v>
      </c>
      <c r="F30" s="1">
        <v>46184</v>
      </c>
      <c r="G30" t="s">
        <v>25</v>
      </c>
      <c r="H30" t="s">
        <v>13</v>
      </c>
    </row>
    <row r="31" spans="1:8">
      <c r="A31" t="s">
        <v>93</v>
      </c>
      <c r="B31" t="s">
        <v>94</v>
      </c>
      <c r="C31" t="s">
        <v>16</v>
      </c>
      <c r="D31" t="s">
        <v>95</v>
      </c>
      <c r="E31">
        <v>740000</v>
      </c>
      <c r="F31" s="1">
        <v>44386</v>
      </c>
      <c r="G31" t="s">
        <v>12</v>
      </c>
      <c r="H31" t="s">
        <v>42</v>
      </c>
    </row>
    <row r="32" spans="1:8">
      <c r="A32" t="s">
        <v>96</v>
      </c>
      <c r="B32" t="s">
        <v>97</v>
      </c>
      <c r="C32" t="s">
        <v>45</v>
      </c>
      <c r="D32" t="s">
        <v>58</v>
      </c>
      <c r="E32">
        <v>564000</v>
      </c>
      <c r="F32" s="1">
        <v>43830</v>
      </c>
      <c r="G32" t="s">
        <v>12</v>
      </c>
      <c r="H32" t="s">
        <v>28</v>
      </c>
    </row>
    <row r="33" spans="1:8">
      <c r="A33" t="s">
        <v>98</v>
      </c>
      <c r="B33" t="s">
        <v>99</v>
      </c>
      <c r="C33" t="s">
        <v>20</v>
      </c>
      <c r="D33" t="s">
        <v>41</v>
      </c>
      <c r="E33">
        <v>610000</v>
      </c>
      <c r="F33" s="1">
        <v>43832</v>
      </c>
      <c r="G33" t="s">
        <v>12</v>
      </c>
      <c r="H33" t="s">
        <v>28</v>
      </c>
    </row>
    <row r="34" spans="1:8">
      <c r="A34" t="s">
        <v>100</v>
      </c>
      <c r="B34" t="s">
        <v>101</v>
      </c>
      <c r="C34" t="s">
        <v>45</v>
      </c>
      <c r="D34" t="s">
        <v>90</v>
      </c>
      <c r="E34">
        <v>228000</v>
      </c>
      <c r="F34" s="1">
        <v>44381</v>
      </c>
      <c r="G34" t="s">
        <v>12</v>
      </c>
      <c r="H34" t="s">
        <v>28</v>
      </c>
    </row>
    <row r="35" spans="1:8">
      <c r="A35" t="s">
        <v>102</v>
      </c>
      <c r="B35" t="s">
        <v>103</v>
      </c>
      <c r="C35" t="s">
        <v>16</v>
      </c>
      <c r="D35" t="s">
        <v>31</v>
      </c>
      <c r="E35">
        <v>657000</v>
      </c>
      <c r="F35" s="1">
        <v>44631</v>
      </c>
      <c r="G35" t="s">
        <v>12</v>
      </c>
      <c r="H35" t="s">
        <v>70</v>
      </c>
    </row>
    <row r="36" spans="1:8">
      <c r="A36" t="s">
        <v>104</v>
      </c>
      <c r="B36" t="s">
        <v>105</v>
      </c>
      <c r="C36" t="s">
        <v>10</v>
      </c>
      <c r="D36" t="s">
        <v>106</v>
      </c>
      <c r="E36">
        <v>681000</v>
      </c>
      <c r="F36" s="1">
        <v>43616</v>
      </c>
      <c r="G36" t="s">
        <v>12</v>
      </c>
      <c r="H36" t="s">
        <v>28</v>
      </c>
    </row>
    <row r="37" spans="1:8">
      <c r="A37" t="s">
        <v>107</v>
      </c>
      <c r="B37" t="s">
        <v>108</v>
      </c>
      <c r="C37" t="s">
        <v>16</v>
      </c>
      <c r="D37" t="s">
        <v>95</v>
      </c>
      <c r="E37">
        <v>690000</v>
      </c>
      <c r="F37" s="1">
        <v>44823</v>
      </c>
      <c r="G37" t="s">
        <v>12</v>
      </c>
      <c r="H37" t="s">
        <v>70</v>
      </c>
    </row>
    <row r="38" spans="1:8">
      <c r="A38" t="s">
        <v>109</v>
      </c>
      <c r="B38" t="s">
        <v>110</v>
      </c>
      <c r="C38" t="s">
        <v>20</v>
      </c>
      <c r="D38" t="s">
        <v>63</v>
      </c>
      <c r="E38">
        <v>382000</v>
      </c>
      <c r="F38" s="1">
        <v>45559</v>
      </c>
      <c r="G38" t="s">
        <v>25</v>
      </c>
      <c r="H38" t="s">
        <v>28</v>
      </c>
    </row>
    <row r="39" spans="1:8">
      <c r="A39" t="s">
        <v>111</v>
      </c>
      <c r="B39" t="s">
        <v>112</v>
      </c>
      <c r="C39" t="s">
        <v>37</v>
      </c>
      <c r="D39" t="s">
        <v>38</v>
      </c>
      <c r="E39">
        <v>611000</v>
      </c>
      <c r="F39" s="1">
        <v>42700</v>
      </c>
      <c r="G39" t="s">
        <v>25</v>
      </c>
      <c r="H39" t="s">
        <v>13</v>
      </c>
    </row>
    <row r="40" spans="1:8">
      <c r="A40" t="s">
        <v>113</v>
      </c>
      <c r="B40" t="s">
        <v>114</v>
      </c>
      <c r="C40" t="s">
        <v>10</v>
      </c>
      <c r="D40" t="s">
        <v>106</v>
      </c>
      <c r="E40">
        <v>804000</v>
      </c>
      <c r="F40" s="1">
        <v>45906</v>
      </c>
      <c r="G40" t="s">
        <v>12</v>
      </c>
      <c r="H40" t="s">
        <v>42</v>
      </c>
    </row>
    <row r="41" spans="1:8">
      <c r="A41" t="s">
        <v>115</v>
      </c>
      <c r="B41" t="s">
        <v>116</v>
      </c>
      <c r="C41" t="s">
        <v>37</v>
      </c>
      <c r="D41" t="s">
        <v>117</v>
      </c>
      <c r="E41">
        <v>359000</v>
      </c>
      <c r="F41" s="1">
        <v>42990</v>
      </c>
      <c r="G41" t="s">
        <v>12</v>
      </c>
      <c r="H41" t="s">
        <v>13</v>
      </c>
    </row>
    <row r="42" spans="1:8">
      <c r="A42" t="s">
        <v>118</v>
      </c>
      <c r="B42" t="s">
        <v>119</v>
      </c>
      <c r="C42" t="s">
        <v>10</v>
      </c>
      <c r="D42" t="s">
        <v>106</v>
      </c>
      <c r="E42">
        <v>644000</v>
      </c>
      <c r="F42" s="1">
        <v>43600</v>
      </c>
      <c r="G42" t="s">
        <v>12</v>
      </c>
      <c r="H42" t="s">
        <v>70</v>
      </c>
    </row>
    <row r="43" spans="1:8">
      <c r="A43" t="s">
        <v>120</v>
      </c>
      <c r="B43" t="s">
        <v>121</v>
      </c>
      <c r="C43" t="s">
        <v>20</v>
      </c>
      <c r="D43" t="s">
        <v>34</v>
      </c>
      <c r="E43">
        <v>713000</v>
      </c>
      <c r="F43" s="1">
        <v>43975</v>
      </c>
      <c r="G43" t="s">
        <v>12</v>
      </c>
      <c r="H43" t="s">
        <v>70</v>
      </c>
    </row>
    <row r="44" spans="1:8">
      <c r="A44" t="s">
        <v>122</v>
      </c>
      <c r="B44" t="s">
        <v>123</v>
      </c>
      <c r="C44" t="s">
        <v>37</v>
      </c>
      <c r="D44" t="s">
        <v>85</v>
      </c>
      <c r="E44">
        <v>262000</v>
      </c>
      <c r="F44" s="1">
        <v>44785</v>
      </c>
      <c r="G44" t="s">
        <v>12</v>
      </c>
      <c r="H44" t="s">
        <v>70</v>
      </c>
    </row>
    <row r="45" spans="1:8">
      <c r="A45" t="s">
        <v>124</v>
      </c>
      <c r="B45" t="s">
        <v>125</v>
      </c>
      <c r="C45" t="s">
        <v>37</v>
      </c>
      <c r="D45" t="s">
        <v>85</v>
      </c>
      <c r="E45">
        <v>744000</v>
      </c>
      <c r="F45" s="1">
        <v>43248</v>
      </c>
      <c r="G45" t="s">
        <v>12</v>
      </c>
      <c r="H45" t="s">
        <v>13</v>
      </c>
    </row>
    <row r="46" spans="1:8">
      <c r="A46" t="s">
        <v>126</v>
      </c>
      <c r="B46" t="s">
        <v>80</v>
      </c>
      <c r="C46" t="s">
        <v>16</v>
      </c>
      <c r="D46" t="s">
        <v>95</v>
      </c>
      <c r="E46">
        <v>353000</v>
      </c>
      <c r="F46" s="1">
        <v>43445</v>
      </c>
      <c r="G46" t="s">
        <v>25</v>
      </c>
      <c r="H46" t="s">
        <v>13</v>
      </c>
    </row>
    <row r="47" spans="1:8">
      <c r="A47" t="s">
        <v>127</v>
      </c>
      <c r="B47" t="s">
        <v>128</v>
      </c>
      <c r="C47" t="s">
        <v>10</v>
      </c>
      <c r="D47" t="s">
        <v>11</v>
      </c>
      <c r="E47">
        <v>533000</v>
      </c>
      <c r="F47" s="1">
        <v>46251</v>
      </c>
      <c r="G47" t="s">
        <v>12</v>
      </c>
      <c r="H47" t="s">
        <v>42</v>
      </c>
    </row>
    <row r="48" spans="1:8">
      <c r="A48" t="s">
        <v>129</v>
      </c>
      <c r="B48" t="s">
        <v>130</v>
      </c>
      <c r="C48" t="s">
        <v>10</v>
      </c>
      <c r="D48" t="s">
        <v>106</v>
      </c>
      <c r="E48">
        <v>395000</v>
      </c>
      <c r="F48" s="1">
        <v>44273</v>
      </c>
      <c r="G48" t="s">
        <v>25</v>
      </c>
      <c r="H48" t="s">
        <v>42</v>
      </c>
    </row>
    <row r="49" spans="1:8">
      <c r="A49" t="s">
        <v>131</v>
      </c>
      <c r="B49" t="s">
        <v>132</v>
      </c>
      <c r="C49" t="s">
        <v>37</v>
      </c>
      <c r="D49" t="s">
        <v>78</v>
      </c>
      <c r="E49">
        <v>264000</v>
      </c>
      <c r="F49" s="1">
        <v>45577</v>
      </c>
      <c r="G49" t="s">
        <v>12</v>
      </c>
      <c r="H49" t="s">
        <v>13</v>
      </c>
    </row>
    <row r="50" spans="1:8">
      <c r="A50" t="s">
        <v>133</v>
      </c>
      <c r="B50" t="s">
        <v>134</v>
      </c>
      <c r="C50" t="s">
        <v>16</v>
      </c>
      <c r="D50" t="s">
        <v>17</v>
      </c>
      <c r="E50">
        <v>483000</v>
      </c>
      <c r="F50" s="1">
        <v>45710</v>
      </c>
      <c r="G50" t="s">
        <v>12</v>
      </c>
      <c r="H50" t="s">
        <v>42</v>
      </c>
    </row>
    <row r="51" spans="1:8">
      <c r="A51" t="s">
        <v>135</v>
      </c>
      <c r="B51" t="s">
        <v>136</v>
      </c>
      <c r="C51" t="s">
        <v>16</v>
      </c>
      <c r="D51" t="s">
        <v>31</v>
      </c>
      <c r="E51">
        <v>772000</v>
      </c>
      <c r="F51" s="1">
        <v>43664</v>
      </c>
      <c r="G51" t="s">
        <v>25</v>
      </c>
      <c r="H51" t="s">
        <v>70</v>
      </c>
    </row>
    <row r="52" spans="1:8">
      <c r="A52" t="s">
        <v>137</v>
      </c>
      <c r="B52" t="s">
        <v>138</v>
      </c>
      <c r="C52" t="s">
        <v>10</v>
      </c>
      <c r="D52" t="s">
        <v>139</v>
      </c>
      <c r="E52">
        <v>652000</v>
      </c>
      <c r="F52" s="1">
        <v>44563</v>
      </c>
      <c r="G52" t="s">
        <v>25</v>
      </c>
      <c r="H52" t="s">
        <v>42</v>
      </c>
    </row>
    <row r="53" spans="1:8">
      <c r="A53" t="s">
        <v>140</v>
      </c>
      <c r="B53" t="s">
        <v>141</v>
      </c>
      <c r="C53" t="s">
        <v>10</v>
      </c>
      <c r="D53" t="s">
        <v>106</v>
      </c>
      <c r="E53">
        <v>885000</v>
      </c>
      <c r="F53" s="1">
        <v>44485</v>
      </c>
      <c r="G53" t="s">
        <v>25</v>
      </c>
      <c r="H53" t="s">
        <v>42</v>
      </c>
    </row>
    <row r="54" spans="1:8">
      <c r="A54" t="s">
        <v>142</v>
      </c>
      <c r="B54" t="s">
        <v>143</v>
      </c>
      <c r="C54" t="s">
        <v>45</v>
      </c>
      <c r="D54" t="s">
        <v>58</v>
      </c>
      <c r="E54">
        <v>459000</v>
      </c>
      <c r="F54" s="1">
        <v>43129</v>
      </c>
      <c r="G54" t="s">
        <v>12</v>
      </c>
      <c r="H54" t="s">
        <v>13</v>
      </c>
    </row>
    <row r="55" spans="1:8">
      <c r="A55" t="s">
        <v>144</v>
      </c>
      <c r="B55" t="s">
        <v>145</v>
      </c>
      <c r="C55" t="s">
        <v>10</v>
      </c>
      <c r="D55" t="s">
        <v>139</v>
      </c>
      <c r="E55">
        <v>698000</v>
      </c>
      <c r="F55" s="1">
        <v>43338</v>
      </c>
      <c r="G55" t="s">
        <v>25</v>
      </c>
      <c r="H55" t="s">
        <v>42</v>
      </c>
    </row>
    <row r="56" spans="1:8">
      <c r="A56" t="s">
        <v>146</v>
      </c>
      <c r="B56" t="s">
        <v>147</v>
      </c>
      <c r="C56" t="s">
        <v>37</v>
      </c>
      <c r="D56" t="s">
        <v>38</v>
      </c>
      <c r="E56">
        <v>547000</v>
      </c>
      <c r="F56" s="1">
        <v>45456</v>
      </c>
      <c r="G56" t="s">
        <v>12</v>
      </c>
      <c r="H56" t="s">
        <v>70</v>
      </c>
    </row>
    <row r="57" spans="1:8">
      <c r="A57" t="s">
        <v>148</v>
      </c>
      <c r="B57" t="s">
        <v>149</v>
      </c>
      <c r="C57" t="s">
        <v>10</v>
      </c>
      <c r="D57" t="s">
        <v>51</v>
      </c>
      <c r="E57">
        <v>219000</v>
      </c>
      <c r="F57" s="1">
        <v>44773</v>
      </c>
      <c r="G57" t="s">
        <v>25</v>
      </c>
      <c r="H57" t="s">
        <v>28</v>
      </c>
    </row>
    <row r="58" spans="1:8">
      <c r="A58" t="s">
        <v>150</v>
      </c>
      <c r="B58" t="s">
        <v>151</v>
      </c>
      <c r="C58" t="s">
        <v>10</v>
      </c>
      <c r="D58" t="s">
        <v>139</v>
      </c>
      <c r="E58">
        <v>539000</v>
      </c>
      <c r="F58" s="1">
        <v>46273</v>
      </c>
      <c r="G58" t="s">
        <v>12</v>
      </c>
      <c r="H58" t="s">
        <v>22</v>
      </c>
    </row>
    <row r="59" spans="1:8">
      <c r="A59" t="s">
        <v>152</v>
      </c>
      <c r="B59" t="s">
        <v>153</v>
      </c>
      <c r="C59" t="s">
        <v>10</v>
      </c>
      <c r="D59" t="s">
        <v>106</v>
      </c>
      <c r="E59">
        <v>307000</v>
      </c>
      <c r="F59" s="1">
        <v>42693</v>
      </c>
      <c r="G59" t="s">
        <v>12</v>
      </c>
      <c r="H59" t="s">
        <v>28</v>
      </c>
    </row>
    <row r="60" spans="1:8">
      <c r="A60" t="s">
        <v>154</v>
      </c>
      <c r="B60" t="s">
        <v>155</v>
      </c>
      <c r="C60" t="s">
        <v>20</v>
      </c>
      <c r="D60" t="s">
        <v>34</v>
      </c>
      <c r="E60">
        <v>332000</v>
      </c>
      <c r="F60" s="1">
        <v>45464</v>
      </c>
      <c r="G60" t="s">
        <v>25</v>
      </c>
      <c r="H60" t="s">
        <v>70</v>
      </c>
    </row>
    <row r="61" spans="1:8">
      <c r="A61" t="s">
        <v>156</v>
      </c>
      <c r="B61" t="s">
        <v>157</v>
      </c>
      <c r="C61" t="s">
        <v>16</v>
      </c>
      <c r="D61" t="s">
        <v>75</v>
      </c>
      <c r="E61">
        <v>534000</v>
      </c>
      <c r="F61" s="1">
        <v>42767</v>
      </c>
      <c r="G61" t="s">
        <v>25</v>
      </c>
      <c r="H61" t="s">
        <v>42</v>
      </c>
    </row>
    <row r="62" spans="1:8">
      <c r="A62" t="s">
        <v>158</v>
      </c>
      <c r="B62" t="s">
        <v>159</v>
      </c>
      <c r="C62" t="s">
        <v>20</v>
      </c>
      <c r="D62" t="s">
        <v>63</v>
      </c>
      <c r="E62">
        <v>274000</v>
      </c>
      <c r="F62" s="1">
        <v>44531</v>
      </c>
      <c r="G62" t="s">
        <v>25</v>
      </c>
      <c r="H62" t="s">
        <v>22</v>
      </c>
    </row>
    <row r="63" spans="1:8">
      <c r="A63" t="s">
        <v>160</v>
      </c>
      <c r="B63" t="s">
        <v>161</v>
      </c>
      <c r="C63" t="s">
        <v>10</v>
      </c>
      <c r="D63" t="s">
        <v>106</v>
      </c>
      <c r="E63">
        <v>268000</v>
      </c>
      <c r="F63" s="1">
        <v>43994</v>
      </c>
      <c r="G63" t="s">
        <v>25</v>
      </c>
      <c r="H63" t="s">
        <v>70</v>
      </c>
    </row>
    <row r="64" spans="1:8">
      <c r="A64" t="s">
        <v>162</v>
      </c>
      <c r="B64" t="s">
        <v>163</v>
      </c>
      <c r="C64" t="s">
        <v>45</v>
      </c>
      <c r="D64" t="s">
        <v>46</v>
      </c>
      <c r="E64">
        <v>474000</v>
      </c>
      <c r="F64" s="1">
        <v>43063</v>
      </c>
      <c r="G64" t="s">
        <v>12</v>
      </c>
      <c r="H64" t="s">
        <v>28</v>
      </c>
    </row>
    <row r="65" spans="1:8">
      <c r="A65" t="s">
        <v>164</v>
      </c>
      <c r="B65" t="s">
        <v>165</v>
      </c>
      <c r="C65" t="s">
        <v>20</v>
      </c>
      <c r="D65" t="s">
        <v>21</v>
      </c>
      <c r="E65">
        <v>365000</v>
      </c>
      <c r="F65" s="1">
        <v>44150</v>
      </c>
      <c r="G65" t="s">
        <v>12</v>
      </c>
      <c r="H65" t="s">
        <v>22</v>
      </c>
    </row>
    <row r="66" spans="1:8">
      <c r="A66" t="s">
        <v>166</v>
      </c>
      <c r="B66" t="s">
        <v>167</v>
      </c>
      <c r="C66" t="s">
        <v>45</v>
      </c>
      <c r="D66" t="s">
        <v>72</v>
      </c>
      <c r="E66">
        <v>743000</v>
      </c>
      <c r="F66" s="1">
        <v>43691</v>
      </c>
      <c r="G66" t="s">
        <v>25</v>
      </c>
      <c r="H66" t="s">
        <v>22</v>
      </c>
    </row>
    <row r="67" spans="1:8">
      <c r="A67" t="s">
        <v>168</v>
      </c>
      <c r="B67" t="s">
        <v>169</v>
      </c>
      <c r="C67" t="s">
        <v>20</v>
      </c>
      <c r="D67" t="s">
        <v>34</v>
      </c>
      <c r="E67">
        <v>555000</v>
      </c>
      <c r="F67" s="1">
        <v>42153</v>
      </c>
      <c r="G67" t="s">
        <v>25</v>
      </c>
      <c r="H67" t="s">
        <v>13</v>
      </c>
    </row>
    <row r="68" spans="1:8">
      <c r="A68" t="s">
        <v>170</v>
      </c>
      <c r="B68" t="s">
        <v>171</v>
      </c>
      <c r="C68" t="s">
        <v>10</v>
      </c>
      <c r="D68" t="s">
        <v>106</v>
      </c>
      <c r="E68">
        <v>726000</v>
      </c>
      <c r="F68" s="1">
        <v>45894</v>
      </c>
      <c r="G68" t="s">
        <v>25</v>
      </c>
      <c r="H68" t="s">
        <v>70</v>
      </c>
    </row>
    <row r="69" spans="1:8">
      <c r="A69" t="s">
        <v>172</v>
      </c>
      <c r="B69" t="s">
        <v>173</v>
      </c>
      <c r="C69" t="s">
        <v>37</v>
      </c>
      <c r="D69" t="s">
        <v>38</v>
      </c>
      <c r="E69">
        <v>759000</v>
      </c>
      <c r="F69" s="1">
        <v>45225</v>
      </c>
      <c r="G69" t="s">
        <v>25</v>
      </c>
      <c r="H69" t="s">
        <v>28</v>
      </c>
    </row>
    <row r="70" spans="1:8">
      <c r="A70" t="s">
        <v>174</v>
      </c>
      <c r="B70" t="s">
        <v>175</v>
      </c>
      <c r="C70" t="s">
        <v>45</v>
      </c>
      <c r="D70" t="s">
        <v>58</v>
      </c>
      <c r="E70">
        <v>851000</v>
      </c>
      <c r="F70" s="1">
        <v>43149</v>
      </c>
      <c r="G70" t="s">
        <v>25</v>
      </c>
      <c r="H70" t="s">
        <v>28</v>
      </c>
    </row>
    <row r="71" spans="1:8">
      <c r="A71" t="s">
        <v>176</v>
      </c>
      <c r="B71" t="s">
        <v>177</v>
      </c>
      <c r="C71" t="s">
        <v>20</v>
      </c>
      <c r="D71" t="s">
        <v>21</v>
      </c>
      <c r="E71">
        <v>272000</v>
      </c>
      <c r="F71" s="1">
        <v>44098</v>
      </c>
      <c r="G71" t="s">
        <v>12</v>
      </c>
      <c r="H71" t="s">
        <v>42</v>
      </c>
    </row>
    <row r="72" spans="1:8">
      <c r="A72" t="s">
        <v>178</v>
      </c>
      <c r="B72" t="s">
        <v>179</v>
      </c>
      <c r="C72" t="s">
        <v>10</v>
      </c>
      <c r="D72" t="s">
        <v>139</v>
      </c>
      <c r="E72">
        <v>718000</v>
      </c>
      <c r="F72" s="1">
        <v>44314</v>
      </c>
      <c r="G72" t="s">
        <v>12</v>
      </c>
      <c r="H72" t="s">
        <v>13</v>
      </c>
    </row>
    <row r="73" spans="1:8">
      <c r="A73" t="s">
        <v>180</v>
      </c>
      <c r="B73" t="s">
        <v>181</v>
      </c>
      <c r="C73" t="s">
        <v>37</v>
      </c>
      <c r="D73" t="s">
        <v>85</v>
      </c>
      <c r="E73">
        <v>361000</v>
      </c>
      <c r="F73" s="1">
        <v>44531</v>
      </c>
      <c r="G73" t="s">
        <v>12</v>
      </c>
      <c r="H73" t="s">
        <v>22</v>
      </c>
    </row>
    <row r="74" spans="1:8">
      <c r="A74" t="s">
        <v>182</v>
      </c>
      <c r="B74" t="s">
        <v>183</v>
      </c>
      <c r="C74" t="s">
        <v>45</v>
      </c>
      <c r="D74" t="s">
        <v>72</v>
      </c>
      <c r="E74">
        <v>760000</v>
      </c>
      <c r="F74" s="1">
        <v>44655</v>
      </c>
      <c r="G74" t="s">
        <v>12</v>
      </c>
      <c r="H74" t="s">
        <v>13</v>
      </c>
    </row>
    <row r="75" spans="1:8">
      <c r="A75" t="s">
        <v>184</v>
      </c>
      <c r="B75" t="s">
        <v>185</v>
      </c>
      <c r="C75" t="s">
        <v>20</v>
      </c>
      <c r="D75" t="s">
        <v>34</v>
      </c>
      <c r="E75">
        <v>387000</v>
      </c>
      <c r="F75" s="1">
        <v>42248</v>
      </c>
      <c r="G75" t="s">
        <v>25</v>
      </c>
      <c r="H75" t="s">
        <v>13</v>
      </c>
    </row>
    <row r="76" spans="1:8">
      <c r="A76" t="s">
        <v>186</v>
      </c>
      <c r="B76" t="s">
        <v>187</v>
      </c>
      <c r="C76" t="s">
        <v>37</v>
      </c>
      <c r="D76" t="s">
        <v>117</v>
      </c>
      <c r="E76">
        <v>714000</v>
      </c>
      <c r="F76" s="1">
        <v>43592</v>
      </c>
      <c r="G76" t="s">
        <v>12</v>
      </c>
      <c r="H76" t="s">
        <v>28</v>
      </c>
    </row>
    <row r="77" spans="1:8">
      <c r="A77" t="s">
        <v>188</v>
      </c>
      <c r="B77" t="s">
        <v>189</v>
      </c>
      <c r="C77" t="s">
        <v>10</v>
      </c>
      <c r="D77" t="s">
        <v>51</v>
      </c>
      <c r="E77">
        <v>291000</v>
      </c>
      <c r="F77" s="1">
        <v>43183</v>
      </c>
      <c r="G77" t="s">
        <v>25</v>
      </c>
      <c r="H77" t="s">
        <v>28</v>
      </c>
    </row>
    <row r="78" spans="1:8">
      <c r="A78" t="s">
        <v>190</v>
      </c>
      <c r="B78" t="s">
        <v>15</v>
      </c>
      <c r="C78" t="s">
        <v>37</v>
      </c>
      <c r="D78" t="s">
        <v>78</v>
      </c>
      <c r="E78">
        <v>506000</v>
      </c>
      <c r="F78" s="1">
        <v>44497</v>
      </c>
      <c r="G78" t="s">
        <v>12</v>
      </c>
      <c r="H78" t="s">
        <v>22</v>
      </c>
    </row>
    <row r="79" spans="1:8">
      <c r="A79" t="s">
        <v>191</v>
      </c>
      <c r="B79" t="s">
        <v>192</v>
      </c>
      <c r="C79" t="s">
        <v>16</v>
      </c>
      <c r="D79" t="s">
        <v>17</v>
      </c>
      <c r="E79">
        <v>873000</v>
      </c>
      <c r="F79" s="1">
        <v>45195</v>
      </c>
      <c r="G79" t="s">
        <v>25</v>
      </c>
      <c r="H79" t="s">
        <v>22</v>
      </c>
    </row>
    <row r="80" spans="1:8">
      <c r="A80" t="s">
        <v>193</v>
      </c>
      <c r="B80" t="s">
        <v>194</v>
      </c>
      <c r="C80" t="s">
        <v>45</v>
      </c>
      <c r="D80" t="s">
        <v>58</v>
      </c>
      <c r="E80">
        <v>244000</v>
      </c>
      <c r="F80" s="1">
        <v>46119</v>
      </c>
      <c r="G80" t="s">
        <v>25</v>
      </c>
      <c r="H80" t="s">
        <v>42</v>
      </c>
    </row>
    <row r="81" spans="1:8">
      <c r="A81" t="s">
        <v>195</v>
      </c>
      <c r="B81" t="s">
        <v>196</v>
      </c>
      <c r="C81" t="s">
        <v>16</v>
      </c>
      <c r="D81" t="s">
        <v>95</v>
      </c>
      <c r="E81">
        <v>798000</v>
      </c>
      <c r="F81" s="1">
        <v>43888</v>
      </c>
      <c r="G81" t="s">
        <v>25</v>
      </c>
      <c r="H81" t="s">
        <v>42</v>
      </c>
    </row>
    <row r="82" spans="1:8">
      <c r="A82" t="s">
        <v>197</v>
      </c>
      <c r="B82" t="s">
        <v>198</v>
      </c>
      <c r="C82" t="s">
        <v>20</v>
      </c>
      <c r="D82" t="s">
        <v>34</v>
      </c>
      <c r="E82">
        <v>307000</v>
      </c>
      <c r="F82" s="1">
        <v>45090</v>
      </c>
      <c r="G82" t="s">
        <v>25</v>
      </c>
      <c r="H82" t="s">
        <v>70</v>
      </c>
    </row>
    <row r="83" spans="1:8">
      <c r="A83" t="s">
        <v>199</v>
      </c>
      <c r="B83" t="s">
        <v>200</v>
      </c>
      <c r="C83" t="s">
        <v>10</v>
      </c>
      <c r="D83" t="s">
        <v>106</v>
      </c>
      <c r="E83">
        <v>701000</v>
      </c>
      <c r="F83" s="1">
        <v>44165</v>
      </c>
      <c r="G83" t="s">
        <v>12</v>
      </c>
      <c r="H83" t="s">
        <v>28</v>
      </c>
    </row>
    <row r="84" spans="1:8">
      <c r="A84" t="s">
        <v>201</v>
      </c>
      <c r="B84" t="s">
        <v>202</v>
      </c>
      <c r="C84" t="s">
        <v>16</v>
      </c>
      <c r="D84" t="s">
        <v>95</v>
      </c>
      <c r="E84">
        <v>875000</v>
      </c>
      <c r="F84" s="1">
        <v>46313</v>
      </c>
      <c r="G84" t="s">
        <v>25</v>
      </c>
      <c r="H84" t="s">
        <v>28</v>
      </c>
    </row>
    <row r="85" spans="1:8">
      <c r="A85" t="s">
        <v>203</v>
      </c>
      <c r="B85" t="s">
        <v>204</v>
      </c>
      <c r="C85" t="s">
        <v>10</v>
      </c>
      <c r="D85" t="s">
        <v>51</v>
      </c>
      <c r="E85">
        <v>440000</v>
      </c>
      <c r="F85" s="1">
        <v>43716</v>
      </c>
      <c r="G85" t="s">
        <v>12</v>
      </c>
      <c r="H85" t="s">
        <v>22</v>
      </c>
    </row>
    <row r="86" spans="1:8">
      <c r="A86" t="s">
        <v>205</v>
      </c>
      <c r="B86" t="s">
        <v>206</v>
      </c>
      <c r="C86" t="s">
        <v>37</v>
      </c>
      <c r="D86" t="s">
        <v>78</v>
      </c>
      <c r="E86">
        <v>690000</v>
      </c>
      <c r="F86" s="1">
        <v>44506</v>
      </c>
      <c r="G86" t="s">
        <v>25</v>
      </c>
      <c r="H86" t="s">
        <v>28</v>
      </c>
    </row>
    <row r="87" spans="1:8">
      <c r="A87" t="s">
        <v>207</v>
      </c>
      <c r="B87" t="s">
        <v>208</v>
      </c>
      <c r="C87" t="s">
        <v>20</v>
      </c>
      <c r="D87" t="s">
        <v>21</v>
      </c>
      <c r="E87">
        <v>814000</v>
      </c>
      <c r="F87" s="1">
        <v>43212</v>
      </c>
      <c r="G87" t="s">
        <v>12</v>
      </c>
      <c r="H87" t="s">
        <v>28</v>
      </c>
    </row>
    <row r="88" spans="1:8">
      <c r="A88" t="s">
        <v>209</v>
      </c>
      <c r="B88" t="s">
        <v>210</v>
      </c>
      <c r="C88" t="s">
        <v>45</v>
      </c>
      <c r="D88" t="s">
        <v>58</v>
      </c>
      <c r="E88">
        <v>212000</v>
      </c>
      <c r="F88" s="1">
        <v>45956</v>
      </c>
      <c r="G88" t="s">
        <v>12</v>
      </c>
      <c r="H88" t="s">
        <v>42</v>
      </c>
    </row>
    <row r="89" spans="1:8">
      <c r="A89" t="s">
        <v>211</v>
      </c>
      <c r="B89" t="s">
        <v>204</v>
      </c>
      <c r="C89" t="s">
        <v>10</v>
      </c>
      <c r="D89" t="s">
        <v>106</v>
      </c>
      <c r="E89">
        <v>891000</v>
      </c>
      <c r="F89" s="1">
        <v>46015</v>
      </c>
      <c r="G89" t="s">
        <v>12</v>
      </c>
      <c r="H89" t="s">
        <v>22</v>
      </c>
    </row>
    <row r="90" spans="1:8">
      <c r="A90" t="s">
        <v>212</v>
      </c>
      <c r="B90" t="s">
        <v>213</v>
      </c>
      <c r="C90" t="s">
        <v>37</v>
      </c>
      <c r="D90" t="s">
        <v>38</v>
      </c>
      <c r="E90">
        <v>677000</v>
      </c>
      <c r="F90" s="1">
        <v>42975</v>
      </c>
      <c r="G90" t="s">
        <v>25</v>
      </c>
      <c r="H90" t="s">
        <v>70</v>
      </c>
    </row>
    <row r="91" spans="1:8">
      <c r="A91" t="s">
        <v>214</v>
      </c>
      <c r="B91" t="s">
        <v>215</v>
      </c>
      <c r="C91" t="s">
        <v>37</v>
      </c>
      <c r="D91" t="s">
        <v>78</v>
      </c>
      <c r="E91">
        <v>496000</v>
      </c>
      <c r="F91" s="1">
        <v>45764</v>
      </c>
      <c r="G91" t="s">
        <v>12</v>
      </c>
      <c r="H91" t="s">
        <v>42</v>
      </c>
    </row>
    <row r="92" spans="1:8">
      <c r="A92" t="s">
        <v>216</v>
      </c>
      <c r="B92" t="s">
        <v>217</v>
      </c>
      <c r="C92" t="s">
        <v>45</v>
      </c>
      <c r="D92" t="s">
        <v>46</v>
      </c>
      <c r="E92">
        <v>414000</v>
      </c>
      <c r="F92" s="1">
        <v>43731</v>
      </c>
      <c r="G92" t="s">
        <v>25</v>
      </c>
      <c r="H92" t="s">
        <v>70</v>
      </c>
    </row>
    <row r="93" spans="1:8">
      <c r="A93" t="s">
        <v>218</v>
      </c>
      <c r="B93" t="s">
        <v>219</v>
      </c>
      <c r="C93" t="s">
        <v>20</v>
      </c>
      <c r="D93" t="s">
        <v>34</v>
      </c>
      <c r="E93">
        <v>568000</v>
      </c>
      <c r="F93" s="1">
        <v>43091</v>
      </c>
      <c r="G93" t="s">
        <v>12</v>
      </c>
      <c r="H93" t="s">
        <v>70</v>
      </c>
    </row>
    <row r="94" spans="1:8">
      <c r="A94" t="s">
        <v>220</v>
      </c>
      <c r="B94" t="s">
        <v>221</v>
      </c>
      <c r="C94" t="s">
        <v>45</v>
      </c>
      <c r="D94" t="s">
        <v>58</v>
      </c>
      <c r="E94">
        <v>709000</v>
      </c>
      <c r="F94" s="1">
        <v>45987</v>
      </c>
      <c r="G94" t="s">
        <v>25</v>
      </c>
      <c r="H94" t="s">
        <v>42</v>
      </c>
    </row>
    <row r="95" spans="1:8">
      <c r="A95" t="s">
        <v>222</v>
      </c>
      <c r="B95" t="s">
        <v>223</v>
      </c>
      <c r="C95" t="s">
        <v>10</v>
      </c>
      <c r="D95" t="s">
        <v>139</v>
      </c>
      <c r="E95">
        <v>897000</v>
      </c>
      <c r="F95" s="1">
        <v>45902</v>
      </c>
      <c r="G95" t="s">
        <v>12</v>
      </c>
      <c r="H95" t="s">
        <v>70</v>
      </c>
    </row>
    <row r="96" spans="1:8">
      <c r="A96" t="s">
        <v>224</v>
      </c>
      <c r="B96" t="s">
        <v>225</v>
      </c>
      <c r="C96" t="s">
        <v>20</v>
      </c>
      <c r="D96" t="s">
        <v>63</v>
      </c>
      <c r="E96">
        <v>552000</v>
      </c>
      <c r="F96" s="1">
        <v>45175</v>
      </c>
      <c r="G96" t="s">
        <v>12</v>
      </c>
      <c r="H96" t="s">
        <v>70</v>
      </c>
    </row>
    <row r="97" spans="1:8">
      <c r="A97" t="s">
        <v>226</v>
      </c>
      <c r="B97" t="s">
        <v>227</v>
      </c>
      <c r="C97" t="s">
        <v>10</v>
      </c>
      <c r="D97" t="s">
        <v>51</v>
      </c>
      <c r="E97">
        <v>546000</v>
      </c>
      <c r="F97" s="1">
        <v>45119</v>
      </c>
      <c r="G97" t="s">
        <v>12</v>
      </c>
      <c r="H97" t="s">
        <v>70</v>
      </c>
    </row>
    <row r="98" spans="1:8">
      <c r="A98" t="s">
        <v>228</v>
      </c>
      <c r="B98" t="s">
        <v>229</v>
      </c>
      <c r="C98" t="s">
        <v>10</v>
      </c>
      <c r="D98" t="s">
        <v>51</v>
      </c>
      <c r="E98">
        <v>459000</v>
      </c>
      <c r="F98" s="1">
        <v>45143</v>
      </c>
      <c r="G98" t="s">
        <v>12</v>
      </c>
      <c r="H98" t="s">
        <v>70</v>
      </c>
    </row>
    <row r="99" spans="1:8">
      <c r="A99" t="s">
        <v>230</v>
      </c>
      <c r="B99" t="s">
        <v>231</v>
      </c>
      <c r="C99" t="s">
        <v>16</v>
      </c>
      <c r="D99" t="s">
        <v>95</v>
      </c>
      <c r="E99">
        <v>569000</v>
      </c>
      <c r="F99" s="1">
        <v>45481</v>
      </c>
      <c r="G99" t="s">
        <v>25</v>
      </c>
      <c r="H99" t="s">
        <v>28</v>
      </c>
    </row>
    <row r="100" spans="1:8">
      <c r="A100" t="s">
        <v>232</v>
      </c>
      <c r="B100" t="s">
        <v>233</v>
      </c>
      <c r="C100" t="s">
        <v>10</v>
      </c>
      <c r="D100" t="s">
        <v>11</v>
      </c>
      <c r="E100">
        <v>877000</v>
      </c>
      <c r="F100" s="1">
        <v>44344</v>
      </c>
      <c r="G100" t="s">
        <v>12</v>
      </c>
      <c r="H100" t="s">
        <v>13</v>
      </c>
    </row>
    <row r="101" spans="1:8">
      <c r="A101" t="s">
        <v>234</v>
      </c>
      <c r="B101" t="s">
        <v>235</v>
      </c>
      <c r="C101" t="s">
        <v>37</v>
      </c>
      <c r="D101" t="s">
        <v>117</v>
      </c>
      <c r="E101">
        <v>394000</v>
      </c>
      <c r="F101" s="1">
        <v>45063</v>
      </c>
      <c r="G101" t="s">
        <v>25</v>
      </c>
      <c r="H101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73110-BB8B-4B2A-98E6-3F84D910EA0C}">
  <dimension ref="A2:E14"/>
  <sheetViews>
    <sheetView workbookViewId="0">
      <selection activeCell="G18" sqref="G18"/>
    </sheetView>
  </sheetViews>
  <sheetFormatPr defaultColWidth="11.42578125" defaultRowHeight="14.45"/>
  <cols>
    <col min="1" max="1" width="19.5703125" bestFit="1" customWidth="1"/>
    <col min="2" max="2" width="12.140625" bestFit="1" customWidth="1"/>
    <col min="3" max="3" width="14.42578125" bestFit="1" customWidth="1"/>
    <col min="4" max="4" width="17.140625" bestFit="1" customWidth="1"/>
    <col min="5" max="5" width="15.85546875" bestFit="1" customWidth="1"/>
  </cols>
  <sheetData>
    <row r="2" spans="1:5">
      <c r="A2" s="2" t="s">
        <v>236</v>
      </c>
      <c r="B2" t="s">
        <v>237</v>
      </c>
      <c r="C2" t="s">
        <v>238</v>
      </c>
      <c r="D2" t="s">
        <v>239</v>
      </c>
      <c r="E2" t="s">
        <v>240</v>
      </c>
    </row>
    <row r="3" spans="1:5">
      <c r="A3" s="3" t="s">
        <v>20</v>
      </c>
      <c r="B3">
        <v>23</v>
      </c>
      <c r="C3">
        <v>814000</v>
      </c>
      <c r="D3">
        <v>491565.21739130432</v>
      </c>
      <c r="E3">
        <v>11306000</v>
      </c>
    </row>
    <row r="4" spans="1:5">
      <c r="A4" s="3" t="s">
        <v>241</v>
      </c>
      <c r="B4">
        <v>23</v>
      </c>
      <c r="C4">
        <v>814000</v>
      </c>
      <c r="D4">
        <v>491565.21739130432</v>
      </c>
      <c r="E4">
        <v>11306000</v>
      </c>
    </row>
    <row r="11" spans="1:5">
      <c r="A11" s="9" t="s">
        <v>242</v>
      </c>
      <c r="B11" s="9"/>
      <c r="C11" s="9"/>
    </row>
    <row r="12" spans="1:5">
      <c r="A12" s="8" t="s">
        <v>243</v>
      </c>
      <c r="B12" s="8"/>
      <c r="C12" s="4">
        <f>GETPIVOTDATA("Nombre de ID",$A$2)</f>
        <v>23</v>
      </c>
    </row>
    <row r="13" spans="1:5">
      <c r="A13" s="8" t="s">
        <v>244</v>
      </c>
      <c r="B13" s="8"/>
      <c r="C13" s="4">
        <f>GETPIVOTDATA("Moyenne de Salaire",$A$2)</f>
        <v>491565.21739130432</v>
      </c>
    </row>
    <row r="14" spans="1:5">
      <c r="A14" s="8" t="s">
        <v>245</v>
      </c>
      <c r="B14" s="8"/>
      <c r="C14" s="4">
        <f>GETPIVOTDATA("Max. de Salaire2",$A$2)</f>
        <v>814000</v>
      </c>
    </row>
  </sheetData>
  <mergeCells count="4">
    <mergeCell ref="A12:B12"/>
    <mergeCell ref="A13:B13"/>
    <mergeCell ref="A14:B14"/>
    <mergeCell ref="A11:C11"/>
  </mergeCells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1D05-1565-45A5-B754-CA9C9CD5F2F9}">
  <dimension ref="A1:I55"/>
  <sheetViews>
    <sheetView tabSelected="1" topLeftCell="A12" workbookViewId="0">
      <selection activeCell="I7" sqref="I7"/>
    </sheetView>
  </sheetViews>
  <sheetFormatPr defaultColWidth="11.42578125" defaultRowHeight="14.45"/>
  <cols>
    <col min="1" max="1" width="19.5703125" bestFit="1" customWidth="1"/>
    <col min="2" max="3" width="12.140625" bestFit="1" customWidth="1"/>
    <col min="4" max="4" width="13.42578125" bestFit="1" customWidth="1"/>
    <col min="6" max="7" width="19.5703125" bestFit="1" customWidth="1"/>
    <col min="8" max="8" width="17.140625" bestFit="1" customWidth="1"/>
    <col min="9" max="9" width="13.42578125" bestFit="1" customWidth="1"/>
    <col min="10" max="10" width="17.140625" bestFit="1" customWidth="1"/>
  </cols>
  <sheetData>
    <row r="1" spans="1:8" ht="14.45" customHeight="1">
      <c r="A1" s="6" t="s">
        <v>246</v>
      </c>
      <c r="B1" s="6"/>
      <c r="C1" s="6"/>
      <c r="D1" s="6"/>
      <c r="E1" s="6"/>
      <c r="F1" s="6"/>
      <c r="G1" s="6"/>
      <c r="H1" s="6"/>
    </row>
    <row r="2" spans="1:8" ht="14.45" customHeight="1">
      <c r="A2" s="6"/>
      <c r="B2" s="6"/>
      <c r="C2" s="6"/>
      <c r="D2" s="6"/>
      <c r="E2" s="6"/>
      <c r="F2" s="6"/>
      <c r="G2" s="6"/>
      <c r="H2" s="6"/>
    </row>
    <row r="3" spans="1:8" ht="14.45" customHeight="1">
      <c r="A3" s="6"/>
      <c r="B3" s="6"/>
      <c r="C3" s="6"/>
      <c r="D3" s="6"/>
      <c r="E3" s="6"/>
      <c r="F3" s="6"/>
      <c r="G3" s="6"/>
      <c r="H3" s="6"/>
    </row>
    <row r="4" spans="1:8">
      <c r="A4" s="5" t="s">
        <v>247</v>
      </c>
      <c r="B4" s="5"/>
      <c r="C4" s="5" t="s">
        <v>248</v>
      </c>
      <c r="D4" s="5"/>
      <c r="E4" s="5" t="s">
        <v>245</v>
      </c>
      <c r="F4" s="5"/>
      <c r="G4" s="5" t="s">
        <v>249</v>
      </c>
      <c r="H4" s="5"/>
    </row>
    <row r="5" spans="1:8">
      <c r="A5" s="5"/>
      <c r="B5" s="5"/>
      <c r="C5" s="5"/>
      <c r="D5" s="5"/>
      <c r="E5" s="5"/>
      <c r="F5" s="5"/>
      <c r="G5" s="5"/>
      <c r="H5" s="5"/>
    </row>
    <row r="6" spans="1:8">
      <c r="A6" s="7">
        <f>GETPIVOTDATA("Nombre de ID",$F$25)</f>
        <v>100</v>
      </c>
      <c r="B6" s="7"/>
      <c r="C6" s="7">
        <f>GETPIVOTDATA("Moyenne de Salaire",$F$25)</f>
        <v>551520</v>
      </c>
      <c r="D6" s="7"/>
      <c r="E6" s="7">
        <f>GETPIVOTDATA("Max. de Salaire",$F$25)</f>
        <v>897000</v>
      </c>
      <c r="F6" s="7"/>
      <c r="G6" s="7" cm="1">
        <f t="array" ref="G6">SUMPRODUCT((F26:F30&lt;&gt;"")*(F26:F30&lt;&gt;"Total général"))</f>
        <v>5</v>
      </c>
      <c r="H6" s="7"/>
    </row>
    <row r="7" spans="1:8">
      <c r="A7" s="7"/>
      <c r="B7" s="7"/>
      <c r="C7" s="7"/>
      <c r="D7" s="7"/>
      <c r="E7" s="7"/>
      <c r="F7" s="7"/>
      <c r="G7" s="7"/>
      <c r="H7" s="7"/>
    </row>
    <row r="25" spans="1:9">
      <c r="F25" s="2" t="s">
        <v>236</v>
      </c>
      <c r="G25" t="s">
        <v>237</v>
      </c>
      <c r="H25" t="s">
        <v>239</v>
      </c>
      <c r="I25" t="s">
        <v>250</v>
      </c>
    </row>
    <row r="26" spans="1:9">
      <c r="A26" s="2" t="s">
        <v>236</v>
      </c>
      <c r="B26" t="s">
        <v>237</v>
      </c>
      <c r="F26" s="3" t="s">
        <v>20</v>
      </c>
      <c r="G26">
        <v>23</v>
      </c>
      <c r="H26">
        <v>491565.21739130432</v>
      </c>
      <c r="I26">
        <v>814000</v>
      </c>
    </row>
    <row r="27" spans="1:9">
      <c r="A27" s="3" t="s">
        <v>25</v>
      </c>
      <c r="B27">
        <v>44</v>
      </c>
      <c r="F27" s="3" t="s">
        <v>10</v>
      </c>
      <c r="G27">
        <v>26</v>
      </c>
      <c r="H27">
        <v>606076.92307692312</v>
      </c>
      <c r="I27">
        <v>897000</v>
      </c>
    </row>
    <row r="28" spans="1:9">
      <c r="A28" s="3" t="s">
        <v>12</v>
      </c>
      <c r="B28">
        <v>56</v>
      </c>
      <c r="F28" s="3" t="s">
        <v>37</v>
      </c>
      <c r="G28">
        <v>18</v>
      </c>
      <c r="H28">
        <v>525944.4444444445</v>
      </c>
      <c r="I28">
        <v>849000</v>
      </c>
    </row>
    <row r="29" spans="1:9">
      <c r="A29" s="3" t="s">
        <v>241</v>
      </c>
      <c r="B29">
        <v>100</v>
      </c>
      <c r="F29" s="3" t="s">
        <v>45</v>
      </c>
      <c r="G29">
        <v>18</v>
      </c>
      <c r="H29">
        <v>509055.55555555556</v>
      </c>
      <c r="I29">
        <v>851000</v>
      </c>
    </row>
    <row r="30" spans="1:9">
      <c r="F30" s="3" t="s">
        <v>16</v>
      </c>
      <c r="G30">
        <v>15</v>
      </c>
      <c r="H30">
        <v>630533.33333333337</v>
      </c>
      <c r="I30">
        <v>875000</v>
      </c>
    </row>
    <row r="31" spans="1:9">
      <c r="F31" s="3" t="s">
        <v>241</v>
      </c>
      <c r="G31">
        <v>100</v>
      </c>
      <c r="H31">
        <v>551520</v>
      </c>
      <c r="I31">
        <v>897000</v>
      </c>
    </row>
    <row r="49" spans="1:8">
      <c r="A49" s="2" t="s">
        <v>236</v>
      </c>
      <c r="B49" t="s">
        <v>237</v>
      </c>
      <c r="G49" s="2" t="s">
        <v>236</v>
      </c>
      <c r="H49" t="s">
        <v>239</v>
      </c>
    </row>
    <row r="50" spans="1:8">
      <c r="A50" s="3" t="s">
        <v>13</v>
      </c>
      <c r="B50">
        <v>20</v>
      </c>
      <c r="G50" s="3" t="s">
        <v>20</v>
      </c>
      <c r="H50">
        <v>491565.21739130432</v>
      </c>
    </row>
    <row r="51" spans="1:8">
      <c r="A51" s="3" t="s">
        <v>28</v>
      </c>
      <c r="B51">
        <v>22</v>
      </c>
      <c r="G51" s="3" t="s">
        <v>10</v>
      </c>
      <c r="H51">
        <v>606076.92307692312</v>
      </c>
    </row>
    <row r="52" spans="1:8">
      <c r="A52" s="3" t="s">
        <v>22</v>
      </c>
      <c r="B52">
        <v>16</v>
      </c>
      <c r="G52" s="3" t="s">
        <v>37</v>
      </c>
      <c r="H52">
        <v>525944.4444444445</v>
      </c>
    </row>
    <row r="53" spans="1:8">
      <c r="A53" s="3" t="s">
        <v>70</v>
      </c>
      <c r="B53">
        <v>21</v>
      </c>
      <c r="G53" s="3" t="s">
        <v>45</v>
      </c>
      <c r="H53">
        <v>509055.55555555556</v>
      </c>
    </row>
    <row r="54" spans="1:8">
      <c r="A54" s="3" t="s">
        <v>42</v>
      </c>
      <c r="B54">
        <v>21</v>
      </c>
      <c r="G54" s="3" t="s">
        <v>16</v>
      </c>
      <c r="H54">
        <v>630533.33333333337</v>
      </c>
    </row>
    <row r="55" spans="1:8">
      <c r="A55" s="3" t="s">
        <v>241</v>
      </c>
      <c r="B55">
        <v>100</v>
      </c>
      <c r="G55" s="3" t="s">
        <v>241</v>
      </c>
      <c r="H55">
        <v>551520</v>
      </c>
    </row>
  </sheetData>
  <mergeCells count="9">
    <mergeCell ref="G4:H5"/>
    <mergeCell ref="A1:H3"/>
    <mergeCell ref="A6:B7"/>
    <mergeCell ref="C6:D7"/>
    <mergeCell ref="E6:F7"/>
    <mergeCell ref="G6:H7"/>
    <mergeCell ref="A4:B5"/>
    <mergeCell ref="C4:D5"/>
    <mergeCell ref="E4:F5"/>
  </mergeCells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2A95362FCD2F045A90AC8F1353BDC4F" ma:contentTypeVersion="10" ma:contentTypeDescription="Create a new document." ma:contentTypeScope="" ma:versionID="ce95068a7db28f007d0b4d8f9e6a86d3">
  <xsd:schema xmlns:xsd="http://www.w3.org/2001/XMLSchema" xmlns:xs="http://www.w3.org/2001/XMLSchema" xmlns:p="http://schemas.microsoft.com/office/2006/metadata/properties" xmlns:ns3="0dfa540a-0553-45cb-9dd6-39e04ab229e6" targetNamespace="http://schemas.microsoft.com/office/2006/metadata/properties" ma:root="true" ma:fieldsID="63e81f91ec2b4831a6892c8fd3e7e29e" ns3:_="">
    <xsd:import namespace="0dfa540a-0553-45cb-9dd6-39e04ab229e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BillingMetadata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fa540a-0553-45cb-9dd6-39e04ab229e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BillingMetadata" ma:index="16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07FF1957-8B7C-412B-8EC0-792FB4512B8D}"/>
</file>

<file path=customXml/itemProps2.xml><?xml version="1.0" encoding="utf-8"?>
<ds:datastoreItem xmlns:ds="http://schemas.openxmlformats.org/officeDocument/2006/customXml" ds:itemID="{44EEAACA-2760-41B4-BE9A-6A6D6F557E26}"/>
</file>

<file path=customXml/itemProps3.xml><?xml version="1.0" encoding="utf-8"?>
<ds:datastoreItem xmlns:ds="http://schemas.openxmlformats.org/officeDocument/2006/customXml" ds:itemID="{EA4BB39C-14D7-4DD5-982F-DEAD8623B5DF}"/>
</file>

<file path=customXml/itemProps4.xml><?xml version="1.0" encoding="utf-8"?>
<ds:datastoreItem xmlns:ds="http://schemas.openxmlformats.org/officeDocument/2006/customXml" ds:itemID="{578A4214-6FD2-4FCB-BEB5-C80FA3E6D5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MBAYE Ndeye Khady</dc:creator>
  <cp:keywords/>
  <dc:description/>
  <cp:lastModifiedBy/>
  <cp:revision/>
  <dcterms:created xsi:type="dcterms:W3CDTF">2026-09-18T23:56:21Z</dcterms:created>
  <dcterms:modified xsi:type="dcterms:W3CDTF">2026-09-27T01:38:46Z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0x01010002A95362FCD2F045A90AC8F1353BDC4F</vt:lpwstr>
  </property>
</Properties>
</file>