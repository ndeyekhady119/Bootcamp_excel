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77BD9A75-7250-4BB3-92D1-5616E3FF36AB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Data_Brute" sheetId="1" r:id="rId1"/>
    <sheet name="Builletin scolai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</calcChain>
</file>

<file path=xl/sharedStrings.xml><?xml version="1.0" encoding="utf-8"?>
<sst xmlns="http://schemas.openxmlformats.org/spreadsheetml/2006/main" count="64" uniqueCount="61">
  <si>
    <t xml:space="preserve">BULLETIN DES ÉTUDIANTS — BOOTCAMP DATA </t>
  </si>
  <si>
    <t>Colonne1</t>
  </si>
  <si>
    <t>Nom</t>
  </si>
  <si>
    <t>Math</t>
  </si>
  <si>
    <t>Excel</t>
  </si>
  <si>
    <t>Python</t>
  </si>
  <si>
    <t>Presence</t>
  </si>
  <si>
    <t>Frais_payes</t>
  </si>
  <si>
    <t>Date_inscription</t>
  </si>
  <si>
    <t>ST001</t>
  </si>
  <si>
    <t>Awa Ndiaye</t>
  </si>
  <si>
    <t>ST002</t>
  </si>
  <si>
    <t>Mamadou Diop</t>
  </si>
  <si>
    <t>ST003</t>
  </si>
  <si>
    <t>Fatou Fall</t>
  </si>
  <si>
    <t>ST004</t>
  </si>
  <si>
    <t>Ibrahima Ba</t>
  </si>
  <si>
    <t>ST005</t>
  </si>
  <si>
    <t>Mariama Sow</t>
  </si>
  <si>
    <t>ST006</t>
  </si>
  <si>
    <t>Cheikh Seck</t>
  </si>
  <si>
    <t>ST007</t>
  </si>
  <si>
    <t>Aminata Diallo</t>
  </si>
  <si>
    <t>ST008</t>
  </si>
  <si>
    <t>Ousmane Kane</t>
  </si>
  <si>
    <t>ST009</t>
  </si>
  <si>
    <t>Khadija Sy</t>
  </si>
  <si>
    <t>ST010</t>
  </si>
  <si>
    <t>Babacar Faye</t>
  </si>
  <si>
    <t>ST011</t>
  </si>
  <si>
    <t>Rokhaya Gueye</t>
  </si>
  <si>
    <t>ST012</t>
  </si>
  <si>
    <t>Moustapha Ndour</t>
  </si>
  <si>
    <t>ST013</t>
  </si>
  <si>
    <t>Sokhna Mbaye</t>
  </si>
  <si>
    <t>ST014</t>
  </si>
  <si>
    <t>Abdoulaye Sarr</t>
  </si>
  <si>
    <t>ST015</t>
  </si>
  <si>
    <t>Ndeye Fatou Diop</t>
  </si>
  <si>
    <t>ST016</t>
  </si>
  <si>
    <t>Alioune Badara</t>
  </si>
  <si>
    <t>ST017</t>
  </si>
  <si>
    <t>Coumba Sene</t>
  </si>
  <si>
    <t>ST018</t>
  </si>
  <si>
    <t>Pape Demba</t>
  </si>
  <si>
    <t>ST019</t>
  </si>
  <si>
    <t>Astou Cisse</t>
  </si>
  <si>
    <t>ST020</t>
  </si>
  <si>
    <t>Moussa Camara</t>
  </si>
  <si>
    <t xml:space="preserve">BULLETIN SCOLAIRE </t>
  </si>
  <si>
    <t>Nom de l'étudiant:        Ndeye Khady MBAYE</t>
  </si>
  <si>
    <t>ID étudiant:                     ST021</t>
  </si>
  <si>
    <t>Matière</t>
  </si>
  <si>
    <t>Note</t>
  </si>
  <si>
    <t>Moyenne</t>
  </si>
  <si>
    <t>Informations complémentaires </t>
  </si>
  <si>
    <t>Présence :</t>
  </si>
  <si>
    <t>Frais payés :</t>
  </si>
  <si>
    <t>75 000 FCFA</t>
  </si>
  <si>
    <t>Date d'inscription :</t>
  </si>
  <si>
    <t>15/01/2026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</si>
</sst>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[$CFA-280C]_-;\-* #,##0\ [$CFA-280C]_-;_-* &quot;-&quot;\ [$CFA-280C]_-;_-@_-"/>
    <numFmt numFmtId="165" formatCode="dd/mm/yy;@"/>
  </numFmts>
  <fonts count="12">
    <font>
      <sz val="11"/>
      <color theme="1"/>
      <name val="Calibri"/>
      <family val="2"/>
      <scheme val="minor"/>
    </font>
    <font>
      <b/>
      <sz val="12"/>
      <name val="Times New Roman"/>
    </font>
    <font>
      <sz val="12"/>
      <color theme="1"/>
      <name val="Times New Roman"/>
    </font>
    <font>
      <b/>
      <sz val="18"/>
      <color rgb="FF000000"/>
      <name val="Times New Roman"/>
    </font>
    <font>
      <sz val="11"/>
      <color rgb="FF000000"/>
      <name val="Times New Roman"/>
    </font>
    <font>
      <sz val="11"/>
      <color rgb="FF000000"/>
      <name val="Calibri"/>
      <family val="2"/>
      <scheme val="minor"/>
    </font>
    <font>
      <b/>
      <sz val="11"/>
      <color rgb="FF000000"/>
      <name val="Times New Roman"/>
    </font>
    <font>
      <sz val="11"/>
      <color theme="1"/>
      <name val="Times New Roman"/>
    </font>
    <font>
      <b/>
      <sz val="12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2"/>
      <color rgb="FF000000"/>
      <name val="Times New Roman"/>
    </font>
    <font>
      <b/>
      <sz val="11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 applyAlignment="1">
      <alignment horizontal="left"/>
    </xf>
    <xf numFmtId="43" fontId="2" fillId="2" borderId="0" xfId="0" applyNumberFormat="1" applyFont="1" applyFill="1" applyAlignment="1">
      <alignment horizontal="left"/>
    </xf>
    <xf numFmtId="9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left"/>
    </xf>
    <xf numFmtId="165" fontId="2" fillId="2" borderId="0" xfId="0" applyNumberFormat="1" applyFont="1" applyFill="1" applyAlignment="1">
      <alignment horizontal="center"/>
    </xf>
    <xf numFmtId="0" fontId="1" fillId="3" borderId="1" xfId="0" applyFont="1" applyFill="1" applyBorder="1" applyAlignment="1">
      <alignment horizontal="left" vertical="top"/>
    </xf>
    <xf numFmtId="0" fontId="5" fillId="0" borderId="0" xfId="0" applyFont="1"/>
    <xf numFmtId="0" fontId="4" fillId="0" borderId="0" xfId="0" applyFont="1"/>
    <xf numFmtId="0" fontId="6" fillId="4" borderId="2" xfId="0" applyFont="1" applyFill="1" applyBorder="1" applyAlignment="1">
      <alignment horizontal="center"/>
    </xf>
    <xf numFmtId="43" fontId="7" fillId="0" borderId="2" xfId="0" applyNumberFormat="1" applyFont="1" applyBorder="1" applyAlignment="1">
      <alignment horizontal="right"/>
    </xf>
    <xf numFmtId="9" fontId="0" fillId="0" borderId="2" xfId="0" applyNumberFormat="1" applyBorder="1"/>
    <xf numFmtId="0" fontId="9" fillId="0" borderId="2" xfId="0" applyFont="1" applyBorder="1" applyAlignment="1">
      <alignment horizontal="right"/>
    </xf>
    <xf numFmtId="0" fontId="7" fillId="0" borderId="9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43" fontId="11" fillId="0" borderId="10" xfId="0" applyNumberFormat="1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2" xfId="0" applyFont="1" applyFill="1" applyBorder="1" applyAlignment="1">
      <alignment horizontal="left" readingOrder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7" fillId="0" borderId="2" xfId="0" applyFont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2">
    <dxf>
      <font>
        <sz val="12"/>
        <name val="Times New Roman"/>
      </font>
      <numFmt numFmtId="165" formatCode="dd/mm/yy;@"/>
      <fill>
        <patternFill patternType="solid">
          <fgColor indexed="64"/>
          <bgColor theme="6" tint="0.39997558519241921"/>
        </patternFill>
      </fill>
      <alignment horizontal="center"/>
    </dxf>
    <dxf>
      <font>
        <sz val="12"/>
        <name val="Times New Roman"/>
      </font>
      <numFmt numFmtId="164" formatCode="_-* #,##0\ [$CFA-280C]_-;\-* #,##0\ [$CFA-280C]_-;_-* &quot;-&quot;\ [$CFA-280C]_-;_-@_-"/>
      <fill>
        <patternFill patternType="solid">
          <fgColor indexed="64"/>
          <bgColor theme="6" tint="0.39997558519241921"/>
        </patternFill>
      </fill>
      <alignment horizontal="left"/>
    </dxf>
    <dxf>
      <font>
        <sz val="12"/>
        <name val="Times New Roman"/>
      </font>
      <numFmt numFmtId="13" formatCode="0%"/>
      <fill>
        <patternFill patternType="solid">
          <fgColor indexed="64"/>
          <bgColor theme="6" tint="0.39997558519241921"/>
        </patternFill>
      </fill>
      <alignment horizontal="center"/>
    </dxf>
    <dxf>
      <font>
        <sz val="12"/>
        <name val="Times New Roman"/>
      </font>
      <numFmt numFmtId="35" formatCode="_(* #,##0.00_);_(* \(#,##0.00\);_(* &quot;-&quot;??_);_(@_)"/>
      <fill>
        <patternFill patternType="solid">
          <fgColor indexed="64"/>
          <bgColor theme="6" tint="0.39997558519241921"/>
        </patternFill>
      </fill>
      <alignment horizontal="left"/>
    </dxf>
    <dxf>
      <font>
        <sz val="12"/>
        <name val="Times New Roman"/>
      </font>
      <numFmt numFmtId="35" formatCode="_(* #,##0.00_);_(* \(#,##0.00\);_(* &quot;-&quot;??_);_(@_)"/>
      <fill>
        <patternFill patternType="solid">
          <fgColor indexed="64"/>
          <bgColor theme="6" tint="0.39997558519241921"/>
        </patternFill>
      </fill>
      <alignment horizontal="left"/>
    </dxf>
    <dxf>
      <font>
        <sz val="12"/>
        <name val="Times New Roman"/>
      </font>
      <numFmt numFmtId="35" formatCode="_(* #,##0.00_);_(* \(#,##0.00\);_(* &quot;-&quot;??_);_(@_)"/>
      <fill>
        <patternFill patternType="solid">
          <fgColor indexed="64"/>
          <bgColor theme="6" tint="0.39997558519241921"/>
        </patternFill>
      </fill>
      <alignment horizontal="left"/>
    </dxf>
    <dxf>
      <font>
        <sz val="12"/>
        <name val="Times New Roman"/>
      </font>
      <fill>
        <patternFill patternType="solid">
          <fgColor indexed="64"/>
          <bgColor theme="6" tint="0.39997558519241921"/>
        </patternFill>
      </fill>
      <alignment horizontal="left"/>
    </dxf>
    <dxf>
      <font>
        <sz val="12"/>
        <name val="Times New Roman"/>
      </font>
      <fill>
        <patternFill patternType="solid">
          <fgColor indexed="64"/>
          <bgColor theme="6" tint="0.39997558519241921"/>
        </patternFill>
      </fill>
      <alignment horizontal="left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sz val="12"/>
        <name val="Times New Roman"/>
      </font>
      <fill>
        <patternFill patternType="solid">
          <fgColor indexed="64"/>
          <bgColor theme="6" tint="0.39997558519241921"/>
        </patternFill>
      </fill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6" tint="-0.249977111117893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B38AC1-F52B-4C14-AD92-01249CF4B11F}" name="Tableau1" displayName="Tableau1" ref="A4:H24" totalsRowShown="0" headerRowDxfId="11" dataDxfId="10" headerRowBorderDxfId="8" tableBorderDxfId="9">
  <autoFilter ref="A4:H24" xr:uid="{8EB38AC1-F52B-4C14-AD92-01249CF4B1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956DF5E-002C-44DB-A9FF-F8D9E47051D5}" name="Colonne1" dataDxfId="7"/>
    <tableColumn id="2" xr3:uid="{8FC952D0-B127-4567-99FE-5E6B993E6555}" name="Nom" dataDxfId="6"/>
    <tableColumn id="3" xr3:uid="{8CB653E1-9E81-41F6-829D-CB6CEF821D6D}" name="Math" dataDxfId="5"/>
    <tableColumn id="4" xr3:uid="{50BE5F65-9A00-4DF9-B76A-613D318ED753}" name="Excel" dataDxfId="4"/>
    <tableColumn id="5" xr3:uid="{5326E151-6C63-40F8-B517-A2733EF90096}" name="Python" dataDxfId="3"/>
    <tableColumn id="6" xr3:uid="{04500B3C-DD98-4DC5-98D1-CDDB02680AD2}" name="Presence" dataDxfId="2"/>
    <tableColumn id="7" xr3:uid="{AE437E04-0485-4592-A8ED-FDBE52860AF8}" name="Frais_payes" dataDxfId="1"/>
    <tableColumn id="8" xr3:uid="{D35CE088-AFCC-482F-B54A-1D03890A8298}" name="Date_inscripti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opLeftCell="A6" workbookViewId="0">
      <selection activeCell="I7" sqref="I7"/>
    </sheetView>
  </sheetViews>
  <sheetFormatPr defaultRowHeight="15"/>
  <cols>
    <col min="1" max="1" width="9.42578125" customWidth="1"/>
    <col min="2" max="2" width="19.5703125" customWidth="1"/>
    <col min="5" max="5" width="9.7109375" bestFit="1" customWidth="1"/>
    <col min="6" max="6" width="11.42578125" bestFit="1" customWidth="1"/>
    <col min="7" max="7" width="17" bestFit="1" customWidth="1"/>
    <col min="8" max="8" width="18.28515625" bestFit="1" customWidth="1"/>
  </cols>
  <sheetData>
    <row r="1" spans="1:8" ht="15" customHeight="1">
      <c r="A1" s="36" t="s">
        <v>0</v>
      </c>
      <c r="B1" s="36"/>
      <c r="C1" s="36"/>
      <c r="D1" s="36"/>
      <c r="E1" s="36"/>
      <c r="F1" s="36"/>
      <c r="G1" s="36"/>
      <c r="H1" s="36"/>
    </row>
    <row r="2" spans="1:8" ht="15" customHeight="1">
      <c r="A2" s="36"/>
      <c r="B2" s="36"/>
      <c r="C2" s="36"/>
      <c r="D2" s="36"/>
      <c r="E2" s="36"/>
      <c r="F2" s="36"/>
      <c r="G2" s="36"/>
      <c r="H2" s="36"/>
    </row>
    <row r="3" spans="1:8" ht="15" customHeight="1">
      <c r="A3" s="36"/>
      <c r="B3" s="36"/>
      <c r="C3" s="36"/>
      <c r="D3" s="36"/>
      <c r="E3" s="36"/>
      <c r="F3" s="36"/>
      <c r="G3" s="36"/>
      <c r="H3" s="36"/>
    </row>
    <row r="4" spans="1:8" ht="15.75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</row>
    <row r="5" spans="1:8" ht="15.75">
      <c r="A5" s="1" t="s">
        <v>9</v>
      </c>
      <c r="B5" s="1" t="s">
        <v>10</v>
      </c>
      <c r="C5" s="2">
        <v>15.5</v>
      </c>
      <c r="D5" s="2">
        <v>16.75</v>
      </c>
      <c r="E5" s="2">
        <v>14</v>
      </c>
      <c r="F5" s="3">
        <v>0.95</v>
      </c>
      <c r="G5" s="4">
        <v>75000</v>
      </c>
      <c r="H5" s="5">
        <v>46037</v>
      </c>
    </row>
    <row r="6" spans="1:8" ht="15.75">
      <c r="A6" s="1" t="s">
        <v>11</v>
      </c>
      <c r="B6" s="1" t="s">
        <v>12</v>
      </c>
      <c r="C6" s="2">
        <v>12</v>
      </c>
      <c r="D6" s="2">
        <v>14.5</v>
      </c>
      <c r="E6" s="2">
        <v>16.25</v>
      </c>
      <c r="F6" s="3">
        <v>0.87</v>
      </c>
      <c r="G6" s="4">
        <v>100000</v>
      </c>
      <c r="H6" s="5">
        <v>45932</v>
      </c>
    </row>
    <row r="7" spans="1:8" ht="15.75">
      <c r="A7" s="1" t="s">
        <v>13</v>
      </c>
      <c r="B7" s="1" t="s">
        <v>14</v>
      </c>
      <c r="C7" s="2">
        <v>18.25</v>
      </c>
      <c r="D7" s="2">
        <v>15</v>
      </c>
      <c r="E7" s="2">
        <v>17.5</v>
      </c>
      <c r="F7" s="3">
        <v>0.92</v>
      </c>
      <c r="G7" s="4">
        <v>85000</v>
      </c>
      <c r="H7" s="5">
        <v>46073</v>
      </c>
    </row>
    <row r="8" spans="1:8" ht="15.75">
      <c r="A8" s="1" t="s">
        <v>15</v>
      </c>
      <c r="B8" s="1" t="s">
        <v>16</v>
      </c>
      <c r="C8" s="2">
        <v>9.5</v>
      </c>
      <c r="D8" s="2">
        <v>10.25</v>
      </c>
      <c r="E8" s="2">
        <v>11</v>
      </c>
      <c r="F8" s="3">
        <v>0.78</v>
      </c>
      <c r="G8" s="4">
        <v>50000</v>
      </c>
      <c r="H8" s="5">
        <v>45910</v>
      </c>
    </row>
    <row r="9" spans="1:8" ht="15.75">
      <c r="A9" s="1" t="s">
        <v>17</v>
      </c>
      <c r="B9" s="1" t="s">
        <v>18</v>
      </c>
      <c r="C9" s="2">
        <v>13.75</v>
      </c>
      <c r="D9" s="2">
        <v>17.5</v>
      </c>
      <c r="E9" s="2">
        <v>15</v>
      </c>
      <c r="F9" s="3">
        <v>0.98</v>
      </c>
      <c r="G9" s="4">
        <v>120000</v>
      </c>
      <c r="H9" s="5">
        <v>46082</v>
      </c>
    </row>
    <row r="10" spans="1:8" ht="15.75">
      <c r="A10" s="1" t="s">
        <v>19</v>
      </c>
      <c r="B10" s="1" t="s">
        <v>20</v>
      </c>
      <c r="C10" s="2">
        <v>14</v>
      </c>
      <c r="D10" s="2">
        <v>12.5</v>
      </c>
      <c r="E10" s="2">
        <v>13.25</v>
      </c>
      <c r="F10" s="3">
        <v>0.89</v>
      </c>
      <c r="G10" s="4">
        <v>90000</v>
      </c>
      <c r="H10" s="5">
        <v>45973</v>
      </c>
    </row>
    <row r="11" spans="1:8" ht="15.75">
      <c r="A11" s="1" t="s">
        <v>21</v>
      </c>
      <c r="B11" s="1" t="s">
        <v>22</v>
      </c>
      <c r="C11" s="2">
        <v>16.75</v>
      </c>
      <c r="D11" s="2">
        <v>18</v>
      </c>
      <c r="E11" s="2">
        <v>17.25</v>
      </c>
      <c r="F11" s="3">
        <v>0.97</v>
      </c>
      <c r="G11" s="4">
        <v>110000</v>
      </c>
      <c r="H11" s="5">
        <v>46030</v>
      </c>
    </row>
    <row r="12" spans="1:8" ht="15.75">
      <c r="A12" s="1" t="s">
        <v>23</v>
      </c>
      <c r="B12" s="1" t="s">
        <v>24</v>
      </c>
      <c r="C12" s="2">
        <v>11.25</v>
      </c>
      <c r="D12" s="2">
        <v>13</v>
      </c>
      <c r="E12" s="2">
        <v>12.5</v>
      </c>
      <c r="F12" s="3">
        <v>0.82</v>
      </c>
      <c r="G12" s="4">
        <v>65000</v>
      </c>
      <c r="H12" s="5">
        <v>45948</v>
      </c>
    </row>
    <row r="13" spans="1:8" ht="15.75">
      <c r="A13" s="1" t="s">
        <v>25</v>
      </c>
      <c r="B13" s="1" t="s">
        <v>26</v>
      </c>
      <c r="C13" s="2">
        <v>17</v>
      </c>
      <c r="D13" s="2">
        <v>16.25</v>
      </c>
      <c r="E13" s="2">
        <v>18.5</v>
      </c>
      <c r="F13" s="3">
        <v>0.94</v>
      </c>
      <c r="G13" s="4">
        <v>95000</v>
      </c>
      <c r="H13" s="5">
        <v>46058</v>
      </c>
    </row>
    <row r="14" spans="1:8" ht="15.75">
      <c r="A14" s="1" t="s">
        <v>27</v>
      </c>
      <c r="B14" s="1" t="s">
        <v>28</v>
      </c>
      <c r="C14" s="2">
        <v>10.5</v>
      </c>
      <c r="D14" s="2">
        <v>11.75</v>
      </c>
      <c r="E14" s="2">
        <v>9.25</v>
      </c>
      <c r="F14" s="3">
        <v>0.76</v>
      </c>
      <c r="G14" s="4">
        <v>55000</v>
      </c>
      <c r="H14" s="5">
        <v>45925</v>
      </c>
    </row>
    <row r="15" spans="1:8" ht="15.75">
      <c r="A15" s="1" t="s">
        <v>29</v>
      </c>
      <c r="B15" s="1" t="s">
        <v>30</v>
      </c>
      <c r="C15" s="2">
        <v>15.25</v>
      </c>
      <c r="D15" s="2">
        <v>14</v>
      </c>
      <c r="E15" s="2">
        <v>16.5</v>
      </c>
      <c r="F15" s="3">
        <v>0.91</v>
      </c>
      <c r="G15" s="4">
        <v>105000</v>
      </c>
      <c r="H15" s="5">
        <v>46042</v>
      </c>
    </row>
    <row r="16" spans="1:8" ht="15.75">
      <c r="A16" s="1" t="s">
        <v>31</v>
      </c>
      <c r="B16" s="1" t="s">
        <v>32</v>
      </c>
      <c r="C16" s="2">
        <v>8.75</v>
      </c>
      <c r="D16" s="2">
        <v>10.5</v>
      </c>
      <c r="E16" s="2">
        <v>12</v>
      </c>
      <c r="F16" s="3">
        <v>0.73</v>
      </c>
      <c r="G16" s="4">
        <v>45000</v>
      </c>
      <c r="H16" s="5">
        <v>45960</v>
      </c>
    </row>
    <row r="17" spans="1:8" ht="15.75">
      <c r="A17" s="1" t="s">
        <v>33</v>
      </c>
      <c r="B17" s="1" t="s">
        <v>34</v>
      </c>
      <c r="C17" s="2">
        <v>19</v>
      </c>
      <c r="D17" s="2">
        <v>18.25</v>
      </c>
      <c r="E17" s="2">
        <v>17.75</v>
      </c>
      <c r="F17" s="3">
        <v>0.99</v>
      </c>
      <c r="G17" s="4">
        <v>125000</v>
      </c>
      <c r="H17" s="5">
        <v>46091</v>
      </c>
    </row>
    <row r="18" spans="1:8" ht="15.75">
      <c r="A18" s="1" t="s">
        <v>35</v>
      </c>
      <c r="B18" s="1" t="s">
        <v>36</v>
      </c>
      <c r="C18" s="2">
        <v>13</v>
      </c>
      <c r="D18" s="2">
        <v>15.5</v>
      </c>
      <c r="E18" s="2">
        <v>14.75</v>
      </c>
      <c r="F18" s="3">
        <v>0.86</v>
      </c>
      <c r="G18" s="4">
        <v>80000</v>
      </c>
      <c r="H18" s="5">
        <v>45966</v>
      </c>
    </row>
    <row r="19" spans="1:8" ht="15.75">
      <c r="A19" s="1" t="s">
        <v>37</v>
      </c>
      <c r="B19" s="1" t="s">
        <v>38</v>
      </c>
      <c r="C19" s="2">
        <v>16</v>
      </c>
      <c r="D19" s="2">
        <v>14.25</v>
      </c>
      <c r="E19" s="2">
        <v>15.5</v>
      </c>
      <c r="F19" s="3">
        <v>0.93</v>
      </c>
      <c r="G19" s="4">
        <v>115000</v>
      </c>
      <c r="H19" s="5">
        <v>46065</v>
      </c>
    </row>
    <row r="20" spans="1:8" ht="15.75">
      <c r="A20" s="1" t="s">
        <v>39</v>
      </c>
      <c r="B20" s="1" t="s">
        <v>40</v>
      </c>
      <c r="C20" s="2">
        <v>11.5</v>
      </c>
      <c r="D20" s="2">
        <v>12.75</v>
      </c>
      <c r="E20" s="2">
        <v>13</v>
      </c>
      <c r="F20" s="3">
        <v>0.8</v>
      </c>
      <c r="G20" s="4">
        <v>70000</v>
      </c>
      <c r="H20" s="5">
        <v>46006</v>
      </c>
    </row>
    <row r="21" spans="1:8" ht="15.75">
      <c r="A21" s="1" t="s">
        <v>41</v>
      </c>
      <c r="B21" s="1" t="s">
        <v>42</v>
      </c>
      <c r="C21" s="2">
        <v>17.5</v>
      </c>
      <c r="D21" s="2">
        <v>16</v>
      </c>
      <c r="E21" s="2">
        <v>18</v>
      </c>
      <c r="F21" s="3">
        <v>0.96</v>
      </c>
      <c r="G21" s="4">
        <v>130000</v>
      </c>
      <c r="H21" s="5">
        <v>46086</v>
      </c>
    </row>
    <row r="22" spans="1:8" ht="15.75">
      <c r="A22" s="1" t="s">
        <v>43</v>
      </c>
      <c r="B22" s="1" t="s">
        <v>44</v>
      </c>
      <c r="C22" s="2">
        <v>12.25</v>
      </c>
      <c r="D22" s="2">
        <v>9.75</v>
      </c>
      <c r="E22" s="2">
        <v>11.5</v>
      </c>
      <c r="F22" s="3">
        <v>0.84</v>
      </c>
      <c r="G22" s="4">
        <v>60000</v>
      </c>
      <c r="H22" s="5">
        <v>45940</v>
      </c>
    </row>
    <row r="23" spans="1:8" ht="15.75">
      <c r="A23" s="1" t="s">
        <v>45</v>
      </c>
      <c r="B23" s="1" t="s">
        <v>46</v>
      </c>
      <c r="C23" s="2">
        <v>14.75</v>
      </c>
      <c r="D23" s="2">
        <v>15.25</v>
      </c>
      <c r="E23" s="2">
        <v>16</v>
      </c>
      <c r="F23" s="3">
        <v>0.9</v>
      </c>
      <c r="G23" s="4">
        <v>100000</v>
      </c>
      <c r="H23" s="5">
        <v>46050</v>
      </c>
    </row>
    <row r="24" spans="1:8" ht="15.75">
      <c r="A24" s="1" t="s">
        <v>47</v>
      </c>
      <c r="B24" s="1" t="s">
        <v>48</v>
      </c>
      <c r="C24" s="2">
        <v>9</v>
      </c>
      <c r="D24" s="2">
        <v>11</v>
      </c>
      <c r="E24" s="2">
        <v>10.75</v>
      </c>
      <c r="F24" s="3">
        <v>0.79</v>
      </c>
      <c r="G24" s="4">
        <v>50000</v>
      </c>
      <c r="H24" s="5">
        <v>45918</v>
      </c>
    </row>
  </sheetData>
  <mergeCells count="1">
    <mergeCell ref="A1:H3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CD836-7F3C-4EE6-9583-B21EB5A34A0C}">
  <dimension ref="B1:G15"/>
  <sheetViews>
    <sheetView tabSelected="1" workbookViewId="0">
      <selection activeCell="I6" sqref="I6"/>
    </sheetView>
  </sheetViews>
  <sheetFormatPr defaultRowHeight="15"/>
  <cols>
    <col min="4" max="4" width="24.42578125" customWidth="1"/>
  </cols>
  <sheetData>
    <row r="1" spans="2:7">
      <c r="B1" s="30" t="s">
        <v>49</v>
      </c>
      <c r="C1" s="31"/>
      <c r="D1" s="32"/>
      <c r="E1" s="7"/>
      <c r="F1" s="7"/>
      <c r="G1" s="7"/>
    </row>
    <row r="2" spans="2:7">
      <c r="B2" s="33"/>
      <c r="C2" s="34"/>
      <c r="D2" s="35"/>
      <c r="E2" s="7"/>
      <c r="F2" s="7"/>
      <c r="G2" s="7"/>
    </row>
    <row r="3" spans="2:7">
      <c r="B3" s="18" t="s">
        <v>50</v>
      </c>
      <c r="C3" s="19"/>
      <c r="D3" s="20"/>
      <c r="E3" s="8"/>
      <c r="F3" s="8"/>
      <c r="G3" s="8"/>
    </row>
    <row r="4" spans="2:7">
      <c r="B4" s="18" t="s">
        <v>51</v>
      </c>
      <c r="C4" s="19"/>
      <c r="D4" s="20"/>
      <c r="E4" s="8"/>
      <c r="F4" s="8"/>
      <c r="G4" s="8"/>
    </row>
    <row r="5" spans="2:7">
      <c r="B5" s="25"/>
      <c r="C5" s="26"/>
      <c r="D5" s="27"/>
    </row>
    <row r="6" spans="2:7">
      <c r="B6" s="29" t="s">
        <v>52</v>
      </c>
      <c r="C6" s="29"/>
      <c r="D6" s="9" t="s">
        <v>53</v>
      </c>
    </row>
    <row r="7" spans="2:7">
      <c r="B7" s="28" t="s">
        <v>3</v>
      </c>
      <c r="C7" s="28"/>
      <c r="D7" s="10">
        <v>15.5</v>
      </c>
    </row>
    <row r="8" spans="2:7">
      <c r="B8" s="28" t="s">
        <v>4</v>
      </c>
      <c r="C8" s="28"/>
      <c r="D8" s="10">
        <v>16.75</v>
      </c>
    </row>
    <row r="9" spans="2:7">
      <c r="B9" s="28" t="s">
        <v>5</v>
      </c>
      <c r="C9" s="28"/>
      <c r="D9" s="10">
        <v>14</v>
      </c>
    </row>
    <row r="10" spans="2:7" ht="15.75">
      <c r="B10" s="14" t="s">
        <v>54</v>
      </c>
      <c r="C10" s="13"/>
      <c r="D10" s="15">
        <f>AVERAGE(D7,D8,D9)</f>
        <v>15.416666666666666</v>
      </c>
    </row>
    <row r="11" spans="2:7">
      <c r="B11" s="22"/>
      <c r="C11" s="23"/>
      <c r="D11" s="24"/>
    </row>
    <row r="12" spans="2:7" ht="15.75">
      <c r="B12" s="21" t="s">
        <v>55</v>
      </c>
      <c r="C12" s="21"/>
      <c r="D12" s="21"/>
    </row>
    <row r="13" spans="2:7">
      <c r="B13" s="17" t="s">
        <v>56</v>
      </c>
      <c r="C13" s="17"/>
      <c r="D13" s="11">
        <v>0.95</v>
      </c>
    </row>
    <row r="14" spans="2:7">
      <c r="B14" s="16" t="s">
        <v>57</v>
      </c>
      <c r="C14" s="16"/>
      <c r="D14" s="12" t="s">
        <v>58</v>
      </c>
    </row>
    <row r="15" spans="2:7">
      <c r="B15" s="17" t="s">
        <v>59</v>
      </c>
      <c r="C15" s="17"/>
      <c r="D15" s="12" t="s">
        <v>60</v>
      </c>
    </row>
  </sheetData>
  <mergeCells count="14">
    <mergeCell ref="B1:D1"/>
    <mergeCell ref="B2:D2"/>
    <mergeCell ref="B14:C14"/>
    <mergeCell ref="B15:C15"/>
    <mergeCell ref="B4:D4"/>
    <mergeCell ref="B3:D3"/>
    <mergeCell ref="B12:D12"/>
    <mergeCell ref="B11:D11"/>
    <mergeCell ref="B5:D5"/>
    <mergeCell ref="B7:C7"/>
    <mergeCell ref="B8:C8"/>
    <mergeCell ref="B9:C9"/>
    <mergeCell ref="B6:C6"/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2026-08-20T18:19:35Z</dcterms:created>
  <dcterms:modified xsi:type="dcterms:W3CDTF">2026-08-31T16:11:45Z</dcterms:modified>
  <cp:category/>
  <cp:contentStatus/>
</cp:coreProperties>
</file>