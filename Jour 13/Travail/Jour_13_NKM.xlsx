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0" documentId="8_{52169114-A883-4B4B-AEC8-E461B9113977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Pratique_INDEX_MATCH" sheetId="1" r:id="rId1"/>
    <sheet name="Base RH" sheetId="2" r:id="rId2"/>
    <sheet name="Recherche RH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1" i="3" l="1"/>
  <c r="B7" i="3"/>
  <c r="B6" i="3"/>
  <c r="B5" i="3"/>
  <c r="B3" i="3"/>
  <c r="B4" i="3"/>
  <c r="B18" i="1"/>
  <c r="B13" i="1"/>
  <c r="B10" i="1"/>
  <c r="B17" i="1"/>
  <c r="B15" i="1"/>
  <c r="B14" i="1"/>
  <c r="B9" i="1"/>
  <c r="B8" i="1"/>
</calcChain>
</file>

<file path=xl/sharedStrings.xml><?xml version="1.0" encoding="utf-8"?>
<sst xmlns="http://schemas.openxmlformats.org/spreadsheetml/2006/main" count="511" uniqueCount="309">
  <si>
    <t>ID</t>
  </si>
  <si>
    <t>Nom</t>
  </si>
  <si>
    <t>Département</t>
  </si>
  <si>
    <t>Salaire</t>
  </si>
  <si>
    <t>ID recherché</t>
  </si>
  <si>
    <t>E004</t>
  </si>
  <si>
    <t>E001</t>
  </si>
  <si>
    <t>Awa Ndiaye</t>
  </si>
  <si>
    <t>Data</t>
  </si>
  <si>
    <t>E002</t>
  </si>
  <si>
    <t>Mamadou Diop</t>
  </si>
  <si>
    <t>Finance</t>
  </si>
  <si>
    <t>E003</t>
  </si>
  <si>
    <t>Fatou Fall</t>
  </si>
  <si>
    <t>RH</t>
  </si>
  <si>
    <t>Cheikh Ba</t>
  </si>
  <si>
    <t>IT</t>
  </si>
  <si>
    <t>E005</t>
  </si>
  <si>
    <t>Mariama Sow</t>
  </si>
  <si>
    <t>Marketing</t>
  </si>
  <si>
    <t>Index</t>
  </si>
  <si>
    <t>Match</t>
  </si>
  <si>
    <t>Index et Match</t>
  </si>
  <si>
    <t xml:space="preserve"> Plusieurs informations</t>
  </si>
  <si>
    <t>RECHERCHEV</t>
  </si>
  <si>
    <t>INDEX + EQUIV</t>
  </si>
  <si>
    <t>Departement</t>
  </si>
  <si>
    <t>Poste</t>
  </si>
  <si>
    <t>Date_embauche</t>
  </si>
  <si>
    <t>Abdoulaye Ndoye</t>
  </si>
  <si>
    <t>Développeur</t>
  </si>
  <si>
    <t>Demba Diop</t>
  </si>
  <si>
    <t>Ventes</t>
  </si>
  <si>
    <t>Responsable commercial</t>
  </si>
  <si>
    <t>Pape Fall</t>
  </si>
  <si>
    <t>Comptable</t>
  </si>
  <si>
    <t>Seynabou Sow</t>
  </si>
  <si>
    <t>24/11/2023</t>
  </si>
  <si>
    <t>Coumba Diop</t>
  </si>
  <si>
    <t>26/05/2024</t>
  </si>
  <si>
    <t>E006</t>
  </si>
  <si>
    <t>Yacine Sow</t>
  </si>
  <si>
    <t>Account manager</t>
  </si>
  <si>
    <t>20/01/2019</t>
  </si>
  <si>
    <t>E007</t>
  </si>
  <si>
    <t>Seynabou Wade</t>
  </si>
  <si>
    <t>Analyste financier</t>
  </si>
  <si>
    <t>29/05/2016</t>
  </si>
  <si>
    <t>E008</t>
  </si>
  <si>
    <t>Oumou Diallo</t>
  </si>
  <si>
    <t>Growth marketer</t>
  </si>
  <si>
    <t>E009</t>
  </si>
  <si>
    <t>Souleymane Sarr</t>
  </si>
  <si>
    <t>Controleur de gestion</t>
  </si>
  <si>
    <t>E010</t>
  </si>
  <si>
    <t>Youssou Mbaye</t>
  </si>
  <si>
    <t>Assistant RH</t>
  </si>
  <si>
    <t>22/08/2016</t>
  </si>
  <si>
    <t>E011</t>
  </si>
  <si>
    <t>Absa Kane</t>
  </si>
  <si>
    <t>19/12/2025</t>
  </si>
  <si>
    <t>E012</t>
  </si>
  <si>
    <t>Ibrahima Niang</t>
  </si>
  <si>
    <t>Chef de projet IT</t>
  </si>
  <si>
    <t>E013</t>
  </si>
  <si>
    <t>Demba Sy</t>
  </si>
  <si>
    <t>19/08/2025</t>
  </si>
  <si>
    <t>E014</t>
  </si>
  <si>
    <t>Fatou Diouf</t>
  </si>
  <si>
    <t>27/08/2023</t>
  </si>
  <si>
    <t>E015</t>
  </si>
  <si>
    <t>Mamadou Sy</t>
  </si>
  <si>
    <t>Gestionnaire de paie</t>
  </si>
  <si>
    <t>17/08/2017</t>
  </si>
  <si>
    <t>E016</t>
  </si>
  <si>
    <t>Ibrahima Diallo</t>
  </si>
  <si>
    <t>E017</t>
  </si>
  <si>
    <t>Lamine Fall</t>
  </si>
  <si>
    <t>Auditeur</t>
  </si>
  <si>
    <t>26/03/2021</t>
  </si>
  <si>
    <t>E018</t>
  </si>
  <si>
    <t>Dieynaba Diatta</t>
  </si>
  <si>
    <t>14/07/2023</t>
  </si>
  <si>
    <t>E019</t>
  </si>
  <si>
    <t>Khady Fall</t>
  </si>
  <si>
    <t>26/03/2020</t>
  </si>
  <si>
    <t>E020</t>
  </si>
  <si>
    <t>Adama Wade</t>
  </si>
  <si>
    <t>E021</t>
  </si>
  <si>
    <t>Responsable RH</t>
  </si>
  <si>
    <t>24/07/2026</t>
  </si>
  <si>
    <t>E022</t>
  </si>
  <si>
    <t>Fatima Niang</t>
  </si>
  <si>
    <t>Chargé clientele</t>
  </si>
  <si>
    <t>13/12/2023</t>
  </si>
  <si>
    <t>E023</t>
  </si>
  <si>
    <t>Ousmane Mbaye</t>
  </si>
  <si>
    <t>Chargé de communication</t>
  </si>
  <si>
    <t>E024</t>
  </si>
  <si>
    <t>Fatima Gueye</t>
  </si>
  <si>
    <t>E025</t>
  </si>
  <si>
    <t>Awa Wade</t>
  </si>
  <si>
    <t>28/07/2015</t>
  </si>
  <si>
    <t>E026</t>
  </si>
  <si>
    <t>Aminata Sagna</t>
  </si>
  <si>
    <t>Community manager</t>
  </si>
  <si>
    <t>28/08/2020</t>
  </si>
  <si>
    <t>E027</t>
  </si>
  <si>
    <t>Assane Thiam</t>
  </si>
  <si>
    <t>E028</t>
  </si>
  <si>
    <t>Lamine Mbaye</t>
  </si>
  <si>
    <t>Chargé de recrutement</t>
  </si>
  <si>
    <t>17/04/2017</t>
  </si>
  <si>
    <t>E029</t>
  </si>
  <si>
    <t>Babacar Mbaye</t>
  </si>
  <si>
    <t>E030</t>
  </si>
  <si>
    <t>Abdoulaye Camara</t>
  </si>
  <si>
    <t>Commercial</t>
  </si>
  <si>
    <t>E031</t>
  </si>
  <si>
    <t>Astou Toure</t>
  </si>
  <si>
    <t>31/12/2019</t>
  </si>
  <si>
    <t>E032</t>
  </si>
  <si>
    <t>Alioune Sagna</t>
  </si>
  <si>
    <t>E033</t>
  </si>
  <si>
    <t>Absa Mbaye</t>
  </si>
  <si>
    <t>E034</t>
  </si>
  <si>
    <t>Babacar Diallo</t>
  </si>
  <si>
    <t>E035</t>
  </si>
  <si>
    <t>Moussa Cisse</t>
  </si>
  <si>
    <t>Administrateur systeme</t>
  </si>
  <si>
    <t>31/05/2019</t>
  </si>
  <si>
    <t>E036</t>
  </si>
  <si>
    <t>Modou Mbaye</t>
  </si>
  <si>
    <t>19/09/2022</t>
  </si>
  <si>
    <t>E037</t>
  </si>
  <si>
    <t>Mariama Ndoye</t>
  </si>
  <si>
    <t>24/09/2024</t>
  </si>
  <si>
    <t>E038</t>
  </si>
  <si>
    <t>Moussa Diouf</t>
  </si>
  <si>
    <t>26/11/2016</t>
  </si>
  <si>
    <t>E039</t>
  </si>
  <si>
    <t>Ndeye Ba</t>
  </si>
  <si>
    <t>E040</t>
  </si>
  <si>
    <t>Oumou Sagna</t>
  </si>
  <si>
    <t>Chef de produit</t>
  </si>
  <si>
    <t>E041</t>
  </si>
  <si>
    <t>Awa Diouf</t>
  </si>
  <si>
    <t>15/05/2019</t>
  </si>
  <si>
    <t>E042</t>
  </si>
  <si>
    <t>Awa Faye</t>
  </si>
  <si>
    <t>24/05/2020</t>
  </si>
  <si>
    <t>E043</t>
  </si>
  <si>
    <t>Babacar Diatta</t>
  </si>
  <si>
    <t>E044</t>
  </si>
  <si>
    <t>Demba Toure</t>
  </si>
  <si>
    <t>28/05/2018</t>
  </si>
  <si>
    <t>E045</t>
  </si>
  <si>
    <t>E046</t>
  </si>
  <si>
    <t>Adama Sagna</t>
  </si>
  <si>
    <t>17/08/2026</t>
  </si>
  <si>
    <t>E047</t>
  </si>
  <si>
    <t>Ousmane Diatta</t>
  </si>
  <si>
    <t>18/03/2021</t>
  </si>
  <si>
    <t>E048</t>
  </si>
  <si>
    <t>Mariama Toure</t>
  </si>
  <si>
    <t>E049</t>
  </si>
  <si>
    <t>Assane Toure</t>
  </si>
  <si>
    <t>22/02/2025</t>
  </si>
  <si>
    <t>E050</t>
  </si>
  <si>
    <t>Youssou Cisse</t>
  </si>
  <si>
    <t>18/07/2019</t>
  </si>
  <si>
    <t>E051</t>
  </si>
  <si>
    <t>Abdoulaye Kane</t>
  </si>
  <si>
    <t>Data Analyst</t>
  </si>
  <si>
    <t>E052</t>
  </si>
  <si>
    <t>Coumba Kane</t>
  </si>
  <si>
    <t>16/10/2021</t>
  </si>
  <si>
    <t>E053</t>
  </si>
  <si>
    <t>Khady Camara</t>
  </si>
  <si>
    <t>29/01/2018</t>
  </si>
  <si>
    <t>E054</t>
  </si>
  <si>
    <t>Alioune Diouf</t>
  </si>
  <si>
    <t>26/08/2018</t>
  </si>
  <si>
    <t>E055</t>
  </si>
  <si>
    <t>Ndeye Camara</t>
  </si>
  <si>
    <t>13/06/2024</t>
  </si>
  <si>
    <t>E056</t>
  </si>
  <si>
    <t>Sokhna Diagne</t>
  </si>
  <si>
    <t>31/07/2022</t>
  </si>
  <si>
    <t>E057</t>
  </si>
  <si>
    <t>Amadou Camara</t>
  </si>
  <si>
    <t>E058</t>
  </si>
  <si>
    <t>Youssou Fall</t>
  </si>
  <si>
    <t>19/11/2016</t>
  </si>
  <si>
    <t>E059</t>
  </si>
  <si>
    <t>Babacar Diop</t>
  </si>
  <si>
    <t>21/06/2024</t>
  </si>
  <si>
    <t>E060</t>
  </si>
  <si>
    <t>El Hadji Ba</t>
  </si>
  <si>
    <t>E061</t>
  </si>
  <si>
    <t>Ibrahima Camara</t>
  </si>
  <si>
    <t>E062</t>
  </si>
  <si>
    <t>Aissatou Faye</t>
  </si>
  <si>
    <t>E063</t>
  </si>
  <si>
    <t>Fatima Ndiaye</t>
  </si>
  <si>
    <t>24/11/2017</t>
  </si>
  <si>
    <t>E064</t>
  </si>
  <si>
    <t>Absa Camara</t>
  </si>
  <si>
    <t>15/11/2020</t>
  </si>
  <si>
    <t>E065</t>
  </si>
  <si>
    <t>Ndeye Diallo</t>
  </si>
  <si>
    <t>14/08/2019</t>
  </si>
  <si>
    <t>E066</t>
  </si>
  <si>
    <t>Amadou Toure</t>
  </si>
  <si>
    <t>29/05/2015</t>
  </si>
  <si>
    <t>E067</t>
  </si>
  <si>
    <t>Ibrahima Ndiaye</t>
  </si>
  <si>
    <t>25/08/2025</t>
  </si>
  <si>
    <t>E068</t>
  </si>
  <si>
    <t>Fatima Sow</t>
  </si>
  <si>
    <t>26/10/2023</t>
  </si>
  <si>
    <t>E069</t>
  </si>
  <si>
    <t>Modou Cisse</t>
  </si>
  <si>
    <t>18/02/2018</t>
  </si>
  <si>
    <t>E070</t>
  </si>
  <si>
    <t>Souleymane Diop</t>
  </si>
  <si>
    <t>24/09/2020</t>
  </si>
  <si>
    <t>E071</t>
  </si>
  <si>
    <t>Cheikh Diop</t>
  </si>
  <si>
    <t>28/04/2021</t>
  </si>
  <si>
    <t>E072</t>
  </si>
  <si>
    <t>Bineta Diop</t>
  </si>
  <si>
    <t>E073</t>
  </si>
  <si>
    <t>Mamadou Faye</t>
  </si>
  <si>
    <t>E074</t>
  </si>
  <si>
    <t>Fatou Sarr</t>
  </si>
  <si>
    <t>E075</t>
  </si>
  <si>
    <t>El Hadji Fall</t>
  </si>
  <si>
    <t>E076</t>
  </si>
  <si>
    <t>Absa Ndiaye</t>
  </si>
  <si>
    <t>24/03/2018</t>
  </si>
  <si>
    <t>E077</t>
  </si>
  <si>
    <t>28/10/2021</t>
  </si>
  <si>
    <t>E078</t>
  </si>
  <si>
    <t>Aissatou Wade</t>
  </si>
  <si>
    <t>26/09/2023</t>
  </si>
  <si>
    <t>E079</t>
  </si>
  <si>
    <t>Lamine Ba</t>
  </si>
  <si>
    <t>E080</t>
  </si>
  <si>
    <t>Youssou Ba</t>
  </si>
  <si>
    <t>27/02/2020</t>
  </si>
  <si>
    <t>E081</t>
  </si>
  <si>
    <t>Awa Diop</t>
  </si>
  <si>
    <t>13/06/2023</t>
  </si>
  <si>
    <t>E082</t>
  </si>
  <si>
    <t>Malick Diop</t>
  </si>
  <si>
    <t>30/11/2020</t>
  </si>
  <si>
    <t>E083</t>
  </si>
  <si>
    <t>Fatima Fall</t>
  </si>
  <si>
    <t>18/10/2026</t>
  </si>
  <si>
    <t>E084</t>
  </si>
  <si>
    <t>Adama Faye</t>
  </si>
  <si>
    <t>E085</t>
  </si>
  <si>
    <t>Fatima Mbaye</t>
  </si>
  <si>
    <t>E086</t>
  </si>
  <si>
    <t>Oumou Sene</t>
  </si>
  <si>
    <t>22/04/2018</t>
  </si>
  <si>
    <t>E087</t>
  </si>
  <si>
    <t>Babacar Sene</t>
  </si>
  <si>
    <t>26/10/2025</t>
  </si>
  <si>
    <t>E088</t>
  </si>
  <si>
    <t>24/12/2025</t>
  </si>
  <si>
    <t>E089</t>
  </si>
  <si>
    <t>Youssou Sarr</t>
  </si>
  <si>
    <t>28/08/2017</t>
  </si>
  <si>
    <t>E090</t>
  </si>
  <si>
    <t>Bineta Fall</t>
  </si>
  <si>
    <t>17/04/2025</t>
  </si>
  <si>
    <t>E091</t>
  </si>
  <si>
    <t>Absa Sy</t>
  </si>
  <si>
    <t>23/09/2019</t>
  </si>
  <si>
    <t>E092</t>
  </si>
  <si>
    <t>Seynabou Fall</t>
  </si>
  <si>
    <t>22/12/2017</t>
  </si>
  <si>
    <t>E093</t>
  </si>
  <si>
    <t>Ousmane Camara</t>
  </si>
  <si>
    <t>26/11/2025</t>
  </si>
  <si>
    <t>E094</t>
  </si>
  <si>
    <t>Mamadou Gueye</t>
  </si>
  <si>
    <t>E095</t>
  </si>
  <si>
    <t>Serigne Diouf</t>
  </si>
  <si>
    <t>E096</t>
  </si>
  <si>
    <t>Ousmane Diagne</t>
  </si>
  <si>
    <t>E097</t>
  </si>
  <si>
    <t>Aminata Camara</t>
  </si>
  <si>
    <t>E098</t>
  </si>
  <si>
    <t>Marieme Ndoye</t>
  </si>
  <si>
    <t>E099</t>
  </si>
  <si>
    <t>Ibrahima Faye</t>
  </si>
  <si>
    <t>28/05/2021</t>
  </si>
  <si>
    <t>E100</t>
  </si>
  <si>
    <t>Coumba Faye</t>
  </si>
  <si>
    <t>17/05/2023</t>
  </si>
  <si>
    <t>Information</t>
  </si>
  <si>
    <t>Résultat</t>
  </si>
  <si>
    <t>Date d'embauche</t>
  </si>
  <si>
    <t>Challenge</t>
  </si>
  <si>
    <t>Nom recherché</t>
  </si>
  <si>
    <t>ID trouvé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</si>
</sst>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theme="1"/>
      <name val="Times New Roman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b/>
      <sz val="11"/>
      <color rgb="FF000000"/>
      <name val="Calibri"/>
      <charset val="1"/>
    </font>
    <font>
      <sz val="11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3" fillId="0" borderId="1" xfId="0" applyFont="1" applyBorder="1"/>
    <xf numFmtId="0" fontId="0" fillId="0" borderId="1" xfId="0" applyBorder="1"/>
    <xf numFmtId="0" fontId="3" fillId="2" borderId="2" xfId="0" applyFont="1" applyFill="1" applyBorder="1"/>
    <xf numFmtId="0" fontId="0" fillId="2" borderId="2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3" fillId="0" borderId="0" xfId="0" applyFont="1"/>
    <xf numFmtId="0" fontId="3" fillId="4" borderId="1" xfId="0" applyFont="1" applyFill="1" applyBorder="1" applyAlignment="1">
      <alignment horizontal="center"/>
    </xf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mploy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ploye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selection activeCell="E11" sqref="E11"/>
    </sheetView>
  </sheetViews>
  <sheetFormatPr defaultRowHeight="15"/>
  <cols>
    <col min="1" max="1" width="17.85546875" customWidth="1"/>
    <col min="2" max="2" width="13.85546875" customWidth="1"/>
    <col min="3" max="3" width="13.7109375" customWidth="1"/>
    <col min="6" max="6" width="11.42578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4</v>
      </c>
      <c r="G1" t="s">
        <v>5</v>
      </c>
    </row>
    <row r="2" spans="1:7">
      <c r="A2" s="2" t="s">
        <v>6</v>
      </c>
      <c r="B2" s="2" t="s">
        <v>7</v>
      </c>
      <c r="C2" s="2" t="s">
        <v>8</v>
      </c>
      <c r="D2" s="2">
        <v>350000</v>
      </c>
    </row>
    <row r="3" spans="1:7">
      <c r="A3" s="2" t="s">
        <v>9</v>
      </c>
      <c r="B3" s="2" t="s">
        <v>10</v>
      </c>
      <c r="C3" s="2" t="s">
        <v>11</v>
      </c>
      <c r="D3" s="2">
        <v>400000</v>
      </c>
    </row>
    <row r="4" spans="1:7">
      <c r="A4" s="2" t="s">
        <v>12</v>
      </c>
      <c r="B4" s="2" t="s">
        <v>13</v>
      </c>
      <c r="C4" s="2" t="s">
        <v>14</v>
      </c>
      <c r="D4" s="2">
        <v>375000</v>
      </c>
    </row>
    <row r="5" spans="1:7">
      <c r="A5" s="2" t="s">
        <v>5</v>
      </c>
      <c r="B5" s="2" t="s">
        <v>15</v>
      </c>
      <c r="C5" s="2" t="s">
        <v>16</v>
      </c>
      <c r="D5" s="2">
        <v>450000</v>
      </c>
    </row>
    <row r="6" spans="1:7">
      <c r="A6" s="2" t="s">
        <v>17</v>
      </c>
      <c r="B6" s="2" t="s">
        <v>18</v>
      </c>
      <c r="C6" s="2" t="s">
        <v>19</v>
      </c>
      <c r="D6" s="2">
        <v>325000</v>
      </c>
    </row>
    <row r="8" spans="1:7">
      <c r="A8" s="5" t="s">
        <v>20</v>
      </c>
      <c r="B8" s="6" t="str">
        <f>INDEX(B2:B6,3)</f>
        <v>Fatou Fall</v>
      </c>
    </row>
    <row r="9" spans="1:7">
      <c r="A9" s="7" t="s">
        <v>21</v>
      </c>
      <c r="B9" s="8">
        <f>MATCH(A5,A2:A6,0)</f>
        <v>4</v>
      </c>
    </row>
    <row r="10" spans="1:7">
      <c r="A10" s="3" t="s">
        <v>22</v>
      </c>
      <c r="B10" s="4" t="str">
        <f>INDEX(B2:B6,MATCH(A5,A2:A6,0))</f>
        <v>Cheikh Ba</v>
      </c>
    </row>
    <row r="11" spans="1:7">
      <c r="A11" s="9"/>
    </row>
    <row r="12" spans="1:7">
      <c r="A12" s="10" t="s">
        <v>23</v>
      </c>
      <c r="B12" s="10"/>
    </row>
    <row r="13" spans="1:7">
      <c r="A13" s="3" t="s">
        <v>1</v>
      </c>
      <c r="B13" s="4" t="str">
        <f>INDEX(B2:B6,MATCH($G$1,A2:A6,0))</f>
        <v>Cheikh Ba</v>
      </c>
    </row>
    <row r="14" spans="1:7">
      <c r="A14" s="3" t="s">
        <v>2</v>
      </c>
      <c r="B14" s="4" t="str">
        <f>INDEX(C2:C6,MATCH($G$1,A2:A6,0))</f>
        <v>IT</v>
      </c>
    </row>
    <row r="15" spans="1:7">
      <c r="A15" s="3" t="s">
        <v>3</v>
      </c>
      <c r="B15" s="4">
        <f>INDEX(D2:D6,MATCH($G$1,A2:A6,0))</f>
        <v>450000</v>
      </c>
    </row>
    <row r="17" spans="1:2">
      <c r="A17" s="9" t="s">
        <v>24</v>
      </c>
      <c r="B17" t="str">
        <f>VLOOKUP("E004",A2:D6,2,FALSE)</f>
        <v>Cheikh Ba</v>
      </c>
    </row>
    <row r="18" spans="1:2">
      <c r="A18" s="9" t="s">
        <v>25</v>
      </c>
      <c r="B18" t="str">
        <f>INDEX(B2:B6,MATCH($G$1,A2:A6,0))</f>
        <v>Cheikh Ba</v>
      </c>
    </row>
  </sheetData>
  <mergeCells count="1">
    <mergeCell ref="A12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D945B-1789-4E93-A959-DF783D5790F5}">
  <dimension ref="A1:F101"/>
  <sheetViews>
    <sheetView workbookViewId="0">
      <selection sqref="A1:F101"/>
    </sheetView>
  </sheetViews>
  <sheetFormatPr defaultRowHeight="15"/>
  <cols>
    <col min="2" max="2" width="18.85546875" customWidth="1"/>
    <col min="3" max="3" width="14.140625" customWidth="1"/>
    <col min="4" max="4" width="23.28515625" customWidth="1"/>
    <col min="5" max="5" width="13.42578125" customWidth="1"/>
    <col min="6" max="6" width="21.42578125" customWidth="1"/>
  </cols>
  <sheetData>
    <row r="1" spans="1:6">
      <c r="A1" s="11" t="s">
        <v>0</v>
      </c>
      <c r="B1" s="11" t="s">
        <v>1</v>
      </c>
      <c r="C1" s="11" t="s">
        <v>26</v>
      </c>
      <c r="D1" s="11" t="s">
        <v>27</v>
      </c>
      <c r="E1" s="11" t="s">
        <v>3</v>
      </c>
      <c r="F1" s="11" t="s">
        <v>28</v>
      </c>
    </row>
    <row r="2" spans="1:6">
      <c r="A2" s="12" t="s">
        <v>6</v>
      </c>
      <c r="B2" s="12" t="s">
        <v>29</v>
      </c>
      <c r="C2" s="12" t="s">
        <v>16</v>
      </c>
      <c r="D2" s="12" t="s">
        <v>30</v>
      </c>
      <c r="E2" s="12">
        <v>748000</v>
      </c>
      <c r="F2" s="13">
        <v>43010</v>
      </c>
    </row>
    <row r="3" spans="1:6">
      <c r="A3" s="12" t="s">
        <v>9</v>
      </c>
      <c r="B3" s="12" t="s">
        <v>31</v>
      </c>
      <c r="C3" s="12" t="s">
        <v>32</v>
      </c>
      <c r="D3" s="12" t="s">
        <v>33</v>
      </c>
      <c r="E3" s="12">
        <v>238000</v>
      </c>
      <c r="F3" s="13">
        <v>42502</v>
      </c>
    </row>
    <row r="4" spans="1:6">
      <c r="A4" s="12" t="s">
        <v>12</v>
      </c>
      <c r="B4" s="12" t="s">
        <v>34</v>
      </c>
      <c r="C4" s="12" t="s">
        <v>11</v>
      </c>
      <c r="D4" s="12" t="s">
        <v>35</v>
      </c>
      <c r="E4" s="12">
        <v>764000</v>
      </c>
      <c r="F4" s="13">
        <v>45542</v>
      </c>
    </row>
    <row r="5" spans="1:6">
      <c r="A5" s="12" t="s">
        <v>5</v>
      </c>
      <c r="B5" s="12" t="s">
        <v>36</v>
      </c>
      <c r="C5" s="12" t="s">
        <v>11</v>
      </c>
      <c r="D5" s="12" t="s">
        <v>35</v>
      </c>
      <c r="E5" s="12">
        <v>790000</v>
      </c>
      <c r="F5" s="12" t="s">
        <v>37</v>
      </c>
    </row>
    <row r="6" spans="1:6">
      <c r="A6" s="12" t="s">
        <v>17</v>
      </c>
      <c r="B6" s="12" t="s">
        <v>38</v>
      </c>
      <c r="C6" s="12" t="s">
        <v>32</v>
      </c>
      <c r="D6" s="12" t="s">
        <v>33</v>
      </c>
      <c r="E6" s="12">
        <v>496000</v>
      </c>
      <c r="F6" s="12" t="s">
        <v>39</v>
      </c>
    </row>
    <row r="7" spans="1:6">
      <c r="A7" s="12" t="s">
        <v>40</v>
      </c>
      <c r="B7" s="12" t="s">
        <v>41</v>
      </c>
      <c r="C7" s="12" t="s">
        <v>32</v>
      </c>
      <c r="D7" s="12" t="s">
        <v>42</v>
      </c>
      <c r="E7" s="12">
        <v>773000</v>
      </c>
      <c r="F7" s="12" t="s">
        <v>43</v>
      </c>
    </row>
    <row r="8" spans="1:6">
      <c r="A8" s="12" t="s">
        <v>44</v>
      </c>
      <c r="B8" s="12" t="s">
        <v>45</v>
      </c>
      <c r="C8" s="12" t="s">
        <v>11</v>
      </c>
      <c r="D8" s="12" t="s">
        <v>46</v>
      </c>
      <c r="E8" s="12">
        <v>299000</v>
      </c>
      <c r="F8" s="12" t="s">
        <v>47</v>
      </c>
    </row>
    <row r="9" spans="1:6">
      <c r="A9" s="12" t="s">
        <v>48</v>
      </c>
      <c r="B9" s="12" t="s">
        <v>49</v>
      </c>
      <c r="C9" s="12" t="s">
        <v>19</v>
      </c>
      <c r="D9" s="12" t="s">
        <v>50</v>
      </c>
      <c r="E9" s="12">
        <v>521000</v>
      </c>
      <c r="F9" s="13">
        <v>45967</v>
      </c>
    </row>
    <row r="10" spans="1:6">
      <c r="A10" s="12" t="s">
        <v>51</v>
      </c>
      <c r="B10" s="12" t="s">
        <v>52</v>
      </c>
      <c r="C10" s="12" t="s">
        <v>11</v>
      </c>
      <c r="D10" s="12" t="s">
        <v>53</v>
      </c>
      <c r="E10" s="12">
        <v>449000</v>
      </c>
      <c r="F10" s="13">
        <v>42380</v>
      </c>
    </row>
    <row r="11" spans="1:6">
      <c r="A11" s="12" t="s">
        <v>54</v>
      </c>
      <c r="B11" s="12" t="s">
        <v>55</v>
      </c>
      <c r="C11" s="12" t="s">
        <v>14</v>
      </c>
      <c r="D11" s="12" t="s">
        <v>56</v>
      </c>
      <c r="E11" s="12">
        <v>494000</v>
      </c>
      <c r="F11" s="12" t="s">
        <v>57</v>
      </c>
    </row>
    <row r="12" spans="1:6">
      <c r="A12" s="12" t="s">
        <v>58</v>
      </c>
      <c r="B12" s="12" t="s">
        <v>59</v>
      </c>
      <c r="C12" s="12" t="s">
        <v>11</v>
      </c>
      <c r="D12" s="12" t="s">
        <v>46</v>
      </c>
      <c r="E12" s="12">
        <v>355000</v>
      </c>
      <c r="F12" s="12" t="s">
        <v>60</v>
      </c>
    </row>
    <row r="13" spans="1:6">
      <c r="A13" s="12" t="s">
        <v>61</v>
      </c>
      <c r="B13" s="12" t="s">
        <v>62</v>
      </c>
      <c r="C13" s="12" t="s">
        <v>16</v>
      </c>
      <c r="D13" s="12" t="s">
        <v>63</v>
      </c>
      <c r="E13" s="12">
        <v>548000</v>
      </c>
      <c r="F13" s="13">
        <v>44784</v>
      </c>
    </row>
    <row r="14" spans="1:6">
      <c r="A14" s="12" t="s">
        <v>64</v>
      </c>
      <c r="B14" s="12" t="s">
        <v>65</v>
      </c>
      <c r="C14" s="12" t="s">
        <v>16</v>
      </c>
      <c r="D14" s="12" t="s">
        <v>30</v>
      </c>
      <c r="E14" s="12">
        <v>476000</v>
      </c>
      <c r="F14" s="12" t="s">
        <v>66</v>
      </c>
    </row>
    <row r="15" spans="1:6">
      <c r="A15" s="12" t="s">
        <v>67</v>
      </c>
      <c r="B15" s="12" t="s">
        <v>68</v>
      </c>
      <c r="C15" s="12" t="s">
        <v>14</v>
      </c>
      <c r="D15" s="12" t="s">
        <v>56</v>
      </c>
      <c r="E15" s="12">
        <v>491000</v>
      </c>
      <c r="F15" s="12" t="s">
        <v>69</v>
      </c>
    </row>
    <row r="16" spans="1:6">
      <c r="A16" s="12" t="s">
        <v>70</v>
      </c>
      <c r="B16" s="12" t="s">
        <v>71</v>
      </c>
      <c r="C16" s="12" t="s">
        <v>14</v>
      </c>
      <c r="D16" s="12" t="s">
        <v>72</v>
      </c>
      <c r="E16" s="12">
        <v>825000</v>
      </c>
      <c r="F16" s="12" t="s">
        <v>73</v>
      </c>
    </row>
    <row r="17" spans="1:6">
      <c r="A17" s="12" t="s">
        <v>74</v>
      </c>
      <c r="B17" s="12" t="s">
        <v>75</v>
      </c>
      <c r="C17" s="12" t="s">
        <v>14</v>
      </c>
      <c r="D17" s="12" t="s">
        <v>72</v>
      </c>
      <c r="E17" s="12">
        <v>453000</v>
      </c>
      <c r="F17" s="13">
        <v>45028</v>
      </c>
    </row>
    <row r="18" spans="1:6">
      <c r="A18" s="12" t="s">
        <v>76</v>
      </c>
      <c r="B18" s="12" t="s">
        <v>77</v>
      </c>
      <c r="C18" s="12" t="s">
        <v>11</v>
      </c>
      <c r="D18" s="12" t="s">
        <v>78</v>
      </c>
      <c r="E18" s="12">
        <v>611000</v>
      </c>
      <c r="F18" s="12" t="s">
        <v>79</v>
      </c>
    </row>
    <row r="19" spans="1:6">
      <c r="A19" s="12" t="s">
        <v>80</v>
      </c>
      <c r="B19" s="12" t="s">
        <v>81</v>
      </c>
      <c r="C19" s="12" t="s">
        <v>14</v>
      </c>
      <c r="D19" s="12" t="s">
        <v>56</v>
      </c>
      <c r="E19" s="12">
        <v>567000</v>
      </c>
      <c r="F19" s="12" t="s">
        <v>82</v>
      </c>
    </row>
    <row r="20" spans="1:6">
      <c r="A20" s="12" t="s">
        <v>83</v>
      </c>
      <c r="B20" s="12" t="s">
        <v>84</v>
      </c>
      <c r="C20" s="12" t="s">
        <v>11</v>
      </c>
      <c r="D20" s="12" t="s">
        <v>53</v>
      </c>
      <c r="E20" s="12">
        <v>437000</v>
      </c>
      <c r="F20" s="12" t="s">
        <v>85</v>
      </c>
    </row>
    <row r="21" spans="1:6">
      <c r="A21" s="12" t="s">
        <v>86</v>
      </c>
      <c r="B21" s="12" t="s">
        <v>87</v>
      </c>
      <c r="C21" s="12" t="s">
        <v>11</v>
      </c>
      <c r="D21" s="12" t="s">
        <v>46</v>
      </c>
      <c r="E21" s="12">
        <v>488000</v>
      </c>
      <c r="F21" s="13">
        <v>42065</v>
      </c>
    </row>
    <row r="22" spans="1:6">
      <c r="A22" s="12" t="s">
        <v>88</v>
      </c>
      <c r="B22" s="12" t="s">
        <v>81</v>
      </c>
      <c r="C22" s="12" t="s">
        <v>14</v>
      </c>
      <c r="D22" s="12" t="s">
        <v>89</v>
      </c>
      <c r="E22" s="12">
        <v>328000</v>
      </c>
      <c r="F22" s="12" t="s">
        <v>90</v>
      </c>
    </row>
    <row r="23" spans="1:6">
      <c r="A23" s="12" t="s">
        <v>91</v>
      </c>
      <c r="B23" s="12" t="s">
        <v>92</v>
      </c>
      <c r="C23" s="12" t="s">
        <v>32</v>
      </c>
      <c r="D23" s="12" t="s">
        <v>93</v>
      </c>
      <c r="E23" s="12">
        <v>607000</v>
      </c>
      <c r="F23" s="12" t="s">
        <v>94</v>
      </c>
    </row>
    <row r="24" spans="1:6">
      <c r="A24" s="12" t="s">
        <v>95</v>
      </c>
      <c r="B24" s="12" t="s">
        <v>96</v>
      </c>
      <c r="C24" s="12" t="s">
        <v>19</v>
      </c>
      <c r="D24" s="12" t="s">
        <v>97</v>
      </c>
      <c r="E24" s="12">
        <v>395000</v>
      </c>
      <c r="F24" s="13">
        <v>42497</v>
      </c>
    </row>
    <row r="25" spans="1:6">
      <c r="A25" s="12" t="s">
        <v>98</v>
      </c>
      <c r="B25" s="12" t="s">
        <v>99</v>
      </c>
      <c r="C25" s="12" t="s">
        <v>16</v>
      </c>
      <c r="D25" s="12" t="s">
        <v>63</v>
      </c>
      <c r="E25" s="12">
        <v>815000</v>
      </c>
      <c r="F25" s="13">
        <v>42524</v>
      </c>
    </row>
    <row r="26" spans="1:6">
      <c r="A26" s="12" t="s">
        <v>100</v>
      </c>
      <c r="B26" s="12" t="s">
        <v>101</v>
      </c>
      <c r="C26" s="12" t="s">
        <v>11</v>
      </c>
      <c r="D26" s="12" t="s">
        <v>35</v>
      </c>
      <c r="E26" s="12">
        <v>572000</v>
      </c>
      <c r="F26" s="12" t="s">
        <v>102</v>
      </c>
    </row>
    <row r="27" spans="1:6">
      <c r="A27" s="12" t="s">
        <v>103</v>
      </c>
      <c r="B27" s="12" t="s">
        <v>104</v>
      </c>
      <c r="C27" s="12" t="s">
        <v>19</v>
      </c>
      <c r="D27" s="12" t="s">
        <v>105</v>
      </c>
      <c r="E27" s="12">
        <v>849000</v>
      </c>
      <c r="F27" s="12" t="s">
        <v>106</v>
      </c>
    </row>
    <row r="28" spans="1:6">
      <c r="A28" s="12" t="s">
        <v>107</v>
      </c>
      <c r="B28" s="12" t="s">
        <v>108</v>
      </c>
      <c r="C28" s="12" t="s">
        <v>19</v>
      </c>
      <c r="D28" s="12" t="s">
        <v>97</v>
      </c>
      <c r="E28" s="12">
        <v>318000</v>
      </c>
      <c r="F28" s="13">
        <v>46003</v>
      </c>
    </row>
    <row r="29" spans="1:6">
      <c r="A29" s="12" t="s">
        <v>109</v>
      </c>
      <c r="B29" s="12" t="s">
        <v>110</v>
      </c>
      <c r="C29" s="12" t="s">
        <v>14</v>
      </c>
      <c r="D29" s="12" t="s">
        <v>111</v>
      </c>
      <c r="E29" s="12">
        <v>347000</v>
      </c>
      <c r="F29" s="12" t="s">
        <v>112</v>
      </c>
    </row>
    <row r="30" spans="1:6">
      <c r="A30" s="12" t="s">
        <v>113</v>
      </c>
      <c r="B30" s="12" t="s">
        <v>114</v>
      </c>
      <c r="C30" s="12" t="s">
        <v>11</v>
      </c>
      <c r="D30" s="12" t="s">
        <v>35</v>
      </c>
      <c r="E30" s="12">
        <v>410000</v>
      </c>
      <c r="F30" s="13">
        <v>46184</v>
      </c>
    </row>
    <row r="31" spans="1:6">
      <c r="A31" s="12" t="s">
        <v>115</v>
      </c>
      <c r="B31" s="12" t="s">
        <v>116</v>
      </c>
      <c r="C31" s="12" t="s">
        <v>32</v>
      </c>
      <c r="D31" s="12" t="s">
        <v>117</v>
      </c>
      <c r="E31" s="12">
        <v>740000</v>
      </c>
      <c r="F31" s="13">
        <v>44386</v>
      </c>
    </row>
    <row r="32" spans="1:6">
      <c r="A32" s="12" t="s">
        <v>118</v>
      </c>
      <c r="B32" s="12" t="s">
        <v>119</v>
      </c>
      <c r="C32" s="12" t="s">
        <v>14</v>
      </c>
      <c r="D32" s="12" t="s">
        <v>72</v>
      </c>
      <c r="E32" s="12">
        <v>564000</v>
      </c>
      <c r="F32" s="12" t="s">
        <v>120</v>
      </c>
    </row>
    <row r="33" spans="1:6">
      <c r="A33" s="12" t="s">
        <v>121</v>
      </c>
      <c r="B33" s="12" t="s">
        <v>122</v>
      </c>
      <c r="C33" s="12" t="s">
        <v>11</v>
      </c>
      <c r="D33" s="12" t="s">
        <v>53</v>
      </c>
      <c r="E33" s="12">
        <v>610000</v>
      </c>
      <c r="F33" s="13">
        <v>43832</v>
      </c>
    </row>
    <row r="34" spans="1:6">
      <c r="A34" s="12" t="s">
        <v>123</v>
      </c>
      <c r="B34" s="12" t="s">
        <v>124</v>
      </c>
      <c r="C34" s="12" t="s">
        <v>14</v>
      </c>
      <c r="D34" s="12" t="s">
        <v>111</v>
      </c>
      <c r="E34" s="12">
        <v>228000</v>
      </c>
      <c r="F34" s="13">
        <v>44381</v>
      </c>
    </row>
    <row r="35" spans="1:6">
      <c r="A35" s="12" t="s">
        <v>125</v>
      </c>
      <c r="B35" s="12" t="s">
        <v>126</v>
      </c>
      <c r="C35" s="12" t="s">
        <v>32</v>
      </c>
      <c r="D35" s="12" t="s">
        <v>42</v>
      </c>
      <c r="E35" s="12">
        <v>657000</v>
      </c>
      <c r="F35" s="13">
        <v>44631</v>
      </c>
    </row>
    <row r="36" spans="1:6">
      <c r="A36" s="12" t="s">
        <v>127</v>
      </c>
      <c r="B36" s="12" t="s">
        <v>128</v>
      </c>
      <c r="C36" s="12" t="s">
        <v>16</v>
      </c>
      <c r="D36" s="12" t="s">
        <v>129</v>
      </c>
      <c r="E36" s="12">
        <v>681000</v>
      </c>
      <c r="F36" s="12" t="s">
        <v>130</v>
      </c>
    </row>
    <row r="37" spans="1:6">
      <c r="A37" s="12" t="s">
        <v>131</v>
      </c>
      <c r="B37" s="12" t="s">
        <v>132</v>
      </c>
      <c r="C37" s="12" t="s">
        <v>32</v>
      </c>
      <c r="D37" s="12" t="s">
        <v>117</v>
      </c>
      <c r="E37" s="12">
        <v>690000</v>
      </c>
      <c r="F37" s="12" t="s">
        <v>133</v>
      </c>
    </row>
    <row r="38" spans="1:6">
      <c r="A38" s="12" t="s">
        <v>134</v>
      </c>
      <c r="B38" s="12" t="s">
        <v>135</v>
      </c>
      <c r="C38" s="12" t="s">
        <v>11</v>
      </c>
      <c r="D38" s="12" t="s">
        <v>78</v>
      </c>
      <c r="E38" s="12">
        <v>382000</v>
      </c>
      <c r="F38" s="12" t="s">
        <v>136</v>
      </c>
    </row>
    <row r="39" spans="1:6">
      <c r="A39" s="12" t="s">
        <v>137</v>
      </c>
      <c r="B39" s="12" t="s">
        <v>138</v>
      </c>
      <c r="C39" s="12" t="s">
        <v>19</v>
      </c>
      <c r="D39" s="12" t="s">
        <v>50</v>
      </c>
      <c r="E39" s="12">
        <v>611000</v>
      </c>
      <c r="F39" s="12" t="s">
        <v>139</v>
      </c>
    </row>
    <row r="40" spans="1:6">
      <c r="A40" s="12" t="s">
        <v>140</v>
      </c>
      <c r="B40" s="12" t="s">
        <v>141</v>
      </c>
      <c r="C40" s="12" t="s">
        <v>16</v>
      </c>
      <c r="D40" s="12" t="s">
        <v>129</v>
      </c>
      <c r="E40" s="12">
        <v>804000</v>
      </c>
      <c r="F40" s="13">
        <v>45906</v>
      </c>
    </row>
    <row r="41" spans="1:6">
      <c r="A41" s="12" t="s">
        <v>142</v>
      </c>
      <c r="B41" s="12" t="s">
        <v>143</v>
      </c>
      <c r="C41" s="12" t="s">
        <v>19</v>
      </c>
      <c r="D41" s="12" t="s">
        <v>144</v>
      </c>
      <c r="E41" s="12">
        <v>359000</v>
      </c>
      <c r="F41" s="13">
        <v>42990</v>
      </c>
    </row>
    <row r="42" spans="1:6">
      <c r="A42" s="12" t="s">
        <v>145</v>
      </c>
      <c r="B42" s="12" t="s">
        <v>146</v>
      </c>
      <c r="C42" s="12" t="s">
        <v>16</v>
      </c>
      <c r="D42" s="12" t="s">
        <v>129</v>
      </c>
      <c r="E42" s="12">
        <v>644000</v>
      </c>
      <c r="F42" s="12" t="s">
        <v>147</v>
      </c>
    </row>
    <row r="43" spans="1:6">
      <c r="A43" s="12" t="s">
        <v>148</v>
      </c>
      <c r="B43" s="12" t="s">
        <v>149</v>
      </c>
      <c r="C43" s="12" t="s">
        <v>11</v>
      </c>
      <c r="D43" s="12" t="s">
        <v>46</v>
      </c>
      <c r="E43" s="12">
        <v>713000</v>
      </c>
      <c r="F43" s="12" t="s">
        <v>150</v>
      </c>
    </row>
    <row r="44" spans="1:6">
      <c r="A44" s="12" t="s">
        <v>151</v>
      </c>
      <c r="B44" s="12" t="s">
        <v>152</v>
      </c>
      <c r="C44" s="12" t="s">
        <v>19</v>
      </c>
      <c r="D44" s="12" t="s">
        <v>105</v>
      </c>
      <c r="E44" s="12">
        <v>262000</v>
      </c>
      <c r="F44" s="13">
        <v>44785</v>
      </c>
    </row>
    <row r="45" spans="1:6">
      <c r="A45" s="12" t="s">
        <v>153</v>
      </c>
      <c r="B45" s="12" t="s">
        <v>154</v>
      </c>
      <c r="C45" s="12" t="s">
        <v>19</v>
      </c>
      <c r="D45" s="12" t="s">
        <v>105</v>
      </c>
      <c r="E45" s="12">
        <v>744000</v>
      </c>
      <c r="F45" s="12" t="s">
        <v>155</v>
      </c>
    </row>
    <row r="46" spans="1:6">
      <c r="A46" s="12" t="s">
        <v>156</v>
      </c>
      <c r="B46" s="12" t="s">
        <v>99</v>
      </c>
      <c r="C46" s="12" t="s">
        <v>32</v>
      </c>
      <c r="D46" s="12" t="s">
        <v>117</v>
      </c>
      <c r="E46" s="12">
        <v>353000</v>
      </c>
      <c r="F46" s="13">
        <v>43445</v>
      </c>
    </row>
    <row r="47" spans="1:6">
      <c r="A47" s="12" t="s">
        <v>157</v>
      </c>
      <c r="B47" s="12" t="s">
        <v>158</v>
      </c>
      <c r="C47" s="12" t="s">
        <v>16</v>
      </c>
      <c r="D47" s="12" t="s">
        <v>30</v>
      </c>
      <c r="E47" s="12">
        <v>533000</v>
      </c>
      <c r="F47" s="12" t="s">
        <v>159</v>
      </c>
    </row>
    <row r="48" spans="1:6">
      <c r="A48" s="12" t="s">
        <v>160</v>
      </c>
      <c r="B48" s="12" t="s">
        <v>161</v>
      </c>
      <c r="C48" s="12" t="s">
        <v>16</v>
      </c>
      <c r="D48" s="12" t="s">
        <v>129</v>
      </c>
      <c r="E48" s="12">
        <v>395000</v>
      </c>
      <c r="F48" s="12" t="s">
        <v>162</v>
      </c>
    </row>
    <row r="49" spans="1:6">
      <c r="A49" s="12" t="s">
        <v>163</v>
      </c>
      <c r="B49" s="12" t="s">
        <v>164</v>
      </c>
      <c r="C49" s="12" t="s">
        <v>19</v>
      </c>
      <c r="D49" s="12" t="s">
        <v>97</v>
      </c>
      <c r="E49" s="12">
        <v>264000</v>
      </c>
      <c r="F49" s="13">
        <v>45577</v>
      </c>
    </row>
    <row r="50" spans="1:6">
      <c r="A50" s="12" t="s">
        <v>165</v>
      </c>
      <c r="B50" s="12" t="s">
        <v>166</v>
      </c>
      <c r="C50" s="12" t="s">
        <v>32</v>
      </c>
      <c r="D50" s="12" t="s">
        <v>33</v>
      </c>
      <c r="E50" s="12">
        <v>483000</v>
      </c>
      <c r="F50" s="12" t="s">
        <v>167</v>
      </c>
    </row>
    <row r="51" spans="1:6">
      <c r="A51" s="12" t="s">
        <v>168</v>
      </c>
      <c r="B51" s="12" t="s">
        <v>169</v>
      </c>
      <c r="C51" s="12" t="s">
        <v>32</v>
      </c>
      <c r="D51" s="12" t="s">
        <v>42</v>
      </c>
      <c r="E51" s="12">
        <v>772000</v>
      </c>
      <c r="F51" s="12" t="s">
        <v>170</v>
      </c>
    </row>
    <row r="52" spans="1:6">
      <c r="A52" s="12" t="s">
        <v>171</v>
      </c>
      <c r="B52" s="12" t="s">
        <v>172</v>
      </c>
      <c r="C52" s="12" t="s">
        <v>16</v>
      </c>
      <c r="D52" s="12" t="s">
        <v>173</v>
      </c>
      <c r="E52" s="12">
        <v>652000</v>
      </c>
      <c r="F52" s="13">
        <v>44563</v>
      </c>
    </row>
    <row r="53" spans="1:6">
      <c r="A53" s="12" t="s">
        <v>174</v>
      </c>
      <c r="B53" s="12" t="s">
        <v>175</v>
      </c>
      <c r="C53" s="12" t="s">
        <v>16</v>
      </c>
      <c r="D53" s="12" t="s">
        <v>129</v>
      </c>
      <c r="E53" s="12">
        <v>885000</v>
      </c>
      <c r="F53" s="12" t="s">
        <v>176</v>
      </c>
    </row>
    <row r="54" spans="1:6">
      <c r="A54" s="12" t="s">
        <v>177</v>
      </c>
      <c r="B54" s="12" t="s">
        <v>178</v>
      </c>
      <c r="C54" s="12" t="s">
        <v>14</v>
      </c>
      <c r="D54" s="12" t="s">
        <v>72</v>
      </c>
      <c r="E54" s="12">
        <v>459000</v>
      </c>
      <c r="F54" s="12" t="s">
        <v>179</v>
      </c>
    </row>
    <row r="55" spans="1:6">
      <c r="A55" s="12" t="s">
        <v>180</v>
      </c>
      <c r="B55" s="12" t="s">
        <v>181</v>
      </c>
      <c r="C55" s="12" t="s">
        <v>16</v>
      </c>
      <c r="D55" s="12" t="s">
        <v>173</v>
      </c>
      <c r="E55" s="12">
        <v>698000</v>
      </c>
      <c r="F55" s="12" t="s">
        <v>182</v>
      </c>
    </row>
    <row r="56" spans="1:6">
      <c r="A56" s="12" t="s">
        <v>183</v>
      </c>
      <c r="B56" s="12" t="s">
        <v>184</v>
      </c>
      <c r="C56" s="12" t="s">
        <v>19</v>
      </c>
      <c r="D56" s="12" t="s">
        <v>50</v>
      </c>
      <c r="E56" s="12">
        <v>547000</v>
      </c>
      <c r="F56" s="12" t="s">
        <v>185</v>
      </c>
    </row>
    <row r="57" spans="1:6">
      <c r="A57" s="12" t="s">
        <v>186</v>
      </c>
      <c r="B57" s="12" t="s">
        <v>187</v>
      </c>
      <c r="C57" s="12" t="s">
        <v>16</v>
      </c>
      <c r="D57" s="12" t="s">
        <v>63</v>
      </c>
      <c r="E57" s="12">
        <v>219000</v>
      </c>
      <c r="F57" s="12" t="s">
        <v>188</v>
      </c>
    </row>
    <row r="58" spans="1:6">
      <c r="A58" s="12" t="s">
        <v>189</v>
      </c>
      <c r="B58" s="12" t="s">
        <v>190</v>
      </c>
      <c r="C58" s="12" t="s">
        <v>16</v>
      </c>
      <c r="D58" s="12" t="s">
        <v>173</v>
      </c>
      <c r="E58" s="12">
        <v>539000</v>
      </c>
      <c r="F58" s="13">
        <v>46273</v>
      </c>
    </row>
    <row r="59" spans="1:6">
      <c r="A59" s="12" t="s">
        <v>191</v>
      </c>
      <c r="B59" s="12" t="s">
        <v>192</v>
      </c>
      <c r="C59" s="12" t="s">
        <v>16</v>
      </c>
      <c r="D59" s="12" t="s">
        <v>129</v>
      </c>
      <c r="E59" s="12">
        <v>307000</v>
      </c>
      <c r="F59" s="12" t="s">
        <v>193</v>
      </c>
    </row>
    <row r="60" spans="1:6">
      <c r="A60" s="12" t="s">
        <v>194</v>
      </c>
      <c r="B60" s="12" t="s">
        <v>195</v>
      </c>
      <c r="C60" s="12" t="s">
        <v>11</v>
      </c>
      <c r="D60" s="12" t="s">
        <v>46</v>
      </c>
      <c r="E60" s="12">
        <v>332000</v>
      </c>
      <c r="F60" s="12" t="s">
        <v>196</v>
      </c>
    </row>
    <row r="61" spans="1:6">
      <c r="A61" s="12" t="s">
        <v>197</v>
      </c>
      <c r="B61" s="12" t="s">
        <v>198</v>
      </c>
      <c r="C61" s="12" t="s">
        <v>32</v>
      </c>
      <c r="D61" s="12" t="s">
        <v>93</v>
      </c>
      <c r="E61" s="12">
        <v>534000</v>
      </c>
      <c r="F61" s="13">
        <v>42767</v>
      </c>
    </row>
    <row r="62" spans="1:6">
      <c r="A62" s="12" t="s">
        <v>199</v>
      </c>
      <c r="B62" s="12" t="s">
        <v>200</v>
      </c>
      <c r="C62" s="12" t="s">
        <v>11</v>
      </c>
      <c r="D62" s="12" t="s">
        <v>78</v>
      </c>
      <c r="E62" s="12">
        <v>274000</v>
      </c>
      <c r="F62" s="13">
        <v>44531</v>
      </c>
    </row>
    <row r="63" spans="1:6">
      <c r="A63" s="12" t="s">
        <v>201</v>
      </c>
      <c r="B63" s="12" t="s">
        <v>202</v>
      </c>
      <c r="C63" s="12" t="s">
        <v>16</v>
      </c>
      <c r="D63" s="12" t="s">
        <v>129</v>
      </c>
      <c r="E63" s="12">
        <v>268000</v>
      </c>
      <c r="F63" s="13">
        <v>43994</v>
      </c>
    </row>
    <row r="64" spans="1:6">
      <c r="A64" s="12" t="s">
        <v>203</v>
      </c>
      <c r="B64" s="12" t="s">
        <v>204</v>
      </c>
      <c r="C64" s="12" t="s">
        <v>14</v>
      </c>
      <c r="D64" s="12" t="s">
        <v>56</v>
      </c>
      <c r="E64" s="12">
        <v>474000</v>
      </c>
      <c r="F64" s="12" t="s">
        <v>205</v>
      </c>
    </row>
    <row r="65" spans="1:6">
      <c r="A65" s="12" t="s">
        <v>206</v>
      </c>
      <c r="B65" s="12" t="s">
        <v>207</v>
      </c>
      <c r="C65" s="12" t="s">
        <v>11</v>
      </c>
      <c r="D65" s="12" t="s">
        <v>35</v>
      </c>
      <c r="E65" s="12">
        <v>365000</v>
      </c>
      <c r="F65" s="12" t="s">
        <v>208</v>
      </c>
    </row>
    <row r="66" spans="1:6">
      <c r="A66" s="12" t="s">
        <v>209</v>
      </c>
      <c r="B66" s="12" t="s">
        <v>210</v>
      </c>
      <c r="C66" s="12" t="s">
        <v>14</v>
      </c>
      <c r="D66" s="12" t="s">
        <v>89</v>
      </c>
      <c r="E66" s="12">
        <v>743000</v>
      </c>
      <c r="F66" s="12" t="s">
        <v>211</v>
      </c>
    </row>
    <row r="67" spans="1:6">
      <c r="A67" s="12" t="s">
        <v>212</v>
      </c>
      <c r="B67" s="12" t="s">
        <v>213</v>
      </c>
      <c r="C67" s="12" t="s">
        <v>11</v>
      </c>
      <c r="D67" s="12" t="s">
        <v>46</v>
      </c>
      <c r="E67" s="12">
        <v>555000</v>
      </c>
      <c r="F67" s="12" t="s">
        <v>214</v>
      </c>
    </row>
    <row r="68" spans="1:6">
      <c r="A68" s="12" t="s">
        <v>215</v>
      </c>
      <c r="B68" s="12" t="s">
        <v>216</v>
      </c>
      <c r="C68" s="12" t="s">
        <v>16</v>
      </c>
      <c r="D68" s="12" t="s">
        <v>129</v>
      </c>
      <c r="E68" s="12">
        <v>726000</v>
      </c>
      <c r="F68" s="12" t="s">
        <v>217</v>
      </c>
    </row>
    <row r="69" spans="1:6">
      <c r="A69" s="12" t="s">
        <v>218</v>
      </c>
      <c r="B69" s="12" t="s">
        <v>219</v>
      </c>
      <c r="C69" s="12" t="s">
        <v>19</v>
      </c>
      <c r="D69" s="12" t="s">
        <v>50</v>
      </c>
      <c r="E69" s="12">
        <v>759000</v>
      </c>
      <c r="F69" s="12" t="s">
        <v>220</v>
      </c>
    </row>
    <row r="70" spans="1:6">
      <c r="A70" s="12" t="s">
        <v>221</v>
      </c>
      <c r="B70" s="12" t="s">
        <v>222</v>
      </c>
      <c r="C70" s="12" t="s">
        <v>14</v>
      </c>
      <c r="D70" s="12" t="s">
        <v>72</v>
      </c>
      <c r="E70" s="12">
        <v>851000</v>
      </c>
      <c r="F70" s="12" t="s">
        <v>223</v>
      </c>
    </row>
    <row r="71" spans="1:6">
      <c r="A71" s="12" t="s">
        <v>224</v>
      </c>
      <c r="B71" s="12" t="s">
        <v>225</v>
      </c>
      <c r="C71" s="12" t="s">
        <v>11</v>
      </c>
      <c r="D71" s="12" t="s">
        <v>35</v>
      </c>
      <c r="E71" s="12">
        <v>272000</v>
      </c>
      <c r="F71" s="12" t="s">
        <v>226</v>
      </c>
    </row>
    <row r="72" spans="1:6">
      <c r="A72" s="12" t="s">
        <v>227</v>
      </c>
      <c r="B72" s="12" t="s">
        <v>228</v>
      </c>
      <c r="C72" s="12" t="s">
        <v>16</v>
      </c>
      <c r="D72" s="12" t="s">
        <v>173</v>
      </c>
      <c r="E72" s="12">
        <v>718000</v>
      </c>
      <c r="F72" s="12" t="s">
        <v>229</v>
      </c>
    </row>
    <row r="73" spans="1:6">
      <c r="A73" s="12" t="s">
        <v>230</v>
      </c>
      <c r="B73" s="12" t="s">
        <v>231</v>
      </c>
      <c r="C73" s="12" t="s">
        <v>19</v>
      </c>
      <c r="D73" s="12" t="s">
        <v>105</v>
      </c>
      <c r="E73" s="12">
        <v>361000</v>
      </c>
      <c r="F73" s="13">
        <v>44531</v>
      </c>
    </row>
    <row r="74" spans="1:6">
      <c r="A74" s="12" t="s">
        <v>232</v>
      </c>
      <c r="B74" s="12" t="s">
        <v>233</v>
      </c>
      <c r="C74" s="12" t="s">
        <v>14</v>
      </c>
      <c r="D74" s="12" t="s">
        <v>89</v>
      </c>
      <c r="E74" s="12">
        <v>760000</v>
      </c>
      <c r="F74" s="13">
        <v>44655</v>
      </c>
    </row>
    <row r="75" spans="1:6">
      <c r="A75" s="12" t="s">
        <v>234</v>
      </c>
      <c r="B75" s="12" t="s">
        <v>235</v>
      </c>
      <c r="C75" s="12" t="s">
        <v>11</v>
      </c>
      <c r="D75" s="12" t="s">
        <v>46</v>
      </c>
      <c r="E75" s="12">
        <v>387000</v>
      </c>
      <c r="F75" s="13">
        <v>42248</v>
      </c>
    </row>
    <row r="76" spans="1:6">
      <c r="A76" s="12" t="s">
        <v>236</v>
      </c>
      <c r="B76" s="12" t="s">
        <v>237</v>
      </c>
      <c r="C76" s="12" t="s">
        <v>19</v>
      </c>
      <c r="D76" s="12" t="s">
        <v>144</v>
      </c>
      <c r="E76" s="12">
        <v>714000</v>
      </c>
      <c r="F76" s="13">
        <v>43592</v>
      </c>
    </row>
    <row r="77" spans="1:6">
      <c r="A77" s="12" t="s">
        <v>238</v>
      </c>
      <c r="B77" s="12" t="s">
        <v>239</v>
      </c>
      <c r="C77" s="12" t="s">
        <v>16</v>
      </c>
      <c r="D77" s="12" t="s">
        <v>63</v>
      </c>
      <c r="E77" s="12">
        <v>291000</v>
      </c>
      <c r="F77" s="12" t="s">
        <v>240</v>
      </c>
    </row>
    <row r="78" spans="1:6">
      <c r="A78" s="12" t="s">
        <v>241</v>
      </c>
      <c r="B78" s="12" t="s">
        <v>31</v>
      </c>
      <c r="C78" s="12" t="s">
        <v>19</v>
      </c>
      <c r="D78" s="12" t="s">
        <v>97</v>
      </c>
      <c r="E78" s="12">
        <v>506000</v>
      </c>
      <c r="F78" s="12" t="s">
        <v>242</v>
      </c>
    </row>
    <row r="79" spans="1:6">
      <c r="A79" s="12" t="s">
        <v>243</v>
      </c>
      <c r="B79" s="12" t="s">
        <v>244</v>
      </c>
      <c r="C79" s="12" t="s">
        <v>32</v>
      </c>
      <c r="D79" s="12" t="s">
        <v>33</v>
      </c>
      <c r="E79" s="12">
        <v>873000</v>
      </c>
      <c r="F79" s="12" t="s">
        <v>245</v>
      </c>
    </row>
    <row r="80" spans="1:6">
      <c r="A80" s="12" t="s">
        <v>246</v>
      </c>
      <c r="B80" s="12" t="s">
        <v>247</v>
      </c>
      <c r="C80" s="12" t="s">
        <v>14</v>
      </c>
      <c r="D80" s="12" t="s">
        <v>72</v>
      </c>
      <c r="E80" s="12">
        <v>244000</v>
      </c>
      <c r="F80" s="13">
        <v>46119</v>
      </c>
    </row>
    <row r="81" spans="1:6">
      <c r="A81" s="12" t="s">
        <v>248</v>
      </c>
      <c r="B81" s="12" t="s">
        <v>249</v>
      </c>
      <c r="C81" s="12" t="s">
        <v>32</v>
      </c>
      <c r="D81" s="12" t="s">
        <v>117</v>
      </c>
      <c r="E81" s="12">
        <v>798000</v>
      </c>
      <c r="F81" s="12" t="s">
        <v>250</v>
      </c>
    </row>
    <row r="82" spans="1:6">
      <c r="A82" s="12" t="s">
        <v>251</v>
      </c>
      <c r="B82" s="12" t="s">
        <v>252</v>
      </c>
      <c r="C82" s="12" t="s">
        <v>11</v>
      </c>
      <c r="D82" s="12" t="s">
        <v>46</v>
      </c>
      <c r="E82" s="12">
        <v>307000</v>
      </c>
      <c r="F82" s="12" t="s">
        <v>253</v>
      </c>
    </row>
    <row r="83" spans="1:6">
      <c r="A83" s="12" t="s">
        <v>254</v>
      </c>
      <c r="B83" s="12" t="s">
        <v>255</v>
      </c>
      <c r="C83" s="12" t="s">
        <v>16</v>
      </c>
      <c r="D83" s="12" t="s">
        <v>129</v>
      </c>
      <c r="E83" s="12">
        <v>701000</v>
      </c>
      <c r="F83" s="12" t="s">
        <v>256</v>
      </c>
    </row>
    <row r="84" spans="1:6">
      <c r="A84" s="12" t="s">
        <v>257</v>
      </c>
      <c r="B84" s="12" t="s">
        <v>258</v>
      </c>
      <c r="C84" s="12" t="s">
        <v>32</v>
      </c>
      <c r="D84" s="12" t="s">
        <v>117</v>
      </c>
      <c r="E84" s="12">
        <v>875000</v>
      </c>
      <c r="F84" s="12" t="s">
        <v>259</v>
      </c>
    </row>
    <row r="85" spans="1:6">
      <c r="A85" s="12" t="s">
        <v>260</v>
      </c>
      <c r="B85" s="12" t="s">
        <v>261</v>
      </c>
      <c r="C85" s="12" t="s">
        <v>16</v>
      </c>
      <c r="D85" s="12" t="s">
        <v>63</v>
      </c>
      <c r="E85" s="12">
        <v>440000</v>
      </c>
      <c r="F85" s="13">
        <v>43716</v>
      </c>
    </row>
    <row r="86" spans="1:6">
      <c r="A86" s="12" t="s">
        <v>262</v>
      </c>
      <c r="B86" s="12" t="s">
        <v>263</v>
      </c>
      <c r="C86" s="12" t="s">
        <v>19</v>
      </c>
      <c r="D86" s="12" t="s">
        <v>97</v>
      </c>
      <c r="E86" s="12">
        <v>690000</v>
      </c>
      <c r="F86" s="13">
        <v>44506</v>
      </c>
    </row>
    <row r="87" spans="1:6">
      <c r="A87" s="12" t="s">
        <v>264</v>
      </c>
      <c r="B87" s="12" t="s">
        <v>265</v>
      </c>
      <c r="C87" s="12" t="s">
        <v>11</v>
      </c>
      <c r="D87" s="12" t="s">
        <v>35</v>
      </c>
      <c r="E87" s="12">
        <v>814000</v>
      </c>
      <c r="F87" s="12" t="s">
        <v>266</v>
      </c>
    </row>
    <row r="88" spans="1:6">
      <c r="A88" s="12" t="s">
        <v>267</v>
      </c>
      <c r="B88" s="12" t="s">
        <v>268</v>
      </c>
      <c r="C88" s="12" t="s">
        <v>14</v>
      </c>
      <c r="D88" s="12" t="s">
        <v>72</v>
      </c>
      <c r="E88" s="12">
        <v>212000</v>
      </c>
      <c r="F88" s="12" t="s">
        <v>269</v>
      </c>
    </row>
    <row r="89" spans="1:6">
      <c r="A89" s="12" t="s">
        <v>270</v>
      </c>
      <c r="B89" s="12" t="s">
        <v>261</v>
      </c>
      <c r="C89" s="12" t="s">
        <v>16</v>
      </c>
      <c r="D89" s="12" t="s">
        <v>129</v>
      </c>
      <c r="E89" s="12">
        <v>891000</v>
      </c>
      <c r="F89" s="12" t="s">
        <v>271</v>
      </c>
    </row>
    <row r="90" spans="1:6">
      <c r="A90" s="12" t="s">
        <v>272</v>
      </c>
      <c r="B90" s="12" t="s">
        <v>273</v>
      </c>
      <c r="C90" s="12" t="s">
        <v>19</v>
      </c>
      <c r="D90" s="12" t="s">
        <v>50</v>
      </c>
      <c r="E90" s="12">
        <v>677000</v>
      </c>
      <c r="F90" s="12" t="s">
        <v>274</v>
      </c>
    </row>
    <row r="91" spans="1:6">
      <c r="A91" s="12" t="s">
        <v>275</v>
      </c>
      <c r="B91" s="12" t="s">
        <v>276</v>
      </c>
      <c r="C91" s="12" t="s">
        <v>19</v>
      </c>
      <c r="D91" s="12" t="s">
        <v>97</v>
      </c>
      <c r="E91" s="12">
        <v>496000</v>
      </c>
      <c r="F91" s="12" t="s">
        <v>277</v>
      </c>
    </row>
    <row r="92" spans="1:6">
      <c r="A92" s="12" t="s">
        <v>278</v>
      </c>
      <c r="B92" s="12" t="s">
        <v>279</v>
      </c>
      <c r="C92" s="12" t="s">
        <v>14</v>
      </c>
      <c r="D92" s="12" t="s">
        <v>56</v>
      </c>
      <c r="E92" s="12">
        <v>414000</v>
      </c>
      <c r="F92" s="12" t="s">
        <v>280</v>
      </c>
    </row>
    <row r="93" spans="1:6">
      <c r="A93" s="12" t="s">
        <v>281</v>
      </c>
      <c r="B93" s="12" t="s">
        <v>282</v>
      </c>
      <c r="C93" s="12" t="s">
        <v>11</v>
      </c>
      <c r="D93" s="12" t="s">
        <v>46</v>
      </c>
      <c r="E93" s="12">
        <v>568000</v>
      </c>
      <c r="F93" s="12" t="s">
        <v>283</v>
      </c>
    </row>
    <row r="94" spans="1:6">
      <c r="A94" s="12" t="s">
        <v>284</v>
      </c>
      <c r="B94" s="12" t="s">
        <v>285</v>
      </c>
      <c r="C94" s="12" t="s">
        <v>14</v>
      </c>
      <c r="D94" s="12" t="s">
        <v>72</v>
      </c>
      <c r="E94" s="12">
        <v>709000</v>
      </c>
      <c r="F94" s="12" t="s">
        <v>286</v>
      </c>
    </row>
    <row r="95" spans="1:6">
      <c r="A95" s="12" t="s">
        <v>287</v>
      </c>
      <c r="B95" s="12" t="s">
        <v>288</v>
      </c>
      <c r="C95" s="12" t="s">
        <v>16</v>
      </c>
      <c r="D95" s="12" t="s">
        <v>173</v>
      </c>
      <c r="E95" s="12">
        <v>897000</v>
      </c>
      <c r="F95" s="13">
        <v>45902</v>
      </c>
    </row>
    <row r="96" spans="1:6">
      <c r="A96" s="12" t="s">
        <v>289</v>
      </c>
      <c r="B96" s="12" t="s">
        <v>290</v>
      </c>
      <c r="C96" s="12" t="s">
        <v>11</v>
      </c>
      <c r="D96" s="12" t="s">
        <v>78</v>
      </c>
      <c r="E96" s="12">
        <v>552000</v>
      </c>
      <c r="F96" s="13">
        <v>45175</v>
      </c>
    </row>
    <row r="97" spans="1:6">
      <c r="A97" s="12" t="s">
        <v>291</v>
      </c>
      <c r="B97" s="12" t="s">
        <v>292</v>
      </c>
      <c r="C97" s="12" t="s">
        <v>16</v>
      </c>
      <c r="D97" s="12" t="s">
        <v>63</v>
      </c>
      <c r="E97" s="12">
        <v>546000</v>
      </c>
      <c r="F97" s="13">
        <v>45119</v>
      </c>
    </row>
    <row r="98" spans="1:6">
      <c r="A98" s="12" t="s">
        <v>293</v>
      </c>
      <c r="B98" s="12" t="s">
        <v>294</v>
      </c>
      <c r="C98" s="12" t="s">
        <v>16</v>
      </c>
      <c r="D98" s="12" t="s">
        <v>63</v>
      </c>
      <c r="E98" s="12">
        <v>459000</v>
      </c>
      <c r="F98" s="13">
        <v>45143</v>
      </c>
    </row>
    <row r="99" spans="1:6">
      <c r="A99" s="12" t="s">
        <v>295</v>
      </c>
      <c r="B99" s="12" t="s">
        <v>296</v>
      </c>
      <c r="C99" s="12" t="s">
        <v>32</v>
      </c>
      <c r="D99" s="12" t="s">
        <v>117</v>
      </c>
      <c r="E99" s="12">
        <v>569000</v>
      </c>
      <c r="F99" s="13">
        <v>45481</v>
      </c>
    </row>
    <row r="100" spans="1:6">
      <c r="A100" s="12" t="s">
        <v>297</v>
      </c>
      <c r="B100" s="12" t="s">
        <v>298</v>
      </c>
      <c r="C100" s="12" t="s">
        <v>16</v>
      </c>
      <c r="D100" s="12" t="s">
        <v>30</v>
      </c>
      <c r="E100" s="12">
        <v>877000</v>
      </c>
      <c r="F100" s="12" t="s">
        <v>299</v>
      </c>
    </row>
    <row r="101" spans="1:6">
      <c r="A101" s="12" t="s">
        <v>300</v>
      </c>
      <c r="B101" s="12" t="s">
        <v>301</v>
      </c>
      <c r="C101" s="12" t="s">
        <v>19</v>
      </c>
      <c r="D101" s="12" t="s">
        <v>144</v>
      </c>
      <c r="E101" s="12">
        <v>394000</v>
      </c>
      <c r="F101" s="12" t="s">
        <v>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3A55E-A5E6-4856-92E9-2F7B68884845}">
  <dimension ref="A1:B11"/>
  <sheetViews>
    <sheetView tabSelected="1" workbookViewId="0">
      <selection activeCell="B11" sqref="B11"/>
    </sheetView>
  </sheetViews>
  <sheetFormatPr defaultRowHeight="15"/>
  <cols>
    <col min="1" max="1" width="15.42578125" customWidth="1"/>
    <col min="2" max="2" width="20.7109375" customWidth="1"/>
  </cols>
  <sheetData>
    <row r="1" spans="1:2">
      <c r="A1" s="1" t="s">
        <v>303</v>
      </c>
      <c r="B1" s="1" t="s">
        <v>304</v>
      </c>
    </row>
    <row r="2" spans="1:2">
      <c r="A2" s="2" t="s">
        <v>4</v>
      </c>
      <c r="B2" s="2" t="s">
        <v>267</v>
      </c>
    </row>
    <row r="3" spans="1:2">
      <c r="A3" s="2" t="s">
        <v>1</v>
      </c>
      <c r="B3" s="4" t="str">
        <f>INDEX('Base RH'!$B$2:$B$101,MATCH($B$2,'Base RH'!$A$2:$A$101,0))</f>
        <v>Babacar Sene</v>
      </c>
    </row>
    <row r="4" spans="1:2">
      <c r="A4" s="2" t="s">
        <v>2</v>
      </c>
      <c r="B4" s="4" t="str">
        <f>INDEX('Base RH'!$C$2:$C$101,MATCH('Recherche RH'!$B$2,'Base RH'!A2:A101,0))</f>
        <v>RH</v>
      </c>
    </row>
    <row r="5" spans="1:2">
      <c r="A5" s="2" t="s">
        <v>27</v>
      </c>
      <c r="B5" s="4" t="str">
        <f>INDEX('Base RH'!$D$2:$D$101,MATCH($B$2,'Base RH'!$A$2:$A$101,0))</f>
        <v>Gestionnaire de paie</v>
      </c>
    </row>
    <row r="6" spans="1:2">
      <c r="A6" s="2" t="s">
        <v>3</v>
      </c>
      <c r="B6" s="4">
        <f>INDEX('Base RH'!$E$2:$E$101,MATCH($B$2,'Base RH'!$A$2:$A$101,1))</f>
        <v>212000</v>
      </c>
    </row>
    <row r="7" spans="1:2">
      <c r="A7" s="2" t="s">
        <v>305</v>
      </c>
      <c r="B7" s="4" t="str">
        <f>INDEX('Base RH'!$F$2:$F$101,MATCH($B$2,'Base RH'!$A$2:$A$101,0))</f>
        <v>26/10/2025</v>
      </c>
    </row>
    <row r="9" spans="1:2">
      <c r="A9" s="15" t="s">
        <v>306</v>
      </c>
    </row>
    <row r="10" spans="1:2">
      <c r="A10" s="14" t="s">
        <v>307</v>
      </c>
      <c r="B10" s="4" t="s">
        <v>154</v>
      </c>
    </row>
    <row r="11" spans="1:2">
      <c r="A11" s="14" t="s">
        <v>308</v>
      </c>
      <c r="B11" t="str">
        <f>INDEX('Base RH'!$A$2:$A$101,MATCH('Recherche RH'!$B$10,'Base RH'!B2:B101,0))</f>
        <v>E044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2026-09-03T20:46:35Z</dcterms:created>
  <dcterms:modified xsi:type="dcterms:W3CDTF">2026-09-03T23:35:51Z</dcterms:modified>
  <cp:category/>
  <cp:contentStatus/>
</cp:coreProperties>
</file>