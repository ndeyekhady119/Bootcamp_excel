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581172E2-A0A7-4F77-83AE-E93FE5DC0835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Data_Brute " sheetId="3" r:id="rId1"/>
    <sheet name="Suivi_notes (2)" sheetId="4" r:id="rId2"/>
    <sheet name="Challenge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4" l="1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</calcChain>
</file>

<file path=xl/sharedStrings.xml><?xml version="1.0" encoding="utf-8"?>
<sst xmlns="http://schemas.openxmlformats.org/spreadsheetml/2006/main" count="1541" uniqueCount="213">
  <si>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</si>
  <si>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</si>
  <si>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</si>
  <si>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</si>
  <si>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</si>
  <si>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</si>
  <si>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</si>
  <si>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</si>
  <si>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</si>
  <si>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</si>
  <si>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</si>
  <si>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</si>
  <si>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</si>
  <si>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</si>
  <si>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</si>
  <si>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</si>
  <si>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</si>
  <si>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</si>
  <si>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</si>
  <si>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</si>
  <si>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</si>
  <si>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</si>
  <si>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</si>
  <si>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</si>
  <si>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</si>
  <si>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</si>
  <si>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</si>
  <si>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</si>
  <si>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</si>
  <si>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</si>
  <si>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</si>
  <si>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</si>
  <si>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</si>
  <si>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</si>
  <si>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</si>
  <si>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</si>
  <si>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</si>
  <si>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</si>
  <si>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 xml:space="preserve">  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</si>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</sst>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280C]dd/mm/yyyy;@"/>
    <numFmt numFmtId="165" formatCode="#,##0\ [$CFA-280C]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</cellXfs>
  <cellStyles count="1">
    <cellStyle name="Normal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499984740745262"/>
      </font>
      <fill>
        <patternFill patternType="solid">
          <bgColor theme="6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 patternType="solid">
          <bgColor theme="6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2132-0858-426F-B3E6-D3B87DDF8ED7}">
  <dimension ref="A1:L101"/>
  <sheetViews>
    <sheetView workbookViewId="0">
      <selection activeCell="J9" sqref="J9"/>
    </sheetView>
  </sheetViews>
  <sheetFormatPr defaultRowHeight="15"/>
  <cols>
    <col min="2" max="2" width="16.85546875" customWidth="1"/>
    <col min="4" max="4" width="15.28515625" customWidth="1"/>
    <col min="5" max="5" width="15.7109375" customWidth="1"/>
    <col min="6" max="7" width="9.140625" style="9"/>
    <col min="8" max="8" width="14.28515625" style="9" customWidth="1"/>
    <col min="9" max="9" width="15.7109375" style="9" customWidth="1"/>
    <col min="10" max="10" width="11.7109375" style="7" customWidth="1"/>
    <col min="11" max="11" width="14.42578125" style="5" customWidth="1"/>
    <col min="12" max="12" width="17.710937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9</v>
      </c>
      <c r="K1" s="4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9">
        <v>12.13</v>
      </c>
      <c r="G2" s="9">
        <v>11.08</v>
      </c>
      <c r="H2" s="9">
        <v>11.09</v>
      </c>
      <c r="I2" s="9">
        <v>14.41</v>
      </c>
      <c r="J2" s="7">
        <v>0.91869999999999996</v>
      </c>
      <c r="K2" s="5">
        <v>75000</v>
      </c>
      <c r="L2" s="3">
        <v>45854</v>
      </c>
    </row>
    <row r="3" spans="1:1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9">
        <v>15.39</v>
      </c>
      <c r="G3" s="9">
        <v>18.309999999999999</v>
      </c>
      <c r="H3" s="9">
        <v>20</v>
      </c>
      <c r="I3" s="9">
        <v>12.86</v>
      </c>
      <c r="J3" s="7">
        <v>0.81930000000000003</v>
      </c>
      <c r="K3" s="5">
        <v>90000</v>
      </c>
      <c r="L3" s="3">
        <v>45633</v>
      </c>
    </row>
    <row r="4" spans="1:12">
      <c r="A4" t="s">
        <v>22</v>
      </c>
      <c r="B4" t="s">
        <v>23</v>
      </c>
      <c r="C4" t="s">
        <v>19</v>
      </c>
      <c r="D4" t="s">
        <v>15</v>
      </c>
      <c r="E4" t="s">
        <v>16</v>
      </c>
      <c r="F4" s="9">
        <v>11.17</v>
      </c>
      <c r="G4" s="9">
        <v>14.41</v>
      </c>
      <c r="H4" s="9">
        <v>19.760000000000002</v>
      </c>
      <c r="I4" s="9">
        <v>13.06</v>
      </c>
      <c r="J4" s="7">
        <v>0.79079999999999995</v>
      </c>
      <c r="K4" s="5">
        <v>85000</v>
      </c>
      <c r="L4" s="3">
        <v>45682</v>
      </c>
    </row>
    <row r="5" spans="1:12">
      <c r="A5" t="s">
        <v>24</v>
      </c>
      <c r="B5" t="s">
        <v>25</v>
      </c>
      <c r="C5" t="s">
        <v>14</v>
      </c>
      <c r="D5" t="s">
        <v>20</v>
      </c>
      <c r="E5" t="s">
        <v>21</v>
      </c>
      <c r="F5" s="9">
        <v>14.17</v>
      </c>
      <c r="G5" s="9">
        <v>10.220000000000001</v>
      </c>
      <c r="H5" s="9">
        <v>10.26</v>
      </c>
      <c r="I5" s="9">
        <v>14.91</v>
      </c>
      <c r="J5" s="7">
        <v>0.76400000000000001</v>
      </c>
      <c r="K5" s="5">
        <v>120000</v>
      </c>
      <c r="L5" s="3">
        <v>45844</v>
      </c>
    </row>
    <row r="6" spans="1:12">
      <c r="A6" t="s">
        <v>26</v>
      </c>
      <c r="B6" t="s">
        <v>27</v>
      </c>
      <c r="C6" t="s">
        <v>14</v>
      </c>
      <c r="D6" t="s">
        <v>28</v>
      </c>
      <c r="E6" t="s">
        <v>29</v>
      </c>
      <c r="F6" s="9">
        <v>13.23</v>
      </c>
      <c r="G6" s="9">
        <v>10.49</v>
      </c>
      <c r="H6" s="9">
        <v>10.63</v>
      </c>
      <c r="I6" s="9">
        <v>13.04</v>
      </c>
      <c r="J6" s="7">
        <v>0.73070000000000002</v>
      </c>
      <c r="K6" s="5">
        <v>70000</v>
      </c>
      <c r="L6" s="3">
        <v>46019</v>
      </c>
    </row>
    <row r="7" spans="1:12">
      <c r="A7" t="s">
        <v>30</v>
      </c>
      <c r="B7" t="s">
        <v>31</v>
      </c>
      <c r="C7" t="s">
        <v>19</v>
      </c>
      <c r="D7" t="s">
        <v>32</v>
      </c>
      <c r="E7" t="s">
        <v>21</v>
      </c>
      <c r="F7" s="9">
        <v>16.079999999999998</v>
      </c>
      <c r="G7" s="9">
        <v>16.989999999999998</v>
      </c>
      <c r="H7" s="9">
        <v>12.22</v>
      </c>
      <c r="I7" s="9">
        <v>11.87</v>
      </c>
      <c r="J7" s="7">
        <v>0.7429</v>
      </c>
      <c r="K7" s="5">
        <v>85000</v>
      </c>
      <c r="L7" s="3">
        <v>45826</v>
      </c>
    </row>
    <row r="8" spans="1:12">
      <c r="A8" t="s">
        <v>33</v>
      </c>
      <c r="B8" t="s">
        <v>34</v>
      </c>
      <c r="C8" t="s">
        <v>14</v>
      </c>
      <c r="D8" t="s">
        <v>35</v>
      </c>
      <c r="E8" t="s">
        <v>21</v>
      </c>
      <c r="F8" s="9">
        <v>16.97</v>
      </c>
      <c r="G8" s="9">
        <v>18.260000000000002</v>
      </c>
      <c r="H8" s="9">
        <v>15.2</v>
      </c>
      <c r="I8" s="9">
        <v>12.16</v>
      </c>
      <c r="J8" s="7">
        <v>0.75839999999999996</v>
      </c>
      <c r="K8" s="5">
        <v>60000</v>
      </c>
      <c r="L8" s="3">
        <v>45915</v>
      </c>
    </row>
    <row r="9" spans="1:12">
      <c r="A9" t="s">
        <v>36</v>
      </c>
      <c r="B9" t="s">
        <v>37</v>
      </c>
      <c r="C9" t="s">
        <v>19</v>
      </c>
      <c r="D9" t="s">
        <v>20</v>
      </c>
      <c r="E9" t="s">
        <v>21</v>
      </c>
      <c r="F9" s="9">
        <v>7.57</v>
      </c>
      <c r="G9" s="9">
        <v>11.81</v>
      </c>
      <c r="H9" s="9">
        <v>12.87</v>
      </c>
      <c r="I9" s="9">
        <v>10.09</v>
      </c>
      <c r="J9" s="7" t="s">
        <v>38</v>
      </c>
      <c r="K9" s="5">
        <v>90000</v>
      </c>
      <c r="L9" s="3">
        <v>45901</v>
      </c>
    </row>
    <row r="10" spans="1:12">
      <c r="A10" t="s">
        <v>39</v>
      </c>
      <c r="B10" t="s">
        <v>40</v>
      </c>
      <c r="C10" t="s">
        <v>14</v>
      </c>
      <c r="D10" t="s">
        <v>20</v>
      </c>
      <c r="E10" t="s">
        <v>21</v>
      </c>
      <c r="F10" s="9">
        <v>7.43</v>
      </c>
      <c r="G10" s="9">
        <v>14.27</v>
      </c>
      <c r="H10" s="9">
        <v>12.08</v>
      </c>
      <c r="I10" s="9">
        <v>8.82</v>
      </c>
      <c r="J10" s="7">
        <v>0.87990000000000002</v>
      </c>
      <c r="K10" s="5">
        <v>50000</v>
      </c>
      <c r="L10" s="3">
        <v>45724</v>
      </c>
    </row>
    <row r="11" spans="1:12">
      <c r="A11" t="s">
        <v>41</v>
      </c>
      <c r="B11" t="s">
        <v>42</v>
      </c>
      <c r="C11" t="s">
        <v>14</v>
      </c>
      <c r="D11" t="s">
        <v>35</v>
      </c>
      <c r="E11" t="s">
        <v>43</v>
      </c>
      <c r="F11" s="9">
        <v>14.93</v>
      </c>
      <c r="G11" s="9">
        <v>19.32</v>
      </c>
      <c r="H11" s="9">
        <v>17.170000000000002</v>
      </c>
      <c r="I11" s="9">
        <v>16.940000000000001</v>
      </c>
      <c r="J11" s="7">
        <v>0.74860000000000004</v>
      </c>
      <c r="K11" s="5">
        <v>80000</v>
      </c>
      <c r="L11" s="3">
        <v>45731</v>
      </c>
    </row>
    <row r="12" spans="1:12">
      <c r="A12" t="s">
        <v>44</v>
      </c>
      <c r="B12" t="s">
        <v>45</v>
      </c>
      <c r="C12" t="s">
        <v>19</v>
      </c>
      <c r="D12" t="s">
        <v>32</v>
      </c>
      <c r="E12" t="s">
        <v>21</v>
      </c>
      <c r="F12" s="9">
        <v>10.02</v>
      </c>
      <c r="G12" s="9">
        <v>14.25</v>
      </c>
      <c r="H12" s="9">
        <v>13.71</v>
      </c>
      <c r="I12" s="9">
        <v>9.16</v>
      </c>
      <c r="J12" s="7">
        <v>0.78959999999999997</v>
      </c>
      <c r="K12" s="5">
        <v>50000</v>
      </c>
      <c r="L12" s="3">
        <v>45834</v>
      </c>
    </row>
    <row r="13" spans="1:12">
      <c r="A13" t="s">
        <v>46</v>
      </c>
      <c r="B13" t="s">
        <v>47</v>
      </c>
      <c r="C13" t="s">
        <v>19</v>
      </c>
      <c r="D13" t="s">
        <v>48</v>
      </c>
      <c r="E13" t="s">
        <v>16</v>
      </c>
      <c r="F13" s="9">
        <v>11.19</v>
      </c>
      <c r="G13" s="9">
        <v>7.93</v>
      </c>
      <c r="H13" s="9">
        <v>8.2100000000000009</v>
      </c>
      <c r="I13" s="9">
        <v>11.22</v>
      </c>
      <c r="J13" s="7">
        <v>0.9133</v>
      </c>
      <c r="K13" s="5">
        <v>75000</v>
      </c>
      <c r="L13" s="3">
        <v>45558</v>
      </c>
    </row>
    <row r="14" spans="1:12">
      <c r="A14" t="s">
        <v>49</v>
      </c>
      <c r="B14" t="s">
        <v>50</v>
      </c>
      <c r="C14" t="s">
        <v>19</v>
      </c>
      <c r="D14" t="s">
        <v>28</v>
      </c>
      <c r="E14" t="s">
        <v>16</v>
      </c>
      <c r="F14" s="9">
        <v>15.52</v>
      </c>
      <c r="G14" s="9">
        <v>18.95</v>
      </c>
      <c r="H14" s="9">
        <v>14.41</v>
      </c>
      <c r="I14" s="9">
        <v>14.9</v>
      </c>
      <c r="J14" s="7">
        <v>0.87109999999999999</v>
      </c>
      <c r="K14" s="5">
        <v>85000</v>
      </c>
      <c r="L14" s="3">
        <v>46015</v>
      </c>
    </row>
    <row r="15" spans="1:12">
      <c r="A15" t="s">
        <v>51</v>
      </c>
      <c r="B15" t="s">
        <v>52</v>
      </c>
      <c r="C15" t="s">
        <v>19</v>
      </c>
      <c r="D15" t="s">
        <v>32</v>
      </c>
      <c r="E15" t="s">
        <v>43</v>
      </c>
      <c r="F15" s="9">
        <v>17.22</v>
      </c>
      <c r="G15" s="9">
        <v>16.38</v>
      </c>
      <c r="H15" s="9">
        <v>14.95</v>
      </c>
      <c r="I15" s="9">
        <v>15.12</v>
      </c>
      <c r="J15" s="7">
        <v>0.73260000000000003</v>
      </c>
      <c r="K15" s="5">
        <v>75000</v>
      </c>
      <c r="L15" s="3">
        <v>45966</v>
      </c>
    </row>
    <row r="16" spans="1:12">
      <c r="A16" t="s">
        <v>53</v>
      </c>
      <c r="B16" t="s">
        <v>54</v>
      </c>
      <c r="C16" t="s">
        <v>19</v>
      </c>
      <c r="D16" t="s">
        <v>15</v>
      </c>
      <c r="E16" t="s">
        <v>21</v>
      </c>
      <c r="F16" s="9">
        <v>10.09</v>
      </c>
      <c r="G16" s="9">
        <v>8.77</v>
      </c>
      <c r="H16" s="9">
        <v>5.93</v>
      </c>
      <c r="I16" s="9">
        <v>12.28</v>
      </c>
      <c r="J16" s="7">
        <v>0.95089999999999997</v>
      </c>
      <c r="K16" s="5">
        <v>80000</v>
      </c>
      <c r="L16" s="3">
        <v>45750</v>
      </c>
    </row>
    <row r="17" spans="1:12">
      <c r="A17" t="s">
        <v>55</v>
      </c>
      <c r="B17" t="s">
        <v>56</v>
      </c>
      <c r="C17" t="s">
        <v>19</v>
      </c>
      <c r="D17" t="s">
        <v>32</v>
      </c>
      <c r="E17" t="s">
        <v>21</v>
      </c>
      <c r="F17" s="9">
        <v>14.6</v>
      </c>
      <c r="G17" s="9">
        <v>13.07</v>
      </c>
      <c r="H17" s="9">
        <v>11.79</v>
      </c>
      <c r="I17" s="9">
        <v>13.08</v>
      </c>
      <c r="J17" s="7">
        <v>0.79810000000000003</v>
      </c>
      <c r="K17" s="5">
        <v>60000</v>
      </c>
      <c r="L17" s="3">
        <v>45797</v>
      </c>
    </row>
    <row r="18" spans="1:12">
      <c r="A18" t="s">
        <v>57</v>
      </c>
      <c r="B18" t="s">
        <v>58</v>
      </c>
      <c r="C18" t="s">
        <v>19</v>
      </c>
      <c r="D18" t="s">
        <v>15</v>
      </c>
      <c r="E18" t="s">
        <v>43</v>
      </c>
      <c r="F18" s="9">
        <v>18.2</v>
      </c>
      <c r="G18" s="9">
        <v>16.52</v>
      </c>
      <c r="H18" s="9">
        <v>13.29</v>
      </c>
      <c r="I18" s="9">
        <v>13.86</v>
      </c>
      <c r="J18" s="7">
        <v>0.84589999999999999</v>
      </c>
      <c r="K18" s="5">
        <v>100000</v>
      </c>
      <c r="L18" s="3">
        <v>45766</v>
      </c>
    </row>
    <row r="19" spans="1:12">
      <c r="A19" t="s">
        <v>59</v>
      </c>
      <c r="B19" t="s">
        <v>60</v>
      </c>
      <c r="C19" t="s">
        <v>14</v>
      </c>
      <c r="D19" t="s">
        <v>15</v>
      </c>
      <c r="E19" t="s">
        <v>43</v>
      </c>
      <c r="F19" s="9">
        <v>15.58</v>
      </c>
      <c r="G19" s="9">
        <v>11.27</v>
      </c>
      <c r="H19" s="9">
        <v>16.43</v>
      </c>
      <c r="I19" s="9">
        <v>13.24</v>
      </c>
      <c r="J19" s="7">
        <v>0.55000000000000004</v>
      </c>
      <c r="K19" s="5">
        <v>110000</v>
      </c>
      <c r="L19" s="3">
        <v>45991</v>
      </c>
    </row>
    <row r="20" spans="1:12">
      <c r="A20" t="s">
        <v>61</v>
      </c>
      <c r="B20" t="s">
        <v>62</v>
      </c>
      <c r="C20" t="s">
        <v>19</v>
      </c>
      <c r="D20" t="s">
        <v>15</v>
      </c>
      <c r="E20" t="s">
        <v>43</v>
      </c>
      <c r="F20" s="9">
        <v>15.42</v>
      </c>
      <c r="G20" s="9">
        <v>17.21</v>
      </c>
      <c r="H20" s="9">
        <v>16.010000000000002</v>
      </c>
      <c r="I20" s="9">
        <v>14.75</v>
      </c>
      <c r="J20" s="7">
        <v>0.55000000000000004</v>
      </c>
      <c r="K20" s="5">
        <v>85000</v>
      </c>
      <c r="L20" s="3">
        <v>46067</v>
      </c>
    </row>
    <row r="21" spans="1:12">
      <c r="A21" t="s">
        <v>63</v>
      </c>
      <c r="B21" t="s">
        <v>64</v>
      </c>
      <c r="C21" t="s">
        <v>14</v>
      </c>
      <c r="D21" t="s">
        <v>20</v>
      </c>
      <c r="E21" t="s">
        <v>21</v>
      </c>
      <c r="F21" s="9">
        <v>12.83</v>
      </c>
      <c r="G21" s="9">
        <v>7.87</v>
      </c>
      <c r="H21" s="9">
        <v>11.11</v>
      </c>
      <c r="I21" s="9">
        <v>9.27</v>
      </c>
      <c r="J21" s="7">
        <v>0.82350000000000001</v>
      </c>
      <c r="K21" s="5">
        <v>50000</v>
      </c>
      <c r="L21" s="3">
        <v>45612</v>
      </c>
    </row>
    <row r="22" spans="1:12">
      <c r="A22" t="s">
        <v>65</v>
      </c>
      <c r="B22" t="s">
        <v>66</v>
      </c>
      <c r="C22" t="s">
        <v>19</v>
      </c>
      <c r="D22" t="s">
        <v>28</v>
      </c>
      <c r="E22" t="s">
        <v>21</v>
      </c>
      <c r="F22" s="9">
        <v>14.68</v>
      </c>
      <c r="G22" s="9">
        <v>15.64</v>
      </c>
      <c r="H22" s="9">
        <v>10.58</v>
      </c>
      <c r="I22" s="9">
        <v>12.5</v>
      </c>
      <c r="J22" s="7">
        <v>0.87709999999999999</v>
      </c>
      <c r="K22" s="5">
        <v>50000</v>
      </c>
      <c r="L22" s="3">
        <v>45825</v>
      </c>
    </row>
    <row r="23" spans="1:12">
      <c r="A23" t="s">
        <v>67</v>
      </c>
      <c r="B23" t="s">
        <v>68</v>
      </c>
      <c r="C23" t="s">
        <v>14</v>
      </c>
      <c r="D23" t="s">
        <v>15</v>
      </c>
      <c r="E23" t="s">
        <v>16</v>
      </c>
      <c r="F23" s="9">
        <v>11.98</v>
      </c>
      <c r="G23" s="9">
        <v>11.91</v>
      </c>
      <c r="H23" s="9">
        <v>9.59</v>
      </c>
      <c r="I23" s="9">
        <v>8.1</v>
      </c>
      <c r="J23" s="7">
        <v>0.83630000000000004</v>
      </c>
      <c r="K23" s="5">
        <v>100000</v>
      </c>
      <c r="L23" s="3">
        <v>45545</v>
      </c>
    </row>
    <row r="24" spans="1:12">
      <c r="A24" t="s">
        <v>69</v>
      </c>
      <c r="B24" t="s">
        <v>70</v>
      </c>
      <c r="C24" t="s">
        <v>14</v>
      </c>
      <c r="D24" t="s">
        <v>48</v>
      </c>
      <c r="E24" t="s">
        <v>43</v>
      </c>
      <c r="F24" s="9">
        <v>10.3</v>
      </c>
      <c r="G24" s="9">
        <v>11.97</v>
      </c>
      <c r="H24" s="9">
        <v>13.81</v>
      </c>
      <c r="I24" s="9">
        <v>10.81</v>
      </c>
      <c r="J24" s="7">
        <v>0.94589999999999996</v>
      </c>
      <c r="K24" s="5">
        <v>130000</v>
      </c>
      <c r="L24" s="3">
        <v>45852</v>
      </c>
    </row>
    <row r="25" spans="1:12">
      <c r="A25" t="s">
        <v>71</v>
      </c>
      <c r="B25" t="s">
        <v>72</v>
      </c>
      <c r="C25" t="s">
        <v>19</v>
      </c>
      <c r="D25" t="s">
        <v>28</v>
      </c>
      <c r="E25" t="s">
        <v>29</v>
      </c>
      <c r="F25" s="9">
        <v>17.48</v>
      </c>
      <c r="G25" s="9">
        <v>14.67</v>
      </c>
      <c r="H25" s="9">
        <v>10.02</v>
      </c>
      <c r="I25" s="9">
        <v>16.63</v>
      </c>
      <c r="J25" s="7">
        <v>0.58579999999999999</v>
      </c>
      <c r="K25" s="5">
        <v>120000</v>
      </c>
      <c r="L25" s="3">
        <v>45709</v>
      </c>
    </row>
    <row r="26" spans="1:12">
      <c r="A26" t="s">
        <v>73</v>
      </c>
      <c r="B26" t="s">
        <v>74</v>
      </c>
      <c r="C26" t="s">
        <v>19</v>
      </c>
      <c r="D26" t="s">
        <v>32</v>
      </c>
      <c r="E26" t="s">
        <v>21</v>
      </c>
      <c r="F26" s="9">
        <v>20</v>
      </c>
      <c r="G26" s="9">
        <v>17.690000000000001</v>
      </c>
      <c r="H26" s="9">
        <v>20</v>
      </c>
      <c r="I26" s="9">
        <v>17.84</v>
      </c>
      <c r="J26" s="7">
        <v>0.9405</v>
      </c>
      <c r="K26" s="5">
        <v>80000</v>
      </c>
      <c r="L26" s="3">
        <v>45771</v>
      </c>
    </row>
    <row r="27" spans="1:12">
      <c r="A27" t="s">
        <v>75</v>
      </c>
      <c r="B27" t="s">
        <v>76</v>
      </c>
      <c r="C27" t="s">
        <v>19</v>
      </c>
      <c r="D27" t="s">
        <v>32</v>
      </c>
      <c r="E27" t="s">
        <v>43</v>
      </c>
      <c r="F27" s="9">
        <v>18.41</v>
      </c>
      <c r="G27" s="9">
        <v>20</v>
      </c>
      <c r="H27" s="9">
        <v>14.71</v>
      </c>
      <c r="I27" s="9">
        <v>20</v>
      </c>
      <c r="J27" s="7">
        <v>0.81899999999999995</v>
      </c>
      <c r="K27" s="5">
        <v>85000</v>
      </c>
      <c r="L27" s="3">
        <v>45855</v>
      </c>
    </row>
    <row r="28" spans="1:12">
      <c r="A28" t="s">
        <v>77</v>
      </c>
      <c r="B28" t="s">
        <v>78</v>
      </c>
      <c r="C28" t="s">
        <v>14</v>
      </c>
      <c r="D28" t="s">
        <v>15</v>
      </c>
      <c r="E28" t="s">
        <v>21</v>
      </c>
      <c r="F28" s="9">
        <v>20</v>
      </c>
      <c r="G28" s="9">
        <v>20</v>
      </c>
      <c r="H28" s="9">
        <v>19.239999999999998</v>
      </c>
      <c r="I28" s="9">
        <v>20</v>
      </c>
      <c r="J28" s="7">
        <v>0.76739999999999997</v>
      </c>
      <c r="K28" s="5">
        <v>60000</v>
      </c>
      <c r="L28" s="3">
        <v>45762</v>
      </c>
    </row>
    <row r="29" spans="1:12">
      <c r="A29" t="s">
        <v>79</v>
      </c>
      <c r="B29" t="s">
        <v>80</v>
      </c>
      <c r="C29" t="s">
        <v>19</v>
      </c>
      <c r="D29" t="s">
        <v>48</v>
      </c>
      <c r="E29" t="s">
        <v>29</v>
      </c>
      <c r="F29" s="9">
        <v>8.86</v>
      </c>
      <c r="G29" s="9">
        <v>14.37</v>
      </c>
      <c r="H29" s="9">
        <v>11.44</v>
      </c>
      <c r="I29" s="9">
        <v>14.76</v>
      </c>
      <c r="J29" s="7">
        <v>0.81159999999999999</v>
      </c>
      <c r="K29" s="5">
        <v>50000</v>
      </c>
      <c r="L29" s="3">
        <v>45811</v>
      </c>
    </row>
    <row r="30" spans="1:12">
      <c r="A30" t="s">
        <v>81</v>
      </c>
      <c r="B30" t="s">
        <v>54</v>
      </c>
      <c r="C30" t="s">
        <v>19</v>
      </c>
      <c r="D30" t="s">
        <v>15</v>
      </c>
      <c r="E30" t="s">
        <v>43</v>
      </c>
      <c r="F30" s="9">
        <v>14.37</v>
      </c>
      <c r="G30" s="9">
        <v>14.83</v>
      </c>
      <c r="H30" s="9">
        <v>17</v>
      </c>
      <c r="I30" s="9">
        <v>17.43</v>
      </c>
      <c r="J30" s="7">
        <v>0.97089999999999999</v>
      </c>
      <c r="K30" s="5">
        <v>110000</v>
      </c>
      <c r="L30" s="3">
        <v>46071</v>
      </c>
    </row>
    <row r="31" spans="1:12">
      <c r="A31" t="s">
        <v>82</v>
      </c>
      <c r="B31" t="s">
        <v>83</v>
      </c>
      <c r="C31" t="s">
        <v>14</v>
      </c>
      <c r="D31" t="s">
        <v>32</v>
      </c>
      <c r="E31" t="s">
        <v>16</v>
      </c>
      <c r="F31" s="9">
        <v>15.56</v>
      </c>
      <c r="G31" s="9">
        <v>17.899999999999999</v>
      </c>
      <c r="H31" s="9">
        <v>20</v>
      </c>
      <c r="I31" s="9">
        <v>17.23</v>
      </c>
      <c r="J31" s="7">
        <v>0.55000000000000004</v>
      </c>
      <c r="K31" s="5">
        <v>80000</v>
      </c>
      <c r="L31" s="3">
        <v>46103</v>
      </c>
    </row>
    <row r="32" spans="1:12">
      <c r="A32" t="s">
        <v>84</v>
      </c>
      <c r="B32" t="s">
        <v>85</v>
      </c>
      <c r="C32" t="s">
        <v>14</v>
      </c>
      <c r="D32" t="s">
        <v>35</v>
      </c>
      <c r="E32" t="s">
        <v>21</v>
      </c>
      <c r="F32" s="9">
        <v>12.24</v>
      </c>
      <c r="G32" s="9">
        <v>16.73</v>
      </c>
      <c r="H32" s="9">
        <v>9.0399999999999991</v>
      </c>
      <c r="I32" s="9">
        <v>17.5</v>
      </c>
      <c r="J32" s="7">
        <v>0.98560000000000003</v>
      </c>
      <c r="K32" s="5">
        <v>85000</v>
      </c>
      <c r="L32" s="3">
        <v>45540</v>
      </c>
    </row>
    <row r="33" spans="1:12">
      <c r="A33" t="s">
        <v>86</v>
      </c>
      <c r="B33" t="s">
        <v>87</v>
      </c>
      <c r="C33" t="s">
        <v>14</v>
      </c>
      <c r="D33" t="s">
        <v>35</v>
      </c>
      <c r="E33" t="s">
        <v>16</v>
      </c>
      <c r="F33" s="9">
        <v>19.11</v>
      </c>
      <c r="G33" s="9">
        <v>12.44</v>
      </c>
      <c r="H33" s="9">
        <v>15.6</v>
      </c>
      <c r="I33" s="9">
        <v>17.84</v>
      </c>
      <c r="J33" s="7">
        <v>0.93830000000000002</v>
      </c>
      <c r="K33" s="5">
        <v>75000</v>
      </c>
      <c r="L33" s="3">
        <v>45800</v>
      </c>
    </row>
    <row r="34" spans="1:12">
      <c r="A34" t="s">
        <v>88</v>
      </c>
      <c r="B34" t="s">
        <v>89</v>
      </c>
      <c r="C34" t="s">
        <v>14</v>
      </c>
      <c r="D34" t="s">
        <v>48</v>
      </c>
      <c r="E34" t="s">
        <v>29</v>
      </c>
      <c r="F34" s="9">
        <v>15.66</v>
      </c>
      <c r="G34" s="9">
        <v>16.04</v>
      </c>
      <c r="H34" s="9">
        <v>12.03</v>
      </c>
      <c r="I34" s="9">
        <v>17.8</v>
      </c>
      <c r="J34" s="7">
        <v>0.79310000000000003</v>
      </c>
      <c r="K34" s="5">
        <v>75000</v>
      </c>
      <c r="L34" s="3">
        <v>46128</v>
      </c>
    </row>
    <row r="35" spans="1:12">
      <c r="A35" t="s">
        <v>90</v>
      </c>
      <c r="B35" t="s">
        <v>91</v>
      </c>
      <c r="C35" t="s">
        <v>19</v>
      </c>
      <c r="D35" t="s">
        <v>28</v>
      </c>
      <c r="E35" t="s">
        <v>21</v>
      </c>
      <c r="F35" s="9">
        <v>12.44</v>
      </c>
      <c r="G35" s="9">
        <v>9.73</v>
      </c>
      <c r="H35" s="9">
        <v>14.47</v>
      </c>
      <c r="I35" s="9">
        <v>14.79</v>
      </c>
      <c r="J35" s="7">
        <v>0.85240000000000005</v>
      </c>
      <c r="K35" s="5">
        <v>130000</v>
      </c>
      <c r="L35" s="3">
        <v>45907</v>
      </c>
    </row>
    <row r="36" spans="1:12">
      <c r="A36" t="s">
        <v>92</v>
      </c>
      <c r="B36" t="s">
        <v>93</v>
      </c>
      <c r="C36" t="s">
        <v>19</v>
      </c>
      <c r="D36" t="s">
        <v>28</v>
      </c>
      <c r="E36" t="s">
        <v>21</v>
      </c>
      <c r="F36" s="9">
        <v>11.52</v>
      </c>
      <c r="G36" s="9">
        <v>14.33</v>
      </c>
      <c r="H36" s="9">
        <v>11.2</v>
      </c>
      <c r="I36" s="9">
        <v>10.91</v>
      </c>
      <c r="J36" s="7">
        <v>0.75270000000000004</v>
      </c>
      <c r="K36" s="5">
        <v>110000</v>
      </c>
      <c r="L36" s="3">
        <v>45679</v>
      </c>
    </row>
    <row r="37" spans="1:12">
      <c r="A37" t="s">
        <v>94</v>
      </c>
      <c r="B37" t="s">
        <v>95</v>
      </c>
      <c r="C37" t="s">
        <v>14</v>
      </c>
      <c r="D37" t="s">
        <v>15</v>
      </c>
      <c r="E37" t="s">
        <v>29</v>
      </c>
      <c r="F37" s="9">
        <v>7.93</v>
      </c>
      <c r="G37" s="9">
        <v>17.28</v>
      </c>
      <c r="H37" s="9">
        <v>12.82</v>
      </c>
      <c r="I37" s="9">
        <v>12.15</v>
      </c>
      <c r="J37" s="7">
        <v>0.7046</v>
      </c>
      <c r="K37" s="5">
        <v>100000</v>
      </c>
      <c r="L37" s="3">
        <v>45951</v>
      </c>
    </row>
    <row r="38" spans="1:12">
      <c r="A38" t="s">
        <v>96</v>
      </c>
      <c r="B38" t="s">
        <v>97</v>
      </c>
      <c r="C38" t="s">
        <v>19</v>
      </c>
      <c r="D38" t="s">
        <v>15</v>
      </c>
      <c r="E38" t="s">
        <v>29</v>
      </c>
      <c r="F38" s="9">
        <v>13.6</v>
      </c>
      <c r="G38" s="9">
        <v>15.85</v>
      </c>
      <c r="H38" s="9">
        <v>13.47</v>
      </c>
      <c r="I38" s="9">
        <v>14.43</v>
      </c>
      <c r="J38" s="7">
        <v>0.92279999999999995</v>
      </c>
      <c r="K38" s="5">
        <v>80000</v>
      </c>
      <c r="L38" s="3">
        <v>45637</v>
      </c>
    </row>
    <row r="39" spans="1:12">
      <c r="A39" t="s">
        <v>98</v>
      </c>
      <c r="B39" t="s">
        <v>99</v>
      </c>
      <c r="C39" t="s">
        <v>19</v>
      </c>
      <c r="D39" t="s">
        <v>20</v>
      </c>
      <c r="E39" t="s">
        <v>16</v>
      </c>
      <c r="F39" s="9">
        <v>15.67</v>
      </c>
      <c r="G39" s="9">
        <v>9.23</v>
      </c>
      <c r="H39" s="9">
        <v>15.43</v>
      </c>
      <c r="I39" s="9">
        <v>14.78</v>
      </c>
      <c r="J39" s="7">
        <v>0.82920000000000005</v>
      </c>
      <c r="K39" s="5">
        <v>100000</v>
      </c>
      <c r="L39" s="3">
        <v>45551</v>
      </c>
    </row>
    <row r="40" spans="1:12">
      <c r="A40" t="s">
        <v>100</v>
      </c>
      <c r="B40" t="s">
        <v>101</v>
      </c>
      <c r="C40" t="s">
        <v>14</v>
      </c>
      <c r="D40" t="s">
        <v>15</v>
      </c>
      <c r="E40" t="s">
        <v>21</v>
      </c>
      <c r="F40" s="9">
        <v>13.07</v>
      </c>
      <c r="G40" s="9">
        <v>16.190000000000001</v>
      </c>
      <c r="H40" s="9">
        <v>11.47</v>
      </c>
      <c r="I40" s="9">
        <v>12.77</v>
      </c>
      <c r="J40" s="7">
        <v>0.92720000000000002</v>
      </c>
      <c r="K40" s="5">
        <v>75000</v>
      </c>
      <c r="L40" s="3">
        <v>45978</v>
      </c>
    </row>
    <row r="41" spans="1:12">
      <c r="A41" t="s">
        <v>102</v>
      </c>
      <c r="B41" t="s">
        <v>72</v>
      </c>
      <c r="C41" t="s">
        <v>19</v>
      </c>
      <c r="D41" t="s">
        <v>48</v>
      </c>
      <c r="E41" t="s">
        <v>16</v>
      </c>
      <c r="F41" s="9">
        <v>13.55</v>
      </c>
      <c r="G41" s="9">
        <v>13.79</v>
      </c>
      <c r="H41" s="9">
        <v>18.309999999999999</v>
      </c>
      <c r="I41" s="9">
        <v>14.86</v>
      </c>
      <c r="J41" s="7">
        <v>0.95599999999999996</v>
      </c>
      <c r="K41" s="5">
        <v>85000</v>
      </c>
      <c r="L41" s="3">
        <v>45896</v>
      </c>
    </row>
    <row r="42" spans="1:12">
      <c r="A42" t="s">
        <v>103</v>
      </c>
      <c r="B42" t="s">
        <v>104</v>
      </c>
      <c r="C42" t="s">
        <v>14</v>
      </c>
      <c r="D42" t="s">
        <v>15</v>
      </c>
      <c r="E42" t="s">
        <v>16</v>
      </c>
      <c r="F42" s="9">
        <v>15.33</v>
      </c>
      <c r="G42" s="9">
        <v>11.39</v>
      </c>
      <c r="H42" s="9">
        <v>11.75</v>
      </c>
      <c r="I42" s="9">
        <v>7.17</v>
      </c>
      <c r="J42" s="7">
        <v>0.77600000000000002</v>
      </c>
      <c r="K42" s="5">
        <v>60000</v>
      </c>
      <c r="L42" s="3">
        <v>46065</v>
      </c>
    </row>
    <row r="43" spans="1:12">
      <c r="A43" t="s">
        <v>105</v>
      </c>
      <c r="B43" t="s">
        <v>106</v>
      </c>
      <c r="C43" t="s">
        <v>19</v>
      </c>
      <c r="D43" t="s">
        <v>32</v>
      </c>
      <c r="E43" t="s">
        <v>29</v>
      </c>
      <c r="F43" s="9">
        <v>18.57</v>
      </c>
      <c r="G43" s="9">
        <v>17.399999999999999</v>
      </c>
      <c r="H43" s="9">
        <v>12.73</v>
      </c>
      <c r="I43" s="9">
        <v>19.309999999999999</v>
      </c>
      <c r="J43" s="7">
        <v>0.90200000000000002</v>
      </c>
      <c r="K43" s="5">
        <v>100000</v>
      </c>
      <c r="L43" s="3">
        <v>45777</v>
      </c>
    </row>
    <row r="44" spans="1:12">
      <c r="A44" t="s">
        <v>107</v>
      </c>
      <c r="B44" t="s">
        <v>108</v>
      </c>
      <c r="C44" t="s">
        <v>19</v>
      </c>
      <c r="D44" t="s">
        <v>15</v>
      </c>
      <c r="E44" t="s">
        <v>16</v>
      </c>
      <c r="F44" s="9">
        <v>15.7</v>
      </c>
      <c r="G44" s="9">
        <v>15.52</v>
      </c>
      <c r="H44" s="9">
        <v>18.27</v>
      </c>
      <c r="I44" s="9">
        <v>13.98</v>
      </c>
      <c r="J44" s="7">
        <v>0.94040000000000001</v>
      </c>
      <c r="K44" s="5">
        <v>50000</v>
      </c>
      <c r="L44" s="3">
        <v>46133</v>
      </c>
    </row>
    <row r="45" spans="1:12">
      <c r="A45" t="s">
        <v>109</v>
      </c>
      <c r="B45" t="s">
        <v>110</v>
      </c>
      <c r="C45" t="s">
        <v>14</v>
      </c>
      <c r="D45" t="s">
        <v>32</v>
      </c>
      <c r="E45" t="s">
        <v>16</v>
      </c>
      <c r="F45" s="9">
        <v>9.0399999999999991</v>
      </c>
      <c r="G45" s="9">
        <v>9.3699999999999992</v>
      </c>
      <c r="H45" s="9">
        <v>10.09</v>
      </c>
      <c r="I45" s="9">
        <v>10.94</v>
      </c>
      <c r="J45" s="7">
        <v>0.86899999999999999</v>
      </c>
      <c r="K45" s="5">
        <v>100000</v>
      </c>
      <c r="L45" s="3">
        <v>45830</v>
      </c>
    </row>
    <row r="46" spans="1:12">
      <c r="A46" t="s">
        <v>111</v>
      </c>
      <c r="B46" t="s">
        <v>112</v>
      </c>
      <c r="C46" t="s">
        <v>14</v>
      </c>
      <c r="D46" t="s">
        <v>48</v>
      </c>
      <c r="E46" t="s">
        <v>43</v>
      </c>
      <c r="F46" s="9">
        <v>17.010000000000002</v>
      </c>
      <c r="G46" s="9">
        <v>16.510000000000002</v>
      </c>
      <c r="H46" s="9">
        <v>20</v>
      </c>
      <c r="I46" s="9">
        <v>20</v>
      </c>
      <c r="J46" s="7">
        <v>0.91449999999999998</v>
      </c>
      <c r="K46" s="5">
        <v>90000</v>
      </c>
      <c r="L46" s="3">
        <v>46052</v>
      </c>
    </row>
    <row r="47" spans="1:12">
      <c r="A47" t="s">
        <v>113</v>
      </c>
      <c r="B47" t="s">
        <v>114</v>
      </c>
      <c r="C47" t="s">
        <v>19</v>
      </c>
      <c r="D47" t="s">
        <v>35</v>
      </c>
      <c r="E47" t="s">
        <v>43</v>
      </c>
      <c r="F47" s="9">
        <v>10.33</v>
      </c>
      <c r="G47" s="9">
        <v>12.77</v>
      </c>
      <c r="H47" s="9">
        <v>14.98</v>
      </c>
      <c r="I47" s="9">
        <v>12.66</v>
      </c>
      <c r="J47" s="7">
        <v>0.98260000000000003</v>
      </c>
      <c r="K47" s="5">
        <v>50000</v>
      </c>
      <c r="L47" s="3">
        <v>45606</v>
      </c>
    </row>
    <row r="48" spans="1:12">
      <c r="A48" t="s">
        <v>115</v>
      </c>
      <c r="B48" t="s">
        <v>116</v>
      </c>
      <c r="C48" t="s">
        <v>14</v>
      </c>
      <c r="D48" t="s">
        <v>48</v>
      </c>
      <c r="E48" t="s">
        <v>29</v>
      </c>
      <c r="F48" s="9">
        <v>6.68</v>
      </c>
      <c r="G48" s="9">
        <v>8.36</v>
      </c>
      <c r="H48" s="9">
        <v>7.31</v>
      </c>
      <c r="I48" s="9">
        <v>11.94</v>
      </c>
      <c r="J48" s="7">
        <v>0.94130000000000003</v>
      </c>
      <c r="K48" s="5">
        <v>85000</v>
      </c>
      <c r="L48" s="3">
        <v>45604</v>
      </c>
    </row>
    <row r="49" spans="1:12">
      <c r="A49" t="s">
        <v>117</v>
      </c>
      <c r="B49" t="s">
        <v>118</v>
      </c>
      <c r="C49" t="s">
        <v>19</v>
      </c>
      <c r="D49" t="s">
        <v>20</v>
      </c>
      <c r="E49" t="s">
        <v>21</v>
      </c>
      <c r="F49" s="9">
        <v>8.2799999999999994</v>
      </c>
      <c r="G49" s="9">
        <v>8.5299999999999994</v>
      </c>
      <c r="H49" s="9">
        <v>10.59</v>
      </c>
      <c r="I49" s="9">
        <v>7.74</v>
      </c>
      <c r="J49" s="7">
        <v>0.93630000000000002</v>
      </c>
      <c r="K49" s="5">
        <v>70000</v>
      </c>
      <c r="L49" s="3">
        <v>46083</v>
      </c>
    </row>
    <row r="50" spans="1:12">
      <c r="A50" t="s">
        <v>119</v>
      </c>
      <c r="B50" t="s">
        <v>120</v>
      </c>
      <c r="C50" t="s">
        <v>19</v>
      </c>
      <c r="D50" t="s">
        <v>20</v>
      </c>
      <c r="E50" t="s">
        <v>43</v>
      </c>
      <c r="F50" s="9">
        <v>9.2799999999999994</v>
      </c>
      <c r="G50" s="9">
        <v>10.31</v>
      </c>
      <c r="H50" s="9">
        <v>11.11</v>
      </c>
      <c r="I50" s="9">
        <v>15.82</v>
      </c>
      <c r="J50" s="7">
        <v>0.92930000000000001</v>
      </c>
      <c r="K50" s="5">
        <v>85000</v>
      </c>
      <c r="L50" s="3">
        <v>46119</v>
      </c>
    </row>
    <row r="51" spans="1:12">
      <c r="A51" t="s">
        <v>121</v>
      </c>
      <c r="B51" t="s">
        <v>122</v>
      </c>
      <c r="C51" t="s">
        <v>19</v>
      </c>
      <c r="D51" t="s">
        <v>28</v>
      </c>
      <c r="E51" t="s">
        <v>16</v>
      </c>
      <c r="F51" s="9">
        <v>11.37</v>
      </c>
      <c r="G51" s="9">
        <v>14.79</v>
      </c>
      <c r="H51" s="9">
        <v>17.2</v>
      </c>
      <c r="I51" s="9">
        <v>15.94</v>
      </c>
      <c r="J51" s="7">
        <v>0.77490000000000003</v>
      </c>
      <c r="K51" s="5">
        <v>50000</v>
      </c>
      <c r="L51" s="3">
        <v>46195</v>
      </c>
    </row>
    <row r="52" spans="1:12">
      <c r="A52" t="s">
        <v>123</v>
      </c>
      <c r="B52" t="s">
        <v>124</v>
      </c>
      <c r="C52" t="s">
        <v>19</v>
      </c>
      <c r="D52" t="s">
        <v>35</v>
      </c>
      <c r="E52" t="s">
        <v>43</v>
      </c>
      <c r="F52" s="9">
        <v>9.2899999999999991</v>
      </c>
      <c r="G52" s="9">
        <v>12.74</v>
      </c>
      <c r="H52" s="9">
        <v>13.9</v>
      </c>
      <c r="I52" s="9">
        <v>13.09</v>
      </c>
      <c r="J52" s="7">
        <v>0.95179999999999998</v>
      </c>
      <c r="K52" s="5">
        <v>100000</v>
      </c>
      <c r="L52" s="3">
        <v>45763</v>
      </c>
    </row>
    <row r="53" spans="1:12">
      <c r="A53" t="s">
        <v>125</v>
      </c>
      <c r="B53" t="s">
        <v>126</v>
      </c>
      <c r="C53" t="s">
        <v>14</v>
      </c>
      <c r="D53" t="s">
        <v>48</v>
      </c>
      <c r="E53" t="s">
        <v>43</v>
      </c>
      <c r="F53" s="9">
        <v>13.04</v>
      </c>
      <c r="G53" s="9">
        <v>9.85</v>
      </c>
      <c r="H53" s="9">
        <v>13.14</v>
      </c>
      <c r="I53" s="9">
        <v>15.59</v>
      </c>
      <c r="J53" s="7">
        <v>0.9385</v>
      </c>
      <c r="K53" s="5">
        <v>85000</v>
      </c>
      <c r="L53" s="3">
        <v>45551</v>
      </c>
    </row>
    <row r="54" spans="1:12">
      <c r="A54" t="s">
        <v>127</v>
      </c>
      <c r="B54" t="s">
        <v>128</v>
      </c>
      <c r="C54" t="s">
        <v>14</v>
      </c>
      <c r="D54" t="s">
        <v>32</v>
      </c>
      <c r="E54" t="s">
        <v>21</v>
      </c>
      <c r="F54" s="9">
        <v>15.75</v>
      </c>
      <c r="G54" s="9">
        <v>17.809999999999999</v>
      </c>
      <c r="H54" s="9">
        <v>15</v>
      </c>
      <c r="I54" s="9">
        <v>12.56</v>
      </c>
      <c r="J54" s="7">
        <v>0.92410000000000003</v>
      </c>
      <c r="K54" s="5">
        <v>75000</v>
      </c>
      <c r="L54" s="3">
        <v>46221</v>
      </c>
    </row>
    <row r="55" spans="1:12">
      <c r="A55" t="s">
        <v>129</v>
      </c>
      <c r="B55" t="s">
        <v>130</v>
      </c>
      <c r="C55" t="s">
        <v>14</v>
      </c>
      <c r="D55" t="s">
        <v>32</v>
      </c>
      <c r="E55" t="s">
        <v>16</v>
      </c>
      <c r="F55" s="9">
        <v>18.190000000000001</v>
      </c>
      <c r="G55" s="9">
        <v>8.83</v>
      </c>
      <c r="H55" s="9">
        <v>14.54</v>
      </c>
      <c r="I55" s="9">
        <v>13.72</v>
      </c>
      <c r="J55" s="7">
        <v>0.79700000000000004</v>
      </c>
      <c r="K55" s="5">
        <v>120000</v>
      </c>
      <c r="L55" s="3">
        <v>45956</v>
      </c>
    </row>
    <row r="56" spans="1:12">
      <c r="A56" t="s">
        <v>131</v>
      </c>
      <c r="B56" t="s">
        <v>132</v>
      </c>
      <c r="C56" t="s">
        <v>14</v>
      </c>
      <c r="D56" t="s">
        <v>28</v>
      </c>
      <c r="E56" t="s">
        <v>16</v>
      </c>
      <c r="F56" s="9">
        <v>12.91</v>
      </c>
      <c r="G56" s="9">
        <v>13.8</v>
      </c>
      <c r="H56" s="9">
        <v>17.46</v>
      </c>
      <c r="I56" s="9">
        <v>17.46</v>
      </c>
      <c r="J56" s="7">
        <v>0.80020000000000002</v>
      </c>
      <c r="K56" s="5">
        <v>100000</v>
      </c>
      <c r="L56" s="3">
        <v>45708</v>
      </c>
    </row>
    <row r="57" spans="1:12">
      <c r="A57" t="s">
        <v>133</v>
      </c>
      <c r="B57" t="s">
        <v>134</v>
      </c>
      <c r="C57" t="s">
        <v>14</v>
      </c>
      <c r="D57" t="s">
        <v>28</v>
      </c>
      <c r="E57" t="s">
        <v>29</v>
      </c>
      <c r="F57" s="9">
        <v>15.3</v>
      </c>
      <c r="G57" s="9">
        <v>13.68</v>
      </c>
      <c r="H57" s="9">
        <v>14.86</v>
      </c>
      <c r="I57" s="9">
        <v>10.44</v>
      </c>
      <c r="J57" s="7">
        <v>0.89</v>
      </c>
      <c r="K57" s="5">
        <v>90000</v>
      </c>
      <c r="L57" s="3">
        <v>46070</v>
      </c>
    </row>
    <row r="58" spans="1:12">
      <c r="A58" t="s">
        <v>135</v>
      </c>
      <c r="B58" t="s">
        <v>136</v>
      </c>
      <c r="C58" t="s">
        <v>19</v>
      </c>
      <c r="D58" t="s">
        <v>35</v>
      </c>
      <c r="E58" t="s">
        <v>29</v>
      </c>
      <c r="F58" s="9">
        <v>15.91</v>
      </c>
      <c r="G58" s="9">
        <v>15.95</v>
      </c>
      <c r="H58" s="9">
        <v>14.56</v>
      </c>
      <c r="I58" s="9">
        <v>16.36</v>
      </c>
      <c r="J58" s="7">
        <v>0.74680000000000002</v>
      </c>
      <c r="K58" s="5">
        <v>60000</v>
      </c>
      <c r="L58" s="3">
        <v>46168</v>
      </c>
    </row>
    <row r="59" spans="1:12">
      <c r="A59" t="s">
        <v>137</v>
      </c>
      <c r="B59" t="s">
        <v>104</v>
      </c>
      <c r="C59" t="s">
        <v>14</v>
      </c>
      <c r="D59" t="s">
        <v>15</v>
      </c>
      <c r="E59" t="s">
        <v>21</v>
      </c>
      <c r="F59" s="9">
        <v>7.04</v>
      </c>
      <c r="G59" s="9">
        <v>9.23</v>
      </c>
      <c r="H59" s="9">
        <v>6.56</v>
      </c>
      <c r="I59" s="9">
        <v>8.67</v>
      </c>
      <c r="J59" s="7">
        <v>0.6895</v>
      </c>
      <c r="K59" s="5">
        <v>85000</v>
      </c>
      <c r="L59" s="3">
        <v>45735</v>
      </c>
    </row>
    <row r="60" spans="1:12">
      <c r="A60" t="s">
        <v>138</v>
      </c>
      <c r="B60" t="s">
        <v>139</v>
      </c>
      <c r="C60" t="s">
        <v>19</v>
      </c>
      <c r="D60" t="s">
        <v>32</v>
      </c>
      <c r="E60" t="s">
        <v>43</v>
      </c>
      <c r="F60" s="9">
        <v>14.12</v>
      </c>
      <c r="G60" s="9">
        <v>15.36</v>
      </c>
      <c r="H60" s="9">
        <v>11.46</v>
      </c>
      <c r="I60" s="9">
        <v>16.71</v>
      </c>
      <c r="J60" s="7">
        <v>0.9617</v>
      </c>
      <c r="K60" s="5">
        <v>100000</v>
      </c>
      <c r="L60" s="3">
        <v>46074</v>
      </c>
    </row>
    <row r="61" spans="1:12">
      <c r="A61" t="s">
        <v>140</v>
      </c>
      <c r="B61" t="s">
        <v>141</v>
      </c>
      <c r="C61" t="s">
        <v>19</v>
      </c>
      <c r="D61" t="s">
        <v>35</v>
      </c>
      <c r="E61" t="s">
        <v>43</v>
      </c>
      <c r="F61" s="9">
        <v>9.1</v>
      </c>
      <c r="G61" s="9">
        <v>6.23</v>
      </c>
      <c r="H61" s="9">
        <v>4.51</v>
      </c>
      <c r="I61" s="9">
        <v>3.81</v>
      </c>
      <c r="J61" s="7">
        <v>0.91279999999999994</v>
      </c>
      <c r="K61" s="5">
        <v>130000</v>
      </c>
      <c r="L61" s="3">
        <v>46087</v>
      </c>
    </row>
    <row r="62" spans="1:12">
      <c r="A62" t="s">
        <v>142</v>
      </c>
      <c r="B62" t="s">
        <v>143</v>
      </c>
      <c r="C62" t="s">
        <v>19</v>
      </c>
      <c r="D62" t="s">
        <v>20</v>
      </c>
      <c r="E62" t="s">
        <v>43</v>
      </c>
      <c r="F62" s="9">
        <v>14.32</v>
      </c>
      <c r="G62" s="9">
        <v>15.29</v>
      </c>
      <c r="H62" s="9">
        <v>12.15</v>
      </c>
      <c r="I62" s="9">
        <v>17.04</v>
      </c>
      <c r="J62" s="7">
        <v>0.55000000000000004</v>
      </c>
      <c r="K62" s="5">
        <v>90000</v>
      </c>
      <c r="L62" s="3">
        <v>45887</v>
      </c>
    </row>
    <row r="63" spans="1:12">
      <c r="A63" t="s">
        <v>144</v>
      </c>
      <c r="B63" t="s">
        <v>145</v>
      </c>
      <c r="C63" t="s">
        <v>19</v>
      </c>
      <c r="D63" t="s">
        <v>20</v>
      </c>
      <c r="E63" t="s">
        <v>21</v>
      </c>
      <c r="F63" s="9">
        <v>12.92</v>
      </c>
      <c r="G63" s="9">
        <v>14.32</v>
      </c>
      <c r="H63" s="9">
        <v>16.98</v>
      </c>
      <c r="I63" s="9">
        <v>12.16</v>
      </c>
      <c r="J63" s="7">
        <v>0.95489999999999997</v>
      </c>
      <c r="K63" s="5">
        <v>60000</v>
      </c>
      <c r="L63" s="3">
        <v>45978</v>
      </c>
    </row>
    <row r="64" spans="1:12">
      <c r="A64" t="s">
        <v>146</v>
      </c>
      <c r="B64" t="s">
        <v>147</v>
      </c>
      <c r="C64" t="s">
        <v>14</v>
      </c>
      <c r="D64" t="s">
        <v>15</v>
      </c>
      <c r="E64" t="s">
        <v>29</v>
      </c>
      <c r="F64" s="9">
        <v>15.64</v>
      </c>
      <c r="G64" s="9">
        <v>13.06</v>
      </c>
      <c r="H64" s="9">
        <v>16.170000000000002</v>
      </c>
      <c r="I64" s="9">
        <v>15.34</v>
      </c>
      <c r="J64" s="7">
        <v>0.84250000000000003</v>
      </c>
      <c r="K64" s="5">
        <v>100000</v>
      </c>
      <c r="L64" s="3">
        <v>45724</v>
      </c>
    </row>
    <row r="65" spans="1:12">
      <c r="A65" t="s">
        <v>148</v>
      </c>
      <c r="B65" t="s">
        <v>47</v>
      </c>
      <c r="C65" t="s">
        <v>19</v>
      </c>
      <c r="D65" t="s">
        <v>15</v>
      </c>
      <c r="E65" t="s">
        <v>16</v>
      </c>
      <c r="F65" s="9">
        <v>13.82</v>
      </c>
      <c r="G65" s="9">
        <v>20</v>
      </c>
      <c r="H65" s="9">
        <v>18.579999999999998</v>
      </c>
      <c r="I65" s="9">
        <v>14.04</v>
      </c>
      <c r="J65" s="7">
        <v>0.9204</v>
      </c>
      <c r="K65" s="5">
        <v>50000</v>
      </c>
      <c r="L65" s="3">
        <v>46186</v>
      </c>
    </row>
    <row r="66" spans="1:12">
      <c r="A66" t="s">
        <v>149</v>
      </c>
      <c r="B66" t="s">
        <v>150</v>
      </c>
      <c r="C66" t="s">
        <v>14</v>
      </c>
      <c r="D66" t="s">
        <v>15</v>
      </c>
      <c r="E66" t="s">
        <v>16</v>
      </c>
      <c r="F66" s="9">
        <v>12.29</v>
      </c>
      <c r="G66" s="9">
        <v>11.3</v>
      </c>
      <c r="H66" s="9">
        <v>8.81</v>
      </c>
      <c r="I66" s="9">
        <v>11.57</v>
      </c>
      <c r="J66" s="7">
        <v>0.80159999999999998</v>
      </c>
      <c r="K66" s="5">
        <v>75000</v>
      </c>
      <c r="L66" s="3">
        <v>46224</v>
      </c>
    </row>
    <row r="67" spans="1:12">
      <c r="A67" t="s">
        <v>151</v>
      </c>
      <c r="B67" t="s">
        <v>152</v>
      </c>
      <c r="C67" t="s">
        <v>14</v>
      </c>
      <c r="D67" t="s">
        <v>20</v>
      </c>
      <c r="E67" t="s">
        <v>29</v>
      </c>
      <c r="F67" s="9">
        <v>10.73</v>
      </c>
      <c r="G67" s="9">
        <v>13.42</v>
      </c>
      <c r="H67" s="9">
        <v>13.55</v>
      </c>
      <c r="I67" s="9">
        <v>12.89</v>
      </c>
      <c r="J67" s="7">
        <v>0.87060000000000004</v>
      </c>
      <c r="K67" s="5">
        <v>130000</v>
      </c>
      <c r="L67" s="3">
        <v>46222</v>
      </c>
    </row>
    <row r="68" spans="1:12">
      <c r="A68" t="s">
        <v>153</v>
      </c>
      <c r="B68" t="s">
        <v>154</v>
      </c>
      <c r="C68" t="s">
        <v>19</v>
      </c>
      <c r="D68" t="s">
        <v>32</v>
      </c>
      <c r="E68" t="s">
        <v>43</v>
      </c>
      <c r="F68" s="9">
        <v>12.39</v>
      </c>
      <c r="G68" s="9">
        <v>16.12</v>
      </c>
      <c r="H68" s="9">
        <v>14.7</v>
      </c>
      <c r="I68" s="9">
        <v>12.31</v>
      </c>
      <c r="J68" s="7">
        <v>0.84919999999999995</v>
      </c>
      <c r="K68" s="5">
        <v>110000</v>
      </c>
      <c r="L68" s="3">
        <v>46051</v>
      </c>
    </row>
    <row r="69" spans="1:12">
      <c r="A69" t="s">
        <v>155</v>
      </c>
      <c r="B69" t="s">
        <v>156</v>
      </c>
      <c r="C69" t="s">
        <v>14</v>
      </c>
      <c r="D69" t="s">
        <v>35</v>
      </c>
      <c r="E69" t="s">
        <v>29</v>
      </c>
      <c r="F69" s="9">
        <v>12.99</v>
      </c>
      <c r="G69" s="9">
        <v>13.03</v>
      </c>
      <c r="H69" s="9">
        <v>11.16</v>
      </c>
      <c r="I69" s="9">
        <v>13.55</v>
      </c>
      <c r="J69" s="7">
        <v>0.80720000000000003</v>
      </c>
      <c r="K69" s="5">
        <v>120000</v>
      </c>
      <c r="L69" s="3">
        <v>45565</v>
      </c>
    </row>
    <row r="70" spans="1:12">
      <c r="A70" t="s">
        <v>157</v>
      </c>
      <c r="B70" t="s">
        <v>110</v>
      </c>
      <c r="C70" t="s">
        <v>14</v>
      </c>
      <c r="D70" t="s">
        <v>32</v>
      </c>
      <c r="E70" t="s">
        <v>29</v>
      </c>
      <c r="F70" s="9">
        <v>16.13</v>
      </c>
      <c r="G70" s="9">
        <v>12.81</v>
      </c>
      <c r="H70" s="9">
        <v>14.09</v>
      </c>
      <c r="I70" s="9">
        <v>11.94</v>
      </c>
      <c r="J70" s="7">
        <v>0.86950000000000005</v>
      </c>
      <c r="K70" s="5">
        <v>75000</v>
      </c>
      <c r="L70" s="3">
        <v>45792</v>
      </c>
    </row>
    <row r="71" spans="1:12">
      <c r="A71" t="s">
        <v>158</v>
      </c>
      <c r="B71" t="s">
        <v>159</v>
      </c>
      <c r="C71" t="s">
        <v>14</v>
      </c>
      <c r="D71" t="s">
        <v>15</v>
      </c>
      <c r="E71" t="s">
        <v>29</v>
      </c>
      <c r="F71" s="9">
        <v>14.26</v>
      </c>
      <c r="G71" s="9">
        <v>18.48</v>
      </c>
      <c r="H71" s="9">
        <v>15.37</v>
      </c>
      <c r="I71" s="9">
        <v>13.49</v>
      </c>
      <c r="J71" s="7">
        <v>0.72430000000000005</v>
      </c>
      <c r="K71" s="5">
        <v>100000</v>
      </c>
      <c r="L71" s="3">
        <v>45847</v>
      </c>
    </row>
    <row r="72" spans="1:12">
      <c r="A72" t="s">
        <v>160</v>
      </c>
      <c r="B72" t="s">
        <v>161</v>
      </c>
      <c r="C72" t="s">
        <v>19</v>
      </c>
      <c r="D72" t="s">
        <v>32</v>
      </c>
      <c r="E72" t="s">
        <v>21</v>
      </c>
      <c r="F72" s="9">
        <v>12.56</v>
      </c>
      <c r="G72" s="9">
        <v>8.91</v>
      </c>
      <c r="H72" s="9">
        <v>7.47</v>
      </c>
      <c r="I72" s="9">
        <v>10.68</v>
      </c>
      <c r="J72" s="7">
        <v>0.7157</v>
      </c>
      <c r="K72" s="5">
        <v>100000</v>
      </c>
      <c r="L72" s="3">
        <v>46207</v>
      </c>
    </row>
    <row r="73" spans="1:12">
      <c r="A73" t="s">
        <v>162</v>
      </c>
      <c r="B73" t="s">
        <v>163</v>
      </c>
      <c r="C73" t="s">
        <v>14</v>
      </c>
      <c r="D73" t="s">
        <v>28</v>
      </c>
      <c r="E73" t="s">
        <v>21</v>
      </c>
      <c r="F73" s="9">
        <v>13.48</v>
      </c>
      <c r="G73" s="9">
        <v>16.010000000000002</v>
      </c>
      <c r="H73" s="9">
        <v>17.98</v>
      </c>
      <c r="I73" s="9">
        <v>16.399999999999999</v>
      </c>
      <c r="J73" s="7">
        <v>0.88990000000000002</v>
      </c>
      <c r="K73" s="5">
        <v>70000</v>
      </c>
      <c r="L73" s="3">
        <v>45918</v>
      </c>
    </row>
    <row r="74" spans="1:12">
      <c r="A74" t="s">
        <v>164</v>
      </c>
      <c r="B74" t="s">
        <v>165</v>
      </c>
      <c r="C74" t="s">
        <v>14</v>
      </c>
      <c r="D74" t="s">
        <v>20</v>
      </c>
      <c r="E74" t="s">
        <v>16</v>
      </c>
      <c r="F74" s="9">
        <v>14.73</v>
      </c>
      <c r="G74" s="9">
        <v>14.56</v>
      </c>
      <c r="H74" s="9">
        <v>16.13</v>
      </c>
      <c r="I74" s="9">
        <v>14.69</v>
      </c>
      <c r="J74" s="7">
        <v>0.76880000000000004</v>
      </c>
      <c r="K74" s="5">
        <v>130000</v>
      </c>
      <c r="L74" s="3">
        <v>45911</v>
      </c>
    </row>
    <row r="75" spans="1:12">
      <c r="A75" t="s">
        <v>166</v>
      </c>
      <c r="B75" t="s">
        <v>128</v>
      </c>
      <c r="C75" t="s">
        <v>14</v>
      </c>
      <c r="D75" t="s">
        <v>35</v>
      </c>
      <c r="E75" t="s">
        <v>16</v>
      </c>
      <c r="F75" s="9">
        <v>9.31</v>
      </c>
      <c r="G75" s="9">
        <v>9.74</v>
      </c>
      <c r="H75" s="9">
        <v>10.34</v>
      </c>
      <c r="I75" s="9">
        <v>10.8</v>
      </c>
      <c r="J75" s="7">
        <v>0.90290000000000004</v>
      </c>
      <c r="K75" s="5">
        <v>130000</v>
      </c>
      <c r="L75" s="3">
        <v>45638</v>
      </c>
    </row>
    <row r="76" spans="1:12">
      <c r="A76" t="s">
        <v>167</v>
      </c>
      <c r="B76" t="s">
        <v>168</v>
      </c>
      <c r="C76" t="s">
        <v>19</v>
      </c>
      <c r="D76" t="s">
        <v>20</v>
      </c>
      <c r="E76" t="s">
        <v>16</v>
      </c>
      <c r="F76" s="9">
        <v>17.55</v>
      </c>
      <c r="G76" s="9">
        <v>17.57</v>
      </c>
      <c r="H76" s="9">
        <v>14.3</v>
      </c>
      <c r="I76" s="9">
        <v>17.66</v>
      </c>
      <c r="J76" s="7">
        <v>0.96130000000000004</v>
      </c>
      <c r="K76" s="5">
        <v>60000</v>
      </c>
      <c r="L76" s="3">
        <v>46091</v>
      </c>
    </row>
    <row r="77" spans="1:12">
      <c r="A77" t="s">
        <v>169</v>
      </c>
      <c r="B77" t="s">
        <v>170</v>
      </c>
      <c r="C77" t="s">
        <v>14</v>
      </c>
      <c r="D77" t="s">
        <v>32</v>
      </c>
      <c r="E77" t="s">
        <v>21</v>
      </c>
      <c r="F77" s="9">
        <v>13.96</v>
      </c>
      <c r="G77" s="9">
        <v>18.23</v>
      </c>
      <c r="H77" s="9">
        <v>12.42</v>
      </c>
      <c r="I77" s="9">
        <v>17.739999999999998</v>
      </c>
      <c r="J77" s="7">
        <v>0.65480000000000005</v>
      </c>
      <c r="K77" s="5">
        <v>110000</v>
      </c>
      <c r="L77" s="3">
        <v>45771</v>
      </c>
    </row>
    <row r="78" spans="1:12">
      <c r="A78" t="s">
        <v>171</v>
      </c>
      <c r="B78" t="s">
        <v>104</v>
      </c>
      <c r="C78" t="s">
        <v>14</v>
      </c>
      <c r="D78" t="s">
        <v>32</v>
      </c>
      <c r="E78" t="s">
        <v>29</v>
      </c>
      <c r="F78" s="9">
        <v>16.010000000000002</v>
      </c>
      <c r="G78" s="9">
        <v>13.43</v>
      </c>
      <c r="H78" s="9">
        <v>14.48</v>
      </c>
      <c r="I78" s="9">
        <v>13</v>
      </c>
      <c r="J78" s="7">
        <v>0.92200000000000004</v>
      </c>
      <c r="K78" s="5">
        <v>80000</v>
      </c>
      <c r="L78" s="3">
        <v>45600</v>
      </c>
    </row>
    <row r="79" spans="1:12">
      <c r="A79" t="s">
        <v>172</v>
      </c>
      <c r="B79" t="s">
        <v>173</v>
      </c>
      <c r="C79" t="s">
        <v>14</v>
      </c>
      <c r="D79" t="s">
        <v>35</v>
      </c>
      <c r="E79" t="s">
        <v>21</v>
      </c>
      <c r="F79" s="9">
        <v>10.82</v>
      </c>
      <c r="G79" s="9">
        <v>13.48</v>
      </c>
      <c r="H79" s="9">
        <v>15.12</v>
      </c>
      <c r="I79" s="9">
        <v>8.9700000000000006</v>
      </c>
      <c r="J79" s="7">
        <v>0.83409999999999995</v>
      </c>
      <c r="K79" s="5">
        <v>100000</v>
      </c>
      <c r="L79" s="3">
        <v>46227</v>
      </c>
    </row>
    <row r="80" spans="1:12">
      <c r="A80" t="s">
        <v>174</v>
      </c>
      <c r="B80" t="s">
        <v>175</v>
      </c>
      <c r="C80" t="s">
        <v>19</v>
      </c>
      <c r="D80" t="s">
        <v>15</v>
      </c>
      <c r="E80" t="s">
        <v>43</v>
      </c>
      <c r="F80" s="9">
        <v>9.67</v>
      </c>
      <c r="G80" s="9">
        <v>11.6</v>
      </c>
      <c r="H80" s="9">
        <v>11.74</v>
      </c>
      <c r="I80" s="9">
        <v>11.16</v>
      </c>
      <c r="J80" s="7">
        <v>0.87749999999999995</v>
      </c>
      <c r="K80" s="5">
        <v>90000</v>
      </c>
      <c r="L80" s="3">
        <v>45669</v>
      </c>
    </row>
    <row r="81" spans="1:12">
      <c r="A81" t="s">
        <v>176</v>
      </c>
      <c r="B81" t="s">
        <v>177</v>
      </c>
      <c r="C81" t="s">
        <v>19</v>
      </c>
      <c r="D81" t="s">
        <v>48</v>
      </c>
      <c r="E81" t="s">
        <v>43</v>
      </c>
      <c r="F81" s="9">
        <v>9.24</v>
      </c>
      <c r="G81" s="9">
        <v>10.43</v>
      </c>
      <c r="H81" s="9">
        <v>9.15</v>
      </c>
      <c r="I81" s="9">
        <v>12.93</v>
      </c>
      <c r="J81" s="7">
        <v>0.95140000000000002</v>
      </c>
      <c r="K81" s="5">
        <v>70000</v>
      </c>
      <c r="L81" s="3">
        <v>45547</v>
      </c>
    </row>
    <row r="82" spans="1:12">
      <c r="A82" t="s">
        <v>178</v>
      </c>
      <c r="B82" t="s">
        <v>179</v>
      </c>
      <c r="C82" t="s">
        <v>19</v>
      </c>
      <c r="D82" t="s">
        <v>20</v>
      </c>
      <c r="E82" t="s">
        <v>29</v>
      </c>
      <c r="F82" s="9">
        <v>15.58</v>
      </c>
      <c r="G82" s="9">
        <v>14.85</v>
      </c>
      <c r="H82" s="9">
        <v>15.71</v>
      </c>
      <c r="I82" s="9">
        <v>11.71</v>
      </c>
      <c r="J82" s="7">
        <v>0.84179999999999999</v>
      </c>
      <c r="K82" s="5">
        <v>60000</v>
      </c>
      <c r="L82" s="3">
        <v>45590</v>
      </c>
    </row>
    <row r="83" spans="1:12">
      <c r="A83" t="s">
        <v>180</v>
      </c>
      <c r="B83" t="s">
        <v>181</v>
      </c>
      <c r="C83" t="s">
        <v>14</v>
      </c>
      <c r="D83" t="s">
        <v>28</v>
      </c>
      <c r="E83" t="s">
        <v>29</v>
      </c>
      <c r="F83" s="9">
        <v>12.79</v>
      </c>
      <c r="G83" s="9">
        <v>10.57</v>
      </c>
      <c r="H83" s="9">
        <v>10.91</v>
      </c>
      <c r="I83" s="9">
        <v>8.76</v>
      </c>
      <c r="J83" s="7">
        <v>0.93310000000000004</v>
      </c>
      <c r="K83" s="5">
        <v>85000</v>
      </c>
      <c r="L83" s="3">
        <v>45852</v>
      </c>
    </row>
    <row r="84" spans="1:12">
      <c r="A84" t="s">
        <v>182</v>
      </c>
      <c r="B84" t="s">
        <v>183</v>
      </c>
      <c r="C84" t="s">
        <v>14</v>
      </c>
      <c r="D84" t="s">
        <v>48</v>
      </c>
      <c r="E84" t="s">
        <v>16</v>
      </c>
      <c r="F84" s="9">
        <v>15.33</v>
      </c>
      <c r="G84" s="9">
        <v>13.59</v>
      </c>
      <c r="H84" s="9">
        <v>16.829999999999998</v>
      </c>
      <c r="I84" s="9">
        <v>13.04</v>
      </c>
      <c r="J84" s="7">
        <v>0.93730000000000002</v>
      </c>
      <c r="K84" s="5">
        <v>120000</v>
      </c>
      <c r="L84" s="3">
        <v>45608</v>
      </c>
    </row>
    <row r="85" spans="1:12">
      <c r="A85" t="s">
        <v>184</v>
      </c>
      <c r="B85" t="s">
        <v>54</v>
      </c>
      <c r="C85" t="s">
        <v>19</v>
      </c>
      <c r="D85" t="s">
        <v>20</v>
      </c>
      <c r="E85" t="s">
        <v>43</v>
      </c>
      <c r="F85" s="9">
        <v>14.95</v>
      </c>
      <c r="G85" s="9">
        <v>11.37</v>
      </c>
      <c r="H85" s="9">
        <v>11.56</v>
      </c>
      <c r="I85" s="9">
        <v>9.4700000000000006</v>
      </c>
      <c r="J85" s="7">
        <v>0.83599999999999997</v>
      </c>
      <c r="K85" s="5">
        <v>120000</v>
      </c>
      <c r="L85" s="3">
        <v>46125</v>
      </c>
    </row>
    <row r="86" spans="1:12">
      <c r="A86" t="s">
        <v>185</v>
      </c>
      <c r="B86" t="s">
        <v>186</v>
      </c>
      <c r="C86" t="s">
        <v>19</v>
      </c>
      <c r="D86" t="s">
        <v>28</v>
      </c>
      <c r="E86" t="s">
        <v>29</v>
      </c>
      <c r="F86" s="9">
        <v>16.07</v>
      </c>
      <c r="G86" s="9">
        <v>13.84</v>
      </c>
      <c r="H86" s="9">
        <v>6.56</v>
      </c>
      <c r="I86" s="9">
        <v>11.15</v>
      </c>
      <c r="J86" s="7">
        <v>0.84530000000000005</v>
      </c>
      <c r="K86" s="5">
        <v>75000</v>
      </c>
      <c r="L86" s="3">
        <v>45894</v>
      </c>
    </row>
    <row r="87" spans="1:12">
      <c r="A87" t="s">
        <v>187</v>
      </c>
      <c r="B87" t="s">
        <v>74</v>
      </c>
      <c r="C87" t="s">
        <v>19</v>
      </c>
      <c r="D87" t="s">
        <v>28</v>
      </c>
      <c r="E87" t="s">
        <v>29</v>
      </c>
      <c r="F87" s="9">
        <v>13.13</v>
      </c>
      <c r="G87" s="9">
        <v>10.71</v>
      </c>
      <c r="H87" s="9">
        <v>15.21</v>
      </c>
      <c r="I87" s="9">
        <v>15.26</v>
      </c>
      <c r="J87" s="7">
        <v>0.74470000000000003</v>
      </c>
      <c r="K87" s="5">
        <v>120000</v>
      </c>
      <c r="L87" s="3">
        <v>45762</v>
      </c>
    </row>
    <row r="88" spans="1:12">
      <c r="A88" t="s">
        <v>188</v>
      </c>
      <c r="B88" t="s">
        <v>189</v>
      </c>
      <c r="C88" t="s">
        <v>14</v>
      </c>
      <c r="D88" t="s">
        <v>35</v>
      </c>
      <c r="E88" t="s">
        <v>16</v>
      </c>
      <c r="F88" s="9">
        <v>19.649999999999999</v>
      </c>
      <c r="G88" s="9">
        <v>17.11</v>
      </c>
      <c r="H88" s="9">
        <v>18.34</v>
      </c>
      <c r="I88" s="9">
        <v>16.72</v>
      </c>
      <c r="J88" s="7">
        <v>0.67400000000000004</v>
      </c>
      <c r="K88" s="5">
        <v>75000</v>
      </c>
      <c r="L88" s="3">
        <v>45538</v>
      </c>
    </row>
    <row r="89" spans="1:12">
      <c r="A89" t="s">
        <v>190</v>
      </c>
      <c r="B89" t="s">
        <v>191</v>
      </c>
      <c r="C89" t="s">
        <v>14</v>
      </c>
      <c r="D89" t="s">
        <v>15</v>
      </c>
      <c r="E89" t="s">
        <v>21</v>
      </c>
      <c r="F89" s="9">
        <v>10.68</v>
      </c>
      <c r="G89" s="9">
        <v>10.98</v>
      </c>
      <c r="H89" s="9">
        <v>6.72</v>
      </c>
      <c r="I89" s="9">
        <v>6.07</v>
      </c>
      <c r="J89" s="7">
        <v>0.76039999999999996</v>
      </c>
      <c r="K89" s="5">
        <v>90000</v>
      </c>
      <c r="L89" s="3">
        <v>45871</v>
      </c>
    </row>
    <row r="90" spans="1:12">
      <c r="A90" t="s">
        <v>192</v>
      </c>
      <c r="B90" t="s">
        <v>193</v>
      </c>
      <c r="C90" t="s">
        <v>19</v>
      </c>
      <c r="D90" t="s">
        <v>15</v>
      </c>
      <c r="E90" t="s">
        <v>21</v>
      </c>
      <c r="F90" s="9">
        <v>15.78</v>
      </c>
      <c r="G90" s="9">
        <v>16.23</v>
      </c>
      <c r="H90" s="9">
        <v>17.41</v>
      </c>
      <c r="I90" s="9">
        <v>16.79</v>
      </c>
      <c r="J90" s="7">
        <v>0.84550000000000003</v>
      </c>
      <c r="K90" s="5">
        <v>75000</v>
      </c>
      <c r="L90" s="3">
        <v>45641</v>
      </c>
    </row>
    <row r="91" spans="1:12">
      <c r="A91" t="s">
        <v>194</v>
      </c>
      <c r="B91" t="s">
        <v>195</v>
      </c>
      <c r="C91" t="s">
        <v>19</v>
      </c>
      <c r="D91" t="s">
        <v>28</v>
      </c>
      <c r="E91" t="s">
        <v>29</v>
      </c>
      <c r="F91" s="9">
        <v>16.489999999999998</v>
      </c>
      <c r="G91" s="9">
        <v>14.98</v>
      </c>
      <c r="H91" s="9">
        <v>15.02</v>
      </c>
      <c r="I91" s="9">
        <v>13.43</v>
      </c>
      <c r="J91" s="7">
        <v>0.67589999999999995</v>
      </c>
      <c r="K91" s="5">
        <v>85000</v>
      </c>
      <c r="L91" s="3">
        <v>46220</v>
      </c>
    </row>
    <row r="92" spans="1:12">
      <c r="A92" t="s">
        <v>196</v>
      </c>
      <c r="B92" t="s">
        <v>197</v>
      </c>
      <c r="C92" t="s">
        <v>14</v>
      </c>
      <c r="D92" t="s">
        <v>32</v>
      </c>
      <c r="E92" t="s">
        <v>43</v>
      </c>
      <c r="F92" s="9">
        <v>15.45</v>
      </c>
      <c r="G92" s="9">
        <v>16.77</v>
      </c>
      <c r="H92" s="9">
        <v>11.24</v>
      </c>
      <c r="I92" s="9">
        <v>11.35</v>
      </c>
      <c r="J92" s="7">
        <v>0.89300000000000002</v>
      </c>
      <c r="K92" s="5">
        <v>85000</v>
      </c>
      <c r="L92" s="3">
        <v>45739</v>
      </c>
    </row>
    <row r="93" spans="1:12">
      <c r="A93" t="s">
        <v>198</v>
      </c>
      <c r="B93" t="s">
        <v>199</v>
      </c>
      <c r="C93" t="s">
        <v>19</v>
      </c>
      <c r="D93" t="s">
        <v>48</v>
      </c>
      <c r="E93" t="s">
        <v>21</v>
      </c>
      <c r="F93" s="9">
        <v>14.4</v>
      </c>
      <c r="G93" s="9">
        <v>11.44</v>
      </c>
      <c r="H93" s="9">
        <v>15.58</v>
      </c>
      <c r="I93" s="9">
        <v>12.4</v>
      </c>
      <c r="J93" s="7">
        <v>0.94669999999999999</v>
      </c>
      <c r="K93" s="5">
        <v>100000</v>
      </c>
      <c r="L93" s="3">
        <v>45868</v>
      </c>
    </row>
    <row r="94" spans="1:12">
      <c r="A94" t="s">
        <v>200</v>
      </c>
      <c r="B94" t="s">
        <v>74</v>
      </c>
      <c r="C94" t="s">
        <v>19</v>
      </c>
      <c r="D94" t="s">
        <v>35</v>
      </c>
      <c r="E94" t="s">
        <v>43</v>
      </c>
      <c r="F94" s="9">
        <v>16.260000000000002</v>
      </c>
      <c r="G94" s="9">
        <v>12.04</v>
      </c>
      <c r="H94" s="9">
        <v>16.62</v>
      </c>
      <c r="I94" s="9">
        <v>13.76</v>
      </c>
      <c r="J94" s="7">
        <v>0.82809999999999995</v>
      </c>
      <c r="K94" s="5">
        <v>85000</v>
      </c>
      <c r="L94" s="3">
        <v>45549</v>
      </c>
    </row>
    <row r="95" spans="1:12">
      <c r="A95" t="s">
        <v>201</v>
      </c>
      <c r="B95" t="s">
        <v>202</v>
      </c>
      <c r="C95" t="s">
        <v>14</v>
      </c>
      <c r="D95" t="s">
        <v>32</v>
      </c>
      <c r="E95" t="s">
        <v>43</v>
      </c>
      <c r="F95" s="9">
        <v>16.86</v>
      </c>
      <c r="G95" s="9">
        <v>17.149999999999999</v>
      </c>
      <c r="H95" s="9">
        <v>13.37</v>
      </c>
      <c r="I95" s="9">
        <v>12.1</v>
      </c>
      <c r="J95" s="7">
        <v>0.73799999999999999</v>
      </c>
      <c r="K95" s="5">
        <v>85000</v>
      </c>
      <c r="L95" s="3">
        <v>45627</v>
      </c>
    </row>
    <row r="96" spans="1:12">
      <c r="A96" t="s">
        <v>203</v>
      </c>
      <c r="B96" t="s">
        <v>91</v>
      </c>
      <c r="C96" t="s">
        <v>19</v>
      </c>
      <c r="D96" t="s">
        <v>28</v>
      </c>
      <c r="E96" t="s">
        <v>29</v>
      </c>
      <c r="F96" s="9">
        <v>17.95</v>
      </c>
      <c r="G96" s="9">
        <v>18.739999999999998</v>
      </c>
      <c r="H96" s="9">
        <v>15.86</v>
      </c>
      <c r="I96" s="9">
        <v>17.809999999999999</v>
      </c>
      <c r="J96" s="7">
        <v>0.88939999999999997</v>
      </c>
      <c r="K96" s="5">
        <v>100000</v>
      </c>
      <c r="L96" s="3">
        <v>45681</v>
      </c>
    </row>
    <row r="97" spans="1:12">
      <c r="A97" t="s">
        <v>204</v>
      </c>
      <c r="B97" t="s">
        <v>205</v>
      </c>
      <c r="C97" t="s">
        <v>14</v>
      </c>
      <c r="D97" t="s">
        <v>32</v>
      </c>
      <c r="E97" t="s">
        <v>43</v>
      </c>
      <c r="F97" s="9">
        <v>11.97</v>
      </c>
      <c r="G97" s="9">
        <v>11.7</v>
      </c>
      <c r="H97" s="9">
        <v>10.27</v>
      </c>
      <c r="I97" s="9">
        <v>10.67</v>
      </c>
      <c r="J97" s="7">
        <v>0.83150000000000002</v>
      </c>
      <c r="K97" s="5">
        <v>80000</v>
      </c>
      <c r="L97" s="3">
        <v>45572</v>
      </c>
    </row>
    <row r="98" spans="1:12">
      <c r="A98" t="s">
        <v>206</v>
      </c>
      <c r="B98" t="s">
        <v>13</v>
      </c>
      <c r="C98" t="s">
        <v>14</v>
      </c>
      <c r="D98" t="s">
        <v>32</v>
      </c>
      <c r="E98" t="s">
        <v>43</v>
      </c>
      <c r="F98" s="9">
        <v>19.989999999999998</v>
      </c>
      <c r="G98" s="9">
        <v>15.02</v>
      </c>
      <c r="H98" s="9">
        <v>19.13</v>
      </c>
      <c r="I98" s="9">
        <v>19.82</v>
      </c>
      <c r="J98" s="7">
        <v>0.92949999999999999</v>
      </c>
      <c r="K98" s="5">
        <v>85000</v>
      </c>
      <c r="L98" s="3">
        <v>46044</v>
      </c>
    </row>
    <row r="99" spans="1:12">
      <c r="A99" t="s">
        <v>207</v>
      </c>
      <c r="B99" t="s">
        <v>208</v>
      </c>
      <c r="C99" t="s">
        <v>19</v>
      </c>
      <c r="D99" t="s">
        <v>28</v>
      </c>
      <c r="E99" t="s">
        <v>43</v>
      </c>
      <c r="F99" s="9">
        <v>13.82</v>
      </c>
      <c r="G99" s="9">
        <v>10.97</v>
      </c>
      <c r="H99" s="9">
        <v>8.57</v>
      </c>
      <c r="I99" s="9">
        <v>12.67</v>
      </c>
      <c r="J99" s="7">
        <v>0.94189999999999996</v>
      </c>
      <c r="K99" s="5">
        <v>50000</v>
      </c>
      <c r="L99" s="3">
        <v>46197</v>
      </c>
    </row>
    <row r="100" spans="1:12">
      <c r="A100" t="s">
        <v>209</v>
      </c>
      <c r="B100" t="s">
        <v>99</v>
      </c>
      <c r="C100" t="s">
        <v>19</v>
      </c>
      <c r="D100" t="s">
        <v>20</v>
      </c>
      <c r="E100" t="s">
        <v>43</v>
      </c>
      <c r="F100" s="9">
        <v>12.63</v>
      </c>
      <c r="G100" s="9">
        <v>11.11</v>
      </c>
      <c r="H100" s="9">
        <v>15.87</v>
      </c>
      <c r="I100" s="9">
        <v>11.46</v>
      </c>
      <c r="J100" s="7">
        <v>0.92549999999999999</v>
      </c>
      <c r="K100" s="5">
        <v>120000</v>
      </c>
      <c r="L100" s="3">
        <v>46225</v>
      </c>
    </row>
    <row r="101" spans="1:12">
      <c r="A101" t="s">
        <v>210</v>
      </c>
      <c r="B101" t="s">
        <v>211</v>
      </c>
      <c r="C101" t="s">
        <v>14</v>
      </c>
      <c r="D101" t="s">
        <v>15</v>
      </c>
      <c r="E101" t="s">
        <v>43</v>
      </c>
      <c r="F101" s="9">
        <v>10.51</v>
      </c>
      <c r="G101" s="9">
        <v>12.84</v>
      </c>
      <c r="H101" s="9">
        <v>10.34</v>
      </c>
      <c r="I101" s="9">
        <v>10.61</v>
      </c>
      <c r="J101" s="7">
        <v>0.78510000000000002</v>
      </c>
      <c r="K101" s="5">
        <v>60000</v>
      </c>
      <c r="L101" s="3">
        <v>45722</v>
      </c>
    </row>
  </sheetData>
  <conditionalFormatting sqref="F2:F101">
    <cfRule type="cellIs" dxfId="20" priority="9" operator="lessThan">
      <formula>10</formula>
    </cfRule>
  </conditionalFormatting>
  <conditionalFormatting sqref="F2:F101">
    <cfRule type="cellIs" dxfId="19" priority="8" operator="greaterThanOrEqual">
      <formula>15</formula>
    </cfRule>
  </conditionalFormatting>
  <conditionalFormatting sqref="G2:I101">
    <cfRule type="cellIs" dxfId="18" priority="7" operator="lessThan">
      <formula>10</formula>
    </cfRule>
  </conditionalFormatting>
  <conditionalFormatting sqref="G2:I101">
    <cfRule type="cellIs" dxfId="17" priority="6" operator="greaterThanOrEqual">
      <formula>15</formula>
    </cfRule>
  </conditionalFormatting>
  <conditionalFormatting sqref="J2:J101">
    <cfRule type="cellIs" dxfId="16" priority="5" operator="greaterThan">
      <formula>0.75</formula>
    </cfRule>
  </conditionalFormatting>
  <conditionalFormatting sqref="J2:J101">
    <cfRule type="cellIs" dxfId="15" priority="4" operator="lessThan">
      <formula>0.5</formula>
    </cfRule>
  </conditionalFormatting>
  <conditionalFormatting sqref="J2:J101">
    <cfRule type="cellIs" dxfId="14" priority="3" operator="between">
      <formula>0.5</formula>
      <formula>0.75</formula>
    </cfRule>
  </conditionalFormatting>
  <conditionalFormatting sqref="H2:H10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{BA179DA4-D521-4410-8827-C5834FF8A777}</x14:id>
        </ext>
      </extLst>
    </cfRule>
  </conditionalFormatting>
  <conditionalFormatting sqref="I2:I1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79DA4-D521-4410-8827-C5834FF8A7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EBCF-4526-48E6-B217-0BF2717FCBBD}">
  <dimension ref="A1:M101"/>
  <sheetViews>
    <sheetView workbookViewId="0"/>
  </sheetViews>
  <sheetFormatPr defaultRowHeight="15"/>
  <cols>
    <col min="2" max="2" width="16.85546875" customWidth="1"/>
    <col min="4" max="4" width="15.28515625" customWidth="1"/>
    <col min="5" max="5" width="15.7109375" customWidth="1"/>
    <col min="6" max="7" width="9.140625" style="9"/>
    <col min="8" max="8" width="14.28515625" style="9" customWidth="1"/>
    <col min="9" max="10" width="15.7109375" style="9" customWidth="1"/>
    <col min="11" max="11" width="11.7109375" style="7" customWidth="1"/>
    <col min="12" max="12" width="14.42578125" style="5" customWidth="1"/>
    <col min="13" max="13" width="17.7109375" style="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212</v>
      </c>
      <c r="K1" s="6" t="s">
        <v>9</v>
      </c>
      <c r="L1" s="4" t="s">
        <v>10</v>
      </c>
      <c r="M1" s="2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9">
        <v>12.13</v>
      </c>
      <c r="G2" s="9">
        <v>11.08</v>
      </c>
      <c r="H2" s="9">
        <v>11.09</v>
      </c>
      <c r="I2" s="9">
        <v>14.41</v>
      </c>
      <c r="J2" s="9">
        <f>AVERAGE(F2:I2)</f>
        <v>12.177499999999998</v>
      </c>
      <c r="K2" s="7">
        <v>0.91869999999999996</v>
      </c>
      <c r="L2" s="5">
        <v>75000</v>
      </c>
      <c r="M2" s="3">
        <v>45854</v>
      </c>
    </row>
    <row r="3" spans="1:1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9">
        <v>15.39</v>
      </c>
      <c r="G3" s="9">
        <v>18.309999999999999</v>
      </c>
      <c r="H3" s="9">
        <v>20</v>
      </c>
      <c r="I3" s="9">
        <v>12.86</v>
      </c>
      <c r="J3" s="9">
        <f t="shared" ref="J3:J66" si="0">AVERAGE(F3:I3)</f>
        <v>16.64</v>
      </c>
      <c r="K3" s="7">
        <v>0.81930000000000003</v>
      </c>
      <c r="L3" s="5">
        <v>90000</v>
      </c>
      <c r="M3" s="3">
        <v>45633</v>
      </c>
    </row>
    <row r="4" spans="1:13">
      <c r="A4" t="s">
        <v>22</v>
      </c>
      <c r="B4" t="s">
        <v>23</v>
      </c>
      <c r="C4" t="s">
        <v>19</v>
      </c>
      <c r="D4" t="s">
        <v>15</v>
      </c>
      <c r="E4" t="s">
        <v>16</v>
      </c>
      <c r="F4" s="9">
        <v>11.17</v>
      </c>
      <c r="G4" s="9">
        <v>14.41</v>
      </c>
      <c r="H4" s="9">
        <v>19.760000000000002</v>
      </c>
      <c r="I4" s="9">
        <v>13.06</v>
      </c>
      <c r="J4" s="9">
        <f t="shared" si="0"/>
        <v>14.600000000000001</v>
      </c>
      <c r="K4" s="7">
        <v>0.79079999999999995</v>
      </c>
      <c r="L4" s="5">
        <v>85000</v>
      </c>
      <c r="M4" s="3">
        <v>45682</v>
      </c>
    </row>
    <row r="5" spans="1:13">
      <c r="A5" t="s">
        <v>24</v>
      </c>
      <c r="B5" t="s">
        <v>25</v>
      </c>
      <c r="C5" t="s">
        <v>14</v>
      </c>
      <c r="D5" t="s">
        <v>20</v>
      </c>
      <c r="E5" t="s">
        <v>21</v>
      </c>
      <c r="F5" s="9">
        <v>14.17</v>
      </c>
      <c r="G5" s="9">
        <v>10.220000000000001</v>
      </c>
      <c r="H5" s="9">
        <v>10.26</v>
      </c>
      <c r="I5" s="9">
        <v>14.91</v>
      </c>
      <c r="J5" s="9">
        <f t="shared" si="0"/>
        <v>12.39</v>
      </c>
      <c r="K5" s="7">
        <v>0.76400000000000001</v>
      </c>
      <c r="L5" s="5">
        <v>120000</v>
      </c>
      <c r="M5" s="3">
        <v>45844</v>
      </c>
    </row>
    <row r="6" spans="1:13">
      <c r="A6" t="s">
        <v>26</v>
      </c>
      <c r="B6" t="s">
        <v>27</v>
      </c>
      <c r="C6" t="s">
        <v>14</v>
      </c>
      <c r="D6" t="s">
        <v>28</v>
      </c>
      <c r="E6" t="s">
        <v>29</v>
      </c>
      <c r="F6" s="9">
        <v>13.23</v>
      </c>
      <c r="G6" s="9">
        <v>10.49</v>
      </c>
      <c r="H6" s="9">
        <v>10.63</v>
      </c>
      <c r="I6" s="9">
        <v>13.04</v>
      </c>
      <c r="J6" s="9">
        <f t="shared" si="0"/>
        <v>11.8475</v>
      </c>
      <c r="K6" s="7">
        <v>0.73070000000000002</v>
      </c>
      <c r="L6" s="5">
        <v>70000</v>
      </c>
      <c r="M6" s="3">
        <v>46019</v>
      </c>
    </row>
    <row r="7" spans="1:13">
      <c r="A7" t="s">
        <v>30</v>
      </c>
      <c r="B7" t="s">
        <v>31</v>
      </c>
      <c r="C7" t="s">
        <v>19</v>
      </c>
      <c r="D7" t="s">
        <v>32</v>
      </c>
      <c r="E7" t="s">
        <v>21</v>
      </c>
      <c r="F7" s="9">
        <v>16.079999999999998</v>
      </c>
      <c r="G7" s="9">
        <v>16.989999999999998</v>
      </c>
      <c r="H7" s="9">
        <v>12.22</v>
      </c>
      <c r="I7" s="9">
        <v>11.87</v>
      </c>
      <c r="J7" s="9">
        <f t="shared" si="0"/>
        <v>14.289999999999997</v>
      </c>
      <c r="K7" s="7">
        <v>0.7429</v>
      </c>
      <c r="L7" s="5">
        <v>85000</v>
      </c>
      <c r="M7" s="3">
        <v>45826</v>
      </c>
    </row>
    <row r="8" spans="1:13">
      <c r="A8" t="s">
        <v>33</v>
      </c>
      <c r="B8" t="s">
        <v>34</v>
      </c>
      <c r="C8" t="s">
        <v>14</v>
      </c>
      <c r="D8" t="s">
        <v>35</v>
      </c>
      <c r="E8" t="s">
        <v>21</v>
      </c>
      <c r="F8" s="9">
        <v>16.97</v>
      </c>
      <c r="G8" s="9">
        <v>18.260000000000002</v>
      </c>
      <c r="H8" s="9">
        <v>15.2</v>
      </c>
      <c r="I8" s="9">
        <v>12.16</v>
      </c>
      <c r="J8" s="9">
        <f t="shared" si="0"/>
        <v>15.647500000000001</v>
      </c>
      <c r="K8" s="7">
        <v>0.75839999999999996</v>
      </c>
      <c r="L8" s="5">
        <v>60000</v>
      </c>
      <c r="M8" s="3">
        <v>45915</v>
      </c>
    </row>
    <row r="9" spans="1:13">
      <c r="A9" t="s">
        <v>36</v>
      </c>
      <c r="B9" t="s">
        <v>37</v>
      </c>
      <c r="C9" t="s">
        <v>19</v>
      </c>
      <c r="D9" t="s">
        <v>20</v>
      </c>
      <c r="E9" t="s">
        <v>21</v>
      </c>
      <c r="F9" s="9">
        <v>7.57</v>
      </c>
      <c r="G9" s="9">
        <v>11.81</v>
      </c>
      <c r="H9" s="9">
        <v>12.87</v>
      </c>
      <c r="I9" s="9">
        <v>10.09</v>
      </c>
      <c r="J9" s="9">
        <f t="shared" si="0"/>
        <v>10.585000000000001</v>
      </c>
      <c r="K9" s="7" t="s">
        <v>38</v>
      </c>
      <c r="L9" s="5">
        <v>90000</v>
      </c>
      <c r="M9" s="3">
        <v>45901</v>
      </c>
    </row>
    <row r="10" spans="1:13">
      <c r="A10" t="s">
        <v>39</v>
      </c>
      <c r="B10" t="s">
        <v>40</v>
      </c>
      <c r="C10" t="s">
        <v>14</v>
      </c>
      <c r="D10" t="s">
        <v>20</v>
      </c>
      <c r="E10" t="s">
        <v>21</v>
      </c>
      <c r="F10" s="9">
        <v>7.43</v>
      </c>
      <c r="G10" s="9">
        <v>14.27</v>
      </c>
      <c r="H10" s="9">
        <v>12.08</v>
      </c>
      <c r="I10" s="9">
        <v>8.82</v>
      </c>
      <c r="J10" s="9">
        <f t="shared" si="0"/>
        <v>10.65</v>
      </c>
      <c r="K10" s="7">
        <v>0.87990000000000002</v>
      </c>
      <c r="L10" s="5">
        <v>50000</v>
      </c>
      <c r="M10" s="3">
        <v>45724</v>
      </c>
    </row>
    <row r="11" spans="1:13">
      <c r="A11" t="s">
        <v>41</v>
      </c>
      <c r="B11" t="s">
        <v>42</v>
      </c>
      <c r="C11" t="s">
        <v>14</v>
      </c>
      <c r="D11" t="s">
        <v>35</v>
      </c>
      <c r="E11" t="s">
        <v>43</v>
      </c>
      <c r="F11" s="9">
        <v>14.93</v>
      </c>
      <c r="G11" s="9">
        <v>19.32</v>
      </c>
      <c r="H11" s="9">
        <v>17.170000000000002</v>
      </c>
      <c r="I11" s="9">
        <v>16.940000000000001</v>
      </c>
      <c r="J11" s="9">
        <f t="shared" si="0"/>
        <v>17.09</v>
      </c>
      <c r="K11" s="7">
        <v>0.74860000000000004</v>
      </c>
      <c r="L11" s="5">
        <v>80000</v>
      </c>
      <c r="M11" s="3">
        <v>45731</v>
      </c>
    </row>
    <row r="12" spans="1:13">
      <c r="A12" t="s">
        <v>44</v>
      </c>
      <c r="B12" t="s">
        <v>45</v>
      </c>
      <c r="C12" t="s">
        <v>19</v>
      </c>
      <c r="D12" t="s">
        <v>32</v>
      </c>
      <c r="E12" t="s">
        <v>21</v>
      </c>
      <c r="F12" s="9">
        <v>10.02</v>
      </c>
      <c r="G12" s="9">
        <v>14.25</v>
      </c>
      <c r="H12" s="9">
        <v>13.71</v>
      </c>
      <c r="I12" s="9">
        <v>9.16</v>
      </c>
      <c r="J12" s="9">
        <f t="shared" si="0"/>
        <v>11.785</v>
      </c>
      <c r="K12" s="7">
        <v>0.78959999999999997</v>
      </c>
      <c r="L12" s="5">
        <v>50000</v>
      </c>
      <c r="M12" s="3">
        <v>45834</v>
      </c>
    </row>
    <row r="13" spans="1:13">
      <c r="A13" t="s">
        <v>46</v>
      </c>
      <c r="B13" t="s">
        <v>47</v>
      </c>
      <c r="C13" t="s">
        <v>19</v>
      </c>
      <c r="D13" t="s">
        <v>48</v>
      </c>
      <c r="E13" t="s">
        <v>16</v>
      </c>
      <c r="F13" s="9">
        <v>11.19</v>
      </c>
      <c r="G13" s="9">
        <v>7.93</v>
      </c>
      <c r="H13" s="9">
        <v>8.2100000000000009</v>
      </c>
      <c r="I13" s="9">
        <v>11.22</v>
      </c>
      <c r="J13" s="9">
        <f t="shared" si="0"/>
        <v>9.6374999999999993</v>
      </c>
      <c r="K13" s="7">
        <v>0.9133</v>
      </c>
      <c r="L13" s="5">
        <v>75000</v>
      </c>
      <c r="M13" s="3">
        <v>45558</v>
      </c>
    </row>
    <row r="14" spans="1:13">
      <c r="A14" t="s">
        <v>49</v>
      </c>
      <c r="B14" t="s">
        <v>50</v>
      </c>
      <c r="C14" t="s">
        <v>19</v>
      </c>
      <c r="D14" t="s">
        <v>28</v>
      </c>
      <c r="E14" t="s">
        <v>16</v>
      </c>
      <c r="F14" s="9">
        <v>15.52</v>
      </c>
      <c r="G14" s="9">
        <v>18.95</v>
      </c>
      <c r="H14" s="9">
        <v>14.41</v>
      </c>
      <c r="I14" s="9">
        <v>14.9</v>
      </c>
      <c r="J14" s="9">
        <f t="shared" si="0"/>
        <v>15.944999999999999</v>
      </c>
      <c r="K14" s="7">
        <v>0.87109999999999999</v>
      </c>
      <c r="L14" s="5">
        <v>85000</v>
      </c>
      <c r="M14" s="3">
        <v>46015</v>
      </c>
    </row>
    <row r="15" spans="1:13">
      <c r="A15" t="s">
        <v>51</v>
      </c>
      <c r="B15" t="s">
        <v>52</v>
      </c>
      <c r="C15" t="s">
        <v>19</v>
      </c>
      <c r="D15" t="s">
        <v>32</v>
      </c>
      <c r="E15" t="s">
        <v>43</v>
      </c>
      <c r="F15" s="9">
        <v>17.22</v>
      </c>
      <c r="G15" s="9">
        <v>16.38</v>
      </c>
      <c r="H15" s="9">
        <v>14.95</v>
      </c>
      <c r="I15" s="9">
        <v>15.12</v>
      </c>
      <c r="J15" s="9">
        <f t="shared" si="0"/>
        <v>15.917499999999999</v>
      </c>
      <c r="K15" s="7">
        <v>0.73260000000000003</v>
      </c>
      <c r="L15" s="5">
        <v>75000</v>
      </c>
      <c r="M15" s="3">
        <v>45966</v>
      </c>
    </row>
    <row r="16" spans="1:13">
      <c r="A16" t="s">
        <v>53</v>
      </c>
      <c r="B16" t="s">
        <v>54</v>
      </c>
      <c r="C16" t="s">
        <v>19</v>
      </c>
      <c r="D16" t="s">
        <v>15</v>
      </c>
      <c r="E16" t="s">
        <v>21</v>
      </c>
      <c r="F16" s="9">
        <v>10.09</v>
      </c>
      <c r="G16" s="9">
        <v>8.77</v>
      </c>
      <c r="H16" s="9">
        <v>5.93</v>
      </c>
      <c r="I16" s="9">
        <v>12.28</v>
      </c>
      <c r="J16" s="9">
        <f t="shared" si="0"/>
        <v>9.2675000000000001</v>
      </c>
      <c r="K16" s="7">
        <v>0.95089999999999997</v>
      </c>
      <c r="L16" s="5">
        <v>80000</v>
      </c>
      <c r="M16" s="3">
        <v>45750</v>
      </c>
    </row>
    <row r="17" spans="1:13">
      <c r="A17" t="s">
        <v>55</v>
      </c>
      <c r="B17" t="s">
        <v>56</v>
      </c>
      <c r="C17" t="s">
        <v>19</v>
      </c>
      <c r="D17" t="s">
        <v>32</v>
      </c>
      <c r="E17" t="s">
        <v>21</v>
      </c>
      <c r="F17" s="9">
        <v>14.6</v>
      </c>
      <c r="G17" s="9">
        <v>13.07</v>
      </c>
      <c r="H17" s="9">
        <v>11.79</v>
      </c>
      <c r="I17" s="9">
        <v>13.08</v>
      </c>
      <c r="J17" s="9">
        <f t="shared" si="0"/>
        <v>13.135</v>
      </c>
      <c r="K17" s="7">
        <v>0.79810000000000003</v>
      </c>
      <c r="L17" s="5">
        <v>60000</v>
      </c>
      <c r="M17" s="3">
        <v>45797</v>
      </c>
    </row>
    <row r="18" spans="1:13">
      <c r="A18" t="s">
        <v>57</v>
      </c>
      <c r="B18" t="s">
        <v>58</v>
      </c>
      <c r="C18" t="s">
        <v>19</v>
      </c>
      <c r="D18" t="s">
        <v>15</v>
      </c>
      <c r="E18" t="s">
        <v>43</v>
      </c>
      <c r="F18" s="9">
        <v>18.2</v>
      </c>
      <c r="G18" s="9">
        <v>16.52</v>
      </c>
      <c r="H18" s="9">
        <v>13.29</v>
      </c>
      <c r="I18" s="9">
        <v>13.86</v>
      </c>
      <c r="J18" s="9">
        <f t="shared" si="0"/>
        <v>15.467499999999999</v>
      </c>
      <c r="K18" s="7">
        <v>0.84589999999999999</v>
      </c>
      <c r="L18" s="5">
        <v>100000</v>
      </c>
      <c r="M18" s="3">
        <v>45766</v>
      </c>
    </row>
    <row r="19" spans="1:13">
      <c r="A19" t="s">
        <v>59</v>
      </c>
      <c r="B19" t="s">
        <v>60</v>
      </c>
      <c r="C19" t="s">
        <v>14</v>
      </c>
      <c r="D19" t="s">
        <v>15</v>
      </c>
      <c r="E19" t="s">
        <v>43</v>
      </c>
      <c r="F19" s="9">
        <v>15.58</v>
      </c>
      <c r="G19" s="9">
        <v>11.27</v>
      </c>
      <c r="H19" s="9">
        <v>16.43</v>
      </c>
      <c r="I19" s="9">
        <v>13.24</v>
      </c>
      <c r="J19" s="9">
        <f t="shared" si="0"/>
        <v>14.13</v>
      </c>
      <c r="K19" s="7">
        <v>0.55000000000000004</v>
      </c>
      <c r="L19" s="5">
        <v>110000</v>
      </c>
      <c r="M19" s="3">
        <v>45991</v>
      </c>
    </row>
    <row r="20" spans="1:13">
      <c r="A20" t="s">
        <v>61</v>
      </c>
      <c r="B20" t="s">
        <v>62</v>
      </c>
      <c r="C20" t="s">
        <v>19</v>
      </c>
      <c r="D20" t="s">
        <v>15</v>
      </c>
      <c r="E20" t="s">
        <v>43</v>
      </c>
      <c r="F20" s="9">
        <v>15.42</v>
      </c>
      <c r="G20" s="9">
        <v>17.21</v>
      </c>
      <c r="H20" s="9">
        <v>16.010000000000002</v>
      </c>
      <c r="I20" s="9">
        <v>14.75</v>
      </c>
      <c r="J20" s="9">
        <f t="shared" si="0"/>
        <v>15.8475</v>
      </c>
      <c r="K20" s="7">
        <v>0.55000000000000004</v>
      </c>
      <c r="L20" s="5">
        <v>85000</v>
      </c>
      <c r="M20" s="3">
        <v>46067</v>
      </c>
    </row>
    <row r="21" spans="1:13">
      <c r="A21" t="s">
        <v>63</v>
      </c>
      <c r="B21" t="s">
        <v>64</v>
      </c>
      <c r="C21" t="s">
        <v>14</v>
      </c>
      <c r="D21" t="s">
        <v>20</v>
      </c>
      <c r="E21" t="s">
        <v>21</v>
      </c>
      <c r="F21" s="9">
        <v>12.83</v>
      </c>
      <c r="G21" s="9">
        <v>7.87</v>
      </c>
      <c r="H21" s="9">
        <v>11.11</v>
      </c>
      <c r="I21" s="9">
        <v>9.27</v>
      </c>
      <c r="J21" s="9">
        <f t="shared" si="0"/>
        <v>10.27</v>
      </c>
      <c r="K21" s="7">
        <v>0.82350000000000001</v>
      </c>
      <c r="L21" s="5">
        <v>50000</v>
      </c>
      <c r="M21" s="3">
        <v>45612</v>
      </c>
    </row>
    <row r="22" spans="1:13">
      <c r="A22" t="s">
        <v>65</v>
      </c>
      <c r="B22" t="s">
        <v>66</v>
      </c>
      <c r="C22" t="s">
        <v>19</v>
      </c>
      <c r="D22" t="s">
        <v>28</v>
      </c>
      <c r="E22" t="s">
        <v>21</v>
      </c>
      <c r="F22" s="9">
        <v>14.68</v>
      </c>
      <c r="G22" s="9">
        <v>15.64</v>
      </c>
      <c r="H22" s="9">
        <v>10.58</v>
      </c>
      <c r="I22" s="9">
        <v>12.5</v>
      </c>
      <c r="J22" s="9">
        <f t="shared" si="0"/>
        <v>13.35</v>
      </c>
      <c r="K22" s="7">
        <v>0.87709999999999999</v>
      </c>
      <c r="L22" s="5">
        <v>50000</v>
      </c>
      <c r="M22" s="3">
        <v>45825</v>
      </c>
    </row>
    <row r="23" spans="1:13">
      <c r="A23" t="s">
        <v>67</v>
      </c>
      <c r="B23" t="s">
        <v>68</v>
      </c>
      <c r="C23" t="s">
        <v>14</v>
      </c>
      <c r="D23" t="s">
        <v>15</v>
      </c>
      <c r="E23" t="s">
        <v>16</v>
      </c>
      <c r="F23" s="9">
        <v>11.98</v>
      </c>
      <c r="G23" s="9">
        <v>11.91</v>
      </c>
      <c r="H23" s="9">
        <v>9.59</v>
      </c>
      <c r="I23" s="9">
        <v>8.1</v>
      </c>
      <c r="J23" s="9">
        <f t="shared" si="0"/>
        <v>10.395000000000001</v>
      </c>
      <c r="K23" s="7">
        <v>0.83630000000000004</v>
      </c>
      <c r="L23" s="5">
        <v>100000</v>
      </c>
      <c r="M23" s="3">
        <v>45545</v>
      </c>
    </row>
    <row r="24" spans="1:13">
      <c r="A24" t="s">
        <v>69</v>
      </c>
      <c r="B24" t="s">
        <v>70</v>
      </c>
      <c r="C24" t="s">
        <v>14</v>
      </c>
      <c r="D24" t="s">
        <v>48</v>
      </c>
      <c r="E24" t="s">
        <v>43</v>
      </c>
      <c r="F24" s="9">
        <v>10.3</v>
      </c>
      <c r="G24" s="9">
        <v>11.97</v>
      </c>
      <c r="H24" s="9">
        <v>13.81</v>
      </c>
      <c r="I24" s="9">
        <v>10.81</v>
      </c>
      <c r="J24" s="9">
        <f t="shared" si="0"/>
        <v>11.722500000000002</v>
      </c>
      <c r="K24" s="7">
        <v>0.94589999999999996</v>
      </c>
      <c r="L24" s="5">
        <v>130000</v>
      </c>
      <c r="M24" s="3">
        <v>45852</v>
      </c>
    </row>
    <row r="25" spans="1:13">
      <c r="A25" t="s">
        <v>71</v>
      </c>
      <c r="B25" t="s">
        <v>72</v>
      </c>
      <c r="C25" t="s">
        <v>19</v>
      </c>
      <c r="D25" t="s">
        <v>28</v>
      </c>
      <c r="E25" t="s">
        <v>29</v>
      </c>
      <c r="F25" s="9">
        <v>17.48</v>
      </c>
      <c r="G25" s="9">
        <v>14.67</v>
      </c>
      <c r="H25" s="9">
        <v>10.02</v>
      </c>
      <c r="I25" s="9">
        <v>16.63</v>
      </c>
      <c r="J25" s="9">
        <f t="shared" si="0"/>
        <v>14.7</v>
      </c>
      <c r="K25" s="7">
        <v>0.58579999999999999</v>
      </c>
      <c r="L25" s="5">
        <v>120000</v>
      </c>
      <c r="M25" s="3">
        <v>45709</v>
      </c>
    </row>
    <row r="26" spans="1:13">
      <c r="A26" t="s">
        <v>73</v>
      </c>
      <c r="B26" t="s">
        <v>74</v>
      </c>
      <c r="C26" t="s">
        <v>19</v>
      </c>
      <c r="D26" t="s">
        <v>32</v>
      </c>
      <c r="E26" t="s">
        <v>21</v>
      </c>
      <c r="F26" s="9">
        <v>20</v>
      </c>
      <c r="G26" s="9">
        <v>17.690000000000001</v>
      </c>
      <c r="H26" s="9">
        <v>20</v>
      </c>
      <c r="I26" s="9">
        <v>17.84</v>
      </c>
      <c r="J26" s="9">
        <f t="shared" si="0"/>
        <v>18.8825</v>
      </c>
      <c r="K26" s="7">
        <v>0.9405</v>
      </c>
      <c r="L26" s="5">
        <v>80000</v>
      </c>
      <c r="M26" s="3">
        <v>45771</v>
      </c>
    </row>
    <row r="27" spans="1:13">
      <c r="A27" t="s">
        <v>75</v>
      </c>
      <c r="B27" t="s">
        <v>76</v>
      </c>
      <c r="C27" t="s">
        <v>19</v>
      </c>
      <c r="D27" t="s">
        <v>32</v>
      </c>
      <c r="E27" t="s">
        <v>43</v>
      </c>
      <c r="F27" s="9">
        <v>18.41</v>
      </c>
      <c r="G27" s="9">
        <v>20</v>
      </c>
      <c r="H27" s="9">
        <v>14.71</v>
      </c>
      <c r="I27" s="9">
        <v>20</v>
      </c>
      <c r="J27" s="9">
        <f t="shared" si="0"/>
        <v>18.28</v>
      </c>
      <c r="K27" s="7">
        <v>0.81899999999999995</v>
      </c>
      <c r="L27" s="5">
        <v>85000</v>
      </c>
      <c r="M27" s="3">
        <v>45855</v>
      </c>
    </row>
    <row r="28" spans="1:13">
      <c r="A28" t="s">
        <v>77</v>
      </c>
      <c r="B28" t="s">
        <v>78</v>
      </c>
      <c r="C28" t="s">
        <v>14</v>
      </c>
      <c r="D28" t="s">
        <v>15</v>
      </c>
      <c r="E28" t="s">
        <v>21</v>
      </c>
      <c r="F28" s="9">
        <v>20</v>
      </c>
      <c r="G28" s="9">
        <v>20</v>
      </c>
      <c r="H28" s="9">
        <v>19.239999999999998</v>
      </c>
      <c r="I28" s="9">
        <v>20</v>
      </c>
      <c r="J28" s="9">
        <f t="shared" si="0"/>
        <v>19.809999999999999</v>
      </c>
      <c r="K28" s="7">
        <v>0.76739999999999997</v>
      </c>
      <c r="L28" s="5">
        <v>60000</v>
      </c>
      <c r="M28" s="3">
        <v>45762</v>
      </c>
    </row>
    <row r="29" spans="1:13">
      <c r="A29" t="s">
        <v>79</v>
      </c>
      <c r="B29" t="s">
        <v>80</v>
      </c>
      <c r="C29" t="s">
        <v>19</v>
      </c>
      <c r="D29" t="s">
        <v>48</v>
      </c>
      <c r="E29" t="s">
        <v>29</v>
      </c>
      <c r="F29" s="9">
        <v>8.86</v>
      </c>
      <c r="G29" s="9">
        <v>14.37</v>
      </c>
      <c r="H29" s="9">
        <v>11.44</v>
      </c>
      <c r="I29" s="9">
        <v>14.76</v>
      </c>
      <c r="J29" s="9">
        <f t="shared" si="0"/>
        <v>12.357499999999998</v>
      </c>
      <c r="K29" s="7">
        <v>0.81159999999999999</v>
      </c>
      <c r="L29" s="5">
        <v>50000</v>
      </c>
      <c r="M29" s="3">
        <v>45811</v>
      </c>
    </row>
    <row r="30" spans="1:13">
      <c r="A30" t="s">
        <v>81</v>
      </c>
      <c r="B30" t="s">
        <v>54</v>
      </c>
      <c r="C30" t="s">
        <v>19</v>
      </c>
      <c r="D30" t="s">
        <v>15</v>
      </c>
      <c r="E30" t="s">
        <v>43</v>
      </c>
      <c r="F30" s="9">
        <v>14.37</v>
      </c>
      <c r="G30" s="9">
        <v>14.83</v>
      </c>
      <c r="H30" s="9">
        <v>17</v>
      </c>
      <c r="I30" s="9">
        <v>17.43</v>
      </c>
      <c r="J30" s="9">
        <f t="shared" si="0"/>
        <v>15.907500000000001</v>
      </c>
      <c r="K30" s="7">
        <v>0.97089999999999999</v>
      </c>
      <c r="L30" s="5">
        <v>110000</v>
      </c>
      <c r="M30" s="3">
        <v>46071</v>
      </c>
    </row>
    <row r="31" spans="1:13">
      <c r="A31" t="s">
        <v>82</v>
      </c>
      <c r="B31" t="s">
        <v>83</v>
      </c>
      <c r="C31" t="s">
        <v>14</v>
      </c>
      <c r="D31" t="s">
        <v>32</v>
      </c>
      <c r="E31" t="s">
        <v>16</v>
      </c>
      <c r="F31" s="9">
        <v>15.56</v>
      </c>
      <c r="G31" s="9">
        <v>17.899999999999999</v>
      </c>
      <c r="H31" s="9">
        <v>20</v>
      </c>
      <c r="I31" s="9">
        <v>17.23</v>
      </c>
      <c r="J31" s="9">
        <f t="shared" si="0"/>
        <v>17.672499999999999</v>
      </c>
      <c r="K31" s="7">
        <v>0.55000000000000004</v>
      </c>
      <c r="L31" s="5">
        <v>80000</v>
      </c>
      <c r="M31" s="3">
        <v>46103</v>
      </c>
    </row>
    <row r="32" spans="1:13">
      <c r="A32" t="s">
        <v>84</v>
      </c>
      <c r="B32" t="s">
        <v>85</v>
      </c>
      <c r="C32" t="s">
        <v>14</v>
      </c>
      <c r="D32" t="s">
        <v>35</v>
      </c>
      <c r="E32" t="s">
        <v>21</v>
      </c>
      <c r="F32" s="9">
        <v>12.24</v>
      </c>
      <c r="G32" s="9">
        <v>16.73</v>
      </c>
      <c r="H32" s="9">
        <v>9.0399999999999991</v>
      </c>
      <c r="I32" s="9">
        <v>17.5</v>
      </c>
      <c r="J32" s="9">
        <f t="shared" si="0"/>
        <v>13.8775</v>
      </c>
      <c r="K32" s="7">
        <v>0.98560000000000003</v>
      </c>
      <c r="L32" s="5">
        <v>85000</v>
      </c>
      <c r="M32" s="3">
        <v>45540</v>
      </c>
    </row>
    <row r="33" spans="1:13">
      <c r="A33" t="s">
        <v>86</v>
      </c>
      <c r="B33" t="s">
        <v>87</v>
      </c>
      <c r="C33" t="s">
        <v>14</v>
      </c>
      <c r="D33" t="s">
        <v>35</v>
      </c>
      <c r="E33" t="s">
        <v>16</v>
      </c>
      <c r="F33" s="9">
        <v>19.11</v>
      </c>
      <c r="G33" s="9">
        <v>12.44</v>
      </c>
      <c r="H33" s="9">
        <v>15.6</v>
      </c>
      <c r="I33" s="9">
        <v>17.84</v>
      </c>
      <c r="J33" s="9">
        <f t="shared" si="0"/>
        <v>16.247499999999999</v>
      </c>
      <c r="K33" s="7">
        <v>0.93830000000000002</v>
      </c>
      <c r="L33" s="5">
        <v>75000</v>
      </c>
      <c r="M33" s="3">
        <v>45800</v>
      </c>
    </row>
    <row r="34" spans="1:13">
      <c r="A34" t="s">
        <v>88</v>
      </c>
      <c r="B34" t="s">
        <v>89</v>
      </c>
      <c r="C34" t="s">
        <v>14</v>
      </c>
      <c r="D34" t="s">
        <v>48</v>
      </c>
      <c r="E34" t="s">
        <v>29</v>
      </c>
      <c r="F34" s="9">
        <v>15.66</v>
      </c>
      <c r="G34" s="9">
        <v>16.04</v>
      </c>
      <c r="H34" s="9">
        <v>12.03</v>
      </c>
      <c r="I34" s="9">
        <v>17.8</v>
      </c>
      <c r="J34" s="9">
        <f t="shared" si="0"/>
        <v>15.3825</v>
      </c>
      <c r="K34" s="7">
        <v>0.79310000000000003</v>
      </c>
      <c r="L34" s="5">
        <v>75000</v>
      </c>
      <c r="M34" s="3">
        <v>46128</v>
      </c>
    </row>
    <row r="35" spans="1:13">
      <c r="A35" t="s">
        <v>90</v>
      </c>
      <c r="B35" t="s">
        <v>91</v>
      </c>
      <c r="C35" t="s">
        <v>19</v>
      </c>
      <c r="D35" t="s">
        <v>28</v>
      </c>
      <c r="E35" t="s">
        <v>21</v>
      </c>
      <c r="F35" s="9">
        <v>12.44</v>
      </c>
      <c r="G35" s="9">
        <v>9.73</v>
      </c>
      <c r="H35" s="9">
        <v>14.47</v>
      </c>
      <c r="I35" s="9">
        <v>14.79</v>
      </c>
      <c r="J35" s="9">
        <f t="shared" si="0"/>
        <v>12.8575</v>
      </c>
      <c r="K35" s="7">
        <v>0.85240000000000005</v>
      </c>
      <c r="L35" s="5">
        <v>130000</v>
      </c>
      <c r="M35" s="3">
        <v>45907</v>
      </c>
    </row>
    <row r="36" spans="1:13">
      <c r="A36" t="s">
        <v>92</v>
      </c>
      <c r="B36" t="s">
        <v>93</v>
      </c>
      <c r="C36" t="s">
        <v>19</v>
      </c>
      <c r="D36" t="s">
        <v>28</v>
      </c>
      <c r="E36" t="s">
        <v>21</v>
      </c>
      <c r="F36" s="9">
        <v>11.52</v>
      </c>
      <c r="G36" s="9">
        <v>14.33</v>
      </c>
      <c r="H36" s="9">
        <v>11.2</v>
      </c>
      <c r="I36" s="9">
        <v>10.91</v>
      </c>
      <c r="J36" s="9">
        <f t="shared" si="0"/>
        <v>11.989999999999998</v>
      </c>
      <c r="K36" s="7">
        <v>0.75270000000000004</v>
      </c>
      <c r="L36" s="5">
        <v>110000</v>
      </c>
      <c r="M36" s="3">
        <v>45679</v>
      </c>
    </row>
    <row r="37" spans="1:13">
      <c r="A37" t="s">
        <v>94</v>
      </c>
      <c r="B37" t="s">
        <v>95</v>
      </c>
      <c r="C37" t="s">
        <v>14</v>
      </c>
      <c r="D37" t="s">
        <v>15</v>
      </c>
      <c r="E37" t="s">
        <v>29</v>
      </c>
      <c r="F37" s="9">
        <v>7.93</v>
      </c>
      <c r="G37" s="9">
        <v>17.28</v>
      </c>
      <c r="H37" s="9">
        <v>12.82</v>
      </c>
      <c r="I37" s="9">
        <v>12.15</v>
      </c>
      <c r="J37" s="9">
        <f t="shared" si="0"/>
        <v>12.545</v>
      </c>
      <c r="K37" s="7">
        <v>0.7046</v>
      </c>
      <c r="L37" s="5">
        <v>100000</v>
      </c>
      <c r="M37" s="3">
        <v>45951</v>
      </c>
    </row>
    <row r="38" spans="1:13">
      <c r="A38" t="s">
        <v>96</v>
      </c>
      <c r="B38" t="s">
        <v>97</v>
      </c>
      <c r="C38" t="s">
        <v>19</v>
      </c>
      <c r="D38" t="s">
        <v>15</v>
      </c>
      <c r="E38" t="s">
        <v>29</v>
      </c>
      <c r="F38" s="9">
        <v>13.6</v>
      </c>
      <c r="G38" s="9">
        <v>15.85</v>
      </c>
      <c r="H38" s="9">
        <v>13.47</v>
      </c>
      <c r="I38" s="9">
        <v>14.43</v>
      </c>
      <c r="J38" s="9">
        <f t="shared" si="0"/>
        <v>14.3375</v>
      </c>
      <c r="K38" s="7">
        <v>0.92279999999999995</v>
      </c>
      <c r="L38" s="5">
        <v>80000</v>
      </c>
      <c r="M38" s="3">
        <v>45637</v>
      </c>
    </row>
    <row r="39" spans="1:13">
      <c r="A39" t="s">
        <v>98</v>
      </c>
      <c r="B39" t="s">
        <v>99</v>
      </c>
      <c r="C39" t="s">
        <v>19</v>
      </c>
      <c r="D39" t="s">
        <v>20</v>
      </c>
      <c r="E39" t="s">
        <v>16</v>
      </c>
      <c r="F39" s="9">
        <v>15.67</v>
      </c>
      <c r="G39" s="9">
        <v>9.23</v>
      </c>
      <c r="H39" s="9">
        <v>15.43</v>
      </c>
      <c r="I39" s="9">
        <v>14.78</v>
      </c>
      <c r="J39" s="9">
        <f t="shared" si="0"/>
        <v>13.7775</v>
      </c>
      <c r="K39" s="7">
        <v>0.82920000000000005</v>
      </c>
      <c r="L39" s="5">
        <v>100000</v>
      </c>
      <c r="M39" s="3">
        <v>45551</v>
      </c>
    </row>
    <row r="40" spans="1:13">
      <c r="A40" t="s">
        <v>100</v>
      </c>
      <c r="B40" t="s">
        <v>101</v>
      </c>
      <c r="C40" t="s">
        <v>14</v>
      </c>
      <c r="D40" t="s">
        <v>15</v>
      </c>
      <c r="E40" t="s">
        <v>21</v>
      </c>
      <c r="F40" s="9">
        <v>13.07</v>
      </c>
      <c r="G40" s="9">
        <v>16.190000000000001</v>
      </c>
      <c r="H40" s="9">
        <v>11.47</v>
      </c>
      <c r="I40" s="9">
        <v>12.77</v>
      </c>
      <c r="J40" s="9">
        <f t="shared" si="0"/>
        <v>13.375</v>
      </c>
      <c r="K40" s="7">
        <v>0.92720000000000002</v>
      </c>
      <c r="L40" s="5">
        <v>75000</v>
      </c>
      <c r="M40" s="3">
        <v>45978</v>
      </c>
    </row>
    <row r="41" spans="1:13">
      <c r="A41" t="s">
        <v>102</v>
      </c>
      <c r="B41" t="s">
        <v>72</v>
      </c>
      <c r="C41" t="s">
        <v>19</v>
      </c>
      <c r="D41" t="s">
        <v>48</v>
      </c>
      <c r="E41" t="s">
        <v>16</v>
      </c>
      <c r="F41" s="9">
        <v>13.55</v>
      </c>
      <c r="G41" s="9">
        <v>13.79</v>
      </c>
      <c r="H41" s="9">
        <v>18.309999999999999</v>
      </c>
      <c r="I41" s="9">
        <v>14.86</v>
      </c>
      <c r="J41" s="9">
        <f t="shared" si="0"/>
        <v>15.1275</v>
      </c>
      <c r="K41" s="7">
        <v>0.95599999999999996</v>
      </c>
      <c r="L41" s="5">
        <v>85000</v>
      </c>
      <c r="M41" s="3">
        <v>45896</v>
      </c>
    </row>
    <row r="42" spans="1:13">
      <c r="A42" t="s">
        <v>103</v>
      </c>
      <c r="B42" t="s">
        <v>104</v>
      </c>
      <c r="C42" t="s">
        <v>14</v>
      </c>
      <c r="D42" t="s">
        <v>15</v>
      </c>
      <c r="E42" t="s">
        <v>16</v>
      </c>
      <c r="F42" s="9">
        <v>15.33</v>
      </c>
      <c r="G42" s="9">
        <v>11.39</v>
      </c>
      <c r="H42" s="9">
        <v>11.75</v>
      </c>
      <c r="I42" s="9">
        <v>7.17</v>
      </c>
      <c r="J42" s="9">
        <f t="shared" si="0"/>
        <v>11.41</v>
      </c>
      <c r="K42" s="7">
        <v>0.77600000000000002</v>
      </c>
      <c r="L42" s="5">
        <v>60000</v>
      </c>
      <c r="M42" s="3">
        <v>46065</v>
      </c>
    </row>
    <row r="43" spans="1:13">
      <c r="A43" t="s">
        <v>105</v>
      </c>
      <c r="B43" t="s">
        <v>106</v>
      </c>
      <c r="C43" t="s">
        <v>19</v>
      </c>
      <c r="D43" t="s">
        <v>32</v>
      </c>
      <c r="E43" t="s">
        <v>29</v>
      </c>
      <c r="F43" s="9">
        <v>18.57</v>
      </c>
      <c r="G43" s="9">
        <v>17.399999999999999</v>
      </c>
      <c r="H43" s="9">
        <v>12.73</v>
      </c>
      <c r="I43" s="9">
        <v>19.309999999999999</v>
      </c>
      <c r="J43" s="9">
        <f t="shared" si="0"/>
        <v>17.002500000000001</v>
      </c>
      <c r="K43" s="7">
        <v>0.90200000000000002</v>
      </c>
      <c r="L43" s="5">
        <v>100000</v>
      </c>
      <c r="M43" s="3">
        <v>45777</v>
      </c>
    </row>
    <row r="44" spans="1:13">
      <c r="A44" t="s">
        <v>107</v>
      </c>
      <c r="B44" t="s">
        <v>108</v>
      </c>
      <c r="C44" t="s">
        <v>19</v>
      </c>
      <c r="D44" t="s">
        <v>15</v>
      </c>
      <c r="E44" t="s">
        <v>16</v>
      </c>
      <c r="F44" s="9">
        <v>15.7</v>
      </c>
      <c r="G44" s="9">
        <v>15.52</v>
      </c>
      <c r="H44" s="9">
        <v>18.27</v>
      </c>
      <c r="I44" s="9">
        <v>13.98</v>
      </c>
      <c r="J44" s="9">
        <f t="shared" si="0"/>
        <v>15.8675</v>
      </c>
      <c r="K44" s="7">
        <v>0.94040000000000001</v>
      </c>
      <c r="L44" s="5">
        <v>50000</v>
      </c>
      <c r="M44" s="3">
        <v>46133</v>
      </c>
    </row>
    <row r="45" spans="1:13">
      <c r="A45" t="s">
        <v>109</v>
      </c>
      <c r="B45" t="s">
        <v>110</v>
      </c>
      <c r="C45" t="s">
        <v>14</v>
      </c>
      <c r="D45" t="s">
        <v>32</v>
      </c>
      <c r="E45" t="s">
        <v>16</v>
      </c>
      <c r="F45" s="9">
        <v>9.0399999999999991</v>
      </c>
      <c r="G45" s="9">
        <v>9.3699999999999992</v>
      </c>
      <c r="H45" s="9">
        <v>10.09</v>
      </c>
      <c r="I45" s="9">
        <v>10.94</v>
      </c>
      <c r="J45" s="9">
        <f t="shared" si="0"/>
        <v>9.86</v>
      </c>
      <c r="K45" s="7">
        <v>0.86899999999999999</v>
      </c>
      <c r="L45" s="5">
        <v>100000</v>
      </c>
      <c r="M45" s="3">
        <v>45830</v>
      </c>
    </row>
    <row r="46" spans="1:13">
      <c r="A46" t="s">
        <v>111</v>
      </c>
      <c r="B46" t="s">
        <v>112</v>
      </c>
      <c r="C46" t="s">
        <v>14</v>
      </c>
      <c r="D46" t="s">
        <v>48</v>
      </c>
      <c r="E46" t="s">
        <v>43</v>
      </c>
      <c r="F46" s="9">
        <v>17.010000000000002</v>
      </c>
      <c r="G46" s="9">
        <v>16.510000000000002</v>
      </c>
      <c r="H46" s="9">
        <v>20</v>
      </c>
      <c r="I46" s="9">
        <v>20</v>
      </c>
      <c r="J46" s="9">
        <f t="shared" si="0"/>
        <v>18.380000000000003</v>
      </c>
      <c r="K46" s="7">
        <v>0.91449999999999998</v>
      </c>
      <c r="L46" s="5">
        <v>90000</v>
      </c>
      <c r="M46" s="3">
        <v>46052</v>
      </c>
    </row>
    <row r="47" spans="1:13">
      <c r="A47" t="s">
        <v>113</v>
      </c>
      <c r="B47" t="s">
        <v>114</v>
      </c>
      <c r="C47" t="s">
        <v>19</v>
      </c>
      <c r="D47" t="s">
        <v>35</v>
      </c>
      <c r="E47" t="s">
        <v>43</v>
      </c>
      <c r="F47" s="9">
        <v>10.33</v>
      </c>
      <c r="G47" s="9">
        <v>12.77</v>
      </c>
      <c r="H47" s="9">
        <v>14.98</v>
      </c>
      <c r="I47" s="9">
        <v>12.66</v>
      </c>
      <c r="J47" s="9">
        <f t="shared" si="0"/>
        <v>12.684999999999999</v>
      </c>
      <c r="K47" s="7">
        <v>0.98260000000000003</v>
      </c>
      <c r="L47" s="5">
        <v>50000</v>
      </c>
      <c r="M47" s="3">
        <v>45606</v>
      </c>
    </row>
    <row r="48" spans="1:13">
      <c r="A48" t="s">
        <v>115</v>
      </c>
      <c r="B48" t="s">
        <v>116</v>
      </c>
      <c r="C48" t="s">
        <v>14</v>
      </c>
      <c r="D48" t="s">
        <v>48</v>
      </c>
      <c r="E48" t="s">
        <v>29</v>
      </c>
      <c r="F48" s="9">
        <v>6.68</v>
      </c>
      <c r="G48" s="9">
        <v>8.36</v>
      </c>
      <c r="H48" s="9">
        <v>7.31</v>
      </c>
      <c r="I48" s="9">
        <v>11.94</v>
      </c>
      <c r="J48" s="9">
        <f t="shared" si="0"/>
        <v>8.5724999999999998</v>
      </c>
      <c r="K48" s="7">
        <v>0.94130000000000003</v>
      </c>
      <c r="L48" s="5">
        <v>85000</v>
      </c>
      <c r="M48" s="3">
        <v>45604</v>
      </c>
    </row>
    <row r="49" spans="1:13">
      <c r="A49" t="s">
        <v>117</v>
      </c>
      <c r="B49" t="s">
        <v>118</v>
      </c>
      <c r="C49" t="s">
        <v>19</v>
      </c>
      <c r="D49" t="s">
        <v>20</v>
      </c>
      <c r="E49" t="s">
        <v>21</v>
      </c>
      <c r="F49" s="9">
        <v>8.2799999999999994</v>
      </c>
      <c r="G49" s="9">
        <v>8.5299999999999994</v>
      </c>
      <c r="H49" s="9">
        <v>10.59</v>
      </c>
      <c r="I49" s="9">
        <v>7.74</v>
      </c>
      <c r="J49" s="9">
        <f t="shared" si="0"/>
        <v>8.7850000000000001</v>
      </c>
      <c r="K49" s="7">
        <v>0.93630000000000002</v>
      </c>
      <c r="L49" s="5">
        <v>70000</v>
      </c>
      <c r="M49" s="3">
        <v>46083</v>
      </c>
    </row>
    <row r="50" spans="1:13">
      <c r="A50" t="s">
        <v>119</v>
      </c>
      <c r="B50" t="s">
        <v>120</v>
      </c>
      <c r="C50" t="s">
        <v>19</v>
      </c>
      <c r="D50" t="s">
        <v>20</v>
      </c>
      <c r="E50" t="s">
        <v>43</v>
      </c>
      <c r="F50" s="9">
        <v>9.2799999999999994</v>
      </c>
      <c r="G50" s="9">
        <v>10.31</v>
      </c>
      <c r="H50" s="9">
        <v>11.11</v>
      </c>
      <c r="I50" s="9">
        <v>15.82</v>
      </c>
      <c r="J50" s="9">
        <f t="shared" si="0"/>
        <v>11.629999999999999</v>
      </c>
      <c r="K50" s="7">
        <v>0.92930000000000001</v>
      </c>
      <c r="L50" s="5">
        <v>85000</v>
      </c>
      <c r="M50" s="3">
        <v>46119</v>
      </c>
    </row>
    <row r="51" spans="1:13">
      <c r="A51" t="s">
        <v>121</v>
      </c>
      <c r="B51" t="s">
        <v>122</v>
      </c>
      <c r="C51" t="s">
        <v>19</v>
      </c>
      <c r="D51" t="s">
        <v>28</v>
      </c>
      <c r="E51" t="s">
        <v>16</v>
      </c>
      <c r="F51" s="9">
        <v>11.37</v>
      </c>
      <c r="G51" s="9">
        <v>14.79</v>
      </c>
      <c r="H51" s="9">
        <v>17.2</v>
      </c>
      <c r="I51" s="9">
        <v>15.94</v>
      </c>
      <c r="J51" s="9">
        <f t="shared" si="0"/>
        <v>14.824999999999999</v>
      </c>
      <c r="K51" s="7">
        <v>0.77490000000000003</v>
      </c>
      <c r="L51" s="5">
        <v>50000</v>
      </c>
      <c r="M51" s="3">
        <v>46195</v>
      </c>
    </row>
    <row r="52" spans="1:13">
      <c r="A52" t="s">
        <v>123</v>
      </c>
      <c r="B52" t="s">
        <v>124</v>
      </c>
      <c r="C52" t="s">
        <v>19</v>
      </c>
      <c r="D52" t="s">
        <v>35</v>
      </c>
      <c r="E52" t="s">
        <v>43</v>
      </c>
      <c r="F52" s="9">
        <v>9.2899999999999991</v>
      </c>
      <c r="G52" s="9">
        <v>12.74</v>
      </c>
      <c r="H52" s="9">
        <v>13.9</v>
      </c>
      <c r="I52" s="9">
        <v>13.09</v>
      </c>
      <c r="J52" s="9">
        <f t="shared" si="0"/>
        <v>12.254999999999999</v>
      </c>
      <c r="K52" s="7">
        <v>0.95179999999999998</v>
      </c>
      <c r="L52" s="5">
        <v>100000</v>
      </c>
      <c r="M52" s="3">
        <v>45763</v>
      </c>
    </row>
    <row r="53" spans="1:13">
      <c r="A53" t="s">
        <v>125</v>
      </c>
      <c r="B53" t="s">
        <v>126</v>
      </c>
      <c r="C53" t="s">
        <v>14</v>
      </c>
      <c r="D53" t="s">
        <v>48</v>
      </c>
      <c r="E53" t="s">
        <v>43</v>
      </c>
      <c r="F53" s="9">
        <v>13.04</v>
      </c>
      <c r="G53" s="9">
        <v>9.85</v>
      </c>
      <c r="H53" s="9">
        <v>13.14</v>
      </c>
      <c r="I53" s="9">
        <v>15.59</v>
      </c>
      <c r="J53" s="9">
        <f t="shared" si="0"/>
        <v>12.905000000000001</v>
      </c>
      <c r="K53" s="7">
        <v>0.9385</v>
      </c>
      <c r="L53" s="5">
        <v>85000</v>
      </c>
      <c r="M53" s="3">
        <v>45551</v>
      </c>
    </row>
    <row r="54" spans="1:13">
      <c r="A54" t="s">
        <v>127</v>
      </c>
      <c r="B54" t="s">
        <v>128</v>
      </c>
      <c r="C54" t="s">
        <v>14</v>
      </c>
      <c r="D54" t="s">
        <v>32</v>
      </c>
      <c r="E54" t="s">
        <v>21</v>
      </c>
      <c r="F54" s="9">
        <v>15.75</v>
      </c>
      <c r="G54" s="9">
        <v>17.809999999999999</v>
      </c>
      <c r="H54" s="9">
        <v>15</v>
      </c>
      <c r="I54" s="9">
        <v>12.56</v>
      </c>
      <c r="J54" s="9">
        <f t="shared" si="0"/>
        <v>15.280000000000001</v>
      </c>
      <c r="K54" s="7">
        <v>0.92410000000000003</v>
      </c>
      <c r="L54" s="5">
        <v>75000</v>
      </c>
      <c r="M54" s="3">
        <v>46221</v>
      </c>
    </row>
    <row r="55" spans="1:13">
      <c r="A55" t="s">
        <v>129</v>
      </c>
      <c r="B55" t="s">
        <v>130</v>
      </c>
      <c r="C55" t="s">
        <v>14</v>
      </c>
      <c r="D55" t="s">
        <v>32</v>
      </c>
      <c r="E55" t="s">
        <v>16</v>
      </c>
      <c r="F55" s="9">
        <v>18.190000000000001</v>
      </c>
      <c r="G55" s="9">
        <v>8.83</v>
      </c>
      <c r="H55" s="9">
        <v>14.54</v>
      </c>
      <c r="I55" s="9">
        <v>13.72</v>
      </c>
      <c r="J55" s="9">
        <f t="shared" si="0"/>
        <v>13.82</v>
      </c>
      <c r="K55" s="7">
        <v>0.79700000000000004</v>
      </c>
      <c r="L55" s="5">
        <v>120000</v>
      </c>
      <c r="M55" s="3">
        <v>45956</v>
      </c>
    </row>
    <row r="56" spans="1:13">
      <c r="A56" t="s">
        <v>131</v>
      </c>
      <c r="B56" t="s">
        <v>132</v>
      </c>
      <c r="C56" t="s">
        <v>14</v>
      </c>
      <c r="D56" t="s">
        <v>28</v>
      </c>
      <c r="E56" t="s">
        <v>16</v>
      </c>
      <c r="F56" s="9">
        <v>12.91</v>
      </c>
      <c r="G56" s="9">
        <v>13.8</v>
      </c>
      <c r="H56" s="9">
        <v>17.46</v>
      </c>
      <c r="I56" s="9">
        <v>17.46</v>
      </c>
      <c r="J56" s="9">
        <f t="shared" si="0"/>
        <v>15.407500000000001</v>
      </c>
      <c r="K56" s="7">
        <v>0.80020000000000002</v>
      </c>
      <c r="L56" s="5">
        <v>100000</v>
      </c>
      <c r="M56" s="3">
        <v>45708</v>
      </c>
    </row>
    <row r="57" spans="1:13">
      <c r="A57" t="s">
        <v>133</v>
      </c>
      <c r="B57" t="s">
        <v>134</v>
      </c>
      <c r="C57" t="s">
        <v>14</v>
      </c>
      <c r="D57" t="s">
        <v>28</v>
      </c>
      <c r="E57" t="s">
        <v>29</v>
      </c>
      <c r="F57" s="9">
        <v>15.3</v>
      </c>
      <c r="G57" s="9">
        <v>13.68</v>
      </c>
      <c r="H57" s="9">
        <v>14.86</v>
      </c>
      <c r="I57" s="9">
        <v>10.44</v>
      </c>
      <c r="J57" s="9">
        <f t="shared" si="0"/>
        <v>13.57</v>
      </c>
      <c r="K57" s="7">
        <v>0.89</v>
      </c>
      <c r="L57" s="5">
        <v>90000</v>
      </c>
      <c r="M57" s="3">
        <v>46070</v>
      </c>
    </row>
    <row r="58" spans="1:13">
      <c r="A58" t="s">
        <v>135</v>
      </c>
      <c r="B58" t="s">
        <v>136</v>
      </c>
      <c r="C58" t="s">
        <v>19</v>
      </c>
      <c r="D58" t="s">
        <v>35</v>
      </c>
      <c r="E58" t="s">
        <v>29</v>
      </c>
      <c r="F58" s="9">
        <v>15.91</v>
      </c>
      <c r="G58" s="9">
        <v>15.95</v>
      </c>
      <c r="H58" s="9">
        <v>14.56</v>
      </c>
      <c r="I58" s="9">
        <v>16.36</v>
      </c>
      <c r="J58" s="9">
        <f t="shared" si="0"/>
        <v>15.695</v>
      </c>
      <c r="K58" s="7">
        <v>0.74680000000000002</v>
      </c>
      <c r="L58" s="5">
        <v>60000</v>
      </c>
      <c r="M58" s="3">
        <v>46168</v>
      </c>
    </row>
    <row r="59" spans="1:13">
      <c r="A59" t="s">
        <v>137</v>
      </c>
      <c r="B59" t="s">
        <v>104</v>
      </c>
      <c r="C59" t="s">
        <v>14</v>
      </c>
      <c r="D59" t="s">
        <v>15</v>
      </c>
      <c r="E59" t="s">
        <v>21</v>
      </c>
      <c r="F59" s="9">
        <v>7.04</v>
      </c>
      <c r="G59" s="9">
        <v>9.23</v>
      </c>
      <c r="H59" s="9">
        <v>6.56</v>
      </c>
      <c r="I59" s="9">
        <v>8.67</v>
      </c>
      <c r="J59" s="9">
        <f t="shared" si="0"/>
        <v>7.875</v>
      </c>
      <c r="K59" s="7">
        <v>0.6895</v>
      </c>
      <c r="L59" s="5">
        <v>85000</v>
      </c>
      <c r="M59" s="3">
        <v>45735</v>
      </c>
    </row>
    <row r="60" spans="1:13">
      <c r="A60" t="s">
        <v>138</v>
      </c>
      <c r="B60" t="s">
        <v>139</v>
      </c>
      <c r="C60" t="s">
        <v>19</v>
      </c>
      <c r="D60" t="s">
        <v>32</v>
      </c>
      <c r="E60" t="s">
        <v>43</v>
      </c>
      <c r="F60" s="9">
        <v>14.12</v>
      </c>
      <c r="G60" s="9">
        <v>15.36</v>
      </c>
      <c r="H60" s="9">
        <v>11.46</v>
      </c>
      <c r="I60" s="9">
        <v>16.71</v>
      </c>
      <c r="J60" s="9">
        <f t="shared" si="0"/>
        <v>14.4125</v>
      </c>
      <c r="K60" s="7">
        <v>0.9617</v>
      </c>
      <c r="L60" s="5">
        <v>100000</v>
      </c>
      <c r="M60" s="3">
        <v>46074</v>
      </c>
    </row>
    <row r="61" spans="1:13">
      <c r="A61" t="s">
        <v>140</v>
      </c>
      <c r="B61" t="s">
        <v>141</v>
      </c>
      <c r="C61" t="s">
        <v>19</v>
      </c>
      <c r="D61" t="s">
        <v>35</v>
      </c>
      <c r="E61" t="s">
        <v>43</v>
      </c>
      <c r="F61" s="9">
        <v>9.1</v>
      </c>
      <c r="G61" s="9">
        <v>6.23</v>
      </c>
      <c r="H61" s="9">
        <v>4.51</v>
      </c>
      <c r="I61" s="9">
        <v>3.81</v>
      </c>
      <c r="J61" s="9">
        <f t="shared" si="0"/>
        <v>5.9124999999999996</v>
      </c>
      <c r="K61" s="7">
        <v>0.91279999999999994</v>
      </c>
      <c r="L61" s="5">
        <v>130000</v>
      </c>
      <c r="M61" s="3">
        <v>46087</v>
      </c>
    </row>
    <row r="62" spans="1:13">
      <c r="A62" t="s">
        <v>142</v>
      </c>
      <c r="B62" t="s">
        <v>143</v>
      </c>
      <c r="C62" t="s">
        <v>19</v>
      </c>
      <c r="D62" t="s">
        <v>20</v>
      </c>
      <c r="E62" t="s">
        <v>43</v>
      </c>
      <c r="F62" s="9">
        <v>14.32</v>
      </c>
      <c r="G62" s="9">
        <v>15.29</v>
      </c>
      <c r="H62" s="9">
        <v>12.15</v>
      </c>
      <c r="I62" s="9">
        <v>17.04</v>
      </c>
      <c r="J62" s="9">
        <f t="shared" si="0"/>
        <v>14.7</v>
      </c>
      <c r="K62" s="7">
        <v>0.55000000000000004</v>
      </c>
      <c r="L62" s="5">
        <v>90000</v>
      </c>
      <c r="M62" s="3">
        <v>45887</v>
      </c>
    </row>
    <row r="63" spans="1:13">
      <c r="A63" t="s">
        <v>144</v>
      </c>
      <c r="B63" t="s">
        <v>145</v>
      </c>
      <c r="C63" t="s">
        <v>19</v>
      </c>
      <c r="D63" t="s">
        <v>20</v>
      </c>
      <c r="E63" t="s">
        <v>21</v>
      </c>
      <c r="F63" s="9">
        <v>12.92</v>
      </c>
      <c r="G63" s="9">
        <v>14.32</v>
      </c>
      <c r="H63" s="9">
        <v>16.98</v>
      </c>
      <c r="I63" s="9">
        <v>12.16</v>
      </c>
      <c r="J63" s="9">
        <f t="shared" si="0"/>
        <v>14.094999999999999</v>
      </c>
      <c r="K63" s="7">
        <v>0.95489999999999997</v>
      </c>
      <c r="L63" s="5">
        <v>60000</v>
      </c>
      <c r="M63" s="3">
        <v>45978</v>
      </c>
    </row>
    <row r="64" spans="1:13">
      <c r="A64" t="s">
        <v>146</v>
      </c>
      <c r="B64" t="s">
        <v>147</v>
      </c>
      <c r="C64" t="s">
        <v>14</v>
      </c>
      <c r="D64" t="s">
        <v>15</v>
      </c>
      <c r="E64" t="s">
        <v>29</v>
      </c>
      <c r="F64" s="9">
        <v>15.64</v>
      </c>
      <c r="G64" s="9">
        <v>13.06</v>
      </c>
      <c r="H64" s="9">
        <v>16.170000000000002</v>
      </c>
      <c r="I64" s="9">
        <v>15.34</v>
      </c>
      <c r="J64" s="9">
        <f t="shared" si="0"/>
        <v>15.052500000000002</v>
      </c>
      <c r="K64" s="7">
        <v>0.84250000000000003</v>
      </c>
      <c r="L64" s="5">
        <v>100000</v>
      </c>
      <c r="M64" s="3">
        <v>45724</v>
      </c>
    </row>
    <row r="65" spans="1:13">
      <c r="A65" t="s">
        <v>148</v>
      </c>
      <c r="B65" t="s">
        <v>47</v>
      </c>
      <c r="C65" t="s">
        <v>19</v>
      </c>
      <c r="D65" t="s">
        <v>15</v>
      </c>
      <c r="E65" t="s">
        <v>16</v>
      </c>
      <c r="F65" s="9">
        <v>13.82</v>
      </c>
      <c r="G65" s="9">
        <v>20</v>
      </c>
      <c r="H65" s="9">
        <v>18.579999999999998</v>
      </c>
      <c r="I65" s="9">
        <v>14.04</v>
      </c>
      <c r="J65" s="9">
        <f t="shared" si="0"/>
        <v>16.61</v>
      </c>
      <c r="K65" s="7">
        <v>0.9204</v>
      </c>
      <c r="L65" s="5">
        <v>50000</v>
      </c>
      <c r="M65" s="3">
        <v>46186</v>
      </c>
    </row>
    <row r="66" spans="1:13">
      <c r="A66" t="s">
        <v>149</v>
      </c>
      <c r="B66" t="s">
        <v>150</v>
      </c>
      <c r="C66" t="s">
        <v>14</v>
      </c>
      <c r="D66" t="s">
        <v>15</v>
      </c>
      <c r="E66" t="s">
        <v>16</v>
      </c>
      <c r="F66" s="9">
        <v>12.29</v>
      </c>
      <c r="G66" s="9">
        <v>11.3</v>
      </c>
      <c r="H66" s="9">
        <v>8.81</v>
      </c>
      <c r="I66" s="9">
        <v>11.57</v>
      </c>
      <c r="J66" s="9">
        <f t="shared" si="0"/>
        <v>10.9925</v>
      </c>
      <c r="K66" s="7">
        <v>0.80159999999999998</v>
      </c>
      <c r="L66" s="5">
        <v>75000</v>
      </c>
      <c r="M66" s="3">
        <v>46224</v>
      </c>
    </row>
    <row r="67" spans="1:13">
      <c r="A67" t="s">
        <v>151</v>
      </c>
      <c r="B67" t="s">
        <v>152</v>
      </c>
      <c r="C67" t="s">
        <v>14</v>
      </c>
      <c r="D67" t="s">
        <v>20</v>
      </c>
      <c r="E67" t="s">
        <v>29</v>
      </c>
      <c r="F67" s="9">
        <v>10.73</v>
      </c>
      <c r="G67" s="9">
        <v>13.42</v>
      </c>
      <c r="H67" s="9">
        <v>13.55</v>
      </c>
      <c r="I67" s="9">
        <v>12.89</v>
      </c>
      <c r="J67" s="9">
        <f t="shared" ref="J67:J101" si="1">AVERAGE(F67:I67)</f>
        <v>12.647500000000001</v>
      </c>
      <c r="K67" s="7">
        <v>0.87060000000000004</v>
      </c>
      <c r="L67" s="5">
        <v>130000</v>
      </c>
      <c r="M67" s="3">
        <v>46222</v>
      </c>
    </row>
    <row r="68" spans="1:13">
      <c r="A68" t="s">
        <v>153</v>
      </c>
      <c r="B68" t="s">
        <v>154</v>
      </c>
      <c r="C68" t="s">
        <v>19</v>
      </c>
      <c r="D68" t="s">
        <v>32</v>
      </c>
      <c r="E68" t="s">
        <v>43</v>
      </c>
      <c r="F68" s="9">
        <v>12.39</v>
      </c>
      <c r="G68" s="9">
        <v>16.12</v>
      </c>
      <c r="H68" s="9">
        <v>14.7</v>
      </c>
      <c r="I68" s="9">
        <v>12.31</v>
      </c>
      <c r="J68" s="9">
        <f t="shared" si="1"/>
        <v>13.88</v>
      </c>
      <c r="K68" s="7">
        <v>0.84919999999999995</v>
      </c>
      <c r="L68" s="5">
        <v>110000</v>
      </c>
      <c r="M68" s="3">
        <v>46051</v>
      </c>
    </row>
    <row r="69" spans="1:13">
      <c r="A69" t="s">
        <v>155</v>
      </c>
      <c r="B69" t="s">
        <v>156</v>
      </c>
      <c r="C69" t="s">
        <v>14</v>
      </c>
      <c r="D69" t="s">
        <v>35</v>
      </c>
      <c r="E69" t="s">
        <v>29</v>
      </c>
      <c r="F69" s="9">
        <v>12.99</v>
      </c>
      <c r="G69" s="9">
        <v>13.03</v>
      </c>
      <c r="H69" s="9">
        <v>11.16</v>
      </c>
      <c r="I69" s="9">
        <v>13.55</v>
      </c>
      <c r="J69" s="9">
        <f t="shared" si="1"/>
        <v>12.682500000000001</v>
      </c>
      <c r="K69" s="7">
        <v>0.80720000000000003</v>
      </c>
      <c r="L69" s="5">
        <v>120000</v>
      </c>
      <c r="M69" s="3">
        <v>45565</v>
      </c>
    </row>
    <row r="70" spans="1:13">
      <c r="A70" t="s">
        <v>157</v>
      </c>
      <c r="B70" t="s">
        <v>110</v>
      </c>
      <c r="C70" t="s">
        <v>14</v>
      </c>
      <c r="D70" t="s">
        <v>32</v>
      </c>
      <c r="E70" t="s">
        <v>29</v>
      </c>
      <c r="F70" s="9">
        <v>16.13</v>
      </c>
      <c r="G70" s="9">
        <v>12.81</v>
      </c>
      <c r="H70" s="9">
        <v>14.09</v>
      </c>
      <c r="I70" s="9">
        <v>11.94</v>
      </c>
      <c r="J70" s="9">
        <f t="shared" si="1"/>
        <v>13.7425</v>
      </c>
      <c r="K70" s="7">
        <v>0.86950000000000005</v>
      </c>
      <c r="L70" s="5">
        <v>75000</v>
      </c>
      <c r="M70" s="3">
        <v>45792</v>
      </c>
    </row>
    <row r="71" spans="1:13">
      <c r="A71" t="s">
        <v>158</v>
      </c>
      <c r="B71" t="s">
        <v>159</v>
      </c>
      <c r="C71" t="s">
        <v>14</v>
      </c>
      <c r="D71" t="s">
        <v>15</v>
      </c>
      <c r="E71" t="s">
        <v>29</v>
      </c>
      <c r="F71" s="9">
        <v>14.26</v>
      </c>
      <c r="G71" s="9">
        <v>18.48</v>
      </c>
      <c r="H71" s="9">
        <v>15.37</v>
      </c>
      <c r="I71" s="9">
        <v>13.49</v>
      </c>
      <c r="J71" s="9">
        <f t="shared" si="1"/>
        <v>15.4</v>
      </c>
      <c r="K71" s="7">
        <v>0.72430000000000005</v>
      </c>
      <c r="L71" s="5">
        <v>100000</v>
      </c>
      <c r="M71" s="3">
        <v>45847</v>
      </c>
    </row>
    <row r="72" spans="1:13">
      <c r="A72" t="s">
        <v>160</v>
      </c>
      <c r="B72" t="s">
        <v>161</v>
      </c>
      <c r="C72" t="s">
        <v>19</v>
      </c>
      <c r="D72" t="s">
        <v>32</v>
      </c>
      <c r="E72" t="s">
        <v>21</v>
      </c>
      <c r="F72" s="9">
        <v>12.56</v>
      </c>
      <c r="G72" s="9">
        <v>8.91</v>
      </c>
      <c r="H72" s="9">
        <v>7.47</v>
      </c>
      <c r="I72" s="9">
        <v>10.68</v>
      </c>
      <c r="J72" s="9">
        <f t="shared" si="1"/>
        <v>9.9049999999999994</v>
      </c>
      <c r="K72" s="7">
        <v>0.7157</v>
      </c>
      <c r="L72" s="5">
        <v>100000</v>
      </c>
      <c r="M72" s="3">
        <v>46207</v>
      </c>
    </row>
    <row r="73" spans="1:13">
      <c r="A73" t="s">
        <v>162</v>
      </c>
      <c r="B73" t="s">
        <v>163</v>
      </c>
      <c r="C73" t="s">
        <v>14</v>
      </c>
      <c r="D73" t="s">
        <v>28</v>
      </c>
      <c r="E73" t="s">
        <v>21</v>
      </c>
      <c r="F73" s="9">
        <v>13.48</v>
      </c>
      <c r="G73" s="9">
        <v>16.010000000000002</v>
      </c>
      <c r="H73" s="9">
        <v>17.98</v>
      </c>
      <c r="I73" s="9">
        <v>16.399999999999999</v>
      </c>
      <c r="J73" s="9">
        <f t="shared" si="1"/>
        <v>15.967499999999999</v>
      </c>
      <c r="K73" s="7">
        <v>0.88990000000000002</v>
      </c>
      <c r="L73" s="5">
        <v>70000</v>
      </c>
      <c r="M73" s="3">
        <v>45918</v>
      </c>
    </row>
    <row r="74" spans="1:13">
      <c r="A74" t="s">
        <v>164</v>
      </c>
      <c r="B74" t="s">
        <v>165</v>
      </c>
      <c r="C74" t="s">
        <v>14</v>
      </c>
      <c r="D74" t="s">
        <v>20</v>
      </c>
      <c r="E74" t="s">
        <v>16</v>
      </c>
      <c r="F74" s="9">
        <v>14.73</v>
      </c>
      <c r="G74" s="9">
        <v>14.56</v>
      </c>
      <c r="H74" s="9">
        <v>16.13</v>
      </c>
      <c r="I74" s="9">
        <v>14.69</v>
      </c>
      <c r="J74" s="9">
        <f t="shared" si="1"/>
        <v>15.0275</v>
      </c>
      <c r="K74" s="7">
        <v>0.76880000000000004</v>
      </c>
      <c r="L74" s="5">
        <v>130000</v>
      </c>
      <c r="M74" s="3">
        <v>45911</v>
      </c>
    </row>
    <row r="75" spans="1:13">
      <c r="A75" t="s">
        <v>166</v>
      </c>
      <c r="B75" t="s">
        <v>128</v>
      </c>
      <c r="C75" t="s">
        <v>14</v>
      </c>
      <c r="D75" t="s">
        <v>35</v>
      </c>
      <c r="E75" t="s">
        <v>16</v>
      </c>
      <c r="F75" s="9">
        <v>9.31</v>
      </c>
      <c r="G75" s="9">
        <v>9.74</v>
      </c>
      <c r="H75" s="9">
        <v>10.34</v>
      </c>
      <c r="I75" s="9">
        <v>10.8</v>
      </c>
      <c r="J75" s="9">
        <f t="shared" si="1"/>
        <v>10.047499999999999</v>
      </c>
      <c r="K75" s="7">
        <v>0.90290000000000004</v>
      </c>
      <c r="L75" s="5">
        <v>130000</v>
      </c>
      <c r="M75" s="3">
        <v>45638</v>
      </c>
    </row>
    <row r="76" spans="1:13">
      <c r="A76" t="s">
        <v>167</v>
      </c>
      <c r="B76" t="s">
        <v>168</v>
      </c>
      <c r="C76" t="s">
        <v>19</v>
      </c>
      <c r="D76" t="s">
        <v>20</v>
      </c>
      <c r="E76" t="s">
        <v>16</v>
      </c>
      <c r="F76" s="9">
        <v>17.55</v>
      </c>
      <c r="G76" s="9">
        <v>17.57</v>
      </c>
      <c r="H76" s="9">
        <v>14.3</v>
      </c>
      <c r="I76" s="9">
        <v>17.66</v>
      </c>
      <c r="J76" s="9">
        <f t="shared" si="1"/>
        <v>16.77</v>
      </c>
      <c r="K76" s="7">
        <v>0.96130000000000004</v>
      </c>
      <c r="L76" s="5">
        <v>60000</v>
      </c>
      <c r="M76" s="3">
        <v>46091</v>
      </c>
    </row>
    <row r="77" spans="1:13">
      <c r="A77" t="s">
        <v>169</v>
      </c>
      <c r="B77" t="s">
        <v>170</v>
      </c>
      <c r="C77" t="s">
        <v>14</v>
      </c>
      <c r="D77" t="s">
        <v>32</v>
      </c>
      <c r="E77" t="s">
        <v>21</v>
      </c>
      <c r="F77" s="9">
        <v>13.96</v>
      </c>
      <c r="G77" s="9">
        <v>18.23</v>
      </c>
      <c r="H77" s="9">
        <v>12.42</v>
      </c>
      <c r="I77" s="9">
        <v>17.739999999999998</v>
      </c>
      <c r="J77" s="9">
        <f t="shared" si="1"/>
        <v>15.587499999999999</v>
      </c>
      <c r="K77" s="7">
        <v>0.65480000000000005</v>
      </c>
      <c r="L77" s="5">
        <v>110000</v>
      </c>
      <c r="M77" s="3">
        <v>45771</v>
      </c>
    </row>
    <row r="78" spans="1:13">
      <c r="A78" t="s">
        <v>171</v>
      </c>
      <c r="B78" t="s">
        <v>104</v>
      </c>
      <c r="C78" t="s">
        <v>14</v>
      </c>
      <c r="D78" t="s">
        <v>32</v>
      </c>
      <c r="E78" t="s">
        <v>29</v>
      </c>
      <c r="F78" s="9">
        <v>16.010000000000002</v>
      </c>
      <c r="G78" s="9">
        <v>13.43</v>
      </c>
      <c r="H78" s="9">
        <v>14.48</v>
      </c>
      <c r="I78" s="9">
        <v>13</v>
      </c>
      <c r="J78" s="9">
        <f t="shared" si="1"/>
        <v>14.23</v>
      </c>
      <c r="K78" s="7">
        <v>0.92200000000000004</v>
      </c>
      <c r="L78" s="5">
        <v>80000</v>
      </c>
      <c r="M78" s="3">
        <v>45600</v>
      </c>
    </row>
    <row r="79" spans="1:13">
      <c r="A79" t="s">
        <v>172</v>
      </c>
      <c r="B79" t="s">
        <v>173</v>
      </c>
      <c r="C79" t="s">
        <v>14</v>
      </c>
      <c r="D79" t="s">
        <v>35</v>
      </c>
      <c r="E79" t="s">
        <v>21</v>
      </c>
      <c r="F79" s="9">
        <v>10.82</v>
      </c>
      <c r="G79" s="9">
        <v>13.48</v>
      </c>
      <c r="H79" s="9">
        <v>15.12</v>
      </c>
      <c r="I79" s="9">
        <v>8.9700000000000006</v>
      </c>
      <c r="J79" s="9">
        <f t="shared" si="1"/>
        <v>12.0975</v>
      </c>
      <c r="K79" s="7">
        <v>0.83409999999999995</v>
      </c>
      <c r="L79" s="5">
        <v>100000</v>
      </c>
      <c r="M79" s="3">
        <v>46227</v>
      </c>
    </row>
    <row r="80" spans="1:13">
      <c r="A80" t="s">
        <v>174</v>
      </c>
      <c r="B80" t="s">
        <v>175</v>
      </c>
      <c r="C80" t="s">
        <v>19</v>
      </c>
      <c r="D80" t="s">
        <v>15</v>
      </c>
      <c r="E80" t="s">
        <v>43</v>
      </c>
      <c r="F80" s="9">
        <v>9.67</v>
      </c>
      <c r="G80" s="9">
        <v>11.6</v>
      </c>
      <c r="H80" s="9">
        <v>11.74</v>
      </c>
      <c r="I80" s="9">
        <v>11.16</v>
      </c>
      <c r="J80" s="9">
        <f t="shared" si="1"/>
        <v>11.0425</v>
      </c>
      <c r="K80" s="7">
        <v>0.87749999999999995</v>
      </c>
      <c r="L80" s="5">
        <v>90000</v>
      </c>
      <c r="M80" s="3">
        <v>45669</v>
      </c>
    </row>
    <row r="81" spans="1:13">
      <c r="A81" t="s">
        <v>176</v>
      </c>
      <c r="B81" t="s">
        <v>177</v>
      </c>
      <c r="C81" t="s">
        <v>19</v>
      </c>
      <c r="D81" t="s">
        <v>48</v>
      </c>
      <c r="E81" t="s">
        <v>43</v>
      </c>
      <c r="F81" s="9">
        <v>9.24</v>
      </c>
      <c r="G81" s="9">
        <v>10.43</v>
      </c>
      <c r="H81" s="9">
        <v>9.15</v>
      </c>
      <c r="I81" s="9">
        <v>12.93</v>
      </c>
      <c r="J81" s="9">
        <f t="shared" si="1"/>
        <v>10.4375</v>
      </c>
      <c r="K81" s="7">
        <v>0.95140000000000002</v>
      </c>
      <c r="L81" s="5">
        <v>70000</v>
      </c>
      <c r="M81" s="3">
        <v>45547</v>
      </c>
    </row>
    <row r="82" spans="1:13">
      <c r="A82" t="s">
        <v>178</v>
      </c>
      <c r="B82" t="s">
        <v>179</v>
      </c>
      <c r="C82" t="s">
        <v>19</v>
      </c>
      <c r="D82" t="s">
        <v>20</v>
      </c>
      <c r="E82" t="s">
        <v>29</v>
      </c>
      <c r="F82" s="9">
        <v>15.58</v>
      </c>
      <c r="G82" s="9">
        <v>14.85</v>
      </c>
      <c r="H82" s="9">
        <v>15.71</v>
      </c>
      <c r="I82" s="9">
        <v>11.71</v>
      </c>
      <c r="J82" s="9">
        <f t="shared" si="1"/>
        <v>14.4625</v>
      </c>
      <c r="K82" s="7">
        <v>0.84179999999999999</v>
      </c>
      <c r="L82" s="5">
        <v>60000</v>
      </c>
      <c r="M82" s="3">
        <v>45590</v>
      </c>
    </row>
    <row r="83" spans="1:13">
      <c r="A83" t="s">
        <v>180</v>
      </c>
      <c r="B83" t="s">
        <v>181</v>
      </c>
      <c r="C83" t="s">
        <v>14</v>
      </c>
      <c r="D83" t="s">
        <v>28</v>
      </c>
      <c r="E83" t="s">
        <v>29</v>
      </c>
      <c r="F83" s="9">
        <v>12.79</v>
      </c>
      <c r="G83" s="9">
        <v>10.57</v>
      </c>
      <c r="H83" s="9">
        <v>10.91</v>
      </c>
      <c r="I83" s="9">
        <v>8.76</v>
      </c>
      <c r="J83" s="9">
        <f t="shared" si="1"/>
        <v>10.757499999999999</v>
      </c>
      <c r="K83" s="7">
        <v>0.93310000000000004</v>
      </c>
      <c r="L83" s="5">
        <v>85000</v>
      </c>
      <c r="M83" s="3">
        <v>45852</v>
      </c>
    </row>
    <row r="84" spans="1:13">
      <c r="A84" t="s">
        <v>182</v>
      </c>
      <c r="B84" t="s">
        <v>183</v>
      </c>
      <c r="C84" t="s">
        <v>14</v>
      </c>
      <c r="D84" t="s">
        <v>48</v>
      </c>
      <c r="E84" t="s">
        <v>16</v>
      </c>
      <c r="F84" s="9">
        <v>15.33</v>
      </c>
      <c r="G84" s="9">
        <v>13.59</v>
      </c>
      <c r="H84" s="9">
        <v>16.829999999999998</v>
      </c>
      <c r="I84" s="9">
        <v>13.04</v>
      </c>
      <c r="J84" s="9">
        <f t="shared" si="1"/>
        <v>14.6975</v>
      </c>
      <c r="K84" s="7">
        <v>0.93730000000000002</v>
      </c>
      <c r="L84" s="5">
        <v>120000</v>
      </c>
      <c r="M84" s="3">
        <v>45608</v>
      </c>
    </row>
    <row r="85" spans="1:13">
      <c r="A85" t="s">
        <v>184</v>
      </c>
      <c r="B85" t="s">
        <v>54</v>
      </c>
      <c r="C85" t="s">
        <v>19</v>
      </c>
      <c r="D85" t="s">
        <v>20</v>
      </c>
      <c r="E85" t="s">
        <v>43</v>
      </c>
      <c r="F85" s="9">
        <v>14.95</v>
      </c>
      <c r="G85" s="9">
        <v>11.37</v>
      </c>
      <c r="H85" s="9">
        <v>11.56</v>
      </c>
      <c r="I85" s="9">
        <v>9.4700000000000006</v>
      </c>
      <c r="J85" s="9">
        <f t="shared" si="1"/>
        <v>11.8375</v>
      </c>
      <c r="K85" s="7">
        <v>0.83599999999999997</v>
      </c>
      <c r="L85" s="5">
        <v>120000</v>
      </c>
      <c r="M85" s="3">
        <v>46125</v>
      </c>
    </row>
    <row r="86" spans="1:13">
      <c r="A86" t="s">
        <v>185</v>
      </c>
      <c r="B86" t="s">
        <v>186</v>
      </c>
      <c r="C86" t="s">
        <v>19</v>
      </c>
      <c r="D86" t="s">
        <v>28</v>
      </c>
      <c r="E86" t="s">
        <v>29</v>
      </c>
      <c r="F86" s="9">
        <v>16.07</v>
      </c>
      <c r="G86" s="9">
        <v>13.84</v>
      </c>
      <c r="H86" s="9">
        <v>6.56</v>
      </c>
      <c r="I86" s="9">
        <v>11.15</v>
      </c>
      <c r="J86" s="9">
        <f t="shared" si="1"/>
        <v>11.904999999999999</v>
      </c>
      <c r="K86" s="7">
        <v>0.84530000000000005</v>
      </c>
      <c r="L86" s="5">
        <v>75000</v>
      </c>
      <c r="M86" s="3">
        <v>45894</v>
      </c>
    </row>
    <row r="87" spans="1:13">
      <c r="A87" t="s">
        <v>187</v>
      </c>
      <c r="B87" t="s">
        <v>74</v>
      </c>
      <c r="C87" t="s">
        <v>19</v>
      </c>
      <c r="D87" t="s">
        <v>28</v>
      </c>
      <c r="E87" t="s">
        <v>29</v>
      </c>
      <c r="F87" s="9">
        <v>13.13</v>
      </c>
      <c r="G87" s="9">
        <v>10.71</v>
      </c>
      <c r="H87" s="9">
        <v>15.21</v>
      </c>
      <c r="I87" s="9">
        <v>15.26</v>
      </c>
      <c r="J87" s="9">
        <f t="shared" si="1"/>
        <v>13.577500000000001</v>
      </c>
      <c r="K87" s="7">
        <v>0.74470000000000003</v>
      </c>
      <c r="L87" s="5">
        <v>120000</v>
      </c>
      <c r="M87" s="3">
        <v>45762</v>
      </c>
    </row>
    <row r="88" spans="1:13">
      <c r="A88" t="s">
        <v>188</v>
      </c>
      <c r="B88" t="s">
        <v>189</v>
      </c>
      <c r="C88" t="s">
        <v>14</v>
      </c>
      <c r="D88" t="s">
        <v>35</v>
      </c>
      <c r="E88" t="s">
        <v>16</v>
      </c>
      <c r="F88" s="9">
        <v>19.649999999999999</v>
      </c>
      <c r="G88" s="9">
        <v>17.11</v>
      </c>
      <c r="H88" s="9">
        <v>18.34</v>
      </c>
      <c r="I88" s="9">
        <v>16.72</v>
      </c>
      <c r="J88" s="9">
        <f t="shared" si="1"/>
        <v>17.954999999999998</v>
      </c>
      <c r="K88" s="7">
        <v>0.67400000000000004</v>
      </c>
      <c r="L88" s="5">
        <v>75000</v>
      </c>
      <c r="M88" s="3">
        <v>45538</v>
      </c>
    </row>
    <row r="89" spans="1:13">
      <c r="A89" t="s">
        <v>190</v>
      </c>
      <c r="B89" t="s">
        <v>191</v>
      </c>
      <c r="C89" t="s">
        <v>14</v>
      </c>
      <c r="D89" t="s">
        <v>15</v>
      </c>
      <c r="E89" t="s">
        <v>21</v>
      </c>
      <c r="F89" s="9">
        <v>10.68</v>
      </c>
      <c r="G89" s="9">
        <v>10.98</v>
      </c>
      <c r="H89" s="9">
        <v>6.72</v>
      </c>
      <c r="I89" s="9">
        <v>6.07</v>
      </c>
      <c r="J89" s="9">
        <f t="shared" si="1"/>
        <v>8.6125000000000007</v>
      </c>
      <c r="K89" s="7">
        <v>0.76039999999999996</v>
      </c>
      <c r="L89" s="5">
        <v>90000</v>
      </c>
      <c r="M89" s="3">
        <v>45871</v>
      </c>
    </row>
    <row r="90" spans="1:13">
      <c r="A90" t="s">
        <v>192</v>
      </c>
      <c r="B90" t="s">
        <v>193</v>
      </c>
      <c r="C90" t="s">
        <v>19</v>
      </c>
      <c r="D90" t="s">
        <v>15</v>
      </c>
      <c r="E90" t="s">
        <v>21</v>
      </c>
      <c r="F90" s="9">
        <v>15.78</v>
      </c>
      <c r="G90" s="9">
        <v>16.23</v>
      </c>
      <c r="H90" s="9">
        <v>17.41</v>
      </c>
      <c r="I90" s="9">
        <v>16.79</v>
      </c>
      <c r="J90" s="9">
        <f t="shared" si="1"/>
        <v>16.552500000000002</v>
      </c>
      <c r="K90" s="7">
        <v>0.84550000000000003</v>
      </c>
      <c r="L90" s="5">
        <v>75000</v>
      </c>
      <c r="M90" s="3">
        <v>45641</v>
      </c>
    </row>
    <row r="91" spans="1:13">
      <c r="A91" t="s">
        <v>194</v>
      </c>
      <c r="B91" t="s">
        <v>195</v>
      </c>
      <c r="C91" t="s">
        <v>19</v>
      </c>
      <c r="D91" t="s">
        <v>28</v>
      </c>
      <c r="E91" t="s">
        <v>29</v>
      </c>
      <c r="F91" s="9">
        <v>16.489999999999998</v>
      </c>
      <c r="G91" s="9">
        <v>14.98</v>
      </c>
      <c r="H91" s="9">
        <v>15.02</v>
      </c>
      <c r="I91" s="9">
        <v>13.43</v>
      </c>
      <c r="J91" s="9">
        <f t="shared" si="1"/>
        <v>14.979999999999999</v>
      </c>
      <c r="K91" s="7">
        <v>0.67589999999999995</v>
      </c>
      <c r="L91" s="5">
        <v>85000</v>
      </c>
      <c r="M91" s="3">
        <v>46220</v>
      </c>
    </row>
    <row r="92" spans="1:13">
      <c r="A92" t="s">
        <v>196</v>
      </c>
      <c r="B92" t="s">
        <v>197</v>
      </c>
      <c r="C92" t="s">
        <v>14</v>
      </c>
      <c r="D92" t="s">
        <v>32</v>
      </c>
      <c r="E92" t="s">
        <v>43</v>
      </c>
      <c r="F92" s="9">
        <v>15.45</v>
      </c>
      <c r="G92" s="9">
        <v>16.77</v>
      </c>
      <c r="H92" s="9">
        <v>11.24</v>
      </c>
      <c r="I92" s="9">
        <v>11.35</v>
      </c>
      <c r="J92" s="9">
        <f t="shared" si="1"/>
        <v>13.702500000000001</v>
      </c>
      <c r="K92" s="7">
        <v>0.89300000000000002</v>
      </c>
      <c r="L92" s="5">
        <v>85000</v>
      </c>
      <c r="M92" s="3">
        <v>45739</v>
      </c>
    </row>
    <row r="93" spans="1:13">
      <c r="A93" t="s">
        <v>198</v>
      </c>
      <c r="B93" t="s">
        <v>199</v>
      </c>
      <c r="C93" t="s">
        <v>19</v>
      </c>
      <c r="D93" t="s">
        <v>48</v>
      </c>
      <c r="E93" t="s">
        <v>21</v>
      </c>
      <c r="F93" s="9">
        <v>14.4</v>
      </c>
      <c r="G93" s="9">
        <v>11.44</v>
      </c>
      <c r="H93" s="9">
        <v>15.58</v>
      </c>
      <c r="I93" s="9">
        <v>12.4</v>
      </c>
      <c r="J93" s="9">
        <f t="shared" si="1"/>
        <v>13.455</v>
      </c>
      <c r="K93" s="7">
        <v>0.94669999999999999</v>
      </c>
      <c r="L93" s="5">
        <v>100000</v>
      </c>
      <c r="M93" s="3">
        <v>45868</v>
      </c>
    </row>
    <row r="94" spans="1:13">
      <c r="A94" t="s">
        <v>200</v>
      </c>
      <c r="B94" t="s">
        <v>74</v>
      </c>
      <c r="C94" t="s">
        <v>19</v>
      </c>
      <c r="D94" t="s">
        <v>35</v>
      </c>
      <c r="E94" t="s">
        <v>43</v>
      </c>
      <c r="F94" s="9">
        <v>16.260000000000002</v>
      </c>
      <c r="G94" s="9">
        <v>12.04</v>
      </c>
      <c r="H94" s="9">
        <v>16.62</v>
      </c>
      <c r="I94" s="9">
        <v>13.76</v>
      </c>
      <c r="J94" s="9">
        <f t="shared" si="1"/>
        <v>14.67</v>
      </c>
      <c r="K94" s="7">
        <v>0.82809999999999995</v>
      </c>
      <c r="L94" s="5">
        <v>85000</v>
      </c>
      <c r="M94" s="3">
        <v>45549</v>
      </c>
    </row>
    <row r="95" spans="1:13">
      <c r="A95" t="s">
        <v>201</v>
      </c>
      <c r="B95" t="s">
        <v>202</v>
      </c>
      <c r="C95" t="s">
        <v>14</v>
      </c>
      <c r="D95" t="s">
        <v>32</v>
      </c>
      <c r="E95" t="s">
        <v>43</v>
      </c>
      <c r="F95" s="9">
        <v>16.86</v>
      </c>
      <c r="G95" s="9">
        <v>17.149999999999999</v>
      </c>
      <c r="H95" s="9">
        <v>13.37</v>
      </c>
      <c r="I95" s="9">
        <v>12.1</v>
      </c>
      <c r="J95" s="9">
        <f t="shared" si="1"/>
        <v>14.87</v>
      </c>
      <c r="K95" s="7">
        <v>0.73799999999999999</v>
      </c>
      <c r="L95" s="5">
        <v>85000</v>
      </c>
      <c r="M95" s="3">
        <v>45627</v>
      </c>
    </row>
    <row r="96" spans="1:13">
      <c r="A96" t="s">
        <v>203</v>
      </c>
      <c r="B96" t="s">
        <v>91</v>
      </c>
      <c r="C96" t="s">
        <v>19</v>
      </c>
      <c r="D96" t="s">
        <v>28</v>
      </c>
      <c r="E96" t="s">
        <v>29</v>
      </c>
      <c r="F96" s="9">
        <v>17.95</v>
      </c>
      <c r="G96" s="9">
        <v>18.739999999999998</v>
      </c>
      <c r="H96" s="9">
        <v>15.86</v>
      </c>
      <c r="I96" s="9">
        <v>17.809999999999999</v>
      </c>
      <c r="J96" s="9">
        <f t="shared" si="1"/>
        <v>17.59</v>
      </c>
      <c r="K96" s="7">
        <v>0.88939999999999997</v>
      </c>
      <c r="L96" s="5">
        <v>100000</v>
      </c>
      <c r="M96" s="3">
        <v>45681</v>
      </c>
    </row>
    <row r="97" spans="1:13">
      <c r="A97" t="s">
        <v>204</v>
      </c>
      <c r="B97" t="s">
        <v>205</v>
      </c>
      <c r="C97" t="s">
        <v>14</v>
      </c>
      <c r="D97" t="s">
        <v>32</v>
      </c>
      <c r="E97" t="s">
        <v>43</v>
      </c>
      <c r="F97" s="9">
        <v>11.97</v>
      </c>
      <c r="G97" s="9">
        <v>11.7</v>
      </c>
      <c r="H97" s="9">
        <v>10.27</v>
      </c>
      <c r="I97" s="9">
        <v>10.67</v>
      </c>
      <c r="J97" s="9">
        <f t="shared" si="1"/>
        <v>11.1525</v>
      </c>
      <c r="K97" s="7">
        <v>0.83150000000000002</v>
      </c>
      <c r="L97" s="5">
        <v>80000</v>
      </c>
      <c r="M97" s="3">
        <v>45572</v>
      </c>
    </row>
    <row r="98" spans="1:13">
      <c r="A98" t="s">
        <v>206</v>
      </c>
      <c r="B98" t="s">
        <v>13</v>
      </c>
      <c r="C98" t="s">
        <v>14</v>
      </c>
      <c r="D98" t="s">
        <v>32</v>
      </c>
      <c r="E98" t="s">
        <v>43</v>
      </c>
      <c r="F98" s="9">
        <v>19.989999999999998</v>
      </c>
      <c r="G98" s="9">
        <v>15.02</v>
      </c>
      <c r="H98" s="9">
        <v>19.13</v>
      </c>
      <c r="I98" s="9">
        <v>19.82</v>
      </c>
      <c r="J98" s="9">
        <f t="shared" si="1"/>
        <v>18.490000000000002</v>
      </c>
      <c r="K98" s="7">
        <v>0.92949999999999999</v>
      </c>
      <c r="L98" s="5">
        <v>85000</v>
      </c>
      <c r="M98" s="3">
        <v>46044</v>
      </c>
    </row>
    <row r="99" spans="1:13">
      <c r="A99" t="s">
        <v>207</v>
      </c>
      <c r="B99" t="s">
        <v>208</v>
      </c>
      <c r="C99" t="s">
        <v>19</v>
      </c>
      <c r="D99" t="s">
        <v>28</v>
      </c>
      <c r="E99" t="s">
        <v>43</v>
      </c>
      <c r="F99" s="9">
        <v>13.82</v>
      </c>
      <c r="G99" s="9">
        <v>10.97</v>
      </c>
      <c r="H99" s="9">
        <v>8.57</v>
      </c>
      <c r="I99" s="9">
        <v>12.67</v>
      </c>
      <c r="J99" s="9">
        <f t="shared" si="1"/>
        <v>11.5075</v>
      </c>
      <c r="K99" s="7">
        <v>0.94189999999999996</v>
      </c>
      <c r="L99" s="5">
        <v>50000</v>
      </c>
      <c r="M99" s="3">
        <v>46197</v>
      </c>
    </row>
    <row r="100" spans="1:13">
      <c r="A100" t="s">
        <v>209</v>
      </c>
      <c r="B100" t="s">
        <v>99</v>
      </c>
      <c r="C100" t="s">
        <v>19</v>
      </c>
      <c r="D100" t="s">
        <v>20</v>
      </c>
      <c r="E100" t="s">
        <v>43</v>
      </c>
      <c r="F100" s="9">
        <v>12.63</v>
      </c>
      <c r="G100" s="9">
        <v>11.11</v>
      </c>
      <c r="H100" s="9">
        <v>15.87</v>
      </c>
      <c r="I100" s="9">
        <v>11.46</v>
      </c>
      <c r="J100" s="9">
        <f t="shared" si="1"/>
        <v>12.7675</v>
      </c>
      <c r="K100" s="7">
        <v>0.92549999999999999</v>
      </c>
      <c r="L100" s="5">
        <v>120000</v>
      </c>
      <c r="M100" s="3">
        <v>46225</v>
      </c>
    </row>
    <row r="101" spans="1:13">
      <c r="A101" t="s">
        <v>210</v>
      </c>
      <c r="B101" t="s">
        <v>211</v>
      </c>
      <c r="C101" t="s">
        <v>14</v>
      </c>
      <c r="D101" t="s">
        <v>15</v>
      </c>
      <c r="E101" t="s">
        <v>43</v>
      </c>
      <c r="F101" s="9">
        <v>10.51</v>
      </c>
      <c r="G101" s="9">
        <v>12.84</v>
      </c>
      <c r="H101" s="9">
        <v>10.34</v>
      </c>
      <c r="I101" s="9">
        <v>10.61</v>
      </c>
      <c r="J101" s="9">
        <f t="shared" si="1"/>
        <v>11.074999999999999</v>
      </c>
      <c r="K101" s="7">
        <v>0.78510000000000002</v>
      </c>
      <c r="L101" s="5">
        <v>60000</v>
      </c>
      <c r="M101" s="3">
        <v>45722</v>
      </c>
    </row>
  </sheetData>
  <conditionalFormatting sqref="F2:J101">
    <cfRule type="cellIs" dxfId="13" priority="6" operator="lessThan">
      <formula>10</formula>
    </cfRule>
  </conditionalFormatting>
  <conditionalFormatting sqref="F2:J101">
    <cfRule type="cellIs" dxfId="12" priority="5" operator="greaterThanOrEqual">
      <formula>15</formula>
    </cfRule>
  </conditionalFormatting>
  <conditionalFormatting sqref="F2:J101">
    <cfRule type="cellIs" dxfId="11" priority="4" operator="between">
      <formula>10</formula>
      <formula>14.99</formula>
    </cfRule>
  </conditionalFormatting>
  <conditionalFormatting sqref="K2:K101">
    <cfRule type="cellIs" dxfId="10" priority="3" operator="greaterThan">
      <formula>0.8</formula>
    </cfRule>
  </conditionalFormatting>
  <conditionalFormatting sqref="J2:J10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{A0D07D53-40FF-4332-BDEF-6AEF7196B6F8}</x14:id>
        </ext>
      </extLst>
    </cfRule>
  </conditionalFormatting>
  <conditionalFormatting sqref="F2:F1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D07D53-40FF-4332-BDEF-6AEF7196B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L13" sqref="L13"/>
    </sheetView>
  </sheetViews>
  <sheetFormatPr defaultRowHeight="15"/>
  <cols>
    <col min="2" max="2" width="16.85546875" customWidth="1"/>
    <col min="4" max="4" width="15.28515625" customWidth="1"/>
    <col min="5" max="5" width="15.7109375" customWidth="1"/>
    <col min="6" max="7" width="9.140625" style="9"/>
    <col min="8" max="8" width="14.28515625" style="9" customWidth="1"/>
    <col min="9" max="10" width="15.7109375" style="9" customWidth="1"/>
    <col min="11" max="11" width="11.7109375" style="7" customWidth="1"/>
    <col min="12" max="12" width="14.42578125" style="5" customWidth="1"/>
    <col min="13" max="13" width="17.7109375" style="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212</v>
      </c>
      <c r="K1" s="6" t="s">
        <v>9</v>
      </c>
      <c r="L1" s="4" t="s">
        <v>10</v>
      </c>
      <c r="M1" s="2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9">
        <v>12.13</v>
      </c>
      <c r="G2" s="9">
        <v>11.08</v>
      </c>
      <c r="H2" s="9">
        <v>11.09</v>
      </c>
      <c r="I2" s="9">
        <v>14.41</v>
      </c>
      <c r="J2" s="9">
        <f>AVERAGE(F2:I2)</f>
        <v>12.177499999999998</v>
      </c>
      <c r="K2" s="7">
        <v>0.91869999999999996</v>
      </c>
      <c r="L2" s="5">
        <v>75000</v>
      </c>
      <c r="M2" s="3">
        <v>45854</v>
      </c>
    </row>
    <row r="3" spans="1:1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9">
        <v>15.39</v>
      </c>
      <c r="G3" s="9">
        <v>18.309999999999999</v>
      </c>
      <c r="H3" s="9">
        <v>20</v>
      </c>
      <c r="I3" s="9">
        <v>12.86</v>
      </c>
      <c r="J3" s="9">
        <f t="shared" ref="J3:J66" si="0">AVERAGE(F3:I3)</f>
        <v>16.64</v>
      </c>
      <c r="K3" s="7">
        <v>0.81930000000000003</v>
      </c>
      <c r="L3" s="5">
        <v>90000</v>
      </c>
      <c r="M3" s="3">
        <v>45633</v>
      </c>
    </row>
    <row r="4" spans="1:13">
      <c r="A4" t="s">
        <v>22</v>
      </c>
      <c r="B4" t="s">
        <v>23</v>
      </c>
      <c r="C4" t="s">
        <v>19</v>
      </c>
      <c r="D4" t="s">
        <v>15</v>
      </c>
      <c r="E4" t="s">
        <v>16</v>
      </c>
      <c r="F4" s="9">
        <v>11.17</v>
      </c>
      <c r="G4" s="9">
        <v>14.41</v>
      </c>
      <c r="H4" s="9">
        <v>19.760000000000002</v>
      </c>
      <c r="I4" s="9">
        <v>13.06</v>
      </c>
      <c r="J4" s="9">
        <f t="shared" si="0"/>
        <v>14.600000000000001</v>
      </c>
      <c r="K4" s="7">
        <v>0.79079999999999995</v>
      </c>
      <c r="L4" s="5">
        <v>85000</v>
      </c>
      <c r="M4" s="3">
        <v>45682</v>
      </c>
    </row>
    <row r="5" spans="1:13">
      <c r="A5" t="s">
        <v>24</v>
      </c>
      <c r="B5" t="s">
        <v>25</v>
      </c>
      <c r="C5" t="s">
        <v>14</v>
      </c>
      <c r="D5" t="s">
        <v>20</v>
      </c>
      <c r="E5" t="s">
        <v>21</v>
      </c>
      <c r="F5" s="9">
        <v>14.17</v>
      </c>
      <c r="G5" s="9">
        <v>10.220000000000001</v>
      </c>
      <c r="H5" s="9">
        <v>10.26</v>
      </c>
      <c r="I5" s="9">
        <v>14.91</v>
      </c>
      <c r="J5" s="9">
        <f t="shared" si="0"/>
        <v>12.39</v>
      </c>
      <c r="K5" s="7">
        <v>0.76400000000000001</v>
      </c>
      <c r="L5" s="5">
        <v>120000</v>
      </c>
      <c r="M5" s="3">
        <v>45844</v>
      </c>
    </row>
    <row r="6" spans="1:13">
      <c r="A6" t="s">
        <v>26</v>
      </c>
      <c r="B6" t="s">
        <v>27</v>
      </c>
      <c r="C6" t="s">
        <v>14</v>
      </c>
      <c r="D6" t="s">
        <v>28</v>
      </c>
      <c r="E6" t="s">
        <v>29</v>
      </c>
      <c r="F6" s="9">
        <v>13.23</v>
      </c>
      <c r="G6" s="9">
        <v>10.49</v>
      </c>
      <c r="H6" s="9">
        <v>10.63</v>
      </c>
      <c r="I6" s="9">
        <v>13.04</v>
      </c>
      <c r="J6" s="9">
        <f t="shared" si="0"/>
        <v>11.8475</v>
      </c>
      <c r="K6" s="7">
        <v>0.73070000000000002</v>
      </c>
      <c r="L6" s="5">
        <v>70000</v>
      </c>
      <c r="M6" s="3">
        <v>46019</v>
      </c>
    </row>
    <row r="7" spans="1:13">
      <c r="A7" t="s">
        <v>30</v>
      </c>
      <c r="B7" t="s">
        <v>31</v>
      </c>
      <c r="C7" t="s">
        <v>19</v>
      </c>
      <c r="D7" t="s">
        <v>32</v>
      </c>
      <c r="E7" t="s">
        <v>21</v>
      </c>
      <c r="F7" s="9">
        <v>16.079999999999998</v>
      </c>
      <c r="G7" s="9">
        <v>16.989999999999998</v>
      </c>
      <c r="H7" s="9">
        <v>12.22</v>
      </c>
      <c r="I7" s="9">
        <v>11.87</v>
      </c>
      <c r="J7" s="9">
        <f t="shared" si="0"/>
        <v>14.289999999999997</v>
      </c>
      <c r="K7" s="7">
        <v>0.7429</v>
      </c>
      <c r="L7" s="5">
        <v>85000</v>
      </c>
      <c r="M7" s="3">
        <v>45826</v>
      </c>
    </row>
    <row r="8" spans="1:13">
      <c r="A8" t="s">
        <v>33</v>
      </c>
      <c r="B8" t="s">
        <v>34</v>
      </c>
      <c r="C8" t="s">
        <v>14</v>
      </c>
      <c r="D8" t="s">
        <v>35</v>
      </c>
      <c r="E8" t="s">
        <v>21</v>
      </c>
      <c r="F8" s="9">
        <v>16.97</v>
      </c>
      <c r="G8" s="9">
        <v>18.260000000000002</v>
      </c>
      <c r="H8" s="9">
        <v>15.2</v>
      </c>
      <c r="I8" s="9">
        <v>12.16</v>
      </c>
      <c r="J8" s="9">
        <f t="shared" si="0"/>
        <v>15.647500000000001</v>
      </c>
      <c r="K8" s="7">
        <v>0.75839999999999996</v>
      </c>
      <c r="L8" s="5">
        <v>60000</v>
      </c>
      <c r="M8" s="3">
        <v>45915</v>
      </c>
    </row>
    <row r="9" spans="1:13">
      <c r="A9" t="s">
        <v>36</v>
      </c>
      <c r="B9" t="s">
        <v>37</v>
      </c>
      <c r="C9" t="s">
        <v>19</v>
      </c>
      <c r="D9" t="s">
        <v>20</v>
      </c>
      <c r="E9" t="s">
        <v>21</v>
      </c>
      <c r="F9" s="9">
        <v>7.57</v>
      </c>
      <c r="G9" s="9">
        <v>11.81</v>
      </c>
      <c r="H9" s="9">
        <v>12.87</v>
      </c>
      <c r="I9" s="9">
        <v>10.09</v>
      </c>
      <c r="J9" s="9">
        <f t="shared" si="0"/>
        <v>10.585000000000001</v>
      </c>
      <c r="K9" s="7" t="s">
        <v>38</v>
      </c>
      <c r="L9" s="5">
        <v>90000</v>
      </c>
      <c r="M9" s="3">
        <v>45901</v>
      </c>
    </row>
    <row r="10" spans="1:13">
      <c r="A10" t="s">
        <v>39</v>
      </c>
      <c r="B10" t="s">
        <v>40</v>
      </c>
      <c r="C10" t="s">
        <v>14</v>
      </c>
      <c r="D10" t="s">
        <v>20</v>
      </c>
      <c r="E10" t="s">
        <v>21</v>
      </c>
      <c r="F10" s="9">
        <v>7.43</v>
      </c>
      <c r="G10" s="9">
        <v>14.27</v>
      </c>
      <c r="H10" s="9">
        <v>12.08</v>
      </c>
      <c r="I10" s="9">
        <v>8.82</v>
      </c>
      <c r="J10" s="9">
        <f t="shared" si="0"/>
        <v>10.65</v>
      </c>
      <c r="K10" s="7">
        <v>0.87990000000000002</v>
      </c>
      <c r="L10" s="5">
        <v>50000</v>
      </c>
      <c r="M10" s="3">
        <v>45724</v>
      </c>
    </row>
    <row r="11" spans="1:13">
      <c r="A11" t="s">
        <v>41</v>
      </c>
      <c r="B11" t="s">
        <v>42</v>
      </c>
      <c r="C11" t="s">
        <v>14</v>
      </c>
      <c r="D11" t="s">
        <v>35</v>
      </c>
      <c r="E11" t="s">
        <v>43</v>
      </c>
      <c r="F11" s="9">
        <v>14.93</v>
      </c>
      <c r="G11" s="9">
        <v>19.32</v>
      </c>
      <c r="H11" s="9">
        <v>17.170000000000002</v>
      </c>
      <c r="I11" s="9">
        <v>16.940000000000001</v>
      </c>
      <c r="J11" s="9">
        <f t="shared" si="0"/>
        <v>17.09</v>
      </c>
      <c r="K11" s="7">
        <v>0.74860000000000004</v>
      </c>
      <c r="L11" s="5">
        <v>80000</v>
      </c>
      <c r="M11" s="3">
        <v>45731</v>
      </c>
    </row>
    <row r="12" spans="1:13">
      <c r="A12" t="s">
        <v>44</v>
      </c>
      <c r="B12" t="s">
        <v>45</v>
      </c>
      <c r="C12" t="s">
        <v>19</v>
      </c>
      <c r="D12" t="s">
        <v>32</v>
      </c>
      <c r="E12" t="s">
        <v>21</v>
      </c>
      <c r="F12" s="9">
        <v>10.02</v>
      </c>
      <c r="G12" s="9">
        <v>14.25</v>
      </c>
      <c r="H12" s="9">
        <v>13.71</v>
      </c>
      <c r="I12" s="9">
        <v>9.16</v>
      </c>
      <c r="J12" s="9">
        <f t="shared" si="0"/>
        <v>11.785</v>
      </c>
      <c r="K12" s="7">
        <v>0.78959999999999997</v>
      </c>
      <c r="L12" s="5">
        <v>50000</v>
      </c>
      <c r="M12" s="3">
        <v>45834</v>
      </c>
    </row>
    <row r="13" spans="1:13">
      <c r="A13" t="s">
        <v>46</v>
      </c>
      <c r="B13" t="s">
        <v>47</v>
      </c>
      <c r="C13" t="s">
        <v>19</v>
      </c>
      <c r="D13" t="s">
        <v>48</v>
      </c>
      <c r="E13" t="s">
        <v>16</v>
      </c>
      <c r="F13" s="9">
        <v>11.19</v>
      </c>
      <c r="G13" s="9">
        <v>7.93</v>
      </c>
      <c r="H13" s="9">
        <v>8.2100000000000009</v>
      </c>
      <c r="I13" s="9">
        <v>11.22</v>
      </c>
      <c r="J13" s="9">
        <f t="shared" si="0"/>
        <v>9.6374999999999993</v>
      </c>
      <c r="K13" s="7">
        <v>0.9133</v>
      </c>
      <c r="L13" s="5">
        <v>75000</v>
      </c>
      <c r="M13" s="3">
        <v>45558</v>
      </c>
    </row>
    <row r="14" spans="1:13">
      <c r="A14" t="s">
        <v>49</v>
      </c>
      <c r="B14" t="s">
        <v>50</v>
      </c>
      <c r="C14" t="s">
        <v>19</v>
      </c>
      <c r="D14" t="s">
        <v>28</v>
      </c>
      <c r="E14" t="s">
        <v>16</v>
      </c>
      <c r="F14" s="9">
        <v>15.52</v>
      </c>
      <c r="G14" s="9">
        <v>18.95</v>
      </c>
      <c r="H14" s="9">
        <v>14.41</v>
      </c>
      <c r="I14" s="9">
        <v>14.9</v>
      </c>
      <c r="J14" s="9">
        <f t="shared" si="0"/>
        <v>15.944999999999999</v>
      </c>
      <c r="K14" s="7">
        <v>0.87109999999999999</v>
      </c>
      <c r="L14" s="5">
        <v>85000</v>
      </c>
      <c r="M14" s="3">
        <v>46015</v>
      </c>
    </row>
    <row r="15" spans="1:13">
      <c r="A15" t="s">
        <v>51</v>
      </c>
      <c r="B15" t="s">
        <v>52</v>
      </c>
      <c r="C15" t="s">
        <v>19</v>
      </c>
      <c r="D15" t="s">
        <v>32</v>
      </c>
      <c r="E15" t="s">
        <v>43</v>
      </c>
      <c r="F15" s="9">
        <v>17.22</v>
      </c>
      <c r="G15" s="9">
        <v>16.38</v>
      </c>
      <c r="H15" s="9">
        <v>14.95</v>
      </c>
      <c r="I15" s="9">
        <v>15.12</v>
      </c>
      <c r="J15" s="9">
        <f t="shared" si="0"/>
        <v>15.917499999999999</v>
      </c>
      <c r="K15" s="7">
        <v>0.73260000000000003</v>
      </c>
      <c r="L15" s="5">
        <v>75000</v>
      </c>
      <c r="M15" s="3">
        <v>45966</v>
      </c>
    </row>
    <row r="16" spans="1:13">
      <c r="A16" t="s">
        <v>53</v>
      </c>
      <c r="B16" t="s">
        <v>54</v>
      </c>
      <c r="C16" t="s">
        <v>19</v>
      </c>
      <c r="D16" t="s">
        <v>15</v>
      </c>
      <c r="E16" t="s">
        <v>21</v>
      </c>
      <c r="F16" s="9">
        <v>10.09</v>
      </c>
      <c r="G16" s="9">
        <v>8.77</v>
      </c>
      <c r="H16" s="9">
        <v>5.93</v>
      </c>
      <c r="I16" s="9">
        <v>12.28</v>
      </c>
      <c r="J16" s="9">
        <f t="shared" si="0"/>
        <v>9.2675000000000001</v>
      </c>
      <c r="K16" s="7">
        <v>0.95089999999999997</v>
      </c>
      <c r="L16" s="5">
        <v>80000</v>
      </c>
      <c r="M16" s="3">
        <v>45750</v>
      </c>
    </row>
    <row r="17" spans="1:13">
      <c r="A17" t="s">
        <v>55</v>
      </c>
      <c r="B17" t="s">
        <v>56</v>
      </c>
      <c r="C17" t="s">
        <v>19</v>
      </c>
      <c r="D17" t="s">
        <v>32</v>
      </c>
      <c r="E17" t="s">
        <v>21</v>
      </c>
      <c r="F17" s="9">
        <v>14.6</v>
      </c>
      <c r="G17" s="9">
        <v>13.07</v>
      </c>
      <c r="H17" s="9">
        <v>11.79</v>
      </c>
      <c r="I17" s="9">
        <v>13.08</v>
      </c>
      <c r="J17" s="9">
        <f t="shared" si="0"/>
        <v>13.135</v>
      </c>
      <c r="K17" s="7">
        <v>0.79810000000000003</v>
      </c>
      <c r="L17" s="5">
        <v>60000</v>
      </c>
      <c r="M17" s="3">
        <v>45797</v>
      </c>
    </row>
    <row r="18" spans="1:13">
      <c r="A18" t="s">
        <v>57</v>
      </c>
      <c r="B18" t="s">
        <v>58</v>
      </c>
      <c r="C18" t="s">
        <v>19</v>
      </c>
      <c r="D18" t="s">
        <v>15</v>
      </c>
      <c r="E18" t="s">
        <v>43</v>
      </c>
      <c r="F18" s="9">
        <v>18.2</v>
      </c>
      <c r="G18" s="9">
        <v>16.52</v>
      </c>
      <c r="H18" s="9">
        <v>13.29</v>
      </c>
      <c r="I18" s="9">
        <v>13.86</v>
      </c>
      <c r="J18" s="9">
        <f t="shared" si="0"/>
        <v>15.467499999999999</v>
      </c>
      <c r="K18" s="7">
        <v>0.84589999999999999</v>
      </c>
      <c r="L18" s="5">
        <v>100000</v>
      </c>
      <c r="M18" s="3">
        <v>45766</v>
      </c>
    </row>
    <row r="19" spans="1:13">
      <c r="A19" t="s">
        <v>59</v>
      </c>
      <c r="B19" t="s">
        <v>60</v>
      </c>
      <c r="C19" t="s">
        <v>14</v>
      </c>
      <c r="D19" t="s">
        <v>15</v>
      </c>
      <c r="E19" t="s">
        <v>43</v>
      </c>
      <c r="F19" s="9">
        <v>15.58</v>
      </c>
      <c r="G19" s="9">
        <v>11.27</v>
      </c>
      <c r="H19" s="9">
        <v>16.43</v>
      </c>
      <c r="I19" s="9">
        <v>13.24</v>
      </c>
      <c r="J19" s="9">
        <f t="shared" si="0"/>
        <v>14.13</v>
      </c>
      <c r="K19" s="7">
        <v>0.55000000000000004</v>
      </c>
      <c r="L19" s="5">
        <v>110000</v>
      </c>
      <c r="M19" s="3">
        <v>45991</v>
      </c>
    </row>
    <row r="20" spans="1:13">
      <c r="A20" t="s">
        <v>61</v>
      </c>
      <c r="B20" t="s">
        <v>62</v>
      </c>
      <c r="C20" t="s">
        <v>19</v>
      </c>
      <c r="D20" t="s">
        <v>15</v>
      </c>
      <c r="E20" t="s">
        <v>43</v>
      </c>
      <c r="F20" s="9">
        <v>15.42</v>
      </c>
      <c r="G20" s="9">
        <v>17.21</v>
      </c>
      <c r="H20" s="9">
        <v>16.010000000000002</v>
      </c>
      <c r="I20" s="9">
        <v>14.75</v>
      </c>
      <c r="J20" s="9">
        <f t="shared" si="0"/>
        <v>15.8475</v>
      </c>
      <c r="K20" s="7">
        <v>0.55000000000000004</v>
      </c>
      <c r="L20" s="5">
        <v>85000</v>
      </c>
      <c r="M20" s="3">
        <v>46067</v>
      </c>
    </row>
    <row r="21" spans="1:13">
      <c r="A21" t="s">
        <v>63</v>
      </c>
      <c r="B21" t="s">
        <v>64</v>
      </c>
      <c r="C21" t="s">
        <v>14</v>
      </c>
      <c r="D21" t="s">
        <v>20</v>
      </c>
      <c r="E21" t="s">
        <v>21</v>
      </c>
      <c r="F21" s="9">
        <v>12.83</v>
      </c>
      <c r="G21" s="9">
        <v>7.87</v>
      </c>
      <c r="H21" s="9">
        <v>11.11</v>
      </c>
      <c r="I21" s="9">
        <v>9.27</v>
      </c>
      <c r="J21" s="9">
        <f t="shared" si="0"/>
        <v>10.27</v>
      </c>
      <c r="K21" s="7">
        <v>0.82350000000000001</v>
      </c>
      <c r="L21" s="5">
        <v>50000</v>
      </c>
      <c r="M21" s="3">
        <v>45612</v>
      </c>
    </row>
    <row r="22" spans="1:13">
      <c r="A22" t="s">
        <v>65</v>
      </c>
      <c r="B22" t="s">
        <v>66</v>
      </c>
      <c r="C22" t="s">
        <v>19</v>
      </c>
      <c r="D22" t="s">
        <v>28</v>
      </c>
      <c r="E22" t="s">
        <v>21</v>
      </c>
      <c r="F22" s="9">
        <v>14.68</v>
      </c>
      <c r="G22" s="9">
        <v>15.64</v>
      </c>
      <c r="H22" s="9">
        <v>10.58</v>
      </c>
      <c r="I22" s="9">
        <v>12.5</v>
      </c>
      <c r="J22" s="9">
        <f t="shared" si="0"/>
        <v>13.35</v>
      </c>
      <c r="K22" s="7">
        <v>0.87709999999999999</v>
      </c>
      <c r="L22" s="5">
        <v>50000</v>
      </c>
      <c r="M22" s="3">
        <v>45825</v>
      </c>
    </row>
    <row r="23" spans="1:13">
      <c r="A23" t="s">
        <v>67</v>
      </c>
      <c r="B23" t="s">
        <v>68</v>
      </c>
      <c r="C23" t="s">
        <v>14</v>
      </c>
      <c r="D23" t="s">
        <v>15</v>
      </c>
      <c r="E23" t="s">
        <v>16</v>
      </c>
      <c r="F23" s="9">
        <v>11.98</v>
      </c>
      <c r="G23" s="9">
        <v>11.91</v>
      </c>
      <c r="H23" s="9">
        <v>9.59</v>
      </c>
      <c r="I23" s="9">
        <v>8.1</v>
      </c>
      <c r="J23" s="9">
        <f t="shared" si="0"/>
        <v>10.395000000000001</v>
      </c>
      <c r="K23" s="7">
        <v>0.83630000000000004</v>
      </c>
      <c r="L23" s="5">
        <v>100000</v>
      </c>
      <c r="M23" s="3">
        <v>45545</v>
      </c>
    </row>
    <row r="24" spans="1:13">
      <c r="A24" t="s">
        <v>69</v>
      </c>
      <c r="B24" t="s">
        <v>70</v>
      </c>
      <c r="C24" t="s">
        <v>14</v>
      </c>
      <c r="D24" t="s">
        <v>48</v>
      </c>
      <c r="E24" t="s">
        <v>43</v>
      </c>
      <c r="F24" s="9">
        <v>10.3</v>
      </c>
      <c r="G24" s="9">
        <v>11.97</v>
      </c>
      <c r="H24" s="9">
        <v>13.81</v>
      </c>
      <c r="I24" s="9">
        <v>10.81</v>
      </c>
      <c r="J24" s="9">
        <f t="shared" si="0"/>
        <v>11.722500000000002</v>
      </c>
      <c r="K24" s="7">
        <v>0.94589999999999996</v>
      </c>
      <c r="L24" s="5">
        <v>130000</v>
      </c>
      <c r="M24" s="3">
        <v>45852</v>
      </c>
    </row>
    <row r="25" spans="1:13">
      <c r="A25" t="s">
        <v>71</v>
      </c>
      <c r="B25" t="s">
        <v>72</v>
      </c>
      <c r="C25" t="s">
        <v>19</v>
      </c>
      <c r="D25" t="s">
        <v>28</v>
      </c>
      <c r="E25" t="s">
        <v>29</v>
      </c>
      <c r="F25" s="9">
        <v>17.48</v>
      </c>
      <c r="G25" s="9">
        <v>14.67</v>
      </c>
      <c r="H25" s="9">
        <v>10.02</v>
      </c>
      <c r="I25" s="9">
        <v>16.63</v>
      </c>
      <c r="J25" s="9">
        <f t="shared" si="0"/>
        <v>14.7</v>
      </c>
      <c r="K25" s="7">
        <v>0.58579999999999999</v>
      </c>
      <c r="L25" s="5">
        <v>120000</v>
      </c>
      <c r="M25" s="3">
        <v>45709</v>
      </c>
    </row>
    <row r="26" spans="1:13">
      <c r="A26" t="s">
        <v>73</v>
      </c>
      <c r="B26" t="s">
        <v>74</v>
      </c>
      <c r="C26" t="s">
        <v>19</v>
      </c>
      <c r="D26" t="s">
        <v>32</v>
      </c>
      <c r="E26" t="s">
        <v>21</v>
      </c>
      <c r="F26" s="9">
        <v>20</v>
      </c>
      <c r="G26" s="9">
        <v>17.690000000000001</v>
      </c>
      <c r="H26" s="9">
        <v>20</v>
      </c>
      <c r="I26" s="9">
        <v>17.84</v>
      </c>
      <c r="J26" s="9">
        <f t="shared" si="0"/>
        <v>18.8825</v>
      </c>
      <c r="K26" s="7">
        <v>0.9405</v>
      </c>
      <c r="L26" s="5">
        <v>80000</v>
      </c>
      <c r="M26" s="3">
        <v>45771</v>
      </c>
    </row>
    <row r="27" spans="1:13">
      <c r="A27" t="s">
        <v>75</v>
      </c>
      <c r="B27" t="s">
        <v>76</v>
      </c>
      <c r="C27" t="s">
        <v>19</v>
      </c>
      <c r="D27" t="s">
        <v>32</v>
      </c>
      <c r="E27" t="s">
        <v>43</v>
      </c>
      <c r="F27" s="9">
        <v>18.41</v>
      </c>
      <c r="G27" s="9">
        <v>20</v>
      </c>
      <c r="H27" s="9">
        <v>14.71</v>
      </c>
      <c r="I27" s="9">
        <v>20</v>
      </c>
      <c r="J27" s="9">
        <f t="shared" si="0"/>
        <v>18.28</v>
      </c>
      <c r="K27" s="7">
        <v>0.81899999999999995</v>
      </c>
      <c r="L27" s="5">
        <v>85000</v>
      </c>
      <c r="M27" s="3">
        <v>45855</v>
      </c>
    </row>
    <row r="28" spans="1:13">
      <c r="A28" t="s">
        <v>77</v>
      </c>
      <c r="B28" t="s">
        <v>78</v>
      </c>
      <c r="C28" t="s">
        <v>14</v>
      </c>
      <c r="D28" t="s">
        <v>15</v>
      </c>
      <c r="E28" t="s">
        <v>21</v>
      </c>
      <c r="F28" s="9">
        <v>20</v>
      </c>
      <c r="G28" s="9">
        <v>20</v>
      </c>
      <c r="H28" s="9">
        <v>19.239999999999998</v>
      </c>
      <c r="I28" s="9">
        <v>20</v>
      </c>
      <c r="J28" s="9">
        <f t="shared" si="0"/>
        <v>19.809999999999999</v>
      </c>
      <c r="K28" s="7">
        <v>0.76739999999999997</v>
      </c>
      <c r="L28" s="5">
        <v>60000</v>
      </c>
      <c r="M28" s="3">
        <v>45762</v>
      </c>
    </row>
    <row r="29" spans="1:13">
      <c r="A29" t="s">
        <v>79</v>
      </c>
      <c r="B29" t="s">
        <v>80</v>
      </c>
      <c r="C29" t="s">
        <v>19</v>
      </c>
      <c r="D29" t="s">
        <v>48</v>
      </c>
      <c r="E29" t="s">
        <v>29</v>
      </c>
      <c r="F29" s="9">
        <v>8.86</v>
      </c>
      <c r="G29" s="9">
        <v>14.37</v>
      </c>
      <c r="H29" s="9">
        <v>11.44</v>
      </c>
      <c r="I29" s="9">
        <v>14.76</v>
      </c>
      <c r="J29" s="9">
        <f t="shared" si="0"/>
        <v>12.357499999999998</v>
      </c>
      <c r="K29" s="7">
        <v>0.81159999999999999</v>
      </c>
      <c r="L29" s="5">
        <v>50000</v>
      </c>
      <c r="M29" s="3">
        <v>45811</v>
      </c>
    </row>
    <row r="30" spans="1:13">
      <c r="A30" t="s">
        <v>81</v>
      </c>
      <c r="B30" t="s">
        <v>54</v>
      </c>
      <c r="C30" t="s">
        <v>19</v>
      </c>
      <c r="D30" t="s">
        <v>15</v>
      </c>
      <c r="E30" t="s">
        <v>43</v>
      </c>
      <c r="F30" s="9">
        <v>14.37</v>
      </c>
      <c r="G30" s="9">
        <v>14.83</v>
      </c>
      <c r="H30" s="9">
        <v>17</v>
      </c>
      <c r="I30" s="9">
        <v>17.43</v>
      </c>
      <c r="J30" s="9">
        <f t="shared" si="0"/>
        <v>15.907500000000001</v>
      </c>
      <c r="K30" s="7">
        <v>0.97089999999999999</v>
      </c>
      <c r="L30" s="5">
        <v>110000</v>
      </c>
      <c r="M30" s="3">
        <v>46071</v>
      </c>
    </row>
    <row r="31" spans="1:13">
      <c r="A31" t="s">
        <v>82</v>
      </c>
      <c r="B31" t="s">
        <v>83</v>
      </c>
      <c r="C31" t="s">
        <v>14</v>
      </c>
      <c r="D31" t="s">
        <v>32</v>
      </c>
      <c r="E31" t="s">
        <v>16</v>
      </c>
      <c r="F31" s="9">
        <v>15.56</v>
      </c>
      <c r="G31" s="9">
        <v>17.899999999999999</v>
      </c>
      <c r="H31" s="9">
        <v>20</v>
      </c>
      <c r="I31" s="9">
        <v>17.23</v>
      </c>
      <c r="J31" s="9">
        <f t="shared" si="0"/>
        <v>17.672499999999999</v>
      </c>
      <c r="K31" s="7">
        <v>0.55000000000000004</v>
      </c>
      <c r="L31" s="5">
        <v>80000</v>
      </c>
      <c r="M31" s="3">
        <v>46103</v>
      </c>
    </row>
    <row r="32" spans="1:13">
      <c r="A32" t="s">
        <v>84</v>
      </c>
      <c r="B32" t="s">
        <v>85</v>
      </c>
      <c r="C32" t="s">
        <v>14</v>
      </c>
      <c r="D32" t="s">
        <v>35</v>
      </c>
      <c r="E32" t="s">
        <v>21</v>
      </c>
      <c r="F32" s="9">
        <v>12.24</v>
      </c>
      <c r="G32" s="9">
        <v>16.73</v>
      </c>
      <c r="H32" s="9">
        <v>9.0399999999999991</v>
      </c>
      <c r="I32" s="9">
        <v>17.5</v>
      </c>
      <c r="J32" s="9">
        <f t="shared" si="0"/>
        <v>13.8775</v>
      </c>
      <c r="K32" s="7">
        <v>0.98560000000000003</v>
      </c>
      <c r="L32" s="5">
        <v>85000</v>
      </c>
      <c r="M32" s="3">
        <v>45540</v>
      </c>
    </row>
    <row r="33" spans="1:13">
      <c r="A33" t="s">
        <v>86</v>
      </c>
      <c r="B33" t="s">
        <v>87</v>
      </c>
      <c r="C33" t="s">
        <v>14</v>
      </c>
      <c r="D33" t="s">
        <v>35</v>
      </c>
      <c r="E33" t="s">
        <v>16</v>
      </c>
      <c r="F33" s="9">
        <v>19.11</v>
      </c>
      <c r="G33" s="9">
        <v>12.44</v>
      </c>
      <c r="H33" s="9">
        <v>15.6</v>
      </c>
      <c r="I33" s="9">
        <v>17.84</v>
      </c>
      <c r="J33" s="9">
        <f t="shared" si="0"/>
        <v>16.247499999999999</v>
      </c>
      <c r="K33" s="7">
        <v>0.93830000000000002</v>
      </c>
      <c r="L33" s="5">
        <v>75000</v>
      </c>
      <c r="M33" s="3">
        <v>45800</v>
      </c>
    </row>
    <row r="34" spans="1:13">
      <c r="A34" t="s">
        <v>88</v>
      </c>
      <c r="B34" t="s">
        <v>89</v>
      </c>
      <c r="C34" t="s">
        <v>14</v>
      </c>
      <c r="D34" t="s">
        <v>48</v>
      </c>
      <c r="E34" t="s">
        <v>29</v>
      </c>
      <c r="F34" s="9">
        <v>15.66</v>
      </c>
      <c r="G34" s="9">
        <v>16.04</v>
      </c>
      <c r="H34" s="9">
        <v>12.03</v>
      </c>
      <c r="I34" s="9">
        <v>17.8</v>
      </c>
      <c r="J34" s="9">
        <f t="shared" si="0"/>
        <v>15.3825</v>
      </c>
      <c r="K34" s="7">
        <v>0.79310000000000003</v>
      </c>
      <c r="L34" s="5">
        <v>75000</v>
      </c>
      <c r="M34" s="3">
        <v>46128</v>
      </c>
    </row>
    <row r="35" spans="1:13">
      <c r="A35" t="s">
        <v>90</v>
      </c>
      <c r="B35" t="s">
        <v>91</v>
      </c>
      <c r="C35" t="s">
        <v>19</v>
      </c>
      <c r="D35" t="s">
        <v>28</v>
      </c>
      <c r="E35" t="s">
        <v>21</v>
      </c>
      <c r="F35" s="9">
        <v>12.44</v>
      </c>
      <c r="G35" s="9">
        <v>9.73</v>
      </c>
      <c r="H35" s="9">
        <v>14.47</v>
      </c>
      <c r="I35" s="9">
        <v>14.79</v>
      </c>
      <c r="J35" s="9">
        <f t="shared" si="0"/>
        <v>12.8575</v>
      </c>
      <c r="K35" s="7">
        <v>0.85240000000000005</v>
      </c>
      <c r="L35" s="5">
        <v>130000</v>
      </c>
      <c r="M35" s="3">
        <v>45907</v>
      </c>
    </row>
    <row r="36" spans="1:13">
      <c r="A36" t="s">
        <v>92</v>
      </c>
      <c r="B36" t="s">
        <v>93</v>
      </c>
      <c r="C36" t="s">
        <v>19</v>
      </c>
      <c r="D36" t="s">
        <v>28</v>
      </c>
      <c r="E36" t="s">
        <v>21</v>
      </c>
      <c r="F36" s="9">
        <v>11.52</v>
      </c>
      <c r="G36" s="9">
        <v>14.33</v>
      </c>
      <c r="H36" s="9">
        <v>11.2</v>
      </c>
      <c r="I36" s="9">
        <v>10.91</v>
      </c>
      <c r="J36" s="9">
        <f t="shared" si="0"/>
        <v>11.989999999999998</v>
      </c>
      <c r="K36" s="7">
        <v>0.75270000000000004</v>
      </c>
      <c r="L36" s="5">
        <v>110000</v>
      </c>
      <c r="M36" s="3">
        <v>45679</v>
      </c>
    </row>
    <row r="37" spans="1:13">
      <c r="A37" t="s">
        <v>94</v>
      </c>
      <c r="B37" t="s">
        <v>95</v>
      </c>
      <c r="C37" t="s">
        <v>14</v>
      </c>
      <c r="D37" t="s">
        <v>15</v>
      </c>
      <c r="E37" t="s">
        <v>29</v>
      </c>
      <c r="F37" s="9">
        <v>7.93</v>
      </c>
      <c r="G37" s="9">
        <v>17.28</v>
      </c>
      <c r="H37" s="9">
        <v>12.82</v>
      </c>
      <c r="I37" s="9">
        <v>12.15</v>
      </c>
      <c r="J37" s="9">
        <f t="shared" si="0"/>
        <v>12.545</v>
      </c>
      <c r="K37" s="7">
        <v>0.7046</v>
      </c>
      <c r="L37" s="5">
        <v>100000</v>
      </c>
      <c r="M37" s="3">
        <v>45951</v>
      </c>
    </row>
    <row r="38" spans="1:13">
      <c r="A38" t="s">
        <v>96</v>
      </c>
      <c r="B38" t="s">
        <v>97</v>
      </c>
      <c r="C38" t="s">
        <v>19</v>
      </c>
      <c r="D38" t="s">
        <v>15</v>
      </c>
      <c r="E38" t="s">
        <v>29</v>
      </c>
      <c r="F38" s="9">
        <v>13.6</v>
      </c>
      <c r="G38" s="9">
        <v>15.85</v>
      </c>
      <c r="H38" s="9">
        <v>13.47</v>
      </c>
      <c r="I38" s="9">
        <v>14.43</v>
      </c>
      <c r="J38" s="9">
        <f t="shared" si="0"/>
        <v>14.3375</v>
      </c>
      <c r="K38" s="7">
        <v>0.92279999999999995</v>
      </c>
      <c r="L38" s="5">
        <v>80000</v>
      </c>
      <c r="M38" s="3">
        <v>45637</v>
      </c>
    </row>
    <row r="39" spans="1:13">
      <c r="A39" t="s">
        <v>98</v>
      </c>
      <c r="B39" t="s">
        <v>99</v>
      </c>
      <c r="C39" t="s">
        <v>19</v>
      </c>
      <c r="D39" t="s">
        <v>20</v>
      </c>
      <c r="E39" t="s">
        <v>16</v>
      </c>
      <c r="F39" s="9">
        <v>15.67</v>
      </c>
      <c r="G39" s="9">
        <v>9.23</v>
      </c>
      <c r="H39" s="9">
        <v>15.43</v>
      </c>
      <c r="I39" s="9">
        <v>14.78</v>
      </c>
      <c r="J39" s="9">
        <f t="shared" si="0"/>
        <v>13.7775</v>
      </c>
      <c r="K39" s="7">
        <v>0.82920000000000005</v>
      </c>
      <c r="L39" s="5">
        <v>100000</v>
      </c>
      <c r="M39" s="3">
        <v>45551</v>
      </c>
    </row>
    <row r="40" spans="1:13">
      <c r="A40" t="s">
        <v>100</v>
      </c>
      <c r="B40" t="s">
        <v>101</v>
      </c>
      <c r="C40" t="s">
        <v>14</v>
      </c>
      <c r="D40" t="s">
        <v>15</v>
      </c>
      <c r="E40" t="s">
        <v>21</v>
      </c>
      <c r="F40" s="9">
        <v>13.07</v>
      </c>
      <c r="G40" s="9">
        <v>16.190000000000001</v>
      </c>
      <c r="H40" s="9">
        <v>11.47</v>
      </c>
      <c r="I40" s="9">
        <v>12.77</v>
      </c>
      <c r="J40" s="9">
        <f t="shared" si="0"/>
        <v>13.375</v>
      </c>
      <c r="K40" s="7">
        <v>0.92720000000000002</v>
      </c>
      <c r="L40" s="5">
        <v>75000</v>
      </c>
      <c r="M40" s="3">
        <v>45978</v>
      </c>
    </row>
    <row r="41" spans="1:13">
      <c r="A41" t="s">
        <v>102</v>
      </c>
      <c r="B41" t="s">
        <v>72</v>
      </c>
      <c r="C41" t="s">
        <v>19</v>
      </c>
      <c r="D41" t="s">
        <v>48</v>
      </c>
      <c r="E41" t="s">
        <v>16</v>
      </c>
      <c r="F41" s="9">
        <v>13.55</v>
      </c>
      <c r="G41" s="9">
        <v>13.79</v>
      </c>
      <c r="H41" s="9">
        <v>18.309999999999999</v>
      </c>
      <c r="I41" s="9">
        <v>14.86</v>
      </c>
      <c r="J41" s="9">
        <f t="shared" si="0"/>
        <v>15.1275</v>
      </c>
      <c r="K41" s="7">
        <v>0.95599999999999996</v>
      </c>
      <c r="L41" s="5">
        <v>85000</v>
      </c>
      <c r="M41" s="3">
        <v>45896</v>
      </c>
    </row>
    <row r="42" spans="1:13">
      <c r="A42" t="s">
        <v>103</v>
      </c>
      <c r="B42" t="s">
        <v>104</v>
      </c>
      <c r="C42" t="s">
        <v>14</v>
      </c>
      <c r="D42" t="s">
        <v>15</v>
      </c>
      <c r="E42" t="s">
        <v>16</v>
      </c>
      <c r="F42" s="9">
        <v>15.33</v>
      </c>
      <c r="G42" s="9">
        <v>11.39</v>
      </c>
      <c r="H42" s="9">
        <v>11.75</v>
      </c>
      <c r="I42" s="9">
        <v>7.17</v>
      </c>
      <c r="J42" s="9">
        <f t="shared" si="0"/>
        <v>11.41</v>
      </c>
      <c r="K42" s="7">
        <v>0.77600000000000002</v>
      </c>
      <c r="L42" s="5">
        <v>60000</v>
      </c>
      <c r="M42" s="3">
        <v>46065</v>
      </c>
    </row>
    <row r="43" spans="1:13">
      <c r="A43" t="s">
        <v>105</v>
      </c>
      <c r="B43" t="s">
        <v>106</v>
      </c>
      <c r="C43" t="s">
        <v>19</v>
      </c>
      <c r="D43" t="s">
        <v>32</v>
      </c>
      <c r="E43" t="s">
        <v>29</v>
      </c>
      <c r="F43" s="9">
        <v>18.57</v>
      </c>
      <c r="G43" s="9">
        <v>17.399999999999999</v>
      </c>
      <c r="H43" s="9">
        <v>12.73</v>
      </c>
      <c r="I43" s="9">
        <v>19.309999999999999</v>
      </c>
      <c r="J43" s="9">
        <f t="shared" si="0"/>
        <v>17.002500000000001</v>
      </c>
      <c r="K43" s="7">
        <v>0.90200000000000002</v>
      </c>
      <c r="L43" s="5">
        <v>100000</v>
      </c>
      <c r="M43" s="3">
        <v>45777</v>
      </c>
    </row>
    <row r="44" spans="1:13">
      <c r="A44" t="s">
        <v>107</v>
      </c>
      <c r="B44" t="s">
        <v>108</v>
      </c>
      <c r="C44" t="s">
        <v>19</v>
      </c>
      <c r="D44" t="s">
        <v>15</v>
      </c>
      <c r="E44" t="s">
        <v>16</v>
      </c>
      <c r="F44" s="9">
        <v>15.7</v>
      </c>
      <c r="G44" s="9">
        <v>15.52</v>
      </c>
      <c r="H44" s="9">
        <v>18.27</v>
      </c>
      <c r="I44" s="9">
        <v>13.98</v>
      </c>
      <c r="J44" s="9">
        <f t="shared" si="0"/>
        <v>15.8675</v>
      </c>
      <c r="K44" s="7">
        <v>0.94040000000000001</v>
      </c>
      <c r="L44" s="5">
        <v>50000</v>
      </c>
      <c r="M44" s="3">
        <v>46133</v>
      </c>
    </row>
    <row r="45" spans="1:13">
      <c r="A45" t="s">
        <v>109</v>
      </c>
      <c r="B45" t="s">
        <v>110</v>
      </c>
      <c r="C45" t="s">
        <v>14</v>
      </c>
      <c r="D45" t="s">
        <v>32</v>
      </c>
      <c r="E45" t="s">
        <v>16</v>
      </c>
      <c r="F45" s="9">
        <v>9.0399999999999991</v>
      </c>
      <c r="G45" s="9">
        <v>9.3699999999999992</v>
      </c>
      <c r="H45" s="9">
        <v>10.09</v>
      </c>
      <c r="I45" s="9">
        <v>10.94</v>
      </c>
      <c r="J45" s="9">
        <f t="shared" si="0"/>
        <v>9.86</v>
      </c>
      <c r="K45" s="7">
        <v>0.86899999999999999</v>
      </c>
      <c r="L45" s="5">
        <v>100000</v>
      </c>
      <c r="M45" s="3">
        <v>45830</v>
      </c>
    </row>
    <row r="46" spans="1:13">
      <c r="A46" t="s">
        <v>111</v>
      </c>
      <c r="B46" t="s">
        <v>112</v>
      </c>
      <c r="C46" t="s">
        <v>14</v>
      </c>
      <c r="D46" t="s">
        <v>48</v>
      </c>
      <c r="E46" t="s">
        <v>43</v>
      </c>
      <c r="F46" s="9">
        <v>17.010000000000002</v>
      </c>
      <c r="G46" s="9">
        <v>16.510000000000002</v>
      </c>
      <c r="H46" s="9">
        <v>20</v>
      </c>
      <c r="I46" s="9">
        <v>20</v>
      </c>
      <c r="J46" s="9">
        <f t="shared" si="0"/>
        <v>18.380000000000003</v>
      </c>
      <c r="K46" s="7">
        <v>0.91449999999999998</v>
      </c>
      <c r="L46" s="5">
        <v>90000</v>
      </c>
      <c r="M46" s="3">
        <v>46052</v>
      </c>
    </row>
    <row r="47" spans="1:13">
      <c r="A47" t="s">
        <v>113</v>
      </c>
      <c r="B47" t="s">
        <v>114</v>
      </c>
      <c r="C47" t="s">
        <v>19</v>
      </c>
      <c r="D47" t="s">
        <v>35</v>
      </c>
      <c r="E47" t="s">
        <v>43</v>
      </c>
      <c r="F47" s="9">
        <v>10.33</v>
      </c>
      <c r="G47" s="9">
        <v>12.77</v>
      </c>
      <c r="H47" s="9">
        <v>14.98</v>
      </c>
      <c r="I47" s="9">
        <v>12.66</v>
      </c>
      <c r="J47" s="9">
        <f t="shared" si="0"/>
        <v>12.684999999999999</v>
      </c>
      <c r="K47" s="7">
        <v>0.98260000000000003</v>
      </c>
      <c r="L47" s="5">
        <v>50000</v>
      </c>
      <c r="M47" s="3">
        <v>45606</v>
      </c>
    </row>
    <row r="48" spans="1:13">
      <c r="A48" t="s">
        <v>115</v>
      </c>
      <c r="B48" t="s">
        <v>116</v>
      </c>
      <c r="C48" t="s">
        <v>14</v>
      </c>
      <c r="D48" t="s">
        <v>48</v>
      </c>
      <c r="E48" t="s">
        <v>29</v>
      </c>
      <c r="F48" s="9">
        <v>6.68</v>
      </c>
      <c r="G48" s="9">
        <v>8.36</v>
      </c>
      <c r="H48" s="9">
        <v>7.31</v>
      </c>
      <c r="I48" s="9">
        <v>11.94</v>
      </c>
      <c r="J48" s="9">
        <f t="shared" si="0"/>
        <v>8.5724999999999998</v>
      </c>
      <c r="K48" s="7">
        <v>0.94130000000000003</v>
      </c>
      <c r="L48" s="5">
        <v>85000</v>
      </c>
      <c r="M48" s="3">
        <v>45604</v>
      </c>
    </row>
    <row r="49" spans="1:13">
      <c r="A49" t="s">
        <v>117</v>
      </c>
      <c r="B49" t="s">
        <v>118</v>
      </c>
      <c r="C49" t="s">
        <v>19</v>
      </c>
      <c r="D49" t="s">
        <v>20</v>
      </c>
      <c r="E49" t="s">
        <v>21</v>
      </c>
      <c r="F49" s="9">
        <v>8.2799999999999994</v>
      </c>
      <c r="G49" s="9">
        <v>8.5299999999999994</v>
      </c>
      <c r="H49" s="9">
        <v>10.59</v>
      </c>
      <c r="I49" s="9">
        <v>7.74</v>
      </c>
      <c r="J49" s="9">
        <f t="shared" si="0"/>
        <v>8.7850000000000001</v>
      </c>
      <c r="K49" s="7">
        <v>0.93630000000000002</v>
      </c>
      <c r="L49" s="5">
        <v>70000</v>
      </c>
      <c r="M49" s="3">
        <v>46083</v>
      </c>
    </row>
    <row r="50" spans="1:13">
      <c r="A50" t="s">
        <v>119</v>
      </c>
      <c r="B50" t="s">
        <v>120</v>
      </c>
      <c r="C50" t="s">
        <v>19</v>
      </c>
      <c r="D50" t="s">
        <v>20</v>
      </c>
      <c r="E50" t="s">
        <v>43</v>
      </c>
      <c r="F50" s="9">
        <v>9.2799999999999994</v>
      </c>
      <c r="G50" s="9">
        <v>10.31</v>
      </c>
      <c r="H50" s="9">
        <v>11.11</v>
      </c>
      <c r="I50" s="9">
        <v>15.82</v>
      </c>
      <c r="J50" s="9">
        <f t="shared" si="0"/>
        <v>11.629999999999999</v>
      </c>
      <c r="K50" s="7">
        <v>0.92930000000000001</v>
      </c>
      <c r="L50" s="5">
        <v>85000</v>
      </c>
      <c r="M50" s="3">
        <v>46119</v>
      </c>
    </row>
    <row r="51" spans="1:13">
      <c r="A51" t="s">
        <v>121</v>
      </c>
      <c r="B51" t="s">
        <v>122</v>
      </c>
      <c r="C51" t="s">
        <v>19</v>
      </c>
      <c r="D51" t="s">
        <v>28</v>
      </c>
      <c r="E51" t="s">
        <v>16</v>
      </c>
      <c r="F51" s="9">
        <v>11.37</v>
      </c>
      <c r="G51" s="9">
        <v>14.79</v>
      </c>
      <c r="H51" s="9">
        <v>17.2</v>
      </c>
      <c r="I51" s="9">
        <v>15.94</v>
      </c>
      <c r="J51" s="9">
        <f t="shared" si="0"/>
        <v>14.824999999999999</v>
      </c>
      <c r="K51" s="7">
        <v>0.77490000000000003</v>
      </c>
      <c r="L51" s="5">
        <v>50000</v>
      </c>
      <c r="M51" s="3">
        <v>46195</v>
      </c>
    </row>
    <row r="52" spans="1:13">
      <c r="A52" t="s">
        <v>123</v>
      </c>
      <c r="B52" t="s">
        <v>124</v>
      </c>
      <c r="C52" t="s">
        <v>19</v>
      </c>
      <c r="D52" t="s">
        <v>35</v>
      </c>
      <c r="E52" t="s">
        <v>43</v>
      </c>
      <c r="F52" s="9">
        <v>9.2899999999999991</v>
      </c>
      <c r="G52" s="9">
        <v>12.74</v>
      </c>
      <c r="H52" s="9">
        <v>13.9</v>
      </c>
      <c r="I52" s="9">
        <v>13.09</v>
      </c>
      <c r="J52" s="9">
        <f t="shared" si="0"/>
        <v>12.254999999999999</v>
      </c>
      <c r="K52" s="7">
        <v>0.95179999999999998</v>
      </c>
      <c r="L52" s="5">
        <v>100000</v>
      </c>
      <c r="M52" s="3">
        <v>45763</v>
      </c>
    </row>
    <row r="53" spans="1:13">
      <c r="A53" t="s">
        <v>125</v>
      </c>
      <c r="B53" t="s">
        <v>126</v>
      </c>
      <c r="C53" t="s">
        <v>14</v>
      </c>
      <c r="D53" t="s">
        <v>48</v>
      </c>
      <c r="E53" t="s">
        <v>43</v>
      </c>
      <c r="F53" s="9">
        <v>13.04</v>
      </c>
      <c r="G53" s="9">
        <v>9.85</v>
      </c>
      <c r="H53" s="9">
        <v>13.14</v>
      </c>
      <c r="I53" s="9">
        <v>15.59</v>
      </c>
      <c r="J53" s="9">
        <f t="shared" si="0"/>
        <v>12.905000000000001</v>
      </c>
      <c r="K53" s="7">
        <v>0.9385</v>
      </c>
      <c r="L53" s="5">
        <v>85000</v>
      </c>
      <c r="M53" s="3">
        <v>45551</v>
      </c>
    </row>
    <row r="54" spans="1:13">
      <c r="A54" t="s">
        <v>127</v>
      </c>
      <c r="B54" t="s">
        <v>128</v>
      </c>
      <c r="C54" t="s">
        <v>14</v>
      </c>
      <c r="D54" t="s">
        <v>32</v>
      </c>
      <c r="E54" t="s">
        <v>21</v>
      </c>
      <c r="F54" s="9">
        <v>15.75</v>
      </c>
      <c r="G54" s="9">
        <v>17.809999999999999</v>
      </c>
      <c r="H54" s="9">
        <v>15</v>
      </c>
      <c r="I54" s="9">
        <v>12.56</v>
      </c>
      <c r="J54" s="9">
        <f t="shared" si="0"/>
        <v>15.280000000000001</v>
      </c>
      <c r="K54" s="7">
        <v>0.92410000000000003</v>
      </c>
      <c r="L54" s="5">
        <v>75000</v>
      </c>
      <c r="M54" s="3">
        <v>46221</v>
      </c>
    </row>
    <row r="55" spans="1:13">
      <c r="A55" t="s">
        <v>129</v>
      </c>
      <c r="B55" t="s">
        <v>130</v>
      </c>
      <c r="C55" t="s">
        <v>14</v>
      </c>
      <c r="D55" t="s">
        <v>32</v>
      </c>
      <c r="E55" t="s">
        <v>16</v>
      </c>
      <c r="F55" s="9">
        <v>18.190000000000001</v>
      </c>
      <c r="G55" s="9">
        <v>8.83</v>
      </c>
      <c r="H55" s="9">
        <v>14.54</v>
      </c>
      <c r="I55" s="9">
        <v>13.72</v>
      </c>
      <c r="J55" s="9">
        <f t="shared" si="0"/>
        <v>13.82</v>
      </c>
      <c r="K55" s="7">
        <v>0.79700000000000004</v>
      </c>
      <c r="L55" s="5">
        <v>120000</v>
      </c>
      <c r="M55" s="3">
        <v>45956</v>
      </c>
    </row>
    <row r="56" spans="1:13">
      <c r="A56" t="s">
        <v>131</v>
      </c>
      <c r="B56" t="s">
        <v>132</v>
      </c>
      <c r="C56" t="s">
        <v>14</v>
      </c>
      <c r="D56" t="s">
        <v>28</v>
      </c>
      <c r="E56" t="s">
        <v>16</v>
      </c>
      <c r="F56" s="9">
        <v>12.91</v>
      </c>
      <c r="G56" s="9">
        <v>13.8</v>
      </c>
      <c r="H56" s="9">
        <v>17.46</v>
      </c>
      <c r="I56" s="9">
        <v>17.46</v>
      </c>
      <c r="J56" s="9">
        <f t="shared" si="0"/>
        <v>15.407500000000001</v>
      </c>
      <c r="K56" s="7">
        <v>0.80020000000000002</v>
      </c>
      <c r="L56" s="5">
        <v>100000</v>
      </c>
      <c r="M56" s="3">
        <v>45708</v>
      </c>
    </row>
    <row r="57" spans="1:13">
      <c r="A57" t="s">
        <v>133</v>
      </c>
      <c r="B57" t="s">
        <v>134</v>
      </c>
      <c r="C57" t="s">
        <v>14</v>
      </c>
      <c r="D57" t="s">
        <v>28</v>
      </c>
      <c r="E57" t="s">
        <v>29</v>
      </c>
      <c r="F57" s="9">
        <v>15.3</v>
      </c>
      <c r="G57" s="9">
        <v>13.68</v>
      </c>
      <c r="H57" s="9">
        <v>14.86</v>
      </c>
      <c r="I57" s="9">
        <v>10.44</v>
      </c>
      <c r="J57" s="9">
        <f t="shared" si="0"/>
        <v>13.57</v>
      </c>
      <c r="K57" s="7">
        <v>0.89</v>
      </c>
      <c r="L57" s="5">
        <v>90000</v>
      </c>
      <c r="M57" s="3">
        <v>46070</v>
      </c>
    </row>
    <row r="58" spans="1:13">
      <c r="A58" t="s">
        <v>135</v>
      </c>
      <c r="B58" t="s">
        <v>136</v>
      </c>
      <c r="C58" t="s">
        <v>19</v>
      </c>
      <c r="D58" t="s">
        <v>35</v>
      </c>
      <c r="E58" t="s">
        <v>29</v>
      </c>
      <c r="F58" s="9">
        <v>15.91</v>
      </c>
      <c r="G58" s="9">
        <v>15.95</v>
      </c>
      <c r="H58" s="9">
        <v>14.56</v>
      </c>
      <c r="I58" s="9">
        <v>16.36</v>
      </c>
      <c r="J58" s="9">
        <f t="shared" si="0"/>
        <v>15.695</v>
      </c>
      <c r="K58" s="7">
        <v>0.74680000000000002</v>
      </c>
      <c r="L58" s="5">
        <v>60000</v>
      </c>
      <c r="M58" s="3">
        <v>46168</v>
      </c>
    </row>
    <row r="59" spans="1:13">
      <c r="A59" t="s">
        <v>137</v>
      </c>
      <c r="B59" t="s">
        <v>104</v>
      </c>
      <c r="C59" t="s">
        <v>14</v>
      </c>
      <c r="D59" t="s">
        <v>15</v>
      </c>
      <c r="E59" t="s">
        <v>21</v>
      </c>
      <c r="F59" s="9">
        <v>7.04</v>
      </c>
      <c r="G59" s="9">
        <v>9.23</v>
      </c>
      <c r="H59" s="9">
        <v>6.56</v>
      </c>
      <c r="I59" s="9">
        <v>8.67</v>
      </c>
      <c r="J59" s="9">
        <f t="shared" si="0"/>
        <v>7.875</v>
      </c>
      <c r="K59" s="7">
        <v>0.6895</v>
      </c>
      <c r="L59" s="5">
        <v>85000</v>
      </c>
      <c r="M59" s="3">
        <v>45735</v>
      </c>
    </row>
    <row r="60" spans="1:13">
      <c r="A60" t="s">
        <v>138</v>
      </c>
      <c r="B60" t="s">
        <v>139</v>
      </c>
      <c r="C60" t="s">
        <v>19</v>
      </c>
      <c r="D60" t="s">
        <v>32</v>
      </c>
      <c r="E60" t="s">
        <v>43</v>
      </c>
      <c r="F60" s="9">
        <v>14.12</v>
      </c>
      <c r="G60" s="9">
        <v>15.36</v>
      </c>
      <c r="H60" s="9">
        <v>11.46</v>
      </c>
      <c r="I60" s="9">
        <v>16.71</v>
      </c>
      <c r="J60" s="9">
        <f t="shared" si="0"/>
        <v>14.4125</v>
      </c>
      <c r="K60" s="7">
        <v>0.9617</v>
      </c>
      <c r="L60" s="5">
        <v>100000</v>
      </c>
      <c r="M60" s="3">
        <v>46074</v>
      </c>
    </row>
    <row r="61" spans="1:13">
      <c r="A61" t="s">
        <v>140</v>
      </c>
      <c r="B61" t="s">
        <v>141</v>
      </c>
      <c r="C61" t="s">
        <v>19</v>
      </c>
      <c r="D61" t="s">
        <v>35</v>
      </c>
      <c r="E61" t="s">
        <v>43</v>
      </c>
      <c r="F61" s="9">
        <v>9.1</v>
      </c>
      <c r="G61" s="9">
        <v>6.23</v>
      </c>
      <c r="H61" s="9">
        <v>4.51</v>
      </c>
      <c r="I61" s="9">
        <v>3.81</v>
      </c>
      <c r="J61" s="9">
        <f t="shared" si="0"/>
        <v>5.9124999999999996</v>
      </c>
      <c r="K61" s="7">
        <v>0.91279999999999994</v>
      </c>
      <c r="L61" s="5">
        <v>130000</v>
      </c>
      <c r="M61" s="3">
        <v>46087</v>
      </c>
    </row>
    <row r="62" spans="1:13">
      <c r="A62" t="s">
        <v>142</v>
      </c>
      <c r="B62" t="s">
        <v>143</v>
      </c>
      <c r="C62" t="s">
        <v>19</v>
      </c>
      <c r="D62" t="s">
        <v>20</v>
      </c>
      <c r="E62" t="s">
        <v>43</v>
      </c>
      <c r="F62" s="9">
        <v>14.32</v>
      </c>
      <c r="G62" s="9">
        <v>15.29</v>
      </c>
      <c r="H62" s="9">
        <v>12.15</v>
      </c>
      <c r="I62" s="9">
        <v>17.04</v>
      </c>
      <c r="J62" s="9">
        <f t="shared" si="0"/>
        <v>14.7</v>
      </c>
      <c r="K62" s="7">
        <v>0.55000000000000004</v>
      </c>
      <c r="L62" s="5">
        <v>90000</v>
      </c>
      <c r="M62" s="3">
        <v>45887</v>
      </c>
    </row>
    <row r="63" spans="1:13">
      <c r="A63" t="s">
        <v>144</v>
      </c>
      <c r="B63" t="s">
        <v>145</v>
      </c>
      <c r="C63" t="s">
        <v>19</v>
      </c>
      <c r="D63" t="s">
        <v>20</v>
      </c>
      <c r="E63" t="s">
        <v>21</v>
      </c>
      <c r="F63" s="9">
        <v>12.92</v>
      </c>
      <c r="G63" s="9">
        <v>14.32</v>
      </c>
      <c r="H63" s="9">
        <v>16.98</v>
      </c>
      <c r="I63" s="9">
        <v>12.16</v>
      </c>
      <c r="J63" s="9">
        <f t="shared" si="0"/>
        <v>14.094999999999999</v>
      </c>
      <c r="K63" s="7">
        <v>0.95489999999999997</v>
      </c>
      <c r="L63" s="5">
        <v>60000</v>
      </c>
      <c r="M63" s="3">
        <v>45978</v>
      </c>
    </row>
    <row r="64" spans="1:13">
      <c r="A64" t="s">
        <v>146</v>
      </c>
      <c r="B64" t="s">
        <v>147</v>
      </c>
      <c r="C64" t="s">
        <v>14</v>
      </c>
      <c r="D64" t="s">
        <v>15</v>
      </c>
      <c r="E64" t="s">
        <v>29</v>
      </c>
      <c r="F64" s="9">
        <v>15.64</v>
      </c>
      <c r="G64" s="9">
        <v>13.06</v>
      </c>
      <c r="H64" s="9">
        <v>16.170000000000002</v>
      </c>
      <c r="I64" s="9">
        <v>15.34</v>
      </c>
      <c r="J64" s="9">
        <f t="shared" si="0"/>
        <v>15.052500000000002</v>
      </c>
      <c r="K64" s="7">
        <v>0.84250000000000003</v>
      </c>
      <c r="L64" s="5">
        <v>100000</v>
      </c>
      <c r="M64" s="3">
        <v>45724</v>
      </c>
    </row>
    <row r="65" spans="1:13">
      <c r="A65" t="s">
        <v>148</v>
      </c>
      <c r="B65" t="s">
        <v>47</v>
      </c>
      <c r="C65" t="s">
        <v>19</v>
      </c>
      <c r="D65" t="s">
        <v>15</v>
      </c>
      <c r="E65" t="s">
        <v>16</v>
      </c>
      <c r="F65" s="9">
        <v>13.82</v>
      </c>
      <c r="G65" s="9">
        <v>20</v>
      </c>
      <c r="H65" s="9">
        <v>18.579999999999998</v>
      </c>
      <c r="I65" s="9">
        <v>14.04</v>
      </c>
      <c r="J65" s="9">
        <f t="shared" si="0"/>
        <v>16.61</v>
      </c>
      <c r="K65" s="7">
        <v>0.9204</v>
      </c>
      <c r="L65" s="5">
        <v>50000</v>
      </c>
      <c r="M65" s="3">
        <v>46186</v>
      </c>
    </row>
    <row r="66" spans="1:13">
      <c r="A66" t="s">
        <v>149</v>
      </c>
      <c r="B66" t="s">
        <v>150</v>
      </c>
      <c r="C66" t="s">
        <v>14</v>
      </c>
      <c r="D66" t="s">
        <v>15</v>
      </c>
      <c r="E66" t="s">
        <v>16</v>
      </c>
      <c r="F66" s="9">
        <v>12.29</v>
      </c>
      <c r="G66" s="9">
        <v>11.3</v>
      </c>
      <c r="H66" s="9">
        <v>8.81</v>
      </c>
      <c r="I66" s="9">
        <v>11.57</v>
      </c>
      <c r="J66" s="9">
        <f t="shared" si="0"/>
        <v>10.9925</v>
      </c>
      <c r="K66" s="7">
        <v>0.80159999999999998</v>
      </c>
      <c r="L66" s="5">
        <v>75000</v>
      </c>
      <c r="M66" s="3">
        <v>46224</v>
      </c>
    </row>
    <row r="67" spans="1:13">
      <c r="A67" t="s">
        <v>151</v>
      </c>
      <c r="B67" t="s">
        <v>152</v>
      </c>
      <c r="C67" t="s">
        <v>14</v>
      </c>
      <c r="D67" t="s">
        <v>20</v>
      </c>
      <c r="E67" t="s">
        <v>29</v>
      </c>
      <c r="F67" s="9">
        <v>10.73</v>
      </c>
      <c r="G67" s="9">
        <v>13.42</v>
      </c>
      <c r="H67" s="9">
        <v>13.55</v>
      </c>
      <c r="I67" s="9">
        <v>12.89</v>
      </c>
      <c r="J67" s="9">
        <f t="shared" ref="J67:J101" si="1">AVERAGE(F67:I67)</f>
        <v>12.647500000000001</v>
      </c>
      <c r="K67" s="7">
        <v>0.87060000000000004</v>
      </c>
      <c r="L67" s="5">
        <v>130000</v>
      </c>
      <c r="M67" s="3">
        <v>46222</v>
      </c>
    </row>
    <row r="68" spans="1:13">
      <c r="A68" t="s">
        <v>153</v>
      </c>
      <c r="B68" t="s">
        <v>154</v>
      </c>
      <c r="C68" t="s">
        <v>19</v>
      </c>
      <c r="D68" t="s">
        <v>32</v>
      </c>
      <c r="E68" t="s">
        <v>43</v>
      </c>
      <c r="F68" s="9">
        <v>12.39</v>
      </c>
      <c r="G68" s="9">
        <v>16.12</v>
      </c>
      <c r="H68" s="9">
        <v>14.7</v>
      </c>
      <c r="I68" s="9">
        <v>12.31</v>
      </c>
      <c r="J68" s="9">
        <f t="shared" si="1"/>
        <v>13.88</v>
      </c>
      <c r="K68" s="7">
        <v>0.84919999999999995</v>
      </c>
      <c r="L68" s="5">
        <v>110000</v>
      </c>
      <c r="M68" s="3">
        <v>46051</v>
      </c>
    </row>
    <row r="69" spans="1:13">
      <c r="A69" t="s">
        <v>155</v>
      </c>
      <c r="B69" t="s">
        <v>156</v>
      </c>
      <c r="C69" t="s">
        <v>14</v>
      </c>
      <c r="D69" t="s">
        <v>35</v>
      </c>
      <c r="E69" t="s">
        <v>29</v>
      </c>
      <c r="F69" s="9">
        <v>12.99</v>
      </c>
      <c r="G69" s="9">
        <v>13.03</v>
      </c>
      <c r="H69" s="9">
        <v>11.16</v>
      </c>
      <c r="I69" s="9">
        <v>13.55</v>
      </c>
      <c r="J69" s="9">
        <f t="shared" si="1"/>
        <v>12.682500000000001</v>
      </c>
      <c r="K69" s="7">
        <v>0.80720000000000003</v>
      </c>
      <c r="L69" s="5">
        <v>120000</v>
      </c>
      <c r="M69" s="3">
        <v>45565</v>
      </c>
    </row>
    <row r="70" spans="1:13">
      <c r="A70" t="s">
        <v>157</v>
      </c>
      <c r="B70" t="s">
        <v>110</v>
      </c>
      <c r="C70" t="s">
        <v>14</v>
      </c>
      <c r="D70" t="s">
        <v>32</v>
      </c>
      <c r="E70" t="s">
        <v>29</v>
      </c>
      <c r="F70" s="9">
        <v>16.13</v>
      </c>
      <c r="G70" s="9">
        <v>12.81</v>
      </c>
      <c r="H70" s="9">
        <v>14.09</v>
      </c>
      <c r="I70" s="9">
        <v>11.94</v>
      </c>
      <c r="J70" s="9">
        <f t="shared" si="1"/>
        <v>13.7425</v>
      </c>
      <c r="K70" s="7">
        <v>0.86950000000000005</v>
      </c>
      <c r="L70" s="5">
        <v>75000</v>
      </c>
      <c r="M70" s="3">
        <v>45792</v>
      </c>
    </row>
    <row r="71" spans="1:13">
      <c r="A71" t="s">
        <v>158</v>
      </c>
      <c r="B71" t="s">
        <v>159</v>
      </c>
      <c r="C71" t="s">
        <v>14</v>
      </c>
      <c r="D71" t="s">
        <v>15</v>
      </c>
      <c r="E71" t="s">
        <v>29</v>
      </c>
      <c r="F71" s="9">
        <v>14.26</v>
      </c>
      <c r="G71" s="9">
        <v>18.48</v>
      </c>
      <c r="H71" s="9">
        <v>15.37</v>
      </c>
      <c r="I71" s="9">
        <v>13.49</v>
      </c>
      <c r="J71" s="9">
        <f t="shared" si="1"/>
        <v>15.4</v>
      </c>
      <c r="K71" s="7">
        <v>0.72430000000000005</v>
      </c>
      <c r="L71" s="5">
        <v>100000</v>
      </c>
      <c r="M71" s="3">
        <v>45847</v>
      </c>
    </row>
    <row r="72" spans="1:13">
      <c r="A72" t="s">
        <v>160</v>
      </c>
      <c r="B72" t="s">
        <v>161</v>
      </c>
      <c r="C72" t="s">
        <v>19</v>
      </c>
      <c r="D72" t="s">
        <v>32</v>
      </c>
      <c r="E72" t="s">
        <v>21</v>
      </c>
      <c r="F72" s="9">
        <v>12.56</v>
      </c>
      <c r="G72" s="9">
        <v>8.91</v>
      </c>
      <c r="H72" s="9">
        <v>7.47</v>
      </c>
      <c r="I72" s="9">
        <v>10.68</v>
      </c>
      <c r="J72" s="9">
        <f t="shared" si="1"/>
        <v>9.9049999999999994</v>
      </c>
      <c r="K72" s="7">
        <v>0.7157</v>
      </c>
      <c r="L72" s="5">
        <v>100000</v>
      </c>
      <c r="M72" s="3">
        <v>46207</v>
      </c>
    </row>
    <row r="73" spans="1:13">
      <c r="A73" t="s">
        <v>162</v>
      </c>
      <c r="B73" t="s">
        <v>163</v>
      </c>
      <c r="C73" t="s">
        <v>14</v>
      </c>
      <c r="D73" t="s">
        <v>28</v>
      </c>
      <c r="E73" t="s">
        <v>21</v>
      </c>
      <c r="F73" s="9">
        <v>13.48</v>
      </c>
      <c r="G73" s="9">
        <v>16.010000000000002</v>
      </c>
      <c r="H73" s="9">
        <v>17.98</v>
      </c>
      <c r="I73" s="9">
        <v>16.399999999999999</v>
      </c>
      <c r="J73" s="9">
        <f t="shared" si="1"/>
        <v>15.967499999999999</v>
      </c>
      <c r="K73" s="7">
        <v>0.88990000000000002</v>
      </c>
      <c r="L73" s="5">
        <v>70000</v>
      </c>
      <c r="M73" s="3">
        <v>45918</v>
      </c>
    </row>
    <row r="74" spans="1:13">
      <c r="A74" t="s">
        <v>164</v>
      </c>
      <c r="B74" t="s">
        <v>165</v>
      </c>
      <c r="C74" t="s">
        <v>14</v>
      </c>
      <c r="D74" t="s">
        <v>20</v>
      </c>
      <c r="E74" t="s">
        <v>16</v>
      </c>
      <c r="F74" s="9">
        <v>14.73</v>
      </c>
      <c r="G74" s="9">
        <v>14.56</v>
      </c>
      <c r="H74" s="9">
        <v>16.13</v>
      </c>
      <c r="I74" s="9">
        <v>14.69</v>
      </c>
      <c r="J74" s="9">
        <f t="shared" si="1"/>
        <v>15.0275</v>
      </c>
      <c r="K74" s="7">
        <v>0.76880000000000004</v>
      </c>
      <c r="L74" s="5">
        <v>130000</v>
      </c>
      <c r="M74" s="3">
        <v>45911</v>
      </c>
    </row>
    <row r="75" spans="1:13">
      <c r="A75" t="s">
        <v>166</v>
      </c>
      <c r="B75" t="s">
        <v>128</v>
      </c>
      <c r="C75" t="s">
        <v>14</v>
      </c>
      <c r="D75" t="s">
        <v>35</v>
      </c>
      <c r="E75" t="s">
        <v>16</v>
      </c>
      <c r="F75" s="9">
        <v>9.31</v>
      </c>
      <c r="G75" s="9">
        <v>9.74</v>
      </c>
      <c r="H75" s="9">
        <v>10.34</v>
      </c>
      <c r="I75" s="9">
        <v>10.8</v>
      </c>
      <c r="J75" s="9">
        <f t="shared" si="1"/>
        <v>10.047499999999999</v>
      </c>
      <c r="K75" s="7">
        <v>0.90290000000000004</v>
      </c>
      <c r="L75" s="5">
        <v>130000</v>
      </c>
      <c r="M75" s="3">
        <v>45638</v>
      </c>
    </row>
    <row r="76" spans="1:13">
      <c r="A76" t="s">
        <v>167</v>
      </c>
      <c r="B76" t="s">
        <v>168</v>
      </c>
      <c r="C76" t="s">
        <v>19</v>
      </c>
      <c r="D76" t="s">
        <v>20</v>
      </c>
      <c r="E76" t="s">
        <v>16</v>
      </c>
      <c r="F76" s="9">
        <v>17.55</v>
      </c>
      <c r="G76" s="9">
        <v>17.57</v>
      </c>
      <c r="H76" s="9">
        <v>14.3</v>
      </c>
      <c r="I76" s="9">
        <v>17.66</v>
      </c>
      <c r="J76" s="9">
        <f t="shared" si="1"/>
        <v>16.77</v>
      </c>
      <c r="K76" s="7">
        <v>0.96130000000000004</v>
      </c>
      <c r="L76" s="5">
        <v>60000</v>
      </c>
      <c r="M76" s="3">
        <v>46091</v>
      </c>
    </row>
    <row r="77" spans="1:13">
      <c r="A77" t="s">
        <v>169</v>
      </c>
      <c r="B77" t="s">
        <v>170</v>
      </c>
      <c r="C77" t="s">
        <v>14</v>
      </c>
      <c r="D77" t="s">
        <v>32</v>
      </c>
      <c r="E77" t="s">
        <v>21</v>
      </c>
      <c r="F77" s="9">
        <v>13.96</v>
      </c>
      <c r="G77" s="9">
        <v>18.23</v>
      </c>
      <c r="H77" s="9">
        <v>12.42</v>
      </c>
      <c r="I77" s="9">
        <v>17.739999999999998</v>
      </c>
      <c r="J77" s="9">
        <f t="shared" si="1"/>
        <v>15.587499999999999</v>
      </c>
      <c r="K77" s="7">
        <v>0.65480000000000005</v>
      </c>
      <c r="L77" s="5">
        <v>110000</v>
      </c>
      <c r="M77" s="3">
        <v>45771</v>
      </c>
    </row>
    <row r="78" spans="1:13">
      <c r="A78" t="s">
        <v>171</v>
      </c>
      <c r="B78" t="s">
        <v>104</v>
      </c>
      <c r="C78" t="s">
        <v>14</v>
      </c>
      <c r="D78" t="s">
        <v>32</v>
      </c>
      <c r="E78" t="s">
        <v>29</v>
      </c>
      <c r="F78" s="9">
        <v>16.010000000000002</v>
      </c>
      <c r="G78" s="9">
        <v>13.43</v>
      </c>
      <c r="H78" s="9">
        <v>14.48</v>
      </c>
      <c r="I78" s="9">
        <v>13</v>
      </c>
      <c r="J78" s="9">
        <f t="shared" si="1"/>
        <v>14.23</v>
      </c>
      <c r="K78" s="7">
        <v>0.92200000000000004</v>
      </c>
      <c r="L78" s="5">
        <v>80000</v>
      </c>
      <c r="M78" s="3">
        <v>45600</v>
      </c>
    </row>
    <row r="79" spans="1:13">
      <c r="A79" t="s">
        <v>172</v>
      </c>
      <c r="B79" t="s">
        <v>173</v>
      </c>
      <c r="C79" t="s">
        <v>14</v>
      </c>
      <c r="D79" t="s">
        <v>35</v>
      </c>
      <c r="E79" t="s">
        <v>21</v>
      </c>
      <c r="F79" s="9">
        <v>10.82</v>
      </c>
      <c r="G79" s="9">
        <v>13.48</v>
      </c>
      <c r="H79" s="9">
        <v>15.12</v>
      </c>
      <c r="I79" s="9">
        <v>8.9700000000000006</v>
      </c>
      <c r="J79" s="9">
        <f t="shared" si="1"/>
        <v>12.0975</v>
      </c>
      <c r="K79" s="7">
        <v>0.83409999999999995</v>
      </c>
      <c r="L79" s="5">
        <v>100000</v>
      </c>
      <c r="M79" s="3">
        <v>46227</v>
      </c>
    </row>
    <row r="80" spans="1:13">
      <c r="A80" t="s">
        <v>174</v>
      </c>
      <c r="B80" t="s">
        <v>175</v>
      </c>
      <c r="C80" t="s">
        <v>19</v>
      </c>
      <c r="D80" t="s">
        <v>15</v>
      </c>
      <c r="E80" t="s">
        <v>43</v>
      </c>
      <c r="F80" s="9">
        <v>9.67</v>
      </c>
      <c r="G80" s="9">
        <v>11.6</v>
      </c>
      <c r="H80" s="9">
        <v>11.74</v>
      </c>
      <c r="I80" s="9">
        <v>11.16</v>
      </c>
      <c r="J80" s="9">
        <f t="shared" si="1"/>
        <v>11.0425</v>
      </c>
      <c r="K80" s="7">
        <v>0.87749999999999995</v>
      </c>
      <c r="L80" s="5">
        <v>90000</v>
      </c>
      <c r="M80" s="3">
        <v>45669</v>
      </c>
    </row>
    <row r="81" spans="1:13">
      <c r="A81" t="s">
        <v>176</v>
      </c>
      <c r="B81" t="s">
        <v>177</v>
      </c>
      <c r="C81" t="s">
        <v>19</v>
      </c>
      <c r="D81" t="s">
        <v>48</v>
      </c>
      <c r="E81" t="s">
        <v>43</v>
      </c>
      <c r="F81" s="9">
        <v>9.24</v>
      </c>
      <c r="G81" s="9">
        <v>10.43</v>
      </c>
      <c r="H81" s="9">
        <v>9.15</v>
      </c>
      <c r="I81" s="9">
        <v>12.93</v>
      </c>
      <c r="J81" s="9">
        <f t="shared" si="1"/>
        <v>10.4375</v>
      </c>
      <c r="K81" s="7">
        <v>0.95140000000000002</v>
      </c>
      <c r="L81" s="5">
        <v>70000</v>
      </c>
      <c r="M81" s="3">
        <v>45547</v>
      </c>
    </row>
    <row r="82" spans="1:13">
      <c r="A82" t="s">
        <v>178</v>
      </c>
      <c r="B82" t="s">
        <v>179</v>
      </c>
      <c r="C82" t="s">
        <v>19</v>
      </c>
      <c r="D82" t="s">
        <v>20</v>
      </c>
      <c r="E82" t="s">
        <v>29</v>
      </c>
      <c r="F82" s="9">
        <v>15.58</v>
      </c>
      <c r="G82" s="9">
        <v>14.85</v>
      </c>
      <c r="H82" s="9">
        <v>15.71</v>
      </c>
      <c r="I82" s="9">
        <v>11.71</v>
      </c>
      <c r="J82" s="9">
        <f t="shared" si="1"/>
        <v>14.4625</v>
      </c>
      <c r="K82" s="7">
        <v>0.84179999999999999</v>
      </c>
      <c r="L82" s="5">
        <v>60000</v>
      </c>
      <c r="M82" s="3">
        <v>45590</v>
      </c>
    </row>
    <row r="83" spans="1:13">
      <c r="A83" t="s">
        <v>180</v>
      </c>
      <c r="B83" t="s">
        <v>181</v>
      </c>
      <c r="C83" t="s">
        <v>14</v>
      </c>
      <c r="D83" t="s">
        <v>28</v>
      </c>
      <c r="E83" t="s">
        <v>29</v>
      </c>
      <c r="F83" s="9">
        <v>12.79</v>
      </c>
      <c r="G83" s="9">
        <v>10.57</v>
      </c>
      <c r="H83" s="9">
        <v>10.91</v>
      </c>
      <c r="I83" s="9">
        <v>8.76</v>
      </c>
      <c r="J83" s="9">
        <f t="shared" si="1"/>
        <v>10.757499999999999</v>
      </c>
      <c r="K83" s="7">
        <v>0.93310000000000004</v>
      </c>
      <c r="L83" s="5">
        <v>85000</v>
      </c>
      <c r="M83" s="3">
        <v>45852</v>
      </c>
    </row>
    <row r="84" spans="1:13">
      <c r="A84" t="s">
        <v>182</v>
      </c>
      <c r="B84" t="s">
        <v>183</v>
      </c>
      <c r="C84" t="s">
        <v>14</v>
      </c>
      <c r="D84" t="s">
        <v>48</v>
      </c>
      <c r="E84" t="s">
        <v>16</v>
      </c>
      <c r="F84" s="9">
        <v>15.33</v>
      </c>
      <c r="G84" s="9">
        <v>13.59</v>
      </c>
      <c r="H84" s="9">
        <v>16.829999999999998</v>
      </c>
      <c r="I84" s="9">
        <v>13.04</v>
      </c>
      <c r="J84" s="9">
        <f t="shared" si="1"/>
        <v>14.6975</v>
      </c>
      <c r="K84" s="7">
        <v>0.93730000000000002</v>
      </c>
      <c r="L84" s="5">
        <v>120000</v>
      </c>
      <c r="M84" s="3">
        <v>45608</v>
      </c>
    </row>
    <row r="85" spans="1:13">
      <c r="A85" t="s">
        <v>184</v>
      </c>
      <c r="B85" t="s">
        <v>54</v>
      </c>
      <c r="C85" t="s">
        <v>19</v>
      </c>
      <c r="D85" t="s">
        <v>20</v>
      </c>
      <c r="E85" t="s">
        <v>43</v>
      </c>
      <c r="F85" s="9">
        <v>14.95</v>
      </c>
      <c r="G85" s="9">
        <v>11.37</v>
      </c>
      <c r="H85" s="9">
        <v>11.56</v>
      </c>
      <c r="I85" s="9">
        <v>9.4700000000000006</v>
      </c>
      <c r="J85" s="9">
        <f t="shared" si="1"/>
        <v>11.8375</v>
      </c>
      <c r="K85" s="7">
        <v>0.83599999999999997</v>
      </c>
      <c r="L85" s="5">
        <v>120000</v>
      </c>
      <c r="M85" s="3">
        <v>46125</v>
      </c>
    </row>
    <row r="86" spans="1:13">
      <c r="A86" t="s">
        <v>185</v>
      </c>
      <c r="B86" t="s">
        <v>186</v>
      </c>
      <c r="C86" t="s">
        <v>19</v>
      </c>
      <c r="D86" t="s">
        <v>28</v>
      </c>
      <c r="E86" t="s">
        <v>29</v>
      </c>
      <c r="F86" s="9">
        <v>16.07</v>
      </c>
      <c r="G86" s="9">
        <v>13.84</v>
      </c>
      <c r="H86" s="9">
        <v>6.56</v>
      </c>
      <c r="I86" s="9">
        <v>11.15</v>
      </c>
      <c r="J86" s="9">
        <f t="shared" si="1"/>
        <v>11.904999999999999</v>
      </c>
      <c r="K86" s="7">
        <v>0.84530000000000005</v>
      </c>
      <c r="L86" s="5">
        <v>75000</v>
      </c>
      <c r="M86" s="3">
        <v>45894</v>
      </c>
    </row>
    <row r="87" spans="1:13">
      <c r="A87" t="s">
        <v>187</v>
      </c>
      <c r="B87" t="s">
        <v>74</v>
      </c>
      <c r="C87" t="s">
        <v>19</v>
      </c>
      <c r="D87" t="s">
        <v>28</v>
      </c>
      <c r="E87" t="s">
        <v>29</v>
      </c>
      <c r="F87" s="9">
        <v>13.13</v>
      </c>
      <c r="G87" s="9">
        <v>10.71</v>
      </c>
      <c r="H87" s="9">
        <v>15.21</v>
      </c>
      <c r="I87" s="9">
        <v>15.26</v>
      </c>
      <c r="J87" s="9">
        <f t="shared" si="1"/>
        <v>13.577500000000001</v>
      </c>
      <c r="K87" s="7">
        <v>0.74470000000000003</v>
      </c>
      <c r="L87" s="5">
        <v>120000</v>
      </c>
      <c r="M87" s="3">
        <v>45762</v>
      </c>
    </row>
    <row r="88" spans="1:13">
      <c r="A88" t="s">
        <v>188</v>
      </c>
      <c r="B88" t="s">
        <v>189</v>
      </c>
      <c r="C88" t="s">
        <v>14</v>
      </c>
      <c r="D88" t="s">
        <v>35</v>
      </c>
      <c r="E88" t="s">
        <v>16</v>
      </c>
      <c r="F88" s="9">
        <v>19.649999999999999</v>
      </c>
      <c r="G88" s="9">
        <v>17.11</v>
      </c>
      <c r="H88" s="9">
        <v>18.34</v>
      </c>
      <c r="I88" s="9">
        <v>16.72</v>
      </c>
      <c r="J88" s="9">
        <f t="shared" si="1"/>
        <v>17.954999999999998</v>
      </c>
      <c r="K88" s="7">
        <v>0.67400000000000004</v>
      </c>
      <c r="L88" s="5">
        <v>75000</v>
      </c>
      <c r="M88" s="3">
        <v>45538</v>
      </c>
    </row>
    <row r="89" spans="1:13">
      <c r="A89" t="s">
        <v>190</v>
      </c>
      <c r="B89" t="s">
        <v>191</v>
      </c>
      <c r="C89" t="s">
        <v>14</v>
      </c>
      <c r="D89" t="s">
        <v>15</v>
      </c>
      <c r="E89" t="s">
        <v>21</v>
      </c>
      <c r="F89" s="9">
        <v>10.68</v>
      </c>
      <c r="G89" s="9">
        <v>10.98</v>
      </c>
      <c r="H89" s="9">
        <v>6.72</v>
      </c>
      <c r="I89" s="9">
        <v>6.07</v>
      </c>
      <c r="J89" s="9">
        <f t="shared" si="1"/>
        <v>8.6125000000000007</v>
      </c>
      <c r="K89" s="7">
        <v>0.76039999999999996</v>
      </c>
      <c r="L89" s="5">
        <v>90000</v>
      </c>
      <c r="M89" s="3">
        <v>45871</v>
      </c>
    </row>
    <row r="90" spans="1:13">
      <c r="A90" t="s">
        <v>192</v>
      </c>
      <c r="B90" t="s">
        <v>193</v>
      </c>
      <c r="C90" t="s">
        <v>19</v>
      </c>
      <c r="D90" t="s">
        <v>15</v>
      </c>
      <c r="E90" t="s">
        <v>21</v>
      </c>
      <c r="F90" s="9">
        <v>15.78</v>
      </c>
      <c r="G90" s="9">
        <v>16.23</v>
      </c>
      <c r="H90" s="9">
        <v>17.41</v>
      </c>
      <c r="I90" s="9">
        <v>16.79</v>
      </c>
      <c r="J90" s="9">
        <f t="shared" si="1"/>
        <v>16.552500000000002</v>
      </c>
      <c r="K90" s="7">
        <v>0.84550000000000003</v>
      </c>
      <c r="L90" s="5">
        <v>75000</v>
      </c>
      <c r="M90" s="3">
        <v>45641</v>
      </c>
    </row>
    <row r="91" spans="1:13">
      <c r="A91" t="s">
        <v>194</v>
      </c>
      <c r="B91" t="s">
        <v>195</v>
      </c>
      <c r="C91" t="s">
        <v>19</v>
      </c>
      <c r="D91" t="s">
        <v>28</v>
      </c>
      <c r="E91" t="s">
        <v>29</v>
      </c>
      <c r="F91" s="9">
        <v>16.489999999999998</v>
      </c>
      <c r="G91" s="9">
        <v>14.98</v>
      </c>
      <c r="H91" s="9">
        <v>15.02</v>
      </c>
      <c r="I91" s="9">
        <v>13.43</v>
      </c>
      <c r="J91" s="9">
        <f t="shared" si="1"/>
        <v>14.979999999999999</v>
      </c>
      <c r="K91" s="7">
        <v>0.67589999999999995</v>
      </c>
      <c r="L91" s="5">
        <v>85000</v>
      </c>
      <c r="M91" s="3">
        <v>46220</v>
      </c>
    </row>
    <row r="92" spans="1:13">
      <c r="A92" t="s">
        <v>196</v>
      </c>
      <c r="B92" t="s">
        <v>197</v>
      </c>
      <c r="C92" t="s">
        <v>14</v>
      </c>
      <c r="D92" t="s">
        <v>32</v>
      </c>
      <c r="E92" t="s">
        <v>43</v>
      </c>
      <c r="F92" s="9">
        <v>15.45</v>
      </c>
      <c r="G92" s="9">
        <v>16.77</v>
      </c>
      <c r="H92" s="9">
        <v>11.24</v>
      </c>
      <c r="I92" s="9">
        <v>11.35</v>
      </c>
      <c r="J92" s="9">
        <f t="shared" si="1"/>
        <v>13.702500000000001</v>
      </c>
      <c r="K92" s="7">
        <v>0.89300000000000002</v>
      </c>
      <c r="L92" s="5">
        <v>85000</v>
      </c>
      <c r="M92" s="3">
        <v>45739</v>
      </c>
    </row>
    <row r="93" spans="1:13">
      <c r="A93" t="s">
        <v>198</v>
      </c>
      <c r="B93" t="s">
        <v>199</v>
      </c>
      <c r="C93" t="s">
        <v>19</v>
      </c>
      <c r="D93" t="s">
        <v>48</v>
      </c>
      <c r="E93" t="s">
        <v>21</v>
      </c>
      <c r="F93" s="9">
        <v>14.4</v>
      </c>
      <c r="G93" s="9">
        <v>11.44</v>
      </c>
      <c r="H93" s="9">
        <v>15.58</v>
      </c>
      <c r="I93" s="9">
        <v>12.4</v>
      </c>
      <c r="J93" s="9">
        <f t="shared" si="1"/>
        <v>13.455</v>
      </c>
      <c r="K93" s="7">
        <v>0.94669999999999999</v>
      </c>
      <c r="L93" s="5">
        <v>100000</v>
      </c>
      <c r="M93" s="3">
        <v>45868</v>
      </c>
    </row>
    <row r="94" spans="1:13">
      <c r="A94" t="s">
        <v>200</v>
      </c>
      <c r="B94" t="s">
        <v>74</v>
      </c>
      <c r="C94" t="s">
        <v>19</v>
      </c>
      <c r="D94" t="s">
        <v>35</v>
      </c>
      <c r="E94" t="s">
        <v>43</v>
      </c>
      <c r="F94" s="9">
        <v>16.260000000000002</v>
      </c>
      <c r="G94" s="9">
        <v>12.04</v>
      </c>
      <c r="H94" s="9">
        <v>16.62</v>
      </c>
      <c r="I94" s="9">
        <v>13.76</v>
      </c>
      <c r="J94" s="9">
        <f t="shared" si="1"/>
        <v>14.67</v>
      </c>
      <c r="K94" s="7">
        <v>0.82809999999999995</v>
      </c>
      <c r="L94" s="5">
        <v>85000</v>
      </c>
      <c r="M94" s="3">
        <v>45549</v>
      </c>
    </row>
    <row r="95" spans="1:13">
      <c r="A95" t="s">
        <v>201</v>
      </c>
      <c r="B95" t="s">
        <v>202</v>
      </c>
      <c r="C95" t="s">
        <v>14</v>
      </c>
      <c r="D95" t="s">
        <v>32</v>
      </c>
      <c r="E95" t="s">
        <v>43</v>
      </c>
      <c r="F95" s="9">
        <v>16.86</v>
      </c>
      <c r="G95" s="9">
        <v>17.149999999999999</v>
      </c>
      <c r="H95" s="9">
        <v>13.37</v>
      </c>
      <c r="I95" s="9">
        <v>12.1</v>
      </c>
      <c r="J95" s="9">
        <f t="shared" si="1"/>
        <v>14.87</v>
      </c>
      <c r="K95" s="7">
        <v>0.73799999999999999</v>
      </c>
      <c r="L95" s="5">
        <v>85000</v>
      </c>
      <c r="M95" s="3">
        <v>45627</v>
      </c>
    </row>
    <row r="96" spans="1:13">
      <c r="A96" t="s">
        <v>203</v>
      </c>
      <c r="B96" t="s">
        <v>91</v>
      </c>
      <c r="C96" t="s">
        <v>19</v>
      </c>
      <c r="D96" t="s">
        <v>28</v>
      </c>
      <c r="E96" t="s">
        <v>29</v>
      </c>
      <c r="F96" s="9">
        <v>17.95</v>
      </c>
      <c r="G96" s="9">
        <v>18.739999999999998</v>
      </c>
      <c r="H96" s="9">
        <v>15.86</v>
      </c>
      <c r="I96" s="9">
        <v>17.809999999999999</v>
      </c>
      <c r="J96" s="9">
        <f t="shared" si="1"/>
        <v>17.59</v>
      </c>
      <c r="K96" s="7">
        <v>0.88939999999999997</v>
      </c>
      <c r="L96" s="5">
        <v>100000</v>
      </c>
      <c r="M96" s="3">
        <v>45681</v>
      </c>
    </row>
    <row r="97" spans="1:13">
      <c r="A97" t="s">
        <v>204</v>
      </c>
      <c r="B97" t="s">
        <v>205</v>
      </c>
      <c r="C97" t="s">
        <v>14</v>
      </c>
      <c r="D97" t="s">
        <v>32</v>
      </c>
      <c r="E97" t="s">
        <v>43</v>
      </c>
      <c r="F97" s="9">
        <v>11.97</v>
      </c>
      <c r="G97" s="9">
        <v>11.7</v>
      </c>
      <c r="H97" s="9">
        <v>10.27</v>
      </c>
      <c r="I97" s="9">
        <v>10.67</v>
      </c>
      <c r="J97" s="9">
        <f t="shared" si="1"/>
        <v>11.1525</v>
      </c>
      <c r="K97" s="7">
        <v>0.83150000000000002</v>
      </c>
      <c r="L97" s="5">
        <v>80000</v>
      </c>
      <c r="M97" s="3">
        <v>45572</v>
      </c>
    </row>
    <row r="98" spans="1:13">
      <c r="A98" t="s">
        <v>206</v>
      </c>
      <c r="B98" t="s">
        <v>13</v>
      </c>
      <c r="C98" t="s">
        <v>14</v>
      </c>
      <c r="D98" t="s">
        <v>32</v>
      </c>
      <c r="E98" t="s">
        <v>43</v>
      </c>
      <c r="F98" s="9">
        <v>19.989999999999998</v>
      </c>
      <c r="G98" s="9">
        <v>15.02</v>
      </c>
      <c r="H98" s="9">
        <v>19.13</v>
      </c>
      <c r="I98" s="9">
        <v>19.82</v>
      </c>
      <c r="J98" s="9">
        <f t="shared" si="1"/>
        <v>18.490000000000002</v>
      </c>
      <c r="K98" s="7">
        <v>0.92949999999999999</v>
      </c>
      <c r="L98" s="5">
        <v>85000</v>
      </c>
      <c r="M98" s="3">
        <v>46044</v>
      </c>
    </row>
    <row r="99" spans="1:13">
      <c r="A99" t="s">
        <v>207</v>
      </c>
      <c r="B99" t="s">
        <v>208</v>
      </c>
      <c r="C99" t="s">
        <v>19</v>
      </c>
      <c r="D99" t="s">
        <v>28</v>
      </c>
      <c r="E99" t="s">
        <v>43</v>
      </c>
      <c r="F99" s="9">
        <v>13.82</v>
      </c>
      <c r="G99" s="9">
        <v>10.97</v>
      </c>
      <c r="H99" s="9">
        <v>8.57</v>
      </c>
      <c r="I99" s="9">
        <v>12.67</v>
      </c>
      <c r="J99" s="9">
        <f t="shared" si="1"/>
        <v>11.5075</v>
      </c>
      <c r="K99" s="7">
        <v>0.94189999999999996</v>
      </c>
      <c r="L99" s="5">
        <v>50000</v>
      </c>
      <c r="M99" s="3">
        <v>46197</v>
      </c>
    </row>
    <row r="100" spans="1:13">
      <c r="A100" t="s">
        <v>209</v>
      </c>
      <c r="B100" t="s">
        <v>99</v>
      </c>
      <c r="C100" t="s">
        <v>19</v>
      </c>
      <c r="D100" t="s">
        <v>20</v>
      </c>
      <c r="E100" t="s">
        <v>43</v>
      </c>
      <c r="F100" s="9">
        <v>12.63</v>
      </c>
      <c r="G100" s="9">
        <v>11.11</v>
      </c>
      <c r="H100" s="9">
        <v>15.87</v>
      </c>
      <c r="I100" s="9">
        <v>11.46</v>
      </c>
      <c r="J100" s="9">
        <f t="shared" si="1"/>
        <v>12.7675</v>
      </c>
      <c r="K100" s="7">
        <v>0.92549999999999999</v>
      </c>
      <c r="L100" s="5">
        <v>120000</v>
      </c>
      <c r="M100" s="3">
        <v>46225</v>
      </c>
    </row>
    <row r="101" spans="1:13">
      <c r="A101" t="s">
        <v>210</v>
      </c>
      <c r="B101" t="s">
        <v>211</v>
      </c>
      <c r="C101" t="s">
        <v>14</v>
      </c>
      <c r="D101" t="s">
        <v>15</v>
      </c>
      <c r="E101" t="s">
        <v>43</v>
      </c>
      <c r="F101" s="9">
        <v>10.51</v>
      </c>
      <c r="G101" s="9">
        <v>12.84</v>
      </c>
      <c r="H101" s="9">
        <v>10.34</v>
      </c>
      <c r="I101" s="9">
        <v>10.61</v>
      </c>
      <c r="J101" s="9">
        <f t="shared" si="1"/>
        <v>11.074999999999999</v>
      </c>
      <c r="K101" s="7">
        <v>0.78510000000000002</v>
      </c>
      <c r="L101" s="5">
        <v>60000</v>
      </c>
      <c r="M101" s="3">
        <v>45722</v>
      </c>
    </row>
  </sheetData>
  <conditionalFormatting sqref="G2:H101">
    <cfRule type="cellIs" dxfId="9" priority="16" operator="lessThan">
      <formula>10</formula>
    </cfRule>
  </conditionalFormatting>
  <conditionalFormatting sqref="G2:H101">
    <cfRule type="cellIs" dxfId="8" priority="15" operator="greaterThanOrEqual">
      <formula>15</formula>
    </cfRule>
  </conditionalFormatting>
  <conditionalFormatting sqref="G2:H101">
    <cfRule type="cellIs" dxfId="7" priority="14" operator="between">
      <formula>10</formula>
      <formula>14.99</formula>
    </cfRule>
  </conditionalFormatting>
  <conditionalFormatting sqref="K2:K101">
    <cfRule type="cellIs" dxfId="6" priority="11" operator="greaterThan">
      <formula>0.8</formula>
    </cfRule>
  </conditionalFormatting>
  <conditionalFormatting sqref="F2:F101">
    <cfRule type="cellIs" dxfId="5" priority="7" operator="greaterThanOrEqual">
      <formula>15</formula>
    </cfRule>
  </conditionalFormatting>
  <conditionalFormatting sqref="F2:F101">
    <cfRule type="cellIs" dxfId="4" priority="6" operator="lessThan">
      <formula>10</formula>
    </cfRule>
  </conditionalFormatting>
  <conditionalFormatting sqref="F2:F101">
    <cfRule type="cellIs" dxfId="3" priority="5" operator="between">
      <formula>10</formula>
      <formula>14.99</formula>
    </cfRule>
  </conditionalFormatting>
  <conditionalFormatting sqref="I2:I101">
    <cfRule type="cellIs" dxfId="2" priority="4" operator="greaterThanOrEqual">
      <formula>15</formula>
    </cfRule>
  </conditionalFormatting>
  <conditionalFormatting sqref="I2:I101">
    <cfRule type="cellIs" dxfId="1" priority="3" operator="lessThan">
      <formula>10</formula>
    </cfRule>
  </conditionalFormatting>
  <conditionalFormatting sqref="I2:I101">
    <cfRule type="cellIs" dxfId="0" priority="2" operator="between">
      <formula>10</formula>
      <formula>14.99</formula>
    </cfRule>
  </conditionalFormatting>
  <conditionalFormatting sqref="J2:J10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{8EC5B678-39AD-418B-9286-2C5B67C377D5}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C5B678-39AD-418B-9286-2C5B67C37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2026-08-22T08:14:20Z</dcterms:created>
  <dcterms:modified xsi:type="dcterms:W3CDTF">2026-08-31T17:38:14Z</dcterms:modified>
  <cp:category/>
  <cp:contentStatus/>
</cp:coreProperties>
</file>